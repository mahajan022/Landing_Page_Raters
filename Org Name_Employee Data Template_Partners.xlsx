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althysurein.sharepoint.com/sites/HealthySureGroup/HealthySure/HealthySure/Employee Benefits Platform/Documents from Employer/"/>
    </mc:Choice>
  </mc:AlternateContent>
  <xr:revisionPtr revIDLastSave="61" documentId="8_{26687984-8AF0-49FF-A475-379EBB7FD90C}" xr6:coauthVersionLast="47" xr6:coauthVersionMax="47" xr10:uidLastSave="{BE316CC2-C552-434F-A901-12DDF1EE8DAA}"/>
  <bookViews>
    <workbookView xWindow="-108" yWindow="-108" windowWidth="23256" windowHeight="13896" tabRatio="826" xr2:uid="{030FBE25-8AE6-46E2-A0DB-BB8C571CC9D9}"/>
  </bookViews>
  <sheets>
    <sheet name="Company Info" sheetId="3" r:id="rId1"/>
    <sheet name="For GHI &gt;" sheetId="8" r:id="rId2"/>
    <sheet name=" Employee Data " sheetId="2" r:id="rId3"/>
    <sheet name="For Indicative Quote" sheetId="1" state="hidden" r:id="rId4"/>
    <sheet name="For GPA&gt;" sheetId="7" r:id="rId5"/>
    <sheet name="Employee Data" sheetId="5" r:id="rId6"/>
    <sheet name="Claims History" sheetId="12" r:id="rId7"/>
    <sheet name="Indicative Quote " sheetId="13" state="hidden" r:id="rId8"/>
    <sheet name="For GTLI&gt;" sheetId="9" r:id="rId9"/>
    <sheet name="Employee Data " sheetId="10" r:id="rId10"/>
    <sheet name="Death History" sheetId="6" r:id="rId11"/>
    <sheet name="Indicative Quote" sheetId="11" state="hidden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3" l="1"/>
  <c r="C12" i="13"/>
  <c r="D12" i="13" s="1"/>
  <c r="C11" i="13"/>
  <c r="D11" i="13" s="1"/>
  <c r="C10" i="13"/>
  <c r="D10" i="13" s="1"/>
  <c r="C9" i="13"/>
  <c r="D9" i="13" s="1"/>
  <c r="C8" i="13"/>
  <c r="D8" i="13" s="1"/>
  <c r="C7" i="13"/>
  <c r="D7" i="13" s="1"/>
  <c r="D13" i="13" s="1"/>
  <c r="B13" i="11"/>
  <c r="C12" i="11"/>
  <c r="D12" i="11" s="1"/>
  <c r="C11" i="11"/>
  <c r="D11" i="11" s="1"/>
  <c r="C10" i="11"/>
  <c r="D10" i="11" s="1"/>
  <c r="C9" i="11"/>
  <c r="D9" i="11" s="1"/>
  <c r="C8" i="11"/>
  <c r="D8" i="11" s="1"/>
  <c r="C7" i="11"/>
  <c r="D7" i="11" s="1"/>
  <c r="D13" i="11" s="1"/>
  <c r="D5" i="1" l="1"/>
  <c r="C7" i="1"/>
  <c r="C8" i="1"/>
  <c r="C6" i="1"/>
  <c r="E10" i="1"/>
  <c r="E11" i="1"/>
  <c r="E12" i="1"/>
  <c r="E13" i="1"/>
  <c r="E14" i="1"/>
  <c r="E15" i="1"/>
  <c r="C9" i="1" l="1"/>
  <c r="F10" i="1" l="1"/>
  <c r="F15" i="1" l="1"/>
  <c r="F14" i="1"/>
  <c r="F13" i="1"/>
  <c r="F12" i="1"/>
  <c r="F11" i="1"/>
  <c r="F9" i="1"/>
  <c r="F8" i="1"/>
  <c r="F7" i="1"/>
  <c r="F6" i="1"/>
  <c r="F5" i="1"/>
  <c r="E16" i="1"/>
  <c r="D16" i="1"/>
  <c r="C16" i="1"/>
  <c r="B16" i="1"/>
  <c r="F1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tc={E5A0839E-0778-4D60-8650-1E6CF00DEB89}</author>
  </authors>
  <commentList>
    <comment ref="L4" authorId="0" shapeId="0" xr:uid="{E5A0839E-0778-4D60-8650-1E6CF00DEB89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not mandated by Digit but would be helpful for UW</t>
      </text>
    </comment>
  </commentList>
</comments>
</file>

<file path=xl/sharedStrings.xml><?xml version="1.0" encoding="utf-8"?>
<sst xmlns="http://schemas.openxmlformats.org/spreadsheetml/2006/main" count="290" uniqueCount="140">
  <si>
    <t>HealthySure Template</t>
  </si>
  <si>
    <t>Basic Company Details</t>
  </si>
  <si>
    <t>Name of the Company</t>
  </si>
  <si>
    <t>Pending</t>
  </si>
  <si>
    <t>Address of the Company</t>
  </si>
  <si>
    <t>Pincode of the Company</t>
  </si>
  <si>
    <t>Contact Person - Name</t>
  </si>
  <si>
    <t>Contact Person - Mobile No</t>
  </si>
  <si>
    <t>Contact Person - Email ID</t>
  </si>
  <si>
    <t>GST or PAN of Company</t>
  </si>
  <si>
    <t>Nature of Industry</t>
  </si>
  <si>
    <t>GHI policy</t>
  </si>
  <si>
    <t>Fresh / Renewal</t>
  </si>
  <si>
    <t>GPA policy</t>
  </si>
  <si>
    <t>GTL policy</t>
  </si>
  <si>
    <t>Parameter</t>
  </si>
  <si>
    <t>Select from Dropdown</t>
  </si>
  <si>
    <t>Remarks</t>
  </si>
  <si>
    <t>Choice of Family coverage</t>
  </si>
  <si>
    <t>Employee+Spouse+Children</t>
  </si>
  <si>
    <t>Choice of Sum Insured</t>
  </si>
  <si>
    <t>3 Lacs</t>
  </si>
  <si>
    <t>Room Rent Capping</t>
  </si>
  <si>
    <t>Single A/C Private</t>
  </si>
  <si>
    <t>Maternity Cover</t>
  </si>
  <si>
    <t>Yes</t>
  </si>
  <si>
    <t>Group Personal Accident Cover</t>
  </si>
  <si>
    <t>Group Term Life Cover</t>
  </si>
  <si>
    <t>Active Employee Data</t>
  </si>
  <si>
    <t>S.No.</t>
  </si>
  <si>
    <t>Employee ID</t>
  </si>
  <si>
    <t>Employment Type
(On-Roll/Off-Roll)</t>
  </si>
  <si>
    <t>Member Name</t>
  </si>
  <si>
    <t>Date of Birth</t>
  </si>
  <si>
    <t>Gender</t>
  </si>
  <si>
    <t>Relationship to Employee</t>
  </si>
  <si>
    <t>GHI Sum Insured</t>
  </si>
  <si>
    <t>Mobile Number</t>
  </si>
  <si>
    <t>Email</t>
  </si>
  <si>
    <t>ABC0001</t>
  </si>
  <si>
    <t>On-Roll</t>
  </si>
  <si>
    <t>FULL NAME</t>
  </si>
  <si>
    <t>Male</t>
  </si>
  <si>
    <t>Self</t>
  </si>
  <si>
    <t>abc@xxx.com</t>
  </si>
  <si>
    <t>Female</t>
  </si>
  <si>
    <t>Spouse</t>
  </si>
  <si>
    <t>Child</t>
  </si>
  <si>
    <t>Parent</t>
  </si>
  <si>
    <t>ABC0002</t>
  </si>
  <si>
    <t>ABC0003</t>
  </si>
  <si>
    <t>Note:</t>
  </si>
  <si>
    <t>1. GHI cover is available even for family members of employees i.e. spouse, children, parents or parents-in-law (for female employees)</t>
  </si>
  <si>
    <t>2. For adding details of family members, add it as separate row below the same employee details as shown in the table above</t>
  </si>
  <si>
    <t>3. All employees of the organization should be covered by default - manual selection is not permitted</t>
  </si>
  <si>
    <t>4. Depending on choice of family coverage, family members of each employee should be covered by default. Eg. If cover is for employee-spouse-children, then spouse and children of all employees should be covered - manual selection is not permitted</t>
  </si>
  <si>
    <t>5. GPA Cover is available for employees only (and not for family members)</t>
  </si>
  <si>
    <t xml:space="preserve">6. GHI Cover is available for only on-roll staff (permanent/contractual) </t>
  </si>
  <si>
    <t>7. GPA cover is available for both on-roll staff (permanent/contractual) and off-roll staff (outsourced/sub-contracted)</t>
  </si>
  <si>
    <t>Active Employee Split</t>
  </si>
  <si>
    <t>Age Band</t>
  </si>
  <si>
    <t>Children</t>
  </si>
  <si>
    <t>Parents</t>
  </si>
  <si>
    <t>Total</t>
  </si>
  <si>
    <t>0-18</t>
  </si>
  <si>
    <t>19-25</t>
  </si>
  <si>
    <t>26-35</t>
  </si>
  <si>
    <t>36-45</t>
  </si>
  <si>
    <t>46-50</t>
  </si>
  <si>
    <t>51-55</t>
  </si>
  <si>
    <t>56-60</t>
  </si>
  <si>
    <t>61-65</t>
  </si>
  <si>
    <t>66-70</t>
  </si>
  <si>
    <t>71-75</t>
  </si>
  <si>
    <t>76-80</t>
  </si>
  <si>
    <t>1. Fill only relevant columns depending on choice of family coverage.</t>
  </si>
  <si>
    <t>2. All employees of the organization should be covered by default - manual selection is not permitted</t>
  </si>
  <si>
    <t>3. Depending on choice of family coverage, family members of each employee should be covered by default. Eg. If cover is for employee-spouse-children, then spouse and children of all employees should be covered - manual selection is not permitted</t>
  </si>
  <si>
    <t xml:space="preserve">Designation </t>
  </si>
  <si>
    <r>
      <t xml:space="preserve">Annual CTC
</t>
    </r>
    <r>
      <rPr>
        <b/>
        <sz val="8"/>
        <color theme="0"/>
        <rFont val="Calibri"/>
        <family val="2"/>
        <scheme val="minor"/>
      </rPr>
      <t>(Not Reqd if Sum Assured is &lt;10 lacs)</t>
    </r>
  </si>
  <si>
    <r>
      <t xml:space="preserve">Sum Assured
</t>
    </r>
    <r>
      <rPr>
        <b/>
        <sz val="8"/>
        <color theme="0"/>
        <rFont val="Calibri"/>
        <family val="2"/>
        <scheme val="minor"/>
      </rPr>
      <t>(Max 8X of CTC)</t>
    </r>
  </si>
  <si>
    <t>Sales Manager</t>
  </si>
  <si>
    <t>Business Executive</t>
  </si>
  <si>
    <t>1. All employees of the organization should be covered by default - manual selection is not permitted</t>
  </si>
  <si>
    <t xml:space="preserve">2. GPA Cover is available for employees only (and not for family members) </t>
  </si>
  <si>
    <t>3. GPA cover is available for both on-roll staff (permanent/contractual) and off-roll staff (outsourced/sub-contracted)</t>
  </si>
  <si>
    <t>Claims History of last 3 years</t>
  </si>
  <si>
    <t>Policy year</t>
  </si>
  <si>
    <t>Entity Name</t>
  </si>
  <si>
    <t>Employee name</t>
  </si>
  <si>
    <t>Date of Death/Disability</t>
  </si>
  <si>
    <t>Date of intimation to insurer</t>
  </si>
  <si>
    <t>Cause of Death/Disability</t>
  </si>
  <si>
    <t>Sum Assured</t>
  </si>
  <si>
    <t>Amount Paid</t>
  </si>
  <si>
    <t>Claim status</t>
  </si>
  <si>
    <t xml:space="preserve">Note: </t>
  </si>
  <si>
    <r>
      <t xml:space="preserve">1) Fill this sheet only if it’s a </t>
    </r>
    <r>
      <rPr>
        <b/>
        <sz val="11"/>
        <color rgb="FFFF0000"/>
        <rFont val="Calibri"/>
        <family val="2"/>
        <scheme val="minor"/>
      </rPr>
      <t>policy renewal case</t>
    </r>
  </si>
  <si>
    <t xml:space="preserve">HealthySure </t>
  </si>
  <si>
    <t>Indicative Quote for Group Term Life</t>
  </si>
  <si>
    <t>Approx. Premium Per Rs. 1,000</t>
  </si>
  <si>
    <t>Sum Insured 
(Rs. in lacs)</t>
  </si>
  <si>
    <t>No of Employees
(Count)</t>
  </si>
  <si>
    <t>Premium Per Life
(Rs.)</t>
  </si>
  <si>
    <t>Total Premium
(Rs.)</t>
  </si>
  <si>
    <t>TOTAL</t>
  </si>
  <si>
    <t xml:space="preserve">1. Fill employee count against relevant choice of sum insured </t>
  </si>
  <si>
    <t>Please fill in the below details</t>
  </si>
  <si>
    <t>Emp Code</t>
  </si>
  <si>
    <t>Employee Name</t>
  </si>
  <si>
    <r>
      <t xml:space="preserve">Date of Joining
</t>
    </r>
    <r>
      <rPr>
        <b/>
        <sz val="8"/>
        <color theme="0"/>
        <rFont val="Calibri"/>
        <family val="2"/>
        <scheme val="minor"/>
      </rPr>
      <t>(Optional)</t>
    </r>
  </si>
  <si>
    <t>Designation</t>
  </si>
  <si>
    <r>
      <t xml:space="preserve">Vaccination status
</t>
    </r>
    <r>
      <rPr>
        <b/>
        <sz val="8"/>
        <color theme="0"/>
        <rFont val="Calibri"/>
        <family val="2"/>
        <scheme val="minor"/>
      </rPr>
      <t>(Fully vaccinated, Partially vaccinated, Not vaccinated)</t>
    </r>
  </si>
  <si>
    <r>
      <t xml:space="preserve">Affected by COVID-19 in the past 
</t>
    </r>
    <r>
      <rPr>
        <b/>
        <sz val="9"/>
        <rFont val="Calibri"/>
        <family val="2"/>
        <scheme val="minor"/>
      </rPr>
      <t>(Yes/No)</t>
    </r>
  </si>
  <si>
    <r>
      <t xml:space="preserve">60 days completed post COVID-19 recovery 
</t>
    </r>
    <r>
      <rPr>
        <b/>
        <sz val="9"/>
        <rFont val="Calibri"/>
        <family val="2"/>
        <scheme val="minor"/>
      </rPr>
      <t>(Yes/No)</t>
    </r>
  </si>
  <si>
    <r>
      <t>COVID-19 hospitalisation in the past</t>
    </r>
    <r>
      <rPr>
        <b/>
        <sz val="9"/>
        <rFont val="Calibri"/>
        <family val="2"/>
        <scheme val="minor"/>
      </rPr>
      <t xml:space="preserve">
(Yes/No)</t>
    </r>
  </si>
  <si>
    <t>XXX</t>
  </si>
  <si>
    <t>Ram Bakash Sharma</t>
  </si>
  <si>
    <t>Fully Vaccinated</t>
  </si>
  <si>
    <t>Shaju Abraham</t>
  </si>
  <si>
    <t>Rahul Nisal</t>
  </si>
  <si>
    <t>Partially Vaccinated</t>
  </si>
  <si>
    <t>Venkat Ramana</t>
  </si>
  <si>
    <t>Off-Roll</t>
  </si>
  <si>
    <t>Manoj Kedia</t>
  </si>
  <si>
    <t>Not Vaccinated</t>
  </si>
  <si>
    <t>2. GTLI Cover is available for employees only (and not for family members)</t>
  </si>
  <si>
    <t>3. GTLI cover is available for both on-roll staff (permanent/contractual) and off-roll staff (outsourced/sub-contracted)</t>
  </si>
  <si>
    <t>Employee Death History of last 3 years</t>
  </si>
  <si>
    <t>Date of Death</t>
  </si>
  <si>
    <t>Cause of Death</t>
  </si>
  <si>
    <t>&lt;Columns applicable if renewal case, leave blank if fresh case</t>
  </si>
  <si>
    <t>&lt; INDICATIVE</t>
  </si>
  <si>
    <t>Sum Assured
(Rs. in lacs)</t>
  </si>
  <si>
    <r>
      <t xml:space="preserve">Sick leave &gt; 7 continuous days for causes other than COVID-19 
</t>
    </r>
    <r>
      <rPr>
        <b/>
        <sz val="8"/>
        <rFont val="Calibri"/>
        <family val="2"/>
        <scheme val="minor"/>
      </rPr>
      <t>(Yes/No)</t>
    </r>
  </si>
  <si>
    <t>Insurance Template</t>
  </si>
  <si>
    <t>Group Health Insurance Template</t>
  </si>
  <si>
    <t>Group Personal Accident Insurance Template</t>
  </si>
  <si>
    <t>Claims Template</t>
  </si>
  <si>
    <t>Group Term Life Insurance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</si>
</sst>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dd/mmm/yyyy"/>
    <numFmt numFmtId="165" formatCode="_ * #,##0_ ;_ * \-#,##0_ ;_ * &quot;-&quot;??_ ;_ @_ "/>
    <numFmt numFmtId="166" formatCode="[$₹-448]\ #,##0.00"/>
    <numFmt numFmtId="167" formatCode="[$₹-448]\ #,##0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51C5A9"/>
        <bgColor indexed="64"/>
      </patternFill>
    </fill>
    <fill>
      <patternFill patternType="solid">
        <fgColor rgb="FFD9F3ED"/>
        <bgColor indexed="64"/>
      </patternFill>
    </fill>
    <fill>
      <patternFill patternType="solid">
        <fgColor rgb="FF357C95"/>
        <bgColor indexed="64"/>
      </patternFill>
    </fill>
    <fill>
      <patternFill patternType="solid">
        <fgColor rgb="FF13293D"/>
        <bgColor indexed="64"/>
      </patternFill>
    </fill>
    <fill>
      <patternFill patternType="solid">
        <fgColor rgb="FFE6E8EA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>
      <alignment vertical="center"/>
    </xf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60">
    <xf numFmtId="0" fontId="0" fillId="0" borderId="0" xfId="0"/>
    <xf numFmtId="17" fontId="0" fillId="0" borderId="1" xfId="0" quotePrefix="1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/>
    <xf numFmtId="3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5" fontId="5" fillId="0" borderId="0" xfId="0" applyNumberFormat="1" applyFont="1" applyAlignment="1">
      <alignment horizontal="center"/>
    </xf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left"/>
    </xf>
    <xf numFmtId="0" fontId="1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 applyProtection="1">
      <alignment horizontal="center" vertical="top" wrapText="1"/>
      <protection hidden="1"/>
    </xf>
    <xf numFmtId="0" fontId="5" fillId="0" borderId="1" xfId="0" applyFont="1" applyBorder="1"/>
    <xf numFmtId="0" fontId="10" fillId="0" borderId="1" xfId="0" applyFont="1" applyBorder="1" applyAlignment="1">
      <alignment horizontal="center"/>
    </xf>
    <xf numFmtId="0" fontId="0" fillId="0" borderId="1" xfId="0" applyBorder="1"/>
    <xf numFmtId="0" fontId="5" fillId="0" borderId="1" xfId="0" applyFont="1" applyBorder="1" applyAlignment="1" applyProtection="1">
      <alignment horizontal="left"/>
      <protection locked="0"/>
    </xf>
    <xf numFmtId="165" fontId="5" fillId="0" borderId="0" xfId="2" applyNumberFormat="1" applyFont="1" applyAlignment="1">
      <alignment horizontal="center"/>
    </xf>
    <xf numFmtId="166" fontId="2" fillId="4" borderId="6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0" fontId="0" fillId="0" borderId="0" xfId="3" applyNumberFormat="1" applyFont="1"/>
    <xf numFmtId="164" fontId="1" fillId="3" borderId="1" xfId="0" applyNumberFormat="1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6" fontId="0" fillId="0" borderId="0" xfId="0" applyNumberFormat="1" applyAlignment="1">
      <alignment horizontal="center"/>
    </xf>
    <xf numFmtId="3" fontId="3" fillId="4" borderId="1" xfId="0" applyNumberFormat="1" applyFont="1" applyFill="1" applyBorder="1" applyAlignment="1">
      <alignment horizontal="center"/>
    </xf>
    <xf numFmtId="167" fontId="3" fillId="4" borderId="1" xfId="0" applyNumberFormat="1" applyFont="1" applyFill="1" applyBorder="1" applyAlignment="1">
      <alignment horizontal="center"/>
    </xf>
    <xf numFmtId="0" fontId="4" fillId="0" borderId="1" xfId="0" applyFont="1" applyBorder="1"/>
    <xf numFmtId="0" fontId="0" fillId="0" borderId="1" xfId="0" applyBorder="1" applyAlignment="1" applyProtection="1">
      <alignment horizontal="left"/>
      <protection locked="0"/>
    </xf>
    <xf numFmtId="0" fontId="0" fillId="0" borderId="0" xfId="0" applyAlignment="1">
      <alignment wrapText="1"/>
    </xf>
    <xf numFmtId="0" fontId="0" fillId="0" borderId="1" xfId="0" applyBorder="1" applyAlignment="1" applyProtection="1">
      <alignment horizontal="left" wrapText="1"/>
      <protection locked="0"/>
    </xf>
    <xf numFmtId="0" fontId="5" fillId="0" borderId="1" xfId="0" applyFont="1" applyBorder="1" applyAlignment="1" applyProtection="1">
      <alignment horizontal="left" wrapText="1"/>
      <protection locked="0"/>
    </xf>
    <xf numFmtId="0" fontId="0" fillId="0" borderId="7" xfId="0" applyBorder="1" applyAlignment="1">
      <alignment wrapText="1"/>
    </xf>
    <xf numFmtId="0" fontId="0" fillId="0" borderId="1" xfId="0" applyBorder="1" applyAlignment="1">
      <alignment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 wrapText="1"/>
    </xf>
    <xf numFmtId="3" fontId="1" fillId="6" borderId="1" xfId="0" applyNumberFormat="1" applyFont="1" applyFill="1" applyBorder="1" applyAlignment="1">
      <alignment horizontal="center" vertical="top"/>
    </xf>
    <xf numFmtId="0" fontId="1" fillId="6" borderId="1" xfId="0" applyFont="1" applyFill="1" applyBorder="1" applyAlignment="1">
      <alignment vertical="top"/>
    </xf>
    <xf numFmtId="0" fontId="5" fillId="7" borderId="1" xfId="0" applyFont="1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2" fillId="7" borderId="1" xfId="0" applyFont="1" applyFill="1" applyBorder="1"/>
    <xf numFmtId="0" fontId="5" fillId="7" borderId="1" xfId="0" applyFont="1" applyFill="1" applyBorder="1" applyAlignment="1">
      <alignment horizontal="center"/>
    </xf>
    <xf numFmtId="0" fontId="6" fillId="7" borderId="1" xfId="1" applyFill="1" applyBorder="1" applyAlignment="1"/>
    <xf numFmtId="0" fontId="0" fillId="7" borderId="0" xfId="0" applyFill="1"/>
    <xf numFmtId="0" fontId="3" fillId="7" borderId="1" xfId="0" applyFont="1" applyFill="1" applyBorder="1" applyAlignment="1">
      <alignment horizontal="center" vertical="top"/>
    </xf>
  </cellXfs>
  <cellStyles count="4">
    <cellStyle name="Comma" xfId="2" builtinId="3"/>
    <cellStyle name="Hyperlink" xfId="1" builtinId="8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13293D"/>
      <color rgb="FFE6E8EA"/>
      <color rgb="FFD9F3ED"/>
      <color rgb="FF357C95"/>
      <color rgb="FF51C5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nil Basutkar" id="{1F2B1A5B-719E-4219-92B7-008180634DA8}" userId="Sanil Basutkar" providerId="Non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4" dT="2021-12-03T06:59:36.93" personId="{1F2B1A5B-719E-4219-92B7-008180634DA8}" id="{E5A0839E-0778-4D60-8650-1E6CF00DEB89}">
    <text>This is not mandated by Digit but would be helpful for UW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abc@xxx.com" TargetMode="External"/><Relationship Id="rId2" Type="http://schemas.openxmlformats.org/officeDocument/2006/relationships/hyperlink" Target="mailto:abc@xxx.com" TargetMode="External"/><Relationship Id="rId1" Type="http://schemas.openxmlformats.org/officeDocument/2006/relationships/hyperlink" Target="mailto:abc@xxx.com" TargetMode="External"/><Relationship Id="rId4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abc@xxx.com" TargetMode="External"/><Relationship Id="rId2" Type="http://schemas.openxmlformats.org/officeDocument/2006/relationships/hyperlink" Target="mailto:abc@xxx.com" TargetMode="External"/><Relationship Id="rId1" Type="http://schemas.openxmlformats.org/officeDocument/2006/relationships/hyperlink" Target="mailto:abc@xxx.com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mailto:abc@xxx.com" TargetMode="External"/><Relationship Id="rId4" Type="http://schemas.openxmlformats.org/officeDocument/2006/relationships/hyperlink" Target="mailto:abc@xxx.com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hyperlink" Target="mailto:abc@xxx.com" TargetMode="External"/><Relationship Id="rId7" Type="http://schemas.openxmlformats.org/officeDocument/2006/relationships/comments" Target="../comments1.xml"/><Relationship Id="rId2" Type="http://schemas.openxmlformats.org/officeDocument/2006/relationships/hyperlink" Target="mailto:abc@xxx.com" TargetMode="External"/><Relationship Id="rId1" Type="http://schemas.openxmlformats.org/officeDocument/2006/relationships/hyperlink" Target="mailto:abc@xxx.com" TargetMode="External"/><Relationship Id="rId6" Type="http://schemas.openxmlformats.org/officeDocument/2006/relationships/vmlDrawing" Target="../drawings/vmlDrawing1.vml"/><Relationship Id="rId5" Type="http://schemas.openxmlformats.org/officeDocument/2006/relationships/hyperlink" Target="mailto:abc@xxx.com" TargetMode="External"/><Relationship Id="rId4" Type="http://schemas.openxmlformats.org/officeDocument/2006/relationships/hyperlink" Target="mailto:abc@xxx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6A1EA-4853-489D-B8EA-98B165E67B3F}">
  <dimension ref="A1:C23"/>
  <sheetViews>
    <sheetView showGridLines="0" tabSelected="1" workbookViewId="0">
      <selection activeCell="E17" sqref="E17"/>
    </sheetView>
  </sheetViews>
  <sheetFormatPr defaultRowHeight="14.4" x14ac:dyDescent="0.3"/>
  <cols>
    <col min="1" max="1" width="29.33203125" customWidth="1"/>
    <col min="2" max="2" width="35.33203125" style="39" customWidth="1"/>
    <col min="3" max="3" width="35.5546875" customWidth="1"/>
  </cols>
  <sheetData>
    <row r="1" spans="1:2" x14ac:dyDescent="0.3">
      <c r="A1" s="7" t="s">
        <v>135</v>
      </c>
    </row>
    <row r="2" spans="1:2" x14ac:dyDescent="0.3">
      <c r="A2" s="7" t="s">
        <v>1</v>
      </c>
    </row>
    <row r="4" spans="1:2" x14ac:dyDescent="0.3">
      <c r="A4" s="52" t="s">
        <v>2</v>
      </c>
      <c r="B4" s="40" t="s">
        <v>3</v>
      </c>
    </row>
    <row r="5" spans="1:2" x14ac:dyDescent="0.3">
      <c r="A5" s="52" t="s">
        <v>4</v>
      </c>
      <c r="B5" s="40" t="s">
        <v>3</v>
      </c>
    </row>
    <row r="6" spans="1:2" x14ac:dyDescent="0.3">
      <c r="A6" s="52" t="s">
        <v>5</v>
      </c>
      <c r="B6" s="40" t="s">
        <v>3</v>
      </c>
    </row>
    <row r="7" spans="1:2" x14ac:dyDescent="0.3">
      <c r="A7" s="52" t="s">
        <v>6</v>
      </c>
      <c r="B7" s="40" t="s">
        <v>3</v>
      </c>
    </row>
    <row r="8" spans="1:2" x14ac:dyDescent="0.3">
      <c r="A8" s="52" t="s">
        <v>7</v>
      </c>
      <c r="B8" s="40" t="s">
        <v>3</v>
      </c>
    </row>
    <row r="9" spans="1:2" x14ac:dyDescent="0.3">
      <c r="A9" s="52" t="s">
        <v>8</v>
      </c>
      <c r="B9" s="40" t="s">
        <v>3</v>
      </c>
    </row>
    <row r="10" spans="1:2" x14ac:dyDescent="0.3">
      <c r="A10" s="52" t="s">
        <v>9</v>
      </c>
      <c r="B10" s="40" t="s">
        <v>3</v>
      </c>
    </row>
    <row r="11" spans="1:2" x14ac:dyDescent="0.3">
      <c r="A11" s="53" t="s">
        <v>10</v>
      </c>
      <c r="B11" s="40" t="s">
        <v>3</v>
      </c>
    </row>
    <row r="12" spans="1:2" x14ac:dyDescent="0.3">
      <c r="A12" s="52" t="s">
        <v>11</v>
      </c>
      <c r="B12" s="41" t="s">
        <v>12</v>
      </c>
    </row>
    <row r="13" spans="1:2" x14ac:dyDescent="0.3">
      <c r="A13" s="52" t="s">
        <v>13</v>
      </c>
      <c r="B13" s="41" t="s">
        <v>12</v>
      </c>
    </row>
    <row r="14" spans="1:2" x14ac:dyDescent="0.3">
      <c r="A14" s="52" t="s">
        <v>14</v>
      </c>
      <c r="B14" s="41" t="s">
        <v>12</v>
      </c>
    </row>
    <row r="17" spans="1:3" x14ac:dyDescent="0.3">
      <c r="A17" s="54" t="s">
        <v>15</v>
      </c>
      <c r="B17" s="54" t="s">
        <v>16</v>
      </c>
      <c r="C17" s="55" t="s">
        <v>17</v>
      </c>
    </row>
    <row r="18" spans="1:3" x14ac:dyDescent="0.3">
      <c r="A18" s="25" t="s">
        <v>18</v>
      </c>
      <c r="B18" s="42" t="s">
        <v>19</v>
      </c>
      <c r="C18" s="37"/>
    </row>
    <row r="19" spans="1:3" x14ac:dyDescent="0.3">
      <c r="A19" s="25" t="s">
        <v>20</v>
      </c>
      <c r="B19" s="42" t="s">
        <v>21</v>
      </c>
      <c r="C19" s="37"/>
    </row>
    <row r="20" spans="1:3" x14ac:dyDescent="0.3">
      <c r="A20" s="25" t="s">
        <v>22</v>
      </c>
      <c r="B20" s="42" t="s">
        <v>23</v>
      </c>
      <c r="C20" s="24"/>
    </row>
    <row r="21" spans="1:3" x14ac:dyDescent="0.3">
      <c r="A21" s="25" t="s">
        <v>24</v>
      </c>
      <c r="B21" s="42" t="s">
        <v>25</v>
      </c>
      <c r="C21" s="37"/>
    </row>
    <row r="22" spans="1:3" x14ac:dyDescent="0.3">
      <c r="A22" s="38" t="s">
        <v>26</v>
      </c>
      <c r="B22" s="43" t="s">
        <v>25</v>
      </c>
      <c r="C22" s="37"/>
    </row>
    <row r="23" spans="1:3" x14ac:dyDescent="0.3">
      <c r="A23" s="24" t="s">
        <v>27</v>
      </c>
      <c r="B23" s="43" t="s">
        <v>25</v>
      </c>
      <c r="C23" s="37"/>
    </row>
  </sheetData>
  <dataValidations count="4">
    <dataValidation type="list" allowBlank="1" showInputMessage="1" showErrorMessage="1" sqref="B18" xr:uid="{250DC8CC-7E61-4715-AC8D-E5AD8841893F}">
      <formula1>"Employee only, Employee+Spouse+Children, Employee+Spouse+Children+Parents"</formula1>
    </dataValidation>
    <dataValidation type="list" allowBlank="1" showInputMessage="1" showErrorMessage="1" sqref="B19" xr:uid="{8B4108DF-769B-4C38-97B9-2537F350E475}">
      <formula1>"1 Lac, 2 Lacs, 3 Lacs, 4 Lacs, 5 Lacs, 10 Lacs, Graded"</formula1>
    </dataValidation>
    <dataValidation type="list" allowBlank="1" showInputMessage="1" showErrorMessage="1" sqref="B20" xr:uid="{F98A6D3F-EFB5-4986-A9EA-AB6C0846ED07}">
      <formula1>"1% of Sum Insured, 2% of Sum Insured, Single A/C Private, No Room Rent Limit"</formula1>
    </dataValidation>
    <dataValidation type="list" allowBlank="1" showInputMessage="1" showErrorMessage="1" sqref="B21:B23" xr:uid="{8D1CCA40-53CA-4FF6-9B20-453AA182661D}">
      <formula1>"Yes, No"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C1CF4-3F61-4B69-8A71-36AE8A13917B}">
  <sheetPr>
    <tabColor rgb="FF13293D"/>
  </sheetPr>
  <dimension ref="A1"/>
  <sheetViews>
    <sheetView showGridLines="0" workbookViewId="0">
      <selection activeCell="C27" sqref="C27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3301C-2D57-4FE9-BC24-A0ACC043DD9F}">
  <dimension ref="A1:J914"/>
  <sheetViews>
    <sheetView showGridLines="0" zoomScaleNormal="100" workbookViewId="0">
      <selection activeCell="A5" sqref="A5"/>
    </sheetView>
  </sheetViews>
  <sheetFormatPr defaultColWidth="9" defaultRowHeight="14.4" x14ac:dyDescent="0.3"/>
  <cols>
    <col min="1" max="1" width="5.5546875" style="13" customWidth="1"/>
    <col min="2" max="2" width="12.33203125" style="13" customWidth="1"/>
    <col min="3" max="3" width="17.5546875" style="13" customWidth="1"/>
    <col min="4" max="4" width="20.44140625" style="11" customWidth="1"/>
    <col min="5" max="5" width="17.5546875" style="13" customWidth="1"/>
    <col min="6" max="6" width="11.5546875" style="13" customWidth="1"/>
    <col min="7" max="7" width="24.33203125" style="13" customWidth="1"/>
    <col min="8" max="8" width="14.6640625" style="12" bestFit="1" customWidth="1"/>
    <col min="9" max="9" width="15.33203125" style="11" customWidth="1"/>
    <col min="10" max="10" width="17" style="11" customWidth="1"/>
    <col min="11" max="12" width="9" style="11"/>
    <col min="13" max="13" width="22.44140625" style="11" customWidth="1"/>
    <col min="14" max="16384" width="9" style="11"/>
  </cols>
  <sheetData>
    <row r="1" spans="1:10" x14ac:dyDescent="0.3">
      <c r="A1" s="7" t="s">
        <v>136</v>
      </c>
    </row>
    <row r="2" spans="1:10" x14ac:dyDescent="0.3">
      <c r="A2" s="7" t="s">
        <v>28</v>
      </c>
    </row>
    <row r="3" spans="1:10" x14ac:dyDescent="0.3">
      <c r="A3" s="7"/>
    </row>
    <row r="4" spans="1:10" s="18" customFormat="1" ht="28.8" x14ac:dyDescent="0.3">
      <c r="A4" s="48" t="s">
        <v>29</v>
      </c>
      <c r="B4" s="48" t="s">
        <v>30</v>
      </c>
      <c r="C4" s="49" t="s">
        <v>31</v>
      </c>
      <c r="D4" s="48" t="s">
        <v>32</v>
      </c>
      <c r="E4" s="48" t="s">
        <v>33</v>
      </c>
      <c r="F4" s="48" t="s">
        <v>34</v>
      </c>
      <c r="G4" s="48" t="s">
        <v>35</v>
      </c>
      <c r="H4" s="50" t="s">
        <v>36</v>
      </c>
      <c r="I4" s="51" t="s">
        <v>37</v>
      </c>
      <c r="J4" s="48" t="s">
        <v>38</v>
      </c>
    </row>
    <row r="5" spans="1:10" x14ac:dyDescent="0.3">
      <c r="A5" s="16">
        <v>1</v>
      </c>
      <c r="B5" s="56" t="s">
        <v>39</v>
      </c>
      <c r="C5" s="16" t="s">
        <v>40</v>
      </c>
      <c r="D5" s="16" t="s">
        <v>41</v>
      </c>
      <c r="E5" s="17">
        <v>27395</v>
      </c>
      <c r="F5" s="16" t="s">
        <v>42</v>
      </c>
      <c r="G5" s="16" t="s">
        <v>43</v>
      </c>
      <c r="H5" s="15">
        <v>300000</v>
      </c>
      <c r="I5" s="56">
        <v>9800000000</v>
      </c>
      <c r="J5" s="57" t="s">
        <v>44</v>
      </c>
    </row>
    <row r="6" spans="1:10" x14ac:dyDescent="0.3">
      <c r="A6" s="16">
        <v>2</v>
      </c>
      <c r="B6" s="56" t="s">
        <v>39</v>
      </c>
      <c r="C6" s="15"/>
      <c r="D6" s="16" t="s">
        <v>41</v>
      </c>
      <c r="E6" s="17">
        <v>27395</v>
      </c>
      <c r="F6" s="16" t="s">
        <v>45</v>
      </c>
      <c r="G6" s="16" t="s">
        <v>46</v>
      </c>
      <c r="H6" s="15">
        <v>300000</v>
      </c>
      <c r="I6" s="56"/>
      <c r="J6" s="57"/>
    </row>
    <row r="7" spans="1:10" x14ac:dyDescent="0.3">
      <c r="A7" s="16">
        <v>3</v>
      </c>
      <c r="B7" s="56" t="s">
        <v>39</v>
      </c>
      <c r="C7" s="15"/>
      <c r="D7" s="16" t="s">
        <v>41</v>
      </c>
      <c r="E7" s="17">
        <v>36526</v>
      </c>
      <c r="F7" s="16" t="s">
        <v>42</v>
      </c>
      <c r="G7" s="16" t="s">
        <v>47</v>
      </c>
      <c r="H7" s="15">
        <v>300000</v>
      </c>
      <c r="I7" s="56"/>
      <c r="J7" s="57"/>
    </row>
    <row r="8" spans="1:10" x14ac:dyDescent="0.3">
      <c r="A8" s="16">
        <v>4</v>
      </c>
      <c r="B8" s="56" t="s">
        <v>39</v>
      </c>
      <c r="C8" s="15"/>
      <c r="D8" s="16" t="s">
        <v>41</v>
      </c>
      <c r="E8" s="17">
        <v>18264</v>
      </c>
      <c r="F8" s="16" t="s">
        <v>42</v>
      </c>
      <c r="G8" s="16" t="s">
        <v>48</v>
      </c>
      <c r="H8" s="15">
        <v>300000</v>
      </c>
      <c r="I8" s="56"/>
      <c r="J8" s="57"/>
    </row>
    <row r="9" spans="1:10" x14ac:dyDescent="0.3">
      <c r="A9" s="16">
        <v>5</v>
      </c>
      <c r="B9" s="56" t="s">
        <v>39</v>
      </c>
      <c r="C9" s="15"/>
      <c r="D9" s="16" t="s">
        <v>41</v>
      </c>
      <c r="E9" s="17">
        <v>18264</v>
      </c>
      <c r="F9" s="16" t="s">
        <v>45</v>
      </c>
      <c r="G9" s="16" t="s">
        <v>48</v>
      </c>
      <c r="H9" s="15">
        <v>300000</v>
      </c>
      <c r="I9" s="56"/>
      <c r="J9" s="57"/>
    </row>
    <row r="10" spans="1:10" x14ac:dyDescent="0.3">
      <c r="A10" s="16">
        <v>6</v>
      </c>
      <c r="B10" s="56" t="s">
        <v>49</v>
      </c>
      <c r="C10" s="16" t="s">
        <v>40</v>
      </c>
      <c r="D10" s="16" t="s">
        <v>41</v>
      </c>
      <c r="E10" s="17">
        <v>27395</v>
      </c>
      <c r="F10" s="16" t="s">
        <v>42</v>
      </c>
      <c r="G10" s="16" t="s">
        <v>43</v>
      </c>
      <c r="H10" s="15">
        <v>300000</v>
      </c>
      <c r="I10" s="56">
        <v>9800000000</v>
      </c>
      <c r="J10" s="57" t="s">
        <v>44</v>
      </c>
    </row>
    <row r="11" spans="1:10" x14ac:dyDescent="0.3">
      <c r="A11" s="16">
        <v>7</v>
      </c>
      <c r="B11" s="56" t="s">
        <v>49</v>
      </c>
      <c r="C11" s="15"/>
      <c r="D11" s="16" t="s">
        <v>41</v>
      </c>
      <c r="E11" s="17">
        <v>27395</v>
      </c>
      <c r="F11" s="16" t="s">
        <v>42</v>
      </c>
      <c r="G11" s="16" t="s">
        <v>46</v>
      </c>
      <c r="H11" s="15">
        <v>300000</v>
      </c>
      <c r="I11" s="56"/>
      <c r="J11" s="57"/>
    </row>
    <row r="12" spans="1:10" x14ac:dyDescent="0.3">
      <c r="A12" s="16">
        <v>8</v>
      </c>
      <c r="B12" s="56" t="s">
        <v>49</v>
      </c>
      <c r="C12" s="15"/>
      <c r="D12" s="16" t="s">
        <v>41</v>
      </c>
      <c r="E12" s="17">
        <v>18264</v>
      </c>
      <c r="F12" s="16" t="s">
        <v>42</v>
      </c>
      <c r="G12" s="16" t="s">
        <v>48</v>
      </c>
      <c r="H12" s="15">
        <v>300000</v>
      </c>
      <c r="I12" s="56"/>
      <c r="J12" s="57"/>
    </row>
    <row r="13" spans="1:10" x14ac:dyDescent="0.3">
      <c r="A13" s="16">
        <v>9</v>
      </c>
      <c r="B13" s="56" t="s">
        <v>49</v>
      </c>
      <c r="C13" s="15"/>
      <c r="D13" s="16" t="s">
        <v>41</v>
      </c>
      <c r="E13" s="17">
        <v>18264</v>
      </c>
      <c r="F13" s="16" t="s">
        <v>45</v>
      </c>
      <c r="G13" s="16" t="s">
        <v>48</v>
      </c>
      <c r="H13" s="15">
        <v>300000</v>
      </c>
      <c r="I13" s="56"/>
      <c r="J13" s="57"/>
    </row>
    <row r="14" spans="1:10" x14ac:dyDescent="0.3">
      <c r="A14" s="16">
        <v>10</v>
      </c>
      <c r="B14" s="56" t="s">
        <v>50</v>
      </c>
      <c r="C14" s="16" t="s">
        <v>40</v>
      </c>
      <c r="D14" s="16" t="s">
        <v>41</v>
      </c>
      <c r="E14" s="17">
        <v>27395</v>
      </c>
      <c r="F14" s="16" t="s">
        <v>45</v>
      </c>
      <c r="G14" s="16" t="s">
        <v>43</v>
      </c>
      <c r="H14" s="15">
        <v>300000</v>
      </c>
      <c r="I14" s="56">
        <v>9800000000</v>
      </c>
      <c r="J14" s="57" t="s">
        <v>44</v>
      </c>
    </row>
    <row r="15" spans="1:10" x14ac:dyDescent="0.3">
      <c r="A15" s="16">
        <v>11</v>
      </c>
      <c r="B15" s="56" t="s">
        <v>50</v>
      </c>
      <c r="C15" s="15"/>
      <c r="D15" s="16" t="s">
        <v>41</v>
      </c>
      <c r="E15" s="17">
        <v>18264</v>
      </c>
      <c r="F15" s="16" t="s">
        <v>42</v>
      </c>
      <c r="G15" s="16" t="s">
        <v>48</v>
      </c>
      <c r="H15" s="15">
        <v>300000</v>
      </c>
      <c r="I15" s="56"/>
      <c r="J15" s="57"/>
    </row>
    <row r="16" spans="1:10" x14ac:dyDescent="0.3">
      <c r="A16" s="16">
        <v>12</v>
      </c>
      <c r="B16" s="56" t="s">
        <v>50</v>
      </c>
      <c r="C16" s="15"/>
      <c r="D16" s="16" t="s">
        <v>41</v>
      </c>
      <c r="E16" s="17">
        <v>18264</v>
      </c>
      <c r="F16" s="16" t="s">
        <v>45</v>
      </c>
      <c r="G16" s="16" t="s">
        <v>48</v>
      </c>
      <c r="H16" s="15">
        <v>300000</v>
      </c>
      <c r="I16" s="56"/>
      <c r="J16" s="57"/>
    </row>
    <row r="17" spans="1:9" x14ac:dyDescent="0.3">
      <c r="E17" s="14"/>
    </row>
    <row r="18" spans="1:9" customFormat="1" x14ac:dyDescent="0.3">
      <c r="A18" s="10" t="s">
        <v>51</v>
      </c>
      <c r="B18" s="5"/>
      <c r="C18" s="5"/>
      <c r="D18" s="8"/>
      <c r="E18" s="8"/>
      <c r="F18" s="8"/>
      <c r="G18" s="8"/>
    </row>
    <row r="19" spans="1:9" customFormat="1" x14ac:dyDescent="0.3">
      <c r="A19" s="8" t="s">
        <v>52</v>
      </c>
      <c r="B19" s="9"/>
      <c r="C19" s="9"/>
      <c r="D19" s="8"/>
      <c r="E19" s="8"/>
      <c r="F19" s="8"/>
      <c r="G19" s="8"/>
    </row>
    <row r="20" spans="1:9" customFormat="1" x14ac:dyDescent="0.3">
      <c r="A20" s="8" t="s">
        <v>53</v>
      </c>
      <c r="B20" s="9"/>
      <c r="C20" s="9"/>
      <c r="D20" s="8"/>
      <c r="E20" s="8"/>
      <c r="F20" s="8"/>
      <c r="G20" s="8"/>
    </row>
    <row r="21" spans="1:9" customFormat="1" x14ac:dyDescent="0.3">
      <c r="A21" s="8" t="s">
        <v>54</v>
      </c>
      <c r="B21" s="8"/>
      <c r="C21" s="8"/>
      <c r="D21" s="8"/>
      <c r="E21" s="8"/>
      <c r="F21" s="8"/>
      <c r="G21" s="8"/>
    </row>
    <row r="22" spans="1:9" customFormat="1" x14ac:dyDescent="0.3">
      <c r="A22" s="8" t="s">
        <v>55</v>
      </c>
      <c r="B22" s="5"/>
      <c r="C22" s="5"/>
      <c r="D22" s="5"/>
      <c r="E22" s="5"/>
      <c r="F22" s="5"/>
      <c r="G22" s="5"/>
    </row>
    <row r="23" spans="1:9" customFormat="1" x14ac:dyDescent="0.3">
      <c r="A23" s="19" t="s">
        <v>56</v>
      </c>
      <c r="B23" s="5"/>
      <c r="C23" s="5"/>
      <c r="D23" s="5"/>
      <c r="E23" s="5"/>
      <c r="F23" s="5"/>
      <c r="G23" s="5"/>
    </row>
    <row r="24" spans="1:9" x14ac:dyDescent="0.3">
      <c r="A24" s="8" t="s">
        <v>57</v>
      </c>
      <c r="E24" s="14"/>
    </row>
    <row r="25" spans="1:9" x14ac:dyDescent="0.3">
      <c r="A25" s="19" t="s">
        <v>58</v>
      </c>
      <c r="E25" s="14"/>
      <c r="I25" s="13"/>
    </row>
    <row r="26" spans="1:9" x14ac:dyDescent="0.3">
      <c r="A26" s="11"/>
      <c r="E26" s="14"/>
      <c r="I26" s="13"/>
    </row>
    <row r="27" spans="1:9" x14ac:dyDescent="0.3">
      <c r="E27" s="14"/>
    </row>
    <row r="28" spans="1:9" x14ac:dyDescent="0.3">
      <c r="E28" s="14"/>
    </row>
    <row r="29" spans="1:9" x14ac:dyDescent="0.3">
      <c r="E29" s="14"/>
    </row>
    <row r="30" spans="1:9" x14ac:dyDescent="0.3">
      <c r="E30" s="14"/>
    </row>
    <row r="31" spans="1:9" x14ac:dyDescent="0.3">
      <c r="E31" s="14"/>
    </row>
    <row r="32" spans="1:9" x14ac:dyDescent="0.3">
      <c r="E32" s="14"/>
    </row>
    <row r="33" spans="5:5" x14ac:dyDescent="0.3">
      <c r="E33" s="14"/>
    </row>
    <row r="34" spans="5:5" x14ac:dyDescent="0.3">
      <c r="E34" s="14"/>
    </row>
    <row r="35" spans="5:5" x14ac:dyDescent="0.3">
      <c r="E35" s="14"/>
    </row>
    <row r="36" spans="5:5" x14ac:dyDescent="0.3">
      <c r="E36" s="14"/>
    </row>
    <row r="37" spans="5:5" x14ac:dyDescent="0.3">
      <c r="E37" s="14"/>
    </row>
    <row r="38" spans="5:5" x14ac:dyDescent="0.3">
      <c r="E38" s="14"/>
    </row>
    <row r="39" spans="5:5" x14ac:dyDescent="0.3">
      <c r="E39" s="14"/>
    </row>
    <row r="40" spans="5:5" x14ac:dyDescent="0.3">
      <c r="E40" s="14"/>
    </row>
    <row r="41" spans="5:5" x14ac:dyDescent="0.3">
      <c r="E41" s="14"/>
    </row>
    <row r="42" spans="5:5" x14ac:dyDescent="0.3">
      <c r="E42" s="14"/>
    </row>
    <row r="43" spans="5:5" x14ac:dyDescent="0.3">
      <c r="E43" s="14"/>
    </row>
    <row r="44" spans="5:5" x14ac:dyDescent="0.3">
      <c r="E44" s="14"/>
    </row>
    <row r="45" spans="5:5" x14ac:dyDescent="0.3">
      <c r="E45" s="14"/>
    </row>
    <row r="46" spans="5:5" x14ac:dyDescent="0.3">
      <c r="E46" s="14"/>
    </row>
    <row r="47" spans="5:5" x14ac:dyDescent="0.3">
      <c r="E47" s="14"/>
    </row>
    <row r="48" spans="5:5" x14ac:dyDescent="0.3">
      <c r="E48" s="14"/>
    </row>
    <row r="49" spans="5:5" x14ac:dyDescent="0.3">
      <c r="E49" s="14"/>
    </row>
    <row r="50" spans="5:5" x14ac:dyDescent="0.3">
      <c r="E50" s="14"/>
    </row>
    <row r="51" spans="5:5" x14ac:dyDescent="0.3">
      <c r="E51" s="14"/>
    </row>
    <row r="52" spans="5:5" x14ac:dyDescent="0.3">
      <c r="E52" s="14"/>
    </row>
    <row r="53" spans="5:5" x14ac:dyDescent="0.3">
      <c r="E53" s="14"/>
    </row>
    <row r="54" spans="5:5" x14ac:dyDescent="0.3">
      <c r="E54" s="14"/>
    </row>
    <row r="55" spans="5:5" x14ac:dyDescent="0.3">
      <c r="E55" s="14"/>
    </row>
    <row r="56" spans="5:5" x14ac:dyDescent="0.3">
      <c r="E56" s="14"/>
    </row>
    <row r="57" spans="5:5" x14ac:dyDescent="0.3">
      <c r="E57" s="14"/>
    </row>
    <row r="58" spans="5:5" x14ac:dyDescent="0.3">
      <c r="E58" s="14"/>
    </row>
    <row r="59" spans="5:5" x14ac:dyDescent="0.3">
      <c r="E59" s="14"/>
    </row>
    <row r="60" spans="5:5" x14ac:dyDescent="0.3">
      <c r="E60" s="14"/>
    </row>
    <row r="61" spans="5:5" x14ac:dyDescent="0.3">
      <c r="E61" s="14"/>
    </row>
    <row r="62" spans="5:5" x14ac:dyDescent="0.3">
      <c r="E62" s="14"/>
    </row>
    <row r="63" spans="5:5" x14ac:dyDescent="0.3">
      <c r="E63" s="14"/>
    </row>
    <row r="64" spans="5:5" x14ac:dyDescent="0.3">
      <c r="E64" s="14"/>
    </row>
    <row r="65" spans="5:5" x14ac:dyDescent="0.3">
      <c r="E65" s="14"/>
    </row>
    <row r="66" spans="5:5" x14ac:dyDescent="0.3">
      <c r="E66" s="14"/>
    </row>
    <row r="67" spans="5:5" x14ac:dyDescent="0.3">
      <c r="E67" s="14"/>
    </row>
    <row r="68" spans="5:5" x14ac:dyDescent="0.3">
      <c r="E68" s="14"/>
    </row>
    <row r="69" spans="5:5" x14ac:dyDescent="0.3">
      <c r="E69" s="14"/>
    </row>
    <row r="70" spans="5:5" x14ac:dyDescent="0.3">
      <c r="E70" s="14"/>
    </row>
    <row r="71" spans="5:5" x14ac:dyDescent="0.3">
      <c r="E71" s="14"/>
    </row>
    <row r="72" spans="5:5" x14ac:dyDescent="0.3">
      <c r="E72" s="14"/>
    </row>
    <row r="73" spans="5:5" x14ac:dyDescent="0.3">
      <c r="E73" s="14"/>
    </row>
    <row r="74" spans="5:5" x14ac:dyDescent="0.3">
      <c r="E74" s="14"/>
    </row>
    <row r="75" spans="5:5" x14ac:dyDescent="0.3">
      <c r="E75" s="14"/>
    </row>
    <row r="76" spans="5:5" x14ac:dyDescent="0.3">
      <c r="E76" s="14"/>
    </row>
    <row r="77" spans="5:5" x14ac:dyDescent="0.3">
      <c r="E77" s="14"/>
    </row>
    <row r="78" spans="5:5" x14ac:dyDescent="0.3">
      <c r="E78" s="14"/>
    </row>
    <row r="79" spans="5:5" x14ac:dyDescent="0.3">
      <c r="E79" s="14"/>
    </row>
    <row r="80" spans="5:5" x14ac:dyDescent="0.3">
      <c r="E80" s="14"/>
    </row>
    <row r="81" spans="5:5" x14ac:dyDescent="0.3">
      <c r="E81" s="14"/>
    </row>
    <row r="82" spans="5:5" x14ac:dyDescent="0.3">
      <c r="E82" s="14"/>
    </row>
    <row r="83" spans="5:5" x14ac:dyDescent="0.3">
      <c r="E83" s="14"/>
    </row>
    <row r="84" spans="5:5" x14ac:dyDescent="0.3">
      <c r="E84" s="14"/>
    </row>
    <row r="85" spans="5:5" x14ac:dyDescent="0.3">
      <c r="E85" s="14"/>
    </row>
    <row r="86" spans="5:5" x14ac:dyDescent="0.3">
      <c r="E86" s="14"/>
    </row>
    <row r="87" spans="5:5" x14ac:dyDescent="0.3">
      <c r="E87" s="14"/>
    </row>
    <row r="88" spans="5:5" x14ac:dyDescent="0.3">
      <c r="E88" s="14"/>
    </row>
    <row r="89" spans="5:5" x14ac:dyDescent="0.3">
      <c r="E89" s="14"/>
    </row>
    <row r="90" spans="5:5" x14ac:dyDescent="0.3">
      <c r="E90" s="14"/>
    </row>
    <row r="91" spans="5:5" x14ac:dyDescent="0.3">
      <c r="E91" s="14"/>
    </row>
    <row r="92" spans="5:5" x14ac:dyDescent="0.3">
      <c r="E92" s="14"/>
    </row>
    <row r="93" spans="5:5" x14ac:dyDescent="0.3">
      <c r="E93" s="14"/>
    </row>
    <row r="94" spans="5:5" x14ac:dyDescent="0.3">
      <c r="E94" s="14"/>
    </row>
    <row r="95" spans="5:5" x14ac:dyDescent="0.3">
      <c r="E95" s="14"/>
    </row>
    <row r="96" spans="5:5" x14ac:dyDescent="0.3">
      <c r="E96" s="14"/>
    </row>
    <row r="97" spans="5:5" x14ac:dyDescent="0.3">
      <c r="E97" s="14"/>
    </row>
    <row r="98" spans="5:5" x14ac:dyDescent="0.3">
      <c r="E98" s="14"/>
    </row>
    <row r="99" spans="5:5" x14ac:dyDescent="0.3">
      <c r="E99" s="14"/>
    </row>
    <row r="100" spans="5:5" x14ac:dyDescent="0.3">
      <c r="E100" s="14"/>
    </row>
    <row r="101" spans="5:5" x14ac:dyDescent="0.3">
      <c r="E101" s="14"/>
    </row>
    <row r="102" spans="5:5" x14ac:dyDescent="0.3">
      <c r="E102" s="14"/>
    </row>
    <row r="103" spans="5:5" x14ac:dyDescent="0.3">
      <c r="E103" s="14"/>
    </row>
    <row r="104" spans="5:5" x14ac:dyDescent="0.3">
      <c r="E104" s="14"/>
    </row>
    <row r="105" spans="5:5" x14ac:dyDescent="0.3">
      <c r="E105" s="14"/>
    </row>
    <row r="106" spans="5:5" x14ac:dyDescent="0.3">
      <c r="E106" s="14"/>
    </row>
    <row r="107" spans="5:5" x14ac:dyDescent="0.3">
      <c r="E107" s="14"/>
    </row>
    <row r="108" spans="5:5" x14ac:dyDescent="0.3">
      <c r="E108" s="14"/>
    </row>
    <row r="109" spans="5:5" x14ac:dyDescent="0.3">
      <c r="E109" s="14"/>
    </row>
    <row r="110" spans="5:5" x14ac:dyDescent="0.3">
      <c r="E110" s="14"/>
    </row>
    <row r="111" spans="5:5" x14ac:dyDescent="0.3">
      <c r="E111" s="14"/>
    </row>
    <row r="112" spans="5:5" x14ac:dyDescent="0.3">
      <c r="E112" s="14"/>
    </row>
    <row r="113" spans="5:5" x14ac:dyDescent="0.3">
      <c r="E113" s="14"/>
    </row>
    <row r="114" spans="5:5" x14ac:dyDescent="0.3">
      <c r="E114" s="14"/>
    </row>
    <row r="115" spans="5:5" x14ac:dyDescent="0.3">
      <c r="E115" s="14"/>
    </row>
    <row r="116" spans="5:5" x14ac:dyDescent="0.3">
      <c r="E116" s="14"/>
    </row>
    <row r="117" spans="5:5" x14ac:dyDescent="0.3">
      <c r="E117" s="14"/>
    </row>
    <row r="118" spans="5:5" x14ac:dyDescent="0.3">
      <c r="E118" s="14"/>
    </row>
    <row r="119" spans="5:5" x14ac:dyDescent="0.3">
      <c r="E119" s="14"/>
    </row>
    <row r="120" spans="5:5" x14ac:dyDescent="0.3">
      <c r="E120" s="14"/>
    </row>
    <row r="121" spans="5:5" x14ac:dyDescent="0.3">
      <c r="E121" s="14"/>
    </row>
    <row r="122" spans="5:5" x14ac:dyDescent="0.3">
      <c r="E122" s="14"/>
    </row>
    <row r="123" spans="5:5" x14ac:dyDescent="0.3">
      <c r="E123" s="14"/>
    </row>
    <row r="124" spans="5:5" x14ac:dyDescent="0.3">
      <c r="E124" s="14"/>
    </row>
    <row r="125" spans="5:5" x14ac:dyDescent="0.3">
      <c r="E125" s="14"/>
    </row>
    <row r="126" spans="5:5" x14ac:dyDescent="0.3">
      <c r="E126" s="14"/>
    </row>
    <row r="127" spans="5:5" x14ac:dyDescent="0.3">
      <c r="E127" s="14"/>
    </row>
    <row r="128" spans="5:5" x14ac:dyDescent="0.3">
      <c r="E128" s="14"/>
    </row>
    <row r="129" spans="5:5" x14ac:dyDescent="0.3">
      <c r="E129" s="14"/>
    </row>
    <row r="130" spans="5:5" x14ac:dyDescent="0.3">
      <c r="E130" s="14"/>
    </row>
    <row r="131" spans="5:5" x14ac:dyDescent="0.3">
      <c r="E131" s="14"/>
    </row>
    <row r="132" spans="5:5" x14ac:dyDescent="0.3">
      <c r="E132" s="14"/>
    </row>
    <row r="133" spans="5:5" x14ac:dyDescent="0.3">
      <c r="E133" s="14"/>
    </row>
    <row r="134" spans="5:5" x14ac:dyDescent="0.3">
      <c r="E134" s="14"/>
    </row>
    <row r="135" spans="5:5" x14ac:dyDescent="0.3">
      <c r="E135" s="14"/>
    </row>
    <row r="136" spans="5:5" x14ac:dyDescent="0.3">
      <c r="E136" s="14"/>
    </row>
    <row r="137" spans="5:5" x14ac:dyDescent="0.3">
      <c r="E137" s="14"/>
    </row>
    <row r="138" spans="5:5" x14ac:dyDescent="0.3">
      <c r="E138" s="14"/>
    </row>
    <row r="139" spans="5:5" x14ac:dyDescent="0.3">
      <c r="E139" s="14"/>
    </row>
    <row r="140" spans="5:5" x14ac:dyDescent="0.3">
      <c r="E140" s="14"/>
    </row>
    <row r="141" spans="5:5" x14ac:dyDescent="0.3">
      <c r="E141" s="14"/>
    </row>
    <row r="142" spans="5:5" x14ac:dyDescent="0.3">
      <c r="E142" s="14"/>
    </row>
    <row r="143" spans="5:5" x14ac:dyDescent="0.3">
      <c r="E143" s="14"/>
    </row>
    <row r="144" spans="5:5" x14ac:dyDescent="0.3">
      <c r="E144" s="14"/>
    </row>
    <row r="145" spans="5:5" x14ac:dyDescent="0.3">
      <c r="E145" s="14"/>
    </row>
    <row r="146" spans="5:5" x14ac:dyDescent="0.3">
      <c r="E146" s="14"/>
    </row>
    <row r="147" spans="5:5" x14ac:dyDescent="0.3">
      <c r="E147" s="14"/>
    </row>
    <row r="148" spans="5:5" x14ac:dyDescent="0.3">
      <c r="E148" s="14"/>
    </row>
    <row r="149" spans="5:5" x14ac:dyDescent="0.3">
      <c r="E149" s="14"/>
    </row>
    <row r="150" spans="5:5" x14ac:dyDescent="0.3">
      <c r="E150" s="14"/>
    </row>
    <row r="151" spans="5:5" x14ac:dyDescent="0.3">
      <c r="E151" s="14"/>
    </row>
    <row r="152" spans="5:5" x14ac:dyDescent="0.3">
      <c r="E152" s="14"/>
    </row>
    <row r="153" spans="5:5" x14ac:dyDescent="0.3">
      <c r="E153" s="14"/>
    </row>
    <row r="154" spans="5:5" x14ac:dyDescent="0.3">
      <c r="E154" s="14"/>
    </row>
    <row r="155" spans="5:5" x14ac:dyDescent="0.3">
      <c r="E155" s="14"/>
    </row>
    <row r="156" spans="5:5" x14ac:dyDescent="0.3">
      <c r="E156" s="14"/>
    </row>
    <row r="157" spans="5:5" x14ac:dyDescent="0.3">
      <c r="E157" s="14"/>
    </row>
    <row r="158" spans="5:5" x14ac:dyDescent="0.3">
      <c r="E158" s="14"/>
    </row>
    <row r="159" spans="5:5" x14ac:dyDescent="0.3">
      <c r="E159" s="14"/>
    </row>
    <row r="160" spans="5:5" x14ac:dyDescent="0.3">
      <c r="E160" s="14"/>
    </row>
    <row r="161" spans="5:5" x14ac:dyDescent="0.3">
      <c r="E161" s="14"/>
    </row>
    <row r="162" spans="5:5" x14ac:dyDescent="0.3">
      <c r="E162" s="14"/>
    </row>
    <row r="163" spans="5:5" x14ac:dyDescent="0.3">
      <c r="E163" s="14"/>
    </row>
    <row r="164" spans="5:5" x14ac:dyDescent="0.3">
      <c r="E164" s="14"/>
    </row>
    <row r="165" spans="5:5" x14ac:dyDescent="0.3">
      <c r="E165" s="14"/>
    </row>
    <row r="166" spans="5:5" x14ac:dyDescent="0.3">
      <c r="E166" s="14"/>
    </row>
    <row r="167" spans="5:5" x14ac:dyDescent="0.3">
      <c r="E167" s="14"/>
    </row>
    <row r="168" spans="5:5" x14ac:dyDescent="0.3">
      <c r="E168" s="14"/>
    </row>
    <row r="169" spans="5:5" x14ac:dyDescent="0.3">
      <c r="E169" s="14"/>
    </row>
    <row r="170" spans="5:5" x14ac:dyDescent="0.3">
      <c r="E170" s="14"/>
    </row>
    <row r="171" spans="5:5" x14ac:dyDescent="0.3">
      <c r="E171" s="14"/>
    </row>
    <row r="172" spans="5:5" x14ac:dyDescent="0.3">
      <c r="E172" s="14"/>
    </row>
    <row r="173" spans="5:5" x14ac:dyDescent="0.3">
      <c r="E173" s="14"/>
    </row>
    <row r="174" spans="5:5" x14ac:dyDescent="0.3">
      <c r="E174" s="14"/>
    </row>
    <row r="175" spans="5:5" x14ac:dyDescent="0.3">
      <c r="E175" s="14"/>
    </row>
    <row r="176" spans="5:5" x14ac:dyDescent="0.3">
      <c r="E176" s="14"/>
    </row>
    <row r="177" spans="5:5" x14ac:dyDescent="0.3">
      <c r="E177" s="14"/>
    </row>
    <row r="178" spans="5:5" x14ac:dyDescent="0.3">
      <c r="E178" s="14"/>
    </row>
    <row r="179" spans="5:5" x14ac:dyDescent="0.3">
      <c r="E179" s="14"/>
    </row>
    <row r="180" spans="5:5" x14ac:dyDescent="0.3">
      <c r="E180" s="14"/>
    </row>
    <row r="181" spans="5:5" x14ac:dyDescent="0.3">
      <c r="E181" s="14"/>
    </row>
    <row r="182" spans="5:5" x14ac:dyDescent="0.3">
      <c r="E182" s="14"/>
    </row>
    <row r="183" spans="5:5" x14ac:dyDescent="0.3">
      <c r="E183" s="14"/>
    </row>
    <row r="184" spans="5:5" x14ac:dyDescent="0.3">
      <c r="E184" s="14"/>
    </row>
    <row r="185" spans="5:5" x14ac:dyDescent="0.3">
      <c r="E185" s="14"/>
    </row>
    <row r="186" spans="5:5" x14ac:dyDescent="0.3">
      <c r="E186" s="14"/>
    </row>
    <row r="187" spans="5:5" x14ac:dyDescent="0.3">
      <c r="E187" s="14"/>
    </row>
    <row r="188" spans="5:5" x14ac:dyDescent="0.3">
      <c r="E188" s="14"/>
    </row>
    <row r="189" spans="5:5" x14ac:dyDescent="0.3">
      <c r="E189" s="14"/>
    </row>
    <row r="190" spans="5:5" x14ac:dyDescent="0.3">
      <c r="E190" s="14"/>
    </row>
    <row r="191" spans="5:5" x14ac:dyDescent="0.3">
      <c r="E191" s="14"/>
    </row>
    <row r="192" spans="5:5" x14ac:dyDescent="0.3">
      <c r="E192" s="14"/>
    </row>
    <row r="193" spans="5:5" x14ac:dyDescent="0.3">
      <c r="E193" s="14"/>
    </row>
    <row r="194" spans="5:5" x14ac:dyDescent="0.3">
      <c r="E194" s="14"/>
    </row>
    <row r="195" spans="5:5" x14ac:dyDescent="0.3">
      <c r="E195" s="14"/>
    </row>
    <row r="196" spans="5:5" x14ac:dyDescent="0.3">
      <c r="E196" s="14"/>
    </row>
    <row r="197" spans="5:5" x14ac:dyDescent="0.3">
      <c r="E197" s="14"/>
    </row>
    <row r="198" spans="5:5" x14ac:dyDescent="0.3">
      <c r="E198" s="14"/>
    </row>
    <row r="199" spans="5:5" x14ac:dyDescent="0.3">
      <c r="E199" s="14"/>
    </row>
    <row r="200" spans="5:5" x14ac:dyDescent="0.3">
      <c r="E200" s="14"/>
    </row>
    <row r="201" spans="5:5" x14ac:dyDescent="0.3">
      <c r="E201" s="14"/>
    </row>
    <row r="202" spans="5:5" x14ac:dyDescent="0.3">
      <c r="E202" s="14"/>
    </row>
    <row r="203" spans="5:5" x14ac:dyDescent="0.3">
      <c r="E203" s="14"/>
    </row>
    <row r="204" spans="5:5" x14ac:dyDescent="0.3">
      <c r="E204" s="14"/>
    </row>
    <row r="205" spans="5:5" x14ac:dyDescent="0.3">
      <c r="E205" s="14"/>
    </row>
    <row r="206" spans="5:5" x14ac:dyDescent="0.3">
      <c r="E206" s="14"/>
    </row>
    <row r="207" spans="5:5" x14ac:dyDescent="0.3">
      <c r="E207" s="14"/>
    </row>
    <row r="208" spans="5:5" x14ac:dyDescent="0.3">
      <c r="E208" s="14"/>
    </row>
    <row r="209" spans="5:5" x14ac:dyDescent="0.3">
      <c r="E209" s="14"/>
    </row>
    <row r="210" spans="5:5" x14ac:dyDescent="0.3">
      <c r="E210" s="14"/>
    </row>
    <row r="211" spans="5:5" x14ac:dyDescent="0.3">
      <c r="E211" s="14"/>
    </row>
    <row r="212" spans="5:5" x14ac:dyDescent="0.3">
      <c r="E212" s="14"/>
    </row>
    <row r="213" spans="5:5" x14ac:dyDescent="0.3">
      <c r="E213" s="14"/>
    </row>
    <row r="214" spans="5:5" x14ac:dyDescent="0.3">
      <c r="E214" s="14"/>
    </row>
    <row r="215" spans="5:5" x14ac:dyDescent="0.3">
      <c r="E215" s="14"/>
    </row>
    <row r="216" spans="5:5" x14ac:dyDescent="0.3">
      <c r="E216" s="14"/>
    </row>
    <row r="217" spans="5:5" x14ac:dyDescent="0.3">
      <c r="E217" s="14"/>
    </row>
    <row r="218" spans="5:5" x14ac:dyDescent="0.3">
      <c r="E218" s="14"/>
    </row>
    <row r="219" spans="5:5" x14ac:dyDescent="0.3">
      <c r="E219" s="14"/>
    </row>
    <row r="220" spans="5:5" x14ac:dyDescent="0.3">
      <c r="E220" s="14"/>
    </row>
    <row r="221" spans="5:5" x14ac:dyDescent="0.3">
      <c r="E221" s="14"/>
    </row>
    <row r="222" spans="5:5" x14ac:dyDescent="0.3">
      <c r="E222" s="14"/>
    </row>
    <row r="223" spans="5:5" x14ac:dyDescent="0.3">
      <c r="E223" s="14"/>
    </row>
    <row r="224" spans="5:5" x14ac:dyDescent="0.3">
      <c r="E224" s="14"/>
    </row>
    <row r="225" spans="5:5" x14ac:dyDescent="0.3">
      <c r="E225" s="14"/>
    </row>
    <row r="226" spans="5:5" x14ac:dyDescent="0.3">
      <c r="E226" s="14"/>
    </row>
    <row r="227" spans="5:5" x14ac:dyDescent="0.3">
      <c r="E227" s="14"/>
    </row>
    <row r="228" spans="5:5" x14ac:dyDescent="0.3">
      <c r="E228" s="14"/>
    </row>
    <row r="229" spans="5:5" x14ac:dyDescent="0.3">
      <c r="E229" s="14"/>
    </row>
    <row r="230" spans="5:5" x14ac:dyDescent="0.3">
      <c r="E230" s="14"/>
    </row>
    <row r="231" spans="5:5" x14ac:dyDescent="0.3">
      <c r="E231" s="14"/>
    </row>
    <row r="232" spans="5:5" x14ac:dyDescent="0.3">
      <c r="E232" s="14"/>
    </row>
    <row r="233" spans="5:5" x14ac:dyDescent="0.3">
      <c r="E233" s="14"/>
    </row>
    <row r="234" spans="5:5" x14ac:dyDescent="0.3">
      <c r="E234" s="14"/>
    </row>
    <row r="235" spans="5:5" x14ac:dyDescent="0.3">
      <c r="E235" s="14"/>
    </row>
    <row r="236" spans="5:5" x14ac:dyDescent="0.3">
      <c r="E236" s="14"/>
    </row>
    <row r="237" spans="5:5" x14ac:dyDescent="0.3">
      <c r="E237" s="14"/>
    </row>
    <row r="238" spans="5:5" x14ac:dyDescent="0.3">
      <c r="E238" s="14"/>
    </row>
    <row r="239" spans="5:5" x14ac:dyDescent="0.3">
      <c r="E239" s="14"/>
    </row>
    <row r="240" spans="5:5" x14ac:dyDescent="0.3">
      <c r="E240" s="14"/>
    </row>
    <row r="241" spans="5:5" x14ac:dyDescent="0.3">
      <c r="E241" s="14"/>
    </row>
    <row r="242" spans="5:5" x14ac:dyDescent="0.3">
      <c r="E242" s="14"/>
    </row>
    <row r="243" spans="5:5" x14ac:dyDescent="0.3">
      <c r="E243" s="14"/>
    </row>
    <row r="244" spans="5:5" x14ac:dyDescent="0.3">
      <c r="E244" s="14"/>
    </row>
    <row r="245" spans="5:5" x14ac:dyDescent="0.3">
      <c r="E245" s="14"/>
    </row>
    <row r="246" spans="5:5" x14ac:dyDescent="0.3">
      <c r="E246" s="14"/>
    </row>
    <row r="247" spans="5:5" x14ac:dyDescent="0.3">
      <c r="E247" s="14"/>
    </row>
    <row r="248" spans="5:5" x14ac:dyDescent="0.3">
      <c r="E248" s="14"/>
    </row>
    <row r="249" spans="5:5" x14ac:dyDescent="0.3">
      <c r="E249" s="14"/>
    </row>
    <row r="250" spans="5:5" x14ac:dyDescent="0.3">
      <c r="E250" s="14"/>
    </row>
    <row r="251" spans="5:5" x14ac:dyDescent="0.3">
      <c r="E251" s="14"/>
    </row>
    <row r="252" spans="5:5" x14ac:dyDescent="0.3">
      <c r="E252" s="14"/>
    </row>
    <row r="253" spans="5:5" x14ac:dyDescent="0.3">
      <c r="E253" s="14"/>
    </row>
    <row r="254" spans="5:5" x14ac:dyDescent="0.3">
      <c r="E254" s="14"/>
    </row>
    <row r="255" spans="5:5" x14ac:dyDescent="0.3">
      <c r="E255" s="14"/>
    </row>
    <row r="256" spans="5:5" x14ac:dyDescent="0.3">
      <c r="E256" s="14"/>
    </row>
    <row r="257" spans="5:5" x14ac:dyDescent="0.3">
      <c r="E257" s="14"/>
    </row>
    <row r="258" spans="5:5" x14ac:dyDescent="0.3">
      <c r="E258" s="14"/>
    </row>
    <row r="259" spans="5:5" x14ac:dyDescent="0.3">
      <c r="E259" s="14"/>
    </row>
    <row r="260" spans="5:5" x14ac:dyDescent="0.3">
      <c r="E260" s="14"/>
    </row>
    <row r="261" spans="5:5" x14ac:dyDescent="0.3">
      <c r="E261" s="14"/>
    </row>
    <row r="262" spans="5:5" x14ac:dyDescent="0.3">
      <c r="E262" s="14"/>
    </row>
    <row r="263" spans="5:5" x14ac:dyDescent="0.3">
      <c r="E263" s="14"/>
    </row>
    <row r="264" spans="5:5" x14ac:dyDescent="0.3">
      <c r="E264" s="14"/>
    </row>
    <row r="265" spans="5:5" x14ac:dyDescent="0.3">
      <c r="E265" s="14"/>
    </row>
    <row r="266" spans="5:5" x14ac:dyDescent="0.3">
      <c r="E266" s="14"/>
    </row>
    <row r="267" spans="5:5" x14ac:dyDescent="0.3">
      <c r="E267" s="14"/>
    </row>
    <row r="268" spans="5:5" x14ac:dyDescent="0.3">
      <c r="E268" s="14"/>
    </row>
    <row r="269" spans="5:5" x14ac:dyDescent="0.3">
      <c r="E269" s="14"/>
    </row>
    <row r="270" spans="5:5" x14ac:dyDescent="0.3">
      <c r="E270" s="14"/>
    </row>
    <row r="271" spans="5:5" x14ac:dyDescent="0.3">
      <c r="E271" s="14"/>
    </row>
    <row r="272" spans="5:5" x14ac:dyDescent="0.3">
      <c r="E272" s="14"/>
    </row>
    <row r="273" spans="5:5" x14ac:dyDescent="0.3">
      <c r="E273" s="14"/>
    </row>
    <row r="274" spans="5:5" x14ac:dyDescent="0.3">
      <c r="E274" s="14"/>
    </row>
    <row r="275" spans="5:5" x14ac:dyDescent="0.3">
      <c r="E275" s="14"/>
    </row>
    <row r="276" spans="5:5" x14ac:dyDescent="0.3">
      <c r="E276" s="14"/>
    </row>
    <row r="277" spans="5:5" x14ac:dyDescent="0.3">
      <c r="E277" s="14"/>
    </row>
    <row r="278" spans="5:5" x14ac:dyDescent="0.3">
      <c r="E278" s="14"/>
    </row>
    <row r="279" spans="5:5" x14ac:dyDescent="0.3">
      <c r="E279" s="14"/>
    </row>
    <row r="280" spans="5:5" x14ac:dyDescent="0.3">
      <c r="E280" s="14"/>
    </row>
    <row r="281" spans="5:5" x14ac:dyDescent="0.3">
      <c r="E281" s="14"/>
    </row>
    <row r="282" spans="5:5" x14ac:dyDescent="0.3">
      <c r="E282" s="14"/>
    </row>
    <row r="283" spans="5:5" x14ac:dyDescent="0.3">
      <c r="E283" s="14"/>
    </row>
    <row r="284" spans="5:5" x14ac:dyDescent="0.3">
      <c r="E284" s="14"/>
    </row>
    <row r="285" spans="5:5" x14ac:dyDescent="0.3">
      <c r="E285" s="14"/>
    </row>
    <row r="286" spans="5:5" x14ac:dyDescent="0.3">
      <c r="E286" s="14"/>
    </row>
    <row r="287" spans="5:5" x14ac:dyDescent="0.3">
      <c r="E287" s="14"/>
    </row>
    <row r="288" spans="5:5" x14ac:dyDescent="0.3">
      <c r="E288" s="14"/>
    </row>
    <row r="289" spans="5:5" x14ac:dyDescent="0.3">
      <c r="E289" s="14"/>
    </row>
    <row r="290" spans="5:5" x14ac:dyDescent="0.3">
      <c r="E290" s="14"/>
    </row>
    <row r="291" spans="5:5" x14ac:dyDescent="0.3">
      <c r="E291" s="14"/>
    </row>
    <row r="292" spans="5:5" x14ac:dyDescent="0.3">
      <c r="E292" s="14"/>
    </row>
    <row r="293" spans="5:5" x14ac:dyDescent="0.3">
      <c r="E293" s="14"/>
    </row>
    <row r="294" spans="5:5" x14ac:dyDescent="0.3">
      <c r="E294" s="14"/>
    </row>
    <row r="295" spans="5:5" x14ac:dyDescent="0.3">
      <c r="E295" s="14"/>
    </row>
    <row r="296" spans="5:5" x14ac:dyDescent="0.3">
      <c r="E296" s="14"/>
    </row>
    <row r="297" spans="5:5" x14ac:dyDescent="0.3">
      <c r="E297" s="14"/>
    </row>
    <row r="298" spans="5:5" x14ac:dyDescent="0.3">
      <c r="E298" s="14"/>
    </row>
    <row r="299" spans="5:5" x14ac:dyDescent="0.3">
      <c r="E299" s="14"/>
    </row>
    <row r="300" spans="5:5" x14ac:dyDescent="0.3">
      <c r="E300" s="14"/>
    </row>
    <row r="301" spans="5:5" x14ac:dyDescent="0.3">
      <c r="E301" s="14"/>
    </row>
    <row r="302" spans="5:5" x14ac:dyDescent="0.3">
      <c r="E302" s="14"/>
    </row>
    <row r="303" spans="5:5" x14ac:dyDescent="0.3">
      <c r="E303" s="14"/>
    </row>
    <row r="304" spans="5:5" x14ac:dyDescent="0.3">
      <c r="E304" s="14"/>
    </row>
    <row r="305" spans="5:5" x14ac:dyDescent="0.3">
      <c r="E305" s="14"/>
    </row>
    <row r="306" spans="5:5" x14ac:dyDescent="0.3">
      <c r="E306" s="14"/>
    </row>
    <row r="307" spans="5:5" x14ac:dyDescent="0.3">
      <c r="E307" s="14"/>
    </row>
    <row r="308" spans="5:5" x14ac:dyDescent="0.3">
      <c r="E308" s="14"/>
    </row>
    <row r="309" spans="5:5" x14ac:dyDescent="0.3">
      <c r="E309" s="14"/>
    </row>
    <row r="310" spans="5:5" x14ac:dyDescent="0.3">
      <c r="E310" s="14"/>
    </row>
    <row r="311" spans="5:5" x14ac:dyDescent="0.3">
      <c r="E311" s="14"/>
    </row>
    <row r="312" spans="5:5" x14ac:dyDescent="0.3">
      <c r="E312" s="14"/>
    </row>
    <row r="313" spans="5:5" x14ac:dyDescent="0.3">
      <c r="E313" s="14"/>
    </row>
    <row r="314" spans="5:5" x14ac:dyDescent="0.3">
      <c r="E314" s="14"/>
    </row>
    <row r="315" spans="5:5" x14ac:dyDescent="0.3">
      <c r="E315" s="14"/>
    </row>
    <row r="316" spans="5:5" x14ac:dyDescent="0.3">
      <c r="E316" s="14"/>
    </row>
    <row r="317" spans="5:5" x14ac:dyDescent="0.3">
      <c r="E317" s="14"/>
    </row>
    <row r="318" spans="5:5" x14ac:dyDescent="0.3">
      <c r="E318" s="14"/>
    </row>
    <row r="319" spans="5:5" x14ac:dyDescent="0.3">
      <c r="E319" s="14"/>
    </row>
    <row r="320" spans="5:5" x14ac:dyDescent="0.3">
      <c r="E320" s="14"/>
    </row>
    <row r="321" spans="5:5" x14ac:dyDescent="0.3">
      <c r="E321" s="14"/>
    </row>
    <row r="322" spans="5:5" x14ac:dyDescent="0.3">
      <c r="E322" s="14"/>
    </row>
    <row r="323" spans="5:5" x14ac:dyDescent="0.3">
      <c r="E323" s="14"/>
    </row>
    <row r="324" spans="5:5" x14ac:dyDescent="0.3">
      <c r="E324" s="14"/>
    </row>
    <row r="325" spans="5:5" x14ac:dyDescent="0.3">
      <c r="E325" s="14"/>
    </row>
    <row r="326" spans="5:5" x14ac:dyDescent="0.3">
      <c r="E326" s="14"/>
    </row>
    <row r="327" spans="5:5" x14ac:dyDescent="0.3">
      <c r="E327" s="14"/>
    </row>
    <row r="328" spans="5:5" x14ac:dyDescent="0.3">
      <c r="E328" s="14"/>
    </row>
    <row r="329" spans="5:5" x14ac:dyDescent="0.3">
      <c r="E329" s="14"/>
    </row>
    <row r="330" spans="5:5" x14ac:dyDescent="0.3">
      <c r="E330" s="14"/>
    </row>
    <row r="331" spans="5:5" x14ac:dyDescent="0.3">
      <c r="E331" s="14"/>
    </row>
    <row r="332" spans="5:5" x14ac:dyDescent="0.3">
      <c r="E332" s="14"/>
    </row>
    <row r="333" spans="5:5" x14ac:dyDescent="0.3">
      <c r="E333" s="14"/>
    </row>
    <row r="334" spans="5:5" x14ac:dyDescent="0.3">
      <c r="E334" s="14"/>
    </row>
    <row r="335" spans="5:5" x14ac:dyDescent="0.3">
      <c r="E335" s="14"/>
    </row>
    <row r="336" spans="5:5" x14ac:dyDescent="0.3">
      <c r="E336" s="14"/>
    </row>
    <row r="337" spans="5:5" x14ac:dyDescent="0.3">
      <c r="E337" s="14"/>
    </row>
    <row r="338" spans="5:5" x14ac:dyDescent="0.3">
      <c r="E338" s="14"/>
    </row>
    <row r="339" spans="5:5" x14ac:dyDescent="0.3">
      <c r="E339" s="14"/>
    </row>
    <row r="340" spans="5:5" x14ac:dyDescent="0.3">
      <c r="E340" s="14"/>
    </row>
    <row r="341" spans="5:5" x14ac:dyDescent="0.3">
      <c r="E341" s="14"/>
    </row>
    <row r="342" spans="5:5" x14ac:dyDescent="0.3">
      <c r="E342" s="14"/>
    </row>
    <row r="343" spans="5:5" x14ac:dyDescent="0.3">
      <c r="E343" s="14"/>
    </row>
    <row r="344" spans="5:5" x14ac:dyDescent="0.3">
      <c r="E344" s="14"/>
    </row>
    <row r="345" spans="5:5" x14ac:dyDescent="0.3">
      <c r="E345" s="14"/>
    </row>
    <row r="346" spans="5:5" x14ac:dyDescent="0.3">
      <c r="E346" s="14"/>
    </row>
    <row r="347" spans="5:5" x14ac:dyDescent="0.3">
      <c r="E347" s="14"/>
    </row>
    <row r="348" spans="5:5" x14ac:dyDescent="0.3">
      <c r="E348" s="14"/>
    </row>
    <row r="349" spans="5:5" x14ac:dyDescent="0.3">
      <c r="E349" s="14"/>
    </row>
    <row r="350" spans="5:5" x14ac:dyDescent="0.3">
      <c r="E350" s="14"/>
    </row>
    <row r="351" spans="5:5" x14ac:dyDescent="0.3">
      <c r="E351" s="14"/>
    </row>
    <row r="352" spans="5:5" x14ac:dyDescent="0.3">
      <c r="E352" s="14"/>
    </row>
    <row r="353" spans="5:5" x14ac:dyDescent="0.3">
      <c r="E353" s="14"/>
    </row>
    <row r="354" spans="5:5" x14ac:dyDescent="0.3">
      <c r="E354" s="14"/>
    </row>
    <row r="355" spans="5:5" x14ac:dyDescent="0.3">
      <c r="E355" s="14"/>
    </row>
    <row r="356" spans="5:5" x14ac:dyDescent="0.3">
      <c r="E356" s="14"/>
    </row>
    <row r="357" spans="5:5" x14ac:dyDescent="0.3">
      <c r="E357" s="14"/>
    </row>
    <row r="358" spans="5:5" x14ac:dyDescent="0.3">
      <c r="E358" s="14"/>
    </row>
    <row r="359" spans="5:5" x14ac:dyDescent="0.3">
      <c r="E359" s="14"/>
    </row>
    <row r="360" spans="5:5" x14ac:dyDescent="0.3">
      <c r="E360" s="14"/>
    </row>
    <row r="361" spans="5:5" x14ac:dyDescent="0.3">
      <c r="E361" s="14"/>
    </row>
    <row r="362" spans="5:5" x14ac:dyDescent="0.3">
      <c r="E362" s="14"/>
    </row>
    <row r="363" spans="5:5" x14ac:dyDescent="0.3">
      <c r="E363" s="14"/>
    </row>
    <row r="364" spans="5:5" x14ac:dyDescent="0.3">
      <c r="E364" s="14"/>
    </row>
    <row r="365" spans="5:5" x14ac:dyDescent="0.3">
      <c r="E365" s="14"/>
    </row>
    <row r="366" spans="5:5" x14ac:dyDescent="0.3">
      <c r="E366" s="14"/>
    </row>
    <row r="367" spans="5:5" x14ac:dyDescent="0.3">
      <c r="E367" s="14"/>
    </row>
    <row r="368" spans="5:5" x14ac:dyDescent="0.3">
      <c r="E368" s="14"/>
    </row>
    <row r="369" spans="5:5" x14ac:dyDescent="0.3">
      <c r="E369" s="14"/>
    </row>
    <row r="370" spans="5:5" x14ac:dyDescent="0.3">
      <c r="E370" s="14"/>
    </row>
    <row r="371" spans="5:5" x14ac:dyDescent="0.3">
      <c r="E371" s="14"/>
    </row>
    <row r="372" spans="5:5" x14ac:dyDescent="0.3">
      <c r="E372" s="14"/>
    </row>
    <row r="373" spans="5:5" x14ac:dyDescent="0.3">
      <c r="E373" s="14"/>
    </row>
    <row r="374" spans="5:5" x14ac:dyDescent="0.3">
      <c r="E374" s="14"/>
    </row>
    <row r="375" spans="5:5" x14ac:dyDescent="0.3">
      <c r="E375" s="14"/>
    </row>
    <row r="376" spans="5:5" x14ac:dyDescent="0.3">
      <c r="E376" s="14"/>
    </row>
    <row r="377" spans="5:5" x14ac:dyDescent="0.3">
      <c r="E377" s="14"/>
    </row>
    <row r="378" spans="5:5" x14ac:dyDescent="0.3">
      <c r="E378" s="14"/>
    </row>
    <row r="379" spans="5:5" x14ac:dyDescent="0.3">
      <c r="E379" s="14"/>
    </row>
    <row r="380" spans="5:5" x14ac:dyDescent="0.3">
      <c r="E380" s="14"/>
    </row>
    <row r="381" spans="5:5" x14ac:dyDescent="0.3">
      <c r="E381" s="14"/>
    </row>
    <row r="382" spans="5:5" x14ac:dyDescent="0.3">
      <c r="E382" s="14"/>
    </row>
    <row r="383" spans="5:5" x14ac:dyDescent="0.3">
      <c r="E383" s="14"/>
    </row>
    <row r="384" spans="5:5" x14ac:dyDescent="0.3">
      <c r="E384" s="14"/>
    </row>
    <row r="385" spans="5:5" x14ac:dyDescent="0.3">
      <c r="E385" s="14"/>
    </row>
    <row r="386" spans="5:5" x14ac:dyDescent="0.3">
      <c r="E386" s="14"/>
    </row>
    <row r="387" spans="5:5" x14ac:dyDescent="0.3">
      <c r="E387" s="14"/>
    </row>
    <row r="388" spans="5:5" x14ac:dyDescent="0.3">
      <c r="E388" s="14"/>
    </row>
    <row r="389" spans="5:5" x14ac:dyDescent="0.3">
      <c r="E389" s="14"/>
    </row>
    <row r="390" spans="5:5" x14ac:dyDescent="0.3">
      <c r="E390" s="14"/>
    </row>
    <row r="391" spans="5:5" x14ac:dyDescent="0.3">
      <c r="E391" s="14"/>
    </row>
    <row r="392" spans="5:5" x14ac:dyDescent="0.3">
      <c r="E392" s="14"/>
    </row>
    <row r="393" spans="5:5" x14ac:dyDescent="0.3">
      <c r="E393" s="14"/>
    </row>
    <row r="394" spans="5:5" x14ac:dyDescent="0.3">
      <c r="E394" s="14"/>
    </row>
    <row r="395" spans="5:5" x14ac:dyDescent="0.3">
      <c r="E395" s="14"/>
    </row>
    <row r="396" spans="5:5" x14ac:dyDescent="0.3">
      <c r="E396" s="14"/>
    </row>
    <row r="397" spans="5:5" x14ac:dyDescent="0.3">
      <c r="E397" s="14"/>
    </row>
    <row r="398" spans="5:5" x14ac:dyDescent="0.3">
      <c r="E398" s="14"/>
    </row>
    <row r="399" spans="5:5" x14ac:dyDescent="0.3">
      <c r="E399" s="14"/>
    </row>
    <row r="400" spans="5:5" x14ac:dyDescent="0.3">
      <c r="E400" s="14"/>
    </row>
    <row r="401" spans="5:5" x14ac:dyDescent="0.3">
      <c r="E401" s="14"/>
    </row>
    <row r="402" spans="5:5" x14ac:dyDescent="0.3">
      <c r="E402" s="14"/>
    </row>
    <row r="403" spans="5:5" x14ac:dyDescent="0.3">
      <c r="E403" s="14"/>
    </row>
    <row r="404" spans="5:5" x14ac:dyDescent="0.3">
      <c r="E404" s="14"/>
    </row>
    <row r="405" spans="5:5" x14ac:dyDescent="0.3">
      <c r="E405" s="14"/>
    </row>
    <row r="406" spans="5:5" x14ac:dyDescent="0.3">
      <c r="E406" s="14"/>
    </row>
    <row r="407" spans="5:5" x14ac:dyDescent="0.3">
      <c r="E407" s="14"/>
    </row>
    <row r="408" spans="5:5" x14ac:dyDescent="0.3">
      <c r="E408" s="14"/>
    </row>
    <row r="409" spans="5:5" x14ac:dyDescent="0.3">
      <c r="E409" s="14"/>
    </row>
    <row r="410" spans="5:5" x14ac:dyDescent="0.3">
      <c r="E410" s="14"/>
    </row>
    <row r="411" spans="5:5" x14ac:dyDescent="0.3">
      <c r="E411" s="14"/>
    </row>
    <row r="412" spans="5:5" x14ac:dyDescent="0.3">
      <c r="E412" s="14"/>
    </row>
    <row r="413" spans="5:5" x14ac:dyDescent="0.3">
      <c r="E413" s="14"/>
    </row>
    <row r="414" spans="5:5" x14ac:dyDescent="0.3">
      <c r="E414" s="14"/>
    </row>
    <row r="415" spans="5:5" x14ac:dyDescent="0.3">
      <c r="E415" s="14"/>
    </row>
    <row r="416" spans="5:5" x14ac:dyDescent="0.3">
      <c r="E416" s="14"/>
    </row>
    <row r="417" spans="5:5" x14ac:dyDescent="0.3">
      <c r="E417" s="14"/>
    </row>
    <row r="418" spans="5:5" x14ac:dyDescent="0.3">
      <c r="E418" s="14"/>
    </row>
    <row r="419" spans="5:5" x14ac:dyDescent="0.3">
      <c r="E419" s="14"/>
    </row>
    <row r="420" spans="5:5" x14ac:dyDescent="0.3">
      <c r="E420" s="14"/>
    </row>
    <row r="421" spans="5:5" x14ac:dyDescent="0.3">
      <c r="E421" s="14"/>
    </row>
    <row r="422" spans="5:5" x14ac:dyDescent="0.3">
      <c r="E422" s="14"/>
    </row>
    <row r="423" spans="5:5" x14ac:dyDescent="0.3">
      <c r="E423" s="14"/>
    </row>
    <row r="424" spans="5:5" x14ac:dyDescent="0.3">
      <c r="E424" s="14"/>
    </row>
    <row r="425" spans="5:5" x14ac:dyDescent="0.3">
      <c r="E425" s="14"/>
    </row>
    <row r="426" spans="5:5" x14ac:dyDescent="0.3">
      <c r="E426" s="14"/>
    </row>
    <row r="427" spans="5:5" x14ac:dyDescent="0.3">
      <c r="E427" s="14"/>
    </row>
    <row r="428" spans="5:5" x14ac:dyDescent="0.3">
      <c r="E428" s="14"/>
    </row>
    <row r="429" spans="5:5" x14ac:dyDescent="0.3">
      <c r="E429" s="14"/>
    </row>
    <row r="430" spans="5:5" x14ac:dyDescent="0.3">
      <c r="E430" s="14"/>
    </row>
    <row r="431" spans="5:5" x14ac:dyDescent="0.3">
      <c r="E431" s="14"/>
    </row>
    <row r="432" spans="5:5" x14ac:dyDescent="0.3">
      <c r="E432" s="14"/>
    </row>
    <row r="433" spans="5:5" x14ac:dyDescent="0.3">
      <c r="E433" s="14"/>
    </row>
    <row r="434" spans="5:5" x14ac:dyDescent="0.3">
      <c r="E434" s="14"/>
    </row>
    <row r="435" spans="5:5" x14ac:dyDescent="0.3">
      <c r="E435" s="14"/>
    </row>
    <row r="436" spans="5:5" x14ac:dyDescent="0.3">
      <c r="E436" s="14"/>
    </row>
    <row r="437" spans="5:5" x14ac:dyDescent="0.3">
      <c r="E437" s="14"/>
    </row>
    <row r="438" spans="5:5" x14ac:dyDescent="0.3">
      <c r="E438" s="14"/>
    </row>
    <row r="439" spans="5:5" x14ac:dyDescent="0.3">
      <c r="E439" s="14"/>
    </row>
    <row r="440" spans="5:5" x14ac:dyDescent="0.3">
      <c r="E440" s="14"/>
    </row>
    <row r="441" spans="5:5" x14ac:dyDescent="0.3">
      <c r="E441" s="14"/>
    </row>
    <row r="442" spans="5:5" x14ac:dyDescent="0.3">
      <c r="E442" s="14"/>
    </row>
    <row r="443" spans="5:5" x14ac:dyDescent="0.3">
      <c r="E443" s="14"/>
    </row>
    <row r="444" spans="5:5" x14ac:dyDescent="0.3">
      <c r="E444" s="14"/>
    </row>
    <row r="445" spans="5:5" x14ac:dyDescent="0.3">
      <c r="E445" s="14"/>
    </row>
    <row r="446" spans="5:5" x14ac:dyDescent="0.3">
      <c r="E446" s="14"/>
    </row>
    <row r="447" spans="5:5" x14ac:dyDescent="0.3">
      <c r="E447" s="14"/>
    </row>
    <row r="448" spans="5:5" x14ac:dyDescent="0.3">
      <c r="E448" s="14"/>
    </row>
    <row r="449" spans="5:5" x14ac:dyDescent="0.3">
      <c r="E449" s="14"/>
    </row>
    <row r="450" spans="5:5" x14ac:dyDescent="0.3">
      <c r="E450" s="14"/>
    </row>
    <row r="451" spans="5:5" x14ac:dyDescent="0.3">
      <c r="E451" s="14"/>
    </row>
    <row r="452" spans="5:5" x14ac:dyDescent="0.3">
      <c r="E452" s="14"/>
    </row>
    <row r="453" spans="5:5" x14ac:dyDescent="0.3">
      <c r="E453" s="14"/>
    </row>
    <row r="454" spans="5:5" x14ac:dyDescent="0.3">
      <c r="E454" s="14"/>
    </row>
    <row r="455" spans="5:5" x14ac:dyDescent="0.3">
      <c r="E455" s="14"/>
    </row>
    <row r="456" spans="5:5" x14ac:dyDescent="0.3">
      <c r="E456" s="14"/>
    </row>
    <row r="457" spans="5:5" x14ac:dyDescent="0.3">
      <c r="E457" s="14"/>
    </row>
    <row r="458" spans="5:5" x14ac:dyDescent="0.3">
      <c r="E458" s="14"/>
    </row>
    <row r="459" spans="5:5" x14ac:dyDescent="0.3">
      <c r="E459" s="14"/>
    </row>
    <row r="460" spans="5:5" x14ac:dyDescent="0.3">
      <c r="E460" s="14"/>
    </row>
    <row r="461" spans="5:5" x14ac:dyDescent="0.3">
      <c r="E461" s="14"/>
    </row>
    <row r="462" spans="5:5" x14ac:dyDescent="0.3">
      <c r="E462" s="14"/>
    </row>
    <row r="463" spans="5:5" x14ac:dyDescent="0.3">
      <c r="E463" s="14"/>
    </row>
    <row r="464" spans="5:5" x14ac:dyDescent="0.3">
      <c r="E464" s="14"/>
    </row>
    <row r="465" spans="5:5" x14ac:dyDescent="0.3">
      <c r="E465" s="14"/>
    </row>
    <row r="466" spans="5:5" x14ac:dyDescent="0.3">
      <c r="E466" s="14"/>
    </row>
    <row r="467" spans="5:5" x14ac:dyDescent="0.3">
      <c r="E467" s="14"/>
    </row>
    <row r="468" spans="5:5" x14ac:dyDescent="0.3">
      <c r="E468" s="14"/>
    </row>
    <row r="469" spans="5:5" x14ac:dyDescent="0.3">
      <c r="E469" s="14"/>
    </row>
    <row r="470" spans="5:5" x14ac:dyDescent="0.3">
      <c r="E470" s="14"/>
    </row>
    <row r="471" spans="5:5" x14ac:dyDescent="0.3">
      <c r="E471" s="14"/>
    </row>
    <row r="472" spans="5:5" x14ac:dyDescent="0.3">
      <c r="E472" s="14"/>
    </row>
    <row r="473" spans="5:5" x14ac:dyDescent="0.3">
      <c r="E473" s="14"/>
    </row>
    <row r="474" spans="5:5" x14ac:dyDescent="0.3">
      <c r="E474" s="14"/>
    </row>
    <row r="475" spans="5:5" x14ac:dyDescent="0.3">
      <c r="E475" s="14"/>
    </row>
    <row r="476" spans="5:5" x14ac:dyDescent="0.3">
      <c r="E476" s="14"/>
    </row>
    <row r="477" spans="5:5" x14ac:dyDescent="0.3">
      <c r="E477" s="14"/>
    </row>
    <row r="478" spans="5:5" x14ac:dyDescent="0.3">
      <c r="E478" s="14"/>
    </row>
    <row r="479" spans="5:5" x14ac:dyDescent="0.3">
      <c r="E479" s="14"/>
    </row>
    <row r="480" spans="5:5" x14ac:dyDescent="0.3">
      <c r="E480" s="14"/>
    </row>
    <row r="481" spans="5:5" x14ac:dyDescent="0.3">
      <c r="E481" s="14"/>
    </row>
    <row r="482" spans="5:5" x14ac:dyDescent="0.3">
      <c r="E482" s="14"/>
    </row>
    <row r="483" spans="5:5" x14ac:dyDescent="0.3">
      <c r="E483" s="14"/>
    </row>
    <row r="484" spans="5:5" x14ac:dyDescent="0.3">
      <c r="E484" s="14"/>
    </row>
    <row r="485" spans="5:5" x14ac:dyDescent="0.3">
      <c r="E485" s="14"/>
    </row>
    <row r="486" spans="5:5" x14ac:dyDescent="0.3">
      <c r="E486" s="14"/>
    </row>
    <row r="487" spans="5:5" x14ac:dyDescent="0.3">
      <c r="E487" s="14"/>
    </row>
    <row r="488" spans="5:5" x14ac:dyDescent="0.3">
      <c r="E488" s="14"/>
    </row>
    <row r="489" spans="5:5" x14ac:dyDescent="0.3">
      <c r="E489" s="14"/>
    </row>
    <row r="490" spans="5:5" x14ac:dyDescent="0.3">
      <c r="E490" s="14"/>
    </row>
    <row r="491" spans="5:5" x14ac:dyDescent="0.3">
      <c r="E491" s="14"/>
    </row>
    <row r="492" spans="5:5" x14ac:dyDescent="0.3">
      <c r="E492" s="14"/>
    </row>
    <row r="493" spans="5:5" x14ac:dyDescent="0.3">
      <c r="E493" s="14"/>
    </row>
    <row r="494" spans="5:5" x14ac:dyDescent="0.3">
      <c r="E494" s="14"/>
    </row>
    <row r="495" spans="5:5" x14ac:dyDescent="0.3">
      <c r="E495" s="14"/>
    </row>
    <row r="496" spans="5:5" x14ac:dyDescent="0.3">
      <c r="E496" s="14"/>
    </row>
    <row r="497" spans="5:5" x14ac:dyDescent="0.3">
      <c r="E497" s="14"/>
    </row>
    <row r="498" spans="5:5" x14ac:dyDescent="0.3">
      <c r="E498" s="14"/>
    </row>
    <row r="499" spans="5:5" x14ac:dyDescent="0.3">
      <c r="E499" s="14"/>
    </row>
    <row r="500" spans="5:5" x14ac:dyDescent="0.3">
      <c r="E500" s="14"/>
    </row>
    <row r="501" spans="5:5" x14ac:dyDescent="0.3">
      <c r="E501" s="14"/>
    </row>
    <row r="502" spans="5:5" x14ac:dyDescent="0.3">
      <c r="E502" s="14"/>
    </row>
    <row r="503" spans="5:5" x14ac:dyDescent="0.3">
      <c r="E503" s="14"/>
    </row>
    <row r="504" spans="5:5" x14ac:dyDescent="0.3">
      <c r="E504" s="14"/>
    </row>
    <row r="505" spans="5:5" x14ac:dyDescent="0.3">
      <c r="E505" s="14"/>
    </row>
    <row r="506" spans="5:5" x14ac:dyDescent="0.3">
      <c r="E506" s="14"/>
    </row>
    <row r="507" spans="5:5" x14ac:dyDescent="0.3">
      <c r="E507" s="14"/>
    </row>
    <row r="508" spans="5:5" x14ac:dyDescent="0.3">
      <c r="E508" s="14"/>
    </row>
    <row r="509" spans="5:5" x14ac:dyDescent="0.3">
      <c r="E509" s="14"/>
    </row>
    <row r="510" spans="5:5" x14ac:dyDescent="0.3">
      <c r="E510" s="14"/>
    </row>
    <row r="511" spans="5:5" x14ac:dyDescent="0.3">
      <c r="E511" s="14"/>
    </row>
    <row r="512" spans="5:5" x14ac:dyDescent="0.3">
      <c r="E512" s="14"/>
    </row>
    <row r="513" spans="5:5" x14ac:dyDescent="0.3">
      <c r="E513" s="14"/>
    </row>
    <row r="514" spans="5:5" x14ac:dyDescent="0.3">
      <c r="E514" s="14"/>
    </row>
    <row r="515" spans="5:5" x14ac:dyDescent="0.3">
      <c r="E515" s="14"/>
    </row>
    <row r="516" spans="5:5" x14ac:dyDescent="0.3">
      <c r="E516" s="14"/>
    </row>
    <row r="517" spans="5:5" x14ac:dyDescent="0.3">
      <c r="E517" s="14"/>
    </row>
    <row r="518" spans="5:5" x14ac:dyDescent="0.3">
      <c r="E518" s="14"/>
    </row>
    <row r="519" spans="5:5" x14ac:dyDescent="0.3">
      <c r="E519" s="14"/>
    </row>
    <row r="520" spans="5:5" x14ac:dyDescent="0.3">
      <c r="E520" s="14"/>
    </row>
    <row r="521" spans="5:5" x14ac:dyDescent="0.3">
      <c r="E521" s="14"/>
    </row>
    <row r="522" spans="5:5" x14ac:dyDescent="0.3">
      <c r="E522" s="14"/>
    </row>
    <row r="523" spans="5:5" x14ac:dyDescent="0.3">
      <c r="E523" s="14"/>
    </row>
    <row r="524" spans="5:5" x14ac:dyDescent="0.3">
      <c r="E524" s="14"/>
    </row>
    <row r="525" spans="5:5" x14ac:dyDescent="0.3">
      <c r="E525" s="14"/>
    </row>
    <row r="526" spans="5:5" x14ac:dyDescent="0.3">
      <c r="E526" s="14"/>
    </row>
    <row r="527" spans="5:5" x14ac:dyDescent="0.3">
      <c r="E527" s="14"/>
    </row>
    <row r="528" spans="5:5" x14ac:dyDescent="0.3">
      <c r="E528" s="14"/>
    </row>
    <row r="529" spans="5:5" x14ac:dyDescent="0.3">
      <c r="E529" s="14"/>
    </row>
    <row r="530" spans="5:5" x14ac:dyDescent="0.3">
      <c r="E530" s="14"/>
    </row>
    <row r="531" spans="5:5" x14ac:dyDescent="0.3">
      <c r="E531" s="14"/>
    </row>
    <row r="532" spans="5:5" x14ac:dyDescent="0.3">
      <c r="E532" s="14"/>
    </row>
    <row r="533" spans="5:5" x14ac:dyDescent="0.3">
      <c r="E533" s="14"/>
    </row>
    <row r="534" spans="5:5" x14ac:dyDescent="0.3">
      <c r="E534" s="14"/>
    </row>
    <row r="535" spans="5:5" x14ac:dyDescent="0.3">
      <c r="E535" s="14"/>
    </row>
    <row r="536" spans="5:5" x14ac:dyDescent="0.3">
      <c r="E536" s="14"/>
    </row>
    <row r="537" spans="5:5" x14ac:dyDescent="0.3">
      <c r="E537" s="14"/>
    </row>
    <row r="538" spans="5:5" x14ac:dyDescent="0.3">
      <c r="E538" s="14"/>
    </row>
    <row r="539" spans="5:5" x14ac:dyDescent="0.3">
      <c r="E539" s="14"/>
    </row>
    <row r="540" spans="5:5" x14ac:dyDescent="0.3">
      <c r="E540" s="14"/>
    </row>
    <row r="541" spans="5:5" x14ac:dyDescent="0.3">
      <c r="E541" s="14"/>
    </row>
    <row r="542" spans="5:5" x14ac:dyDescent="0.3">
      <c r="E542" s="14"/>
    </row>
    <row r="543" spans="5:5" x14ac:dyDescent="0.3">
      <c r="E543" s="14"/>
    </row>
    <row r="544" spans="5:5" x14ac:dyDescent="0.3">
      <c r="E544" s="14"/>
    </row>
    <row r="545" spans="5:5" x14ac:dyDescent="0.3">
      <c r="E545" s="14"/>
    </row>
    <row r="546" spans="5:5" x14ac:dyDescent="0.3">
      <c r="E546" s="14"/>
    </row>
    <row r="547" spans="5:5" x14ac:dyDescent="0.3">
      <c r="E547" s="14"/>
    </row>
    <row r="548" spans="5:5" x14ac:dyDescent="0.3">
      <c r="E548" s="14"/>
    </row>
    <row r="549" spans="5:5" x14ac:dyDescent="0.3">
      <c r="E549" s="14"/>
    </row>
    <row r="550" spans="5:5" x14ac:dyDescent="0.3">
      <c r="E550" s="14"/>
    </row>
    <row r="551" spans="5:5" x14ac:dyDescent="0.3">
      <c r="E551" s="14"/>
    </row>
    <row r="552" spans="5:5" x14ac:dyDescent="0.3">
      <c r="E552" s="14"/>
    </row>
    <row r="553" spans="5:5" x14ac:dyDescent="0.3">
      <c r="E553" s="14"/>
    </row>
    <row r="554" spans="5:5" x14ac:dyDescent="0.3">
      <c r="E554" s="14"/>
    </row>
    <row r="555" spans="5:5" x14ac:dyDescent="0.3">
      <c r="E555" s="14"/>
    </row>
    <row r="556" spans="5:5" x14ac:dyDescent="0.3">
      <c r="E556" s="14"/>
    </row>
    <row r="557" spans="5:5" x14ac:dyDescent="0.3">
      <c r="E557" s="14"/>
    </row>
    <row r="558" spans="5:5" x14ac:dyDescent="0.3">
      <c r="E558" s="14"/>
    </row>
    <row r="559" spans="5:5" x14ac:dyDescent="0.3">
      <c r="E559" s="14"/>
    </row>
    <row r="560" spans="5:5" x14ac:dyDescent="0.3">
      <c r="E560" s="14"/>
    </row>
    <row r="561" spans="5:5" x14ac:dyDescent="0.3">
      <c r="E561" s="14"/>
    </row>
    <row r="562" spans="5:5" x14ac:dyDescent="0.3">
      <c r="E562" s="14"/>
    </row>
    <row r="563" spans="5:5" x14ac:dyDescent="0.3">
      <c r="E563" s="14"/>
    </row>
    <row r="564" spans="5:5" x14ac:dyDescent="0.3">
      <c r="E564" s="14"/>
    </row>
    <row r="565" spans="5:5" x14ac:dyDescent="0.3">
      <c r="E565" s="14"/>
    </row>
    <row r="566" spans="5:5" x14ac:dyDescent="0.3">
      <c r="E566" s="14"/>
    </row>
    <row r="567" spans="5:5" x14ac:dyDescent="0.3">
      <c r="E567" s="14"/>
    </row>
    <row r="568" spans="5:5" x14ac:dyDescent="0.3">
      <c r="E568" s="14"/>
    </row>
    <row r="569" spans="5:5" x14ac:dyDescent="0.3">
      <c r="E569" s="14"/>
    </row>
    <row r="570" spans="5:5" x14ac:dyDescent="0.3">
      <c r="E570" s="14"/>
    </row>
    <row r="571" spans="5:5" x14ac:dyDescent="0.3">
      <c r="E571" s="14"/>
    </row>
    <row r="572" spans="5:5" x14ac:dyDescent="0.3">
      <c r="E572" s="14"/>
    </row>
    <row r="573" spans="5:5" x14ac:dyDescent="0.3">
      <c r="E573" s="14"/>
    </row>
    <row r="574" spans="5:5" x14ac:dyDescent="0.3">
      <c r="E574" s="14"/>
    </row>
    <row r="575" spans="5:5" x14ac:dyDescent="0.3">
      <c r="E575" s="14"/>
    </row>
    <row r="576" spans="5:5" x14ac:dyDescent="0.3">
      <c r="E576" s="14"/>
    </row>
    <row r="577" spans="5:5" x14ac:dyDescent="0.3">
      <c r="E577" s="14"/>
    </row>
    <row r="578" spans="5:5" x14ac:dyDescent="0.3">
      <c r="E578" s="14"/>
    </row>
    <row r="579" spans="5:5" x14ac:dyDescent="0.3">
      <c r="E579" s="14"/>
    </row>
    <row r="580" spans="5:5" x14ac:dyDescent="0.3">
      <c r="E580" s="14"/>
    </row>
    <row r="581" spans="5:5" x14ac:dyDescent="0.3">
      <c r="E581" s="14"/>
    </row>
    <row r="582" spans="5:5" x14ac:dyDescent="0.3">
      <c r="E582" s="14"/>
    </row>
    <row r="583" spans="5:5" x14ac:dyDescent="0.3">
      <c r="E583" s="14"/>
    </row>
    <row r="584" spans="5:5" x14ac:dyDescent="0.3">
      <c r="E584" s="14"/>
    </row>
    <row r="585" spans="5:5" x14ac:dyDescent="0.3">
      <c r="E585" s="14"/>
    </row>
    <row r="586" spans="5:5" x14ac:dyDescent="0.3">
      <c r="E586" s="14"/>
    </row>
    <row r="587" spans="5:5" x14ac:dyDescent="0.3">
      <c r="E587" s="14"/>
    </row>
    <row r="588" spans="5:5" x14ac:dyDescent="0.3">
      <c r="E588" s="14"/>
    </row>
    <row r="589" spans="5:5" x14ac:dyDescent="0.3">
      <c r="E589" s="14"/>
    </row>
    <row r="590" spans="5:5" x14ac:dyDescent="0.3">
      <c r="E590" s="14"/>
    </row>
    <row r="591" spans="5:5" x14ac:dyDescent="0.3">
      <c r="E591" s="14"/>
    </row>
    <row r="592" spans="5:5" x14ac:dyDescent="0.3">
      <c r="E592" s="14"/>
    </row>
    <row r="593" spans="5:5" x14ac:dyDescent="0.3">
      <c r="E593" s="14"/>
    </row>
    <row r="594" spans="5:5" x14ac:dyDescent="0.3">
      <c r="E594" s="14"/>
    </row>
    <row r="595" spans="5:5" x14ac:dyDescent="0.3">
      <c r="E595" s="14"/>
    </row>
    <row r="596" spans="5:5" x14ac:dyDescent="0.3">
      <c r="E596" s="14"/>
    </row>
    <row r="597" spans="5:5" x14ac:dyDescent="0.3">
      <c r="E597" s="14"/>
    </row>
    <row r="598" spans="5:5" x14ac:dyDescent="0.3">
      <c r="E598" s="14"/>
    </row>
    <row r="599" spans="5:5" x14ac:dyDescent="0.3">
      <c r="E599" s="14"/>
    </row>
    <row r="600" spans="5:5" x14ac:dyDescent="0.3">
      <c r="E600" s="14"/>
    </row>
    <row r="601" spans="5:5" x14ac:dyDescent="0.3">
      <c r="E601" s="14"/>
    </row>
    <row r="602" spans="5:5" x14ac:dyDescent="0.3">
      <c r="E602" s="14"/>
    </row>
    <row r="603" spans="5:5" x14ac:dyDescent="0.3">
      <c r="E603" s="14"/>
    </row>
    <row r="604" spans="5:5" x14ac:dyDescent="0.3">
      <c r="E604" s="14"/>
    </row>
    <row r="605" spans="5:5" x14ac:dyDescent="0.3">
      <c r="E605" s="14"/>
    </row>
    <row r="606" spans="5:5" x14ac:dyDescent="0.3">
      <c r="E606" s="14"/>
    </row>
    <row r="607" spans="5:5" x14ac:dyDescent="0.3">
      <c r="E607" s="14"/>
    </row>
    <row r="608" spans="5:5" x14ac:dyDescent="0.3">
      <c r="E608" s="14"/>
    </row>
    <row r="609" spans="5:5" x14ac:dyDescent="0.3">
      <c r="E609" s="14"/>
    </row>
    <row r="610" spans="5:5" x14ac:dyDescent="0.3">
      <c r="E610" s="14"/>
    </row>
    <row r="611" spans="5:5" x14ac:dyDescent="0.3">
      <c r="E611" s="14"/>
    </row>
    <row r="612" spans="5:5" x14ac:dyDescent="0.3">
      <c r="E612" s="14"/>
    </row>
    <row r="613" spans="5:5" x14ac:dyDescent="0.3">
      <c r="E613" s="14"/>
    </row>
    <row r="614" spans="5:5" x14ac:dyDescent="0.3">
      <c r="E614" s="14"/>
    </row>
    <row r="615" spans="5:5" x14ac:dyDescent="0.3">
      <c r="E615" s="14"/>
    </row>
    <row r="616" spans="5:5" x14ac:dyDescent="0.3">
      <c r="E616" s="14"/>
    </row>
    <row r="617" spans="5:5" x14ac:dyDescent="0.3">
      <c r="E617" s="14"/>
    </row>
    <row r="618" spans="5:5" x14ac:dyDescent="0.3">
      <c r="E618" s="14"/>
    </row>
    <row r="619" spans="5:5" x14ac:dyDescent="0.3">
      <c r="E619" s="14"/>
    </row>
    <row r="620" spans="5:5" x14ac:dyDescent="0.3">
      <c r="E620" s="14"/>
    </row>
    <row r="621" spans="5:5" x14ac:dyDescent="0.3">
      <c r="E621" s="14"/>
    </row>
    <row r="622" spans="5:5" x14ac:dyDescent="0.3">
      <c r="E622" s="14"/>
    </row>
    <row r="623" spans="5:5" x14ac:dyDescent="0.3">
      <c r="E623" s="14"/>
    </row>
    <row r="624" spans="5:5" x14ac:dyDescent="0.3">
      <c r="E624" s="14"/>
    </row>
    <row r="625" spans="5:5" x14ac:dyDescent="0.3">
      <c r="E625" s="14"/>
    </row>
    <row r="626" spans="5:5" x14ac:dyDescent="0.3">
      <c r="E626" s="14"/>
    </row>
    <row r="627" spans="5:5" x14ac:dyDescent="0.3">
      <c r="E627" s="14"/>
    </row>
    <row r="628" spans="5:5" x14ac:dyDescent="0.3">
      <c r="E628" s="14"/>
    </row>
    <row r="629" spans="5:5" x14ac:dyDescent="0.3">
      <c r="E629" s="14"/>
    </row>
    <row r="630" spans="5:5" x14ac:dyDescent="0.3">
      <c r="E630" s="14"/>
    </row>
    <row r="631" spans="5:5" x14ac:dyDescent="0.3">
      <c r="E631" s="14"/>
    </row>
    <row r="632" spans="5:5" x14ac:dyDescent="0.3">
      <c r="E632" s="14"/>
    </row>
    <row r="633" spans="5:5" x14ac:dyDescent="0.3">
      <c r="E633" s="14"/>
    </row>
    <row r="634" spans="5:5" x14ac:dyDescent="0.3">
      <c r="E634" s="14"/>
    </row>
    <row r="635" spans="5:5" x14ac:dyDescent="0.3">
      <c r="E635" s="14"/>
    </row>
    <row r="636" spans="5:5" x14ac:dyDescent="0.3">
      <c r="E636" s="14"/>
    </row>
    <row r="637" spans="5:5" x14ac:dyDescent="0.3">
      <c r="E637" s="14"/>
    </row>
    <row r="638" spans="5:5" x14ac:dyDescent="0.3">
      <c r="E638" s="14"/>
    </row>
    <row r="639" spans="5:5" x14ac:dyDescent="0.3">
      <c r="E639" s="14"/>
    </row>
    <row r="640" spans="5:5" x14ac:dyDescent="0.3">
      <c r="E640" s="14"/>
    </row>
    <row r="641" spans="5:5" x14ac:dyDescent="0.3">
      <c r="E641" s="14"/>
    </row>
    <row r="642" spans="5:5" x14ac:dyDescent="0.3">
      <c r="E642" s="14"/>
    </row>
    <row r="643" spans="5:5" x14ac:dyDescent="0.3">
      <c r="E643" s="14"/>
    </row>
    <row r="644" spans="5:5" x14ac:dyDescent="0.3">
      <c r="E644" s="14"/>
    </row>
    <row r="645" spans="5:5" x14ac:dyDescent="0.3">
      <c r="E645" s="14"/>
    </row>
    <row r="646" spans="5:5" x14ac:dyDescent="0.3">
      <c r="E646" s="14"/>
    </row>
    <row r="647" spans="5:5" x14ac:dyDescent="0.3">
      <c r="E647" s="14"/>
    </row>
    <row r="648" spans="5:5" x14ac:dyDescent="0.3">
      <c r="E648" s="14"/>
    </row>
    <row r="649" spans="5:5" x14ac:dyDescent="0.3">
      <c r="E649" s="14"/>
    </row>
    <row r="650" spans="5:5" x14ac:dyDescent="0.3">
      <c r="E650" s="14"/>
    </row>
    <row r="651" spans="5:5" x14ac:dyDescent="0.3">
      <c r="E651" s="14"/>
    </row>
    <row r="652" spans="5:5" x14ac:dyDescent="0.3">
      <c r="E652" s="14"/>
    </row>
    <row r="653" spans="5:5" x14ac:dyDescent="0.3">
      <c r="E653" s="14"/>
    </row>
    <row r="654" spans="5:5" x14ac:dyDescent="0.3">
      <c r="E654" s="14"/>
    </row>
    <row r="655" spans="5:5" x14ac:dyDescent="0.3">
      <c r="E655" s="14"/>
    </row>
    <row r="656" spans="5:5" x14ac:dyDescent="0.3">
      <c r="E656" s="14"/>
    </row>
    <row r="657" spans="5:5" x14ac:dyDescent="0.3">
      <c r="E657" s="14"/>
    </row>
    <row r="658" spans="5:5" x14ac:dyDescent="0.3">
      <c r="E658" s="14"/>
    </row>
    <row r="659" spans="5:5" x14ac:dyDescent="0.3">
      <c r="E659" s="14"/>
    </row>
    <row r="660" spans="5:5" x14ac:dyDescent="0.3">
      <c r="E660" s="14"/>
    </row>
    <row r="661" spans="5:5" x14ac:dyDescent="0.3">
      <c r="E661" s="14"/>
    </row>
    <row r="662" spans="5:5" x14ac:dyDescent="0.3">
      <c r="E662" s="14"/>
    </row>
    <row r="663" spans="5:5" x14ac:dyDescent="0.3">
      <c r="E663" s="14"/>
    </row>
    <row r="664" spans="5:5" x14ac:dyDescent="0.3">
      <c r="E664" s="14"/>
    </row>
    <row r="665" spans="5:5" x14ac:dyDescent="0.3">
      <c r="E665" s="14"/>
    </row>
    <row r="666" spans="5:5" x14ac:dyDescent="0.3">
      <c r="E666" s="14"/>
    </row>
    <row r="667" spans="5:5" x14ac:dyDescent="0.3">
      <c r="E667" s="14"/>
    </row>
    <row r="668" spans="5:5" x14ac:dyDescent="0.3">
      <c r="E668" s="14"/>
    </row>
    <row r="669" spans="5:5" x14ac:dyDescent="0.3">
      <c r="E669" s="14"/>
    </row>
    <row r="670" spans="5:5" x14ac:dyDescent="0.3">
      <c r="E670" s="14"/>
    </row>
    <row r="671" spans="5:5" x14ac:dyDescent="0.3">
      <c r="E671" s="14"/>
    </row>
    <row r="672" spans="5:5" x14ac:dyDescent="0.3">
      <c r="E672" s="14"/>
    </row>
    <row r="673" spans="5:5" x14ac:dyDescent="0.3">
      <c r="E673" s="14"/>
    </row>
    <row r="674" spans="5:5" x14ac:dyDescent="0.3">
      <c r="E674" s="14"/>
    </row>
    <row r="675" spans="5:5" x14ac:dyDescent="0.3">
      <c r="E675" s="14"/>
    </row>
    <row r="676" spans="5:5" x14ac:dyDescent="0.3">
      <c r="E676" s="14"/>
    </row>
    <row r="677" spans="5:5" x14ac:dyDescent="0.3">
      <c r="E677" s="14"/>
    </row>
    <row r="678" spans="5:5" x14ac:dyDescent="0.3">
      <c r="E678" s="14"/>
    </row>
    <row r="679" spans="5:5" x14ac:dyDescent="0.3">
      <c r="E679" s="14"/>
    </row>
    <row r="680" spans="5:5" x14ac:dyDescent="0.3">
      <c r="E680" s="14"/>
    </row>
    <row r="681" spans="5:5" x14ac:dyDescent="0.3">
      <c r="E681" s="14"/>
    </row>
    <row r="682" spans="5:5" x14ac:dyDescent="0.3">
      <c r="E682" s="14"/>
    </row>
    <row r="683" spans="5:5" x14ac:dyDescent="0.3">
      <c r="E683" s="14"/>
    </row>
    <row r="684" spans="5:5" x14ac:dyDescent="0.3">
      <c r="E684" s="14"/>
    </row>
    <row r="685" spans="5:5" x14ac:dyDescent="0.3">
      <c r="E685" s="14"/>
    </row>
    <row r="686" spans="5:5" x14ac:dyDescent="0.3">
      <c r="E686" s="14"/>
    </row>
    <row r="687" spans="5:5" x14ac:dyDescent="0.3">
      <c r="E687" s="14"/>
    </row>
    <row r="688" spans="5:5" x14ac:dyDescent="0.3">
      <c r="E688" s="14"/>
    </row>
    <row r="689" spans="5:5" x14ac:dyDescent="0.3">
      <c r="E689" s="14"/>
    </row>
    <row r="690" spans="5:5" x14ac:dyDescent="0.3">
      <c r="E690" s="14"/>
    </row>
    <row r="691" spans="5:5" x14ac:dyDescent="0.3">
      <c r="E691" s="14"/>
    </row>
    <row r="692" spans="5:5" x14ac:dyDescent="0.3">
      <c r="E692" s="14"/>
    </row>
    <row r="693" spans="5:5" x14ac:dyDescent="0.3">
      <c r="E693" s="14"/>
    </row>
    <row r="694" spans="5:5" x14ac:dyDescent="0.3">
      <c r="E694" s="14"/>
    </row>
    <row r="695" spans="5:5" x14ac:dyDescent="0.3">
      <c r="E695" s="14"/>
    </row>
    <row r="696" spans="5:5" x14ac:dyDescent="0.3">
      <c r="E696" s="14"/>
    </row>
    <row r="697" spans="5:5" x14ac:dyDescent="0.3">
      <c r="E697" s="14"/>
    </row>
    <row r="698" spans="5:5" x14ac:dyDescent="0.3">
      <c r="E698" s="14"/>
    </row>
    <row r="699" spans="5:5" x14ac:dyDescent="0.3">
      <c r="E699" s="14"/>
    </row>
    <row r="700" spans="5:5" x14ac:dyDescent="0.3">
      <c r="E700" s="14"/>
    </row>
    <row r="701" spans="5:5" x14ac:dyDescent="0.3">
      <c r="E701" s="14"/>
    </row>
    <row r="702" spans="5:5" x14ac:dyDescent="0.3">
      <c r="E702" s="14"/>
    </row>
    <row r="703" spans="5:5" x14ac:dyDescent="0.3">
      <c r="E703" s="14"/>
    </row>
    <row r="704" spans="5:5" x14ac:dyDescent="0.3">
      <c r="E704" s="14"/>
    </row>
    <row r="705" spans="5:5" x14ac:dyDescent="0.3">
      <c r="E705" s="14"/>
    </row>
    <row r="706" spans="5:5" x14ac:dyDescent="0.3">
      <c r="E706" s="14"/>
    </row>
    <row r="707" spans="5:5" x14ac:dyDescent="0.3">
      <c r="E707" s="14"/>
    </row>
    <row r="708" spans="5:5" x14ac:dyDescent="0.3">
      <c r="E708" s="14"/>
    </row>
    <row r="709" spans="5:5" x14ac:dyDescent="0.3">
      <c r="E709" s="14"/>
    </row>
    <row r="710" spans="5:5" x14ac:dyDescent="0.3">
      <c r="E710" s="14"/>
    </row>
    <row r="711" spans="5:5" x14ac:dyDescent="0.3">
      <c r="E711" s="14"/>
    </row>
    <row r="712" spans="5:5" x14ac:dyDescent="0.3">
      <c r="E712" s="14"/>
    </row>
    <row r="713" spans="5:5" x14ac:dyDescent="0.3">
      <c r="E713" s="14"/>
    </row>
    <row r="714" spans="5:5" x14ac:dyDescent="0.3">
      <c r="E714" s="14"/>
    </row>
    <row r="715" spans="5:5" x14ac:dyDescent="0.3">
      <c r="E715" s="14"/>
    </row>
    <row r="716" spans="5:5" x14ac:dyDescent="0.3">
      <c r="E716" s="14"/>
    </row>
    <row r="717" spans="5:5" x14ac:dyDescent="0.3">
      <c r="E717" s="14"/>
    </row>
    <row r="718" spans="5:5" x14ac:dyDescent="0.3">
      <c r="E718" s="14"/>
    </row>
    <row r="719" spans="5:5" x14ac:dyDescent="0.3">
      <c r="E719" s="14"/>
    </row>
    <row r="720" spans="5:5" x14ac:dyDescent="0.3">
      <c r="E720" s="14"/>
    </row>
    <row r="721" spans="5:5" x14ac:dyDescent="0.3">
      <c r="E721" s="14"/>
    </row>
    <row r="722" spans="5:5" x14ac:dyDescent="0.3">
      <c r="E722" s="14"/>
    </row>
    <row r="723" spans="5:5" x14ac:dyDescent="0.3">
      <c r="E723" s="14"/>
    </row>
    <row r="724" spans="5:5" x14ac:dyDescent="0.3">
      <c r="E724" s="14"/>
    </row>
    <row r="725" spans="5:5" x14ac:dyDescent="0.3">
      <c r="E725" s="14"/>
    </row>
    <row r="726" spans="5:5" x14ac:dyDescent="0.3">
      <c r="E726" s="14"/>
    </row>
    <row r="727" spans="5:5" x14ac:dyDescent="0.3">
      <c r="E727" s="14"/>
    </row>
    <row r="728" spans="5:5" x14ac:dyDescent="0.3">
      <c r="E728" s="14"/>
    </row>
    <row r="729" spans="5:5" x14ac:dyDescent="0.3">
      <c r="E729" s="14"/>
    </row>
    <row r="730" spans="5:5" x14ac:dyDescent="0.3">
      <c r="E730" s="14"/>
    </row>
    <row r="731" spans="5:5" x14ac:dyDescent="0.3">
      <c r="E731" s="14"/>
    </row>
    <row r="732" spans="5:5" x14ac:dyDescent="0.3">
      <c r="E732" s="14"/>
    </row>
    <row r="733" spans="5:5" x14ac:dyDescent="0.3">
      <c r="E733" s="14"/>
    </row>
    <row r="734" spans="5:5" x14ac:dyDescent="0.3">
      <c r="E734" s="14"/>
    </row>
    <row r="735" spans="5:5" x14ac:dyDescent="0.3">
      <c r="E735" s="14"/>
    </row>
    <row r="736" spans="5:5" x14ac:dyDescent="0.3">
      <c r="E736" s="14"/>
    </row>
    <row r="737" spans="5:5" x14ac:dyDescent="0.3">
      <c r="E737" s="14"/>
    </row>
    <row r="738" spans="5:5" x14ac:dyDescent="0.3">
      <c r="E738" s="14"/>
    </row>
    <row r="739" spans="5:5" x14ac:dyDescent="0.3">
      <c r="E739" s="14"/>
    </row>
    <row r="740" spans="5:5" x14ac:dyDescent="0.3">
      <c r="E740" s="14"/>
    </row>
    <row r="741" spans="5:5" x14ac:dyDescent="0.3">
      <c r="E741" s="14"/>
    </row>
    <row r="742" spans="5:5" x14ac:dyDescent="0.3">
      <c r="E742" s="14"/>
    </row>
    <row r="743" spans="5:5" x14ac:dyDescent="0.3">
      <c r="E743" s="14"/>
    </row>
    <row r="744" spans="5:5" x14ac:dyDescent="0.3">
      <c r="E744" s="14"/>
    </row>
    <row r="745" spans="5:5" x14ac:dyDescent="0.3">
      <c r="E745" s="14"/>
    </row>
    <row r="746" spans="5:5" x14ac:dyDescent="0.3">
      <c r="E746" s="14"/>
    </row>
    <row r="747" spans="5:5" x14ac:dyDescent="0.3">
      <c r="E747" s="14"/>
    </row>
    <row r="748" spans="5:5" x14ac:dyDescent="0.3">
      <c r="E748" s="14"/>
    </row>
    <row r="749" spans="5:5" x14ac:dyDescent="0.3">
      <c r="E749" s="14"/>
    </row>
    <row r="750" spans="5:5" x14ac:dyDescent="0.3">
      <c r="E750" s="14"/>
    </row>
    <row r="751" spans="5:5" x14ac:dyDescent="0.3">
      <c r="E751" s="14"/>
    </row>
    <row r="752" spans="5:5" x14ac:dyDescent="0.3">
      <c r="E752" s="14"/>
    </row>
    <row r="753" spans="5:5" x14ac:dyDescent="0.3">
      <c r="E753" s="14"/>
    </row>
    <row r="754" spans="5:5" x14ac:dyDescent="0.3">
      <c r="E754" s="14"/>
    </row>
    <row r="755" spans="5:5" x14ac:dyDescent="0.3">
      <c r="E755" s="14"/>
    </row>
    <row r="756" spans="5:5" x14ac:dyDescent="0.3">
      <c r="E756" s="14"/>
    </row>
    <row r="757" spans="5:5" x14ac:dyDescent="0.3">
      <c r="E757" s="14"/>
    </row>
    <row r="758" spans="5:5" x14ac:dyDescent="0.3">
      <c r="E758" s="14"/>
    </row>
    <row r="759" spans="5:5" x14ac:dyDescent="0.3">
      <c r="E759" s="14"/>
    </row>
    <row r="760" spans="5:5" x14ac:dyDescent="0.3">
      <c r="E760" s="14"/>
    </row>
    <row r="761" spans="5:5" x14ac:dyDescent="0.3">
      <c r="E761" s="14"/>
    </row>
    <row r="762" spans="5:5" x14ac:dyDescent="0.3">
      <c r="E762" s="14"/>
    </row>
    <row r="763" spans="5:5" x14ac:dyDescent="0.3">
      <c r="E763" s="14"/>
    </row>
    <row r="764" spans="5:5" x14ac:dyDescent="0.3">
      <c r="E764" s="14"/>
    </row>
    <row r="765" spans="5:5" x14ac:dyDescent="0.3">
      <c r="E765" s="14"/>
    </row>
    <row r="766" spans="5:5" x14ac:dyDescent="0.3">
      <c r="E766" s="14"/>
    </row>
    <row r="767" spans="5:5" x14ac:dyDescent="0.3">
      <c r="E767" s="14"/>
    </row>
    <row r="768" spans="5:5" x14ac:dyDescent="0.3">
      <c r="E768" s="14"/>
    </row>
    <row r="769" spans="5:5" x14ac:dyDescent="0.3">
      <c r="E769" s="14"/>
    </row>
    <row r="770" spans="5:5" x14ac:dyDescent="0.3">
      <c r="E770" s="14"/>
    </row>
    <row r="771" spans="5:5" x14ac:dyDescent="0.3">
      <c r="E771" s="14"/>
    </row>
    <row r="772" spans="5:5" x14ac:dyDescent="0.3">
      <c r="E772" s="14"/>
    </row>
    <row r="773" spans="5:5" x14ac:dyDescent="0.3">
      <c r="E773" s="14"/>
    </row>
    <row r="774" spans="5:5" x14ac:dyDescent="0.3">
      <c r="E774" s="14"/>
    </row>
    <row r="775" spans="5:5" x14ac:dyDescent="0.3">
      <c r="E775" s="14"/>
    </row>
    <row r="776" spans="5:5" x14ac:dyDescent="0.3">
      <c r="E776" s="14"/>
    </row>
    <row r="777" spans="5:5" x14ac:dyDescent="0.3">
      <c r="E777" s="14"/>
    </row>
    <row r="778" spans="5:5" x14ac:dyDescent="0.3">
      <c r="E778" s="14"/>
    </row>
    <row r="779" spans="5:5" x14ac:dyDescent="0.3">
      <c r="E779" s="14"/>
    </row>
    <row r="780" spans="5:5" x14ac:dyDescent="0.3">
      <c r="E780" s="14"/>
    </row>
    <row r="781" spans="5:5" x14ac:dyDescent="0.3">
      <c r="E781" s="14"/>
    </row>
    <row r="782" spans="5:5" x14ac:dyDescent="0.3">
      <c r="E782" s="14"/>
    </row>
    <row r="783" spans="5:5" x14ac:dyDescent="0.3">
      <c r="E783" s="14"/>
    </row>
    <row r="784" spans="5:5" x14ac:dyDescent="0.3">
      <c r="E784" s="14"/>
    </row>
    <row r="785" spans="5:5" x14ac:dyDescent="0.3">
      <c r="E785" s="14"/>
    </row>
    <row r="786" spans="5:5" x14ac:dyDescent="0.3">
      <c r="E786" s="14"/>
    </row>
    <row r="787" spans="5:5" x14ac:dyDescent="0.3">
      <c r="E787" s="14"/>
    </row>
    <row r="788" spans="5:5" x14ac:dyDescent="0.3">
      <c r="E788" s="14"/>
    </row>
    <row r="789" spans="5:5" x14ac:dyDescent="0.3">
      <c r="E789" s="14"/>
    </row>
    <row r="790" spans="5:5" x14ac:dyDescent="0.3">
      <c r="E790" s="14"/>
    </row>
    <row r="791" spans="5:5" x14ac:dyDescent="0.3">
      <c r="E791" s="14"/>
    </row>
    <row r="792" spans="5:5" x14ac:dyDescent="0.3">
      <c r="E792" s="14"/>
    </row>
    <row r="793" spans="5:5" x14ac:dyDescent="0.3">
      <c r="E793" s="14"/>
    </row>
    <row r="794" spans="5:5" x14ac:dyDescent="0.3">
      <c r="E794" s="14"/>
    </row>
    <row r="795" spans="5:5" x14ac:dyDescent="0.3">
      <c r="E795" s="14"/>
    </row>
    <row r="796" spans="5:5" x14ac:dyDescent="0.3">
      <c r="E796" s="14"/>
    </row>
    <row r="797" spans="5:5" x14ac:dyDescent="0.3">
      <c r="E797" s="14"/>
    </row>
    <row r="798" spans="5:5" x14ac:dyDescent="0.3">
      <c r="E798" s="14"/>
    </row>
    <row r="799" spans="5:5" x14ac:dyDescent="0.3">
      <c r="E799" s="14"/>
    </row>
    <row r="800" spans="5:5" x14ac:dyDescent="0.3">
      <c r="E800" s="14"/>
    </row>
    <row r="801" spans="5:5" x14ac:dyDescent="0.3">
      <c r="E801" s="14"/>
    </row>
    <row r="802" spans="5:5" x14ac:dyDescent="0.3">
      <c r="E802" s="14"/>
    </row>
    <row r="803" spans="5:5" x14ac:dyDescent="0.3">
      <c r="E803" s="14"/>
    </row>
    <row r="804" spans="5:5" x14ac:dyDescent="0.3">
      <c r="E804" s="14"/>
    </row>
    <row r="805" spans="5:5" x14ac:dyDescent="0.3">
      <c r="E805" s="14"/>
    </row>
    <row r="806" spans="5:5" x14ac:dyDescent="0.3">
      <c r="E806" s="14"/>
    </row>
    <row r="807" spans="5:5" x14ac:dyDescent="0.3">
      <c r="E807" s="14"/>
    </row>
    <row r="808" spans="5:5" x14ac:dyDescent="0.3">
      <c r="E808" s="14"/>
    </row>
    <row r="809" spans="5:5" x14ac:dyDescent="0.3">
      <c r="E809" s="14"/>
    </row>
    <row r="810" spans="5:5" x14ac:dyDescent="0.3">
      <c r="E810" s="14"/>
    </row>
    <row r="811" spans="5:5" x14ac:dyDescent="0.3">
      <c r="E811" s="14"/>
    </row>
    <row r="812" spans="5:5" x14ac:dyDescent="0.3">
      <c r="E812" s="14"/>
    </row>
    <row r="813" spans="5:5" x14ac:dyDescent="0.3">
      <c r="E813" s="14"/>
    </row>
    <row r="814" spans="5:5" x14ac:dyDescent="0.3">
      <c r="E814" s="14"/>
    </row>
    <row r="815" spans="5:5" x14ac:dyDescent="0.3">
      <c r="E815" s="14"/>
    </row>
    <row r="816" spans="5:5" x14ac:dyDescent="0.3">
      <c r="E816" s="14"/>
    </row>
    <row r="817" spans="5:5" x14ac:dyDescent="0.3">
      <c r="E817" s="14"/>
    </row>
    <row r="818" spans="5:5" x14ac:dyDescent="0.3">
      <c r="E818" s="14"/>
    </row>
    <row r="819" spans="5:5" x14ac:dyDescent="0.3">
      <c r="E819" s="14"/>
    </row>
    <row r="820" spans="5:5" x14ac:dyDescent="0.3">
      <c r="E820" s="14"/>
    </row>
    <row r="821" spans="5:5" x14ac:dyDescent="0.3">
      <c r="E821" s="14"/>
    </row>
    <row r="822" spans="5:5" x14ac:dyDescent="0.3">
      <c r="E822" s="14"/>
    </row>
    <row r="823" spans="5:5" x14ac:dyDescent="0.3">
      <c r="E823" s="14"/>
    </row>
    <row r="824" spans="5:5" x14ac:dyDescent="0.3">
      <c r="E824" s="14"/>
    </row>
    <row r="825" spans="5:5" x14ac:dyDescent="0.3">
      <c r="E825" s="14"/>
    </row>
    <row r="826" spans="5:5" x14ac:dyDescent="0.3">
      <c r="E826" s="14"/>
    </row>
    <row r="827" spans="5:5" x14ac:dyDescent="0.3">
      <c r="E827" s="14"/>
    </row>
    <row r="828" spans="5:5" x14ac:dyDescent="0.3">
      <c r="E828" s="14"/>
    </row>
    <row r="829" spans="5:5" x14ac:dyDescent="0.3">
      <c r="E829" s="14"/>
    </row>
    <row r="830" spans="5:5" x14ac:dyDescent="0.3">
      <c r="E830" s="14"/>
    </row>
    <row r="831" spans="5:5" x14ac:dyDescent="0.3">
      <c r="E831" s="14"/>
    </row>
    <row r="832" spans="5:5" x14ac:dyDescent="0.3">
      <c r="E832" s="14"/>
    </row>
    <row r="833" spans="5:5" x14ac:dyDescent="0.3">
      <c r="E833" s="14"/>
    </row>
    <row r="834" spans="5:5" x14ac:dyDescent="0.3">
      <c r="E834" s="14"/>
    </row>
    <row r="835" spans="5:5" x14ac:dyDescent="0.3">
      <c r="E835" s="14"/>
    </row>
    <row r="836" spans="5:5" x14ac:dyDescent="0.3">
      <c r="E836" s="14"/>
    </row>
    <row r="837" spans="5:5" x14ac:dyDescent="0.3">
      <c r="E837" s="14"/>
    </row>
    <row r="838" spans="5:5" x14ac:dyDescent="0.3">
      <c r="E838" s="14"/>
    </row>
    <row r="839" spans="5:5" x14ac:dyDescent="0.3">
      <c r="E839" s="14"/>
    </row>
    <row r="840" spans="5:5" x14ac:dyDescent="0.3">
      <c r="E840" s="14"/>
    </row>
    <row r="841" spans="5:5" x14ac:dyDescent="0.3">
      <c r="E841" s="14"/>
    </row>
    <row r="842" spans="5:5" x14ac:dyDescent="0.3">
      <c r="E842" s="14"/>
    </row>
    <row r="843" spans="5:5" x14ac:dyDescent="0.3">
      <c r="E843" s="14"/>
    </row>
    <row r="844" spans="5:5" x14ac:dyDescent="0.3">
      <c r="E844" s="14"/>
    </row>
    <row r="845" spans="5:5" x14ac:dyDescent="0.3">
      <c r="E845" s="14"/>
    </row>
    <row r="846" spans="5:5" x14ac:dyDescent="0.3">
      <c r="E846" s="14"/>
    </row>
    <row r="847" spans="5:5" x14ac:dyDescent="0.3">
      <c r="E847" s="14"/>
    </row>
    <row r="848" spans="5:5" x14ac:dyDescent="0.3">
      <c r="E848" s="14"/>
    </row>
    <row r="849" spans="5:5" x14ac:dyDescent="0.3">
      <c r="E849" s="14"/>
    </row>
    <row r="850" spans="5:5" x14ac:dyDescent="0.3">
      <c r="E850" s="14"/>
    </row>
    <row r="851" spans="5:5" x14ac:dyDescent="0.3">
      <c r="E851" s="14"/>
    </row>
    <row r="852" spans="5:5" x14ac:dyDescent="0.3">
      <c r="E852" s="14"/>
    </row>
    <row r="853" spans="5:5" x14ac:dyDescent="0.3">
      <c r="E853" s="14"/>
    </row>
    <row r="854" spans="5:5" x14ac:dyDescent="0.3">
      <c r="E854" s="14"/>
    </row>
    <row r="855" spans="5:5" x14ac:dyDescent="0.3">
      <c r="E855" s="14"/>
    </row>
    <row r="856" spans="5:5" x14ac:dyDescent="0.3">
      <c r="E856" s="14"/>
    </row>
    <row r="857" spans="5:5" x14ac:dyDescent="0.3">
      <c r="E857" s="14"/>
    </row>
    <row r="858" spans="5:5" x14ac:dyDescent="0.3">
      <c r="E858" s="14"/>
    </row>
    <row r="859" spans="5:5" x14ac:dyDescent="0.3">
      <c r="E859" s="14"/>
    </row>
    <row r="860" spans="5:5" x14ac:dyDescent="0.3">
      <c r="E860" s="14"/>
    </row>
    <row r="861" spans="5:5" x14ac:dyDescent="0.3">
      <c r="E861" s="14"/>
    </row>
    <row r="862" spans="5:5" x14ac:dyDescent="0.3">
      <c r="E862" s="14"/>
    </row>
    <row r="863" spans="5:5" x14ac:dyDescent="0.3">
      <c r="E863" s="14"/>
    </row>
    <row r="864" spans="5:5" x14ac:dyDescent="0.3">
      <c r="E864" s="14"/>
    </row>
    <row r="865" spans="5:5" x14ac:dyDescent="0.3">
      <c r="E865" s="14"/>
    </row>
    <row r="866" spans="5:5" x14ac:dyDescent="0.3">
      <c r="E866" s="14"/>
    </row>
    <row r="867" spans="5:5" x14ac:dyDescent="0.3">
      <c r="E867" s="14"/>
    </row>
    <row r="868" spans="5:5" x14ac:dyDescent="0.3">
      <c r="E868" s="14"/>
    </row>
    <row r="869" spans="5:5" x14ac:dyDescent="0.3">
      <c r="E869" s="14"/>
    </row>
    <row r="870" spans="5:5" x14ac:dyDescent="0.3">
      <c r="E870" s="14"/>
    </row>
    <row r="871" spans="5:5" x14ac:dyDescent="0.3">
      <c r="E871" s="14"/>
    </row>
    <row r="872" spans="5:5" x14ac:dyDescent="0.3">
      <c r="E872" s="14"/>
    </row>
    <row r="873" spans="5:5" x14ac:dyDescent="0.3">
      <c r="E873" s="14"/>
    </row>
    <row r="874" spans="5:5" x14ac:dyDescent="0.3">
      <c r="E874" s="14"/>
    </row>
    <row r="875" spans="5:5" x14ac:dyDescent="0.3">
      <c r="E875" s="14"/>
    </row>
    <row r="876" spans="5:5" x14ac:dyDescent="0.3">
      <c r="E876" s="14"/>
    </row>
    <row r="877" spans="5:5" x14ac:dyDescent="0.3">
      <c r="E877" s="14"/>
    </row>
    <row r="878" spans="5:5" x14ac:dyDescent="0.3">
      <c r="E878" s="14"/>
    </row>
    <row r="879" spans="5:5" x14ac:dyDescent="0.3">
      <c r="E879" s="14"/>
    </row>
    <row r="880" spans="5:5" x14ac:dyDescent="0.3">
      <c r="E880" s="14"/>
    </row>
    <row r="881" spans="5:5" x14ac:dyDescent="0.3">
      <c r="E881" s="14"/>
    </row>
    <row r="882" spans="5:5" x14ac:dyDescent="0.3">
      <c r="E882" s="14"/>
    </row>
    <row r="883" spans="5:5" x14ac:dyDescent="0.3">
      <c r="E883" s="14"/>
    </row>
    <row r="884" spans="5:5" x14ac:dyDescent="0.3">
      <c r="E884" s="14"/>
    </row>
    <row r="885" spans="5:5" x14ac:dyDescent="0.3">
      <c r="E885" s="14"/>
    </row>
    <row r="886" spans="5:5" x14ac:dyDescent="0.3">
      <c r="E886" s="14"/>
    </row>
    <row r="887" spans="5:5" x14ac:dyDescent="0.3">
      <c r="E887" s="14"/>
    </row>
    <row r="888" spans="5:5" x14ac:dyDescent="0.3">
      <c r="E888" s="14"/>
    </row>
    <row r="889" spans="5:5" x14ac:dyDescent="0.3">
      <c r="E889" s="14"/>
    </row>
    <row r="890" spans="5:5" x14ac:dyDescent="0.3">
      <c r="E890" s="14"/>
    </row>
    <row r="891" spans="5:5" x14ac:dyDescent="0.3">
      <c r="E891" s="14"/>
    </row>
    <row r="892" spans="5:5" x14ac:dyDescent="0.3">
      <c r="E892" s="14"/>
    </row>
    <row r="893" spans="5:5" x14ac:dyDescent="0.3">
      <c r="E893" s="14"/>
    </row>
    <row r="894" spans="5:5" x14ac:dyDescent="0.3">
      <c r="E894" s="14"/>
    </row>
    <row r="895" spans="5:5" x14ac:dyDescent="0.3">
      <c r="E895" s="14"/>
    </row>
    <row r="896" spans="5:5" x14ac:dyDescent="0.3">
      <c r="E896" s="14"/>
    </row>
    <row r="897" spans="5:5" x14ac:dyDescent="0.3">
      <c r="E897" s="14"/>
    </row>
    <row r="898" spans="5:5" x14ac:dyDescent="0.3">
      <c r="E898" s="14"/>
    </row>
    <row r="899" spans="5:5" x14ac:dyDescent="0.3">
      <c r="E899" s="14"/>
    </row>
    <row r="900" spans="5:5" x14ac:dyDescent="0.3">
      <c r="E900" s="14"/>
    </row>
    <row r="901" spans="5:5" x14ac:dyDescent="0.3">
      <c r="E901" s="14"/>
    </row>
    <row r="902" spans="5:5" x14ac:dyDescent="0.3">
      <c r="E902" s="14"/>
    </row>
    <row r="903" spans="5:5" x14ac:dyDescent="0.3">
      <c r="E903" s="14"/>
    </row>
    <row r="904" spans="5:5" x14ac:dyDescent="0.3">
      <c r="E904" s="14"/>
    </row>
    <row r="905" spans="5:5" x14ac:dyDescent="0.3">
      <c r="E905" s="14"/>
    </row>
    <row r="906" spans="5:5" x14ac:dyDescent="0.3">
      <c r="E906" s="14"/>
    </row>
    <row r="907" spans="5:5" x14ac:dyDescent="0.3">
      <c r="E907" s="14"/>
    </row>
    <row r="908" spans="5:5" x14ac:dyDescent="0.3">
      <c r="E908" s="14"/>
    </row>
    <row r="909" spans="5:5" x14ac:dyDescent="0.3">
      <c r="E909" s="14"/>
    </row>
    <row r="910" spans="5:5" x14ac:dyDescent="0.3">
      <c r="E910" s="14"/>
    </row>
    <row r="911" spans="5:5" x14ac:dyDescent="0.3">
      <c r="E911" s="14"/>
    </row>
    <row r="912" spans="5:5" x14ac:dyDescent="0.3">
      <c r="E912" s="14"/>
    </row>
    <row r="913" spans="5:5" x14ac:dyDescent="0.3">
      <c r="E913" s="14"/>
    </row>
    <row r="914" spans="5:5" x14ac:dyDescent="0.3">
      <c r="E914" s="14"/>
    </row>
  </sheetData>
  <hyperlinks>
    <hyperlink ref="J5" r:id="rId1" xr:uid="{37A1BE2B-07F2-4CD1-A6C3-CFED7CB5419D}"/>
    <hyperlink ref="J10" r:id="rId2" xr:uid="{50254532-108F-4D9E-AD41-CC7A092E7302}"/>
    <hyperlink ref="J14" r:id="rId3" xr:uid="{46D87052-54A9-439E-8409-FB040953D7DE}"/>
  </hyperlinks>
  <pageMargins left="0.7" right="0.7" top="0.75" bottom="0.75" header="0.3" footer="0.3"/>
  <pageSetup paperSize="9" scale="58"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F4C49-9825-4D74-B607-381EF8FB233E}">
  <dimension ref="A1:F21"/>
  <sheetViews>
    <sheetView showGridLines="0" workbookViewId="0">
      <selection activeCell="Q18" sqref="Q18"/>
    </sheetView>
  </sheetViews>
  <sheetFormatPr defaultRowHeight="14.4" x14ac:dyDescent="0.3"/>
  <cols>
    <col min="1" max="1" width="11.5546875" customWidth="1"/>
    <col min="2" max="2" width="11.44140625" style="5" customWidth="1"/>
    <col min="3" max="3" width="10.44140625" style="5" customWidth="1"/>
    <col min="4" max="6" width="8.5546875" style="5"/>
  </cols>
  <sheetData>
    <row r="1" spans="1:6" x14ac:dyDescent="0.3">
      <c r="A1" s="7" t="s">
        <v>0</v>
      </c>
    </row>
    <row r="2" spans="1:6" x14ac:dyDescent="0.3">
      <c r="A2" s="7" t="s">
        <v>59</v>
      </c>
    </row>
    <row r="3" spans="1:6" x14ac:dyDescent="0.3">
      <c r="A3" s="7"/>
    </row>
    <row r="4" spans="1:6" x14ac:dyDescent="0.3">
      <c r="A4" s="3" t="s">
        <v>60</v>
      </c>
      <c r="B4" s="3" t="s">
        <v>43</v>
      </c>
      <c r="C4" s="3" t="s">
        <v>46</v>
      </c>
      <c r="D4" s="3" t="s">
        <v>61</v>
      </c>
      <c r="E4" s="3" t="s">
        <v>62</v>
      </c>
      <c r="F4" s="3" t="s">
        <v>63</v>
      </c>
    </row>
    <row r="5" spans="1:6" x14ac:dyDescent="0.3">
      <c r="A5" s="1" t="s">
        <v>64</v>
      </c>
      <c r="B5" s="2"/>
      <c r="C5" s="2"/>
      <c r="D5" s="2">
        <f>ROUNDUP((C6*0%+C7*40%+C8*120%+C9*200%),0)</f>
        <v>42</v>
      </c>
      <c r="E5" s="2"/>
      <c r="F5" s="2">
        <f>SUM(B5:E5)</f>
        <v>42</v>
      </c>
    </row>
    <row r="6" spans="1:6" x14ac:dyDescent="0.3">
      <c r="A6" s="1" t="s">
        <v>65</v>
      </c>
      <c r="B6" s="2">
        <v>100</v>
      </c>
      <c r="C6" s="2">
        <f>ROUNDUP(B6*5%,0)</f>
        <v>5</v>
      </c>
      <c r="D6" s="6"/>
      <c r="E6" s="2"/>
      <c r="F6" s="2">
        <f t="shared" ref="F6:F15" si="0">SUM(B6:E6)</f>
        <v>105</v>
      </c>
    </row>
    <row r="7" spans="1:6" x14ac:dyDescent="0.3">
      <c r="A7" s="1" t="s">
        <v>66</v>
      </c>
      <c r="B7" s="2">
        <v>75</v>
      </c>
      <c r="C7" s="2">
        <f>ROUNDUP(B7*30%,0)</f>
        <v>23</v>
      </c>
      <c r="D7" s="44"/>
      <c r="E7" s="2"/>
      <c r="F7" s="2">
        <f t="shared" si="0"/>
        <v>98</v>
      </c>
    </row>
    <row r="8" spans="1:6" x14ac:dyDescent="0.3">
      <c r="A8" s="2" t="s">
        <v>67</v>
      </c>
      <c r="B8" s="2">
        <v>20</v>
      </c>
      <c r="C8" s="2">
        <f>ROUNDUP(B8*95%,0)</f>
        <v>19</v>
      </c>
      <c r="D8" s="45"/>
      <c r="E8" s="2"/>
      <c r="F8" s="2">
        <f t="shared" si="0"/>
        <v>39</v>
      </c>
    </row>
    <row r="9" spans="1:6" x14ac:dyDescent="0.3">
      <c r="A9" s="2" t="s">
        <v>68</v>
      </c>
      <c r="B9" s="2">
        <v>5</v>
      </c>
      <c r="C9" s="2">
        <f>ROUNDUP(B9*100%,0)</f>
        <v>5</v>
      </c>
      <c r="D9" s="45"/>
      <c r="E9" s="2"/>
      <c r="F9" s="2">
        <f t="shared" si="0"/>
        <v>10</v>
      </c>
    </row>
    <row r="10" spans="1:6" x14ac:dyDescent="0.3">
      <c r="A10" s="2" t="s">
        <v>69</v>
      </c>
      <c r="B10" s="2"/>
      <c r="C10" s="2"/>
      <c r="D10" s="45"/>
      <c r="E10" s="2">
        <f>ROUND(B6*1.8,0)</f>
        <v>180</v>
      </c>
      <c r="F10" s="2">
        <f t="shared" si="0"/>
        <v>180</v>
      </c>
    </row>
    <row r="11" spans="1:6" x14ac:dyDescent="0.3">
      <c r="A11" s="2" t="s">
        <v>70</v>
      </c>
      <c r="B11" s="2"/>
      <c r="C11" s="2"/>
      <c r="D11" s="45"/>
      <c r="E11" s="2">
        <f>ROUND(B7*1.7*50%,0)</f>
        <v>64</v>
      </c>
      <c r="F11" s="2">
        <f t="shared" si="0"/>
        <v>64</v>
      </c>
    </row>
    <row r="12" spans="1:6" x14ac:dyDescent="0.3">
      <c r="A12" s="2" t="s">
        <v>71</v>
      </c>
      <c r="B12" s="2"/>
      <c r="C12" s="2"/>
      <c r="D12" s="45"/>
      <c r="E12" s="2">
        <f>ROUND(B7*1.6*50%,0)</f>
        <v>60</v>
      </c>
      <c r="F12" s="2">
        <f t="shared" si="0"/>
        <v>60</v>
      </c>
    </row>
    <row r="13" spans="1:6" x14ac:dyDescent="0.3">
      <c r="A13" s="2" t="s">
        <v>72</v>
      </c>
      <c r="B13" s="2"/>
      <c r="C13" s="2"/>
      <c r="D13" s="45"/>
      <c r="E13" s="2">
        <f>ROUND(B8*1.5*50%,0)</f>
        <v>15</v>
      </c>
      <c r="F13" s="2">
        <f t="shared" si="0"/>
        <v>15</v>
      </c>
    </row>
    <row r="14" spans="1:6" x14ac:dyDescent="0.3">
      <c r="A14" s="2" t="s">
        <v>73</v>
      </c>
      <c r="B14" s="2"/>
      <c r="C14" s="2"/>
      <c r="D14" s="45"/>
      <c r="E14" s="2">
        <f>ROUND(B8*1.3*50%,0)</f>
        <v>13</v>
      </c>
      <c r="F14" s="2">
        <f t="shared" si="0"/>
        <v>13</v>
      </c>
    </row>
    <row r="15" spans="1:6" x14ac:dyDescent="0.3">
      <c r="A15" s="2" t="s">
        <v>74</v>
      </c>
      <c r="B15" s="2"/>
      <c r="C15" s="2"/>
      <c r="D15" s="46"/>
      <c r="E15" s="2">
        <f>ROUND(B9*0.8,0)</f>
        <v>4</v>
      </c>
      <c r="F15" s="2">
        <f t="shared" si="0"/>
        <v>4</v>
      </c>
    </row>
    <row r="16" spans="1:6" s="7" customFormat="1" x14ac:dyDescent="0.3">
      <c r="A16" s="4" t="s">
        <v>63</v>
      </c>
      <c r="B16" s="4">
        <f>SUM(B5:B15)</f>
        <v>200</v>
      </c>
      <c r="C16" s="4">
        <f>SUM(C5:C15)</f>
        <v>52</v>
      </c>
      <c r="D16" s="4">
        <f>SUM(D5:D15)</f>
        <v>42</v>
      </c>
      <c r="E16" s="4">
        <f>SUM(E5:E15)</f>
        <v>336</v>
      </c>
      <c r="F16" s="4">
        <f>SUM(B16:E16)</f>
        <v>630</v>
      </c>
    </row>
    <row r="18" spans="1:6" x14ac:dyDescent="0.3">
      <c r="A18" s="10" t="s">
        <v>51</v>
      </c>
      <c r="C18" s="8"/>
      <c r="D18" s="8"/>
      <c r="E18" s="8"/>
      <c r="F18" s="8"/>
    </row>
    <row r="19" spans="1:6" x14ac:dyDescent="0.3">
      <c r="A19" s="8" t="s">
        <v>75</v>
      </c>
      <c r="B19" s="9"/>
      <c r="C19" s="8"/>
      <c r="D19" s="8"/>
      <c r="E19" s="8"/>
      <c r="F19" s="8"/>
    </row>
    <row r="20" spans="1:6" x14ac:dyDescent="0.3">
      <c r="A20" s="8" t="s">
        <v>76</v>
      </c>
      <c r="B20" s="8"/>
      <c r="C20" s="8"/>
      <c r="D20" s="8"/>
      <c r="E20" s="8"/>
      <c r="F20" s="8"/>
    </row>
    <row r="21" spans="1:6" x14ac:dyDescent="0.3">
      <c r="A21" s="8" t="s">
        <v>77</v>
      </c>
    </row>
  </sheetData>
  <mergeCells count="1">
    <mergeCell ref="D7:D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4FD14-AF35-4C99-A1FB-660845887225}">
  <sheetPr>
    <tabColor rgb="FF13293D"/>
  </sheetPr>
  <dimension ref="A1"/>
  <sheetViews>
    <sheetView showGridLines="0" workbookViewId="0">
      <selection activeCell="L33" sqref="L33"/>
    </sheetView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B1D36-2864-477C-8FC7-4596AFBAE620}">
  <dimension ref="A1:L14"/>
  <sheetViews>
    <sheetView showGridLines="0" workbookViewId="0">
      <pane xSplit="5" ySplit="4" topLeftCell="F5" activePane="bottomRight" state="frozen"/>
      <selection pane="topRight" sqref="A1:XFD1048576"/>
      <selection pane="bottomLeft" sqref="A1:XFD1048576"/>
      <selection pane="bottomRight" activeCell="B3" sqref="B3"/>
    </sheetView>
  </sheetViews>
  <sheetFormatPr defaultColWidth="9" defaultRowHeight="14.4" x14ac:dyDescent="0.3"/>
  <cols>
    <col min="1" max="1" width="5.33203125" style="13" bestFit="1" customWidth="1"/>
    <col min="2" max="2" width="11.33203125" style="13" bestFit="1" customWidth="1"/>
    <col min="3" max="4" width="20.33203125" style="11" customWidth="1"/>
    <col min="5" max="5" width="23.88671875" style="13" customWidth="1"/>
    <col min="6" max="6" width="13.44140625" style="11" customWidth="1"/>
    <col min="7" max="7" width="17.5546875" style="13" customWidth="1"/>
    <col min="8" max="8" width="15.33203125" style="13" bestFit="1" customWidth="1"/>
    <col min="9" max="9" width="18.33203125" style="13" customWidth="1"/>
    <col min="10" max="10" width="14" style="11" bestFit="1" customWidth="1"/>
    <col min="11" max="11" width="22.109375" style="13" customWidth="1"/>
    <col min="12" max="12" width="12" style="13" customWidth="1"/>
    <col min="13" max="13" width="15.33203125" style="11" customWidth="1"/>
    <col min="14" max="14" width="17" style="11" customWidth="1"/>
    <col min="15" max="16" width="9" style="11"/>
    <col min="17" max="17" width="22.33203125" style="11" customWidth="1"/>
    <col min="18" max="16384" width="9" style="11"/>
  </cols>
  <sheetData>
    <row r="1" spans="1:11" x14ac:dyDescent="0.3">
      <c r="A1" s="7" t="s">
        <v>137</v>
      </c>
    </row>
    <row r="2" spans="1:11" x14ac:dyDescent="0.3">
      <c r="A2" s="7" t="s">
        <v>28</v>
      </c>
    </row>
    <row r="4" spans="1:11" ht="34.799999999999997" x14ac:dyDescent="0.3">
      <c r="A4" s="48" t="s">
        <v>29</v>
      </c>
      <c r="B4" s="48" t="s">
        <v>30</v>
      </c>
      <c r="C4" s="49" t="s">
        <v>31</v>
      </c>
      <c r="D4" s="51" t="s">
        <v>32</v>
      </c>
      <c r="E4" s="48" t="s">
        <v>33</v>
      </c>
      <c r="F4" s="48" t="s">
        <v>34</v>
      </c>
      <c r="G4" s="50" t="s">
        <v>78</v>
      </c>
      <c r="H4" s="49" t="s">
        <v>79</v>
      </c>
      <c r="I4" s="49" t="s">
        <v>80</v>
      </c>
      <c r="J4" s="51" t="s">
        <v>37</v>
      </c>
      <c r="K4" s="48" t="s">
        <v>38</v>
      </c>
    </row>
    <row r="5" spans="1:11" x14ac:dyDescent="0.3">
      <c r="A5" s="16">
        <v>1</v>
      </c>
      <c r="B5" s="56" t="s">
        <v>39</v>
      </c>
      <c r="C5" s="16" t="s">
        <v>40</v>
      </c>
      <c r="D5" s="22" t="s">
        <v>41</v>
      </c>
      <c r="E5" s="17">
        <v>27395</v>
      </c>
      <c r="F5" s="16" t="s">
        <v>42</v>
      </c>
      <c r="G5" s="16" t="s">
        <v>81</v>
      </c>
      <c r="H5" s="15"/>
      <c r="I5" s="15">
        <v>1000000</v>
      </c>
      <c r="J5" s="56">
        <v>9800000000</v>
      </c>
      <c r="K5" s="57" t="s">
        <v>44</v>
      </c>
    </row>
    <row r="6" spans="1:11" x14ac:dyDescent="0.3">
      <c r="A6" s="16">
        <v>2</v>
      </c>
      <c r="B6" s="56" t="s">
        <v>49</v>
      </c>
      <c r="C6" s="16" t="s">
        <v>40</v>
      </c>
      <c r="D6" s="22" t="s">
        <v>41</v>
      </c>
      <c r="E6" s="17">
        <v>27395</v>
      </c>
      <c r="F6" s="16" t="s">
        <v>42</v>
      </c>
      <c r="G6" s="15" t="s">
        <v>82</v>
      </c>
      <c r="H6" s="15"/>
      <c r="I6" s="15">
        <v>1000000</v>
      </c>
      <c r="J6" s="56">
        <v>9800000000</v>
      </c>
      <c r="K6" s="57" t="s">
        <v>44</v>
      </c>
    </row>
    <row r="7" spans="1:11" x14ac:dyDescent="0.3">
      <c r="A7" s="16">
        <v>3</v>
      </c>
      <c r="B7" s="56" t="s">
        <v>50</v>
      </c>
      <c r="C7" s="16" t="s">
        <v>40</v>
      </c>
      <c r="D7" s="22" t="s">
        <v>41</v>
      </c>
      <c r="E7" s="17">
        <v>27395</v>
      </c>
      <c r="F7" s="16" t="s">
        <v>45</v>
      </c>
      <c r="G7" s="15" t="s">
        <v>82</v>
      </c>
      <c r="H7" s="15"/>
      <c r="I7" s="15">
        <v>1000000</v>
      </c>
      <c r="J7" s="56">
        <v>9800000000</v>
      </c>
      <c r="K7" s="57" t="s">
        <v>44</v>
      </c>
    </row>
    <row r="8" spans="1:11" x14ac:dyDescent="0.3">
      <c r="A8" s="16">
        <v>4</v>
      </c>
      <c r="B8" s="56" t="s">
        <v>49</v>
      </c>
      <c r="C8" s="16" t="s">
        <v>40</v>
      </c>
      <c r="D8" s="22" t="s">
        <v>41</v>
      </c>
      <c r="E8" s="17">
        <v>27395</v>
      </c>
      <c r="F8" s="16" t="s">
        <v>42</v>
      </c>
      <c r="G8" s="15" t="s">
        <v>82</v>
      </c>
      <c r="H8" s="15"/>
      <c r="I8" s="15">
        <v>1000000</v>
      </c>
      <c r="J8" s="56">
        <v>9800000000</v>
      </c>
      <c r="K8" s="57" t="s">
        <v>44</v>
      </c>
    </row>
    <row r="9" spans="1:11" x14ac:dyDescent="0.3">
      <c r="A9" s="16">
        <v>5</v>
      </c>
      <c r="B9" s="56" t="s">
        <v>50</v>
      </c>
      <c r="C9" s="16" t="s">
        <v>40</v>
      </c>
      <c r="D9" s="22" t="s">
        <v>41</v>
      </c>
      <c r="E9" s="17">
        <v>27395</v>
      </c>
      <c r="F9" s="16" t="s">
        <v>45</v>
      </c>
      <c r="G9" s="15" t="s">
        <v>82</v>
      </c>
      <c r="H9" s="15"/>
      <c r="I9" s="15">
        <v>1000000</v>
      </c>
      <c r="J9" s="56">
        <v>9800000000</v>
      </c>
      <c r="K9" s="57" t="s">
        <v>44</v>
      </c>
    </row>
    <row r="11" spans="1:11" x14ac:dyDescent="0.3">
      <c r="A11" s="10" t="s">
        <v>51</v>
      </c>
    </row>
    <row r="12" spans="1:11" x14ac:dyDescent="0.3">
      <c r="A12" s="8" t="s">
        <v>83</v>
      </c>
    </row>
    <row r="13" spans="1:11" x14ac:dyDescent="0.3">
      <c r="A13" s="19" t="s">
        <v>84</v>
      </c>
    </row>
    <row r="14" spans="1:11" x14ac:dyDescent="0.3">
      <c r="A14" s="19" t="s">
        <v>85</v>
      </c>
    </row>
  </sheetData>
  <hyperlinks>
    <hyperlink ref="K5" r:id="rId1" xr:uid="{4C7B54DF-7E27-4D4D-9F10-A1E1DF8492B9}"/>
    <hyperlink ref="K6" r:id="rId2" xr:uid="{C504EA39-E1BC-4A26-AD1A-68784D0BE747}"/>
    <hyperlink ref="K7" r:id="rId3" xr:uid="{9F0E8870-F7A2-4D67-BF09-E09628EA7A49}"/>
    <hyperlink ref="K8" r:id="rId4" xr:uid="{8270BEE9-75B9-4590-8AAB-74A2E83A1A3D}"/>
    <hyperlink ref="K9" r:id="rId5" xr:uid="{273F21A9-5628-4945-8957-7A018B24101E}"/>
  </hyperlinks>
  <pageMargins left="0.7" right="0.7" top="0.75" bottom="0.75" header="0.3" footer="0.3"/>
  <pageSetup paperSize="9" orientation="portrait"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B0CD-5542-4EFA-A2DD-C58C50A397DB}">
  <dimension ref="A1:J17"/>
  <sheetViews>
    <sheetView showGridLines="0" workbookViewId="0">
      <selection activeCell="A3" sqref="A3"/>
    </sheetView>
  </sheetViews>
  <sheetFormatPr defaultRowHeight="14.4" x14ac:dyDescent="0.3"/>
  <cols>
    <col min="1" max="1" width="9.6640625" bestFit="1" customWidth="1"/>
    <col min="2" max="2" width="13.33203125" style="5" customWidth="1"/>
    <col min="3" max="3" width="17.5546875" style="5" customWidth="1"/>
    <col min="4" max="4" width="11.5546875" style="5" bestFit="1" customWidth="1"/>
    <col min="5" max="5" width="21.33203125" bestFit="1" customWidth="1"/>
    <col min="6" max="6" width="25.33203125" bestFit="1" customWidth="1"/>
    <col min="7" max="7" width="22.6640625" customWidth="1"/>
    <col min="8" max="8" width="11.5546875" bestFit="1" customWidth="1"/>
    <col min="9" max="9" width="11.6640625" bestFit="1" customWidth="1"/>
    <col min="10" max="10" width="11.33203125" bestFit="1" customWidth="1"/>
  </cols>
  <sheetData>
    <row r="1" spans="1:10" x14ac:dyDescent="0.3">
      <c r="A1" s="7" t="s">
        <v>138</v>
      </c>
    </row>
    <row r="2" spans="1:10" x14ac:dyDescent="0.3">
      <c r="A2" s="7" t="s">
        <v>86</v>
      </c>
    </row>
    <row r="3" spans="1:10" x14ac:dyDescent="0.3">
      <c r="A3" s="7"/>
    </row>
    <row r="4" spans="1:10" x14ac:dyDescent="0.3">
      <c r="A4" s="48" t="s">
        <v>87</v>
      </c>
      <c r="B4" s="48" t="s">
        <v>88</v>
      </c>
      <c r="C4" s="48" t="s">
        <v>89</v>
      </c>
      <c r="D4" s="48" t="s">
        <v>33</v>
      </c>
      <c r="E4" s="48" t="s">
        <v>90</v>
      </c>
      <c r="F4" s="48" t="s">
        <v>91</v>
      </c>
      <c r="G4" s="48" t="s">
        <v>92</v>
      </c>
      <c r="H4" s="48" t="s">
        <v>93</v>
      </c>
      <c r="I4" s="48" t="s">
        <v>94</v>
      </c>
      <c r="J4" s="48" t="s">
        <v>95</v>
      </c>
    </row>
    <row r="5" spans="1:10" x14ac:dyDescent="0.3">
      <c r="A5" s="24"/>
      <c r="B5" s="2"/>
      <c r="C5" s="2"/>
      <c r="D5" s="2"/>
      <c r="E5" s="24"/>
      <c r="F5" s="24"/>
      <c r="G5" s="24"/>
      <c r="H5" s="24"/>
      <c r="I5" s="24"/>
      <c r="J5" s="24"/>
    </row>
    <row r="6" spans="1:10" x14ac:dyDescent="0.3">
      <c r="A6" s="24"/>
      <c r="B6" s="2"/>
      <c r="C6" s="2"/>
      <c r="D6" s="2"/>
      <c r="E6" s="24"/>
      <c r="F6" s="24"/>
      <c r="G6" s="24"/>
      <c r="H6" s="24"/>
      <c r="I6" s="24"/>
      <c r="J6" s="24"/>
    </row>
    <row r="7" spans="1:10" x14ac:dyDescent="0.3">
      <c r="A7" s="24"/>
      <c r="B7" s="2"/>
      <c r="C7" s="2"/>
      <c r="D7" s="2"/>
      <c r="E7" s="24"/>
      <c r="F7" s="24"/>
      <c r="G7" s="24"/>
      <c r="H7" s="24"/>
      <c r="I7" s="24"/>
      <c r="J7" s="24"/>
    </row>
    <row r="8" spans="1:10" x14ac:dyDescent="0.3">
      <c r="A8" s="24"/>
      <c r="B8" s="2"/>
      <c r="C8" s="2"/>
      <c r="D8" s="2"/>
      <c r="E8" s="24"/>
      <c r="F8" s="24"/>
      <c r="G8" s="24"/>
      <c r="H8" s="24"/>
      <c r="I8" s="24"/>
      <c r="J8" s="24"/>
    </row>
    <row r="9" spans="1:10" x14ac:dyDescent="0.3">
      <c r="A9" s="24"/>
      <c r="B9" s="2"/>
      <c r="C9" s="2"/>
      <c r="D9" s="2"/>
      <c r="E9" s="24"/>
      <c r="F9" s="24"/>
      <c r="G9" s="24"/>
      <c r="H9" s="24"/>
      <c r="I9" s="24"/>
      <c r="J9" s="24"/>
    </row>
    <row r="10" spans="1:10" x14ac:dyDescent="0.3">
      <c r="A10" s="24"/>
      <c r="B10" s="2"/>
      <c r="C10" s="2"/>
      <c r="D10" s="2"/>
      <c r="E10" s="24"/>
      <c r="F10" s="24"/>
      <c r="G10" s="24"/>
      <c r="H10" s="24"/>
      <c r="I10" s="24"/>
      <c r="J10" s="24"/>
    </row>
    <row r="11" spans="1:10" x14ac:dyDescent="0.3">
      <c r="A11" s="24"/>
      <c r="B11" s="2"/>
      <c r="C11" s="2"/>
      <c r="D11" s="2"/>
      <c r="E11" s="24"/>
      <c r="F11" s="24"/>
      <c r="G11" s="24"/>
      <c r="H11" s="24"/>
      <c r="I11" s="24"/>
      <c r="J11" s="24"/>
    </row>
    <row r="12" spans="1:10" x14ac:dyDescent="0.3">
      <c r="A12" s="24"/>
      <c r="B12" s="2"/>
      <c r="C12" s="2"/>
      <c r="D12" s="2"/>
      <c r="E12" s="24"/>
      <c r="F12" s="24"/>
      <c r="G12" s="24"/>
      <c r="H12" s="24"/>
      <c r="I12" s="24"/>
      <c r="J12" s="24"/>
    </row>
    <row r="13" spans="1:10" x14ac:dyDescent="0.3">
      <c r="A13" s="24"/>
      <c r="B13" s="2"/>
      <c r="C13" s="2"/>
      <c r="D13" s="2"/>
      <c r="E13" s="24"/>
      <c r="F13" s="24"/>
      <c r="G13" s="24"/>
      <c r="H13" s="24"/>
      <c r="I13" s="24"/>
      <c r="J13" s="24"/>
    </row>
    <row r="14" spans="1:10" x14ac:dyDescent="0.3">
      <c r="A14" s="24"/>
      <c r="B14" s="2"/>
      <c r="C14" s="2"/>
      <c r="D14" s="2"/>
      <c r="E14" s="24"/>
      <c r="F14" s="24"/>
      <c r="G14" s="24"/>
      <c r="H14" s="24"/>
      <c r="I14" s="24"/>
      <c r="J14" s="24"/>
    </row>
    <row r="16" spans="1:10" x14ac:dyDescent="0.3">
      <c r="A16" s="7" t="s">
        <v>96</v>
      </c>
    </row>
    <row r="17" spans="1:1" x14ac:dyDescent="0.3">
      <c r="A17" t="s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F07A7-075D-4304-8F6E-38BDD4F4500F}">
  <dimension ref="A1:H17"/>
  <sheetViews>
    <sheetView showGridLines="0" workbookViewId="0">
      <selection activeCell="C5" sqref="C5"/>
    </sheetView>
  </sheetViews>
  <sheetFormatPr defaultRowHeight="14.4" x14ac:dyDescent="0.3"/>
  <cols>
    <col min="1" max="1" width="17" customWidth="1"/>
    <col min="2" max="2" width="16.33203125" bestFit="1" customWidth="1"/>
    <col min="3" max="3" width="17" customWidth="1"/>
    <col min="4" max="4" width="16.6640625" style="5" customWidth="1"/>
    <col min="8" max="8" width="8.6640625" style="5"/>
  </cols>
  <sheetData>
    <row r="1" spans="1:7" x14ac:dyDescent="0.3">
      <c r="A1" s="7" t="s">
        <v>98</v>
      </c>
    </row>
    <row r="2" spans="1:7" x14ac:dyDescent="0.3">
      <c r="A2" s="7" t="s">
        <v>99</v>
      </c>
    </row>
    <row r="3" spans="1:7" ht="15" thickBot="1" x14ac:dyDescent="0.35"/>
    <row r="4" spans="1:7" ht="15" thickBot="1" x14ac:dyDescent="0.35">
      <c r="A4" s="7" t="s">
        <v>100</v>
      </c>
      <c r="C4" s="27">
        <v>0.3</v>
      </c>
    </row>
    <row r="5" spans="1:7" x14ac:dyDescent="0.3">
      <c r="A5" s="7"/>
      <c r="B5" s="7"/>
      <c r="G5" s="11"/>
    </row>
    <row r="6" spans="1:7" ht="28.8" x14ac:dyDescent="0.3">
      <c r="A6" s="20" t="s">
        <v>101</v>
      </c>
      <c r="B6" s="20" t="s">
        <v>102</v>
      </c>
      <c r="C6" s="30" t="s">
        <v>103</v>
      </c>
      <c r="D6" s="20" t="s">
        <v>104</v>
      </c>
    </row>
    <row r="7" spans="1:7" x14ac:dyDescent="0.3">
      <c r="A7" s="31">
        <v>1</v>
      </c>
      <c r="B7" s="32">
        <v>0</v>
      </c>
      <c r="C7" s="33">
        <f>SUM(C4*100)*$A$7</f>
        <v>30</v>
      </c>
      <c r="D7" s="33">
        <f>SUM(C7*B7)</f>
        <v>0</v>
      </c>
    </row>
    <row r="8" spans="1:7" x14ac:dyDescent="0.3">
      <c r="A8" s="31">
        <v>5</v>
      </c>
      <c r="B8" s="32">
        <v>500</v>
      </c>
      <c r="C8" s="33">
        <f>SUM(C4*100)*A8</f>
        <v>150</v>
      </c>
      <c r="D8" s="33">
        <f t="shared" ref="D8:D12" si="0">SUM(C8*B8)</f>
        <v>75000</v>
      </c>
    </row>
    <row r="9" spans="1:7" x14ac:dyDescent="0.3">
      <c r="A9" s="31">
        <v>10</v>
      </c>
      <c r="B9" s="32">
        <v>0</v>
      </c>
      <c r="C9" s="33">
        <f>SUM(C4*100)*A9</f>
        <v>300</v>
      </c>
      <c r="D9" s="33">
        <f t="shared" si="0"/>
        <v>0</v>
      </c>
    </row>
    <row r="10" spans="1:7" x14ac:dyDescent="0.3">
      <c r="A10" s="31">
        <v>20</v>
      </c>
      <c r="B10" s="32">
        <v>0</v>
      </c>
      <c r="C10" s="33">
        <f>SUM(C4*100)*A10</f>
        <v>600</v>
      </c>
      <c r="D10" s="33">
        <f t="shared" si="0"/>
        <v>0</v>
      </c>
    </row>
    <row r="11" spans="1:7" x14ac:dyDescent="0.3">
      <c r="A11" s="31">
        <v>30</v>
      </c>
      <c r="B11" s="32">
        <v>0</v>
      </c>
      <c r="C11" s="33">
        <f>SUM(C4*100)*A11</f>
        <v>900</v>
      </c>
      <c r="D11" s="33">
        <f t="shared" si="0"/>
        <v>0</v>
      </c>
    </row>
    <row r="12" spans="1:7" x14ac:dyDescent="0.3">
      <c r="A12" s="31">
        <v>50</v>
      </c>
      <c r="B12" s="32">
        <v>0</v>
      </c>
      <c r="C12" s="33">
        <f>SUM(C4*100)*A12</f>
        <v>1500</v>
      </c>
      <c r="D12" s="33">
        <f t="shared" si="0"/>
        <v>0</v>
      </c>
    </row>
    <row r="13" spans="1:7" x14ac:dyDescent="0.3">
      <c r="A13" s="4" t="s">
        <v>105</v>
      </c>
      <c r="B13" s="35">
        <f>SUM(B7:B12)</f>
        <v>500</v>
      </c>
      <c r="C13" s="36"/>
      <c r="D13" s="36">
        <f>SUM(D7:D12)</f>
        <v>75000</v>
      </c>
    </row>
    <row r="15" spans="1:7" x14ac:dyDescent="0.3">
      <c r="A15" s="10" t="s">
        <v>51</v>
      </c>
    </row>
    <row r="16" spans="1:7" x14ac:dyDescent="0.3">
      <c r="A16" s="8" t="s">
        <v>106</v>
      </c>
    </row>
    <row r="17" spans="1:1" x14ac:dyDescent="0.3">
      <c r="A17" s="8" t="s">
        <v>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96AD3-9244-40FD-957F-3CE23A76B40F}">
  <sheetPr>
    <tabColor rgb="FF13293D"/>
  </sheetPr>
  <dimension ref="A1"/>
  <sheetViews>
    <sheetView showGridLines="0" workbookViewId="0">
      <selection activeCell="E29" sqref="E29"/>
    </sheetView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BCE6B-B0BB-4A96-BB1F-E0D169B6AA4D}">
  <dimension ref="A1:R1048576"/>
  <sheetViews>
    <sheetView showGridLines="0" workbookViewId="0">
      <selection activeCell="L5" sqref="L5"/>
    </sheetView>
  </sheetViews>
  <sheetFormatPr defaultColWidth="9" defaultRowHeight="14.4" x14ac:dyDescent="0.3"/>
  <cols>
    <col min="1" max="1" width="5.6640625" style="13" customWidth="1"/>
    <col min="2" max="4" width="13.44140625" style="13" customWidth="1"/>
    <col min="5" max="5" width="27.5546875" style="11" customWidth="1"/>
    <col min="6" max="6" width="14.33203125" style="11" customWidth="1"/>
    <col min="7" max="7" width="12.33203125" style="13" customWidth="1"/>
    <col min="8" max="9" width="11.5546875" style="13" customWidth="1"/>
    <col min="10" max="10" width="13.6640625" style="13" customWidth="1"/>
    <col min="11" max="11" width="12" style="13" customWidth="1"/>
    <col min="12" max="12" width="22.33203125" style="13" customWidth="1"/>
    <col min="13" max="13" width="17.6640625" style="11" hidden="1" customWidth="1"/>
    <col min="14" max="14" width="18.33203125" style="11" hidden="1" customWidth="1"/>
    <col min="15" max="15" width="17.5546875" style="11" hidden="1" customWidth="1"/>
    <col min="16" max="16" width="18.44140625" style="11" hidden="1" customWidth="1"/>
    <col min="17" max="18" width="17.33203125" style="11" customWidth="1"/>
    <col min="19" max="16384" width="9" style="11"/>
  </cols>
  <sheetData>
    <row r="1" spans="1:18" x14ac:dyDescent="0.3">
      <c r="A1" s="7" t="s">
        <v>139</v>
      </c>
    </row>
    <row r="2" spans="1:18" x14ac:dyDescent="0.3">
      <c r="A2" s="7" t="s">
        <v>28</v>
      </c>
    </row>
    <row r="3" spans="1:18" x14ac:dyDescent="0.3">
      <c r="J3" s="26"/>
      <c r="K3" s="26"/>
      <c r="M3" s="47" t="s">
        <v>107</v>
      </c>
      <c r="N3" s="47"/>
      <c r="O3" s="47"/>
      <c r="P3" s="47"/>
    </row>
    <row r="4" spans="1:18" ht="77.7" customHeight="1" x14ac:dyDescent="0.3">
      <c r="A4" s="48" t="s">
        <v>29</v>
      </c>
      <c r="B4" s="48" t="s">
        <v>108</v>
      </c>
      <c r="C4" s="49" t="s">
        <v>31</v>
      </c>
      <c r="D4" s="48" t="s">
        <v>88</v>
      </c>
      <c r="E4" s="51" t="s">
        <v>109</v>
      </c>
      <c r="F4" s="49" t="s">
        <v>110</v>
      </c>
      <c r="G4" s="48" t="s">
        <v>33</v>
      </c>
      <c r="H4" s="48" t="s">
        <v>34</v>
      </c>
      <c r="I4" s="48" t="s">
        <v>111</v>
      </c>
      <c r="J4" s="49" t="s">
        <v>79</v>
      </c>
      <c r="K4" s="49" t="s">
        <v>80</v>
      </c>
      <c r="L4" s="49" t="s">
        <v>112</v>
      </c>
      <c r="M4" s="21" t="s">
        <v>113</v>
      </c>
      <c r="N4" s="21" t="s">
        <v>114</v>
      </c>
      <c r="O4" s="21" t="s">
        <v>115</v>
      </c>
      <c r="P4" s="21" t="s">
        <v>134</v>
      </c>
      <c r="Q4" s="51" t="s">
        <v>37</v>
      </c>
      <c r="R4" s="48" t="s">
        <v>38</v>
      </c>
    </row>
    <row r="5" spans="1:18" x14ac:dyDescent="0.3">
      <c r="A5" s="16">
        <v>1</v>
      </c>
      <c r="B5" s="16">
        <v>30014</v>
      </c>
      <c r="C5" s="16" t="s">
        <v>40</v>
      </c>
      <c r="D5" s="17" t="s">
        <v>116</v>
      </c>
      <c r="E5" s="22" t="s">
        <v>117</v>
      </c>
      <c r="F5" s="17">
        <v>42005</v>
      </c>
      <c r="G5" s="17">
        <v>27395</v>
      </c>
      <c r="H5" s="16" t="s">
        <v>42</v>
      </c>
      <c r="I5" s="16"/>
      <c r="J5" s="16"/>
      <c r="K5" s="15">
        <v>1000000</v>
      </c>
      <c r="L5" s="23" t="s">
        <v>118</v>
      </c>
      <c r="M5" s="16"/>
      <c r="N5" s="16"/>
      <c r="O5" s="16"/>
      <c r="P5" s="16"/>
      <c r="Q5" s="56">
        <v>9800000000</v>
      </c>
      <c r="R5" s="57" t="s">
        <v>44</v>
      </c>
    </row>
    <row r="6" spans="1:18" x14ac:dyDescent="0.3">
      <c r="A6" s="16">
        <v>2</v>
      </c>
      <c r="B6" s="16">
        <v>30015</v>
      </c>
      <c r="C6" s="16" t="s">
        <v>40</v>
      </c>
      <c r="D6" s="17" t="s">
        <v>116</v>
      </c>
      <c r="E6" s="22" t="s">
        <v>119</v>
      </c>
      <c r="F6" s="17">
        <v>42005</v>
      </c>
      <c r="G6" s="17">
        <v>27395</v>
      </c>
      <c r="H6" s="16" t="s">
        <v>42</v>
      </c>
      <c r="I6" s="16"/>
      <c r="J6" s="16"/>
      <c r="K6" s="15">
        <v>1000000</v>
      </c>
      <c r="L6" s="23" t="s">
        <v>118</v>
      </c>
      <c r="M6" s="16"/>
      <c r="N6" s="16"/>
      <c r="O6" s="16"/>
      <c r="P6" s="16"/>
      <c r="Q6" s="56">
        <v>9800000000</v>
      </c>
      <c r="R6" s="57" t="s">
        <v>44</v>
      </c>
    </row>
    <row r="7" spans="1:18" x14ac:dyDescent="0.3">
      <c r="A7" s="16">
        <v>3</v>
      </c>
      <c r="B7" s="16">
        <v>20002</v>
      </c>
      <c r="C7" s="16" t="s">
        <v>40</v>
      </c>
      <c r="D7" s="17" t="s">
        <v>116</v>
      </c>
      <c r="E7" s="22" t="s">
        <v>120</v>
      </c>
      <c r="F7" s="17">
        <v>42005</v>
      </c>
      <c r="G7" s="17">
        <v>27395</v>
      </c>
      <c r="H7" s="16" t="s">
        <v>42</v>
      </c>
      <c r="I7" s="16"/>
      <c r="J7" s="16"/>
      <c r="K7" s="15">
        <v>1000000</v>
      </c>
      <c r="L7" s="23" t="s">
        <v>121</v>
      </c>
      <c r="M7" s="16"/>
      <c r="N7" s="16"/>
      <c r="O7" s="16"/>
      <c r="P7" s="16"/>
      <c r="Q7" s="56">
        <v>9800000000</v>
      </c>
      <c r="R7" s="57" t="s">
        <v>44</v>
      </c>
    </row>
    <row r="8" spans="1:18" x14ac:dyDescent="0.3">
      <c r="A8" s="16">
        <v>4</v>
      </c>
      <c r="B8" s="16">
        <v>20003</v>
      </c>
      <c r="C8" s="16" t="s">
        <v>40</v>
      </c>
      <c r="D8" s="17" t="s">
        <v>116</v>
      </c>
      <c r="E8" s="22" t="s">
        <v>122</v>
      </c>
      <c r="F8" s="17">
        <v>42005</v>
      </c>
      <c r="G8" s="17">
        <v>27395</v>
      </c>
      <c r="H8" s="16" t="s">
        <v>42</v>
      </c>
      <c r="I8" s="16"/>
      <c r="J8" s="16"/>
      <c r="K8" s="15">
        <v>1000000</v>
      </c>
      <c r="L8" s="23" t="s">
        <v>121</v>
      </c>
      <c r="M8" s="16"/>
      <c r="N8" s="16"/>
      <c r="O8" s="16"/>
      <c r="P8" s="16"/>
      <c r="Q8" s="56">
        <v>9800000000</v>
      </c>
      <c r="R8" s="57" t="s">
        <v>44</v>
      </c>
    </row>
    <row r="9" spans="1:18" x14ac:dyDescent="0.3">
      <c r="A9" s="16">
        <v>5</v>
      </c>
      <c r="B9" s="16">
        <v>20004</v>
      </c>
      <c r="C9" s="16" t="s">
        <v>123</v>
      </c>
      <c r="D9" s="17" t="s">
        <v>116</v>
      </c>
      <c r="E9" s="22" t="s">
        <v>124</v>
      </c>
      <c r="F9" s="17">
        <v>42005</v>
      </c>
      <c r="G9" s="17">
        <v>27395</v>
      </c>
      <c r="H9" s="16" t="s">
        <v>42</v>
      </c>
      <c r="I9" s="16"/>
      <c r="J9" s="16"/>
      <c r="K9" s="15">
        <v>500000</v>
      </c>
      <c r="L9" s="23" t="s">
        <v>125</v>
      </c>
      <c r="M9" s="16"/>
      <c r="N9" s="16"/>
      <c r="O9" s="16"/>
      <c r="P9" s="16"/>
      <c r="Q9" s="56">
        <v>9800000000</v>
      </c>
      <c r="R9" s="57" t="s">
        <v>44</v>
      </c>
    </row>
    <row r="10" spans="1:18" x14ac:dyDescent="0.3">
      <c r="G10" s="14"/>
    </row>
    <row r="11" spans="1:18" x14ac:dyDescent="0.3">
      <c r="A11" s="10" t="s">
        <v>51</v>
      </c>
      <c r="G11" s="14"/>
    </row>
    <row r="12" spans="1:18" x14ac:dyDescent="0.3">
      <c r="A12" s="8" t="s">
        <v>83</v>
      </c>
      <c r="G12" s="14"/>
    </row>
    <row r="13" spans="1:18" x14ac:dyDescent="0.3">
      <c r="A13" s="19" t="s">
        <v>126</v>
      </c>
      <c r="G13" s="14"/>
    </row>
    <row r="14" spans="1:18" x14ac:dyDescent="0.3">
      <c r="A14" s="19" t="s">
        <v>127</v>
      </c>
      <c r="G14" s="14"/>
    </row>
    <row r="15" spans="1:18" x14ac:dyDescent="0.3">
      <c r="G15" s="14"/>
    </row>
    <row r="16" spans="1:18" x14ac:dyDescent="0.3">
      <c r="G16" s="14"/>
    </row>
    <row r="17" spans="7:7" x14ac:dyDescent="0.3">
      <c r="G17" s="14"/>
    </row>
    <row r="18" spans="7:7" x14ac:dyDescent="0.3">
      <c r="G18" s="14"/>
    </row>
    <row r="19" spans="7:7" x14ac:dyDescent="0.3">
      <c r="G19" s="14"/>
    </row>
    <row r="20" spans="7:7" x14ac:dyDescent="0.3">
      <c r="G20" s="14"/>
    </row>
    <row r="21" spans="7:7" x14ac:dyDescent="0.3">
      <c r="G21" s="14"/>
    </row>
    <row r="22" spans="7:7" x14ac:dyDescent="0.3">
      <c r="G22" s="14"/>
    </row>
    <row r="23" spans="7:7" x14ac:dyDescent="0.3">
      <c r="G23" s="14"/>
    </row>
    <row r="24" spans="7:7" x14ac:dyDescent="0.3">
      <c r="G24" s="14"/>
    </row>
    <row r="25" spans="7:7" x14ac:dyDescent="0.3">
      <c r="G25" s="14"/>
    </row>
    <row r="26" spans="7:7" x14ac:dyDescent="0.3">
      <c r="G26" s="14"/>
    </row>
    <row r="27" spans="7:7" x14ac:dyDescent="0.3">
      <c r="G27" s="14"/>
    </row>
    <row r="28" spans="7:7" x14ac:dyDescent="0.3">
      <c r="G28" s="14"/>
    </row>
    <row r="29" spans="7:7" x14ac:dyDescent="0.3">
      <c r="G29" s="14"/>
    </row>
    <row r="30" spans="7:7" x14ac:dyDescent="0.3">
      <c r="G30" s="14"/>
    </row>
    <row r="31" spans="7:7" x14ac:dyDescent="0.3">
      <c r="G31" s="14"/>
    </row>
    <row r="32" spans="7:7" x14ac:dyDescent="0.3">
      <c r="G32" s="14"/>
    </row>
    <row r="33" spans="7:7" x14ac:dyDescent="0.3">
      <c r="G33" s="14"/>
    </row>
    <row r="34" spans="7:7" x14ac:dyDescent="0.3">
      <c r="G34" s="14"/>
    </row>
    <row r="35" spans="7:7" x14ac:dyDescent="0.3">
      <c r="G35" s="14"/>
    </row>
    <row r="36" spans="7:7" x14ac:dyDescent="0.3">
      <c r="G36" s="14"/>
    </row>
    <row r="37" spans="7:7" x14ac:dyDescent="0.3">
      <c r="G37" s="14"/>
    </row>
    <row r="38" spans="7:7" x14ac:dyDescent="0.3">
      <c r="G38" s="14"/>
    </row>
    <row r="39" spans="7:7" x14ac:dyDescent="0.3">
      <c r="G39" s="14"/>
    </row>
    <row r="40" spans="7:7" x14ac:dyDescent="0.3">
      <c r="G40" s="14"/>
    </row>
    <row r="41" spans="7:7" x14ac:dyDescent="0.3">
      <c r="G41" s="14"/>
    </row>
    <row r="42" spans="7:7" x14ac:dyDescent="0.3">
      <c r="G42" s="14"/>
    </row>
    <row r="43" spans="7:7" x14ac:dyDescent="0.3">
      <c r="G43" s="14"/>
    </row>
    <row r="44" spans="7:7" x14ac:dyDescent="0.3">
      <c r="G44" s="14"/>
    </row>
    <row r="45" spans="7:7" x14ac:dyDescent="0.3">
      <c r="G45" s="14"/>
    </row>
    <row r="46" spans="7:7" x14ac:dyDescent="0.3">
      <c r="G46" s="14"/>
    </row>
    <row r="47" spans="7:7" x14ac:dyDescent="0.3">
      <c r="G47" s="14"/>
    </row>
    <row r="48" spans="7:7" x14ac:dyDescent="0.3">
      <c r="G48" s="14"/>
    </row>
    <row r="49" spans="7:7" x14ac:dyDescent="0.3">
      <c r="G49" s="14"/>
    </row>
    <row r="50" spans="7:7" x14ac:dyDescent="0.3">
      <c r="G50" s="14"/>
    </row>
    <row r="51" spans="7:7" x14ac:dyDescent="0.3">
      <c r="G51" s="14"/>
    </row>
    <row r="52" spans="7:7" x14ac:dyDescent="0.3">
      <c r="G52" s="14"/>
    </row>
    <row r="53" spans="7:7" x14ac:dyDescent="0.3">
      <c r="G53" s="14"/>
    </row>
    <row r="54" spans="7:7" x14ac:dyDescent="0.3">
      <c r="G54" s="14"/>
    </row>
    <row r="55" spans="7:7" x14ac:dyDescent="0.3">
      <c r="G55" s="14"/>
    </row>
    <row r="56" spans="7:7" x14ac:dyDescent="0.3">
      <c r="G56" s="14"/>
    </row>
    <row r="57" spans="7:7" x14ac:dyDescent="0.3">
      <c r="G57" s="14"/>
    </row>
    <row r="58" spans="7:7" x14ac:dyDescent="0.3">
      <c r="G58" s="14"/>
    </row>
    <row r="59" spans="7:7" x14ac:dyDescent="0.3">
      <c r="G59" s="14"/>
    </row>
    <row r="60" spans="7:7" x14ac:dyDescent="0.3">
      <c r="G60" s="14"/>
    </row>
    <row r="61" spans="7:7" x14ac:dyDescent="0.3">
      <c r="G61" s="14"/>
    </row>
    <row r="62" spans="7:7" x14ac:dyDescent="0.3">
      <c r="G62" s="14"/>
    </row>
    <row r="63" spans="7:7" x14ac:dyDescent="0.3">
      <c r="G63" s="14"/>
    </row>
    <row r="64" spans="7:7" x14ac:dyDescent="0.3">
      <c r="G64" s="14"/>
    </row>
    <row r="65" spans="7:7" x14ac:dyDescent="0.3">
      <c r="G65" s="14"/>
    </row>
    <row r="66" spans="7:7" x14ac:dyDescent="0.3">
      <c r="G66" s="14"/>
    </row>
    <row r="67" spans="7:7" x14ac:dyDescent="0.3">
      <c r="G67" s="14"/>
    </row>
    <row r="68" spans="7:7" x14ac:dyDescent="0.3">
      <c r="G68" s="14"/>
    </row>
    <row r="69" spans="7:7" x14ac:dyDescent="0.3">
      <c r="G69" s="14"/>
    </row>
    <row r="70" spans="7:7" x14ac:dyDescent="0.3">
      <c r="G70" s="14"/>
    </row>
    <row r="71" spans="7:7" x14ac:dyDescent="0.3">
      <c r="G71" s="14"/>
    </row>
    <row r="72" spans="7:7" x14ac:dyDescent="0.3">
      <c r="G72" s="14"/>
    </row>
    <row r="73" spans="7:7" x14ac:dyDescent="0.3">
      <c r="G73" s="14"/>
    </row>
    <row r="74" spans="7:7" x14ac:dyDescent="0.3">
      <c r="G74" s="14"/>
    </row>
    <row r="75" spans="7:7" x14ac:dyDescent="0.3">
      <c r="G75" s="14"/>
    </row>
    <row r="76" spans="7:7" x14ac:dyDescent="0.3">
      <c r="G76" s="14"/>
    </row>
    <row r="77" spans="7:7" x14ac:dyDescent="0.3">
      <c r="G77" s="14"/>
    </row>
    <row r="78" spans="7:7" x14ac:dyDescent="0.3">
      <c r="G78" s="14"/>
    </row>
    <row r="79" spans="7:7" x14ac:dyDescent="0.3">
      <c r="G79" s="14"/>
    </row>
    <row r="80" spans="7:7" x14ac:dyDescent="0.3">
      <c r="G80" s="14"/>
    </row>
    <row r="81" spans="7:7" x14ac:dyDescent="0.3">
      <c r="G81" s="14"/>
    </row>
    <row r="82" spans="7:7" x14ac:dyDescent="0.3">
      <c r="G82" s="14"/>
    </row>
    <row r="83" spans="7:7" x14ac:dyDescent="0.3">
      <c r="G83" s="14"/>
    </row>
    <row r="84" spans="7:7" x14ac:dyDescent="0.3">
      <c r="G84" s="14"/>
    </row>
    <row r="85" spans="7:7" x14ac:dyDescent="0.3">
      <c r="G85" s="14"/>
    </row>
    <row r="86" spans="7:7" x14ac:dyDescent="0.3">
      <c r="G86" s="14"/>
    </row>
    <row r="87" spans="7:7" x14ac:dyDescent="0.3">
      <c r="G87" s="14"/>
    </row>
    <row r="88" spans="7:7" x14ac:dyDescent="0.3">
      <c r="G88" s="14"/>
    </row>
    <row r="89" spans="7:7" x14ac:dyDescent="0.3">
      <c r="G89" s="14"/>
    </row>
    <row r="90" spans="7:7" x14ac:dyDescent="0.3">
      <c r="G90" s="14"/>
    </row>
    <row r="91" spans="7:7" x14ac:dyDescent="0.3">
      <c r="G91" s="14"/>
    </row>
    <row r="92" spans="7:7" x14ac:dyDescent="0.3">
      <c r="G92" s="14"/>
    </row>
    <row r="93" spans="7:7" x14ac:dyDescent="0.3">
      <c r="G93" s="14"/>
    </row>
    <row r="94" spans="7:7" x14ac:dyDescent="0.3">
      <c r="G94" s="14"/>
    </row>
    <row r="95" spans="7:7" x14ac:dyDescent="0.3">
      <c r="G95" s="14"/>
    </row>
    <row r="96" spans="7:7" x14ac:dyDescent="0.3">
      <c r="G96" s="14"/>
    </row>
    <row r="97" spans="7:7" x14ac:dyDescent="0.3">
      <c r="G97" s="14"/>
    </row>
    <row r="98" spans="7:7" x14ac:dyDescent="0.3">
      <c r="G98" s="14"/>
    </row>
    <row r="99" spans="7:7" x14ac:dyDescent="0.3">
      <c r="G99" s="14"/>
    </row>
    <row r="100" spans="7:7" x14ac:dyDescent="0.3">
      <c r="G100" s="14"/>
    </row>
    <row r="101" spans="7:7" x14ac:dyDescent="0.3">
      <c r="G101" s="14"/>
    </row>
    <row r="102" spans="7:7" x14ac:dyDescent="0.3">
      <c r="G102" s="14"/>
    </row>
    <row r="103" spans="7:7" x14ac:dyDescent="0.3">
      <c r="G103" s="14"/>
    </row>
    <row r="104" spans="7:7" x14ac:dyDescent="0.3">
      <c r="G104" s="14"/>
    </row>
    <row r="105" spans="7:7" x14ac:dyDescent="0.3">
      <c r="G105" s="14"/>
    </row>
    <row r="106" spans="7:7" x14ac:dyDescent="0.3">
      <c r="G106" s="14"/>
    </row>
    <row r="107" spans="7:7" x14ac:dyDescent="0.3">
      <c r="G107" s="14"/>
    </row>
    <row r="108" spans="7:7" x14ac:dyDescent="0.3">
      <c r="G108" s="14"/>
    </row>
    <row r="109" spans="7:7" x14ac:dyDescent="0.3">
      <c r="G109" s="14"/>
    </row>
    <row r="110" spans="7:7" x14ac:dyDescent="0.3">
      <c r="G110" s="14"/>
    </row>
    <row r="111" spans="7:7" x14ac:dyDescent="0.3">
      <c r="G111" s="14"/>
    </row>
    <row r="112" spans="7:7" x14ac:dyDescent="0.3">
      <c r="G112" s="14"/>
    </row>
    <row r="113" spans="7:7" x14ac:dyDescent="0.3">
      <c r="G113" s="14"/>
    </row>
    <row r="114" spans="7:7" x14ac:dyDescent="0.3">
      <c r="G114" s="14"/>
    </row>
    <row r="115" spans="7:7" x14ac:dyDescent="0.3">
      <c r="G115" s="14"/>
    </row>
    <row r="116" spans="7:7" x14ac:dyDescent="0.3">
      <c r="G116" s="14"/>
    </row>
    <row r="117" spans="7:7" x14ac:dyDescent="0.3">
      <c r="G117" s="14"/>
    </row>
    <row r="118" spans="7:7" x14ac:dyDescent="0.3">
      <c r="G118" s="14"/>
    </row>
    <row r="119" spans="7:7" x14ac:dyDescent="0.3">
      <c r="G119" s="14"/>
    </row>
    <row r="120" spans="7:7" x14ac:dyDescent="0.3">
      <c r="G120" s="14"/>
    </row>
    <row r="121" spans="7:7" x14ac:dyDescent="0.3">
      <c r="G121" s="14"/>
    </row>
    <row r="122" spans="7:7" x14ac:dyDescent="0.3">
      <c r="G122" s="14"/>
    </row>
    <row r="123" spans="7:7" x14ac:dyDescent="0.3">
      <c r="G123" s="14"/>
    </row>
    <row r="124" spans="7:7" x14ac:dyDescent="0.3">
      <c r="G124" s="14"/>
    </row>
    <row r="125" spans="7:7" x14ac:dyDescent="0.3">
      <c r="G125" s="14"/>
    </row>
    <row r="126" spans="7:7" x14ac:dyDescent="0.3">
      <c r="G126" s="14"/>
    </row>
    <row r="127" spans="7:7" x14ac:dyDescent="0.3">
      <c r="G127" s="14"/>
    </row>
    <row r="128" spans="7:7" x14ac:dyDescent="0.3">
      <c r="G128" s="14"/>
    </row>
    <row r="129" spans="7:7" x14ac:dyDescent="0.3">
      <c r="G129" s="14"/>
    </row>
    <row r="130" spans="7:7" x14ac:dyDescent="0.3">
      <c r="G130" s="14"/>
    </row>
    <row r="131" spans="7:7" x14ac:dyDescent="0.3">
      <c r="G131" s="14"/>
    </row>
    <row r="132" spans="7:7" x14ac:dyDescent="0.3">
      <c r="G132" s="14"/>
    </row>
    <row r="133" spans="7:7" x14ac:dyDescent="0.3">
      <c r="G133" s="14"/>
    </row>
    <row r="134" spans="7:7" x14ac:dyDescent="0.3">
      <c r="G134" s="14"/>
    </row>
    <row r="135" spans="7:7" x14ac:dyDescent="0.3">
      <c r="G135" s="14"/>
    </row>
    <row r="136" spans="7:7" x14ac:dyDescent="0.3">
      <c r="G136" s="14"/>
    </row>
    <row r="137" spans="7:7" x14ac:dyDescent="0.3">
      <c r="G137" s="14"/>
    </row>
    <row r="138" spans="7:7" x14ac:dyDescent="0.3">
      <c r="G138" s="14"/>
    </row>
    <row r="139" spans="7:7" x14ac:dyDescent="0.3">
      <c r="G139" s="14"/>
    </row>
    <row r="140" spans="7:7" x14ac:dyDescent="0.3">
      <c r="G140" s="14"/>
    </row>
    <row r="141" spans="7:7" x14ac:dyDescent="0.3">
      <c r="G141" s="14"/>
    </row>
    <row r="142" spans="7:7" x14ac:dyDescent="0.3">
      <c r="G142" s="14"/>
    </row>
    <row r="143" spans="7:7" x14ac:dyDescent="0.3">
      <c r="G143" s="14"/>
    </row>
    <row r="144" spans="7:7" x14ac:dyDescent="0.3">
      <c r="G144" s="14"/>
    </row>
    <row r="145" spans="7:7" x14ac:dyDescent="0.3">
      <c r="G145" s="14"/>
    </row>
    <row r="146" spans="7:7" x14ac:dyDescent="0.3">
      <c r="G146" s="14"/>
    </row>
    <row r="147" spans="7:7" x14ac:dyDescent="0.3">
      <c r="G147" s="14"/>
    </row>
    <row r="148" spans="7:7" x14ac:dyDescent="0.3">
      <c r="G148" s="14"/>
    </row>
    <row r="149" spans="7:7" x14ac:dyDescent="0.3">
      <c r="G149" s="14"/>
    </row>
    <row r="150" spans="7:7" x14ac:dyDescent="0.3">
      <c r="G150" s="14"/>
    </row>
    <row r="151" spans="7:7" x14ac:dyDescent="0.3">
      <c r="G151" s="14"/>
    </row>
    <row r="152" spans="7:7" x14ac:dyDescent="0.3">
      <c r="G152" s="14"/>
    </row>
    <row r="153" spans="7:7" x14ac:dyDescent="0.3">
      <c r="G153" s="14"/>
    </row>
    <row r="154" spans="7:7" x14ac:dyDescent="0.3">
      <c r="G154" s="14"/>
    </row>
    <row r="155" spans="7:7" x14ac:dyDescent="0.3">
      <c r="G155" s="14"/>
    </row>
    <row r="156" spans="7:7" x14ac:dyDescent="0.3">
      <c r="G156" s="14"/>
    </row>
    <row r="157" spans="7:7" x14ac:dyDescent="0.3">
      <c r="G157" s="14"/>
    </row>
    <row r="158" spans="7:7" x14ac:dyDescent="0.3">
      <c r="G158" s="14"/>
    </row>
    <row r="159" spans="7:7" x14ac:dyDescent="0.3">
      <c r="G159" s="14"/>
    </row>
    <row r="160" spans="7:7" x14ac:dyDescent="0.3">
      <c r="G160" s="14"/>
    </row>
    <row r="161" spans="7:7" x14ac:dyDescent="0.3">
      <c r="G161" s="14"/>
    </row>
    <row r="162" spans="7:7" x14ac:dyDescent="0.3">
      <c r="G162" s="14"/>
    </row>
    <row r="163" spans="7:7" x14ac:dyDescent="0.3">
      <c r="G163" s="14"/>
    </row>
    <row r="164" spans="7:7" x14ac:dyDescent="0.3">
      <c r="G164" s="14"/>
    </row>
    <row r="165" spans="7:7" x14ac:dyDescent="0.3">
      <c r="G165" s="14"/>
    </row>
    <row r="166" spans="7:7" x14ac:dyDescent="0.3">
      <c r="G166" s="14"/>
    </row>
    <row r="167" spans="7:7" x14ac:dyDescent="0.3">
      <c r="G167" s="14"/>
    </row>
    <row r="168" spans="7:7" x14ac:dyDescent="0.3">
      <c r="G168" s="14"/>
    </row>
    <row r="169" spans="7:7" x14ac:dyDescent="0.3">
      <c r="G169" s="14"/>
    </row>
    <row r="170" spans="7:7" x14ac:dyDescent="0.3">
      <c r="G170" s="14"/>
    </row>
    <row r="171" spans="7:7" x14ac:dyDescent="0.3">
      <c r="G171" s="14"/>
    </row>
    <row r="172" spans="7:7" x14ac:dyDescent="0.3">
      <c r="G172" s="14"/>
    </row>
    <row r="173" spans="7:7" x14ac:dyDescent="0.3">
      <c r="G173" s="14"/>
    </row>
    <row r="174" spans="7:7" x14ac:dyDescent="0.3">
      <c r="G174" s="14"/>
    </row>
    <row r="175" spans="7:7" x14ac:dyDescent="0.3">
      <c r="G175" s="14"/>
    </row>
    <row r="176" spans="7:7" x14ac:dyDescent="0.3">
      <c r="G176" s="14"/>
    </row>
    <row r="177" spans="7:7" x14ac:dyDescent="0.3">
      <c r="G177" s="14"/>
    </row>
    <row r="178" spans="7:7" x14ac:dyDescent="0.3">
      <c r="G178" s="14"/>
    </row>
    <row r="179" spans="7:7" x14ac:dyDescent="0.3">
      <c r="G179" s="14"/>
    </row>
    <row r="180" spans="7:7" x14ac:dyDescent="0.3">
      <c r="G180" s="14"/>
    </row>
    <row r="181" spans="7:7" x14ac:dyDescent="0.3">
      <c r="G181" s="14"/>
    </row>
    <row r="182" spans="7:7" x14ac:dyDescent="0.3">
      <c r="G182" s="14"/>
    </row>
    <row r="183" spans="7:7" x14ac:dyDescent="0.3">
      <c r="G183" s="14"/>
    </row>
    <row r="184" spans="7:7" x14ac:dyDescent="0.3">
      <c r="G184" s="14"/>
    </row>
    <row r="185" spans="7:7" x14ac:dyDescent="0.3">
      <c r="G185" s="14"/>
    </row>
    <row r="186" spans="7:7" x14ac:dyDescent="0.3">
      <c r="G186" s="14"/>
    </row>
    <row r="187" spans="7:7" x14ac:dyDescent="0.3">
      <c r="G187" s="14"/>
    </row>
    <row r="188" spans="7:7" x14ac:dyDescent="0.3">
      <c r="G188" s="14"/>
    </row>
    <row r="189" spans="7:7" x14ac:dyDescent="0.3">
      <c r="G189" s="14"/>
    </row>
    <row r="190" spans="7:7" x14ac:dyDescent="0.3">
      <c r="G190" s="14"/>
    </row>
    <row r="191" spans="7:7" x14ac:dyDescent="0.3">
      <c r="G191" s="14"/>
    </row>
    <row r="192" spans="7:7" x14ac:dyDescent="0.3">
      <c r="G192" s="14"/>
    </row>
    <row r="193" spans="7:7" x14ac:dyDescent="0.3">
      <c r="G193" s="14"/>
    </row>
    <row r="194" spans="7:7" x14ac:dyDescent="0.3">
      <c r="G194" s="14"/>
    </row>
    <row r="195" spans="7:7" x14ac:dyDescent="0.3">
      <c r="G195" s="14"/>
    </row>
    <row r="196" spans="7:7" x14ac:dyDescent="0.3">
      <c r="G196" s="14"/>
    </row>
    <row r="197" spans="7:7" x14ac:dyDescent="0.3">
      <c r="G197" s="14"/>
    </row>
    <row r="198" spans="7:7" x14ac:dyDescent="0.3">
      <c r="G198" s="14"/>
    </row>
    <row r="199" spans="7:7" x14ac:dyDescent="0.3">
      <c r="G199" s="14"/>
    </row>
    <row r="200" spans="7:7" x14ac:dyDescent="0.3">
      <c r="G200" s="14"/>
    </row>
    <row r="201" spans="7:7" x14ac:dyDescent="0.3">
      <c r="G201" s="14"/>
    </row>
    <row r="202" spans="7:7" x14ac:dyDescent="0.3">
      <c r="G202" s="14"/>
    </row>
    <row r="203" spans="7:7" x14ac:dyDescent="0.3">
      <c r="G203" s="14"/>
    </row>
    <row r="204" spans="7:7" x14ac:dyDescent="0.3">
      <c r="G204" s="14"/>
    </row>
    <row r="205" spans="7:7" x14ac:dyDescent="0.3">
      <c r="G205" s="14"/>
    </row>
    <row r="206" spans="7:7" x14ac:dyDescent="0.3">
      <c r="G206" s="14"/>
    </row>
    <row r="207" spans="7:7" x14ac:dyDescent="0.3">
      <c r="G207" s="14"/>
    </row>
    <row r="208" spans="7:7" x14ac:dyDescent="0.3">
      <c r="G208" s="14"/>
    </row>
    <row r="209" spans="7:7" x14ac:dyDescent="0.3">
      <c r="G209" s="14"/>
    </row>
    <row r="210" spans="7:7" x14ac:dyDescent="0.3">
      <c r="G210" s="14"/>
    </row>
    <row r="211" spans="7:7" x14ac:dyDescent="0.3">
      <c r="G211" s="14"/>
    </row>
    <row r="212" spans="7:7" x14ac:dyDescent="0.3">
      <c r="G212" s="14"/>
    </row>
    <row r="213" spans="7:7" x14ac:dyDescent="0.3">
      <c r="G213" s="14"/>
    </row>
    <row r="214" spans="7:7" x14ac:dyDescent="0.3">
      <c r="G214" s="14"/>
    </row>
    <row r="215" spans="7:7" x14ac:dyDescent="0.3">
      <c r="G215" s="14"/>
    </row>
    <row r="216" spans="7:7" x14ac:dyDescent="0.3">
      <c r="G216" s="14"/>
    </row>
    <row r="217" spans="7:7" x14ac:dyDescent="0.3">
      <c r="G217" s="14"/>
    </row>
    <row r="218" spans="7:7" x14ac:dyDescent="0.3">
      <c r="G218" s="14"/>
    </row>
    <row r="219" spans="7:7" x14ac:dyDescent="0.3">
      <c r="G219" s="14"/>
    </row>
    <row r="220" spans="7:7" x14ac:dyDescent="0.3">
      <c r="G220" s="14"/>
    </row>
    <row r="221" spans="7:7" x14ac:dyDescent="0.3">
      <c r="G221" s="14"/>
    </row>
    <row r="222" spans="7:7" x14ac:dyDescent="0.3">
      <c r="G222" s="14"/>
    </row>
    <row r="223" spans="7:7" x14ac:dyDescent="0.3">
      <c r="G223" s="14"/>
    </row>
    <row r="224" spans="7:7" x14ac:dyDescent="0.3">
      <c r="G224" s="14"/>
    </row>
    <row r="225" spans="7:7" x14ac:dyDescent="0.3">
      <c r="G225" s="14"/>
    </row>
    <row r="226" spans="7:7" x14ac:dyDescent="0.3">
      <c r="G226" s="14"/>
    </row>
    <row r="227" spans="7:7" x14ac:dyDescent="0.3">
      <c r="G227" s="14"/>
    </row>
    <row r="228" spans="7:7" x14ac:dyDescent="0.3">
      <c r="G228" s="14"/>
    </row>
    <row r="229" spans="7:7" x14ac:dyDescent="0.3">
      <c r="G229" s="14"/>
    </row>
    <row r="230" spans="7:7" x14ac:dyDescent="0.3">
      <c r="G230" s="14"/>
    </row>
    <row r="231" spans="7:7" x14ac:dyDescent="0.3">
      <c r="G231" s="14"/>
    </row>
    <row r="232" spans="7:7" x14ac:dyDescent="0.3">
      <c r="G232" s="14"/>
    </row>
    <row r="233" spans="7:7" x14ac:dyDescent="0.3">
      <c r="G233" s="14"/>
    </row>
    <row r="234" spans="7:7" x14ac:dyDescent="0.3">
      <c r="G234" s="14"/>
    </row>
    <row r="235" spans="7:7" x14ac:dyDescent="0.3">
      <c r="G235" s="14"/>
    </row>
    <row r="236" spans="7:7" x14ac:dyDescent="0.3">
      <c r="G236" s="14"/>
    </row>
    <row r="237" spans="7:7" x14ac:dyDescent="0.3">
      <c r="G237" s="14"/>
    </row>
    <row r="238" spans="7:7" x14ac:dyDescent="0.3">
      <c r="G238" s="14"/>
    </row>
    <row r="239" spans="7:7" x14ac:dyDescent="0.3">
      <c r="G239" s="14"/>
    </row>
    <row r="240" spans="7:7" x14ac:dyDescent="0.3">
      <c r="G240" s="14"/>
    </row>
    <row r="241" spans="7:7" x14ac:dyDescent="0.3">
      <c r="G241" s="14"/>
    </row>
    <row r="242" spans="7:7" x14ac:dyDescent="0.3">
      <c r="G242" s="14"/>
    </row>
    <row r="243" spans="7:7" x14ac:dyDescent="0.3">
      <c r="G243" s="14"/>
    </row>
    <row r="244" spans="7:7" x14ac:dyDescent="0.3">
      <c r="G244" s="14"/>
    </row>
    <row r="245" spans="7:7" x14ac:dyDescent="0.3">
      <c r="G245" s="14"/>
    </row>
    <row r="246" spans="7:7" x14ac:dyDescent="0.3">
      <c r="G246" s="14"/>
    </row>
    <row r="247" spans="7:7" x14ac:dyDescent="0.3">
      <c r="G247" s="14"/>
    </row>
    <row r="248" spans="7:7" x14ac:dyDescent="0.3">
      <c r="G248" s="14"/>
    </row>
    <row r="249" spans="7:7" x14ac:dyDescent="0.3">
      <c r="G249" s="14"/>
    </row>
    <row r="250" spans="7:7" x14ac:dyDescent="0.3">
      <c r="G250" s="14"/>
    </row>
    <row r="251" spans="7:7" x14ac:dyDescent="0.3">
      <c r="G251" s="14"/>
    </row>
    <row r="252" spans="7:7" x14ac:dyDescent="0.3">
      <c r="G252" s="14"/>
    </row>
    <row r="253" spans="7:7" x14ac:dyDescent="0.3">
      <c r="G253" s="14"/>
    </row>
    <row r="254" spans="7:7" x14ac:dyDescent="0.3">
      <c r="G254" s="14"/>
    </row>
    <row r="255" spans="7:7" x14ac:dyDescent="0.3">
      <c r="G255" s="14"/>
    </row>
    <row r="256" spans="7:7" x14ac:dyDescent="0.3">
      <c r="G256" s="14"/>
    </row>
    <row r="257" spans="7:7" x14ac:dyDescent="0.3">
      <c r="G257" s="14"/>
    </row>
    <row r="258" spans="7:7" x14ac:dyDescent="0.3">
      <c r="G258" s="14"/>
    </row>
    <row r="259" spans="7:7" x14ac:dyDescent="0.3">
      <c r="G259" s="14"/>
    </row>
    <row r="260" spans="7:7" x14ac:dyDescent="0.3">
      <c r="G260" s="14"/>
    </row>
    <row r="261" spans="7:7" x14ac:dyDescent="0.3">
      <c r="G261" s="14"/>
    </row>
    <row r="262" spans="7:7" x14ac:dyDescent="0.3">
      <c r="G262" s="14"/>
    </row>
    <row r="263" spans="7:7" x14ac:dyDescent="0.3">
      <c r="G263" s="14"/>
    </row>
    <row r="264" spans="7:7" x14ac:dyDescent="0.3">
      <c r="G264" s="14"/>
    </row>
    <row r="265" spans="7:7" x14ac:dyDescent="0.3">
      <c r="G265" s="14"/>
    </row>
    <row r="266" spans="7:7" x14ac:dyDescent="0.3">
      <c r="G266" s="14"/>
    </row>
    <row r="267" spans="7:7" x14ac:dyDescent="0.3">
      <c r="G267" s="14"/>
    </row>
    <row r="268" spans="7:7" x14ac:dyDescent="0.3">
      <c r="G268" s="14"/>
    </row>
    <row r="269" spans="7:7" x14ac:dyDescent="0.3">
      <c r="G269" s="14"/>
    </row>
    <row r="270" spans="7:7" x14ac:dyDescent="0.3">
      <c r="G270" s="14"/>
    </row>
    <row r="271" spans="7:7" x14ac:dyDescent="0.3">
      <c r="G271" s="14"/>
    </row>
    <row r="272" spans="7:7" x14ac:dyDescent="0.3">
      <c r="G272" s="14"/>
    </row>
    <row r="273" spans="7:7" x14ac:dyDescent="0.3">
      <c r="G273" s="14"/>
    </row>
    <row r="274" spans="7:7" x14ac:dyDescent="0.3">
      <c r="G274" s="14"/>
    </row>
    <row r="275" spans="7:7" x14ac:dyDescent="0.3">
      <c r="G275" s="14"/>
    </row>
    <row r="276" spans="7:7" x14ac:dyDescent="0.3">
      <c r="G276" s="14"/>
    </row>
    <row r="277" spans="7:7" x14ac:dyDescent="0.3">
      <c r="G277" s="14"/>
    </row>
    <row r="278" spans="7:7" x14ac:dyDescent="0.3">
      <c r="G278" s="14"/>
    </row>
    <row r="279" spans="7:7" x14ac:dyDescent="0.3">
      <c r="G279" s="14"/>
    </row>
    <row r="280" spans="7:7" x14ac:dyDescent="0.3">
      <c r="G280" s="14"/>
    </row>
    <row r="281" spans="7:7" x14ac:dyDescent="0.3">
      <c r="G281" s="14"/>
    </row>
    <row r="282" spans="7:7" x14ac:dyDescent="0.3">
      <c r="G282" s="14"/>
    </row>
    <row r="283" spans="7:7" x14ac:dyDescent="0.3">
      <c r="G283" s="14"/>
    </row>
    <row r="284" spans="7:7" x14ac:dyDescent="0.3">
      <c r="G284" s="14"/>
    </row>
    <row r="285" spans="7:7" x14ac:dyDescent="0.3">
      <c r="G285" s="14"/>
    </row>
    <row r="286" spans="7:7" x14ac:dyDescent="0.3">
      <c r="G286" s="14"/>
    </row>
    <row r="287" spans="7:7" x14ac:dyDescent="0.3">
      <c r="G287" s="14"/>
    </row>
    <row r="288" spans="7:7" x14ac:dyDescent="0.3">
      <c r="G288" s="14"/>
    </row>
    <row r="289" spans="7:7" x14ac:dyDescent="0.3">
      <c r="G289" s="14"/>
    </row>
    <row r="290" spans="7:7" x14ac:dyDescent="0.3">
      <c r="G290" s="14"/>
    </row>
    <row r="291" spans="7:7" x14ac:dyDescent="0.3">
      <c r="G291" s="14"/>
    </row>
    <row r="292" spans="7:7" x14ac:dyDescent="0.3">
      <c r="G292" s="14"/>
    </row>
    <row r="293" spans="7:7" x14ac:dyDescent="0.3">
      <c r="G293" s="14"/>
    </row>
    <row r="294" spans="7:7" x14ac:dyDescent="0.3">
      <c r="G294" s="14"/>
    </row>
    <row r="295" spans="7:7" x14ac:dyDescent="0.3">
      <c r="G295" s="14"/>
    </row>
    <row r="296" spans="7:7" x14ac:dyDescent="0.3">
      <c r="G296" s="14"/>
    </row>
    <row r="297" spans="7:7" x14ac:dyDescent="0.3">
      <c r="G297" s="14"/>
    </row>
    <row r="298" spans="7:7" x14ac:dyDescent="0.3">
      <c r="G298" s="14"/>
    </row>
    <row r="299" spans="7:7" x14ac:dyDescent="0.3">
      <c r="G299" s="14"/>
    </row>
    <row r="300" spans="7:7" x14ac:dyDescent="0.3">
      <c r="G300" s="14"/>
    </row>
    <row r="301" spans="7:7" x14ac:dyDescent="0.3">
      <c r="G301" s="14"/>
    </row>
    <row r="302" spans="7:7" x14ac:dyDescent="0.3">
      <c r="G302" s="14"/>
    </row>
    <row r="303" spans="7:7" x14ac:dyDescent="0.3">
      <c r="G303" s="14"/>
    </row>
    <row r="304" spans="7:7" x14ac:dyDescent="0.3">
      <c r="G304" s="14"/>
    </row>
    <row r="305" spans="7:7" x14ac:dyDescent="0.3">
      <c r="G305" s="14"/>
    </row>
    <row r="306" spans="7:7" x14ac:dyDescent="0.3">
      <c r="G306" s="14"/>
    </row>
    <row r="307" spans="7:7" x14ac:dyDescent="0.3">
      <c r="G307" s="14"/>
    </row>
    <row r="308" spans="7:7" x14ac:dyDescent="0.3">
      <c r="G308" s="14"/>
    </row>
    <row r="309" spans="7:7" x14ac:dyDescent="0.3">
      <c r="G309" s="14"/>
    </row>
    <row r="310" spans="7:7" x14ac:dyDescent="0.3">
      <c r="G310" s="14"/>
    </row>
    <row r="311" spans="7:7" x14ac:dyDescent="0.3">
      <c r="G311" s="14"/>
    </row>
    <row r="312" spans="7:7" x14ac:dyDescent="0.3">
      <c r="G312" s="14"/>
    </row>
    <row r="313" spans="7:7" x14ac:dyDescent="0.3">
      <c r="G313" s="14"/>
    </row>
    <row r="314" spans="7:7" x14ac:dyDescent="0.3">
      <c r="G314" s="14"/>
    </row>
    <row r="315" spans="7:7" x14ac:dyDescent="0.3">
      <c r="G315" s="14"/>
    </row>
    <row r="316" spans="7:7" x14ac:dyDescent="0.3">
      <c r="G316" s="14"/>
    </row>
    <row r="317" spans="7:7" x14ac:dyDescent="0.3">
      <c r="G317" s="14"/>
    </row>
    <row r="318" spans="7:7" x14ac:dyDescent="0.3">
      <c r="G318" s="14"/>
    </row>
    <row r="319" spans="7:7" x14ac:dyDescent="0.3">
      <c r="G319" s="14"/>
    </row>
    <row r="320" spans="7:7" x14ac:dyDescent="0.3">
      <c r="G320" s="14"/>
    </row>
    <row r="321" spans="7:7" x14ac:dyDescent="0.3">
      <c r="G321" s="14"/>
    </row>
    <row r="322" spans="7:7" x14ac:dyDescent="0.3">
      <c r="G322" s="14"/>
    </row>
    <row r="323" spans="7:7" x14ac:dyDescent="0.3">
      <c r="G323" s="14"/>
    </row>
    <row r="324" spans="7:7" x14ac:dyDescent="0.3">
      <c r="G324" s="14"/>
    </row>
    <row r="325" spans="7:7" x14ac:dyDescent="0.3">
      <c r="G325" s="14"/>
    </row>
    <row r="326" spans="7:7" x14ac:dyDescent="0.3">
      <c r="G326" s="14"/>
    </row>
    <row r="327" spans="7:7" x14ac:dyDescent="0.3">
      <c r="G327" s="14"/>
    </row>
    <row r="328" spans="7:7" x14ac:dyDescent="0.3">
      <c r="G328" s="14"/>
    </row>
    <row r="329" spans="7:7" x14ac:dyDescent="0.3">
      <c r="G329" s="14"/>
    </row>
    <row r="330" spans="7:7" x14ac:dyDescent="0.3">
      <c r="G330" s="14"/>
    </row>
    <row r="331" spans="7:7" x14ac:dyDescent="0.3">
      <c r="G331" s="14"/>
    </row>
    <row r="332" spans="7:7" x14ac:dyDescent="0.3">
      <c r="G332" s="14"/>
    </row>
    <row r="333" spans="7:7" x14ac:dyDescent="0.3">
      <c r="G333" s="14"/>
    </row>
    <row r="334" spans="7:7" x14ac:dyDescent="0.3">
      <c r="G334" s="14"/>
    </row>
    <row r="335" spans="7:7" x14ac:dyDescent="0.3">
      <c r="G335" s="14"/>
    </row>
    <row r="336" spans="7:7" x14ac:dyDescent="0.3">
      <c r="G336" s="14"/>
    </row>
    <row r="337" spans="7:7" x14ac:dyDescent="0.3">
      <c r="G337" s="14"/>
    </row>
    <row r="338" spans="7:7" x14ac:dyDescent="0.3">
      <c r="G338" s="14"/>
    </row>
    <row r="339" spans="7:7" x14ac:dyDescent="0.3">
      <c r="G339" s="14"/>
    </row>
    <row r="340" spans="7:7" x14ac:dyDescent="0.3">
      <c r="G340" s="14"/>
    </row>
    <row r="341" spans="7:7" x14ac:dyDescent="0.3">
      <c r="G341" s="14"/>
    </row>
    <row r="342" spans="7:7" x14ac:dyDescent="0.3">
      <c r="G342" s="14"/>
    </row>
    <row r="343" spans="7:7" x14ac:dyDescent="0.3">
      <c r="G343" s="14"/>
    </row>
    <row r="344" spans="7:7" x14ac:dyDescent="0.3">
      <c r="G344" s="14"/>
    </row>
    <row r="345" spans="7:7" x14ac:dyDescent="0.3">
      <c r="G345" s="14"/>
    </row>
    <row r="346" spans="7:7" x14ac:dyDescent="0.3">
      <c r="G346" s="14"/>
    </row>
    <row r="347" spans="7:7" x14ac:dyDescent="0.3">
      <c r="G347" s="14"/>
    </row>
    <row r="348" spans="7:7" x14ac:dyDescent="0.3">
      <c r="G348" s="14"/>
    </row>
    <row r="349" spans="7:7" x14ac:dyDescent="0.3">
      <c r="G349" s="14"/>
    </row>
    <row r="350" spans="7:7" x14ac:dyDescent="0.3">
      <c r="G350" s="14"/>
    </row>
    <row r="351" spans="7:7" x14ac:dyDescent="0.3">
      <c r="G351" s="14"/>
    </row>
    <row r="352" spans="7:7" x14ac:dyDescent="0.3">
      <c r="G352" s="14"/>
    </row>
    <row r="353" spans="7:7" x14ac:dyDescent="0.3">
      <c r="G353" s="14"/>
    </row>
    <row r="354" spans="7:7" x14ac:dyDescent="0.3">
      <c r="G354" s="14"/>
    </row>
    <row r="355" spans="7:7" x14ac:dyDescent="0.3">
      <c r="G355" s="14"/>
    </row>
    <row r="356" spans="7:7" x14ac:dyDescent="0.3">
      <c r="G356" s="14"/>
    </row>
    <row r="357" spans="7:7" x14ac:dyDescent="0.3">
      <c r="G357" s="14"/>
    </row>
    <row r="358" spans="7:7" x14ac:dyDescent="0.3">
      <c r="G358" s="14"/>
    </row>
    <row r="359" spans="7:7" x14ac:dyDescent="0.3">
      <c r="G359" s="14"/>
    </row>
    <row r="360" spans="7:7" x14ac:dyDescent="0.3">
      <c r="G360" s="14"/>
    </row>
    <row r="361" spans="7:7" x14ac:dyDescent="0.3">
      <c r="G361" s="14"/>
    </row>
    <row r="362" spans="7:7" x14ac:dyDescent="0.3">
      <c r="G362" s="14"/>
    </row>
    <row r="363" spans="7:7" x14ac:dyDescent="0.3">
      <c r="G363" s="14"/>
    </row>
    <row r="364" spans="7:7" x14ac:dyDescent="0.3">
      <c r="G364" s="14"/>
    </row>
    <row r="365" spans="7:7" x14ac:dyDescent="0.3">
      <c r="G365" s="14"/>
    </row>
    <row r="366" spans="7:7" x14ac:dyDescent="0.3">
      <c r="G366" s="14"/>
    </row>
    <row r="367" spans="7:7" x14ac:dyDescent="0.3">
      <c r="G367" s="14"/>
    </row>
    <row r="368" spans="7:7" x14ac:dyDescent="0.3">
      <c r="G368" s="14"/>
    </row>
    <row r="369" spans="7:7" x14ac:dyDescent="0.3">
      <c r="G369" s="14"/>
    </row>
    <row r="370" spans="7:7" x14ac:dyDescent="0.3">
      <c r="G370" s="14"/>
    </row>
    <row r="371" spans="7:7" x14ac:dyDescent="0.3">
      <c r="G371" s="14"/>
    </row>
    <row r="372" spans="7:7" x14ac:dyDescent="0.3">
      <c r="G372" s="14"/>
    </row>
    <row r="373" spans="7:7" x14ac:dyDescent="0.3">
      <c r="G373" s="14"/>
    </row>
    <row r="374" spans="7:7" x14ac:dyDescent="0.3">
      <c r="G374" s="14"/>
    </row>
    <row r="375" spans="7:7" x14ac:dyDescent="0.3">
      <c r="G375" s="14"/>
    </row>
    <row r="376" spans="7:7" x14ac:dyDescent="0.3">
      <c r="G376" s="14"/>
    </row>
    <row r="377" spans="7:7" x14ac:dyDescent="0.3">
      <c r="G377" s="14"/>
    </row>
    <row r="378" spans="7:7" x14ac:dyDescent="0.3">
      <c r="G378" s="14"/>
    </row>
    <row r="379" spans="7:7" x14ac:dyDescent="0.3">
      <c r="G379" s="14"/>
    </row>
    <row r="380" spans="7:7" x14ac:dyDescent="0.3">
      <c r="G380" s="14"/>
    </row>
    <row r="381" spans="7:7" x14ac:dyDescent="0.3">
      <c r="G381" s="14"/>
    </row>
    <row r="382" spans="7:7" x14ac:dyDescent="0.3">
      <c r="G382" s="14"/>
    </row>
    <row r="383" spans="7:7" x14ac:dyDescent="0.3">
      <c r="G383" s="14"/>
    </row>
    <row r="384" spans="7:7" x14ac:dyDescent="0.3">
      <c r="G384" s="14"/>
    </row>
    <row r="385" spans="7:7" x14ac:dyDescent="0.3">
      <c r="G385" s="14"/>
    </row>
    <row r="386" spans="7:7" x14ac:dyDescent="0.3">
      <c r="G386" s="14"/>
    </row>
    <row r="387" spans="7:7" x14ac:dyDescent="0.3">
      <c r="G387" s="14"/>
    </row>
    <row r="388" spans="7:7" x14ac:dyDescent="0.3">
      <c r="G388" s="14"/>
    </row>
    <row r="389" spans="7:7" x14ac:dyDescent="0.3">
      <c r="G389" s="14"/>
    </row>
    <row r="390" spans="7:7" x14ac:dyDescent="0.3">
      <c r="G390" s="14"/>
    </row>
    <row r="391" spans="7:7" x14ac:dyDescent="0.3">
      <c r="G391" s="14"/>
    </row>
    <row r="392" spans="7:7" x14ac:dyDescent="0.3">
      <c r="G392" s="14"/>
    </row>
    <row r="393" spans="7:7" x14ac:dyDescent="0.3">
      <c r="G393" s="14"/>
    </row>
    <row r="394" spans="7:7" x14ac:dyDescent="0.3">
      <c r="G394" s="14"/>
    </row>
    <row r="395" spans="7:7" x14ac:dyDescent="0.3">
      <c r="G395" s="14"/>
    </row>
    <row r="396" spans="7:7" x14ac:dyDescent="0.3">
      <c r="G396" s="14"/>
    </row>
    <row r="397" spans="7:7" x14ac:dyDescent="0.3">
      <c r="G397" s="14"/>
    </row>
    <row r="398" spans="7:7" x14ac:dyDescent="0.3">
      <c r="G398" s="14"/>
    </row>
    <row r="399" spans="7:7" x14ac:dyDescent="0.3">
      <c r="G399" s="14"/>
    </row>
    <row r="400" spans="7:7" x14ac:dyDescent="0.3">
      <c r="G400" s="14"/>
    </row>
    <row r="401" spans="7:7" x14ac:dyDescent="0.3">
      <c r="G401" s="14"/>
    </row>
    <row r="402" spans="7:7" x14ac:dyDescent="0.3">
      <c r="G402" s="14"/>
    </row>
    <row r="403" spans="7:7" x14ac:dyDescent="0.3">
      <c r="G403" s="14"/>
    </row>
    <row r="404" spans="7:7" x14ac:dyDescent="0.3">
      <c r="G404" s="14"/>
    </row>
    <row r="405" spans="7:7" x14ac:dyDescent="0.3">
      <c r="G405" s="14"/>
    </row>
    <row r="406" spans="7:7" x14ac:dyDescent="0.3">
      <c r="G406" s="14"/>
    </row>
    <row r="407" spans="7:7" x14ac:dyDescent="0.3">
      <c r="G407" s="14"/>
    </row>
    <row r="408" spans="7:7" x14ac:dyDescent="0.3">
      <c r="G408" s="14"/>
    </row>
    <row r="409" spans="7:7" x14ac:dyDescent="0.3">
      <c r="G409" s="14"/>
    </row>
    <row r="410" spans="7:7" x14ac:dyDescent="0.3">
      <c r="G410" s="14"/>
    </row>
    <row r="411" spans="7:7" x14ac:dyDescent="0.3">
      <c r="G411" s="14"/>
    </row>
    <row r="412" spans="7:7" x14ac:dyDescent="0.3">
      <c r="G412" s="14"/>
    </row>
    <row r="413" spans="7:7" x14ac:dyDescent="0.3">
      <c r="G413" s="14"/>
    </row>
    <row r="414" spans="7:7" x14ac:dyDescent="0.3">
      <c r="G414" s="14"/>
    </row>
    <row r="415" spans="7:7" x14ac:dyDescent="0.3">
      <c r="G415" s="14"/>
    </row>
    <row r="416" spans="7:7" x14ac:dyDescent="0.3">
      <c r="G416" s="14"/>
    </row>
    <row r="417" spans="7:7" x14ac:dyDescent="0.3">
      <c r="G417" s="14"/>
    </row>
    <row r="418" spans="7:7" x14ac:dyDescent="0.3">
      <c r="G418" s="14"/>
    </row>
    <row r="419" spans="7:7" x14ac:dyDescent="0.3">
      <c r="G419" s="14"/>
    </row>
    <row r="420" spans="7:7" x14ac:dyDescent="0.3">
      <c r="G420" s="14"/>
    </row>
    <row r="421" spans="7:7" x14ac:dyDescent="0.3">
      <c r="G421" s="14"/>
    </row>
    <row r="422" spans="7:7" x14ac:dyDescent="0.3">
      <c r="G422" s="14"/>
    </row>
    <row r="423" spans="7:7" x14ac:dyDescent="0.3">
      <c r="G423" s="14"/>
    </row>
    <row r="424" spans="7:7" x14ac:dyDescent="0.3">
      <c r="G424" s="14"/>
    </row>
    <row r="425" spans="7:7" x14ac:dyDescent="0.3">
      <c r="G425" s="14"/>
    </row>
    <row r="426" spans="7:7" x14ac:dyDescent="0.3">
      <c r="G426" s="14"/>
    </row>
    <row r="427" spans="7:7" x14ac:dyDescent="0.3">
      <c r="G427" s="14"/>
    </row>
    <row r="428" spans="7:7" x14ac:dyDescent="0.3">
      <c r="G428" s="14"/>
    </row>
    <row r="429" spans="7:7" x14ac:dyDescent="0.3">
      <c r="G429" s="14"/>
    </row>
    <row r="430" spans="7:7" x14ac:dyDescent="0.3">
      <c r="G430" s="14"/>
    </row>
    <row r="431" spans="7:7" x14ac:dyDescent="0.3">
      <c r="G431" s="14"/>
    </row>
    <row r="432" spans="7:7" x14ac:dyDescent="0.3">
      <c r="G432" s="14"/>
    </row>
    <row r="433" spans="7:7" x14ac:dyDescent="0.3">
      <c r="G433" s="14"/>
    </row>
    <row r="434" spans="7:7" x14ac:dyDescent="0.3">
      <c r="G434" s="14"/>
    </row>
    <row r="435" spans="7:7" x14ac:dyDescent="0.3">
      <c r="G435" s="14"/>
    </row>
    <row r="436" spans="7:7" x14ac:dyDescent="0.3">
      <c r="G436" s="14"/>
    </row>
    <row r="437" spans="7:7" x14ac:dyDescent="0.3">
      <c r="G437" s="14"/>
    </row>
    <row r="438" spans="7:7" x14ac:dyDescent="0.3">
      <c r="G438" s="14"/>
    </row>
    <row r="439" spans="7:7" x14ac:dyDescent="0.3">
      <c r="G439" s="14"/>
    </row>
    <row r="440" spans="7:7" x14ac:dyDescent="0.3">
      <c r="G440" s="14"/>
    </row>
    <row r="441" spans="7:7" x14ac:dyDescent="0.3">
      <c r="G441" s="14"/>
    </row>
    <row r="442" spans="7:7" x14ac:dyDescent="0.3">
      <c r="G442" s="14"/>
    </row>
    <row r="443" spans="7:7" x14ac:dyDescent="0.3">
      <c r="G443" s="14"/>
    </row>
    <row r="444" spans="7:7" x14ac:dyDescent="0.3">
      <c r="G444" s="14"/>
    </row>
    <row r="445" spans="7:7" x14ac:dyDescent="0.3">
      <c r="G445" s="14"/>
    </row>
    <row r="446" spans="7:7" x14ac:dyDescent="0.3">
      <c r="G446" s="14"/>
    </row>
    <row r="447" spans="7:7" x14ac:dyDescent="0.3">
      <c r="G447" s="14"/>
    </row>
    <row r="448" spans="7:7" x14ac:dyDescent="0.3">
      <c r="G448" s="14"/>
    </row>
    <row r="449" spans="7:7" x14ac:dyDescent="0.3">
      <c r="G449" s="14"/>
    </row>
    <row r="450" spans="7:7" x14ac:dyDescent="0.3">
      <c r="G450" s="14"/>
    </row>
    <row r="451" spans="7:7" x14ac:dyDescent="0.3">
      <c r="G451" s="14"/>
    </row>
    <row r="452" spans="7:7" x14ac:dyDescent="0.3">
      <c r="G452" s="14"/>
    </row>
    <row r="453" spans="7:7" x14ac:dyDescent="0.3">
      <c r="G453" s="14"/>
    </row>
    <row r="454" spans="7:7" x14ac:dyDescent="0.3">
      <c r="G454" s="14"/>
    </row>
    <row r="455" spans="7:7" x14ac:dyDescent="0.3">
      <c r="G455" s="14"/>
    </row>
    <row r="456" spans="7:7" x14ac:dyDescent="0.3">
      <c r="G456" s="14"/>
    </row>
    <row r="457" spans="7:7" x14ac:dyDescent="0.3">
      <c r="G457" s="14"/>
    </row>
    <row r="458" spans="7:7" x14ac:dyDescent="0.3">
      <c r="G458" s="14"/>
    </row>
    <row r="459" spans="7:7" x14ac:dyDescent="0.3">
      <c r="G459" s="14"/>
    </row>
    <row r="460" spans="7:7" x14ac:dyDescent="0.3">
      <c r="G460" s="14"/>
    </row>
    <row r="461" spans="7:7" x14ac:dyDescent="0.3">
      <c r="G461" s="14"/>
    </row>
    <row r="462" spans="7:7" x14ac:dyDescent="0.3">
      <c r="G462" s="14"/>
    </row>
    <row r="463" spans="7:7" x14ac:dyDescent="0.3">
      <c r="G463" s="14"/>
    </row>
    <row r="464" spans="7:7" x14ac:dyDescent="0.3">
      <c r="G464" s="14"/>
    </row>
    <row r="465" spans="7:7" x14ac:dyDescent="0.3">
      <c r="G465" s="14"/>
    </row>
    <row r="466" spans="7:7" x14ac:dyDescent="0.3">
      <c r="G466" s="14"/>
    </row>
    <row r="467" spans="7:7" x14ac:dyDescent="0.3">
      <c r="G467" s="14"/>
    </row>
    <row r="468" spans="7:7" x14ac:dyDescent="0.3">
      <c r="G468" s="14"/>
    </row>
    <row r="469" spans="7:7" x14ac:dyDescent="0.3">
      <c r="G469" s="14"/>
    </row>
    <row r="470" spans="7:7" x14ac:dyDescent="0.3">
      <c r="G470" s="14"/>
    </row>
    <row r="471" spans="7:7" x14ac:dyDescent="0.3">
      <c r="G471" s="14"/>
    </row>
    <row r="472" spans="7:7" x14ac:dyDescent="0.3">
      <c r="G472" s="14"/>
    </row>
    <row r="473" spans="7:7" x14ac:dyDescent="0.3">
      <c r="G473" s="14"/>
    </row>
    <row r="474" spans="7:7" x14ac:dyDescent="0.3">
      <c r="G474" s="14"/>
    </row>
    <row r="475" spans="7:7" x14ac:dyDescent="0.3">
      <c r="G475" s="14"/>
    </row>
    <row r="476" spans="7:7" x14ac:dyDescent="0.3">
      <c r="G476" s="14"/>
    </row>
    <row r="477" spans="7:7" x14ac:dyDescent="0.3">
      <c r="G477" s="14"/>
    </row>
    <row r="478" spans="7:7" x14ac:dyDescent="0.3">
      <c r="G478" s="14"/>
    </row>
    <row r="479" spans="7:7" x14ac:dyDescent="0.3">
      <c r="G479" s="14"/>
    </row>
    <row r="480" spans="7:7" x14ac:dyDescent="0.3">
      <c r="G480" s="14"/>
    </row>
    <row r="481" spans="7:7" x14ac:dyDescent="0.3">
      <c r="G481" s="14"/>
    </row>
    <row r="482" spans="7:7" x14ac:dyDescent="0.3">
      <c r="G482" s="14"/>
    </row>
    <row r="483" spans="7:7" x14ac:dyDescent="0.3">
      <c r="G483" s="14"/>
    </row>
    <row r="484" spans="7:7" x14ac:dyDescent="0.3">
      <c r="G484" s="14"/>
    </row>
    <row r="485" spans="7:7" x14ac:dyDescent="0.3">
      <c r="G485" s="14"/>
    </row>
    <row r="486" spans="7:7" x14ac:dyDescent="0.3">
      <c r="G486" s="14"/>
    </row>
    <row r="487" spans="7:7" x14ac:dyDescent="0.3">
      <c r="G487" s="14"/>
    </row>
    <row r="488" spans="7:7" x14ac:dyDescent="0.3">
      <c r="G488" s="14"/>
    </row>
    <row r="489" spans="7:7" x14ac:dyDescent="0.3">
      <c r="G489" s="14"/>
    </row>
    <row r="490" spans="7:7" x14ac:dyDescent="0.3">
      <c r="G490" s="14"/>
    </row>
    <row r="491" spans="7:7" x14ac:dyDescent="0.3">
      <c r="G491" s="14"/>
    </row>
    <row r="492" spans="7:7" x14ac:dyDescent="0.3">
      <c r="G492" s="14"/>
    </row>
    <row r="493" spans="7:7" x14ac:dyDescent="0.3">
      <c r="G493" s="14"/>
    </row>
    <row r="494" spans="7:7" x14ac:dyDescent="0.3">
      <c r="G494" s="14"/>
    </row>
    <row r="495" spans="7:7" x14ac:dyDescent="0.3">
      <c r="G495" s="14"/>
    </row>
    <row r="496" spans="7:7" x14ac:dyDescent="0.3">
      <c r="G496" s="14"/>
    </row>
    <row r="497" spans="7:7" x14ac:dyDescent="0.3">
      <c r="G497" s="14"/>
    </row>
    <row r="498" spans="7:7" x14ac:dyDescent="0.3">
      <c r="G498" s="14"/>
    </row>
    <row r="499" spans="7:7" x14ac:dyDescent="0.3">
      <c r="G499" s="14"/>
    </row>
    <row r="500" spans="7:7" x14ac:dyDescent="0.3">
      <c r="G500" s="14"/>
    </row>
    <row r="501" spans="7:7" x14ac:dyDescent="0.3">
      <c r="G501" s="14"/>
    </row>
    <row r="502" spans="7:7" x14ac:dyDescent="0.3">
      <c r="G502" s="14"/>
    </row>
    <row r="503" spans="7:7" x14ac:dyDescent="0.3">
      <c r="G503" s="14"/>
    </row>
    <row r="504" spans="7:7" x14ac:dyDescent="0.3">
      <c r="G504" s="14"/>
    </row>
    <row r="505" spans="7:7" x14ac:dyDescent="0.3">
      <c r="G505" s="14"/>
    </row>
    <row r="506" spans="7:7" x14ac:dyDescent="0.3">
      <c r="G506" s="14"/>
    </row>
    <row r="507" spans="7:7" x14ac:dyDescent="0.3">
      <c r="G507" s="14"/>
    </row>
    <row r="508" spans="7:7" x14ac:dyDescent="0.3">
      <c r="G508" s="14"/>
    </row>
    <row r="509" spans="7:7" x14ac:dyDescent="0.3">
      <c r="G509" s="14"/>
    </row>
    <row r="510" spans="7:7" x14ac:dyDescent="0.3">
      <c r="G510" s="14"/>
    </row>
    <row r="511" spans="7:7" x14ac:dyDescent="0.3">
      <c r="G511" s="14"/>
    </row>
    <row r="512" spans="7:7" x14ac:dyDescent="0.3">
      <c r="G512" s="14"/>
    </row>
    <row r="513" spans="7:7" x14ac:dyDescent="0.3">
      <c r="G513" s="14"/>
    </row>
    <row r="514" spans="7:7" x14ac:dyDescent="0.3">
      <c r="G514" s="14"/>
    </row>
    <row r="515" spans="7:7" x14ac:dyDescent="0.3">
      <c r="G515" s="14"/>
    </row>
    <row r="516" spans="7:7" x14ac:dyDescent="0.3">
      <c r="G516" s="14"/>
    </row>
    <row r="517" spans="7:7" x14ac:dyDescent="0.3">
      <c r="G517" s="14"/>
    </row>
    <row r="518" spans="7:7" x14ac:dyDescent="0.3">
      <c r="G518" s="14"/>
    </row>
    <row r="519" spans="7:7" x14ac:dyDescent="0.3">
      <c r="G519" s="14"/>
    </row>
    <row r="520" spans="7:7" x14ac:dyDescent="0.3">
      <c r="G520" s="14"/>
    </row>
    <row r="521" spans="7:7" x14ac:dyDescent="0.3">
      <c r="G521" s="14"/>
    </row>
    <row r="522" spans="7:7" x14ac:dyDescent="0.3">
      <c r="G522" s="14"/>
    </row>
    <row r="523" spans="7:7" x14ac:dyDescent="0.3">
      <c r="G523" s="14"/>
    </row>
    <row r="524" spans="7:7" x14ac:dyDescent="0.3">
      <c r="G524" s="14"/>
    </row>
    <row r="525" spans="7:7" x14ac:dyDescent="0.3">
      <c r="G525" s="14"/>
    </row>
    <row r="526" spans="7:7" x14ac:dyDescent="0.3">
      <c r="G526" s="14"/>
    </row>
    <row r="527" spans="7:7" x14ac:dyDescent="0.3">
      <c r="G527" s="14"/>
    </row>
    <row r="528" spans="7:7" x14ac:dyDescent="0.3">
      <c r="G528" s="14"/>
    </row>
    <row r="529" spans="7:7" x14ac:dyDescent="0.3">
      <c r="G529" s="14"/>
    </row>
    <row r="530" spans="7:7" x14ac:dyDescent="0.3">
      <c r="G530" s="14"/>
    </row>
    <row r="531" spans="7:7" x14ac:dyDescent="0.3">
      <c r="G531" s="14"/>
    </row>
    <row r="532" spans="7:7" x14ac:dyDescent="0.3">
      <c r="G532" s="14"/>
    </row>
    <row r="533" spans="7:7" x14ac:dyDescent="0.3">
      <c r="G533" s="14"/>
    </row>
    <row r="534" spans="7:7" x14ac:dyDescent="0.3">
      <c r="G534" s="14"/>
    </row>
    <row r="535" spans="7:7" x14ac:dyDescent="0.3">
      <c r="G535" s="14"/>
    </row>
    <row r="536" spans="7:7" x14ac:dyDescent="0.3">
      <c r="G536" s="14"/>
    </row>
    <row r="537" spans="7:7" x14ac:dyDescent="0.3">
      <c r="G537" s="14"/>
    </row>
    <row r="538" spans="7:7" x14ac:dyDescent="0.3">
      <c r="G538" s="14"/>
    </row>
    <row r="539" spans="7:7" x14ac:dyDescent="0.3">
      <c r="G539" s="14"/>
    </row>
    <row r="540" spans="7:7" x14ac:dyDescent="0.3">
      <c r="G540" s="14"/>
    </row>
    <row r="541" spans="7:7" x14ac:dyDescent="0.3">
      <c r="G541" s="14"/>
    </row>
    <row r="542" spans="7:7" x14ac:dyDescent="0.3">
      <c r="G542" s="14"/>
    </row>
    <row r="543" spans="7:7" x14ac:dyDescent="0.3">
      <c r="G543" s="14"/>
    </row>
    <row r="544" spans="7:7" x14ac:dyDescent="0.3">
      <c r="G544" s="14"/>
    </row>
    <row r="545" spans="7:7" x14ac:dyDescent="0.3">
      <c r="G545" s="14"/>
    </row>
    <row r="546" spans="7:7" x14ac:dyDescent="0.3">
      <c r="G546" s="14"/>
    </row>
    <row r="547" spans="7:7" x14ac:dyDescent="0.3">
      <c r="G547" s="14"/>
    </row>
    <row r="548" spans="7:7" x14ac:dyDescent="0.3">
      <c r="G548" s="14"/>
    </row>
    <row r="549" spans="7:7" x14ac:dyDescent="0.3">
      <c r="G549" s="14"/>
    </row>
    <row r="550" spans="7:7" x14ac:dyDescent="0.3">
      <c r="G550" s="14"/>
    </row>
    <row r="551" spans="7:7" x14ac:dyDescent="0.3">
      <c r="G551" s="14"/>
    </row>
    <row r="552" spans="7:7" x14ac:dyDescent="0.3">
      <c r="G552" s="14"/>
    </row>
    <row r="553" spans="7:7" x14ac:dyDescent="0.3">
      <c r="G553" s="14"/>
    </row>
    <row r="554" spans="7:7" x14ac:dyDescent="0.3">
      <c r="G554" s="14"/>
    </row>
    <row r="555" spans="7:7" x14ac:dyDescent="0.3">
      <c r="G555" s="14"/>
    </row>
    <row r="556" spans="7:7" x14ac:dyDescent="0.3">
      <c r="G556" s="14"/>
    </row>
    <row r="557" spans="7:7" x14ac:dyDescent="0.3">
      <c r="G557" s="14"/>
    </row>
    <row r="558" spans="7:7" x14ac:dyDescent="0.3">
      <c r="G558" s="14"/>
    </row>
    <row r="559" spans="7:7" x14ac:dyDescent="0.3">
      <c r="G559" s="14"/>
    </row>
    <row r="560" spans="7:7" x14ac:dyDescent="0.3">
      <c r="G560" s="14"/>
    </row>
    <row r="561" spans="7:7" x14ac:dyDescent="0.3">
      <c r="G561" s="14"/>
    </row>
    <row r="562" spans="7:7" x14ac:dyDescent="0.3">
      <c r="G562" s="14"/>
    </row>
    <row r="563" spans="7:7" x14ac:dyDescent="0.3">
      <c r="G563" s="14"/>
    </row>
    <row r="564" spans="7:7" x14ac:dyDescent="0.3">
      <c r="G564" s="14"/>
    </row>
    <row r="565" spans="7:7" x14ac:dyDescent="0.3">
      <c r="G565" s="14"/>
    </row>
    <row r="566" spans="7:7" x14ac:dyDescent="0.3">
      <c r="G566" s="14"/>
    </row>
    <row r="567" spans="7:7" x14ac:dyDescent="0.3">
      <c r="G567" s="14"/>
    </row>
    <row r="568" spans="7:7" x14ac:dyDescent="0.3">
      <c r="G568" s="14"/>
    </row>
    <row r="569" spans="7:7" x14ac:dyDescent="0.3">
      <c r="G569" s="14"/>
    </row>
    <row r="570" spans="7:7" x14ac:dyDescent="0.3">
      <c r="G570" s="14"/>
    </row>
    <row r="571" spans="7:7" x14ac:dyDescent="0.3">
      <c r="G571" s="14"/>
    </row>
    <row r="572" spans="7:7" x14ac:dyDescent="0.3">
      <c r="G572" s="14"/>
    </row>
    <row r="573" spans="7:7" x14ac:dyDescent="0.3">
      <c r="G573" s="14"/>
    </row>
    <row r="574" spans="7:7" x14ac:dyDescent="0.3">
      <c r="G574" s="14"/>
    </row>
    <row r="575" spans="7:7" x14ac:dyDescent="0.3">
      <c r="G575" s="14"/>
    </row>
    <row r="576" spans="7:7" x14ac:dyDescent="0.3">
      <c r="G576" s="14"/>
    </row>
    <row r="577" spans="7:7" x14ac:dyDescent="0.3">
      <c r="G577" s="14"/>
    </row>
    <row r="578" spans="7:7" x14ac:dyDescent="0.3">
      <c r="G578" s="14"/>
    </row>
    <row r="579" spans="7:7" x14ac:dyDescent="0.3">
      <c r="G579" s="14"/>
    </row>
    <row r="580" spans="7:7" x14ac:dyDescent="0.3">
      <c r="G580" s="14"/>
    </row>
    <row r="581" spans="7:7" x14ac:dyDescent="0.3">
      <c r="G581" s="14"/>
    </row>
    <row r="582" spans="7:7" x14ac:dyDescent="0.3">
      <c r="G582" s="14"/>
    </row>
    <row r="583" spans="7:7" x14ac:dyDescent="0.3">
      <c r="G583" s="14"/>
    </row>
    <row r="584" spans="7:7" x14ac:dyDescent="0.3">
      <c r="G584" s="14"/>
    </row>
    <row r="585" spans="7:7" x14ac:dyDescent="0.3">
      <c r="G585" s="14"/>
    </row>
    <row r="586" spans="7:7" x14ac:dyDescent="0.3">
      <c r="G586" s="14"/>
    </row>
    <row r="587" spans="7:7" x14ac:dyDescent="0.3">
      <c r="G587" s="14"/>
    </row>
    <row r="588" spans="7:7" x14ac:dyDescent="0.3">
      <c r="G588" s="14"/>
    </row>
    <row r="589" spans="7:7" x14ac:dyDescent="0.3">
      <c r="G589" s="14"/>
    </row>
    <row r="590" spans="7:7" x14ac:dyDescent="0.3">
      <c r="G590" s="14"/>
    </row>
    <row r="591" spans="7:7" x14ac:dyDescent="0.3">
      <c r="G591" s="14"/>
    </row>
    <row r="592" spans="7:7" x14ac:dyDescent="0.3">
      <c r="G592" s="14"/>
    </row>
    <row r="593" spans="7:7" x14ac:dyDescent="0.3">
      <c r="G593" s="14"/>
    </row>
    <row r="594" spans="7:7" x14ac:dyDescent="0.3">
      <c r="G594" s="14"/>
    </row>
    <row r="595" spans="7:7" x14ac:dyDescent="0.3">
      <c r="G595" s="14"/>
    </row>
    <row r="596" spans="7:7" x14ac:dyDescent="0.3">
      <c r="G596" s="14"/>
    </row>
    <row r="597" spans="7:7" x14ac:dyDescent="0.3">
      <c r="G597" s="14"/>
    </row>
    <row r="598" spans="7:7" x14ac:dyDescent="0.3">
      <c r="G598" s="14"/>
    </row>
    <row r="599" spans="7:7" x14ac:dyDescent="0.3">
      <c r="G599" s="14"/>
    </row>
    <row r="600" spans="7:7" x14ac:dyDescent="0.3">
      <c r="G600" s="14"/>
    </row>
    <row r="601" spans="7:7" x14ac:dyDescent="0.3">
      <c r="G601" s="14"/>
    </row>
    <row r="602" spans="7:7" x14ac:dyDescent="0.3">
      <c r="G602" s="14"/>
    </row>
    <row r="603" spans="7:7" x14ac:dyDescent="0.3">
      <c r="G603" s="14"/>
    </row>
    <row r="604" spans="7:7" x14ac:dyDescent="0.3">
      <c r="G604" s="14"/>
    </row>
    <row r="605" spans="7:7" x14ac:dyDescent="0.3">
      <c r="G605" s="14"/>
    </row>
    <row r="606" spans="7:7" x14ac:dyDescent="0.3">
      <c r="G606" s="14"/>
    </row>
    <row r="607" spans="7:7" x14ac:dyDescent="0.3">
      <c r="G607" s="14"/>
    </row>
    <row r="608" spans="7:7" x14ac:dyDescent="0.3">
      <c r="G608" s="14"/>
    </row>
    <row r="609" spans="7:7" x14ac:dyDescent="0.3">
      <c r="G609" s="14"/>
    </row>
    <row r="610" spans="7:7" x14ac:dyDescent="0.3">
      <c r="G610" s="14"/>
    </row>
    <row r="611" spans="7:7" x14ac:dyDescent="0.3">
      <c r="G611" s="14"/>
    </row>
    <row r="612" spans="7:7" x14ac:dyDescent="0.3">
      <c r="G612" s="14"/>
    </row>
    <row r="613" spans="7:7" x14ac:dyDescent="0.3">
      <c r="G613" s="14"/>
    </row>
    <row r="614" spans="7:7" x14ac:dyDescent="0.3">
      <c r="G614" s="14"/>
    </row>
    <row r="615" spans="7:7" x14ac:dyDescent="0.3">
      <c r="G615" s="14"/>
    </row>
    <row r="616" spans="7:7" x14ac:dyDescent="0.3">
      <c r="G616" s="14"/>
    </row>
    <row r="617" spans="7:7" x14ac:dyDescent="0.3">
      <c r="G617" s="14"/>
    </row>
    <row r="618" spans="7:7" x14ac:dyDescent="0.3">
      <c r="G618" s="14"/>
    </row>
    <row r="619" spans="7:7" x14ac:dyDescent="0.3">
      <c r="G619" s="14"/>
    </row>
    <row r="620" spans="7:7" x14ac:dyDescent="0.3">
      <c r="G620" s="14"/>
    </row>
    <row r="621" spans="7:7" x14ac:dyDescent="0.3">
      <c r="G621" s="14"/>
    </row>
    <row r="622" spans="7:7" x14ac:dyDescent="0.3">
      <c r="G622" s="14"/>
    </row>
    <row r="623" spans="7:7" x14ac:dyDescent="0.3">
      <c r="G623" s="14"/>
    </row>
    <row r="624" spans="7:7" x14ac:dyDescent="0.3">
      <c r="G624" s="14"/>
    </row>
    <row r="625" spans="7:7" x14ac:dyDescent="0.3">
      <c r="G625" s="14"/>
    </row>
    <row r="626" spans="7:7" x14ac:dyDescent="0.3">
      <c r="G626" s="14"/>
    </row>
    <row r="627" spans="7:7" x14ac:dyDescent="0.3">
      <c r="G627" s="14"/>
    </row>
    <row r="628" spans="7:7" x14ac:dyDescent="0.3">
      <c r="G628" s="14"/>
    </row>
    <row r="629" spans="7:7" x14ac:dyDescent="0.3">
      <c r="G629" s="14"/>
    </row>
    <row r="630" spans="7:7" x14ac:dyDescent="0.3">
      <c r="G630" s="14"/>
    </row>
    <row r="631" spans="7:7" x14ac:dyDescent="0.3">
      <c r="G631" s="14"/>
    </row>
    <row r="632" spans="7:7" x14ac:dyDescent="0.3">
      <c r="G632" s="14"/>
    </row>
    <row r="633" spans="7:7" x14ac:dyDescent="0.3">
      <c r="G633" s="14"/>
    </row>
    <row r="634" spans="7:7" x14ac:dyDescent="0.3">
      <c r="G634" s="14"/>
    </row>
    <row r="635" spans="7:7" x14ac:dyDescent="0.3">
      <c r="G635" s="14"/>
    </row>
    <row r="636" spans="7:7" x14ac:dyDescent="0.3">
      <c r="G636" s="14"/>
    </row>
    <row r="637" spans="7:7" x14ac:dyDescent="0.3">
      <c r="G637" s="14"/>
    </row>
    <row r="638" spans="7:7" x14ac:dyDescent="0.3">
      <c r="G638" s="14"/>
    </row>
    <row r="639" spans="7:7" x14ac:dyDescent="0.3">
      <c r="G639" s="14"/>
    </row>
    <row r="640" spans="7:7" x14ac:dyDescent="0.3">
      <c r="G640" s="14"/>
    </row>
    <row r="641" spans="7:7" x14ac:dyDescent="0.3">
      <c r="G641" s="14"/>
    </row>
    <row r="642" spans="7:7" x14ac:dyDescent="0.3">
      <c r="G642" s="14"/>
    </row>
    <row r="643" spans="7:7" x14ac:dyDescent="0.3">
      <c r="G643" s="14"/>
    </row>
    <row r="644" spans="7:7" x14ac:dyDescent="0.3">
      <c r="G644" s="14"/>
    </row>
    <row r="645" spans="7:7" x14ac:dyDescent="0.3">
      <c r="G645" s="14"/>
    </row>
    <row r="646" spans="7:7" x14ac:dyDescent="0.3">
      <c r="G646" s="14"/>
    </row>
    <row r="647" spans="7:7" x14ac:dyDescent="0.3">
      <c r="G647" s="14"/>
    </row>
    <row r="648" spans="7:7" x14ac:dyDescent="0.3">
      <c r="G648" s="14"/>
    </row>
    <row r="649" spans="7:7" x14ac:dyDescent="0.3">
      <c r="G649" s="14"/>
    </row>
    <row r="650" spans="7:7" x14ac:dyDescent="0.3">
      <c r="G650" s="14"/>
    </row>
    <row r="651" spans="7:7" x14ac:dyDescent="0.3">
      <c r="G651" s="14"/>
    </row>
    <row r="652" spans="7:7" x14ac:dyDescent="0.3">
      <c r="G652" s="14"/>
    </row>
    <row r="653" spans="7:7" x14ac:dyDescent="0.3">
      <c r="G653" s="14"/>
    </row>
    <row r="654" spans="7:7" x14ac:dyDescent="0.3">
      <c r="G654" s="14"/>
    </row>
    <row r="655" spans="7:7" x14ac:dyDescent="0.3">
      <c r="G655" s="14"/>
    </row>
    <row r="656" spans="7:7" x14ac:dyDescent="0.3">
      <c r="G656" s="14"/>
    </row>
    <row r="657" spans="7:7" x14ac:dyDescent="0.3">
      <c r="G657" s="14"/>
    </row>
    <row r="658" spans="7:7" x14ac:dyDescent="0.3">
      <c r="G658" s="14"/>
    </row>
    <row r="659" spans="7:7" x14ac:dyDescent="0.3">
      <c r="G659" s="14"/>
    </row>
    <row r="660" spans="7:7" x14ac:dyDescent="0.3">
      <c r="G660" s="14"/>
    </row>
    <row r="661" spans="7:7" x14ac:dyDescent="0.3">
      <c r="G661" s="14"/>
    </row>
    <row r="662" spans="7:7" x14ac:dyDescent="0.3">
      <c r="G662" s="14"/>
    </row>
    <row r="663" spans="7:7" x14ac:dyDescent="0.3">
      <c r="G663" s="14"/>
    </row>
    <row r="664" spans="7:7" x14ac:dyDescent="0.3">
      <c r="G664" s="14"/>
    </row>
    <row r="665" spans="7:7" x14ac:dyDescent="0.3">
      <c r="G665" s="14"/>
    </row>
    <row r="666" spans="7:7" x14ac:dyDescent="0.3">
      <c r="G666" s="14"/>
    </row>
    <row r="667" spans="7:7" x14ac:dyDescent="0.3">
      <c r="G667" s="14"/>
    </row>
    <row r="668" spans="7:7" x14ac:dyDescent="0.3">
      <c r="G668" s="14"/>
    </row>
    <row r="669" spans="7:7" x14ac:dyDescent="0.3">
      <c r="G669" s="14"/>
    </row>
    <row r="670" spans="7:7" x14ac:dyDescent="0.3">
      <c r="G670" s="14"/>
    </row>
    <row r="671" spans="7:7" x14ac:dyDescent="0.3">
      <c r="G671" s="14"/>
    </row>
    <row r="672" spans="7:7" x14ac:dyDescent="0.3">
      <c r="G672" s="14"/>
    </row>
    <row r="673" spans="7:7" x14ac:dyDescent="0.3">
      <c r="G673" s="14"/>
    </row>
    <row r="674" spans="7:7" x14ac:dyDescent="0.3">
      <c r="G674" s="14"/>
    </row>
    <row r="675" spans="7:7" x14ac:dyDescent="0.3">
      <c r="G675" s="14"/>
    </row>
    <row r="676" spans="7:7" x14ac:dyDescent="0.3">
      <c r="G676" s="14"/>
    </row>
    <row r="677" spans="7:7" x14ac:dyDescent="0.3">
      <c r="G677" s="14"/>
    </row>
    <row r="678" spans="7:7" x14ac:dyDescent="0.3">
      <c r="G678" s="14"/>
    </row>
    <row r="679" spans="7:7" x14ac:dyDescent="0.3">
      <c r="G679" s="14"/>
    </row>
    <row r="680" spans="7:7" x14ac:dyDescent="0.3">
      <c r="G680" s="14"/>
    </row>
    <row r="681" spans="7:7" x14ac:dyDescent="0.3">
      <c r="G681" s="14"/>
    </row>
    <row r="682" spans="7:7" x14ac:dyDescent="0.3">
      <c r="G682" s="14"/>
    </row>
    <row r="683" spans="7:7" x14ac:dyDescent="0.3">
      <c r="G683" s="14"/>
    </row>
    <row r="684" spans="7:7" x14ac:dyDescent="0.3">
      <c r="G684" s="14"/>
    </row>
    <row r="685" spans="7:7" x14ac:dyDescent="0.3">
      <c r="G685" s="14"/>
    </row>
    <row r="686" spans="7:7" x14ac:dyDescent="0.3">
      <c r="G686" s="14"/>
    </row>
    <row r="687" spans="7:7" x14ac:dyDescent="0.3">
      <c r="G687" s="14"/>
    </row>
    <row r="688" spans="7:7" x14ac:dyDescent="0.3">
      <c r="G688" s="14"/>
    </row>
    <row r="689" spans="7:7" x14ac:dyDescent="0.3">
      <c r="G689" s="14"/>
    </row>
    <row r="690" spans="7:7" x14ac:dyDescent="0.3">
      <c r="G690" s="14"/>
    </row>
    <row r="691" spans="7:7" x14ac:dyDescent="0.3">
      <c r="G691" s="14"/>
    </row>
    <row r="692" spans="7:7" x14ac:dyDescent="0.3">
      <c r="G692" s="14"/>
    </row>
    <row r="693" spans="7:7" x14ac:dyDescent="0.3">
      <c r="G693" s="14"/>
    </row>
    <row r="694" spans="7:7" x14ac:dyDescent="0.3">
      <c r="G694" s="14"/>
    </row>
    <row r="695" spans="7:7" x14ac:dyDescent="0.3">
      <c r="G695" s="14"/>
    </row>
    <row r="696" spans="7:7" x14ac:dyDescent="0.3">
      <c r="G696" s="14"/>
    </row>
    <row r="697" spans="7:7" x14ac:dyDescent="0.3">
      <c r="G697" s="14"/>
    </row>
    <row r="698" spans="7:7" x14ac:dyDescent="0.3">
      <c r="G698" s="14"/>
    </row>
    <row r="699" spans="7:7" x14ac:dyDescent="0.3">
      <c r="G699" s="14"/>
    </row>
    <row r="700" spans="7:7" x14ac:dyDescent="0.3">
      <c r="G700" s="14"/>
    </row>
    <row r="701" spans="7:7" x14ac:dyDescent="0.3">
      <c r="G701" s="14"/>
    </row>
    <row r="702" spans="7:7" x14ac:dyDescent="0.3">
      <c r="G702" s="14"/>
    </row>
    <row r="703" spans="7:7" x14ac:dyDescent="0.3">
      <c r="G703" s="14"/>
    </row>
    <row r="704" spans="7:7" x14ac:dyDescent="0.3">
      <c r="G704" s="14"/>
    </row>
    <row r="705" spans="7:7" x14ac:dyDescent="0.3">
      <c r="G705" s="14"/>
    </row>
    <row r="706" spans="7:7" x14ac:dyDescent="0.3">
      <c r="G706" s="14"/>
    </row>
    <row r="707" spans="7:7" x14ac:dyDescent="0.3">
      <c r="G707" s="14"/>
    </row>
    <row r="708" spans="7:7" x14ac:dyDescent="0.3">
      <c r="G708" s="14"/>
    </row>
    <row r="709" spans="7:7" x14ac:dyDescent="0.3">
      <c r="G709" s="14"/>
    </row>
    <row r="710" spans="7:7" x14ac:dyDescent="0.3">
      <c r="G710" s="14"/>
    </row>
    <row r="711" spans="7:7" x14ac:dyDescent="0.3">
      <c r="G711" s="14"/>
    </row>
    <row r="712" spans="7:7" x14ac:dyDescent="0.3">
      <c r="G712" s="14"/>
    </row>
    <row r="713" spans="7:7" x14ac:dyDescent="0.3">
      <c r="G713" s="14"/>
    </row>
    <row r="714" spans="7:7" x14ac:dyDescent="0.3">
      <c r="G714" s="14"/>
    </row>
    <row r="715" spans="7:7" x14ac:dyDescent="0.3">
      <c r="G715" s="14"/>
    </row>
    <row r="716" spans="7:7" x14ac:dyDescent="0.3">
      <c r="G716" s="14"/>
    </row>
    <row r="717" spans="7:7" x14ac:dyDescent="0.3">
      <c r="G717" s="14"/>
    </row>
    <row r="718" spans="7:7" x14ac:dyDescent="0.3">
      <c r="G718" s="14"/>
    </row>
    <row r="719" spans="7:7" x14ac:dyDescent="0.3">
      <c r="G719" s="14"/>
    </row>
    <row r="720" spans="7:7" x14ac:dyDescent="0.3">
      <c r="G720" s="14"/>
    </row>
    <row r="721" spans="7:7" x14ac:dyDescent="0.3">
      <c r="G721" s="14"/>
    </row>
    <row r="722" spans="7:7" x14ac:dyDescent="0.3">
      <c r="G722" s="14"/>
    </row>
    <row r="723" spans="7:7" x14ac:dyDescent="0.3">
      <c r="G723" s="14"/>
    </row>
    <row r="724" spans="7:7" x14ac:dyDescent="0.3">
      <c r="G724" s="14"/>
    </row>
    <row r="725" spans="7:7" x14ac:dyDescent="0.3">
      <c r="G725" s="14"/>
    </row>
    <row r="726" spans="7:7" x14ac:dyDescent="0.3">
      <c r="G726" s="14"/>
    </row>
    <row r="727" spans="7:7" x14ac:dyDescent="0.3">
      <c r="G727" s="14"/>
    </row>
    <row r="728" spans="7:7" x14ac:dyDescent="0.3">
      <c r="G728" s="14"/>
    </row>
    <row r="729" spans="7:7" x14ac:dyDescent="0.3">
      <c r="G729" s="14"/>
    </row>
    <row r="730" spans="7:7" x14ac:dyDescent="0.3">
      <c r="G730" s="14"/>
    </row>
    <row r="731" spans="7:7" x14ac:dyDescent="0.3">
      <c r="G731" s="14"/>
    </row>
    <row r="732" spans="7:7" x14ac:dyDescent="0.3">
      <c r="G732" s="14"/>
    </row>
    <row r="733" spans="7:7" x14ac:dyDescent="0.3">
      <c r="G733" s="14"/>
    </row>
    <row r="734" spans="7:7" x14ac:dyDescent="0.3">
      <c r="G734" s="14"/>
    </row>
    <row r="735" spans="7:7" x14ac:dyDescent="0.3">
      <c r="G735" s="14"/>
    </row>
    <row r="736" spans="7:7" x14ac:dyDescent="0.3">
      <c r="G736" s="14"/>
    </row>
    <row r="737" spans="7:7" x14ac:dyDescent="0.3">
      <c r="G737" s="14"/>
    </row>
    <row r="738" spans="7:7" x14ac:dyDescent="0.3">
      <c r="G738" s="14"/>
    </row>
    <row r="739" spans="7:7" x14ac:dyDescent="0.3">
      <c r="G739" s="14"/>
    </row>
    <row r="740" spans="7:7" x14ac:dyDescent="0.3">
      <c r="G740" s="14"/>
    </row>
    <row r="741" spans="7:7" x14ac:dyDescent="0.3">
      <c r="G741" s="14"/>
    </row>
    <row r="742" spans="7:7" x14ac:dyDescent="0.3">
      <c r="G742" s="14"/>
    </row>
    <row r="743" spans="7:7" x14ac:dyDescent="0.3">
      <c r="G743" s="14"/>
    </row>
    <row r="744" spans="7:7" x14ac:dyDescent="0.3">
      <c r="G744" s="14"/>
    </row>
    <row r="745" spans="7:7" x14ac:dyDescent="0.3">
      <c r="G745" s="14"/>
    </row>
    <row r="746" spans="7:7" x14ac:dyDescent="0.3">
      <c r="G746" s="14"/>
    </row>
    <row r="747" spans="7:7" x14ac:dyDescent="0.3">
      <c r="G747" s="14"/>
    </row>
    <row r="748" spans="7:7" x14ac:dyDescent="0.3">
      <c r="G748" s="14"/>
    </row>
    <row r="749" spans="7:7" x14ac:dyDescent="0.3">
      <c r="G749" s="14"/>
    </row>
    <row r="750" spans="7:7" x14ac:dyDescent="0.3">
      <c r="G750" s="14"/>
    </row>
    <row r="751" spans="7:7" x14ac:dyDescent="0.3">
      <c r="G751" s="14"/>
    </row>
    <row r="752" spans="7:7" x14ac:dyDescent="0.3">
      <c r="G752" s="14"/>
    </row>
    <row r="753" spans="7:7" x14ac:dyDescent="0.3">
      <c r="G753" s="14"/>
    </row>
    <row r="754" spans="7:7" x14ac:dyDescent="0.3">
      <c r="G754" s="14"/>
    </row>
    <row r="755" spans="7:7" x14ac:dyDescent="0.3">
      <c r="G755" s="14"/>
    </row>
    <row r="756" spans="7:7" x14ac:dyDescent="0.3">
      <c r="G756" s="14"/>
    </row>
    <row r="757" spans="7:7" x14ac:dyDescent="0.3">
      <c r="G757" s="14"/>
    </row>
    <row r="758" spans="7:7" x14ac:dyDescent="0.3">
      <c r="G758" s="14"/>
    </row>
    <row r="759" spans="7:7" x14ac:dyDescent="0.3">
      <c r="G759" s="14"/>
    </row>
    <row r="760" spans="7:7" x14ac:dyDescent="0.3">
      <c r="G760" s="14"/>
    </row>
    <row r="761" spans="7:7" x14ac:dyDescent="0.3">
      <c r="G761" s="14"/>
    </row>
    <row r="762" spans="7:7" x14ac:dyDescent="0.3">
      <c r="G762" s="14"/>
    </row>
    <row r="763" spans="7:7" x14ac:dyDescent="0.3">
      <c r="G763" s="14"/>
    </row>
    <row r="764" spans="7:7" x14ac:dyDescent="0.3">
      <c r="G764" s="14"/>
    </row>
    <row r="765" spans="7:7" x14ac:dyDescent="0.3">
      <c r="G765" s="14"/>
    </row>
    <row r="766" spans="7:7" x14ac:dyDescent="0.3">
      <c r="G766" s="14"/>
    </row>
    <row r="767" spans="7:7" x14ac:dyDescent="0.3">
      <c r="G767" s="14"/>
    </row>
    <row r="768" spans="7:7" x14ac:dyDescent="0.3">
      <c r="G768" s="14"/>
    </row>
    <row r="769" spans="7:7" x14ac:dyDescent="0.3">
      <c r="G769" s="14"/>
    </row>
    <row r="770" spans="7:7" x14ac:dyDescent="0.3">
      <c r="G770" s="14"/>
    </row>
    <row r="771" spans="7:7" x14ac:dyDescent="0.3">
      <c r="G771" s="14"/>
    </row>
    <row r="772" spans="7:7" x14ac:dyDescent="0.3">
      <c r="G772" s="14"/>
    </row>
    <row r="773" spans="7:7" x14ac:dyDescent="0.3">
      <c r="G773" s="14"/>
    </row>
    <row r="774" spans="7:7" x14ac:dyDescent="0.3">
      <c r="G774" s="14"/>
    </row>
    <row r="775" spans="7:7" x14ac:dyDescent="0.3">
      <c r="G775" s="14"/>
    </row>
    <row r="776" spans="7:7" x14ac:dyDescent="0.3">
      <c r="G776" s="14"/>
    </row>
    <row r="777" spans="7:7" x14ac:dyDescent="0.3">
      <c r="G777" s="14"/>
    </row>
    <row r="778" spans="7:7" x14ac:dyDescent="0.3">
      <c r="G778" s="14"/>
    </row>
    <row r="779" spans="7:7" x14ac:dyDescent="0.3">
      <c r="G779" s="14"/>
    </row>
    <row r="780" spans="7:7" x14ac:dyDescent="0.3">
      <c r="G780" s="14"/>
    </row>
    <row r="781" spans="7:7" x14ac:dyDescent="0.3">
      <c r="G781" s="14"/>
    </row>
    <row r="782" spans="7:7" x14ac:dyDescent="0.3">
      <c r="G782" s="14"/>
    </row>
    <row r="783" spans="7:7" x14ac:dyDescent="0.3">
      <c r="G783" s="14"/>
    </row>
    <row r="784" spans="7:7" x14ac:dyDescent="0.3">
      <c r="G784" s="14"/>
    </row>
    <row r="785" spans="7:7" x14ac:dyDescent="0.3">
      <c r="G785" s="14"/>
    </row>
    <row r="786" spans="7:7" x14ac:dyDescent="0.3">
      <c r="G786" s="14"/>
    </row>
    <row r="787" spans="7:7" x14ac:dyDescent="0.3">
      <c r="G787" s="14"/>
    </row>
    <row r="788" spans="7:7" x14ac:dyDescent="0.3">
      <c r="G788" s="14"/>
    </row>
    <row r="789" spans="7:7" x14ac:dyDescent="0.3">
      <c r="G789" s="14"/>
    </row>
    <row r="790" spans="7:7" x14ac:dyDescent="0.3">
      <c r="G790" s="14"/>
    </row>
    <row r="791" spans="7:7" x14ac:dyDescent="0.3">
      <c r="G791" s="14"/>
    </row>
    <row r="792" spans="7:7" x14ac:dyDescent="0.3">
      <c r="G792" s="14"/>
    </row>
    <row r="793" spans="7:7" x14ac:dyDescent="0.3">
      <c r="G793" s="14"/>
    </row>
    <row r="794" spans="7:7" x14ac:dyDescent="0.3">
      <c r="G794" s="14"/>
    </row>
    <row r="795" spans="7:7" x14ac:dyDescent="0.3">
      <c r="G795" s="14"/>
    </row>
    <row r="796" spans="7:7" x14ac:dyDescent="0.3">
      <c r="G796" s="14"/>
    </row>
    <row r="797" spans="7:7" x14ac:dyDescent="0.3">
      <c r="G797" s="14"/>
    </row>
    <row r="798" spans="7:7" x14ac:dyDescent="0.3">
      <c r="G798" s="14"/>
    </row>
    <row r="799" spans="7:7" x14ac:dyDescent="0.3">
      <c r="G799" s="14"/>
    </row>
    <row r="800" spans="7:7" x14ac:dyDescent="0.3">
      <c r="G800" s="14"/>
    </row>
    <row r="801" spans="7:7" x14ac:dyDescent="0.3">
      <c r="G801" s="14"/>
    </row>
    <row r="802" spans="7:7" x14ac:dyDescent="0.3">
      <c r="G802" s="14"/>
    </row>
    <row r="803" spans="7:7" x14ac:dyDescent="0.3">
      <c r="G803" s="14"/>
    </row>
    <row r="804" spans="7:7" x14ac:dyDescent="0.3">
      <c r="G804" s="14"/>
    </row>
    <row r="805" spans="7:7" x14ac:dyDescent="0.3">
      <c r="G805" s="14"/>
    </row>
    <row r="806" spans="7:7" x14ac:dyDescent="0.3">
      <c r="G806" s="14"/>
    </row>
    <row r="807" spans="7:7" x14ac:dyDescent="0.3">
      <c r="G807" s="14"/>
    </row>
    <row r="808" spans="7:7" x14ac:dyDescent="0.3">
      <c r="G808" s="14"/>
    </row>
    <row r="809" spans="7:7" x14ac:dyDescent="0.3">
      <c r="G809" s="14"/>
    </row>
    <row r="810" spans="7:7" x14ac:dyDescent="0.3">
      <c r="G810" s="14"/>
    </row>
    <row r="811" spans="7:7" x14ac:dyDescent="0.3">
      <c r="G811" s="14"/>
    </row>
    <row r="812" spans="7:7" x14ac:dyDescent="0.3">
      <c r="G812" s="14"/>
    </row>
    <row r="813" spans="7:7" x14ac:dyDescent="0.3">
      <c r="G813" s="14"/>
    </row>
    <row r="814" spans="7:7" x14ac:dyDescent="0.3">
      <c r="G814" s="14"/>
    </row>
    <row r="815" spans="7:7" x14ac:dyDescent="0.3">
      <c r="G815" s="14"/>
    </row>
    <row r="816" spans="7:7" x14ac:dyDescent="0.3">
      <c r="G816" s="14"/>
    </row>
    <row r="817" spans="7:7" x14ac:dyDescent="0.3">
      <c r="G817" s="14"/>
    </row>
    <row r="818" spans="7:7" x14ac:dyDescent="0.3">
      <c r="G818" s="14"/>
    </row>
    <row r="819" spans="7:7" x14ac:dyDescent="0.3">
      <c r="G819" s="14"/>
    </row>
    <row r="820" spans="7:7" x14ac:dyDescent="0.3">
      <c r="G820" s="14"/>
    </row>
    <row r="821" spans="7:7" x14ac:dyDescent="0.3">
      <c r="G821" s="14"/>
    </row>
    <row r="822" spans="7:7" x14ac:dyDescent="0.3">
      <c r="G822" s="14"/>
    </row>
    <row r="823" spans="7:7" x14ac:dyDescent="0.3">
      <c r="G823" s="14"/>
    </row>
    <row r="824" spans="7:7" x14ac:dyDescent="0.3">
      <c r="G824" s="14"/>
    </row>
    <row r="825" spans="7:7" x14ac:dyDescent="0.3">
      <c r="G825" s="14"/>
    </row>
    <row r="826" spans="7:7" x14ac:dyDescent="0.3">
      <c r="G826" s="14"/>
    </row>
    <row r="827" spans="7:7" x14ac:dyDescent="0.3">
      <c r="G827" s="14"/>
    </row>
    <row r="828" spans="7:7" x14ac:dyDescent="0.3">
      <c r="G828" s="14"/>
    </row>
    <row r="829" spans="7:7" x14ac:dyDescent="0.3">
      <c r="G829" s="14"/>
    </row>
    <row r="830" spans="7:7" x14ac:dyDescent="0.3">
      <c r="G830" s="14"/>
    </row>
    <row r="831" spans="7:7" x14ac:dyDescent="0.3">
      <c r="G831" s="14"/>
    </row>
    <row r="832" spans="7:7" x14ac:dyDescent="0.3">
      <c r="G832" s="14"/>
    </row>
    <row r="833" spans="7:7" x14ac:dyDescent="0.3">
      <c r="G833" s="14"/>
    </row>
    <row r="834" spans="7:7" x14ac:dyDescent="0.3">
      <c r="G834" s="14"/>
    </row>
    <row r="835" spans="7:7" x14ac:dyDescent="0.3">
      <c r="G835" s="14"/>
    </row>
    <row r="836" spans="7:7" x14ac:dyDescent="0.3">
      <c r="G836" s="14"/>
    </row>
    <row r="837" spans="7:7" x14ac:dyDescent="0.3">
      <c r="G837" s="14"/>
    </row>
    <row r="838" spans="7:7" x14ac:dyDescent="0.3">
      <c r="G838" s="14"/>
    </row>
    <row r="839" spans="7:7" x14ac:dyDescent="0.3">
      <c r="G839" s="14"/>
    </row>
    <row r="840" spans="7:7" x14ac:dyDescent="0.3">
      <c r="G840" s="14"/>
    </row>
    <row r="841" spans="7:7" x14ac:dyDescent="0.3">
      <c r="G841" s="14"/>
    </row>
    <row r="842" spans="7:7" x14ac:dyDescent="0.3">
      <c r="G842" s="14"/>
    </row>
    <row r="843" spans="7:7" x14ac:dyDescent="0.3">
      <c r="G843" s="14"/>
    </row>
    <row r="844" spans="7:7" x14ac:dyDescent="0.3">
      <c r="G844" s="14"/>
    </row>
    <row r="845" spans="7:7" x14ac:dyDescent="0.3">
      <c r="G845" s="14"/>
    </row>
    <row r="846" spans="7:7" x14ac:dyDescent="0.3">
      <c r="G846" s="14"/>
    </row>
    <row r="847" spans="7:7" x14ac:dyDescent="0.3">
      <c r="G847" s="14"/>
    </row>
    <row r="848" spans="7:7" x14ac:dyDescent="0.3">
      <c r="G848" s="14"/>
    </row>
    <row r="849" spans="7:7" x14ac:dyDescent="0.3">
      <c r="G849" s="14"/>
    </row>
    <row r="850" spans="7:7" x14ac:dyDescent="0.3">
      <c r="G850" s="14"/>
    </row>
    <row r="851" spans="7:7" x14ac:dyDescent="0.3">
      <c r="G851" s="14"/>
    </row>
    <row r="852" spans="7:7" x14ac:dyDescent="0.3">
      <c r="G852" s="14"/>
    </row>
    <row r="853" spans="7:7" x14ac:dyDescent="0.3">
      <c r="G853" s="14"/>
    </row>
    <row r="854" spans="7:7" x14ac:dyDescent="0.3">
      <c r="G854" s="14"/>
    </row>
    <row r="855" spans="7:7" x14ac:dyDescent="0.3">
      <c r="G855" s="14"/>
    </row>
    <row r="856" spans="7:7" x14ac:dyDescent="0.3">
      <c r="G856" s="14"/>
    </row>
    <row r="857" spans="7:7" x14ac:dyDescent="0.3">
      <c r="G857" s="14"/>
    </row>
    <row r="858" spans="7:7" x14ac:dyDescent="0.3">
      <c r="G858" s="14"/>
    </row>
    <row r="859" spans="7:7" x14ac:dyDescent="0.3">
      <c r="G859" s="14"/>
    </row>
    <row r="860" spans="7:7" x14ac:dyDescent="0.3">
      <c r="G860" s="14"/>
    </row>
    <row r="1048576" spans="3:3" x14ac:dyDescent="0.3">
      <c r="C1048576" s="16" t="s">
        <v>40</v>
      </c>
    </row>
  </sheetData>
  <mergeCells count="1">
    <mergeCell ref="M3:P3"/>
  </mergeCells>
  <hyperlinks>
    <hyperlink ref="R9" r:id="rId1" xr:uid="{DB5A9642-F3AD-4739-BFE4-05AAC0A5619C}"/>
    <hyperlink ref="R8" r:id="rId2" xr:uid="{E9080D7F-804E-48BA-B65A-2D24B2E63FB0}"/>
    <hyperlink ref="R7" r:id="rId3" xr:uid="{EBA53CCA-6315-4D21-90F7-38396274D018}"/>
    <hyperlink ref="R6" r:id="rId4" xr:uid="{337F57C6-1F65-42F6-8738-C9C0B03B63FE}"/>
    <hyperlink ref="R5" r:id="rId5" xr:uid="{EE900BD2-C2B4-4C09-AFEC-320F49353240}"/>
  </hyperlinks>
  <pageMargins left="0.7" right="0.7" top="0.75" bottom="0.75" header="0.3" footer="0.3"/>
  <legacyDrawing r:id="rId6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62639-71C8-4E22-AF45-7511E1579ABD}">
  <dimension ref="A1:J17"/>
  <sheetViews>
    <sheetView showGridLines="0" workbookViewId="0">
      <selection activeCell="O17" sqref="O17"/>
    </sheetView>
  </sheetViews>
  <sheetFormatPr defaultRowHeight="14.4" x14ac:dyDescent="0.3"/>
  <cols>
    <col min="1" max="1" width="9.6640625" bestFit="1" customWidth="1"/>
    <col min="2" max="2" width="13.33203125" style="5" customWidth="1"/>
    <col min="3" max="3" width="17.5546875" style="5" customWidth="1"/>
    <col min="4" max="4" width="11.5546875" style="5" bestFit="1" customWidth="1"/>
    <col min="5" max="5" width="12.5546875" bestFit="1" customWidth="1"/>
    <col min="6" max="6" width="25.33203125" bestFit="1" customWidth="1"/>
    <col min="7" max="7" width="13.5546875" bestFit="1" customWidth="1"/>
    <col min="8" max="8" width="11.5546875" bestFit="1" customWidth="1"/>
    <col min="9" max="9" width="11.6640625" bestFit="1" customWidth="1"/>
    <col min="10" max="10" width="11.33203125" bestFit="1" customWidth="1"/>
  </cols>
  <sheetData>
    <row r="1" spans="1:10" x14ac:dyDescent="0.3">
      <c r="A1" s="7" t="s">
        <v>138</v>
      </c>
    </row>
    <row r="2" spans="1:10" x14ac:dyDescent="0.3">
      <c r="A2" s="7" t="s">
        <v>128</v>
      </c>
    </row>
    <row r="3" spans="1:10" x14ac:dyDescent="0.3">
      <c r="A3" s="7"/>
    </row>
    <row r="4" spans="1:10" x14ac:dyDescent="0.3">
      <c r="A4" s="48" t="s">
        <v>87</v>
      </c>
      <c r="B4" s="48" t="s">
        <v>88</v>
      </c>
      <c r="C4" s="48" t="s">
        <v>89</v>
      </c>
      <c r="D4" s="48" t="s">
        <v>33</v>
      </c>
      <c r="E4" s="48" t="s">
        <v>129</v>
      </c>
      <c r="F4" s="59" t="s">
        <v>91</v>
      </c>
      <c r="G4" s="48" t="s">
        <v>130</v>
      </c>
      <c r="H4" s="59" t="s">
        <v>93</v>
      </c>
      <c r="I4" s="59" t="s">
        <v>94</v>
      </c>
      <c r="J4" s="59" t="s">
        <v>95</v>
      </c>
    </row>
    <row r="5" spans="1:10" x14ac:dyDescent="0.3">
      <c r="A5" s="24"/>
      <c r="B5" s="2"/>
      <c r="C5" s="2"/>
      <c r="D5" s="2"/>
      <c r="E5" s="24"/>
      <c r="F5" s="24"/>
      <c r="G5" s="24"/>
      <c r="H5" s="24"/>
      <c r="I5" s="24"/>
      <c r="J5" s="24"/>
    </row>
    <row r="6" spans="1:10" x14ac:dyDescent="0.3">
      <c r="A6" s="24"/>
      <c r="B6" s="2"/>
      <c r="C6" s="2"/>
      <c r="D6" s="2"/>
      <c r="E6" s="24"/>
      <c r="F6" s="24"/>
      <c r="G6" s="24"/>
      <c r="H6" s="24"/>
      <c r="I6" s="24"/>
      <c r="J6" s="24"/>
    </row>
    <row r="7" spans="1:10" x14ac:dyDescent="0.3">
      <c r="A7" s="24"/>
      <c r="B7" s="2"/>
      <c r="C7" s="2"/>
      <c r="D7" s="2"/>
      <c r="E7" s="24"/>
      <c r="F7" s="24"/>
      <c r="G7" s="24"/>
      <c r="H7" s="24"/>
      <c r="I7" s="24"/>
      <c r="J7" s="24"/>
    </row>
    <row r="8" spans="1:10" x14ac:dyDescent="0.3">
      <c r="A8" s="24"/>
      <c r="B8" s="2"/>
      <c r="C8" s="2"/>
      <c r="D8" s="2"/>
      <c r="E8" s="24"/>
      <c r="F8" s="24"/>
      <c r="G8" s="24"/>
      <c r="H8" s="24"/>
      <c r="I8" s="24"/>
      <c r="J8" s="24"/>
    </row>
    <row r="9" spans="1:10" x14ac:dyDescent="0.3">
      <c r="A9" s="24"/>
      <c r="B9" s="2"/>
      <c r="C9" s="2"/>
      <c r="D9" s="2"/>
      <c r="E9" s="24"/>
      <c r="F9" s="24"/>
      <c r="G9" s="24"/>
      <c r="H9" s="24"/>
      <c r="I9" s="24"/>
      <c r="J9" s="24"/>
    </row>
    <row r="10" spans="1:10" x14ac:dyDescent="0.3">
      <c r="A10" s="24"/>
      <c r="B10" s="2"/>
      <c r="C10" s="2"/>
      <c r="D10" s="2"/>
      <c r="E10" s="24"/>
      <c r="F10" s="24"/>
      <c r="G10" s="24"/>
      <c r="H10" s="24"/>
      <c r="I10" s="24"/>
      <c r="J10" s="24"/>
    </row>
    <row r="11" spans="1:10" x14ac:dyDescent="0.3">
      <c r="A11" s="24"/>
      <c r="B11" s="2"/>
      <c r="C11" s="2"/>
      <c r="D11" s="2"/>
      <c r="E11" s="24"/>
      <c r="F11" s="24"/>
      <c r="G11" s="24"/>
      <c r="H11" s="24"/>
      <c r="I11" s="24"/>
      <c r="J11" s="24"/>
    </row>
    <row r="12" spans="1:10" x14ac:dyDescent="0.3">
      <c r="A12" s="24"/>
      <c r="B12" s="2"/>
      <c r="C12" s="2"/>
      <c r="D12" s="2"/>
      <c r="E12" s="24"/>
      <c r="F12" s="24"/>
      <c r="G12" s="24"/>
      <c r="H12" s="24"/>
      <c r="I12" s="24"/>
      <c r="J12" s="24"/>
    </row>
    <row r="13" spans="1:10" x14ac:dyDescent="0.3">
      <c r="A13" s="24"/>
      <c r="B13" s="2"/>
      <c r="C13" s="2"/>
      <c r="D13" s="2"/>
      <c r="E13" s="24"/>
      <c r="F13" s="24"/>
      <c r="G13" s="24"/>
      <c r="H13" s="24"/>
      <c r="I13" s="24"/>
      <c r="J13" s="24"/>
    </row>
    <row r="14" spans="1:10" x14ac:dyDescent="0.3">
      <c r="A14" s="24"/>
      <c r="B14" s="2"/>
      <c r="C14" s="2"/>
      <c r="D14" s="2"/>
      <c r="E14" s="24"/>
      <c r="F14" s="24"/>
      <c r="G14" s="24"/>
      <c r="H14" s="24"/>
      <c r="I14" s="24"/>
      <c r="J14" s="24"/>
    </row>
    <row r="17" spans="1:2" x14ac:dyDescent="0.3">
      <c r="A17" s="58"/>
      <c r="B17" s="8" t="s">
        <v>131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FA63E-3813-4DF1-9A04-7BF3C5F81175}">
  <dimension ref="A1:H17"/>
  <sheetViews>
    <sheetView showGridLines="0" workbookViewId="0">
      <selection activeCell="H20" sqref="H20"/>
    </sheetView>
  </sheetViews>
  <sheetFormatPr defaultRowHeight="14.4" x14ac:dyDescent="0.3"/>
  <cols>
    <col min="1" max="1" width="17" customWidth="1"/>
    <col min="2" max="2" width="16.33203125" bestFit="1" customWidth="1"/>
    <col min="3" max="3" width="17" customWidth="1"/>
    <col min="4" max="4" width="16.6640625" style="5" customWidth="1"/>
    <col min="7" max="7" width="9.6640625" bestFit="1" customWidth="1"/>
    <col min="8" max="8" width="11.6640625" style="5" bestFit="1" customWidth="1"/>
  </cols>
  <sheetData>
    <row r="1" spans="1:8" x14ac:dyDescent="0.3">
      <c r="A1" s="7" t="s">
        <v>98</v>
      </c>
    </row>
    <row r="2" spans="1:8" x14ac:dyDescent="0.3">
      <c r="A2" s="7" t="s">
        <v>99</v>
      </c>
    </row>
    <row r="3" spans="1:8" ht="15" thickBot="1" x14ac:dyDescent="0.35"/>
    <row r="4" spans="1:8" ht="15" thickBot="1" x14ac:dyDescent="0.35">
      <c r="A4" s="7" t="s">
        <v>100</v>
      </c>
      <c r="C4" s="27">
        <v>1.5</v>
      </c>
      <c r="D4" s="28" t="s">
        <v>132</v>
      </c>
    </row>
    <row r="5" spans="1:8" x14ac:dyDescent="0.3">
      <c r="A5" s="7"/>
      <c r="B5" s="7"/>
      <c r="G5" s="29"/>
    </row>
    <row r="6" spans="1:8" ht="28.8" x14ac:dyDescent="0.3">
      <c r="A6" s="20" t="s">
        <v>133</v>
      </c>
      <c r="B6" s="20" t="s">
        <v>102</v>
      </c>
      <c r="C6" s="30" t="s">
        <v>103</v>
      </c>
      <c r="D6" s="20" t="s">
        <v>104</v>
      </c>
    </row>
    <row r="7" spans="1:8" x14ac:dyDescent="0.3">
      <c r="A7" s="31">
        <v>1</v>
      </c>
      <c r="B7" s="32">
        <v>0</v>
      </c>
      <c r="C7" s="33">
        <f>SUM(C4*100)*$A$7</f>
        <v>150</v>
      </c>
      <c r="D7" s="33">
        <f>SUM(C7*B7)</f>
        <v>0</v>
      </c>
    </row>
    <row r="8" spans="1:8" x14ac:dyDescent="0.3">
      <c r="A8" s="31">
        <v>5</v>
      </c>
      <c r="B8" s="32">
        <v>20</v>
      </c>
      <c r="C8" s="33">
        <f>SUM(C4*100)*A8</f>
        <v>750</v>
      </c>
      <c r="D8" s="33">
        <f t="shared" ref="D8:D12" si="0">SUM(C8*B8)</f>
        <v>15000</v>
      </c>
    </row>
    <row r="9" spans="1:8" x14ac:dyDescent="0.3">
      <c r="A9" s="31">
        <v>10</v>
      </c>
      <c r="B9" s="32">
        <v>35</v>
      </c>
      <c r="C9" s="33">
        <f>SUM(C4*100)*A9</f>
        <v>1500</v>
      </c>
      <c r="D9" s="33">
        <f t="shared" si="0"/>
        <v>52500</v>
      </c>
      <c r="H9" s="34"/>
    </row>
    <row r="10" spans="1:8" x14ac:dyDescent="0.3">
      <c r="A10" s="31">
        <v>20</v>
      </c>
      <c r="B10" s="32">
        <v>40</v>
      </c>
      <c r="C10" s="33">
        <f>SUM(C4*100)*A10</f>
        <v>3000</v>
      </c>
      <c r="D10" s="33">
        <f t="shared" si="0"/>
        <v>120000</v>
      </c>
    </row>
    <row r="11" spans="1:8" x14ac:dyDescent="0.3">
      <c r="A11" s="31">
        <v>30</v>
      </c>
      <c r="B11" s="32">
        <v>0</v>
      </c>
      <c r="C11" s="33">
        <f>SUM(C4*100)*A11</f>
        <v>4500</v>
      </c>
      <c r="D11" s="33">
        <f t="shared" si="0"/>
        <v>0</v>
      </c>
    </row>
    <row r="12" spans="1:8" x14ac:dyDescent="0.3">
      <c r="A12" s="31">
        <v>50</v>
      </c>
      <c r="B12" s="32">
        <v>0</v>
      </c>
      <c r="C12" s="33">
        <f>SUM(C4*100)*A12</f>
        <v>7500</v>
      </c>
      <c r="D12" s="33">
        <f t="shared" si="0"/>
        <v>0</v>
      </c>
    </row>
    <row r="13" spans="1:8" x14ac:dyDescent="0.3">
      <c r="A13" s="4" t="s">
        <v>105</v>
      </c>
      <c r="B13" s="35">
        <f>SUM(B7:B12)</f>
        <v>95</v>
      </c>
      <c r="C13" s="36"/>
      <c r="D13" s="36">
        <f>SUM(D7:D12)</f>
        <v>187500</v>
      </c>
    </row>
    <row r="15" spans="1:8" x14ac:dyDescent="0.3">
      <c r="A15" s="10" t="s">
        <v>51</v>
      </c>
    </row>
    <row r="16" spans="1:8" x14ac:dyDescent="0.3">
      <c r="A16" s="8" t="s">
        <v>106</v>
      </c>
    </row>
    <row r="17" spans="1:1" x14ac:dyDescent="0.3">
      <c r="A17" s="8" t="s">
        <v>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2b47590b-d718-474f-a7b3-10b44959738c">
      <UserInfo>
        <DisplayName>Laksh Maheshwari</DisplayName>
        <AccountId>21</AccountId>
        <AccountType/>
      </UserInfo>
    </SharedWithUsers>
    <TaxCatchAll xmlns="2b47590b-d718-474f-a7b3-10b44959738c" xsi:nil="true"/>
    <lcf76f155ced4ddcb4097134ff3c332f xmlns="edf6b5f7-d342-49f2-86e7-16b167db190f">
      <Terms xmlns="http://schemas.microsoft.com/office/infopath/2007/PartnerControls"/>
    </lcf76f155ced4ddcb4097134ff3c332f>
    <_Flow_SignoffStatus xmlns="edf6b5f7-d342-49f2-86e7-16b167db190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BD4E4ACEE17047B2CD88717FF8D421" ma:contentTypeVersion="21" ma:contentTypeDescription="Create a new document." ma:contentTypeScope="" ma:versionID="a39149432796a8a5ac3476c29ac77687">
  <xsd:schema xmlns:xsd="http://www.w3.org/2001/XMLSchema" xmlns:xs="http://www.w3.org/2001/XMLSchema" xmlns:p="http://schemas.microsoft.com/office/2006/metadata/properties" xmlns:ns2="edf6b5f7-d342-49f2-86e7-16b167db190f" xmlns:ns3="2b47590b-d718-474f-a7b3-10b44959738c" targetNamespace="http://schemas.microsoft.com/office/2006/metadata/properties" ma:root="true" ma:fieldsID="1a52db9392da18844b66f7fc49b74c14" ns2:_="" ns3:_="">
    <xsd:import namespace="edf6b5f7-d342-49f2-86e7-16b167db190f"/>
    <xsd:import namespace="2b47590b-d718-474f-a7b3-10b4495973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6b5f7-d342-49f2-86e7-16b167db19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54ba23b-1f8a-4162-98cf-07c68cba3f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47590b-d718-474f-a7b3-10b44959738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d814ff0-5522-4f97-b5fe-6179ba350c79}" ma:internalName="TaxCatchAll" ma:showField="CatchAllData" ma:web="2b47590b-d718-474f-a7b3-10b4495973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B1D13C-FDB6-406D-B9C2-3DA99ECA7408}">
  <ds:schemaRefs>
    <ds:schemaRef ds:uri="http://schemas.microsoft.com/office/2006/metadata/properties"/>
    <ds:schemaRef ds:uri="http://schemas.microsoft.com/office/infopath/2007/PartnerControls"/>
    <ds:schemaRef ds:uri="2b47590b-d718-474f-a7b3-10b44959738c"/>
    <ds:schemaRef ds:uri="edf6b5f7-d342-49f2-86e7-16b167db190f"/>
  </ds:schemaRefs>
</ds:datastoreItem>
</file>

<file path=customXml/itemProps2.xml><?xml version="1.0" encoding="utf-8"?>
<ds:datastoreItem xmlns:ds="http://schemas.openxmlformats.org/officeDocument/2006/customXml" ds:itemID="{A329A0B5-AFA8-4F90-83A4-78CC2EF10E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9A9E1F-DDD0-49E3-989B-2800FE635E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Company Info</vt:lpstr>
      <vt:lpstr>For GHI &gt;</vt:lpstr>
      <vt:lpstr> Employee Data </vt:lpstr>
      <vt:lpstr>For Indicative Quote</vt:lpstr>
      <vt:lpstr>For GPA&gt;</vt:lpstr>
      <vt:lpstr>Employee Data</vt:lpstr>
      <vt:lpstr>Claims History</vt:lpstr>
      <vt:lpstr>Indicative Quote </vt:lpstr>
      <vt:lpstr>For GTLI&gt;</vt:lpstr>
      <vt:lpstr>Employee Data </vt:lpstr>
      <vt:lpstr>Death History</vt:lpstr>
      <vt:lpstr>Indicative Quote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Anuj Parekh</dc:creator>
  <cp:keywords/>
  <dc:description/>
  <cp:lastModifiedBy>Anuj Parekh</cp:lastModifiedBy>
  <cp:revision/>
  <dcterms:created xsi:type="dcterms:W3CDTF">2020-11-23T09:43:14Z</dcterms:created>
  <dcterms:modified xsi:type="dcterms:W3CDTF">2026-02-06T12:37:28Z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0x01010070BD4E4ACEE17047B2CD88717FF8D421</vt:lpwstr>
  </property>
  <property fmtid="{D5CDD505-2E9C-101B-9397-08002B2CF9AE}" pid="3" name="MediaServiceImageTags">
    <vt:lpwstr/>
  </property>
</Properties>
</file>