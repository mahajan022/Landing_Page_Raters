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ealthysurein.sharepoint.com/sites/HealthySureGroup/HealthySure/HealthySure/Employee Benefits Platform/Sales &amp; BD/Sales/Claims Analysis/"/>
    </mc:Choice>
  </mc:AlternateContent>
  <xr:revisionPtr revIDLastSave="8" documentId="8_{6F0CFBC9-8C53-4E09-B954-F10549EBFAEB}" xr6:coauthVersionLast="47" xr6:coauthVersionMax="47" xr10:uidLastSave="{6C9768F0-70BD-4176-8E83-57312617978E}"/>
  <bookViews>
    <workbookView xWindow="-108" yWindow="-108" windowWidth="23256" windowHeight="13896" xr2:uid="{00000000-000D-0000-FFFF-FFFF00000000}"/>
  </bookViews>
  <sheets>
    <sheet name="Instructions" sheetId="14" r:id="rId1"/>
    <sheet name="Sheet1" sheetId="16" state="hidden" r:id="rId2"/>
    <sheet name="Data Sheet" sheetId="1" r:id="rId3"/>
    <sheet name="FINAL SHEET" sheetId="10" r:id="rId4"/>
    <sheet name="Reimbursement TAT" sheetId="4" r:id="rId5"/>
    <sheet name="E vs SC vs P" sheetId="6" r:id="rId6"/>
    <sheet name="Claim Type" sheetId="7" r:id="rId7"/>
    <sheet name="Deductions %" sheetId="8" r:id="rId8"/>
    <sheet name="% Utilization of SI" sheetId="9" r:id="rId9"/>
    <sheet name="Claim status (value)" sheetId="13" r:id="rId10"/>
    <sheet name="Claim status (count)" sheetId="12" r:id="rId11"/>
    <sheet name="Renewal Price Predictor" sheetId="15" r:id="rId12"/>
  </sheets>
  <definedNames>
    <definedName name="_xlnm._FilterDatabase" localSheetId="2" hidden="1">'Data Sheet'!$A$1:$S$559</definedName>
    <definedName name="_xlnm._FilterDatabase" localSheetId="1" hidden="1">Sheet1!$B$3:$C$12</definedName>
    <definedName name="_xleta.TODAY" hidden="1" xlm="1">#NAME?</definedName>
  </definedNames>
  <calcPr calcId="191029"/>
  <pivotCaches>
    <pivotCache cacheId="1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5" l="1"/>
  <c r="C3" i="15"/>
  <c r="C13" i="15" s="1"/>
  <c r="A3" i="15"/>
  <c r="A4" i="15"/>
  <c r="C6" i="15" s="1"/>
  <c r="C14" i="15" s="1"/>
  <c r="E5" i="12"/>
  <c r="E6" i="12"/>
  <c r="E4" i="12"/>
  <c r="E5" i="13"/>
  <c r="E6" i="13"/>
  <c r="E4" i="13"/>
  <c r="E5" i="9"/>
  <c r="E6" i="9"/>
  <c r="E7" i="9"/>
  <c r="E8" i="9"/>
  <c r="E9" i="9"/>
  <c r="E4" i="9"/>
  <c r="E5" i="8"/>
  <c r="E6" i="8"/>
  <c r="E7" i="8"/>
  <c r="E8" i="8"/>
  <c r="E9" i="8"/>
  <c r="E4" i="8"/>
  <c r="E6" i="4"/>
  <c r="E7" i="4"/>
  <c r="E8" i="4"/>
  <c r="E9" i="4"/>
  <c r="E5" i="4"/>
  <c r="P106" i="1"/>
  <c r="Q106" i="1" s="1"/>
  <c r="P107" i="1"/>
  <c r="Q107" i="1" s="1"/>
  <c r="P108" i="1"/>
  <c r="Q108" i="1" s="1"/>
  <c r="P109" i="1"/>
  <c r="Q109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19" i="1"/>
  <c r="Q119" i="1" s="1"/>
  <c r="P120" i="1"/>
  <c r="Q120" i="1" s="1"/>
  <c r="P121" i="1"/>
  <c r="Q121" i="1" s="1"/>
  <c r="P122" i="1"/>
  <c r="Q122" i="1" s="1"/>
  <c r="P123" i="1"/>
  <c r="Q123" i="1" s="1"/>
  <c r="P124" i="1"/>
  <c r="Q124" i="1" s="1"/>
  <c r="P125" i="1"/>
  <c r="Q125" i="1" s="1"/>
  <c r="P126" i="1"/>
  <c r="Q126" i="1" s="1"/>
  <c r="P127" i="1"/>
  <c r="Q127" i="1" s="1"/>
  <c r="P128" i="1"/>
  <c r="Q128" i="1" s="1"/>
  <c r="P129" i="1"/>
  <c r="Q129" i="1" s="1"/>
  <c r="P130" i="1"/>
  <c r="Q130" i="1" s="1"/>
  <c r="P131" i="1"/>
  <c r="Q131" i="1" s="1"/>
  <c r="P132" i="1"/>
  <c r="Q132" i="1" s="1"/>
  <c r="P133" i="1"/>
  <c r="Q133" i="1" s="1"/>
  <c r="P134" i="1"/>
  <c r="Q134" i="1" s="1"/>
  <c r="P135" i="1"/>
  <c r="Q135" i="1" s="1"/>
  <c r="P136" i="1"/>
  <c r="Q136" i="1" s="1"/>
  <c r="P137" i="1"/>
  <c r="Q137" i="1" s="1"/>
  <c r="P138" i="1"/>
  <c r="Q138" i="1" s="1"/>
  <c r="P139" i="1"/>
  <c r="Q139" i="1" s="1"/>
  <c r="P140" i="1"/>
  <c r="Q140" i="1" s="1"/>
  <c r="P141" i="1"/>
  <c r="Q141" i="1" s="1"/>
  <c r="P142" i="1"/>
  <c r="Q142" i="1" s="1"/>
  <c r="P143" i="1"/>
  <c r="Q143" i="1" s="1"/>
  <c r="P144" i="1"/>
  <c r="Q144" i="1" s="1"/>
  <c r="P145" i="1"/>
  <c r="Q145" i="1" s="1"/>
  <c r="P146" i="1"/>
  <c r="Q146" i="1" s="1"/>
  <c r="P147" i="1"/>
  <c r="Q147" i="1" s="1"/>
  <c r="P148" i="1"/>
  <c r="Q148" i="1" s="1"/>
  <c r="P149" i="1"/>
  <c r="Q149" i="1" s="1"/>
  <c r="P150" i="1"/>
  <c r="Q150" i="1" s="1"/>
  <c r="P151" i="1"/>
  <c r="Q151" i="1" s="1"/>
  <c r="P152" i="1"/>
  <c r="Q152" i="1" s="1"/>
  <c r="P153" i="1"/>
  <c r="Q153" i="1" s="1"/>
  <c r="P154" i="1"/>
  <c r="Q154" i="1" s="1"/>
  <c r="P155" i="1"/>
  <c r="Q155" i="1" s="1"/>
  <c r="P156" i="1"/>
  <c r="Q156" i="1" s="1"/>
  <c r="P157" i="1"/>
  <c r="Q157" i="1" s="1"/>
  <c r="P158" i="1"/>
  <c r="Q158" i="1" s="1"/>
  <c r="P159" i="1"/>
  <c r="Q159" i="1" s="1"/>
  <c r="P160" i="1"/>
  <c r="Q160" i="1" s="1"/>
  <c r="P161" i="1"/>
  <c r="Q161" i="1" s="1"/>
  <c r="P162" i="1"/>
  <c r="Q162" i="1" s="1"/>
  <c r="P163" i="1"/>
  <c r="Q163" i="1" s="1"/>
  <c r="P164" i="1"/>
  <c r="Q164" i="1" s="1"/>
  <c r="P165" i="1"/>
  <c r="Q165" i="1" s="1"/>
  <c r="P166" i="1"/>
  <c r="Q166" i="1" s="1"/>
  <c r="P167" i="1"/>
  <c r="Q167" i="1" s="1"/>
  <c r="P168" i="1"/>
  <c r="Q168" i="1" s="1"/>
  <c r="P169" i="1"/>
  <c r="Q169" i="1" s="1"/>
  <c r="P170" i="1"/>
  <c r="Q170" i="1" s="1"/>
  <c r="P171" i="1"/>
  <c r="Q171" i="1" s="1"/>
  <c r="P172" i="1"/>
  <c r="Q172" i="1" s="1"/>
  <c r="P173" i="1"/>
  <c r="Q173" i="1" s="1"/>
  <c r="P174" i="1"/>
  <c r="Q174" i="1" s="1"/>
  <c r="P175" i="1"/>
  <c r="Q175" i="1" s="1"/>
  <c r="P176" i="1"/>
  <c r="Q176" i="1" s="1"/>
  <c r="P177" i="1"/>
  <c r="Q177" i="1" s="1"/>
  <c r="P178" i="1"/>
  <c r="Q178" i="1" s="1"/>
  <c r="P179" i="1"/>
  <c r="Q179" i="1" s="1"/>
  <c r="P180" i="1"/>
  <c r="Q180" i="1" s="1"/>
  <c r="P181" i="1"/>
  <c r="Q181" i="1" s="1"/>
  <c r="P182" i="1"/>
  <c r="Q182" i="1" s="1"/>
  <c r="P183" i="1"/>
  <c r="Q183" i="1" s="1"/>
  <c r="P184" i="1"/>
  <c r="Q184" i="1" s="1"/>
  <c r="P185" i="1"/>
  <c r="Q185" i="1" s="1"/>
  <c r="P186" i="1"/>
  <c r="Q186" i="1" s="1"/>
  <c r="P187" i="1"/>
  <c r="Q187" i="1" s="1"/>
  <c r="P188" i="1"/>
  <c r="Q188" i="1" s="1"/>
  <c r="P189" i="1"/>
  <c r="Q189" i="1" s="1"/>
  <c r="P190" i="1"/>
  <c r="Q190" i="1" s="1"/>
  <c r="P191" i="1"/>
  <c r="Q191" i="1" s="1"/>
  <c r="P192" i="1"/>
  <c r="Q192" i="1" s="1"/>
  <c r="P193" i="1"/>
  <c r="Q193" i="1" s="1"/>
  <c r="P194" i="1"/>
  <c r="Q194" i="1" s="1"/>
  <c r="P195" i="1"/>
  <c r="Q195" i="1" s="1"/>
  <c r="P196" i="1"/>
  <c r="Q196" i="1" s="1"/>
  <c r="P197" i="1"/>
  <c r="Q197" i="1" s="1"/>
  <c r="P198" i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28" i="1"/>
  <c r="Q228" i="1" s="1"/>
  <c r="P229" i="1"/>
  <c r="Q229" i="1" s="1"/>
  <c r="P230" i="1"/>
  <c r="Q230" i="1" s="1"/>
  <c r="P231" i="1"/>
  <c r="Q231" i="1" s="1"/>
  <c r="P232" i="1"/>
  <c r="Q232" i="1" s="1"/>
  <c r="P233" i="1"/>
  <c r="Q233" i="1" s="1"/>
  <c r="P234" i="1"/>
  <c r="Q234" i="1" s="1"/>
  <c r="P235" i="1"/>
  <c r="Q235" i="1" s="1"/>
  <c r="P236" i="1"/>
  <c r="Q236" i="1" s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 s="1"/>
  <c r="P243" i="1"/>
  <c r="Q243" i="1" s="1"/>
  <c r="P244" i="1"/>
  <c r="Q244" i="1" s="1"/>
  <c r="P245" i="1"/>
  <c r="Q245" i="1" s="1"/>
  <c r="P246" i="1"/>
  <c r="Q246" i="1" s="1"/>
  <c r="P247" i="1"/>
  <c r="Q247" i="1" s="1"/>
  <c r="P248" i="1"/>
  <c r="Q248" i="1" s="1"/>
  <c r="P249" i="1"/>
  <c r="Q249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257" i="1"/>
  <c r="Q257" i="1" s="1"/>
  <c r="P258" i="1"/>
  <c r="Q258" i="1" s="1"/>
  <c r="P259" i="1"/>
  <c r="Q259" i="1" s="1"/>
  <c r="P260" i="1"/>
  <c r="Q260" i="1" s="1"/>
  <c r="P261" i="1"/>
  <c r="Q261" i="1" s="1"/>
  <c r="P262" i="1"/>
  <c r="Q262" i="1" s="1"/>
  <c r="P263" i="1"/>
  <c r="Q263" i="1" s="1"/>
  <c r="P264" i="1"/>
  <c r="Q264" i="1" s="1"/>
  <c r="P265" i="1"/>
  <c r="Q265" i="1" s="1"/>
  <c r="P266" i="1"/>
  <c r="Q266" i="1" s="1"/>
  <c r="P267" i="1"/>
  <c r="Q267" i="1" s="1"/>
  <c r="P268" i="1"/>
  <c r="Q268" i="1" s="1"/>
  <c r="P269" i="1"/>
  <c r="Q269" i="1" s="1"/>
  <c r="P270" i="1"/>
  <c r="Q270" i="1" s="1"/>
  <c r="P271" i="1"/>
  <c r="Q271" i="1" s="1"/>
  <c r="P272" i="1"/>
  <c r="Q272" i="1" s="1"/>
  <c r="P273" i="1"/>
  <c r="Q273" i="1" s="1"/>
  <c r="P274" i="1"/>
  <c r="Q274" i="1" s="1"/>
  <c r="P275" i="1"/>
  <c r="Q275" i="1" s="1"/>
  <c r="P276" i="1"/>
  <c r="Q276" i="1" s="1"/>
  <c r="P277" i="1"/>
  <c r="Q277" i="1" s="1"/>
  <c r="P278" i="1"/>
  <c r="Q278" i="1" s="1"/>
  <c r="P279" i="1"/>
  <c r="Q279" i="1" s="1"/>
  <c r="P280" i="1"/>
  <c r="Q280" i="1" s="1"/>
  <c r="P281" i="1"/>
  <c r="Q281" i="1" s="1"/>
  <c r="P282" i="1"/>
  <c r="Q282" i="1" s="1"/>
  <c r="P283" i="1"/>
  <c r="Q283" i="1" s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 s="1"/>
  <c r="P291" i="1"/>
  <c r="Q291" i="1" s="1"/>
  <c r="P292" i="1"/>
  <c r="Q292" i="1" s="1"/>
  <c r="P293" i="1"/>
  <c r="Q293" i="1" s="1"/>
  <c r="P294" i="1"/>
  <c r="Q294" i="1" s="1"/>
  <c r="P295" i="1"/>
  <c r="Q295" i="1" s="1"/>
  <c r="P296" i="1"/>
  <c r="Q296" i="1" s="1"/>
  <c r="P297" i="1"/>
  <c r="Q297" i="1" s="1"/>
  <c r="P298" i="1"/>
  <c r="Q298" i="1" s="1"/>
  <c r="P299" i="1"/>
  <c r="Q299" i="1" s="1"/>
  <c r="P300" i="1"/>
  <c r="Q300" i="1" s="1"/>
  <c r="P301" i="1"/>
  <c r="Q301" i="1" s="1"/>
  <c r="P302" i="1"/>
  <c r="Q302" i="1" s="1"/>
  <c r="P303" i="1"/>
  <c r="Q303" i="1" s="1"/>
  <c r="P304" i="1"/>
  <c r="Q304" i="1" s="1"/>
  <c r="P305" i="1"/>
  <c r="Q305" i="1" s="1"/>
  <c r="P306" i="1"/>
  <c r="Q306" i="1" s="1"/>
  <c r="P307" i="1"/>
  <c r="Q307" i="1" s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 s="1"/>
  <c r="P315" i="1"/>
  <c r="Q315" i="1" s="1"/>
  <c r="P316" i="1"/>
  <c r="Q316" i="1" s="1"/>
  <c r="P317" i="1"/>
  <c r="Q317" i="1" s="1"/>
  <c r="P318" i="1"/>
  <c r="Q318" i="1" s="1"/>
  <c r="P319" i="1"/>
  <c r="Q319" i="1" s="1"/>
  <c r="P320" i="1"/>
  <c r="Q320" i="1" s="1"/>
  <c r="P321" i="1"/>
  <c r="Q321" i="1" s="1"/>
  <c r="P322" i="1"/>
  <c r="Q322" i="1" s="1"/>
  <c r="P323" i="1"/>
  <c r="Q323" i="1" s="1"/>
  <c r="P324" i="1"/>
  <c r="Q324" i="1" s="1"/>
  <c r="P325" i="1"/>
  <c r="Q325" i="1" s="1"/>
  <c r="P326" i="1"/>
  <c r="Q326" i="1" s="1"/>
  <c r="P327" i="1"/>
  <c r="Q327" i="1" s="1"/>
  <c r="P328" i="1"/>
  <c r="Q328" i="1" s="1"/>
  <c r="P329" i="1"/>
  <c r="Q329" i="1" s="1"/>
  <c r="P330" i="1"/>
  <c r="Q330" i="1" s="1"/>
  <c r="P331" i="1"/>
  <c r="Q331" i="1" s="1"/>
  <c r="P332" i="1"/>
  <c r="Q332" i="1" s="1"/>
  <c r="P333" i="1"/>
  <c r="Q333" i="1" s="1"/>
  <c r="P334" i="1"/>
  <c r="Q334" i="1" s="1"/>
  <c r="P335" i="1"/>
  <c r="Q335" i="1" s="1"/>
  <c r="P336" i="1"/>
  <c r="Q336" i="1" s="1"/>
  <c r="P337" i="1"/>
  <c r="Q337" i="1" s="1"/>
  <c r="P338" i="1"/>
  <c r="Q338" i="1" s="1"/>
  <c r="P339" i="1"/>
  <c r="Q339" i="1" s="1"/>
  <c r="P340" i="1"/>
  <c r="Q340" i="1" s="1"/>
  <c r="P341" i="1"/>
  <c r="Q341" i="1" s="1"/>
  <c r="P342" i="1"/>
  <c r="Q342" i="1" s="1"/>
  <c r="P343" i="1"/>
  <c r="Q343" i="1" s="1"/>
  <c r="P344" i="1"/>
  <c r="Q344" i="1" s="1"/>
  <c r="P345" i="1"/>
  <c r="Q345" i="1" s="1"/>
  <c r="P346" i="1"/>
  <c r="Q346" i="1" s="1"/>
  <c r="P347" i="1"/>
  <c r="Q347" i="1" s="1"/>
  <c r="P348" i="1"/>
  <c r="Q348" i="1" s="1"/>
  <c r="P349" i="1"/>
  <c r="Q349" i="1" s="1"/>
  <c r="P350" i="1"/>
  <c r="Q350" i="1" s="1"/>
  <c r="P351" i="1"/>
  <c r="Q351" i="1" s="1"/>
  <c r="P352" i="1"/>
  <c r="Q352" i="1" s="1"/>
  <c r="P353" i="1"/>
  <c r="Q353" i="1" s="1"/>
  <c r="P354" i="1"/>
  <c r="Q354" i="1" s="1"/>
  <c r="P355" i="1"/>
  <c r="Q355" i="1" s="1"/>
  <c r="P356" i="1"/>
  <c r="Q356" i="1" s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 s="1"/>
  <c r="P363" i="1"/>
  <c r="Q363" i="1" s="1"/>
  <c r="P364" i="1"/>
  <c r="Q364" i="1" s="1"/>
  <c r="P365" i="1"/>
  <c r="Q365" i="1" s="1"/>
  <c r="P366" i="1"/>
  <c r="Q366" i="1" s="1"/>
  <c r="P367" i="1"/>
  <c r="Q367" i="1" s="1"/>
  <c r="P368" i="1"/>
  <c r="Q368" i="1" s="1"/>
  <c r="P369" i="1"/>
  <c r="Q369" i="1" s="1"/>
  <c r="P370" i="1"/>
  <c r="Q370" i="1" s="1"/>
  <c r="P371" i="1"/>
  <c r="Q371" i="1" s="1"/>
  <c r="P372" i="1"/>
  <c r="Q372" i="1" s="1"/>
  <c r="P373" i="1"/>
  <c r="Q373" i="1" s="1"/>
  <c r="P374" i="1"/>
  <c r="Q374" i="1" s="1"/>
  <c r="P375" i="1"/>
  <c r="Q375" i="1" s="1"/>
  <c r="P376" i="1"/>
  <c r="Q376" i="1" s="1"/>
  <c r="P377" i="1"/>
  <c r="Q377" i="1" s="1"/>
  <c r="P378" i="1"/>
  <c r="Q378" i="1" s="1"/>
  <c r="P379" i="1"/>
  <c r="Q379" i="1" s="1"/>
  <c r="P380" i="1"/>
  <c r="Q380" i="1" s="1"/>
  <c r="P381" i="1"/>
  <c r="Q381" i="1" s="1"/>
  <c r="P382" i="1"/>
  <c r="Q382" i="1" s="1"/>
  <c r="P383" i="1"/>
  <c r="Q383" i="1" s="1"/>
  <c r="P384" i="1"/>
  <c r="Q384" i="1" s="1"/>
  <c r="P385" i="1"/>
  <c r="Q385" i="1" s="1"/>
  <c r="P386" i="1"/>
  <c r="Q386" i="1" s="1"/>
  <c r="P387" i="1"/>
  <c r="Q387" i="1" s="1"/>
  <c r="P388" i="1"/>
  <c r="Q388" i="1" s="1"/>
  <c r="P389" i="1"/>
  <c r="Q389" i="1" s="1"/>
  <c r="P390" i="1"/>
  <c r="Q390" i="1" s="1"/>
  <c r="P391" i="1"/>
  <c r="Q391" i="1" s="1"/>
  <c r="P392" i="1"/>
  <c r="Q392" i="1" s="1"/>
  <c r="P393" i="1"/>
  <c r="Q393" i="1" s="1"/>
  <c r="P394" i="1"/>
  <c r="Q394" i="1" s="1"/>
  <c r="P395" i="1"/>
  <c r="Q395" i="1" s="1"/>
  <c r="P396" i="1"/>
  <c r="Q396" i="1" s="1"/>
  <c r="P397" i="1"/>
  <c r="Q397" i="1" s="1"/>
  <c r="P398" i="1"/>
  <c r="Q398" i="1" s="1"/>
  <c r="P399" i="1"/>
  <c r="Q399" i="1" s="1"/>
  <c r="P400" i="1"/>
  <c r="Q400" i="1" s="1"/>
  <c r="P401" i="1"/>
  <c r="Q401" i="1" s="1"/>
  <c r="P402" i="1"/>
  <c r="Q402" i="1" s="1"/>
  <c r="P403" i="1"/>
  <c r="Q403" i="1" s="1"/>
  <c r="P404" i="1"/>
  <c r="Q404" i="1" s="1"/>
  <c r="P405" i="1"/>
  <c r="Q405" i="1" s="1"/>
  <c r="P406" i="1"/>
  <c r="Q406" i="1" s="1"/>
  <c r="P407" i="1"/>
  <c r="Q407" i="1" s="1"/>
  <c r="P408" i="1"/>
  <c r="Q408" i="1" s="1"/>
  <c r="P409" i="1"/>
  <c r="Q409" i="1" s="1"/>
  <c r="P410" i="1"/>
  <c r="Q410" i="1" s="1"/>
  <c r="P411" i="1"/>
  <c r="Q411" i="1" s="1"/>
  <c r="P412" i="1"/>
  <c r="Q412" i="1" s="1"/>
  <c r="P413" i="1"/>
  <c r="Q413" i="1" s="1"/>
  <c r="P414" i="1"/>
  <c r="Q414" i="1" s="1"/>
  <c r="P415" i="1"/>
  <c r="Q415" i="1" s="1"/>
  <c r="P416" i="1"/>
  <c r="Q416" i="1" s="1"/>
  <c r="P417" i="1"/>
  <c r="Q417" i="1" s="1"/>
  <c r="P418" i="1"/>
  <c r="Q418" i="1" s="1"/>
  <c r="P419" i="1"/>
  <c r="Q419" i="1" s="1"/>
  <c r="P420" i="1"/>
  <c r="Q420" i="1" s="1"/>
  <c r="P421" i="1"/>
  <c r="Q421" i="1" s="1"/>
  <c r="P422" i="1"/>
  <c r="Q422" i="1" s="1"/>
  <c r="P423" i="1"/>
  <c r="Q423" i="1" s="1"/>
  <c r="P424" i="1"/>
  <c r="Q424" i="1" s="1"/>
  <c r="P425" i="1"/>
  <c r="Q425" i="1" s="1"/>
  <c r="P426" i="1"/>
  <c r="Q426" i="1" s="1"/>
  <c r="P427" i="1"/>
  <c r="Q427" i="1" s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 s="1"/>
  <c r="P435" i="1"/>
  <c r="Q435" i="1" s="1"/>
  <c r="P436" i="1"/>
  <c r="Q436" i="1" s="1"/>
  <c r="P437" i="1"/>
  <c r="Q437" i="1" s="1"/>
  <c r="P438" i="1"/>
  <c r="Q438" i="1" s="1"/>
  <c r="P439" i="1"/>
  <c r="Q439" i="1" s="1"/>
  <c r="P440" i="1"/>
  <c r="Q440" i="1" s="1"/>
  <c r="P441" i="1"/>
  <c r="Q441" i="1" s="1"/>
  <c r="P442" i="1"/>
  <c r="Q442" i="1" s="1"/>
  <c r="P443" i="1"/>
  <c r="Q443" i="1" s="1"/>
  <c r="P444" i="1"/>
  <c r="Q444" i="1" s="1"/>
  <c r="P445" i="1"/>
  <c r="Q445" i="1" s="1"/>
  <c r="P446" i="1"/>
  <c r="Q446" i="1" s="1"/>
  <c r="P447" i="1"/>
  <c r="Q447" i="1" s="1"/>
  <c r="P448" i="1"/>
  <c r="Q448" i="1" s="1"/>
  <c r="P449" i="1"/>
  <c r="Q449" i="1" s="1"/>
  <c r="P450" i="1"/>
  <c r="Q450" i="1" s="1"/>
  <c r="P451" i="1"/>
  <c r="Q451" i="1" s="1"/>
  <c r="P452" i="1"/>
  <c r="Q452" i="1" s="1"/>
  <c r="P453" i="1"/>
  <c r="Q453" i="1" s="1"/>
  <c r="P454" i="1"/>
  <c r="Q454" i="1" s="1"/>
  <c r="P455" i="1"/>
  <c r="Q455" i="1" s="1"/>
  <c r="P456" i="1"/>
  <c r="Q456" i="1" s="1"/>
  <c r="P457" i="1"/>
  <c r="Q457" i="1" s="1"/>
  <c r="P458" i="1"/>
  <c r="Q458" i="1" s="1"/>
  <c r="P459" i="1"/>
  <c r="Q459" i="1" s="1"/>
  <c r="P460" i="1"/>
  <c r="Q460" i="1" s="1"/>
  <c r="P461" i="1"/>
  <c r="Q461" i="1" s="1"/>
  <c r="P462" i="1"/>
  <c r="Q462" i="1" s="1"/>
  <c r="P463" i="1"/>
  <c r="Q463" i="1" s="1"/>
  <c r="P464" i="1"/>
  <c r="Q464" i="1" s="1"/>
  <c r="P465" i="1"/>
  <c r="Q465" i="1" s="1"/>
  <c r="P466" i="1"/>
  <c r="Q466" i="1" s="1"/>
  <c r="P467" i="1"/>
  <c r="Q467" i="1" s="1"/>
  <c r="P468" i="1"/>
  <c r="Q468" i="1" s="1"/>
  <c r="P469" i="1"/>
  <c r="Q469" i="1" s="1"/>
  <c r="P470" i="1"/>
  <c r="Q470" i="1" s="1"/>
  <c r="P471" i="1"/>
  <c r="Q471" i="1" s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 s="1"/>
  <c r="P479" i="1"/>
  <c r="Q479" i="1" s="1"/>
  <c r="P480" i="1"/>
  <c r="Q480" i="1" s="1"/>
  <c r="P481" i="1"/>
  <c r="Q481" i="1" s="1"/>
  <c r="P482" i="1"/>
  <c r="Q482" i="1" s="1"/>
  <c r="P483" i="1"/>
  <c r="Q483" i="1" s="1"/>
  <c r="P484" i="1"/>
  <c r="Q484" i="1" s="1"/>
  <c r="P485" i="1"/>
  <c r="Q485" i="1" s="1"/>
  <c r="P486" i="1"/>
  <c r="Q486" i="1" s="1"/>
  <c r="P487" i="1"/>
  <c r="Q487" i="1" s="1"/>
  <c r="P488" i="1"/>
  <c r="Q488" i="1" s="1"/>
  <c r="P489" i="1"/>
  <c r="Q489" i="1" s="1"/>
  <c r="P490" i="1"/>
  <c r="Q490" i="1" s="1"/>
  <c r="P491" i="1"/>
  <c r="Q491" i="1" s="1"/>
  <c r="P492" i="1"/>
  <c r="Q492" i="1" s="1"/>
  <c r="P493" i="1"/>
  <c r="Q493" i="1" s="1"/>
  <c r="P494" i="1"/>
  <c r="Q494" i="1" s="1"/>
  <c r="P495" i="1"/>
  <c r="Q495" i="1" s="1"/>
  <c r="P496" i="1"/>
  <c r="Q496" i="1" s="1"/>
  <c r="P497" i="1"/>
  <c r="Q497" i="1" s="1"/>
  <c r="P498" i="1"/>
  <c r="Q498" i="1" s="1"/>
  <c r="P499" i="1"/>
  <c r="Q499" i="1" s="1"/>
  <c r="P500" i="1"/>
  <c r="Q500" i="1" s="1"/>
  <c r="P501" i="1"/>
  <c r="Q501" i="1" s="1"/>
  <c r="G106" i="1"/>
  <c r="H106" i="1" s="1"/>
  <c r="I106" i="1" s="1"/>
  <c r="J106" i="1"/>
  <c r="K106" i="1" s="1"/>
  <c r="G107" i="1"/>
  <c r="H107" i="1" s="1"/>
  <c r="J107" i="1"/>
  <c r="K107" i="1" s="1"/>
  <c r="G108" i="1"/>
  <c r="H108" i="1" s="1"/>
  <c r="I108" i="1" s="1"/>
  <c r="J108" i="1"/>
  <c r="K108" i="1" s="1"/>
  <c r="G109" i="1"/>
  <c r="H109" i="1" s="1"/>
  <c r="I109" i="1" s="1"/>
  <c r="J109" i="1"/>
  <c r="K109" i="1" s="1"/>
  <c r="G110" i="1"/>
  <c r="H110" i="1" s="1"/>
  <c r="I110" i="1" s="1"/>
  <c r="J110" i="1"/>
  <c r="K110" i="1" s="1"/>
  <c r="G111" i="1"/>
  <c r="H111" i="1" s="1"/>
  <c r="I111" i="1" s="1"/>
  <c r="J111" i="1"/>
  <c r="K111" i="1" s="1"/>
  <c r="G112" i="1"/>
  <c r="H112" i="1" s="1"/>
  <c r="I112" i="1" s="1"/>
  <c r="J112" i="1"/>
  <c r="K112" i="1" s="1"/>
  <c r="G113" i="1"/>
  <c r="J113" i="1"/>
  <c r="K113" i="1" s="1"/>
  <c r="G114" i="1"/>
  <c r="H114" i="1" s="1"/>
  <c r="I114" i="1" s="1"/>
  <c r="J114" i="1"/>
  <c r="K114" i="1" s="1"/>
  <c r="G115" i="1"/>
  <c r="H115" i="1" s="1"/>
  <c r="I115" i="1" s="1"/>
  <c r="J115" i="1"/>
  <c r="K115" i="1" s="1"/>
  <c r="G116" i="1"/>
  <c r="H116" i="1" s="1"/>
  <c r="J116" i="1"/>
  <c r="K116" i="1" s="1"/>
  <c r="G117" i="1"/>
  <c r="H117" i="1" s="1"/>
  <c r="I117" i="1" s="1"/>
  <c r="J117" i="1"/>
  <c r="K117" i="1" s="1"/>
  <c r="G118" i="1"/>
  <c r="H118" i="1" s="1"/>
  <c r="I118" i="1" s="1"/>
  <c r="J118" i="1"/>
  <c r="K118" i="1" s="1"/>
  <c r="G119" i="1"/>
  <c r="J119" i="1"/>
  <c r="K119" i="1" s="1"/>
  <c r="G120" i="1"/>
  <c r="H120" i="1" s="1"/>
  <c r="I120" i="1" s="1"/>
  <c r="J120" i="1"/>
  <c r="K120" i="1" s="1"/>
  <c r="G121" i="1"/>
  <c r="H121" i="1" s="1"/>
  <c r="I121" i="1" s="1"/>
  <c r="J121" i="1"/>
  <c r="K121" i="1" s="1"/>
  <c r="G122" i="1"/>
  <c r="H122" i="1" s="1"/>
  <c r="I122" i="1" s="1"/>
  <c r="J122" i="1"/>
  <c r="K122" i="1" s="1"/>
  <c r="G123" i="1"/>
  <c r="H123" i="1" s="1"/>
  <c r="I123" i="1" s="1"/>
  <c r="J123" i="1"/>
  <c r="K123" i="1" s="1"/>
  <c r="G124" i="1"/>
  <c r="H124" i="1" s="1"/>
  <c r="I124" i="1" s="1"/>
  <c r="J124" i="1"/>
  <c r="K124" i="1" s="1"/>
  <c r="G125" i="1"/>
  <c r="H125" i="1" s="1"/>
  <c r="I125" i="1" s="1"/>
  <c r="J125" i="1"/>
  <c r="K125" i="1" s="1"/>
  <c r="G126" i="1"/>
  <c r="H126" i="1" s="1"/>
  <c r="I126" i="1" s="1"/>
  <c r="J126" i="1"/>
  <c r="K126" i="1" s="1"/>
  <c r="G127" i="1"/>
  <c r="H127" i="1" s="1"/>
  <c r="I127" i="1" s="1"/>
  <c r="J127" i="1"/>
  <c r="K127" i="1" s="1"/>
  <c r="G128" i="1"/>
  <c r="H128" i="1" s="1"/>
  <c r="I128" i="1" s="1"/>
  <c r="J128" i="1"/>
  <c r="K128" i="1" s="1"/>
  <c r="G129" i="1"/>
  <c r="H129" i="1" s="1"/>
  <c r="I129" i="1" s="1"/>
  <c r="J129" i="1"/>
  <c r="K129" i="1" s="1"/>
  <c r="G130" i="1"/>
  <c r="H130" i="1" s="1"/>
  <c r="I130" i="1" s="1"/>
  <c r="J130" i="1"/>
  <c r="K130" i="1" s="1"/>
  <c r="G131" i="1"/>
  <c r="H131" i="1" s="1"/>
  <c r="J131" i="1"/>
  <c r="K131" i="1" s="1"/>
  <c r="G132" i="1"/>
  <c r="H132" i="1" s="1"/>
  <c r="I132" i="1" s="1"/>
  <c r="J132" i="1"/>
  <c r="K132" i="1" s="1"/>
  <c r="G133" i="1"/>
  <c r="H133" i="1" s="1"/>
  <c r="I133" i="1" s="1"/>
  <c r="J133" i="1"/>
  <c r="K133" i="1" s="1"/>
  <c r="G134" i="1"/>
  <c r="H134" i="1" s="1"/>
  <c r="I134" i="1" s="1"/>
  <c r="J134" i="1"/>
  <c r="K134" i="1" s="1"/>
  <c r="G135" i="1"/>
  <c r="H135" i="1" s="1"/>
  <c r="I135" i="1" s="1"/>
  <c r="J135" i="1"/>
  <c r="K135" i="1" s="1"/>
  <c r="G136" i="1"/>
  <c r="H136" i="1" s="1"/>
  <c r="I136" i="1" s="1"/>
  <c r="J136" i="1"/>
  <c r="K136" i="1" s="1"/>
  <c r="G137" i="1"/>
  <c r="H137" i="1" s="1"/>
  <c r="I137" i="1" s="1"/>
  <c r="J137" i="1"/>
  <c r="K137" i="1" s="1"/>
  <c r="G138" i="1"/>
  <c r="H138" i="1" s="1"/>
  <c r="I138" i="1" s="1"/>
  <c r="J138" i="1"/>
  <c r="K138" i="1" s="1"/>
  <c r="G139" i="1"/>
  <c r="H139" i="1" s="1"/>
  <c r="J139" i="1"/>
  <c r="K139" i="1" s="1"/>
  <c r="G140" i="1"/>
  <c r="H140" i="1" s="1"/>
  <c r="I140" i="1" s="1"/>
  <c r="J140" i="1"/>
  <c r="K140" i="1" s="1"/>
  <c r="G141" i="1"/>
  <c r="H141" i="1" s="1"/>
  <c r="I141" i="1" s="1"/>
  <c r="J141" i="1"/>
  <c r="K141" i="1" s="1"/>
  <c r="G142" i="1"/>
  <c r="H142" i="1" s="1"/>
  <c r="I142" i="1" s="1"/>
  <c r="J142" i="1"/>
  <c r="K142" i="1" s="1"/>
  <c r="G143" i="1"/>
  <c r="H143" i="1" s="1"/>
  <c r="J143" i="1"/>
  <c r="K143" i="1" s="1"/>
  <c r="G144" i="1"/>
  <c r="H144" i="1" s="1"/>
  <c r="I144" i="1" s="1"/>
  <c r="J144" i="1"/>
  <c r="K144" i="1" s="1"/>
  <c r="G145" i="1"/>
  <c r="H145" i="1" s="1"/>
  <c r="I145" i="1" s="1"/>
  <c r="J145" i="1"/>
  <c r="K145" i="1" s="1"/>
  <c r="G146" i="1"/>
  <c r="H146" i="1" s="1"/>
  <c r="I146" i="1" s="1"/>
  <c r="J146" i="1"/>
  <c r="K146" i="1" s="1"/>
  <c r="G147" i="1"/>
  <c r="H147" i="1" s="1"/>
  <c r="I147" i="1" s="1"/>
  <c r="J147" i="1"/>
  <c r="K147" i="1" s="1"/>
  <c r="G148" i="1"/>
  <c r="H148" i="1" s="1"/>
  <c r="I148" i="1" s="1"/>
  <c r="J148" i="1"/>
  <c r="K148" i="1" s="1"/>
  <c r="G149" i="1"/>
  <c r="J149" i="1"/>
  <c r="K149" i="1" s="1"/>
  <c r="G150" i="1"/>
  <c r="H150" i="1" s="1"/>
  <c r="I150" i="1" s="1"/>
  <c r="J150" i="1"/>
  <c r="K150" i="1" s="1"/>
  <c r="G151" i="1"/>
  <c r="H151" i="1" s="1"/>
  <c r="I151" i="1" s="1"/>
  <c r="J151" i="1"/>
  <c r="K151" i="1" s="1"/>
  <c r="G152" i="1"/>
  <c r="H152" i="1" s="1"/>
  <c r="J152" i="1"/>
  <c r="K152" i="1" s="1"/>
  <c r="G153" i="1"/>
  <c r="H153" i="1" s="1"/>
  <c r="I153" i="1" s="1"/>
  <c r="J153" i="1"/>
  <c r="K153" i="1" s="1"/>
  <c r="G154" i="1"/>
  <c r="H154" i="1" s="1"/>
  <c r="I154" i="1" s="1"/>
  <c r="J154" i="1"/>
  <c r="K154" i="1" s="1"/>
  <c r="G155" i="1"/>
  <c r="H155" i="1" s="1"/>
  <c r="J155" i="1"/>
  <c r="K155" i="1" s="1"/>
  <c r="G156" i="1"/>
  <c r="H156" i="1" s="1"/>
  <c r="I156" i="1" s="1"/>
  <c r="J156" i="1"/>
  <c r="K156" i="1" s="1"/>
  <c r="G157" i="1"/>
  <c r="H157" i="1" s="1"/>
  <c r="I157" i="1" s="1"/>
  <c r="J157" i="1"/>
  <c r="K157" i="1" s="1"/>
  <c r="G158" i="1"/>
  <c r="H158" i="1" s="1"/>
  <c r="I158" i="1" s="1"/>
  <c r="J158" i="1"/>
  <c r="K158" i="1" s="1"/>
  <c r="G159" i="1"/>
  <c r="H159" i="1" s="1"/>
  <c r="I159" i="1" s="1"/>
  <c r="J159" i="1"/>
  <c r="K159" i="1" s="1"/>
  <c r="G160" i="1"/>
  <c r="H160" i="1" s="1"/>
  <c r="I160" i="1" s="1"/>
  <c r="J160" i="1"/>
  <c r="K160" i="1" s="1"/>
  <c r="G161" i="1"/>
  <c r="H161" i="1" s="1"/>
  <c r="I161" i="1" s="1"/>
  <c r="J161" i="1"/>
  <c r="K161" i="1" s="1"/>
  <c r="G162" i="1"/>
  <c r="H162" i="1" s="1"/>
  <c r="I162" i="1" s="1"/>
  <c r="J162" i="1"/>
  <c r="K162" i="1" s="1"/>
  <c r="G163" i="1"/>
  <c r="H163" i="1" s="1"/>
  <c r="I163" i="1" s="1"/>
  <c r="J163" i="1"/>
  <c r="K163" i="1" s="1"/>
  <c r="G164" i="1"/>
  <c r="H164" i="1" s="1"/>
  <c r="I164" i="1" s="1"/>
  <c r="J164" i="1"/>
  <c r="K164" i="1" s="1"/>
  <c r="G165" i="1"/>
  <c r="H165" i="1" s="1"/>
  <c r="I165" i="1" s="1"/>
  <c r="J165" i="1"/>
  <c r="K165" i="1" s="1"/>
  <c r="G166" i="1"/>
  <c r="H166" i="1" s="1"/>
  <c r="I166" i="1" s="1"/>
  <c r="J166" i="1"/>
  <c r="K166" i="1" s="1"/>
  <c r="G167" i="1"/>
  <c r="H167" i="1" s="1"/>
  <c r="J167" i="1"/>
  <c r="K167" i="1" s="1"/>
  <c r="G168" i="1"/>
  <c r="H168" i="1" s="1"/>
  <c r="I168" i="1" s="1"/>
  <c r="J168" i="1"/>
  <c r="K168" i="1" s="1"/>
  <c r="G169" i="1"/>
  <c r="H169" i="1" s="1"/>
  <c r="I169" i="1" s="1"/>
  <c r="J169" i="1"/>
  <c r="K169" i="1" s="1"/>
  <c r="G170" i="1"/>
  <c r="H170" i="1" s="1"/>
  <c r="I170" i="1" s="1"/>
  <c r="J170" i="1"/>
  <c r="K170" i="1" s="1"/>
  <c r="G171" i="1"/>
  <c r="H171" i="1" s="1"/>
  <c r="I171" i="1" s="1"/>
  <c r="J171" i="1"/>
  <c r="K171" i="1" s="1"/>
  <c r="G172" i="1"/>
  <c r="H172" i="1" s="1"/>
  <c r="I172" i="1" s="1"/>
  <c r="J172" i="1"/>
  <c r="K172" i="1" s="1"/>
  <c r="G173" i="1"/>
  <c r="H173" i="1" s="1"/>
  <c r="I173" i="1" s="1"/>
  <c r="J173" i="1"/>
  <c r="K173" i="1" s="1"/>
  <c r="G174" i="1"/>
  <c r="H174" i="1" s="1"/>
  <c r="I174" i="1" s="1"/>
  <c r="J174" i="1"/>
  <c r="K174" i="1" s="1"/>
  <c r="G175" i="1"/>
  <c r="J175" i="1"/>
  <c r="K175" i="1" s="1"/>
  <c r="G176" i="1"/>
  <c r="H176" i="1" s="1"/>
  <c r="I176" i="1" s="1"/>
  <c r="J176" i="1"/>
  <c r="K176" i="1" s="1"/>
  <c r="G177" i="1"/>
  <c r="H177" i="1" s="1"/>
  <c r="I177" i="1" s="1"/>
  <c r="J177" i="1"/>
  <c r="K177" i="1" s="1"/>
  <c r="G178" i="1"/>
  <c r="H178" i="1" s="1"/>
  <c r="I178" i="1" s="1"/>
  <c r="J178" i="1"/>
  <c r="K178" i="1" s="1"/>
  <c r="G179" i="1"/>
  <c r="H179" i="1" s="1"/>
  <c r="J179" i="1"/>
  <c r="K179" i="1" s="1"/>
  <c r="G180" i="1"/>
  <c r="H180" i="1" s="1"/>
  <c r="I180" i="1" s="1"/>
  <c r="J180" i="1"/>
  <c r="K180" i="1" s="1"/>
  <c r="G181" i="1"/>
  <c r="H181" i="1" s="1"/>
  <c r="I181" i="1" s="1"/>
  <c r="J181" i="1"/>
  <c r="K181" i="1" s="1"/>
  <c r="G182" i="1"/>
  <c r="H182" i="1" s="1"/>
  <c r="I182" i="1" s="1"/>
  <c r="J182" i="1"/>
  <c r="K182" i="1" s="1"/>
  <c r="G183" i="1"/>
  <c r="H183" i="1" s="1"/>
  <c r="I183" i="1" s="1"/>
  <c r="J183" i="1"/>
  <c r="K183" i="1" s="1"/>
  <c r="G184" i="1"/>
  <c r="H184" i="1" s="1"/>
  <c r="I184" i="1" s="1"/>
  <c r="J184" i="1"/>
  <c r="K184" i="1" s="1"/>
  <c r="G185" i="1"/>
  <c r="J185" i="1"/>
  <c r="K185" i="1" s="1"/>
  <c r="G186" i="1"/>
  <c r="H186" i="1" s="1"/>
  <c r="I186" i="1" s="1"/>
  <c r="J186" i="1"/>
  <c r="K186" i="1" s="1"/>
  <c r="G187" i="1"/>
  <c r="H187" i="1" s="1"/>
  <c r="I187" i="1" s="1"/>
  <c r="J187" i="1"/>
  <c r="K187" i="1" s="1"/>
  <c r="G188" i="1"/>
  <c r="H188" i="1" s="1"/>
  <c r="J188" i="1"/>
  <c r="K188" i="1" s="1"/>
  <c r="G189" i="1"/>
  <c r="H189" i="1" s="1"/>
  <c r="I189" i="1" s="1"/>
  <c r="J189" i="1"/>
  <c r="K189" i="1" s="1"/>
  <c r="G190" i="1"/>
  <c r="H190" i="1" s="1"/>
  <c r="I190" i="1" s="1"/>
  <c r="J190" i="1"/>
  <c r="K190" i="1" s="1"/>
  <c r="G191" i="1"/>
  <c r="H191" i="1" s="1"/>
  <c r="J191" i="1"/>
  <c r="K191" i="1" s="1"/>
  <c r="G192" i="1"/>
  <c r="H192" i="1" s="1"/>
  <c r="I192" i="1" s="1"/>
  <c r="J192" i="1"/>
  <c r="K192" i="1" s="1"/>
  <c r="G193" i="1"/>
  <c r="H193" i="1" s="1"/>
  <c r="I193" i="1" s="1"/>
  <c r="J193" i="1"/>
  <c r="K193" i="1" s="1"/>
  <c r="G194" i="1"/>
  <c r="H194" i="1" s="1"/>
  <c r="I194" i="1" s="1"/>
  <c r="J194" i="1"/>
  <c r="K194" i="1" s="1"/>
  <c r="G195" i="1"/>
  <c r="H195" i="1" s="1"/>
  <c r="I195" i="1" s="1"/>
  <c r="J195" i="1"/>
  <c r="K195" i="1" s="1"/>
  <c r="G196" i="1"/>
  <c r="H196" i="1" s="1"/>
  <c r="I196" i="1" s="1"/>
  <c r="J196" i="1"/>
  <c r="K196" i="1" s="1"/>
  <c r="G197" i="1"/>
  <c r="H197" i="1" s="1"/>
  <c r="I197" i="1" s="1"/>
  <c r="J197" i="1"/>
  <c r="K197" i="1" s="1"/>
  <c r="G198" i="1"/>
  <c r="H198" i="1" s="1"/>
  <c r="I198" i="1" s="1"/>
  <c r="J198" i="1"/>
  <c r="K198" i="1" s="1"/>
  <c r="G199" i="1"/>
  <c r="H199" i="1" s="1"/>
  <c r="I199" i="1" s="1"/>
  <c r="J199" i="1"/>
  <c r="K199" i="1" s="1"/>
  <c r="G200" i="1"/>
  <c r="H200" i="1" s="1"/>
  <c r="I200" i="1" s="1"/>
  <c r="J200" i="1"/>
  <c r="K200" i="1" s="1"/>
  <c r="G201" i="1"/>
  <c r="H201" i="1" s="1"/>
  <c r="I201" i="1" s="1"/>
  <c r="J201" i="1"/>
  <c r="K201" i="1" s="1"/>
  <c r="G202" i="1"/>
  <c r="H202" i="1" s="1"/>
  <c r="I202" i="1" s="1"/>
  <c r="J202" i="1"/>
  <c r="K202" i="1" s="1"/>
  <c r="G203" i="1"/>
  <c r="H203" i="1" s="1"/>
  <c r="J203" i="1"/>
  <c r="K203" i="1" s="1"/>
  <c r="G204" i="1"/>
  <c r="H204" i="1" s="1"/>
  <c r="I204" i="1" s="1"/>
  <c r="J204" i="1"/>
  <c r="K204" i="1" s="1"/>
  <c r="G205" i="1"/>
  <c r="H205" i="1" s="1"/>
  <c r="I205" i="1" s="1"/>
  <c r="J205" i="1"/>
  <c r="K205" i="1" s="1"/>
  <c r="G206" i="1"/>
  <c r="H206" i="1" s="1"/>
  <c r="I206" i="1" s="1"/>
  <c r="J206" i="1"/>
  <c r="K206" i="1" s="1"/>
  <c r="G207" i="1"/>
  <c r="H207" i="1" s="1"/>
  <c r="I207" i="1" s="1"/>
  <c r="J207" i="1"/>
  <c r="K207" i="1" s="1"/>
  <c r="G208" i="1"/>
  <c r="H208" i="1" s="1"/>
  <c r="I208" i="1" s="1"/>
  <c r="J208" i="1"/>
  <c r="K208" i="1" s="1"/>
  <c r="G209" i="1"/>
  <c r="H209" i="1" s="1"/>
  <c r="I209" i="1" s="1"/>
  <c r="J209" i="1"/>
  <c r="K209" i="1" s="1"/>
  <c r="G210" i="1"/>
  <c r="H210" i="1" s="1"/>
  <c r="I210" i="1" s="1"/>
  <c r="J210" i="1"/>
  <c r="K210" i="1" s="1"/>
  <c r="G211" i="1"/>
  <c r="H211" i="1" s="1"/>
  <c r="J211" i="1"/>
  <c r="K211" i="1" s="1"/>
  <c r="G212" i="1"/>
  <c r="H212" i="1" s="1"/>
  <c r="I212" i="1" s="1"/>
  <c r="J212" i="1"/>
  <c r="K212" i="1" s="1"/>
  <c r="G213" i="1"/>
  <c r="H213" i="1" s="1"/>
  <c r="I213" i="1" s="1"/>
  <c r="J213" i="1"/>
  <c r="K213" i="1" s="1"/>
  <c r="G214" i="1"/>
  <c r="H214" i="1" s="1"/>
  <c r="I214" i="1" s="1"/>
  <c r="J214" i="1"/>
  <c r="K214" i="1" s="1"/>
  <c r="G215" i="1"/>
  <c r="H215" i="1" s="1"/>
  <c r="J215" i="1"/>
  <c r="K215" i="1" s="1"/>
  <c r="G216" i="1"/>
  <c r="H216" i="1" s="1"/>
  <c r="I216" i="1" s="1"/>
  <c r="J216" i="1"/>
  <c r="K216" i="1" s="1"/>
  <c r="G217" i="1"/>
  <c r="H217" i="1" s="1"/>
  <c r="I217" i="1" s="1"/>
  <c r="J217" i="1"/>
  <c r="K217" i="1" s="1"/>
  <c r="G218" i="1"/>
  <c r="H218" i="1" s="1"/>
  <c r="I218" i="1" s="1"/>
  <c r="J218" i="1"/>
  <c r="K218" i="1" s="1"/>
  <c r="G219" i="1"/>
  <c r="H219" i="1" s="1"/>
  <c r="I219" i="1" s="1"/>
  <c r="J219" i="1"/>
  <c r="K219" i="1" s="1"/>
  <c r="G220" i="1"/>
  <c r="H220" i="1" s="1"/>
  <c r="I220" i="1" s="1"/>
  <c r="J220" i="1"/>
  <c r="K220" i="1" s="1"/>
  <c r="G221" i="1"/>
  <c r="H221" i="1" s="1"/>
  <c r="J221" i="1"/>
  <c r="K221" i="1" s="1"/>
  <c r="G222" i="1"/>
  <c r="H222" i="1" s="1"/>
  <c r="I222" i="1" s="1"/>
  <c r="J222" i="1"/>
  <c r="K222" i="1" s="1"/>
  <c r="G223" i="1"/>
  <c r="H223" i="1" s="1"/>
  <c r="I223" i="1" s="1"/>
  <c r="J223" i="1"/>
  <c r="K223" i="1" s="1"/>
  <c r="G224" i="1"/>
  <c r="H224" i="1" s="1"/>
  <c r="J224" i="1"/>
  <c r="K224" i="1" s="1"/>
  <c r="G225" i="1"/>
  <c r="H225" i="1" s="1"/>
  <c r="I225" i="1" s="1"/>
  <c r="J225" i="1"/>
  <c r="K225" i="1" s="1"/>
  <c r="G226" i="1"/>
  <c r="H226" i="1" s="1"/>
  <c r="I226" i="1" s="1"/>
  <c r="J226" i="1"/>
  <c r="K226" i="1" s="1"/>
  <c r="G227" i="1"/>
  <c r="H227" i="1" s="1"/>
  <c r="J227" i="1"/>
  <c r="K227" i="1" s="1"/>
  <c r="G228" i="1"/>
  <c r="H228" i="1" s="1"/>
  <c r="I228" i="1" s="1"/>
  <c r="J228" i="1"/>
  <c r="K228" i="1" s="1"/>
  <c r="G229" i="1"/>
  <c r="H229" i="1" s="1"/>
  <c r="I229" i="1" s="1"/>
  <c r="J229" i="1"/>
  <c r="K229" i="1" s="1"/>
  <c r="G230" i="1"/>
  <c r="H230" i="1" s="1"/>
  <c r="I230" i="1" s="1"/>
  <c r="J230" i="1"/>
  <c r="K230" i="1" s="1"/>
  <c r="G231" i="1"/>
  <c r="H231" i="1" s="1"/>
  <c r="I231" i="1" s="1"/>
  <c r="J231" i="1"/>
  <c r="K231" i="1" s="1"/>
  <c r="G232" i="1"/>
  <c r="H232" i="1" s="1"/>
  <c r="I232" i="1" s="1"/>
  <c r="J232" i="1"/>
  <c r="K232" i="1" s="1"/>
  <c r="G233" i="1"/>
  <c r="H233" i="1" s="1"/>
  <c r="I233" i="1" s="1"/>
  <c r="J233" i="1"/>
  <c r="K233" i="1" s="1"/>
  <c r="G234" i="1"/>
  <c r="H234" i="1" s="1"/>
  <c r="I234" i="1" s="1"/>
  <c r="J234" i="1"/>
  <c r="K234" i="1" s="1"/>
  <c r="G235" i="1"/>
  <c r="H235" i="1" s="1"/>
  <c r="I235" i="1" s="1"/>
  <c r="J235" i="1"/>
  <c r="K235" i="1" s="1"/>
  <c r="G236" i="1"/>
  <c r="H236" i="1" s="1"/>
  <c r="I236" i="1" s="1"/>
  <c r="J236" i="1"/>
  <c r="K236" i="1" s="1"/>
  <c r="G237" i="1"/>
  <c r="H237" i="1" s="1"/>
  <c r="I237" i="1" s="1"/>
  <c r="J237" i="1"/>
  <c r="K237" i="1" s="1"/>
  <c r="G238" i="1"/>
  <c r="H238" i="1" s="1"/>
  <c r="I238" i="1" s="1"/>
  <c r="J238" i="1"/>
  <c r="K238" i="1" s="1"/>
  <c r="G239" i="1"/>
  <c r="H239" i="1" s="1"/>
  <c r="J239" i="1"/>
  <c r="K239" i="1" s="1"/>
  <c r="G240" i="1"/>
  <c r="H240" i="1" s="1"/>
  <c r="I240" i="1" s="1"/>
  <c r="J240" i="1"/>
  <c r="K240" i="1" s="1"/>
  <c r="G241" i="1"/>
  <c r="H241" i="1" s="1"/>
  <c r="I241" i="1" s="1"/>
  <c r="J241" i="1"/>
  <c r="K241" i="1" s="1"/>
  <c r="G242" i="1"/>
  <c r="H242" i="1" s="1"/>
  <c r="I242" i="1" s="1"/>
  <c r="J242" i="1"/>
  <c r="K242" i="1" s="1"/>
  <c r="G243" i="1"/>
  <c r="H243" i="1" s="1"/>
  <c r="I243" i="1" s="1"/>
  <c r="J243" i="1"/>
  <c r="K243" i="1" s="1"/>
  <c r="G244" i="1"/>
  <c r="H244" i="1" s="1"/>
  <c r="I244" i="1" s="1"/>
  <c r="J244" i="1"/>
  <c r="K244" i="1" s="1"/>
  <c r="G245" i="1"/>
  <c r="H245" i="1" s="1"/>
  <c r="I245" i="1" s="1"/>
  <c r="J245" i="1"/>
  <c r="K245" i="1" s="1"/>
  <c r="G246" i="1"/>
  <c r="H246" i="1" s="1"/>
  <c r="I246" i="1" s="1"/>
  <c r="J246" i="1"/>
  <c r="K246" i="1" s="1"/>
  <c r="G247" i="1"/>
  <c r="H247" i="1" s="1"/>
  <c r="J247" i="1"/>
  <c r="K247" i="1" s="1"/>
  <c r="G248" i="1"/>
  <c r="H248" i="1" s="1"/>
  <c r="I248" i="1" s="1"/>
  <c r="J248" i="1"/>
  <c r="K248" i="1" s="1"/>
  <c r="G249" i="1"/>
  <c r="H249" i="1" s="1"/>
  <c r="I249" i="1" s="1"/>
  <c r="J249" i="1"/>
  <c r="K249" i="1" s="1"/>
  <c r="G250" i="1"/>
  <c r="H250" i="1" s="1"/>
  <c r="I250" i="1" s="1"/>
  <c r="J250" i="1"/>
  <c r="K250" i="1" s="1"/>
  <c r="G251" i="1"/>
  <c r="H251" i="1" s="1"/>
  <c r="J251" i="1"/>
  <c r="K251" i="1" s="1"/>
  <c r="G252" i="1"/>
  <c r="H252" i="1" s="1"/>
  <c r="I252" i="1" s="1"/>
  <c r="J252" i="1"/>
  <c r="K252" i="1" s="1"/>
  <c r="G253" i="1"/>
  <c r="H253" i="1" s="1"/>
  <c r="I253" i="1" s="1"/>
  <c r="J253" i="1"/>
  <c r="K253" i="1" s="1"/>
  <c r="G254" i="1"/>
  <c r="H254" i="1" s="1"/>
  <c r="I254" i="1" s="1"/>
  <c r="J254" i="1"/>
  <c r="K254" i="1" s="1"/>
  <c r="G255" i="1"/>
  <c r="H255" i="1" s="1"/>
  <c r="I255" i="1" s="1"/>
  <c r="J255" i="1"/>
  <c r="K255" i="1" s="1"/>
  <c r="G256" i="1"/>
  <c r="H256" i="1" s="1"/>
  <c r="I256" i="1" s="1"/>
  <c r="J256" i="1"/>
  <c r="K256" i="1" s="1"/>
  <c r="G257" i="1"/>
  <c r="H257" i="1" s="1"/>
  <c r="J257" i="1"/>
  <c r="K257" i="1" s="1"/>
  <c r="G258" i="1"/>
  <c r="H258" i="1" s="1"/>
  <c r="I258" i="1" s="1"/>
  <c r="J258" i="1"/>
  <c r="K258" i="1" s="1"/>
  <c r="G259" i="1"/>
  <c r="H259" i="1" s="1"/>
  <c r="I259" i="1" s="1"/>
  <c r="J259" i="1"/>
  <c r="K259" i="1" s="1"/>
  <c r="G260" i="1"/>
  <c r="H260" i="1" s="1"/>
  <c r="J260" i="1"/>
  <c r="K260" i="1" s="1"/>
  <c r="G261" i="1"/>
  <c r="H261" i="1" s="1"/>
  <c r="I261" i="1" s="1"/>
  <c r="J261" i="1"/>
  <c r="K261" i="1" s="1"/>
  <c r="G262" i="1"/>
  <c r="H262" i="1" s="1"/>
  <c r="I262" i="1" s="1"/>
  <c r="J262" i="1"/>
  <c r="K262" i="1" s="1"/>
  <c r="G263" i="1"/>
  <c r="H263" i="1" s="1"/>
  <c r="J263" i="1"/>
  <c r="K263" i="1" s="1"/>
  <c r="G264" i="1"/>
  <c r="H264" i="1" s="1"/>
  <c r="I264" i="1" s="1"/>
  <c r="J264" i="1"/>
  <c r="K264" i="1" s="1"/>
  <c r="G265" i="1"/>
  <c r="H265" i="1" s="1"/>
  <c r="I265" i="1" s="1"/>
  <c r="J265" i="1"/>
  <c r="K265" i="1" s="1"/>
  <c r="G266" i="1"/>
  <c r="H266" i="1" s="1"/>
  <c r="I266" i="1" s="1"/>
  <c r="J266" i="1"/>
  <c r="K266" i="1" s="1"/>
  <c r="G267" i="1"/>
  <c r="H267" i="1" s="1"/>
  <c r="I267" i="1" s="1"/>
  <c r="J267" i="1"/>
  <c r="K267" i="1" s="1"/>
  <c r="G268" i="1"/>
  <c r="H268" i="1" s="1"/>
  <c r="I268" i="1" s="1"/>
  <c r="J268" i="1"/>
  <c r="K268" i="1" s="1"/>
  <c r="G269" i="1"/>
  <c r="H269" i="1" s="1"/>
  <c r="I269" i="1" s="1"/>
  <c r="J269" i="1"/>
  <c r="K269" i="1" s="1"/>
  <c r="G270" i="1"/>
  <c r="H270" i="1" s="1"/>
  <c r="I270" i="1" s="1"/>
  <c r="J270" i="1"/>
  <c r="K270" i="1" s="1"/>
  <c r="G271" i="1"/>
  <c r="H271" i="1" s="1"/>
  <c r="I271" i="1" s="1"/>
  <c r="J271" i="1"/>
  <c r="K271" i="1" s="1"/>
  <c r="G272" i="1"/>
  <c r="H272" i="1" s="1"/>
  <c r="I272" i="1" s="1"/>
  <c r="J272" i="1"/>
  <c r="K272" i="1" s="1"/>
  <c r="G273" i="1"/>
  <c r="H273" i="1" s="1"/>
  <c r="I273" i="1" s="1"/>
  <c r="J273" i="1"/>
  <c r="K273" i="1" s="1"/>
  <c r="G274" i="1"/>
  <c r="H274" i="1" s="1"/>
  <c r="I274" i="1" s="1"/>
  <c r="J274" i="1"/>
  <c r="K274" i="1" s="1"/>
  <c r="G275" i="1"/>
  <c r="H275" i="1" s="1"/>
  <c r="J275" i="1"/>
  <c r="K275" i="1" s="1"/>
  <c r="G276" i="1"/>
  <c r="H276" i="1" s="1"/>
  <c r="I276" i="1" s="1"/>
  <c r="J276" i="1"/>
  <c r="K276" i="1" s="1"/>
  <c r="G277" i="1"/>
  <c r="J277" i="1"/>
  <c r="K277" i="1" s="1"/>
  <c r="G278" i="1"/>
  <c r="H278" i="1" s="1"/>
  <c r="I278" i="1" s="1"/>
  <c r="J278" i="1"/>
  <c r="K278" i="1" s="1"/>
  <c r="G279" i="1"/>
  <c r="H279" i="1" s="1"/>
  <c r="I279" i="1" s="1"/>
  <c r="J279" i="1"/>
  <c r="K279" i="1" s="1"/>
  <c r="G280" i="1"/>
  <c r="J280" i="1"/>
  <c r="K280" i="1" s="1"/>
  <c r="G281" i="1"/>
  <c r="H281" i="1" s="1"/>
  <c r="I281" i="1" s="1"/>
  <c r="J281" i="1"/>
  <c r="K281" i="1" s="1"/>
  <c r="G282" i="1"/>
  <c r="H282" i="1" s="1"/>
  <c r="I282" i="1" s="1"/>
  <c r="J282" i="1"/>
  <c r="K282" i="1" s="1"/>
  <c r="G283" i="1"/>
  <c r="H283" i="1" s="1"/>
  <c r="I283" i="1" s="1"/>
  <c r="J283" i="1"/>
  <c r="K283" i="1" s="1"/>
  <c r="G284" i="1"/>
  <c r="H284" i="1" s="1"/>
  <c r="I284" i="1" s="1"/>
  <c r="J284" i="1"/>
  <c r="K284" i="1" s="1"/>
  <c r="G285" i="1"/>
  <c r="H285" i="1" s="1"/>
  <c r="I285" i="1" s="1"/>
  <c r="J285" i="1"/>
  <c r="K285" i="1" s="1"/>
  <c r="G286" i="1"/>
  <c r="J286" i="1"/>
  <c r="K286" i="1" s="1"/>
  <c r="G287" i="1"/>
  <c r="H287" i="1" s="1"/>
  <c r="I287" i="1" s="1"/>
  <c r="J287" i="1"/>
  <c r="K287" i="1" s="1"/>
  <c r="G288" i="1"/>
  <c r="H288" i="1" s="1"/>
  <c r="I288" i="1" s="1"/>
  <c r="J288" i="1"/>
  <c r="K288" i="1" s="1"/>
  <c r="G289" i="1"/>
  <c r="H289" i="1" s="1"/>
  <c r="I289" i="1" s="1"/>
  <c r="J289" i="1"/>
  <c r="K289" i="1" s="1"/>
  <c r="G290" i="1"/>
  <c r="H290" i="1" s="1"/>
  <c r="I290" i="1" s="1"/>
  <c r="J290" i="1"/>
  <c r="K290" i="1" s="1"/>
  <c r="G291" i="1"/>
  <c r="H291" i="1" s="1"/>
  <c r="I291" i="1" s="1"/>
  <c r="J291" i="1"/>
  <c r="K291" i="1" s="1"/>
  <c r="G292" i="1"/>
  <c r="H292" i="1" s="1"/>
  <c r="J292" i="1"/>
  <c r="K292" i="1" s="1"/>
  <c r="G293" i="1"/>
  <c r="H293" i="1" s="1"/>
  <c r="I293" i="1" s="1"/>
  <c r="J293" i="1"/>
  <c r="K293" i="1" s="1"/>
  <c r="G294" i="1"/>
  <c r="H294" i="1" s="1"/>
  <c r="I294" i="1" s="1"/>
  <c r="J294" i="1"/>
  <c r="K294" i="1" s="1"/>
  <c r="G295" i="1"/>
  <c r="H295" i="1" s="1"/>
  <c r="J295" i="1"/>
  <c r="K295" i="1" s="1"/>
  <c r="G296" i="1"/>
  <c r="H296" i="1" s="1"/>
  <c r="I296" i="1" s="1"/>
  <c r="J296" i="1"/>
  <c r="K296" i="1" s="1"/>
  <c r="G297" i="1"/>
  <c r="H297" i="1" s="1"/>
  <c r="I297" i="1" s="1"/>
  <c r="J297" i="1"/>
  <c r="K297" i="1" s="1"/>
  <c r="G298" i="1"/>
  <c r="J298" i="1"/>
  <c r="K298" i="1" s="1"/>
  <c r="G299" i="1"/>
  <c r="H299" i="1" s="1"/>
  <c r="I299" i="1" s="1"/>
  <c r="J299" i="1"/>
  <c r="K299" i="1" s="1"/>
  <c r="G300" i="1"/>
  <c r="H300" i="1" s="1"/>
  <c r="I300" i="1" s="1"/>
  <c r="J300" i="1"/>
  <c r="K300" i="1" s="1"/>
  <c r="G301" i="1"/>
  <c r="H301" i="1" s="1"/>
  <c r="I301" i="1" s="1"/>
  <c r="J301" i="1"/>
  <c r="K301" i="1" s="1"/>
  <c r="G302" i="1"/>
  <c r="H302" i="1" s="1"/>
  <c r="I302" i="1" s="1"/>
  <c r="J302" i="1"/>
  <c r="K302" i="1" s="1"/>
  <c r="G303" i="1"/>
  <c r="H303" i="1" s="1"/>
  <c r="I303" i="1" s="1"/>
  <c r="J303" i="1"/>
  <c r="K303" i="1" s="1"/>
  <c r="G304" i="1"/>
  <c r="H304" i="1" s="1"/>
  <c r="J304" i="1"/>
  <c r="K304" i="1" s="1"/>
  <c r="G305" i="1"/>
  <c r="H305" i="1" s="1"/>
  <c r="I305" i="1" s="1"/>
  <c r="J305" i="1"/>
  <c r="K305" i="1" s="1"/>
  <c r="G306" i="1"/>
  <c r="H306" i="1" s="1"/>
  <c r="I306" i="1" s="1"/>
  <c r="J306" i="1"/>
  <c r="K306" i="1" s="1"/>
  <c r="G307" i="1"/>
  <c r="H307" i="1" s="1"/>
  <c r="I307" i="1" s="1"/>
  <c r="J307" i="1"/>
  <c r="K307" i="1" s="1"/>
  <c r="G308" i="1"/>
  <c r="H308" i="1" s="1"/>
  <c r="I308" i="1" s="1"/>
  <c r="J308" i="1"/>
  <c r="K308" i="1" s="1"/>
  <c r="G309" i="1"/>
  <c r="H309" i="1" s="1"/>
  <c r="I309" i="1" s="1"/>
  <c r="J309" i="1"/>
  <c r="K309" i="1" s="1"/>
  <c r="G310" i="1"/>
  <c r="J310" i="1"/>
  <c r="K310" i="1" s="1"/>
  <c r="G311" i="1"/>
  <c r="H311" i="1" s="1"/>
  <c r="I311" i="1" s="1"/>
  <c r="J311" i="1"/>
  <c r="K311" i="1" s="1"/>
  <c r="G312" i="1"/>
  <c r="H312" i="1" s="1"/>
  <c r="I312" i="1" s="1"/>
  <c r="J312" i="1"/>
  <c r="K312" i="1" s="1"/>
  <c r="G313" i="1"/>
  <c r="H313" i="1" s="1"/>
  <c r="J313" i="1"/>
  <c r="K313" i="1" s="1"/>
  <c r="G314" i="1"/>
  <c r="H314" i="1" s="1"/>
  <c r="I314" i="1" s="1"/>
  <c r="J314" i="1"/>
  <c r="K314" i="1" s="1"/>
  <c r="G315" i="1"/>
  <c r="H315" i="1" s="1"/>
  <c r="I315" i="1" s="1"/>
  <c r="J315" i="1"/>
  <c r="K315" i="1" s="1"/>
  <c r="G316" i="1"/>
  <c r="H316" i="1" s="1"/>
  <c r="J316" i="1"/>
  <c r="K316" i="1" s="1"/>
  <c r="G317" i="1"/>
  <c r="H317" i="1" s="1"/>
  <c r="I317" i="1" s="1"/>
  <c r="J317" i="1"/>
  <c r="K317" i="1" s="1"/>
  <c r="G318" i="1"/>
  <c r="H318" i="1" s="1"/>
  <c r="I318" i="1" s="1"/>
  <c r="J318" i="1"/>
  <c r="K318" i="1" s="1"/>
  <c r="G319" i="1"/>
  <c r="H319" i="1" s="1"/>
  <c r="I319" i="1" s="1"/>
  <c r="J319" i="1"/>
  <c r="K319" i="1" s="1"/>
  <c r="G320" i="1"/>
  <c r="H320" i="1" s="1"/>
  <c r="I320" i="1" s="1"/>
  <c r="J320" i="1"/>
  <c r="K320" i="1" s="1"/>
  <c r="G321" i="1"/>
  <c r="H321" i="1" s="1"/>
  <c r="I321" i="1" s="1"/>
  <c r="J321" i="1"/>
  <c r="K321" i="1" s="1"/>
  <c r="G322" i="1"/>
  <c r="J322" i="1"/>
  <c r="K322" i="1" s="1"/>
  <c r="G323" i="1"/>
  <c r="H323" i="1" s="1"/>
  <c r="I323" i="1" s="1"/>
  <c r="J323" i="1"/>
  <c r="K323" i="1" s="1"/>
  <c r="G324" i="1"/>
  <c r="H324" i="1" s="1"/>
  <c r="I324" i="1" s="1"/>
  <c r="J324" i="1"/>
  <c r="K324" i="1" s="1"/>
  <c r="G325" i="1"/>
  <c r="H325" i="1" s="1"/>
  <c r="I325" i="1" s="1"/>
  <c r="J325" i="1"/>
  <c r="K325" i="1" s="1"/>
  <c r="G326" i="1"/>
  <c r="H326" i="1" s="1"/>
  <c r="I326" i="1" s="1"/>
  <c r="J326" i="1"/>
  <c r="K326" i="1" s="1"/>
  <c r="G327" i="1"/>
  <c r="H327" i="1" s="1"/>
  <c r="I327" i="1" s="1"/>
  <c r="J327" i="1"/>
  <c r="K327" i="1" s="1"/>
  <c r="G328" i="1"/>
  <c r="J328" i="1"/>
  <c r="K328" i="1" s="1"/>
  <c r="G329" i="1"/>
  <c r="H329" i="1" s="1"/>
  <c r="I329" i="1" s="1"/>
  <c r="J329" i="1"/>
  <c r="K329" i="1" s="1"/>
  <c r="G330" i="1"/>
  <c r="H330" i="1" s="1"/>
  <c r="I330" i="1" s="1"/>
  <c r="J330" i="1"/>
  <c r="K330" i="1" s="1"/>
  <c r="G331" i="1"/>
  <c r="H331" i="1" s="1"/>
  <c r="J331" i="1"/>
  <c r="K331" i="1" s="1"/>
  <c r="G332" i="1"/>
  <c r="H332" i="1" s="1"/>
  <c r="I332" i="1" s="1"/>
  <c r="J332" i="1"/>
  <c r="K332" i="1" s="1"/>
  <c r="G333" i="1"/>
  <c r="H333" i="1" s="1"/>
  <c r="I333" i="1" s="1"/>
  <c r="J333" i="1"/>
  <c r="K333" i="1" s="1"/>
  <c r="G334" i="1"/>
  <c r="H334" i="1" s="1"/>
  <c r="J334" i="1"/>
  <c r="K334" i="1" s="1"/>
  <c r="G335" i="1"/>
  <c r="H335" i="1" s="1"/>
  <c r="I335" i="1" s="1"/>
  <c r="J335" i="1"/>
  <c r="K335" i="1" s="1"/>
  <c r="G336" i="1"/>
  <c r="H336" i="1" s="1"/>
  <c r="I336" i="1" s="1"/>
  <c r="J336" i="1"/>
  <c r="K336" i="1" s="1"/>
  <c r="G337" i="1"/>
  <c r="H337" i="1" s="1"/>
  <c r="I337" i="1" s="1"/>
  <c r="J337" i="1"/>
  <c r="K337" i="1" s="1"/>
  <c r="G338" i="1"/>
  <c r="H338" i="1" s="1"/>
  <c r="I338" i="1" s="1"/>
  <c r="J338" i="1"/>
  <c r="K338" i="1" s="1"/>
  <c r="G339" i="1"/>
  <c r="H339" i="1" s="1"/>
  <c r="I339" i="1" s="1"/>
  <c r="J339" i="1"/>
  <c r="K339" i="1" s="1"/>
  <c r="G340" i="1"/>
  <c r="J340" i="1"/>
  <c r="K340" i="1" s="1"/>
  <c r="G341" i="1"/>
  <c r="H341" i="1" s="1"/>
  <c r="I341" i="1" s="1"/>
  <c r="J341" i="1"/>
  <c r="K341" i="1" s="1"/>
  <c r="G342" i="1"/>
  <c r="H342" i="1" s="1"/>
  <c r="I342" i="1" s="1"/>
  <c r="J342" i="1"/>
  <c r="K342" i="1" s="1"/>
  <c r="G343" i="1"/>
  <c r="H343" i="1" s="1"/>
  <c r="I343" i="1" s="1"/>
  <c r="J343" i="1"/>
  <c r="K343" i="1" s="1"/>
  <c r="G344" i="1"/>
  <c r="H344" i="1" s="1"/>
  <c r="I344" i="1" s="1"/>
  <c r="J344" i="1"/>
  <c r="K344" i="1" s="1"/>
  <c r="G345" i="1"/>
  <c r="H345" i="1" s="1"/>
  <c r="I345" i="1" s="1"/>
  <c r="J345" i="1"/>
  <c r="K345" i="1" s="1"/>
  <c r="G346" i="1"/>
  <c r="H346" i="1" s="1"/>
  <c r="J346" i="1"/>
  <c r="K346" i="1" s="1"/>
  <c r="G347" i="1"/>
  <c r="H347" i="1" s="1"/>
  <c r="I347" i="1" s="1"/>
  <c r="J347" i="1"/>
  <c r="K347" i="1" s="1"/>
  <c r="G348" i="1"/>
  <c r="H348" i="1" s="1"/>
  <c r="I348" i="1" s="1"/>
  <c r="J348" i="1"/>
  <c r="K348" i="1" s="1"/>
  <c r="G349" i="1"/>
  <c r="J349" i="1"/>
  <c r="K349" i="1" s="1"/>
  <c r="G350" i="1"/>
  <c r="H350" i="1" s="1"/>
  <c r="I350" i="1" s="1"/>
  <c r="J350" i="1"/>
  <c r="K350" i="1" s="1"/>
  <c r="G351" i="1"/>
  <c r="H351" i="1" s="1"/>
  <c r="I351" i="1" s="1"/>
  <c r="J351" i="1"/>
  <c r="K351" i="1" s="1"/>
  <c r="G352" i="1"/>
  <c r="H352" i="1" s="1"/>
  <c r="J352" i="1"/>
  <c r="K352" i="1" s="1"/>
  <c r="G353" i="1"/>
  <c r="H353" i="1" s="1"/>
  <c r="I353" i="1" s="1"/>
  <c r="J353" i="1"/>
  <c r="K353" i="1" s="1"/>
  <c r="G354" i="1"/>
  <c r="H354" i="1" s="1"/>
  <c r="I354" i="1" s="1"/>
  <c r="J354" i="1"/>
  <c r="K354" i="1" s="1"/>
  <c r="G355" i="1"/>
  <c r="H355" i="1" s="1"/>
  <c r="I355" i="1" s="1"/>
  <c r="J355" i="1"/>
  <c r="K355" i="1" s="1"/>
  <c r="G356" i="1"/>
  <c r="H356" i="1" s="1"/>
  <c r="I356" i="1" s="1"/>
  <c r="J356" i="1"/>
  <c r="K356" i="1" s="1"/>
  <c r="G357" i="1"/>
  <c r="H357" i="1" s="1"/>
  <c r="I357" i="1" s="1"/>
  <c r="J357" i="1"/>
  <c r="K357" i="1" s="1"/>
  <c r="G358" i="1"/>
  <c r="H358" i="1" s="1"/>
  <c r="J358" i="1"/>
  <c r="K358" i="1" s="1"/>
  <c r="G359" i="1"/>
  <c r="H359" i="1" s="1"/>
  <c r="I359" i="1" s="1"/>
  <c r="J359" i="1"/>
  <c r="K359" i="1" s="1"/>
  <c r="G360" i="1"/>
  <c r="H360" i="1" s="1"/>
  <c r="I360" i="1" s="1"/>
  <c r="J360" i="1"/>
  <c r="K360" i="1" s="1"/>
  <c r="G361" i="1"/>
  <c r="H361" i="1" s="1"/>
  <c r="I361" i="1" s="1"/>
  <c r="J361" i="1"/>
  <c r="K361" i="1" s="1"/>
  <c r="G362" i="1"/>
  <c r="H362" i="1" s="1"/>
  <c r="I362" i="1" s="1"/>
  <c r="J362" i="1"/>
  <c r="K362" i="1" s="1"/>
  <c r="G363" i="1"/>
  <c r="H363" i="1" s="1"/>
  <c r="I363" i="1" s="1"/>
  <c r="J363" i="1"/>
  <c r="K363" i="1" s="1"/>
  <c r="G364" i="1"/>
  <c r="J364" i="1"/>
  <c r="K364" i="1" s="1"/>
  <c r="G365" i="1"/>
  <c r="H365" i="1" s="1"/>
  <c r="I365" i="1" s="1"/>
  <c r="J365" i="1"/>
  <c r="K365" i="1" s="1"/>
  <c r="G366" i="1"/>
  <c r="H366" i="1" s="1"/>
  <c r="I366" i="1" s="1"/>
  <c r="J366" i="1"/>
  <c r="K366" i="1" s="1"/>
  <c r="G367" i="1"/>
  <c r="H367" i="1" s="1"/>
  <c r="J367" i="1"/>
  <c r="K367" i="1" s="1"/>
  <c r="G368" i="1"/>
  <c r="H368" i="1" s="1"/>
  <c r="I368" i="1" s="1"/>
  <c r="J368" i="1"/>
  <c r="K368" i="1" s="1"/>
  <c r="G369" i="1"/>
  <c r="H369" i="1" s="1"/>
  <c r="I369" i="1" s="1"/>
  <c r="J369" i="1"/>
  <c r="K369" i="1" s="1"/>
  <c r="G370" i="1"/>
  <c r="H370" i="1" s="1"/>
  <c r="J370" i="1"/>
  <c r="K370" i="1" s="1"/>
  <c r="G371" i="1"/>
  <c r="H371" i="1" s="1"/>
  <c r="I371" i="1" s="1"/>
  <c r="J371" i="1"/>
  <c r="K371" i="1" s="1"/>
  <c r="G372" i="1"/>
  <c r="H372" i="1" s="1"/>
  <c r="I372" i="1" s="1"/>
  <c r="J372" i="1"/>
  <c r="K372" i="1" s="1"/>
  <c r="G373" i="1"/>
  <c r="H373" i="1" s="1"/>
  <c r="I373" i="1" s="1"/>
  <c r="J373" i="1"/>
  <c r="K373" i="1" s="1"/>
  <c r="G374" i="1"/>
  <c r="H374" i="1" s="1"/>
  <c r="I374" i="1" s="1"/>
  <c r="J374" i="1"/>
  <c r="K374" i="1" s="1"/>
  <c r="G375" i="1"/>
  <c r="H375" i="1" s="1"/>
  <c r="I375" i="1" s="1"/>
  <c r="J375" i="1"/>
  <c r="K375" i="1" s="1"/>
  <c r="G376" i="1"/>
  <c r="J376" i="1"/>
  <c r="K376" i="1" s="1"/>
  <c r="G377" i="1"/>
  <c r="H377" i="1" s="1"/>
  <c r="I377" i="1" s="1"/>
  <c r="J377" i="1"/>
  <c r="K377" i="1" s="1"/>
  <c r="G378" i="1"/>
  <c r="H378" i="1" s="1"/>
  <c r="I378" i="1" s="1"/>
  <c r="J378" i="1"/>
  <c r="K378" i="1" s="1"/>
  <c r="G379" i="1"/>
  <c r="H379" i="1" s="1"/>
  <c r="I379" i="1" s="1"/>
  <c r="J379" i="1"/>
  <c r="K379" i="1" s="1"/>
  <c r="G380" i="1"/>
  <c r="H380" i="1" s="1"/>
  <c r="I380" i="1" s="1"/>
  <c r="J380" i="1"/>
  <c r="K380" i="1" s="1"/>
  <c r="G381" i="1"/>
  <c r="H381" i="1" s="1"/>
  <c r="I381" i="1" s="1"/>
  <c r="J381" i="1"/>
  <c r="K381" i="1" s="1"/>
  <c r="G382" i="1"/>
  <c r="J382" i="1"/>
  <c r="K382" i="1" s="1"/>
  <c r="G383" i="1"/>
  <c r="H383" i="1" s="1"/>
  <c r="I383" i="1" s="1"/>
  <c r="J383" i="1"/>
  <c r="K383" i="1" s="1"/>
  <c r="G384" i="1"/>
  <c r="H384" i="1" s="1"/>
  <c r="I384" i="1" s="1"/>
  <c r="J384" i="1"/>
  <c r="K384" i="1" s="1"/>
  <c r="G385" i="1"/>
  <c r="H385" i="1" s="1"/>
  <c r="J385" i="1"/>
  <c r="K385" i="1" s="1"/>
  <c r="G386" i="1"/>
  <c r="H386" i="1" s="1"/>
  <c r="I386" i="1" s="1"/>
  <c r="J386" i="1"/>
  <c r="K386" i="1" s="1"/>
  <c r="G387" i="1"/>
  <c r="H387" i="1" s="1"/>
  <c r="I387" i="1" s="1"/>
  <c r="J387" i="1"/>
  <c r="K387" i="1" s="1"/>
  <c r="G388" i="1"/>
  <c r="J388" i="1"/>
  <c r="K388" i="1" s="1"/>
  <c r="G389" i="1"/>
  <c r="H389" i="1" s="1"/>
  <c r="I389" i="1" s="1"/>
  <c r="J389" i="1"/>
  <c r="K389" i="1" s="1"/>
  <c r="G390" i="1"/>
  <c r="H390" i="1" s="1"/>
  <c r="I390" i="1" s="1"/>
  <c r="J390" i="1"/>
  <c r="K390" i="1" s="1"/>
  <c r="G391" i="1"/>
  <c r="H391" i="1" s="1"/>
  <c r="I391" i="1" s="1"/>
  <c r="J391" i="1"/>
  <c r="K391" i="1" s="1"/>
  <c r="G392" i="1"/>
  <c r="H392" i="1" s="1"/>
  <c r="I392" i="1" s="1"/>
  <c r="J392" i="1"/>
  <c r="K392" i="1" s="1"/>
  <c r="G393" i="1"/>
  <c r="H393" i="1" s="1"/>
  <c r="I393" i="1" s="1"/>
  <c r="J393" i="1"/>
  <c r="K393" i="1" s="1"/>
  <c r="G394" i="1"/>
  <c r="H394" i="1" s="1"/>
  <c r="J394" i="1"/>
  <c r="K394" i="1" s="1"/>
  <c r="G395" i="1"/>
  <c r="H395" i="1" s="1"/>
  <c r="I395" i="1" s="1"/>
  <c r="J395" i="1"/>
  <c r="K395" i="1" s="1"/>
  <c r="G396" i="1"/>
  <c r="H396" i="1" s="1"/>
  <c r="I396" i="1" s="1"/>
  <c r="J396" i="1"/>
  <c r="K396" i="1" s="1"/>
  <c r="G397" i="1"/>
  <c r="H397" i="1" s="1"/>
  <c r="I397" i="1" s="1"/>
  <c r="J397" i="1"/>
  <c r="K397" i="1" s="1"/>
  <c r="G398" i="1"/>
  <c r="H398" i="1" s="1"/>
  <c r="I398" i="1" s="1"/>
  <c r="J398" i="1"/>
  <c r="K398" i="1" s="1"/>
  <c r="G399" i="1"/>
  <c r="H399" i="1" s="1"/>
  <c r="I399" i="1" s="1"/>
  <c r="J399" i="1"/>
  <c r="K399" i="1" s="1"/>
  <c r="G400" i="1"/>
  <c r="H400" i="1" s="1"/>
  <c r="J400" i="1"/>
  <c r="K400" i="1" s="1"/>
  <c r="G401" i="1"/>
  <c r="H401" i="1" s="1"/>
  <c r="I401" i="1" s="1"/>
  <c r="J401" i="1"/>
  <c r="K401" i="1" s="1"/>
  <c r="G402" i="1"/>
  <c r="H402" i="1" s="1"/>
  <c r="I402" i="1" s="1"/>
  <c r="J402" i="1"/>
  <c r="K402" i="1" s="1"/>
  <c r="G403" i="1"/>
  <c r="H403" i="1" s="1"/>
  <c r="J403" i="1"/>
  <c r="K403" i="1" s="1"/>
  <c r="G404" i="1"/>
  <c r="H404" i="1" s="1"/>
  <c r="I404" i="1" s="1"/>
  <c r="J404" i="1"/>
  <c r="K404" i="1" s="1"/>
  <c r="G405" i="1"/>
  <c r="H405" i="1" s="1"/>
  <c r="I405" i="1" s="1"/>
  <c r="J405" i="1"/>
  <c r="K405" i="1" s="1"/>
  <c r="G406" i="1"/>
  <c r="J406" i="1"/>
  <c r="K406" i="1" s="1"/>
  <c r="G407" i="1"/>
  <c r="H407" i="1" s="1"/>
  <c r="I407" i="1" s="1"/>
  <c r="J407" i="1"/>
  <c r="K407" i="1" s="1"/>
  <c r="G408" i="1"/>
  <c r="H408" i="1" s="1"/>
  <c r="I408" i="1" s="1"/>
  <c r="J408" i="1"/>
  <c r="K408" i="1" s="1"/>
  <c r="G409" i="1"/>
  <c r="H409" i="1" s="1"/>
  <c r="I409" i="1" s="1"/>
  <c r="J409" i="1"/>
  <c r="K409" i="1" s="1"/>
  <c r="G410" i="1"/>
  <c r="H410" i="1" s="1"/>
  <c r="I410" i="1" s="1"/>
  <c r="J410" i="1"/>
  <c r="K410" i="1" s="1"/>
  <c r="G411" i="1"/>
  <c r="H411" i="1" s="1"/>
  <c r="I411" i="1" s="1"/>
  <c r="J411" i="1"/>
  <c r="K411" i="1" s="1"/>
  <c r="G412" i="1"/>
  <c r="H412" i="1" s="1"/>
  <c r="J412" i="1"/>
  <c r="K412" i="1" s="1"/>
  <c r="G413" i="1"/>
  <c r="H413" i="1" s="1"/>
  <c r="I413" i="1" s="1"/>
  <c r="J413" i="1"/>
  <c r="K413" i="1" s="1"/>
  <c r="G414" i="1"/>
  <c r="H414" i="1" s="1"/>
  <c r="I414" i="1" s="1"/>
  <c r="J414" i="1"/>
  <c r="K414" i="1" s="1"/>
  <c r="G415" i="1"/>
  <c r="H415" i="1" s="1"/>
  <c r="I415" i="1" s="1"/>
  <c r="J415" i="1"/>
  <c r="K415" i="1" s="1"/>
  <c r="G416" i="1"/>
  <c r="H416" i="1" s="1"/>
  <c r="I416" i="1" s="1"/>
  <c r="J416" i="1"/>
  <c r="K416" i="1" s="1"/>
  <c r="G417" i="1"/>
  <c r="H417" i="1" s="1"/>
  <c r="I417" i="1" s="1"/>
  <c r="J417" i="1"/>
  <c r="K417" i="1" s="1"/>
  <c r="G418" i="1"/>
  <c r="J418" i="1"/>
  <c r="K418" i="1" s="1"/>
  <c r="G419" i="1"/>
  <c r="H419" i="1" s="1"/>
  <c r="I419" i="1" s="1"/>
  <c r="J419" i="1"/>
  <c r="K419" i="1" s="1"/>
  <c r="G420" i="1"/>
  <c r="H420" i="1" s="1"/>
  <c r="I420" i="1" s="1"/>
  <c r="J420" i="1"/>
  <c r="K420" i="1" s="1"/>
  <c r="G421" i="1"/>
  <c r="H421" i="1" s="1"/>
  <c r="J421" i="1"/>
  <c r="K421" i="1" s="1"/>
  <c r="G422" i="1"/>
  <c r="H422" i="1" s="1"/>
  <c r="I422" i="1" s="1"/>
  <c r="J422" i="1"/>
  <c r="K422" i="1" s="1"/>
  <c r="G423" i="1"/>
  <c r="H423" i="1" s="1"/>
  <c r="I423" i="1" s="1"/>
  <c r="J423" i="1"/>
  <c r="K423" i="1" s="1"/>
  <c r="G424" i="1"/>
  <c r="H424" i="1" s="1"/>
  <c r="J424" i="1"/>
  <c r="K424" i="1" s="1"/>
  <c r="G425" i="1"/>
  <c r="H425" i="1" s="1"/>
  <c r="I425" i="1" s="1"/>
  <c r="J425" i="1"/>
  <c r="K425" i="1" s="1"/>
  <c r="G426" i="1"/>
  <c r="H426" i="1" s="1"/>
  <c r="I426" i="1" s="1"/>
  <c r="J426" i="1"/>
  <c r="K426" i="1" s="1"/>
  <c r="G427" i="1"/>
  <c r="H427" i="1" s="1"/>
  <c r="I427" i="1" s="1"/>
  <c r="J427" i="1"/>
  <c r="K427" i="1" s="1"/>
  <c r="G428" i="1"/>
  <c r="H428" i="1" s="1"/>
  <c r="I428" i="1" s="1"/>
  <c r="J428" i="1"/>
  <c r="K428" i="1" s="1"/>
  <c r="G429" i="1"/>
  <c r="H429" i="1" s="1"/>
  <c r="I429" i="1" s="1"/>
  <c r="J429" i="1"/>
  <c r="K429" i="1" s="1"/>
  <c r="G430" i="1"/>
  <c r="H430" i="1" s="1"/>
  <c r="J430" i="1"/>
  <c r="K430" i="1" s="1"/>
  <c r="G431" i="1"/>
  <c r="H431" i="1" s="1"/>
  <c r="I431" i="1" s="1"/>
  <c r="J431" i="1"/>
  <c r="K431" i="1" s="1"/>
  <c r="G432" i="1"/>
  <c r="H432" i="1" s="1"/>
  <c r="I432" i="1" s="1"/>
  <c r="J432" i="1"/>
  <c r="K432" i="1" s="1"/>
  <c r="G433" i="1"/>
  <c r="H433" i="1" s="1"/>
  <c r="I433" i="1" s="1"/>
  <c r="J433" i="1"/>
  <c r="K433" i="1" s="1"/>
  <c r="G434" i="1"/>
  <c r="H434" i="1" s="1"/>
  <c r="I434" i="1" s="1"/>
  <c r="J434" i="1"/>
  <c r="K434" i="1" s="1"/>
  <c r="G435" i="1"/>
  <c r="H435" i="1" s="1"/>
  <c r="I435" i="1" s="1"/>
  <c r="J435" i="1"/>
  <c r="K435" i="1" s="1"/>
  <c r="G436" i="1"/>
  <c r="H436" i="1" s="1"/>
  <c r="J436" i="1"/>
  <c r="K436" i="1" s="1"/>
  <c r="G437" i="1"/>
  <c r="H437" i="1" s="1"/>
  <c r="I437" i="1" s="1"/>
  <c r="J437" i="1"/>
  <c r="K437" i="1" s="1"/>
  <c r="G438" i="1"/>
  <c r="H438" i="1" s="1"/>
  <c r="I438" i="1" s="1"/>
  <c r="J438" i="1"/>
  <c r="K438" i="1" s="1"/>
  <c r="G439" i="1"/>
  <c r="H439" i="1" s="1"/>
  <c r="I439" i="1" s="1"/>
  <c r="J439" i="1"/>
  <c r="K439" i="1" s="1"/>
  <c r="G440" i="1"/>
  <c r="H440" i="1" s="1"/>
  <c r="I440" i="1" s="1"/>
  <c r="J440" i="1"/>
  <c r="K440" i="1" s="1"/>
  <c r="G441" i="1"/>
  <c r="H441" i="1" s="1"/>
  <c r="I441" i="1" s="1"/>
  <c r="J441" i="1"/>
  <c r="K441" i="1" s="1"/>
  <c r="G442" i="1"/>
  <c r="H442" i="1" s="1"/>
  <c r="I442" i="1" s="1"/>
  <c r="J442" i="1"/>
  <c r="K442" i="1" s="1"/>
  <c r="G443" i="1"/>
  <c r="H443" i="1" s="1"/>
  <c r="I443" i="1" s="1"/>
  <c r="J443" i="1"/>
  <c r="K443" i="1" s="1"/>
  <c r="G444" i="1"/>
  <c r="H444" i="1" s="1"/>
  <c r="I444" i="1" s="1"/>
  <c r="J444" i="1"/>
  <c r="K444" i="1" s="1"/>
  <c r="G445" i="1"/>
  <c r="H445" i="1" s="1"/>
  <c r="I445" i="1" s="1"/>
  <c r="J445" i="1"/>
  <c r="K445" i="1" s="1"/>
  <c r="G446" i="1"/>
  <c r="H446" i="1" s="1"/>
  <c r="I446" i="1" s="1"/>
  <c r="J446" i="1"/>
  <c r="K446" i="1" s="1"/>
  <c r="G447" i="1"/>
  <c r="H447" i="1" s="1"/>
  <c r="I447" i="1" s="1"/>
  <c r="J447" i="1"/>
  <c r="K447" i="1" s="1"/>
  <c r="G448" i="1"/>
  <c r="J448" i="1"/>
  <c r="K448" i="1" s="1"/>
  <c r="G449" i="1"/>
  <c r="H449" i="1" s="1"/>
  <c r="I449" i="1" s="1"/>
  <c r="J449" i="1"/>
  <c r="K449" i="1" s="1"/>
  <c r="G450" i="1"/>
  <c r="H450" i="1" s="1"/>
  <c r="I450" i="1" s="1"/>
  <c r="J450" i="1"/>
  <c r="K450" i="1" s="1"/>
  <c r="G451" i="1"/>
  <c r="H451" i="1" s="1"/>
  <c r="I451" i="1" s="1"/>
  <c r="J451" i="1"/>
  <c r="K451" i="1" s="1"/>
  <c r="G452" i="1"/>
  <c r="H452" i="1" s="1"/>
  <c r="I452" i="1" s="1"/>
  <c r="J452" i="1"/>
  <c r="K452" i="1" s="1"/>
  <c r="G453" i="1"/>
  <c r="H453" i="1" s="1"/>
  <c r="I453" i="1" s="1"/>
  <c r="J453" i="1"/>
  <c r="K453" i="1" s="1"/>
  <c r="G454" i="1"/>
  <c r="H454" i="1" s="1"/>
  <c r="I454" i="1" s="1"/>
  <c r="J454" i="1"/>
  <c r="K454" i="1" s="1"/>
  <c r="G455" i="1"/>
  <c r="H455" i="1" s="1"/>
  <c r="I455" i="1" s="1"/>
  <c r="J455" i="1"/>
  <c r="K455" i="1" s="1"/>
  <c r="G456" i="1"/>
  <c r="H456" i="1" s="1"/>
  <c r="I456" i="1" s="1"/>
  <c r="J456" i="1"/>
  <c r="K456" i="1" s="1"/>
  <c r="G457" i="1"/>
  <c r="H457" i="1" s="1"/>
  <c r="I457" i="1" s="1"/>
  <c r="J457" i="1"/>
  <c r="K457" i="1" s="1"/>
  <c r="G458" i="1"/>
  <c r="H458" i="1" s="1"/>
  <c r="I458" i="1" s="1"/>
  <c r="J458" i="1"/>
  <c r="K458" i="1" s="1"/>
  <c r="G459" i="1"/>
  <c r="H459" i="1" s="1"/>
  <c r="I459" i="1" s="1"/>
  <c r="J459" i="1"/>
  <c r="K459" i="1" s="1"/>
  <c r="G460" i="1"/>
  <c r="H460" i="1" s="1"/>
  <c r="J460" i="1"/>
  <c r="K460" i="1" s="1"/>
  <c r="G461" i="1"/>
  <c r="H461" i="1" s="1"/>
  <c r="I461" i="1" s="1"/>
  <c r="J461" i="1"/>
  <c r="K461" i="1" s="1"/>
  <c r="G462" i="1"/>
  <c r="H462" i="1" s="1"/>
  <c r="I462" i="1" s="1"/>
  <c r="J462" i="1"/>
  <c r="K462" i="1" s="1"/>
  <c r="G463" i="1"/>
  <c r="H463" i="1" s="1"/>
  <c r="I463" i="1" s="1"/>
  <c r="J463" i="1"/>
  <c r="K463" i="1" s="1"/>
  <c r="G464" i="1"/>
  <c r="H464" i="1" s="1"/>
  <c r="I464" i="1" s="1"/>
  <c r="J464" i="1"/>
  <c r="K464" i="1" s="1"/>
  <c r="G465" i="1"/>
  <c r="H465" i="1" s="1"/>
  <c r="I465" i="1" s="1"/>
  <c r="J465" i="1"/>
  <c r="K465" i="1" s="1"/>
  <c r="G466" i="1"/>
  <c r="H466" i="1" s="1"/>
  <c r="I466" i="1" s="1"/>
  <c r="J466" i="1"/>
  <c r="K466" i="1" s="1"/>
  <c r="G467" i="1"/>
  <c r="H467" i="1" s="1"/>
  <c r="I467" i="1" s="1"/>
  <c r="J467" i="1"/>
  <c r="K467" i="1" s="1"/>
  <c r="G468" i="1"/>
  <c r="H468" i="1" s="1"/>
  <c r="I468" i="1" s="1"/>
  <c r="J468" i="1"/>
  <c r="K468" i="1" s="1"/>
  <c r="G469" i="1"/>
  <c r="H469" i="1" s="1"/>
  <c r="I469" i="1" s="1"/>
  <c r="J469" i="1"/>
  <c r="K469" i="1" s="1"/>
  <c r="G470" i="1"/>
  <c r="H470" i="1" s="1"/>
  <c r="I470" i="1" s="1"/>
  <c r="J470" i="1"/>
  <c r="K470" i="1" s="1"/>
  <c r="G471" i="1"/>
  <c r="H471" i="1" s="1"/>
  <c r="I471" i="1" s="1"/>
  <c r="J471" i="1"/>
  <c r="K471" i="1" s="1"/>
  <c r="G472" i="1"/>
  <c r="H472" i="1" s="1"/>
  <c r="J472" i="1"/>
  <c r="K472" i="1" s="1"/>
  <c r="G473" i="1"/>
  <c r="H473" i="1" s="1"/>
  <c r="I473" i="1" s="1"/>
  <c r="J473" i="1"/>
  <c r="K473" i="1" s="1"/>
  <c r="G474" i="1"/>
  <c r="H474" i="1" s="1"/>
  <c r="I474" i="1" s="1"/>
  <c r="J474" i="1"/>
  <c r="K474" i="1" s="1"/>
  <c r="G475" i="1"/>
  <c r="H475" i="1" s="1"/>
  <c r="I475" i="1" s="1"/>
  <c r="J475" i="1"/>
  <c r="K475" i="1" s="1"/>
  <c r="G476" i="1"/>
  <c r="H476" i="1" s="1"/>
  <c r="I476" i="1" s="1"/>
  <c r="J476" i="1"/>
  <c r="K476" i="1" s="1"/>
  <c r="G477" i="1"/>
  <c r="H477" i="1" s="1"/>
  <c r="I477" i="1" s="1"/>
  <c r="J477" i="1"/>
  <c r="K477" i="1" s="1"/>
  <c r="G478" i="1"/>
  <c r="H478" i="1" s="1"/>
  <c r="I478" i="1" s="1"/>
  <c r="J478" i="1"/>
  <c r="K478" i="1" s="1"/>
  <c r="G479" i="1"/>
  <c r="H479" i="1" s="1"/>
  <c r="I479" i="1" s="1"/>
  <c r="J479" i="1"/>
  <c r="K479" i="1" s="1"/>
  <c r="G480" i="1"/>
  <c r="H480" i="1" s="1"/>
  <c r="I480" i="1" s="1"/>
  <c r="J480" i="1"/>
  <c r="K480" i="1" s="1"/>
  <c r="G481" i="1"/>
  <c r="H481" i="1" s="1"/>
  <c r="I481" i="1" s="1"/>
  <c r="J481" i="1"/>
  <c r="K481" i="1" s="1"/>
  <c r="G482" i="1"/>
  <c r="H482" i="1" s="1"/>
  <c r="I482" i="1" s="1"/>
  <c r="J482" i="1"/>
  <c r="K482" i="1" s="1"/>
  <c r="G483" i="1"/>
  <c r="H483" i="1" s="1"/>
  <c r="I483" i="1" s="1"/>
  <c r="J483" i="1"/>
  <c r="K483" i="1" s="1"/>
  <c r="G484" i="1"/>
  <c r="J484" i="1"/>
  <c r="K484" i="1" s="1"/>
  <c r="G485" i="1"/>
  <c r="H485" i="1" s="1"/>
  <c r="I485" i="1" s="1"/>
  <c r="J485" i="1"/>
  <c r="K485" i="1" s="1"/>
  <c r="G486" i="1"/>
  <c r="H486" i="1" s="1"/>
  <c r="I486" i="1" s="1"/>
  <c r="J486" i="1"/>
  <c r="K486" i="1" s="1"/>
  <c r="G487" i="1"/>
  <c r="H487" i="1" s="1"/>
  <c r="I487" i="1" s="1"/>
  <c r="J487" i="1"/>
  <c r="K487" i="1" s="1"/>
  <c r="G488" i="1"/>
  <c r="H488" i="1" s="1"/>
  <c r="I488" i="1" s="1"/>
  <c r="J488" i="1"/>
  <c r="K488" i="1" s="1"/>
  <c r="G489" i="1"/>
  <c r="H489" i="1" s="1"/>
  <c r="I489" i="1" s="1"/>
  <c r="J489" i="1"/>
  <c r="K489" i="1" s="1"/>
  <c r="G490" i="1"/>
  <c r="H490" i="1" s="1"/>
  <c r="I490" i="1" s="1"/>
  <c r="J490" i="1"/>
  <c r="K490" i="1" s="1"/>
  <c r="G491" i="1"/>
  <c r="H491" i="1" s="1"/>
  <c r="I491" i="1" s="1"/>
  <c r="J491" i="1"/>
  <c r="K491" i="1" s="1"/>
  <c r="G492" i="1"/>
  <c r="H492" i="1" s="1"/>
  <c r="I492" i="1" s="1"/>
  <c r="J492" i="1"/>
  <c r="K492" i="1" s="1"/>
  <c r="G493" i="1"/>
  <c r="H493" i="1" s="1"/>
  <c r="I493" i="1" s="1"/>
  <c r="J493" i="1"/>
  <c r="K493" i="1" s="1"/>
  <c r="G494" i="1"/>
  <c r="H494" i="1" s="1"/>
  <c r="I494" i="1" s="1"/>
  <c r="J494" i="1"/>
  <c r="K494" i="1" s="1"/>
  <c r="G495" i="1"/>
  <c r="H495" i="1" s="1"/>
  <c r="I495" i="1" s="1"/>
  <c r="J495" i="1"/>
  <c r="K495" i="1" s="1"/>
  <c r="G496" i="1"/>
  <c r="H496" i="1" s="1"/>
  <c r="J496" i="1"/>
  <c r="K496" i="1" s="1"/>
  <c r="G497" i="1"/>
  <c r="H497" i="1" s="1"/>
  <c r="I497" i="1" s="1"/>
  <c r="J497" i="1"/>
  <c r="K497" i="1" s="1"/>
  <c r="G498" i="1"/>
  <c r="H498" i="1" s="1"/>
  <c r="I498" i="1" s="1"/>
  <c r="J498" i="1"/>
  <c r="K498" i="1" s="1"/>
  <c r="G499" i="1"/>
  <c r="H499" i="1" s="1"/>
  <c r="I499" i="1" s="1"/>
  <c r="J499" i="1"/>
  <c r="K499" i="1" s="1"/>
  <c r="G500" i="1"/>
  <c r="H500" i="1" s="1"/>
  <c r="I500" i="1" s="1"/>
  <c r="J500" i="1"/>
  <c r="K500" i="1" s="1"/>
  <c r="G501" i="1"/>
  <c r="H501" i="1" s="1"/>
  <c r="I501" i="1" s="1"/>
  <c r="J501" i="1"/>
  <c r="K501" i="1" s="1"/>
  <c r="G2" i="1"/>
  <c r="H2" i="1" s="1"/>
  <c r="I2" i="1" s="1"/>
  <c r="P3" i="1"/>
  <c r="Q3" i="1" s="1"/>
  <c r="P4" i="1"/>
  <c r="Q4" i="1" s="1"/>
  <c r="P5" i="1"/>
  <c r="Q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 s="1"/>
  <c r="P52" i="1"/>
  <c r="Q52" i="1" s="1"/>
  <c r="P53" i="1"/>
  <c r="Q53" i="1" s="1"/>
  <c r="P54" i="1"/>
  <c r="Q54" i="1" s="1"/>
  <c r="P55" i="1"/>
  <c r="Q55" i="1" s="1"/>
  <c r="P56" i="1"/>
  <c r="Q56" i="1" s="1"/>
  <c r="P57" i="1"/>
  <c r="Q57" i="1" s="1"/>
  <c r="P58" i="1"/>
  <c r="Q58" i="1" s="1"/>
  <c r="P59" i="1"/>
  <c r="Q59" i="1" s="1"/>
  <c r="P60" i="1"/>
  <c r="Q60" i="1" s="1"/>
  <c r="P61" i="1"/>
  <c r="Q61" i="1" s="1"/>
  <c r="P62" i="1"/>
  <c r="Q62" i="1" s="1"/>
  <c r="P63" i="1"/>
  <c r="Q63" i="1" s="1"/>
  <c r="P64" i="1"/>
  <c r="Q64" i="1" s="1"/>
  <c r="P65" i="1"/>
  <c r="Q65" i="1" s="1"/>
  <c r="P66" i="1"/>
  <c r="Q66" i="1" s="1"/>
  <c r="P67" i="1"/>
  <c r="Q67" i="1" s="1"/>
  <c r="P68" i="1"/>
  <c r="Q68" i="1" s="1"/>
  <c r="P69" i="1"/>
  <c r="Q69" i="1" s="1"/>
  <c r="P70" i="1"/>
  <c r="Q70" i="1" s="1"/>
  <c r="P71" i="1"/>
  <c r="Q71" i="1" s="1"/>
  <c r="P72" i="1"/>
  <c r="Q72" i="1" s="1"/>
  <c r="P73" i="1"/>
  <c r="Q73" i="1" s="1"/>
  <c r="P74" i="1"/>
  <c r="Q74" i="1" s="1"/>
  <c r="P75" i="1"/>
  <c r="Q75" i="1" s="1"/>
  <c r="P76" i="1"/>
  <c r="Q76" i="1" s="1"/>
  <c r="P77" i="1"/>
  <c r="Q77" i="1" s="1"/>
  <c r="P78" i="1"/>
  <c r="Q78" i="1" s="1"/>
  <c r="P79" i="1"/>
  <c r="Q79" i="1" s="1"/>
  <c r="P80" i="1"/>
  <c r="Q80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91" i="1"/>
  <c r="Q91" i="1" s="1"/>
  <c r="P92" i="1"/>
  <c r="Q92" i="1" s="1"/>
  <c r="P93" i="1"/>
  <c r="Q93" i="1" s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01" i="1"/>
  <c r="Q101" i="1" s="1"/>
  <c r="P102" i="1"/>
  <c r="Q102" i="1" s="1"/>
  <c r="P103" i="1"/>
  <c r="Q103" i="1" s="1"/>
  <c r="P104" i="1"/>
  <c r="Q104" i="1" s="1"/>
  <c r="P105" i="1"/>
  <c r="Q105" i="1" s="1"/>
  <c r="P2" i="1"/>
  <c r="Q2" i="1" s="1"/>
  <c r="E5" i="7"/>
  <c r="E4" i="7"/>
  <c r="E5" i="6"/>
  <c r="E6" i="6"/>
  <c r="E4" i="6"/>
  <c r="J105" i="1"/>
  <c r="K105" i="1" s="1"/>
  <c r="G105" i="1"/>
  <c r="J104" i="1"/>
  <c r="K104" i="1" s="1"/>
  <c r="G104" i="1"/>
  <c r="J103" i="1"/>
  <c r="K103" i="1" s="1"/>
  <c r="G103" i="1"/>
  <c r="H103" i="1" s="1"/>
  <c r="J102" i="1"/>
  <c r="K102" i="1" s="1"/>
  <c r="G102" i="1"/>
  <c r="H102" i="1" s="1"/>
  <c r="J101" i="1"/>
  <c r="K101" i="1" s="1"/>
  <c r="G101" i="1"/>
  <c r="H101" i="1" s="1"/>
  <c r="J100" i="1"/>
  <c r="K100" i="1" s="1"/>
  <c r="G100" i="1"/>
  <c r="H100" i="1" s="1"/>
  <c r="J99" i="1"/>
  <c r="K99" i="1" s="1"/>
  <c r="G99" i="1"/>
  <c r="J98" i="1"/>
  <c r="K98" i="1" s="1"/>
  <c r="G98" i="1"/>
  <c r="H98" i="1" s="1"/>
  <c r="J97" i="1"/>
  <c r="K97" i="1" s="1"/>
  <c r="G97" i="1"/>
  <c r="J96" i="1"/>
  <c r="K96" i="1" s="1"/>
  <c r="G96" i="1"/>
  <c r="H96" i="1" s="1"/>
  <c r="J95" i="1"/>
  <c r="K95" i="1" s="1"/>
  <c r="G95" i="1"/>
  <c r="J94" i="1"/>
  <c r="K94" i="1" s="1"/>
  <c r="G94" i="1"/>
  <c r="J93" i="1"/>
  <c r="K93" i="1" s="1"/>
  <c r="G93" i="1"/>
  <c r="J92" i="1"/>
  <c r="K92" i="1" s="1"/>
  <c r="G92" i="1"/>
  <c r="J91" i="1"/>
  <c r="K91" i="1" s="1"/>
  <c r="G91" i="1"/>
  <c r="H91" i="1" s="1"/>
  <c r="J90" i="1"/>
  <c r="K90" i="1" s="1"/>
  <c r="G90" i="1"/>
  <c r="J89" i="1"/>
  <c r="K89" i="1" s="1"/>
  <c r="G89" i="1"/>
  <c r="H89" i="1" s="1"/>
  <c r="J88" i="1"/>
  <c r="K88" i="1" s="1"/>
  <c r="G88" i="1"/>
  <c r="H88" i="1" s="1"/>
  <c r="J87" i="1"/>
  <c r="K87" i="1" s="1"/>
  <c r="G87" i="1"/>
  <c r="J86" i="1"/>
  <c r="K86" i="1" s="1"/>
  <c r="G86" i="1"/>
  <c r="H86" i="1" s="1"/>
  <c r="J85" i="1"/>
  <c r="K85" i="1" s="1"/>
  <c r="G85" i="1"/>
  <c r="J84" i="1"/>
  <c r="K84" i="1" s="1"/>
  <c r="G84" i="1"/>
  <c r="H84" i="1" s="1"/>
  <c r="J83" i="1"/>
  <c r="K83" i="1" s="1"/>
  <c r="G83" i="1"/>
  <c r="J82" i="1"/>
  <c r="K82" i="1" s="1"/>
  <c r="G82" i="1"/>
  <c r="J81" i="1"/>
  <c r="K81" i="1" s="1"/>
  <c r="G81" i="1"/>
  <c r="H81" i="1" s="1"/>
  <c r="J80" i="1"/>
  <c r="K80" i="1" s="1"/>
  <c r="G80" i="1"/>
  <c r="H80" i="1" s="1"/>
  <c r="J79" i="1"/>
  <c r="K79" i="1" s="1"/>
  <c r="G79" i="1"/>
  <c r="H79" i="1" s="1"/>
  <c r="J78" i="1"/>
  <c r="K78" i="1" s="1"/>
  <c r="G78" i="1"/>
  <c r="H78" i="1" s="1"/>
  <c r="J77" i="1"/>
  <c r="K77" i="1" s="1"/>
  <c r="G77" i="1"/>
  <c r="H77" i="1" s="1"/>
  <c r="J76" i="1"/>
  <c r="K76" i="1" s="1"/>
  <c r="G76" i="1"/>
  <c r="J75" i="1"/>
  <c r="K75" i="1" s="1"/>
  <c r="G75" i="1"/>
  <c r="J74" i="1"/>
  <c r="K74" i="1" s="1"/>
  <c r="G74" i="1"/>
  <c r="J73" i="1"/>
  <c r="K73" i="1" s="1"/>
  <c r="G73" i="1"/>
  <c r="H73" i="1" s="1"/>
  <c r="J72" i="1"/>
  <c r="K72" i="1" s="1"/>
  <c r="G72" i="1"/>
  <c r="J71" i="1"/>
  <c r="K71" i="1" s="1"/>
  <c r="G71" i="1"/>
  <c r="H71" i="1" s="1"/>
  <c r="J70" i="1"/>
  <c r="K70" i="1" s="1"/>
  <c r="G70" i="1"/>
  <c r="J69" i="1"/>
  <c r="K69" i="1" s="1"/>
  <c r="G69" i="1"/>
  <c r="J68" i="1"/>
  <c r="K68" i="1" s="1"/>
  <c r="G68" i="1"/>
  <c r="H68" i="1" s="1"/>
  <c r="J67" i="1"/>
  <c r="K67" i="1" s="1"/>
  <c r="G67" i="1"/>
  <c r="J66" i="1"/>
  <c r="K66" i="1" s="1"/>
  <c r="G66" i="1"/>
  <c r="H66" i="1" s="1"/>
  <c r="J65" i="1"/>
  <c r="K65" i="1" s="1"/>
  <c r="G65" i="1"/>
  <c r="J64" i="1"/>
  <c r="K64" i="1" s="1"/>
  <c r="G64" i="1"/>
  <c r="H64" i="1" s="1"/>
  <c r="J63" i="1"/>
  <c r="K63" i="1" s="1"/>
  <c r="G63" i="1"/>
  <c r="J62" i="1"/>
  <c r="K62" i="1" s="1"/>
  <c r="G62" i="1"/>
  <c r="H62" i="1" s="1"/>
  <c r="J61" i="1"/>
  <c r="K61" i="1" s="1"/>
  <c r="G61" i="1"/>
  <c r="H61" i="1" s="1"/>
  <c r="J60" i="1"/>
  <c r="K60" i="1" s="1"/>
  <c r="G60" i="1"/>
  <c r="H60" i="1" s="1"/>
  <c r="J59" i="1"/>
  <c r="K59" i="1" s="1"/>
  <c r="G59" i="1"/>
  <c r="H59" i="1" s="1"/>
  <c r="J58" i="1"/>
  <c r="K58" i="1" s="1"/>
  <c r="G58" i="1"/>
  <c r="J57" i="1"/>
  <c r="K57" i="1" s="1"/>
  <c r="G57" i="1"/>
  <c r="J56" i="1"/>
  <c r="K56" i="1" s="1"/>
  <c r="G56" i="1"/>
  <c r="J55" i="1"/>
  <c r="K55" i="1" s="1"/>
  <c r="G55" i="1"/>
  <c r="H55" i="1" s="1"/>
  <c r="J54" i="1"/>
  <c r="K54" i="1" s="1"/>
  <c r="G54" i="1"/>
  <c r="J53" i="1"/>
  <c r="K53" i="1" s="1"/>
  <c r="G53" i="1"/>
  <c r="H53" i="1" s="1"/>
  <c r="J52" i="1"/>
  <c r="K52" i="1" s="1"/>
  <c r="G52" i="1"/>
  <c r="H52" i="1" s="1"/>
  <c r="J51" i="1"/>
  <c r="K51" i="1" s="1"/>
  <c r="G51" i="1"/>
  <c r="H51" i="1" s="1"/>
  <c r="J50" i="1"/>
  <c r="K50" i="1" s="1"/>
  <c r="G50" i="1"/>
  <c r="H50" i="1" s="1"/>
  <c r="J49" i="1"/>
  <c r="K49" i="1" s="1"/>
  <c r="G49" i="1"/>
  <c r="J48" i="1"/>
  <c r="K48" i="1" s="1"/>
  <c r="G48" i="1"/>
  <c r="H48" i="1" s="1"/>
  <c r="J47" i="1"/>
  <c r="K47" i="1" s="1"/>
  <c r="G47" i="1"/>
  <c r="J46" i="1"/>
  <c r="K46" i="1" s="1"/>
  <c r="G46" i="1"/>
  <c r="J45" i="1"/>
  <c r="K45" i="1" s="1"/>
  <c r="G45" i="1"/>
  <c r="J44" i="1"/>
  <c r="K44" i="1" s="1"/>
  <c r="G44" i="1"/>
  <c r="H44" i="1" s="1"/>
  <c r="J43" i="1"/>
  <c r="K43" i="1" s="1"/>
  <c r="G43" i="1"/>
  <c r="H43" i="1" s="1"/>
  <c r="J42" i="1"/>
  <c r="K42" i="1" s="1"/>
  <c r="G42" i="1"/>
  <c r="H42" i="1" s="1"/>
  <c r="J41" i="1"/>
  <c r="K41" i="1" s="1"/>
  <c r="G41" i="1"/>
  <c r="J40" i="1"/>
  <c r="K40" i="1" s="1"/>
  <c r="G40" i="1"/>
  <c r="J39" i="1"/>
  <c r="K39" i="1" s="1"/>
  <c r="G39" i="1"/>
  <c r="J38" i="1"/>
  <c r="K38" i="1" s="1"/>
  <c r="G38" i="1"/>
  <c r="H38" i="1" s="1"/>
  <c r="J37" i="1"/>
  <c r="K37" i="1" s="1"/>
  <c r="G37" i="1"/>
  <c r="H37" i="1" s="1"/>
  <c r="J36" i="1"/>
  <c r="K36" i="1" s="1"/>
  <c r="G36" i="1"/>
  <c r="H36" i="1" s="1"/>
  <c r="J35" i="1"/>
  <c r="K35" i="1" s="1"/>
  <c r="G35" i="1"/>
  <c r="J34" i="1"/>
  <c r="K34" i="1" s="1"/>
  <c r="G34" i="1"/>
  <c r="J33" i="1"/>
  <c r="K33" i="1" s="1"/>
  <c r="G33" i="1"/>
  <c r="J32" i="1"/>
  <c r="K32" i="1" s="1"/>
  <c r="G32" i="1"/>
  <c r="H32" i="1" s="1"/>
  <c r="J31" i="1"/>
  <c r="K31" i="1" s="1"/>
  <c r="G31" i="1"/>
  <c r="H31" i="1" s="1"/>
  <c r="J30" i="1"/>
  <c r="K30" i="1" s="1"/>
  <c r="G30" i="1"/>
  <c r="H30" i="1" s="1"/>
  <c r="J29" i="1"/>
  <c r="K29" i="1" s="1"/>
  <c r="G29" i="1"/>
  <c r="H29" i="1" s="1"/>
  <c r="J28" i="1"/>
  <c r="K28" i="1" s="1"/>
  <c r="G28" i="1"/>
  <c r="H28" i="1" s="1"/>
  <c r="J27" i="1"/>
  <c r="K27" i="1" s="1"/>
  <c r="G27" i="1"/>
  <c r="J26" i="1"/>
  <c r="K26" i="1" s="1"/>
  <c r="G26" i="1"/>
  <c r="J25" i="1"/>
  <c r="K25" i="1" s="1"/>
  <c r="G25" i="1"/>
  <c r="H25" i="1" s="1"/>
  <c r="J24" i="1"/>
  <c r="K24" i="1" s="1"/>
  <c r="G24" i="1"/>
  <c r="J23" i="1"/>
  <c r="K23" i="1" s="1"/>
  <c r="G23" i="1"/>
  <c r="H23" i="1" s="1"/>
  <c r="J22" i="1"/>
  <c r="K22" i="1" s="1"/>
  <c r="G22" i="1"/>
  <c r="J21" i="1"/>
  <c r="K21" i="1" s="1"/>
  <c r="G21" i="1"/>
  <c r="J20" i="1"/>
  <c r="K20" i="1" s="1"/>
  <c r="G20" i="1"/>
  <c r="H20" i="1" s="1"/>
  <c r="J19" i="1"/>
  <c r="K19" i="1" s="1"/>
  <c r="G19" i="1"/>
  <c r="H19" i="1" s="1"/>
  <c r="J18" i="1"/>
  <c r="K18" i="1" s="1"/>
  <c r="G18" i="1"/>
  <c r="H18" i="1" s="1"/>
  <c r="J17" i="1"/>
  <c r="K17" i="1" s="1"/>
  <c r="G17" i="1"/>
  <c r="J16" i="1"/>
  <c r="K16" i="1" s="1"/>
  <c r="G16" i="1"/>
  <c r="J15" i="1"/>
  <c r="K15" i="1" s="1"/>
  <c r="G15" i="1"/>
  <c r="J14" i="1"/>
  <c r="K14" i="1" s="1"/>
  <c r="G14" i="1"/>
  <c r="H14" i="1" s="1"/>
  <c r="J13" i="1"/>
  <c r="K13" i="1" s="1"/>
  <c r="G13" i="1"/>
  <c r="H13" i="1" s="1"/>
  <c r="J12" i="1"/>
  <c r="K12" i="1" s="1"/>
  <c r="G12" i="1"/>
  <c r="H12" i="1" s="1"/>
  <c r="J11" i="1"/>
  <c r="K11" i="1" s="1"/>
  <c r="G11" i="1"/>
  <c r="J10" i="1"/>
  <c r="K10" i="1" s="1"/>
  <c r="G10" i="1"/>
  <c r="H10" i="1" s="1"/>
  <c r="J9" i="1"/>
  <c r="K9" i="1" s="1"/>
  <c r="G9" i="1"/>
  <c r="J8" i="1"/>
  <c r="K8" i="1" s="1"/>
  <c r="G8" i="1"/>
  <c r="J7" i="1"/>
  <c r="K7" i="1" s="1"/>
  <c r="G7" i="1"/>
  <c r="H7" i="1" s="1"/>
  <c r="J6" i="1"/>
  <c r="K6" i="1" s="1"/>
  <c r="G6" i="1"/>
  <c r="H6" i="1" s="1"/>
  <c r="J5" i="1"/>
  <c r="K5" i="1" s="1"/>
  <c r="G5" i="1"/>
  <c r="H5" i="1" s="1"/>
  <c r="J4" i="1"/>
  <c r="K4" i="1" s="1"/>
  <c r="G4" i="1"/>
  <c r="H4" i="1" s="1"/>
  <c r="J3" i="1"/>
  <c r="K3" i="1" s="1"/>
  <c r="G3" i="1"/>
  <c r="H3" i="1" s="1"/>
  <c r="J2" i="1"/>
  <c r="K2" i="1" s="1"/>
  <c r="F4" i="13" l="1"/>
  <c r="F6" i="13"/>
  <c r="F5" i="12"/>
  <c r="F5" i="13"/>
  <c r="H26" i="1"/>
  <c r="I26" i="1" s="1"/>
  <c r="H35" i="1"/>
  <c r="I35" i="1" s="1"/>
  <c r="H56" i="1"/>
  <c r="I56" i="1" s="1"/>
  <c r="H104" i="1"/>
  <c r="I104" i="1" s="1"/>
  <c r="H15" i="1"/>
  <c r="I15" i="1" s="1"/>
  <c r="H24" i="1"/>
  <c r="I24" i="1" s="1"/>
  <c r="H33" i="1"/>
  <c r="I33" i="1" s="1"/>
  <c r="H39" i="1"/>
  <c r="I39" i="1" s="1"/>
  <c r="H54" i="1"/>
  <c r="I54" i="1" s="1"/>
  <c r="H57" i="1"/>
  <c r="I57" i="1" s="1"/>
  <c r="H63" i="1"/>
  <c r="I63" i="1" s="1"/>
  <c r="H69" i="1"/>
  <c r="I69" i="1" s="1"/>
  <c r="H75" i="1"/>
  <c r="I75" i="1" s="1"/>
  <c r="H90" i="1"/>
  <c r="I90" i="1" s="1"/>
  <c r="H99" i="1"/>
  <c r="I99" i="1" s="1"/>
  <c r="H105" i="1"/>
  <c r="I105" i="1" s="1"/>
  <c r="H27" i="1"/>
  <c r="I27" i="1" s="1"/>
  <c r="H484" i="1"/>
  <c r="I484" i="1" s="1"/>
  <c r="H322" i="1"/>
  <c r="I322" i="1" s="1"/>
  <c r="H185" i="1"/>
  <c r="I185" i="1" s="1"/>
  <c r="H175" i="1"/>
  <c r="I175" i="1" s="1"/>
  <c r="H349" i="1"/>
  <c r="I349" i="1" s="1"/>
  <c r="H21" i="1"/>
  <c r="I21" i="1" s="1"/>
  <c r="H47" i="1"/>
  <c r="I47" i="1" s="1"/>
  <c r="H92" i="1"/>
  <c r="I92" i="1" s="1"/>
  <c r="H113" i="1"/>
  <c r="I113" i="1" s="1"/>
  <c r="H45" i="1"/>
  <c r="I45" i="1" s="1"/>
  <c r="I51" i="1"/>
  <c r="H72" i="1"/>
  <c r="I72" i="1" s="1"/>
  <c r="I81" i="1"/>
  <c r="H87" i="1"/>
  <c r="I87" i="1" s="1"/>
  <c r="H277" i="1"/>
  <c r="I277" i="1" s="1"/>
  <c r="H448" i="1"/>
  <c r="I448" i="1" s="1"/>
  <c r="H406" i="1"/>
  <c r="I406" i="1" s="1"/>
  <c r="I28" i="1"/>
  <c r="H49" i="1"/>
  <c r="I49" i="1" s="1"/>
  <c r="H388" i="1"/>
  <c r="I388" i="1" s="1"/>
  <c r="I352" i="1"/>
  <c r="H328" i="1"/>
  <c r="I328" i="1" s="1"/>
  <c r="H310" i="1"/>
  <c r="I310" i="1" s="1"/>
  <c r="I247" i="1"/>
  <c r="H119" i="1"/>
  <c r="I119" i="1" s="1"/>
  <c r="H94" i="1"/>
  <c r="I94" i="1" s="1"/>
  <c r="H11" i="1"/>
  <c r="I11" i="1" s="1"/>
  <c r="H17" i="1"/>
  <c r="I17" i="1" s="1"/>
  <c r="H74" i="1"/>
  <c r="I74" i="1" s="1"/>
  <c r="H83" i="1"/>
  <c r="I83" i="1" s="1"/>
  <c r="H95" i="1"/>
  <c r="I95" i="1" s="1"/>
  <c r="I394" i="1"/>
  <c r="H280" i="1"/>
  <c r="I280" i="1" s="1"/>
  <c r="H376" i="1"/>
  <c r="I376" i="1" s="1"/>
  <c r="H382" i="1"/>
  <c r="I382" i="1" s="1"/>
  <c r="H418" i="1"/>
  <c r="I418" i="1" s="1"/>
  <c r="H16" i="1"/>
  <c r="I16" i="1" s="1"/>
  <c r="H22" i="1"/>
  <c r="I22" i="1" s="1"/>
  <c r="H34" i="1"/>
  <c r="I34" i="1" s="1"/>
  <c r="H40" i="1"/>
  <c r="I40" i="1" s="1"/>
  <c r="H46" i="1"/>
  <c r="I46" i="1" s="1"/>
  <c r="I52" i="1"/>
  <c r="H58" i="1"/>
  <c r="I58" i="1" s="1"/>
  <c r="I64" i="1"/>
  <c r="H67" i="1"/>
  <c r="I67" i="1" s="1"/>
  <c r="H70" i="1"/>
  <c r="I70" i="1" s="1"/>
  <c r="H76" i="1"/>
  <c r="I76" i="1" s="1"/>
  <c r="H82" i="1"/>
  <c r="I82" i="1" s="1"/>
  <c r="H85" i="1"/>
  <c r="I85" i="1" s="1"/>
  <c r="I88" i="1"/>
  <c r="H97" i="1"/>
  <c r="I97" i="1" s="1"/>
  <c r="I472" i="1"/>
  <c r="I436" i="1"/>
  <c r="I430" i="1"/>
  <c r="I385" i="1"/>
  <c r="H364" i="1"/>
  <c r="I364" i="1" s="1"/>
  <c r="I334" i="1"/>
  <c r="H298" i="1"/>
  <c r="I298" i="1" s="1"/>
  <c r="H93" i="1"/>
  <c r="I93" i="1" s="1"/>
  <c r="H65" i="1"/>
  <c r="I65" i="1" s="1"/>
  <c r="H41" i="1"/>
  <c r="I41" i="1" s="1"/>
  <c r="I263" i="1"/>
  <c r="I191" i="1"/>
  <c r="H149" i="1"/>
  <c r="I149" i="1" s="1"/>
  <c r="H286" i="1"/>
  <c r="I286" i="1" s="1"/>
  <c r="I367" i="1"/>
  <c r="I257" i="1"/>
  <c r="I221" i="1"/>
  <c r="H340" i="1"/>
  <c r="I340" i="1" s="1"/>
  <c r="C10" i="15"/>
  <c r="F6" i="12"/>
  <c r="I10" i="1"/>
  <c r="H9" i="1"/>
  <c r="I9" i="1" s="1"/>
  <c r="I3" i="1"/>
  <c r="I6" i="1"/>
  <c r="I4" i="1"/>
  <c r="H8" i="1"/>
  <c r="I8" i="1" s="1"/>
  <c r="F4" i="12"/>
  <c r="I13" i="1"/>
  <c r="I224" i="1"/>
  <c r="I152" i="1"/>
  <c r="I18" i="1"/>
  <c r="I48" i="1"/>
  <c r="I98" i="1"/>
  <c r="I331" i="1"/>
  <c r="I313" i="1"/>
  <c r="I5" i="1"/>
  <c r="I7" i="1"/>
  <c r="I14" i="1"/>
  <c r="I25" i="1"/>
  <c r="I55" i="1"/>
  <c r="I62" i="1"/>
  <c r="I71" i="1"/>
  <c r="I89" i="1"/>
  <c r="I91" i="1"/>
  <c r="I96" i="1"/>
  <c r="I211" i="1"/>
  <c r="I139" i="1"/>
  <c r="I38" i="1"/>
  <c r="I36" i="1"/>
  <c r="I66" i="1"/>
  <c r="I84" i="1"/>
  <c r="I421" i="1"/>
  <c r="I23" i="1"/>
  <c r="I32" i="1"/>
  <c r="I44" i="1"/>
  <c r="I53" i="1"/>
  <c r="I73" i="1"/>
  <c r="I80" i="1"/>
  <c r="I103" i="1"/>
  <c r="I403" i="1"/>
  <c r="I295" i="1"/>
  <c r="I12" i="1"/>
  <c r="I19" i="1"/>
  <c r="I30" i="1"/>
  <c r="I37" i="1"/>
  <c r="I42" i="1"/>
  <c r="I60" i="1"/>
  <c r="I78" i="1"/>
  <c r="I101" i="1"/>
  <c r="I260" i="1"/>
  <c r="I227" i="1"/>
  <c r="I188" i="1"/>
  <c r="I155" i="1"/>
  <c r="I116" i="1"/>
  <c r="I20" i="1"/>
  <c r="I29" i="1"/>
  <c r="I31" i="1"/>
  <c r="I43" i="1"/>
  <c r="I50" i="1"/>
  <c r="I59" i="1"/>
  <c r="I61" i="1"/>
  <c r="I68" i="1"/>
  <c r="I77" i="1"/>
  <c r="I79" i="1"/>
  <c r="I86" i="1"/>
  <c r="I100" i="1"/>
  <c r="I102" i="1"/>
  <c r="I496" i="1"/>
  <c r="I460" i="1"/>
  <c r="I424" i="1"/>
  <c r="I412" i="1"/>
  <c r="I400" i="1"/>
  <c r="I370" i="1"/>
  <c r="I358" i="1"/>
  <c r="I346" i="1"/>
  <c r="I316" i="1"/>
  <c r="I304" i="1"/>
  <c r="I292" i="1"/>
  <c r="I275" i="1"/>
  <c r="I251" i="1"/>
  <c r="I239" i="1"/>
  <c r="I215" i="1"/>
  <c r="I203" i="1"/>
  <c r="I179" i="1"/>
  <c r="I167" i="1"/>
  <c r="I143" i="1"/>
  <c r="I131" i="1"/>
  <c r="I107" i="1"/>
  <c r="F6" i="6"/>
  <c r="F7" i="9"/>
  <c r="F4" i="7"/>
  <c r="F6" i="9"/>
  <c r="F8" i="9"/>
  <c r="F5" i="6"/>
  <c r="F7" i="8"/>
  <c r="F6" i="8"/>
  <c r="F5" i="7"/>
  <c r="F5" i="8"/>
  <c r="F5" i="9"/>
  <c r="F4" i="9"/>
  <c r="F9" i="9"/>
  <c r="F4" i="6"/>
  <c r="F4" i="8"/>
  <c r="F9" i="4"/>
  <c r="F8" i="8"/>
  <c r="F7" i="4"/>
  <c r="F9" i="8"/>
  <c r="F5" i="4"/>
  <c r="F8" i="4"/>
  <c r="F6" i="4"/>
</calcChain>
</file>

<file path=xl/sharedStrings.xml><?xml version="1.0" encoding="utf-8"?>
<sst xmlns="http://schemas.openxmlformats.org/spreadsheetml/2006/main" count="112" uniqueCount="77">
  <si>
    <t>Age</t>
  </si>
  <si>
    <t>Gender</t>
  </si>
  <si>
    <t>SI Amount</t>
  </si>
  <si>
    <t>Claim Amount</t>
  </si>
  <si>
    <t>Sanctioned Amount</t>
  </si>
  <si>
    <t>Deducted Amount</t>
  </si>
  <si>
    <t>% Deduction</t>
  </si>
  <si>
    <t>% Deduction Bracket</t>
  </si>
  <si>
    <t>Claims %</t>
  </si>
  <si>
    <t>Claims % Bracket</t>
  </si>
  <si>
    <t>Claim Type</t>
  </si>
  <si>
    <t>Claim Status</t>
  </si>
  <si>
    <t>Last document submitted date</t>
  </si>
  <si>
    <t>Amount paid date</t>
  </si>
  <si>
    <t>TAT</t>
  </si>
  <si>
    <t>TAT Bracket</t>
  </si>
  <si>
    <t>Diagnosis</t>
  </si>
  <si>
    <t>Rejection reason</t>
  </si>
  <si>
    <t>E</t>
  </si>
  <si>
    <t>Reimbursement</t>
  </si>
  <si>
    <t>Settled</t>
  </si>
  <si>
    <t>Cashless</t>
  </si>
  <si>
    <t>In Process</t>
  </si>
  <si>
    <t>SC</t>
  </si>
  <si>
    <t>Denied</t>
  </si>
  <si>
    <t>P</t>
  </si>
  <si>
    <t>Count of Age</t>
  </si>
  <si>
    <t>Row Labels</t>
  </si>
  <si>
    <t>Grand Total</t>
  </si>
  <si>
    <t>a (0-7)</t>
  </si>
  <si>
    <t>e (&gt;28)</t>
  </si>
  <si>
    <t>a (0%)</t>
  </si>
  <si>
    <t>b (0%-5%)</t>
  </si>
  <si>
    <t>c (5%-10%)</t>
  </si>
  <si>
    <t>d (10%-15%)</t>
  </si>
  <si>
    <t>e (15%-20%)</t>
  </si>
  <si>
    <t>f (&gt;20%)</t>
  </si>
  <si>
    <t>b (0%-20%)</t>
  </si>
  <si>
    <t>c (20%-40%)</t>
  </si>
  <si>
    <t>d (40%-60%)</t>
  </si>
  <si>
    <t>f (80%-99%)</t>
  </si>
  <si>
    <t>g (100%)</t>
  </si>
  <si>
    <t>Do not touch the fields highlighted in yellow.</t>
  </si>
  <si>
    <t>Do not leave the 'Age' header blank. If we do not have age, put any value in the cells.</t>
  </si>
  <si>
    <t>Headers highlighted in green need to filled with the below values only.</t>
  </si>
  <si>
    <t>After populating the fields, refresh only the 'Reimbursement TAT' pivot table.</t>
  </si>
  <si>
    <t>Create a copy of this file on your systems and then work on it. Do not work on the main file</t>
  </si>
  <si>
    <t>Save the file as a 'Macro enabled excel workbook' only.</t>
  </si>
  <si>
    <t xml:space="preserve">                                   SC - Spouse/Child</t>
  </si>
  <si>
    <t xml:space="preserve">                                   P - Parent</t>
  </si>
  <si>
    <t>Claim Type              Reimbursement</t>
  </si>
  <si>
    <t xml:space="preserve">                                  Cashless</t>
  </si>
  <si>
    <t>Claim Status           Settled</t>
  </si>
  <si>
    <t xml:space="preserve">                                  In Process</t>
  </si>
  <si>
    <t xml:space="preserve">                                  Denied</t>
  </si>
  <si>
    <t>E/S/C/P                   E - Employee</t>
  </si>
  <si>
    <t>To generate graphs, take curser to the cell next to the top right of the macros button.</t>
  </si>
  <si>
    <t>c (15-21)</t>
  </si>
  <si>
    <t>b (8-14)</t>
  </si>
  <si>
    <t>In the Reimbursement TAT sheet, select 'Reimbursement' in the Claim type filter and select 'Settled' and "In Process' in the Claim Status filter</t>
  </si>
  <si>
    <t>Lives at inception of last policy</t>
  </si>
  <si>
    <t>Claims made in last year (INR)</t>
  </si>
  <si>
    <t>Previous Year Premium (INR)</t>
  </si>
  <si>
    <t>EXPECTED PREMIUM (INR)</t>
  </si>
  <si>
    <t>Change in lives</t>
  </si>
  <si>
    <t>Claims Per Life (INR)</t>
  </si>
  <si>
    <t>Reasons for change in premium</t>
  </si>
  <si>
    <t>Change in lives insured</t>
  </si>
  <si>
    <t>Claims per life vs Premium per life</t>
  </si>
  <si>
    <t>Medical inflation &amp; Admin Cost</t>
  </si>
  <si>
    <t>Lives at Renewal</t>
  </si>
  <si>
    <t>Lives Addition/Deletion during the year</t>
  </si>
  <si>
    <t>Talk with Ap about presentation of this</t>
  </si>
  <si>
    <t>d (22-28)</t>
  </si>
  <si>
    <t>E/SC/P</t>
  </si>
  <si>
    <t>Sum of Sanctioned Amount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</si>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</sst>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00FF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0" fontId="0" fillId="3" borderId="0" xfId="0" applyFill="1"/>
    <xf numFmtId="1" fontId="0" fillId="3" borderId="1" xfId="0" applyNumberFormat="1" applyFill="1" applyBorder="1" applyAlignment="1">
      <alignment horizontal="center"/>
    </xf>
    <xf numFmtId="0" fontId="0" fillId="0" borderId="1" xfId="0" applyBorder="1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2" borderId="0" xfId="0" applyFont="1" applyFill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1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6" borderId="1" xfId="0" applyFont="1" applyFill="1" applyBorder="1" applyAlignment="1">
      <alignment horizontal="center"/>
    </xf>
    <xf numFmtId="9" fontId="1" fillId="0" borderId="1" xfId="0" applyNumberFormat="1" applyFont="1" applyBorder="1" applyAlignment="1">
      <alignment horizontal="center"/>
    </xf>
    <xf numFmtId="0" fontId="4" fillId="5" borderId="0" xfId="0" applyFont="1" applyFill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Reimbursement TAT (days)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7D-43D4-B45C-E08F3F376FD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7D-43D4-B45C-E08F3F376FD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7D-43D4-B45C-E08F3F376FD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B7D-43D4-B45C-E08F3F376FD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B7D-43D4-B45C-E08F3F376F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'Reimbursement TAT'!$D$5:$D$9</c:f>
              <c:strCache>
                <c:ptCount val="5"/>
                <c:pt idx="0">
                  <c:v>a (0-7)</c:v>
                </c:pt>
                <c:pt idx="1">
                  <c:v>b (8-14)</c:v>
                </c:pt>
                <c:pt idx="2">
                  <c:v>c (15-21)</c:v>
                </c:pt>
                <c:pt idx="3">
                  <c:v>d (22-28)</c:v>
                </c:pt>
                <c:pt idx="4">
                  <c:v>e (&gt;28)</c:v>
                </c:pt>
              </c:strCache>
            </c:strRef>
          </c:cat>
          <c:val>
            <c:numRef>
              <c:f>'Reimbursement TAT'!$F$5:$F$9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D4-4BA2-BDB3-808189D43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 vs SC vs 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2C9-4033-8EA7-FFD283862AF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2C9-4033-8EA7-FFD283862AF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2C9-4033-8EA7-FFD283862A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 vs SC vs P'!$D$4:$D$6</c:f>
              <c:strCache>
                <c:ptCount val="3"/>
                <c:pt idx="0">
                  <c:v>E</c:v>
                </c:pt>
                <c:pt idx="1">
                  <c:v>SC</c:v>
                </c:pt>
                <c:pt idx="2">
                  <c:v>P</c:v>
                </c:pt>
              </c:strCache>
            </c:strRef>
          </c:cat>
          <c:val>
            <c:numRef>
              <c:f>'E vs SC vs P'!$F$4:$F$6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B-42E6-9016-3C673C718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Claim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92C-402F-A9A8-5F1223F3815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92C-402F-A9A8-5F1223F3815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'Claim Type'!$D$4:$D$5</c:f>
              <c:strCache>
                <c:ptCount val="2"/>
                <c:pt idx="0">
                  <c:v>Cashless</c:v>
                </c:pt>
                <c:pt idx="1">
                  <c:v>Reimbursement</c:v>
                </c:pt>
              </c:strCache>
            </c:strRef>
          </c:cat>
          <c:val>
            <c:numRef>
              <c:f>'Claim Type'!$F$4:$F$5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B-4ECC-94A0-C7E80BCCB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Deductions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CC-4773-9F79-C1201A168DA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CC-4773-9F79-C1201A168DA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FCC-4773-9F79-C1201A168DA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FCC-4773-9F79-C1201A168DA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FCC-4773-9F79-C1201A168DA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FCC-4773-9F79-C1201A168D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'Deductions %'!$D$4:$D$9</c:f>
              <c:strCache>
                <c:ptCount val="6"/>
                <c:pt idx="0">
                  <c:v>a (0%)</c:v>
                </c:pt>
                <c:pt idx="1">
                  <c:v>b (0%-5%)</c:v>
                </c:pt>
                <c:pt idx="2">
                  <c:v>c (5%-10%)</c:v>
                </c:pt>
                <c:pt idx="3">
                  <c:v>d (10%-15%)</c:v>
                </c:pt>
                <c:pt idx="4">
                  <c:v>e (15%-20%)</c:v>
                </c:pt>
                <c:pt idx="5">
                  <c:v>f (&gt;20%)</c:v>
                </c:pt>
              </c:strCache>
            </c:strRef>
          </c:cat>
          <c:val>
            <c:numRef>
              <c:f>'Deductions %'!$F$4:$F$9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4-4297-BAB1-B953F9A2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% SI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69-4E27-8F6A-121C0EBCD09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469-4E27-8F6A-121C0EBCD09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469-4E27-8F6A-121C0EBCD09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469-4E27-8F6A-121C0EBCD09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469-4E27-8F6A-121C0EBCD09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469-4E27-8F6A-121C0EBCD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'% Utilization of SI'!$D$4:$D$9</c:f>
              <c:strCache>
                <c:ptCount val="6"/>
                <c:pt idx="0">
                  <c:v>a (0%)</c:v>
                </c:pt>
                <c:pt idx="1">
                  <c:v>b (0%-20%)</c:v>
                </c:pt>
                <c:pt idx="2">
                  <c:v>c (20%-40%)</c:v>
                </c:pt>
                <c:pt idx="3">
                  <c:v>d (40%-60%)</c:v>
                </c:pt>
                <c:pt idx="4">
                  <c:v>f (80%-99%)</c:v>
                </c:pt>
                <c:pt idx="5">
                  <c:v>g (100%)</c:v>
                </c:pt>
              </c:strCache>
            </c:strRef>
          </c:cat>
          <c:val>
            <c:numRef>
              <c:f>'% Utilization of SI'!$F$4:$F$9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08-4CB4-88FA-F98B73545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Claim Status Breakup (Value)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58B-49A8-BB07-BA995ADB273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58B-49A8-BB07-BA995ADB273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58B-49A8-BB07-BA995ADB27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'Claim status (value)'!$D$4:$D$6</c:f>
              <c:strCache>
                <c:ptCount val="3"/>
                <c:pt idx="0">
                  <c:v>Denied</c:v>
                </c:pt>
                <c:pt idx="1">
                  <c:v>In Process</c:v>
                </c:pt>
                <c:pt idx="2">
                  <c:v>Settled</c:v>
                </c:pt>
              </c:strCache>
            </c:strRef>
          </c:cat>
          <c:val>
            <c:numRef>
              <c:f>'Claim status (value)'!$E$4:$E$6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A-4536-9E2F-A3B89D387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Claim Status Breakup (Count)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DB7-417F-888E-AB0A8E636E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DB7-417F-888E-AB0A8E636E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DB7-417F-888E-AB0A8E636E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'Claim status (count)'!$D$4:$D$6</c:f>
              <c:strCache>
                <c:ptCount val="3"/>
                <c:pt idx="0">
                  <c:v>Denied</c:v>
                </c:pt>
                <c:pt idx="1">
                  <c:v>In Process</c:v>
                </c:pt>
                <c:pt idx="2">
                  <c:v>Settled</c:v>
                </c:pt>
              </c:strCache>
            </c:strRef>
          </c:cat>
          <c:val>
            <c:numRef>
              <c:f>'Claim status (count)'!$E$4:$E$6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6-45C6-B058-E94C05508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38100</xdr:rowOff>
        </xdr:from>
        <xdr:to>
          <xdr:col>1</xdr:col>
          <xdr:colOff>556260</xdr:colOff>
          <xdr:row>2</xdr:row>
          <xdr:rowOff>144780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3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Claim Status (Count)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0</xdr:row>
          <xdr:rowOff>38100</xdr:rowOff>
        </xdr:from>
        <xdr:to>
          <xdr:col>11</xdr:col>
          <xdr:colOff>556260</xdr:colOff>
          <xdr:row>2</xdr:row>
          <xdr:rowOff>152400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3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Claim Status (Value)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14</xdr:row>
          <xdr:rowOff>22860</xdr:rowOff>
        </xdr:from>
        <xdr:to>
          <xdr:col>1</xdr:col>
          <xdr:colOff>525780</xdr:colOff>
          <xdr:row>16</xdr:row>
          <xdr:rowOff>144780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3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Claim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14</xdr:row>
          <xdr:rowOff>30480</xdr:rowOff>
        </xdr:from>
        <xdr:to>
          <xdr:col>11</xdr:col>
          <xdr:colOff>563880</xdr:colOff>
          <xdr:row>16</xdr:row>
          <xdr:rowOff>160020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3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Reimbursement 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28</xdr:row>
          <xdr:rowOff>45720</xdr:rowOff>
        </xdr:from>
        <xdr:to>
          <xdr:col>1</xdr:col>
          <xdr:colOff>563880</xdr:colOff>
          <xdr:row>30</xdr:row>
          <xdr:rowOff>160020</xdr:rowOff>
        </xdr:to>
        <xdr:sp macro="" textlink="">
          <xdr:nvSpPr>
            <xdr:cNvPr id="9235" name="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3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 vs SC vs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28</xdr:row>
          <xdr:rowOff>45720</xdr:rowOff>
        </xdr:from>
        <xdr:to>
          <xdr:col>11</xdr:col>
          <xdr:colOff>556260</xdr:colOff>
          <xdr:row>30</xdr:row>
          <xdr:rowOff>152400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3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% SI Utilization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42</xdr:row>
          <xdr:rowOff>22860</xdr:rowOff>
        </xdr:from>
        <xdr:to>
          <xdr:col>6</xdr:col>
          <xdr:colOff>563880</xdr:colOff>
          <xdr:row>44</xdr:row>
          <xdr:rowOff>160020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3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Deductions %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3</xdr:row>
      <xdr:rowOff>175260</xdr:rowOff>
    </xdr:from>
    <xdr:to>
      <xdr:col>15</xdr:col>
      <xdr:colOff>0</xdr:colOff>
      <xdr:row>16</xdr:row>
      <xdr:rowOff>175260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163830</xdr:rowOff>
    </xdr:from>
    <xdr:to>
      <xdr:col>14</xdr:col>
      <xdr:colOff>601980</xdr:colOff>
      <xdr:row>16</xdr:row>
      <xdr:rowOff>15240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2</xdr:row>
      <xdr:rowOff>171450</xdr:rowOff>
    </xdr:from>
    <xdr:to>
      <xdr:col>15</xdr:col>
      <xdr:colOff>0</xdr:colOff>
      <xdr:row>15</xdr:row>
      <xdr:rowOff>175260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</xdr:row>
      <xdr:rowOff>41910</xdr:rowOff>
    </xdr:from>
    <xdr:to>
      <xdr:col>15</xdr:col>
      <xdr:colOff>0</xdr:colOff>
      <xdr:row>15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4</xdr:row>
      <xdr:rowOff>3810</xdr:rowOff>
    </xdr:from>
    <xdr:to>
      <xdr:col>15</xdr:col>
      <xdr:colOff>0</xdr:colOff>
      <xdr:row>17</xdr:row>
      <xdr:rowOff>7620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</xdr:row>
      <xdr:rowOff>171450</xdr:rowOff>
    </xdr:from>
    <xdr:to>
      <xdr:col>15</xdr:col>
      <xdr:colOff>0</xdr:colOff>
      <xdr:row>15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179070</xdr:rowOff>
    </xdr:from>
    <xdr:to>
      <xdr:col>15</xdr:col>
      <xdr:colOff>0</xdr:colOff>
      <xdr:row>17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uj Parekh" refreshedDate="46192.049519097221" createdVersion="8" refreshedVersion="8" minRefreshableVersion="3" recordCount="559" xr:uid="{53250FC2-1682-496B-A822-1E640FC61874}">
  <cacheSource type="worksheet">
    <worksheetSource ref="A1:S1048576" sheet="Data Sheet"/>
  </cacheSource>
  <cacheFields count="19">
    <cacheField name="Age" numFmtId="0">
      <sharedItems containsNonDate="0" containsString="0" containsBlank="1"/>
    </cacheField>
    <cacheField name="Gender" numFmtId="0">
      <sharedItems containsNonDate="0" containsString="0" containsBlank="1"/>
    </cacheField>
    <cacheField name="E/SC/P" numFmtId="0">
      <sharedItems containsNonDate="0" containsString="0" containsBlank="1" count="1">
        <m/>
      </sharedItems>
    </cacheField>
    <cacheField name="SI Amount" numFmtId="0">
      <sharedItems containsNonDate="0" containsString="0" containsBlank="1"/>
    </cacheField>
    <cacheField name="Claim Amount" numFmtId="0">
      <sharedItems containsNonDate="0" containsString="0" containsBlank="1"/>
    </cacheField>
    <cacheField name="Sanctioned Amount" numFmtId="0">
      <sharedItems containsNonDate="0" containsString="0" containsBlank="1"/>
    </cacheField>
    <cacheField name="Deducted Amount" numFmtId="0">
      <sharedItems containsString="0" containsBlank="1" containsNumber="1" containsInteger="1" minValue="0" maxValue="0"/>
    </cacheField>
    <cacheField name="% Deduction" numFmtId="0">
      <sharedItems containsBlank="1"/>
    </cacheField>
    <cacheField name="% Deduction Bracket" numFmtId="0">
      <sharedItems containsBlank="1" count="2">
        <s v="f (&gt;20%)"/>
        <m/>
      </sharedItems>
    </cacheField>
    <cacheField name="Claims %" numFmtId="0">
      <sharedItems containsBlank="1"/>
    </cacheField>
    <cacheField name="Claims % Bracket" numFmtId="0">
      <sharedItems containsBlank="1" count="2">
        <s v="g (100%)"/>
        <m/>
      </sharedItems>
    </cacheField>
    <cacheField name="Claim Type" numFmtId="0">
      <sharedItems containsNonDate="0" containsString="0" containsBlank="1" count="1">
        <m/>
      </sharedItems>
    </cacheField>
    <cacheField name="Claim Status" numFmtId="0">
      <sharedItems containsNonDate="0" containsString="0" containsBlank="1" count="1">
        <m/>
      </sharedItems>
    </cacheField>
    <cacheField name="Last document submitted date" numFmtId="0">
      <sharedItems containsNonDate="0" containsString="0" containsBlank="1"/>
    </cacheField>
    <cacheField name="Amount paid date" numFmtId="0">
      <sharedItems containsNonDate="0" containsString="0" containsBlank="1"/>
    </cacheField>
    <cacheField name="TAT" numFmtId="0">
      <sharedItems containsBlank="1"/>
    </cacheField>
    <cacheField name="TAT Bracket" numFmtId="0">
      <sharedItems containsBlank="1" count="2">
        <s v="e (&gt;28)"/>
        <m/>
      </sharedItems>
    </cacheField>
    <cacheField name="Diagnosis" numFmtId="0">
      <sharedItems containsNonDate="0" containsString="0" containsBlank="1"/>
    </cacheField>
    <cacheField name="Rejection reaso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9"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n v="0"/>
    <s v="-"/>
    <x v="0"/>
    <s v="-"/>
    <x v="0"/>
    <x v="0"/>
    <x v="0"/>
    <m/>
    <m/>
    <s v="-"/>
    <x v="0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  <r>
    <m/>
    <m/>
    <x v="0"/>
    <m/>
    <m/>
    <m/>
    <m/>
    <m/>
    <x v="1"/>
    <m/>
    <x v="1"/>
    <x v="0"/>
    <x v="0"/>
    <m/>
    <m/>
    <m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C14A58-DA81-42AC-9E47-D8C0EC18BBCE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B7" firstHeaderRow="1" firstDataRow="1" firstDataCol="1" rowPageCount="2" colPageCount="1"/>
  <pivotFields count="19">
    <pivotField dataField="1"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umFmtId="9" showAll="0"/>
    <pivotField showAll="0"/>
    <pivotField axis="axisPage" multipleItemSelectionAllowed="1" showAll="0">
      <items count="2">
        <item x="0"/>
        <item t="default"/>
      </items>
    </pivotField>
    <pivotField axis="axisPage" multipleItemSelectionAllowed="1" showAll="0">
      <items count="2">
        <item x="0"/>
        <item t="default"/>
      </items>
    </pivotField>
    <pivotField numFmtId="14" showAll="0"/>
    <pivotField numFmtId="14" showAll="0"/>
    <pivotField numFmtId="1" showAll="0"/>
    <pivotField axis="axisRow" showAll="0">
      <items count="3">
        <item x="0"/>
        <item x="1"/>
        <item t="default"/>
      </items>
    </pivotField>
    <pivotField showAll="0"/>
    <pivotField showAll="0"/>
  </pivotFields>
  <rowFields count="1">
    <field x="16"/>
  </rowFields>
  <rowItems count="3">
    <i>
      <x/>
    </i>
    <i>
      <x v="1"/>
    </i>
    <i t="grand">
      <x/>
    </i>
  </rowItems>
  <colItems count="1">
    <i/>
  </colItems>
  <pageFields count="2">
    <pageField fld="11" hier="-1"/>
    <pageField fld="12" hier="-1"/>
  </pageFields>
  <dataFields count="1">
    <dataField name="Count of Ag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8786EA-2A44-45A1-8543-1ADB8C2459EA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/>
  <pivotFields count="19">
    <pivotField dataField="1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numFmtId="9" showAll="0"/>
    <pivotField showAll="0"/>
    <pivotField numFmtId="9" showAll="0"/>
    <pivotField showAll="0"/>
    <pivotField showAll="0"/>
    <pivotField showAll="0"/>
    <pivotField numFmtId="14" showAll="0"/>
    <pivotField numFmtId="14" showAll="0"/>
    <pivotField numFmtId="1"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Ag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2FF916-C297-4DB7-AD4F-0ECC8C30E5E1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/>
  <pivotFields count="19">
    <pivotField dataField="1"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umFmtId="9" showAll="0"/>
    <pivotField showAll="0"/>
    <pivotField axis="axisRow" showAll="0">
      <items count="2">
        <item x="0"/>
        <item t="default"/>
      </items>
    </pivotField>
    <pivotField showAll="0"/>
    <pivotField numFmtId="14" showAll="0"/>
    <pivotField numFmtId="14" showAll="0"/>
    <pivotField numFmtId="1" showAll="0"/>
    <pivotField showAll="0"/>
    <pivotField showAll="0"/>
    <pivotField showAll="0"/>
  </pivotFields>
  <rowFields count="1">
    <field x="11"/>
  </rowFields>
  <rowItems count="2">
    <i>
      <x/>
    </i>
    <i t="grand">
      <x/>
    </i>
  </rowItems>
  <colItems count="1">
    <i/>
  </colItems>
  <dataFields count="1">
    <dataField name="Count of Ag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FB82E2-0EA9-43CC-9D75-810B6BF25DA3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19">
    <pivotField dataField="1" showAll="0"/>
    <pivotField showAll="0"/>
    <pivotField showAll="0"/>
    <pivotField showAll="0"/>
    <pivotField showAll="0"/>
    <pivotField showAll="0"/>
    <pivotField showAll="0"/>
    <pivotField numFmtId="9" showAll="0"/>
    <pivotField axis="axisRow" showAll="0">
      <items count="3">
        <item x="0"/>
        <item x="1"/>
        <item t="default"/>
      </items>
    </pivotField>
    <pivotField numFmtId="9" showAll="0"/>
    <pivotField showAll="0"/>
    <pivotField showAll="0"/>
    <pivotField showAll="0"/>
    <pivotField numFmtId="14" showAll="0"/>
    <pivotField numFmtId="14" showAll="0"/>
    <pivotField numFmtId="1" showAll="0"/>
    <pivotField showAll="0"/>
    <pivotField showAll="0"/>
    <pivotField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Ag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8C7E13-6AF4-475B-B020-704BF5FA0EBF}" name="PivotTable4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19">
    <pivotField dataField="1"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umFmtId="9" showAll="0"/>
    <pivotField axis="axisRow" showAll="0">
      <items count="3">
        <item x="0"/>
        <item x="1"/>
        <item t="default"/>
      </items>
    </pivotField>
    <pivotField showAll="0"/>
    <pivotField showAll="0"/>
    <pivotField numFmtId="14" showAll="0"/>
    <pivotField numFmtId="14" showAll="0"/>
    <pivotField numFmtId="1" showAll="0"/>
    <pivotField showAll="0"/>
    <pivotField showAll="0"/>
    <pivotField showAll="0"/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Count of Ag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EA5F05-3B6E-43E1-84BA-83A38AF7B659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/>
  <pivotFields count="19"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2"/>
  </rowFields>
  <rowItems count="2">
    <i>
      <x/>
    </i>
    <i t="grand">
      <x/>
    </i>
  </rowItems>
  <colItems count="1">
    <i/>
  </colItems>
  <dataFields count="1">
    <dataField name="Sum of Sanctioned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E7F4AC-818C-416B-BD19-14A897F55FB6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/>
  <pivotFields count="19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2"/>
  </rowFields>
  <rowItems count="2">
    <i>
      <x/>
    </i>
    <i t="grand">
      <x/>
    </i>
  </rowItems>
  <colItems count="1">
    <i/>
  </colItems>
  <dataFields count="1">
    <dataField name="Count of Ag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DBCA9-CA62-4047-8145-2CD4803B7342}">
  <dimension ref="A2:C17"/>
  <sheetViews>
    <sheetView tabSelected="1" workbookViewId="0">
      <selection activeCell="B7" sqref="B7"/>
    </sheetView>
  </sheetViews>
  <sheetFormatPr defaultRowHeight="14.4" x14ac:dyDescent="0.3"/>
  <cols>
    <col min="1" max="1" width="4" bestFit="1" customWidth="1"/>
    <col min="2" max="2" width="76.5546875" bestFit="1" customWidth="1"/>
    <col min="3" max="3" width="16" bestFit="1" customWidth="1"/>
  </cols>
  <sheetData>
    <row r="2" spans="1:3" x14ac:dyDescent="0.3">
      <c r="A2" s="20">
        <v>1</v>
      </c>
      <c r="B2" s="15" t="s">
        <v>46</v>
      </c>
    </row>
    <row r="3" spans="1:3" x14ac:dyDescent="0.3">
      <c r="A3" s="20">
        <v>2</v>
      </c>
      <c r="B3" s="16" t="s">
        <v>42</v>
      </c>
    </row>
    <row r="4" spans="1:3" x14ac:dyDescent="0.3">
      <c r="A4" s="20">
        <v>3</v>
      </c>
      <c r="B4" s="17" t="s">
        <v>43</v>
      </c>
    </row>
    <row r="5" spans="1:3" x14ac:dyDescent="0.3">
      <c r="A5" s="20">
        <v>4</v>
      </c>
      <c r="B5" s="18" t="s">
        <v>44</v>
      </c>
    </row>
    <row r="6" spans="1:3" x14ac:dyDescent="0.3">
      <c r="A6" s="19">
        <v>4.0999999999999996</v>
      </c>
      <c r="B6" s="20" t="s">
        <v>55</v>
      </c>
      <c r="C6" s="15"/>
    </row>
    <row r="7" spans="1:3" x14ac:dyDescent="0.3">
      <c r="A7" s="20"/>
      <c r="B7" s="20" t="s">
        <v>48</v>
      </c>
      <c r="C7" s="15"/>
    </row>
    <row r="8" spans="1:3" x14ac:dyDescent="0.3">
      <c r="A8" s="20"/>
      <c r="B8" s="20" t="s">
        <v>49</v>
      </c>
      <c r="C8" s="15"/>
    </row>
    <row r="9" spans="1:3" x14ac:dyDescent="0.3">
      <c r="A9" s="19">
        <v>4.2</v>
      </c>
      <c r="B9" s="20" t="s">
        <v>50</v>
      </c>
      <c r="C9" s="15"/>
    </row>
    <row r="10" spans="1:3" x14ac:dyDescent="0.3">
      <c r="A10" s="20"/>
      <c r="B10" s="20" t="s">
        <v>51</v>
      </c>
      <c r="C10" s="15"/>
    </row>
    <row r="11" spans="1:3" x14ac:dyDescent="0.3">
      <c r="A11" s="19">
        <v>4.3</v>
      </c>
      <c r="B11" s="20" t="s">
        <v>52</v>
      </c>
      <c r="C11" s="15"/>
    </row>
    <row r="12" spans="1:3" x14ac:dyDescent="0.3">
      <c r="A12" s="20"/>
      <c r="B12" s="15" t="s">
        <v>53</v>
      </c>
      <c r="C12" s="15"/>
    </row>
    <row r="13" spans="1:3" x14ac:dyDescent="0.3">
      <c r="A13" s="20"/>
      <c r="B13" s="15" t="s">
        <v>54</v>
      </c>
      <c r="C13" s="15"/>
    </row>
    <row r="14" spans="1:3" x14ac:dyDescent="0.3">
      <c r="A14" s="20">
        <v>5</v>
      </c>
      <c r="B14" s="15" t="s">
        <v>45</v>
      </c>
    </row>
    <row r="15" spans="1:3" x14ac:dyDescent="0.3">
      <c r="A15" s="20">
        <v>6</v>
      </c>
      <c r="B15" s="15" t="s">
        <v>59</v>
      </c>
    </row>
    <row r="16" spans="1:3" x14ac:dyDescent="0.3">
      <c r="A16" s="20">
        <v>7</v>
      </c>
      <c r="B16" s="15" t="s">
        <v>56</v>
      </c>
    </row>
    <row r="17" spans="1:2" x14ac:dyDescent="0.3">
      <c r="A17" s="20">
        <v>8</v>
      </c>
      <c r="B17" s="15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B2AA-9B7A-4C7E-AB16-6579292D799A}">
  <dimension ref="E3"/>
  <sheetViews>
    <sheetView workbookViewId="0">
      <selection activeCell="B2" sqref="B2:C7"/>
    </sheetView>
  </sheetViews>
  <sheetFormatPr defaultRowHeight="14.4" x14ac:dyDescent="0.3"/>
  <cols>
    <col min="3" max="3" width="10.77734375" bestFit="1" customWidth="1"/>
    <col min="5" max="5" width="10.109375" bestFit="1" customWidth="1"/>
  </cols>
  <sheetData>
    <row r="3" spans="5:5" x14ac:dyDescent="0.3">
      <c r="E3" s="29"/>
    </row>
  </sheetData>
  <sortState xmlns:xlrd2="http://schemas.microsoft.com/office/spreadsheetml/2017/richdata2" ref="B3:C12">
    <sortCondition ref="C3:C1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559"/>
  <sheetViews>
    <sheetView workbookViewId="0">
      <selection activeCell="E1" sqref="E1"/>
    </sheetView>
  </sheetViews>
  <sheetFormatPr defaultRowHeight="14.4" x14ac:dyDescent="0.3"/>
  <cols>
    <col min="1" max="1" width="4.21875" bestFit="1" customWidth="1"/>
    <col min="2" max="2" width="7.109375" bestFit="1" customWidth="1"/>
    <col min="3" max="3" width="7.88671875" bestFit="1" customWidth="1"/>
    <col min="4" max="4" width="9.88671875" bestFit="1" customWidth="1"/>
    <col min="5" max="5" width="13.109375" bestFit="1" customWidth="1"/>
    <col min="6" max="6" width="18" bestFit="1" customWidth="1"/>
    <col min="7" max="7" width="16.5546875" style="12" bestFit="1" customWidth="1"/>
    <col min="8" max="8" width="11.5546875" style="12" bestFit="1" customWidth="1"/>
    <col min="9" max="9" width="18.5546875" style="12" bestFit="1" customWidth="1"/>
    <col min="10" max="10" width="8.33203125" style="12" bestFit="1" customWidth="1"/>
    <col min="11" max="11" width="15.21875" style="12" bestFit="1" customWidth="1"/>
    <col min="12" max="12" width="13.88671875" bestFit="1" customWidth="1"/>
    <col min="13" max="13" width="11.33203125" bestFit="1" customWidth="1"/>
    <col min="14" max="14" width="27.109375" bestFit="1" customWidth="1"/>
    <col min="15" max="15" width="16.33203125" bestFit="1" customWidth="1"/>
    <col min="16" max="16" width="4.21875" style="12" bestFit="1" customWidth="1"/>
    <col min="17" max="17" width="11" style="12" bestFit="1" customWidth="1"/>
    <col min="18" max="18" width="8.88671875" bestFit="1" customWidth="1"/>
    <col min="19" max="19" width="15.109375" bestFit="1" customWidth="1"/>
  </cols>
  <sheetData>
    <row r="1" spans="1:19" x14ac:dyDescent="0.3">
      <c r="A1" s="9" t="s">
        <v>0</v>
      </c>
      <c r="B1" s="1" t="s">
        <v>1</v>
      </c>
      <c r="C1" s="2" t="s">
        <v>74</v>
      </c>
      <c r="D1" s="1" t="s">
        <v>2</v>
      </c>
      <c r="E1" s="1" t="s">
        <v>3</v>
      </c>
      <c r="F1" s="1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2" t="s">
        <v>10</v>
      </c>
      <c r="M1" s="2" t="s">
        <v>11</v>
      </c>
      <c r="N1" s="1" t="s">
        <v>12</v>
      </c>
      <c r="O1" s="1" t="s">
        <v>13</v>
      </c>
      <c r="P1" s="3" t="s">
        <v>14</v>
      </c>
      <c r="Q1" s="3" t="s">
        <v>15</v>
      </c>
      <c r="R1" s="1" t="s">
        <v>16</v>
      </c>
      <c r="S1" s="1" t="s">
        <v>17</v>
      </c>
    </row>
    <row r="2" spans="1:19" x14ac:dyDescent="0.3">
      <c r="G2" s="10">
        <f t="shared" ref="G2:G66" si="0">E2-F2</f>
        <v>0</v>
      </c>
      <c r="H2" s="11" t="str">
        <f>IFERROR(G2/E2,"-")</f>
        <v>-</v>
      </c>
      <c r="I2" s="11" t="str">
        <f>IF(H2=0%,"a (0%)",IF(AND(H2&gt;0%,H2&lt;=5%),"b (0%-5%)",IF(AND(H2&gt;5%,H2&lt;=10%),"c (5%-10%)",IF(AND(H2&gt;10%,H2&lt;=15%),"d (10%-15%)",IF(AND(H2&gt;15%,H2&lt;=20%),"e (15%-20%)","f (&gt;20%)")))))</f>
        <v>f (&gt;20%)</v>
      </c>
      <c r="J2" s="11" t="str">
        <f>IFERROR(F2/D2,"-")</f>
        <v>-</v>
      </c>
      <c r="K2" s="11" t="str">
        <f>IF(J2=0%,"a (0%)",IF(AND(J2&gt;0%,J2&lt;=20%),"b (0%-20%)",IF(AND(J2&gt;20%,J2&lt;=40%),"c (20%-40%)",IF(AND(J2&gt;40%,J2&lt;=60%),"d (40%-60%)",IF(AND(J2&gt;60%,J2&lt;=80%),"e (60%-80%)",IF(AND(J2&gt;80%,J2&lt;100%),"f (80%-99%)","g (100%)"))))))</f>
        <v>g (100%)</v>
      </c>
      <c r="N2" s="29"/>
      <c r="O2" s="29"/>
      <c r="P2" s="13" t="str">
        <f>IFERROR(IF(N2="","-",DATEDIF(N2,O2,"d")),0)</f>
        <v>-</v>
      </c>
      <c r="Q2" s="11" t="str">
        <f>IF(AND(P2&gt;0,P2&lt;=7),"a (0-7)",IF(AND(P2&gt;7,P2&lt;=14),"b (8-14)",IF(AND(P2&gt;14,P2&lt;=21),"c (15-21)",IF(AND(P2&gt;21,P2&lt;=28),"d (22-28)","e (&gt;28)"))))</f>
        <v>e (&gt;28)</v>
      </c>
      <c r="R2" s="14"/>
      <c r="S2" s="4"/>
    </row>
    <row r="3" spans="1:19" x14ac:dyDescent="0.3">
      <c r="G3" s="10">
        <f t="shared" si="0"/>
        <v>0</v>
      </c>
      <c r="H3" s="11" t="str">
        <f t="shared" ref="H3:H66" si="1">IFERROR(G3/E3,"-")</f>
        <v>-</v>
      </c>
      <c r="I3" s="11" t="str">
        <f t="shared" ref="I3:I66" si="2">IF(H3=0%,"a (0%)",IF(AND(H3&gt;0%,H3&lt;=5%),"b (0%-5%)",IF(AND(H3&gt;5%,H3&lt;=10%),"c (5%-10%)",IF(AND(H3&gt;10%,H3&lt;=15%),"d (10%-15%)",IF(AND(H3&gt;15%,H3&lt;=20%),"e (15%-20%)","f (&gt;20%)")))))</f>
        <v>f (&gt;20%)</v>
      </c>
      <c r="J3" s="11" t="str">
        <f t="shared" ref="J3:J66" si="3">IFERROR(F3/D3,"-")</f>
        <v>-</v>
      </c>
      <c r="K3" s="11" t="str">
        <f t="shared" ref="K3:K66" si="4">IF(J3=0%,"a (0%)",IF(AND(J3&gt;0%,J3&lt;=20%),"b (0%-20%)",IF(AND(J3&gt;20%,J3&lt;=40%),"c (20%-40%)",IF(AND(J3&gt;40%,J3&lt;=60%),"d (40%-60%)",IF(AND(J3&gt;60%,J3&lt;=80%),"e (60%-80%)",IF(AND(J3&gt;80%,J3&lt;100%),"f (80%-99%)","g (100%)"))))))</f>
        <v>g (100%)</v>
      </c>
      <c r="N3" s="29"/>
      <c r="O3" s="29"/>
      <c r="P3" s="13" t="str">
        <f t="shared" ref="P3:P66" si="5">IFERROR(IF(N3="","-",DATEDIF(N3,O3,"d")),0)</f>
        <v>-</v>
      </c>
      <c r="Q3" s="11" t="str">
        <f t="shared" ref="Q3:Q66" si="6">IF(AND(P3&gt;0,P3&lt;=7),"a (0-7)",IF(AND(P3&gt;7,P3&lt;=14),"b (8-14)",IF(AND(P3&gt;14,P3&lt;=21),"c (15-21)",IF(AND(P3&gt;21,P3&lt;=28),"d (22-28)","e (&gt;28)"))))</f>
        <v>e (&gt;28)</v>
      </c>
      <c r="R3" s="14"/>
      <c r="S3" s="4"/>
    </row>
    <row r="4" spans="1:19" x14ac:dyDescent="0.3">
      <c r="G4" s="10">
        <f t="shared" si="0"/>
        <v>0</v>
      </c>
      <c r="H4" s="11" t="str">
        <f t="shared" si="1"/>
        <v>-</v>
      </c>
      <c r="I4" s="11" t="str">
        <f t="shared" si="2"/>
        <v>f (&gt;20%)</v>
      </c>
      <c r="J4" s="11" t="str">
        <f t="shared" si="3"/>
        <v>-</v>
      </c>
      <c r="K4" s="11" t="str">
        <f t="shared" si="4"/>
        <v>g (100%)</v>
      </c>
      <c r="N4" s="29"/>
      <c r="P4" s="13" t="str">
        <f t="shared" si="5"/>
        <v>-</v>
      </c>
      <c r="Q4" s="11" t="str">
        <f t="shared" si="6"/>
        <v>e (&gt;28)</v>
      </c>
      <c r="R4" s="14"/>
      <c r="S4" s="4"/>
    </row>
    <row r="5" spans="1:19" x14ac:dyDescent="0.3">
      <c r="G5" s="10">
        <f t="shared" si="0"/>
        <v>0</v>
      </c>
      <c r="H5" s="11" t="str">
        <f t="shared" si="1"/>
        <v>-</v>
      </c>
      <c r="I5" s="11" t="str">
        <f t="shared" si="2"/>
        <v>f (&gt;20%)</v>
      </c>
      <c r="J5" s="11" t="str">
        <f t="shared" si="3"/>
        <v>-</v>
      </c>
      <c r="K5" s="11" t="str">
        <f t="shared" si="4"/>
        <v>g (100%)</v>
      </c>
      <c r="N5" s="29"/>
      <c r="O5" s="29"/>
      <c r="P5" s="13" t="str">
        <f t="shared" si="5"/>
        <v>-</v>
      </c>
      <c r="Q5" s="11" t="str">
        <f t="shared" si="6"/>
        <v>e (&gt;28)</v>
      </c>
      <c r="R5" s="14"/>
      <c r="S5" s="4"/>
    </row>
    <row r="6" spans="1:19" x14ac:dyDescent="0.3">
      <c r="G6" s="10">
        <f t="shared" si="0"/>
        <v>0</v>
      </c>
      <c r="H6" s="11" t="str">
        <f t="shared" si="1"/>
        <v>-</v>
      </c>
      <c r="I6" s="11" t="str">
        <f t="shared" si="2"/>
        <v>f (&gt;20%)</v>
      </c>
      <c r="J6" s="11" t="str">
        <f t="shared" si="3"/>
        <v>-</v>
      </c>
      <c r="K6" s="11" t="str">
        <f t="shared" si="4"/>
        <v>g (100%)</v>
      </c>
      <c r="N6" s="29"/>
      <c r="O6" s="29"/>
      <c r="P6" s="13" t="str">
        <f t="shared" si="5"/>
        <v>-</v>
      </c>
      <c r="Q6" s="11" t="str">
        <f t="shared" si="6"/>
        <v>e (&gt;28)</v>
      </c>
      <c r="R6" s="14"/>
      <c r="S6" s="4"/>
    </row>
    <row r="7" spans="1:19" x14ac:dyDescent="0.3">
      <c r="G7" s="10">
        <f t="shared" si="0"/>
        <v>0</v>
      </c>
      <c r="H7" s="11" t="str">
        <f t="shared" si="1"/>
        <v>-</v>
      </c>
      <c r="I7" s="11" t="str">
        <f t="shared" si="2"/>
        <v>f (&gt;20%)</v>
      </c>
      <c r="J7" s="11" t="str">
        <f t="shared" si="3"/>
        <v>-</v>
      </c>
      <c r="K7" s="11" t="str">
        <f t="shared" si="4"/>
        <v>g (100%)</v>
      </c>
      <c r="N7" s="29"/>
      <c r="O7" s="29"/>
      <c r="P7" s="13" t="str">
        <f t="shared" si="5"/>
        <v>-</v>
      </c>
      <c r="Q7" s="11" t="str">
        <f t="shared" si="6"/>
        <v>e (&gt;28)</v>
      </c>
      <c r="R7" s="14"/>
      <c r="S7" s="4"/>
    </row>
    <row r="8" spans="1:19" x14ac:dyDescent="0.3">
      <c r="G8" s="10">
        <f t="shared" si="0"/>
        <v>0</v>
      </c>
      <c r="H8" s="11" t="str">
        <f t="shared" si="1"/>
        <v>-</v>
      </c>
      <c r="I8" s="11" t="str">
        <f t="shared" si="2"/>
        <v>f (&gt;20%)</v>
      </c>
      <c r="J8" s="11" t="str">
        <f t="shared" si="3"/>
        <v>-</v>
      </c>
      <c r="K8" s="11" t="str">
        <f t="shared" si="4"/>
        <v>g (100%)</v>
      </c>
      <c r="N8" s="29"/>
      <c r="O8" s="29"/>
      <c r="P8" s="13" t="str">
        <f t="shared" si="5"/>
        <v>-</v>
      </c>
      <c r="Q8" s="11" t="str">
        <f t="shared" si="6"/>
        <v>e (&gt;28)</v>
      </c>
      <c r="R8" s="14"/>
      <c r="S8" s="4"/>
    </row>
    <row r="9" spans="1:19" x14ac:dyDescent="0.3">
      <c r="G9" s="10">
        <f t="shared" si="0"/>
        <v>0</v>
      </c>
      <c r="H9" s="11" t="str">
        <f t="shared" si="1"/>
        <v>-</v>
      </c>
      <c r="I9" s="11" t="str">
        <f t="shared" si="2"/>
        <v>f (&gt;20%)</v>
      </c>
      <c r="J9" s="11" t="str">
        <f t="shared" si="3"/>
        <v>-</v>
      </c>
      <c r="K9" s="11" t="str">
        <f t="shared" si="4"/>
        <v>g (100%)</v>
      </c>
      <c r="N9" s="29"/>
      <c r="O9" s="29"/>
      <c r="P9" s="13" t="str">
        <f>IFERROR(IF(N9="","-",DATEDIF(N9,O9,"d")),0)</f>
        <v>-</v>
      </c>
      <c r="Q9" s="11" t="str">
        <f t="shared" si="6"/>
        <v>e (&gt;28)</v>
      </c>
      <c r="R9" s="14"/>
      <c r="S9" s="4"/>
    </row>
    <row r="10" spans="1:19" x14ac:dyDescent="0.3">
      <c r="G10" s="10">
        <f t="shared" si="0"/>
        <v>0</v>
      </c>
      <c r="H10" s="11" t="str">
        <f t="shared" si="1"/>
        <v>-</v>
      </c>
      <c r="I10" s="11" t="str">
        <f t="shared" si="2"/>
        <v>f (&gt;20%)</v>
      </c>
      <c r="J10" s="11" t="str">
        <f t="shared" si="3"/>
        <v>-</v>
      </c>
      <c r="K10" s="11" t="str">
        <f t="shared" si="4"/>
        <v>g (100%)</v>
      </c>
      <c r="N10" s="29"/>
      <c r="P10" s="13" t="str">
        <f t="shared" si="5"/>
        <v>-</v>
      </c>
      <c r="Q10" s="11" t="str">
        <f t="shared" si="6"/>
        <v>e (&gt;28)</v>
      </c>
      <c r="R10" s="14"/>
      <c r="S10" s="4"/>
    </row>
    <row r="11" spans="1:19" x14ac:dyDescent="0.3">
      <c r="G11" s="10">
        <f t="shared" si="0"/>
        <v>0</v>
      </c>
      <c r="H11" s="11" t="str">
        <f t="shared" si="1"/>
        <v>-</v>
      </c>
      <c r="I11" s="11" t="str">
        <f t="shared" si="2"/>
        <v>f (&gt;20%)</v>
      </c>
      <c r="J11" s="11" t="str">
        <f t="shared" si="3"/>
        <v>-</v>
      </c>
      <c r="K11" s="11" t="str">
        <f t="shared" si="4"/>
        <v>g (100%)</v>
      </c>
      <c r="N11" s="29"/>
      <c r="O11" s="29"/>
      <c r="P11" s="13" t="str">
        <f t="shared" si="5"/>
        <v>-</v>
      </c>
      <c r="Q11" s="11" t="str">
        <f t="shared" si="6"/>
        <v>e (&gt;28)</v>
      </c>
      <c r="R11" s="14"/>
      <c r="S11" s="4"/>
    </row>
    <row r="12" spans="1:19" x14ac:dyDescent="0.3">
      <c r="G12" s="10">
        <f t="shared" si="0"/>
        <v>0</v>
      </c>
      <c r="H12" s="11" t="str">
        <f t="shared" si="1"/>
        <v>-</v>
      </c>
      <c r="I12" s="11" t="str">
        <f t="shared" si="2"/>
        <v>f (&gt;20%)</v>
      </c>
      <c r="J12" s="11" t="str">
        <f t="shared" si="3"/>
        <v>-</v>
      </c>
      <c r="K12" s="11" t="str">
        <f t="shared" si="4"/>
        <v>g (100%)</v>
      </c>
      <c r="N12" s="29"/>
      <c r="O12" s="29"/>
      <c r="P12" s="13" t="str">
        <f t="shared" si="5"/>
        <v>-</v>
      </c>
      <c r="Q12" s="11" t="str">
        <f t="shared" si="6"/>
        <v>e (&gt;28)</v>
      </c>
      <c r="R12" s="14"/>
      <c r="S12" s="4"/>
    </row>
    <row r="13" spans="1:19" x14ac:dyDescent="0.3">
      <c r="G13" s="10">
        <f t="shared" si="0"/>
        <v>0</v>
      </c>
      <c r="H13" s="11" t="str">
        <f t="shared" si="1"/>
        <v>-</v>
      </c>
      <c r="I13" s="11" t="str">
        <f t="shared" si="2"/>
        <v>f (&gt;20%)</v>
      </c>
      <c r="J13" s="11" t="str">
        <f t="shared" si="3"/>
        <v>-</v>
      </c>
      <c r="K13" s="11" t="str">
        <f t="shared" si="4"/>
        <v>g (100%)</v>
      </c>
      <c r="N13" s="29"/>
      <c r="P13" s="13" t="str">
        <f t="shared" si="5"/>
        <v>-</v>
      </c>
      <c r="Q13" s="11" t="str">
        <f t="shared" si="6"/>
        <v>e (&gt;28)</v>
      </c>
      <c r="R13" s="14"/>
      <c r="S13" s="4"/>
    </row>
    <row r="14" spans="1:19" x14ac:dyDescent="0.3">
      <c r="G14" s="10">
        <f t="shared" si="0"/>
        <v>0</v>
      </c>
      <c r="H14" s="11" t="str">
        <f t="shared" si="1"/>
        <v>-</v>
      </c>
      <c r="I14" s="11" t="str">
        <f t="shared" si="2"/>
        <v>f (&gt;20%)</v>
      </c>
      <c r="J14" s="11" t="str">
        <f t="shared" si="3"/>
        <v>-</v>
      </c>
      <c r="K14" s="11" t="str">
        <f t="shared" si="4"/>
        <v>g (100%)</v>
      </c>
      <c r="N14" s="29"/>
      <c r="P14" s="13" t="str">
        <f t="shared" si="5"/>
        <v>-</v>
      </c>
      <c r="Q14" s="11" t="str">
        <f t="shared" si="6"/>
        <v>e (&gt;28)</v>
      </c>
      <c r="R14" s="14"/>
      <c r="S14" s="4"/>
    </row>
    <row r="15" spans="1:19" x14ac:dyDescent="0.3">
      <c r="G15" s="10">
        <f t="shared" si="0"/>
        <v>0</v>
      </c>
      <c r="H15" s="11" t="str">
        <f t="shared" si="1"/>
        <v>-</v>
      </c>
      <c r="I15" s="11" t="str">
        <f t="shared" si="2"/>
        <v>f (&gt;20%)</v>
      </c>
      <c r="J15" s="11" t="str">
        <f t="shared" si="3"/>
        <v>-</v>
      </c>
      <c r="K15" s="11" t="str">
        <f t="shared" si="4"/>
        <v>g (100%)</v>
      </c>
      <c r="N15" s="29"/>
      <c r="O15" s="29"/>
      <c r="P15" s="13" t="str">
        <f t="shared" si="5"/>
        <v>-</v>
      </c>
      <c r="Q15" s="11" t="str">
        <f t="shared" si="6"/>
        <v>e (&gt;28)</v>
      </c>
      <c r="R15" s="14"/>
      <c r="S15" s="4"/>
    </row>
    <row r="16" spans="1:19" x14ac:dyDescent="0.3">
      <c r="G16" s="10">
        <f t="shared" si="0"/>
        <v>0</v>
      </c>
      <c r="H16" s="11" t="str">
        <f t="shared" si="1"/>
        <v>-</v>
      </c>
      <c r="I16" s="11" t="str">
        <f t="shared" si="2"/>
        <v>f (&gt;20%)</v>
      </c>
      <c r="J16" s="11" t="str">
        <f t="shared" si="3"/>
        <v>-</v>
      </c>
      <c r="K16" s="11" t="str">
        <f t="shared" si="4"/>
        <v>g (100%)</v>
      </c>
      <c r="N16" s="29"/>
      <c r="O16" s="29"/>
      <c r="P16" s="13" t="str">
        <f t="shared" si="5"/>
        <v>-</v>
      </c>
      <c r="Q16" s="11" t="str">
        <f t="shared" si="6"/>
        <v>e (&gt;28)</v>
      </c>
      <c r="R16" s="14"/>
      <c r="S16" s="4"/>
    </row>
    <row r="17" spans="7:19" x14ac:dyDescent="0.3">
      <c r="G17" s="10">
        <f t="shared" si="0"/>
        <v>0</v>
      </c>
      <c r="H17" s="11" t="str">
        <f t="shared" si="1"/>
        <v>-</v>
      </c>
      <c r="I17" s="11" t="str">
        <f t="shared" si="2"/>
        <v>f (&gt;20%)</v>
      </c>
      <c r="J17" s="11" t="str">
        <f t="shared" si="3"/>
        <v>-</v>
      </c>
      <c r="K17" s="11" t="str">
        <f t="shared" si="4"/>
        <v>g (100%)</v>
      </c>
      <c r="N17" s="29"/>
      <c r="O17" s="29"/>
      <c r="P17" s="13" t="str">
        <f t="shared" si="5"/>
        <v>-</v>
      </c>
      <c r="Q17" s="11" t="str">
        <f t="shared" si="6"/>
        <v>e (&gt;28)</v>
      </c>
      <c r="R17" s="14"/>
      <c r="S17" s="4"/>
    </row>
    <row r="18" spans="7:19" x14ac:dyDescent="0.3">
      <c r="G18" s="10">
        <f t="shared" si="0"/>
        <v>0</v>
      </c>
      <c r="H18" s="11" t="str">
        <f t="shared" si="1"/>
        <v>-</v>
      </c>
      <c r="I18" s="11" t="str">
        <f t="shared" si="2"/>
        <v>f (&gt;20%)</v>
      </c>
      <c r="J18" s="11" t="str">
        <f t="shared" si="3"/>
        <v>-</v>
      </c>
      <c r="K18" s="11" t="str">
        <f t="shared" si="4"/>
        <v>g (100%)</v>
      </c>
      <c r="N18" s="29"/>
      <c r="O18" s="29"/>
      <c r="P18" s="13" t="str">
        <f t="shared" si="5"/>
        <v>-</v>
      </c>
      <c r="Q18" s="11" t="str">
        <f t="shared" si="6"/>
        <v>e (&gt;28)</v>
      </c>
      <c r="R18" s="14"/>
      <c r="S18" s="4"/>
    </row>
    <row r="19" spans="7:19" x14ac:dyDescent="0.3">
      <c r="G19" s="10">
        <f t="shared" si="0"/>
        <v>0</v>
      </c>
      <c r="H19" s="11" t="str">
        <f t="shared" si="1"/>
        <v>-</v>
      </c>
      <c r="I19" s="11" t="str">
        <f t="shared" si="2"/>
        <v>f (&gt;20%)</v>
      </c>
      <c r="J19" s="11" t="str">
        <f t="shared" si="3"/>
        <v>-</v>
      </c>
      <c r="K19" s="11" t="str">
        <f t="shared" si="4"/>
        <v>g (100%)</v>
      </c>
      <c r="N19" s="29"/>
      <c r="P19" s="13" t="str">
        <f t="shared" si="5"/>
        <v>-</v>
      </c>
      <c r="Q19" s="11" t="str">
        <f t="shared" si="6"/>
        <v>e (&gt;28)</v>
      </c>
      <c r="R19" s="14"/>
      <c r="S19" s="4"/>
    </row>
    <row r="20" spans="7:19" x14ac:dyDescent="0.3">
      <c r="G20" s="10">
        <f t="shared" si="0"/>
        <v>0</v>
      </c>
      <c r="H20" s="11" t="str">
        <f t="shared" si="1"/>
        <v>-</v>
      </c>
      <c r="I20" s="11" t="str">
        <f t="shared" si="2"/>
        <v>f (&gt;20%)</v>
      </c>
      <c r="J20" s="11" t="str">
        <f t="shared" si="3"/>
        <v>-</v>
      </c>
      <c r="K20" s="11" t="str">
        <f t="shared" si="4"/>
        <v>g (100%)</v>
      </c>
      <c r="N20" s="29"/>
      <c r="P20" s="13" t="str">
        <f t="shared" si="5"/>
        <v>-</v>
      </c>
      <c r="Q20" s="11" t="str">
        <f t="shared" si="6"/>
        <v>e (&gt;28)</v>
      </c>
      <c r="R20" s="14"/>
      <c r="S20" s="4"/>
    </row>
    <row r="21" spans="7:19" x14ac:dyDescent="0.3">
      <c r="G21" s="10">
        <f t="shared" si="0"/>
        <v>0</v>
      </c>
      <c r="H21" s="11" t="str">
        <f t="shared" si="1"/>
        <v>-</v>
      </c>
      <c r="I21" s="11" t="str">
        <f t="shared" si="2"/>
        <v>f (&gt;20%)</v>
      </c>
      <c r="J21" s="11" t="str">
        <f t="shared" si="3"/>
        <v>-</v>
      </c>
      <c r="K21" s="11" t="str">
        <f t="shared" si="4"/>
        <v>g (100%)</v>
      </c>
      <c r="N21" s="29"/>
      <c r="O21" s="29"/>
      <c r="P21" s="13" t="str">
        <f t="shared" si="5"/>
        <v>-</v>
      </c>
      <c r="Q21" s="11" t="str">
        <f t="shared" si="6"/>
        <v>e (&gt;28)</v>
      </c>
      <c r="R21" s="14"/>
      <c r="S21" s="4"/>
    </row>
    <row r="22" spans="7:19" x14ac:dyDescent="0.3">
      <c r="G22" s="10">
        <f t="shared" si="0"/>
        <v>0</v>
      </c>
      <c r="H22" s="11" t="str">
        <f t="shared" si="1"/>
        <v>-</v>
      </c>
      <c r="I22" s="11" t="str">
        <f t="shared" si="2"/>
        <v>f (&gt;20%)</v>
      </c>
      <c r="J22" s="11" t="str">
        <f t="shared" si="3"/>
        <v>-</v>
      </c>
      <c r="K22" s="11" t="str">
        <f t="shared" si="4"/>
        <v>g (100%)</v>
      </c>
      <c r="N22" s="29"/>
      <c r="O22" s="29"/>
      <c r="P22" s="13" t="str">
        <f t="shared" si="5"/>
        <v>-</v>
      </c>
      <c r="Q22" s="11" t="str">
        <f t="shared" si="6"/>
        <v>e (&gt;28)</v>
      </c>
      <c r="R22" s="14"/>
      <c r="S22" s="4"/>
    </row>
    <row r="23" spans="7:19" x14ac:dyDescent="0.3">
      <c r="G23" s="10">
        <f t="shared" si="0"/>
        <v>0</v>
      </c>
      <c r="H23" s="11" t="str">
        <f t="shared" si="1"/>
        <v>-</v>
      </c>
      <c r="I23" s="11" t="str">
        <f t="shared" si="2"/>
        <v>f (&gt;20%)</v>
      </c>
      <c r="J23" s="11" t="str">
        <f t="shared" si="3"/>
        <v>-</v>
      </c>
      <c r="K23" s="11" t="str">
        <f t="shared" si="4"/>
        <v>g (100%)</v>
      </c>
      <c r="N23" s="29"/>
      <c r="O23" s="29"/>
      <c r="P23" s="13" t="str">
        <f t="shared" si="5"/>
        <v>-</v>
      </c>
      <c r="Q23" s="11" t="str">
        <f t="shared" si="6"/>
        <v>e (&gt;28)</v>
      </c>
      <c r="R23" s="14"/>
      <c r="S23" s="4"/>
    </row>
    <row r="24" spans="7:19" x14ac:dyDescent="0.3">
      <c r="G24" s="10">
        <f t="shared" si="0"/>
        <v>0</v>
      </c>
      <c r="H24" s="11" t="str">
        <f t="shared" si="1"/>
        <v>-</v>
      </c>
      <c r="I24" s="11" t="str">
        <f t="shared" si="2"/>
        <v>f (&gt;20%)</v>
      </c>
      <c r="J24" s="11" t="str">
        <f t="shared" si="3"/>
        <v>-</v>
      </c>
      <c r="K24" s="11" t="str">
        <f t="shared" si="4"/>
        <v>g (100%)</v>
      </c>
      <c r="N24" s="29"/>
      <c r="O24" s="29"/>
      <c r="P24" s="13" t="str">
        <f t="shared" si="5"/>
        <v>-</v>
      </c>
      <c r="Q24" s="11" t="str">
        <f t="shared" si="6"/>
        <v>e (&gt;28)</v>
      </c>
      <c r="R24" s="14"/>
      <c r="S24" s="4"/>
    </row>
    <row r="25" spans="7:19" x14ac:dyDescent="0.3">
      <c r="G25" s="10">
        <f t="shared" si="0"/>
        <v>0</v>
      </c>
      <c r="H25" s="11" t="str">
        <f t="shared" si="1"/>
        <v>-</v>
      </c>
      <c r="I25" s="11" t="str">
        <f t="shared" si="2"/>
        <v>f (&gt;20%)</v>
      </c>
      <c r="J25" s="11" t="str">
        <f t="shared" si="3"/>
        <v>-</v>
      </c>
      <c r="K25" s="11" t="str">
        <f t="shared" si="4"/>
        <v>g (100%)</v>
      </c>
      <c r="N25" s="29"/>
      <c r="O25" s="29"/>
      <c r="P25" s="13" t="str">
        <f t="shared" si="5"/>
        <v>-</v>
      </c>
      <c r="Q25" s="11" t="str">
        <f t="shared" si="6"/>
        <v>e (&gt;28)</v>
      </c>
      <c r="R25" s="14"/>
      <c r="S25" s="4"/>
    </row>
    <row r="26" spans="7:19" x14ac:dyDescent="0.3">
      <c r="G26" s="10">
        <f t="shared" si="0"/>
        <v>0</v>
      </c>
      <c r="H26" s="11" t="str">
        <f t="shared" si="1"/>
        <v>-</v>
      </c>
      <c r="I26" s="11" t="str">
        <f t="shared" si="2"/>
        <v>f (&gt;20%)</v>
      </c>
      <c r="J26" s="11" t="str">
        <f t="shared" si="3"/>
        <v>-</v>
      </c>
      <c r="K26" s="11" t="str">
        <f t="shared" si="4"/>
        <v>g (100%)</v>
      </c>
      <c r="N26" s="29"/>
      <c r="O26" s="29"/>
      <c r="P26" s="13" t="str">
        <f t="shared" si="5"/>
        <v>-</v>
      </c>
      <c r="Q26" s="11" t="str">
        <f t="shared" si="6"/>
        <v>e (&gt;28)</v>
      </c>
      <c r="R26" s="14"/>
      <c r="S26" s="4"/>
    </row>
    <row r="27" spans="7:19" x14ac:dyDescent="0.3">
      <c r="G27" s="10">
        <f t="shared" si="0"/>
        <v>0</v>
      </c>
      <c r="H27" s="11" t="str">
        <f t="shared" si="1"/>
        <v>-</v>
      </c>
      <c r="I27" s="11" t="str">
        <f t="shared" si="2"/>
        <v>f (&gt;20%)</v>
      </c>
      <c r="J27" s="11" t="str">
        <f t="shared" si="3"/>
        <v>-</v>
      </c>
      <c r="K27" s="11" t="str">
        <f t="shared" si="4"/>
        <v>g (100%)</v>
      </c>
      <c r="N27" s="29"/>
      <c r="O27" s="29"/>
      <c r="P27" s="13" t="str">
        <f t="shared" si="5"/>
        <v>-</v>
      </c>
      <c r="Q27" s="11" t="str">
        <f t="shared" si="6"/>
        <v>e (&gt;28)</v>
      </c>
      <c r="R27" s="14"/>
      <c r="S27" s="4"/>
    </row>
    <row r="28" spans="7:19" x14ac:dyDescent="0.3">
      <c r="G28" s="10">
        <f t="shared" si="0"/>
        <v>0</v>
      </c>
      <c r="H28" s="11" t="str">
        <f t="shared" si="1"/>
        <v>-</v>
      </c>
      <c r="I28" s="11" t="str">
        <f t="shared" si="2"/>
        <v>f (&gt;20%)</v>
      </c>
      <c r="J28" s="11" t="str">
        <f t="shared" si="3"/>
        <v>-</v>
      </c>
      <c r="K28" s="11" t="str">
        <f t="shared" si="4"/>
        <v>g (100%)</v>
      </c>
      <c r="N28" s="29"/>
      <c r="P28" s="13" t="str">
        <f t="shared" si="5"/>
        <v>-</v>
      </c>
      <c r="Q28" s="11" t="str">
        <f t="shared" si="6"/>
        <v>e (&gt;28)</v>
      </c>
      <c r="R28" s="14"/>
      <c r="S28" s="4"/>
    </row>
    <row r="29" spans="7:19" x14ac:dyDescent="0.3">
      <c r="G29" s="10">
        <f t="shared" si="0"/>
        <v>0</v>
      </c>
      <c r="H29" s="11" t="str">
        <f t="shared" si="1"/>
        <v>-</v>
      </c>
      <c r="I29" s="11" t="str">
        <f t="shared" si="2"/>
        <v>f (&gt;20%)</v>
      </c>
      <c r="J29" s="11" t="str">
        <f t="shared" si="3"/>
        <v>-</v>
      </c>
      <c r="K29" s="11" t="str">
        <f t="shared" si="4"/>
        <v>g (100%)</v>
      </c>
      <c r="N29" s="29"/>
      <c r="O29" s="29"/>
      <c r="P29" s="13" t="str">
        <f t="shared" si="5"/>
        <v>-</v>
      </c>
      <c r="Q29" s="11" t="str">
        <f t="shared" si="6"/>
        <v>e (&gt;28)</v>
      </c>
      <c r="R29" s="14"/>
      <c r="S29" s="4"/>
    </row>
    <row r="30" spans="7:19" x14ac:dyDescent="0.3">
      <c r="G30" s="10">
        <f t="shared" si="0"/>
        <v>0</v>
      </c>
      <c r="H30" s="11" t="str">
        <f t="shared" si="1"/>
        <v>-</v>
      </c>
      <c r="I30" s="11" t="str">
        <f t="shared" si="2"/>
        <v>f (&gt;20%)</v>
      </c>
      <c r="J30" s="11" t="str">
        <f t="shared" si="3"/>
        <v>-</v>
      </c>
      <c r="K30" s="11" t="str">
        <f t="shared" si="4"/>
        <v>g (100%)</v>
      </c>
      <c r="N30" s="29"/>
      <c r="O30" s="29"/>
      <c r="P30" s="13" t="str">
        <f t="shared" si="5"/>
        <v>-</v>
      </c>
      <c r="Q30" s="11" t="str">
        <f t="shared" si="6"/>
        <v>e (&gt;28)</v>
      </c>
      <c r="R30" s="14"/>
      <c r="S30" s="4"/>
    </row>
    <row r="31" spans="7:19" x14ac:dyDescent="0.3">
      <c r="G31" s="10">
        <f t="shared" si="0"/>
        <v>0</v>
      </c>
      <c r="H31" s="11" t="str">
        <f t="shared" si="1"/>
        <v>-</v>
      </c>
      <c r="I31" s="11" t="str">
        <f t="shared" si="2"/>
        <v>f (&gt;20%)</v>
      </c>
      <c r="J31" s="11" t="str">
        <f t="shared" si="3"/>
        <v>-</v>
      </c>
      <c r="K31" s="11" t="str">
        <f t="shared" si="4"/>
        <v>g (100%)</v>
      </c>
      <c r="N31" s="29"/>
      <c r="O31" s="29"/>
      <c r="P31" s="13" t="str">
        <f t="shared" si="5"/>
        <v>-</v>
      </c>
      <c r="Q31" s="11" t="str">
        <f t="shared" si="6"/>
        <v>e (&gt;28)</v>
      </c>
      <c r="R31" s="14"/>
      <c r="S31" s="4"/>
    </row>
    <row r="32" spans="7:19" x14ac:dyDescent="0.3">
      <c r="G32" s="10">
        <f t="shared" si="0"/>
        <v>0</v>
      </c>
      <c r="H32" s="11" t="str">
        <f t="shared" si="1"/>
        <v>-</v>
      </c>
      <c r="I32" s="11" t="str">
        <f t="shared" si="2"/>
        <v>f (&gt;20%)</v>
      </c>
      <c r="J32" s="11" t="str">
        <f t="shared" si="3"/>
        <v>-</v>
      </c>
      <c r="K32" s="11" t="str">
        <f t="shared" si="4"/>
        <v>g (100%)</v>
      </c>
      <c r="N32" s="29"/>
      <c r="O32" s="29"/>
      <c r="P32" s="13" t="str">
        <f t="shared" si="5"/>
        <v>-</v>
      </c>
      <c r="Q32" s="11" t="str">
        <f t="shared" si="6"/>
        <v>e (&gt;28)</v>
      </c>
      <c r="R32" s="14"/>
      <c r="S32" s="4"/>
    </row>
    <row r="33" spans="7:19" x14ac:dyDescent="0.3">
      <c r="G33" s="10">
        <f t="shared" si="0"/>
        <v>0</v>
      </c>
      <c r="H33" s="11" t="str">
        <f t="shared" si="1"/>
        <v>-</v>
      </c>
      <c r="I33" s="11" t="str">
        <f t="shared" si="2"/>
        <v>f (&gt;20%)</v>
      </c>
      <c r="J33" s="11" t="str">
        <f t="shared" si="3"/>
        <v>-</v>
      </c>
      <c r="K33" s="11" t="str">
        <f t="shared" si="4"/>
        <v>g (100%)</v>
      </c>
      <c r="N33" s="29"/>
      <c r="O33" s="29"/>
      <c r="P33" s="13" t="str">
        <f t="shared" si="5"/>
        <v>-</v>
      </c>
      <c r="Q33" s="11" t="str">
        <f t="shared" si="6"/>
        <v>e (&gt;28)</v>
      </c>
      <c r="R33" s="14"/>
      <c r="S33" s="4"/>
    </row>
    <row r="34" spans="7:19" x14ac:dyDescent="0.3">
      <c r="G34" s="10">
        <f t="shared" si="0"/>
        <v>0</v>
      </c>
      <c r="H34" s="11" t="str">
        <f t="shared" si="1"/>
        <v>-</v>
      </c>
      <c r="I34" s="11" t="str">
        <f t="shared" si="2"/>
        <v>f (&gt;20%)</v>
      </c>
      <c r="J34" s="11" t="str">
        <f t="shared" si="3"/>
        <v>-</v>
      </c>
      <c r="K34" s="11" t="str">
        <f t="shared" si="4"/>
        <v>g (100%)</v>
      </c>
      <c r="N34" s="29"/>
      <c r="O34" s="29"/>
      <c r="P34" s="13" t="str">
        <f t="shared" si="5"/>
        <v>-</v>
      </c>
      <c r="Q34" s="11" t="str">
        <f t="shared" si="6"/>
        <v>e (&gt;28)</v>
      </c>
      <c r="R34" s="14"/>
      <c r="S34" s="4"/>
    </row>
    <row r="35" spans="7:19" x14ac:dyDescent="0.3">
      <c r="G35" s="10">
        <f t="shared" si="0"/>
        <v>0</v>
      </c>
      <c r="H35" s="11" t="str">
        <f t="shared" si="1"/>
        <v>-</v>
      </c>
      <c r="I35" s="11" t="str">
        <f t="shared" si="2"/>
        <v>f (&gt;20%)</v>
      </c>
      <c r="J35" s="11" t="str">
        <f t="shared" si="3"/>
        <v>-</v>
      </c>
      <c r="K35" s="11" t="str">
        <f t="shared" si="4"/>
        <v>g (100%)</v>
      </c>
      <c r="N35" s="29"/>
      <c r="P35" s="13" t="str">
        <f t="shared" si="5"/>
        <v>-</v>
      </c>
      <c r="Q35" s="11" t="str">
        <f t="shared" si="6"/>
        <v>e (&gt;28)</v>
      </c>
      <c r="R35" s="14"/>
      <c r="S35" s="4"/>
    </row>
    <row r="36" spans="7:19" x14ac:dyDescent="0.3">
      <c r="G36" s="10">
        <f t="shared" si="0"/>
        <v>0</v>
      </c>
      <c r="H36" s="11" t="str">
        <f t="shared" si="1"/>
        <v>-</v>
      </c>
      <c r="I36" s="11" t="str">
        <f t="shared" si="2"/>
        <v>f (&gt;20%)</v>
      </c>
      <c r="J36" s="11" t="str">
        <f t="shared" si="3"/>
        <v>-</v>
      </c>
      <c r="K36" s="11" t="str">
        <f t="shared" si="4"/>
        <v>g (100%)</v>
      </c>
      <c r="N36" s="29"/>
      <c r="O36" s="29"/>
      <c r="P36" s="13" t="str">
        <f t="shared" si="5"/>
        <v>-</v>
      </c>
      <c r="Q36" s="11" t="str">
        <f t="shared" si="6"/>
        <v>e (&gt;28)</v>
      </c>
      <c r="R36" s="14"/>
      <c r="S36" s="4"/>
    </row>
    <row r="37" spans="7:19" x14ac:dyDescent="0.3">
      <c r="G37" s="10">
        <f t="shared" si="0"/>
        <v>0</v>
      </c>
      <c r="H37" s="11" t="str">
        <f t="shared" si="1"/>
        <v>-</v>
      </c>
      <c r="I37" s="11" t="str">
        <f t="shared" si="2"/>
        <v>f (&gt;20%)</v>
      </c>
      <c r="J37" s="11" t="str">
        <f t="shared" si="3"/>
        <v>-</v>
      </c>
      <c r="K37" s="11" t="str">
        <f t="shared" si="4"/>
        <v>g (100%)</v>
      </c>
      <c r="N37" s="29"/>
      <c r="O37" s="29"/>
      <c r="P37" s="13" t="str">
        <f t="shared" si="5"/>
        <v>-</v>
      </c>
      <c r="Q37" s="11" t="str">
        <f t="shared" si="6"/>
        <v>e (&gt;28)</v>
      </c>
      <c r="R37" s="14"/>
      <c r="S37" s="4"/>
    </row>
    <row r="38" spans="7:19" x14ac:dyDescent="0.3">
      <c r="G38" s="10">
        <f t="shared" si="0"/>
        <v>0</v>
      </c>
      <c r="H38" s="11" t="str">
        <f t="shared" si="1"/>
        <v>-</v>
      </c>
      <c r="I38" s="11" t="str">
        <f t="shared" si="2"/>
        <v>f (&gt;20%)</v>
      </c>
      <c r="J38" s="11" t="str">
        <f t="shared" si="3"/>
        <v>-</v>
      </c>
      <c r="K38" s="11" t="str">
        <f t="shared" si="4"/>
        <v>g (100%)</v>
      </c>
      <c r="N38" s="29"/>
      <c r="P38" s="13" t="str">
        <f t="shared" si="5"/>
        <v>-</v>
      </c>
      <c r="Q38" s="11" t="str">
        <f t="shared" si="6"/>
        <v>e (&gt;28)</v>
      </c>
      <c r="R38" s="14"/>
      <c r="S38" s="4"/>
    </row>
    <row r="39" spans="7:19" x14ac:dyDescent="0.3">
      <c r="G39" s="10">
        <f t="shared" si="0"/>
        <v>0</v>
      </c>
      <c r="H39" s="11" t="str">
        <f t="shared" si="1"/>
        <v>-</v>
      </c>
      <c r="I39" s="11" t="str">
        <f t="shared" si="2"/>
        <v>f (&gt;20%)</v>
      </c>
      <c r="J39" s="11" t="str">
        <f t="shared" si="3"/>
        <v>-</v>
      </c>
      <c r="K39" s="11" t="str">
        <f t="shared" si="4"/>
        <v>g (100%)</v>
      </c>
      <c r="N39" s="29"/>
      <c r="O39" s="29"/>
      <c r="P39" s="13" t="str">
        <f t="shared" si="5"/>
        <v>-</v>
      </c>
      <c r="Q39" s="11" t="str">
        <f t="shared" si="6"/>
        <v>e (&gt;28)</v>
      </c>
      <c r="R39" s="14"/>
      <c r="S39" s="4"/>
    </row>
    <row r="40" spans="7:19" x14ac:dyDescent="0.3">
      <c r="G40" s="10">
        <f t="shared" si="0"/>
        <v>0</v>
      </c>
      <c r="H40" s="11" t="str">
        <f t="shared" si="1"/>
        <v>-</v>
      </c>
      <c r="I40" s="11" t="str">
        <f t="shared" si="2"/>
        <v>f (&gt;20%)</v>
      </c>
      <c r="J40" s="11" t="str">
        <f t="shared" si="3"/>
        <v>-</v>
      </c>
      <c r="K40" s="11" t="str">
        <f t="shared" si="4"/>
        <v>g (100%)</v>
      </c>
      <c r="N40" s="29"/>
      <c r="O40" s="29"/>
      <c r="P40" s="13" t="str">
        <f t="shared" si="5"/>
        <v>-</v>
      </c>
      <c r="Q40" s="11" t="str">
        <f t="shared" si="6"/>
        <v>e (&gt;28)</v>
      </c>
      <c r="R40" s="14"/>
      <c r="S40" s="4"/>
    </row>
    <row r="41" spans="7:19" x14ac:dyDescent="0.3">
      <c r="G41" s="10">
        <f t="shared" si="0"/>
        <v>0</v>
      </c>
      <c r="H41" s="11" t="str">
        <f t="shared" si="1"/>
        <v>-</v>
      </c>
      <c r="I41" s="11" t="str">
        <f t="shared" si="2"/>
        <v>f (&gt;20%)</v>
      </c>
      <c r="J41" s="11" t="str">
        <f t="shared" si="3"/>
        <v>-</v>
      </c>
      <c r="K41" s="11" t="str">
        <f t="shared" si="4"/>
        <v>g (100%)</v>
      </c>
      <c r="N41" s="29"/>
      <c r="O41" s="29"/>
      <c r="P41" s="13" t="str">
        <f t="shared" si="5"/>
        <v>-</v>
      </c>
      <c r="Q41" s="11" t="str">
        <f t="shared" si="6"/>
        <v>e (&gt;28)</v>
      </c>
      <c r="R41" s="14"/>
      <c r="S41" s="4"/>
    </row>
    <row r="42" spans="7:19" x14ac:dyDescent="0.3">
      <c r="G42" s="10">
        <f t="shared" si="0"/>
        <v>0</v>
      </c>
      <c r="H42" s="11" t="str">
        <f t="shared" si="1"/>
        <v>-</v>
      </c>
      <c r="I42" s="11" t="str">
        <f t="shared" si="2"/>
        <v>f (&gt;20%)</v>
      </c>
      <c r="J42" s="11" t="str">
        <f t="shared" si="3"/>
        <v>-</v>
      </c>
      <c r="K42" s="11" t="str">
        <f t="shared" si="4"/>
        <v>g (100%)</v>
      </c>
      <c r="N42" s="29"/>
      <c r="O42" s="29"/>
      <c r="P42" s="13" t="str">
        <f t="shared" si="5"/>
        <v>-</v>
      </c>
      <c r="Q42" s="11" t="str">
        <f t="shared" si="6"/>
        <v>e (&gt;28)</v>
      </c>
      <c r="R42" s="14"/>
      <c r="S42" s="4"/>
    </row>
    <row r="43" spans="7:19" x14ac:dyDescent="0.3">
      <c r="G43" s="10">
        <f t="shared" si="0"/>
        <v>0</v>
      </c>
      <c r="H43" s="11" t="str">
        <f t="shared" si="1"/>
        <v>-</v>
      </c>
      <c r="I43" s="11" t="str">
        <f t="shared" si="2"/>
        <v>f (&gt;20%)</v>
      </c>
      <c r="J43" s="11" t="str">
        <f t="shared" si="3"/>
        <v>-</v>
      </c>
      <c r="K43" s="11" t="str">
        <f t="shared" si="4"/>
        <v>g (100%)</v>
      </c>
      <c r="N43" s="29"/>
      <c r="O43" s="29"/>
      <c r="P43" s="13" t="str">
        <f t="shared" si="5"/>
        <v>-</v>
      </c>
      <c r="Q43" s="11" t="str">
        <f t="shared" si="6"/>
        <v>e (&gt;28)</v>
      </c>
      <c r="R43" s="14"/>
      <c r="S43" s="4"/>
    </row>
    <row r="44" spans="7:19" x14ac:dyDescent="0.3">
      <c r="G44" s="10">
        <f t="shared" si="0"/>
        <v>0</v>
      </c>
      <c r="H44" s="11" t="str">
        <f t="shared" si="1"/>
        <v>-</v>
      </c>
      <c r="I44" s="11" t="str">
        <f t="shared" si="2"/>
        <v>f (&gt;20%)</v>
      </c>
      <c r="J44" s="11" t="str">
        <f t="shared" si="3"/>
        <v>-</v>
      </c>
      <c r="K44" s="11" t="str">
        <f t="shared" si="4"/>
        <v>g (100%)</v>
      </c>
      <c r="N44" s="29"/>
      <c r="O44" s="29"/>
      <c r="P44" s="13" t="str">
        <f t="shared" si="5"/>
        <v>-</v>
      </c>
      <c r="Q44" s="11" t="str">
        <f t="shared" si="6"/>
        <v>e (&gt;28)</v>
      </c>
      <c r="R44" s="14"/>
      <c r="S44" s="4"/>
    </row>
    <row r="45" spans="7:19" x14ac:dyDescent="0.3">
      <c r="G45" s="10">
        <f t="shared" si="0"/>
        <v>0</v>
      </c>
      <c r="H45" s="11" t="str">
        <f t="shared" si="1"/>
        <v>-</v>
      </c>
      <c r="I45" s="11" t="str">
        <f t="shared" si="2"/>
        <v>f (&gt;20%)</v>
      </c>
      <c r="J45" s="11" t="str">
        <f t="shared" si="3"/>
        <v>-</v>
      </c>
      <c r="K45" s="11" t="str">
        <f t="shared" si="4"/>
        <v>g (100%)</v>
      </c>
      <c r="N45" s="29"/>
      <c r="O45" s="29"/>
      <c r="P45" s="13" t="str">
        <f t="shared" si="5"/>
        <v>-</v>
      </c>
      <c r="Q45" s="11" t="str">
        <f t="shared" si="6"/>
        <v>e (&gt;28)</v>
      </c>
      <c r="R45" s="14"/>
      <c r="S45" s="4"/>
    </row>
    <row r="46" spans="7:19" x14ac:dyDescent="0.3">
      <c r="G46" s="10">
        <f t="shared" si="0"/>
        <v>0</v>
      </c>
      <c r="H46" s="11" t="str">
        <f t="shared" si="1"/>
        <v>-</v>
      </c>
      <c r="I46" s="11" t="str">
        <f t="shared" si="2"/>
        <v>f (&gt;20%)</v>
      </c>
      <c r="J46" s="11" t="str">
        <f t="shared" si="3"/>
        <v>-</v>
      </c>
      <c r="K46" s="11" t="str">
        <f t="shared" si="4"/>
        <v>g (100%)</v>
      </c>
      <c r="N46" s="29"/>
      <c r="O46" s="29"/>
      <c r="P46" s="13" t="str">
        <f t="shared" si="5"/>
        <v>-</v>
      </c>
      <c r="Q46" s="11" t="str">
        <f t="shared" si="6"/>
        <v>e (&gt;28)</v>
      </c>
      <c r="R46" s="14"/>
      <c r="S46" s="4"/>
    </row>
    <row r="47" spans="7:19" x14ac:dyDescent="0.3">
      <c r="G47" s="10">
        <f t="shared" si="0"/>
        <v>0</v>
      </c>
      <c r="H47" s="11" t="str">
        <f t="shared" si="1"/>
        <v>-</v>
      </c>
      <c r="I47" s="11" t="str">
        <f t="shared" si="2"/>
        <v>f (&gt;20%)</v>
      </c>
      <c r="J47" s="11" t="str">
        <f t="shared" si="3"/>
        <v>-</v>
      </c>
      <c r="K47" s="11" t="str">
        <f t="shared" si="4"/>
        <v>g (100%)</v>
      </c>
      <c r="N47" s="29"/>
      <c r="O47" s="29"/>
      <c r="P47" s="13" t="str">
        <f t="shared" si="5"/>
        <v>-</v>
      </c>
      <c r="Q47" s="11" t="str">
        <f t="shared" si="6"/>
        <v>e (&gt;28)</v>
      </c>
      <c r="R47" s="14"/>
      <c r="S47" s="4"/>
    </row>
    <row r="48" spans="7:19" x14ac:dyDescent="0.3">
      <c r="G48" s="10">
        <f t="shared" si="0"/>
        <v>0</v>
      </c>
      <c r="H48" s="11" t="str">
        <f t="shared" si="1"/>
        <v>-</v>
      </c>
      <c r="I48" s="11" t="str">
        <f t="shared" si="2"/>
        <v>f (&gt;20%)</v>
      </c>
      <c r="J48" s="11" t="str">
        <f t="shared" si="3"/>
        <v>-</v>
      </c>
      <c r="K48" s="11" t="str">
        <f t="shared" si="4"/>
        <v>g (100%)</v>
      </c>
      <c r="N48" s="29"/>
      <c r="O48" s="29"/>
      <c r="P48" s="13" t="str">
        <f t="shared" si="5"/>
        <v>-</v>
      </c>
      <c r="Q48" s="11" t="str">
        <f t="shared" si="6"/>
        <v>e (&gt;28)</v>
      </c>
      <c r="R48" s="14"/>
      <c r="S48" s="4"/>
    </row>
    <row r="49" spans="7:19" x14ac:dyDescent="0.3">
      <c r="G49" s="10">
        <f t="shared" si="0"/>
        <v>0</v>
      </c>
      <c r="H49" s="11" t="str">
        <f t="shared" si="1"/>
        <v>-</v>
      </c>
      <c r="I49" s="11" t="str">
        <f t="shared" si="2"/>
        <v>f (&gt;20%)</v>
      </c>
      <c r="J49" s="11" t="str">
        <f t="shared" si="3"/>
        <v>-</v>
      </c>
      <c r="K49" s="11" t="str">
        <f t="shared" si="4"/>
        <v>g (100%)</v>
      </c>
      <c r="N49" s="29"/>
      <c r="P49" s="13" t="str">
        <f t="shared" si="5"/>
        <v>-</v>
      </c>
      <c r="Q49" s="11" t="str">
        <f t="shared" si="6"/>
        <v>e (&gt;28)</v>
      </c>
      <c r="R49" s="14"/>
      <c r="S49" s="4"/>
    </row>
    <row r="50" spans="7:19" x14ac:dyDescent="0.3">
      <c r="G50" s="10">
        <f t="shared" si="0"/>
        <v>0</v>
      </c>
      <c r="H50" s="11" t="str">
        <f t="shared" si="1"/>
        <v>-</v>
      </c>
      <c r="I50" s="11" t="str">
        <f t="shared" si="2"/>
        <v>f (&gt;20%)</v>
      </c>
      <c r="J50" s="11" t="str">
        <f t="shared" si="3"/>
        <v>-</v>
      </c>
      <c r="K50" s="11" t="str">
        <f t="shared" si="4"/>
        <v>g (100%)</v>
      </c>
      <c r="N50" s="29"/>
      <c r="O50" s="29"/>
      <c r="P50" s="13" t="str">
        <f t="shared" si="5"/>
        <v>-</v>
      </c>
      <c r="Q50" s="11" t="str">
        <f t="shared" si="6"/>
        <v>e (&gt;28)</v>
      </c>
      <c r="R50" s="14"/>
      <c r="S50" s="4"/>
    </row>
    <row r="51" spans="7:19" x14ac:dyDescent="0.3">
      <c r="G51" s="10">
        <f t="shared" si="0"/>
        <v>0</v>
      </c>
      <c r="H51" s="11" t="str">
        <f t="shared" si="1"/>
        <v>-</v>
      </c>
      <c r="I51" s="11" t="str">
        <f t="shared" si="2"/>
        <v>f (&gt;20%)</v>
      </c>
      <c r="J51" s="11" t="str">
        <f t="shared" si="3"/>
        <v>-</v>
      </c>
      <c r="K51" s="11" t="str">
        <f t="shared" si="4"/>
        <v>g (100%)</v>
      </c>
      <c r="N51" s="29"/>
      <c r="O51" s="29"/>
      <c r="P51" s="13" t="str">
        <f t="shared" si="5"/>
        <v>-</v>
      </c>
      <c r="Q51" s="11" t="str">
        <f t="shared" si="6"/>
        <v>e (&gt;28)</v>
      </c>
      <c r="R51" s="14"/>
      <c r="S51" s="4"/>
    </row>
    <row r="52" spans="7:19" x14ac:dyDescent="0.3">
      <c r="G52" s="10">
        <f t="shared" si="0"/>
        <v>0</v>
      </c>
      <c r="H52" s="11" t="str">
        <f t="shared" si="1"/>
        <v>-</v>
      </c>
      <c r="I52" s="11" t="str">
        <f t="shared" si="2"/>
        <v>f (&gt;20%)</v>
      </c>
      <c r="J52" s="11" t="str">
        <f t="shared" si="3"/>
        <v>-</v>
      </c>
      <c r="K52" s="11" t="str">
        <f t="shared" si="4"/>
        <v>g (100%)</v>
      </c>
      <c r="N52" s="29"/>
      <c r="O52" s="29"/>
      <c r="P52" s="13" t="str">
        <f t="shared" si="5"/>
        <v>-</v>
      </c>
      <c r="Q52" s="11" t="str">
        <f t="shared" si="6"/>
        <v>e (&gt;28)</v>
      </c>
      <c r="R52" s="4"/>
      <c r="S52" s="4"/>
    </row>
    <row r="53" spans="7:19" x14ac:dyDescent="0.3">
      <c r="G53" s="10">
        <f t="shared" si="0"/>
        <v>0</v>
      </c>
      <c r="H53" s="11" t="str">
        <f t="shared" si="1"/>
        <v>-</v>
      </c>
      <c r="I53" s="11" t="str">
        <f t="shared" si="2"/>
        <v>f (&gt;20%)</v>
      </c>
      <c r="J53" s="11" t="str">
        <f t="shared" si="3"/>
        <v>-</v>
      </c>
      <c r="K53" s="11" t="str">
        <f t="shared" si="4"/>
        <v>g (100%)</v>
      </c>
      <c r="N53" s="29"/>
      <c r="O53" s="29"/>
      <c r="P53" s="13" t="str">
        <f t="shared" si="5"/>
        <v>-</v>
      </c>
      <c r="Q53" s="11" t="str">
        <f t="shared" si="6"/>
        <v>e (&gt;28)</v>
      </c>
      <c r="R53" s="4"/>
      <c r="S53" s="4"/>
    </row>
    <row r="54" spans="7:19" x14ac:dyDescent="0.3">
      <c r="G54" s="10">
        <f t="shared" si="0"/>
        <v>0</v>
      </c>
      <c r="H54" s="11" t="str">
        <f t="shared" si="1"/>
        <v>-</v>
      </c>
      <c r="I54" s="11" t="str">
        <f t="shared" si="2"/>
        <v>f (&gt;20%)</v>
      </c>
      <c r="J54" s="11" t="str">
        <f t="shared" si="3"/>
        <v>-</v>
      </c>
      <c r="K54" s="11" t="str">
        <f t="shared" si="4"/>
        <v>g (100%)</v>
      </c>
      <c r="N54" s="29"/>
      <c r="O54" s="29"/>
      <c r="P54" s="13" t="str">
        <f t="shared" si="5"/>
        <v>-</v>
      </c>
      <c r="Q54" s="11" t="str">
        <f t="shared" si="6"/>
        <v>e (&gt;28)</v>
      </c>
      <c r="R54" s="4"/>
      <c r="S54" s="4"/>
    </row>
    <row r="55" spans="7:19" x14ac:dyDescent="0.3">
      <c r="G55" s="10">
        <f t="shared" si="0"/>
        <v>0</v>
      </c>
      <c r="H55" s="11" t="str">
        <f t="shared" si="1"/>
        <v>-</v>
      </c>
      <c r="I55" s="11" t="str">
        <f t="shared" si="2"/>
        <v>f (&gt;20%)</v>
      </c>
      <c r="J55" s="11" t="str">
        <f t="shared" si="3"/>
        <v>-</v>
      </c>
      <c r="K55" s="11" t="str">
        <f t="shared" si="4"/>
        <v>g (100%)</v>
      </c>
      <c r="N55" s="29"/>
      <c r="O55" s="29"/>
      <c r="P55" s="13" t="str">
        <f t="shared" si="5"/>
        <v>-</v>
      </c>
      <c r="Q55" s="11" t="str">
        <f t="shared" si="6"/>
        <v>e (&gt;28)</v>
      </c>
      <c r="R55" s="4"/>
      <c r="S55" s="4"/>
    </row>
    <row r="56" spans="7:19" x14ac:dyDescent="0.3">
      <c r="G56" s="10">
        <f t="shared" si="0"/>
        <v>0</v>
      </c>
      <c r="H56" s="11" t="str">
        <f t="shared" si="1"/>
        <v>-</v>
      </c>
      <c r="I56" s="11" t="str">
        <f t="shared" si="2"/>
        <v>f (&gt;20%)</v>
      </c>
      <c r="J56" s="11" t="str">
        <f t="shared" si="3"/>
        <v>-</v>
      </c>
      <c r="K56" s="11" t="str">
        <f t="shared" si="4"/>
        <v>g (100%)</v>
      </c>
      <c r="N56" s="29"/>
      <c r="O56" s="29"/>
      <c r="P56" s="13" t="str">
        <f t="shared" si="5"/>
        <v>-</v>
      </c>
      <c r="Q56" s="11" t="str">
        <f t="shared" si="6"/>
        <v>e (&gt;28)</v>
      </c>
      <c r="R56" s="4"/>
      <c r="S56" s="4"/>
    </row>
    <row r="57" spans="7:19" x14ac:dyDescent="0.3">
      <c r="G57" s="10">
        <f t="shared" si="0"/>
        <v>0</v>
      </c>
      <c r="H57" s="11" t="str">
        <f t="shared" si="1"/>
        <v>-</v>
      </c>
      <c r="I57" s="11" t="str">
        <f t="shared" si="2"/>
        <v>f (&gt;20%)</v>
      </c>
      <c r="J57" s="11" t="str">
        <f t="shared" si="3"/>
        <v>-</v>
      </c>
      <c r="K57" s="11" t="str">
        <f t="shared" si="4"/>
        <v>g (100%)</v>
      </c>
      <c r="N57" s="29"/>
      <c r="O57" s="29"/>
      <c r="P57" s="13" t="str">
        <f t="shared" si="5"/>
        <v>-</v>
      </c>
      <c r="Q57" s="11" t="str">
        <f t="shared" si="6"/>
        <v>e (&gt;28)</v>
      </c>
      <c r="R57" s="4"/>
      <c r="S57" s="4"/>
    </row>
    <row r="58" spans="7:19" x14ac:dyDescent="0.3">
      <c r="G58" s="10">
        <f t="shared" si="0"/>
        <v>0</v>
      </c>
      <c r="H58" s="11" t="str">
        <f t="shared" si="1"/>
        <v>-</v>
      </c>
      <c r="I58" s="11" t="str">
        <f t="shared" si="2"/>
        <v>f (&gt;20%)</v>
      </c>
      <c r="J58" s="11" t="str">
        <f t="shared" si="3"/>
        <v>-</v>
      </c>
      <c r="K58" s="11" t="str">
        <f t="shared" si="4"/>
        <v>g (100%)</v>
      </c>
      <c r="N58" s="29"/>
      <c r="O58" s="29"/>
      <c r="P58" s="13" t="str">
        <f t="shared" si="5"/>
        <v>-</v>
      </c>
      <c r="Q58" s="11" t="str">
        <f t="shared" si="6"/>
        <v>e (&gt;28)</v>
      </c>
      <c r="R58" s="4"/>
      <c r="S58" s="4"/>
    </row>
    <row r="59" spans="7:19" x14ac:dyDescent="0.3">
      <c r="G59" s="10">
        <f t="shared" si="0"/>
        <v>0</v>
      </c>
      <c r="H59" s="11" t="str">
        <f t="shared" si="1"/>
        <v>-</v>
      </c>
      <c r="I59" s="11" t="str">
        <f t="shared" si="2"/>
        <v>f (&gt;20%)</v>
      </c>
      <c r="J59" s="11" t="str">
        <f t="shared" si="3"/>
        <v>-</v>
      </c>
      <c r="K59" s="11" t="str">
        <f t="shared" si="4"/>
        <v>g (100%)</v>
      </c>
      <c r="N59" s="29"/>
      <c r="O59" s="29"/>
      <c r="P59" s="13" t="str">
        <f t="shared" si="5"/>
        <v>-</v>
      </c>
      <c r="Q59" s="11" t="str">
        <f t="shared" si="6"/>
        <v>e (&gt;28)</v>
      </c>
      <c r="R59" s="4"/>
      <c r="S59" s="4"/>
    </row>
    <row r="60" spans="7:19" x14ac:dyDescent="0.3">
      <c r="G60" s="10">
        <f t="shared" si="0"/>
        <v>0</v>
      </c>
      <c r="H60" s="11" t="str">
        <f t="shared" si="1"/>
        <v>-</v>
      </c>
      <c r="I60" s="11" t="str">
        <f t="shared" si="2"/>
        <v>f (&gt;20%)</v>
      </c>
      <c r="J60" s="11" t="str">
        <f t="shared" si="3"/>
        <v>-</v>
      </c>
      <c r="K60" s="11" t="str">
        <f t="shared" si="4"/>
        <v>g (100%)</v>
      </c>
      <c r="N60" s="29"/>
      <c r="O60" s="29"/>
      <c r="P60" s="13" t="str">
        <f t="shared" si="5"/>
        <v>-</v>
      </c>
      <c r="Q60" s="11" t="str">
        <f t="shared" si="6"/>
        <v>e (&gt;28)</v>
      </c>
      <c r="R60" s="4"/>
      <c r="S60" s="4"/>
    </row>
    <row r="61" spans="7:19" x14ac:dyDescent="0.3">
      <c r="G61" s="10">
        <f t="shared" si="0"/>
        <v>0</v>
      </c>
      <c r="H61" s="11" t="str">
        <f t="shared" si="1"/>
        <v>-</v>
      </c>
      <c r="I61" s="11" t="str">
        <f t="shared" si="2"/>
        <v>f (&gt;20%)</v>
      </c>
      <c r="J61" s="11" t="str">
        <f t="shared" si="3"/>
        <v>-</v>
      </c>
      <c r="K61" s="11" t="str">
        <f t="shared" si="4"/>
        <v>g (100%)</v>
      </c>
      <c r="N61" s="29"/>
      <c r="O61" s="29"/>
      <c r="P61" s="13" t="str">
        <f t="shared" si="5"/>
        <v>-</v>
      </c>
      <c r="Q61" s="11" t="str">
        <f t="shared" si="6"/>
        <v>e (&gt;28)</v>
      </c>
      <c r="R61" s="4"/>
      <c r="S61" s="4"/>
    </row>
    <row r="62" spans="7:19" x14ac:dyDescent="0.3">
      <c r="G62" s="10">
        <f t="shared" si="0"/>
        <v>0</v>
      </c>
      <c r="H62" s="11" t="str">
        <f t="shared" si="1"/>
        <v>-</v>
      </c>
      <c r="I62" s="11" t="str">
        <f t="shared" si="2"/>
        <v>f (&gt;20%)</v>
      </c>
      <c r="J62" s="11" t="str">
        <f t="shared" si="3"/>
        <v>-</v>
      </c>
      <c r="K62" s="11" t="str">
        <f t="shared" si="4"/>
        <v>g (100%)</v>
      </c>
      <c r="N62" s="29"/>
      <c r="O62" s="29"/>
      <c r="P62" s="13" t="str">
        <f t="shared" si="5"/>
        <v>-</v>
      </c>
      <c r="Q62" s="11" t="str">
        <f t="shared" si="6"/>
        <v>e (&gt;28)</v>
      </c>
      <c r="R62" s="4"/>
      <c r="S62" s="4"/>
    </row>
    <row r="63" spans="7:19" x14ac:dyDescent="0.3">
      <c r="G63" s="10">
        <f t="shared" si="0"/>
        <v>0</v>
      </c>
      <c r="H63" s="11" t="str">
        <f t="shared" si="1"/>
        <v>-</v>
      </c>
      <c r="I63" s="11" t="str">
        <f t="shared" si="2"/>
        <v>f (&gt;20%)</v>
      </c>
      <c r="J63" s="11" t="str">
        <f t="shared" si="3"/>
        <v>-</v>
      </c>
      <c r="K63" s="11" t="str">
        <f t="shared" si="4"/>
        <v>g (100%)</v>
      </c>
      <c r="N63" s="29"/>
      <c r="O63" s="29"/>
      <c r="P63" s="13" t="str">
        <f t="shared" si="5"/>
        <v>-</v>
      </c>
      <c r="Q63" s="11" t="str">
        <f t="shared" si="6"/>
        <v>e (&gt;28)</v>
      </c>
      <c r="R63" s="4"/>
      <c r="S63" s="4"/>
    </row>
    <row r="64" spans="7:19" x14ac:dyDescent="0.3">
      <c r="G64" s="10">
        <f t="shared" si="0"/>
        <v>0</v>
      </c>
      <c r="H64" s="11" t="str">
        <f t="shared" si="1"/>
        <v>-</v>
      </c>
      <c r="I64" s="11" t="str">
        <f t="shared" si="2"/>
        <v>f (&gt;20%)</v>
      </c>
      <c r="J64" s="11" t="str">
        <f t="shared" si="3"/>
        <v>-</v>
      </c>
      <c r="K64" s="11" t="str">
        <f t="shared" si="4"/>
        <v>g (100%)</v>
      </c>
      <c r="N64" s="29"/>
      <c r="O64" s="29"/>
      <c r="P64" s="13" t="str">
        <f t="shared" si="5"/>
        <v>-</v>
      </c>
      <c r="Q64" s="11" t="str">
        <f t="shared" si="6"/>
        <v>e (&gt;28)</v>
      </c>
      <c r="R64" s="4"/>
      <c r="S64" s="4"/>
    </row>
    <row r="65" spans="7:19" x14ac:dyDescent="0.3">
      <c r="G65" s="10">
        <f t="shared" si="0"/>
        <v>0</v>
      </c>
      <c r="H65" s="11" t="str">
        <f t="shared" si="1"/>
        <v>-</v>
      </c>
      <c r="I65" s="11" t="str">
        <f t="shared" si="2"/>
        <v>f (&gt;20%)</v>
      </c>
      <c r="J65" s="11" t="str">
        <f t="shared" si="3"/>
        <v>-</v>
      </c>
      <c r="K65" s="11" t="str">
        <f t="shared" si="4"/>
        <v>g (100%)</v>
      </c>
      <c r="N65" s="29"/>
      <c r="O65" s="29"/>
      <c r="P65" s="13" t="str">
        <f t="shared" si="5"/>
        <v>-</v>
      </c>
      <c r="Q65" s="11" t="str">
        <f t="shared" si="6"/>
        <v>e (&gt;28)</v>
      </c>
      <c r="R65" s="4"/>
      <c r="S65" s="4"/>
    </row>
    <row r="66" spans="7:19" x14ac:dyDescent="0.3">
      <c r="G66" s="10">
        <f t="shared" si="0"/>
        <v>0</v>
      </c>
      <c r="H66" s="11" t="str">
        <f t="shared" si="1"/>
        <v>-</v>
      </c>
      <c r="I66" s="11" t="str">
        <f t="shared" si="2"/>
        <v>f (&gt;20%)</v>
      </c>
      <c r="J66" s="11" t="str">
        <f t="shared" si="3"/>
        <v>-</v>
      </c>
      <c r="K66" s="11" t="str">
        <f t="shared" si="4"/>
        <v>g (100%)</v>
      </c>
      <c r="N66" s="29"/>
      <c r="O66" s="29"/>
      <c r="P66" s="13" t="str">
        <f t="shared" si="5"/>
        <v>-</v>
      </c>
      <c r="Q66" s="11" t="str">
        <f t="shared" si="6"/>
        <v>e (&gt;28)</v>
      </c>
      <c r="R66" s="4"/>
      <c r="S66" s="4"/>
    </row>
    <row r="67" spans="7:19" x14ac:dyDescent="0.3">
      <c r="G67" s="10">
        <f t="shared" ref="G67:G105" si="7">E67-F67</f>
        <v>0</v>
      </c>
      <c r="H67" s="11" t="str">
        <f t="shared" ref="H67:H130" si="8">IFERROR(G67/E67,"-")</f>
        <v>-</v>
      </c>
      <c r="I67" s="11" t="str">
        <f t="shared" ref="I67:I105" si="9">IF(H67=0%,"a (0%)",IF(AND(H67&gt;0%,H67&lt;=5%),"b (0%-5%)",IF(AND(H67&gt;5%,H67&lt;=10%),"c (5%-10%)",IF(AND(H67&gt;10%,H67&lt;=15%),"d (10%-15%)",IF(AND(H67&gt;15%,H67&lt;=20%),"e (15%-20%)","f (&gt;20%)")))))</f>
        <v>f (&gt;20%)</v>
      </c>
      <c r="J67" s="11" t="str">
        <f t="shared" ref="J67:J105" si="10">IFERROR(F67/D67,"-")</f>
        <v>-</v>
      </c>
      <c r="K67" s="11" t="str">
        <f t="shared" ref="K67:K105" si="11">IF(J67=0%,"a (0%)",IF(AND(J67&gt;0%,J67&lt;=20%),"b (0%-20%)",IF(AND(J67&gt;20%,J67&lt;=40%),"c (20%-40%)",IF(AND(J67&gt;40%,J67&lt;=60%),"d (40%-60%)",IF(AND(J67&gt;60%,J67&lt;=80%),"e (60%-80%)",IF(AND(J67&gt;80%,J67&lt;100%),"f (80%-99%)","g (100%)"))))))</f>
        <v>g (100%)</v>
      </c>
      <c r="N67" s="29"/>
      <c r="O67" s="29"/>
      <c r="P67" s="13" t="str">
        <f t="shared" ref="P67:P105" si="12">IFERROR(IF(N67="","-",DATEDIF(N67,O67,"d")),0)</f>
        <v>-</v>
      </c>
      <c r="Q67" s="11" t="str">
        <f t="shared" ref="Q67:Q130" si="13">IF(AND(P67&gt;0,P67&lt;=7),"a (0-7)",IF(AND(P67&gt;7,P67&lt;=14),"b (8-14)",IF(AND(P67&gt;14,P67&lt;=21),"c (15-21)",IF(AND(P67&gt;21,P67&lt;=28),"d (22-28)","e (&gt;28)"))))</f>
        <v>e (&gt;28)</v>
      </c>
      <c r="R67" s="4"/>
      <c r="S67" s="4"/>
    </row>
    <row r="68" spans="7:19" x14ac:dyDescent="0.3">
      <c r="G68" s="10">
        <f t="shared" si="7"/>
        <v>0</v>
      </c>
      <c r="H68" s="11" t="str">
        <f t="shared" si="8"/>
        <v>-</v>
      </c>
      <c r="I68" s="11" t="str">
        <f t="shared" si="9"/>
        <v>f (&gt;20%)</v>
      </c>
      <c r="J68" s="11" t="str">
        <f t="shared" si="10"/>
        <v>-</v>
      </c>
      <c r="K68" s="11" t="str">
        <f t="shared" si="11"/>
        <v>g (100%)</v>
      </c>
      <c r="N68" s="29"/>
      <c r="O68" s="29"/>
      <c r="P68" s="13" t="str">
        <f t="shared" si="12"/>
        <v>-</v>
      </c>
      <c r="Q68" s="11" t="str">
        <f t="shared" si="13"/>
        <v>e (&gt;28)</v>
      </c>
      <c r="R68" s="4"/>
      <c r="S68" s="4"/>
    </row>
    <row r="69" spans="7:19" x14ac:dyDescent="0.3">
      <c r="G69" s="10">
        <f t="shared" si="7"/>
        <v>0</v>
      </c>
      <c r="H69" s="11" t="str">
        <f t="shared" si="8"/>
        <v>-</v>
      </c>
      <c r="I69" s="11" t="str">
        <f t="shared" si="9"/>
        <v>f (&gt;20%)</v>
      </c>
      <c r="J69" s="11" t="str">
        <f t="shared" si="10"/>
        <v>-</v>
      </c>
      <c r="K69" s="11" t="str">
        <f t="shared" si="11"/>
        <v>g (100%)</v>
      </c>
      <c r="N69" s="29"/>
      <c r="O69" s="29"/>
      <c r="P69" s="13" t="str">
        <f t="shared" si="12"/>
        <v>-</v>
      </c>
      <c r="Q69" s="11" t="str">
        <f t="shared" si="13"/>
        <v>e (&gt;28)</v>
      </c>
      <c r="R69" s="4"/>
      <c r="S69" s="4"/>
    </row>
    <row r="70" spans="7:19" x14ac:dyDescent="0.3">
      <c r="G70" s="10">
        <f t="shared" si="7"/>
        <v>0</v>
      </c>
      <c r="H70" s="11" t="str">
        <f t="shared" si="8"/>
        <v>-</v>
      </c>
      <c r="I70" s="11" t="str">
        <f t="shared" si="9"/>
        <v>f (&gt;20%)</v>
      </c>
      <c r="J70" s="11" t="str">
        <f t="shared" si="10"/>
        <v>-</v>
      </c>
      <c r="K70" s="11" t="str">
        <f t="shared" si="11"/>
        <v>g (100%)</v>
      </c>
      <c r="N70" s="29"/>
      <c r="O70" s="29"/>
      <c r="P70" s="13" t="str">
        <f t="shared" si="12"/>
        <v>-</v>
      </c>
      <c r="Q70" s="11" t="str">
        <f t="shared" si="13"/>
        <v>e (&gt;28)</v>
      </c>
      <c r="R70" s="4"/>
      <c r="S70" s="4"/>
    </row>
    <row r="71" spans="7:19" x14ac:dyDescent="0.3">
      <c r="G71" s="10">
        <f t="shared" si="7"/>
        <v>0</v>
      </c>
      <c r="H71" s="11" t="str">
        <f t="shared" si="8"/>
        <v>-</v>
      </c>
      <c r="I71" s="11" t="str">
        <f t="shared" si="9"/>
        <v>f (&gt;20%)</v>
      </c>
      <c r="J71" s="11" t="str">
        <f t="shared" si="10"/>
        <v>-</v>
      </c>
      <c r="K71" s="11" t="str">
        <f t="shared" si="11"/>
        <v>g (100%)</v>
      </c>
      <c r="N71" s="29"/>
      <c r="P71" s="13" t="str">
        <f t="shared" si="12"/>
        <v>-</v>
      </c>
      <c r="Q71" s="11" t="str">
        <f t="shared" si="13"/>
        <v>e (&gt;28)</v>
      </c>
      <c r="R71" s="4"/>
      <c r="S71" s="4"/>
    </row>
    <row r="72" spans="7:19" x14ac:dyDescent="0.3">
      <c r="G72" s="10">
        <f t="shared" si="7"/>
        <v>0</v>
      </c>
      <c r="H72" s="11" t="str">
        <f t="shared" si="8"/>
        <v>-</v>
      </c>
      <c r="I72" s="11" t="str">
        <f t="shared" si="9"/>
        <v>f (&gt;20%)</v>
      </c>
      <c r="J72" s="11" t="str">
        <f t="shared" si="10"/>
        <v>-</v>
      </c>
      <c r="K72" s="11" t="str">
        <f t="shared" si="11"/>
        <v>g (100%)</v>
      </c>
      <c r="N72" s="29"/>
      <c r="O72" s="29"/>
      <c r="P72" s="13" t="str">
        <f t="shared" si="12"/>
        <v>-</v>
      </c>
      <c r="Q72" s="11" t="str">
        <f t="shared" si="13"/>
        <v>e (&gt;28)</v>
      </c>
      <c r="R72" s="4"/>
      <c r="S72" s="4"/>
    </row>
    <row r="73" spans="7:19" x14ac:dyDescent="0.3">
      <c r="G73" s="10">
        <f t="shared" si="7"/>
        <v>0</v>
      </c>
      <c r="H73" s="11" t="str">
        <f t="shared" si="8"/>
        <v>-</v>
      </c>
      <c r="I73" s="11" t="str">
        <f t="shared" si="9"/>
        <v>f (&gt;20%)</v>
      </c>
      <c r="J73" s="11" t="str">
        <f t="shared" si="10"/>
        <v>-</v>
      </c>
      <c r="K73" s="11" t="str">
        <f t="shared" si="11"/>
        <v>g (100%)</v>
      </c>
      <c r="N73" s="29"/>
      <c r="O73" s="29"/>
      <c r="P73" s="13" t="str">
        <f t="shared" si="12"/>
        <v>-</v>
      </c>
      <c r="Q73" s="11" t="str">
        <f t="shared" si="13"/>
        <v>e (&gt;28)</v>
      </c>
      <c r="R73" s="4"/>
      <c r="S73" s="4"/>
    </row>
    <row r="74" spans="7:19" x14ac:dyDescent="0.3">
      <c r="G74" s="10">
        <f t="shared" si="7"/>
        <v>0</v>
      </c>
      <c r="H74" s="11" t="str">
        <f t="shared" si="8"/>
        <v>-</v>
      </c>
      <c r="I74" s="11" t="str">
        <f t="shared" si="9"/>
        <v>f (&gt;20%)</v>
      </c>
      <c r="J74" s="11" t="str">
        <f t="shared" si="10"/>
        <v>-</v>
      </c>
      <c r="K74" s="11" t="str">
        <f t="shared" si="11"/>
        <v>g (100%)</v>
      </c>
      <c r="N74" s="29"/>
      <c r="O74" s="29"/>
      <c r="P74" s="13" t="str">
        <f t="shared" si="12"/>
        <v>-</v>
      </c>
      <c r="Q74" s="11" t="str">
        <f t="shared" si="13"/>
        <v>e (&gt;28)</v>
      </c>
      <c r="R74" s="4"/>
      <c r="S74" s="4"/>
    </row>
    <row r="75" spans="7:19" x14ac:dyDescent="0.3">
      <c r="G75" s="10">
        <f t="shared" si="7"/>
        <v>0</v>
      </c>
      <c r="H75" s="11" t="str">
        <f t="shared" si="8"/>
        <v>-</v>
      </c>
      <c r="I75" s="11" t="str">
        <f t="shared" si="9"/>
        <v>f (&gt;20%)</v>
      </c>
      <c r="J75" s="11" t="str">
        <f t="shared" si="10"/>
        <v>-</v>
      </c>
      <c r="K75" s="11" t="str">
        <f t="shared" si="11"/>
        <v>g (100%)</v>
      </c>
      <c r="N75" s="29"/>
      <c r="O75" s="29"/>
      <c r="P75" s="13" t="str">
        <f t="shared" si="12"/>
        <v>-</v>
      </c>
      <c r="Q75" s="11" t="str">
        <f t="shared" si="13"/>
        <v>e (&gt;28)</v>
      </c>
      <c r="R75" s="4"/>
      <c r="S75" s="4"/>
    </row>
    <row r="76" spans="7:19" x14ac:dyDescent="0.3">
      <c r="G76" s="10">
        <f t="shared" si="7"/>
        <v>0</v>
      </c>
      <c r="H76" s="11" t="str">
        <f t="shared" si="8"/>
        <v>-</v>
      </c>
      <c r="I76" s="11" t="str">
        <f t="shared" si="9"/>
        <v>f (&gt;20%)</v>
      </c>
      <c r="J76" s="11" t="str">
        <f t="shared" si="10"/>
        <v>-</v>
      </c>
      <c r="K76" s="11" t="str">
        <f t="shared" si="11"/>
        <v>g (100%)</v>
      </c>
      <c r="N76" s="29"/>
      <c r="O76" s="29"/>
      <c r="P76" s="13" t="str">
        <f t="shared" si="12"/>
        <v>-</v>
      </c>
      <c r="Q76" s="11" t="str">
        <f t="shared" si="13"/>
        <v>e (&gt;28)</v>
      </c>
      <c r="R76" s="4"/>
      <c r="S76" s="4"/>
    </row>
    <row r="77" spans="7:19" x14ac:dyDescent="0.3">
      <c r="G77" s="10">
        <f t="shared" si="7"/>
        <v>0</v>
      </c>
      <c r="H77" s="11" t="str">
        <f t="shared" si="8"/>
        <v>-</v>
      </c>
      <c r="I77" s="11" t="str">
        <f t="shared" si="9"/>
        <v>f (&gt;20%)</v>
      </c>
      <c r="J77" s="11" t="str">
        <f t="shared" si="10"/>
        <v>-</v>
      </c>
      <c r="K77" s="11" t="str">
        <f t="shared" si="11"/>
        <v>g (100%)</v>
      </c>
      <c r="N77" s="29"/>
      <c r="O77" s="29"/>
      <c r="P77" s="13" t="str">
        <f t="shared" si="12"/>
        <v>-</v>
      </c>
      <c r="Q77" s="11" t="str">
        <f t="shared" si="13"/>
        <v>e (&gt;28)</v>
      </c>
      <c r="R77" s="4"/>
      <c r="S77" s="4"/>
    </row>
    <row r="78" spans="7:19" x14ac:dyDescent="0.3">
      <c r="G78" s="10">
        <f t="shared" si="7"/>
        <v>0</v>
      </c>
      <c r="H78" s="11" t="str">
        <f t="shared" si="8"/>
        <v>-</v>
      </c>
      <c r="I78" s="11" t="str">
        <f t="shared" si="9"/>
        <v>f (&gt;20%)</v>
      </c>
      <c r="J78" s="11" t="str">
        <f t="shared" si="10"/>
        <v>-</v>
      </c>
      <c r="K78" s="11" t="str">
        <f t="shared" si="11"/>
        <v>g (100%)</v>
      </c>
      <c r="N78" s="29"/>
      <c r="O78" s="29"/>
      <c r="P78" s="13" t="str">
        <f t="shared" si="12"/>
        <v>-</v>
      </c>
      <c r="Q78" s="11" t="str">
        <f t="shared" si="13"/>
        <v>e (&gt;28)</v>
      </c>
      <c r="R78" s="4"/>
      <c r="S78" s="4"/>
    </row>
    <row r="79" spans="7:19" x14ac:dyDescent="0.3">
      <c r="G79" s="10">
        <f t="shared" si="7"/>
        <v>0</v>
      </c>
      <c r="H79" s="11" t="str">
        <f t="shared" si="8"/>
        <v>-</v>
      </c>
      <c r="I79" s="11" t="str">
        <f t="shared" si="9"/>
        <v>f (&gt;20%)</v>
      </c>
      <c r="J79" s="11" t="str">
        <f t="shared" si="10"/>
        <v>-</v>
      </c>
      <c r="K79" s="11" t="str">
        <f t="shared" si="11"/>
        <v>g (100%)</v>
      </c>
      <c r="N79" s="29"/>
      <c r="O79" s="29"/>
      <c r="P79" s="13" t="str">
        <f t="shared" si="12"/>
        <v>-</v>
      </c>
      <c r="Q79" s="11" t="str">
        <f t="shared" si="13"/>
        <v>e (&gt;28)</v>
      </c>
      <c r="R79" s="4"/>
      <c r="S79" s="4"/>
    </row>
    <row r="80" spans="7:19" x14ac:dyDescent="0.3">
      <c r="G80" s="10">
        <f t="shared" si="7"/>
        <v>0</v>
      </c>
      <c r="H80" s="11" t="str">
        <f t="shared" si="8"/>
        <v>-</v>
      </c>
      <c r="I80" s="11" t="str">
        <f t="shared" si="9"/>
        <v>f (&gt;20%)</v>
      </c>
      <c r="J80" s="11" t="str">
        <f t="shared" si="10"/>
        <v>-</v>
      </c>
      <c r="K80" s="11" t="str">
        <f t="shared" si="11"/>
        <v>g (100%)</v>
      </c>
      <c r="N80" s="29"/>
      <c r="O80" s="29"/>
      <c r="P80" s="13" t="str">
        <f t="shared" si="12"/>
        <v>-</v>
      </c>
      <c r="Q80" s="11" t="str">
        <f t="shared" si="13"/>
        <v>e (&gt;28)</v>
      </c>
      <c r="R80" s="4"/>
      <c r="S80" s="4"/>
    </row>
    <row r="81" spans="7:19" x14ac:dyDescent="0.3">
      <c r="G81" s="10">
        <f t="shared" si="7"/>
        <v>0</v>
      </c>
      <c r="H81" s="11" t="str">
        <f t="shared" si="8"/>
        <v>-</v>
      </c>
      <c r="I81" s="11" t="str">
        <f t="shared" si="9"/>
        <v>f (&gt;20%)</v>
      </c>
      <c r="J81" s="11" t="str">
        <f t="shared" si="10"/>
        <v>-</v>
      </c>
      <c r="K81" s="11" t="str">
        <f t="shared" si="11"/>
        <v>g (100%)</v>
      </c>
      <c r="N81" s="29"/>
      <c r="O81" s="29"/>
      <c r="P81" s="13" t="str">
        <f t="shared" si="12"/>
        <v>-</v>
      </c>
      <c r="Q81" s="11" t="str">
        <f t="shared" si="13"/>
        <v>e (&gt;28)</v>
      </c>
      <c r="R81" s="4"/>
      <c r="S81" s="4"/>
    </row>
    <row r="82" spans="7:19" x14ac:dyDescent="0.3">
      <c r="G82" s="10">
        <f t="shared" si="7"/>
        <v>0</v>
      </c>
      <c r="H82" s="11" t="str">
        <f t="shared" si="8"/>
        <v>-</v>
      </c>
      <c r="I82" s="11" t="str">
        <f t="shared" si="9"/>
        <v>f (&gt;20%)</v>
      </c>
      <c r="J82" s="11" t="str">
        <f t="shared" si="10"/>
        <v>-</v>
      </c>
      <c r="K82" s="11" t="str">
        <f t="shared" si="11"/>
        <v>g (100%)</v>
      </c>
      <c r="N82" s="29"/>
      <c r="O82" s="29"/>
      <c r="P82" s="13" t="str">
        <f t="shared" si="12"/>
        <v>-</v>
      </c>
      <c r="Q82" s="11" t="str">
        <f t="shared" si="13"/>
        <v>e (&gt;28)</v>
      </c>
      <c r="R82" s="4"/>
      <c r="S82" s="4"/>
    </row>
    <row r="83" spans="7:19" x14ac:dyDescent="0.3">
      <c r="G83" s="10">
        <f t="shared" si="7"/>
        <v>0</v>
      </c>
      <c r="H83" s="11" t="str">
        <f t="shared" si="8"/>
        <v>-</v>
      </c>
      <c r="I83" s="11" t="str">
        <f t="shared" si="9"/>
        <v>f (&gt;20%)</v>
      </c>
      <c r="J83" s="11" t="str">
        <f t="shared" si="10"/>
        <v>-</v>
      </c>
      <c r="K83" s="11" t="str">
        <f t="shared" si="11"/>
        <v>g (100%)</v>
      </c>
      <c r="N83" s="29"/>
      <c r="O83" s="29"/>
      <c r="P83" s="13" t="str">
        <f t="shared" si="12"/>
        <v>-</v>
      </c>
      <c r="Q83" s="11" t="str">
        <f t="shared" si="13"/>
        <v>e (&gt;28)</v>
      </c>
      <c r="R83" s="4"/>
      <c r="S83" s="4"/>
    </row>
    <row r="84" spans="7:19" x14ac:dyDescent="0.3">
      <c r="G84" s="10">
        <f t="shared" si="7"/>
        <v>0</v>
      </c>
      <c r="H84" s="11" t="str">
        <f t="shared" si="8"/>
        <v>-</v>
      </c>
      <c r="I84" s="11" t="str">
        <f t="shared" si="9"/>
        <v>f (&gt;20%)</v>
      </c>
      <c r="J84" s="11" t="str">
        <f t="shared" si="10"/>
        <v>-</v>
      </c>
      <c r="K84" s="11" t="str">
        <f t="shared" si="11"/>
        <v>g (100%)</v>
      </c>
      <c r="N84" s="29"/>
      <c r="O84" s="29"/>
      <c r="P84" s="13" t="str">
        <f t="shared" si="12"/>
        <v>-</v>
      </c>
      <c r="Q84" s="11" t="str">
        <f t="shared" si="13"/>
        <v>e (&gt;28)</v>
      </c>
      <c r="R84" s="4"/>
      <c r="S84" s="4"/>
    </row>
    <row r="85" spans="7:19" x14ac:dyDescent="0.3">
      <c r="G85" s="10">
        <f t="shared" si="7"/>
        <v>0</v>
      </c>
      <c r="H85" s="11" t="str">
        <f t="shared" si="8"/>
        <v>-</v>
      </c>
      <c r="I85" s="11" t="str">
        <f t="shared" si="9"/>
        <v>f (&gt;20%)</v>
      </c>
      <c r="J85" s="11" t="str">
        <f t="shared" si="10"/>
        <v>-</v>
      </c>
      <c r="K85" s="11" t="str">
        <f t="shared" si="11"/>
        <v>g (100%)</v>
      </c>
      <c r="N85" s="29"/>
      <c r="O85" s="29"/>
      <c r="P85" s="13" t="str">
        <f t="shared" si="12"/>
        <v>-</v>
      </c>
      <c r="Q85" s="11" t="str">
        <f t="shared" si="13"/>
        <v>e (&gt;28)</v>
      </c>
      <c r="R85" s="4"/>
      <c r="S85" s="4"/>
    </row>
    <row r="86" spans="7:19" x14ac:dyDescent="0.3">
      <c r="G86" s="10">
        <f t="shared" si="7"/>
        <v>0</v>
      </c>
      <c r="H86" s="11" t="str">
        <f t="shared" si="8"/>
        <v>-</v>
      </c>
      <c r="I86" s="11" t="str">
        <f t="shared" si="9"/>
        <v>f (&gt;20%)</v>
      </c>
      <c r="J86" s="11" t="str">
        <f t="shared" si="10"/>
        <v>-</v>
      </c>
      <c r="K86" s="11" t="str">
        <f t="shared" si="11"/>
        <v>g (100%)</v>
      </c>
      <c r="N86" s="29"/>
      <c r="O86" s="29"/>
      <c r="P86" s="13" t="str">
        <f t="shared" si="12"/>
        <v>-</v>
      </c>
      <c r="Q86" s="11" t="str">
        <f t="shared" si="13"/>
        <v>e (&gt;28)</v>
      </c>
      <c r="R86" s="4"/>
      <c r="S86" s="4"/>
    </row>
    <row r="87" spans="7:19" x14ac:dyDescent="0.3">
      <c r="G87" s="10">
        <f t="shared" si="7"/>
        <v>0</v>
      </c>
      <c r="H87" s="11" t="str">
        <f t="shared" si="8"/>
        <v>-</v>
      </c>
      <c r="I87" s="11" t="str">
        <f t="shared" si="9"/>
        <v>f (&gt;20%)</v>
      </c>
      <c r="J87" s="11" t="str">
        <f t="shared" si="10"/>
        <v>-</v>
      </c>
      <c r="K87" s="11" t="str">
        <f t="shared" si="11"/>
        <v>g (100%)</v>
      </c>
      <c r="N87" s="29"/>
      <c r="O87" s="29"/>
      <c r="P87" s="13" t="str">
        <f t="shared" si="12"/>
        <v>-</v>
      </c>
      <c r="Q87" s="11" t="str">
        <f t="shared" si="13"/>
        <v>e (&gt;28)</v>
      </c>
      <c r="R87" s="4"/>
      <c r="S87" s="4"/>
    </row>
    <row r="88" spans="7:19" x14ac:dyDescent="0.3">
      <c r="G88" s="10">
        <f t="shared" si="7"/>
        <v>0</v>
      </c>
      <c r="H88" s="11" t="str">
        <f t="shared" si="8"/>
        <v>-</v>
      </c>
      <c r="I88" s="11" t="str">
        <f t="shared" si="9"/>
        <v>f (&gt;20%)</v>
      </c>
      <c r="J88" s="11" t="str">
        <f t="shared" si="10"/>
        <v>-</v>
      </c>
      <c r="K88" s="11" t="str">
        <f t="shared" si="11"/>
        <v>g (100%)</v>
      </c>
      <c r="N88" s="29"/>
      <c r="O88" s="29"/>
      <c r="P88" s="13" t="str">
        <f t="shared" si="12"/>
        <v>-</v>
      </c>
      <c r="Q88" s="11" t="str">
        <f t="shared" si="13"/>
        <v>e (&gt;28)</v>
      </c>
      <c r="R88" s="4"/>
      <c r="S88" s="4"/>
    </row>
    <row r="89" spans="7:19" x14ac:dyDescent="0.3">
      <c r="G89" s="10">
        <f t="shared" si="7"/>
        <v>0</v>
      </c>
      <c r="H89" s="11" t="str">
        <f t="shared" si="8"/>
        <v>-</v>
      </c>
      <c r="I89" s="11" t="str">
        <f t="shared" si="9"/>
        <v>f (&gt;20%)</v>
      </c>
      <c r="J89" s="11" t="str">
        <f t="shared" si="10"/>
        <v>-</v>
      </c>
      <c r="K89" s="11" t="str">
        <f t="shared" si="11"/>
        <v>g (100%)</v>
      </c>
      <c r="N89" s="29"/>
      <c r="P89" s="13" t="str">
        <f t="shared" si="12"/>
        <v>-</v>
      </c>
      <c r="Q89" s="11" t="str">
        <f t="shared" si="13"/>
        <v>e (&gt;28)</v>
      </c>
      <c r="R89" s="4"/>
      <c r="S89" s="4"/>
    </row>
    <row r="90" spans="7:19" x14ac:dyDescent="0.3">
      <c r="G90" s="10">
        <f t="shared" si="7"/>
        <v>0</v>
      </c>
      <c r="H90" s="11" t="str">
        <f t="shared" si="8"/>
        <v>-</v>
      </c>
      <c r="I90" s="11" t="str">
        <f t="shared" si="9"/>
        <v>f (&gt;20%)</v>
      </c>
      <c r="J90" s="11" t="str">
        <f t="shared" si="10"/>
        <v>-</v>
      </c>
      <c r="K90" s="11" t="str">
        <f t="shared" si="11"/>
        <v>g (100%)</v>
      </c>
      <c r="N90" s="29"/>
      <c r="O90" s="29"/>
      <c r="P90" s="13" t="str">
        <f t="shared" si="12"/>
        <v>-</v>
      </c>
      <c r="Q90" s="11" t="str">
        <f t="shared" si="13"/>
        <v>e (&gt;28)</v>
      </c>
      <c r="R90" s="4"/>
      <c r="S90" s="4"/>
    </row>
    <row r="91" spans="7:19" x14ac:dyDescent="0.3">
      <c r="G91" s="10">
        <f t="shared" si="7"/>
        <v>0</v>
      </c>
      <c r="H91" s="11" t="str">
        <f t="shared" si="8"/>
        <v>-</v>
      </c>
      <c r="I91" s="11" t="str">
        <f t="shared" si="9"/>
        <v>f (&gt;20%)</v>
      </c>
      <c r="J91" s="11" t="str">
        <f t="shared" si="10"/>
        <v>-</v>
      </c>
      <c r="K91" s="11" t="str">
        <f t="shared" si="11"/>
        <v>g (100%)</v>
      </c>
      <c r="N91" s="29"/>
      <c r="O91" s="29"/>
      <c r="P91" s="13" t="str">
        <f t="shared" si="12"/>
        <v>-</v>
      </c>
      <c r="Q91" s="11" t="str">
        <f t="shared" si="13"/>
        <v>e (&gt;28)</v>
      </c>
      <c r="R91" s="4"/>
      <c r="S91" s="4"/>
    </row>
    <row r="92" spans="7:19" x14ac:dyDescent="0.3">
      <c r="G92" s="10">
        <f t="shared" si="7"/>
        <v>0</v>
      </c>
      <c r="H92" s="11" t="str">
        <f t="shared" si="8"/>
        <v>-</v>
      </c>
      <c r="I92" s="11" t="str">
        <f t="shared" si="9"/>
        <v>f (&gt;20%)</v>
      </c>
      <c r="J92" s="11" t="str">
        <f t="shared" si="10"/>
        <v>-</v>
      </c>
      <c r="K92" s="11" t="str">
        <f t="shared" si="11"/>
        <v>g (100%)</v>
      </c>
      <c r="N92" s="29"/>
      <c r="O92" s="29"/>
      <c r="P92" s="13" t="str">
        <f t="shared" si="12"/>
        <v>-</v>
      </c>
      <c r="Q92" s="11" t="str">
        <f t="shared" si="13"/>
        <v>e (&gt;28)</v>
      </c>
      <c r="R92" s="4"/>
      <c r="S92" s="4"/>
    </row>
    <row r="93" spans="7:19" x14ac:dyDescent="0.3">
      <c r="G93" s="10">
        <f t="shared" si="7"/>
        <v>0</v>
      </c>
      <c r="H93" s="11" t="str">
        <f t="shared" si="8"/>
        <v>-</v>
      </c>
      <c r="I93" s="11" t="str">
        <f t="shared" si="9"/>
        <v>f (&gt;20%)</v>
      </c>
      <c r="J93" s="11" t="str">
        <f t="shared" si="10"/>
        <v>-</v>
      </c>
      <c r="K93" s="11" t="str">
        <f t="shared" si="11"/>
        <v>g (100%)</v>
      </c>
      <c r="N93" s="29"/>
      <c r="O93" s="29"/>
      <c r="P93" s="13" t="str">
        <f t="shared" si="12"/>
        <v>-</v>
      </c>
      <c r="Q93" s="11" t="str">
        <f t="shared" si="13"/>
        <v>e (&gt;28)</v>
      </c>
      <c r="R93" s="4"/>
      <c r="S93" s="4"/>
    </row>
    <row r="94" spans="7:19" x14ac:dyDescent="0.3">
      <c r="G94" s="10">
        <f t="shared" si="7"/>
        <v>0</v>
      </c>
      <c r="H94" s="11" t="str">
        <f t="shared" si="8"/>
        <v>-</v>
      </c>
      <c r="I94" s="11" t="str">
        <f t="shared" si="9"/>
        <v>f (&gt;20%)</v>
      </c>
      <c r="J94" s="11" t="str">
        <f t="shared" si="10"/>
        <v>-</v>
      </c>
      <c r="K94" s="11" t="str">
        <f t="shared" si="11"/>
        <v>g (100%)</v>
      </c>
      <c r="N94" s="29"/>
      <c r="O94" s="29"/>
      <c r="P94" s="13" t="str">
        <f t="shared" si="12"/>
        <v>-</v>
      </c>
      <c r="Q94" s="11" t="str">
        <f t="shared" si="13"/>
        <v>e (&gt;28)</v>
      </c>
      <c r="R94" s="4"/>
      <c r="S94" s="4"/>
    </row>
    <row r="95" spans="7:19" x14ac:dyDescent="0.3">
      <c r="G95" s="10">
        <f t="shared" si="7"/>
        <v>0</v>
      </c>
      <c r="H95" s="11" t="str">
        <f t="shared" si="8"/>
        <v>-</v>
      </c>
      <c r="I95" s="11" t="str">
        <f t="shared" si="9"/>
        <v>f (&gt;20%)</v>
      </c>
      <c r="J95" s="11" t="str">
        <f t="shared" si="10"/>
        <v>-</v>
      </c>
      <c r="K95" s="11" t="str">
        <f t="shared" si="11"/>
        <v>g (100%)</v>
      </c>
      <c r="N95" s="29"/>
      <c r="O95" s="29"/>
      <c r="P95" s="13" t="str">
        <f t="shared" si="12"/>
        <v>-</v>
      </c>
      <c r="Q95" s="11" t="str">
        <f t="shared" si="13"/>
        <v>e (&gt;28)</v>
      </c>
      <c r="R95" s="4"/>
      <c r="S95" s="4"/>
    </row>
    <row r="96" spans="7:19" x14ac:dyDescent="0.3">
      <c r="G96" s="10">
        <f t="shared" si="7"/>
        <v>0</v>
      </c>
      <c r="H96" s="11" t="str">
        <f t="shared" si="8"/>
        <v>-</v>
      </c>
      <c r="I96" s="11" t="str">
        <f t="shared" si="9"/>
        <v>f (&gt;20%)</v>
      </c>
      <c r="J96" s="11" t="str">
        <f t="shared" si="10"/>
        <v>-</v>
      </c>
      <c r="K96" s="11" t="str">
        <f t="shared" si="11"/>
        <v>g (100%)</v>
      </c>
      <c r="N96" s="29"/>
      <c r="O96" s="29"/>
      <c r="P96" s="13" t="str">
        <f t="shared" si="12"/>
        <v>-</v>
      </c>
      <c r="Q96" s="11" t="str">
        <f t="shared" si="13"/>
        <v>e (&gt;28)</v>
      </c>
      <c r="R96" s="4"/>
      <c r="S96" s="4"/>
    </row>
    <row r="97" spans="7:19" x14ac:dyDescent="0.3">
      <c r="G97" s="10">
        <f t="shared" si="7"/>
        <v>0</v>
      </c>
      <c r="H97" s="11" t="str">
        <f t="shared" si="8"/>
        <v>-</v>
      </c>
      <c r="I97" s="11" t="str">
        <f t="shared" si="9"/>
        <v>f (&gt;20%)</v>
      </c>
      <c r="J97" s="11" t="str">
        <f t="shared" si="10"/>
        <v>-</v>
      </c>
      <c r="K97" s="11" t="str">
        <f t="shared" si="11"/>
        <v>g (100%)</v>
      </c>
      <c r="N97" s="29"/>
      <c r="O97" s="29"/>
      <c r="P97" s="13" t="str">
        <f t="shared" si="12"/>
        <v>-</v>
      </c>
      <c r="Q97" s="11" t="str">
        <f t="shared" si="13"/>
        <v>e (&gt;28)</v>
      </c>
      <c r="R97" s="4"/>
      <c r="S97" s="4"/>
    </row>
    <row r="98" spans="7:19" x14ac:dyDescent="0.3">
      <c r="G98" s="10">
        <f t="shared" si="7"/>
        <v>0</v>
      </c>
      <c r="H98" s="11" t="str">
        <f t="shared" si="8"/>
        <v>-</v>
      </c>
      <c r="I98" s="11" t="str">
        <f t="shared" si="9"/>
        <v>f (&gt;20%)</v>
      </c>
      <c r="J98" s="11" t="str">
        <f t="shared" si="10"/>
        <v>-</v>
      </c>
      <c r="K98" s="11" t="str">
        <f t="shared" si="11"/>
        <v>g (100%)</v>
      </c>
      <c r="N98" s="29"/>
      <c r="O98" s="29"/>
      <c r="P98" s="13" t="str">
        <f t="shared" si="12"/>
        <v>-</v>
      </c>
      <c r="Q98" s="11" t="str">
        <f t="shared" si="13"/>
        <v>e (&gt;28)</v>
      </c>
      <c r="R98" s="4"/>
      <c r="S98" s="4"/>
    </row>
    <row r="99" spans="7:19" x14ac:dyDescent="0.3">
      <c r="G99" s="10">
        <f t="shared" si="7"/>
        <v>0</v>
      </c>
      <c r="H99" s="11" t="str">
        <f t="shared" si="8"/>
        <v>-</v>
      </c>
      <c r="I99" s="11" t="str">
        <f t="shared" si="9"/>
        <v>f (&gt;20%)</v>
      </c>
      <c r="J99" s="11" t="str">
        <f t="shared" si="10"/>
        <v>-</v>
      </c>
      <c r="K99" s="11" t="str">
        <f t="shared" si="11"/>
        <v>g (100%)</v>
      </c>
      <c r="N99" s="29"/>
      <c r="O99" s="29"/>
      <c r="P99" s="13" t="str">
        <f t="shared" si="12"/>
        <v>-</v>
      </c>
      <c r="Q99" s="11" t="str">
        <f t="shared" si="13"/>
        <v>e (&gt;28)</v>
      </c>
      <c r="R99" s="4"/>
      <c r="S99" s="4"/>
    </row>
    <row r="100" spans="7:19" x14ac:dyDescent="0.3">
      <c r="G100" s="10">
        <f t="shared" si="7"/>
        <v>0</v>
      </c>
      <c r="H100" s="11" t="str">
        <f t="shared" si="8"/>
        <v>-</v>
      </c>
      <c r="I100" s="11" t="str">
        <f t="shared" si="9"/>
        <v>f (&gt;20%)</v>
      </c>
      <c r="J100" s="11" t="str">
        <f t="shared" si="10"/>
        <v>-</v>
      </c>
      <c r="K100" s="11" t="str">
        <f t="shared" si="11"/>
        <v>g (100%)</v>
      </c>
      <c r="N100" s="29"/>
      <c r="P100" s="13" t="str">
        <f t="shared" si="12"/>
        <v>-</v>
      </c>
      <c r="Q100" s="11" t="str">
        <f t="shared" si="13"/>
        <v>e (&gt;28)</v>
      </c>
      <c r="R100" s="4"/>
      <c r="S100" s="4"/>
    </row>
    <row r="101" spans="7:19" x14ac:dyDescent="0.3">
      <c r="G101" s="10">
        <f t="shared" si="7"/>
        <v>0</v>
      </c>
      <c r="H101" s="11" t="str">
        <f t="shared" si="8"/>
        <v>-</v>
      </c>
      <c r="I101" s="11" t="str">
        <f t="shared" si="9"/>
        <v>f (&gt;20%)</v>
      </c>
      <c r="J101" s="11" t="str">
        <f t="shared" si="10"/>
        <v>-</v>
      </c>
      <c r="K101" s="11" t="str">
        <f t="shared" si="11"/>
        <v>g (100%)</v>
      </c>
      <c r="N101" s="29"/>
      <c r="O101" s="29"/>
      <c r="P101" s="13" t="str">
        <f t="shared" si="12"/>
        <v>-</v>
      </c>
      <c r="Q101" s="11" t="str">
        <f t="shared" si="13"/>
        <v>e (&gt;28)</v>
      </c>
      <c r="R101" s="4"/>
      <c r="S101" s="4"/>
    </row>
    <row r="102" spans="7:19" x14ac:dyDescent="0.3">
      <c r="G102" s="10">
        <f t="shared" si="7"/>
        <v>0</v>
      </c>
      <c r="H102" s="11" t="str">
        <f t="shared" si="8"/>
        <v>-</v>
      </c>
      <c r="I102" s="11" t="str">
        <f t="shared" si="9"/>
        <v>f (&gt;20%)</v>
      </c>
      <c r="J102" s="11" t="str">
        <f t="shared" si="10"/>
        <v>-</v>
      </c>
      <c r="K102" s="11" t="str">
        <f t="shared" si="11"/>
        <v>g (100%)</v>
      </c>
      <c r="N102" s="29"/>
      <c r="P102" s="13" t="str">
        <f t="shared" si="12"/>
        <v>-</v>
      </c>
      <c r="Q102" s="11" t="str">
        <f t="shared" si="13"/>
        <v>e (&gt;28)</v>
      </c>
      <c r="R102" s="4"/>
      <c r="S102" s="4"/>
    </row>
    <row r="103" spans="7:19" x14ac:dyDescent="0.3">
      <c r="G103" s="10">
        <f t="shared" si="7"/>
        <v>0</v>
      </c>
      <c r="H103" s="11" t="str">
        <f t="shared" si="8"/>
        <v>-</v>
      </c>
      <c r="I103" s="11" t="str">
        <f t="shared" si="9"/>
        <v>f (&gt;20%)</v>
      </c>
      <c r="J103" s="11" t="str">
        <f t="shared" si="10"/>
        <v>-</v>
      </c>
      <c r="K103" s="11" t="str">
        <f t="shared" si="11"/>
        <v>g (100%)</v>
      </c>
      <c r="N103" s="29"/>
      <c r="O103" s="29"/>
      <c r="P103" s="13" t="str">
        <f t="shared" si="12"/>
        <v>-</v>
      </c>
      <c r="Q103" s="11" t="str">
        <f t="shared" si="13"/>
        <v>e (&gt;28)</v>
      </c>
      <c r="R103" s="4"/>
      <c r="S103" s="4"/>
    </row>
    <row r="104" spans="7:19" x14ac:dyDescent="0.3">
      <c r="G104" s="10">
        <f t="shared" si="7"/>
        <v>0</v>
      </c>
      <c r="H104" s="11" t="str">
        <f t="shared" si="8"/>
        <v>-</v>
      </c>
      <c r="I104" s="11" t="str">
        <f t="shared" si="9"/>
        <v>f (&gt;20%)</v>
      </c>
      <c r="J104" s="11" t="str">
        <f t="shared" si="10"/>
        <v>-</v>
      </c>
      <c r="K104" s="11" t="str">
        <f t="shared" si="11"/>
        <v>g (100%)</v>
      </c>
      <c r="N104" s="29"/>
      <c r="O104" s="29"/>
      <c r="P104" s="13" t="str">
        <f t="shared" si="12"/>
        <v>-</v>
      </c>
      <c r="Q104" s="11" t="str">
        <f t="shared" si="13"/>
        <v>e (&gt;28)</v>
      </c>
      <c r="R104" s="4"/>
      <c r="S104" s="4"/>
    </row>
    <row r="105" spans="7:19" x14ac:dyDescent="0.3">
      <c r="G105" s="10">
        <f t="shared" si="7"/>
        <v>0</v>
      </c>
      <c r="H105" s="11" t="str">
        <f t="shared" si="8"/>
        <v>-</v>
      </c>
      <c r="I105" s="11" t="str">
        <f t="shared" si="9"/>
        <v>f (&gt;20%)</v>
      </c>
      <c r="J105" s="11" t="str">
        <f t="shared" si="10"/>
        <v>-</v>
      </c>
      <c r="K105" s="11" t="str">
        <f t="shared" si="11"/>
        <v>g (100%)</v>
      </c>
      <c r="N105" s="29"/>
      <c r="P105" s="13" t="str">
        <f t="shared" si="12"/>
        <v>-</v>
      </c>
      <c r="Q105" s="11" t="str">
        <f t="shared" si="13"/>
        <v>e (&gt;28)</v>
      </c>
      <c r="R105" s="4"/>
      <c r="S105" s="4"/>
    </row>
    <row r="106" spans="7:19" x14ac:dyDescent="0.3">
      <c r="G106" s="10">
        <f t="shared" ref="G106:G169" si="14">E106-F106</f>
        <v>0</v>
      </c>
      <c r="H106" s="11" t="str">
        <f t="shared" si="8"/>
        <v>-</v>
      </c>
      <c r="I106" s="11" t="str">
        <f t="shared" ref="I106:I169" si="15">IF(H106=0%,"a (0%)",IF(AND(H106&gt;0%,H106&lt;=5%),"b (0%-5%)",IF(AND(H106&gt;5%,H106&lt;=10%),"c (5%-10%)",IF(AND(H106&gt;10%,H106&lt;=15%),"d (10%-15%)",IF(AND(H106&gt;15%,H106&lt;=20%),"e (15%-20%)","f (&gt;20%)")))))</f>
        <v>f (&gt;20%)</v>
      </c>
      <c r="J106" s="11" t="str">
        <f t="shared" ref="J106:J169" si="16">IFERROR(F106/D106,"-")</f>
        <v>-</v>
      </c>
      <c r="K106" s="11" t="str">
        <f t="shared" ref="K106:K169" si="17">IF(J106=0%,"a (0%)",IF(AND(J106&gt;0%,J106&lt;=20%),"b (0%-20%)",IF(AND(J106&gt;20%,J106&lt;=40%),"c (20%-40%)",IF(AND(J106&gt;40%,J106&lt;=60%),"d (40%-60%)",IF(AND(J106&gt;60%,J106&lt;=80%),"e (60%-80%)",IF(AND(J106&gt;80%,J106&lt;100%),"f (80%-99%)","g (100%)"))))))</f>
        <v>g (100%)</v>
      </c>
      <c r="N106" s="29"/>
      <c r="O106" s="29"/>
      <c r="P106" s="13" t="str">
        <f t="shared" ref="P106:P169" si="18">IFERROR(IF(N106="","-",DATEDIF(N106,O106,"d")),0)</f>
        <v>-</v>
      </c>
      <c r="Q106" s="11" t="str">
        <f t="shared" si="13"/>
        <v>e (&gt;28)</v>
      </c>
      <c r="R106" s="14"/>
      <c r="S106" s="14"/>
    </row>
    <row r="107" spans="7:19" x14ac:dyDescent="0.3">
      <c r="G107" s="10">
        <f t="shared" si="14"/>
        <v>0</v>
      </c>
      <c r="H107" s="11" t="str">
        <f t="shared" si="8"/>
        <v>-</v>
      </c>
      <c r="I107" s="11" t="str">
        <f t="shared" si="15"/>
        <v>f (&gt;20%)</v>
      </c>
      <c r="J107" s="11" t="str">
        <f t="shared" si="16"/>
        <v>-</v>
      </c>
      <c r="K107" s="11" t="str">
        <f t="shared" si="17"/>
        <v>g (100%)</v>
      </c>
      <c r="N107" s="29"/>
      <c r="O107" s="29"/>
      <c r="P107" s="13" t="str">
        <f t="shared" si="18"/>
        <v>-</v>
      </c>
      <c r="Q107" s="11" t="str">
        <f t="shared" si="13"/>
        <v>e (&gt;28)</v>
      </c>
      <c r="R107" s="14"/>
      <c r="S107" s="14"/>
    </row>
    <row r="108" spans="7:19" x14ac:dyDescent="0.3">
      <c r="G108" s="10">
        <f t="shared" si="14"/>
        <v>0</v>
      </c>
      <c r="H108" s="11" t="str">
        <f t="shared" si="8"/>
        <v>-</v>
      </c>
      <c r="I108" s="11" t="str">
        <f t="shared" si="15"/>
        <v>f (&gt;20%)</v>
      </c>
      <c r="J108" s="11" t="str">
        <f t="shared" si="16"/>
        <v>-</v>
      </c>
      <c r="K108" s="11" t="str">
        <f t="shared" si="17"/>
        <v>g (100%)</v>
      </c>
      <c r="N108" s="29"/>
      <c r="P108" s="13" t="str">
        <f t="shared" si="18"/>
        <v>-</v>
      </c>
      <c r="Q108" s="11" t="str">
        <f t="shared" si="13"/>
        <v>e (&gt;28)</v>
      </c>
      <c r="R108" s="14"/>
      <c r="S108" s="14"/>
    </row>
    <row r="109" spans="7:19" x14ac:dyDescent="0.3">
      <c r="G109" s="10">
        <f t="shared" si="14"/>
        <v>0</v>
      </c>
      <c r="H109" s="11" t="str">
        <f t="shared" si="8"/>
        <v>-</v>
      </c>
      <c r="I109" s="11" t="str">
        <f t="shared" si="15"/>
        <v>f (&gt;20%)</v>
      </c>
      <c r="J109" s="11" t="str">
        <f t="shared" si="16"/>
        <v>-</v>
      </c>
      <c r="K109" s="11" t="str">
        <f t="shared" si="17"/>
        <v>g (100%)</v>
      </c>
      <c r="N109" s="29"/>
      <c r="O109" s="29"/>
      <c r="P109" s="13" t="str">
        <f t="shared" si="18"/>
        <v>-</v>
      </c>
      <c r="Q109" s="11" t="str">
        <f t="shared" si="13"/>
        <v>e (&gt;28)</v>
      </c>
      <c r="R109" s="14"/>
      <c r="S109" s="14"/>
    </row>
    <row r="110" spans="7:19" x14ac:dyDescent="0.3">
      <c r="G110" s="10">
        <f t="shared" si="14"/>
        <v>0</v>
      </c>
      <c r="H110" s="11" t="str">
        <f t="shared" si="8"/>
        <v>-</v>
      </c>
      <c r="I110" s="11" t="str">
        <f t="shared" si="15"/>
        <v>f (&gt;20%)</v>
      </c>
      <c r="J110" s="11" t="str">
        <f t="shared" si="16"/>
        <v>-</v>
      </c>
      <c r="K110" s="11" t="str">
        <f t="shared" si="17"/>
        <v>g (100%)</v>
      </c>
      <c r="N110" s="29"/>
      <c r="P110" s="13" t="str">
        <f t="shared" si="18"/>
        <v>-</v>
      </c>
      <c r="Q110" s="11" t="str">
        <f t="shared" si="13"/>
        <v>e (&gt;28)</v>
      </c>
      <c r="R110" s="14"/>
      <c r="S110" s="14"/>
    </row>
    <row r="111" spans="7:19" x14ac:dyDescent="0.3">
      <c r="G111" s="10">
        <f t="shared" si="14"/>
        <v>0</v>
      </c>
      <c r="H111" s="11" t="str">
        <f t="shared" si="8"/>
        <v>-</v>
      </c>
      <c r="I111" s="11" t="str">
        <f t="shared" si="15"/>
        <v>f (&gt;20%)</v>
      </c>
      <c r="J111" s="11" t="str">
        <f t="shared" si="16"/>
        <v>-</v>
      </c>
      <c r="K111" s="11" t="str">
        <f t="shared" si="17"/>
        <v>g (100%)</v>
      </c>
      <c r="N111" s="29"/>
      <c r="O111" s="29"/>
      <c r="P111" s="13" t="str">
        <f t="shared" si="18"/>
        <v>-</v>
      </c>
      <c r="Q111" s="11" t="str">
        <f t="shared" si="13"/>
        <v>e (&gt;28)</v>
      </c>
      <c r="R111" s="14"/>
      <c r="S111" s="14"/>
    </row>
    <row r="112" spans="7:19" x14ac:dyDescent="0.3">
      <c r="G112" s="10">
        <f t="shared" si="14"/>
        <v>0</v>
      </c>
      <c r="H112" s="11" t="str">
        <f t="shared" si="8"/>
        <v>-</v>
      </c>
      <c r="I112" s="11" t="str">
        <f t="shared" si="15"/>
        <v>f (&gt;20%)</v>
      </c>
      <c r="J112" s="11" t="str">
        <f t="shared" si="16"/>
        <v>-</v>
      </c>
      <c r="K112" s="11" t="str">
        <f t="shared" si="17"/>
        <v>g (100%)</v>
      </c>
      <c r="N112" s="29"/>
      <c r="O112" s="29"/>
      <c r="P112" s="13" t="str">
        <f t="shared" si="18"/>
        <v>-</v>
      </c>
      <c r="Q112" s="11" t="str">
        <f t="shared" si="13"/>
        <v>e (&gt;28)</v>
      </c>
      <c r="R112" s="14"/>
      <c r="S112" s="14"/>
    </row>
    <row r="113" spans="7:19" x14ac:dyDescent="0.3">
      <c r="G113" s="10">
        <f t="shared" si="14"/>
        <v>0</v>
      </c>
      <c r="H113" s="11" t="str">
        <f t="shared" si="8"/>
        <v>-</v>
      </c>
      <c r="I113" s="11" t="str">
        <f t="shared" si="15"/>
        <v>f (&gt;20%)</v>
      </c>
      <c r="J113" s="11" t="str">
        <f t="shared" si="16"/>
        <v>-</v>
      </c>
      <c r="K113" s="11" t="str">
        <f t="shared" si="17"/>
        <v>g (100%)</v>
      </c>
      <c r="N113" s="29"/>
      <c r="P113" s="13" t="str">
        <f t="shared" si="18"/>
        <v>-</v>
      </c>
      <c r="Q113" s="11" t="str">
        <f t="shared" si="13"/>
        <v>e (&gt;28)</v>
      </c>
      <c r="R113" s="14"/>
      <c r="S113" s="14"/>
    </row>
    <row r="114" spans="7:19" x14ac:dyDescent="0.3">
      <c r="G114" s="10">
        <f t="shared" si="14"/>
        <v>0</v>
      </c>
      <c r="H114" s="11" t="str">
        <f t="shared" si="8"/>
        <v>-</v>
      </c>
      <c r="I114" s="11" t="str">
        <f t="shared" si="15"/>
        <v>f (&gt;20%)</v>
      </c>
      <c r="J114" s="11" t="str">
        <f t="shared" si="16"/>
        <v>-</v>
      </c>
      <c r="K114" s="11" t="str">
        <f t="shared" si="17"/>
        <v>g (100%)</v>
      </c>
      <c r="N114" s="29"/>
      <c r="P114" s="13" t="str">
        <f t="shared" si="18"/>
        <v>-</v>
      </c>
      <c r="Q114" s="11" t="str">
        <f t="shared" si="13"/>
        <v>e (&gt;28)</v>
      </c>
      <c r="R114" s="14"/>
      <c r="S114" s="14"/>
    </row>
    <row r="115" spans="7:19" x14ac:dyDescent="0.3">
      <c r="G115" s="10">
        <f t="shared" si="14"/>
        <v>0</v>
      </c>
      <c r="H115" s="11" t="str">
        <f t="shared" si="8"/>
        <v>-</v>
      </c>
      <c r="I115" s="11" t="str">
        <f t="shared" si="15"/>
        <v>f (&gt;20%)</v>
      </c>
      <c r="J115" s="11" t="str">
        <f t="shared" si="16"/>
        <v>-</v>
      </c>
      <c r="K115" s="11" t="str">
        <f t="shared" si="17"/>
        <v>g (100%)</v>
      </c>
      <c r="N115" s="29"/>
      <c r="O115" s="29"/>
      <c r="P115" s="13" t="str">
        <f t="shared" si="18"/>
        <v>-</v>
      </c>
      <c r="Q115" s="11" t="str">
        <f t="shared" si="13"/>
        <v>e (&gt;28)</v>
      </c>
      <c r="R115" s="14"/>
      <c r="S115" s="14"/>
    </row>
    <row r="116" spans="7:19" x14ac:dyDescent="0.3">
      <c r="G116" s="10">
        <f t="shared" si="14"/>
        <v>0</v>
      </c>
      <c r="H116" s="11" t="str">
        <f t="shared" si="8"/>
        <v>-</v>
      </c>
      <c r="I116" s="11" t="str">
        <f t="shared" si="15"/>
        <v>f (&gt;20%)</v>
      </c>
      <c r="J116" s="11" t="str">
        <f t="shared" si="16"/>
        <v>-</v>
      </c>
      <c r="K116" s="11" t="str">
        <f t="shared" si="17"/>
        <v>g (100%)</v>
      </c>
      <c r="N116" s="29"/>
      <c r="O116" s="29"/>
      <c r="P116" s="13" t="str">
        <f t="shared" si="18"/>
        <v>-</v>
      </c>
      <c r="Q116" s="11" t="str">
        <f t="shared" si="13"/>
        <v>e (&gt;28)</v>
      </c>
      <c r="R116" s="14"/>
      <c r="S116" s="14"/>
    </row>
    <row r="117" spans="7:19" x14ac:dyDescent="0.3">
      <c r="G117" s="10">
        <f t="shared" si="14"/>
        <v>0</v>
      </c>
      <c r="H117" s="11" t="str">
        <f t="shared" si="8"/>
        <v>-</v>
      </c>
      <c r="I117" s="11" t="str">
        <f t="shared" si="15"/>
        <v>f (&gt;20%)</v>
      </c>
      <c r="J117" s="11" t="str">
        <f t="shared" si="16"/>
        <v>-</v>
      </c>
      <c r="K117" s="11" t="str">
        <f t="shared" si="17"/>
        <v>g (100%)</v>
      </c>
      <c r="N117" s="29"/>
      <c r="O117" s="29"/>
      <c r="P117" s="13" t="str">
        <f t="shared" si="18"/>
        <v>-</v>
      </c>
      <c r="Q117" s="11" t="str">
        <f t="shared" si="13"/>
        <v>e (&gt;28)</v>
      </c>
      <c r="R117" s="14"/>
      <c r="S117" s="14"/>
    </row>
    <row r="118" spans="7:19" x14ac:dyDescent="0.3">
      <c r="G118" s="10">
        <f t="shared" si="14"/>
        <v>0</v>
      </c>
      <c r="H118" s="11" t="str">
        <f t="shared" si="8"/>
        <v>-</v>
      </c>
      <c r="I118" s="11" t="str">
        <f t="shared" si="15"/>
        <v>f (&gt;20%)</v>
      </c>
      <c r="J118" s="11" t="str">
        <f t="shared" si="16"/>
        <v>-</v>
      </c>
      <c r="K118" s="11" t="str">
        <f t="shared" si="17"/>
        <v>g (100%)</v>
      </c>
      <c r="N118" s="29"/>
      <c r="O118" s="29"/>
      <c r="P118" s="13" t="str">
        <f t="shared" si="18"/>
        <v>-</v>
      </c>
      <c r="Q118" s="11" t="str">
        <f t="shared" si="13"/>
        <v>e (&gt;28)</v>
      </c>
      <c r="R118" s="14"/>
      <c r="S118" s="14"/>
    </row>
    <row r="119" spans="7:19" x14ac:dyDescent="0.3">
      <c r="G119" s="10">
        <f t="shared" si="14"/>
        <v>0</v>
      </c>
      <c r="H119" s="11" t="str">
        <f t="shared" si="8"/>
        <v>-</v>
      </c>
      <c r="I119" s="11" t="str">
        <f t="shared" si="15"/>
        <v>f (&gt;20%)</v>
      </c>
      <c r="J119" s="11" t="str">
        <f t="shared" si="16"/>
        <v>-</v>
      </c>
      <c r="K119" s="11" t="str">
        <f t="shared" si="17"/>
        <v>g (100%)</v>
      </c>
      <c r="N119" s="29"/>
      <c r="O119" s="29"/>
      <c r="P119" s="13" t="str">
        <f t="shared" si="18"/>
        <v>-</v>
      </c>
      <c r="Q119" s="11" t="str">
        <f t="shared" si="13"/>
        <v>e (&gt;28)</v>
      </c>
      <c r="R119" s="14"/>
      <c r="S119" s="14"/>
    </row>
    <row r="120" spans="7:19" x14ac:dyDescent="0.3">
      <c r="G120" s="10">
        <f t="shared" si="14"/>
        <v>0</v>
      </c>
      <c r="H120" s="11" t="str">
        <f t="shared" si="8"/>
        <v>-</v>
      </c>
      <c r="I120" s="11" t="str">
        <f t="shared" si="15"/>
        <v>f (&gt;20%)</v>
      </c>
      <c r="J120" s="11" t="str">
        <f t="shared" si="16"/>
        <v>-</v>
      </c>
      <c r="K120" s="11" t="str">
        <f t="shared" si="17"/>
        <v>g (100%)</v>
      </c>
      <c r="N120" s="29"/>
      <c r="O120" s="29"/>
      <c r="P120" s="13" t="str">
        <f t="shared" si="18"/>
        <v>-</v>
      </c>
      <c r="Q120" s="11" t="str">
        <f t="shared" si="13"/>
        <v>e (&gt;28)</v>
      </c>
      <c r="R120" s="14"/>
      <c r="S120" s="14"/>
    </row>
    <row r="121" spans="7:19" x14ac:dyDescent="0.3">
      <c r="G121" s="10">
        <f t="shared" si="14"/>
        <v>0</v>
      </c>
      <c r="H121" s="11" t="str">
        <f t="shared" si="8"/>
        <v>-</v>
      </c>
      <c r="I121" s="11" t="str">
        <f t="shared" si="15"/>
        <v>f (&gt;20%)</v>
      </c>
      <c r="J121" s="11" t="str">
        <f t="shared" si="16"/>
        <v>-</v>
      </c>
      <c r="K121" s="11" t="str">
        <f t="shared" si="17"/>
        <v>g (100%)</v>
      </c>
      <c r="N121" s="29"/>
      <c r="O121" s="29"/>
      <c r="P121" s="13" t="str">
        <f t="shared" si="18"/>
        <v>-</v>
      </c>
      <c r="Q121" s="11" t="str">
        <f t="shared" si="13"/>
        <v>e (&gt;28)</v>
      </c>
      <c r="R121" s="14"/>
      <c r="S121" s="14"/>
    </row>
    <row r="122" spans="7:19" x14ac:dyDescent="0.3">
      <c r="G122" s="10">
        <f t="shared" si="14"/>
        <v>0</v>
      </c>
      <c r="H122" s="11" t="str">
        <f t="shared" si="8"/>
        <v>-</v>
      </c>
      <c r="I122" s="11" t="str">
        <f t="shared" si="15"/>
        <v>f (&gt;20%)</v>
      </c>
      <c r="J122" s="11" t="str">
        <f t="shared" si="16"/>
        <v>-</v>
      </c>
      <c r="K122" s="11" t="str">
        <f t="shared" si="17"/>
        <v>g (100%)</v>
      </c>
      <c r="N122" s="29"/>
      <c r="O122" s="29"/>
      <c r="P122" s="13" t="str">
        <f t="shared" si="18"/>
        <v>-</v>
      </c>
      <c r="Q122" s="11" t="str">
        <f t="shared" si="13"/>
        <v>e (&gt;28)</v>
      </c>
      <c r="R122" s="14"/>
      <c r="S122" s="14"/>
    </row>
    <row r="123" spans="7:19" x14ac:dyDescent="0.3">
      <c r="G123" s="10">
        <f t="shared" si="14"/>
        <v>0</v>
      </c>
      <c r="H123" s="11" t="str">
        <f t="shared" si="8"/>
        <v>-</v>
      </c>
      <c r="I123" s="11" t="str">
        <f t="shared" si="15"/>
        <v>f (&gt;20%)</v>
      </c>
      <c r="J123" s="11" t="str">
        <f t="shared" si="16"/>
        <v>-</v>
      </c>
      <c r="K123" s="11" t="str">
        <f t="shared" si="17"/>
        <v>g (100%)</v>
      </c>
      <c r="N123" s="29"/>
      <c r="O123" s="29"/>
      <c r="P123" s="13" t="str">
        <f t="shared" si="18"/>
        <v>-</v>
      </c>
      <c r="Q123" s="11" t="str">
        <f t="shared" si="13"/>
        <v>e (&gt;28)</v>
      </c>
      <c r="R123" s="14"/>
      <c r="S123" s="14"/>
    </row>
    <row r="124" spans="7:19" x14ac:dyDescent="0.3">
      <c r="G124" s="10">
        <f t="shared" si="14"/>
        <v>0</v>
      </c>
      <c r="H124" s="11" t="str">
        <f t="shared" si="8"/>
        <v>-</v>
      </c>
      <c r="I124" s="11" t="str">
        <f t="shared" si="15"/>
        <v>f (&gt;20%)</v>
      </c>
      <c r="J124" s="11" t="str">
        <f t="shared" si="16"/>
        <v>-</v>
      </c>
      <c r="K124" s="11" t="str">
        <f t="shared" si="17"/>
        <v>g (100%)</v>
      </c>
      <c r="N124" s="29"/>
      <c r="O124" s="29"/>
      <c r="P124" s="13" t="str">
        <f t="shared" si="18"/>
        <v>-</v>
      </c>
      <c r="Q124" s="11" t="str">
        <f t="shared" si="13"/>
        <v>e (&gt;28)</v>
      </c>
      <c r="R124" s="14"/>
      <c r="S124" s="14"/>
    </row>
    <row r="125" spans="7:19" x14ac:dyDescent="0.3">
      <c r="G125" s="10">
        <f t="shared" si="14"/>
        <v>0</v>
      </c>
      <c r="H125" s="11" t="str">
        <f t="shared" si="8"/>
        <v>-</v>
      </c>
      <c r="I125" s="11" t="str">
        <f t="shared" si="15"/>
        <v>f (&gt;20%)</v>
      </c>
      <c r="J125" s="11" t="str">
        <f t="shared" si="16"/>
        <v>-</v>
      </c>
      <c r="K125" s="11" t="str">
        <f t="shared" si="17"/>
        <v>g (100%)</v>
      </c>
      <c r="N125" s="29"/>
      <c r="O125" s="29"/>
      <c r="P125" s="13" t="str">
        <f t="shared" si="18"/>
        <v>-</v>
      </c>
      <c r="Q125" s="11" t="str">
        <f t="shared" si="13"/>
        <v>e (&gt;28)</v>
      </c>
      <c r="R125" s="14"/>
      <c r="S125" s="14"/>
    </row>
    <row r="126" spans="7:19" x14ac:dyDescent="0.3">
      <c r="G126" s="10">
        <f t="shared" si="14"/>
        <v>0</v>
      </c>
      <c r="H126" s="11" t="str">
        <f t="shared" si="8"/>
        <v>-</v>
      </c>
      <c r="I126" s="11" t="str">
        <f t="shared" si="15"/>
        <v>f (&gt;20%)</v>
      </c>
      <c r="J126" s="11" t="str">
        <f t="shared" si="16"/>
        <v>-</v>
      </c>
      <c r="K126" s="11" t="str">
        <f t="shared" si="17"/>
        <v>g (100%)</v>
      </c>
      <c r="N126" s="29"/>
      <c r="O126" s="29"/>
      <c r="P126" s="13" t="str">
        <f t="shared" si="18"/>
        <v>-</v>
      </c>
      <c r="Q126" s="11" t="str">
        <f t="shared" si="13"/>
        <v>e (&gt;28)</v>
      </c>
      <c r="R126" s="14"/>
      <c r="S126" s="14"/>
    </row>
    <row r="127" spans="7:19" x14ac:dyDescent="0.3">
      <c r="G127" s="10">
        <f t="shared" si="14"/>
        <v>0</v>
      </c>
      <c r="H127" s="11" t="str">
        <f t="shared" si="8"/>
        <v>-</v>
      </c>
      <c r="I127" s="11" t="str">
        <f t="shared" si="15"/>
        <v>f (&gt;20%)</v>
      </c>
      <c r="J127" s="11" t="str">
        <f t="shared" si="16"/>
        <v>-</v>
      </c>
      <c r="K127" s="11" t="str">
        <f t="shared" si="17"/>
        <v>g (100%)</v>
      </c>
      <c r="N127" s="29"/>
      <c r="P127" s="13" t="str">
        <f t="shared" si="18"/>
        <v>-</v>
      </c>
      <c r="Q127" s="11" t="str">
        <f t="shared" si="13"/>
        <v>e (&gt;28)</v>
      </c>
      <c r="R127" s="14"/>
      <c r="S127" s="14"/>
    </row>
    <row r="128" spans="7:19" x14ac:dyDescent="0.3">
      <c r="G128" s="10">
        <f t="shared" si="14"/>
        <v>0</v>
      </c>
      <c r="H128" s="11" t="str">
        <f t="shared" si="8"/>
        <v>-</v>
      </c>
      <c r="I128" s="11" t="str">
        <f t="shared" si="15"/>
        <v>f (&gt;20%)</v>
      </c>
      <c r="J128" s="11" t="str">
        <f t="shared" si="16"/>
        <v>-</v>
      </c>
      <c r="K128" s="11" t="str">
        <f t="shared" si="17"/>
        <v>g (100%)</v>
      </c>
      <c r="N128" s="29"/>
      <c r="O128" s="29"/>
      <c r="P128" s="13" t="str">
        <f t="shared" si="18"/>
        <v>-</v>
      </c>
      <c r="Q128" s="11" t="str">
        <f t="shared" si="13"/>
        <v>e (&gt;28)</v>
      </c>
      <c r="R128" s="14"/>
      <c r="S128" s="14"/>
    </row>
    <row r="129" spans="7:19" x14ac:dyDescent="0.3">
      <c r="G129" s="10">
        <f t="shared" si="14"/>
        <v>0</v>
      </c>
      <c r="H129" s="11" t="str">
        <f t="shared" si="8"/>
        <v>-</v>
      </c>
      <c r="I129" s="11" t="str">
        <f t="shared" si="15"/>
        <v>f (&gt;20%)</v>
      </c>
      <c r="J129" s="11" t="str">
        <f t="shared" si="16"/>
        <v>-</v>
      </c>
      <c r="K129" s="11" t="str">
        <f t="shared" si="17"/>
        <v>g (100%)</v>
      </c>
      <c r="N129" s="29"/>
      <c r="O129" s="29"/>
      <c r="P129" s="13" t="str">
        <f t="shared" si="18"/>
        <v>-</v>
      </c>
      <c r="Q129" s="11" t="str">
        <f t="shared" si="13"/>
        <v>e (&gt;28)</v>
      </c>
      <c r="R129" s="14"/>
      <c r="S129" s="14"/>
    </row>
    <row r="130" spans="7:19" x14ac:dyDescent="0.3">
      <c r="G130" s="10">
        <f t="shared" si="14"/>
        <v>0</v>
      </c>
      <c r="H130" s="11" t="str">
        <f t="shared" si="8"/>
        <v>-</v>
      </c>
      <c r="I130" s="11" t="str">
        <f t="shared" si="15"/>
        <v>f (&gt;20%)</v>
      </c>
      <c r="J130" s="11" t="str">
        <f t="shared" si="16"/>
        <v>-</v>
      </c>
      <c r="K130" s="11" t="str">
        <f t="shared" si="17"/>
        <v>g (100%)</v>
      </c>
      <c r="N130" s="29"/>
      <c r="O130" s="29"/>
      <c r="P130" s="13" t="str">
        <f t="shared" si="18"/>
        <v>-</v>
      </c>
      <c r="Q130" s="11" t="str">
        <f t="shared" si="13"/>
        <v>e (&gt;28)</v>
      </c>
      <c r="R130" s="14"/>
      <c r="S130" s="14"/>
    </row>
    <row r="131" spans="7:19" x14ac:dyDescent="0.3">
      <c r="G131" s="10">
        <f t="shared" si="14"/>
        <v>0</v>
      </c>
      <c r="H131" s="11" t="str">
        <f t="shared" ref="H131:H194" si="19">IFERROR(G131/E131,"-")</f>
        <v>-</v>
      </c>
      <c r="I131" s="11" t="str">
        <f t="shared" si="15"/>
        <v>f (&gt;20%)</v>
      </c>
      <c r="J131" s="11" t="str">
        <f t="shared" si="16"/>
        <v>-</v>
      </c>
      <c r="K131" s="11" t="str">
        <f t="shared" si="17"/>
        <v>g (100%)</v>
      </c>
      <c r="N131" s="29"/>
      <c r="P131" s="13" t="str">
        <f t="shared" si="18"/>
        <v>-</v>
      </c>
      <c r="Q131" s="11" t="str">
        <f t="shared" ref="Q131:Q194" si="20">IF(AND(P131&gt;0,P131&lt;=7),"a (0-7)",IF(AND(P131&gt;7,P131&lt;=14),"b (8-14)",IF(AND(P131&gt;14,P131&lt;=21),"c (15-21)",IF(AND(P131&gt;21,P131&lt;=28),"d (22-28)","e (&gt;28)"))))</f>
        <v>e (&gt;28)</v>
      </c>
      <c r="R131" s="14"/>
      <c r="S131" s="14"/>
    </row>
    <row r="132" spans="7:19" x14ac:dyDescent="0.3">
      <c r="G132" s="10">
        <f t="shared" si="14"/>
        <v>0</v>
      </c>
      <c r="H132" s="11" t="str">
        <f t="shared" si="19"/>
        <v>-</v>
      </c>
      <c r="I132" s="11" t="str">
        <f t="shared" si="15"/>
        <v>f (&gt;20%)</v>
      </c>
      <c r="J132" s="11" t="str">
        <f t="shared" si="16"/>
        <v>-</v>
      </c>
      <c r="K132" s="11" t="str">
        <f t="shared" si="17"/>
        <v>g (100%)</v>
      </c>
      <c r="N132" s="29"/>
      <c r="P132" s="13" t="str">
        <f t="shared" si="18"/>
        <v>-</v>
      </c>
      <c r="Q132" s="11" t="str">
        <f t="shared" si="20"/>
        <v>e (&gt;28)</v>
      </c>
      <c r="R132" s="14"/>
      <c r="S132" s="14"/>
    </row>
    <row r="133" spans="7:19" x14ac:dyDescent="0.3">
      <c r="G133" s="10">
        <f t="shared" si="14"/>
        <v>0</v>
      </c>
      <c r="H133" s="11" t="str">
        <f t="shared" si="19"/>
        <v>-</v>
      </c>
      <c r="I133" s="11" t="str">
        <f t="shared" si="15"/>
        <v>f (&gt;20%)</v>
      </c>
      <c r="J133" s="11" t="str">
        <f t="shared" si="16"/>
        <v>-</v>
      </c>
      <c r="K133" s="11" t="str">
        <f t="shared" si="17"/>
        <v>g (100%)</v>
      </c>
      <c r="N133" s="29"/>
      <c r="O133" s="29"/>
      <c r="P133" s="13" t="str">
        <f t="shared" si="18"/>
        <v>-</v>
      </c>
      <c r="Q133" s="11" t="str">
        <f t="shared" si="20"/>
        <v>e (&gt;28)</v>
      </c>
      <c r="R133" s="14"/>
      <c r="S133" s="14"/>
    </row>
    <row r="134" spans="7:19" x14ac:dyDescent="0.3">
      <c r="G134" s="10">
        <f t="shared" si="14"/>
        <v>0</v>
      </c>
      <c r="H134" s="11" t="str">
        <f t="shared" si="19"/>
        <v>-</v>
      </c>
      <c r="I134" s="11" t="str">
        <f t="shared" si="15"/>
        <v>f (&gt;20%)</v>
      </c>
      <c r="J134" s="11" t="str">
        <f t="shared" si="16"/>
        <v>-</v>
      </c>
      <c r="K134" s="11" t="str">
        <f t="shared" si="17"/>
        <v>g (100%)</v>
      </c>
      <c r="N134" s="29"/>
      <c r="P134" s="13" t="str">
        <f t="shared" si="18"/>
        <v>-</v>
      </c>
      <c r="Q134" s="11" t="str">
        <f t="shared" si="20"/>
        <v>e (&gt;28)</v>
      </c>
      <c r="R134" s="14"/>
      <c r="S134" s="14"/>
    </row>
    <row r="135" spans="7:19" x14ac:dyDescent="0.3">
      <c r="G135" s="10">
        <f t="shared" si="14"/>
        <v>0</v>
      </c>
      <c r="H135" s="11" t="str">
        <f t="shared" si="19"/>
        <v>-</v>
      </c>
      <c r="I135" s="11" t="str">
        <f t="shared" si="15"/>
        <v>f (&gt;20%)</v>
      </c>
      <c r="J135" s="11" t="str">
        <f t="shared" si="16"/>
        <v>-</v>
      </c>
      <c r="K135" s="11" t="str">
        <f t="shared" si="17"/>
        <v>g (100%)</v>
      </c>
      <c r="N135" s="29"/>
      <c r="O135" s="29"/>
      <c r="P135" s="13" t="str">
        <f t="shared" si="18"/>
        <v>-</v>
      </c>
      <c r="Q135" s="11" t="str">
        <f t="shared" si="20"/>
        <v>e (&gt;28)</v>
      </c>
      <c r="R135" s="14"/>
      <c r="S135" s="14"/>
    </row>
    <row r="136" spans="7:19" x14ac:dyDescent="0.3">
      <c r="G136" s="10">
        <f t="shared" si="14"/>
        <v>0</v>
      </c>
      <c r="H136" s="11" t="str">
        <f t="shared" si="19"/>
        <v>-</v>
      </c>
      <c r="I136" s="11" t="str">
        <f t="shared" si="15"/>
        <v>f (&gt;20%)</v>
      </c>
      <c r="J136" s="11" t="str">
        <f t="shared" si="16"/>
        <v>-</v>
      </c>
      <c r="K136" s="11" t="str">
        <f t="shared" si="17"/>
        <v>g (100%)</v>
      </c>
      <c r="N136" s="29"/>
      <c r="O136" s="29"/>
      <c r="P136" s="13" t="str">
        <f t="shared" si="18"/>
        <v>-</v>
      </c>
      <c r="Q136" s="11" t="str">
        <f t="shared" si="20"/>
        <v>e (&gt;28)</v>
      </c>
      <c r="R136" s="14"/>
      <c r="S136" s="14"/>
    </row>
    <row r="137" spans="7:19" x14ac:dyDescent="0.3">
      <c r="G137" s="10">
        <f t="shared" si="14"/>
        <v>0</v>
      </c>
      <c r="H137" s="11" t="str">
        <f t="shared" si="19"/>
        <v>-</v>
      </c>
      <c r="I137" s="11" t="str">
        <f t="shared" si="15"/>
        <v>f (&gt;20%)</v>
      </c>
      <c r="J137" s="11" t="str">
        <f t="shared" si="16"/>
        <v>-</v>
      </c>
      <c r="K137" s="11" t="str">
        <f t="shared" si="17"/>
        <v>g (100%)</v>
      </c>
      <c r="N137" s="29"/>
      <c r="O137" s="29"/>
      <c r="P137" s="13" t="str">
        <f t="shared" si="18"/>
        <v>-</v>
      </c>
      <c r="Q137" s="11" t="str">
        <f t="shared" si="20"/>
        <v>e (&gt;28)</v>
      </c>
      <c r="R137" s="14"/>
      <c r="S137" s="14"/>
    </row>
    <row r="138" spans="7:19" x14ac:dyDescent="0.3">
      <c r="G138" s="10">
        <f t="shared" si="14"/>
        <v>0</v>
      </c>
      <c r="H138" s="11" t="str">
        <f t="shared" si="19"/>
        <v>-</v>
      </c>
      <c r="I138" s="11" t="str">
        <f t="shared" si="15"/>
        <v>f (&gt;20%)</v>
      </c>
      <c r="J138" s="11" t="str">
        <f t="shared" si="16"/>
        <v>-</v>
      </c>
      <c r="K138" s="11" t="str">
        <f t="shared" si="17"/>
        <v>g (100%)</v>
      </c>
      <c r="N138" s="29"/>
      <c r="P138" s="13" t="str">
        <f t="shared" si="18"/>
        <v>-</v>
      </c>
      <c r="Q138" s="11" t="str">
        <f t="shared" si="20"/>
        <v>e (&gt;28)</v>
      </c>
      <c r="R138" s="14"/>
      <c r="S138" s="14"/>
    </row>
    <row r="139" spans="7:19" x14ac:dyDescent="0.3">
      <c r="G139" s="10">
        <f t="shared" si="14"/>
        <v>0</v>
      </c>
      <c r="H139" s="11" t="str">
        <f t="shared" si="19"/>
        <v>-</v>
      </c>
      <c r="I139" s="11" t="str">
        <f t="shared" si="15"/>
        <v>f (&gt;20%)</v>
      </c>
      <c r="J139" s="11" t="str">
        <f t="shared" si="16"/>
        <v>-</v>
      </c>
      <c r="K139" s="11" t="str">
        <f t="shared" si="17"/>
        <v>g (100%)</v>
      </c>
      <c r="N139" s="29"/>
      <c r="O139" s="29"/>
      <c r="P139" s="13" t="str">
        <f t="shared" si="18"/>
        <v>-</v>
      </c>
      <c r="Q139" s="11" t="str">
        <f t="shared" si="20"/>
        <v>e (&gt;28)</v>
      </c>
      <c r="R139" s="14"/>
      <c r="S139" s="14"/>
    </row>
    <row r="140" spans="7:19" x14ac:dyDescent="0.3">
      <c r="G140" s="10">
        <f t="shared" si="14"/>
        <v>0</v>
      </c>
      <c r="H140" s="11" t="str">
        <f t="shared" si="19"/>
        <v>-</v>
      </c>
      <c r="I140" s="11" t="str">
        <f t="shared" si="15"/>
        <v>f (&gt;20%)</v>
      </c>
      <c r="J140" s="11" t="str">
        <f t="shared" si="16"/>
        <v>-</v>
      </c>
      <c r="K140" s="11" t="str">
        <f t="shared" si="17"/>
        <v>g (100%)</v>
      </c>
      <c r="N140" s="29"/>
      <c r="O140" s="29"/>
      <c r="P140" s="13" t="str">
        <f t="shared" si="18"/>
        <v>-</v>
      </c>
      <c r="Q140" s="11" t="str">
        <f t="shared" si="20"/>
        <v>e (&gt;28)</v>
      </c>
      <c r="R140" s="14"/>
      <c r="S140" s="14"/>
    </row>
    <row r="141" spans="7:19" x14ac:dyDescent="0.3">
      <c r="G141" s="10">
        <f t="shared" si="14"/>
        <v>0</v>
      </c>
      <c r="H141" s="11" t="str">
        <f t="shared" si="19"/>
        <v>-</v>
      </c>
      <c r="I141" s="11" t="str">
        <f t="shared" si="15"/>
        <v>f (&gt;20%)</v>
      </c>
      <c r="J141" s="11" t="str">
        <f t="shared" si="16"/>
        <v>-</v>
      </c>
      <c r="K141" s="11" t="str">
        <f t="shared" si="17"/>
        <v>g (100%)</v>
      </c>
      <c r="N141" s="29"/>
      <c r="O141" s="29"/>
      <c r="P141" s="13" t="str">
        <f t="shared" si="18"/>
        <v>-</v>
      </c>
      <c r="Q141" s="11" t="str">
        <f t="shared" si="20"/>
        <v>e (&gt;28)</v>
      </c>
      <c r="R141" s="14"/>
      <c r="S141" s="14"/>
    </row>
    <row r="142" spans="7:19" x14ac:dyDescent="0.3">
      <c r="G142" s="10">
        <f t="shared" si="14"/>
        <v>0</v>
      </c>
      <c r="H142" s="11" t="str">
        <f t="shared" si="19"/>
        <v>-</v>
      </c>
      <c r="I142" s="11" t="str">
        <f t="shared" si="15"/>
        <v>f (&gt;20%)</v>
      </c>
      <c r="J142" s="11" t="str">
        <f t="shared" si="16"/>
        <v>-</v>
      </c>
      <c r="K142" s="11" t="str">
        <f t="shared" si="17"/>
        <v>g (100%)</v>
      </c>
      <c r="N142" s="29"/>
      <c r="O142" s="29"/>
      <c r="P142" s="13" t="str">
        <f t="shared" si="18"/>
        <v>-</v>
      </c>
      <c r="Q142" s="11" t="str">
        <f t="shared" si="20"/>
        <v>e (&gt;28)</v>
      </c>
      <c r="R142" s="14"/>
      <c r="S142" s="14"/>
    </row>
    <row r="143" spans="7:19" x14ac:dyDescent="0.3">
      <c r="G143" s="10">
        <f t="shared" si="14"/>
        <v>0</v>
      </c>
      <c r="H143" s="11" t="str">
        <f t="shared" si="19"/>
        <v>-</v>
      </c>
      <c r="I143" s="11" t="str">
        <f t="shared" si="15"/>
        <v>f (&gt;20%)</v>
      </c>
      <c r="J143" s="11" t="str">
        <f t="shared" si="16"/>
        <v>-</v>
      </c>
      <c r="K143" s="11" t="str">
        <f t="shared" si="17"/>
        <v>g (100%)</v>
      </c>
      <c r="N143" s="29"/>
      <c r="O143" s="29"/>
      <c r="P143" s="13" t="str">
        <f t="shared" si="18"/>
        <v>-</v>
      </c>
      <c r="Q143" s="11" t="str">
        <f t="shared" si="20"/>
        <v>e (&gt;28)</v>
      </c>
      <c r="R143" s="14"/>
      <c r="S143" s="14"/>
    </row>
    <row r="144" spans="7:19" x14ac:dyDescent="0.3">
      <c r="G144" s="10">
        <f t="shared" si="14"/>
        <v>0</v>
      </c>
      <c r="H144" s="11" t="str">
        <f t="shared" si="19"/>
        <v>-</v>
      </c>
      <c r="I144" s="11" t="str">
        <f t="shared" si="15"/>
        <v>f (&gt;20%)</v>
      </c>
      <c r="J144" s="11" t="str">
        <f t="shared" si="16"/>
        <v>-</v>
      </c>
      <c r="K144" s="11" t="str">
        <f t="shared" si="17"/>
        <v>g (100%)</v>
      </c>
      <c r="N144" s="29"/>
      <c r="P144" s="13" t="str">
        <f t="shared" si="18"/>
        <v>-</v>
      </c>
      <c r="Q144" s="11" t="str">
        <f t="shared" si="20"/>
        <v>e (&gt;28)</v>
      </c>
      <c r="R144" s="14"/>
      <c r="S144" s="14"/>
    </row>
    <row r="145" spans="7:19" x14ac:dyDescent="0.3">
      <c r="G145" s="10">
        <f t="shared" si="14"/>
        <v>0</v>
      </c>
      <c r="H145" s="11" t="str">
        <f t="shared" si="19"/>
        <v>-</v>
      </c>
      <c r="I145" s="11" t="str">
        <f t="shared" si="15"/>
        <v>f (&gt;20%)</v>
      </c>
      <c r="J145" s="11" t="str">
        <f t="shared" si="16"/>
        <v>-</v>
      </c>
      <c r="K145" s="11" t="str">
        <f t="shared" si="17"/>
        <v>g (100%)</v>
      </c>
      <c r="N145" s="29"/>
      <c r="O145" s="29"/>
      <c r="P145" s="13" t="str">
        <f t="shared" si="18"/>
        <v>-</v>
      </c>
      <c r="Q145" s="11" t="str">
        <f t="shared" si="20"/>
        <v>e (&gt;28)</v>
      </c>
      <c r="R145" s="14"/>
      <c r="S145" s="14"/>
    </row>
    <row r="146" spans="7:19" x14ac:dyDescent="0.3">
      <c r="G146" s="10">
        <f t="shared" si="14"/>
        <v>0</v>
      </c>
      <c r="H146" s="11" t="str">
        <f t="shared" si="19"/>
        <v>-</v>
      </c>
      <c r="I146" s="11" t="str">
        <f t="shared" si="15"/>
        <v>f (&gt;20%)</v>
      </c>
      <c r="J146" s="11" t="str">
        <f t="shared" si="16"/>
        <v>-</v>
      </c>
      <c r="K146" s="11" t="str">
        <f t="shared" si="17"/>
        <v>g (100%)</v>
      </c>
      <c r="N146" s="29"/>
      <c r="P146" s="13" t="str">
        <f t="shared" si="18"/>
        <v>-</v>
      </c>
      <c r="Q146" s="11" t="str">
        <f t="shared" si="20"/>
        <v>e (&gt;28)</v>
      </c>
      <c r="R146" s="14"/>
      <c r="S146" s="14"/>
    </row>
    <row r="147" spans="7:19" x14ac:dyDescent="0.3">
      <c r="G147" s="10">
        <f t="shared" si="14"/>
        <v>0</v>
      </c>
      <c r="H147" s="11" t="str">
        <f t="shared" si="19"/>
        <v>-</v>
      </c>
      <c r="I147" s="11" t="str">
        <f t="shared" si="15"/>
        <v>f (&gt;20%)</v>
      </c>
      <c r="J147" s="11" t="str">
        <f t="shared" si="16"/>
        <v>-</v>
      </c>
      <c r="K147" s="11" t="str">
        <f t="shared" si="17"/>
        <v>g (100%)</v>
      </c>
      <c r="N147" s="29"/>
      <c r="O147" s="29"/>
      <c r="P147" s="13" t="str">
        <f t="shared" si="18"/>
        <v>-</v>
      </c>
      <c r="Q147" s="11" t="str">
        <f t="shared" si="20"/>
        <v>e (&gt;28)</v>
      </c>
      <c r="R147" s="14"/>
      <c r="S147" s="14"/>
    </row>
    <row r="148" spans="7:19" x14ac:dyDescent="0.3">
      <c r="G148" s="10">
        <f t="shared" si="14"/>
        <v>0</v>
      </c>
      <c r="H148" s="11" t="str">
        <f t="shared" si="19"/>
        <v>-</v>
      </c>
      <c r="I148" s="11" t="str">
        <f t="shared" si="15"/>
        <v>f (&gt;20%)</v>
      </c>
      <c r="J148" s="11" t="str">
        <f t="shared" si="16"/>
        <v>-</v>
      </c>
      <c r="K148" s="11" t="str">
        <f t="shared" si="17"/>
        <v>g (100%)</v>
      </c>
      <c r="N148" s="29"/>
      <c r="O148" s="29"/>
      <c r="P148" s="13" t="str">
        <f t="shared" si="18"/>
        <v>-</v>
      </c>
      <c r="Q148" s="11" t="str">
        <f t="shared" si="20"/>
        <v>e (&gt;28)</v>
      </c>
      <c r="R148" s="14"/>
      <c r="S148" s="14"/>
    </row>
    <row r="149" spans="7:19" x14ac:dyDescent="0.3">
      <c r="G149" s="10">
        <f t="shared" si="14"/>
        <v>0</v>
      </c>
      <c r="H149" s="11" t="str">
        <f t="shared" si="19"/>
        <v>-</v>
      </c>
      <c r="I149" s="11" t="str">
        <f t="shared" si="15"/>
        <v>f (&gt;20%)</v>
      </c>
      <c r="J149" s="11" t="str">
        <f t="shared" si="16"/>
        <v>-</v>
      </c>
      <c r="K149" s="11" t="str">
        <f t="shared" si="17"/>
        <v>g (100%)</v>
      </c>
      <c r="N149" s="29"/>
      <c r="P149" s="13" t="str">
        <f t="shared" si="18"/>
        <v>-</v>
      </c>
      <c r="Q149" s="11" t="str">
        <f t="shared" si="20"/>
        <v>e (&gt;28)</v>
      </c>
      <c r="R149" s="14"/>
      <c r="S149" s="14"/>
    </row>
    <row r="150" spans="7:19" x14ac:dyDescent="0.3">
      <c r="G150" s="10">
        <f t="shared" si="14"/>
        <v>0</v>
      </c>
      <c r="H150" s="11" t="str">
        <f t="shared" si="19"/>
        <v>-</v>
      </c>
      <c r="I150" s="11" t="str">
        <f t="shared" si="15"/>
        <v>f (&gt;20%)</v>
      </c>
      <c r="J150" s="11" t="str">
        <f t="shared" si="16"/>
        <v>-</v>
      </c>
      <c r="K150" s="11" t="str">
        <f t="shared" si="17"/>
        <v>g (100%)</v>
      </c>
      <c r="N150" s="29"/>
      <c r="O150" s="29"/>
      <c r="P150" s="13" t="str">
        <f t="shared" si="18"/>
        <v>-</v>
      </c>
      <c r="Q150" s="11" t="str">
        <f t="shared" si="20"/>
        <v>e (&gt;28)</v>
      </c>
      <c r="R150" s="14"/>
      <c r="S150" s="14"/>
    </row>
    <row r="151" spans="7:19" x14ac:dyDescent="0.3">
      <c r="G151" s="10">
        <f t="shared" si="14"/>
        <v>0</v>
      </c>
      <c r="H151" s="11" t="str">
        <f t="shared" si="19"/>
        <v>-</v>
      </c>
      <c r="I151" s="11" t="str">
        <f t="shared" si="15"/>
        <v>f (&gt;20%)</v>
      </c>
      <c r="J151" s="11" t="str">
        <f t="shared" si="16"/>
        <v>-</v>
      </c>
      <c r="K151" s="11" t="str">
        <f t="shared" si="17"/>
        <v>g (100%)</v>
      </c>
      <c r="N151" s="29"/>
      <c r="O151" s="29"/>
      <c r="P151" s="13" t="str">
        <f t="shared" si="18"/>
        <v>-</v>
      </c>
      <c r="Q151" s="11" t="str">
        <f t="shared" si="20"/>
        <v>e (&gt;28)</v>
      </c>
      <c r="R151" s="14"/>
      <c r="S151" s="14"/>
    </row>
    <row r="152" spans="7:19" x14ac:dyDescent="0.3">
      <c r="G152" s="10">
        <f t="shared" si="14"/>
        <v>0</v>
      </c>
      <c r="H152" s="11" t="str">
        <f t="shared" si="19"/>
        <v>-</v>
      </c>
      <c r="I152" s="11" t="str">
        <f t="shared" si="15"/>
        <v>f (&gt;20%)</v>
      </c>
      <c r="J152" s="11" t="str">
        <f t="shared" si="16"/>
        <v>-</v>
      </c>
      <c r="K152" s="11" t="str">
        <f t="shared" si="17"/>
        <v>g (100%)</v>
      </c>
      <c r="N152" s="29"/>
      <c r="P152" s="13" t="str">
        <f t="shared" si="18"/>
        <v>-</v>
      </c>
      <c r="Q152" s="11" t="str">
        <f t="shared" si="20"/>
        <v>e (&gt;28)</v>
      </c>
      <c r="R152" s="14"/>
      <c r="S152" s="14"/>
    </row>
    <row r="153" spans="7:19" x14ac:dyDescent="0.3">
      <c r="G153" s="10">
        <f t="shared" si="14"/>
        <v>0</v>
      </c>
      <c r="H153" s="11" t="str">
        <f t="shared" si="19"/>
        <v>-</v>
      </c>
      <c r="I153" s="11" t="str">
        <f t="shared" si="15"/>
        <v>f (&gt;20%)</v>
      </c>
      <c r="J153" s="11" t="str">
        <f t="shared" si="16"/>
        <v>-</v>
      </c>
      <c r="K153" s="11" t="str">
        <f t="shared" si="17"/>
        <v>g (100%)</v>
      </c>
      <c r="N153" s="29"/>
      <c r="O153" s="29"/>
      <c r="P153" s="13" t="str">
        <f t="shared" si="18"/>
        <v>-</v>
      </c>
      <c r="Q153" s="11" t="str">
        <f t="shared" si="20"/>
        <v>e (&gt;28)</v>
      </c>
      <c r="R153" s="14"/>
      <c r="S153" s="14"/>
    </row>
    <row r="154" spans="7:19" x14ac:dyDescent="0.3">
      <c r="G154" s="10">
        <f t="shared" si="14"/>
        <v>0</v>
      </c>
      <c r="H154" s="11" t="str">
        <f t="shared" si="19"/>
        <v>-</v>
      </c>
      <c r="I154" s="11" t="str">
        <f t="shared" si="15"/>
        <v>f (&gt;20%)</v>
      </c>
      <c r="J154" s="11" t="str">
        <f t="shared" si="16"/>
        <v>-</v>
      </c>
      <c r="K154" s="11" t="str">
        <f t="shared" si="17"/>
        <v>g (100%)</v>
      </c>
      <c r="N154" s="29"/>
      <c r="O154" s="29"/>
      <c r="P154" s="13" t="str">
        <f t="shared" si="18"/>
        <v>-</v>
      </c>
      <c r="Q154" s="11" t="str">
        <f t="shared" si="20"/>
        <v>e (&gt;28)</v>
      </c>
      <c r="R154" s="14"/>
      <c r="S154" s="14"/>
    </row>
    <row r="155" spans="7:19" x14ac:dyDescent="0.3">
      <c r="G155" s="10">
        <f t="shared" si="14"/>
        <v>0</v>
      </c>
      <c r="H155" s="11" t="str">
        <f t="shared" si="19"/>
        <v>-</v>
      </c>
      <c r="I155" s="11" t="str">
        <f t="shared" si="15"/>
        <v>f (&gt;20%)</v>
      </c>
      <c r="J155" s="11" t="str">
        <f t="shared" si="16"/>
        <v>-</v>
      </c>
      <c r="K155" s="11" t="str">
        <f t="shared" si="17"/>
        <v>g (100%)</v>
      </c>
      <c r="N155" s="29"/>
      <c r="P155" s="13" t="str">
        <f t="shared" si="18"/>
        <v>-</v>
      </c>
      <c r="Q155" s="11" t="str">
        <f t="shared" si="20"/>
        <v>e (&gt;28)</v>
      </c>
      <c r="R155" s="14"/>
      <c r="S155" s="14"/>
    </row>
    <row r="156" spans="7:19" x14ac:dyDescent="0.3">
      <c r="G156" s="10">
        <f t="shared" si="14"/>
        <v>0</v>
      </c>
      <c r="H156" s="11" t="str">
        <f t="shared" si="19"/>
        <v>-</v>
      </c>
      <c r="I156" s="11" t="str">
        <f t="shared" si="15"/>
        <v>f (&gt;20%)</v>
      </c>
      <c r="J156" s="11" t="str">
        <f t="shared" si="16"/>
        <v>-</v>
      </c>
      <c r="K156" s="11" t="str">
        <f t="shared" si="17"/>
        <v>g (100%)</v>
      </c>
      <c r="N156" s="29"/>
      <c r="O156" s="29"/>
      <c r="P156" s="13" t="str">
        <f t="shared" si="18"/>
        <v>-</v>
      </c>
      <c r="Q156" s="11" t="str">
        <f t="shared" si="20"/>
        <v>e (&gt;28)</v>
      </c>
      <c r="R156" s="14"/>
      <c r="S156" s="14"/>
    </row>
    <row r="157" spans="7:19" x14ac:dyDescent="0.3">
      <c r="G157" s="10">
        <f t="shared" si="14"/>
        <v>0</v>
      </c>
      <c r="H157" s="11" t="str">
        <f t="shared" si="19"/>
        <v>-</v>
      </c>
      <c r="I157" s="11" t="str">
        <f t="shared" si="15"/>
        <v>f (&gt;20%)</v>
      </c>
      <c r="J157" s="11" t="str">
        <f t="shared" si="16"/>
        <v>-</v>
      </c>
      <c r="K157" s="11" t="str">
        <f t="shared" si="17"/>
        <v>g (100%)</v>
      </c>
      <c r="N157" s="29"/>
      <c r="O157" s="29"/>
      <c r="P157" s="13" t="str">
        <f t="shared" si="18"/>
        <v>-</v>
      </c>
      <c r="Q157" s="11" t="str">
        <f t="shared" si="20"/>
        <v>e (&gt;28)</v>
      </c>
      <c r="R157" s="14"/>
      <c r="S157" s="14"/>
    </row>
    <row r="158" spans="7:19" x14ac:dyDescent="0.3">
      <c r="G158" s="10">
        <f t="shared" si="14"/>
        <v>0</v>
      </c>
      <c r="H158" s="11" t="str">
        <f t="shared" si="19"/>
        <v>-</v>
      </c>
      <c r="I158" s="11" t="str">
        <f t="shared" si="15"/>
        <v>f (&gt;20%)</v>
      </c>
      <c r="J158" s="11" t="str">
        <f t="shared" si="16"/>
        <v>-</v>
      </c>
      <c r="K158" s="11" t="str">
        <f t="shared" si="17"/>
        <v>g (100%)</v>
      </c>
      <c r="N158" s="29"/>
      <c r="O158" s="29"/>
      <c r="P158" s="13" t="str">
        <f t="shared" si="18"/>
        <v>-</v>
      </c>
      <c r="Q158" s="11" t="str">
        <f t="shared" si="20"/>
        <v>e (&gt;28)</v>
      </c>
      <c r="R158" s="14"/>
      <c r="S158" s="14"/>
    </row>
    <row r="159" spans="7:19" x14ac:dyDescent="0.3">
      <c r="G159" s="10">
        <f t="shared" si="14"/>
        <v>0</v>
      </c>
      <c r="H159" s="11" t="str">
        <f t="shared" si="19"/>
        <v>-</v>
      </c>
      <c r="I159" s="11" t="str">
        <f t="shared" si="15"/>
        <v>f (&gt;20%)</v>
      </c>
      <c r="J159" s="11" t="str">
        <f t="shared" si="16"/>
        <v>-</v>
      </c>
      <c r="K159" s="11" t="str">
        <f t="shared" si="17"/>
        <v>g (100%)</v>
      </c>
      <c r="N159" s="29"/>
      <c r="O159" s="29"/>
      <c r="P159" s="13" t="str">
        <f t="shared" si="18"/>
        <v>-</v>
      </c>
      <c r="Q159" s="11" t="str">
        <f t="shared" si="20"/>
        <v>e (&gt;28)</v>
      </c>
      <c r="R159" s="14"/>
      <c r="S159" s="14"/>
    </row>
    <row r="160" spans="7:19" x14ac:dyDescent="0.3">
      <c r="G160" s="10">
        <f t="shared" si="14"/>
        <v>0</v>
      </c>
      <c r="H160" s="11" t="str">
        <f t="shared" si="19"/>
        <v>-</v>
      </c>
      <c r="I160" s="11" t="str">
        <f t="shared" si="15"/>
        <v>f (&gt;20%)</v>
      </c>
      <c r="J160" s="11" t="str">
        <f t="shared" si="16"/>
        <v>-</v>
      </c>
      <c r="K160" s="11" t="str">
        <f t="shared" si="17"/>
        <v>g (100%)</v>
      </c>
      <c r="N160" s="29"/>
      <c r="O160" s="29"/>
      <c r="P160" s="13" t="str">
        <f t="shared" si="18"/>
        <v>-</v>
      </c>
      <c r="Q160" s="11" t="str">
        <f t="shared" si="20"/>
        <v>e (&gt;28)</v>
      </c>
      <c r="R160" s="14"/>
      <c r="S160" s="14"/>
    </row>
    <row r="161" spans="7:19" x14ac:dyDescent="0.3">
      <c r="G161" s="10">
        <f t="shared" si="14"/>
        <v>0</v>
      </c>
      <c r="H161" s="11" t="str">
        <f t="shared" si="19"/>
        <v>-</v>
      </c>
      <c r="I161" s="11" t="str">
        <f t="shared" si="15"/>
        <v>f (&gt;20%)</v>
      </c>
      <c r="J161" s="11" t="str">
        <f t="shared" si="16"/>
        <v>-</v>
      </c>
      <c r="K161" s="11" t="str">
        <f t="shared" si="17"/>
        <v>g (100%)</v>
      </c>
      <c r="N161" s="29"/>
      <c r="P161" s="13" t="str">
        <f t="shared" si="18"/>
        <v>-</v>
      </c>
      <c r="Q161" s="11" t="str">
        <f t="shared" si="20"/>
        <v>e (&gt;28)</v>
      </c>
      <c r="R161" s="14"/>
      <c r="S161" s="14"/>
    </row>
    <row r="162" spans="7:19" x14ac:dyDescent="0.3">
      <c r="G162" s="10">
        <f t="shared" si="14"/>
        <v>0</v>
      </c>
      <c r="H162" s="11" t="str">
        <f t="shared" si="19"/>
        <v>-</v>
      </c>
      <c r="I162" s="11" t="str">
        <f t="shared" si="15"/>
        <v>f (&gt;20%)</v>
      </c>
      <c r="J162" s="11" t="str">
        <f t="shared" si="16"/>
        <v>-</v>
      </c>
      <c r="K162" s="11" t="str">
        <f t="shared" si="17"/>
        <v>g (100%)</v>
      </c>
      <c r="N162" s="29"/>
      <c r="O162" s="29"/>
      <c r="P162" s="13" t="str">
        <f t="shared" si="18"/>
        <v>-</v>
      </c>
      <c r="Q162" s="11" t="str">
        <f t="shared" si="20"/>
        <v>e (&gt;28)</v>
      </c>
      <c r="R162" s="14"/>
      <c r="S162" s="14"/>
    </row>
    <row r="163" spans="7:19" x14ac:dyDescent="0.3">
      <c r="G163" s="10">
        <f t="shared" si="14"/>
        <v>0</v>
      </c>
      <c r="H163" s="11" t="str">
        <f t="shared" si="19"/>
        <v>-</v>
      </c>
      <c r="I163" s="11" t="str">
        <f t="shared" si="15"/>
        <v>f (&gt;20%)</v>
      </c>
      <c r="J163" s="11" t="str">
        <f t="shared" si="16"/>
        <v>-</v>
      </c>
      <c r="K163" s="11" t="str">
        <f t="shared" si="17"/>
        <v>g (100%)</v>
      </c>
      <c r="N163" s="29"/>
      <c r="O163" s="29"/>
      <c r="P163" s="13" t="str">
        <f t="shared" si="18"/>
        <v>-</v>
      </c>
      <c r="Q163" s="11" t="str">
        <f t="shared" si="20"/>
        <v>e (&gt;28)</v>
      </c>
      <c r="R163" s="14"/>
      <c r="S163" s="14"/>
    </row>
    <row r="164" spans="7:19" x14ac:dyDescent="0.3">
      <c r="G164" s="10">
        <f t="shared" si="14"/>
        <v>0</v>
      </c>
      <c r="H164" s="11" t="str">
        <f t="shared" si="19"/>
        <v>-</v>
      </c>
      <c r="I164" s="11" t="str">
        <f t="shared" si="15"/>
        <v>f (&gt;20%)</v>
      </c>
      <c r="J164" s="11" t="str">
        <f t="shared" si="16"/>
        <v>-</v>
      </c>
      <c r="K164" s="11" t="str">
        <f t="shared" si="17"/>
        <v>g (100%)</v>
      </c>
      <c r="N164" s="29"/>
      <c r="O164" s="29"/>
      <c r="P164" s="13" t="str">
        <f t="shared" si="18"/>
        <v>-</v>
      </c>
      <c r="Q164" s="11" t="str">
        <f t="shared" si="20"/>
        <v>e (&gt;28)</v>
      </c>
      <c r="R164" s="14"/>
      <c r="S164" s="14"/>
    </row>
    <row r="165" spans="7:19" x14ac:dyDescent="0.3">
      <c r="G165" s="10">
        <f t="shared" si="14"/>
        <v>0</v>
      </c>
      <c r="H165" s="11" t="str">
        <f t="shared" si="19"/>
        <v>-</v>
      </c>
      <c r="I165" s="11" t="str">
        <f t="shared" si="15"/>
        <v>f (&gt;20%)</v>
      </c>
      <c r="J165" s="11" t="str">
        <f t="shared" si="16"/>
        <v>-</v>
      </c>
      <c r="K165" s="11" t="str">
        <f t="shared" si="17"/>
        <v>g (100%)</v>
      </c>
      <c r="N165" s="29"/>
      <c r="O165" s="29"/>
      <c r="P165" s="13" t="str">
        <f t="shared" si="18"/>
        <v>-</v>
      </c>
      <c r="Q165" s="11" t="str">
        <f t="shared" si="20"/>
        <v>e (&gt;28)</v>
      </c>
      <c r="R165" s="14"/>
      <c r="S165" s="14"/>
    </row>
    <row r="166" spans="7:19" x14ac:dyDescent="0.3">
      <c r="G166" s="10">
        <f t="shared" si="14"/>
        <v>0</v>
      </c>
      <c r="H166" s="11" t="str">
        <f t="shared" si="19"/>
        <v>-</v>
      </c>
      <c r="I166" s="11" t="str">
        <f t="shared" si="15"/>
        <v>f (&gt;20%)</v>
      </c>
      <c r="J166" s="11" t="str">
        <f t="shared" si="16"/>
        <v>-</v>
      </c>
      <c r="K166" s="11" t="str">
        <f t="shared" si="17"/>
        <v>g (100%)</v>
      </c>
      <c r="N166" s="29"/>
      <c r="O166" s="29"/>
      <c r="P166" s="13" t="str">
        <f t="shared" si="18"/>
        <v>-</v>
      </c>
      <c r="Q166" s="11" t="str">
        <f t="shared" si="20"/>
        <v>e (&gt;28)</v>
      </c>
      <c r="R166" s="14"/>
      <c r="S166" s="14"/>
    </row>
    <row r="167" spans="7:19" x14ac:dyDescent="0.3">
      <c r="G167" s="10">
        <f t="shared" si="14"/>
        <v>0</v>
      </c>
      <c r="H167" s="11" t="str">
        <f t="shared" si="19"/>
        <v>-</v>
      </c>
      <c r="I167" s="11" t="str">
        <f t="shared" si="15"/>
        <v>f (&gt;20%)</v>
      </c>
      <c r="J167" s="11" t="str">
        <f t="shared" si="16"/>
        <v>-</v>
      </c>
      <c r="K167" s="11" t="str">
        <f t="shared" si="17"/>
        <v>g (100%)</v>
      </c>
      <c r="N167" s="29"/>
      <c r="P167" s="13" t="str">
        <f t="shared" si="18"/>
        <v>-</v>
      </c>
      <c r="Q167" s="11" t="str">
        <f t="shared" si="20"/>
        <v>e (&gt;28)</v>
      </c>
      <c r="R167" s="14"/>
      <c r="S167" s="14"/>
    </row>
    <row r="168" spans="7:19" x14ac:dyDescent="0.3">
      <c r="G168" s="10">
        <f t="shared" si="14"/>
        <v>0</v>
      </c>
      <c r="H168" s="11" t="str">
        <f t="shared" si="19"/>
        <v>-</v>
      </c>
      <c r="I168" s="11" t="str">
        <f t="shared" si="15"/>
        <v>f (&gt;20%)</v>
      </c>
      <c r="J168" s="11" t="str">
        <f t="shared" si="16"/>
        <v>-</v>
      </c>
      <c r="K168" s="11" t="str">
        <f t="shared" si="17"/>
        <v>g (100%)</v>
      </c>
      <c r="N168" s="29"/>
      <c r="O168" s="29"/>
      <c r="P168" s="13" t="str">
        <f t="shared" si="18"/>
        <v>-</v>
      </c>
      <c r="Q168" s="11" t="str">
        <f t="shared" si="20"/>
        <v>e (&gt;28)</v>
      </c>
      <c r="R168" s="14"/>
      <c r="S168" s="14"/>
    </row>
    <row r="169" spans="7:19" x14ac:dyDescent="0.3">
      <c r="G169" s="10">
        <f t="shared" si="14"/>
        <v>0</v>
      </c>
      <c r="H169" s="11" t="str">
        <f t="shared" si="19"/>
        <v>-</v>
      </c>
      <c r="I169" s="11" t="str">
        <f t="shared" si="15"/>
        <v>f (&gt;20%)</v>
      </c>
      <c r="J169" s="11" t="str">
        <f t="shared" si="16"/>
        <v>-</v>
      </c>
      <c r="K169" s="11" t="str">
        <f t="shared" si="17"/>
        <v>g (100%)</v>
      </c>
      <c r="N169" s="29"/>
      <c r="O169" s="29"/>
      <c r="P169" s="13" t="str">
        <f t="shared" si="18"/>
        <v>-</v>
      </c>
      <c r="Q169" s="11" t="str">
        <f t="shared" si="20"/>
        <v>e (&gt;28)</v>
      </c>
      <c r="R169" s="14"/>
      <c r="S169" s="14"/>
    </row>
    <row r="170" spans="7:19" x14ac:dyDescent="0.3">
      <c r="G170" s="10">
        <f t="shared" ref="G170:G233" si="21">E170-F170</f>
        <v>0</v>
      </c>
      <c r="H170" s="11" t="str">
        <f t="shared" si="19"/>
        <v>-</v>
      </c>
      <c r="I170" s="11" t="str">
        <f t="shared" ref="I170:I233" si="22">IF(H170=0%,"a (0%)",IF(AND(H170&gt;0%,H170&lt;=5%),"b (0%-5%)",IF(AND(H170&gt;5%,H170&lt;=10%),"c (5%-10%)",IF(AND(H170&gt;10%,H170&lt;=15%),"d (10%-15%)",IF(AND(H170&gt;15%,H170&lt;=20%),"e (15%-20%)","f (&gt;20%)")))))</f>
        <v>f (&gt;20%)</v>
      </c>
      <c r="J170" s="11" t="str">
        <f t="shared" ref="J170:J233" si="23">IFERROR(F170/D170,"-")</f>
        <v>-</v>
      </c>
      <c r="K170" s="11" t="str">
        <f t="shared" ref="K170:K233" si="24">IF(J170=0%,"a (0%)",IF(AND(J170&gt;0%,J170&lt;=20%),"b (0%-20%)",IF(AND(J170&gt;20%,J170&lt;=40%),"c (20%-40%)",IF(AND(J170&gt;40%,J170&lt;=60%),"d (40%-60%)",IF(AND(J170&gt;60%,J170&lt;=80%),"e (60%-80%)",IF(AND(J170&gt;80%,J170&lt;100%),"f (80%-99%)","g (100%)"))))))</f>
        <v>g (100%)</v>
      </c>
      <c r="N170" s="29"/>
      <c r="O170" s="29"/>
      <c r="P170" s="13" t="str">
        <f t="shared" ref="P170:P233" si="25">IFERROR(IF(N170="","-",DATEDIF(N170,O170,"d")),0)</f>
        <v>-</v>
      </c>
      <c r="Q170" s="11" t="str">
        <f t="shared" si="20"/>
        <v>e (&gt;28)</v>
      </c>
      <c r="R170" s="14"/>
      <c r="S170" s="14"/>
    </row>
    <row r="171" spans="7:19" x14ac:dyDescent="0.3">
      <c r="G171" s="10">
        <f t="shared" si="21"/>
        <v>0</v>
      </c>
      <c r="H171" s="11" t="str">
        <f t="shared" si="19"/>
        <v>-</v>
      </c>
      <c r="I171" s="11" t="str">
        <f t="shared" si="22"/>
        <v>f (&gt;20%)</v>
      </c>
      <c r="J171" s="11" t="str">
        <f t="shared" si="23"/>
        <v>-</v>
      </c>
      <c r="K171" s="11" t="str">
        <f t="shared" si="24"/>
        <v>g (100%)</v>
      </c>
      <c r="N171" s="29"/>
      <c r="O171" s="29"/>
      <c r="P171" s="13" t="str">
        <f t="shared" si="25"/>
        <v>-</v>
      </c>
      <c r="Q171" s="11" t="str">
        <f t="shared" si="20"/>
        <v>e (&gt;28)</v>
      </c>
      <c r="R171" s="14"/>
      <c r="S171" s="14"/>
    </row>
    <row r="172" spans="7:19" x14ac:dyDescent="0.3">
      <c r="G172" s="10">
        <f t="shared" si="21"/>
        <v>0</v>
      </c>
      <c r="H172" s="11" t="str">
        <f t="shared" si="19"/>
        <v>-</v>
      </c>
      <c r="I172" s="11" t="str">
        <f t="shared" si="22"/>
        <v>f (&gt;20%)</v>
      </c>
      <c r="J172" s="11" t="str">
        <f t="shared" si="23"/>
        <v>-</v>
      </c>
      <c r="K172" s="11" t="str">
        <f t="shared" si="24"/>
        <v>g (100%)</v>
      </c>
      <c r="N172" s="29"/>
      <c r="O172" s="29"/>
      <c r="P172" s="13" t="str">
        <f t="shared" si="25"/>
        <v>-</v>
      </c>
      <c r="Q172" s="11" t="str">
        <f t="shared" si="20"/>
        <v>e (&gt;28)</v>
      </c>
      <c r="R172" s="14"/>
      <c r="S172" s="14"/>
    </row>
    <row r="173" spans="7:19" x14ac:dyDescent="0.3">
      <c r="G173" s="10">
        <f t="shared" si="21"/>
        <v>0</v>
      </c>
      <c r="H173" s="11" t="str">
        <f t="shared" si="19"/>
        <v>-</v>
      </c>
      <c r="I173" s="11" t="str">
        <f t="shared" si="22"/>
        <v>f (&gt;20%)</v>
      </c>
      <c r="J173" s="11" t="str">
        <f t="shared" si="23"/>
        <v>-</v>
      </c>
      <c r="K173" s="11" t="str">
        <f t="shared" si="24"/>
        <v>g (100%)</v>
      </c>
      <c r="N173" s="29"/>
      <c r="O173" s="29"/>
      <c r="P173" s="13" t="str">
        <f t="shared" si="25"/>
        <v>-</v>
      </c>
      <c r="Q173" s="11" t="str">
        <f t="shared" si="20"/>
        <v>e (&gt;28)</v>
      </c>
      <c r="R173" s="14"/>
      <c r="S173" s="14"/>
    </row>
    <row r="174" spans="7:19" x14ac:dyDescent="0.3">
      <c r="G174" s="10">
        <f t="shared" si="21"/>
        <v>0</v>
      </c>
      <c r="H174" s="11" t="str">
        <f t="shared" si="19"/>
        <v>-</v>
      </c>
      <c r="I174" s="11" t="str">
        <f t="shared" si="22"/>
        <v>f (&gt;20%)</v>
      </c>
      <c r="J174" s="11" t="str">
        <f t="shared" si="23"/>
        <v>-</v>
      </c>
      <c r="K174" s="11" t="str">
        <f t="shared" si="24"/>
        <v>g (100%)</v>
      </c>
      <c r="N174" s="29"/>
      <c r="O174" s="29"/>
      <c r="P174" s="13" t="str">
        <f t="shared" si="25"/>
        <v>-</v>
      </c>
      <c r="Q174" s="11" t="str">
        <f t="shared" si="20"/>
        <v>e (&gt;28)</v>
      </c>
      <c r="R174" s="14"/>
      <c r="S174" s="14"/>
    </row>
    <row r="175" spans="7:19" x14ac:dyDescent="0.3">
      <c r="G175" s="10">
        <f t="shared" si="21"/>
        <v>0</v>
      </c>
      <c r="H175" s="11" t="str">
        <f t="shared" si="19"/>
        <v>-</v>
      </c>
      <c r="I175" s="11" t="str">
        <f t="shared" si="22"/>
        <v>f (&gt;20%)</v>
      </c>
      <c r="J175" s="11" t="str">
        <f t="shared" si="23"/>
        <v>-</v>
      </c>
      <c r="K175" s="11" t="str">
        <f t="shared" si="24"/>
        <v>g (100%)</v>
      </c>
      <c r="N175" s="29"/>
      <c r="O175" s="29"/>
      <c r="P175" s="13" t="str">
        <f t="shared" si="25"/>
        <v>-</v>
      </c>
      <c r="Q175" s="11" t="str">
        <f t="shared" si="20"/>
        <v>e (&gt;28)</v>
      </c>
      <c r="R175" s="14"/>
      <c r="S175" s="14"/>
    </row>
    <row r="176" spans="7:19" x14ac:dyDescent="0.3">
      <c r="G176" s="10">
        <f t="shared" si="21"/>
        <v>0</v>
      </c>
      <c r="H176" s="11" t="str">
        <f t="shared" si="19"/>
        <v>-</v>
      </c>
      <c r="I176" s="11" t="str">
        <f t="shared" si="22"/>
        <v>f (&gt;20%)</v>
      </c>
      <c r="J176" s="11" t="str">
        <f t="shared" si="23"/>
        <v>-</v>
      </c>
      <c r="K176" s="11" t="str">
        <f t="shared" si="24"/>
        <v>g (100%)</v>
      </c>
      <c r="N176" s="29"/>
      <c r="O176" s="29"/>
      <c r="P176" s="13" t="str">
        <f t="shared" si="25"/>
        <v>-</v>
      </c>
      <c r="Q176" s="11" t="str">
        <f t="shared" si="20"/>
        <v>e (&gt;28)</v>
      </c>
      <c r="R176" s="14"/>
      <c r="S176" s="14"/>
    </row>
    <row r="177" spans="7:19" x14ac:dyDescent="0.3">
      <c r="G177" s="10">
        <f t="shared" si="21"/>
        <v>0</v>
      </c>
      <c r="H177" s="11" t="str">
        <f t="shared" si="19"/>
        <v>-</v>
      </c>
      <c r="I177" s="11" t="str">
        <f t="shared" si="22"/>
        <v>f (&gt;20%)</v>
      </c>
      <c r="J177" s="11" t="str">
        <f t="shared" si="23"/>
        <v>-</v>
      </c>
      <c r="K177" s="11" t="str">
        <f t="shared" si="24"/>
        <v>g (100%)</v>
      </c>
      <c r="N177" s="29"/>
      <c r="O177" s="29"/>
      <c r="P177" s="13" t="str">
        <f t="shared" si="25"/>
        <v>-</v>
      </c>
      <c r="Q177" s="11" t="str">
        <f t="shared" si="20"/>
        <v>e (&gt;28)</v>
      </c>
      <c r="R177" s="14"/>
      <c r="S177" s="14"/>
    </row>
    <row r="178" spans="7:19" x14ac:dyDescent="0.3">
      <c r="G178" s="10">
        <f t="shared" si="21"/>
        <v>0</v>
      </c>
      <c r="H178" s="11" t="str">
        <f t="shared" si="19"/>
        <v>-</v>
      </c>
      <c r="I178" s="11" t="str">
        <f t="shared" si="22"/>
        <v>f (&gt;20%)</v>
      </c>
      <c r="J178" s="11" t="str">
        <f t="shared" si="23"/>
        <v>-</v>
      </c>
      <c r="K178" s="11" t="str">
        <f t="shared" si="24"/>
        <v>g (100%)</v>
      </c>
      <c r="N178" s="29"/>
      <c r="O178" s="29"/>
      <c r="P178" s="13" t="str">
        <f t="shared" si="25"/>
        <v>-</v>
      </c>
      <c r="Q178" s="11" t="str">
        <f t="shared" si="20"/>
        <v>e (&gt;28)</v>
      </c>
      <c r="R178" s="14"/>
      <c r="S178" s="14"/>
    </row>
    <row r="179" spans="7:19" x14ac:dyDescent="0.3">
      <c r="G179" s="10">
        <f t="shared" si="21"/>
        <v>0</v>
      </c>
      <c r="H179" s="11" t="str">
        <f t="shared" si="19"/>
        <v>-</v>
      </c>
      <c r="I179" s="11" t="str">
        <f t="shared" si="22"/>
        <v>f (&gt;20%)</v>
      </c>
      <c r="J179" s="11" t="str">
        <f t="shared" si="23"/>
        <v>-</v>
      </c>
      <c r="K179" s="11" t="str">
        <f t="shared" si="24"/>
        <v>g (100%)</v>
      </c>
      <c r="N179" s="29"/>
      <c r="O179" s="29"/>
      <c r="P179" s="13" t="str">
        <f t="shared" si="25"/>
        <v>-</v>
      </c>
      <c r="Q179" s="11" t="str">
        <f t="shared" si="20"/>
        <v>e (&gt;28)</v>
      </c>
      <c r="R179" s="14"/>
      <c r="S179" s="14"/>
    </row>
    <row r="180" spans="7:19" x14ac:dyDescent="0.3">
      <c r="G180" s="10">
        <f t="shared" si="21"/>
        <v>0</v>
      </c>
      <c r="H180" s="11" t="str">
        <f t="shared" si="19"/>
        <v>-</v>
      </c>
      <c r="I180" s="11" t="str">
        <f t="shared" si="22"/>
        <v>f (&gt;20%)</v>
      </c>
      <c r="J180" s="11" t="str">
        <f t="shared" si="23"/>
        <v>-</v>
      </c>
      <c r="K180" s="11" t="str">
        <f t="shared" si="24"/>
        <v>g (100%)</v>
      </c>
      <c r="N180" s="29"/>
      <c r="O180" s="29"/>
      <c r="P180" s="13" t="str">
        <f t="shared" si="25"/>
        <v>-</v>
      </c>
      <c r="Q180" s="11" t="str">
        <f t="shared" si="20"/>
        <v>e (&gt;28)</v>
      </c>
      <c r="R180" s="14"/>
      <c r="S180" s="14"/>
    </row>
    <row r="181" spans="7:19" x14ac:dyDescent="0.3">
      <c r="G181" s="10">
        <f t="shared" si="21"/>
        <v>0</v>
      </c>
      <c r="H181" s="11" t="str">
        <f t="shared" si="19"/>
        <v>-</v>
      </c>
      <c r="I181" s="11" t="str">
        <f t="shared" si="22"/>
        <v>f (&gt;20%)</v>
      </c>
      <c r="J181" s="11" t="str">
        <f t="shared" si="23"/>
        <v>-</v>
      </c>
      <c r="K181" s="11" t="str">
        <f t="shared" si="24"/>
        <v>g (100%)</v>
      </c>
      <c r="N181" s="29"/>
      <c r="O181" s="29"/>
      <c r="P181" s="13" t="str">
        <f t="shared" si="25"/>
        <v>-</v>
      </c>
      <c r="Q181" s="11" t="str">
        <f t="shared" si="20"/>
        <v>e (&gt;28)</v>
      </c>
      <c r="R181" s="14"/>
      <c r="S181" s="14"/>
    </row>
    <row r="182" spans="7:19" x14ac:dyDescent="0.3">
      <c r="G182" s="10">
        <f t="shared" si="21"/>
        <v>0</v>
      </c>
      <c r="H182" s="11" t="str">
        <f t="shared" si="19"/>
        <v>-</v>
      </c>
      <c r="I182" s="11" t="str">
        <f t="shared" si="22"/>
        <v>f (&gt;20%)</v>
      </c>
      <c r="J182" s="11" t="str">
        <f t="shared" si="23"/>
        <v>-</v>
      </c>
      <c r="K182" s="11" t="str">
        <f t="shared" si="24"/>
        <v>g (100%)</v>
      </c>
      <c r="N182" s="29"/>
      <c r="P182" s="13" t="str">
        <f t="shared" si="25"/>
        <v>-</v>
      </c>
      <c r="Q182" s="11" t="str">
        <f t="shared" si="20"/>
        <v>e (&gt;28)</v>
      </c>
      <c r="R182" s="14"/>
      <c r="S182" s="14"/>
    </row>
    <row r="183" spans="7:19" x14ac:dyDescent="0.3">
      <c r="G183" s="10">
        <f t="shared" si="21"/>
        <v>0</v>
      </c>
      <c r="H183" s="11" t="str">
        <f t="shared" si="19"/>
        <v>-</v>
      </c>
      <c r="I183" s="11" t="str">
        <f t="shared" si="22"/>
        <v>f (&gt;20%)</v>
      </c>
      <c r="J183" s="11" t="str">
        <f t="shared" si="23"/>
        <v>-</v>
      </c>
      <c r="K183" s="11" t="str">
        <f t="shared" si="24"/>
        <v>g (100%)</v>
      </c>
      <c r="N183" s="29"/>
      <c r="O183" s="29"/>
      <c r="P183" s="13" t="str">
        <f t="shared" si="25"/>
        <v>-</v>
      </c>
      <c r="Q183" s="11" t="str">
        <f t="shared" si="20"/>
        <v>e (&gt;28)</v>
      </c>
      <c r="R183" s="14"/>
      <c r="S183" s="14"/>
    </row>
    <row r="184" spans="7:19" x14ac:dyDescent="0.3">
      <c r="G184" s="10">
        <f t="shared" si="21"/>
        <v>0</v>
      </c>
      <c r="H184" s="11" t="str">
        <f t="shared" si="19"/>
        <v>-</v>
      </c>
      <c r="I184" s="11" t="str">
        <f t="shared" si="22"/>
        <v>f (&gt;20%)</v>
      </c>
      <c r="J184" s="11" t="str">
        <f t="shared" si="23"/>
        <v>-</v>
      </c>
      <c r="K184" s="11" t="str">
        <f t="shared" si="24"/>
        <v>g (100%)</v>
      </c>
      <c r="N184" s="29"/>
      <c r="O184" s="29"/>
      <c r="P184" s="13" t="str">
        <f t="shared" si="25"/>
        <v>-</v>
      </c>
      <c r="Q184" s="11" t="str">
        <f t="shared" si="20"/>
        <v>e (&gt;28)</v>
      </c>
      <c r="R184" s="14"/>
      <c r="S184" s="14"/>
    </row>
    <row r="185" spans="7:19" x14ac:dyDescent="0.3">
      <c r="G185" s="10">
        <f t="shared" si="21"/>
        <v>0</v>
      </c>
      <c r="H185" s="11" t="str">
        <f t="shared" si="19"/>
        <v>-</v>
      </c>
      <c r="I185" s="11" t="str">
        <f t="shared" si="22"/>
        <v>f (&gt;20%)</v>
      </c>
      <c r="J185" s="11" t="str">
        <f t="shared" si="23"/>
        <v>-</v>
      </c>
      <c r="K185" s="11" t="str">
        <f t="shared" si="24"/>
        <v>g (100%)</v>
      </c>
      <c r="N185" s="29"/>
      <c r="O185" s="29"/>
      <c r="P185" s="13" t="str">
        <f t="shared" si="25"/>
        <v>-</v>
      </c>
      <c r="Q185" s="11" t="str">
        <f t="shared" si="20"/>
        <v>e (&gt;28)</v>
      </c>
      <c r="R185" s="14"/>
      <c r="S185" s="14"/>
    </row>
    <row r="186" spans="7:19" x14ac:dyDescent="0.3">
      <c r="G186" s="10">
        <f t="shared" si="21"/>
        <v>0</v>
      </c>
      <c r="H186" s="11" t="str">
        <f t="shared" si="19"/>
        <v>-</v>
      </c>
      <c r="I186" s="11" t="str">
        <f t="shared" si="22"/>
        <v>f (&gt;20%)</v>
      </c>
      <c r="J186" s="11" t="str">
        <f t="shared" si="23"/>
        <v>-</v>
      </c>
      <c r="K186" s="11" t="str">
        <f t="shared" si="24"/>
        <v>g (100%)</v>
      </c>
      <c r="N186" s="29"/>
      <c r="O186" s="29"/>
      <c r="P186" s="13" t="str">
        <f t="shared" si="25"/>
        <v>-</v>
      </c>
      <c r="Q186" s="11" t="str">
        <f t="shared" si="20"/>
        <v>e (&gt;28)</v>
      </c>
      <c r="R186" s="14"/>
      <c r="S186" s="14"/>
    </row>
    <row r="187" spans="7:19" x14ac:dyDescent="0.3">
      <c r="G187" s="10">
        <f t="shared" si="21"/>
        <v>0</v>
      </c>
      <c r="H187" s="11" t="str">
        <f t="shared" si="19"/>
        <v>-</v>
      </c>
      <c r="I187" s="11" t="str">
        <f t="shared" si="22"/>
        <v>f (&gt;20%)</v>
      </c>
      <c r="J187" s="11" t="str">
        <f t="shared" si="23"/>
        <v>-</v>
      </c>
      <c r="K187" s="11" t="str">
        <f t="shared" si="24"/>
        <v>g (100%)</v>
      </c>
      <c r="N187" s="29"/>
      <c r="P187" s="13" t="str">
        <f t="shared" si="25"/>
        <v>-</v>
      </c>
      <c r="Q187" s="11" t="str">
        <f t="shared" si="20"/>
        <v>e (&gt;28)</v>
      </c>
      <c r="R187" s="14"/>
      <c r="S187" s="14"/>
    </row>
    <row r="188" spans="7:19" x14ac:dyDescent="0.3">
      <c r="G188" s="10">
        <f t="shared" si="21"/>
        <v>0</v>
      </c>
      <c r="H188" s="11" t="str">
        <f t="shared" si="19"/>
        <v>-</v>
      </c>
      <c r="I188" s="11" t="str">
        <f t="shared" si="22"/>
        <v>f (&gt;20%)</v>
      </c>
      <c r="J188" s="11" t="str">
        <f t="shared" si="23"/>
        <v>-</v>
      </c>
      <c r="K188" s="11" t="str">
        <f t="shared" si="24"/>
        <v>g (100%)</v>
      </c>
      <c r="N188" s="29"/>
      <c r="O188" s="29"/>
      <c r="P188" s="13" t="str">
        <f t="shared" si="25"/>
        <v>-</v>
      </c>
      <c r="Q188" s="11" t="str">
        <f t="shared" si="20"/>
        <v>e (&gt;28)</v>
      </c>
      <c r="R188" s="14"/>
      <c r="S188" s="14"/>
    </row>
    <row r="189" spans="7:19" x14ac:dyDescent="0.3">
      <c r="G189" s="10">
        <f t="shared" si="21"/>
        <v>0</v>
      </c>
      <c r="H189" s="11" t="str">
        <f t="shared" si="19"/>
        <v>-</v>
      </c>
      <c r="I189" s="11" t="str">
        <f t="shared" si="22"/>
        <v>f (&gt;20%)</v>
      </c>
      <c r="J189" s="11" t="str">
        <f t="shared" si="23"/>
        <v>-</v>
      </c>
      <c r="K189" s="11" t="str">
        <f t="shared" si="24"/>
        <v>g (100%)</v>
      </c>
      <c r="N189" s="29"/>
      <c r="O189" s="29"/>
      <c r="P189" s="13" t="str">
        <f t="shared" si="25"/>
        <v>-</v>
      </c>
      <c r="Q189" s="11" t="str">
        <f t="shared" si="20"/>
        <v>e (&gt;28)</v>
      </c>
      <c r="R189" s="14"/>
      <c r="S189" s="14"/>
    </row>
    <row r="190" spans="7:19" x14ac:dyDescent="0.3">
      <c r="G190" s="10">
        <f t="shared" si="21"/>
        <v>0</v>
      </c>
      <c r="H190" s="11" t="str">
        <f t="shared" si="19"/>
        <v>-</v>
      </c>
      <c r="I190" s="11" t="str">
        <f t="shared" si="22"/>
        <v>f (&gt;20%)</v>
      </c>
      <c r="J190" s="11" t="str">
        <f t="shared" si="23"/>
        <v>-</v>
      </c>
      <c r="K190" s="11" t="str">
        <f t="shared" si="24"/>
        <v>g (100%)</v>
      </c>
      <c r="N190" s="29"/>
      <c r="O190" s="29"/>
      <c r="P190" s="13" t="str">
        <f t="shared" si="25"/>
        <v>-</v>
      </c>
      <c r="Q190" s="11" t="str">
        <f t="shared" si="20"/>
        <v>e (&gt;28)</v>
      </c>
      <c r="R190" s="14"/>
      <c r="S190" s="14"/>
    </row>
    <row r="191" spans="7:19" x14ac:dyDescent="0.3">
      <c r="G191" s="10">
        <f t="shared" si="21"/>
        <v>0</v>
      </c>
      <c r="H191" s="11" t="str">
        <f t="shared" si="19"/>
        <v>-</v>
      </c>
      <c r="I191" s="11" t="str">
        <f t="shared" si="22"/>
        <v>f (&gt;20%)</v>
      </c>
      <c r="J191" s="11" t="str">
        <f t="shared" si="23"/>
        <v>-</v>
      </c>
      <c r="K191" s="11" t="str">
        <f t="shared" si="24"/>
        <v>g (100%)</v>
      </c>
      <c r="N191" s="29"/>
      <c r="O191" s="29"/>
      <c r="P191" s="13" t="str">
        <f t="shared" si="25"/>
        <v>-</v>
      </c>
      <c r="Q191" s="11" t="str">
        <f t="shared" si="20"/>
        <v>e (&gt;28)</v>
      </c>
      <c r="R191" s="14"/>
      <c r="S191" s="14"/>
    </row>
    <row r="192" spans="7:19" x14ac:dyDescent="0.3">
      <c r="G192" s="10">
        <f t="shared" si="21"/>
        <v>0</v>
      </c>
      <c r="H192" s="11" t="str">
        <f t="shared" si="19"/>
        <v>-</v>
      </c>
      <c r="I192" s="11" t="str">
        <f t="shared" si="22"/>
        <v>f (&gt;20%)</v>
      </c>
      <c r="J192" s="11" t="str">
        <f t="shared" si="23"/>
        <v>-</v>
      </c>
      <c r="K192" s="11" t="str">
        <f t="shared" si="24"/>
        <v>g (100%)</v>
      </c>
      <c r="N192" s="29"/>
      <c r="O192" s="29"/>
      <c r="P192" s="13" t="str">
        <f t="shared" si="25"/>
        <v>-</v>
      </c>
      <c r="Q192" s="11" t="str">
        <f t="shared" si="20"/>
        <v>e (&gt;28)</v>
      </c>
      <c r="R192" s="14"/>
      <c r="S192" s="14"/>
    </row>
    <row r="193" spans="7:19" x14ac:dyDescent="0.3">
      <c r="G193" s="10">
        <f t="shared" si="21"/>
        <v>0</v>
      </c>
      <c r="H193" s="11" t="str">
        <f t="shared" si="19"/>
        <v>-</v>
      </c>
      <c r="I193" s="11" t="str">
        <f t="shared" si="22"/>
        <v>f (&gt;20%)</v>
      </c>
      <c r="J193" s="11" t="str">
        <f t="shared" si="23"/>
        <v>-</v>
      </c>
      <c r="K193" s="11" t="str">
        <f t="shared" si="24"/>
        <v>g (100%)</v>
      </c>
      <c r="N193" s="29"/>
      <c r="O193" s="29"/>
      <c r="P193" s="13" t="str">
        <f t="shared" si="25"/>
        <v>-</v>
      </c>
      <c r="Q193" s="11" t="str">
        <f t="shared" si="20"/>
        <v>e (&gt;28)</v>
      </c>
      <c r="R193" s="14"/>
      <c r="S193" s="14"/>
    </row>
    <row r="194" spans="7:19" x14ac:dyDescent="0.3">
      <c r="G194" s="10">
        <f t="shared" si="21"/>
        <v>0</v>
      </c>
      <c r="H194" s="11" t="str">
        <f t="shared" si="19"/>
        <v>-</v>
      </c>
      <c r="I194" s="11" t="str">
        <f t="shared" si="22"/>
        <v>f (&gt;20%)</v>
      </c>
      <c r="J194" s="11" t="str">
        <f t="shared" si="23"/>
        <v>-</v>
      </c>
      <c r="K194" s="11" t="str">
        <f t="shared" si="24"/>
        <v>g (100%)</v>
      </c>
      <c r="N194" s="29"/>
      <c r="O194" s="29"/>
      <c r="P194" s="13" t="str">
        <f t="shared" si="25"/>
        <v>-</v>
      </c>
      <c r="Q194" s="11" t="str">
        <f t="shared" si="20"/>
        <v>e (&gt;28)</v>
      </c>
      <c r="R194" s="14"/>
      <c r="S194" s="14"/>
    </row>
    <row r="195" spans="7:19" x14ac:dyDescent="0.3">
      <c r="G195" s="10">
        <f t="shared" si="21"/>
        <v>0</v>
      </c>
      <c r="H195" s="11" t="str">
        <f t="shared" ref="H195:H258" si="26">IFERROR(G195/E195,"-")</f>
        <v>-</v>
      </c>
      <c r="I195" s="11" t="str">
        <f t="shared" si="22"/>
        <v>f (&gt;20%)</v>
      </c>
      <c r="J195" s="11" t="str">
        <f t="shared" si="23"/>
        <v>-</v>
      </c>
      <c r="K195" s="11" t="str">
        <f t="shared" si="24"/>
        <v>g (100%)</v>
      </c>
      <c r="N195" s="29"/>
      <c r="O195" s="29"/>
      <c r="P195" s="13" t="str">
        <f t="shared" si="25"/>
        <v>-</v>
      </c>
      <c r="Q195" s="11" t="str">
        <f t="shared" ref="Q195:Q258" si="27">IF(AND(P195&gt;0,P195&lt;=7),"a (0-7)",IF(AND(P195&gt;7,P195&lt;=14),"b (8-14)",IF(AND(P195&gt;14,P195&lt;=21),"c (15-21)",IF(AND(P195&gt;21,P195&lt;=28),"d (22-28)","e (&gt;28)"))))</f>
        <v>e (&gt;28)</v>
      </c>
      <c r="R195" s="14"/>
      <c r="S195" s="14"/>
    </row>
    <row r="196" spans="7:19" x14ac:dyDescent="0.3">
      <c r="G196" s="10">
        <f t="shared" si="21"/>
        <v>0</v>
      </c>
      <c r="H196" s="11" t="str">
        <f t="shared" si="26"/>
        <v>-</v>
      </c>
      <c r="I196" s="11" t="str">
        <f t="shared" si="22"/>
        <v>f (&gt;20%)</v>
      </c>
      <c r="J196" s="11" t="str">
        <f t="shared" si="23"/>
        <v>-</v>
      </c>
      <c r="K196" s="11" t="str">
        <f t="shared" si="24"/>
        <v>g (100%)</v>
      </c>
      <c r="N196" s="29"/>
      <c r="O196" s="29"/>
      <c r="P196" s="13" t="str">
        <f t="shared" si="25"/>
        <v>-</v>
      </c>
      <c r="Q196" s="11" t="str">
        <f t="shared" si="27"/>
        <v>e (&gt;28)</v>
      </c>
      <c r="R196" s="14"/>
      <c r="S196" s="14"/>
    </row>
    <row r="197" spans="7:19" x14ac:dyDescent="0.3">
      <c r="G197" s="10">
        <f t="shared" si="21"/>
        <v>0</v>
      </c>
      <c r="H197" s="11" t="str">
        <f t="shared" si="26"/>
        <v>-</v>
      </c>
      <c r="I197" s="11" t="str">
        <f t="shared" si="22"/>
        <v>f (&gt;20%)</v>
      </c>
      <c r="J197" s="11" t="str">
        <f t="shared" si="23"/>
        <v>-</v>
      </c>
      <c r="K197" s="11" t="str">
        <f t="shared" si="24"/>
        <v>g (100%)</v>
      </c>
      <c r="N197" s="29"/>
      <c r="O197" s="29"/>
      <c r="P197" s="13" t="str">
        <f t="shared" si="25"/>
        <v>-</v>
      </c>
      <c r="Q197" s="11" t="str">
        <f t="shared" si="27"/>
        <v>e (&gt;28)</v>
      </c>
      <c r="R197" s="14"/>
      <c r="S197" s="14"/>
    </row>
    <row r="198" spans="7:19" x14ac:dyDescent="0.3">
      <c r="G198" s="10">
        <f t="shared" si="21"/>
        <v>0</v>
      </c>
      <c r="H198" s="11" t="str">
        <f t="shared" si="26"/>
        <v>-</v>
      </c>
      <c r="I198" s="11" t="str">
        <f t="shared" si="22"/>
        <v>f (&gt;20%)</v>
      </c>
      <c r="J198" s="11" t="str">
        <f t="shared" si="23"/>
        <v>-</v>
      </c>
      <c r="K198" s="11" t="str">
        <f t="shared" si="24"/>
        <v>g (100%)</v>
      </c>
      <c r="N198" s="29"/>
      <c r="O198" s="29"/>
      <c r="P198" s="13" t="str">
        <f t="shared" si="25"/>
        <v>-</v>
      </c>
      <c r="Q198" s="11" t="str">
        <f t="shared" si="27"/>
        <v>e (&gt;28)</v>
      </c>
      <c r="R198" s="14"/>
      <c r="S198" s="14"/>
    </row>
    <row r="199" spans="7:19" x14ac:dyDescent="0.3">
      <c r="G199" s="10">
        <f t="shared" si="21"/>
        <v>0</v>
      </c>
      <c r="H199" s="11" t="str">
        <f t="shared" si="26"/>
        <v>-</v>
      </c>
      <c r="I199" s="11" t="str">
        <f t="shared" si="22"/>
        <v>f (&gt;20%)</v>
      </c>
      <c r="J199" s="11" t="str">
        <f t="shared" si="23"/>
        <v>-</v>
      </c>
      <c r="K199" s="11" t="str">
        <f t="shared" si="24"/>
        <v>g (100%)</v>
      </c>
      <c r="N199" s="29"/>
      <c r="O199" s="29"/>
      <c r="P199" s="13" t="str">
        <f t="shared" si="25"/>
        <v>-</v>
      </c>
      <c r="Q199" s="11" t="str">
        <f t="shared" si="27"/>
        <v>e (&gt;28)</v>
      </c>
      <c r="R199" s="14"/>
      <c r="S199" s="14"/>
    </row>
    <row r="200" spans="7:19" x14ac:dyDescent="0.3">
      <c r="G200" s="10">
        <f t="shared" si="21"/>
        <v>0</v>
      </c>
      <c r="H200" s="11" t="str">
        <f t="shared" si="26"/>
        <v>-</v>
      </c>
      <c r="I200" s="11" t="str">
        <f t="shared" si="22"/>
        <v>f (&gt;20%)</v>
      </c>
      <c r="J200" s="11" t="str">
        <f t="shared" si="23"/>
        <v>-</v>
      </c>
      <c r="K200" s="11" t="str">
        <f t="shared" si="24"/>
        <v>g (100%)</v>
      </c>
      <c r="N200" s="29"/>
      <c r="O200" s="29"/>
      <c r="P200" s="13" t="str">
        <f t="shared" si="25"/>
        <v>-</v>
      </c>
      <c r="Q200" s="11" t="str">
        <f t="shared" si="27"/>
        <v>e (&gt;28)</v>
      </c>
      <c r="R200" s="14"/>
      <c r="S200" s="14"/>
    </row>
    <row r="201" spans="7:19" x14ac:dyDescent="0.3">
      <c r="G201" s="10">
        <f t="shared" si="21"/>
        <v>0</v>
      </c>
      <c r="H201" s="11" t="str">
        <f t="shared" si="26"/>
        <v>-</v>
      </c>
      <c r="I201" s="11" t="str">
        <f t="shared" si="22"/>
        <v>f (&gt;20%)</v>
      </c>
      <c r="J201" s="11" t="str">
        <f t="shared" si="23"/>
        <v>-</v>
      </c>
      <c r="K201" s="11" t="str">
        <f t="shared" si="24"/>
        <v>g (100%)</v>
      </c>
      <c r="N201" s="29"/>
      <c r="O201" s="29"/>
      <c r="P201" s="13" t="str">
        <f t="shared" si="25"/>
        <v>-</v>
      </c>
      <c r="Q201" s="11" t="str">
        <f t="shared" si="27"/>
        <v>e (&gt;28)</v>
      </c>
      <c r="R201" s="14"/>
      <c r="S201" s="14"/>
    </row>
    <row r="202" spans="7:19" x14ac:dyDescent="0.3">
      <c r="G202" s="10">
        <f t="shared" si="21"/>
        <v>0</v>
      </c>
      <c r="H202" s="11" t="str">
        <f t="shared" si="26"/>
        <v>-</v>
      </c>
      <c r="I202" s="11" t="str">
        <f t="shared" si="22"/>
        <v>f (&gt;20%)</v>
      </c>
      <c r="J202" s="11" t="str">
        <f t="shared" si="23"/>
        <v>-</v>
      </c>
      <c r="K202" s="11" t="str">
        <f t="shared" si="24"/>
        <v>g (100%)</v>
      </c>
      <c r="N202" s="29"/>
      <c r="O202" s="29"/>
      <c r="P202" s="13" t="str">
        <f t="shared" si="25"/>
        <v>-</v>
      </c>
      <c r="Q202" s="11" t="str">
        <f t="shared" si="27"/>
        <v>e (&gt;28)</v>
      </c>
      <c r="R202" s="14"/>
      <c r="S202" s="14"/>
    </row>
    <row r="203" spans="7:19" x14ac:dyDescent="0.3">
      <c r="G203" s="10">
        <f t="shared" si="21"/>
        <v>0</v>
      </c>
      <c r="H203" s="11" t="str">
        <f t="shared" si="26"/>
        <v>-</v>
      </c>
      <c r="I203" s="11" t="str">
        <f t="shared" si="22"/>
        <v>f (&gt;20%)</v>
      </c>
      <c r="J203" s="11" t="str">
        <f t="shared" si="23"/>
        <v>-</v>
      </c>
      <c r="K203" s="11" t="str">
        <f t="shared" si="24"/>
        <v>g (100%)</v>
      </c>
      <c r="N203" s="29"/>
      <c r="O203" s="29"/>
      <c r="P203" s="13" t="str">
        <f t="shared" si="25"/>
        <v>-</v>
      </c>
      <c r="Q203" s="11" t="str">
        <f t="shared" si="27"/>
        <v>e (&gt;28)</v>
      </c>
      <c r="R203" s="14"/>
      <c r="S203" s="14"/>
    </row>
    <row r="204" spans="7:19" x14ac:dyDescent="0.3">
      <c r="G204" s="10">
        <f t="shared" si="21"/>
        <v>0</v>
      </c>
      <c r="H204" s="11" t="str">
        <f t="shared" si="26"/>
        <v>-</v>
      </c>
      <c r="I204" s="11" t="str">
        <f t="shared" si="22"/>
        <v>f (&gt;20%)</v>
      </c>
      <c r="J204" s="11" t="str">
        <f t="shared" si="23"/>
        <v>-</v>
      </c>
      <c r="K204" s="11" t="str">
        <f t="shared" si="24"/>
        <v>g (100%)</v>
      </c>
      <c r="N204" s="29"/>
      <c r="O204" s="29"/>
      <c r="P204" s="13" t="str">
        <f t="shared" si="25"/>
        <v>-</v>
      </c>
      <c r="Q204" s="11" t="str">
        <f t="shared" si="27"/>
        <v>e (&gt;28)</v>
      </c>
      <c r="R204" s="14"/>
      <c r="S204" s="14"/>
    </row>
    <row r="205" spans="7:19" x14ac:dyDescent="0.3">
      <c r="G205" s="10">
        <f t="shared" si="21"/>
        <v>0</v>
      </c>
      <c r="H205" s="11" t="str">
        <f t="shared" si="26"/>
        <v>-</v>
      </c>
      <c r="I205" s="11" t="str">
        <f t="shared" si="22"/>
        <v>f (&gt;20%)</v>
      </c>
      <c r="J205" s="11" t="str">
        <f t="shared" si="23"/>
        <v>-</v>
      </c>
      <c r="K205" s="11" t="str">
        <f t="shared" si="24"/>
        <v>g (100%)</v>
      </c>
      <c r="N205" s="29"/>
      <c r="O205" s="29"/>
      <c r="P205" s="13" t="str">
        <f t="shared" si="25"/>
        <v>-</v>
      </c>
      <c r="Q205" s="11" t="str">
        <f t="shared" si="27"/>
        <v>e (&gt;28)</v>
      </c>
      <c r="R205" s="14"/>
      <c r="S205" s="14"/>
    </row>
    <row r="206" spans="7:19" x14ac:dyDescent="0.3">
      <c r="G206" s="10">
        <f t="shared" si="21"/>
        <v>0</v>
      </c>
      <c r="H206" s="11" t="str">
        <f t="shared" si="26"/>
        <v>-</v>
      </c>
      <c r="I206" s="11" t="str">
        <f t="shared" si="22"/>
        <v>f (&gt;20%)</v>
      </c>
      <c r="J206" s="11" t="str">
        <f t="shared" si="23"/>
        <v>-</v>
      </c>
      <c r="K206" s="11" t="str">
        <f t="shared" si="24"/>
        <v>g (100%)</v>
      </c>
      <c r="N206" s="29"/>
      <c r="P206" s="13" t="str">
        <f t="shared" si="25"/>
        <v>-</v>
      </c>
      <c r="Q206" s="11" t="str">
        <f t="shared" si="27"/>
        <v>e (&gt;28)</v>
      </c>
      <c r="R206" s="14"/>
      <c r="S206" s="14"/>
    </row>
    <row r="207" spans="7:19" x14ac:dyDescent="0.3">
      <c r="G207" s="10">
        <f t="shared" si="21"/>
        <v>0</v>
      </c>
      <c r="H207" s="11" t="str">
        <f t="shared" si="26"/>
        <v>-</v>
      </c>
      <c r="I207" s="11" t="str">
        <f t="shared" si="22"/>
        <v>f (&gt;20%)</v>
      </c>
      <c r="J207" s="11" t="str">
        <f t="shared" si="23"/>
        <v>-</v>
      </c>
      <c r="K207" s="11" t="str">
        <f t="shared" si="24"/>
        <v>g (100%)</v>
      </c>
      <c r="N207" s="29"/>
      <c r="O207" s="29"/>
      <c r="P207" s="13" t="str">
        <f t="shared" si="25"/>
        <v>-</v>
      </c>
      <c r="Q207" s="11" t="str">
        <f t="shared" si="27"/>
        <v>e (&gt;28)</v>
      </c>
      <c r="R207" s="14"/>
      <c r="S207" s="14"/>
    </row>
    <row r="208" spans="7:19" x14ac:dyDescent="0.3">
      <c r="G208" s="10">
        <f t="shared" si="21"/>
        <v>0</v>
      </c>
      <c r="H208" s="11" t="str">
        <f t="shared" si="26"/>
        <v>-</v>
      </c>
      <c r="I208" s="11" t="str">
        <f t="shared" si="22"/>
        <v>f (&gt;20%)</v>
      </c>
      <c r="J208" s="11" t="str">
        <f t="shared" si="23"/>
        <v>-</v>
      </c>
      <c r="K208" s="11" t="str">
        <f t="shared" si="24"/>
        <v>g (100%)</v>
      </c>
      <c r="N208" s="29"/>
      <c r="O208" s="29"/>
      <c r="P208" s="13" t="str">
        <f t="shared" si="25"/>
        <v>-</v>
      </c>
      <c r="Q208" s="11" t="str">
        <f t="shared" si="27"/>
        <v>e (&gt;28)</v>
      </c>
      <c r="R208" s="14"/>
      <c r="S208" s="14"/>
    </row>
    <row r="209" spans="7:19" x14ac:dyDescent="0.3">
      <c r="G209" s="10">
        <f t="shared" si="21"/>
        <v>0</v>
      </c>
      <c r="H209" s="11" t="str">
        <f t="shared" si="26"/>
        <v>-</v>
      </c>
      <c r="I209" s="11" t="str">
        <f t="shared" si="22"/>
        <v>f (&gt;20%)</v>
      </c>
      <c r="J209" s="11" t="str">
        <f t="shared" si="23"/>
        <v>-</v>
      </c>
      <c r="K209" s="11" t="str">
        <f t="shared" si="24"/>
        <v>g (100%)</v>
      </c>
      <c r="N209" s="29"/>
      <c r="O209" s="29"/>
      <c r="P209" s="13" t="str">
        <f t="shared" si="25"/>
        <v>-</v>
      </c>
      <c r="Q209" s="11" t="str">
        <f t="shared" si="27"/>
        <v>e (&gt;28)</v>
      </c>
      <c r="R209" s="14"/>
      <c r="S209" s="14"/>
    </row>
    <row r="210" spans="7:19" x14ac:dyDescent="0.3">
      <c r="G210" s="10">
        <f t="shared" si="21"/>
        <v>0</v>
      </c>
      <c r="H210" s="11" t="str">
        <f t="shared" si="26"/>
        <v>-</v>
      </c>
      <c r="I210" s="11" t="str">
        <f t="shared" si="22"/>
        <v>f (&gt;20%)</v>
      </c>
      <c r="J210" s="11" t="str">
        <f t="shared" si="23"/>
        <v>-</v>
      </c>
      <c r="K210" s="11" t="str">
        <f t="shared" si="24"/>
        <v>g (100%)</v>
      </c>
      <c r="N210" s="29"/>
      <c r="O210" s="29"/>
      <c r="P210" s="13" t="str">
        <f t="shared" si="25"/>
        <v>-</v>
      </c>
      <c r="Q210" s="11" t="str">
        <f t="shared" si="27"/>
        <v>e (&gt;28)</v>
      </c>
      <c r="R210" s="14"/>
      <c r="S210" s="14"/>
    </row>
    <row r="211" spans="7:19" x14ac:dyDescent="0.3">
      <c r="G211" s="10">
        <f t="shared" si="21"/>
        <v>0</v>
      </c>
      <c r="H211" s="11" t="str">
        <f t="shared" si="26"/>
        <v>-</v>
      </c>
      <c r="I211" s="11" t="str">
        <f t="shared" si="22"/>
        <v>f (&gt;20%)</v>
      </c>
      <c r="J211" s="11" t="str">
        <f t="shared" si="23"/>
        <v>-</v>
      </c>
      <c r="K211" s="11" t="str">
        <f t="shared" si="24"/>
        <v>g (100%)</v>
      </c>
      <c r="N211" s="29"/>
      <c r="O211" s="29"/>
      <c r="P211" s="13" t="str">
        <f t="shared" si="25"/>
        <v>-</v>
      </c>
      <c r="Q211" s="11" t="str">
        <f t="shared" si="27"/>
        <v>e (&gt;28)</v>
      </c>
      <c r="R211" s="14"/>
      <c r="S211" s="14"/>
    </row>
    <row r="212" spans="7:19" x14ac:dyDescent="0.3">
      <c r="G212" s="10">
        <f t="shared" si="21"/>
        <v>0</v>
      </c>
      <c r="H212" s="11" t="str">
        <f t="shared" si="26"/>
        <v>-</v>
      </c>
      <c r="I212" s="11" t="str">
        <f t="shared" si="22"/>
        <v>f (&gt;20%)</v>
      </c>
      <c r="J212" s="11" t="str">
        <f t="shared" si="23"/>
        <v>-</v>
      </c>
      <c r="K212" s="11" t="str">
        <f t="shared" si="24"/>
        <v>g (100%)</v>
      </c>
      <c r="N212" s="29"/>
      <c r="O212" s="29"/>
      <c r="P212" s="13" t="str">
        <f t="shared" si="25"/>
        <v>-</v>
      </c>
      <c r="Q212" s="11" t="str">
        <f t="shared" si="27"/>
        <v>e (&gt;28)</v>
      </c>
      <c r="R212" s="14"/>
      <c r="S212" s="14"/>
    </row>
    <row r="213" spans="7:19" x14ac:dyDescent="0.3">
      <c r="G213" s="10">
        <f t="shared" si="21"/>
        <v>0</v>
      </c>
      <c r="H213" s="11" t="str">
        <f t="shared" si="26"/>
        <v>-</v>
      </c>
      <c r="I213" s="11" t="str">
        <f t="shared" si="22"/>
        <v>f (&gt;20%)</v>
      </c>
      <c r="J213" s="11" t="str">
        <f t="shared" si="23"/>
        <v>-</v>
      </c>
      <c r="K213" s="11" t="str">
        <f t="shared" si="24"/>
        <v>g (100%)</v>
      </c>
      <c r="N213" s="29"/>
      <c r="O213" s="29"/>
      <c r="P213" s="13" t="str">
        <f t="shared" si="25"/>
        <v>-</v>
      </c>
      <c r="Q213" s="11" t="str">
        <f t="shared" si="27"/>
        <v>e (&gt;28)</v>
      </c>
      <c r="R213" s="14"/>
      <c r="S213" s="14"/>
    </row>
    <row r="214" spans="7:19" x14ac:dyDescent="0.3">
      <c r="G214" s="10">
        <f t="shared" si="21"/>
        <v>0</v>
      </c>
      <c r="H214" s="11" t="str">
        <f t="shared" si="26"/>
        <v>-</v>
      </c>
      <c r="I214" s="11" t="str">
        <f t="shared" si="22"/>
        <v>f (&gt;20%)</v>
      </c>
      <c r="J214" s="11" t="str">
        <f t="shared" si="23"/>
        <v>-</v>
      </c>
      <c r="K214" s="11" t="str">
        <f t="shared" si="24"/>
        <v>g (100%)</v>
      </c>
      <c r="N214" s="29"/>
      <c r="O214" s="29"/>
      <c r="P214" s="13" t="str">
        <f t="shared" si="25"/>
        <v>-</v>
      </c>
      <c r="Q214" s="11" t="str">
        <f t="shared" si="27"/>
        <v>e (&gt;28)</v>
      </c>
      <c r="R214" s="14"/>
      <c r="S214" s="14"/>
    </row>
    <row r="215" spans="7:19" x14ac:dyDescent="0.3">
      <c r="G215" s="10">
        <f t="shared" si="21"/>
        <v>0</v>
      </c>
      <c r="H215" s="11" t="str">
        <f t="shared" si="26"/>
        <v>-</v>
      </c>
      <c r="I215" s="11" t="str">
        <f t="shared" si="22"/>
        <v>f (&gt;20%)</v>
      </c>
      <c r="J215" s="11" t="str">
        <f t="shared" si="23"/>
        <v>-</v>
      </c>
      <c r="K215" s="11" t="str">
        <f t="shared" si="24"/>
        <v>g (100%)</v>
      </c>
      <c r="N215" s="29"/>
      <c r="O215" s="29"/>
      <c r="P215" s="13" t="str">
        <f t="shared" si="25"/>
        <v>-</v>
      </c>
      <c r="Q215" s="11" t="str">
        <f t="shared" si="27"/>
        <v>e (&gt;28)</v>
      </c>
      <c r="R215" s="14"/>
      <c r="S215" s="14"/>
    </row>
    <row r="216" spans="7:19" x14ac:dyDescent="0.3">
      <c r="G216" s="10">
        <f t="shared" si="21"/>
        <v>0</v>
      </c>
      <c r="H216" s="11" t="str">
        <f t="shared" si="26"/>
        <v>-</v>
      </c>
      <c r="I216" s="11" t="str">
        <f t="shared" si="22"/>
        <v>f (&gt;20%)</v>
      </c>
      <c r="J216" s="11" t="str">
        <f t="shared" si="23"/>
        <v>-</v>
      </c>
      <c r="K216" s="11" t="str">
        <f t="shared" si="24"/>
        <v>g (100%)</v>
      </c>
      <c r="N216" s="29"/>
      <c r="O216" s="29"/>
      <c r="P216" s="13" t="str">
        <f t="shared" si="25"/>
        <v>-</v>
      </c>
      <c r="Q216" s="11" t="str">
        <f t="shared" si="27"/>
        <v>e (&gt;28)</v>
      </c>
      <c r="R216" s="14"/>
      <c r="S216" s="14"/>
    </row>
    <row r="217" spans="7:19" x14ac:dyDescent="0.3">
      <c r="G217" s="10">
        <f t="shared" si="21"/>
        <v>0</v>
      </c>
      <c r="H217" s="11" t="str">
        <f t="shared" si="26"/>
        <v>-</v>
      </c>
      <c r="I217" s="11" t="str">
        <f t="shared" si="22"/>
        <v>f (&gt;20%)</v>
      </c>
      <c r="J217" s="11" t="str">
        <f t="shared" si="23"/>
        <v>-</v>
      </c>
      <c r="K217" s="11" t="str">
        <f t="shared" si="24"/>
        <v>g (100%)</v>
      </c>
      <c r="N217" s="29"/>
      <c r="O217" s="29"/>
      <c r="P217" s="13" t="str">
        <f t="shared" si="25"/>
        <v>-</v>
      </c>
      <c r="Q217" s="11" t="str">
        <f t="shared" si="27"/>
        <v>e (&gt;28)</v>
      </c>
      <c r="R217" s="14"/>
      <c r="S217" s="14"/>
    </row>
    <row r="218" spans="7:19" x14ac:dyDescent="0.3">
      <c r="G218" s="10">
        <f t="shared" si="21"/>
        <v>0</v>
      </c>
      <c r="H218" s="11" t="str">
        <f t="shared" si="26"/>
        <v>-</v>
      </c>
      <c r="I218" s="11" t="str">
        <f t="shared" si="22"/>
        <v>f (&gt;20%)</v>
      </c>
      <c r="J218" s="11" t="str">
        <f t="shared" si="23"/>
        <v>-</v>
      </c>
      <c r="K218" s="11" t="str">
        <f t="shared" si="24"/>
        <v>g (100%)</v>
      </c>
      <c r="N218" s="29"/>
      <c r="P218" s="13" t="str">
        <f t="shared" si="25"/>
        <v>-</v>
      </c>
      <c r="Q218" s="11" t="str">
        <f t="shared" si="27"/>
        <v>e (&gt;28)</v>
      </c>
      <c r="R218" s="14"/>
      <c r="S218" s="14"/>
    </row>
    <row r="219" spans="7:19" x14ac:dyDescent="0.3">
      <c r="G219" s="10">
        <f t="shared" si="21"/>
        <v>0</v>
      </c>
      <c r="H219" s="11" t="str">
        <f t="shared" si="26"/>
        <v>-</v>
      </c>
      <c r="I219" s="11" t="str">
        <f t="shared" si="22"/>
        <v>f (&gt;20%)</v>
      </c>
      <c r="J219" s="11" t="str">
        <f t="shared" si="23"/>
        <v>-</v>
      </c>
      <c r="K219" s="11" t="str">
        <f t="shared" si="24"/>
        <v>g (100%)</v>
      </c>
      <c r="N219" s="29"/>
      <c r="O219" s="29"/>
      <c r="P219" s="13" t="str">
        <f t="shared" si="25"/>
        <v>-</v>
      </c>
      <c r="Q219" s="11" t="str">
        <f t="shared" si="27"/>
        <v>e (&gt;28)</v>
      </c>
      <c r="R219" s="14"/>
      <c r="S219" s="14"/>
    </row>
    <row r="220" spans="7:19" x14ac:dyDescent="0.3">
      <c r="G220" s="10">
        <f t="shared" si="21"/>
        <v>0</v>
      </c>
      <c r="H220" s="11" t="str">
        <f t="shared" si="26"/>
        <v>-</v>
      </c>
      <c r="I220" s="11" t="str">
        <f t="shared" si="22"/>
        <v>f (&gt;20%)</v>
      </c>
      <c r="J220" s="11" t="str">
        <f t="shared" si="23"/>
        <v>-</v>
      </c>
      <c r="K220" s="11" t="str">
        <f t="shared" si="24"/>
        <v>g (100%)</v>
      </c>
      <c r="N220" s="29"/>
      <c r="O220" s="29"/>
      <c r="P220" s="13" t="str">
        <f t="shared" si="25"/>
        <v>-</v>
      </c>
      <c r="Q220" s="11" t="str">
        <f t="shared" si="27"/>
        <v>e (&gt;28)</v>
      </c>
      <c r="R220" s="14"/>
      <c r="S220" s="14"/>
    </row>
    <row r="221" spans="7:19" x14ac:dyDescent="0.3">
      <c r="G221" s="10">
        <f t="shared" si="21"/>
        <v>0</v>
      </c>
      <c r="H221" s="11" t="str">
        <f t="shared" si="26"/>
        <v>-</v>
      </c>
      <c r="I221" s="11" t="str">
        <f t="shared" si="22"/>
        <v>f (&gt;20%)</v>
      </c>
      <c r="J221" s="11" t="str">
        <f t="shared" si="23"/>
        <v>-</v>
      </c>
      <c r="K221" s="11" t="str">
        <f t="shared" si="24"/>
        <v>g (100%)</v>
      </c>
      <c r="N221" s="29"/>
      <c r="O221" s="29"/>
      <c r="P221" s="13" t="str">
        <f t="shared" si="25"/>
        <v>-</v>
      </c>
      <c r="Q221" s="11" t="str">
        <f t="shared" si="27"/>
        <v>e (&gt;28)</v>
      </c>
      <c r="R221" s="14"/>
      <c r="S221" s="14"/>
    </row>
    <row r="222" spans="7:19" x14ac:dyDescent="0.3">
      <c r="G222" s="10">
        <f t="shared" si="21"/>
        <v>0</v>
      </c>
      <c r="H222" s="11" t="str">
        <f t="shared" si="26"/>
        <v>-</v>
      </c>
      <c r="I222" s="11" t="str">
        <f t="shared" si="22"/>
        <v>f (&gt;20%)</v>
      </c>
      <c r="J222" s="11" t="str">
        <f t="shared" si="23"/>
        <v>-</v>
      </c>
      <c r="K222" s="11" t="str">
        <f t="shared" si="24"/>
        <v>g (100%)</v>
      </c>
      <c r="N222" s="29"/>
      <c r="O222" s="29"/>
      <c r="P222" s="13" t="str">
        <f t="shared" si="25"/>
        <v>-</v>
      </c>
      <c r="Q222" s="11" t="str">
        <f t="shared" si="27"/>
        <v>e (&gt;28)</v>
      </c>
      <c r="R222" s="14"/>
      <c r="S222" s="14"/>
    </row>
    <row r="223" spans="7:19" x14ac:dyDescent="0.3">
      <c r="G223" s="10">
        <f t="shared" si="21"/>
        <v>0</v>
      </c>
      <c r="H223" s="11" t="str">
        <f t="shared" si="26"/>
        <v>-</v>
      </c>
      <c r="I223" s="11" t="str">
        <f t="shared" si="22"/>
        <v>f (&gt;20%)</v>
      </c>
      <c r="J223" s="11" t="str">
        <f t="shared" si="23"/>
        <v>-</v>
      </c>
      <c r="K223" s="11" t="str">
        <f t="shared" si="24"/>
        <v>g (100%)</v>
      </c>
      <c r="N223" s="29"/>
      <c r="P223" s="13" t="str">
        <f t="shared" si="25"/>
        <v>-</v>
      </c>
      <c r="Q223" s="11" t="str">
        <f t="shared" si="27"/>
        <v>e (&gt;28)</v>
      </c>
      <c r="R223" s="14"/>
      <c r="S223" s="14"/>
    </row>
    <row r="224" spans="7:19" x14ac:dyDescent="0.3">
      <c r="G224" s="10">
        <f t="shared" si="21"/>
        <v>0</v>
      </c>
      <c r="H224" s="11" t="str">
        <f t="shared" si="26"/>
        <v>-</v>
      </c>
      <c r="I224" s="11" t="str">
        <f t="shared" si="22"/>
        <v>f (&gt;20%)</v>
      </c>
      <c r="J224" s="11" t="str">
        <f t="shared" si="23"/>
        <v>-</v>
      </c>
      <c r="K224" s="11" t="str">
        <f t="shared" si="24"/>
        <v>g (100%)</v>
      </c>
      <c r="N224" s="29"/>
      <c r="P224" s="13" t="str">
        <f t="shared" si="25"/>
        <v>-</v>
      </c>
      <c r="Q224" s="11" t="str">
        <f t="shared" si="27"/>
        <v>e (&gt;28)</v>
      </c>
      <c r="R224" s="14"/>
      <c r="S224" s="14"/>
    </row>
    <row r="225" spans="7:19" x14ac:dyDescent="0.3">
      <c r="G225" s="10">
        <f t="shared" si="21"/>
        <v>0</v>
      </c>
      <c r="H225" s="11" t="str">
        <f t="shared" si="26"/>
        <v>-</v>
      </c>
      <c r="I225" s="11" t="str">
        <f t="shared" si="22"/>
        <v>f (&gt;20%)</v>
      </c>
      <c r="J225" s="11" t="str">
        <f t="shared" si="23"/>
        <v>-</v>
      </c>
      <c r="K225" s="11" t="str">
        <f t="shared" si="24"/>
        <v>g (100%)</v>
      </c>
      <c r="N225" s="29"/>
      <c r="O225" s="29"/>
      <c r="P225" s="13" t="str">
        <f t="shared" si="25"/>
        <v>-</v>
      </c>
      <c r="Q225" s="11" t="str">
        <f t="shared" si="27"/>
        <v>e (&gt;28)</v>
      </c>
      <c r="R225" s="14"/>
      <c r="S225" s="14"/>
    </row>
    <row r="226" spans="7:19" x14ac:dyDescent="0.3">
      <c r="G226" s="10">
        <f t="shared" si="21"/>
        <v>0</v>
      </c>
      <c r="H226" s="11" t="str">
        <f t="shared" si="26"/>
        <v>-</v>
      </c>
      <c r="I226" s="11" t="str">
        <f t="shared" si="22"/>
        <v>f (&gt;20%)</v>
      </c>
      <c r="J226" s="11" t="str">
        <f t="shared" si="23"/>
        <v>-</v>
      </c>
      <c r="K226" s="11" t="str">
        <f t="shared" si="24"/>
        <v>g (100%)</v>
      </c>
      <c r="N226" s="29"/>
      <c r="O226" s="29"/>
      <c r="P226" s="13" t="str">
        <f t="shared" si="25"/>
        <v>-</v>
      </c>
      <c r="Q226" s="11" t="str">
        <f t="shared" si="27"/>
        <v>e (&gt;28)</v>
      </c>
      <c r="R226" s="14"/>
      <c r="S226" s="14"/>
    </row>
    <row r="227" spans="7:19" x14ac:dyDescent="0.3">
      <c r="G227" s="10">
        <f t="shared" si="21"/>
        <v>0</v>
      </c>
      <c r="H227" s="11" t="str">
        <f t="shared" si="26"/>
        <v>-</v>
      </c>
      <c r="I227" s="11" t="str">
        <f t="shared" si="22"/>
        <v>f (&gt;20%)</v>
      </c>
      <c r="J227" s="11" t="str">
        <f t="shared" si="23"/>
        <v>-</v>
      </c>
      <c r="K227" s="11" t="str">
        <f t="shared" si="24"/>
        <v>g (100%)</v>
      </c>
      <c r="N227" s="29"/>
      <c r="O227" s="29"/>
      <c r="P227" s="13" t="str">
        <f t="shared" si="25"/>
        <v>-</v>
      </c>
      <c r="Q227" s="11" t="str">
        <f t="shared" si="27"/>
        <v>e (&gt;28)</v>
      </c>
      <c r="R227" s="14"/>
      <c r="S227" s="14"/>
    </row>
    <row r="228" spans="7:19" x14ac:dyDescent="0.3">
      <c r="G228" s="10">
        <f t="shared" si="21"/>
        <v>0</v>
      </c>
      <c r="H228" s="11" t="str">
        <f t="shared" si="26"/>
        <v>-</v>
      </c>
      <c r="I228" s="11" t="str">
        <f t="shared" si="22"/>
        <v>f (&gt;20%)</v>
      </c>
      <c r="J228" s="11" t="str">
        <f t="shared" si="23"/>
        <v>-</v>
      </c>
      <c r="K228" s="11" t="str">
        <f t="shared" si="24"/>
        <v>g (100%)</v>
      </c>
      <c r="N228" s="29"/>
      <c r="O228" s="29"/>
      <c r="P228" s="13" t="str">
        <f t="shared" si="25"/>
        <v>-</v>
      </c>
      <c r="Q228" s="11" t="str">
        <f t="shared" si="27"/>
        <v>e (&gt;28)</v>
      </c>
      <c r="R228" s="14"/>
      <c r="S228" s="14"/>
    </row>
    <row r="229" spans="7:19" x14ac:dyDescent="0.3">
      <c r="G229" s="10">
        <f t="shared" si="21"/>
        <v>0</v>
      </c>
      <c r="H229" s="11" t="str">
        <f t="shared" si="26"/>
        <v>-</v>
      </c>
      <c r="I229" s="11" t="str">
        <f t="shared" si="22"/>
        <v>f (&gt;20%)</v>
      </c>
      <c r="J229" s="11" t="str">
        <f t="shared" si="23"/>
        <v>-</v>
      </c>
      <c r="K229" s="11" t="str">
        <f t="shared" si="24"/>
        <v>g (100%)</v>
      </c>
      <c r="N229" s="29"/>
      <c r="O229" s="29"/>
      <c r="P229" s="13" t="str">
        <f t="shared" si="25"/>
        <v>-</v>
      </c>
      <c r="Q229" s="11" t="str">
        <f t="shared" si="27"/>
        <v>e (&gt;28)</v>
      </c>
      <c r="R229" s="14"/>
      <c r="S229" s="14"/>
    </row>
    <row r="230" spans="7:19" x14ac:dyDescent="0.3">
      <c r="G230" s="10">
        <f t="shared" si="21"/>
        <v>0</v>
      </c>
      <c r="H230" s="11" t="str">
        <f t="shared" si="26"/>
        <v>-</v>
      </c>
      <c r="I230" s="11" t="str">
        <f t="shared" si="22"/>
        <v>f (&gt;20%)</v>
      </c>
      <c r="J230" s="11" t="str">
        <f t="shared" si="23"/>
        <v>-</v>
      </c>
      <c r="K230" s="11" t="str">
        <f t="shared" si="24"/>
        <v>g (100%)</v>
      </c>
      <c r="N230" s="29"/>
      <c r="P230" s="13" t="str">
        <f t="shared" si="25"/>
        <v>-</v>
      </c>
      <c r="Q230" s="11" t="str">
        <f t="shared" si="27"/>
        <v>e (&gt;28)</v>
      </c>
      <c r="R230" s="14"/>
      <c r="S230" s="14"/>
    </row>
    <row r="231" spans="7:19" x14ac:dyDescent="0.3">
      <c r="G231" s="10">
        <f t="shared" si="21"/>
        <v>0</v>
      </c>
      <c r="H231" s="11" t="str">
        <f t="shared" si="26"/>
        <v>-</v>
      </c>
      <c r="I231" s="11" t="str">
        <f t="shared" si="22"/>
        <v>f (&gt;20%)</v>
      </c>
      <c r="J231" s="11" t="str">
        <f t="shared" si="23"/>
        <v>-</v>
      </c>
      <c r="K231" s="11" t="str">
        <f t="shared" si="24"/>
        <v>g (100%)</v>
      </c>
      <c r="N231" s="29"/>
      <c r="P231" s="13" t="str">
        <f t="shared" si="25"/>
        <v>-</v>
      </c>
      <c r="Q231" s="11" t="str">
        <f t="shared" si="27"/>
        <v>e (&gt;28)</v>
      </c>
      <c r="R231" s="14"/>
      <c r="S231" s="14"/>
    </row>
    <row r="232" spans="7:19" x14ac:dyDescent="0.3">
      <c r="G232" s="10">
        <f t="shared" si="21"/>
        <v>0</v>
      </c>
      <c r="H232" s="11" t="str">
        <f t="shared" si="26"/>
        <v>-</v>
      </c>
      <c r="I232" s="11" t="str">
        <f t="shared" si="22"/>
        <v>f (&gt;20%)</v>
      </c>
      <c r="J232" s="11" t="str">
        <f t="shared" si="23"/>
        <v>-</v>
      </c>
      <c r="K232" s="11" t="str">
        <f t="shared" si="24"/>
        <v>g (100%)</v>
      </c>
      <c r="N232" s="29"/>
      <c r="O232" s="29"/>
      <c r="P232" s="13" t="str">
        <f t="shared" si="25"/>
        <v>-</v>
      </c>
      <c r="Q232" s="11" t="str">
        <f t="shared" si="27"/>
        <v>e (&gt;28)</v>
      </c>
      <c r="R232" s="14"/>
      <c r="S232" s="14"/>
    </row>
    <row r="233" spans="7:19" x14ac:dyDescent="0.3">
      <c r="G233" s="10">
        <f t="shared" si="21"/>
        <v>0</v>
      </c>
      <c r="H233" s="11" t="str">
        <f t="shared" si="26"/>
        <v>-</v>
      </c>
      <c r="I233" s="11" t="str">
        <f t="shared" si="22"/>
        <v>f (&gt;20%)</v>
      </c>
      <c r="J233" s="11" t="str">
        <f t="shared" si="23"/>
        <v>-</v>
      </c>
      <c r="K233" s="11" t="str">
        <f t="shared" si="24"/>
        <v>g (100%)</v>
      </c>
      <c r="N233" s="29"/>
      <c r="O233" s="29"/>
      <c r="P233" s="13" t="str">
        <f t="shared" si="25"/>
        <v>-</v>
      </c>
      <c r="Q233" s="11" t="str">
        <f t="shared" si="27"/>
        <v>e (&gt;28)</v>
      </c>
      <c r="R233" s="14"/>
      <c r="S233" s="14"/>
    </row>
    <row r="234" spans="7:19" x14ac:dyDescent="0.3">
      <c r="G234" s="10">
        <f t="shared" ref="G234:G297" si="28">E234-F234</f>
        <v>0</v>
      </c>
      <c r="H234" s="11" t="str">
        <f t="shared" si="26"/>
        <v>-</v>
      </c>
      <c r="I234" s="11" t="str">
        <f t="shared" ref="I234:I297" si="29">IF(H234=0%,"a (0%)",IF(AND(H234&gt;0%,H234&lt;=5%),"b (0%-5%)",IF(AND(H234&gt;5%,H234&lt;=10%),"c (5%-10%)",IF(AND(H234&gt;10%,H234&lt;=15%),"d (10%-15%)",IF(AND(H234&gt;15%,H234&lt;=20%),"e (15%-20%)","f (&gt;20%)")))))</f>
        <v>f (&gt;20%)</v>
      </c>
      <c r="J234" s="11" t="str">
        <f t="shared" ref="J234:J297" si="30">IFERROR(F234/D234,"-")</f>
        <v>-</v>
      </c>
      <c r="K234" s="11" t="str">
        <f t="shared" ref="K234:K297" si="31">IF(J234=0%,"a (0%)",IF(AND(J234&gt;0%,J234&lt;=20%),"b (0%-20%)",IF(AND(J234&gt;20%,J234&lt;=40%),"c (20%-40%)",IF(AND(J234&gt;40%,J234&lt;=60%),"d (40%-60%)",IF(AND(J234&gt;60%,J234&lt;=80%),"e (60%-80%)",IF(AND(J234&gt;80%,J234&lt;100%),"f (80%-99%)","g (100%)"))))))</f>
        <v>g (100%)</v>
      </c>
      <c r="N234" s="29"/>
      <c r="O234" s="29"/>
      <c r="P234" s="13" t="str">
        <f t="shared" ref="P234:P297" si="32">IFERROR(IF(N234="","-",DATEDIF(N234,O234,"d")),0)</f>
        <v>-</v>
      </c>
      <c r="Q234" s="11" t="str">
        <f t="shared" si="27"/>
        <v>e (&gt;28)</v>
      </c>
      <c r="R234" s="14"/>
      <c r="S234" s="14"/>
    </row>
    <row r="235" spans="7:19" x14ac:dyDescent="0.3">
      <c r="G235" s="10">
        <f t="shared" si="28"/>
        <v>0</v>
      </c>
      <c r="H235" s="11" t="str">
        <f t="shared" si="26"/>
        <v>-</v>
      </c>
      <c r="I235" s="11" t="str">
        <f t="shared" si="29"/>
        <v>f (&gt;20%)</v>
      </c>
      <c r="J235" s="11" t="str">
        <f t="shared" si="30"/>
        <v>-</v>
      </c>
      <c r="K235" s="11" t="str">
        <f t="shared" si="31"/>
        <v>g (100%)</v>
      </c>
      <c r="N235" s="29"/>
      <c r="O235" s="29"/>
      <c r="P235" s="13" t="str">
        <f t="shared" si="32"/>
        <v>-</v>
      </c>
      <c r="Q235" s="11" t="str">
        <f t="shared" si="27"/>
        <v>e (&gt;28)</v>
      </c>
      <c r="R235" s="14"/>
      <c r="S235" s="14"/>
    </row>
    <row r="236" spans="7:19" x14ac:dyDescent="0.3">
      <c r="G236" s="10">
        <f t="shared" si="28"/>
        <v>0</v>
      </c>
      <c r="H236" s="11" t="str">
        <f t="shared" si="26"/>
        <v>-</v>
      </c>
      <c r="I236" s="11" t="str">
        <f t="shared" si="29"/>
        <v>f (&gt;20%)</v>
      </c>
      <c r="J236" s="11" t="str">
        <f t="shared" si="30"/>
        <v>-</v>
      </c>
      <c r="K236" s="11" t="str">
        <f t="shared" si="31"/>
        <v>g (100%)</v>
      </c>
      <c r="N236" s="29"/>
      <c r="P236" s="13" t="str">
        <f t="shared" si="32"/>
        <v>-</v>
      </c>
      <c r="Q236" s="11" t="str">
        <f t="shared" si="27"/>
        <v>e (&gt;28)</v>
      </c>
      <c r="R236" s="14"/>
      <c r="S236" s="14"/>
    </row>
    <row r="237" spans="7:19" x14ac:dyDescent="0.3">
      <c r="G237" s="10">
        <f t="shared" si="28"/>
        <v>0</v>
      </c>
      <c r="H237" s="11" t="str">
        <f t="shared" si="26"/>
        <v>-</v>
      </c>
      <c r="I237" s="11" t="str">
        <f t="shared" si="29"/>
        <v>f (&gt;20%)</v>
      </c>
      <c r="J237" s="11" t="str">
        <f t="shared" si="30"/>
        <v>-</v>
      </c>
      <c r="K237" s="11" t="str">
        <f t="shared" si="31"/>
        <v>g (100%)</v>
      </c>
      <c r="N237" s="29"/>
      <c r="O237" s="29"/>
      <c r="P237" s="13" t="str">
        <f t="shared" si="32"/>
        <v>-</v>
      </c>
      <c r="Q237" s="11" t="str">
        <f t="shared" si="27"/>
        <v>e (&gt;28)</v>
      </c>
      <c r="R237" s="14"/>
      <c r="S237" s="14"/>
    </row>
    <row r="238" spans="7:19" x14ac:dyDescent="0.3">
      <c r="G238" s="10">
        <f t="shared" si="28"/>
        <v>0</v>
      </c>
      <c r="H238" s="11" t="str">
        <f t="shared" si="26"/>
        <v>-</v>
      </c>
      <c r="I238" s="11" t="str">
        <f t="shared" si="29"/>
        <v>f (&gt;20%)</v>
      </c>
      <c r="J238" s="11" t="str">
        <f t="shared" si="30"/>
        <v>-</v>
      </c>
      <c r="K238" s="11" t="str">
        <f t="shared" si="31"/>
        <v>g (100%)</v>
      </c>
      <c r="N238" s="29"/>
      <c r="O238" s="29"/>
      <c r="P238" s="13" t="str">
        <f t="shared" si="32"/>
        <v>-</v>
      </c>
      <c r="Q238" s="11" t="str">
        <f t="shared" si="27"/>
        <v>e (&gt;28)</v>
      </c>
      <c r="R238" s="14"/>
      <c r="S238" s="14"/>
    </row>
    <row r="239" spans="7:19" x14ac:dyDescent="0.3">
      <c r="G239" s="10">
        <f t="shared" si="28"/>
        <v>0</v>
      </c>
      <c r="H239" s="11" t="str">
        <f t="shared" si="26"/>
        <v>-</v>
      </c>
      <c r="I239" s="11" t="str">
        <f t="shared" si="29"/>
        <v>f (&gt;20%)</v>
      </c>
      <c r="J239" s="11" t="str">
        <f t="shared" si="30"/>
        <v>-</v>
      </c>
      <c r="K239" s="11" t="str">
        <f t="shared" si="31"/>
        <v>g (100%)</v>
      </c>
      <c r="N239" s="29"/>
      <c r="O239" s="29"/>
      <c r="P239" s="13" t="str">
        <f t="shared" si="32"/>
        <v>-</v>
      </c>
      <c r="Q239" s="11" t="str">
        <f t="shared" si="27"/>
        <v>e (&gt;28)</v>
      </c>
      <c r="R239" s="14"/>
      <c r="S239" s="14"/>
    </row>
    <row r="240" spans="7:19" x14ac:dyDescent="0.3">
      <c r="G240" s="10">
        <f t="shared" si="28"/>
        <v>0</v>
      </c>
      <c r="H240" s="11" t="str">
        <f t="shared" si="26"/>
        <v>-</v>
      </c>
      <c r="I240" s="11" t="str">
        <f t="shared" si="29"/>
        <v>f (&gt;20%)</v>
      </c>
      <c r="J240" s="11" t="str">
        <f t="shared" si="30"/>
        <v>-</v>
      </c>
      <c r="K240" s="11" t="str">
        <f t="shared" si="31"/>
        <v>g (100%)</v>
      </c>
      <c r="N240" s="29"/>
      <c r="O240" s="29"/>
      <c r="P240" s="13" t="str">
        <f t="shared" si="32"/>
        <v>-</v>
      </c>
      <c r="Q240" s="11" t="str">
        <f t="shared" si="27"/>
        <v>e (&gt;28)</v>
      </c>
      <c r="R240" s="14"/>
      <c r="S240" s="14"/>
    </row>
    <row r="241" spans="7:19" x14ac:dyDescent="0.3">
      <c r="G241" s="10">
        <f t="shared" si="28"/>
        <v>0</v>
      </c>
      <c r="H241" s="11" t="str">
        <f t="shared" si="26"/>
        <v>-</v>
      </c>
      <c r="I241" s="11" t="str">
        <f t="shared" si="29"/>
        <v>f (&gt;20%)</v>
      </c>
      <c r="J241" s="11" t="str">
        <f t="shared" si="30"/>
        <v>-</v>
      </c>
      <c r="K241" s="11" t="str">
        <f t="shared" si="31"/>
        <v>g (100%)</v>
      </c>
      <c r="N241" s="29"/>
      <c r="O241" s="29"/>
      <c r="P241" s="13" t="str">
        <f t="shared" si="32"/>
        <v>-</v>
      </c>
      <c r="Q241" s="11" t="str">
        <f t="shared" si="27"/>
        <v>e (&gt;28)</v>
      </c>
      <c r="R241" s="14"/>
      <c r="S241" s="14"/>
    </row>
    <row r="242" spans="7:19" x14ac:dyDescent="0.3">
      <c r="G242" s="10">
        <f t="shared" si="28"/>
        <v>0</v>
      </c>
      <c r="H242" s="11" t="str">
        <f t="shared" si="26"/>
        <v>-</v>
      </c>
      <c r="I242" s="11" t="str">
        <f t="shared" si="29"/>
        <v>f (&gt;20%)</v>
      </c>
      <c r="J242" s="11" t="str">
        <f t="shared" si="30"/>
        <v>-</v>
      </c>
      <c r="K242" s="11" t="str">
        <f t="shared" si="31"/>
        <v>g (100%)</v>
      </c>
      <c r="N242" s="29"/>
      <c r="O242" s="29"/>
      <c r="P242" s="13" t="str">
        <f t="shared" si="32"/>
        <v>-</v>
      </c>
      <c r="Q242" s="11" t="str">
        <f t="shared" si="27"/>
        <v>e (&gt;28)</v>
      </c>
      <c r="R242" s="14"/>
      <c r="S242" s="14"/>
    </row>
    <row r="243" spans="7:19" x14ac:dyDescent="0.3">
      <c r="G243" s="10">
        <f t="shared" si="28"/>
        <v>0</v>
      </c>
      <c r="H243" s="11" t="str">
        <f t="shared" si="26"/>
        <v>-</v>
      </c>
      <c r="I243" s="11" t="str">
        <f t="shared" si="29"/>
        <v>f (&gt;20%)</v>
      </c>
      <c r="J243" s="11" t="str">
        <f t="shared" si="30"/>
        <v>-</v>
      </c>
      <c r="K243" s="11" t="str">
        <f t="shared" si="31"/>
        <v>g (100%)</v>
      </c>
      <c r="N243" s="29"/>
      <c r="O243" s="29"/>
      <c r="P243" s="13" t="str">
        <f t="shared" si="32"/>
        <v>-</v>
      </c>
      <c r="Q243" s="11" t="str">
        <f t="shared" si="27"/>
        <v>e (&gt;28)</v>
      </c>
      <c r="R243" s="14"/>
      <c r="S243" s="14"/>
    </row>
    <row r="244" spans="7:19" x14ac:dyDescent="0.3">
      <c r="G244" s="10">
        <f t="shared" si="28"/>
        <v>0</v>
      </c>
      <c r="H244" s="11" t="str">
        <f t="shared" si="26"/>
        <v>-</v>
      </c>
      <c r="I244" s="11" t="str">
        <f t="shared" si="29"/>
        <v>f (&gt;20%)</v>
      </c>
      <c r="J244" s="11" t="str">
        <f t="shared" si="30"/>
        <v>-</v>
      </c>
      <c r="K244" s="11" t="str">
        <f t="shared" si="31"/>
        <v>g (100%)</v>
      </c>
      <c r="N244" s="29"/>
      <c r="O244" s="29"/>
      <c r="P244" s="13" t="str">
        <f t="shared" si="32"/>
        <v>-</v>
      </c>
      <c r="Q244" s="11" t="str">
        <f t="shared" si="27"/>
        <v>e (&gt;28)</v>
      </c>
      <c r="R244" s="14"/>
      <c r="S244" s="14"/>
    </row>
    <row r="245" spans="7:19" x14ac:dyDescent="0.3">
      <c r="G245" s="10">
        <f t="shared" si="28"/>
        <v>0</v>
      </c>
      <c r="H245" s="11" t="str">
        <f t="shared" si="26"/>
        <v>-</v>
      </c>
      <c r="I245" s="11" t="str">
        <f t="shared" si="29"/>
        <v>f (&gt;20%)</v>
      </c>
      <c r="J245" s="11" t="str">
        <f t="shared" si="30"/>
        <v>-</v>
      </c>
      <c r="K245" s="11" t="str">
        <f t="shared" si="31"/>
        <v>g (100%)</v>
      </c>
      <c r="N245" s="29"/>
      <c r="O245" s="29"/>
      <c r="P245" s="13" t="str">
        <f t="shared" si="32"/>
        <v>-</v>
      </c>
      <c r="Q245" s="11" t="str">
        <f t="shared" si="27"/>
        <v>e (&gt;28)</v>
      </c>
      <c r="R245" s="14"/>
      <c r="S245" s="14"/>
    </row>
    <row r="246" spans="7:19" x14ac:dyDescent="0.3">
      <c r="G246" s="10">
        <f t="shared" si="28"/>
        <v>0</v>
      </c>
      <c r="H246" s="11" t="str">
        <f t="shared" si="26"/>
        <v>-</v>
      </c>
      <c r="I246" s="11" t="str">
        <f t="shared" si="29"/>
        <v>f (&gt;20%)</v>
      </c>
      <c r="J246" s="11" t="str">
        <f t="shared" si="30"/>
        <v>-</v>
      </c>
      <c r="K246" s="11" t="str">
        <f t="shared" si="31"/>
        <v>g (100%)</v>
      </c>
      <c r="N246" s="29"/>
      <c r="O246" s="29"/>
      <c r="P246" s="13" t="str">
        <f t="shared" si="32"/>
        <v>-</v>
      </c>
      <c r="Q246" s="11" t="str">
        <f t="shared" si="27"/>
        <v>e (&gt;28)</v>
      </c>
      <c r="R246" s="14"/>
      <c r="S246" s="14"/>
    </row>
    <row r="247" spans="7:19" x14ac:dyDescent="0.3">
      <c r="G247" s="10">
        <f t="shared" si="28"/>
        <v>0</v>
      </c>
      <c r="H247" s="11" t="str">
        <f t="shared" si="26"/>
        <v>-</v>
      </c>
      <c r="I247" s="11" t="str">
        <f t="shared" si="29"/>
        <v>f (&gt;20%)</v>
      </c>
      <c r="J247" s="11" t="str">
        <f t="shared" si="30"/>
        <v>-</v>
      </c>
      <c r="K247" s="11" t="str">
        <f t="shared" si="31"/>
        <v>g (100%)</v>
      </c>
      <c r="N247" s="29"/>
      <c r="O247" s="29"/>
      <c r="P247" s="13" t="str">
        <f t="shared" si="32"/>
        <v>-</v>
      </c>
      <c r="Q247" s="11" t="str">
        <f t="shared" si="27"/>
        <v>e (&gt;28)</v>
      </c>
      <c r="R247" s="14"/>
      <c r="S247" s="14"/>
    </row>
    <row r="248" spans="7:19" x14ac:dyDescent="0.3">
      <c r="G248" s="10">
        <f t="shared" si="28"/>
        <v>0</v>
      </c>
      <c r="H248" s="11" t="str">
        <f t="shared" si="26"/>
        <v>-</v>
      </c>
      <c r="I248" s="11" t="str">
        <f t="shared" si="29"/>
        <v>f (&gt;20%)</v>
      </c>
      <c r="J248" s="11" t="str">
        <f t="shared" si="30"/>
        <v>-</v>
      </c>
      <c r="K248" s="11" t="str">
        <f t="shared" si="31"/>
        <v>g (100%)</v>
      </c>
      <c r="N248" s="29"/>
      <c r="P248" s="13" t="str">
        <f t="shared" si="32"/>
        <v>-</v>
      </c>
      <c r="Q248" s="11" t="str">
        <f t="shared" si="27"/>
        <v>e (&gt;28)</v>
      </c>
      <c r="R248" s="14"/>
      <c r="S248" s="14"/>
    </row>
    <row r="249" spans="7:19" x14ac:dyDescent="0.3">
      <c r="G249" s="10">
        <f t="shared" si="28"/>
        <v>0</v>
      </c>
      <c r="H249" s="11" t="str">
        <f t="shared" si="26"/>
        <v>-</v>
      </c>
      <c r="I249" s="11" t="str">
        <f t="shared" si="29"/>
        <v>f (&gt;20%)</v>
      </c>
      <c r="J249" s="11" t="str">
        <f t="shared" si="30"/>
        <v>-</v>
      </c>
      <c r="K249" s="11" t="str">
        <f t="shared" si="31"/>
        <v>g (100%)</v>
      </c>
      <c r="N249" s="29"/>
      <c r="O249" s="29"/>
      <c r="P249" s="13" t="str">
        <f t="shared" si="32"/>
        <v>-</v>
      </c>
      <c r="Q249" s="11" t="str">
        <f t="shared" si="27"/>
        <v>e (&gt;28)</v>
      </c>
      <c r="R249" s="14"/>
      <c r="S249" s="14"/>
    </row>
    <row r="250" spans="7:19" x14ac:dyDescent="0.3">
      <c r="G250" s="10">
        <f t="shared" si="28"/>
        <v>0</v>
      </c>
      <c r="H250" s="11" t="str">
        <f t="shared" si="26"/>
        <v>-</v>
      </c>
      <c r="I250" s="11" t="str">
        <f t="shared" si="29"/>
        <v>f (&gt;20%)</v>
      </c>
      <c r="J250" s="11" t="str">
        <f t="shared" si="30"/>
        <v>-</v>
      </c>
      <c r="K250" s="11" t="str">
        <f t="shared" si="31"/>
        <v>g (100%)</v>
      </c>
      <c r="N250" s="29"/>
      <c r="O250" s="29"/>
      <c r="P250" s="13" t="str">
        <f t="shared" si="32"/>
        <v>-</v>
      </c>
      <c r="Q250" s="11" t="str">
        <f t="shared" si="27"/>
        <v>e (&gt;28)</v>
      </c>
      <c r="R250" s="14"/>
      <c r="S250" s="14"/>
    </row>
    <row r="251" spans="7:19" x14ac:dyDescent="0.3">
      <c r="G251" s="10">
        <f t="shared" si="28"/>
        <v>0</v>
      </c>
      <c r="H251" s="11" t="str">
        <f t="shared" si="26"/>
        <v>-</v>
      </c>
      <c r="I251" s="11" t="str">
        <f t="shared" si="29"/>
        <v>f (&gt;20%)</v>
      </c>
      <c r="J251" s="11" t="str">
        <f t="shared" si="30"/>
        <v>-</v>
      </c>
      <c r="K251" s="11" t="str">
        <f t="shared" si="31"/>
        <v>g (100%)</v>
      </c>
      <c r="N251" s="29"/>
      <c r="O251" s="29"/>
      <c r="P251" s="13" t="str">
        <f t="shared" si="32"/>
        <v>-</v>
      </c>
      <c r="Q251" s="11" t="str">
        <f t="shared" si="27"/>
        <v>e (&gt;28)</v>
      </c>
      <c r="R251" s="14"/>
      <c r="S251" s="14"/>
    </row>
    <row r="252" spans="7:19" x14ac:dyDescent="0.3">
      <c r="G252" s="10">
        <f t="shared" si="28"/>
        <v>0</v>
      </c>
      <c r="H252" s="11" t="str">
        <f t="shared" si="26"/>
        <v>-</v>
      </c>
      <c r="I252" s="11" t="str">
        <f t="shared" si="29"/>
        <v>f (&gt;20%)</v>
      </c>
      <c r="J252" s="11" t="str">
        <f t="shared" si="30"/>
        <v>-</v>
      </c>
      <c r="K252" s="11" t="str">
        <f t="shared" si="31"/>
        <v>g (100%)</v>
      </c>
      <c r="N252" s="29"/>
      <c r="O252" s="29"/>
      <c r="P252" s="13" t="str">
        <f t="shared" si="32"/>
        <v>-</v>
      </c>
      <c r="Q252" s="11" t="str">
        <f t="shared" si="27"/>
        <v>e (&gt;28)</v>
      </c>
      <c r="R252" s="14"/>
      <c r="S252" s="14"/>
    </row>
    <row r="253" spans="7:19" x14ac:dyDescent="0.3">
      <c r="G253" s="10">
        <f t="shared" si="28"/>
        <v>0</v>
      </c>
      <c r="H253" s="11" t="str">
        <f t="shared" si="26"/>
        <v>-</v>
      </c>
      <c r="I253" s="11" t="str">
        <f t="shared" si="29"/>
        <v>f (&gt;20%)</v>
      </c>
      <c r="J253" s="11" t="str">
        <f t="shared" si="30"/>
        <v>-</v>
      </c>
      <c r="K253" s="11" t="str">
        <f t="shared" si="31"/>
        <v>g (100%)</v>
      </c>
      <c r="N253" s="29"/>
      <c r="O253" s="29"/>
      <c r="P253" s="13" t="str">
        <f t="shared" si="32"/>
        <v>-</v>
      </c>
      <c r="Q253" s="11" t="str">
        <f t="shared" si="27"/>
        <v>e (&gt;28)</v>
      </c>
      <c r="R253" s="14"/>
      <c r="S253" s="14"/>
    </row>
    <row r="254" spans="7:19" x14ac:dyDescent="0.3">
      <c r="G254" s="10">
        <f t="shared" si="28"/>
        <v>0</v>
      </c>
      <c r="H254" s="11" t="str">
        <f t="shared" si="26"/>
        <v>-</v>
      </c>
      <c r="I254" s="11" t="str">
        <f t="shared" si="29"/>
        <v>f (&gt;20%)</v>
      </c>
      <c r="J254" s="11" t="str">
        <f t="shared" si="30"/>
        <v>-</v>
      </c>
      <c r="K254" s="11" t="str">
        <f t="shared" si="31"/>
        <v>g (100%)</v>
      </c>
      <c r="N254" s="29"/>
      <c r="O254" s="29"/>
      <c r="P254" s="13" t="str">
        <f t="shared" si="32"/>
        <v>-</v>
      </c>
      <c r="Q254" s="11" t="str">
        <f t="shared" si="27"/>
        <v>e (&gt;28)</v>
      </c>
      <c r="R254" s="14"/>
      <c r="S254" s="14"/>
    </row>
    <row r="255" spans="7:19" x14ac:dyDescent="0.3">
      <c r="G255" s="10">
        <f t="shared" si="28"/>
        <v>0</v>
      </c>
      <c r="H255" s="11" t="str">
        <f t="shared" si="26"/>
        <v>-</v>
      </c>
      <c r="I255" s="11" t="str">
        <f t="shared" si="29"/>
        <v>f (&gt;20%)</v>
      </c>
      <c r="J255" s="11" t="str">
        <f t="shared" si="30"/>
        <v>-</v>
      </c>
      <c r="K255" s="11" t="str">
        <f t="shared" si="31"/>
        <v>g (100%)</v>
      </c>
      <c r="N255" s="29"/>
      <c r="O255" s="29"/>
      <c r="P255" s="13" t="str">
        <f t="shared" si="32"/>
        <v>-</v>
      </c>
      <c r="Q255" s="11" t="str">
        <f t="shared" si="27"/>
        <v>e (&gt;28)</v>
      </c>
      <c r="R255" s="14"/>
      <c r="S255" s="14"/>
    </row>
    <row r="256" spans="7:19" x14ac:dyDescent="0.3">
      <c r="G256" s="10">
        <f t="shared" si="28"/>
        <v>0</v>
      </c>
      <c r="H256" s="11" t="str">
        <f t="shared" si="26"/>
        <v>-</v>
      </c>
      <c r="I256" s="11" t="str">
        <f t="shared" si="29"/>
        <v>f (&gt;20%)</v>
      </c>
      <c r="J256" s="11" t="str">
        <f t="shared" si="30"/>
        <v>-</v>
      </c>
      <c r="K256" s="11" t="str">
        <f t="shared" si="31"/>
        <v>g (100%)</v>
      </c>
      <c r="N256" s="29"/>
      <c r="O256" s="29"/>
      <c r="P256" s="13" t="str">
        <f t="shared" si="32"/>
        <v>-</v>
      </c>
      <c r="Q256" s="11" t="str">
        <f t="shared" si="27"/>
        <v>e (&gt;28)</v>
      </c>
      <c r="R256" s="14"/>
      <c r="S256" s="14"/>
    </row>
    <row r="257" spans="7:19" x14ac:dyDescent="0.3">
      <c r="G257" s="10">
        <f t="shared" si="28"/>
        <v>0</v>
      </c>
      <c r="H257" s="11" t="str">
        <f t="shared" si="26"/>
        <v>-</v>
      </c>
      <c r="I257" s="11" t="str">
        <f t="shared" si="29"/>
        <v>f (&gt;20%)</v>
      </c>
      <c r="J257" s="11" t="str">
        <f t="shared" si="30"/>
        <v>-</v>
      </c>
      <c r="K257" s="11" t="str">
        <f t="shared" si="31"/>
        <v>g (100%)</v>
      </c>
      <c r="N257" s="29"/>
      <c r="P257" s="13" t="str">
        <f t="shared" si="32"/>
        <v>-</v>
      </c>
      <c r="Q257" s="11" t="str">
        <f t="shared" si="27"/>
        <v>e (&gt;28)</v>
      </c>
      <c r="R257" s="14"/>
      <c r="S257" s="14"/>
    </row>
    <row r="258" spans="7:19" x14ac:dyDescent="0.3">
      <c r="G258" s="10">
        <f t="shared" si="28"/>
        <v>0</v>
      </c>
      <c r="H258" s="11" t="str">
        <f t="shared" si="26"/>
        <v>-</v>
      </c>
      <c r="I258" s="11" t="str">
        <f t="shared" si="29"/>
        <v>f (&gt;20%)</v>
      </c>
      <c r="J258" s="11" t="str">
        <f t="shared" si="30"/>
        <v>-</v>
      </c>
      <c r="K258" s="11" t="str">
        <f t="shared" si="31"/>
        <v>g (100%)</v>
      </c>
      <c r="N258" s="29"/>
      <c r="O258" s="29"/>
      <c r="P258" s="13" t="str">
        <f t="shared" si="32"/>
        <v>-</v>
      </c>
      <c r="Q258" s="11" t="str">
        <f t="shared" si="27"/>
        <v>e (&gt;28)</v>
      </c>
      <c r="R258" s="14"/>
      <c r="S258" s="14"/>
    </row>
    <row r="259" spans="7:19" x14ac:dyDescent="0.3">
      <c r="G259" s="10">
        <f t="shared" si="28"/>
        <v>0</v>
      </c>
      <c r="H259" s="11" t="str">
        <f t="shared" ref="H259:H322" si="33">IFERROR(G259/E259,"-")</f>
        <v>-</v>
      </c>
      <c r="I259" s="11" t="str">
        <f t="shared" si="29"/>
        <v>f (&gt;20%)</v>
      </c>
      <c r="J259" s="11" t="str">
        <f t="shared" si="30"/>
        <v>-</v>
      </c>
      <c r="K259" s="11" t="str">
        <f t="shared" si="31"/>
        <v>g (100%)</v>
      </c>
      <c r="N259" s="29"/>
      <c r="P259" s="13" t="str">
        <f t="shared" si="32"/>
        <v>-</v>
      </c>
      <c r="Q259" s="11" t="str">
        <f t="shared" ref="Q259:Q322" si="34">IF(AND(P259&gt;0,P259&lt;=7),"a (0-7)",IF(AND(P259&gt;7,P259&lt;=14),"b (8-14)",IF(AND(P259&gt;14,P259&lt;=21),"c (15-21)",IF(AND(P259&gt;21,P259&lt;=28),"d (22-28)","e (&gt;28)"))))</f>
        <v>e (&gt;28)</v>
      </c>
      <c r="R259" s="14"/>
      <c r="S259" s="14"/>
    </row>
    <row r="260" spans="7:19" x14ac:dyDescent="0.3">
      <c r="G260" s="10">
        <f t="shared" si="28"/>
        <v>0</v>
      </c>
      <c r="H260" s="11" t="str">
        <f t="shared" si="33"/>
        <v>-</v>
      </c>
      <c r="I260" s="11" t="str">
        <f t="shared" si="29"/>
        <v>f (&gt;20%)</v>
      </c>
      <c r="J260" s="11" t="str">
        <f t="shared" si="30"/>
        <v>-</v>
      </c>
      <c r="K260" s="11" t="str">
        <f t="shared" si="31"/>
        <v>g (100%)</v>
      </c>
      <c r="N260" s="29"/>
      <c r="O260" s="29"/>
      <c r="P260" s="13" t="str">
        <f t="shared" si="32"/>
        <v>-</v>
      </c>
      <c r="Q260" s="11" t="str">
        <f t="shared" si="34"/>
        <v>e (&gt;28)</v>
      </c>
      <c r="R260" s="14"/>
      <c r="S260" s="14"/>
    </row>
    <row r="261" spans="7:19" x14ac:dyDescent="0.3">
      <c r="G261" s="10">
        <f t="shared" si="28"/>
        <v>0</v>
      </c>
      <c r="H261" s="11" t="str">
        <f t="shared" si="33"/>
        <v>-</v>
      </c>
      <c r="I261" s="11" t="str">
        <f t="shared" si="29"/>
        <v>f (&gt;20%)</v>
      </c>
      <c r="J261" s="11" t="str">
        <f t="shared" si="30"/>
        <v>-</v>
      </c>
      <c r="K261" s="11" t="str">
        <f t="shared" si="31"/>
        <v>g (100%)</v>
      </c>
      <c r="N261" s="29"/>
      <c r="O261" s="29"/>
      <c r="P261" s="13" t="str">
        <f t="shared" si="32"/>
        <v>-</v>
      </c>
      <c r="Q261" s="11" t="str">
        <f t="shared" si="34"/>
        <v>e (&gt;28)</v>
      </c>
      <c r="R261" s="14"/>
      <c r="S261" s="14"/>
    </row>
    <row r="262" spans="7:19" x14ac:dyDescent="0.3">
      <c r="G262" s="10">
        <f t="shared" si="28"/>
        <v>0</v>
      </c>
      <c r="H262" s="11" t="str">
        <f t="shared" si="33"/>
        <v>-</v>
      </c>
      <c r="I262" s="11" t="str">
        <f t="shared" si="29"/>
        <v>f (&gt;20%)</v>
      </c>
      <c r="J262" s="11" t="str">
        <f t="shared" si="30"/>
        <v>-</v>
      </c>
      <c r="K262" s="11" t="str">
        <f t="shared" si="31"/>
        <v>g (100%)</v>
      </c>
      <c r="N262" s="29"/>
      <c r="O262" s="29"/>
      <c r="P262" s="13" t="str">
        <f t="shared" si="32"/>
        <v>-</v>
      </c>
      <c r="Q262" s="11" t="str">
        <f t="shared" si="34"/>
        <v>e (&gt;28)</v>
      </c>
      <c r="R262" s="14"/>
      <c r="S262" s="14"/>
    </row>
    <row r="263" spans="7:19" x14ac:dyDescent="0.3">
      <c r="G263" s="10">
        <f t="shared" si="28"/>
        <v>0</v>
      </c>
      <c r="H263" s="11" t="str">
        <f t="shared" si="33"/>
        <v>-</v>
      </c>
      <c r="I263" s="11" t="str">
        <f t="shared" si="29"/>
        <v>f (&gt;20%)</v>
      </c>
      <c r="J263" s="11" t="str">
        <f t="shared" si="30"/>
        <v>-</v>
      </c>
      <c r="K263" s="11" t="str">
        <f t="shared" si="31"/>
        <v>g (100%)</v>
      </c>
      <c r="N263" s="29"/>
      <c r="P263" s="13" t="str">
        <f t="shared" si="32"/>
        <v>-</v>
      </c>
      <c r="Q263" s="11" t="str">
        <f t="shared" si="34"/>
        <v>e (&gt;28)</v>
      </c>
      <c r="R263" s="14"/>
      <c r="S263" s="14"/>
    </row>
    <row r="264" spans="7:19" x14ac:dyDescent="0.3">
      <c r="G264" s="10">
        <f t="shared" si="28"/>
        <v>0</v>
      </c>
      <c r="H264" s="11" t="str">
        <f t="shared" si="33"/>
        <v>-</v>
      </c>
      <c r="I264" s="11" t="str">
        <f t="shared" si="29"/>
        <v>f (&gt;20%)</v>
      </c>
      <c r="J264" s="11" t="str">
        <f t="shared" si="30"/>
        <v>-</v>
      </c>
      <c r="K264" s="11" t="str">
        <f t="shared" si="31"/>
        <v>g (100%)</v>
      </c>
      <c r="N264" s="29"/>
      <c r="O264" s="29"/>
      <c r="P264" s="13" t="str">
        <f t="shared" si="32"/>
        <v>-</v>
      </c>
      <c r="Q264" s="11" t="str">
        <f t="shared" si="34"/>
        <v>e (&gt;28)</v>
      </c>
      <c r="R264" s="14"/>
      <c r="S264" s="14"/>
    </row>
    <row r="265" spans="7:19" x14ac:dyDescent="0.3">
      <c r="G265" s="10">
        <f t="shared" si="28"/>
        <v>0</v>
      </c>
      <c r="H265" s="11" t="str">
        <f t="shared" si="33"/>
        <v>-</v>
      </c>
      <c r="I265" s="11" t="str">
        <f t="shared" si="29"/>
        <v>f (&gt;20%)</v>
      </c>
      <c r="J265" s="11" t="str">
        <f t="shared" si="30"/>
        <v>-</v>
      </c>
      <c r="K265" s="11" t="str">
        <f t="shared" si="31"/>
        <v>g (100%)</v>
      </c>
      <c r="N265" s="29"/>
      <c r="O265" s="29"/>
      <c r="P265" s="13" t="str">
        <f t="shared" si="32"/>
        <v>-</v>
      </c>
      <c r="Q265" s="11" t="str">
        <f t="shared" si="34"/>
        <v>e (&gt;28)</v>
      </c>
      <c r="R265" s="14"/>
      <c r="S265" s="14"/>
    </row>
    <row r="266" spans="7:19" x14ac:dyDescent="0.3">
      <c r="G266" s="10">
        <f t="shared" si="28"/>
        <v>0</v>
      </c>
      <c r="H266" s="11" t="str">
        <f t="shared" si="33"/>
        <v>-</v>
      </c>
      <c r="I266" s="11" t="str">
        <f t="shared" si="29"/>
        <v>f (&gt;20%)</v>
      </c>
      <c r="J266" s="11" t="str">
        <f t="shared" si="30"/>
        <v>-</v>
      </c>
      <c r="K266" s="11" t="str">
        <f t="shared" si="31"/>
        <v>g (100%)</v>
      </c>
      <c r="N266" s="29"/>
      <c r="O266" s="29"/>
      <c r="P266" s="13" t="str">
        <f t="shared" si="32"/>
        <v>-</v>
      </c>
      <c r="Q266" s="11" t="str">
        <f t="shared" si="34"/>
        <v>e (&gt;28)</v>
      </c>
      <c r="R266" s="14"/>
      <c r="S266" s="14"/>
    </row>
    <row r="267" spans="7:19" x14ac:dyDescent="0.3">
      <c r="G267" s="10">
        <f t="shared" si="28"/>
        <v>0</v>
      </c>
      <c r="H267" s="11" t="str">
        <f t="shared" si="33"/>
        <v>-</v>
      </c>
      <c r="I267" s="11" t="str">
        <f t="shared" si="29"/>
        <v>f (&gt;20%)</v>
      </c>
      <c r="J267" s="11" t="str">
        <f t="shared" si="30"/>
        <v>-</v>
      </c>
      <c r="K267" s="11" t="str">
        <f t="shared" si="31"/>
        <v>g (100%)</v>
      </c>
      <c r="N267" s="29"/>
      <c r="O267" s="29"/>
      <c r="P267" s="13" t="str">
        <f t="shared" si="32"/>
        <v>-</v>
      </c>
      <c r="Q267" s="11" t="str">
        <f t="shared" si="34"/>
        <v>e (&gt;28)</v>
      </c>
      <c r="R267" s="14"/>
      <c r="S267" s="14"/>
    </row>
    <row r="268" spans="7:19" x14ac:dyDescent="0.3">
      <c r="G268" s="10">
        <f t="shared" si="28"/>
        <v>0</v>
      </c>
      <c r="H268" s="11" t="str">
        <f t="shared" si="33"/>
        <v>-</v>
      </c>
      <c r="I268" s="11" t="str">
        <f t="shared" si="29"/>
        <v>f (&gt;20%)</v>
      </c>
      <c r="J268" s="11" t="str">
        <f t="shared" si="30"/>
        <v>-</v>
      </c>
      <c r="K268" s="11" t="str">
        <f t="shared" si="31"/>
        <v>g (100%)</v>
      </c>
      <c r="N268" s="29"/>
      <c r="O268" s="29"/>
      <c r="P268" s="13" t="str">
        <f t="shared" si="32"/>
        <v>-</v>
      </c>
      <c r="Q268" s="11" t="str">
        <f t="shared" si="34"/>
        <v>e (&gt;28)</v>
      </c>
      <c r="R268" s="14"/>
      <c r="S268" s="14"/>
    </row>
    <row r="269" spans="7:19" x14ac:dyDescent="0.3">
      <c r="G269" s="10">
        <f t="shared" si="28"/>
        <v>0</v>
      </c>
      <c r="H269" s="11" t="str">
        <f t="shared" si="33"/>
        <v>-</v>
      </c>
      <c r="I269" s="11" t="str">
        <f t="shared" si="29"/>
        <v>f (&gt;20%)</v>
      </c>
      <c r="J269" s="11" t="str">
        <f t="shared" si="30"/>
        <v>-</v>
      </c>
      <c r="K269" s="11" t="str">
        <f t="shared" si="31"/>
        <v>g (100%)</v>
      </c>
      <c r="N269" s="29"/>
      <c r="O269" s="29"/>
      <c r="P269" s="13" t="str">
        <f t="shared" si="32"/>
        <v>-</v>
      </c>
      <c r="Q269" s="11" t="str">
        <f t="shared" si="34"/>
        <v>e (&gt;28)</v>
      </c>
      <c r="R269" s="14"/>
      <c r="S269" s="14"/>
    </row>
    <row r="270" spans="7:19" x14ac:dyDescent="0.3">
      <c r="G270" s="10">
        <f t="shared" si="28"/>
        <v>0</v>
      </c>
      <c r="H270" s="11" t="str">
        <f t="shared" si="33"/>
        <v>-</v>
      </c>
      <c r="I270" s="11" t="str">
        <f t="shared" si="29"/>
        <v>f (&gt;20%)</v>
      </c>
      <c r="J270" s="11" t="str">
        <f t="shared" si="30"/>
        <v>-</v>
      </c>
      <c r="K270" s="11" t="str">
        <f t="shared" si="31"/>
        <v>g (100%)</v>
      </c>
      <c r="N270" s="29"/>
      <c r="O270" s="29"/>
      <c r="P270" s="13" t="str">
        <f t="shared" si="32"/>
        <v>-</v>
      </c>
      <c r="Q270" s="11" t="str">
        <f t="shared" si="34"/>
        <v>e (&gt;28)</v>
      </c>
      <c r="R270" s="14"/>
      <c r="S270" s="14"/>
    </row>
    <row r="271" spans="7:19" x14ac:dyDescent="0.3">
      <c r="G271" s="10">
        <f t="shared" si="28"/>
        <v>0</v>
      </c>
      <c r="H271" s="11" t="str">
        <f t="shared" si="33"/>
        <v>-</v>
      </c>
      <c r="I271" s="11" t="str">
        <f t="shared" si="29"/>
        <v>f (&gt;20%)</v>
      </c>
      <c r="J271" s="11" t="str">
        <f t="shared" si="30"/>
        <v>-</v>
      </c>
      <c r="K271" s="11" t="str">
        <f t="shared" si="31"/>
        <v>g (100%)</v>
      </c>
      <c r="N271" s="29"/>
      <c r="O271" s="29"/>
      <c r="P271" s="13" t="str">
        <f t="shared" si="32"/>
        <v>-</v>
      </c>
      <c r="Q271" s="11" t="str">
        <f t="shared" si="34"/>
        <v>e (&gt;28)</v>
      </c>
      <c r="R271" s="14"/>
      <c r="S271" s="14"/>
    </row>
    <row r="272" spans="7:19" x14ac:dyDescent="0.3">
      <c r="G272" s="10">
        <f t="shared" si="28"/>
        <v>0</v>
      </c>
      <c r="H272" s="11" t="str">
        <f t="shared" si="33"/>
        <v>-</v>
      </c>
      <c r="I272" s="11" t="str">
        <f t="shared" si="29"/>
        <v>f (&gt;20%)</v>
      </c>
      <c r="J272" s="11" t="str">
        <f t="shared" si="30"/>
        <v>-</v>
      </c>
      <c r="K272" s="11" t="str">
        <f t="shared" si="31"/>
        <v>g (100%)</v>
      </c>
      <c r="N272" s="29"/>
      <c r="O272" s="29"/>
      <c r="P272" s="13" t="str">
        <f t="shared" si="32"/>
        <v>-</v>
      </c>
      <c r="Q272" s="11" t="str">
        <f t="shared" si="34"/>
        <v>e (&gt;28)</v>
      </c>
      <c r="R272" s="14"/>
      <c r="S272" s="14"/>
    </row>
    <row r="273" spans="7:19" x14ac:dyDescent="0.3">
      <c r="G273" s="10">
        <f t="shared" si="28"/>
        <v>0</v>
      </c>
      <c r="H273" s="11" t="str">
        <f t="shared" si="33"/>
        <v>-</v>
      </c>
      <c r="I273" s="11" t="str">
        <f t="shared" si="29"/>
        <v>f (&gt;20%)</v>
      </c>
      <c r="J273" s="11" t="str">
        <f t="shared" si="30"/>
        <v>-</v>
      </c>
      <c r="K273" s="11" t="str">
        <f t="shared" si="31"/>
        <v>g (100%)</v>
      </c>
      <c r="N273" s="29"/>
      <c r="O273" s="29"/>
      <c r="P273" s="13" t="str">
        <f t="shared" si="32"/>
        <v>-</v>
      </c>
      <c r="Q273" s="11" t="str">
        <f t="shared" si="34"/>
        <v>e (&gt;28)</v>
      </c>
      <c r="R273" s="14"/>
      <c r="S273" s="14"/>
    </row>
    <row r="274" spans="7:19" x14ac:dyDescent="0.3">
      <c r="G274" s="10">
        <f t="shared" si="28"/>
        <v>0</v>
      </c>
      <c r="H274" s="11" t="str">
        <f t="shared" si="33"/>
        <v>-</v>
      </c>
      <c r="I274" s="11" t="str">
        <f t="shared" si="29"/>
        <v>f (&gt;20%)</v>
      </c>
      <c r="J274" s="11" t="str">
        <f t="shared" si="30"/>
        <v>-</v>
      </c>
      <c r="K274" s="11" t="str">
        <f t="shared" si="31"/>
        <v>g (100%)</v>
      </c>
      <c r="N274" s="29"/>
      <c r="O274" s="29"/>
      <c r="P274" s="13" t="str">
        <f t="shared" si="32"/>
        <v>-</v>
      </c>
      <c r="Q274" s="11" t="str">
        <f t="shared" si="34"/>
        <v>e (&gt;28)</v>
      </c>
      <c r="R274" s="14"/>
      <c r="S274" s="14"/>
    </row>
    <row r="275" spans="7:19" x14ac:dyDescent="0.3">
      <c r="G275" s="10">
        <f t="shared" si="28"/>
        <v>0</v>
      </c>
      <c r="H275" s="11" t="str">
        <f t="shared" si="33"/>
        <v>-</v>
      </c>
      <c r="I275" s="11" t="str">
        <f t="shared" si="29"/>
        <v>f (&gt;20%)</v>
      </c>
      <c r="J275" s="11" t="str">
        <f t="shared" si="30"/>
        <v>-</v>
      </c>
      <c r="K275" s="11" t="str">
        <f t="shared" si="31"/>
        <v>g (100%)</v>
      </c>
      <c r="N275" s="29"/>
      <c r="O275" s="29"/>
      <c r="P275" s="13" t="str">
        <f t="shared" si="32"/>
        <v>-</v>
      </c>
      <c r="Q275" s="11" t="str">
        <f t="shared" si="34"/>
        <v>e (&gt;28)</v>
      </c>
      <c r="R275" s="14"/>
      <c r="S275" s="14"/>
    </row>
    <row r="276" spans="7:19" x14ac:dyDescent="0.3">
      <c r="G276" s="10">
        <f t="shared" si="28"/>
        <v>0</v>
      </c>
      <c r="H276" s="11" t="str">
        <f t="shared" si="33"/>
        <v>-</v>
      </c>
      <c r="I276" s="11" t="str">
        <f t="shared" si="29"/>
        <v>f (&gt;20%)</v>
      </c>
      <c r="J276" s="11" t="str">
        <f t="shared" si="30"/>
        <v>-</v>
      </c>
      <c r="K276" s="11" t="str">
        <f t="shared" si="31"/>
        <v>g (100%)</v>
      </c>
      <c r="N276" s="29"/>
      <c r="O276" s="29"/>
      <c r="P276" s="13" t="str">
        <f t="shared" si="32"/>
        <v>-</v>
      </c>
      <c r="Q276" s="11" t="str">
        <f t="shared" si="34"/>
        <v>e (&gt;28)</v>
      </c>
      <c r="R276" s="14"/>
      <c r="S276" s="14"/>
    </row>
    <row r="277" spans="7:19" x14ac:dyDescent="0.3">
      <c r="G277" s="10">
        <f t="shared" si="28"/>
        <v>0</v>
      </c>
      <c r="H277" s="11" t="str">
        <f t="shared" si="33"/>
        <v>-</v>
      </c>
      <c r="I277" s="11" t="str">
        <f t="shared" si="29"/>
        <v>f (&gt;20%)</v>
      </c>
      <c r="J277" s="11" t="str">
        <f t="shared" si="30"/>
        <v>-</v>
      </c>
      <c r="K277" s="11" t="str">
        <f t="shared" si="31"/>
        <v>g (100%)</v>
      </c>
      <c r="N277" s="29"/>
      <c r="O277" s="29"/>
      <c r="P277" s="13" t="str">
        <f t="shared" si="32"/>
        <v>-</v>
      </c>
      <c r="Q277" s="11" t="str">
        <f t="shared" si="34"/>
        <v>e (&gt;28)</v>
      </c>
      <c r="R277" s="14"/>
      <c r="S277" s="14"/>
    </row>
    <row r="278" spans="7:19" x14ac:dyDescent="0.3">
      <c r="G278" s="10">
        <f t="shared" si="28"/>
        <v>0</v>
      </c>
      <c r="H278" s="11" t="str">
        <f t="shared" si="33"/>
        <v>-</v>
      </c>
      <c r="I278" s="11" t="str">
        <f t="shared" si="29"/>
        <v>f (&gt;20%)</v>
      </c>
      <c r="J278" s="11" t="str">
        <f t="shared" si="30"/>
        <v>-</v>
      </c>
      <c r="K278" s="11" t="str">
        <f t="shared" si="31"/>
        <v>g (100%)</v>
      </c>
      <c r="N278" s="29"/>
      <c r="P278" s="13" t="str">
        <f t="shared" si="32"/>
        <v>-</v>
      </c>
      <c r="Q278" s="11" t="str">
        <f t="shared" si="34"/>
        <v>e (&gt;28)</v>
      </c>
      <c r="R278" s="14"/>
      <c r="S278" s="14"/>
    </row>
    <row r="279" spans="7:19" x14ac:dyDescent="0.3">
      <c r="G279" s="10">
        <f t="shared" si="28"/>
        <v>0</v>
      </c>
      <c r="H279" s="11" t="str">
        <f t="shared" si="33"/>
        <v>-</v>
      </c>
      <c r="I279" s="11" t="str">
        <f t="shared" si="29"/>
        <v>f (&gt;20%)</v>
      </c>
      <c r="J279" s="11" t="str">
        <f t="shared" si="30"/>
        <v>-</v>
      </c>
      <c r="K279" s="11" t="str">
        <f t="shared" si="31"/>
        <v>g (100%)</v>
      </c>
      <c r="N279" s="29"/>
      <c r="O279" s="29"/>
      <c r="P279" s="13" t="str">
        <f t="shared" si="32"/>
        <v>-</v>
      </c>
      <c r="Q279" s="11" t="str">
        <f t="shared" si="34"/>
        <v>e (&gt;28)</v>
      </c>
      <c r="R279" s="14"/>
      <c r="S279" s="14"/>
    </row>
    <row r="280" spans="7:19" x14ac:dyDescent="0.3">
      <c r="G280" s="10">
        <f t="shared" si="28"/>
        <v>0</v>
      </c>
      <c r="H280" s="11" t="str">
        <f t="shared" si="33"/>
        <v>-</v>
      </c>
      <c r="I280" s="11" t="str">
        <f t="shared" si="29"/>
        <v>f (&gt;20%)</v>
      </c>
      <c r="J280" s="11" t="str">
        <f t="shared" si="30"/>
        <v>-</v>
      </c>
      <c r="K280" s="11" t="str">
        <f t="shared" si="31"/>
        <v>g (100%)</v>
      </c>
      <c r="N280" s="29"/>
      <c r="O280" s="29"/>
      <c r="P280" s="13" t="str">
        <f t="shared" si="32"/>
        <v>-</v>
      </c>
      <c r="Q280" s="11" t="str">
        <f t="shared" si="34"/>
        <v>e (&gt;28)</v>
      </c>
      <c r="R280" s="14"/>
      <c r="S280" s="14"/>
    </row>
    <row r="281" spans="7:19" x14ac:dyDescent="0.3">
      <c r="G281" s="10">
        <f t="shared" si="28"/>
        <v>0</v>
      </c>
      <c r="H281" s="11" t="str">
        <f t="shared" si="33"/>
        <v>-</v>
      </c>
      <c r="I281" s="11" t="str">
        <f t="shared" si="29"/>
        <v>f (&gt;20%)</v>
      </c>
      <c r="J281" s="11" t="str">
        <f t="shared" si="30"/>
        <v>-</v>
      </c>
      <c r="K281" s="11" t="str">
        <f t="shared" si="31"/>
        <v>g (100%)</v>
      </c>
      <c r="N281" s="29"/>
      <c r="O281" s="29"/>
      <c r="P281" s="13" t="str">
        <f t="shared" si="32"/>
        <v>-</v>
      </c>
      <c r="Q281" s="11" t="str">
        <f t="shared" si="34"/>
        <v>e (&gt;28)</v>
      </c>
      <c r="R281" s="14"/>
      <c r="S281" s="14"/>
    </row>
    <row r="282" spans="7:19" x14ac:dyDescent="0.3">
      <c r="G282" s="10">
        <f t="shared" si="28"/>
        <v>0</v>
      </c>
      <c r="H282" s="11" t="str">
        <f t="shared" si="33"/>
        <v>-</v>
      </c>
      <c r="I282" s="11" t="str">
        <f t="shared" si="29"/>
        <v>f (&gt;20%)</v>
      </c>
      <c r="J282" s="11" t="str">
        <f t="shared" si="30"/>
        <v>-</v>
      </c>
      <c r="K282" s="11" t="str">
        <f t="shared" si="31"/>
        <v>g (100%)</v>
      </c>
      <c r="N282" s="29"/>
      <c r="P282" s="13" t="str">
        <f t="shared" si="32"/>
        <v>-</v>
      </c>
      <c r="Q282" s="11" t="str">
        <f t="shared" si="34"/>
        <v>e (&gt;28)</v>
      </c>
      <c r="R282" s="14"/>
      <c r="S282" s="14"/>
    </row>
    <row r="283" spans="7:19" x14ac:dyDescent="0.3">
      <c r="G283" s="10">
        <f t="shared" si="28"/>
        <v>0</v>
      </c>
      <c r="H283" s="11" t="str">
        <f t="shared" si="33"/>
        <v>-</v>
      </c>
      <c r="I283" s="11" t="str">
        <f t="shared" si="29"/>
        <v>f (&gt;20%)</v>
      </c>
      <c r="J283" s="11" t="str">
        <f t="shared" si="30"/>
        <v>-</v>
      </c>
      <c r="K283" s="11" t="str">
        <f t="shared" si="31"/>
        <v>g (100%)</v>
      </c>
      <c r="N283" s="29"/>
      <c r="O283" s="29"/>
      <c r="P283" s="13" t="str">
        <f t="shared" si="32"/>
        <v>-</v>
      </c>
      <c r="Q283" s="11" t="str">
        <f t="shared" si="34"/>
        <v>e (&gt;28)</v>
      </c>
      <c r="R283" s="14"/>
      <c r="S283" s="14"/>
    </row>
    <row r="284" spans="7:19" x14ac:dyDescent="0.3">
      <c r="G284" s="10">
        <f t="shared" si="28"/>
        <v>0</v>
      </c>
      <c r="H284" s="11" t="str">
        <f t="shared" si="33"/>
        <v>-</v>
      </c>
      <c r="I284" s="11" t="str">
        <f t="shared" si="29"/>
        <v>f (&gt;20%)</v>
      </c>
      <c r="J284" s="11" t="str">
        <f t="shared" si="30"/>
        <v>-</v>
      </c>
      <c r="K284" s="11" t="str">
        <f t="shared" si="31"/>
        <v>g (100%)</v>
      </c>
      <c r="N284" s="29"/>
      <c r="O284" s="29"/>
      <c r="P284" s="13" t="str">
        <f t="shared" si="32"/>
        <v>-</v>
      </c>
      <c r="Q284" s="11" t="str">
        <f t="shared" si="34"/>
        <v>e (&gt;28)</v>
      </c>
      <c r="R284" s="14"/>
      <c r="S284" s="14"/>
    </row>
    <row r="285" spans="7:19" x14ac:dyDescent="0.3">
      <c r="G285" s="10">
        <f t="shared" si="28"/>
        <v>0</v>
      </c>
      <c r="H285" s="11" t="str">
        <f t="shared" si="33"/>
        <v>-</v>
      </c>
      <c r="I285" s="11" t="str">
        <f t="shared" si="29"/>
        <v>f (&gt;20%)</v>
      </c>
      <c r="J285" s="11" t="str">
        <f t="shared" si="30"/>
        <v>-</v>
      </c>
      <c r="K285" s="11" t="str">
        <f t="shared" si="31"/>
        <v>g (100%)</v>
      </c>
      <c r="N285" s="29"/>
      <c r="O285" s="29"/>
      <c r="P285" s="13" t="str">
        <f t="shared" si="32"/>
        <v>-</v>
      </c>
      <c r="Q285" s="11" t="str">
        <f t="shared" si="34"/>
        <v>e (&gt;28)</v>
      </c>
      <c r="R285" s="14"/>
      <c r="S285" s="14"/>
    </row>
    <row r="286" spans="7:19" x14ac:dyDescent="0.3">
      <c r="G286" s="10">
        <f t="shared" si="28"/>
        <v>0</v>
      </c>
      <c r="H286" s="11" t="str">
        <f t="shared" si="33"/>
        <v>-</v>
      </c>
      <c r="I286" s="11" t="str">
        <f t="shared" si="29"/>
        <v>f (&gt;20%)</v>
      </c>
      <c r="J286" s="11" t="str">
        <f t="shared" si="30"/>
        <v>-</v>
      </c>
      <c r="K286" s="11" t="str">
        <f t="shared" si="31"/>
        <v>g (100%)</v>
      </c>
      <c r="N286" s="29"/>
      <c r="O286" s="29"/>
      <c r="P286" s="13" t="str">
        <f t="shared" si="32"/>
        <v>-</v>
      </c>
      <c r="Q286" s="11" t="str">
        <f t="shared" si="34"/>
        <v>e (&gt;28)</v>
      </c>
      <c r="R286" s="14"/>
      <c r="S286" s="14"/>
    </row>
    <row r="287" spans="7:19" x14ac:dyDescent="0.3">
      <c r="G287" s="10">
        <f t="shared" si="28"/>
        <v>0</v>
      </c>
      <c r="H287" s="11" t="str">
        <f t="shared" si="33"/>
        <v>-</v>
      </c>
      <c r="I287" s="11" t="str">
        <f t="shared" si="29"/>
        <v>f (&gt;20%)</v>
      </c>
      <c r="J287" s="11" t="str">
        <f t="shared" si="30"/>
        <v>-</v>
      </c>
      <c r="K287" s="11" t="str">
        <f t="shared" si="31"/>
        <v>g (100%)</v>
      </c>
      <c r="N287" s="29"/>
      <c r="O287" s="29"/>
      <c r="P287" s="13" t="str">
        <f t="shared" si="32"/>
        <v>-</v>
      </c>
      <c r="Q287" s="11" t="str">
        <f t="shared" si="34"/>
        <v>e (&gt;28)</v>
      </c>
      <c r="R287" s="14"/>
      <c r="S287" s="14"/>
    </row>
    <row r="288" spans="7:19" x14ac:dyDescent="0.3">
      <c r="G288" s="10">
        <f t="shared" si="28"/>
        <v>0</v>
      </c>
      <c r="H288" s="11" t="str">
        <f t="shared" si="33"/>
        <v>-</v>
      </c>
      <c r="I288" s="11" t="str">
        <f t="shared" si="29"/>
        <v>f (&gt;20%)</v>
      </c>
      <c r="J288" s="11" t="str">
        <f t="shared" si="30"/>
        <v>-</v>
      </c>
      <c r="K288" s="11" t="str">
        <f t="shared" si="31"/>
        <v>g (100%)</v>
      </c>
      <c r="N288" s="29"/>
      <c r="P288" s="13" t="str">
        <f t="shared" si="32"/>
        <v>-</v>
      </c>
      <c r="Q288" s="11" t="str">
        <f t="shared" si="34"/>
        <v>e (&gt;28)</v>
      </c>
      <c r="R288" s="14"/>
      <c r="S288" s="14"/>
    </row>
    <row r="289" spans="7:19" x14ac:dyDescent="0.3">
      <c r="G289" s="10">
        <f t="shared" si="28"/>
        <v>0</v>
      </c>
      <c r="H289" s="11" t="str">
        <f t="shared" si="33"/>
        <v>-</v>
      </c>
      <c r="I289" s="11" t="str">
        <f t="shared" si="29"/>
        <v>f (&gt;20%)</v>
      </c>
      <c r="J289" s="11" t="str">
        <f t="shared" si="30"/>
        <v>-</v>
      </c>
      <c r="K289" s="11" t="str">
        <f t="shared" si="31"/>
        <v>g (100%)</v>
      </c>
      <c r="N289" s="29"/>
      <c r="P289" s="13" t="str">
        <f t="shared" si="32"/>
        <v>-</v>
      </c>
      <c r="Q289" s="11" t="str">
        <f t="shared" si="34"/>
        <v>e (&gt;28)</v>
      </c>
      <c r="R289" s="14"/>
      <c r="S289" s="14"/>
    </row>
    <row r="290" spans="7:19" x14ac:dyDescent="0.3">
      <c r="G290" s="10">
        <f t="shared" si="28"/>
        <v>0</v>
      </c>
      <c r="H290" s="11" t="str">
        <f t="shared" si="33"/>
        <v>-</v>
      </c>
      <c r="I290" s="11" t="str">
        <f t="shared" si="29"/>
        <v>f (&gt;20%)</v>
      </c>
      <c r="J290" s="11" t="str">
        <f t="shared" si="30"/>
        <v>-</v>
      </c>
      <c r="K290" s="11" t="str">
        <f t="shared" si="31"/>
        <v>g (100%)</v>
      </c>
      <c r="N290" s="29"/>
      <c r="P290" s="13" t="str">
        <f t="shared" si="32"/>
        <v>-</v>
      </c>
      <c r="Q290" s="11" t="str">
        <f t="shared" si="34"/>
        <v>e (&gt;28)</v>
      </c>
      <c r="R290" s="14"/>
      <c r="S290" s="14"/>
    </row>
    <row r="291" spans="7:19" x14ac:dyDescent="0.3">
      <c r="G291" s="10">
        <f t="shared" si="28"/>
        <v>0</v>
      </c>
      <c r="H291" s="11" t="str">
        <f t="shared" si="33"/>
        <v>-</v>
      </c>
      <c r="I291" s="11" t="str">
        <f t="shared" si="29"/>
        <v>f (&gt;20%)</v>
      </c>
      <c r="J291" s="11" t="str">
        <f t="shared" si="30"/>
        <v>-</v>
      </c>
      <c r="K291" s="11" t="str">
        <f t="shared" si="31"/>
        <v>g (100%)</v>
      </c>
      <c r="N291" s="29"/>
      <c r="O291" s="29"/>
      <c r="P291" s="13" t="str">
        <f t="shared" si="32"/>
        <v>-</v>
      </c>
      <c r="Q291" s="11" t="str">
        <f t="shared" si="34"/>
        <v>e (&gt;28)</v>
      </c>
      <c r="R291" s="14"/>
      <c r="S291" s="14"/>
    </row>
    <row r="292" spans="7:19" x14ac:dyDescent="0.3">
      <c r="G292" s="10">
        <f t="shared" si="28"/>
        <v>0</v>
      </c>
      <c r="H292" s="11" t="str">
        <f t="shared" si="33"/>
        <v>-</v>
      </c>
      <c r="I292" s="11" t="str">
        <f t="shared" si="29"/>
        <v>f (&gt;20%)</v>
      </c>
      <c r="J292" s="11" t="str">
        <f t="shared" si="30"/>
        <v>-</v>
      </c>
      <c r="K292" s="11" t="str">
        <f t="shared" si="31"/>
        <v>g (100%)</v>
      </c>
      <c r="N292" s="29"/>
      <c r="P292" s="13" t="str">
        <f t="shared" si="32"/>
        <v>-</v>
      </c>
      <c r="Q292" s="11" t="str">
        <f t="shared" si="34"/>
        <v>e (&gt;28)</v>
      </c>
      <c r="R292" s="14"/>
      <c r="S292" s="14"/>
    </row>
    <row r="293" spans="7:19" x14ac:dyDescent="0.3">
      <c r="G293" s="10">
        <f t="shared" si="28"/>
        <v>0</v>
      </c>
      <c r="H293" s="11" t="str">
        <f t="shared" si="33"/>
        <v>-</v>
      </c>
      <c r="I293" s="11" t="str">
        <f t="shared" si="29"/>
        <v>f (&gt;20%)</v>
      </c>
      <c r="J293" s="11" t="str">
        <f t="shared" si="30"/>
        <v>-</v>
      </c>
      <c r="K293" s="11" t="str">
        <f t="shared" si="31"/>
        <v>g (100%)</v>
      </c>
      <c r="N293" s="29"/>
      <c r="O293" s="29"/>
      <c r="P293" s="13" t="str">
        <f t="shared" si="32"/>
        <v>-</v>
      </c>
      <c r="Q293" s="11" t="str">
        <f t="shared" si="34"/>
        <v>e (&gt;28)</v>
      </c>
      <c r="R293" s="14"/>
      <c r="S293" s="14"/>
    </row>
    <row r="294" spans="7:19" x14ac:dyDescent="0.3">
      <c r="G294" s="10">
        <f t="shared" si="28"/>
        <v>0</v>
      </c>
      <c r="H294" s="11" t="str">
        <f t="shared" si="33"/>
        <v>-</v>
      </c>
      <c r="I294" s="11" t="str">
        <f t="shared" si="29"/>
        <v>f (&gt;20%)</v>
      </c>
      <c r="J294" s="11" t="str">
        <f t="shared" si="30"/>
        <v>-</v>
      </c>
      <c r="K294" s="11" t="str">
        <f t="shared" si="31"/>
        <v>g (100%)</v>
      </c>
      <c r="N294" s="29"/>
      <c r="O294" s="29"/>
      <c r="P294" s="13" t="str">
        <f t="shared" si="32"/>
        <v>-</v>
      </c>
      <c r="Q294" s="11" t="str">
        <f t="shared" si="34"/>
        <v>e (&gt;28)</v>
      </c>
      <c r="R294" s="14"/>
      <c r="S294" s="14"/>
    </row>
    <row r="295" spans="7:19" x14ac:dyDescent="0.3">
      <c r="G295" s="10">
        <f t="shared" si="28"/>
        <v>0</v>
      </c>
      <c r="H295" s="11" t="str">
        <f t="shared" si="33"/>
        <v>-</v>
      </c>
      <c r="I295" s="11" t="str">
        <f t="shared" si="29"/>
        <v>f (&gt;20%)</v>
      </c>
      <c r="J295" s="11" t="str">
        <f t="shared" si="30"/>
        <v>-</v>
      </c>
      <c r="K295" s="11" t="str">
        <f t="shared" si="31"/>
        <v>g (100%)</v>
      </c>
      <c r="N295" s="29"/>
      <c r="O295" s="29"/>
      <c r="P295" s="13" t="str">
        <f t="shared" si="32"/>
        <v>-</v>
      </c>
      <c r="Q295" s="11" t="str">
        <f t="shared" si="34"/>
        <v>e (&gt;28)</v>
      </c>
      <c r="R295" s="14"/>
      <c r="S295" s="14"/>
    </row>
    <row r="296" spans="7:19" x14ac:dyDescent="0.3">
      <c r="G296" s="10">
        <f t="shared" si="28"/>
        <v>0</v>
      </c>
      <c r="H296" s="11" t="str">
        <f t="shared" si="33"/>
        <v>-</v>
      </c>
      <c r="I296" s="11" t="str">
        <f t="shared" si="29"/>
        <v>f (&gt;20%)</v>
      </c>
      <c r="J296" s="11" t="str">
        <f t="shared" si="30"/>
        <v>-</v>
      </c>
      <c r="K296" s="11" t="str">
        <f t="shared" si="31"/>
        <v>g (100%)</v>
      </c>
      <c r="N296" s="29"/>
      <c r="P296" s="13" t="str">
        <f t="shared" si="32"/>
        <v>-</v>
      </c>
      <c r="Q296" s="11" t="str">
        <f t="shared" si="34"/>
        <v>e (&gt;28)</v>
      </c>
      <c r="R296" s="14"/>
      <c r="S296" s="14"/>
    </row>
    <row r="297" spans="7:19" x14ac:dyDescent="0.3">
      <c r="G297" s="10">
        <f t="shared" si="28"/>
        <v>0</v>
      </c>
      <c r="H297" s="11" t="str">
        <f t="shared" si="33"/>
        <v>-</v>
      </c>
      <c r="I297" s="11" t="str">
        <f t="shared" si="29"/>
        <v>f (&gt;20%)</v>
      </c>
      <c r="J297" s="11" t="str">
        <f t="shared" si="30"/>
        <v>-</v>
      </c>
      <c r="K297" s="11" t="str">
        <f t="shared" si="31"/>
        <v>g (100%)</v>
      </c>
      <c r="N297" s="29"/>
      <c r="P297" s="13" t="str">
        <f t="shared" si="32"/>
        <v>-</v>
      </c>
      <c r="Q297" s="11" t="str">
        <f t="shared" si="34"/>
        <v>e (&gt;28)</v>
      </c>
      <c r="R297" s="14"/>
      <c r="S297" s="14"/>
    </row>
    <row r="298" spans="7:19" x14ac:dyDescent="0.3">
      <c r="G298" s="10">
        <f t="shared" ref="G298:G361" si="35">E298-F298</f>
        <v>0</v>
      </c>
      <c r="H298" s="11" t="str">
        <f t="shared" si="33"/>
        <v>-</v>
      </c>
      <c r="I298" s="11" t="str">
        <f t="shared" ref="I298:I361" si="36">IF(H298=0%,"a (0%)",IF(AND(H298&gt;0%,H298&lt;=5%),"b (0%-5%)",IF(AND(H298&gt;5%,H298&lt;=10%),"c (5%-10%)",IF(AND(H298&gt;10%,H298&lt;=15%),"d (10%-15%)",IF(AND(H298&gt;15%,H298&lt;=20%),"e (15%-20%)","f (&gt;20%)")))))</f>
        <v>f (&gt;20%)</v>
      </c>
      <c r="J298" s="11" t="str">
        <f t="shared" ref="J298:J361" si="37">IFERROR(F298/D298,"-")</f>
        <v>-</v>
      </c>
      <c r="K298" s="11" t="str">
        <f t="shared" ref="K298:K361" si="38">IF(J298=0%,"a (0%)",IF(AND(J298&gt;0%,J298&lt;=20%),"b (0%-20%)",IF(AND(J298&gt;20%,J298&lt;=40%),"c (20%-40%)",IF(AND(J298&gt;40%,J298&lt;=60%),"d (40%-60%)",IF(AND(J298&gt;60%,J298&lt;=80%),"e (60%-80%)",IF(AND(J298&gt;80%,J298&lt;100%),"f (80%-99%)","g (100%)"))))))</f>
        <v>g (100%)</v>
      </c>
      <c r="N298" s="29"/>
      <c r="O298" s="29"/>
      <c r="P298" s="13" t="str">
        <f t="shared" ref="P298:P361" si="39">IFERROR(IF(N298="","-",DATEDIF(N298,O298,"d")),0)</f>
        <v>-</v>
      </c>
      <c r="Q298" s="11" t="str">
        <f t="shared" si="34"/>
        <v>e (&gt;28)</v>
      </c>
      <c r="R298" s="14"/>
      <c r="S298" s="14"/>
    </row>
    <row r="299" spans="7:19" x14ac:dyDescent="0.3">
      <c r="G299" s="10">
        <f t="shared" si="35"/>
        <v>0</v>
      </c>
      <c r="H299" s="11" t="str">
        <f t="shared" si="33"/>
        <v>-</v>
      </c>
      <c r="I299" s="11" t="str">
        <f t="shared" si="36"/>
        <v>f (&gt;20%)</v>
      </c>
      <c r="J299" s="11" t="str">
        <f t="shared" si="37"/>
        <v>-</v>
      </c>
      <c r="K299" s="11" t="str">
        <f t="shared" si="38"/>
        <v>g (100%)</v>
      </c>
      <c r="N299" s="29"/>
      <c r="P299" s="13" t="str">
        <f t="shared" si="39"/>
        <v>-</v>
      </c>
      <c r="Q299" s="11" t="str">
        <f t="shared" si="34"/>
        <v>e (&gt;28)</v>
      </c>
      <c r="R299" s="14"/>
      <c r="S299" s="14"/>
    </row>
    <row r="300" spans="7:19" x14ac:dyDescent="0.3">
      <c r="G300" s="10">
        <f t="shared" si="35"/>
        <v>0</v>
      </c>
      <c r="H300" s="11" t="str">
        <f t="shared" si="33"/>
        <v>-</v>
      </c>
      <c r="I300" s="11" t="str">
        <f t="shared" si="36"/>
        <v>f (&gt;20%)</v>
      </c>
      <c r="J300" s="11" t="str">
        <f t="shared" si="37"/>
        <v>-</v>
      </c>
      <c r="K300" s="11" t="str">
        <f t="shared" si="38"/>
        <v>g (100%)</v>
      </c>
      <c r="N300" s="29"/>
      <c r="P300" s="13" t="str">
        <f t="shared" si="39"/>
        <v>-</v>
      </c>
      <c r="Q300" s="11" t="str">
        <f t="shared" si="34"/>
        <v>e (&gt;28)</v>
      </c>
      <c r="R300" s="14"/>
      <c r="S300" s="14"/>
    </row>
    <row r="301" spans="7:19" x14ac:dyDescent="0.3">
      <c r="G301" s="10">
        <f t="shared" si="35"/>
        <v>0</v>
      </c>
      <c r="H301" s="11" t="str">
        <f t="shared" si="33"/>
        <v>-</v>
      </c>
      <c r="I301" s="11" t="str">
        <f t="shared" si="36"/>
        <v>f (&gt;20%)</v>
      </c>
      <c r="J301" s="11" t="str">
        <f t="shared" si="37"/>
        <v>-</v>
      </c>
      <c r="K301" s="11" t="str">
        <f t="shared" si="38"/>
        <v>g (100%)</v>
      </c>
      <c r="N301" s="29"/>
      <c r="P301" s="13" t="str">
        <f t="shared" si="39"/>
        <v>-</v>
      </c>
      <c r="Q301" s="11" t="str">
        <f t="shared" si="34"/>
        <v>e (&gt;28)</v>
      </c>
      <c r="R301" s="14"/>
      <c r="S301" s="14"/>
    </row>
    <row r="302" spans="7:19" x14ac:dyDescent="0.3">
      <c r="G302" s="10">
        <f t="shared" si="35"/>
        <v>0</v>
      </c>
      <c r="H302" s="11" t="str">
        <f t="shared" si="33"/>
        <v>-</v>
      </c>
      <c r="I302" s="11" t="str">
        <f t="shared" si="36"/>
        <v>f (&gt;20%)</v>
      </c>
      <c r="J302" s="11" t="str">
        <f t="shared" si="37"/>
        <v>-</v>
      </c>
      <c r="K302" s="11" t="str">
        <f t="shared" si="38"/>
        <v>g (100%)</v>
      </c>
      <c r="N302" s="29"/>
      <c r="P302" s="13" t="str">
        <f t="shared" si="39"/>
        <v>-</v>
      </c>
      <c r="Q302" s="11" t="str">
        <f t="shared" si="34"/>
        <v>e (&gt;28)</v>
      </c>
      <c r="R302" s="14"/>
      <c r="S302" s="14"/>
    </row>
    <row r="303" spans="7:19" x14ac:dyDescent="0.3">
      <c r="G303" s="10">
        <f t="shared" si="35"/>
        <v>0</v>
      </c>
      <c r="H303" s="11" t="str">
        <f t="shared" si="33"/>
        <v>-</v>
      </c>
      <c r="I303" s="11" t="str">
        <f t="shared" si="36"/>
        <v>f (&gt;20%)</v>
      </c>
      <c r="J303" s="11" t="str">
        <f t="shared" si="37"/>
        <v>-</v>
      </c>
      <c r="K303" s="11" t="str">
        <f t="shared" si="38"/>
        <v>g (100%)</v>
      </c>
      <c r="N303" s="29"/>
      <c r="P303" s="13" t="str">
        <f t="shared" si="39"/>
        <v>-</v>
      </c>
      <c r="Q303" s="11" t="str">
        <f t="shared" si="34"/>
        <v>e (&gt;28)</v>
      </c>
      <c r="R303" s="14"/>
      <c r="S303" s="14"/>
    </row>
    <row r="304" spans="7:19" x14ac:dyDescent="0.3">
      <c r="G304" s="10">
        <f t="shared" si="35"/>
        <v>0</v>
      </c>
      <c r="H304" s="11" t="str">
        <f t="shared" si="33"/>
        <v>-</v>
      </c>
      <c r="I304" s="11" t="str">
        <f t="shared" si="36"/>
        <v>f (&gt;20%)</v>
      </c>
      <c r="J304" s="11" t="str">
        <f t="shared" si="37"/>
        <v>-</v>
      </c>
      <c r="K304" s="11" t="str">
        <f t="shared" si="38"/>
        <v>g (100%)</v>
      </c>
      <c r="N304" s="29"/>
      <c r="O304" s="29"/>
      <c r="P304" s="13" t="str">
        <f t="shared" si="39"/>
        <v>-</v>
      </c>
      <c r="Q304" s="11" t="str">
        <f t="shared" si="34"/>
        <v>e (&gt;28)</v>
      </c>
      <c r="R304" s="14"/>
      <c r="S304" s="14"/>
    </row>
    <row r="305" spans="7:19" x14ac:dyDescent="0.3">
      <c r="G305" s="10">
        <f t="shared" si="35"/>
        <v>0</v>
      </c>
      <c r="H305" s="11" t="str">
        <f t="shared" si="33"/>
        <v>-</v>
      </c>
      <c r="I305" s="11" t="str">
        <f t="shared" si="36"/>
        <v>f (&gt;20%)</v>
      </c>
      <c r="J305" s="11" t="str">
        <f t="shared" si="37"/>
        <v>-</v>
      </c>
      <c r="K305" s="11" t="str">
        <f t="shared" si="38"/>
        <v>g (100%)</v>
      </c>
      <c r="N305" s="29"/>
      <c r="P305" s="13" t="str">
        <f t="shared" si="39"/>
        <v>-</v>
      </c>
      <c r="Q305" s="11" t="str">
        <f t="shared" si="34"/>
        <v>e (&gt;28)</v>
      </c>
      <c r="R305" s="14"/>
      <c r="S305" s="14"/>
    </row>
    <row r="306" spans="7:19" x14ac:dyDescent="0.3">
      <c r="G306" s="10">
        <f t="shared" si="35"/>
        <v>0</v>
      </c>
      <c r="H306" s="11" t="str">
        <f t="shared" si="33"/>
        <v>-</v>
      </c>
      <c r="I306" s="11" t="str">
        <f t="shared" si="36"/>
        <v>f (&gt;20%)</v>
      </c>
      <c r="J306" s="11" t="str">
        <f t="shared" si="37"/>
        <v>-</v>
      </c>
      <c r="K306" s="11" t="str">
        <f t="shared" si="38"/>
        <v>g (100%)</v>
      </c>
      <c r="N306" s="29"/>
      <c r="O306" s="29"/>
      <c r="P306" s="13" t="str">
        <f t="shared" si="39"/>
        <v>-</v>
      </c>
      <c r="Q306" s="11" t="str">
        <f t="shared" si="34"/>
        <v>e (&gt;28)</v>
      </c>
      <c r="R306" s="14"/>
      <c r="S306" s="14"/>
    </row>
    <row r="307" spans="7:19" x14ac:dyDescent="0.3">
      <c r="G307" s="10">
        <f t="shared" si="35"/>
        <v>0</v>
      </c>
      <c r="H307" s="11" t="str">
        <f t="shared" si="33"/>
        <v>-</v>
      </c>
      <c r="I307" s="11" t="str">
        <f t="shared" si="36"/>
        <v>f (&gt;20%)</v>
      </c>
      <c r="J307" s="11" t="str">
        <f t="shared" si="37"/>
        <v>-</v>
      </c>
      <c r="K307" s="11" t="str">
        <f t="shared" si="38"/>
        <v>g (100%)</v>
      </c>
      <c r="N307" s="29"/>
      <c r="P307" s="13" t="str">
        <f t="shared" si="39"/>
        <v>-</v>
      </c>
      <c r="Q307" s="11" t="str">
        <f t="shared" si="34"/>
        <v>e (&gt;28)</v>
      </c>
      <c r="R307" s="14"/>
      <c r="S307" s="14"/>
    </row>
    <row r="308" spans="7:19" x14ac:dyDescent="0.3">
      <c r="G308" s="10">
        <f t="shared" si="35"/>
        <v>0</v>
      </c>
      <c r="H308" s="11" t="str">
        <f t="shared" si="33"/>
        <v>-</v>
      </c>
      <c r="I308" s="11" t="str">
        <f t="shared" si="36"/>
        <v>f (&gt;20%)</v>
      </c>
      <c r="J308" s="11" t="str">
        <f t="shared" si="37"/>
        <v>-</v>
      </c>
      <c r="K308" s="11" t="str">
        <f t="shared" si="38"/>
        <v>g (100%)</v>
      </c>
      <c r="N308" s="29"/>
      <c r="O308" s="29"/>
      <c r="P308" s="13" t="str">
        <f t="shared" si="39"/>
        <v>-</v>
      </c>
      <c r="Q308" s="11" t="str">
        <f t="shared" si="34"/>
        <v>e (&gt;28)</v>
      </c>
      <c r="R308" s="14"/>
      <c r="S308" s="14"/>
    </row>
    <row r="309" spans="7:19" x14ac:dyDescent="0.3">
      <c r="G309" s="10">
        <f t="shared" si="35"/>
        <v>0</v>
      </c>
      <c r="H309" s="11" t="str">
        <f t="shared" si="33"/>
        <v>-</v>
      </c>
      <c r="I309" s="11" t="str">
        <f t="shared" si="36"/>
        <v>f (&gt;20%)</v>
      </c>
      <c r="J309" s="11" t="str">
        <f t="shared" si="37"/>
        <v>-</v>
      </c>
      <c r="K309" s="11" t="str">
        <f t="shared" si="38"/>
        <v>g (100%)</v>
      </c>
      <c r="N309" s="29"/>
      <c r="P309" s="13" t="str">
        <f t="shared" si="39"/>
        <v>-</v>
      </c>
      <c r="Q309" s="11" t="str">
        <f t="shared" si="34"/>
        <v>e (&gt;28)</v>
      </c>
      <c r="R309" s="14"/>
      <c r="S309" s="14"/>
    </row>
    <row r="310" spans="7:19" x14ac:dyDescent="0.3">
      <c r="G310" s="10">
        <f t="shared" si="35"/>
        <v>0</v>
      </c>
      <c r="H310" s="11" t="str">
        <f t="shared" si="33"/>
        <v>-</v>
      </c>
      <c r="I310" s="11" t="str">
        <f t="shared" si="36"/>
        <v>f (&gt;20%)</v>
      </c>
      <c r="J310" s="11" t="str">
        <f t="shared" si="37"/>
        <v>-</v>
      </c>
      <c r="K310" s="11" t="str">
        <f t="shared" si="38"/>
        <v>g (100%)</v>
      </c>
      <c r="N310" s="29"/>
      <c r="O310" s="29"/>
      <c r="P310" s="13" t="str">
        <f t="shared" si="39"/>
        <v>-</v>
      </c>
      <c r="Q310" s="11" t="str">
        <f t="shared" si="34"/>
        <v>e (&gt;28)</v>
      </c>
      <c r="R310" s="14"/>
      <c r="S310" s="14"/>
    </row>
    <row r="311" spans="7:19" x14ac:dyDescent="0.3">
      <c r="G311" s="10">
        <f t="shared" si="35"/>
        <v>0</v>
      </c>
      <c r="H311" s="11" t="str">
        <f t="shared" si="33"/>
        <v>-</v>
      </c>
      <c r="I311" s="11" t="str">
        <f t="shared" si="36"/>
        <v>f (&gt;20%)</v>
      </c>
      <c r="J311" s="11" t="str">
        <f t="shared" si="37"/>
        <v>-</v>
      </c>
      <c r="K311" s="11" t="str">
        <f t="shared" si="38"/>
        <v>g (100%)</v>
      </c>
      <c r="N311" s="29"/>
      <c r="O311" s="29"/>
      <c r="P311" s="13" t="str">
        <f t="shared" si="39"/>
        <v>-</v>
      </c>
      <c r="Q311" s="11" t="str">
        <f t="shared" si="34"/>
        <v>e (&gt;28)</v>
      </c>
      <c r="R311" s="14"/>
      <c r="S311" s="14"/>
    </row>
    <row r="312" spans="7:19" x14ac:dyDescent="0.3">
      <c r="G312" s="10">
        <f t="shared" si="35"/>
        <v>0</v>
      </c>
      <c r="H312" s="11" t="str">
        <f t="shared" si="33"/>
        <v>-</v>
      </c>
      <c r="I312" s="11" t="str">
        <f t="shared" si="36"/>
        <v>f (&gt;20%)</v>
      </c>
      <c r="J312" s="11" t="str">
        <f t="shared" si="37"/>
        <v>-</v>
      </c>
      <c r="K312" s="11" t="str">
        <f t="shared" si="38"/>
        <v>g (100%)</v>
      </c>
      <c r="N312" s="29"/>
      <c r="O312" s="29"/>
      <c r="P312" s="13" t="str">
        <f t="shared" si="39"/>
        <v>-</v>
      </c>
      <c r="Q312" s="11" t="str">
        <f t="shared" si="34"/>
        <v>e (&gt;28)</v>
      </c>
      <c r="R312" s="14"/>
      <c r="S312" s="14"/>
    </row>
    <row r="313" spans="7:19" x14ac:dyDescent="0.3">
      <c r="G313" s="10">
        <f t="shared" si="35"/>
        <v>0</v>
      </c>
      <c r="H313" s="11" t="str">
        <f t="shared" si="33"/>
        <v>-</v>
      </c>
      <c r="I313" s="11" t="str">
        <f t="shared" si="36"/>
        <v>f (&gt;20%)</v>
      </c>
      <c r="J313" s="11" t="str">
        <f t="shared" si="37"/>
        <v>-</v>
      </c>
      <c r="K313" s="11" t="str">
        <f t="shared" si="38"/>
        <v>g (100%)</v>
      </c>
      <c r="N313" s="29"/>
      <c r="O313" s="29"/>
      <c r="P313" s="13" t="str">
        <f t="shared" si="39"/>
        <v>-</v>
      </c>
      <c r="Q313" s="11" t="str">
        <f t="shared" si="34"/>
        <v>e (&gt;28)</v>
      </c>
      <c r="R313" s="14"/>
      <c r="S313" s="14"/>
    </row>
    <row r="314" spans="7:19" x14ac:dyDescent="0.3">
      <c r="G314" s="10">
        <f t="shared" si="35"/>
        <v>0</v>
      </c>
      <c r="H314" s="11" t="str">
        <f t="shared" si="33"/>
        <v>-</v>
      </c>
      <c r="I314" s="11" t="str">
        <f t="shared" si="36"/>
        <v>f (&gt;20%)</v>
      </c>
      <c r="J314" s="11" t="str">
        <f t="shared" si="37"/>
        <v>-</v>
      </c>
      <c r="K314" s="11" t="str">
        <f t="shared" si="38"/>
        <v>g (100%)</v>
      </c>
      <c r="N314" s="29"/>
      <c r="O314" s="29"/>
      <c r="P314" s="13" t="str">
        <f t="shared" si="39"/>
        <v>-</v>
      </c>
      <c r="Q314" s="11" t="str">
        <f t="shared" si="34"/>
        <v>e (&gt;28)</v>
      </c>
      <c r="R314" s="14"/>
      <c r="S314" s="14"/>
    </row>
    <row r="315" spans="7:19" x14ac:dyDescent="0.3">
      <c r="G315" s="10">
        <f t="shared" si="35"/>
        <v>0</v>
      </c>
      <c r="H315" s="11" t="str">
        <f t="shared" si="33"/>
        <v>-</v>
      </c>
      <c r="I315" s="11" t="str">
        <f t="shared" si="36"/>
        <v>f (&gt;20%)</v>
      </c>
      <c r="J315" s="11" t="str">
        <f t="shared" si="37"/>
        <v>-</v>
      </c>
      <c r="K315" s="11" t="str">
        <f t="shared" si="38"/>
        <v>g (100%)</v>
      </c>
      <c r="N315" s="29"/>
      <c r="O315" s="29"/>
      <c r="P315" s="13" t="str">
        <f t="shared" si="39"/>
        <v>-</v>
      </c>
      <c r="Q315" s="11" t="str">
        <f t="shared" si="34"/>
        <v>e (&gt;28)</v>
      </c>
      <c r="R315" s="14"/>
      <c r="S315" s="14"/>
    </row>
    <row r="316" spans="7:19" x14ac:dyDescent="0.3">
      <c r="G316" s="10">
        <f t="shared" si="35"/>
        <v>0</v>
      </c>
      <c r="H316" s="11" t="str">
        <f t="shared" si="33"/>
        <v>-</v>
      </c>
      <c r="I316" s="11" t="str">
        <f t="shared" si="36"/>
        <v>f (&gt;20%)</v>
      </c>
      <c r="J316" s="11" t="str">
        <f t="shared" si="37"/>
        <v>-</v>
      </c>
      <c r="K316" s="11" t="str">
        <f t="shared" si="38"/>
        <v>g (100%)</v>
      </c>
      <c r="N316" s="29"/>
      <c r="O316" s="29"/>
      <c r="P316" s="13" t="str">
        <f t="shared" si="39"/>
        <v>-</v>
      </c>
      <c r="Q316" s="11" t="str">
        <f t="shared" si="34"/>
        <v>e (&gt;28)</v>
      </c>
      <c r="R316" s="14"/>
      <c r="S316" s="14"/>
    </row>
    <row r="317" spans="7:19" x14ac:dyDescent="0.3">
      <c r="G317" s="10">
        <f t="shared" si="35"/>
        <v>0</v>
      </c>
      <c r="H317" s="11" t="str">
        <f t="shared" si="33"/>
        <v>-</v>
      </c>
      <c r="I317" s="11" t="str">
        <f t="shared" si="36"/>
        <v>f (&gt;20%)</v>
      </c>
      <c r="J317" s="11" t="str">
        <f t="shared" si="37"/>
        <v>-</v>
      </c>
      <c r="K317" s="11" t="str">
        <f t="shared" si="38"/>
        <v>g (100%)</v>
      </c>
      <c r="N317" s="29"/>
      <c r="O317" s="29"/>
      <c r="P317" s="13" t="str">
        <f t="shared" si="39"/>
        <v>-</v>
      </c>
      <c r="Q317" s="11" t="str">
        <f t="shared" si="34"/>
        <v>e (&gt;28)</v>
      </c>
      <c r="R317" s="14"/>
      <c r="S317" s="14"/>
    </row>
    <row r="318" spans="7:19" x14ac:dyDescent="0.3">
      <c r="G318" s="10">
        <f t="shared" si="35"/>
        <v>0</v>
      </c>
      <c r="H318" s="11" t="str">
        <f t="shared" si="33"/>
        <v>-</v>
      </c>
      <c r="I318" s="11" t="str">
        <f t="shared" si="36"/>
        <v>f (&gt;20%)</v>
      </c>
      <c r="J318" s="11" t="str">
        <f t="shared" si="37"/>
        <v>-</v>
      </c>
      <c r="K318" s="11" t="str">
        <f t="shared" si="38"/>
        <v>g (100%)</v>
      </c>
      <c r="N318" s="29"/>
      <c r="O318" s="29"/>
      <c r="P318" s="13" t="str">
        <f t="shared" si="39"/>
        <v>-</v>
      </c>
      <c r="Q318" s="11" t="str">
        <f t="shared" si="34"/>
        <v>e (&gt;28)</v>
      </c>
      <c r="R318" s="14"/>
      <c r="S318" s="14"/>
    </row>
    <row r="319" spans="7:19" x14ac:dyDescent="0.3">
      <c r="G319" s="10">
        <f t="shared" si="35"/>
        <v>0</v>
      </c>
      <c r="H319" s="11" t="str">
        <f t="shared" si="33"/>
        <v>-</v>
      </c>
      <c r="I319" s="11" t="str">
        <f t="shared" si="36"/>
        <v>f (&gt;20%)</v>
      </c>
      <c r="J319" s="11" t="str">
        <f t="shared" si="37"/>
        <v>-</v>
      </c>
      <c r="K319" s="11" t="str">
        <f t="shared" si="38"/>
        <v>g (100%)</v>
      </c>
      <c r="N319" s="29"/>
      <c r="O319" s="29"/>
      <c r="P319" s="13" t="str">
        <f t="shared" si="39"/>
        <v>-</v>
      </c>
      <c r="Q319" s="11" t="str">
        <f t="shared" si="34"/>
        <v>e (&gt;28)</v>
      </c>
      <c r="R319" s="14"/>
      <c r="S319" s="14"/>
    </row>
    <row r="320" spans="7:19" x14ac:dyDescent="0.3">
      <c r="G320" s="10">
        <f t="shared" si="35"/>
        <v>0</v>
      </c>
      <c r="H320" s="11" t="str">
        <f t="shared" si="33"/>
        <v>-</v>
      </c>
      <c r="I320" s="11" t="str">
        <f t="shared" si="36"/>
        <v>f (&gt;20%)</v>
      </c>
      <c r="J320" s="11" t="str">
        <f t="shared" si="37"/>
        <v>-</v>
      </c>
      <c r="K320" s="11" t="str">
        <f t="shared" si="38"/>
        <v>g (100%)</v>
      </c>
      <c r="N320" s="29"/>
      <c r="O320" s="29"/>
      <c r="P320" s="13" t="str">
        <f t="shared" si="39"/>
        <v>-</v>
      </c>
      <c r="Q320" s="11" t="str">
        <f t="shared" si="34"/>
        <v>e (&gt;28)</v>
      </c>
      <c r="R320" s="14"/>
      <c r="S320" s="14"/>
    </row>
    <row r="321" spans="7:19" x14ac:dyDescent="0.3">
      <c r="G321" s="10">
        <f t="shared" si="35"/>
        <v>0</v>
      </c>
      <c r="H321" s="11" t="str">
        <f t="shared" si="33"/>
        <v>-</v>
      </c>
      <c r="I321" s="11" t="str">
        <f t="shared" si="36"/>
        <v>f (&gt;20%)</v>
      </c>
      <c r="J321" s="11" t="str">
        <f t="shared" si="37"/>
        <v>-</v>
      </c>
      <c r="K321" s="11" t="str">
        <f t="shared" si="38"/>
        <v>g (100%)</v>
      </c>
      <c r="N321" s="29"/>
      <c r="P321" s="13" t="str">
        <f t="shared" si="39"/>
        <v>-</v>
      </c>
      <c r="Q321" s="11" t="str">
        <f t="shared" si="34"/>
        <v>e (&gt;28)</v>
      </c>
      <c r="R321" s="14"/>
      <c r="S321" s="14"/>
    </row>
    <row r="322" spans="7:19" x14ac:dyDescent="0.3">
      <c r="G322" s="10">
        <f t="shared" si="35"/>
        <v>0</v>
      </c>
      <c r="H322" s="11" t="str">
        <f t="shared" si="33"/>
        <v>-</v>
      </c>
      <c r="I322" s="11" t="str">
        <f t="shared" si="36"/>
        <v>f (&gt;20%)</v>
      </c>
      <c r="J322" s="11" t="str">
        <f t="shared" si="37"/>
        <v>-</v>
      </c>
      <c r="K322" s="11" t="str">
        <f t="shared" si="38"/>
        <v>g (100%)</v>
      </c>
      <c r="N322" s="29"/>
      <c r="O322" s="29"/>
      <c r="P322" s="13" t="str">
        <f t="shared" si="39"/>
        <v>-</v>
      </c>
      <c r="Q322" s="11" t="str">
        <f t="shared" si="34"/>
        <v>e (&gt;28)</v>
      </c>
      <c r="R322" s="14"/>
      <c r="S322" s="14"/>
    </row>
    <row r="323" spans="7:19" x14ac:dyDescent="0.3">
      <c r="G323" s="10">
        <f t="shared" si="35"/>
        <v>0</v>
      </c>
      <c r="H323" s="11" t="str">
        <f t="shared" ref="H323:H386" si="40">IFERROR(G323/E323,"-")</f>
        <v>-</v>
      </c>
      <c r="I323" s="11" t="str">
        <f t="shared" si="36"/>
        <v>f (&gt;20%)</v>
      </c>
      <c r="J323" s="11" t="str">
        <f t="shared" si="37"/>
        <v>-</v>
      </c>
      <c r="K323" s="11" t="str">
        <f t="shared" si="38"/>
        <v>g (100%)</v>
      </c>
      <c r="N323" s="29"/>
      <c r="O323" s="29"/>
      <c r="P323" s="13" t="str">
        <f t="shared" si="39"/>
        <v>-</v>
      </c>
      <c r="Q323" s="11" t="str">
        <f t="shared" ref="Q323:Q386" si="41">IF(AND(P323&gt;0,P323&lt;=7),"a (0-7)",IF(AND(P323&gt;7,P323&lt;=14),"b (8-14)",IF(AND(P323&gt;14,P323&lt;=21),"c (15-21)",IF(AND(P323&gt;21,P323&lt;=28),"d (22-28)","e (&gt;28)"))))</f>
        <v>e (&gt;28)</v>
      </c>
      <c r="R323" s="14"/>
      <c r="S323" s="14"/>
    </row>
    <row r="324" spans="7:19" x14ac:dyDescent="0.3">
      <c r="G324" s="10">
        <f t="shared" si="35"/>
        <v>0</v>
      </c>
      <c r="H324" s="11" t="str">
        <f t="shared" si="40"/>
        <v>-</v>
      </c>
      <c r="I324" s="11" t="str">
        <f t="shared" si="36"/>
        <v>f (&gt;20%)</v>
      </c>
      <c r="J324" s="11" t="str">
        <f t="shared" si="37"/>
        <v>-</v>
      </c>
      <c r="K324" s="11" t="str">
        <f t="shared" si="38"/>
        <v>g (100%)</v>
      </c>
      <c r="N324" s="29"/>
      <c r="P324" s="13" t="str">
        <f t="shared" si="39"/>
        <v>-</v>
      </c>
      <c r="Q324" s="11" t="str">
        <f t="shared" si="41"/>
        <v>e (&gt;28)</v>
      </c>
      <c r="R324" s="14"/>
      <c r="S324" s="14"/>
    </row>
    <row r="325" spans="7:19" x14ac:dyDescent="0.3">
      <c r="G325" s="10">
        <f t="shared" si="35"/>
        <v>0</v>
      </c>
      <c r="H325" s="11" t="str">
        <f t="shared" si="40"/>
        <v>-</v>
      </c>
      <c r="I325" s="11" t="str">
        <f t="shared" si="36"/>
        <v>f (&gt;20%)</v>
      </c>
      <c r="J325" s="11" t="str">
        <f t="shared" si="37"/>
        <v>-</v>
      </c>
      <c r="K325" s="11" t="str">
        <f t="shared" si="38"/>
        <v>g (100%)</v>
      </c>
      <c r="N325" s="29"/>
      <c r="O325" s="29"/>
      <c r="P325" s="13" t="str">
        <f t="shared" si="39"/>
        <v>-</v>
      </c>
      <c r="Q325" s="11" t="str">
        <f t="shared" si="41"/>
        <v>e (&gt;28)</v>
      </c>
      <c r="R325" s="14"/>
      <c r="S325" s="14"/>
    </row>
    <row r="326" spans="7:19" x14ac:dyDescent="0.3">
      <c r="G326" s="10">
        <f t="shared" si="35"/>
        <v>0</v>
      </c>
      <c r="H326" s="11" t="str">
        <f t="shared" si="40"/>
        <v>-</v>
      </c>
      <c r="I326" s="11" t="str">
        <f t="shared" si="36"/>
        <v>f (&gt;20%)</v>
      </c>
      <c r="J326" s="11" t="str">
        <f t="shared" si="37"/>
        <v>-</v>
      </c>
      <c r="K326" s="11" t="str">
        <f t="shared" si="38"/>
        <v>g (100%)</v>
      </c>
      <c r="N326" s="29"/>
      <c r="P326" s="13" t="str">
        <f t="shared" si="39"/>
        <v>-</v>
      </c>
      <c r="Q326" s="11" t="str">
        <f t="shared" si="41"/>
        <v>e (&gt;28)</v>
      </c>
      <c r="R326" s="14"/>
      <c r="S326" s="14"/>
    </row>
    <row r="327" spans="7:19" x14ac:dyDescent="0.3">
      <c r="G327" s="10">
        <f t="shared" si="35"/>
        <v>0</v>
      </c>
      <c r="H327" s="11" t="str">
        <f t="shared" si="40"/>
        <v>-</v>
      </c>
      <c r="I327" s="11" t="str">
        <f t="shared" si="36"/>
        <v>f (&gt;20%)</v>
      </c>
      <c r="J327" s="11" t="str">
        <f t="shared" si="37"/>
        <v>-</v>
      </c>
      <c r="K327" s="11" t="str">
        <f t="shared" si="38"/>
        <v>g (100%)</v>
      </c>
      <c r="N327" s="29"/>
      <c r="O327" s="29"/>
      <c r="P327" s="13" t="str">
        <f t="shared" si="39"/>
        <v>-</v>
      </c>
      <c r="Q327" s="11" t="str">
        <f t="shared" si="41"/>
        <v>e (&gt;28)</v>
      </c>
      <c r="R327" s="14"/>
      <c r="S327" s="14"/>
    </row>
    <row r="328" spans="7:19" x14ac:dyDescent="0.3">
      <c r="G328" s="10">
        <f t="shared" si="35"/>
        <v>0</v>
      </c>
      <c r="H328" s="11" t="str">
        <f t="shared" si="40"/>
        <v>-</v>
      </c>
      <c r="I328" s="11" t="str">
        <f t="shared" si="36"/>
        <v>f (&gt;20%)</v>
      </c>
      <c r="J328" s="11" t="str">
        <f t="shared" si="37"/>
        <v>-</v>
      </c>
      <c r="K328" s="11" t="str">
        <f t="shared" si="38"/>
        <v>g (100%)</v>
      </c>
      <c r="N328" s="29"/>
      <c r="O328" s="29"/>
      <c r="P328" s="13" t="str">
        <f t="shared" si="39"/>
        <v>-</v>
      </c>
      <c r="Q328" s="11" t="str">
        <f t="shared" si="41"/>
        <v>e (&gt;28)</v>
      </c>
      <c r="R328" s="14"/>
      <c r="S328" s="14"/>
    </row>
    <row r="329" spans="7:19" x14ac:dyDescent="0.3">
      <c r="G329" s="10">
        <f t="shared" si="35"/>
        <v>0</v>
      </c>
      <c r="H329" s="11" t="str">
        <f t="shared" si="40"/>
        <v>-</v>
      </c>
      <c r="I329" s="11" t="str">
        <f t="shared" si="36"/>
        <v>f (&gt;20%)</v>
      </c>
      <c r="J329" s="11" t="str">
        <f t="shared" si="37"/>
        <v>-</v>
      </c>
      <c r="K329" s="11" t="str">
        <f t="shared" si="38"/>
        <v>g (100%)</v>
      </c>
      <c r="N329" s="29"/>
      <c r="O329" s="29"/>
      <c r="P329" s="13" t="str">
        <f t="shared" si="39"/>
        <v>-</v>
      </c>
      <c r="Q329" s="11" t="str">
        <f t="shared" si="41"/>
        <v>e (&gt;28)</v>
      </c>
      <c r="R329" s="14"/>
      <c r="S329" s="14"/>
    </row>
    <row r="330" spans="7:19" x14ac:dyDescent="0.3">
      <c r="G330" s="10">
        <f t="shared" si="35"/>
        <v>0</v>
      </c>
      <c r="H330" s="11" t="str">
        <f t="shared" si="40"/>
        <v>-</v>
      </c>
      <c r="I330" s="11" t="str">
        <f t="shared" si="36"/>
        <v>f (&gt;20%)</v>
      </c>
      <c r="J330" s="11" t="str">
        <f t="shared" si="37"/>
        <v>-</v>
      </c>
      <c r="K330" s="11" t="str">
        <f t="shared" si="38"/>
        <v>g (100%)</v>
      </c>
      <c r="N330" s="29"/>
      <c r="O330" s="29"/>
      <c r="P330" s="13" t="str">
        <f t="shared" si="39"/>
        <v>-</v>
      </c>
      <c r="Q330" s="11" t="str">
        <f t="shared" si="41"/>
        <v>e (&gt;28)</v>
      </c>
      <c r="R330" s="14"/>
      <c r="S330" s="14"/>
    </row>
    <row r="331" spans="7:19" x14ac:dyDescent="0.3">
      <c r="G331" s="10">
        <f t="shared" si="35"/>
        <v>0</v>
      </c>
      <c r="H331" s="11" t="str">
        <f t="shared" si="40"/>
        <v>-</v>
      </c>
      <c r="I331" s="11" t="str">
        <f t="shared" si="36"/>
        <v>f (&gt;20%)</v>
      </c>
      <c r="J331" s="11" t="str">
        <f t="shared" si="37"/>
        <v>-</v>
      </c>
      <c r="K331" s="11" t="str">
        <f t="shared" si="38"/>
        <v>g (100%)</v>
      </c>
      <c r="N331" s="29"/>
      <c r="O331" s="29"/>
      <c r="P331" s="13" t="str">
        <f t="shared" si="39"/>
        <v>-</v>
      </c>
      <c r="Q331" s="11" t="str">
        <f t="shared" si="41"/>
        <v>e (&gt;28)</v>
      </c>
      <c r="R331" s="14"/>
      <c r="S331" s="14"/>
    </row>
    <row r="332" spans="7:19" x14ac:dyDescent="0.3">
      <c r="G332" s="10">
        <f t="shared" si="35"/>
        <v>0</v>
      </c>
      <c r="H332" s="11" t="str">
        <f t="shared" si="40"/>
        <v>-</v>
      </c>
      <c r="I332" s="11" t="str">
        <f t="shared" si="36"/>
        <v>f (&gt;20%)</v>
      </c>
      <c r="J332" s="11" t="str">
        <f t="shared" si="37"/>
        <v>-</v>
      </c>
      <c r="K332" s="11" t="str">
        <f t="shared" si="38"/>
        <v>g (100%)</v>
      </c>
      <c r="N332" s="29"/>
      <c r="O332" s="29"/>
      <c r="P332" s="13" t="str">
        <f t="shared" si="39"/>
        <v>-</v>
      </c>
      <c r="Q332" s="11" t="str">
        <f t="shared" si="41"/>
        <v>e (&gt;28)</v>
      </c>
      <c r="R332" s="14"/>
      <c r="S332" s="14"/>
    </row>
    <row r="333" spans="7:19" x14ac:dyDescent="0.3">
      <c r="G333" s="10">
        <f t="shared" si="35"/>
        <v>0</v>
      </c>
      <c r="H333" s="11" t="str">
        <f t="shared" si="40"/>
        <v>-</v>
      </c>
      <c r="I333" s="11" t="str">
        <f t="shared" si="36"/>
        <v>f (&gt;20%)</v>
      </c>
      <c r="J333" s="11" t="str">
        <f t="shared" si="37"/>
        <v>-</v>
      </c>
      <c r="K333" s="11" t="str">
        <f t="shared" si="38"/>
        <v>g (100%)</v>
      </c>
      <c r="N333" s="29"/>
      <c r="P333" s="13" t="str">
        <f t="shared" si="39"/>
        <v>-</v>
      </c>
      <c r="Q333" s="11" t="str">
        <f t="shared" si="41"/>
        <v>e (&gt;28)</v>
      </c>
      <c r="R333" s="14"/>
      <c r="S333" s="14"/>
    </row>
    <row r="334" spans="7:19" x14ac:dyDescent="0.3">
      <c r="G334" s="10">
        <f t="shared" si="35"/>
        <v>0</v>
      </c>
      <c r="H334" s="11" t="str">
        <f t="shared" si="40"/>
        <v>-</v>
      </c>
      <c r="I334" s="11" t="str">
        <f t="shared" si="36"/>
        <v>f (&gt;20%)</v>
      </c>
      <c r="J334" s="11" t="str">
        <f t="shared" si="37"/>
        <v>-</v>
      </c>
      <c r="K334" s="11" t="str">
        <f t="shared" si="38"/>
        <v>g (100%)</v>
      </c>
      <c r="N334" s="29"/>
      <c r="P334" s="13" t="str">
        <f t="shared" si="39"/>
        <v>-</v>
      </c>
      <c r="Q334" s="11" t="str">
        <f t="shared" si="41"/>
        <v>e (&gt;28)</v>
      </c>
      <c r="R334" s="14"/>
      <c r="S334" s="14"/>
    </row>
    <row r="335" spans="7:19" x14ac:dyDescent="0.3">
      <c r="G335" s="10">
        <f t="shared" si="35"/>
        <v>0</v>
      </c>
      <c r="H335" s="11" t="str">
        <f t="shared" si="40"/>
        <v>-</v>
      </c>
      <c r="I335" s="11" t="str">
        <f t="shared" si="36"/>
        <v>f (&gt;20%)</v>
      </c>
      <c r="J335" s="11" t="str">
        <f t="shared" si="37"/>
        <v>-</v>
      </c>
      <c r="K335" s="11" t="str">
        <f t="shared" si="38"/>
        <v>g (100%)</v>
      </c>
      <c r="N335" s="29"/>
      <c r="O335" s="29"/>
      <c r="P335" s="13" t="str">
        <f t="shared" si="39"/>
        <v>-</v>
      </c>
      <c r="Q335" s="11" t="str">
        <f t="shared" si="41"/>
        <v>e (&gt;28)</v>
      </c>
      <c r="R335" s="14"/>
      <c r="S335" s="14"/>
    </row>
    <row r="336" spans="7:19" x14ac:dyDescent="0.3">
      <c r="G336" s="10">
        <f t="shared" si="35"/>
        <v>0</v>
      </c>
      <c r="H336" s="11" t="str">
        <f t="shared" si="40"/>
        <v>-</v>
      </c>
      <c r="I336" s="11" t="str">
        <f t="shared" si="36"/>
        <v>f (&gt;20%)</v>
      </c>
      <c r="J336" s="11" t="str">
        <f t="shared" si="37"/>
        <v>-</v>
      </c>
      <c r="K336" s="11" t="str">
        <f t="shared" si="38"/>
        <v>g (100%)</v>
      </c>
      <c r="N336" s="29"/>
      <c r="O336" s="29"/>
      <c r="P336" s="13" t="str">
        <f t="shared" si="39"/>
        <v>-</v>
      </c>
      <c r="Q336" s="11" t="str">
        <f t="shared" si="41"/>
        <v>e (&gt;28)</v>
      </c>
      <c r="R336" s="14"/>
      <c r="S336" s="14"/>
    </row>
    <row r="337" spans="7:19" x14ac:dyDescent="0.3">
      <c r="G337" s="10">
        <f t="shared" si="35"/>
        <v>0</v>
      </c>
      <c r="H337" s="11" t="str">
        <f t="shared" si="40"/>
        <v>-</v>
      </c>
      <c r="I337" s="11" t="str">
        <f t="shared" si="36"/>
        <v>f (&gt;20%)</v>
      </c>
      <c r="J337" s="11" t="str">
        <f t="shared" si="37"/>
        <v>-</v>
      </c>
      <c r="K337" s="11" t="str">
        <f t="shared" si="38"/>
        <v>g (100%)</v>
      </c>
      <c r="N337" s="29"/>
      <c r="O337" s="29"/>
      <c r="P337" s="13" t="str">
        <f t="shared" si="39"/>
        <v>-</v>
      </c>
      <c r="Q337" s="11" t="str">
        <f t="shared" si="41"/>
        <v>e (&gt;28)</v>
      </c>
      <c r="R337" s="14"/>
      <c r="S337" s="14"/>
    </row>
    <row r="338" spans="7:19" x14ac:dyDescent="0.3">
      <c r="G338" s="10">
        <f t="shared" si="35"/>
        <v>0</v>
      </c>
      <c r="H338" s="11" t="str">
        <f t="shared" si="40"/>
        <v>-</v>
      </c>
      <c r="I338" s="11" t="str">
        <f t="shared" si="36"/>
        <v>f (&gt;20%)</v>
      </c>
      <c r="J338" s="11" t="str">
        <f t="shared" si="37"/>
        <v>-</v>
      </c>
      <c r="K338" s="11" t="str">
        <f t="shared" si="38"/>
        <v>g (100%)</v>
      </c>
      <c r="N338" s="29"/>
      <c r="O338" s="29"/>
      <c r="P338" s="13" t="str">
        <f t="shared" si="39"/>
        <v>-</v>
      </c>
      <c r="Q338" s="11" t="str">
        <f t="shared" si="41"/>
        <v>e (&gt;28)</v>
      </c>
      <c r="R338" s="14"/>
      <c r="S338" s="14"/>
    </row>
    <row r="339" spans="7:19" x14ac:dyDescent="0.3">
      <c r="G339" s="10">
        <f t="shared" si="35"/>
        <v>0</v>
      </c>
      <c r="H339" s="11" t="str">
        <f t="shared" si="40"/>
        <v>-</v>
      </c>
      <c r="I339" s="11" t="str">
        <f t="shared" si="36"/>
        <v>f (&gt;20%)</v>
      </c>
      <c r="J339" s="11" t="str">
        <f t="shared" si="37"/>
        <v>-</v>
      </c>
      <c r="K339" s="11" t="str">
        <f t="shared" si="38"/>
        <v>g (100%)</v>
      </c>
      <c r="N339" s="29"/>
      <c r="P339" s="13" t="str">
        <f t="shared" si="39"/>
        <v>-</v>
      </c>
      <c r="Q339" s="11" t="str">
        <f t="shared" si="41"/>
        <v>e (&gt;28)</v>
      </c>
      <c r="R339" s="14"/>
      <c r="S339" s="14"/>
    </row>
    <row r="340" spans="7:19" x14ac:dyDescent="0.3">
      <c r="G340" s="10">
        <f t="shared" si="35"/>
        <v>0</v>
      </c>
      <c r="H340" s="11" t="str">
        <f t="shared" si="40"/>
        <v>-</v>
      </c>
      <c r="I340" s="11" t="str">
        <f t="shared" si="36"/>
        <v>f (&gt;20%)</v>
      </c>
      <c r="J340" s="11" t="str">
        <f t="shared" si="37"/>
        <v>-</v>
      </c>
      <c r="K340" s="11" t="str">
        <f t="shared" si="38"/>
        <v>g (100%)</v>
      </c>
      <c r="N340" s="29"/>
      <c r="O340" s="29"/>
      <c r="P340" s="13" t="str">
        <f t="shared" si="39"/>
        <v>-</v>
      </c>
      <c r="Q340" s="11" t="str">
        <f t="shared" si="41"/>
        <v>e (&gt;28)</v>
      </c>
      <c r="R340" s="14"/>
      <c r="S340" s="14"/>
    </row>
    <row r="341" spans="7:19" x14ac:dyDescent="0.3">
      <c r="G341" s="10">
        <f t="shared" si="35"/>
        <v>0</v>
      </c>
      <c r="H341" s="11" t="str">
        <f t="shared" si="40"/>
        <v>-</v>
      </c>
      <c r="I341" s="11" t="str">
        <f t="shared" si="36"/>
        <v>f (&gt;20%)</v>
      </c>
      <c r="J341" s="11" t="str">
        <f t="shared" si="37"/>
        <v>-</v>
      </c>
      <c r="K341" s="11" t="str">
        <f t="shared" si="38"/>
        <v>g (100%)</v>
      </c>
      <c r="N341" s="29"/>
      <c r="O341" s="29"/>
      <c r="P341" s="13" t="str">
        <f t="shared" si="39"/>
        <v>-</v>
      </c>
      <c r="Q341" s="11" t="str">
        <f t="shared" si="41"/>
        <v>e (&gt;28)</v>
      </c>
      <c r="R341" s="14"/>
      <c r="S341" s="14"/>
    </row>
    <row r="342" spans="7:19" x14ac:dyDescent="0.3">
      <c r="G342" s="10">
        <f t="shared" si="35"/>
        <v>0</v>
      </c>
      <c r="H342" s="11" t="str">
        <f t="shared" si="40"/>
        <v>-</v>
      </c>
      <c r="I342" s="11" t="str">
        <f t="shared" si="36"/>
        <v>f (&gt;20%)</v>
      </c>
      <c r="J342" s="11" t="str">
        <f t="shared" si="37"/>
        <v>-</v>
      </c>
      <c r="K342" s="11" t="str">
        <f t="shared" si="38"/>
        <v>g (100%)</v>
      </c>
      <c r="N342" s="29"/>
      <c r="O342" s="29"/>
      <c r="P342" s="13" t="str">
        <f t="shared" si="39"/>
        <v>-</v>
      </c>
      <c r="Q342" s="11" t="str">
        <f t="shared" si="41"/>
        <v>e (&gt;28)</v>
      </c>
      <c r="R342" s="14"/>
      <c r="S342" s="14"/>
    </row>
    <row r="343" spans="7:19" x14ac:dyDescent="0.3">
      <c r="G343" s="10">
        <f t="shared" si="35"/>
        <v>0</v>
      </c>
      <c r="H343" s="11" t="str">
        <f t="shared" si="40"/>
        <v>-</v>
      </c>
      <c r="I343" s="11" t="str">
        <f t="shared" si="36"/>
        <v>f (&gt;20%)</v>
      </c>
      <c r="J343" s="11" t="str">
        <f t="shared" si="37"/>
        <v>-</v>
      </c>
      <c r="K343" s="11" t="str">
        <f t="shared" si="38"/>
        <v>g (100%)</v>
      </c>
      <c r="N343" s="29"/>
      <c r="O343" s="29"/>
      <c r="P343" s="13" t="str">
        <f t="shared" si="39"/>
        <v>-</v>
      </c>
      <c r="Q343" s="11" t="str">
        <f t="shared" si="41"/>
        <v>e (&gt;28)</v>
      </c>
      <c r="R343" s="14"/>
      <c r="S343" s="14"/>
    </row>
    <row r="344" spans="7:19" x14ac:dyDescent="0.3">
      <c r="G344" s="10">
        <f t="shared" si="35"/>
        <v>0</v>
      </c>
      <c r="H344" s="11" t="str">
        <f t="shared" si="40"/>
        <v>-</v>
      </c>
      <c r="I344" s="11" t="str">
        <f t="shared" si="36"/>
        <v>f (&gt;20%)</v>
      </c>
      <c r="J344" s="11" t="str">
        <f t="shared" si="37"/>
        <v>-</v>
      </c>
      <c r="K344" s="11" t="str">
        <f t="shared" si="38"/>
        <v>g (100%)</v>
      </c>
      <c r="N344" s="29"/>
      <c r="O344" s="29"/>
      <c r="P344" s="13" t="str">
        <f t="shared" si="39"/>
        <v>-</v>
      </c>
      <c r="Q344" s="11" t="str">
        <f t="shared" si="41"/>
        <v>e (&gt;28)</v>
      </c>
      <c r="R344" s="14"/>
      <c r="S344" s="14"/>
    </row>
    <row r="345" spans="7:19" x14ac:dyDescent="0.3">
      <c r="G345" s="10">
        <f t="shared" si="35"/>
        <v>0</v>
      </c>
      <c r="H345" s="11" t="str">
        <f t="shared" si="40"/>
        <v>-</v>
      </c>
      <c r="I345" s="11" t="str">
        <f t="shared" si="36"/>
        <v>f (&gt;20%)</v>
      </c>
      <c r="J345" s="11" t="str">
        <f t="shared" si="37"/>
        <v>-</v>
      </c>
      <c r="K345" s="11" t="str">
        <f t="shared" si="38"/>
        <v>g (100%)</v>
      </c>
      <c r="N345" s="29"/>
      <c r="O345" s="29"/>
      <c r="P345" s="13" t="str">
        <f t="shared" si="39"/>
        <v>-</v>
      </c>
      <c r="Q345" s="11" t="str">
        <f t="shared" si="41"/>
        <v>e (&gt;28)</v>
      </c>
      <c r="R345" s="14"/>
      <c r="S345" s="14"/>
    </row>
    <row r="346" spans="7:19" x14ac:dyDescent="0.3">
      <c r="G346" s="10">
        <f t="shared" si="35"/>
        <v>0</v>
      </c>
      <c r="H346" s="11" t="str">
        <f t="shared" si="40"/>
        <v>-</v>
      </c>
      <c r="I346" s="11" t="str">
        <f t="shared" si="36"/>
        <v>f (&gt;20%)</v>
      </c>
      <c r="J346" s="11" t="str">
        <f t="shared" si="37"/>
        <v>-</v>
      </c>
      <c r="K346" s="11" t="str">
        <f t="shared" si="38"/>
        <v>g (100%)</v>
      </c>
      <c r="N346" s="29"/>
      <c r="O346" s="29"/>
      <c r="P346" s="13" t="str">
        <f t="shared" si="39"/>
        <v>-</v>
      </c>
      <c r="Q346" s="11" t="str">
        <f t="shared" si="41"/>
        <v>e (&gt;28)</v>
      </c>
      <c r="R346" s="14"/>
      <c r="S346" s="14"/>
    </row>
    <row r="347" spans="7:19" x14ac:dyDescent="0.3">
      <c r="G347" s="10">
        <f t="shared" si="35"/>
        <v>0</v>
      </c>
      <c r="H347" s="11" t="str">
        <f t="shared" si="40"/>
        <v>-</v>
      </c>
      <c r="I347" s="11" t="str">
        <f t="shared" si="36"/>
        <v>f (&gt;20%)</v>
      </c>
      <c r="J347" s="11" t="str">
        <f t="shared" si="37"/>
        <v>-</v>
      </c>
      <c r="K347" s="11" t="str">
        <f t="shared" si="38"/>
        <v>g (100%)</v>
      </c>
      <c r="N347" s="29"/>
      <c r="P347" s="13" t="str">
        <f t="shared" si="39"/>
        <v>-</v>
      </c>
      <c r="Q347" s="11" t="str">
        <f t="shared" si="41"/>
        <v>e (&gt;28)</v>
      </c>
      <c r="R347" s="14"/>
      <c r="S347" s="14"/>
    </row>
    <row r="348" spans="7:19" x14ac:dyDescent="0.3">
      <c r="G348" s="10">
        <f t="shared" si="35"/>
        <v>0</v>
      </c>
      <c r="H348" s="11" t="str">
        <f t="shared" si="40"/>
        <v>-</v>
      </c>
      <c r="I348" s="11" t="str">
        <f t="shared" si="36"/>
        <v>f (&gt;20%)</v>
      </c>
      <c r="J348" s="11" t="str">
        <f t="shared" si="37"/>
        <v>-</v>
      </c>
      <c r="K348" s="11" t="str">
        <f t="shared" si="38"/>
        <v>g (100%)</v>
      </c>
      <c r="N348" s="29"/>
      <c r="O348" s="29"/>
      <c r="P348" s="13" t="str">
        <f t="shared" si="39"/>
        <v>-</v>
      </c>
      <c r="Q348" s="11" t="str">
        <f t="shared" si="41"/>
        <v>e (&gt;28)</v>
      </c>
      <c r="R348" s="14"/>
      <c r="S348" s="14"/>
    </row>
    <row r="349" spans="7:19" x14ac:dyDescent="0.3">
      <c r="G349" s="10">
        <f t="shared" si="35"/>
        <v>0</v>
      </c>
      <c r="H349" s="11" t="str">
        <f t="shared" si="40"/>
        <v>-</v>
      </c>
      <c r="I349" s="11" t="str">
        <f t="shared" si="36"/>
        <v>f (&gt;20%)</v>
      </c>
      <c r="J349" s="11" t="str">
        <f t="shared" si="37"/>
        <v>-</v>
      </c>
      <c r="K349" s="11" t="str">
        <f t="shared" si="38"/>
        <v>g (100%)</v>
      </c>
      <c r="N349" s="29"/>
      <c r="P349" s="13" t="str">
        <f t="shared" si="39"/>
        <v>-</v>
      </c>
      <c r="Q349" s="11" t="str">
        <f t="shared" si="41"/>
        <v>e (&gt;28)</v>
      </c>
      <c r="R349" s="14"/>
      <c r="S349" s="14"/>
    </row>
    <row r="350" spans="7:19" x14ac:dyDescent="0.3">
      <c r="G350" s="10">
        <f t="shared" si="35"/>
        <v>0</v>
      </c>
      <c r="H350" s="11" t="str">
        <f t="shared" si="40"/>
        <v>-</v>
      </c>
      <c r="I350" s="11" t="str">
        <f t="shared" si="36"/>
        <v>f (&gt;20%)</v>
      </c>
      <c r="J350" s="11" t="str">
        <f t="shared" si="37"/>
        <v>-</v>
      </c>
      <c r="K350" s="11" t="str">
        <f t="shared" si="38"/>
        <v>g (100%)</v>
      </c>
      <c r="N350" s="29"/>
      <c r="O350" s="29"/>
      <c r="P350" s="13" t="str">
        <f t="shared" si="39"/>
        <v>-</v>
      </c>
      <c r="Q350" s="11" t="str">
        <f t="shared" si="41"/>
        <v>e (&gt;28)</v>
      </c>
      <c r="R350" s="14"/>
      <c r="S350" s="14"/>
    </row>
    <row r="351" spans="7:19" x14ac:dyDescent="0.3">
      <c r="G351" s="10">
        <f t="shared" si="35"/>
        <v>0</v>
      </c>
      <c r="H351" s="11" t="str">
        <f t="shared" si="40"/>
        <v>-</v>
      </c>
      <c r="I351" s="11" t="str">
        <f t="shared" si="36"/>
        <v>f (&gt;20%)</v>
      </c>
      <c r="J351" s="11" t="str">
        <f t="shared" si="37"/>
        <v>-</v>
      </c>
      <c r="K351" s="11" t="str">
        <f t="shared" si="38"/>
        <v>g (100%)</v>
      </c>
      <c r="N351" s="29"/>
      <c r="O351" s="29"/>
      <c r="P351" s="13" t="str">
        <f t="shared" si="39"/>
        <v>-</v>
      </c>
      <c r="Q351" s="11" t="str">
        <f t="shared" si="41"/>
        <v>e (&gt;28)</v>
      </c>
      <c r="R351" s="14"/>
      <c r="S351" s="14"/>
    </row>
    <row r="352" spans="7:19" x14ac:dyDescent="0.3">
      <c r="G352" s="10">
        <f t="shared" si="35"/>
        <v>0</v>
      </c>
      <c r="H352" s="11" t="str">
        <f t="shared" si="40"/>
        <v>-</v>
      </c>
      <c r="I352" s="11" t="str">
        <f t="shared" si="36"/>
        <v>f (&gt;20%)</v>
      </c>
      <c r="J352" s="11" t="str">
        <f t="shared" si="37"/>
        <v>-</v>
      </c>
      <c r="K352" s="11" t="str">
        <f t="shared" si="38"/>
        <v>g (100%)</v>
      </c>
      <c r="N352" s="29"/>
      <c r="P352" s="13" t="str">
        <f t="shared" si="39"/>
        <v>-</v>
      </c>
      <c r="Q352" s="11" t="str">
        <f t="shared" si="41"/>
        <v>e (&gt;28)</v>
      </c>
      <c r="R352" s="14"/>
      <c r="S352" s="14"/>
    </row>
    <row r="353" spans="7:19" x14ac:dyDescent="0.3">
      <c r="G353" s="10">
        <f t="shared" si="35"/>
        <v>0</v>
      </c>
      <c r="H353" s="11" t="str">
        <f t="shared" si="40"/>
        <v>-</v>
      </c>
      <c r="I353" s="11" t="str">
        <f t="shared" si="36"/>
        <v>f (&gt;20%)</v>
      </c>
      <c r="J353" s="11" t="str">
        <f t="shared" si="37"/>
        <v>-</v>
      </c>
      <c r="K353" s="11" t="str">
        <f t="shared" si="38"/>
        <v>g (100%)</v>
      </c>
      <c r="N353" s="29"/>
      <c r="O353" s="29"/>
      <c r="P353" s="13" t="str">
        <f t="shared" si="39"/>
        <v>-</v>
      </c>
      <c r="Q353" s="11" t="str">
        <f t="shared" si="41"/>
        <v>e (&gt;28)</v>
      </c>
      <c r="R353" s="14"/>
      <c r="S353" s="14"/>
    </row>
    <row r="354" spans="7:19" x14ac:dyDescent="0.3">
      <c r="G354" s="10">
        <f t="shared" si="35"/>
        <v>0</v>
      </c>
      <c r="H354" s="11" t="str">
        <f t="shared" si="40"/>
        <v>-</v>
      </c>
      <c r="I354" s="11" t="str">
        <f t="shared" si="36"/>
        <v>f (&gt;20%)</v>
      </c>
      <c r="J354" s="11" t="str">
        <f t="shared" si="37"/>
        <v>-</v>
      </c>
      <c r="K354" s="11" t="str">
        <f t="shared" si="38"/>
        <v>g (100%)</v>
      </c>
      <c r="N354" s="29"/>
      <c r="O354" s="29"/>
      <c r="P354" s="13" t="str">
        <f t="shared" si="39"/>
        <v>-</v>
      </c>
      <c r="Q354" s="11" t="str">
        <f t="shared" si="41"/>
        <v>e (&gt;28)</v>
      </c>
      <c r="R354" s="14"/>
      <c r="S354" s="14"/>
    </row>
    <row r="355" spans="7:19" x14ac:dyDescent="0.3">
      <c r="G355" s="10">
        <f t="shared" si="35"/>
        <v>0</v>
      </c>
      <c r="H355" s="11" t="str">
        <f t="shared" si="40"/>
        <v>-</v>
      </c>
      <c r="I355" s="11" t="str">
        <f t="shared" si="36"/>
        <v>f (&gt;20%)</v>
      </c>
      <c r="J355" s="11" t="str">
        <f t="shared" si="37"/>
        <v>-</v>
      </c>
      <c r="K355" s="11" t="str">
        <f t="shared" si="38"/>
        <v>g (100%)</v>
      </c>
      <c r="N355" s="29"/>
      <c r="O355" s="29"/>
      <c r="P355" s="13" t="str">
        <f t="shared" si="39"/>
        <v>-</v>
      </c>
      <c r="Q355" s="11" t="str">
        <f t="shared" si="41"/>
        <v>e (&gt;28)</v>
      </c>
      <c r="R355" s="14"/>
      <c r="S355" s="14"/>
    </row>
    <row r="356" spans="7:19" x14ac:dyDescent="0.3">
      <c r="G356" s="10">
        <f t="shared" si="35"/>
        <v>0</v>
      </c>
      <c r="H356" s="11" t="str">
        <f t="shared" si="40"/>
        <v>-</v>
      </c>
      <c r="I356" s="11" t="str">
        <f t="shared" si="36"/>
        <v>f (&gt;20%)</v>
      </c>
      <c r="J356" s="11" t="str">
        <f t="shared" si="37"/>
        <v>-</v>
      </c>
      <c r="K356" s="11" t="str">
        <f t="shared" si="38"/>
        <v>g (100%)</v>
      </c>
      <c r="N356" s="29"/>
      <c r="O356" s="29"/>
      <c r="P356" s="13" t="str">
        <f t="shared" si="39"/>
        <v>-</v>
      </c>
      <c r="Q356" s="11" t="str">
        <f t="shared" si="41"/>
        <v>e (&gt;28)</v>
      </c>
      <c r="R356" s="14"/>
      <c r="S356" s="14"/>
    </row>
    <row r="357" spans="7:19" x14ac:dyDescent="0.3">
      <c r="G357" s="10">
        <f t="shared" si="35"/>
        <v>0</v>
      </c>
      <c r="H357" s="11" t="str">
        <f t="shared" si="40"/>
        <v>-</v>
      </c>
      <c r="I357" s="11" t="str">
        <f t="shared" si="36"/>
        <v>f (&gt;20%)</v>
      </c>
      <c r="J357" s="11" t="str">
        <f t="shared" si="37"/>
        <v>-</v>
      </c>
      <c r="K357" s="11" t="str">
        <f t="shared" si="38"/>
        <v>g (100%)</v>
      </c>
      <c r="N357" s="29"/>
      <c r="O357" s="29"/>
      <c r="P357" s="13" t="str">
        <f t="shared" si="39"/>
        <v>-</v>
      </c>
      <c r="Q357" s="11" t="str">
        <f t="shared" si="41"/>
        <v>e (&gt;28)</v>
      </c>
      <c r="R357" s="14"/>
      <c r="S357" s="14"/>
    </row>
    <row r="358" spans="7:19" x14ac:dyDescent="0.3">
      <c r="G358" s="10">
        <f t="shared" si="35"/>
        <v>0</v>
      </c>
      <c r="H358" s="11" t="str">
        <f t="shared" si="40"/>
        <v>-</v>
      </c>
      <c r="I358" s="11" t="str">
        <f t="shared" si="36"/>
        <v>f (&gt;20%)</v>
      </c>
      <c r="J358" s="11" t="str">
        <f t="shared" si="37"/>
        <v>-</v>
      </c>
      <c r="K358" s="11" t="str">
        <f t="shared" si="38"/>
        <v>g (100%)</v>
      </c>
      <c r="N358" s="29"/>
      <c r="O358" s="29"/>
      <c r="P358" s="13" t="str">
        <f t="shared" si="39"/>
        <v>-</v>
      </c>
      <c r="Q358" s="11" t="str">
        <f t="shared" si="41"/>
        <v>e (&gt;28)</v>
      </c>
      <c r="R358" s="14"/>
      <c r="S358" s="14"/>
    </row>
    <row r="359" spans="7:19" x14ac:dyDescent="0.3">
      <c r="G359" s="10">
        <f t="shared" si="35"/>
        <v>0</v>
      </c>
      <c r="H359" s="11" t="str">
        <f t="shared" si="40"/>
        <v>-</v>
      </c>
      <c r="I359" s="11" t="str">
        <f t="shared" si="36"/>
        <v>f (&gt;20%)</v>
      </c>
      <c r="J359" s="11" t="str">
        <f t="shared" si="37"/>
        <v>-</v>
      </c>
      <c r="K359" s="11" t="str">
        <f t="shared" si="38"/>
        <v>g (100%)</v>
      </c>
      <c r="N359" s="29"/>
      <c r="O359" s="29"/>
      <c r="P359" s="13" t="str">
        <f t="shared" si="39"/>
        <v>-</v>
      </c>
      <c r="Q359" s="11" t="str">
        <f t="shared" si="41"/>
        <v>e (&gt;28)</v>
      </c>
      <c r="R359" s="14"/>
      <c r="S359" s="14"/>
    </row>
    <row r="360" spans="7:19" x14ac:dyDescent="0.3">
      <c r="G360" s="10">
        <f t="shared" si="35"/>
        <v>0</v>
      </c>
      <c r="H360" s="11" t="str">
        <f t="shared" si="40"/>
        <v>-</v>
      </c>
      <c r="I360" s="11" t="str">
        <f t="shared" si="36"/>
        <v>f (&gt;20%)</v>
      </c>
      <c r="J360" s="11" t="str">
        <f t="shared" si="37"/>
        <v>-</v>
      </c>
      <c r="K360" s="11" t="str">
        <f t="shared" si="38"/>
        <v>g (100%)</v>
      </c>
      <c r="N360" s="29"/>
      <c r="O360" s="29"/>
      <c r="P360" s="13" t="str">
        <f t="shared" si="39"/>
        <v>-</v>
      </c>
      <c r="Q360" s="11" t="str">
        <f t="shared" si="41"/>
        <v>e (&gt;28)</v>
      </c>
      <c r="R360" s="14"/>
      <c r="S360" s="14"/>
    </row>
    <row r="361" spans="7:19" x14ac:dyDescent="0.3">
      <c r="G361" s="10">
        <f t="shared" si="35"/>
        <v>0</v>
      </c>
      <c r="H361" s="11" t="str">
        <f t="shared" si="40"/>
        <v>-</v>
      </c>
      <c r="I361" s="11" t="str">
        <f t="shared" si="36"/>
        <v>f (&gt;20%)</v>
      </c>
      <c r="J361" s="11" t="str">
        <f t="shared" si="37"/>
        <v>-</v>
      </c>
      <c r="K361" s="11" t="str">
        <f t="shared" si="38"/>
        <v>g (100%)</v>
      </c>
      <c r="N361" s="29"/>
      <c r="O361" s="29"/>
      <c r="P361" s="13" t="str">
        <f t="shared" si="39"/>
        <v>-</v>
      </c>
      <c r="Q361" s="11" t="str">
        <f t="shared" si="41"/>
        <v>e (&gt;28)</v>
      </c>
      <c r="R361" s="14"/>
      <c r="S361" s="14"/>
    </row>
    <row r="362" spans="7:19" x14ac:dyDescent="0.3">
      <c r="G362" s="10">
        <f t="shared" ref="G362:G425" si="42">E362-F362</f>
        <v>0</v>
      </c>
      <c r="H362" s="11" t="str">
        <f t="shared" si="40"/>
        <v>-</v>
      </c>
      <c r="I362" s="11" t="str">
        <f t="shared" ref="I362:I425" si="43">IF(H362=0%,"a (0%)",IF(AND(H362&gt;0%,H362&lt;=5%),"b (0%-5%)",IF(AND(H362&gt;5%,H362&lt;=10%),"c (5%-10%)",IF(AND(H362&gt;10%,H362&lt;=15%),"d (10%-15%)",IF(AND(H362&gt;15%,H362&lt;=20%),"e (15%-20%)","f (&gt;20%)")))))</f>
        <v>f (&gt;20%)</v>
      </c>
      <c r="J362" s="11" t="str">
        <f t="shared" ref="J362:J425" si="44">IFERROR(F362/D362,"-")</f>
        <v>-</v>
      </c>
      <c r="K362" s="11" t="str">
        <f t="shared" ref="K362:K425" si="45">IF(J362=0%,"a (0%)",IF(AND(J362&gt;0%,J362&lt;=20%),"b (0%-20%)",IF(AND(J362&gt;20%,J362&lt;=40%),"c (20%-40%)",IF(AND(J362&gt;40%,J362&lt;=60%),"d (40%-60%)",IF(AND(J362&gt;60%,J362&lt;=80%),"e (60%-80%)",IF(AND(J362&gt;80%,J362&lt;100%),"f (80%-99%)","g (100%)"))))))</f>
        <v>g (100%)</v>
      </c>
      <c r="N362" s="29"/>
      <c r="O362" s="29"/>
      <c r="P362" s="13" t="str">
        <f t="shared" ref="P362:P425" si="46">IFERROR(IF(N362="","-",DATEDIF(N362,O362,"d")),0)</f>
        <v>-</v>
      </c>
      <c r="Q362" s="11" t="str">
        <f t="shared" si="41"/>
        <v>e (&gt;28)</v>
      </c>
      <c r="R362" s="14"/>
      <c r="S362" s="14"/>
    </row>
    <row r="363" spans="7:19" x14ac:dyDescent="0.3">
      <c r="G363" s="10">
        <f t="shared" si="42"/>
        <v>0</v>
      </c>
      <c r="H363" s="11" t="str">
        <f t="shared" si="40"/>
        <v>-</v>
      </c>
      <c r="I363" s="11" t="str">
        <f t="shared" si="43"/>
        <v>f (&gt;20%)</v>
      </c>
      <c r="J363" s="11" t="str">
        <f t="shared" si="44"/>
        <v>-</v>
      </c>
      <c r="K363" s="11" t="str">
        <f t="shared" si="45"/>
        <v>g (100%)</v>
      </c>
      <c r="N363" s="29"/>
      <c r="O363" s="29"/>
      <c r="P363" s="13" t="str">
        <f t="shared" si="46"/>
        <v>-</v>
      </c>
      <c r="Q363" s="11" t="str">
        <f t="shared" si="41"/>
        <v>e (&gt;28)</v>
      </c>
      <c r="R363" s="14"/>
      <c r="S363" s="14"/>
    </row>
    <row r="364" spans="7:19" x14ac:dyDescent="0.3">
      <c r="G364" s="10">
        <f t="shared" si="42"/>
        <v>0</v>
      </c>
      <c r="H364" s="11" t="str">
        <f t="shared" si="40"/>
        <v>-</v>
      </c>
      <c r="I364" s="11" t="str">
        <f t="shared" si="43"/>
        <v>f (&gt;20%)</v>
      </c>
      <c r="J364" s="11" t="str">
        <f t="shared" si="44"/>
        <v>-</v>
      </c>
      <c r="K364" s="11" t="str">
        <f t="shared" si="45"/>
        <v>g (100%)</v>
      </c>
      <c r="N364" s="29"/>
      <c r="O364" s="29"/>
      <c r="P364" s="13" t="str">
        <f t="shared" si="46"/>
        <v>-</v>
      </c>
      <c r="Q364" s="11" t="str">
        <f t="shared" si="41"/>
        <v>e (&gt;28)</v>
      </c>
      <c r="R364" s="14"/>
      <c r="S364" s="14"/>
    </row>
    <row r="365" spans="7:19" x14ac:dyDescent="0.3">
      <c r="G365" s="10">
        <f t="shared" si="42"/>
        <v>0</v>
      </c>
      <c r="H365" s="11" t="str">
        <f t="shared" si="40"/>
        <v>-</v>
      </c>
      <c r="I365" s="11" t="str">
        <f t="shared" si="43"/>
        <v>f (&gt;20%)</v>
      </c>
      <c r="J365" s="11" t="str">
        <f t="shared" si="44"/>
        <v>-</v>
      </c>
      <c r="K365" s="11" t="str">
        <f t="shared" si="45"/>
        <v>g (100%)</v>
      </c>
      <c r="N365" s="29"/>
      <c r="O365" s="29"/>
      <c r="P365" s="13" t="str">
        <f t="shared" si="46"/>
        <v>-</v>
      </c>
      <c r="Q365" s="11" t="str">
        <f t="shared" si="41"/>
        <v>e (&gt;28)</v>
      </c>
      <c r="R365" s="14"/>
      <c r="S365" s="14"/>
    </row>
    <row r="366" spans="7:19" x14ac:dyDescent="0.3">
      <c r="G366" s="10">
        <f t="shared" si="42"/>
        <v>0</v>
      </c>
      <c r="H366" s="11" t="str">
        <f t="shared" si="40"/>
        <v>-</v>
      </c>
      <c r="I366" s="11" t="str">
        <f t="shared" si="43"/>
        <v>f (&gt;20%)</v>
      </c>
      <c r="J366" s="11" t="str">
        <f t="shared" si="44"/>
        <v>-</v>
      </c>
      <c r="K366" s="11" t="str">
        <f t="shared" si="45"/>
        <v>g (100%)</v>
      </c>
      <c r="N366" s="29"/>
      <c r="P366" s="13" t="str">
        <f t="shared" si="46"/>
        <v>-</v>
      </c>
      <c r="Q366" s="11" t="str">
        <f t="shared" si="41"/>
        <v>e (&gt;28)</v>
      </c>
      <c r="R366" s="14"/>
      <c r="S366" s="14"/>
    </row>
    <row r="367" spans="7:19" x14ac:dyDescent="0.3">
      <c r="G367" s="10">
        <f t="shared" si="42"/>
        <v>0</v>
      </c>
      <c r="H367" s="11" t="str">
        <f t="shared" si="40"/>
        <v>-</v>
      </c>
      <c r="I367" s="11" t="str">
        <f t="shared" si="43"/>
        <v>f (&gt;20%)</v>
      </c>
      <c r="J367" s="11" t="str">
        <f t="shared" si="44"/>
        <v>-</v>
      </c>
      <c r="K367" s="11" t="str">
        <f t="shared" si="45"/>
        <v>g (100%)</v>
      </c>
      <c r="N367" s="29"/>
      <c r="O367" s="29"/>
      <c r="P367" s="13" t="str">
        <f t="shared" si="46"/>
        <v>-</v>
      </c>
      <c r="Q367" s="11" t="str">
        <f t="shared" si="41"/>
        <v>e (&gt;28)</v>
      </c>
      <c r="R367" s="14"/>
      <c r="S367" s="14"/>
    </row>
    <row r="368" spans="7:19" x14ac:dyDescent="0.3">
      <c r="G368" s="10">
        <f t="shared" si="42"/>
        <v>0</v>
      </c>
      <c r="H368" s="11" t="str">
        <f t="shared" si="40"/>
        <v>-</v>
      </c>
      <c r="I368" s="11" t="str">
        <f t="shared" si="43"/>
        <v>f (&gt;20%)</v>
      </c>
      <c r="J368" s="11" t="str">
        <f t="shared" si="44"/>
        <v>-</v>
      </c>
      <c r="K368" s="11" t="str">
        <f t="shared" si="45"/>
        <v>g (100%)</v>
      </c>
      <c r="N368" s="29"/>
      <c r="O368" s="29"/>
      <c r="P368" s="13" t="str">
        <f t="shared" si="46"/>
        <v>-</v>
      </c>
      <c r="Q368" s="11" t="str">
        <f t="shared" si="41"/>
        <v>e (&gt;28)</v>
      </c>
      <c r="R368" s="14"/>
      <c r="S368" s="14"/>
    </row>
    <row r="369" spans="7:19" x14ac:dyDescent="0.3">
      <c r="G369" s="10">
        <f t="shared" si="42"/>
        <v>0</v>
      </c>
      <c r="H369" s="11" t="str">
        <f t="shared" si="40"/>
        <v>-</v>
      </c>
      <c r="I369" s="11" t="str">
        <f t="shared" si="43"/>
        <v>f (&gt;20%)</v>
      </c>
      <c r="J369" s="11" t="str">
        <f t="shared" si="44"/>
        <v>-</v>
      </c>
      <c r="K369" s="11" t="str">
        <f t="shared" si="45"/>
        <v>g (100%)</v>
      </c>
      <c r="N369" s="29"/>
      <c r="O369" s="29"/>
      <c r="P369" s="13" t="str">
        <f t="shared" si="46"/>
        <v>-</v>
      </c>
      <c r="Q369" s="11" t="str">
        <f t="shared" si="41"/>
        <v>e (&gt;28)</v>
      </c>
      <c r="R369" s="14"/>
      <c r="S369" s="14"/>
    </row>
    <row r="370" spans="7:19" x14ac:dyDescent="0.3">
      <c r="G370" s="10">
        <f t="shared" si="42"/>
        <v>0</v>
      </c>
      <c r="H370" s="11" t="str">
        <f t="shared" si="40"/>
        <v>-</v>
      </c>
      <c r="I370" s="11" t="str">
        <f t="shared" si="43"/>
        <v>f (&gt;20%)</v>
      </c>
      <c r="J370" s="11" t="str">
        <f t="shared" si="44"/>
        <v>-</v>
      </c>
      <c r="K370" s="11" t="str">
        <f t="shared" si="45"/>
        <v>g (100%)</v>
      </c>
      <c r="N370" s="29"/>
      <c r="O370" s="29"/>
      <c r="P370" s="13" t="str">
        <f t="shared" si="46"/>
        <v>-</v>
      </c>
      <c r="Q370" s="11" t="str">
        <f t="shared" si="41"/>
        <v>e (&gt;28)</v>
      </c>
      <c r="R370" s="14"/>
      <c r="S370" s="14"/>
    </row>
    <row r="371" spans="7:19" x14ac:dyDescent="0.3">
      <c r="G371" s="10">
        <f t="shared" si="42"/>
        <v>0</v>
      </c>
      <c r="H371" s="11" t="str">
        <f t="shared" si="40"/>
        <v>-</v>
      </c>
      <c r="I371" s="11" t="str">
        <f t="shared" si="43"/>
        <v>f (&gt;20%)</v>
      </c>
      <c r="J371" s="11" t="str">
        <f t="shared" si="44"/>
        <v>-</v>
      </c>
      <c r="K371" s="11" t="str">
        <f t="shared" si="45"/>
        <v>g (100%)</v>
      </c>
      <c r="N371" s="29"/>
      <c r="O371" s="29"/>
      <c r="P371" s="13" t="str">
        <f t="shared" si="46"/>
        <v>-</v>
      </c>
      <c r="Q371" s="11" t="str">
        <f t="shared" si="41"/>
        <v>e (&gt;28)</v>
      </c>
      <c r="R371" s="14"/>
      <c r="S371" s="14"/>
    </row>
    <row r="372" spans="7:19" x14ac:dyDescent="0.3">
      <c r="G372" s="10">
        <f t="shared" si="42"/>
        <v>0</v>
      </c>
      <c r="H372" s="11" t="str">
        <f t="shared" si="40"/>
        <v>-</v>
      </c>
      <c r="I372" s="11" t="str">
        <f t="shared" si="43"/>
        <v>f (&gt;20%)</v>
      </c>
      <c r="J372" s="11" t="str">
        <f t="shared" si="44"/>
        <v>-</v>
      </c>
      <c r="K372" s="11" t="str">
        <f t="shared" si="45"/>
        <v>g (100%)</v>
      </c>
      <c r="N372" s="29"/>
      <c r="O372" s="29"/>
      <c r="P372" s="13" t="str">
        <f t="shared" si="46"/>
        <v>-</v>
      </c>
      <c r="Q372" s="11" t="str">
        <f t="shared" si="41"/>
        <v>e (&gt;28)</v>
      </c>
      <c r="R372" s="14"/>
      <c r="S372" s="14"/>
    </row>
    <row r="373" spans="7:19" x14ac:dyDescent="0.3">
      <c r="G373" s="10">
        <f t="shared" si="42"/>
        <v>0</v>
      </c>
      <c r="H373" s="11" t="str">
        <f t="shared" si="40"/>
        <v>-</v>
      </c>
      <c r="I373" s="11" t="str">
        <f t="shared" si="43"/>
        <v>f (&gt;20%)</v>
      </c>
      <c r="J373" s="11" t="str">
        <f t="shared" si="44"/>
        <v>-</v>
      </c>
      <c r="K373" s="11" t="str">
        <f t="shared" si="45"/>
        <v>g (100%)</v>
      </c>
      <c r="N373" s="29"/>
      <c r="O373" s="29"/>
      <c r="P373" s="13" t="str">
        <f t="shared" si="46"/>
        <v>-</v>
      </c>
      <c r="Q373" s="11" t="str">
        <f t="shared" si="41"/>
        <v>e (&gt;28)</v>
      </c>
      <c r="R373" s="14"/>
      <c r="S373" s="14"/>
    </row>
    <row r="374" spans="7:19" x14ac:dyDescent="0.3">
      <c r="G374" s="10">
        <f t="shared" si="42"/>
        <v>0</v>
      </c>
      <c r="H374" s="11" t="str">
        <f t="shared" si="40"/>
        <v>-</v>
      </c>
      <c r="I374" s="11" t="str">
        <f t="shared" si="43"/>
        <v>f (&gt;20%)</v>
      </c>
      <c r="J374" s="11" t="str">
        <f t="shared" si="44"/>
        <v>-</v>
      </c>
      <c r="K374" s="11" t="str">
        <f t="shared" si="45"/>
        <v>g (100%)</v>
      </c>
      <c r="N374" s="29"/>
      <c r="O374" s="29"/>
      <c r="P374" s="13" t="str">
        <f t="shared" si="46"/>
        <v>-</v>
      </c>
      <c r="Q374" s="11" t="str">
        <f t="shared" si="41"/>
        <v>e (&gt;28)</v>
      </c>
      <c r="R374" s="14"/>
      <c r="S374" s="14"/>
    </row>
    <row r="375" spans="7:19" x14ac:dyDescent="0.3">
      <c r="G375" s="10">
        <f t="shared" si="42"/>
        <v>0</v>
      </c>
      <c r="H375" s="11" t="str">
        <f t="shared" si="40"/>
        <v>-</v>
      </c>
      <c r="I375" s="11" t="str">
        <f t="shared" si="43"/>
        <v>f (&gt;20%)</v>
      </c>
      <c r="J375" s="11" t="str">
        <f t="shared" si="44"/>
        <v>-</v>
      </c>
      <c r="K375" s="11" t="str">
        <f t="shared" si="45"/>
        <v>g (100%)</v>
      </c>
      <c r="N375" s="29"/>
      <c r="P375" s="13" t="str">
        <f t="shared" si="46"/>
        <v>-</v>
      </c>
      <c r="Q375" s="11" t="str">
        <f t="shared" si="41"/>
        <v>e (&gt;28)</v>
      </c>
      <c r="R375" s="14"/>
      <c r="S375" s="14"/>
    </row>
    <row r="376" spans="7:19" x14ac:dyDescent="0.3">
      <c r="G376" s="10">
        <f t="shared" si="42"/>
        <v>0</v>
      </c>
      <c r="H376" s="11" t="str">
        <f t="shared" si="40"/>
        <v>-</v>
      </c>
      <c r="I376" s="11" t="str">
        <f t="shared" si="43"/>
        <v>f (&gt;20%)</v>
      </c>
      <c r="J376" s="11" t="str">
        <f t="shared" si="44"/>
        <v>-</v>
      </c>
      <c r="K376" s="11" t="str">
        <f t="shared" si="45"/>
        <v>g (100%)</v>
      </c>
      <c r="N376" s="29"/>
      <c r="O376" s="29"/>
      <c r="P376" s="13" t="str">
        <f t="shared" si="46"/>
        <v>-</v>
      </c>
      <c r="Q376" s="11" t="str">
        <f t="shared" si="41"/>
        <v>e (&gt;28)</v>
      </c>
      <c r="R376" s="14"/>
      <c r="S376" s="14"/>
    </row>
    <row r="377" spans="7:19" x14ac:dyDescent="0.3">
      <c r="G377" s="10">
        <f t="shared" si="42"/>
        <v>0</v>
      </c>
      <c r="H377" s="11" t="str">
        <f t="shared" si="40"/>
        <v>-</v>
      </c>
      <c r="I377" s="11" t="str">
        <f t="shared" si="43"/>
        <v>f (&gt;20%)</v>
      </c>
      <c r="J377" s="11" t="str">
        <f t="shared" si="44"/>
        <v>-</v>
      </c>
      <c r="K377" s="11" t="str">
        <f t="shared" si="45"/>
        <v>g (100%)</v>
      </c>
      <c r="N377" s="29"/>
      <c r="O377" s="29"/>
      <c r="P377" s="13" t="str">
        <f t="shared" si="46"/>
        <v>-</v>
      </c>
      <c r="Q377" s="11" t="str">
        <f t="shared" si="41"/>
        <v>e (&gt;28)</v>
      </c>
      <c r="R377" s="14"/>
      <c r="S377" s="14"/>
    </row>
    <row r="378" spans="7:19" x14ac:dyDescent="0.3">
      <c r="G378" s="10">
        <f t="shared" si="42"/>
        <v>0</v>
      </c>
      <c r="H378" s="11" t="str">
        <f t="shared" si="40"/>
        <v>-</v>
      </c>
      <c r="I378" s="11" t="str">
        <f t="shared" si="43"/>
        <v>f (&gt;20%)</v>
      </c>
      <c r="J378" s="11" t="str">
        <f t="shared" si="44"/>
        <v>-</v>
      </c>
      <c r="K378" s="11" t="str">
        <f t="shared" si="45"/>
        <v>g (100%)</v>
      </c>
      <c r="N378" s="29"/>
      <c r="O378" s="29"/>
      <c r="P378" s="13" t="str">
        <f t="shared" si="46"/>
        <v>-</v>
      </c>
      <c r="Q378" s="11" t="str">
        <f t="shared" si="41"/>
        <v>e (&gt;28)</v>
      </c>
      <c r="R378" s="14"/>
      <c r="S378" s="14"/>
    </row>
    <row r="379" spans="7:19" x14ac:dyDescent="0.3">
      <c r="G379" s="10">
        <f t="shared" si="42"/>
        <v>0</v>
      </c>
      <c r="H379" s="11" t="str">
        <f t="shared" si="40"/>
        <v>-</v>
      </c>
      <c r="I379" s="11" t="str">
        <f t="shared" si="43"/>
        <v>f (&gt;20%)</v>
      </c>
      <c r="J379" s="11" t="str">
        <f t="shared" si="44"/>
        <v>-</v>
      </c>
      <c r="K379" s="11" t="str">
        <f t="shared" si="45"/>
        <v>g (100%)</v>
      </c>
      <c r="N379" s="29"/>
      <c r="O379" s="29"/>
      <c r="P379" s="13" t="str">
        <f t="shared" si="46"/>
        <v>-</v>
      </c>
      <c r="Q379" s="11" t="str">
        <f t="shared" si="41"/>
        <v>e (&gt;28)</v>
      </c>
      <c r="R379" s="14"/>
      <c r="S379" s="14"/>
    </row>
    <row r="380" spans="7:19" x14ac:dyDescent="0.3">
      <c r="G380" s="10">
        <f t="shared" si="42"/>
        <v>0</v>
      </c>
      <c r="H380" s="11" t="str">
        <f t="shared" si="40"/>
        <v>-</v>
      </c>
      <c r="I380" s="11" t="str">
        <f t="shared" si="43"/>
        <v>f (&gt;20%)</v>
      </c>
      <c r="J380" s="11" t="str">
        <f t="shared" si="44"/>
        <v>-</v>
      </c>
      <c r="K380" s="11" t="str">
        <f t="shared" si="45"/>
        <v>g (100%)</v>
      </c>
      <c r="N380" s="29"/>
      <c r="O380" s="29"/>
      <c r="P380" s="13" t="str">
        <f t="shared" si="46"/>
        <v>-</v>
      </c>
      <c r="Q380" s="11" t="str">
        <f t="shared" si="41"/>
        <v>e (&gt;28)</v>
      </c>
      <c r="R380" s="14"/>
      <c r="S380" s="14"/>
    </row>
    <row r="381" spans="7:19" x14ac:dyDescent="0.3">
      <c r="G381" s="10">
        <f t="shared" si="42"/>
        <v>0</v>
      </c>
      <c r="H381" s="11" t="str">
        <f t="shared" si="40"/>
        <v>-</v>
      </c>
      <c r="I381" s="11" t="str">
        <f t="shared" si="43"/>
        <v>f (&gt;20%)</v>
      </c>
      <c r="J381" s="11" t="str">
        <f t="shared" si="44"/>
        <v>-</v>
      </c>
      <c r="K381" s="11" t="str">
        <f t="shared" si="45"/>
        <v>g (100%)</v>
      </c>
      <c r="N381" s="29"/>
      <c r="O381" s="29"/>
      <c r="P381" s="13" t="str">
        <f t="shared" si="46"/>
        <v>-</v>
      </c>
      <c r="Q381" s="11" t="str">
        <f t="shared" si="41"/>
        <v>e (&gt;28)</v>
      </c>
      <c r="R381" s="14"/>
      <c r="S381" s="14"/>
    </row>
    <row r="382" spans="7:19" x14ac:dyDescent="0.3">
      <c r="G382" s="10">
        <f t="shared" si="42"/>
        <v>0</v>
      </c>
      <c r="H382" s="11" t="str">
        <f t="shared" si="40"/>
        <v>-</v>
      </c>
      <c r="I382" s="11" t="str">
        <f t="shared" si="43"/>
        <v>f (&gt;20%)</v>
      </c>
      <c r="J382" s="11" t="str">
        <f t="shared" si="44"/>
        <v>-</v>
      </c>
      <c r="K382" s="11" t="str">
        <f t="shared" si="45"/>
        <v>g (100%)</v>
      </c>
      <c r="N382" s="29"/>
      <c r="O382" s="29"/>
      <c r="P382" s="13" t="str">
        <f t="shared" si="46"/>
        <v>-</v>
      </c>
      <c r="Q382" s="11" t="str">
        <f t="shared" si="41"/>
        <v>e (&gt;28)</v>
      </c>
      <c r="R382" s="14"/>
      <c r="S382" s="14"/>
    </row>
    <row r="383" spans="7:19" x14ac:dyDescent="0.3">
      <c r="G383" s="10">
        <f t="shared" si="42"/>
        <v>0</v>
      </c>
      <c r="H383" s="11" t="str">
        <f t="shared" si="40"/>
        <v>-</v>
      </c>
      <c r="I383" s="11" t="str">
        <f t="shared" si="43"/>
        <v>f (&gt;20%)</v>
      </c>
      <c r="J383" s="11" t="str">
        <f t="shared" si="44"/>
        <v>-</v>
      </c>
      <c r="K383" s="11" t="str">
        <f t="shared" si="45"/>
        <v>g (100%)</v>
      </c>
      <c r="N383" s="29"/>
      <c r="O383" s="29"/>
      <c r="P383" s="13" t="str">
        <f t="shared" si="46"/>
        <v>-</v>
      </c>
      <c r="Q383" s="11" t="str">
        <f t="shared" si="41"/>
        <v>e (&gt;28)</v>
      </c>
      <c r="R383" s="14"/>
      <c r="S383" s="14"/>
    </row>
    <row r="384" spans="7:19" x14ac:dyDescent="0.3">
      <c r="G384" s="10">
        <f t="shared" si="42"/>
        <v>0</v>
      </c>
      <c r="H384" s="11" t="str">
        <f t="shared" si="40"/>
        <v>-</v>
      </c>
      <c r="I384" s="11" t="str">
        <f t="shared" si="43"/>
        <v>f (&gt;20%)</v>
      </c>
      <c r="J384" s="11" t="str">
        <f t="shared" si="44"/>
        <v>-</v>
      </c>
      <c r="K384" s="11" t="str">
        <f t="shared" si="45"/>
        <v>g (100%)</v>
      </c>
      <c r="N384" s="29"/>
      <c r="O384" s="29"/>
      <c r="P384" s="13" t="str">
        <f t="shared" si="46"/>
        <v>-</v>
      </c>
      <c r="Q384" s="11" t="str">
        <f t="shared" si="41"/>
        <v>e (&gt;28)</v>
      </c>
      <c r="R384" s="14"/>
      <c r="S384" s="14"/>
    </row>
    <row r="385" spans="7:19" x14ac:dyDescent="0.3">
      <c r="G385" s="10">
        <f t="shared" si="42"/>
        <v>0</v>
      </c>
      <c r="H385" s="11" t="str">
        <f t="shared" si="40"/>
        <v>-</v>
      </c>
      <c r="I385" s="11" t="str">
        <f t="shared" si="43"/>
        <v>f (&gt;20%)</v>
      </c>
      <c r="J385" s="11" t="str">
        <f t="shared" si="44"/>
        <v>-</v>
      </c>
      <c r="K385" s="11" t="str">
        <f t="shared" si="45"/>
        <v>g (100%)</v>
      </c>
      <c r="N385" s="29"/>
      <c r="O385" s="29"/>
      <c r="P385" s="13" t="str">
        <f t="shared" si="46"/>
        <v>-</v>
      </c>
      <c r="Q385" s="11" t="str">
        <f t="shared" si="41"/>
        <v>e (&gt;28)</v>
      </c>
      <c r="R385" s="14"/>
      <c r="S385" s="14"/>
    </row>
    <row r="386" spans="7:19" x14ac:dyDescent="0.3">
      <c r="G386" s="10">
        <f t="shared" si="42"/>
        <v>0</v>
      </c>
      <c r="H386" s="11" t="str">
        <f t="shared" si="40"/>
        <v>-</v>
      </c>
      <c r="I386" s="11" t="str">
        <f t="shared" si="43"/>
        <v>f (&gt;20%)</v>
      </c>
      <c r="J386" s="11" t="str">
        <f t="shared" si="44"/>
        <v>-</v>
      </c>
      <c r="K386" s="11" t="str">
        <f t="shared" si="45"/>
        <v>g (100%)</v>
      </c>
      <c r="N386" s="29"/>
      <c r="O386" s="29"/>
      <c r="P386" s="13" t="str">
        <f t="shared" si="46"/>
        <v>-</v>
      </c>
      <c r="Q386" s="11" t="str">
        <f t="shared" si="41"/>
        <v>e (&gt;28)</v>
      </c>
      <c r="R386" s="14"/>
      <c r="S386" s="14"/>
    </row>
    <row r="387" spans="7:19" x14ac:dyDescent="0.3">
      <c r="G387" s="10">
        <f t="shared" si="42"/>
        <v>0</v>
      </c>
      <c r="H387" s="11" t="str">
        <f t="shared" ref="H387:H450" si="47">IFERROR(G387/E387,"-")</f>
        <v>-</v>
      </c>
      <c r="I387" s="11" t="str">
        <f t="shared" si="43"/>
        <v>f (&gt;20%)</v>
      </c>
      <c r="J387" s="11" t="str">
        <f t="shared" si="44"/>
        <v>-</v>
      </c>
      <c r="K387" s="11" t="str">
        <f t="shared" si="45"/>
        <v>g (100%)</v>
      </c>
      <c r="N387" s="29"/>
      <c r="O387" s="29"/>
      <c r="P387" s="13" t="str">
        <f t="shared" si="46"/>
        <v>-</v>
      </c>
      <c r="Q387" s="11" t="str">
        <f t="shared" ref="Q387:Q450" si="48">IF(AND(P387&gt;0,P387&lt;=7),"a (0-7)",IF(AND(P387&gt;7,P387&lt;=14),"b (8-14)",IF(AND(P387&gt;14,P387&lt;=21),"c (15-21)",IF(AND(P387&gt;21,P387&lt;=28),"d (22-28)","e (&gt;28)"))))</f>
        <v>e (&gt;28)</v>
      </c>
      <c r="R387" s="14"/>
      <c r="S387" s="14"/>
    </row>
    <row r="388" spans="7:19" x14ac:dyDescent="0.3">
      <c r="G388" s="10">
        <f t="shared" si="42"/>
        <v>0</v>
      </c>
      <c r="H388" s="11" t="str">
        <f t="shared" si="47"/>
        <v>-</v>
      </c>
      <c r="I388" s="11" t="str">
        <f t="shared" si="43"/>
        <v>f (&gt;20%)</v>
      </c>
      <c r="J388" s="11" t="str">
        <f t="shared" si="44"/>
        <v>-</v>
      </c>
      <c r="K388" s="11" t="str">
        <f t="shared" si="45"/>
        <v>g (100%)</v>
      </c>
      <c r="N388" s="29"/>
      <c r="O388" s="29"/>
      <c r="P388" s="13" t="str">
        <f t="shared" si="46"/>
        <v>-</v>
      </c>
      <c r="Q388" s="11" t="str">
        <f t="shared" si="48"/>
        <v>e (&gt;28)</v>
      </c>
      <c r="R388" s="14"/>
      <c r="S388" s="14"/>
    </row>
    <row r="389" spans="7:19" x14ac:dyDescent="0.3">
      <c r="G389" s="10">
        <f t="shared" si="42"/>
        <v>0</v>
      </c>
      <c r="H389" s="11" t="str">
        <f t="shared" si="47"/>
        <v>-</v>
      </c>
      <c r="I389" s="11" t="str">
        <f t="shared" si="43"/>
        <v>f (&gt;20%)</v>
      </c>
      <c r="J389" s="11" t="str">
        <f t="shared" si="44"/>
        <v>-</v>
      </c>
      <c r="K389" s="11" t="str">
        <f t="shared" si="45"/>
        <v>g (100%)</v>
      </c>
      <c r="N389" s="29"/>
      <c r="O389" s="29"/>
      <c r="P389" s="13" t="str">
        <f t="shared" si="46"/>
        <v>-</v>
      </c>
      <c r="Q389" s="11" t="str">
        <f t="shared" si="48"/>
        <v>e (&gt;28)</v>
      </c>
      <c r="R389" s="14"/>
      <c r="S389" s="14"/>
    </row>
    <row r="390" spans="7:19" x14ac:dyDescent="0.3">
      <c r="G390" s="10">
        <f t="shared" si="42"/>
        <v>0</v>
      </c>
      <c r="H390" s="11" t="str">
        <f t="shared" si="47"/>
        <v>-</v>
      </c>
      <c r="I390" s="11" t="str">
        <f t="shared" si="43"/>
        <v>f (&gt;20%)</v>
      </c>
      <c r="J390" s="11" t="str">
        <f t="shared" si="44"/>
        <v>-</v>
      </c>
      <c r="K390" s="11" t="str">
        <f t="shared" si="45"/>
        <v>g (100%)</v>
      </c>
      <c r="N390" s="29"/>
      <c r="P390" s="13" t="str">
        <f t="shared" si="46"/>
        <v>-</v>
      </c>
      <c r="Q390" s="11" t="str">
        <f t="shared" si="48"/>
        <v>e (&gt;28)</v>
      </c>
      <c r="R390" s="14"/>
      <c r="S390" s="14"/>
    </row>
    <row r="391" spans="7:19" x14ac:dyDescent="0.3">
      <c r="G391" s="10">
        <f t="shared" si="42"/>
        <v>0</v>
      </c>
      <c r="H391" s="11" t="str">
        <f t="shared" si="47"/>
        <v>-</v>
      </c>
      <c r="I391" s="11" t="str">
        <f t="shared" si="43"/>
        <v>f (&gt;20%)</v>
      </c>
      <c r="J391" s="11" t="str">
        <f t="shared" si="44"/>
        <v>-</v>
      </c>
      <c r="K391" s="11" t="str">
        <f t="shared" si="45"/>
        <v>g (100%)</v>
      </c>
      <c r="N391" s="29"/>
      <c r="O391" s="29"/>
      <c r="P391" s="13" t="str">
        <f t="shared" si="46"/>
        <v>-</v>
      </c>
      <c r="Q391" s="11" t="str">
        <f t="shared" si="48"/>
        <v>e (&gt;28)</v>
      </c>
      <c r="R391" s="14"/>
      <c r="S391" s="14"/>
    </row>
    <row r="392" spans="7:19" x14ac:dyDescent="0.3">
      <c r="G392" s="10">
        <f t="shared" si="42"/>
        <v>0</v>
      </c>
      <c r="H392" s="11" t="str">
        <f t="shared" si="47"/>
        <v>-</v>
      </c>
      <c r="I392" s="11" t="str">
        <f t="shared" si="43"/>
        <v>f (&gt;20%)</v>
      </c>
      <c r="J392" s="11" t="str">
        <f t="shared" si="44"/>
        <v>-</v>
      </c>
      <c r="K392" s="11" t="str">
        <f t="shared" si="45"/>
        <v>g (100%)</v>
      </c>
      <c r="N392" s="29"/>
      <c r="O392" s="29"/>
      <c r="P392" s="13" t="str">
        <f t="shared" si="46"/>
        <v>-</v>
      </c>
      <c r="Q392" s="11" t="str">
        <f t="shared" si="48"/>
        <v>e (&gt;28)</v>
      </c>
      <c r="R392" s="14"/>
      <c r="S392" s="14"/>
    </row>
    <row r="393" spans="7:19" x14ac:dyDescent="0.3">
      <c r="G393" s="10">
        <f t="shared" si="42"/>
        <v>0</v>
      </c>
      <c r="H393" s="11" t="str">
        <f t="shared" si="47"/>
        <v>-</v>
      </c>
      <c r="I393" s="11" t="str">
        <f t="shared" si="43"/>
        <v>f (&gt;20%)</v>
      </c>
      <c r="J393" s="11" t="str">
        <f t="shared" si="44"/>
        <v>-</v>
      </c>
      <c r="K393" s="11" t="str">
        <f t="shared" si="45"/>
        <v>g (100%)</v>
      </c>
      <c r="N393" s="29"/>
      <c r="O393" s="29"/>
      <c r="P393" s="13" t="str">
        <f t="shared" si="46"/>
        <v>-</v>
      </c>
      <c r="Q393" s="11" t="str">
        <f t="shared" si="48"/>
        <v>e (&gt;28)</v>
      </c>
      <c r="R393" s="14"/>
      <c r="S393" s="14"/>
    </row>
    <row r="394" spans="7:19" x14ac:dyDescent="0.3">
      <c r="G394" s="10">
        <f t="shared" si="42"/>
        <v>0</v>
      </c>
      <c r="H394" s="11" t="str">
        <f t="shared" si="47"/>
        <v>-</v>
      </c>
      <c r="I394" s="11" t="str">
        <f t="shared" si="43"/>
        <v>f (&gt;20%)</v>
      </c>
      <c r="J394" s="11" t="str">
        <f t="shared" si="44"/>
        <v>-</v>
      </c>
      <c r="K394" s="11" t="str">
        <f t="shared" si="45"/>
        <v>g (100%)</v>
      </c>
      <c r="N394" s="29"/>
      <c r="O394" s="29"/>
      <c r="P394" s="13" t="str">
        <f t="shared" si="46"/>
        <v>-</v>
      </c>
      <c r="Q394" s="11" t="str">
        <f t="shared" si="48"/>
        <v>e (&gt;28)</v>
      </c>
      <c r="R394" s="14"/>
      <c r="S394" s="14"/>
    </row>
    <row r="395" spans="7:19" x14ac:dyDescent="0.3">
      <c r="G395" s="10">
        <f t="shared" si="42"/>
        <v>0</v>
      </c>
      <c r="H395" s="11" t="str">
        <f t="shared" si="47"/>
        <v>-</v>
      </c>
      <c r="I395" s="11" t="str">
        <f t="shared" si="43"/>
        <v>f (&gt;20%)</v>
      </c>
      <c r="J395" s="11" t="str">
        <f t="shared" si="44"/>
        <v>-</v>
      </c>
      <c r="K395" s="11" t="str">
        <f t="shared" si="45"/>
        <v>g (100%)</v>
      </c>
      <c r="N395" s="29"/>
      <c r="O395" s="29"/>
      <c r="P395" s="13" t="str">
        <f t="shared" si="46"/>
        <v>-</v>
      </c>
      <c r="Q395" s="11" t="str">
        <f t="shared" si="48"/>
        <v>e (&gt;28)</v>
      </c>
      <c r="R395" s="14"/>
      <c r="S395" s="14"/>
    </row>
    <row r="396" spans="7:19" x14ac:dyDescent="0.3">
      <c r="G396" s="10">
        <f t="shared" si="42"/>
        <v>0</v>
      </c>
      <c r="H396" s="11" t="str">
        <f t="shared" si="47"/>
        <v>-</v>
      </c>
      <c r="I396" s="11" t="str">
        <f t="shared" si="43"/>
        <v>f (&gt;20%)</v>
      </c>
      <c r="J396" s="11" t="str">
        <f t="shared" si="44"/>
        <v>-</v>
      </c>
      <c r="K396" s="11" t="str">
        <f t="shared" si="45"/>
        <v>g (100%)</v>
      </c>
      <c r="N396" s="29"/>
      <c r="O396" s="29"/>
      <c r="P396" s="13" t="str">
        <f t="shared" si="46"/>
        <v>-</v>
      </c>
      <c r="Q396" s="11" t="str">
        <f t="shared" si="48"/>
        <v>e (&gt;28)</v>
      </c>
      <c r="R396" s="14"/>
      <c r="S396" s="14"/>
    </row>
    <row r="397" spans="7:19" x14ac:dyDescent="0.3">
      <c r="G397" s="10">
        <f t="shared" si="42"/>
        <v>0</v>
      </c>
      <c r="H397" s="11" t="str">
        <f t="shared" si="47"/>
        <v>-</v>
      </c>
      <c r="I397" s="11" t="str">
        <f t="shared" si="43"/>
        <v>f (&gt;20%)</v>
      </c>
      <c r="J397" s="11" t="str">
        <f t="shared" si="44"/>
        <v>-</v>
      </c>
      <c r="K397" s="11" t="str">
        <f t="shared" si="45"/>
        <v>g (100%)</v>
      </c>
      <c r="N397" s="29"/>
      <c r="O397" s="29"/>
      <c r="P397" s="13" t="str">
        <f t="shared" si="46"/>
        <v>-</v>
      </c>
      <c r="Q397" s="11" t="str">
        <f t="shared" si="48"/>
        <v>e (&gt;28)</v>
      </c>
      <c r="R397" s="14"/>
      <c r="S397" s="14"/>
    </row>
    <row r="398" spans="7:19" x14ac:dyDescent="0.3">
      <c r="G398" s="10">
        <f t="shared" si="42"/>
        <v>0</v>
      </c>
      <c r="H398" s="11" t="str">
        <f t="shared" si="47"/>
        <v>-</v>
      </c>
      <c r="I398" s="11" t="str">
        <f t="shared" si="43"/>
        <v>f (&gt;20%)</v>
      </c>
      <c r="J398" s="11" t="str">
        <f t="shared" si="44"/>
        <v>-</v>
      </c>
      <c r="K398" s="11" t="str">
        <f t="shared" si="45"/>
        <v>g (100%)</v>
      </c>
      <c r="N398" s="29"/>
      <c r="O398" s="29"/>
      <c r="P398" s="13" t="str">
        <f t="shared" si="46"/>
        <v>-</v>
      </c>
      <c r="Q398" s="11" t="str">
        <f t="shared" si="48"/>
        <v>e (&gt;28)</v>
      </c>
      <c r="R398" s="14"/>
      <c r="S398" s="14"/>
    </row>
    <row r="399" spans="7:19" x14ac:dyDescent="0.3">
      <c r="G399" s="10">
        <f t="shared" si="42"/>
        <v>0</v>
      </c>
      <c r="H399" s="11" t="str">
        <f t="shared" si="47"/>
        <v>-</v>
      </c>
      <c r="I399" s="11" t="str">
        <f t="shared" si="43"/>
        <v>f (&gt;20%)</v>
      </c>
      <c r="J399" s="11" t="str">
        <f t="shared" si="44"/>
        <v>-</v>
      </c>
      <c r="K399" s="11" t="str">
        <f t="shared" si="45"/>
        <v>g (100%)</v>
      </c>
      <c r="N399" s="29"/>
      <c r="O399" s="29"/>
      <c r="P399" s="13" t="str">
        <f t="shared" si="46"/>
        <v>-</v>
      </c>
      <c r="Q399" s="11" t="str">
        <f t="shared" si="48"/>
        <v>e (&gt;28)</v>
      </c>
      <c r="R399" s="14"/>
      <c r="S399" s="14"/>
    </row>
    <row r="400" spans="7:19" x14ac:dyDescent="0.3">
      <c r="G400" s="10">
        <f t="shared" si="42"/>
        <v>0</v>
      </c>
      <c r="H400" s="11" t="str">
        <f t="shared" si="47"/>
        <v>-</v>
      </c>
      <c r="I400" s="11" t="str">
        <f t="shared" si="43"/>
        <v>f (&gt;20%)</v>
      </c>
      <c r="J400" s="11" t="str">
        <f t="shared" si="44"/>
        <v>-</v>
      </c>
      <c r="K400" s="11" t="str">
        <f t="shared" si="45"/>
        <v>g (100%)</v>
      </c>
      <c r="N400" s="29"/>
      <c r="O400" s="29"/>
      <c r="P400" s="13" t="str">
        <f t="shared" si="46"/>
        <v>-</v>
      </c>
      <c r="Q400" s="11" t="str">
        <f t="shared" si="48"/>
        <v>e (&gt;28)</v>
      </c>
      <c r="R400" s="14"/>
      <c r="S400" s="14"/>
    </row>
    <row r="401" spans="7:19" x14ac:dyDescent="0.3">
      <c r="G401" s="10">
        <f t="shared" si="42"/>
        <v>0</v>
      </c>
      <c r="H401" s="11" t="str">
        <f t="shared" si="47"/>
        <v>-</v>
      </c>
      <c r="I401" s="11" t="str">
        <f t="shared" si="43"/>
        <v>f (&gt;20%)</v>
      </c>
      <c r="J401" s="11" t="str">
        <f t="shared" si="44"/>
        <v>-</v>
      </c>
      <c r="K401" s="11" t="str">
        <f t="shared" si="45"/>
        <v>g (100%)</v>
      </c>
      <c r="N401" s="29"/>
      <c r="O401" s="29"/>
      <c r="P401" s="13" t="str">
        <f t="shared" si="46"/>
        <v>-</v>
      </c>
      <c r="Q401" s="11" t="str">
        <f t="shared" si="48"/>
        <v>e (&gt;28)</v>
      </c>
      <c r="R401" s="14"/>
      <c r="S401" s="14"/>
    </row>
    <row r="402" spans="7:19" x14ac:dyDescent="0.3">
      <c r="G402" s="10">
        <f t="shared" si="42"/>
        <v>0</v>
      </c>
      <c r="H402" s="11" t="str">
        <f t="shared" si="47"/>
        <v>-</v>
      </c>
      <c r="I402" s="11" t="str">
        <f t="shared" si="43"/>
        <v>f (&gt;20%)</v>
      </c>
      <c r="J402" s="11" t="str">
        <f t="shared" si="44"/>
        <v>-</v>
      </c>
      <c r="K402" s="11" t="str">
        <f t="shared" si="45"/>
        <v>g (100%)</v>
      </c>
      <c r="N402" s="29"/>
      <c r="O402" s="29"/>
      <c r="P402" s="13" t="str">
        <f t="shared" si="46"/>
        <v>-</v>
      </c>
      <c r="Q402" s="11" t="str">
        <f t="shared" si="48"/>
        <v>e (&gt;28)</v>
      </c>
      <c r="R402" s="14"/>
      <c r="S402" s="14"/>
    </row>
    <row r="403" spans="7:19" x14ac:dyDescent="0.3">
      <c r="G403" s="10">
        <f t="shared" si="42"/>
        <v>0</v>
      </c>
      <c r="H403" s="11" t="str">
        <f t="shared" si="47"/>
        <v>-</v>
      </c>
      <c r="I403" s="11" t="str">
        <f t="shared" si="43"/>
        <v>f (&gt;20%)</v>
      </c>
      <c r="J403" s="11" t="str">
        <f t="shared" si="44"/>
        <v>-</v>
      </c>
      <c r="K403" s="11" t="str">
        <f t="shared" si="45"/>
        <v>g (100%)</v>
      </c>
      <c r="N403" s="29"/>
      <c r="O403" s="29"/>
      <c r="P403" s="13" t="str">
        <f t="shared" si="46"/>
        <v>-</v>
      </c>
      <c r="Q403" s="11" t="str">
        <f t="shared" si="48"/>
        <v>e (&gt;28)</v>
      </c>
      <c r="R403" s="14"/>
      <c r="S403" s="14"/>
    </row>
    <row r="404" spans="7:19" x14ac:dyDescent="0.3">
      <c r="G404" s="10">
        <f t="shared" si="42"/>
        <v>0</v>
      </c>
      <c r="H404" s="11" t="str">
        <f t="shared" si="47"/>
        <v>-</v>
      </c>
      <c r="I404" s="11" t="str">
        <f t="shared" si="43"/>
        <v>f (&gt;20%)</v>
      </c>
      <c r="J404" s="11" t="str">
        <f t="shared" si="44"/>
        <v>-</v>
      </c>
      <c r="K404" s="11" t="str">
        <f t="shared" si="45"/>
        <v>g (100%)</v>
      </c>
      <c r="N404" s="29"/>
      <c r="O404" s="29"/>
      <c r="P404" s="13" t="str">
        <f t="shared" si="46"/>
        <v>-</v>
      </c>
      <c r="Q404" s="11" t="str">
        <f t="shared" si="48"/>
        <v>e (&gt;28)</v>
      </c>
      <c r="R404" s="14"/>
      <c r="S404" s="14"/>
    </row>
    <row r="405" spans="7:19" x14ac:dyDescent="0.3">
      <c r="G405" s="10">
        <f t="shared" si="42"/>
        <v>0</v>
      </c>
      <c r="H405" s="11" t="str">
        <f t="shared" si="47"/>
        <v>-</v>
      </c>
      <c r="I405" s="11" t="str">
        <f t="shared" si="43"/>
        <v>f (&gt;20%)</v>
      </c>
      <c r="J405" s="11" t="str">
        <f t="shared" si="44"/>
        <v>-</v>
      </c>
      <c r="K405" s="11" t="str">
        <f t="shared" si="45"/>
        <v>g (100%)</v>
      </c>
      <c r="N405" s="29"/>
      <c r="O405" s="29"/>
      <c r="P405" s="13" t="str">
        <f t="shared" si="46"/>
        <v>-</v>
      </c>
      <c r="Q405" s="11" t="str">
        <f t="shared" si="48"/>
        <v>e (&gt;28)</v>
      </c>
      <c r="R405" s="14"/>
      <c r="S405" s="14"/>
    </row>
    <row r="406" spans="7:19" x14ac:dyDescent="0.3">
      <c r="G406" s="10">
        <f t="shared" si="42"/>
        <v>0</v>
      </c>
      <c r="H406" s="11" t="str">
        <f t="shared" si="47"/>
        <v>-</v>
      </c>
      <c r="I406" s="11" t="str">
        <f t="shared" si="43"/>
        <v>f (&gt;20%)</v>
      </c>
      <c r="J406" s="11" t="str">
        <f t="shared" si="44"/>
        <v>-</v>
      </c>
      <c r="K406" s="11" t="str">
        <f t="shared" si="45"/>
        <v>g (100%)</v>
      </c>
      <c r="N406" s="29"/>
      <c r="O406" s="29"/>
      <c r="P406" s="13" t="str">
        <f t="shared" si="46"/>
        <v>-</v>
      </c>
      <c r="Q406" s="11" t="str">
        <f t="shared" si="48"/>
        <v>e (&gt;28)</v>
      </c>
      <c r="R406" s="14"/>
      <c r="S406" s="14"/>
    </row>
    <row r="407" spans="7:19" x14ac:dyDescent="0.3">
      <c r="G407" s="10">
        <f t="shared" si="42"/>
        <v>0</v>
      </c>
      <c r="H407" s="11" t="str">
        <f t="shared" si="47"/>
        <v>-</v>
      </c>
      <c r="I407" s="11" t="str">
        <f t="shared" si="43"/>
        <v>f (&gt;20%)</v>
      </c>
      <c r="J407" s="11" t="str">
        <f t="shared" si="44"/>
        <v>-</v>
      </c>
      <c r="K407" s="11" t="str">
        <f t="shared" si="45"/>
        <v>g (100%)</v>
      </c>
      <c r="N407" s="29"/>
      <c r="O407" s="29"/>
      <c r="P407" s="13" t="str">
        <f t="shared" si="46"/>
        <v>-</v>
      </c>
      <c r="Q407" s="11" t="str">
        <f t="shared" si="48"/>
        <v>e (&gt;28)</v>
      </c>
      <c r="R407" s="14"/>
      <c r="S407" s="14"/>
    </row>
    <row r="408" spans="7:19" x14ac:dyDescent="0.3">
      <c r="G408" s="10">
        <f t="shared" si="42"/>
        <v>0</v>
      </c>
      <c r="H408" s="11" t="str">
        <f t="shared" si="47"/>
        <v>-</v>
      </c>
      <c r="I408" s="11" t="str">
        <f t="shared" si="43"/>
        <v>f (&gt;20%)</v>
      </c>
      <c r="J408" s="11" t="str">
        <f t="shared" si="44"/>
        <v>-</v>
      </c>
      <c r="K408" s="11" t="str">
        <f t="shared" si="45"/>
        <v>g (100%)</v>
      </c>
      <c r="N408" s="29"/>
      <c r="P408" s="13" t="str">
        <f t="shared" si="46"/>
        <v>-</v>
      </c>
      <c r="Q408" s="11" t="str">
        <f t="shared" si="48"/>
        <v>e (&gt;28)</v>
      </c>
      <c r="R408" s="14"/>
      <c r="S408" s="14"/>
    </row>
    <row r="409" spans="7:19" x14ac:dyDescent="0.3">
      <c r="G409" s="10">
        <f t="shared" si="42"/>
        <v>0</v>
      </c>
      <c r="H409" s="11" t="str">
        <f t="shared" si="47"/>
        <v>-</v>
      </c>
      <c r="I409" s="11" t="str">
        <f t="shared" si="43"/>
        <v>f (&gt;20%)</v>
      </c>
      <c r="J409" s="11" t="str">
        <f t="shared" si="44"/>
        <v>-</v>
      </c>
      <c r="K409" s="11" t="str">
        <f t="shared" si="45"/>
        <v>g (100%)</v>
      </c>
      <c r="N409" s="29"/>
      <c r="O409" s="29"/>
      <c r="P409" s="13" t="str">
        <f t="shared" si="46"/>
        <v>-</v>
      </c>
      <c r="Q409" s="11" t="str">
        <f t="shared" si="48"/>
        <v>e (&gt;28)</v>
      </c>
      <c r="R409" s="14"/>
      <c r="S409" s="14"/>
    </row>
    <row r="410" spans="7:19" x14ac:dyDescent="0.3">
      <c r="G410" s="10">
        <f t="shared" si="42"/>
        <v>0</v>
      </c>
      <c r="H410" s="11" t="str">
        <f t="shared" si="47"/>
        <v>-</v>
      </c>
      <c r="I410" s="11" t="str">
        <f t="shared" si="43"/>
        <v>f (&gt;20%)</v>
      </c>
      <c r="J410" s="11" t="str">
        <f t="shared" si="44"/>
        <v>-</v>
      </c>
      <c r="K410" s="11" t="str">
        <f t="shared" si="45"/>
        <v>g (100%)</v>
      </c>
      <c r="N410" s="29"/>
      <c r="O410" s="29"/>
      <c r="P410" s="13" t="str">
        <f t="shared" si="46"/>
        <v>-</v>
      </c>
      <c r="Q410" s="11" t="str">
        <f t="shared" si="48"/>
        <v>e (&gt;28)</v>
      </c>
      <c r="R410" s="14"/>
      <c r="S410" s="14"/>
    </row>
    <row r="411" spans="7:19" x14ac:dyDescent="0.3">
      <c r="G411" s="10">
        <f t="shared" si="42"/>
        <v>0</v>
      </c>
      <c r="H411" s="11" t="str">
        <f t="shared" si="47"/>
        <v>-</v>
      </c>
      <c r="I411" s="11" t="str">
        <f t="shared" si="43"/>
        <v>f (&gt;20%)</v>
      </c>
      <c r="J411" s="11" t="str">
        <f t="shared" si="44"/>
        <v>-</v>
      </c>
      <c r="K411" s="11" t="str">
        <f t="shared" si="45"/>
        <v>g (100%)</v>
      </c>
      <c r="N411" s="29"/>
      <c r="O411" s="29"/>
      <c r="P411" s="13" t="str">
        <f t="shared" si="46"/>
        <v>-</v>
      </c>
      <c r="Q411" s="11" t="str">
        <f t="shared" si="48"/>
        <v>e (&gt;28)</v>
      </c>
      <c r="R411" s="14"/>
      <c r="S411" s="14"/>
    </row>
    <row r="412" spans="7:19" x14ac:dyDescent="0.3">
      <c r="G412" s="10">
        <f t="shared" si="42"/>
        <v>0</v>
      </c>
      <c r="H412" s="11" t="str">
        <f t="shared" si="47"/>
        <v>-</v>
      </c>
      <c r="I412" s="11" t="str">
        <f t="shared" si="43"/>
        <v>f (&gt;20%)</v>
      </c>
      <c r="J412" s="11" t="str">
        <f t="shared" si="44"/>
        <v>-</v>
      </c>
      <c r="K412" s="11" t="str">
        <f t="shared" si="45"/>
        <v>g (100%)</v>
      </c>
      <c r="N412" s="29"/>
      <c r="O412" s="29"/>
      <c r="P412" s="13" t="str">
        <f t="shared" si="46"/>
        <v>-</v>
      </c>
      <c r="Q412" s="11" t="str">
        <f t="shared" si="48"/>
        <v>e (&gt;28)</v>
      </c>
      <c r="R412" s="14"/>
      <c r="S412" s="14"/>
    </row>
    <row r="413" spans="7:19" x14ac:dyDescent="0.3">
      <c r="G413" s="10">
        <f t="shared" si="42"/>
        <v>0</v>
      </c>
      <c r="H413" s="11" t="str">
        <f t="shared" si="47"/>
        <v>-</v>
      </c>
      <c r="I413" s="11" t="str">
        <f t="shared" si="43"/>
        <v>f (&gt;20%)</v>
      </c>
      <c r="J413" s="11" t="str">
        <f t="shared" si="44"/>
        <v>-</v>
      </c>
      <c r="K413" s="11" t="str">
        <f t="shared" si="45"/>
        <v>g (100%)</v>
      </c>
      <c r="N413" s="29"/>
      <c r="O413" s="29"/>
      <c r="P413" s="13" t="str">
        <f t="shared" si="46"/>
        <v>-</v>
      </c>
      <c r="Q413" s="11" t="str">
        <f t="shared" si="48"/>
        <v>e (&gt;28)</v>
      </c>
      <c r="R413" s="14"/>
      <c r="S413" s="14"/>
    </row>
    <row r="414" spans="7:19" x14ac:dyDescent="0.3">
      <c r="G414" s="10">
        <f t="shared" si="42"/>
        <v>0</v>
      </c>
      <c r="H414" s="11" t="str">
        <f t="shared" si="47"/>
        <v>-</v>
      </c>
      <c r="I414" s="11" t="str">
        <f t="shared" si="43"/>
        <v>f (&gt;20%)</v>
      </c>
      <c r="J414" s="11" t="str">
        <f t="shared" si="44"/>
        <v>-</v>
      </c>
      <c r="K414" s="11" t="str">
        <f t="shared" si="45"/>
        <v>g (100%)</v>
      </c>
      <c r="N414" s="29"/>
      <c r="O414" s="29"/>
      <c r="P414" s="13" t="str">
        <f t="shared" si="46"/>
        <v>-</v>
      </c>
      <c r="Q414" s="11" t="str">
        <f t="shared" si="48"/>
        <v>e (&gt;28)</v>
      </c>
      <c r="R414" s="14"/>
      <c r="S414" s="14"/>
    </row>
    <row r="415" spans="7:19" x14ac:dyDescent="0.3">
      <c r="G415" s="10">
        <f t="shared" si="42"/>
        <v>0</v>
      </c>
      <c r="H415" s="11" t="str">
        <f t="shared" si="47"/>
        <v>-</v>
      </c>
      <c r="I415" s="11" t="str">
        <f t="shared" si="43"/>
        <v>f (&gt;20%)</v>
      </c>
      <c r="J415" s="11" t="str">
        <f t="shared" si="44"/>
        <v>-</v>
      </c>
      <c r="K415" s="11" t="str">
        <f t="shared" si="45"/>
        <v>g (100%)</v>
      </c>
      <c r="N415" s="29"/>
      <c r="O415" s="29"/>
      <c r="P415" s="13" t="str">
        <f t="shared" si="46"/>
        <v>-</v>
      </c>
      <c r="Q415" s="11" t="str">
        <f t="shared" si="48"/>
        <v>e (&gt;28)</v>
      </c>
      <c r="R415" s="14"/>
      <c r="S415" s="14"/>
    </row>
    <row r="416" spans="7:19" x14ac:dyDescent="0.3">
      <c r="G416" s="10">
        <f t="shared" si="42"/>
        <v>0</v>
      </c>
      <c r="H416" s="11" t="str">
        <f t="shared" si="47"/>
        <v>-</v>
      </c>
      <c r="I416" s="11" t="str">
        <f t="shared" si="43"/>
        <v>f (&gt;20%)</v>
      </c>
      <c r="J416" s="11" t="str">
        <f t="shared" si="44"/>
        <v>-</v>
      </c>
      <c r="K416" s="11" t="str">
        <f t="shared" si="45"/>
        <v>g (100%)</v>
      </c>
      <c r="N416" s="29"/>
      <c r="O416" s="29"/>
      <c r="P416" s="13" t="str">
        <f t="shared" si="46"/>
        <v>-</v>
      </c>
      <c r="Q416" s="11" t="str">
        <f t="shared" si="48"/>
        <v>e (&gt;28)</v>
      </c>
      <c r="R416" s="14"/>
      <c r="S416" s="14"/>
    </row>
    <row r="417" spans="7:19" x14ac:dyDescent="0.3">
      <c r="G417" s="10">
        <f t="shared" si="42"/>
        <v>0</v>
      </c>
      <c r="H417" s="11" t="str">
        <f t="shared" si="47"/>
        <v>-</v>
      </c>
      <c r="I417" s="11" t="str">
        <f t="shared" si="43"/>
        <v>f (&gt;20%)</v>
      </c>
      <c r="J417" s="11" t="str">
        <f t="shared" si="44"/>
        <v>-</v>
      </c>
      <c r="K417" s="11" t="str">
        <f t="shared" si="45"/>
        <v>g (100%)</v>
      </c>
      <c r="N417" s="29"/>
      <c r="O417" s="29"/>
      <c r="P417" s="13" t="str">
        <f t="shared" si="46"/>
        <v>-</v>
      </c>
      <c r="Q417" s="11" t="str">
        <f t="shared" si="48"/>
        <v>e (&gt;28)</v>
      </c>
      <c r="R417" s="14"/>
      <c r="S417" s="14"/>
    </row>
    <row r="418" spans="7:19" x14ac:dyDescent="0.3">
      <c r="G418" s="10">
        <f t="shared" si="42"/>
        <v>0</v>
      </c>
      <c r="H418" s="11" t="str">
        <f t="shared" si="47"/>
        <v>-</v>
      </c>
      <c r="I418" s="11" t="str">
        <f t="shared" si="43"/>
        <v>f (&gt;20%)</v>
      </c>
      <c r="J418" s="11" t="str">
        <f t="shared" si="44"/>
        <v>-</v>
      </c>
      <c r="K418" s="11" t="str">
        <f t="shared" si="45"/>
        <v>g (100%)</v>
      </c>
      <c r="N418" s="29"/>
      <c r="P418" s="13" t="str">
        <f t="shared" si="46"/>
        <v>-</v>
      </c>
      <c r="Q418" s="11" t="str">
        <f t="shared" si="48"/>
        <v>e (&gt;28)</v>
      </c>
      <c r="R418" s="14"/>
      <c r="S418" s="14"/>
    </row>
    <row r="419" spans="7:19" x14ac:dyDescent="0.3">
      <c r="G419" s="10">
        <f t="shared" si="42"/>
        <v>0</v>
      </c>
      <c r="H419" s="11" t="str">
        <f t="shared" si="47"/>
        <v>-</v>
      </c>
      <c r="I419" s="11" t="str">
        <f t="shared" si="43"/>
        <v>f (&gt;20%)</v>
      </c>
      <c r="J419" s="11" t="str">
        <f t="shared" si="44"/>
        <v>-</v>
      </c>
      <c r="K419" s="11" t="str">
        <f t="shared" si="45"/>
        <v>g (100%)</v>
      </c>
      <c r="N419" s="29"/>
      <c r="P419" s="13" t="str">
        <f t="shared" si="46"/>
        <v>-</v>
      </c>
      <c r="Q419" s="11" t="str">
        <f t="shared" si="48"/>
        <v>e (&gt;28)</v>
      </c>
      <c r="R419" s="14"/>
      <c r="S419" s="14"/>
    </row>
    <row r="420" spans="7:19" x14ac:dyDescent="0.3">
      <c r="G420" s="10">
        <f t="shared" si="42"/>
        <v>0</v>
      </c>
      <c r="H420" s="11" t="str">
        <f t="shared" si="47"/>
        <v>-</v>
      </c>
      <c r="I420" s="11" t="str">
        <f t="shared" si="43"/>
        <v>f (&gt;20%)</v>
      </c>
      <c r="J420" s="11" t="str">
        <f t="shared" si="44"/>
        <v>-</v>
      </c>
      <c r="K420" s="11" t="str">
        <f t="shared" si="45"/>
        <v>g (100%)</v>
      </c>
      <c r="N420" s="29"/>
      <c r="O420" s="29"/>
      <c r="P420" s="13" t="str">
        <f t="shared" si="46"/>
        <v>-</v>
      </c>
      <c r="Q420" s="11" t="str">
        <f t="shared" si="48"/>
        <v>e (&gt;28)</v>
      </c>
      <c r="R420" s="14"/>
      <c r="S420" s="14"/>
    </row>
    <row r="421" spans="7:19" x14ac:dyDescent="0.3">
      <c r="G421" s="10">
        <f t="shared" si="42"/>
        <v>0</v>
      </c>
      <c r="H421" s="11" t="str">
        <f t="shared" si="47"/>
        <v>-</v>
      </c>
      <c r="I421" s="11" t="str">
        <f t="shared" si="43"/>
        <v>f (&gt;20%)</v>
      </c>
      <c r="J421" s="11" t="str">
        <f t="shared" si="44"/>
        <v>-</v>
      </c>
      <c r="K421" s="11" t="str">
        <f t="shared" si="45"/>
        <v>g (100%)</v>
      </c>
      <c r="N421" s="29"/>
      <c r="P421" s="13" t="str">
        <f t="shared" si="46"/>
        <v>-</v>
      </c>
      <c r="Q421" s="11" t="str">
        <f t="shared" si="48"/>
        <v>e (&gt;28)</v>
      </c>
      <c r="R421" s="14"/>
      <c r="S421" s="14"/>
    </row>
    <row r="422" spans="7:19" x14ac:dyDescent="0.3">
      <c r="G422" s="10">
        <f t="shared" si="42"/>
        <v>0</v>
      </c>
      <c r="H422" s="11" t="str">
        <f t="shared" si="47"/>
        <v>-</v>
      </c>
      <c r="I422" s="11" t="str">
        <f t="shared" si="43"/>
        <v>f (&gt;20%)</v>
      </c>
      <c r="J422" s="11" t="str">
        <f t="shared" si="44"/>
        <v>-</v>
      </c>
      <c r="K422" s="11" t="str">
        <f t="shared" si="45"/>
        <v>g (100%)</v>
      </c>
      <c r="N422" s="29"/>
      <c r="O422" s="29"/>
      <c r="P422" s="13" t="str">
        <f t="shared" si="46"/>
        <v>-</v>
      </c>
      <c r="Q422" s="11" t="str">
        <f t="shared" si="48"/>
        <v>e (&gt;28)</v>
      </c>
      <c r="R422" s="14"/>
      <c r="S422" s="14"/>
    </row>
    <row r="423" spans="7:19" x14ac:dyDescent="0.3">
      <c r="G423" s="10">
        <f t="shared" si="42"/>
        <v>0</v>
      </c>
      <c r="H423" s="11" t="str">
        <f t="shared" si="47"/>
        <v>-</v>
      </c>
      <c r="I423" s="11" t="str">
        <f t="shared" si="43"/>
        <v>f (&gt;20%)</v>
      </c>
      <c r="J423" s="11" t="str">
        <f t="shared" si="44"/>
        <v>-</v>
      </c>
      <c r="K423" s="11" t="str">
        <f t="shared" si="45"/>
        <v>g (100%)</v>
      </c>
      <c r="N423" s="29"/>
      <c r="O423" s="29"/>
      <c r="P423" s="13" t="str">
        <f t="shared" si="46"/>
        <v>-</v>
      </c>
      <c r="Q423" s="11" t="str">
        <f t="shared" si="48"/>
        <v>e (&gt;28)</v>
      </c>
      <c r="R423" s="14"/>
      <c r="S423" s="14"/>
    </row>
    <row r="424" spans="7:19" x14ac:dyDescent="0.3">
      <c r="G424" s="10">
        <f t="shared" si="42"/>
        <v>0</v>
      </c>
      <c r="H424" s="11" t="str">
        <f t="shared" si="47"/>
        <v>-</v>
      </c>
      <c r="I424" s="11" t="str">
        <f t="shared" si="43"/>
        <v>f (&gt;20%)</v>
      </c>
      <c r="J424" s="11" t="str">
        <f t="shared" si="44"/>
        <v>-</v>
      </c>
      <c r="K424" s="11" t="str">
        <f t="shared" si="45"/>
        <v>g (100%)</v>
      </c>
      <c r="N424" s="29"/>
      <c r="O424" s="29"/>
      <c r="P424" s="13" t="str">
        <f t="shared" si="46"/>
        <v>-</v>
      </c>
      <c r="Q424" s="11" t="str">
        <f t="shared" si="48"/>
        <v>e (&gt;28)</v>
      </c>
      <c r="R424" s="14"/>
      <c r="S424" s="14"/>
    </row>
    <row r="425" spans="7:19" x14ac:dyDescent="0.3">
      <c r="G425" s="10">
        <f t="shared" si="42"/>
        <v>0</v>
      </c>
      <c r="H425" s="11" t="str">
        <f t="shared" si="47"/>
        <v>-</v>
      </c>
      <c r="I425" s="11" t="str">
        <f t="shared" si="43"/>
        <v>f (&gt;20%)</v>
      </c>
      <c r="J425" s="11" t="str">
        <f t="shared" si="44"/>
        <v>-</v>
      </c>
      <c r="K425" s="11" t="str">
        <f t="shared" si="45"/>
        <v>g (100%)</v>
      </c>
      <c r="N425" s="29"/>
      <c r="O425" s="29"/>
      <c r="P425" s="13" t="str">
        <f t="shared" si="46"/>
        <v>-</v>
      </c>
      <c r="Q425" s="11" t="str">
        <f t="shared" si="48"/>
        <v>e (&gt;28)</v>
      </c>
      <c r="R425" s="14"/>
      <c r="S425" s="14"/>
    </row>
    <row r="426" spans="7:19" x14ac:dyDescent="0.3">
      <c r="G426" s="10">
        <f t="shared" ref="G426:G489" si="49">E426-F426</f>
        <v>0</v>
      </c>
      <c r="H426" s="11" t="str">
        <f t="shared" si="47"/>
        <v>-</v>
      </c>
      <c r="I426" s="11" t="str">
        <f t="shared" ref="I426:I489" si="50">IF(H426=0%,"a (0%)",IF(AND(H426&gt;0%,H426&lt;=5%),"b (0%-5%)",IF(AND(H426&gt;5%,H426&lt;=10%),"c (5%-10%)",IF(AND(H426&gt;10%,H426&lt;=15%),"d (10%-15%)",IF(AND(H426&gt;15%,H426&lt;=20%),"e (15%-20%)","f (&gt;20%)")))))</f>
        <v>f (&gt;20%)</v>
      </c>
      <c r="J426" s="11" t="str">
        <f t="shared" ref="J426:J489" si="51">IFERROR(F426/D426,"-")</f>
        <v>-</v>
      </c>
      <c r="K426" s="11" t="str">
        <f t="shared" ref="K426:K489" si="52">IF(J426=0%,"a (0%)",IF(AND(J426&gt;0%,J426&lt;=20%),"b (0%-20%)",IF(AND(J426&gt;20%,J426&lt;=40%),"c (20%-40%)",IF(AND(J426&gt;40%,J426&lt;=60%),"d (40%-60%)",IF(AND(J426&gt;60%,J426&lt;=80%),"e (60%-80%)",IF(AND(J426&gt;80%,J426&lt;100%),"f (80%-99%)","g (100%)"))))))</f>
        <v>g (100%)</v>
      </c>
      <c r="N426" s="29"/>
      <c r="O426" s="29"/>
      <c r="P426" s="13" t="str">
        <f t="shared" ref="P426:P489" si="53">IFERROR(IF(N426="","-",DATEDIF(N426,O426,"d")),0)</f>
        <v>-</v>
      </c>
      <c r="Q426" s="11" t="str">
        <f t="shared" si="48"/>
        <v>e (&gt;28)</v>
      </c>
      <c r="R426" s="14"/>
      <c r="S426" s="14"/>
    </row>
    <row r="427" spans="7:19" x14ac:dyDescent="0.3">
      <c r="G427" s="10">
        <f t="shared" si="49"/>
        <v>0</v>
      </c>
      <c r="H427" s="11" t="str">
        <f t="shared" si="47"/>
        <v>-</v>
      </c>
      <c r="I427" s="11" t="str">
        <f t="shared" si="50"/>
        <v>f (&gt;20%)</v>
      </c>
      <c r="J427" s="11" t="str">
        <f t="shared" si="51"/>
        <v>-</v>
      </c>
      <c r="K427" s="11" t="str">
        <f t="shared" si="52"/>
        <v>g (100%)</v>
      </c>
      <c r="N427" s="29"/>
      <c r="O427" s="29"/>
      <c r="P427" s="13" t="str">
        <f t="shared" si="53"/>
        <v>-</v>
      </c>
      <c r="Q427" s="11" t="str">
        <f t="shared" si="48"/>
        <v>e (&gt;28)</v>
      </c>
      <c r="R427" s="14"/>
      <c r="S427" s="14"/>
    </row>
    <row r="428" spans="7:19" x14ac:dyDescent="0.3">
      <c r="G428" s="10">
        <f t="shared" si="49"/>
        <v>0</v>
      </c>
      <c r="H428" s="11" t="str">
        <f t="shared" si="47"/>
        <v>-</v>
      </c>
      <c r="I428" s="11" t="str">
        <f t="shared" si="50"/>
        <v>f (&gt;20%)</v>
      </c>
      <c r="J428" s="11" t="str">
        <f t="shared" si="51"/>
        <v>-</v>
      </c>
      <c r="K428" s="11" t="str">
        <f t="shared" si="52"/>
        <v>g (100%)</v>
      </c>
      <c r="N428" s="29"/>
      <c r="P428" s="13" t="str">
        <f t="shared" si="53"/>
        <v>-</v>
      </c>
      <c r="Q428" s="11" t="str">
        <f t="shared" si="48"/>
        <v>e (&gt;28)</v>
      </c>
      <c r="R428" s="14"/>
      <c r="S428" s="14"/>
    </row>
    <row r="429" spans="7:19" x14ac:dyDescent="0.3">
      <c r="G429" s="10">
        <f t="shared" si="49"/>
        <v>0</v>
      </c>
      <c r="H429" s="11" t="str">
        <f t="shared" si="47"/>
        <v>-</v>
      </c>
      <c r="I429" s="11" t="str">
        <f t="shared" si="50"/>
        <v>f (&gt;20%)</v>
      </c>
      <c r="J429" s="11" t="str">
        <f t="shared" si="51"/>
        <v>-</v>
      </c>
      <c r="K429" s="11" t="str">
        <f t="shared" si="52"/>
        <v>g (100%)</v>
      </c>
      <c r="N429" s="29"/>
      <c r="O429" s="29"/>
      <c r="P429" s="13" t="str">
        <f t="shared" si="53"/>
        <v>-</v>
      </c>
      <c r="Q429" s="11" t="str">
        <f t="shared" si="48"/>
        <v>e (&gt;28)</v>
      </c>
      <c r="R429" s="14"/>
      <c r="S429" s="14"/>
    </row>
    <row r="430" spans="7:19" x14ac:dyDescent="0.3">
      <c r="G430" s="10">
        <f t="shared" si="49"/>
        <v>0</v>
      </c>
      <c r="H430" s="11" t="str">
        <f t="shared" si="47"/>
        <v>-</v>
      </c>
      <c r="I430" s="11" t="str">
        <f t="shared" si="50"/>
        <v>f (&gt;20%)</v>
      </c>
      <c r="J430" s="11" t="str">
        <f t="shared" si="51"/>
        <v>-</v>
      </c>
      <c r="K430" s="11" t="str">
        <f t="shared" si="52"/>
        <v>g (100%)</v>
      </c>
      <c r="N430" s="29"/>
      <c r="P430" s="13" t="str">
        <f t="shared" si="53"/>
        <v>-</v>
      </c>
      <c r="Q430" s="11" t="str">
        <f t="shared" si="48"/>
        <v>e (&gt;28)</v>
      </c>
      <c r="R430" s="14"/>
      <c r="S430" s="14"/>
    </row>
    <row r="431" spans="7:19" x14ac:dyDescent="0.3">
      <c r="G431" s="10">
        <f t="shared" si="49"/>
        <v>0</v>
      </c>
      <c r="H431" s="11" t="str">
        <f t="shared" si="47"/>
        <v>-</v>
      </c>
      <c r="I431" s="11" t="str">
        <f t="shared" si="50"/>
        <v>f (&gt;20%)</v>
      </c>
      <c r="J431" s="11" t="str">
        <f t="shared" si="51"/>
        <v>-</v>
      </c>
      <c r="K431" s="11" t="str">
        <f t="shared" si="52"/>
        <v>g (100%)</v>
      </c>
      <c r="N431" s="29"/>
      <c r="O431" s="29"/>
      <c r="P431" s="13" t="str">
        <f t="shared" si="53"/>
        <v>-</v>
      </c>
      <c r="Q431" s="11" t="str">
        <f t="shared" si="48"/>
        <v>e (&gt;28)</v>
      </c>
      <c r="R431" s="14"/>
      <c r="S431" s="14"/>
    </row>
    <row r="432" spans="7:19" x14ac:dyDescent="0.3">
      <c r="G432" s="10">
        <f t="shared" si="49"/>
        <v>0</v>
      </c>
      <c r="H432" s="11" t="str">
        <f t="shared" si="47"/>
        <v>-</v>
      </c>
      <c r="I432" s="11" t="str">
        <f t="shared" si="50"/>
        <v>f (&gt;20%)</v>
      </c>
      <c r="J432" s="11" t="str">
        <f t="shared" si="51"/>
        <v>-</v>
      </c>
      <c r="K432" s="11" t="str">
        <f t="shared" si="52"/>
        <v>g (100%)</v>
      </c>
      <c r="N432" s="29"/>
      <c r="P432" s="13" t="str">
        <f t="shared" si="53"/>
        <v>-</v>
      </c>
      <c r="Q432" s="11" t="str">
        <f t="shared" si="48"/>
        <v>e (&gt;28)</v>
      </c>
      <c r="R432" s="14"/>
      <c r="S432" s="14"/>
    </row>
    <row r="433" spans="7:19" x14ac:dyDescent="0.3">
      <c r="G433" s="10">
        <f t="shared" si="49"/>
        <v>0</v>
      </c>
      <c r="H433" s="11" t="str">
        <f t="shared" si="47"/>
        <v>-</v>
      </c>
      <c r="I433" s="11" t="str">
        <f t="shared" si="50"/>
        <v>f (&gt;20%)</v>
      </c>
      <c r="J433" s="11" t="str">
        <f t="shared" si="51"/>
        <v>-</v>
      </c>
      <c r="K433" s="11" t="str">
        <f t="shared" si="52"/>
        <v>g (100%)</v>
      </c>
      <c r="N433" s="29"/>
      <c r="O433" s="29"/>
      <c r="P433" s="13" t="str">
        <f t="shared" si="53"/>
        <v>-</v>
      </c>
      <c r="Q433" s="11" t="str">
        <f t="shared" si="48"/>
        <v>e (&gt;28)</v>
      </c>
      <c r="R433" s="14"/>
      <c r="S433" s="14"/>
    </row>
    <row r="434" spans="7:19" x14ac:dyDescent="0.3">
      <c r="G434" s="10">
        <f t="shared" si="49"/>
        <v>0</v>
      </c>
      <c r="H434" s="11" t="str">
        <f t="shared" si="47"/>
        <v>-</v>
      </c>
      <c r="I434" s="11" t="str">
        <f t="shared" si="50"/>
        <v>f (&gt;20%)</v>
      </c>
      <c r="J434" s="11" t="str">
        <f t="shared" si="51"/>
        <v>-</v>
      </c>
      <c r="K434" s="11" t="str">
        <f t="shared" si="52"/>
        <v>g (100%)</v>
      </c>
      <c r="N434" s="29"/>
      <c r="O434" s="29"/>
      <c r="P434" s="13" t="str">
        <f t="shared" si="53"/>
        <v>-</v>
      </c>
      <c r="Q434" s="11" t="str">
        <f t="shared" si="48"/>
        <v>e (&gt;28)</v>
      </c>
      <c r="R434" s="14"/>
      <c r="S434" s="14"/>
    </row>
    <row r="435" spans="7:19" x14ac:dyDescent="0.3">
      <c r="G435" s="10">
        <f t="shared" si="49"/>
        <v>0</v>
      </c>
      <c r="H435" s="11" t="str">
        <f t="shared" si="47"/>
        <v>-</v>
      </c>
      <c r="I435" s="11" t="str">
        <f t="shared" si="50"/>
        <v>f (&gt;20%)</v>
      </c>
      <c r="J435" s="11" t="str">
        <f t="shared" si="51"/>
        <v>-</v>
      </c>
      <c r="K435" s="11" t="str">
        <f t="shared" si="52"/>
        <v>g (100%)</v>
      </c>
      <c r="N435" s="29"/>
      <c r="O435" s="29"/>
      <c r="P435" s="13" t="str">
        <f t="shared" si="53"/>
        <v>-</v>
      </c>
      <c r="Q435" s="11" t="str">
        <f t="shared" si="48"/>
        <v>e (&gt;28)</v>
      </c>
      <c r="R435" s="14"/>
      <c r="S435" s="14"/>
    </row>
    <row r="436" spans="7:19" x14ac:dyDescent="0.3">
      <c r="G436" s="10">
        <f t="shared" si="49"/>
        <v>0</v>
      </c>
      <c r="H436" s="11" t="str">
        <f t="shared" si="47"/>
        <v>-</v>
      </c>
      <c r="I436" s="11" t="str">
        <f t="shared" si="50"/>
        <v>f (&gt;20%)</v>
      </c>
      <c r="J436" s="11" t="str">
        <f t="shared" si="51"/>
        <v>-</v>
      </c>
      <c r="K436" s="11" t="str">
        <f t="shared" si="52"/>
        <v>g (100%)</v>
      </c>
      <c r="N436" s="29"/>
      <c r="P436" s="13" t="str">
        <f t="shared" si="53"/>
        <v>-</v>
      </c>
      <c r="Q436" s="11" t="str">
        <f t="shared" si="48"/>
        <v>e (&gt;28)</v>
      </c>
      <c r="R436" s="14"/>
      <c r="S436" s="14"/>
    </row>
    <row r="437" spans="7:19" x14ac:dyDescent="0.3">
      <c r="G437" s="10">
        <f t="shared" si="49"/>
        <v>0</v>
      </c>
      <c r="H437" s="11" t="str">
        <f t="shared" si="47"/>
        <v>-</v>
      </c>
      <c r="I437" s="11" t="str">
        <f t="shared" si="50"/>
        <v>f (&gt;20%)</v>
      </c>
      <c r="J437" s="11" t="str">
        <f t="shared" si="51"/>
        <v>-</v>
      </c>
      <c r="K437" s="11" t="str">
        <f t="shared" si="52"/>
        <v>g (100%)</v>
      </c>
      <c r="N437" s="29"/>
      <c r="O437" s="29"/>
      <c r="P437" s="13" t="str">
        <f t="shared" si="53"/>
        <v>-</v>
      </c>
      <c r="Q437" s="11" t="str">
        <f t="shared" si="48"/>
        <v>e (&gt;28)</v>
      </c>
      <c r="R437" s="14"/>
      <c r="S437" s="14"/>
    </row>
    <row r="438" spans="7:19" x14ac:dyDescent="0.3">
      <c r="G438" s="10">
        <f t="shared" si="49"/>
        <v>0</v>
      </c>
      <c r="H438" s="11" t="str">
        <f t="shared" si="47"/>
        <v>-</v>
      </c>
      <c r="I438" s="11" t="str">
        <f t="shared" si="50"/>
        <v>f (&gt;20%)</v>
      </c>
      <c r="J438" s="11" t="str">
        <f t="shared" si="51"/>
        <v>-</v>
      </c>
      <c r="K438" s="11" t="str">
        <f t="shared" si="52"/>
        <v>g (100%)</v>
      </c>
      <c r="N438" s="29"/>
      <c r="O438" s="29"/>
      <c r="P438" s="13" t="str">
        <f t="shared" si="53"/>
        <v>-</v>
      </c>
      <c r="Q438" s="11" t="str">
        <f t="shared" si="48"/>
        <v>e (&gt;28)</v>
      </c>
      <c r="R438" s="14"/>
      <c r="S438" s="14"/>
    </row>
    <row r="439" spans="7:19" x14ac:dyDescent="0.3">
      <c r="G439" s="10">
        <f t="shared" si="49"/>
        <v>0</v>
      </c>
      <c r="H439" s="11" t="str">
        <f t="shared" si="47"/>
        <v>-</v>
      </c>
      <c r="I439" s="11" t="str">
        <f t="shared" si="50"/>
        <v>f (&gt;20%)</v>
      </c>
      <c r="J439" s="11" t="str">
        <f t="shared" si="51"/>
        <v>-</v>
      </c>
      <c r="K439" s="11" t="str">
        <f t="shared" si="52"/>
        <v>g (100%)</v>
      </c>
      <c r="N439" s="29"/>
      <c r="O439" s="29"/>
      <c r="P439" s="13" t="str">
        <f t="shared" si="53"/>
        <v>-</v>
      </c>
      <c r="Q439" s="11" t="str">
        <f t="shared" si="48"/>
        <v>e (&gt;28)</v>
      </c>
      <c r="R439" s="14"/>
      <c r="S439" s="14"/>
    </row>
    <row r="440" spans="7:19" x14ac:dyDescent="0.3">
      <c r="G440" s="10">
        <f t="shared" si="49"/>
        <v>0</v>
      </c>
      <c r="H440" s="11" t="str">
        <f t="shared" si="47"/>
        <v>-</v>
      </c>
      <c r="I440" s="11" t="str">
        <f t="shared" si="50"/>
        <v>f (&gt;20%)</v>
      </c>
      <c r="J440" s="11" t="str">
        <f t="shared" si="51"/>
        <v>-</v>
      </c>
      <c r="K440" s="11" t="str">
        <f t="shared" si="52"/>
        <v>g (100%)</v>
      </c>
      <c r="N440" s="29"/>
      <c r="P440" s="13" t="str">
        <f t="shared" si="53"/>
        <v>-</v>
      </c>
      <c r="Q440" s="11" t="str">
        <f t="shared" si="48"/>
        <v>e (&gt;28)</v>
      </c>
      <c r="R440" s="14"/>
      <c r="S440" s="14"/>
    </row>
    <row r="441" spans="7:19" x14ac:dyDescent="0.3">
      <c r="G441" s="10">
        <f t="shared" si="49"/>
        <v>0</v>
      </c>
      <c r="H441" s="11" t="str">
        <f t="shared" si="47"/>
        <v>-</v>
      </c>
      <c r="I441" s="11" t="str">
        <f t="shared" si="50"/>
        <v>f (&gt;20%)</v>
      </c>
      <c r="J441" s="11" t="str">
        <f t="shared" si="51"/>
        <v>-</v>
      </c>
      <c r="K441" s="11" t="str">
        <f t="shared" si="52"/>
        <v>g (100%)</v>
      </c>
      <c r="N441" s="29"/>
      <c r="O441" s="29"/>
      <c r="P441" s="13" t="str">
        <f t="shared" si="53"/>
        <v>-</v>
      </c>
      <c r="Q441" s="11" t="str">
        <f t="shared" si="48"/>
        <v>e (&gt;28)</v>
      </c>
      <c r="R441" s="14"/>
      <c r="S441" s="14"/>
    </row>
    <row r="442" spans="7:19" x14ac:dyDescent="0.3">
      <c r="G442" s="10">
        <f t="shared" si="49"/>
        <v>0</v>
      </c>
      <c r="H442" s="11" t="str">
        <f t="shared" si="47"/>
        <v>-</v>
      </c>
      <c r="I442" s="11" t="str">
        <f t="shared" si="50"/>
        <v>f (&gt;20%)</v>
      </c>
      <c r="J442" s="11" t="str">
        <f t="shared" si="51"/>
        <v>-</v>
      </c>
      <c r="K442" s="11" t="str">
        <f t="shared" si="52"/>
        <v>g (100%)</v>
      </c>
      <c r="N442" s="29"/>
      <c r="P442" s="13" t="str">
        <f t="shared" si="53"/>
        <v>-</v>
      </c>
      <c r="Q442" s="11" t="str">
        <f t="shared" si="48"/>
        <v>e (&gt;28)</v>
      </c>
      <c r="R442" s="14"/>
      <c r="S442" s="14"/>
    </row>
    <row r="443" spans="7:19" x14ac:dyDescent="0.3">
      <c r="G443" s="10">
        <f t="shared" si="49"/>
        <v>0</v>
      </c>
      <c r="H443" s="11" t="str">
        <f t="shared" si="47"/>
        <v>-</v>
      </c>
      <c r="I443" s="11" t="str">
        <f t="shared" si="50"/>
        <v>f (&gt;20%)</v>
      </c>
      <c r="J443" s="11" t="str">
        <f t="shared" si="51"/>
        <v>-</v>
      </c>
      <c r="K443" s="11" t="str">
        <f t="shared" si="52"/>
        <v>g (100%)</v>
      </c>
      <c r="N443" s="29"/>
      <c r="O443" s="29"/>
      <c r="P443" s="13" t="str">
        <f t="shared" si="53"/>
        <v>-</v>
      </c>
      <c r="Q443" s="11" t="str">
        <f t="shared" si="48"/>
        <v>e (&gt;28)</v>
      </c>
      <c r="R443" s="14"/>
      <c r="S443" s="14"/>
    </row>
    <row r="444" spans="7:19" x14ac:dyDescent="0.3">
      <c r="G444" s="10">
        <f t="shared" si="49"/>
        <v>0</v>
      </c>
      <c r="H444" s="11" t="str">
        <f t="shared" si="47"/>
        <v>-</v>
      </c>
      <c r="I444" s="11" t="str">
        <f t="shared" si="50"/>
        <v>f (&gt;20%)</v>
      </c>
      <c r="J444" s="11" t="str">
        <f t="shared" si="51"/>
        <v>-</v>
      </c>
      <c r="K444" s="11" t="str">
        <f t="shared" si="52"/>
        <v>g (100%)</v>
      </c>
      <c r="N444" s="29"/>
      <c r="O444" s="29"/>
      <c r="P444" s="13" t="str">
        <f t="shared" si="53"/>
        <v>-</v>
      </c>
      <c r="Q444" s="11" t="str">
        <f t="shared" si="48"/>
        <v>e (&gt;28)</v>
      </c>
      <c r="R444" s="14"/>
      <c r="S444" s="14"/>
    </row>
    <row r="445" spans="7:19" x14ac:dyDescent="0.3">
      <c r="G445" s="10">
        <f t="shared" si="49"/>
        <v>0</v>
      </c>
      <c r="H445" s="11" t="str">
        <f t="shared" si="47"/>
        <v>-</v>
      </c>
      <c r="I445" s="11" t="str">
        <f t="shared" si="50"/>
        <v>f (&gt;20%)</v>
      </c>
      <c r="J445" s="11" t="str">
        <f t="shared" si="51"/>
        <v>-</v>
      </c>
      <c r="K445" s="11" t="str">
        <f t="shared" si="52"/>
        <v>g (100%)</v>
      </c>
      <c r="N445" s="29"/>
      <c r="P445" s="13" t="str">
        <f t="shared" si="53"/>
        <v>-</v>
      </c>
      <c r="Q445" s="11" t="str">
        <f t="shared" si="48"/>
        <v>e (&gt;28)</v>
      </c>
      <c r="R445" s="14"/>
      <c r="S445" s="14"/>
    </row>
    <row r="446" spans="7:19" x14ac:dyDescent="0.3">
      <c r="G446" s="10">
        <f t="shared" si="49"/>
        <v>0</v>
      </c>
      <c r="H446" s="11" t="str">
        <f t="shared" si="47"/>
        <v>-</v>
      </c>
      <c r="I446" s="11" t="str">
        <f t="shared" si="50"/>
        <v>f (&gt;20%)</v>
      </c>
      <c r="J446" s="11" t="str">
        <f t="shared" si="51"/>
        <v>-</v>
      </c>
      <c r="K446" s="11" t="str">
        <f t="shared" si="52"/>
        <v>g (100%)</v>
      </c>
      <c r="N446" s="29"/>
      <c r="O446" s="29"/>
      <c r="P446" s="13" t="str">
        <f t="shared" si="53"/>
        <v>-</v>
      </c>
      <c r="Q446" s="11" t="str">
        <f t="shared" si="48"/>
        <v>e (&gt;28)</v>
      </c>
      <c r="R446" s="14"/>
      <c r="S446" s="14"/>
    </row>
    <row r="447" spans="7:19" x14ac:dyDescent="0.3">
      <c r="G447" s="10">
        <f t="shared" si="49"/>
        <v>0</v>
      </c>
      <c r="H447" s="11" t="str">
        <f t="shared" si="47"/>
        <v>-</v>
      </c>
      <c r="I447" s="11" t="str">
        <f t="shared" si="50"/>
        <v>f (&gt;20%)</v>
      </c>
      <c r="J447" s="11" t="str">
        <f t="shared" si="51"/>
        <v>-</v>
      </c>
      <c r="K447" s="11" t="str">
        <f t="shared" si="52"/>
        <v>g (100%)</v>
      </c>
      <c r="N447" s="29"/>
      <c r="O447" s="29"/>
      <c r="P447" s="13" t="str">
        <f t="shared" si="53"/>
        <v>-</v>
      </c>
      <c r="Q447" s="11" t="str">
        <f t="shared" si="48"/>
        <v>e (&gt;28)</v>
      </c>
      <c r="R447" s="14"/>
      <c r="S447" s="14"/>
    </row>
    <row r="448" spans="7:19" x14ac:dyDescent="0.3">
      <c r="G448" s="10">
        <f t="shared" si="49"/>
        <v>0</v>
      </c>
      <c r="H448" s="11" t="str">
        <f t="shared" si="47"/>
        <v>-</v>
      </c>
      <c r="I448" s="11" t="str">
        <f t="shared" si="50"/>
        <v>f (&gt;20%)</v>
      </c>
      <c r="J448" s="11" t="str">
        <f t="shared" si="51"/>
        <v>-</v>
      </c>
      <c r="K448" s="11" t="str">
        <f t="shared" si="52"/>
        <v>g (100%)</v>
      </c>
      <c r="N448" s="29"/>
      <c r="O448" s="29"/>
      <c r="P448" s="13" t="str">
        <f t="shared" si="53"/>
        <v>-</v>
      </c>
      <c r="Q448" s="11" t="str">
        <f t="shared" si="48"/>
        <v>e (&gt;28)</v>
      </c>
      <c r="R448" s="14"/>
      <c r="S448" s="14"/>
    </row>
    <row r="449" spans="7:19" x14ac:dyDescent="0.3">
      <c r="G449" s="10">
        <f t="shared" si="49"/>
        <v>0</v>
      </c>
      <c r="H449" s="11" t="str">
        <f t="shared" si="47"/>
        <v>-</v>
      </c>
      <c r="I449" s="11" t="str">
        <f t="shared" si="50"/>
        <v>f (&gt;20%)</v>
      </c>
      <c r="J449" s="11" t="str">
        <f t="shared" si="51"/>
        <v>-</v>
      </c>
      <c r="K449" s="11" t="str">
        <f t="shared" si="52"/>
        <v>g (100%)</v>
      </c>
      <c r="N449" s="29"/>
      <c r="O449" s="29"/>
      <c r="P449" s="13" t="str">
        <f t="shared" si="53"/>
        <v>-</v>
      </c>
      <c r="Q449" s="11" t="str">
        <f t="shared" si="48"/>
        <v>e (&gt;28)</v>
      </c>
      <c r="R449" s="14"/>
      <c r="S449" s="14"/>
    </row>
    <row r="450" spans="7:19" x14ac:dyDescent="0.3">
      <c r="G450" s="10">
        <f t="shared" si="49"/>
        <v>0</v>
      </c>
      <c r="H450" s="11" t="str">
        <f t="shared" si="47"/>
        <v>-</v>
      </c>
      <c r="I450" s="11" t="str">
        <f t="shared" si="50"/>
        <v>f (&gt;20%)</v>
      </c>
      <c r="J450" s="11" t="str">
        <f t="shared" si="51"/>
        <v>-</v>
      </c>
      <c r="K450" s="11" t="str">
        <f t="shared" si="52"/>
        <v>g (100%)</v>
      </c>
      <c r="N450" s="29"/>
      <c r="O450" s="29"/>
      <c r="P450" s="13" t="str">
        <f t="shared" si="53"/>
        <v>-</v>
      </c>
      <c r="Q450" s="11" t="str">
        <f t="shared" si="48"/>
        <v>e (&gt;28)</v>
      </c>
      <c r="R450" s="14"/>
      <c r="S450" s="14"/>
    </row>
    <row r="451" spans="7:19" x14ac:dyDescent="0.3">
      <c r="G451" s="10">
        <f t="shared" si="49"/>
        <v>0</v>
      </c>
      <c r="H451" s="11" t="str">
        <f t="shared" ref="H451:H501" si="54">IFERROR(G451/E451,"-")</f>
        <v>-</v>
      </c>
      <c r="I451" s="11" t="str">
        <f t="shared" si="50"/>
        <v>f (&gt;20%)</v>
      </c>
      <c r="J451" s="11" t="str">
        <f t="shared" si="51"/>
        <v>-</v>
      </c>
      <c r="K451" s="11" t="str">
        <f t="shared" si="52"/>
        <v>g (100%)</v>
      </c>
      <c r="N451" s="29"/>
      <c r="P451" s="13" t="str">
        <f t="shared" si="53"/>
        <v>-</v>
      </c>
      <c r="Q451" s="11" t="str">
        <f t="shared" ref="Q451:Q501" si="55">IF(AND(P451&gt;0,P451&lt;=7),"a (0-7)",IF(AND(P451&gt;7,P451&lt;=14),"b (8-14)",IF(AND(P451&gt;14,P451&lt;=21),"c (15-21)",IF(AND(P451&gt;21,P451&lt;=28),"d (22-28)","e (&gt;28)"))))</f>
        <v>e (&gt;28)</v>
      </c>
      <c r="R451" s="14"/>
      <c r="S451" s="14"/>
    </row>
    <row r="452" spans="7:19" x14ac:dyDescent="0.3">
      <c r="G452" s="10">
        <f t="shared" si="49"/>
        <v>0</v>
      </c>
      <c r="H452" s="11" t="str">
        <f t="shared" si="54"/>
        <v>-</v>
      </c>
      <c r="I452" s="11" t="str">
        <f t="shared" si="50"/>
        <v>f (&gt;20%)</v>
      </c>
      <c r="J452" s="11" t="str">
        <f t="shared" si="51"/>
        <v>-</v>
      </c>
      <c r="K452" s="11" t="str">
        <f t="shared" si="52"/>
        <v>g (100%)</v>
      </c>
      <c r="N452" s="29"/>
      <c r="O452" s="29"/>
      <c r="P452" s="13" t="str">
        <f t="shared" si="53"/>
        <v>-</v>
      </c>
      <c r="Q452" s="11" t="str">
        <f t="shared" si="55"/>
        <v>e (&gt;28)</v>
      </c>
      <c r="R452" s="14"/>
      <c r="S452" s="14"/>
    </row>
    <row r="453" spans="7:19" x14ac:dyDescent="0.3">
      <c r="G453" s="10">
        <f t="shared" si="49"/>
        <v>0</v>
      </c>
      <c r="H453" s="11" t="str">
        <f t="shared" si="54"/>
        <v>-</v>
      </c>
      <c r="I453" s="11" t="str">
        <f t="shared" si="50"/>
        <v>f (&gt;20%)</v>
      </c>
      <c r="J453" s="11" t="str">
        <f t="shared" si="51"/>
        <v>-</v>
      </c>
      <c r="K453" s="11" t="str">
        <f t="shared" si="52"/>
        <v>g (100%)</v>
      </c>
      <c r="N453" s="29"/>
      <c r="O453" s="29"/>
      <c r="P453" s="13" t="str">
        <f t="shared" si="53"/>
        <v>-</v>
      </c>
      <c r="Q453" s="11" t="str">
        <f t="shared" si="55"/>
        <v>e (&gt;28)</v>
      </c>
      <c r="R453" s="14"/>
      <c r="S453" s="14"/>
    </row>
    <row r="454" spans="7:19" x14ac:dyDescent="0.3">
      <c r="G454" s="10">
        <f t="shared" si="49"/>
        <v>0</v>
      </c>
      <c r="H454" s="11" t="str">
        <f t="shared" si="54"/>
        <v>-</v>
      </c>
      <c r="I454" s="11" t="str">
        <f t="shared" si="50"/>
        <v>f (&gt;20%)</v>
      </c>
      <c r="J454" s="11" t="str">
        <f t="shared" si="51"/>
        <v>-</v>
      </c>
      <c r="K454" s="11" t="str">
        <f t="shared" si="52"/>
        <v>g (100%)</v>
      </c>
      <c r="N454" s="29"/>
      <c r="O454" s="29"/>
      <c r="P454" s="13" t="str">
        <f t="shared" si="53"/>
        <v>-</v>
      </c>
      <c r="Q454" s="11" t="str">
        <f t="shared" si="55"/>
        <v>e (&gt;28)</v>
      </c>
      <c r="R454" s="14"/>
      <c r="S454" s="14"/>
    </row>
    <row r="455" spans="7:19" x14ac:dyDescent="0.3">
      <c r="G455" s="10">
        <f t="shared" si="49"/>
        <v>0</v>
      </c>
      <c r="H455" s="11" t="str">
        <f t="shared" si="54"/>
        <v>-</v>
      </c>
      <c r="I455" s="11" t="str">
        <f t="shared" si="50"/>
        <v>f (&gt;20%)</v>
      </c>
      <c r="J455" s="11" t="str">
        <f t="shared" si="51"/>
        <v>-</v>
      </c>
      <c r="K455" s="11" t="str">
        <f t="shared" si="52"/>
        <v>g (100%)</v>
      </c>
      <c r="N455" s="29"/>
      <c r="O455" s="29"/>
      <c r="P455" s="13" t="str">
        <f t="shared" si="53"/>
        <v>-</v>
      </c>
      <c r="Q455" s="11" t="str">
        <f t="shared" si="55"/>
        <v>e (&gt;28)</v>
      </c>
      <c r="R455" s="14"/>
      <c r="S455" s="14"/>
    </row>
    <row r="456" spans="7:19" x14ac:dyDescent="0.3">
      <c r="G456" s="10">
        <f t="shared" si="49"/>
        <v>0</v>
      </c>
      <c r="H456" s="11" t="str">
        <f t="shared" si="54"/>
        <v>-</v>
      </c>
      <c r="I456" s="11" t="str">
        <f t="shared" si="50"/>
        <v>f (&gt;20%)</v>
      </c>
      <c r="J456" s="11" t="str">
        <f t="shared" si="51"/>
        <v>-</v>
      </c>
      <c r="K456" s="11" t="str">
        <f t="shared" si="52"/>
        <v>g (100%)</v>
      </c>
      <c r="N456" s="29"/>
      <c r="O456" s="29"/>
      <c r="P456" s="13" t="str">
        <f t="shared" si="53"/>
        <v>-</v>
      </c>
      <c r="Q456" s="11" t="str">
        <f t="shared" si="55"/>
        <v>e (&gt;28)</v>
      </c>
      <c r="R456" s="14"/>
      <c r="S456" s="14"/>
    </row>
    <row r="457" spans="7:19" x14ac:dyDescent="0.3">
      <c r="G457" s="10">
        <f t="shared" si="49"/>
        <v>0</v>
      </c>
      <c r="H457" s="11" t="str">
        <f t="shared" si="54"/>
        <v>-</v>
      </c>
      <c r="I457" s="11" t="str">
        <f t="shared" si="50"/>
        <v>f (&gt;20%)</v>
      </c>
      <c r="J457" s="11" t="str">
        <f t="shared" si="51"/>
        <v>-</v>
      </c>
      <c r="K457" s="11" t="str">
        <f t="shared" si="52"/>
        <v>g (100%)</v>
      </c>
      <c r="N457" s="29"/>
      <c r="O457" s="29"/>
      <c r="P457" s="13" t="str">
        <f t="shared" si="53"/>
        <v>-</v>
      </c>
      <c r="Q457" s="11" t="str">
        <f t="shared" si="55"/>
        <v>e (&gt;28)</v>
      </c>
      <c r="R457" s="14"/>
      <c r="S457" s="14"/>
    </row>
    <row r="458" spans="7:19" x14ac:dyDescent="0.3">
      <c r="G458" s="10">
        <f t="shared" si="49"/>
        <v>0</v>
      </c>
      <c r="H458" s="11" t="str">
        <f t="shared" si="54"/>
        <v>-</v>
      </c>
      <c r="I458" s="11" t="str">
        <f t="shared" si="50"/>
        <v>f (&gt;20%)</v>
      </c>
      <c r="J458" s="11" t="str">
        <f t="shared" si="51"/>
        <v>-</v>
      </c>
      <c r="K458" s="11" t="str">
        <f t="shared" si="52"/>
        <v>g (100%)</v>
      </c>
      <c r="N458" s="29"/>
      <c r="O458" s="29"/>
      <c r="P458" s="13" t="str">
        <f t="shared" si="53"/>
        <v>-</v>
      </c>
      <c r="Q458" s="11" t="str">
        <f t="shared" si="55"/>
        <v>e (&gt;28)</v>
      </c>
      <c r="R458" s="14"/>
      <c r="S458" s="14"/>
    </row>
    <row r="459" spans="7:19" x14ac:dyDescent="0.3">
      <c r="G459" s="10">
        <f t="shared" si="49"/>
        <v>0</v>
      </c>
      <c r="H459" s="11" t="str">
        <f t="shared" si="54"/>
        <v>-</v>
      </c>
      <c r="I459" s="11" t="str">
        <f t="shared" si="50"/>
        <v>f (&gt;20%)</v>
      </c>
      <c r="J459" s="11" t="str">
        <f t="shared" si="51"/>
        <v>-</v>
      </c>
      <c r="K459" s="11" t="str">
        <f t="shared" si="52"/>
        <v>g (100%)</v>
      </c>
      <c r="N459" s="29"/>
      <c r="O459" s="29"/>
      <c r="P459" s="13" t="str">
        <f t="shared" si="53"/>
        <v>-</v>
      </c>
      <c r="Q459" s="11" t="str">
        <f t="shared" si="55"/>
        <v>e (&gt;28)</v>
      </c>
      <c r="R459" s="14"/>
      <c r="S459" s="14"/>
    </row>
    <row r="460" spans="7:19" x14ac:dyDescent="0.3">
      <c r="G460" s="10">
        <f t="shared" si="49"/>
        <v>0</v>
      </c>
      <c r="H460" s="11" t="str">
        <f t="shared" si="54"/>
        <v>-</v>
      </c>
      <c r="I460" s="11" t="str">
        <f t="shared" si="50"/>
        <v>f (&gt;20%)</v>
      </c>
      <c r="J460" s="11" t="str">
        <f t="shared" si="51"/>
        <v>-</v>
      </c>
      <c r="K460" s="11" t="str">
        <f t="shared" si="52"/>
        <v>g (100%)</v>
      </c>
      <c r="N460" s="29"/>
      <c r="O460" s="29"/>
      <c r="P460" s="13" t="str">
        <f t="shared" si="53"/>
        <v>-</v>
      </c>
      <c r="Q460" s="11" t="str">
        <f t="shared" si="55"/>
        <v>e (&gt;28)</v>
      </c>
      <c r="R460" s="14"/>
      <c r="S460" s="14"/>
    </row>
    <row r="461" spans="7:19" x14ac:dyDescent="0.3">
      <c r="G461" s="10">
        <f t="shared" si="49"/>
        <v>0</v>
      </c>
      <c r="H461" s="11" t="str">
        <f t="shared" si="54"/>
        <v>-</v>
      </c>
      <c r="I461" s="11" t="str">
        <f t="shared" si="50"/>
        <v>f (&gt;20%)</v>
      </c>
      <c r="J461" s="11" t="str">
        <f t="shared" si="51"/>
        <v>-</v>
      </c>
      <c r="K461" s="11" t="str">
        <f t="shared" si="52"/>
        <v>g (100%)</v>
      </c>
      <c r="N461" s="29"/>
      <c r="O461" s="29"/>
      <c r="P461" s="13" t="str">
        <f t="shared" si="53"/>
        <v>-</v>
      </c>
      <c r="Q461" s="11" t="str">
        <f t="shared" si="55"/>
        <v>e (&gt;28)</v>
      </c>
      <c r="R461" s="14"/>
      <c r="S461" s="14"/>
    </row>
    <row r="462" spans="7:19" x14ac:dyDescent="0.3">
      <c r="G462" s="10">
        <f t="shared" si="49"/>
        <v>0</v>
      </c>
      <c r="H462" s="11" t="str">
        <f t="shared" si="54"/>
        <v>-</v>
      </c>
      <c r="I462" s="11" t="str">
        <f t="shared" si="50"/>
        <v>f (&gt;20%)</v>
      </c>
      <c r="J462" s="11" t="str">
        <f t="shared" si="51"/>
        <v>-</v>
      </c>
      <c r="K462" s="11" t="str">
        <f t="shared" si="52"/>
        <v>g (100%)</v>
      </c>
      <c r="N462" s="29"/>
      <c r="O462" s="29"/>
      <c r="P462" s="13" t="str">
        <f t="shared" si="53"/>
        <v>-</v>
      </c>
      <c r="Q462" s="11" t="str">
        <f t="shared" si="55"/>
        <v>e (&gt;28)</v>
      </c>
      <c r="R462" s="14"/>
      <c r="S462" s="14"/>
    </row>
    <row r="463" spans="7:19" x14ac:dyDescent="0.3">
      <c r="G463" s="10">
        <f t="shared" si="49"/>
        <v>0</v>
      </c>
      <c r="H463" s="11" t="str">
        <f t="shared" si="54"/>
        <v>-</v>
      </c>
      <c r="I463" s="11" t="str">
        <f t="shared" si="50"/>
        <v>f (&gt;20%)</v>
      </c>
      <c r="J463" s="11" t="str">
        <f t="shared" si="51"/>
        <v>-</v>
      </c>
      <c r="K463" s="11" t="str">
        <f t="shared" si="52"/>
        <v>g (100%)</v>
      </c>
      <c r="N463" s="29"/>
      <c r="O463" s="29"/>
      <c r="P463" s="13" t="str">
        <f t="shared" si="53"/>
        <v>-</v>
      </c>
      <c r="Q463" s="11" t="str">
        <f t="shared" si="55"/>
        <v>e (&gt;28)</v>
      </c>
      <c r="R463" s="14"/>
      <c r="S463" s="14"/>
    </row>
    <row r="464" spans="7:19" x14ac:dyDescent="0.3">
      <c r="G464" s="10">
        <f t="shared" si="49"/>
        <v>0</v>
      </c>
      <c r="H464" s="11" t="str">
        <f t="shared" si="54"/>
        <v>-</v>
      </c>
      <c r="I464" s="11" t="str">
        <f t="shared" si="50"/>
        <v>f (&gt;20%)</v>
      </c>
      <c r="J464" s="11" t="str">
        <f t="shared" si="51"/>
        <v>-</v>
      </c>
      <c r="K464" s="11" t="str">
        <f t="shared" si="52"/>
        <v>g (100%)</v>
      </c>
      <c r="N464" s="29"/>
      <c r="O464" s="29"/>
      <c r="P464" s="13" t="str">
        <f t="shared" si="53"/>
        <v>-</v>
      </c>
      <c r="Q464" s="11" t="str">
        <f t="shared" si="55"/>
        <v>e (&gt;28)</v>
      </c>
      <c r="R464" s="14"/>
      <c r="S464" s="14"/>
    </row>
    <row r="465" spans="7:19" x14ac:dyDescent="0.3">
      <c r="G465" s="10">
        <f t="shared" si="49"/>
        <v>0</v>
      </c>
      <c r="H465" s="11" t="str">
        <f t="shared" si="54"/>
        <v>-</v>
      </c>
      <c r="I465" s="11" t="str">
        <f t="shared" si="50"/>
        <v>f (&gt;20%)</v>
      </c>
      <c r="J465" s="11" t="str">
        <f t="shared" si="51"/>
        <v>-</v>
      </c>
      <c r="K465" s="11" t="str">
        <f t="shared" si="52"/>
        <v>g (100%)</v>
      </c>
      <c r="N465" s="29"/>
      <c r="O465" s="29"/>
      <c r="P465" s="13" t="str">
        <f t="shared" si="53"/>
        <v>-</v>
      </c>
      <c r="Q465" s="11" t="str">
        <f t="shared" si="55"/>
        <v>e (&gt;28)</v>
      </c>
      <c r="R465" s="14"/>
      <c r="S465" s="14"/>
    </row>
    <row r="466" spans="7:19" x14ac:dyDescent="0.3">
      <c r="G466" s="10">
        <f t="shared" si="49"/>
        <v>0</v>
      </c>
      <c r="H466" s="11" t="str">
        <f t="shared" si="54"/>
        <v>-</v>
      </c>
      <c r="I466" s="11" t="str">
        <f t="shared" si="50"/>
        <v>f (&gt;20%)</v>
      </c>
      <c r="J466" s="11" t="str">
        <f t="shared" si="51"/>
        <v>-</v>
      </c>
      <c r="K466" s="11" t="str">
        <f t="shared" si="52"/>
        <v>g (100%)</v>
      </c>
      <c r="N466" s="29"/>
      <c r="O466" s="29"/>
      <c r="P466" s="13" t="str">
        <f t="shared" si="53"/>
        <v>-</v>
      </c>
      <c r="Q466" s="11" t="str">
        <f t="shared" si="55"/>
        <v>e (&gt;28)</v>
      </c>
      <c r="R466" s="14"/>
      <c r="S466" s="14"/>
    </row>
    <row r="467" spans="7:19" x14ac:dyDescent="0.3">
      <c r="G467" s="10">
        <f t="shared" si="49"/>
        <v>0</v>
      </c>
      <c r="H467" s="11" t="str">
        <f t="shared" si="54"/>
        <v>-</v>
      </c>
      <c r="I467" s="11" t="str">
        <f t="shared" si="50"/>
        <v>f (&gt;20%)</v>
      </c>
      <c r="J467" s="11" t="str">
        <f t="shared" si="51"/>
        <v>-</v>
      </c>
      <c r="K467" s="11" t="str">
        <f t="shared" si="52"/>
        <v>g (100%)</v>
      </c>
      <c r="N467" s="29"/>
      <c r="P467" s="13" t="str">
        <f t="shared" si="53"/>
        <v>-</v>
      </c>
      <c r="Q467" s="11" t="str">
        <f t="shared" si="55"/>
        <v>e (&gt;28)</v>
      </c>
      <c r="R467" s="14"/>
      <c r="S467" s="14"/>
    </row>
    <row r="468" spans="7:19" x14ac:dyDescent="0.3">
      <c r="G468" s="10">
        <f t="shared" si="49"/>
        <v>0</v>
      </c>
      <c r="H468" s="11" t="str">
        <f t="shared" si="54"/>
        <v>-</v>
      </c>
      <c r="I468" s="11" t="str">
        <f t="shared" si="50"/>
        <v>f (&gt;20%)</v>
      </c>
      <c r="J468" s="11" t="str">
        <f t="shared" si="51"/>
        <v>-</v>
      </c>
      <c r="K468" s="11" t="str">
        <f t="shared" si="52"/>
        <v>g (100%)</v>
      </c>
      <c r="N468" s="29"/>
      <c r="P468" s="13" t="str">
        <f t="shared" si="53"/>
        <v>-</v>
      </c>
      <c r="Q468" s="11" t="str">
        <f t="shared" si="55"/>
        <v>e (&gt;28)</v>
      </c>
      <c r="R468" s="14"/>
      <c r="S468" s="14"/>
    </row>
    <row r="469" spans="7:19" x14ac:dyDescent="0.3">
      <c r="G469" s="10">
        <f t="shared" si="49"/>
        <v>0</v>
      </c>
      <c r="H469" s="11" t="str">
        <f t="shared" si="54"/>
        <v>-</v>
      </c>
      <c r="I469" s="11" t="str">
        <f t="shared" si="50"/>
        <v>f (&gt;20%)</v>
      </c>
      <c r="J469" s="11" t="str">
        <f t="shared" si="51"/>
        <v>-</v>
      </c>
      <c r="K469" s="11" t="str">
        <f t="shared" si="52"/>
        <v>g (100%)</v>
      </c>
      <c r="N469" s="29"/>
      <c r="P469" s="13" t="str">
        <f t="shared" si="53"/>
        <v>-</v>
      </c>
      <c r="Q469" s="11" t="str">
        <f t="shared" si="55"/>
        <v>e (&gt;28)</v>
      </c>
      <c r="R469" s="14"/>
      <c r="S469" s="14"/>
    </row>
    <row r="470" spans="7:19" x14ac:dyDescent="0.3">
      <c r="G470" s="10">
        <f t="shared" si="49"/>
        <v>0</v>
      </c>
      <c r="H470" s="11" t="str">
        <f t="shared" si="54"/>
        <v>-</v>
      </c>
      <c r="I470" s="11" t="str">
        <f t="shared" si="50"/>
        <v>f (&gt;20%)</v>
      </c>
      <c r="J470" s="11" t="str">
        <f t="shared" si="51"/>
        <v>-</v>
      </c>
      <c r="K470" s="11" t="str">
        <f t="shared" si="52"/>
        <v>g (100%)</v>
      </c>
      <c r="N470" s="29"/>
      <c r="O470" s="29"/>
      <c r="P470" s="13" t="str">
        <f t="shared" si="53"/>
        <v>-</v>
      </c>
      <c r="Q470" s="11" t="str">
        <f t="shared" si="55"/>
        <v>e (&gt;28)</v>
      </c>
      <c r="R470" s="14"/>
      <c r="S470" s="14"/>
    </row>
    <row r="471" spans="7:19" x14ac:dyDescent="0.3">
      <c r="G471" s="10">
        <f t="shared" si="49"/>
        <v>0</v>
      </c>
      <c r="H471" s="11" t="str">
        <f t="shared" si="54"/>
        <v>-</v>
      </c>
      <c r="I471" s="11" t="str">
        <f t="shared" si="50"/>
        <v>f (&gt;20%)</v>
      </c>
      <c r="J471" s="11" t="str">
        <f t="shared" si="51"/>
        <v>-</v>
      </c>
      <c r="K471" s="11" t="str">
        <f t="shared" si="52"/>
        <v>g (100%)</v>
      </c>
      <c r="N471" s="29"/>
      <c r="P471" s="13" t="str">
        <f t="shared" si="53"/>
        <v>-</v>
      </c>
      <c r="Q471" s="11" t="str">
        <f t="shared" si="55"/>
        <v>e (&gt;28)</v>
      </c>
      <c r="R471" s="14"/>
      <c r="S471" s="14"/>
    </row>
    <row r="472" spans="7:19" x14ac:dyDescent="0.3">
      <c r="G472" s="10">
        <f t="shared" si="49"/>
        <v>0</v>
      </c>
      <c r="H472" s="11" t="str">
        <f t="shared" si="54"/>
        <v>-</v>
      </c>
      <c r="I472" s="11" t="str">
        <f t="shared" si="50"/>
        <v>f (&gt;20%)</v>
      </c>
      <c r="J472" s="11" t="str">
        <f t="shared" si="51"/>
        <v>-</v>
      </c>
      <c r="K472" s="11" t="str">
        <f t="shared" si="52"/>
        <v>g (100%)</v>
      </c>
      <c r="N472" s="29"/>
      <c r="P472" s="13" t="str">
        <f t="shared" si="53"/>
        <v>-</v>
      </c>
      <c r="Q472" s="11" t="str">
        <f t="shared" si="55"/>
        <v>e (&gt;28)</v>
      </c>
      <c r="R472" s="14"/>
      <c r="S472" s="14"/>
    </row>
    <row r="473" spans="7:19" x14ac:dyDescent="0.3">
      <c r="G473" s="10">
        <f t="shared" si="49"/>
        <v>0</v>
      </c>
      <c r="H473" s="11" t="str">
        <f t="shared" si="54"/>
        <v>-</v>
      </c>
      <c r="I473" s="11" t="str">
        <f t="shared" si="50"/>
        <v>f (&gt;20%)</v>
      </c>
      <c r="J473" s="11" t="str">
        <f t="shared" si="51"/>
        <v>-</v>
      </c>
      <c r="K473" s="11" t="str">
        <f t="shared" si="52"/>
        <v>g (100%)</v>
      </c>
      <c r="N473" s="29"/>
      <c r="P473" s="13" t="str">
        <f t="shared" si="53"/>
        <v>-</v>
      </c>
      <c r="Q473" s="11" t="str">
        <f t="shared" si="55"/>
        <v>e (&gt;28)</v>
      </c>
      <c r="R473" s="14"/>
      <c r="S473" s="14"/>
    </row>
    <row r="474" spans="7:19" x14ac:dyDescent="0.3">
      <c r="G474" s="10">
        <f t="shared" si="49"/>
        <v>0</v>
      </c>
      <c r="H474" s="11" t="str">
        <f t="shared" si="54"/>
        <v>-</v>
      </c>
      <c r="I474" s="11" t="str">
        <f t="shared" si="50"/>
        <v>f (&gt;20%)</v>
      </c>
      <c r="J474" s="11" t="str">
        <f t="shared" si="51"/>
        <v>-</v>
      </c>
      <c r="K474" s="11" t="str">
        <f t="shared" si="52"/>
        <v>g (100%)</v>
      </c>
      <c r="N474" s="29"/>
      <c r="O474" s="29"/>
      <c r="P474" s="13" t="str">
        <f t="shared" si="53"/>
        <v>-</v>
      </c>
      <c r="Q474" s="11" t="str">
        <f t="shared" si="55"/>
        <v>e (&gt;28)</v>
      </c>
      <c r="R474" s="14"/>
      <c r="S474" s="14"/>
    </row>
    <row r="475" spans="7:19" x14ac:dyDescent="0.3">
      <c r="G475" s="10">
        <f t="shared" si="49"/>
        <v>0</v>
      </c>
      <c r="H475" s="11" t="str">
        <f t="shared" si="54"/>
        <v>-</v>
      </c>
      <c r="I475" s="11" t="str">
        <f t="shared" si="50"/>
        <v>f (&gt;20%)</v>
      </c>
      <c r="J475" s="11" t="str">
        <f t="shared" si="51"/>
        <v>-</v>
      </c>
      <c r="K475" s="11" t="str">
        <f t="shared" si="52"/>
        <v>g (100%)</v>
      </c>
      <c r="N475" s="29"/>
      <c r="O475" s="29"/>
      <c r="P475" s="13" t="str">
        <f t="shared" si="53"/>
        <v>-</v>
      </c>
      <c r="Q475" s="11" t="str">
        <f t="shared" si="55"/>
        <v>e (&gt;28)</v>
      </c>
      <c r="R475" s="14"/>
      <c r="S475" s="14"/>
    </row>
    <row r="476" spans="7:19" x14ac:dyDescent="0.3">
      <c r="G476" s="10">
        <f t="shared" si="49"/>
        <v>0</v>
      </c>
      <c r="H476" s="11" t="str">
        <f t="shared" si="54"/>
        <v>-</v>
      </c>
      <c r="I476" s="11" t="str">
        <f t="shared" si="50"/>
        <v>f (&gt;20%)</v>
      </c>
      <c r="J476" s="11" t="str">
        <f t="shared" si="51"/>
        <v>-</v>
      </c>
      <c r="K476" s="11" t="str">
        <f t="shared" si="52"/>
        <v>g (100%)</v>
      </c>
      <c r="N476" s="29"/>
      <c r="O476" s="29"/>
      <c r="P476" s="13" t="str">
        <f t="shared" si="53"/>
        <v>-</v>
      </c>
      <c r="Q476" s="11" t="str">
        <f t="shared" si="55"/>
        <v>e (&gt;28)</v>
      </c>
      <c r="R476" s="14"/>
      <c r="S476" s="14"/>
    </row>
    <row r="477" spans="7:19" x14ac:dyDescent="0.3">
      <c r="G477" s="10">
        <f t="shared" si="49"/>
        <v>0</v>
      </c>
      <c r="H477" s="11" t="str">
        <f t="shared" si="54"/>
        <v>-</v>
      </c>
      <c r="I477" s="11" t="str">
        <f t="shared" si="50"/>
        <v>f (&gt;20%)</v>
      </c>
      <c r="J477" s="11" t="str">
        <f t="shared" si="51"/>
        <v>-</v>
      </c>
      <c r="K477" s="11" t="str">
        <f t="shared" si="52"/>
        <v>g (100%)</v>
      </c>
      <c r="N477" s="29"/>
      <c r="O477" s="29"/>
      <c r="P477" s="13" t="str">
        <f t="shared" si="53"/>
        <v>-</v>
      </c>
      <c r="Q477" s="11" t="str">
        <f t="shared" si="55"/>
        <v>e (&gt;28)</v>
      </c>
      <c r="R477" s="14"/>
      <c r="S477" s="14"/>
    </row>
    <row r="478" spans="7:19" x14ac:dyDescent="0.3">
      <c r="G478" s="10">
        <f t="shared" si="49"/>
        <v>0</v>
      </c>
      <c r="H478" s="11" t="str">
        <f t="shared" si="54"/>
        <v>-</v>
      </c>
      <c r="I478" s="11" t="str">
        <f t="shared" si="50"/>
        <v>f (&gt;20%)</v>
      </c>
      <c r="J478" s="11" t="str">
        <f t="shared" si="51"/>
        <v>-</v>
      </c>
      <c r="K478" s="11" t="str">
        <f t="shared" si="52"/>
        <v>g (100%)</v>
      </c>
      <c r="N478" s="29"/>
      <c r="O478" s="29"/>
      <c r="P478" s="13" t="str">
        <f t="shared" si="53"/>
        <v>-</v>
      </c>
      <c r="Q478" s="11" t="str">
        <f t="shared" si="55"/>
        <v>e (&gt;28)</v>
      </c>
      <c r="R478" s="14"/>
      <c r="S478" s="14"/>
    </row>
    <row r="479" spans="7:19" x14ac:dyDescent="0.3">
      <c r="G479" s="10">
        <f t="shared" si="49"/>
        <v>0</v>
      </c>
      <c r="H479" s="11" t="str">
        <f t="shared" si="54"/>
        <v>-</v>
      </c>
      <c r="I479" s="11" t="str">
        <f t="shared" si="50"/>
        <v>f (&gt;20%)</v>
      </c>
      <c r="J479" s="11" t="str">
        <f t="shared" si="51"/>
        <v>-</v>
      </c>
      <c r="K479" s="11" t="str">
        <f t="shared" si="52"/>
        <v>g (100%)</v>
      </c>
      <c r="N479" s="29"/>
      <c r="P479" s="13" t="str">
        <f t="shared" si="53"/>
        <v>-</v>
      </c>
      <c r="Q479" s="11" t="str">
        <f t="shared" si="55"/>
        <v>e (&gt;28)</v>
      </c>
      <c r="R479" s="14"/>
      <c r="S479" s="14"/>
    </row>
    <row r="480" spans="7:19" x14ac:dyDescent="0.3">
      <c r="G480" s="10">
        <f t="shared" si="49"/>
        <v>0</v>
      </c>
      <c r="H480" s="11" t="str">
        <f t="shared" si="54"/>
        <v>-</v>
      </c>
      <c r="I480" s="11" t="str">
        <f t="shared" si="50"/>
        <v>f (&gt;20%)</v>
      </c>
      <c r="J480" s="11" t="str">
        <f t="shared" si="51"/>
        <v>-</v>
      </c>
      <c r="K480" s="11" t="str">
        <f t="shared" si="52"/>
        <v>g (100%)</v>
      </c>
      <c r="N480" s="29"/>
      <c r="O480" s="29"/>
      <c r="P480" s="13" t="str">
        <f t="shared" si="53"/>
        <v>-</v>
      </c>
      <c r="Q480" s="11" t="str">
        <f t="shared" si="55"/>
        <v>e (&gt;28)</v>
      </c>
      <c r="R480" s="14"/>
      <c r="S480" s="14"/>
    </row>
    <row r="481" spans="7:19" x14ac:dyDescent="0.3">
      <c r="G481" s="10">
        <f t="shared" si="49"/>
        <v>0</v>
      </c>
      <c r="H481" s="11" t="str">
        <f t="shared" si="54"/>
        <v>-</v>
      </c>
      <c r="I481" s="11" t="str">
        <f t="shared" si="50"/>
        <v>f (&gt;20%)</v>
      </c>
      <c r="J481" s="11" t="str">
        <f t="shared" si="51"/>
        <v>-</v>
      </c>
      <c r="K481" s="11" t="str">
        <f t="shared" si="52"/>
        <v>g (100%)</v>
      </c>
      <c r="N481" s="29"/>
      <c r="O481" s="29"/>
      <c r="P481" s="13" t="str">
        <f t="shared" si="53"/>
        <v>-</v>
      </c>
      <c r="Q481" s="11" t="str">
        <f t="shared" si="55"/>
        <v>e (&gt;28)</v>
      </c>
      <c r="R481" s="14"/>
      <c r="S481" s="14"/>
    </row>
    <row r="482" spans="7:19" x14ac:dyDescent="0.3">
      <c r="G482" s="10">
        <f t="shared" si="49"/>
        <v>0</v>
      </c>
      <c r="H482" s="11" t="str">
        <f t="shared" si="54"/>
        <v>-</v>
      </c>
      <c r="I482" s="11" t="str">
        <f t="shared" si="50"/>
        <v>f (&gt;20%)</v>
      </c>
      <c r="J482" s="11" t="str">
        <f t="shared" si="51"/>
        <v>-</v>
      </c>
      <c r="K482" s="11" t="str">
        <f t="shared" si="52"/>
        <v>g (100%)</v>
      </c>
      <c r="N482" s="29"/>
      <c r="O482" s="29"/>
      <c r="P482" s="13" t="str">
        <f t="shared" si="53"/>
        <v>-</v>
      </c>
      <c r="Q482" s="11" t="str">
        <f t="shared" si="55"/>
        <v>e (&gt;28)</v>
      </c>
      <c r="R482" s="14"/>
      <c r="S482" s="14"/>
    </row>
    <row r="483" spans="7:19" x14ac:dyDescent="0.3">
      <c r="G483" s="10">
        <f t="shared" si="49"/>
        <v>0</v>
      </c>
      <c r="H483" s="11" t="str">
        <f t="shared" si="54"/>
        <v>-</v>
      </c>
      <c r="I483" s="11" t="str">
        <f t="shared" si="50"/>
        <v>f (&gt;20%)</v>
      </c>
      <c r="J483" s="11" t="str">
        <f t="shared" si="51"/>
        <v>-</v>
      </c>
      <c r="K483" s="11" t="str">
        <f t="shared" si="52"/>
        <v>g (100%)</v>
      </c>
      <c r="N483" s="29"/>
      <c r="O483" s="29"/>
      <c r="P483" s="13" t="str">
        <f t="shared" si="53"/>
        <v>-</v>
      </c>
      <c r="Q483" s="11" t="str">
        <f t="shared" si="55"/>
        <v>e (&gt;28)</v>
      </c>
      <c r="R483" s="14"/>
      <c r="S483" s="14"/>
    </row>
    <row r="484" spans="7:19" x14ac:dyDescent="0.3">
      <c r="G484" s="10">
        <f t="shared" si="49"/>
        <v>0</v>
      </c>
      <c r="H484" s="11" t="str">
        <f t="shared" si="54"/>
        <v>-</v>
      </c>
      <c r="I484" s="11" t="str">
        <f t="shared" si="50"/>
        <v>f (&gt;20%)</v>
      </c>
      <c r="J484" s="11" t="str">
        <f t="shared" si="51"/>
        <v>-</v>
      </c>
      <c r="K484" s="11" t="str">
        <f t="shared" si="52"/>
        <v>g (100%)</v>
      </c>
      <c r="N484" s="29"/>
      <c r="O484" s="29"/>
      <c r="P484" s="13" t="str">
        <f t="shared" si="53"/>
        <v>-</v>
      </c>
      <c r="Q484" s="11" t="str">
        <f t="shared" si="55"/>
        <v>e (&gt;28)</v>
      </c>
      <c r="R484" s="14"/>
      <c r="S484" s="14"/>
    </row>
    <row r="485" spans="7:19" x14ac:dyDescent="0.3">
      <c r="G485" s="10">
        <f t="shared" si="49"/>
        <v>0</v>
      </c>
      <c r="H485" s="11" t="str">
        <f t="shared" si="54"/>
        <v>-</v>
      </c>
      <c r="I485" s="11" t="str">
        <f t="shared" si="50"/>
        <v>f (&gt;20%)</v>
      </c>
      <c r="J485" s="11" t="str">
        <f t="shared" si="51"/>
        <v>-</v>
      </c>
      <c r="K485" s="11" t="str">
        <f t="shared" si="52"/>
        <v>g (100%)</v>
      </c>
      <c r="N485" s="29"/>
      <c r="P485" s="13" t="str">
        <f t="shared" si="53"/>
        <v>-</v>
      </c>
      <c r="Q485" s="11" t="str">
        <f t="shared" si="55"/>
        <v>e (&gt;28)</v>
      </c>
      <c r="R485" s="14"/>
      <c r="S485" s="14"/>
    </row>
    <row r="486" spans="7:19" x14ac:dyDescent="0.3">
      <c r="G486" s="10">
        <f t="shared" si="49"/>
        <v>0</v>
      </c>
      <c r="H486" s="11" t="str">
        <f t="shared" si="54"/>
        <v>-</v>
      </c>
      <c r="I486" s="11" t="str">
        <f t="shared" si="50"/>
        <v>f (&gt;20%)</v>
      </c>
      <c r="J486" s="11" t="str">
        <f t="shared" si="51"/>
        <v>-</v>
      </c>
      <c r="K486" s="11" t="str">
        <f t="shared" si="52"/>
        <v>g (100%)</v>
      </c>
      <c r="N486" s="29"/>
      <c r="O486" s="29"/>
      <c r="P486" s="13" t="str">
        <f t="shared" si="53"/>
        <v>-</v>
      </c>
      <c r="Q486" s="11" t="str">
        <f t="shared" si="55"/>
        <v>e (&gt;28)</v>
      </c>
      <c r="R486" s="14"/>
      <c r="S486" s="14"/>
    </row>
    <row r="487" spans="7:19" x14ac:dyDescent="0.3">
      <c r="G487" s="10">
        <f t="shared" si="49"/>
        <v>0</v>
      </c>
      <c r="H487" s="11" t="str">
        <f t="shared" si="54"/>
        <v>-</v>
      </c>
      <c r="I487" s="11" t="str">
        <f t="shared" si="50"/>
        <v>f (&gt;20%)</v>
      </c>
      <c r="J487" s="11" t="str">
        <f t="shared" si="51"/>
        <v>-</v>
      </c>
      <c r="K487" s="11" t="str">
        <f t="shared" si="52"/>
        <v>g (100%)</v>
      </c>
      <c r="N487" s="29"/>
      <c r="O487" s="29"/>
      <c r="P487" s="13" t="str">
        <f t="shared" si="53"/>
        <v>-</v>
      </c>
      <c r="Q487" s="11" t="str">
        <f t="shared" si="55"/>
        <v>e (&gt;28)</v>
      </c>
      <c r="R487" s="14"/>
      <c r="S487" s="14"/>
    </row>
    <row r="488" spans="7:19" x14ac:dyDescent="0.3">
      <c r="G488" s="10">
        <f t="shared" si="49"/>
        <v>0</v>
      </c>
      <c r="H488" s="11" t="str">
        <f t="shared" si="54"/>
        <v>-</v>
      </c>
      <c r="I488" s="11" t="str">
        <f t="shared" si="50"/>
        <v>f (&gt;20%)</v>
      </c>
      <c r="J488" s="11" t="str">
        <f t="shared" si="51"/>
        <v>-</v>
      </c>
      <c r="K488" s="11" t="str">
        <f t="shared" si="52"/>
        <v>g (100%)</v>
      </c>
      <c r="N488" s="29"/>
      <c r="P488" s="13" t="str">
        <f t="shared" si="53"/>
        <v>-</v>
      </c>
      <c r="Q488" s="11" t="str">
        <f t="shared" si="55"/>
        <v>e (&gt;28)</v>
      </c>
      <c r="R488" s="14"/>
      <c r="S488" s="14"/>
    </row>
    <row r="489" spans="7:19" x14ac:dyDescent="0.3">
      <c r="G489" s="10">
        <f t="shared" si="49"/>
        <v>0</v>
      </c>
      <c r="H489" s="11" t="str">
        <f t="shared" si="54"/>
        <v>-</v>
      </c>
      <c r="I489" s="11" t="str">
        <f t="shared" si="50"/>
        <v>f (&gt;20%)</v>
      </c>
      <c r="J489" s="11" t="str">
        <f t="shared" si="51"/>
        <v>-</v>
      </c>
      <c r="K489" s="11" t="str">
        <f t="shared" si="52"/>
        <v>g (100%)</v>
      </c>
      <c r="N489" s="29"/>
      <c r="P489" s="13" t="str">
        <f t="shared" si="53"/>
        <v>-</v>
      </c>
      <c r="Q489" s="11" t="str">
        <f t="shared" si="55"/>
        <v>e (&gt;28)</v>
      </c>
      <c r="R489" s="14"/>
      <c r="S489" s="14"/>
    </row>
    <row r="490" spans="7:19" x14ac:dyDescent="0.3">
      <c r="G490" s="10">
        <f t="shared" ref="G490:G501" si="56">E490-F490</f>
        <v>0</v>
      </c>
      <c r="H490" s="11" t="str">
        <f t="shared" si="54"/>
        <v>-</v>
      </c>
      <c r="I490" s="11" t="str">
        <f t="shared" ref="I490:I501" si="57">IF(H490=0%,"a (0%)",IF(AND(H490&gt;0%,H490&lt;=5%),"b (0%-5%)",IF(AND(H490&gt;5%,H490&lt;=10%),"c (5%-10%)",IF(AND(H490&gt;10%,H490&lt;=15%),"d (10%-15%)",IF(AND(H490&gt;15%,H490&lt;=20%),"e (15%-20%)","f (&gt;20%)")))))</f>
        <v>f (&gt;20%)</v>
      </c>
      <c r="J490" s="11" t="str">
        <f t="shared" ref="J490:J501" si="58">IFERROR(F490/D490,"-")</f>
        <v>-</v>
      </c>
      <c r="K490" s="11" t="str">
        <f t="shared" ref="K490:K501" si="59">IF(J490=0%,"a (0%)",IF(AND(J490&gt;0%,J490&lt;=20%),"b (0%-20%)",IF(AND(J490&gt;20%,J490&lt;=40%),"c (20%-40%)",IF(AND(J490&gt;40%,J490&lt;=60%),"d (40%-60%)",IF(AND(J490&gt;60%,J490&lt;=80%),"e (60%-80%)",IF(AND(J490&gt;80%,J490&lt;100%),"f (80%-99%)","g (100%)"))))))</f>
        <v>g (100%)</v>
      </c>
      <c r="N490" s="29"/>
      <c r="O490" s="29"/>
      <c r="P490" s="13" t="str">
        <f t="shared" ref="P490:P501" si="60">IFERROR(IF(N490="","-",DATEDIF(N490,O490,"d")),0)</f>
        <v>-</v>
      </c>
      <c r="Q490" s="11" t="str">
        <f t="shared" si="55"/>
        <v>e (&gt;28)</v>
      </c>
      <c r="R490" s="14"/>
      <c r="S490" s="14"/>
    </row>
    <row r="491" spans="7:19" x14ac:dyDescent="0.3">
      <c r="G491" s="10">
        <f t="shared" si="56"/>
        <v>0</v>
      </c>
      <c r="H491" s="11" t="str">
        <f t="shared" si="54"/>
        <v>-</v>
      </c>
      <c r="I491" s="11" t="str">
        <f t="shared" si="57"/>
        <v>f (&gt;20%)</v>
      </c>
      <c r="J491" s="11" t="str">
        <f t="shared" si="58"/>
        <v>-</v>
      </c>
      <c r="K491" s="11" t="str">
        <f t="shared" si="59"/>
        <v>g (100%)</v>
      </c>
      <c r="N491" s="29"/>
      <c r="O491" s="29"/>
      <c r="P491" s="13" t="str">
        <f t="shared" si="60"/>
        <v>-</v>
      </c>
      <c r="Q491" s="11" t="str">
        <f t="shared" si="55"/>
        <v>e (&gt;28)</v>
      </c>
      <c r="R491" s="14"/>
      <c r="S491" s="14"/>
    </row>
    <row r="492" spans="7:19" x14ac:dyDescent="0.3">
      <c r="G492" s="10">
        <f t="shared" si="56"/>
        <v>0</v>
      </c>
      <c r="H492" s="11" t="str">
        <f t="shared" si="54"/>
        <v>-</v>
      </c>
      <c r="I492" s="11" t="str">
        <f t="shared" si="57"/>
        <v>f (&gt;20%)</v>
      </c>
      <c r="J492" s="11" t="str">
        <f t="shared" si="58"/>
        <v>-</v>
      </c>
      <c r="K492" s="11" t="str">
        <f t="shared" si="59"/>
        <v>g (100%)</v>
      </c>
      <c r="N492" s="29"/>
      <c r="P492" s="13" t="str">
        <f t="shared" si="60"/>
        <v>-</v>
      </c>
      <c r="Q492" s="11" t="str">
        <f t="shared" si="55"/>
        <v>e (&gt;28)</v>
      </c>
      <c r="R492" s="14"/>
      <c r="S492" s="14"/>
    </row>
    <row r="493" spans="7:19" x14ac:dyDescent="0.3">
      <c r="G493" s="10">
        <f t="shared" si="56"/>
        <v>0</v>
      </c>
      <c r="H493" s="11" t="str">
        <f t="shared" si="54"/>
        <v>-</v>
      </c>
      <c r="I493" s="11" t="str">
        <f t="shared" si="57"/>
        <v>f (&gt;20%)</v>
      </c>
      <c r="J493" s="11" t="str">
        <f t="shared" si="58"/>
        <v>-</v>
      </c>
      <c r="K493" s="11" t="str">
        <f t="shared" si="59"/>
        <v>g (100%)</v>
      </c>
      <c r="N493" s="29"/>
      <c r="O493" s="29"/>
      <c r="P493" s="13" t="str">
        <f t="shared" si="60"/>
        <v>-</v>
      </c>
      <c r="Q493" s="11" t="str">
        <f t="shared" si="55"/>
        <v>e (&gt;28)</v>
      </c>
      <c r="R493" s="14"/>
      <c r="S493" s="14"/>
    </row>
    <row r="494" spans="7:19" x14ac:dyDescent="0.3">
      <c r="G494" s="10">
        <f t="shared" si="56"/>
        <v>0</v>
      </c>
      <c r="H494" s="11" t="str">
        <f t="shared" si="54"/>
        <v>-</v>
      </c>
      <c r="I494" s="11" t="str">
        <f t="shared" si="57"/>
        <v>f (&gt;20%)</v>
      </c>
      <c r="J494" s="11" t="str">
        <f t="shared" si="58"/>
        <v>-</v>
      </c>
      <c r="K494" s="11" t="str">
        <f t="shared" si="59"/>
        <v>g (100%)</v>
      </c>
      <c r="N494" s="29"/>
      <c r="O494" s="29"/>
      <c r="P494" s="13" t="str">
        <f t="shared" si="60"/>
        <v>-</v>
      </c>
      <c r="Q494" s="11" t="str">
        <f t="shared" si="55"/>
        <v>e (&gt;28)</v>
      </c>
      <c r="R494" s="14"/>
      <c r="S494" s="14"/>
    </row>
    <row r="495" spans="7:19" x14ac:dyDescent="0.3">
      <c r="G495" s="10">
        <f t="shared" si="56"/>
        <v>0</v>
      </c>
      <c r="H495" s="11" t="str">
        <f t="shared" si="54"/>
        <v>-</v>
      </c>
      <c r="I495" s="11" t="str">
        <f t="shared" si="57"/>
        <v>f (&gt;20%)</v>
      </c>
      <c r="J495" s="11" t="str">
        <f t="shared" si="58"/>
        <v>-</v>
      </c>
      <c r="K495" s="11" t="str">
        <f t="shared" si="59"/>
        <v>g (100%)</v>
      </c>
      <c r="N495" s="29"/>
      <c r="P495" s="13" t="str">
        <f t="shared" si="60"/>
        <v>-</v>
      </c>
      <c r="Q495" s="11" t="str">
        <f t="shared" si="55"/>
        <v>e (&gt;28)</v>
      </c>
      <c r="R495" s="14"/>
      <c r="S495" s="14"/>
    </row>
    <row r="496" spans="7:19" x14ac:dyDescent="0.3">
      <c r="G496" s="10">
        <f t="shared" si="56"/>
        <v>0</v>
      </c>
      <c r="H496" s="11" t="str">
        <f t="shared" si="54"/>
        <v>-</v>
      </c>
      <c r="I496" s="11" t="str">
        <f t="shared" si="57"/>
        <v>f (&gt;20%)</v>
      </c>
      <c r="J496" s="11" t="str">
        <f t="shared" si="58"/>
        <v>-</v>
      </c>
      <c r="K496" s="11" t="str">
        <f t="shared" si="59"/>
        <v>g (100%)</v>
      </c>
      <c r="N496" s="29"/>
      <c r="O496" s="29"/>
      <c r="P496" s="13" t="str">
        <f t="shared" si="60"/>
        <v>-</v>
      </c>
      <c r="Q496" s="11" t="str">
        <f t="shared" si="55"/>
        <v>e (&gt;28)</v>
      </c>
      <c r="R496" s="14"/>
      <c r="S496" s="14"/>
    </row>
    <row r="497" spans="7:19" x14ac:dyDescent="0.3">
      <c r="G497" s="10">
        <f t="shared" si="56"/>
        <v>0</v>
      </c>
      <c r="H497" s="11" t="str">
        <f t="shared" si="54"/>
        <v>-</v>
      </c>
      <c r="I497" s="11" t="str">
        <f t="shared" si="57"/>
        <v>f (&gt;20%)</v>
      </c>
      <c r="J497" s="11" t="str">
        <f t="shared" si="58"/>
        <v>-</v>
      </c>
      <c r="K497" s="11" t="str">
        <f t="shared" si="59"/>
        <v>g (100%)</v>
      </c>
      <c r="N497" s="29"/>
      <c r="P497" s="13" t="str">
        <f t="shared" si="60"/>
        <v>-</v>
      </c>
      <c r="Q497" s="11" t="str">
        <f t="shared" si="55"/>
        <v>e (&gt;28)</v>
      </c>
      <c r="R497" s="14"/>
      <c r="S497" s="14"/>
    </row>
    <row r="498" spans="7:19" x14ac:dyDescent="0.3">
      <c r="G498" s="10">
        <f t="shared" si="56"/>
        <v>0</v>
      </c>
      <c r="H498" s="11" t="str">
        <f t="shared" si="54"/>
        <v>-</v>
      </c>
      <c r="I498" s="11" t="str">
        <f t="shared" si="57"/>
        <v>f (&gt;20%)</v>
      </c>
      <c r="J498" s="11" t="str">
        <f t="shared" si="58"/>
        <v>-</v>
      </c>
      <c r="K498" s="11" t="str">
        <f t="shared" si="59"/>
        <v>g (100%)</v>
      </c>
      <c r="N498" s="29"/>
      <c r="P498" s="13" t="str">
        <f t="shared" si="60"/>
        <v>-</v>
      </c>
      <c r="Q498" s="11" t="str">
        <f t="shared" si="55"/>
        <v>e (&gt;28)</v>
      </c>
      <c r="R498" s="14"/>
      <c r="S498" s="14"/>
    </row>
    <row r="499" spans="7:19" x14ac:dyDescent="0.3">
      <c r="G499" s="10">
        <f t="shared" si="56"/>
        <v>0</v>
      </c>
      <c r="H499" s="11" t="str">
        <f t="shared" si="54"/>
        <v>-</v>
      </c>
      <c r="I499" s="11" t="str">
        <f t="shared" si="57"/>
        <v>f (&gt;20%)</v>
      </c>
      <c r="J499" s="11" t="str">
        <f t="shared" si="58"/>
        <v>-</v>
      </c>
      <c r="K499" s="11" t="str">
        <f t="shared" si="59"/>
        <v>g (100%)</v>
      </c>
      <c r="N499" s="29"/>
      <c r="O499" s="29"/>
      <c r="P499" s="13" t="str">
        <f t="shared" si="60"/>
        <v>-</v>
      </c>
      <c r="Q499" s="11" t="str">
        <f t="shared" si="55"/>
        <v>e (&gt;28)</v>
      </c>
      <c r="R499" s="14"/>
      <c r="S499" s="14"/>
    </row>
    <row r="500" spans="7:19" x14ac:dyDescent="0.3">
      <c r="G500" s="10">
        <f t="shared" si="56"/>
        <v>0</v>
      </c>
      <c r="H500" s="11" t="str">
        <f t="shared" si="54"/>
        <v>-</v>
      </c>
      <c r="I500" s="11" t="str">
        <f t="shared" si="57"/>
        <v>f (&gt;20%)</v>
      </c>
      <c r="J500" s="11" t="str">
        <f t="shared" si="58"/>
        <v>-</v>
      </c>
      <c r="K500" s="11" t="str">
        <f t="shared" si="59"/>
        <v>g (100%)</v>
      </c>
      <c r="N500" s="29"/>
      <c r="O500" s="29"/>
      <c r="P500" s="13" t="str">
        <f t="shared" si="60"/>
        <v>-</v>
      </c>
      <c r="Q500" s="11" t="str">
        <f t="shared" si="55"/>
        <v>e (&gt;28)</v>
      </c>
      <c r="R500" s="14"/>
      <c r="S500" s="14"/>
    </row>
    <row r="501" spans="7:19" x14ac:dyDescent="0.3">
      <c r="G501" s="10">
        <f t="shared" si="56"/>
        <v>0</v>
      </c>
      <c r="H501" s="11" t="str">
        <f t="shared" si="54"/>
        <v>-</v>
      </c>
      <c r="I501" s="11" t="str">
        <f t="shared" si="57"/>
        <v>f (&gt;20%)</v>
      </c>
      <c r="J501" s="11" t="str">
        <f t="shared" si="58"/>
        <v>-</v>
      </c>
      <c r="K501" s="11" t="str">
        <f t="shared" si="59"/>
        <v>g (100%)</v>
      </c>
      <c r="N501" s="29"/>
      <c r="O501" s="29"/>
      <c r="P501" s="13" t="str">
        <f t="shared" si="60"/>
        <v>-</v>
      </c>
      <c r="Q501" s="11" t="str">
        <f t="shared" si="55"/>
        <v>e (&gt;28)</v>
      </c>
      <c r="R501" s="14"/>
      <c r="S501" s="14"/>
    </row>
    <row r="502" spans="7:19" x14ac:dyDescent="0.3">
      <c r="N502" s="29"/>
    </row>
    <row r="503" spans="7:19" x14ac:dyDescent="0.3">
      <c r="N503" s="29"/>
    </row>
    <row r="504" spans="7:19" x14ac:dyDescent="0.3">
      <c r="N504" s="29"/>
      <c r="O504" s="29"/>
    </row>
    <row r="505" spans="7:19" x14ac:dyDescent="0.3">
      <c r="N505" s="29"/>
      <c r="O505" s="29"/>
    </row>
    <row r="506" spans="7:19" x14ac:dyDescent="0.3">
      <c r="N506" s="29"/>
      <c r="O506" s="29"/>
    </row>
    <row r="507" spans="7:19" x14ac:dyDescent="0.3">
      <c r="N507" s="29"/>
      <c r="O507" s="29"/>
    </row>
    <row r="508" spans="7:19" x14ac:dyDescent="0.3">
      <c r="N508" s="29"/>
      <c r="O508" s="29"/>
    </row>
    <row r="509" spans="7:19" x14ac:dyDescent="0.3">
      <c r="N509" s="29"/>
      <c r="O509" s="29"/>
    </row>
    <row r="510" spans="7:19" x14ac:dyDescent="0.3">
      <c r="N510" s="29"/>
      <c r="O510" s="29"/>
    </row>
    <row r="511" spans="7:19" x14ac:dyDescent="0.3">
      <c r="N511" s="29"/>
      <c r="O511" s="29"/>
    </row>
    <row r="512" spans="7:19" x14ac:dyDescent="0.3">
      <c r="N512" s="29"/>
      <c r="O512" s="29"/>
    </row>
    <row r="513" spans="14:15" x14ac:dyDescent="0.3">
      <c r="N513" s="29"/>
      <c r="O513" s="29"/>
    </row>
    <row r="514" spans="14:15" x14ac:dyDescent="0.3">
      <c r="N514" s="29"/>
    </row>
    <row r="515" spans="14:15" x14ac:dyDescent="0.3">
      <c r="N515" s="29"/>
    </row>
    <row r="516" spans="14:15" x14ac:dyDescent="0.3">
      <c r="N516" s="29"/>
      <c r="O516" s="29"/>
    </row>
    <row r="517" spans="14:15" x14ac:dyDescent="0.3">
      <c r="N517" s="29"/>
      <c r="O517" s="29"/>
    </row>
    <row r="518" spans="14:15" x14ac:dyDescent="0.3">
      <c r="N518" s="29"/>
    </row>
    <row r="519" spans="14:15" x14ac:dyDescent="0.3">
      <c r="N519" s="29"/>
      <c r="O519" s="29"/>
    </row>
    <row r="520" spans="14:15" x14ac:dyDescent="0.3">
      <c r="N520" s="29"/>
      <c r="O520" s="29"/>
    </row>
    <row r="521" spans="14:15" x14ac:dyDescent="0.3">
      <c r="N521" s="29"/>
      <c r="O521" s="29"/>
    </row>
    <row r="522" spans="14:15" x14ac:dyDescent="0.3">
      <c r="N522" s="29"/>
      <c r="O522" s="29"/>
    </row>
    <row r="523" spans="14:15" x14ac:dyDescent="0.3">
      <c r="N523" s="29"/>
    </row>
    <row r="524" spans="14:15" x14ac:dyDescent="0.3">
      <c r="N524" s="29"/>
      <c r="O524" s="29"/>
    </row>
    <row r="525" spans="14:15" x14ac:dyDescent="0.3">
      <c r="N525" s="29"/>
      <c r="O525" s="29"/>
    </row>
    <row r="526" spans="14:15" x14ac:dyDescent="0.3">
      <c r="N526" s="29"/>
      <c r="O526" s="29"/>
    </row>
    <row r="527" spans="14:15" x14ac:dyDescent="0.3">
      <c r="N527" s="29"/>
      <c r="O527" s="29"/>
    </row>
    <row r="528" spans="14:15" x14ac:dyDescent="0.3">
      <c r="N528" s="29"/>
      <c r="O528" s="29"/>
    </row>
    <row r="529" spans="14:15" x14ac:dyDescent="0.3">
      <c r="N529" s="29"/>
      <c r="O529" s="29"/>
    </row>
    <row r="530" spans="14:15" x14ac:dyDescent="0.3">
      <c r="N530" s="29"/>
    </row>
    <row r="531" spans="14:15" x14ac:dyDescent="0.3">
      <c r="N531" s="29"/>
      <c r="O531" s="29"/>
    </row>
    <row r="532" spans="14:15" x14ac:dyDescent="0.3">
      <c r="N532" s="29"/>
    </row>
    <row r="533" spans="14:15" x14ac:dyDescent="0.3">
      <c r="N533" s="29"/>
      <c r="O533" s="29"/>
    </row>
    <row r="534" spans="14:15" x14ac:dyDescent="0.3">
      <c r="N534" s="29"/>
      <c r="O534" s="29"/>
    </row>
    <row r="535" spans="14:15" x14ac:dyDescent="0.3">
      <c r="N535" s="29"/>
    </row>
    <row r="536" spans="14:15" x14ac:dyDescent="0.3">
      <c r="N536" s="29"/>
    </row>
    <row r="537" spans="14:15" x14ac:dyDescent="0.3">
      <c r="N537" s="29"/>
      <c r="O537" s="29"/>
    </row>
    <row r="538" spans="14:15" x14ac:dyDescent="0.3">
      <c r="N538" s="29"/>
      <c r="O538" s="29"/>
    </row>
    <row r="539" spans="14:15" x14ac:dyDescent="0.3">
      <c r="N539" s="29"/>
    </row>
    <row r="540" spans="14:15" x14ac:dyDescent="0.3">
      <c r="N540" s="29"/>
    </row>
    <row r="541" spans="14:15" x14ac:dyDescent="0.3">
      <c r="N541" s="29"/>
      <c r="O541" s="29"/>
    </row>
    <row r="542" spans="14:15" x14ac:dyDescent="0.3">
      <c r="N542" s="29"/>
      <c r="O542" s="29"/>
    </row>
    <row r="543" spans="14:15" x14ac:dyDescent="0.3">
      <c r="N543" s="29"/>
      <c r="O543" s="29"/>
    </row>
    <row r="544" spans="14:15" x14ac:dyDescent="0.3">
      <c r="N544" s="29"/>
      <c r="O544" s="29"/>
    </row>
    <row r="545" spans="14:15" x14ac:dyDescent="0.3">
      <c r="N545" s="29"/>
      <c r="O545" s="29"/>
    </row>
    <row r="546" spans="14:15" x14ac:dyDescent="0.3">
      <c r="N546" s="29"/>
      <c r="O546" s="29"/>
    </row>
    <row r="547" spans="14:15" x14ac:dyDescent="0.3">
      <c r="N547" s="29"/>
      <c r="O547" s="29"/>
    </row>
    <row r="548" spans="14:15" x14ac:dyDescent="0.3">
      <c r="N548" s="29"/>
      <c r="O548" s="29"/>
    </row>
    <row r="549" spans="14:15" x14ac:dyDescent="0.3">
      <c r="N549" s="29"/>
    </row>
    <row r="550" spans="14:15" x14ac:dyDescent="0.3">
      <c r="N550" s="29"/>
      <c r="O550" s="29"/>
    </row>
    <row r="551" spans="14:15" x14ac:dyDescent="0.3">
      <c r="N551" s="29"/>
    </row>
    <row r="552" spans="14:15" x14ac:dyDescent="0.3">
      <c r="N552" s="29"/>
      <c r="O552" s="29"/>
    </row>
    <row r="553" spans="14:15" x14ac:dyDescent="0.3">
      <c r="N553" s="29"/>
      <c r="O553" s="29"/>
    </row>
    <row r="554" spans="14:15" x14ac:dyDescent="0.3">
      <c r="N554" s="29"/>
    </row>
    <row r="555" spans="14:15" x14ac:dyDescent="0.3">
      <c r="N555" s="29"/>
      <c r="O555" s="29"/>
    </row>
    <row r="556" spans="14:15" x14ac:dyDescent="0.3">
      <c r="N556" s="29"/>
      <c r="O556" s="29"/>
    </row>
    <row r="557" spans="14:15" x14ac:dyDescent="0.3">
      <c r="N557" s="29"/>
      <c r="O557" s="29"/>
    </row>
    <row r="558" spans="14:15" x14ac:dyDescent="0.3">
      <c r="N558" s="29"/>
      <c r="O558" s="29"/>
    </row>
    <row r="559" spans="14:15" x14ac:dyDescent="0.3">
      <c r="N559" s="29"/>
      <c r="O559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3BDD9-7AE4-4FA3-AFB7-C4C7D3217964}">
  <dimension ref="A1"/>
  <sheetViews>
    <sheetView workbookViewId="0">
      <selection activeCell="H4" sqref="H4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1" r:id="rId4" name="Button 15">
              <controlPr defaultSize="0" print="0" autoFill="0" autoPict="0" macro="[0]!Claim_Status_Count">
                <anchor moveWithCells="1" sizeWithCells="1">
                  <from>
                    <xdr:col>0</xdr:col>
                    <xdr:colOff>45720</xdr:colOff>
                    <xdr:row>0</xdr:row>
                    <xdr:rowOff>38100</xdr:rowOff>
                  </from>
                  <to>
                    <xdr:col>1</xdr:col>
                    <xdr:colOff>556260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5" name="Button 16">
              <controlPr defaultSize="0" print="0" autoFill="0" autoPict="0" macro="[0]!Claim_Status_Value">
                <anchor moveWithCells="1" sizeWithCells="1">
                  <from>
                    <xdr:col>10</xdr:col>
                    <xdr:colOff>45720</xdr:colOff>
                    <xdr:row>0</xdr:row>
                    <xdr:rowOff>38100</xdr:rowOff>
                  </from>
                  <to>
                    <xdr:col>11</xdr:col>
                    <xdr:colOff>556260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6" name="Button 17">
              <controlPr defaultSize="0" print="0" autoFill="0" autoPict="0" macro="[0]!Claim_Type">
                <anchor moveWithCells="1" sizeWithCells="1">
                  <from>
                    <xdr:col>0</xdr:col>
                    <xdr:colOff>45720</xdr:colOff>
                    <xdr:row>14</xdr:row>
                    <xdr:rowOff>22860</xdr:rowOff>
                  </from>
                  <to>
                    <xdr:col>1</xdr:col>
                    <xdr:colOff>525780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7" name="Button 18">
              <controlPr defaultSize="0" print="0" autoFill="0" autoPict="0" macro="[0]!Reimbursement_TAT">
                <anchor moveWithCells="1" sizeWithCells="1">
                  <from>
                    <xdr:col>10</xdr:col>
                    <xdr:colOff>45720</xdr:colOff>
                    <xdr:row>14</xdr:row>
                    <xdr:rowOff>30480</xdr:rowOff>
                  </from>
                  <to>
                    <xdr:col>11</xdr:col>
                    <xdr:colOff>563880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8" name="Button 19">
              <controlPr defaultSize="0" print="0" autoFill="0" autoPict="0" macro="[0]!E_SC_P">
                <anchor moveWithCells="1" sizeWithCells="1">
                  <from>
                    <xdr:col>0</xdr:col>
                    <xdr:colOff>30480</xdr:colOff>
                    <xdr:row>28</xdr:row>
                    <xdr:rowOff>45720</xdr:rowOff>
                  </from>
                  <to>
                    <xdr:col>1</xdr:col>
                    <xdr:colOff>563880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9" name="Button 20">
              <controlPr defaultSize="0" print="0" autoFill="0" autoPict="0" macro="[0]!SI_Utilization">
                <anchor moveWithCells="1" sizeWithCells="1">
                  <from>
                    <xdr:col>10</xdr:col>
                    <xdr:colOff>38100</xdr:colOff>
                    <xdr:row>28</xdr:row>
                    <xdr:rowOff>45720</xdr:rowOff>
                  </from>
                  <to>
                    <xdr:col>11</xdr:col>
                    <xdr:colOff>556260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0" name="Button 21">
              <controlPr defaultSize="0" print="0" autoFill="0" autoPict="0" macro="[0]!Deductions">
                <anchor moveWithCells="1" sizeWithCells="1">
                  <from>
                    <xdr:col>5</xdr:col>
                    <xdr:colOff>22860</xdr:colOff>
                    <xdr:row>42</xdr:row>
                    <xdr:rowOff>22860</xdr:rowOff>
                  </from>
                  <to>
                    <xdr:col>6</xdr:col>
                    <xdr:colOff>563880</xdr:colOff>
                    <xdr:row>44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80033-464A-40DA-9F3B-7E2AE2455B4B}">
  <sheetPr codeName="Sheet1"/>
  <dimension ref="A1:F9"/>
  <sheetViews>
    <sheetView workbookViewId="0">
      <selection activeCell="B7" sqref="B7"/>
    </sheetView>
  </sheetViews>
  <sheetFormatPr defaultRowHeight="14.4" x14ac:dyDescent="0.3"/>
  <cols>
    <col min="1" max="1" width="12.5546875" bestFit="1" customWidth="1"/>
    <col min="2" max="2" width="12" bestFit="1" customWidth="1"/>
    <col min="4" max="4" width="8.21875" bestFit="1" customWidth="1"/>
    <col min="5" max="5" width="3" bestFit="1" customWidth="1"/>
    <col min="6" max="6" width="4.44140625" bestFit="1" customWidth="1"/>
  </cols>
  <sheetData>
    <row r="1" spans="1:6" x14ac:dyDescent="0.3">
      <c r="A1" s="5" t="s">
        <v>10</v>
      </c>
      <c r="B1" t="s">
        <v>76</v>
      </c>
    </row>
    <row r="2" spans="1:6" x14ac:dyDescent="0.3">
      <c r="A2" s="5" t="s">
        <v>11</v>
      </c>
      <c r="B2" t="s">
        <v>76</v>
      </c>
    </row>
    <row r="4" spans="1:6" x14ac:dyDescent="0.3">
      <c r="A4" s="5" t="s">
        <v>27</v>
      </c>
      <c r="B4" t="s">
        <v>26</v>
      </c>
    </row>
    <row r="5" spans="1:6" x14ac:dyDescent="0.3">
      <c r="A5" s="6" t="s">
        <v>30</v>
      </c>
      <c r="B5" s="30"/>
      <c r="D5" t="s">
        <v>29</v>
      </c>
      <c r="E5">
        <f>IFERROR(VLOOKUP(D5,$A$5:$B$15,2,0),0)</f>
        <v>0</v>
      </c>
      <c r="F5" s="7" t="e">
        <f>E5/SUM($E$5:$E$9)</f>
        <v>#DIV/0!</v>
      </c>
    </row>
    <row r="6" spans="1:6" x14ac:dyDescent="0.3">
      <c r="A6" s="6" t="s">
        <v>76</v>
      </c>
      <c r="B6" s="30"/>
      <c r="D6" t="s">
        <v>58</v>
      </c>
      <c r="E6">
        <f t="shared" ref="E6:E9" si="0">IFERROR(VLOOKUP(D6,$A$5:$B$15,2,0),0)</f>
        <v>0</v>
      </c>
      <c r="F6" s="7" t="e">
        <f t="shared" ref="F6:F9" si="1">E6/SUM($E$5:$E$9)</f>
        <v>#DIV/0!</v>
      </c>
    </row>
    <row r="7" spans="1:6" x14ac:dyDescent="0.3">
      <c r="A7" s="6" t="s">
        <v>28</v>
      </c>
      <c r="B7" s="30"/>
      <c r="D7" t="s">
        <v>57</v>
      </c>
      <c r="E7">
        <f t="shared" si="0"/>
        <v>0</v>
      </c>
      <c r="F7" s="7" t="e">
        <f t="shared" si="1"/>
        <v>#DIV/0!</v>
      </c>
    </row>
    <row r="8" spans="1:6" x14ac:dyDescent="0.3">
      <c r="D8" t="s">
        <v>73</v>
      </c>
      <c r="E8">
        <f t="shared" si="0"/>
        <v>0</v>
      </c>
      <c r="F8" s="7" t="e">
        <f t="shared" si="1"/>
        <v>#DIV/0!</v>
      </c>
    </row>
    <row r="9" spans="1:6" x14ac:dyDescent="0.3">
      <c r="D9" t="s">
        <v>30</v>
      </c>
      <c r="E9">
        <f t="shared" si="0"/>
        <v>0</v>
      </c>
      <c r="F9" s="7" t="e">
        <f t="shared" si="1"/>
        <v>#DIV/0!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28D88-9B39-4CC1-8E57-30F86CB0E9AE}">
  <dimension ref="A3:F6"/>
  <sheetViews>
    <sheetView workbookViewId="0">
      <selection activeCell="K33" sqref="K33"/>
    </sheetView>
  </sheetViews>
  <sheetFormatPr defaultRowHeight="14.4" x14ac:dyDescent="0.3"/>
  <cols>
    <col min="1" max="1" width="12.5546875" bestFit="1" customWidth="1"/>
    <col min="2" max="2" width="12" bestFit="1" customWidth="1"/>
    <col min="3" max="3" width="6.88671875" customWidth="1"/>
    <col min="4" max="5" width="3" bestFit="1" customWidth="1"/>
    <col min="6" max="6" width="4.44140625" bestFit="1" customWidth="1"/>
  </cols>
  <sheetData>
    <row r="3" spans="1:6" x14ac:dyDescent="0.3">
      <c r="A3" s="5" t="s">
        <v>27</v>
      </c>
      <c r="B3" t="s">
        <v>26</v>
      </c>
    </row>
    <row r="4" spans="1:6" x14ac:dyDescent="0.3">
      <c r="A4" s="6" t="s">
        <v>76</v>
      </c>
      <c r="B4" s="30"/>
      <c r="D4" s="6" t="s">
        <v>18</v>
      </c>
      <c r="E4">
        <f>IFERROR(VLOOKUP(D4,$A$4:$B$10,2,0),0)</f>
        <v>0</v>
      </c>
      <c r="F4" s="7" t="e">
        <f>E4/SUM(E4:E8)</f>
        <v>#DIV/0!</v>
      </c>
    </row>
    <row r="5" spans="1:6" x14ac:dyDescent="0.3">
      <c r="A5" s="6" t="s">
        <v>28</v>
      </c>
      <c r="B5" s="30"/>
      <c r="D5" s="6" t="s">
        <v>23</v>
      </c>
      <c r="E5">
        <f t="shared" ref="E5:E6" si="0">IFERROR(VLOOKUP(D5,$A$4:$B$10,2,0),0)</f>
        <v>0</v>
      </c>
      <c r="F5" s="7" t="e">
        <f>E5/SUM(E4:E8)</f>
        <v>#DIV/0!</v>
      </c>
    </row>
    <row r="6" spans="1:6" x14ac:dyDescent="0.3">
      <c r="D6" s="6" t="s">
        <v>25</v>
      </c>
      <c r="E6">
        <f t="shared" si="0"/>
        <v>0</v>
      </c>
      <c r="F6" s="7" t="e">
        <f>E6/SUM(E4:E8)</f>
        <v>#DIV/0!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7754A-2B50-464F-802D-E153BF3A7191}">
  <dimension ref="A3:F5"/>
  <sheetViews>
    <sheetView workbookViewId="0">
      <selection activeCell="B5" sqref="B5"/>
    </sheetView>
  </sheetViews>
  <sheetFormatPr defaultRowHeight="14.4" x14ac:dyDescent="0.3"/>
  <cols>
    <col min="1" max="1" width="12.5546875" bestFit="1" customWidth="1"/>
    <col min="2" max="2" width="12" bestFit="1" customWidth="1"/>
    <col min="4" max="4" width="13.88671875" bestFit="1" customWidth="1"/>
    <col min="5" max="5" width="3" bestFit="1" customWidth="1"/>
    <col min="6" max="6" width="6" bestFit="1" customWidth="1"/>
  </cols>
  <sheetData>
    <row r="3" spans="1:6" x14ac:dyDescent="0.3">
      <c r="A3" s="5" t="s">
        <v>27</v>
      </c>
      <c r="B3" t="s">
        <v>26</v>
      </c>
    </row>
    <row r="4" spans="1:6" x14ac:dyDescent="0.3">
      <c r="A4" s="6" t="s">
        <v>76</v>
      </c>
      <c r="B4" s="30"/>
      <c r="D4" s="6" t="s">
        <v>21</v>
      </c>
      <c r="E4">
        <f>IFERROR(VLOOKUP(D4,$A$4:$B$8,2,0),0)</f>
        <v>0</v>
      </c>
      <c r="F4" s="8" t="e">
        <f>E4/SUM(E4:E5)</f>
        <v>#DIV/0!</v>
      </c>
    </row>
    <row r="5" spans="1:6" x14ac:dyDescent="0.3">
      <c r="A5" s="6" t="s">
        <v>28</v>
      </c>
      <c r="B5" s="30"/>
      <c r="D5" s="6" t="s">
        <v>19</v>
      </c>
      <c r="E5">
        <f>IFERROR(VLOOKUP(D5,$A$4:$B$8,2,0),0)</f>
        <v>0</v>
      </c>
      <c r="F5" s="8" t="e">
        <f>E5/SUM(E4:E5)</f>
        <v>#DIV/0!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E1751-7D76-49C3-8F90-F6E624347259}">
  <dimension ref="A3:F9"/>
  <sheetViews>
    <sheetView workbookViewId="0">
      <selection activeCell="B4" sqref="B4"/>
    </sheetView>
  </sheetViews>
  <sheetFormatPr defaultRowHeight="14.4" x14ac:dyDescent="0.3"/>
  <cols>
    <col min="1" max="1" width="12.5546875" bestFit="1" customWidth="1"/>
    <col min="2" max="2" width="12" bestFit="1" customWidth="1"/>
    <col min="3" max="3" width="8.88671875" customWidth="1"/>
    <col min="4" max="4" width="11.109375" bestFit="1" customWidth="1"/>
    <col min="5" max="5" width="3" bestFit="1" customWidth="1"/>
    <col min="6" max="6" width="4.44140625" bestFit="1" customWidth="1"/>
  </cols>
  <sheetData>
    <row r="3" spans="1:6" x14ac:dyDescent="0.3">
      <c r="A3" s="5" t="s">
        <v>27</v>
      </c>
      <c r="B3" t="s">
        <v>26</v>
      </c>
    </row>
    <row r="4" spans="1:6" x14ac:dyDescent="0.3">
      <c r="A4" s="6" t="s">
        <v>36</v>
      </c>
      <c r="B4" s="30"/>
      <c r="D4" s="6" t="s">
        <v>31</v>
      </c>
      <c r="E4">
        <f>IFERROR(VLOOKUP(D4,$A$4:$B$15,2,0),0)</f>
        <v>0</v>
      </c>
      <c r="F4" s="7" t="e">
        <f>E4/SUM($E$4:$E$9)</f>
        <v>#DIV/0!</v>
      </c>
    </row>
    <row r="5" spans="1:6" x14ac:dyDescent="0.3">
      <c r="A5" s="6" t="s">
        <v>76</v>
      </c>
      <c r="B5" s="30"/>
      <c r="D5" s="6" t="s">
        <v>32</v>
      </c>
      <c r="E5">
        <f t="shared" ref="E5:E9" si="0">IFERROR(VLOOKUP(D5,$A$4:$B$15,2,0),0)</f>
        <v>0</v>
      </c>
      <c r="F5" s="7" t="e">
        <f t="shared" ref="F5:F9" si="1">E5/SUM($E$4:$E$9)</f>
        <v>#DIV/0!</v>
      </c>
    </row>
    <row r="6" spans="1:6" x14ac:dyDescent="0.3">
      <c r="A6" s="6" t="s">
        <v>28</v>
      </c>
      <c r="B6" s="30"/>
      <c r="D6" s="6" t="s">
        <v>33</v>
      </c>
      <c r="E6">
        <f t="shared" si="0"/>
        <v>0</v>
      </c>
      <c r="F6" s="7" t="e">
        <f t="shared" si="1"/>
        <v>#DIV/0!</v>
      </c>
    </row>
    <row r="7" spans="1:6" x14ac:dyDescent="0.3">
      <c r="D7" s="6" t="s">
        <v>34</v>
      </c>
      <c r="E7">
        <f t="shared" si="0"/>
        <v>0</v>
      </c>
      <c r="F7" s="7" t="e">
        <f t="shared" si="1"/>
        <v>#DIV/0!</v>
      </c>
    </row>
    <row r="8" spans="1:6" x14ac:dyDescent="0.3">
      <c r="D8" s="6" t="s">
        <v>35</v>
      </c>
      <c r="E8">
        <f t="shared" si="0"/>
        <v>0</v>
      </c>
      <c r="F8" s="7" t="e">
        <f t="shared" si="1"/>
        <v>#DIV/0!</v>
      </c>
    </row>
    <row r="9" spans="1:6" x14ac:dyDescent="0.3">
      <c r="D9" s="6" t="s">
        <v>36</v>
      </c>
      <c r="E9">
        <f t="shared" si="0"/>
        <v>0</v>
      </c>
      <c r="F9" s="7" t="e">
        <f t="shared" si="1"/>
        <v>#DIV/0!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0A0B0-BA8F-411D-B073-9DA8928D7324}">
  <dimension ref="A3:F9"/>
  <sheetViews>
    <sheetView workbookViewId="0">
      <selection activeCell="B4" sqref="B4"/>
    </sheetView>
  </sheetViews>
  <sheetFormatPr defaultRowHeight="14.4" x14ac:dyDescent="0.3"/>
  <cols>
    <col min="1" max="1" width="12.5546875" bestFit="1" customWidth="1"/>
    <col min="2" max="2" width="12" bestFit="1" customWidth="1"/>
    <col min="4" max="4" width="11.109375" bestFit="1" customWidth="1"/>
    <col min="5" max="5" width="3" bestFit="1" customWidth="1"/>
    <col min="6" max="6" width="5.21875" bestFit="1" customWidth="1"/>
  </cols>
  <sheetData>
    <row r="3" spans="1:6" x14ac:dyDescent="0.3">
      <c r="A3" s="5" t="s">
        <v>27</v>
      </c>
      <c r="B3" t="s">
        <v>26</v>
      </c>
    </row>
    <row r="4" spans="1:6" x14ac:dyDescent="0.3">
      <c r="A4" s="6" t="s">
        <v>41</v>
      </c>
      <c r="B4" s="30"/>
      <c r="D4" s="6" t="s">
        <v>31</v>
      </c>
      <c r="E4">
        <f>IFERROR(VLOOKUP(D4,$A$4:$B$15,2,0),0)</f>
        <v>0</v>
      </c>
      <c r="F4" s="7" t="e">
        <f>E4/SUM($E$4:$E$9)</f>
        <v>#DIV/0!</v>
      </c>
    </row>
    <row r="5" spans="1:6" x14ac:dyDescent="0.3">
      <c r="A5" s="6" t="s">
        <v>76</v>
      </c>
      <c r="B5" s="30"/>
      <c r="D5" s="6" t="s">
        <v>37</v>
      </c>
      <c r="E5">
        <f t="shared" ref="E5:E9" si="0">IFERROR(VLOOKUP(D5,$A$4:$B$15,2,0),0)</f>
        <v>0</v>
      </c>
      <c r="F5" s="7" t="e">
        <f t="shared" ref="F5:F9" si="1">E5/SUM($E$4:$E$9)</f>
        <v>#DIV/0!</v>
      </c>
    </row>
    <row r="6" spans="1:6" x14ac:dyDescent="0.3">
      <c r="A6" s="6" t="s">
        <v>28</v>
      </c>
      <c r="B6" s="30"/>
      <c r="D6" s="6" t="s">
        <v>38</v>
      </c>
      <c r="E6">
        <f t="shared" si="0"/>
        <v>0</v>
      </c>
      <c r="F6" s="7" t="e">
        <f t="shared" si="1"/>
        <v>#DIV/0!</v>
      </c>
    </row>
    <row r="7" spans="1:6" x14ac:dyDescent="0.3">
      <c r="D7" s="6" t="s">
        <v>39</v>
      </c>
      <c r="E7">
        <f t="shared" si="0"/>
        <v>0</v>
      </c>
      <c r="F7" s="7" t="e">
        <f t="shared" si="1"/>
        <v>#DIV/0!</v>
      </c>
    </row>
    <row r="8" spans="1:6" x14ac:dyDescent="0.3">
      <c r="D8" s="6" t="s">
        <v>40</v>
      </c>
      <c r="E8">
        <f t="shared" si="0"/>
        <v>0</v>
      </c>
      <c r="F8" s="7" t="e">
        <f t="shared" si="1"/>
        <v>#DIV/0!</v>
      </c>
    </row>
    <row r="9" spans="1:6" x14ac:dyDescent="0.3">
      <c r="D9" s="6" t="s">
        <v>41</v>
      </c>
      <c r="E9">
        <f t="shared" si="0"/>
        <v>0</v>
      </c>
      <c r="F9" s="7" t="e">
        <f t="shared" si="1"/>
        <v>#DIV/0!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CEF8-ECA9-46C9-8D07-9D032288AD6E}">
  <dimension ref="A3:F6"/>
  <sheetViews>
    <sheetView workbookViewId="0">
      <selection activeCell="B5" sqref="B5"/>
    </sheetView>
  </sheetViews>
  <sheetFormatPr defaultRowHeight="14.4" x14ac:dyDescent="0.3"/>
  <cols>
    <col min="1" max="1" width="12.5546875" bestFit="1" customWidth="1"/>
    <col min="2" max="2" width="24.5546875" bestFit="1" customWidth="1"/>
    <col min="3" max="3" width="23.33203125" bestFit="1" customWidth="1"/>
  </cols>
  <sheetData>
    <row r="3" spans="1:6" x14ac:dyDescent="0.3">
      <c r="A3" s="5" t="s">
        <v>27</v>
      </c>
      <c r="B3" t="s">
        <v>75</v>
      </c>
    </row>
    <row r="4" spans="1:6" x14ac:dyDescent="0.3">
      <c r="A4" s="6" t="s">
        <v>76</v>
      </c>
      <c r="B4" s="30"/>
      <c r="D4" s="6" t="s">
        <v>24</v>
      </c>
      <c r="E4">
        <f>IFERROR(VLOOKUP(D4,$A$4:$B$12,2,0),0)</f>
        <v>0</v>
      </c>
      <c r="F4" s="7" t="e">
        <f>E4/SUM($E$4:$E$6)</f>
        <v>#DIV/0!</v>
      </c>
    </row>
    <row r="5" spans="1:6" x14ac:dyDescent="0.3">
      <c r="A5" s="6" t="s">
        <v>28</v>
      </c>
      <c r="B5" s="30"/>
      <c r="D5" s="6" t="s">
        <v>22</v>
      </c>
      <c r="E5">
        <f t="shared" ref="E5:E6" si="0">IFERROR(VLOOKUP(D5,$A$4:$B$12,2,0),0)</f>
        <v>0</v>
      </c>
      <c r="F5" s="7" t="e">
        <f t="shared" ref="F5:F6" si="1">E5/SUM($E$4:$E$6)</f>
        <v>#DIV/0!</v>
      </c>
    </row>
    <row r="6" spans="1:6" x14ac:dyDescent="0.3">
      <c r="D6" s="6" t="s">
        <v>20</v>
      </c>
      <c r="E6">
        <f t="shared" si="0"/>
        <v>0</v>
      </c>
      <c r="F6" s="7" t="e">
        <f t="shared" si="1"/>
        <v>#DIV/0!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20BAA-1DD8-400D-9223-8A9350562168}">
  <dimension ref="A3:F6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12" bestFit="1" customWidth="1"/>
  </cols>
  <sheetData>
    <row r="3" spans="1:6" x14ac:dyDescent="0.3">
      <c r="A3" s="5" t="s">
        <v>27</v>
      </c>
      <c r="B3" t="s">
        <v>26</v>
      </c>
    </row>
    <row r="4" spans="1:6" x14ac:dyDescent="0.3">
      <c r="A4" s="6" t="s">
        <v>76</v>
      </c>
      <c r="B4" s="30"/>
      <c r="D4" s="6" t="s">
        <v>24</v>
      </c>
      <c r="E4">
        <f>IFERROR(VLOOKUP(D4,$A$4:$B$12,2,0),0)</f>
        <v>0</v>
      </c>
      <c r="F4" s="7" t="e">
        <f>E4/SUM($E$4:$E$6)</f>
        <v>#DIV/0!</v>
      </c>
    </row>
    <row r="5" spans="1:6" x14ac:dyDescent="0.3">
      <c r="A5" s="6" t="s">
        <v>28</v>
      </c>
      <c r="B5" s="30"/>
      <c r="D5" s="6" t="s">
        <v>22</v>
      </c>
      <c r="E5">
        <f t="shared" ref="E5:E6" si="0">IFERROR(VLOOKUP(D5,$A$4:$B$12,2,0),0)</f>
        <v>0</v>
      </c>
      <c r="F5" s="7" t="e">
        <f t="shared" ref="F5:F6" si="1">E5/SUM($E$4:$E$6)</f>
        <v>#DIV/0!</v>
      </c>
    </row>
    <row r="6" spans="1:6" x14ac:dyDescent="0.3">
      <c r="D6" s="6" t="s">
        <v>20</v>
      </c>
      <c r="E6">
        <f t="shared" si="0"/>
        <v>0</v>
      </c>
      <c r="F6" s="7" t="e">
        <f t="shared" si="1"/>
        <v>#DIV/0!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C4420-41E3-4BE9-B573-D94A0D3D1932}">
  <dimension ref="A1:F15"/>
  <sheetViews>
    <sheetView showGridLines="0" topLeftCell="B1" zoomScale="90" zoomScaleNormal="90" workbookViewId="0">
      <selection activeCell="B16" sqref="B16"/>
    </sheetView>
  </sheetViews>
  <sheetFormatPr defaultRowHeight="14.4" x14ac:dyDescent="0.3"/>
  <cols>
    <col min="1" max="1" width="8.88671875" hidden="1" customWidth="1"/>
    <col min="2" max="2" width="34.77734375" bestFit="1" customWidth="1"/>
    <col min="3" max="3" width="13.33203125" customWidth="1"/>
  </cols>
  <sheetData>
    <row r="1" spans="1:6" x14ac:dyDescent="0.3">
      <c r="B1" s="3" t="s">
        <v>60</v>
      </c>
      <c r="C1" s="4">
        <v>100</v>
      </c>
    </row>
    <row r="2" spans="1:6" x14ac:dyDescent="0.3">
      <c r="B2" s="3" t="s">
        <v>70</v>
      </c>
      <c r="C2" s="4">
        <v>150</v>
      </c>
    </row>
    <row r="3" spans="1:6" x14ac:dyDescent="0.3">
      <c r="A3">
        <f>C2/C1</f>
        <v>1.5</v>
      </c>
      <c r="B3" s="24" t="s">
        <v>64</v>
      </c>
      <c r="C3" s="22">
        <f>IFERROR(C2/C1-1,"-")</f>
        <v>0.5</v>
      </c>
    </row>
    <row r="4" spans="1:6" x14ac:dyDescent="0.3">
      <c r="A4">
        <f>C1+C4</f>
        <v>150</v>
      </c>
      <c r="B4" s="3" t="s">
        <v>71</v>
      </c>
      <c r="C4" s="4">
        <v>50</v>
      </c>
    </row>
    <row r="5" spans="1:6" x14ac:dyDescent="0.3">
      <c r="B5" s="3" t="s">
        <v>61</v>
      </c>
      <c r="C5" s="4">
        <v>1000000</v>
      </c>
    </row>
    <row r="6" spans="1:6" x14ac:dyDescent="0.3">
      <c r="B6" s="24" t="s">
        <v>65</v>
      </c>
      <c r="C6" s="21">
        <f>IFERROR(C5/AVERAGE(A4,C1),"-")</f>
        <v>8000</v>
      </c>
    </row>
    <row r="7" spans="1:6" x14ac:dyDescent="0.3">
      <c r="B7" s="24" t="s">
        <v>69</v>
      </c>
      <c r="C7" s="22">
        <v>0.1</v>
      </c>
    </row>
    <row r="8" spans="1:6" x14ac:dyDescent="0.3">
      <c r="B8" s="3" t="s">
        <v>62</v>
      </c>
      <c r="C8" s="4">
        <v>600000</v>
      </c>
    </row>
    <row r="9" spans="1:6" x14ac:dyDescent="0.3">
      <c r="B9" s="23"/>
      <c r="C9" s="23"/>
    </row>
    <row r="10" spans="1:6" x14ac:dyDescent="0.3">
      <c r="B10" s="26" t="s">
        <v>63</v>
      </c>
      <c r="C10" s="27">
        <f>IFERROR(C6*A3*(1+C7)*C1,"-")</f>
        <v>1320000.0000000002</v>
      </c>
      <c r="F10" t="s">
        <v>72</v>
      </c>
    </row>
    <row r="12" spans="1:6" x14ac:dyDescent="0.3">
      <c r="B12" s="28" t="s">
        <v>66</v>
      </c>
      <c r="C12" s="4"/>
    </row>
    <row r="13" spans="1:6" x14ac:dyDescent="0.3">
      <c r="B13" s="1" t="s">
        <v>67</v>
      </c>
      <c r="C13" s="25">
        <f>C3</f>
        <v>0.5</v>
      </c>
    </row>
    <row r="14" spans="1:6" x14ac:dyDescent="0.3">
      <c r="B14" s="1" t="s">
        <v>68</v>
      </c>
      <c r="C14" s="25">
        <f>IFERROR((C6/(C8/C1))-1,"-")</f>
        <v>0.33333333333333326</v>
      </c>
    </row>
    <row r="15" spans="1:6" x14ac:dyDescent="0.3">
      <c r="B15" s="1" t="s">
        <v>69</v>
      </c>
      <c r="C15" s="25">
        <f>IF(C7="","-",C7)</f>
        <v>0.1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edf6b5f7-d342-49f2-86e7-16b167db190f" xsi:nil="true"/>
    <TaxCatchAll xmlns="2b47590b-d718-474f-a7b3-10b44959738c" xsi:nil="true"/>
    <lcf76f155ced4ddcb4097134ff3c332f xmlns="edf6b5f7-d342-49f2-86e7-16b167db190f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BD4E4ACEE17047B2CD88717FF8D421" ma:contentTypeVersion="21" ma:contentTypeDescription="Create a new document." ma:contentTypeScope="" ma:versionID="a39149432796a8a5ac3476c29ac77687">
  <xsd:schema xmlns:xsd="http://www.w3.org/2001/XMLSchema" xmlns:xs="http://www.w3.org/2001/XMLSchema" xmlns:p="http://schemas.microsoft.com/office/2006/metadata/properties" xmlns:ns2="edf6b5f7-d342-49f2-86e7-16b167db190f" xmlns:ns3="2b47590b-d718-474f-a7b3-10b44959738c" targetNamespace="http://schemas.microsoft.com/office/2006/metadata/properties" ma:root="true" ma:fieldsID="1a52db9392da18844b66f7fc49b74c14" ns2:_="" ns3:_="">
    <xsd:import namespace="edf6b5f7-d342-49f2-86e7-16b167db190f"/>
    <xsd:import namespace="2b47590b-d718-474f-a7b3-10b449597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f6b5f7-d342-49f2-86e7-16b167db19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454ba23b-1f8a-4162-98cf-07c68cba3f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7590b-d718-474f-a7b3-10b449597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d814ff0-5522-4f97-b5fe-6179ba350c79}" ma:internalName="TaxCatchAll" ma:showField="CatchAllData" ma:web="2b47590b-d718-474f-a7b3-10b44959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3A2CB7-8F73-4133-B463-6EB745EC57B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9C7033-D3D2-489B-AF7D-63794A295AEF}">
  <ds:schemaRefs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edf6b5f7-d342-49f2-86e7-16b167db190f"/>
    <ds:schemaRef ds:uri="http://schemas.openxmlformats.org/package/2006/metadata/core-properties"/>
    <ds:schemaRef ds:uri="2b47590b-d718-474f-a7b3-10b44959738c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9ABF5CF-025C-4888-9EA3-A44A74D6F1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f6b5f7-d342-49f2-86e7-16b167db190f"/>
    <ds:schemaRef ds:uri="2b47590b-d718-474f-a7b3-10b449597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Instructions</vt:lpstr>
      <vt:lpstr>Sheet1</vt:lpstr>
      <vt:lpstr>Data Sheet</vt:lpstr>
      <vt:lpstr>FINAL SHEET</vt:lpstr>
      <vt:lpstr>Reimbursement TAT</vt:lpstr>
      <vt:lpstr>E vs SC vs P</vt:lpstr>
      <vt:lpstr>Claim Type</vt:lpstr>
      <vt:lpstr>Deductions %</vt:lpstr>
      <vt:lpstr>% Utilization of SI</vt:lpstr>
      <vt:lpstr>Claim status (value)</vt:lpstr>
      <vt:lpstr>Claim status (count)</vt:lpstr>
      <vt:lpstr>Renewal Price Predictor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Nipun Taneja</dc:creator>
  <cp:lastModifiedBy>Anuj Parekh</cp:lastModifiedBy>
  <dcterms:created xsi:type="dcterms:W3CDTF">2015-06-05T18:17:20Z</dcterms:created>
  <dcterms:modified xsi:type="dcterms:W3CDTF">2026-06-18T19:42:28Z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0x01010070BD4E4ACEE17047B2CD88717FF8D421</vt:lpwstr>
  </property>
  <property fmtid="{D5CDD505-2E9C-101B-9397-08002B2CF9AE}" pid="3" name="MediaServiceImageTags">
    <vt:lpwstr/>
  </property>
</Properties>
</file>