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healthysurein.sharepoint.com/sites/HealthySureGroup/HealthySure/HealthySure/Employee Benefits Platform/Placements/Premium Calculators/Insurers/BAGIC/"/>
    </mc:Choice>
  </mc:AlternateContent>
  <xr:revisionPtr revIDLastSave="457" documentId="13_ncr:1_{9FA875AD-6CB5-4607-87BD-F4FE13D179AA}" xr6:coauthVersionLast="47" xr6:coauthVersionMax="47" xr10:uidLastSave="{88C3345B-17E3-4BF2-AEEB-B63D01BE688E}"/>
  <bookViews>
    <workbookView xWindow="-108" yWindow="-108" windowWidth="23256" windowHeight="13896" activeTab="1" xr2:uid="{00000000-000D-0000-FFFF-FFFF00000000}"/>
  </bookViews>
  <sheets>
    <sheet name="Final Sheet" sheetId="2" r:id="rId1"/>
    <sheet name="GHI Policy Features" sheetId="6" r:id="rId2"/>
    <sheet name="Calculations" sheetId="4" state="hidden" r:id="rId3"/>
    <sheet name="Age Band Raters" sheetId="1" state="hidden" r:id="rId4"/>
    <sheet name="Drop Down Options" sheetId="3" state="hidden" r:id="rId5"/>
  </sheets>
  <externalReferences>
    <externalReference r:id="rId6"/>
    <externalReference r:id="rId7"/>
  </externalReferences>
  <definedNames>
    <definedName name="_xlnm._FilterDatabase" localSheetId="2" hidden="1">Calculations!$A$1:$E$41</definedName>
    <definedName name="_xlnm._FilterDatabase" localSheetId="4" hidden="1">'Drop Down Options'!$G$1:$G$25</definedName>
    <definedName name="_xlnm._FilterDatabase" localSheetId="1" hidden="1">'GHI Policy Features'!$E$112:$H$112</definedName>
    <definedName name="features">'[1]BASE GHI TP'!$B$1:$BS$1</definedName>
    <definedName name="GPA_features">'[1]GPA DB'!$G$3:$P$3</definedName>
    <definedName name="GPA_Insurers">'[1]GPA DB'!$A$4:$A$12</definedName>
    <definedName name="GPA_number_of_lives_expiring">'[1]High Level Quotes - Working'!$T$22</definedName>
    <definedName name="GPA_opt1_number_of_employees_expiring">'[1]High Level Quotes - Working'!$T$22</definedName>
    <definedName name="GPA_opt1_number_of_employees_renewal">'[1]High Level Quotes - Working'!$R$22</definedName>
    <definedName name="GPA_opt2_number_of_employees_renewal">'[1]High Level Quotes - Working'!$R$24</definedName>
    <definedName name="GTLI_Features">'[2]GTLI DB'!$E$7:$K$7</definedName>
    <definedName name="GTLI_number_of_employees_expiring">'[1]High Level Quotes - Working'!$T$32</definedName>
    <definedName name="GTLI_opt1_number_of_employees_renewal">'[1]High Level Quotes - Working'!$R$32</definedName>
    <definedName name="GTLI_opt2_number_of_employees_renewal">'[1]High Level Quotes - Working'!$R$34</definedName>
    <definedName name="number_of_employees_expiring">'[1]High Level Quotes - Slide 1'!$U$6</definedName>
    <definedName name="number_of_lives_expiring">'[1]High Level Quotes - Slide 1'!$V$6</definedName>
    <definedName name="opt1_number_of_employees_renewal">'[1]High Level Quotes - Slide 1'!$R$6</definedName>
    <definedName name="opt1_number_of_lives_renewal">'[1]High Level Quotes - Slide 1'!$S$6</definedName>
    <definedName name="opt2_number_of_lives_renewal">'[1]High Level Quotes - Slide 1'!$S$7</definedName>
    <definedName name="opt3_number_of_lives_renewal">'[1]High Level Quotes - Slide 1'!$S$8</definedName>
    <definedName name="opt4_number_of_lives_renewal">'[1]High Level Quotes - Slide 1'!$S$9</definedName>
    <definedName name="opt5_number_of_lives_renewal">'[1]High Level Quotes - Slide 1'!$S$10</definedName>
    <definedName name="policy_features_custom">'GHI Policy Features'!$C$17:$C$62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6" l="1"/>
  <c r="I14" i="6"/>
  <c r="H14" i="6"/>
  <c r="G18" i="2"/>
  <c r="C12" i="2"/>
  <c r="G55" i="6"/>
  <c r="E41" i="6"/>
  <c r="E40" i="6"/>
  <c r="E39" i="6"/>
  <c r="E35" i="6"/>
  <c r="E23" i="6"/>
  <c r="G19" i="6"/>
  <c r="G18" i="6"/>
  <c r="G17" i="6"/>
  <c r="G11" i="6"/>
  <c r="G6" i="6"/>
  <c r="G3" i="6"/>
  <c r="C4" i="2" l="1"/>
  <c r="G2" i="2"/>
  <c r="C2" i="2"/>
  <c r="P3" i="4"/>
  <c r="P4" i="4"/>
  <c r="P5" i="4"/>
  <c r="P6" i="4"/>
  <c r="P7" i="4"/>
  <c r="P2" i="4"/>
  <c r="B32" i="2" l="1"/>
  <c r="O11" i="4"/>
  <c r="P11" i="4" s="1"/>
  <c r="O10" i="4"/>
  <c r="P10" i="4" s="1"/>
  <c r="O9" i="4"/>
  <c r="P9" i="4" s="1"/>
  <c r="O8" i="4"/>
  <c r="P8" i="4" s="1"/>
  <c r="E41" i="4"/>
  <c r="E39" i="4"/>
  <c r="E31" i="4"/>
  <c r="E29" i="4"/>
  <c r="E28" i="4"/>
  <c r="E26" i="4"/>
  <c r="E24" i="4"/>
  <c r="E21" i="4"/>
  <c r="E20" i="4"/>
  <c r="E19" i="4"/>
  <c r="E18" i="4"/>
  <c r="E16" i="4"/>
  <c r="E15" i="4"/>
  <c r="E14" i="4"/>
  <c r="E13" i="4"/>
  <c r="E11" i="4"/>
  <c r="E10" i="4"/>
  <c r="E9" i="4"/>
  <c r="E8" i="4"/>
  <c r="E6" i="4"/>
  <c r="E5" i="4"/>
  <c r="E4" i="4"/>
  <c r="E3" i="4"/>
  <c r="E2" i="4"/>
  <c r="C6" i="2"/>
  <c r="B31" i="2" s="1"/>
  <c r="E37" i="4"/>
  <c r="E32" i="4"/>
  <c r="E27" i="4"/>
  <c r="E22" i="4"/>
  <c r="E17" i="4"/>
  <c r="E12" i="4"/>
  <c r="E7" i="4"/>
  <c r="F107" i="1"/>
  <c r="E155" i="4" s="1"/>
  <c r="E107" i="1"/>
  <c r="D155" i="4" s="1"/>
  <c r="D107" i="1"/>
  <c r="C107" i="1"/>
  <c r="B155" i="4" s="1"/>
  <c r="F106" i="1"/>
  <c r="E154" i="4" s="1"/>
  <c r="E106" i="1"/>
  <c r="D154" i="4" s="1"/>
  <c r="D106" i="1"/>
  <c r="C154" i="4" s="1"/>
  <c r="C106" i="1"/>
  <c r="B154" i="4" s="1"/>
  <c r="F105" i="1"/>
  <c r="E153" i="4" s="1"/>
  <c r="E105" i="1"/>
  <c r="D153" i="4" s="1"/>
  <c r="D105" i="1"/>
  <c r="C153" i="4" s="1"/>
  <c r="C105" i="1"/>
  <c r="B153" i="4" s="1"/>
  <c r="F104" i="1"/>
  <c r="E152" i="4" s="1"/>
  <c r="E104" i="1"/>
  <c r="D152" i="4" s="1"/>
  <c r="D104" i="1"/>
  <c r="C152" i="4" s="1"/>
  <c r="C104" i="1"/>
  <c r="B152" i="4" s="1"/>
  <c r="F103" i="1"/>
  <c r="E151" i="4" s="1"/>
  <c r="E103" i="1"/>
  <c r="D151" i="4" s="1"/>
  <c r="D103" i="1"/>
  <c r="C151" i="4" s="1"/>
  <c r="C103" i="1"/>
  <c r="B151" i="4" s="1"/>
  <c r="F102" i="1"/>
  <c r="E150" i="4" s="1"/>
  <c r="E102" i="1"/>
  <c r="D150" i="4" s="1"/>
  <c r="D102" i="1"/>
  <c r="C150" i="4" s="1"/>
  <c r="C102" i="1"/>
  <c r="B150" i="4" s="1"/>
  <c r="F101" i="1"/>
  <c r="E149" i="4" s="1"/>
  <c r="E101" i="1"/>
  <c r="D149" i="4" s="1"/>
  <c r="D101" i="1"/>
  <c r="C149" i="4" s="1"/>
  <c r="C101" i="1"/>
  <c r="B149" i="4" s="1"/>
  <c r="F100" i="1"/>
  <c r="E148" i="4" s="1"/>
  <c r="E100" i="1"/>
  <c r="D148" i="4" s="1"/>
  <c r="D100" i="1"/>
  <c r="C148" i="4" s="1"/>
  <c r="C100" i="1"/>
  <c r="B148" i="4" s="1"/>
  <c r="F99" i="1"/>
  <c r="E147" i="4" s="1"/>
  <c r="E99" i="1"/>
  <c r="D147" i="4" s="1"/>
  <c r="D99" i="1"/>
  <c r="C147" i="4" s="1"/>
  <c r="C99" i="1"/>
  <c r="B147" i="4" s="1"/>
  <c r="F98" i="1"/>
  <c r="E146" i="4" s="1"/>
  <c r="E98" i="1"/>
  <c r="D146" i="4" s="1"/>
  <c r="D98" i="1"/>
  <c r="C98" i="1"/>
  <c r="B146" i="4" s="1"/>
  <c r="L107" i="1"/>
  <c r="K155" i="4" s="1"/>
  <c r="K107" i="1"/>
  <c r="J155" i="4" s="1"/>
  <c r="J107" i="1"/>
  <c r="I155" i="4" s="1"/>
  <c r="I107" i="1"/>
  <c r="H155" i="4" s="1"/>
  <c r="L106" i="1"/>
  <c r="K154" i="4" s="1"/>
  <c r="K106" i="1"/>
  <c r="J154" i="4" s="1"/>
  <c r="J106" i="1"/>
  <c r="I154" i="4" s="1"/>
  <c r="I106" i="1"/>
  <c r="H154" i="4" s="1"/>
  <c r="L105" i="1"/>
  <c r="K153" i="4" s="1"/>
  <c r="K105" i="1"/>
  <c r="J153" i="4" s="1"/>
  <c r="J105" i="1"/>
  <c r="I153" i="4" s="1"/>
  <c r="I105" i="1"/>
  <c r="H153" i="4" s="1"/>
  <c r="L104" i="1"/>
  <c r="K152" i="4" s="1"/>
  <c r="K104" i="1"/>
  <c r="J152" i="4" s="1"/>
  <c r="J104" i="1"/>
  <c r="I152" i="4" s="1"/>
  <c r="I104" i="1"/>
  <c r="H152" i="4" s="1"/>
  <c r="L103" i="1"/>
  <c r="K151" i="4" s="1"/>
  <c r="K103" i="1"/>
  <c r="J151" i="4" s="1"/>
  <c r="J103" i="1"/>
  <c r="I151" i="4" s="1"/>
  <c r="I103" i="1"/>
  <c r="H151" i="4" s="1"/>
  <c r="L102" i="1"/>
  <c r="K150" i="4" s="1"/>
  <c r="K102" i="1"/>
  <c r="J150" i="4" s="1"/>
  <c r="J102" i="1"/>
  <c r="I102" i="1"/>
  <c r="H150" i="4" s="1"/>
  <c r="L101" i="1"/>
  <c r="K149" i="4" s="1"/>
  <c r="K101" i="1"/>
  <c r="J149" i="4" s="1"/>
  <c r="J101" i="1"/>
  <c r="I149" i="4" s="1"/>
  <c r="I101" i="1"/>
  <c r="H149" i="4" s="1"/>
  <c r="L100" i="1"/>
  <c r="K148" i="4" s="1"/>
  <c r="K100" i="1"/>
  <c r="J148" i="4" s="1"/>
  <c r="J100" i="1"/>
  <c r="I148" i="4" s="1"/>
  <c r="I100" i="1"/>
  <c r="H148" i="4" s="1"/>
  <c r="L99" i="1"/>
  <c r="K147" i="4" s="1"/>
  <c r="K99" i="1"/>
  <c r="J147" i="4" s="1"/>
  <c r="J99" i="1"/>
  <c r="I99" i="1"/>
  <c r="H147" i="4" s="1"/>
  <c r="L98" i="1"/>
  <c r="K146" i="4" s="1"/>
  <c r="K98" i="1"/>
  <c r="J146" i="4" s="1"/>
  <c r="J98" i="1"/>
  <c r="I146" i="4" s="1"/>
  <c r="I98" i="1"/>
  <c r="H146" i="4" s="1"/>
  <c r="L94" i="1"/>
  <c r="K142" i="4" s="1"/>
  <c r="K94" i="1"/>
  <c r="J142" i="4" s="1"/>
  <c r="J94" i="1"/>
  <c r="I142" i="4" s="1"/>
  <c r="I94" i="1"/>
  <c r="H142" i="4" s="1"/>
  <c r="L93" i="1"/>
  <c r="K141" i="4" s="1"/>
  <c r="K93" i="1"/>
  <c r="J141" i="4" s="1"/>
  <c r="J93" i="1"/>
  <c r="I141" i="4" s="1"/>
  <c r="I93" i="1"/>
  <c r="H141" i="4" s="1"/>
  <c r="L92" i="1"/>
  <c r="K140" i="4" s="1"/>
  <c r="K92" i="1"/>
  <c r="J140" i="4" s="1"/>
  <c r="J92" i="1"/>
  <c r="I140" i="4" s="1"/>
  <c r="I92" i="1"/>
  <c r="H140" i="4" s="1"/>
  <c r="L91" i="1"/>
  <c r="K139" i="4" s="1"/>
  <c r="K91" i="1"/>
  <c r="J139" i="4" s="1"/>
  <c r="J91" i="1"/>
  <c r="I139" i="4" s="1"/>
  <c r="I91" i="1"/>
  <c r="H139" i="4" s="1"/>
  <c r="L90" i="1"/>
  <c r="K138" i="4" s="1"/>
  <c r="K90" i="1"/>
  <c r="J138" i="4" s="1"/>
  <c r="J90" i="1"/>
  <c r="I90" i="1"/>
  <c r="L89" i="1"/>
  <c r="K137" i="4" s="1"/>
  <c r="K89" i="1"/>
  <c r="J137" i="4" s="1"/>
  <c r="J89" i="1"/>
  <c r="I137" i="4" s="1"/>
  <c r="I89" i="1"/>
  <c r="H137" i="4" s="1"/>
  <c r="L88" i="1"/>
  <c r="K136" i="4" s="1"/>
  <c r="K88" i="1"/>
  <c r="J136" i="4" s="1"/>
  <c r="J88" i="1"/>
  <c r="I136" i="4" s="1"/>
  <c r="I88" i="1"/>
  <c r="H136" i="4" s="1"/>
  <c r="L87" i="1"/>
  <c r="K135" i="4" s="1"/>
  <c r="K87" i="1"/>
  <c r="J135" i="4" s="1"/>
  <c r="J87" i="1"/>
  <c r="I135" i="4" s="1"/>
  <c r="I87" i="1"/>
  <c r="H135" i="4" s="1"/>
  <c r="L86" i="1"/>
  <c r="K134" i="4" s="1"/>
  <c r="K86" i="1"/>
  <c r="J134" i="4" s="1"/>
  <c r="J86" i="1"/>
  <c r="I134" i="4" s="1"/>
  <c r="I86" i="1"/>
  <c r="H134" i="4" s="1"/>
  <c r="L85" i="1"/>
  <c r="K133" i="4" s="1"/>
  <c r="K85" i="1"/>
  <c r="J133" i="4" s="1"/>
  <c r="J85" i="1"/>
  <c r="I133" i="4" s="1"/>
  <c r="I85" i="1"/>
  <c r="H133" i="4" s="1"/>
  <c r="D85" i="1"/>
  <c r="C133" i="4" s="1"/>
  <c r="E85" i="1"/>
  <c r="D133" i="4" s="1"/>
  <c r="F85" i="1"/>
  <c r="D86" i="1"/>
  <c r="C134" i="4" s="1"/>
  <c r="E86" i="1"/>
  <c r="D134" i="4" s="1"/>
  <c r="F86" i="1"/>
  <c r="E134" i="4" s="1"/>
  <c r="D87" i="1"/>
  <c r="C135" i="4" s="1"/>
  <c r="E87" i="1"/>
  <c r="D135" i="4" s="1"/>
  <c r="F87" i="1"/>
  <c r="E135" i="4" s="1"/>
  <c r="D88" i="1"/>
  <c r="C136" i="4" s="1"/>
  <c r="E88" i="1"/>
  <c r="D136" i="4" s="1"/>
  <c r="F88" i="1"/>
  <c r="E136" i="4" s="1"/>
  <c r="D89" i="1"/>
  <c r="C137" i="4" s="1"/>
  <c r="E89" i="1"/>
  <c r="D137" i="4" s="1"/>
  <c r="F89" i="1"/>
  <c r="D90" i="1"/>
  <c r="C138" i="4" s="1"/>
  <c r="E90" i="1"/>
  <c r="D138" i="4" s="1"/>
  <c r="F90" i="1"/>
  <c r="E138" i="4" s="1"/>
  <c r="D91" i="1"/>
  <c r="C139" i="4" s="1"/>
  <c r="E91" i="1"/>
  <c r="D139" i="4" s="1"/>
  <c r="F91" i="1"/>
  <c r="E139" i="4" s="1"/>
  <c r="D92" i="1"/>
  <c r="C140" i="4" s="1"/>
  <c r="E92" i="1"/>
  <c r="D140" i="4" s="1"/>
  <c r="F92" i="1"/>
  <c r="E140" i="4" s="1"/>
  <c r="D93" i="1"/>
  <c r="C141" i="4" s="1"/>
  <c r="E93" i="1"/>
  <c r="D141" i="4" s="1"/>
  <c r="F93" i="1"/>
  <c r="E141" i="4" s="1"/>
  <c r="D94" i="1"/>
  <c r="C142" i="4" s="1"/>
  <c r="E94" i="1"/>
  <c r="D142" i="4" s="1"/>
  <c r="F94" i="1"/>
  <c r="E142" i="4" s="1"/>
  <c r="C86" i="1"/>
  <c r="B134" i="4" s="1"/>
  <c r="C87" i="1"/>
  <c r="B135" i="4" s="1"/>
  <c r="C88" i="1"/>
  <c r="B136" i="4" s="1"/>
  <c r="C89" i="1"/>
  <c r="B137" i="4" s="1"/>
  <c r="C90" i="1"/>
  <c r="B138" i="4" s="1"/>
  <c r="C91" i="1"/>
  <c r="B139" i="4" s="1"/>
  <c r="C92" i="1"/>
  <c r="B140" i="4" s="1"/>
  <c r="C93" i="1"/>
  <c r="B141" i="4" s="1"/>
  <c r="C94" i="1"/>
  <c r="B142" i="4" s="1"/>
  <c r="C85" i="1"/>
  <c r="B133" i="4" s="1"/>
  <c r="F80" i="1"/>
  <c r="E128" i="4" s="1"/>
  <c r="E80" i="1"/>
  <c r="D128" i="4" s="1"/>
  <c r="D80" i="1"/>
  <c r="C128" i="4" s="1"/>
  <c r="C80" i="1"/>
  <c r="B128" i="4" s="1"/>
  <c r="F79" i="1"/>
  <c r="E127" i="4" s="1"/>
  <c r="E79" i="1"/>
  <c r="D127" i="4" s="1"/>
  <c r="D79" i="1"/>
  <c r="C127" i="4" s="1"/>
  <c r="C79" i="1"/>
  <c r="B127" i="4" s="1"/>
  <c r="F78" i="1"/>
  <c r="E126" i="4" s="1"/>
  <c r="E78" i="1"/>
  <c r="D126" i="4" s="1"/>
  <c r="D78" i="1"/>
  <c r="C78" i="1"/>
  <c r="B126" i="4" s="1"/>
  <c r="F77" i="1"/>
  <c r="E125" i="4" s="1"/>
  <c r="E77" i="1"/>
  <c r="D125" i="4" s="1"/>
  <c r="D77" i="1"/>
  <c r="C125" i="4" s="1"/>
  <c r="C77" i="1"/>
  <c r="B125" i="4" s="1"/>
  <c r="F76" i="1"/>
  <c r="E124" i="4" s="1"/>
  <c r="E76" i="1"/>
  <c r="D124" i="4" s="1"/>
  <c r="D76" i="1"/>
  <c r="C124" i="4" s="1"/>
  <c r="C76" i="1"/>
  <c r="B124" i="4" s="1"/>
  <c r="F75" i="1"/>
  <c r="E123" i="4" s="1"/>
  <c r="E75" i="1"/>
  <c r="D123" i="4" s="1"/>
  <c r="D75" i="1"/>
  <c r="C123" i="4" s="1"/>
  <c r="C75" i="1"/>
  <c r="B123" i="4" s="1"/>
  <c r="F74" i="1"/>
  <c r="E122" i="4" s="1"/>
  <c r="E74" i="1"/>
  <c r="D122" i="4" s="1"/>
  <c r="D74" i="1"/>
  <c r="C122" i="4" s="1"/>
  <c r="C74" i="1"/>
  <c r="B122" i="4" s="1"/>
  <c r="F73" i="1"/>
  <c r="E121" i="4" s="1"/>
  <c r="E73" i="1"/>
  <c r="D121" i="4" s="1"/>
  <c r="D73" i="1"/>
  <c r="C121" i="4" s="1"/>
  <c r="C73" i="1"/>
  <c r="B121" i="4" s="1"/>
  <c r="F72" i="1"/>
  <c r="E120" i="4" s="1"/>
  <c r="E72" i="1"/>
  <c r="D120" i="4" s="1"/>
  <c r="D72" i="1"/>
  <c r="C72" i="1"/>
  <c r="F71" i="1"/>
  <c r="E119" i="4" s="1"/>
  <c r="E71" i="1"/>
  <c r="D119" i="4" s="1"/>
  <c r="D71" i="1"/>
  <c r="C119" i="4" s="1"/>
  <c r="C71" i="1"/>
  <c r="B119" i="4" s="1"/>
  <c r="L80" i="1"/>
  <c r="K128" i="4" s="1"/>
  <c r="K80" i="1"/>
  <c r="J128" i="4" s="1"/>
  <c r="J80" i="1"/>
  <c r="I128" i="4" s="1"/>
  <c r="I80" i="1"/>
  <c r="H128" i="4" s="1"/>
  <c r="L79" i="1"/>
  <c r="K127" i="4" s="1"/>
  <c r="K79" i="1"/>
  <c r="J127" i="4" s="1"/>
  <c r="J79" i="1"/>
  <c r="I127" i="4" s="1"/>
  <c r="I79" i="1"/>
  <c r="H127" i="4" s="1"/>
  <c r="L78" i="1"/>
  <c r="K126" i="4" s="1"/>
  <c r="K78" i="1"/>
  <c r="J126" i="4" s="1"/>
  <c r="J78" i="1"/>
  <c r="I126" i="4" s="1"/>
  <c r="I78" i="1"/>
  <c r="H126" i="4" s="1"/>
  <c r="L77" i="1"/>
  <c r="K125" i="4" s="1"/>
  <c r="K77" i="1"/>
  <c r="J125" i="4" s="1"/>
  <c r="J77" i="1"/>
  <c r="I125" i="4" s="1"/>
  <c r="I77" i="1"/>
  <c r="H125" i="4" s="1"/>
  <c r="L76" i="1"/>
  <c r="K124" i="4" s="1"/>
  <c r="K76" i="1"/>
  <c r="J124" i="4" s="1"/>
  <c r="J76" i="1"/>
  <c r="I124" i="4" s="1"/>
  <c r="I76" i="1"/>
  <c r="H124" i="4" s="1"/>
  <c r="L75" i="1"/>
  <c r="K123" i="4" s="1"/>
  <c r="K75" i="1"/>
  <c r="J123" i="4" s="1"/>
  <c r="J75" i="1"/>
  <c r="I123" i="4" s="1"/>
  <c r="I75" i="1"/>
  <c r="H123" i="4" s="1"/>
  <c r="L74" i="1"/>
  <c r="K122" i="4" s="1"/>
  <c r="K74" i="1"/>
  <c r="J122" i="4" s="1"/>
  <c r="J74" i="1"/>
  <c r="I122" i="4" s="1"/>
  <c r="I74" i="1"/>
  <c r="H122" i="4" s="1"/>
  <c r="L73" i="1"/>
  <c r="K121" i="4" s="1"/>
  <c r="K73" i="1"/>
  <c r="J121" i="4" s="1"/>
  <c r="J73" i="1"/>
  <c r="I121" i="4" s="1"/>
  <c r="I73" i="1"/>
  <c r="L72" i="1"/>
  <c r="K120" i="4" s="1"/>
  <c r="K72" i="1"/>
  <c r="J120" i="4" s="1"/>
  <c r="J72" i="1"/>
  <c r="I120" i="4" s="1"/>
  <c r="I72" i="1"/>
  <c r="H120" i="4" s="1"/>
  <c r="L71" i="1"/>
  <c r="K119" i="4" s="1"/>
  <c r="K71" i="1"/>
  <c r="J119" i="4" s="1"/>
  <c r="J71" i="1"/>
  <c r="I119" i="4" s="1"/>
  <c r="I71" i="1"/>
  <c r="H119" i="4" s="1"/>
  <c r="L67" i="1"/>
  <c r="K115" i="4" s="1"/>
  <c r="K67" i="1"/>
  <c r="J115" i="4" s="1"/>
  <c r="J67" i="1"/>
  <c r="I115" i="4" s="1"/>
  <c r="I67" i="1"/>
  <c r="H115" i="4" s="1"/>
  <c r="L66" i="1"/>
  <c r="K114" i="4" s="1"/>
  <c r="K66" i="1"/>
  <c r="J114" i="4" s="1"/>
  <c r="J66" i="1"/>
  <c r="I114" i="4" s="1"/>
  <c r="I66" i="1"/>
  <c r="H114" i="4" s="1"/>
  <c r="L65" i="1"/>
  <c r="K113" i="4" s="1"/>
  <c r="K65" i="1"/>
  <c r="J113" i="4" s="1"/>
  <c r="J65" i="1"/>
  <c r="I113" i="4" s="1"/>
  <c r="I65" i="1"/>
  <c r="H113" i="4" s="1"/>
  <c r="L64" i="1"/>
  <c r="K112" i="4" s="1"/>
  <c r="K64" i="1"/>
  <c r="J112" i="4" s="1"/>
  <c r="J64" i="1"/>
  <c r="I112" i="4" s="1"/>
  <c r="I64" i="1"/>
  <c r="H112" i="4" s="1"/>
  <c r="L63" i="1"/>
  <c r="K111" i="4" s="1"/>
  <c r="K63" i="1"/>
  <c r="J111" i="4" s="1"/>
  <c r="J63" i="1"/>
  <c r="I111" i="4" s="1"/>
  <c r="I63" i="1"/>
  <c r="H111" i="4" s="1"/>
  <c r="L62" i="1"/>
  <c r="K110" i="4" s="1"/>
  <c r="K62" i="1"/>
  <c r="J110" i="4" s="1"/>
  <c r="J62" i="1"/>
  <c r="I110" i="4" s="1"/>
  <c r="I62" i="1"/>
  <c r="H110" i="4" s="1"/>
  <c r="L61" i="1"/>
  <c r="K109" i="4" s="1"/>
  <c r="K61" i="1"/>
  <c r="J109" i="4" s="1"/>
  <c r="J61" i="1"/>
  <c r="I109" i="4" s="1"/>
  <c r="I61" i="1"/>
  <c r="H109" i="4" s="1"/>
  <c r="L60" i="1"/>
  <c r="K108" i="4" s="1"/>
  <c r="K60" i="1"/>
  <c r="J108" i="4" s="1"/>
  <c r="J60" i="1"/>
  <c r="I108" i="4" s="1"/>
  <c r="I60" i="1"/>
  <c r="H108" i="4" s="1"/>
  <c r="L59" i="1"/>
  <c r="K107" i="4" s="1"/>
  <c r="K59" i="1"/>
  <c r="J107" i="4" s="1"/>
  <c r="J59" i="1"/>
  <c r="I107" i="4" s="1"/>
  <c r="I59" i="1"/>
  <c r="H107" i="4" s="1"/>
  <c r="L58" i="1"/>
  <c r="K106" i="4" s="1"/>
  <c r="K58" i="1"/>
  <c r="J106" i="4" s="1"/>
  <c r="J58" i="1"/>
  <c r="I106" i="4" s="1"/>
  <c r="I58" i="1"/>
  <c r="H106" i="4" s="1"/>
  <c r="C59" i="1"/>
  <c r="B107" i="4" s="1"/>
  <c r="D59" i="1"/>
  <c r="C107" i="4" s="1"/>
  <c r="E59" i="1"/>
  <c r="D107" i="4" s="1"/>
  <c r="F59" i="1"/>
  <c r="E107" i="4" s="1"/>
  <c r="C60" i="1"/>
  <c r="B108" i="4" s="1"/>
  <c r="D60" i="1"/>
  <c r="C108" i="4" s="1"/>
  <c r="E60" i="1"/>
  <c r="D108" i="4" s="1"/>
  <c r="F60" i="1"/>
  <c r="E108" i="4" s="1"/>
  <c r="C61" i="1"/>
  <c r="B109" i="4" s="1"/>
  <c r="D61" i="1"/>
  <c r="C109" i="4" s="1"/>
  <c r="E61" i="1"/>
  <c r="D109" i="4" s="1"/>
  <c r="F61" i="1"/>
  <c r="E109" i="4" s="1"/>
  <c r="C62" i="1"/>
  <c r="B110" i="4" s="1"/>
  <c r="D62" i="1"/>
  <c r="C110" i="4" s="1"/>
  <c r="E62" i="1"/>
  <c r="D110" i="4" s="1"/>
  <c r="F62" i="1"/>
  <c r="E110" i="4" s="1"/>
  <c r="C63" i="1"/>
  <c r="B111" i="4" s="1"/>
  <c r="D63" i="1"/>
  <c r="C111" i="4" s="1"/>
  <c r="E63" i="1"/>
  <c r="D111" i="4" s="1"/>
  <c r="F63" i="1"/>
  <c r="E111" i="4" s="1"/>
  <c r="C64" i="1"/>
  <c r="B112" i="4" s="1"/>
  <c r="D64" i="1"/>
  <c r="C112" i="4" s="1"/>
  <c r="E64" i="1"/>
  <c r="D112" i="4" s="1"/>
  <c r="F64" i="1"/>
  <c r="E112" i="4" s="1"/>
  <c r="C65" i="1"/>
  <c r="B113" i="4" s="1"/>
  <c r="D65" i="1"/>
  <c r="C113" i="4" s="1"/>
  <c r="E65" i="1"/>
  <c r="D113" i="4" s="1"/>
  <c r="F65" i="1"/>
  <c r="E113" i="4" s="1"/>
  <c r="C66" i="1"/>
  <c r="B114" i="4" s="1"/>
  <c r="D66" i="1"/>
  <c r="C114" i="4" s="1"/>
  <c r="E66" i="1"/>
  <c r="D114" i="4" s="1"/>
  <c r="F66" i="1"/>
  <c r="E114" i="4" s="1"/>
  <c r="C67" i="1"/>
  <c r="B115" i="4" s="1"/>
  <c r="D67" i="1"/>
  <c r="C115" i="4" s="1"/>
  <c r="E67" i="1"/>
  <c r="D115" i="4" s="1"/>
  <c r="F67" i="1"/>
  <c r="E115" i="4" s="1"/>
  <c r="D58" i="1"/>
  <c r="C106" i="4" s="1"/>
  <c r="E58" i="1"/>
  <c r="D106" i="4" s="1"/>
  <c r="F58" i="1"/>
  <c r="E106" i="4" s="1"/>
  <c r="C58" i="1"/>
  <c r="B106" i="4" s="1"/>
  <c r="L53" i="1"/>
  <c r="K101" i="4" s="1"/>
  <c r="K53" i="1"/>
  <c r="J101" i="4" s="1"/>
  <c r="J53" i="1"/>
  <c r="I101" i="4" s="1"/>
  <c r="I53" i="1"/>
  <c r="H101" i="4" s="1"/>
  <c r="L52" i="1"/>
  <c r="K100" i="4" s="1"/>
  <c r="K52" i="1"/>
  <c r="J100" i="4" s="1"/>
  <c r="J52" i="1"/>
  <c r="I100" i="4" s="1"/>
  <c r="I52" i="1"/>
  <c r="H100" i="4" s="1"/>
  <c r="L51" i="1"/>
  <c r="K99" i="4" s="1"/>
  <c r="K51" i="1"/>
  <c r="J99" i="4" s="1"/>
  <c r="J51" i="1"/>
  <c r="I99" i="4" s="1"/>
  <c r="I51" i="1"/>
  <c r="H99" i="4" s="1"/>
  <c r="L50" i="1"/>
  <c r="K98" i="4" s="1"/>
  <c r="K50" i="1"/>
  <c r="J98" i="4" s="1"/>
  <c r="J50" i="1"/>
  <c r="I98" i="4" s="1"/>
  <c r="I50" i="1"/>
  <c r="H98" i="4" s="1"/>
  <c r="L49" i="1"/>
  <c r="K97" i="4" s="1"/>
  <c r="K49" i="1"/>
  <c r="J97" i="4" s="1"/>
  <c r="J49" i="1"/>
  <c r="I97" i="4" s="1"/>
  <c r="I49" i="1"/>
  <c r="H97" i="4" s="1"/>
  <c r="L48" i="1"/>
  <c r="K96" i="4" s="1"/>
  <c r="K48" i="1"/>
  <c r="J96" i="4" s="1"/>
  <c r="J48" i="1"/>
  <c r="I96" i="4" s="1"/>
  <c r="I48" i="1"/>
  <c r="H96" i="4" s="1"/>
  <c r="L47" i="1"/>
  <c r="K95" i="4" s="1"/>
  <c r="K47" i="1"/>
  <c r="J95" i="4" s="1"/>
  <c r="J47" i="1"/>
  <c r="I95" i="4" s="1"/>
  <c r="I47" i="1"/>
  <c r="H95" i="4" s="1"/>
  <c r="L46" i="1"/>
  <c r="K94" i="4" s="1"/>
  <c r="K46" i="1"/>
  <c r="J94" i="4" s="1"/>
  <c r="J46" i="1"/>
  <c r="I94" i="4" s="1"/>
  <c r="I46" i="1"/>
  <c r="H94" i="4" s="1"/>
  <c r="L45" i="1"/>
  <c r="K93" i="4" s="1"/>
  <c r="K45" i="1"/>
  <c r="J93" i="4" s="1"/>
  <c r="J45" i="1"/>
  <c r="I93" i="4" s="1"/>
  <c r="I45" i="1"/>
  <c r="H93" i="4" s="1"/>
  <c r="L44" i="1"/>
  <c r="K92" i="4" s="1"/>
  <c r="K44" i="1"/>
  <c r="J92" i="4" s="1"/>
  <c r="J44" i="1"/>
  <c r="I92" i="4" s="1"/>
  <c r="I44" i="1"/>
  <c r="H92" i="4" s="1"/>
  <c r="F53" i="1"/>
  <c r="E101" i="4" s="1"/>
  <c r="E53" i="1"/>
  <c r="D101" i="4" s="1"/>
  <c r="D53" i="1"/>
  <c r="C101" i="4" s="1"/>
  <c r="C53" i="1"/>
  <c r="B101" i="4" s="1"/>
  <c r="F52" i="1"/>
  <c r="E100" i="4" s="1"/>
  <c r="E52" i="1"/>
  <c r="D100" i="4" s="1"/>
  <c r="D52" i="1"/>
  <c r="C100" i="4" s="1"/>
  <c r="C52" i="1"/>
  <c r="B100" i="4" s="1"/>
  <c r="F51" i="1"/>
  <c r="E99" i="4" s="1"/>
  <c r="E51" i="1"/>
  <c r="D99" i="4" s="1"/>
  <c r="D51" i="1"/>
  <c r="C99" i="4" s="1"/>
  <c r="C51" i="1"/>
  <c r="B99" i="4" s="1"/>
  <c r="F50" i="1"/>
  <c r="E98" i="4" s="1"/>
  <c r="E50" i="1"/>
  <c r="D98" i="4" s="1"/>
  <c r="D50" i="1"/>
  <c r="C98" i="4" s="1"/>
  <c r="C50" i="1"/>
  <c r="B98" i="4" s="1"/>
  <c r="F49" i="1"/>
  <c r="E97" i="4" s="1"/>
  <c r="E49" i="1"/>
  <c r="D97" i="4" s="1"/>
  <c r="D49" i="1"/>
  <c r="C97" i="4" s="1"/>
  <c r="C49" i="1"/>
  <c r="B97" i="4" s="1"/>
  <c r="F48" i="1"/>
  <c r="E96" i="4" s="1"/>
  <c r="E48" i="1"/>
  <c r="D96" i="4" s="1"/>
  <c r="D48" i="1"/>
  <c r="C96" i="4" s="1"/>
  <c r="C48" i="1"/>
  <c r="B96" i="4" s="1"/>
  <c r="F47" i="1"/>
  <c r="E95" i="4" s="1"/>
  <c r="E47" i="1"/>
  <c r="D95" i="4" s="1"/>
  <c r="D47" i="1"/>
  <c r="C95" i="4" s="1"/>
  <c r="C47" i="1"/>
  <c r="B95" i="4" s="1"/>
  <c r="F46" i="1"/>
  <c r="E94" i="4" s="1"/>
  <c r="E46" i="1"/>
  <c r="D94" i="4" s="1"/>
  <c r="D46" i="1"/>
  <c r="C94" i="4" s="1"/>
  <c r="C46" i="1"/>
  <c r="B94" i="4" s="1"/>
  <c r="F45" i="1"/>
  <c r="E93" i="4" s="1"/>
  <c r="E45" i="1"/>
  <c r="D93" i="4" s="1"/>
  <c r="D45" i="1"/>
  <c r="C93" i="4" s="1"/>
  <c r="C45" i="1"/>
  <c r="B93" i="4" s="1"/>
  <c r="F44" i="1"/>
  <c r="E92" i="4" s="1"/>
  <c r="E44" i="1"/>
  <c r="D92" i="4" s="1"/>
  <c r="D44" i="1"/>
  <c r="C92" i="4" s="1"/>
  <c r="C44" i="1"/>
  <c r="B92" i="4" s="1"/>
  <c r="L40" i="1"/>
  <c r="K88" i="4" s="1"/>
  <c r="K40" i="1"/>
  <c r="J88" i="4" s="1"/>
  <c r="J40" i="1"/>
  <c r="I88" i="4" s="1"/>
  <c r="I40" i="1"/>
  <c r="H88" i="4" s="1"/>
  <c r="L39" i="1"/>
  <c r="K87" i="4" s="1"/>
  <c r="K39" i="1"/>
  <c r="J87" i="4" s="1"/>
  <c r="J39" i="1"/>
  <c r="I87" i="4" s="1"/>
  <c r="I39" i="1"/>
  <c r="H87" i="4" s="1"/>
  <c r="L38" i="1"/>
  <c r="K86" i="4" s="1"/>
  <c r="K38" i="1"/>
  <c r="J86" i="4" s="1"/>
  <c r="J38" i="1"/>
  <c r="I86" i="4" s="1"/>
  <c r="I38" i="1"/>
  <c r="H86" i="4" s="1"/>
  <c r="L37" i="1"/>
  <c r="K85" i="4" s="1"/>
  <c r="K37" i="1"/>
  <c r="J85" i="4" s="1"/>
  <c r="J37" i="1"/>
  <c r="I85" i="4" s="1"/>
  <c r="I37" i="1"/>
  <c r="H85" i="4" s="1"/>
  <c r="L36" i="1"/>
  <c r="K84" i="4" s="1"/>
  <c r="K36" i="1"/>
  <c r="J84" i="4" s="1"/>
  <c r="J36" i="1"/>
  <c r="I84" i="4" s="1"/>
  <c r="I36" i="1"/>
  <c r="H84" i="4" s="1"/>
  <c r="L35" i="1"/>
  <c r="K83" i="4" s="1"/>
  <c r="K35" i="1"/>
  <c r="J83" i="4" s="1"/>
  <c r="J35" i="1"/>
  <c r="I83" i="4" s="1"/>
  <c r="I35" i="1"/>
  <c r="H83" i="4" s="1"/>
  <c r="L34" i="1"/>
  <c r="K82" i="4" s="1"/>
  <c r="K34" i="1"/>
  <c r="J82" i="4" s="1"/>
  <c r="J34" i="1"/>
  <c r="I82" i="4" s="1"/>
  <c r="I34" i="1"/>
  <c r="H82" i="4" s="1"/>
  <c r="L33" i="1"/>
  <c r="K81" i="4" s="1"/>
  <c r="K33" i="1"/>
  <c r="J81" i="4" s="1"/>
  <c r="J33" i="1"/>
  <c r="I81" i="4" s="1"/>
  <c r="I33" i="1"/>
  <c r="H81" i="4" s="1"/>
  <c r="L32" i="1"/>
  <c r="K80" i="4" s="1"/>
  <c r="K32" i="1"/>
  <c r="J80" i="4" s="1"/>
  <c r="J32" i="1"/>
  <c r="I80" i="4" s="1"/>
  <c r="I32" i="1"/>
  <c r="H80" i="4" s="1"/>
  <c r="L31" i="1"/>
  <c r="K79" i="4" s="1"/>
  <c r="K31" i="1"/>
  <c r="J79" i="4" s="1"/>
  <c r="J31" i="1"/>
  <c r="I79" i="4" s="1"/>
  <c r="I31" i="1"/>
  <c r="H79" i="4" s="1"/>
  <c r="C40" i="1"/>
  <c r="B88" i="4" s="1"/>
  <c r="C39" i="1"/>
  <c r="B87" i="4" s="1"/>
  <c r="C38" i="1"/>
  <c r="B86" i="4" s="1"/>
  <c r="C37" i="1"/>
  <c r="B85" i="4" s="1"/>
  <c r="C36" i="1"/>
  <c r="B84" i="4" s="1"/>
  <c r="C35" i="1"/>
  <c r="B83" i="4" s="1"/>
  <c r="C34" i="1"/>
  <c r="B82" i="4" s="1"/>
  <c r="C33" i="1"/>
  <c r="B81" i="4" s="1"/>
  <c r="C32" i="1"/>
  <c r="B80" i="4" s="1"/>
  <c r="F40" i="1"/>
  <c r="E88" i="4" s="1"/>
  <c r="E40" i="1"/>
  <c r="D88" i="4" s="1"/>
  <c r="D40" i="1"/>
  <c r="C88" i="4" s="1"/>
  <c r="F39" i="1"/>
  <c r="E87" i="4" s="1"/>
  <c r="E39" i="1"/>
  <c r="D87" i="4" s="1"/>
  <c r="D39" i="1"/>
  <c r="C87" i="4" s="1"/>
  <c r="F38" i="1"/>
  <c r="E86" i="4" s="1"/>
  <c r="E38" i="1"/>
  <c r="D86" i="4" s="1"/>
  <c r="D38" i="1"/>
  <c r="C86" i="4" s="1"/>
  <c r="F37" i="1"/>
  <c r="E85" i="4" s="1"/>
  <c r="E37" i="1"/>
  <c r="D85" i="4" s="1"/>
  <c r="D37" i="1"/>
  <c r="C85" i="4" s="1"/>
  <c r="F36" i="1"/>
  <c r="E84" i="4" s="1"/>
  <c r="E36" i="1"/>
  <c r="D84" i="4" s="1"/>
  <c r="D36" i="1"/>
  <c r="C84" i="4" s="1"/>
  <c r="F35" i="1"/>
  <c r="E83" i="4" s="1"/>
  <c r="E35" i="1"/>
  <c r="D83" i="4" s="1"/>
  <c r="D35" i="1"/>
  <c r="C83" i="4" s="1"/>
  <c r="F34" i="1"/>
  <c r="E82" i="4" s="1"/>
  <c r="E34" i="1"/>
  <c r="D82" i="4" s="1"/>
  <c r="D34" i="1"/>
  <c r="C82" i="4" s="1"/>
  <c r="F33" i="1"/>
  <c r="E81" i="4" s="1"/>
  <c r="E33" i="1"/>
  <c r="D81" i="4" s="1"/>
  <c r="D33" i="1"/>
  <c r="C81" i="4" s="1"/>
  <c r="F32" i="1"/>
  <c r="E80" i="4" s="1"/>
  <c r="E32" i="1"/>
  <c r="D80" i="4" s="1"/>
  <c r="D32" i="1"/>
  <c r="C80" i="4" s="1"/>
  <c r="F31" i="1"/>
  <c r="E79" i="4" s="1"/>
  <c r="E31" i="1"/>
  <c r="D79" i="4" s="1"/>
  <c r="D31" i="1"/>
  <c r="C79" i="4" s="1"/>
  <c r="C31" i="1"/>
  <c r="B79" i="4" s="1"/>
  <c r="C155" i="4"/>
  <c r="C146" i="4"/>
  <c r="I150" i="4"/>
  <c r="I147" i="4"/>
  <c r="I138" i="4"/>
  <c r="H138" i="4"/>
  <c r="E137" i="4"/>
  <c r="E133" i="4"/>
  <c r="C126" i="4"/>
  <c r="C120" i="4"/>
  <c r="B120" i="4"/>
  <c r="H121" i="4"/>
  <c r="E74" i="4"/>
  <c r="D74" i="4"/>
  <c r="C74" i="4"/>
  <c r="B74" i="4"/>
  <c r="E73" i="4"/>
  <c r="D73" i="4"/>
  <c r="C73" i="4"/>
  <c r="B73" i="4"/>
  <c r="E72" i="4"/>
  <c r="D72" i="4"/>
  <c r="C72" i="4"/>
  <c r="B72" i="4"/>
  <c r="E71" i="4"/>
  <c r="D71" i="4"/>
  <c r="C71" i="4"/>
  <c r="B71" i="4"/>
  <c r="E70" i="4"/>
  <c r="D70" i="4"/>
  <c r="C70" i="4"/>
  <c r="B70" i="4"/>
  <c r="E69" i="4"/>
  <c r="D69" i="4"/>
  <c r="C69" i="4"/>
  <c r="B69" i="4"/>
  <c r="E68" i="4"/>
  <c r="D68" i="4"/>
  <c r="C68" i="4"/>
  <c r="B68" i="4"/>
  <c r="E67" i="4"/>
  <c r="D67" i="4"/>
  <c r="C67" i="4"/>
  <c r="B67" i="4"/>
  <c r="E66" i="4"/>
  <c r="D66" i="4"/>
  <c r="C66" i="4"/>
  <c r="B66" i="4"/>
  <c r="E65" i="4"/>
  <c r="D65" i="4"/>
  <c r="C65" i="4"/>
  <c r="B65" i="4"/>
  <c r="K74" i="4"/>
  <c r="J74" i="4"/>
  <c r="I74" i="4"/>
  <c r="H74" i="4"/>
  <c r="K73" i="4"/>
  <c r="J73" i="4"/>
  <c r="I73" i="4"/>
  <c r="H73" i="4"/>
  <c r="K72" i="4"/>
  <c r="J72" i="4"/>
  <c r="I72" i="4"/>
  <c r="H72" i="4"/>
  <c r="K71" i="4"/>
  <c r="J71" i="4"/>
  <c r="I71" i="4"/>
  <c r="H71" i="4"/>
  <c r="K70" i="4"/>
  <c r="J70" i="4"/>
  <c r="I70" i="4"/>
  <c r="H70" i="4"/>
  <c r="K69" i="4"/>
  <c r="J69" i="4"/>
  <c r="I69" i="4"/>
  <c r="H69" i="4"/>
  <c r="K68" i="4"/>
  <c r="J68" i="4"/>
  <c r="I68" i="4"/>
  <c r="H68" i="4"/>
  <c r="K67" i="4"/>
  <c r="J67" i="4"/>
  <c r="I67" i="4"/>
  <c r="H67" i="4"/>
  <c r="K66" i="4"/>
  <c r="J66" i="4"/>
  <c r="I66" i="4"/>
  <c r="H66" i="4"/>
  <c r="K65" i="4"/>
  <c r="J65" i="4"/>
  <c r="I65" i="4"/>
  <c r="H65" i="4"/>
  <c r="K61" i="4"/>
  <c r="J61" i="4"/>
  <c r="I61" i="4"/>
  <c r="H61" i="4"/>
  <c r="K60" i="4"/>
  <c r="J60" i="4"/>
  <c r="I60" i="4"/>
  <c r="H60" i="4"/>
  <c r="K59" i="4"/>
  <c r="J59" i="4"/>
  <c r="I59" i="4"/>
  <c r="H59" i="4"/>
  <c r="K58" i="4"/>
  <c r="J58" i="4"/>
  <c r="I58" i="4"/>
  <c r="H58" i="4"/>
  <c r="K57" i="4"/>
  <c r="J57" i="4"/>
  <c r="I57" i="4"/>
  <c r="H57" i="4"/>
  <c r="K56" i="4"/>
  <c r="J56" i="4"/>
  <c r="I56" i="4"/>
  <c r="H56" i="4"/>
  <c r="K55" i="4"/>
  <c r="J55" i="4"/>
  <c r="I55" i="4"/>
  <c r="H55" i="4"/>
  <c r="K54" i="4"/>
  <c r="J54" i="4"/>
  <c r="I54" i="4"/>
  <c r="H54" i="4"/>
  <c r="K53" i="4"/>
  <c r="J53" i="4"/>
  <c r="I53" i="4"/>
  <c r="H53" i="4"/>
  <c r="K52" i="4"/>
  <c r="J52" i="4"/>
  <c r="I52" i="4"/>
  <c r="H52" i="4"/>
  <c r="E61" i="4"/>
  <c r="D61" i="4"/>
  <c r="C61" i="4"/>
  <c r="B61" i="4"/>
  <c r="E60" i="4"/>
  <c r="D60" i="4"/>
  <c r="C60" i="4"/>
  <c r="B60" i="4"/>
  <c r="E59" i="4"/>
  <c r="D59" i="4"/>
  <c r="C59" i="4"/>
  <c r="B59" i="4"/>
  <c r="E58" i="4"/>
  <c r="D58" i="4"/>
  <c r="C58" i="4"/>
  <c r="B58" i="4"/>
  <c r="E57" i="4"/>
  <c r="D57" i="4"/>
  <c r="C57" i="4"/>
  <c r="B57" i="4"/>
  <c r="E56" i="4"/>
  <c r="D56" i="4"/>
  <c r="C56" i="4"/>
  <c r="B56" i="4"/>
  <c r="E55" i="4"/>
  <c r="D55" i="4"/>
  <c r="C55" i="4"/>
  <c r="B55" i="4"/>
  <c r="E54" i="4"/>
  <c r="D54" i="4"/>
  <c r="C54" i="4"/>
  <c r="B54" i="4"/>
  <c r="E53" i="4"/>
  <c r="D53" i="4"/>
  <c r="C53" i="4"/>
  <c r="B53" i="4"/>
  <c r="E52" i="4"/>
  <c r="D52" i="4"/>
  <c r="C52" i="4"/>
  <c r="B52" i="4"/>
  <c r="B43" i="4"/>
  <c r="C43" i="4"/>
  <c r="D43" i="4"/>
  <c r="E43" i="4"/>
  <c r="F43" i="4"/>
  <c r="G43" i="4"/>
  <c r="H43" i="4"/>
  <c r="I43" i="4"/>
  <c r="J43" i="4"/>
  <c r="K43" i="4"/>
  <c r="B44" i="4"/>
  <c r="C44" i="4"/>
  <c r="D44" i="4"/>
  <c r="E44" i="4"/>
  <c r="F44" i="4"/>
  <c r="G44" i="4"/>
  <c r="H44" i="4"/>
  <c r="I44" i="4"/>
  <c r="J44" i="4"/>
  <c r="K44" i="4"/>
  <c r="B45" i="4"/>
  <c r="C45" i="4"/>
  <c r="D45" i="4"/>
  <c r="E45" i="4"/>
  <c r="F45" i="4"/>
  <c r="G45" i="4"/>
  <c r="H45" i="4"/>
  <c r="I45" i="4"/>
  <c r="J45" i="4"/>
  <c r="K45" i="4"/>
  <c r="B46" i="4"/>
  <c r="C46" i="4"/>
  <c r="D46" i="4"/>
  <c r="E46" i="4"/>
  <c r="F46" i="4"/>
  <c r="G46" i="4"/>
  <c r="H46" i="4"/>
  <c r="I46" i="4"/>
  <c r="J46" i="4"/>
  <c r="K46" i="4"/>
  <c r="B47" i="4"/>
  <c r="C47" i="4"/>
  <c r="E40" i="4" s="1"/>
  <c r="D47" i="4"/>
  <c r="E47" i="4"/>
  <c r="F47" i="4"/>
  <c r="G47" i="4"/>
  <c r="H47" i="4"/>
  <c r="I47" i="4"/>
  <c r="J47" i="4"/>
  <c r="K47" i="4"/>
  <c r="A44" i="4"/>
  <c r="A45" i="4"/>
  <c r="A46" i="4"/>
  <c r="A47" i="4"/>
  <c r="A43" i="4"/>
  <c r="L27" i="2"/>
  <c r="L28" i="2"/>
  <c r="L29" i="2"/>
  <c r="L26" i="2"/>
  <c r="C8" i="2"/>
  <c r="O7" i="1"/>
  <c r="G14" i="2" s="1"/>
  <c r="F16" i="2"/>
  <c r="F8" i="2"/>
  <c r="G13" i="6" s="1"/>
  <c r="B22" i="2"/>
  <c r="C22" i="2" s="1"/>
  <c r="E36" i="4" l="1"/>
  <c r="E23" i="4"/>
  <c r="E25" i="4"/>
  <c r="E30" i="4"/>
  <c r="E38" i="4"/>
  <c r="E35" i="4"/>
  <c r="L44" i="4"/>
  <c r="E34" i="4"/>
  <c r="L46" i="4"/>
  <c r="L45" i="4"/>
  <c r="L47" i="4"/>
  <c r="E33" i="4"/>
  <c r="M27" i="2"/>
  <c r="M26" i="2"/>
  <c r="M28" i="2"/>
  <c r="M29" i="2"/>
  <c r="B33" i="2" l="1"/>
  <c r="F32" i="2" s="1"/>
  <c r="G12" i="6" l="1"/>
  <c r="G14" i="6" s="1"/>
</calcChain>
</file>

<file path=xl/sharedStrings.xml><?xml version="1.0" encoding="utf-8"?>
<sst xmlns="http://schemas.openxmlformats.org/spreadsheetml/2006/main" count="1255" uniqueCount="355">
  <si>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</si>
  <si>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</si>
  <si>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</si>
  <si>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</si>
  <si>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</si>
  <si>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</si>
  <si>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</si>
  <si>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</si>
  <si>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</si>
  <si>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Upto 20 Yrs</t>
  </si>
  <si>
    <t>E Only (With PED &amp; SD Waiting periods)</t>
  </si>
  <si>
    <t>1 Lac</t>
  </si>
  <si>
    <t>2 Lacs</t>
  </si>
  <si>
    <t>3 Lacs</t>
  </si>
  <si>
    <t>5 Lacs</t>
  </si>
  <si>
    <t>E Only (No PED &amp; SD Waiting periods)</t>
  </si>
  <si>
    <t>ESC (No PED &amp; SD Waiting periods)</t>
  </si>
  <si>
    <t>ESC (With PED &amp; SD Waiting periods)</t>
  </si>
  <si>
    <t>Zone Discount</t>
  </si>
  <si>
    <t>Organization Name</t>
  </si>
  <si>
    <t>GST Number</t>
  </si>
  <si>
    <t>Location</t>
  </si>
  <si>
    <t>Policy Type</t>
  </si>
  <si>
    <t>Fresh</t>
  </si>
  <si>
    <t>Own Renewal</t>
  </si>
  <si>
    <t>Rollover</t>
  </si>
  <si>
    <t>PY Insurer</t>
  </si>
  <si>
    <t>PY Broker</t>
  </si>
  <si>
    <t>Expiring Earned Premium</t>
  </si>
  <si>
    <t>Claims (Settled + OS)</t>
  </si>
  <si>
    <t>Employees</t>
  </si>
  <si>
    <t>Spouse</t>
  </si>
  <si>
    <t>Child</t>
  </si>
  <si>
    <t>Total Lives</t>
  </si>
  <si>
    <t>Sum Insured</t>
  </si>
  <si>
    <t>Family Definition</t>
  </si>
  <si>
    <t>ESC</t>
  </si>
  <si>
    <t>Room Rent</t>
  </si>
  <si>
    <t>Maternity</t>
  </si>
  <si>
    <t>No</t>
  </si>
  <si>
    <t>Delhi</t>
  </si>
  <si>
    <t>Mumbai</t>
  </si>
  <si>
    <t>Kolkata</t>
  </si>
  <si>
    <t>Bengaluru</t>
  </si>
  <si>
    <t>Chennai</t>
  </si>
  <si>
    <t>Hyderabad</t>
  </si>
  <si>
    <t>Ahmedabad</t>
  </si>
  <si>
    <t>Surat</t>
  </si>
  <si>
    <t>Pune</t>
  </si>
  <si>
    <t>Jaipur</t>
  </si>
  <si>
    <t>Kanpur</t>
  </si>
  <si>
    <t>Lucknow</t>
  </si>
  <si>
    <t>Nagpur</t>
  </si>
  <si>
    <t>Indore</t>
  </si>
  <si>
    <t>Patna</t>
  </si>
  <si>
    <t>Bhopal</t>
  </si>
  <si>
    <t>Ludhiana</t>
  </si>
  <si>
    <t>Tirunelveli</t>
  </si>
  <si>
    <t>Agra</t>
  </si>
  <si>
    <t>Vadodara</t>
  </si>
  <si>
    <t>Nashik</t>
  </si>
  <si>
    <t>Pimpri–Chinchwad</t>
  </si>
  <si>
    <t>Kalyan–Dombivli</t>
  </si>
  <si>
    <t>Thane</t>
  </si>
  <si>
    <t>Meerut</t>
  </si>
  <si>
    <t>Faridabad</t>
  </si>
  <si>
    <t>Ghaziabad</t>
  </si>
  <si>
    <t>Rajkot</t>
  </si>
  <si>
    <t>Varanasi</t>
  </si>
  <si>
    <t>Amritsar</t>
  </si>
  <si>
    <t>Allahabad (Prayagraj)</t>
  </si>
  <si>
    <t>Visakhapatnam</t>
  </si>
  <si>
    <t>Jabalpur</t>
  </si>
  <si>
    <t>Howrah</t>
  </si>
  <si>
    <t>Aurangabad</t>
  </si>
  <si>
    <t>Solapur</t>
  </si>
  <si>
    <t>Srinagar</t>
  </si>
  <si>
    <t>Chandigarh</t>
  </si>
  <si>
    <t>Coimbatore</t>
  </si>
  <si>
    <t>Jodhpur</t>
  </si>
  <si>
    <t>Madurai</t>
  </si>
  <si>
    <t>Guwahati</t>
  </si>
  <si>
    <t>Gwalior</t>
  </si>
  <si>
    <t>Vijayawada</t>
  </si>
  <si>
    <t>Mysuru</t>
  </si>
  <si>
    <t>Ranchi</t>
  </si>
  <si>
    <t>Hubballi–Dharwad</t>
  </si>
  <si>
    <t>Jalandhar</t>
  </si>
  <si>
    <t>Thiruvananthapuram</t>
  </si>
  <si>
    <t>Salem</t>
  </si>
  <si>
    <t>Cities</t>
  </si>
  <si>
    <t>Textile manufacturing</t>
  </si>
  <si>
    <t>Food processing</t>
  </si>
  <si>
    <t>Dairy processing</t>
  </si>
  <si>
    <t>Bakery and confectionery</t>
  </si>
  <si>
    <t>Spice processing</t>
  </si>
  <si>
    <t>Rice and flour milling</t>
  </si>
  <si>
    <t>Edible oil processing</t>
  </si>
  <si>
    <t>Paper and packaging manufacturing</t>
  </si>
  <si>
    <t>Printing and publishing</t>
  </si>
  <si>
    <t>Glass and ceramics manufacturing</t>
  </si>
  <si>
    <t>Electrical equipment manufacturing</t>
  </si>
  <si>
    <t>Garment and apparel manufacturing</t>
  </si>
  <si>
    <t>Auto components manufacturing</t>
  </si>
  <si>
    <t>Fabrication and metal works</t>
  </si>
  <si>
    <t>Machine parts manufacturing</t>
  </si>
  <si>
    <t>Industrial tooling</t>
  </si>
  <si>
    <t>Pumps and valves manufacturing</t>
  </si>
  <si>
    <t>Solar equipment manufacturing</t>
  </si>
  <si>
    <t>Electronics assembly</t>
  </si>
  <si>
    <t>Industrial repair and maintenance</t>
  </si>
  <si>
    <t>Industrial automation services</t>
  </si>
  <si>
    <t>Construction contractors</t>
  </si>
  <si>
    <t>Leather goods manufacturing</t>
  </si>
  <si>
    <t>Interior design and fit-out services</t>
  </si>
  <si>
    <t>Building materials manufacturing</t>
  </si>
  <si>
    <t>Tiles and sanitary ware distribution</t>
  </si>
  <si>
    <t>Paint and coating businesses</t>
  </si>
  <si>
    <t>Software development companies</t>
  </si>
  <si>
    <t>IT services and consulting</t>
  </si>
  <si>
    <t>Digital marketing agencies</t>
  </si>
  <si>
    <t>SaaS startups</t>
  </si>
  <si>
    <t>Web development agencies</t>
  </si>
  <si>
    <t>Wholesale trading businesses</t>
  </si>
  <si>
    <t>Footwear manufacturing</t>
  </si>
  <si>
    <t>Import-export companies</t>
  </si>
  <si>
    <t>FMCG distributors</t>
  </si>
  <si>
    <t>Agricultural commodity trading</t>
  </si>
  <si>
    <t>Logistics and transportation companies</t>
  </si>
  <si>
    <t>Warehousing services</t>
  </si>
  <si>
    <t>Travel agencies and tour operators</t>
  </si>
  <si>
    <t>Education and training institutes</t>
  </si>
  <si>
    <t>Healthcare clinics and diagnostic centers</t>
  </si>
  <si>
    <t>Event management companies</t>
  </si>
  <si>
    <t>Hospitality businesses (restaurants, small hotels)</t>
  </si>
  <si>
    <t>Furniture manufacturing</t>
  </si>
  <si>
    <t>Marketing and advertising agencies</t>
  </si>
  <si>
    <t>Plastic products manufacturing</t>
  </si>
  <si>
    <t>Rubber products manufacturing</t>
  </si>
  <si>
    <t>Chemical manufacturing (small scale)</t>
  </si>
  <si>
    <t>Pharmaceutical manufacturing (small units)</t>
  </si>
  <si>
    <t>Industries</t>
  </si>
  <si>
    <t>Star Health and Allied Insurance</t>
  </si>
  <si>
    <t>Care Health Insurance</t>
  </si>
  <si>
    <t>Niva Bupa Health Insurance</t>
  </si>
  <si>
    <t>Aditya Birla Health Insurance</t>
  </si>
  <si>
    <t>ManipalCigna Health Insurance</t>
  </si>
  <si>
    <t>ICICI Lombard General Insurance</t>
  </si>
  <si>
    <t>HDFC ERGO General Insurance</t>
  </si>
  <si>
    <t>Tata AIG General Insurance</t>
  </si>
  <si>
    <t>Reliance General Insurance</t>
  </si>
  <si>
    <t>SBI General Insurance</t>
  </si>
  <si>
    <t>Cholamandalam MS General Insurance</t>
  </si>
  <si>
    <t>Royal Sundaram General Insurance</t>
  </si>
  <si>
    <t>Liberty General Insurance</t>
  </si>
  <si>
    <t>Future Generali India Insurance</t>
  </si>
  <si>
    <t>Kotak Mahindra General Insurance</t>
  </si>
  <si>
    <t>Go Digit General Insurance</t>
  </si>
  <si>
    <t>Acko General Insurance</t>
  </si>
  <si>
    <t>The New India Assurance Company</t>
  </si>
  <si>
    <t>The Oriental Insurance Company</t>
  </si>
  <si>
    <t>United India Insurance Company</t>
  </si>
  <si>
    <t>National Insurance Company</t>
  </si>
  <si>
    <t>Zuno General Insurance</t>
  </si>
  <si>
    <t>Magma General Insurance</t>
  </si>
  <si>
    <t>Insurer Names</t>
  </si>
  <si>
    <t>Others</t>
  </si>
  <si>
    <t>2 Lac</t>
  </si>
  <si>
    <t>3 Lac</t>
  </si>
  <si>
    <t>5 Lac</t>
  </si>
  <si>
    <t>E Only</t>
  </si>
  <si>
    <t>Normal - 2% of SI (Max 7.5K), ICU - No Limit</t>
  </si>
  <si>
    <t>Normal - No Limit, ICU - No Limit</t>
  </si>
  <si>
    <t>Normal - 30K, C Section - 30K</t>
  </si>
  <si>
    <t>Normal - 50K, C Section - 50K</t>
  </si>
  <si>
    <t>Normal - 75K, C Section - 75K</t>
  </si>
  <si>
    <t>Industry</t>
  </si>
  <si>
    <t>Healthysure</t>
  </si>
  <si>
    <t>Age Band</t>
  </si>
  <si>
    <t>Brokerage</t>
  </si>
  <si>
    <t>Bajaj General Insurance</t>
  </si>
  <si>
    <t>Policy Start Date
DD-MM-YYYY</t>
  </si>
  <si>
    <t>Default brokerage is 15%</t>
  </si>
  <si>
    <t>Decline List</t>
  </si>
  <si>
    <t>Media</t>
  </si>
  <si>
    <t>Military/Paramilitary/Law Enforcement</t>
  </si>
  <si>
    <t>NGO</t>
  </si>
  <si>
    <t>Trusts</t>
  </si>
  <si>
    <t>Good to proceed</t>
  </si>
  <si>
    <t>Broker Name</t>
  </si>
  <si>
    <t>No Maternity</t>
  </si>
  <si>
    <t>30K Maternity</t>
  </si>
  <si>
    <t>50K Maternity</t>
  </si>
  <si>
    <t>70K Maternity</t>
  </si>
  <si>
    <t>Family definition</t>
  </si>
  <si>
    <t>&lt;10</t>
  </si>
  <si>
    <t>30K</t>
  </si>
  <si>
    <t>50K</t>
  </si>
  <si>
    <t>TOTAL LIVES</t>
  </si>
  <si>
    <t>SI</t>
  </si>
  <si>
    <t>Loading</t>
  </si>
  <si>
    <t>Premium</t>
  </si>
  <si>
    <t>75K</t>
  </si>
  <si>
    <t>75K Maternity</t>
  </si>
  <si>
    <t>Zone</t>
  </si>
  <si>
    <t>Zone A</t>
  </si>
  <si>
    <t>Zone B</t>
  </si>
  <si>
    <t>Secunderabad</t>
  </si>
  <si>
    <t>Gurugram</t>
  </si>
  <si>
    <t>&gt;=10</t>
  </si>
  <si>
    <t>Pre-Discount Premium</t>
  </si>
  <si>
    <t>Final Premium</t>
  </si>
  <si>
    <t>Brokerage Discount/Loading</t>
  </si>
  <si>
    <t>Disc/Load</t>
  </si>
  <si>
    <t xml:space="preserve">Zone </t>
  </si>
  <si>
    <t>A</t>
  </si>
  <si>
    <t>B/C/D</t>
  </si>
  <si>
    <t>TOTAL Disc/Load</t>
  </si>
  <si>
    <t>North 24 Parganas</t>
  </si>
  <si>
    <t>South 24 Parganas</t>
  </si>
  <si>
    <t>Loss Ratio (LR)</t>
  </si>
  <si>
    <t>Zone         Discount/Loading</t>
  </si>
  <si>
    <t>Vhire4u</t>
  </si>
  <si>
    <t>STELLAPPS</t>
  </si>
  <si>
    <t>✖</t>
  </si>
  <si>
    <t xml:space="preserve">✔ </t>
  </si>
  <si>
    <t>Prescribed medicines upto 20% off</t>
  </si>
  <si>
    <t>MedicinesDelivery</t>
  </si>
  <si>
    <t>Medicines Delivery</t>
  </si>
  <si>
    <t>Gym Membership Discount upto 50%</t>
  </si>
  <si>
    <t>Gym Memberships</t>
  </si>
  <si>
    <t>Full body checkup upto 70% off</t>
  </si>
  <si>
    <t>HealthCheckups</t>
  </si>
  <si>
    <t>Health Checkups</t>
  </si>
  <si>
    <t>Unlimited with General Physicians</t>
  </si>
  <si>
    <t>DoctorTeleconsultations</t>
  </si>
  <si>
    <t>Doctor Teleconsultations</t>
  </si>
  <si>
    <t>Flexi Top-up Insurance of Rs 30 Lacs with continuity option</t>
  </si>
  <si>
    <t>UpgradeOption</t>
  </si>
  <si>
    <t>Upgrade Option</t>
  </si>
  <si>
    <t>The Healthysure Advantage</t>
  </si>
  <si>
    <t>Only for new joinees</t>
  </si>
  <si>
    <t>Midtermadditionofparents</t>
  </si>
  <si>
    <t>Mid term addition of parents</t>
  </si>
  <si>
    <t>Day 1 coverage of new borns and spouses of newly weds</t>
  </si>
  <si>
    <t>MidtermAdditionofDependents</t>
  </si>
  <si>
    <t>Mid term Addition of Dependents</t>
  </si>
  <si>
    <t>Only for employee promotion</t>
  </si>
  <si>
    <t>MidtermIncreaseinSumInsured</t>
  </si>
  <si>
    <t>Mid term Increase in Sum Insured</t>
  </si>
  <si>
    <t xml:space="preserve">On pro-rata basis </t>
  </si>
  <si>
    <t>AdditionsandDeletions</t>
  </si>
  <si>
    <t>Additions and Deletions</t>
  </si>
  <si>
    <t>Mid-Term Policy Changes</t>
  </si>
  <si>
    <t>Terrorism</t>
  </si>
  <si>
    <t>If eye power +/- 6.5</t>
  </si>
  <si>
    <t>Eye power correction</t>
  </si>
  <si>
    <t>LasikEyeSurgery</t>
  </si>
  <si>
    <t>Lasik Eye Surgery</t>
  </si>
  <si>
    <t>Covered upto 100% of SI</t>
  </si>
  <si>
    <t>OrganDonorExpenses</t>
  </si>
  <si>
    <t>Organ Donor Expenses</t>
  </si>
  <si>
    <t>Hospitallization &gt; 24 hours in 
Govt Approved Hospitals</t>
  </si>
  <si>
    <t>AYUSHTreatments</t>
  </si>
  <si>
    <t xml:space="preserve">AYUSH Treatments </t>
  </si>
  <si>
    <t>Hospitalization &gt; 24 hours</t>
  </si>
  <si>
    <t>PsychiatricIllness</t>
  </si>
  <si>
    <t xml:space="preserve">Psychiatric Illness </t>
  </si>
  <si>
    <t>Upto 50% Co-Pay</t>
  </si>
  <si>
    <t>As per Regulatory Guidelines</t>
  </si>
  <si>
    <t>ModernTreatmentsandRoboticSurgeries</t>
  </si>
  <si>
    <t>Modern Treatments and Robotic Surgeries</t>
  </si>
  <si>
    <t>Other Benefits</t>
  </si>
  <si>
    <t>Coverage per event</t>
  </si>
  <si>
    <t>EmergencyAirAmbulance</t>
  </si>
  <si>
    <t xml:space="preserve">Emergency Air Ambulance </t>
  </si>
  <si>
    <t>EmergencyAmbulance</t>
  </si>
  <si>
    <t xml:space="preserve">Emergency Ambulance </t>
  </si>
  <si>
    <t>Hospital Transportation Benefits</t>
  </si>
  <si>
    <t>Waived Off</t>
  </si>
  <si>
    <t>PreExistingDiseasesWaitingPeriod</t>
  </si>
  <si>
    <t>PreExisting Diseases Waiting Period</t>
  </si>
  <si>
    <t>SpecificDiseasesWaitingPeriod</t>
  </si>
  <si>
    <t>Specific Diseases Waiting Period</t>
  </si>
  <si>
    <t>InitialWaitingPeriod</t>
  </si>
  <si>
    <t xml:space="preserve">Initial Waiting Period </t>
  </si>
  <si>
    <t>Waiting Period Benefits</t>
  </si>
  <si>
    <t>PreandPostNatalExpenses</t>
  </si>
  <si>
    <t>Pre and Post Natal Expenses</t>
  </si>
  <si>
    <t>MaternityWaitingPeriod</t>
  </si>
  <si>
    <t xml:space="preserve">Maternity Waiting Period </t>
  </si>
  <si>
    <t>MaternityCover</t>
  </si>
  <si>
    <t>Maternity Cover</t>
  </si>
  <si>
    <t>Maternity Coverage</t>
  </si>
  <si>
    <t>Covered</t>
  </si>
  <si>
    <t>PreandPostHospitalizationCoverage</t>
  </si>
  <si>
    <t>Pre and Post Hospitalization Coverage</t>
  </si>
  <si>
    <t>Pre and Post Hospitalization Coverage
(medicines, lab tests and consultations for IPD treatments)</t>
  </si>
  <si>
    <t>Home hospitalization &gt; 3 days +
Patient unable to move OR hospital bed not available</t>
  </si>
  <si>
    <t>DomicillaryHospitalization</t>
  </si>
  <si>
    <t>Domicillary Hospitalization</t>
  </si>
  <si>
    <t>COVID19Coverage</t>
  </si>
  <si>
    <t xml:space="preserve">COVID 19 Coverage </t>
  </si>
  <si>
    <t>No disease capping</t>
  </si>
  <si>
    <t>DiseaseCapping</t>
  </si>
  <si>
    <t>Disease Capping</t>
  </si>
  <si>
    <t xml:space="preserve">All procedures </t>
  </si>
  <si>
    <t>Hospitalization &lt; 24 hours</t>
  </si>
  <si>
    <t>DayCareTreatments</t>
  </si>
  <si>
    <t>Day Care Treatments</t>
  </si>
  <si>
    <t>InpatientHospitalization</t>
  </si>
  <si>
    <t>Inpatient Hospitalization</t>
  </si>
  <si>
    <t>Hospitalization Coverage</t>
  </si>
  <si>
    <t>Not Covered</t>
  </si>
  <si>
    <t>CorporateBuffer</t>
  </si>
  <si>
    <t>Corporate Buffer</t>
  </si>
  <si>
    <t>CoPay</t>
  </si>
  <si>
    <t>Co Pay</t>
  </si>
  <si>
    <t>RoomRentRestriction</t>
  </si>
  <si>
    <t>Room Rent Restriction</t>
  </si>
  <si>
    <t>Family Floater</t>
  </si>
  <si>
    <t>TypeofCover</t>
  </si>
  <si>
    <t>Type of Cover</t>
  </si>
  <si>
    <t>2 Parents/PIL - upto 80 yrs of age</t>
  </si>
  <si>
    <t>FamilyDefinition</t>
  </si>
  <si>
    <t>Children - upto 25 yrs of age</t>
  </si>
  <si>
    <t>Self</t>
  </si>
  <si>
    <t>Members Covered</t>
  </si>
  <si>
    <t>Care Health</t>
  </si>
  <si>
    <t>Aditya Birla Health</t>
  </si>
  <si>
    <t>Go Digit</t>
  </si>
  <si>
    <t>Policy Features - Group Health Insurance</t>
  </si>
  <si>
    <t>In INR</t>
  </si>
  <si>
    <t>Premium Per Life</t>
  </si>
  <si>
    <t>Total Number Of Lives</t>
  </si>
  <si>
    <t>Net Premium</t>
  </si>
  <si>
    <t>Premium Details</t>
  </si>
  <si>
    <t>PROPOSED INSURERS</t>
  </si>
  <si>
    <t>Policy Period</t>
  </si>
  <si>
    <t>Group Health Insurance</t>
  </si>
  <si>
    <t>Type of Policy</t>
  </si>
  <si>
    <t>Client Name</t>
  </si>
  <si>
    <t>Loco</t>
  </si>
  <si>
    <t>Bajaj General</t>
  </si>
  <si>
    <t>No Co Pay</t>
  </si>
  <si>
    <t>60/90 days</t>
  </si>
  <si>
    <t>Upto Maternity Limit</t>
  </si>
  <si>
    <t>Rs. 2.5k</t>
  </si>
  <si>
    <t>Upto Rs.50K</t>
  </si>
  <si>
    <t>ICICI Lombard</t>
  </si>
  <si>
    <t xml:space="preserve">Bajaj General </t>
  </si>
  <si>
    <t>3 lac</t>
  </si>
  <si>
    <t>✔</t>
  </si>
  <si>
    <t>Normal : 2% max Rs.7.5k and ICU - No Limit</t>
  </si>
  <si>
    <t>Neotel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</si>
</sst>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0%"/>
    <numFmt numFmtId="165" formatCode="0.0%"/>
    <numFmt numFmtId="166" formatCode="0.0000"/>
    <numFmt numFmtId="167" formatCode="_ * #,##0_ ;_ * \-#,##0_ ;_ * &quot;-&quot;??_ ;_ @_ "/>
    <numFmt numFmtId="168" formatCode="&quot;₹&quot;\ #,##0"/>
    <numFmt numFmtId="169" formatCode="[$-14009]d\ mmmm\ yyyy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Roboto"/>
    </font>
    <font>
      <b/>
      <sz val="14"/>
      <color theme="1"/>
      <name val="Roboto"/>
    </font>
    <font>
      <i/>
      <sz val="14"/>
      <color theme="1"/>
      <name val="Roboto"/>
    </font>
    <font>
      <sz val="14"/>
      <name val="Roboto"/>
    </font>
    <font>
      <b/>
      <sz val="14"/>
      <name val="Roboto"/>
    </font>
    <font>
      <b/>
      <sz val="14"/>
      <color rgb="FFFFFFFF"/>
      <name val="Roboto"/>
    </font>
    <font>
      <sz val="14"/>
      <color rgb="FF000000"/>
      <name val="Roboto"/>
    </font>
    <font>
      <b/>
      <sz val="14"/>
      <color rgb="FF000000"/>
      <name val="Roboto"/>
    </font>
    <font>
      <b/>
      <sz val="14"/>
      <color theme="0"/>
      <name val="Roboto"/>
    </font>
    <font>
      <u/>
      <sz val="14"/>
      <color theme="0"/>
      <name val="Roboto"/>
    </font>
  </fonts>
  <fills count="27">
    <fill>
      <patternFill patternType="none"/>
    </fill>
    <fill>
      <patternFill patternType="gray125"/>
    </fill>
    <fill>
      <patternFill patternType="solid">
        <fgColor rgb="FFB01414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rgb="FFD9F3ED"/>
        <bgColor indexed="64"/>
      </patternFill>
    </fill>
    <fill>
      <patternFill patternType="solid">
        <fgColor rgb="FFFFE5E6"/>
        <bgColor indexed="64"/>
      </patternFill>
    </fill>
    <fill>
      <patternFill patternType="solid">
        <fgColor rgb="FFE3FAF6"/>
        <bgColor theme="0"/>
      </patternFill>
    </fill>
    <fill>
      <patternFill patternType="solid">
        <fgColor rgb="FFFAF2E2"/>
        <bgColor theme="0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3FAF6"/>
        <bgColor indexed="64"/>
      </patternFill>
    </fill>
    <fill>
      <patternFill patternType="solid">
        <fgColor rgb="FFFAF2E2"/>
        <bgColor indexed="64"/>
      </patternFill>
    </fill>
    <fill>
      <patternFill patternType="solid">
        <fgColor theme="2" tint="-4.9989318521683403E-2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DFDFD"/>
      </patternFill>
    </fill>
    <fill>
      <patternFill patternType="solid">
        <fgColor theme="0"/>
        <bgColor rgb="FFF2F2F2"/>
      </patternFill>
    </fill>
    <fill>
      <patternFill patternType="solid">
        <fgColor rgb="FF80CEBA"/>
        <bgColor indexed="64"/>
      </patternFill>
    </fill>
    <fill>
      <patternFill patternType="solid">
        <fgColor rgb="FFFFAFB1"/>
        <bgColor indexed="64"/>
      </patternFill>
    </fill>
    <fill>
      <patternFill patternType="solid">
        <fgColor rgb="FF85EDDE"/>
        <bgColor indexed="64"/>
      </patternFill>
    </fill>
    <fill>
      <patternFill patternType="solid">
        <fgColor rgb="FFF3E0BD"/>
        <bgColor indexed="64"/>
      </patternFill>
    </fill>
    <fill>
      <patternFill patternType="solid">
        <fgColor rgb="FF11A387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04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1" fontId="0" fillId="0" borderId="1" xfId="0" applyNumberFormat="1" applyBorder="1" applyAlignment="1" applyProtection="1">
      <alignment horizontal="center" vertical="center" wrapText="1"/>
      <protection locked="0"/>
    </xf>
    <xf numFmtId="1" fontId="0" fillId="0" borderId="0" xfId="0" applyNumberFormat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10" fontId="0" fillId="0" borderId="0" xfId="0" applyNumberFormat="1" applyProtection="1">
      <protection locked="0"/>
    </xf>
    <xf numFmtId="165" fontId="0" fillId="0" borderId="1" xfId="0" applyNumberFormat="1" applyBorder="1" applyAlignment="1" applyProtection="1">
      <alignment horizontal="center" vertical="center" wrapText="1"/>
      <protection locked="0"/>
    </xf>
    <xf numFmtId="167" fontId="0" fillId="0" borderId="1" xfId="1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/>
    </xf>
    <xf numFmtId="0" fontId="1" fillId="0" borderId="0" xfId="0" applyFont="1" applyProtection="1"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3" fontId="0" fillId="0" borderId="0" xfId="0" applyNumberFormat="1" applyProtection="1">
      <protection locked="0"/>
    </xf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3" fontId="0" fillId="0" borderId="1" xfId="0" applyNumberFormat="1" applyBorder="1"/>
    <xf numFmtId="9" fontId="0" fillId="0" borderId="1" xfId="0" applyNumberFormat="1" applyBorder="1"/>
    <xf numFmtId="10" fontId="0" fillId="0" borderId="1" xfId="0" applyNumberFormat="1" applyBorder="1"/>
    <xf numFmtId="166" fontId="0" fillId="0" borderId="0" xfId="0" applyNumberFormat="1"/>
    <xf numFmtId="164" fontId="0" fillId="0" borderId="1" xfId="0" applyNumberFormat="1" applyBorder="1"/>
    <xf numFmtId="10" fontId="0" fillId="0" borderId="1" xfId="0" applyNumberForma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4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/>
    <xf numFmtId="9" fontId="0" fillId="0" borderId="0" xfId="0" applyNumberFormat="1"/>
    <xf numFmtId="167" fontId="9" fillId="0" borderId="1" xfId="1" applyNumberFormat="1" applyFont="1" applyBorder="1" applyAlignment="1" applyProtection="1">
      <alignment horizontal="center" vertical="center"/>
    </xf>
    <xf numFmtId="167" fontId="7" fillId="5" borderId="1" xfId="1" applyNumberFormat="1" applyFont="1" applyFill="1" applyBorder="1" applyAlignment="1" applyProtection="1">
      <alignment horizontal="center" vertical="center"/>
    </xf>
    <xf numFmtId="0" fontId="10" fillId="0" borderId="0" xfId="0" applyFont="1"/>
    <xf numFmtId="0" fontId="10" fillId="0" borderId="0" xfId="0" applyFont="1" applyAlignment="1">
      <alignment wrapText="1"/>
    </xf>
    <xf numFmtId="9" fontId="10" fillId="0" borderId="0" xfId="0" applyNumberFormat="1" applyFont="1"/>
    <xf numFmtId="9" fontId="10" fillId="0" borderId="0" xfId="0" applyNumberFormat="1" applyFont="1" applyAlignment="1">
      <alignment wrapText="1"/>
    </xf>
    <xf numFmtId="9" fontId="10" fillId="0" borderId="0" xfId="0" applyNumberFormat="1" applyFont="1" applyAlignment="1">
      <alignment horizontal="left"/>
    </xf>
    <xf numFmtId="0" fontId="10" fillId="6" borderId="0" xfId="0" applyFont="1" applyFill="1" applyAlignment="1">
      <alignment wrapText="1"/>
    </xf>
    <xf numFmtId="0" fontId="11" fillId="0" borderId="0" xfId="0" applyFont="1" applyAlignment="1">
      <alignment wrapText="1"/>
    </xf>
    <xf numFmtId="9" fontId="12" fillId="0" borderId="0" xfId="0" applyNumberFormat="1" applyFont="1" applyAlignment="1">
      <alignment horizontal="left"/>
    </xf>
    <xf numFmtId="0" fontId="13" fillId="7" borderId="6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11" borderId="6" xfId="0" applyFont="1" applyFill="1" applyBorder="1" applyAlignment="1">
      <alignment horizontal="center" vertical="center" wrapText="1"/>
    </xf>
    <xf numFmtId="0" fontId="11" fillId="12" borderId="7" xfId="0" applyFont="1" applyFill="1" applyBorder="1" applyAlignment="1">
      <alignment horizontal="left" vertical="center"/>
    </xf>
    <xf numFmtId="0" fontId="14" fillId="13" borderId="6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3" fillId="15" borderId="8" xfId="0" applyFont="1" applyFill="1" applyBorder="1" applyAlignment="1">
      <alignment horizontal="center" vertical="center"/>
    </xf>
    <xf numFmtId="0" fontId="13" fillId="16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wrapText="1"/>
    </xf>
    <xf numFmtId="0" fontId="11" fillId="13" borderId="8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center" vertical="center"/>
    </xf>
    <xf numFmtId="0" fontId="13" fillId="11" borderId="10" xfId="0" applyFont="1" applyFill="1" applyBorder="1" applyAlignment="1">
      <alignment horizontal="center" vertical="center" wrapText="1"/>
    </xf>
    <xf numFmtId="0" fontId="14" fillId="12" borderId="10" xfId="0" applyFont="1" applyFill="1" applyBorder="1" applyAlignment="1">
      <alignment horizontal="center" vertical="center" wrapText="1"/>
    </xf>
    <xf numFmtId="0" fontId="14" fillId="12" borderId="6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/>
    </xf>
    <xf numFmtId="0" fontId="13" fillId="11" borderId="8" xfId="0" applyFont="1" applyFill="1" applyBorder="1" applyAlignment="1">
      <alignment horizontal="center" vertical="center" wrapText="1"/>
    </xf>
    <xf numFmtId="0" fontId="14" fillId="12" borderId="8" xfId="0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3" fillId="16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15" borderId="8" xfId="0" applyFont="1" applyFill="1" applyBorder="1" applyAlignment="1">
      <alignment horizontal="center" vertical="center" wrapText="1"/>
    </xf>
    <xf numFmtId="0" fontId="13" fillId="16" borderId="8" xfId="0" applyFont="1" applyFill="1" applyBorder="1" applyAlignment="1">
      <alignment horizontal="center" vertical="center" wrapText="1"/>
    </xf>
    <xf numFmtId="0" fontId="13" fillId="17" borderId="8" xfId="0" applyFont="1" applyFill="1" applyBorder="1" applyAlignment="1">
      <alignment horizontal="center" vertical="center" wrapText="1"/>
    </xf>
    <xf numFmtId="0" fontId="13" fillId="15" borderId="10" xfId="0" applyFont="1" applyFill="1" applyBorder="1" applyAlignment="1">
      <alignment horizontal="center" vertical="center" wrapText="1"/>
    </xf>
    <xf numFmtId="0" fontId="13" fillId="16" borderId="10" xfId="0" applyFont="1" applyFill="1" applyBorder="1" applyAlignment="1">
      <alignment horizontal="center" vertical="center"/>
    </xf>
    <xf numFmtId="0" fontId="13" fillId="0" borderId="0" xfId="0" quotePrefix="1" applyFont="1" applyAlignment="1">
      <alignment horizontal="center" vertical="center"/>
    </xf>
    <xf numFmtId="0" fontId="13" fillId="11" borderId="10" xfId="0" quotePrefix="1" applyFont="1" applyFill="1" applyBorder="1" applyAlignment="1">
      <alignment horizontal="center" vertical="center" wrapText="1"/>
    </xf>
    <xf numFmtId="0" fontId="13" fillId="11" borderId="8" xfId="0" quotePrefix="1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/>
    </xf>
    <xf numFmtId="0" fontId="13" fillId="16" borderId="6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 vertical="center"/>
    </xf>
    <xf numFmtId="0" fontId="13" fillId="11" borderId="11" xfId="0" applyFont="1" applyFill="1" applyBorder="1" applyAlignment="1">
      <alignment horizontal="center" vertical="center" wrapText="1"/>
    </xf>
    <xf numFmtId="0" fontId="14" fillId="12" borderId="11" xfId="0" applyFont="1" applyFill="1" applyBorder="1" applyAlignment="1">
      <alignment horizontal="center" vertical="center" wrapText="1"/>
    </xf>
    <xf numFmtId="0" fontId="15" fillId="14" borderId="11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1" fillId="12" borderId="6" xfId="0" applyFont="1" applyFill="1" applyBorder="1" applyAlignment="1">
      <alignment horizontal="center" vertical="center" wrapText="1"/>
    </xf>
    <xf numFmtId="0" fontId="11" fillId="12" borderId="6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3" fillId="15" borderId="10" xfId="0" applyFont="1" applyFill="1" applyBorder="1" applyAlignment="1">
      <alignment horizontal="center" vertical="center"/>
    </xf>
    <xf numFmtId="0" fontId="14" fillId="12" borderId="15" xfId="0" applyFont="1" applyFill="1" applyBorder="1" applyAlignment="1">
      <alignment horizontal="left" vertical="center"/>
    </xf>
    <xf numFmtId="9" fontId="14" fillId="7" borderId="16" xfId="0" applyNumberFormat="1" applyFont="1" applyFill="1" applyBorder="1" applyAlignment="1">
      <alignment horizontal="center" vertical="center" wrapText="1"/>
    </xf>
    <xf numFmtId="9" fontId="14" fillId="7" borderId="0" xfId="0" applyNumberFormat="1" applyFont="1" applyFill="1" applyAlignment="1">
      <alignment horizontal="center" vertical="center" wrapText="1"/>
    </xf>
    <xf numFmtId="9" fontId="14" fillId="7" borderId="17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9" fontId="14" fillId="0" borderId="0" xfId="0" applyNumberFormat="1" applyFont="1" applyAlignment="1">
      <alignment vertical="center" wrapText="1"/>
    </xf>
    <xf numFmtId="168" fontId="16" fillId="18" borderId="10" xfId="0" applyNumberFormat="1" applyFont="1" applyFill="1" applyBorder="1" applyAlignment="1">
      <alignment horizontal="center" vertical="center" wrapText="1"/>
    </xf>
    <xf numFmtId="168" fontId="16" fillId="0" borderId="21" xfId="0" applyNumberFormat="1" applyFont="1" applyBorder="1" applyAlignment="1">
      <alignment horizontal="center" vertical="center" wrapText="1"/>
    </xf>
    <xf numFmtId="9" fontId="17" fillId="18" borderId="22" xfId="0" applyNumberFormat="1" applyFont="1" applyFill="1" applyBorder="1" applyAlignment="1">
      <alignment horizontal="left" vertical="center" wrapText="1"/>
    </xf>
    <xf numFmtId="9" fontId="17" fillId="18" borderId="10" xfId="0" applyNumberFormat="1" applyFont="1" applyFill="1" applyBorder="1" applyAlignment="1">
      <alignment horizontal="center" vertical="center" wrapText="1"/>
    </xf>
    <xf numFmtId="1" fontId="16" fillId="18" borderId="6" xfId="0" applyNumberFormat="1" applyFont="1" applyFill="1" applyBorder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9" fontId="17" fillId="18" borderId="7" xfId="0" applyNumberFormat="1" applyFont="1" applyFill="1" applyBorder="1" applyAlignment="1">
      <alignment horizontal="left" vertical="center" wrapText="1"/>
    </xf>
    <xf numFmtId="9" fontId="17" fillId="18" borderId="6" xfId="0" applyNumberFormat="1" applyFont="1" applyFill="1" applyBorder="1" applyAlignment="1">
      <alignment horizontal="center" vertical="center" wrapText="1"/>
    </xf>
    <xf numFmtId="168" fontId="16" fillId="19" borderId="6" xfId="0" applyNumberFormat="1" applyFont="1" applyFill="1" applyBorder="1" applyAlignment="1">
      <alignment horizontal="center" vertical="center" wrapText="1"/>
    </xf>
    <xf numFmtId="3" fontId="16" fillId="19" borderId="6" xfId="0" applyNumberFormat="1" applyFont="1" applyFill="1" applyBorder="1" applyAlignment="1">
      <alignment horizontal="center" vertical="center" wrapText="1"/>
    </xf>
    <xf numFmtId="3" fontId="16" fillId="0" borderId="6" xfId="0" applyNumberFormat="1" applyFont="1" applyBorder="1" applyAlignment="1">
      <alignment horizontal="center" vertical="center" wrapText="1"/>
    </xf>
    <xf numFmtId="168" fontId="16" fillId="0" borderId="0" xfId="0" applyNumberFormat="1" applyFont="1" applyAlignment="1">
      <alignment horizontal="center" vertical="center" wrapText="1"/>
    </xf>
    <xf numFmtId="9" fontId="17" fillId="20" borderId="7" xfId="0" applyNumberFormat="1" applyFont="1" applyFill="1" applyBorder="1" applyAlignment="1">
      <alignment horizontal="left" vertical="center" wrapText="1"/>
    </xf>
    <xf numFmtId="9" fontId="17" fillId="20" borderId="6" xfId="0" applyNumberFormat="1" applyFont="1" applyFill="1" applyBorder="1" applyAlignment="1">
      <alignment horizontal="center" vertical="center" wrapText="1"/>
    </xf>
    <xf numFmtId="9" fontId="14" fillId="0" borderId="9" xfId="0" applyNumberFormat="1" applyFont="1" applyBorder="1" applyAlignment="1">
      <alignment horizontal="center" vertical="center" wrapText="1"/>
    </xf>
    <xf numFmtId="168" fontId="16" fillId="19" borderId="9" xfId="0" applyNumberFormat="1" applyFont="1" applyFill="1" applyBorder="1" applyAlignment="1">
      <alignment horizontal="center" vertical="center" wrapText="1"/>
    </xf>
    <xf numFmtId="9" fontId="14" fillId="0" borderId="15" xfId="0" applyNumberFormat="1" applyFont="1" applyBorder="1" applyAlignment="1">
      <alignment horizontal="center" vertical="center" wrapText="1"/>
    </xf>
    <xf numFmtId="0" fontId="10" fillId="18" borderId="0" xfId="0" applyFont="1" applyFill="1"/>
    <xf numFmtId="0" fontId="14" fillId="21" borderId="14" xfId="0" applyFont="1" applyFill="1" applyBorder="1" applyAlignment="1">
      <alignment horizontal="center" vertical="center" wrapText="1"/>
    </xf>
    <xf numFmtId="0" fontId="14" fillId="22" borderId="13" xfId="0" applyFont="1" applyFill="1" applyBorder="1" applyAlignment="1">
      <alignment horizontal="center" vertical="center" wrapText="1"/>
    </xf>
    <xf numFmtId="9" fontId="14" fillId="23" borderId="13" xfId="0" applyNumberFormat="1" applyFont="1" applyFill="1" applyBorder="1" applyAlignment="1">
      <alignment horizontal="center" vertical="center" wrapText="1"/>
    </xf>
    <xf numFmtId="0" fontId="14" fillId="24" borderId="13" xfId="0" applyFont="1" applyFill="1" applyBorder="1" applyAlignment="1">
      <alignment horizontal="center" vertical="center" wrapText="1"/>
    </xf>
    <xf numFmtId="9" fontId="18" fillId="0" borderId="0" xfId="0" applyNumberFormat="1" applyFont="1" applyAlignment="1">
      <alignment horizontal="center" vertical="center" wrapText="1"/>
    </xf>
    <xf numFmtId="9" fontId="18" fillId="0" borderId="0" xfId="0" applyNumberFormat="1" applyFont="1" applyAlignment="1">
      <alignment horizontal="left" vertical="center" wrapText="1"/>
    </xf>
    <xf numFmtId="9" fontId="17" fillId="0" borderId="23" xfId="0" applyNumberFormat="1" applyFont="1" applyBorder="1" applyAlignment="1">
      <alignment horizontal="center" vertical="center" wrapText="1"/>
    </xf>
    <xf numFmtId="9" fontId="10" fillId="0" borderId="0" xfId="0" applyNumberFormat="1" applyFont="1" applyAlignment="1">
      <alignment horizontal="center"/>
    </xf>
    <xf numFmtId="9" fontId="17" fillId="0" borderId="0" xfId="0" applyNumberFormat="1" applyFont="1" applyAlignment="1">
      <alignment horizontal="center" vertical="center" wrapText="1"/>
    </xf>
    <xf numFmtId="169" fontId="2" fillId="0" borderId="0" xfId="0" applyNumberFormat="1" applyFont="1" applyAlignment="1">
      <alignment horizontal="left" vertical="top"/>
    </xf>
    <xf numFmtId="0" fontId="19" fillId="0" borderId="0" xfId="0" applyFont="1"/>
    <xf numFmtId="1" fontId="13" fillId="11" borderId="8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 applyProtection="1">
      <alignment horizontal="center" vertical="center"/>
      <protection locked="0"/>
    </xf>
    <xf numFmtId="0" fontId="2" fillId="2" borderId="2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9" fontId="0" fillId="3" borderId="1" xfId="0" applyNumberFormat="1" applyFill="1" applyBorder="1" applyAlignment="1">
      <alignment horizontal="right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13" fillId="26" borderId="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9" fontId="17" fillId="16" borderId="29" xfId="0" applyNumberFormat="1" applyFont="1" applyFill="1" applyBorder="1" applyAlignment="1">
      <alignment horizontal="center" vertical="center" wrapText="1"/>
    </xf>
    <xf numFmtId="9" fontId="17" fillId="16" borderId="28" xfId="0" applyNumberFormat="1" applyFont="1" applyFill="1" applyBorder="1" applyAlignment="1">
      <alignment horizontal="center" vertical="center" wrapText="1"/>
    </xf>
    <xf numFmtId="9" fontId="17" fillId="16" borderId="27" xfId="0" applyNumberFormat="1" applyFont="1" applyFill="1" applyBorder="1" applyAlignment="1">
      <alignment horizontal="center" vertical="center" wrapText="1"/>
    </xf>
    <xf numFmtId="9" fontId="16" fillId="16" borderId="29" xfId="0" applyNumberFormat="1" applyFont="1" applyFill="1" applyBorder="1" applyAlignment="1">
      <alignment horizontal="center" vertical="center" wrapText="1"/>
    </xf>
    <xf numFmtId="9" fontId="16" fillId="16" borderId="28" xfId="0" applyNumberFormat="1" applyFont="1" applyFill="1" applyBorder="1" applyAlignment="1">
      <alignment horizontal="center" vertical="center" wrapText="1"/>
    </xf>
    <xf numFmtId="9" fontId="16" fillId="16" borderId="27" xfId="0" applyNumberFormat="1" applyFont="1" applyFill="1" applyBorder="1" applyAlignment="1">
      <alignment horizontal="center" vertical="center" wrapText="1"/>
    </xf>
    <xf numFmtId="9" fontId="17" fillId="16" borderId="26" xfId="0" applyNumberFormat="1" applyFont="1" applyFill="1" applyBorder="1" applyAlignment="1">
      <alignment horizontal="center" vertical="center" wrapText="1"/>
    </xf>
    <xf numFmtId="9" fontId="17" fillId="16" borderId="25" xfId="0" applyNumberFormat="1" applyFont="1" applyFill="1" applyBorder="1" applyAlignment="1">
      <alignment horizontal="center" vertical="center" wrapText="1"/>
    </xf>
    <xf numFmtId="9" fontId="17" fillId="16" borderId="24" xfId="0" applyNumberFormat="1" applyFont="1" applyFill="1" applyBorder="1" applyAlignment="1">
      <alignment horizontal="center" vertical="center" wrapText="1"/>
    </xf>
    <xf numFmtId="9" fontId="10" fillId="16" borderId="26" xfId="0" applyNumberFormat="1" applyFont="1" applyFill="1" applyBorder="1" applyAlignment="1">
      <alignment horizontal="center"/>
    </xf>
    <xf numFmtId="9" fontId="10" fillId="16" borderId="25" xfId="0" applyNumberFormat="1" applyFont="1" applyFill="1" applyBorder="1" applyAlignment="1">
      <alignment horizontal="center"/>
    </xf>
    <xf numFmtId="9" fontId="10" fillId="16" borderId="24" xfId="0" applyNumberFormat="1" applyFont="1" applyFill="1" applyBorder="1" applyAlignment="1">
      <alignment horizontal="center"/>
    </xf>
    <xf numFmtId="9" fontId="14" fillId="7" borderId="35" xfId="0" applyNumberFormat="1" applyFont="1" applyFill="1" applyBorder="1" applyAlignment="1">
      <alignment horizontal="center"/>
    </xf>
    <xf numFmtId="9" fontId="14" fillId="7" borderId="34" xfId="0" applyNumberFormat="1" applyFont="1" applyFill="1" applyBorder="1" applyAlignment="1">
      <alignment horizontal="center"/>
    </xf>
    <xf numFmtId="9" fontId="14" fillId="7" borderId="33" xfId="0" applyNumberFormat="1" applyFont="1" applyFill="1" applyBorder="1" applyAlignment="1">
      <alignment horizontal="center"/>
    </xf>
    <xf numFmtId="9" fontId="17" fillId="16" borderId="32" xfId="0" applyNumberFormat="1" applyFont="1" applyFill="1" applyBorder="1" applyAlignment="1">
      <alignment horizontal="center" vertical="center" wrapText="1"/>
    </xf>
    <xf numFmtId="9" fontId="17" fillId="16" borderId="31" xfId="0" applyNumberFormat="1" applyFont="1" applyFill="1" applyBorder="1" applyAlignment="1">
      <alignment horizontal="center" vertical="center" wrapText="1"/>
    </xf>
    <xf numFmtId="9" fontId="17" fillId="16" borderId="30" xfId="0" applyNumberFormat="1" applyFont="1" applyFill="1" applyBorder="1" applyAlignment="1">
      <alignment horizontal="center" vertical="center" wrapText="1"/>
    </xf>
    <xf numFmtId="9" fontId="16" fillId="16" borderId="32" xfId="0" applyNumberFormat="1" applyFont="1" applyFill="1" applyBorder="1" applyAlignment="1">
      <alignment horizontal="center" vertical="center" wrapText="1"/>
    </xf>
    <xf numFmtId="9" fontId="16" fillId="16" borderId="31" xfId="0" applyNumberFormat="1" applyFont="1" applyFill="1" applyBorder="1" applyAlignment="1">
      <alignment horizontal="center" vertical="center" wrapText="1"/>
    </xf>
    <xf numFmtId="9" fontId="16" fillId="16" borderId="30" xfId="0" applyNumberFormat="1" applyFont="1" applyFill="1" applyBorder="1" applyAlignment="1">
      <alignment horizontal="center" vertical="center" wrapText="1"/>
    </xf>
    <xf numFmtId="9" fontId="17" fillId="18" borderId="0" xfId="0" applyNumberFormat="1" applyFont="1" applyFill="1" applyAlignment="1">
      <alignment horizontal="center" vertical="center" wrapText="1"/>
    </xf>
    <xf numFmtId="9" fontId="17" fillId="7" borderId="20" xfId="0" applyNumberFormat="1" applyFont="1" applyFill="1" applyBorder="1" applyAlignment="1">
      <alignment horizontal="center" vertical="center" wrapText="1"/>
    </xf>
    <xf numFmtId="9" fontId="17" fillId="7" borderId="19" xfId="0" applyNumberFormat="1" applyFont="1" applyFill="1" applyBorder="1" applyAlignment="1">
      <alignment horizontal="center" vertical="center" wrapText="1"/>
    </xf>
    <xf numFmtId="9" fontId="17" fillId="7" borderId="18" xfId="0" applyNumberFormat="1" applyFont="1" applyFill="1" applyBorder="1" applyAlignment="1">
      <alignment horizontal="center" vertical="center" wrapText="1"/>
    </xf>
    <xf numFmtId="0" fontId="15" fillId="14" borderId="8" xfId="0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 wrapText="1"/>
    </xf>
    <xf numFmtId="0" fontId="15" fillId="14" borderId="10" xfId="0" applyFont="1" applyFill="1" applyBorder="1" applyAlignment="1">
      <alignment horizontal="center" vertical="center" wrapText="1"/>
    </xf>
    <xf numFmtId="0" fontId="15" fillId="14" borderId="8" xfId="0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 vertical="center"/>
    </xf>
    <xf numFmtId="0" fontId="15" fillId="14" borderId="10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4" fillId="12" borderId="6" xfId="0" applyFont="1" applyFill="1" applyBorder="1" applyAlignment="1">
      <alignment horizontal="center" vertical="center"/>
    </xf>
    <xf numFmtId="0" fontId="14" fillId="12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14" borderId="14" xfId="0" applyFont="1" applyFill="1" applyBorder="1" applyAlignment="1">
      <alignment horizontal="center" vertical="center" wrapText="1"/>
    </xf>
    <xf numFmtId="0" fontId="15" fillId="14" borderId="13" xfId="0" applyFont="1" applyFill="1" applyBorder="1" applyAlignment="1">
      <alignment horizontal="center" vertical="center" wrapText="1"/>
    </xf>
    <xf numFmtId="0" fontId="15" fillId="14" borderId="12" xfId="0" applyFont="1" applyFill="1" applyBorder="1" applyAlignment="1">
      <alignment horizontal="center" vertical="center" wrapText="1"/>
    </xf>
    <xf numFmtId="9" fontId="14" fillId="7" borderId="20" xfId="0" applyNumberFormat="1" applyFont="1" applyFill="1" applyBorder="1" applyAlignment="1">
      <alignment horizontal="center" vertical="center" wrapText="1"/>
    </xf>
    <xf numFmtId="9" fontId="14" fillId="7" borderId="19" xfId="0" applyNumberFormat="1" applyFont="1" applyFill="1" applyBorder="1" applyAlignment="1">
      <alignment horizontal="center" vertical="center" wrapText="1"/>
    </xf>
    <xf numFmtId="9" fontId="14" fillId="7" borderId="18" xfId="0" applyNumberFormat="1" applyFont="1" applyFill="1" applyBorder="1" applyAlignment="1">
      <alignment horizontal="center" vertical="center" wrapText="1"/>
    </xf>
    <xf numFmtId="168" fontId="18" fillId="25" borderId="20" xfId="0" applyNumberFormat="1" applyFont="1" applyFill="1" applyBorder="1" applyAlignment="1">
      <alignment horizontal="center" vertical="center" wrapText="1"/>
    </xf>
    <xf numFmtId="168" fontId="18" fillId="25" borderId="19" xfId="0" applyNumberFormat="1" applyFont="1" applyFill="1" applyBorder="1" applyAlignment="1">
      <alignment horizontal="center" vertical="center" wrapText="1"/>
    </xf>
    <xf numFmtId="168" fontId="18" fillId="25" borderId="18" xfId="0" applyNumberFormat="1" applyFont="1" applyFill="1" applyBorder="1" applyAlignment="1">
      <alignment horizontal="center" vertical="center" wrapText="1"/>
    </xf>
    <xf numFmtId="0" fontId="15" fillId="14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24">
    <dxf>
      <font>
        <color theme="9"/>
      </font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7CBBF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B01414"/>
      <color rgb="FFF7CBBF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339586</xdr:colOff>
      <xdr:row>3</xdr:row>
      <xdr:rowOff>146021</xdr:rowOff>
    </xdr:from>
    <xdr:ext cx="2624767" cy="2504969"/>
    <xdr:pic>
      <xdr:nvPicPr>
        <xdr:cNvPr id="2" name="Picture 1">
          <a:extLst>
            <a:ext uri="{FF2B5EF4-FFF2-40B4-BE49-F238E27FC236}">
              <a16:creationId xmlns:a16="http://schemas.microsoft.com/office/drawing/2014/main" id="{34601B40-3AAD-42CC-A3E1-0D7C59C346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53" t="11553" r="18050" b="18050"/>
        <a:stretch/>
      </xdr:blipFill>
      <xdr:spPr>
        <a:xfrm>
          <a:off x="339586" y="688946"/>
          <a:ext cx="2624767" cy="250496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Clients/Clients%20(Direct%20-%20EB)/Loco/2024-25/Quotes/Key%20Policy%20Features%20Auto%20v1_renewal.xlsm" TargetMode="External"/><Relationship Id="rId2" Type="http://schemas.openxmlformats.org/officeDocument/2006/relationships/externalLinkPath" Target="file:///C:\Users\mayan\Downloads\My%20Clients\Loco\Key%20Policy%20Features%20Auto%20v1_renewal.xlsm" TargetMode="External"/><Relationship Id="rId1" Type="http://schemas.openxmlformats.org/officeDocument/2006/relationships/externalLinkPath" Target="/sites/HealthySureGroup/HealthySure/HealthySure/Employee%20Benefits%20Platform/Clients/Clients%20(Direct%20-%20EB)/Loco/2024-25/Quotes/Key%20Policy%20Features%20Auto%20v1_renewal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HS%20Quotes%20Making/Auto/Key%20Policy%20Features%20v1_fresh.xlsm" TargetMode="External"/><Relationship Id="rId2" Type="http://schemas.openxmlformats.org/officeDocument/2006/relationships/externalLinkPath" Target="https://healthysurein.sharepoint.com/sites/HealthySureGroup/HealthySure/HealthySure/Employee%20Benefits%20Platform/Premium%20Calculators/HS%20Quotes%20Making/Client's%20Name/Key%20Policy%20Features%20v1_fresh.xlsm" TargetMode="External"/><Relationship Id="rId1" Type="http://schemas.openxmlformats.org/officeDocument/2006/relationships/externalLinkPath" Target="/sites/HealthySureGroup/HealthySure/HealthySure/Employee%20Benefits%20Platform/Placements/HS%20Quotes%20Making/Auto/Key%20Policy%20Features%20v1_fresh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igh Level Quotes - Slide 1"/>
      <sheetName val="SOP"/>
      <sheetName val="Inputs"/>
      <sheetName val="Premium Breakdown"/>
      <sheetName val="High Level Quotes - Working"/>
      <sheetName val="Policy &amp; Technical Features - o"/>
      <sheetName val="Policy &amp; Technical Features"/>
      <sheetName val="Company Info"/>
      <sheetName val="BASE GHI TP"/>
      <sheetName val="GHI Policy Features (Option 1)"/>
      <sheetName val="GPA Policy Features (Option 1)"/>
      <sheetName val="GPA DB old"/>
      <sheetName val="GTLI Policy Features (Option 1)"/>
      <sheetName val="GTLI DB"/>
      <sheetName val="GPA DB"/>
      <sheetName val="GTLI Policy Features - old"/>
      <sheetName val="Flexi Top-Up Rate Card_dont use"/>
      <sheetName val="Technical Paramters"/>
      <sheetName val="Know your Insurer - Credentials"/>
      <sheetName val="Flexi Top-up Rate Card"/>
      <sheetName val="Technical DB"/>
      <sheetName val="Base GHI"/>
      <sheetName val="Summary_Sentence"/>
      <sheetName val="BackUp Data"/>
      <sheetName val="Sheet2"/>
    </sheetNames>
    <sheetDataSet>
      <sheetData sheetId="0">
        <row r="6">
          <cell r="R6">
            <v>300</v>
          </cell>
          <cell r="S6">
            <v>450</v>
          </cell>
          <cell r="U6">
            <v>200</v>
          </cell>
          <cell r="V6">
            <v>300</v>
          </cell>
        </row>
        <row r="7">
          <cell r="S7">
            <v>450</v>
          </cell>
        </row>
        <row r="8">
          <cell r="S8">
            <v>600</v>
          </cell>
        </row>
        <row r="9">
          <cell r="S9">
            <v>600</v>
          </cell>
        </row>
        <row r="10">
          <cell r="S10">
            <v>600</v>
          </cell>
        </row>
      </sheetData>
      <sheetData sheetId="1"/>
      <sheetData sheetId="2">
        <row r="2">
          <cell r="B2">
            <v>45289</v>
          </cell>
        </row>
      </sheetData>
      <sheetData sheetId="3"/>
      <sheetData sheetId="4">
        <row r="22">
          <cell r="R22">
            <v>300</v>
          </cell>
          <cell r="T22">
            <v>150</v>
          </cell>
        </row>
        <row r="24">
          <cell r="R24">
            <v>300</v>
          </cell>
        </row>
        <row r="32">
          <cell r="R32">
            <v>300</v>
          </cell>
          <cell r="T32">
            <v>150</v>
          </cell>
        </row>
        <row r="34">
          <cell r="R34">
            <v>300</v>
          </cell>
        </row>
      </sheetData>
      <sheetData sheetId="5"/>
      <sheetData sheetId="6"/>
      <sheetData sheetId="7"/>
      <sheetData sheetId="8">
        <row r="1">
          <cell r="B1" t="str">
            <v>Logo</v>
          </cell>
          <cell r="C1" t="str">
            <v>Family Definition</v>
          </cell>
          <cell r="G1" t="str">
            <v>Type of Cover</v>
          </cell>
          <cell r="I1" t="str">
            <v>Room Rent Restriction</v>
          </cell>
          <cell r="M1" t="str">
            <v>Co Pay</v>
          </cell>
          <cell r="S1" t="str">
            <v>Corporate Buffer</v>
          </cell>
          <cell r="V1" t="str">
            <v>Upgrade Option</v>
          </cell>
          <cell r="W1" t="str">
            <v>Pan India Coverage</v>
          </cell>
          <cell r="X1" t="str">
            <v>Cashless Network</v>
          </cell>
          <cell r="Y1" t="str">
            <v>Reimbursement Network</v>
          </cell>
          <cell r="Z1" t="str">
            <v>Claims Intermediary</v>
          </cell>
          <cell r="AA1" t="str">
            <v>Inpatient Hospitalization</v>
          </cell>
          <cell r="AB1" t="str">
            <v>Day Care Treatments</v>
          </cell>
          <cell r="AC1" t="str">
            <v>Disease Capping</v>
          </cell>
          <cell r="AD1" t="str">
            <v xml:space="preserve">COVID 19 Coverage </v>
          </cell>
          <cell r="AE1" t="str">
            <v>Domicillary Hospitalization</v>
          </cell>
          <cell r="AF1" t="str">
            <v>Pre and Post Hospitalization Coverage</v>
          </cell>
          <cell r="AH1" t="str">
            <v>Doctor Teleconsultations</v>
          </cell>
          <cell r="AI1" t="str">
            <v>Health Checkups</v>
          </cell>
          <cell r="AJ1" t="str">
            <v>Gym Memberships</v>
          </cell>
          <cell r="AK1" t="str">
            <v>Medicines Delivery</v>
          </cell>
          <cell r="AL1" t="str">
            <v>Dental Coverage</v>
          </cell>
          <cell r="AM1" t="str">
            <v>Maternity Cover</v>
          </cell>
          <cell r="AO1" t="str">
            <v xml:space="preserve">Maternity Waiting Period </v>
          </cell>
          <cell r="AQ1" t="str">
            <v>Pre and Post Natal Expenses</v>
          </cell>
          <cell r="AR1" t="str">
            <v xml:space="preserve">Initial Waiting Period </v>
          </cell>
          <cell r="AS1" t="str">
            <v>Specific Diseases Waiting Period</v>
          </cell>
          <cell r="AT1" t="str">
            <v>PreExisting Diseases Waiting Period</v>
          </cell>
          <cell r="AU1" t="str">
            <v xml:space="preserve">Emergency Ambulance </v>
          </cell>
          <cell r="AV1" t="str">
            <v xml:space="preserve">Emergency Air Ambulance </v>
          </cell>
          <cell r="AX1" t="str">
            <v>Modern Treatments and Robotic Surgeries</v>
          </cell>
          <cell r="AY1" t="str">
            <v xml:space="preserve">Psychiatric Illness </v>
          </cell>
          <cell r="BA1" t="str">
            <v xml:space="preserve">AYUSH Treatments </v>
          </cell>
          <cell r="BC1" t="str">
            <v>Organ Donor Expenses</v>
          </cell>
          <cell r="BE1" t="str">
            <v>Lasik Eye Surgery</v>
          </cell>
          <cell r="BF1" t="str">
            <v>Terrorism</v>
          </cell>
          <cell r="BG1" t="str">
            <v>Additions and Deletions</v>
          </cell>
          <cell r="BI1" t="str">
            <v>Mid term Increase in Sum Insured</v>
          </cell>
          <cell r="BK1" t="str">
            <v>Mid term Addition of Dependents</v>
          </cell>
          <cell r="BM1" t="str">
            <v>Midterm addition of parents</v>
          </cell>
          <cell r="BO1" t="str">
            <v>Cashless Authorization TAT</v>
          </cell>
          <cell r="BP1" t="str">
            <v>Reimburement Claim Settlement TAT</v>
          </cell>
          <cell r="BQ1" t="str">
            <v>Reimbursement Claim filing</v>
          </cell>
          <cell r="BR1" t="str">
            <v>Reimbursement Claim Intimation</v>
          </cell>
          <cell r="BS1" t="str">
            <v>Reimbursement Claim Submission</v>
          </cell>
        </row>
      </sheetData>
      <sheetData sheetId="9">
        <row r="17">
          <cell r="C17" t="str">
            <v>Family Definition</v>
          </cell>
        </row>
      </sheetData>
      <sheetData sheetId="10"/>
      <sheetData sheetId="11"/>
      <sheetData sheetId="12"/>
      <sheetData sheetId="13"/>
      <sheetData sheetId="14">
        <row r="3">
          <cell r="G3" t="str">
            <v>Accidental Death</v>
          </cell>
          <cell r="H3" t="str">
            <v>Permanent Total Disablement</v>
          </cell>
          <cell r="I3" t="str">
            <v>Permanent Partial Disablement</v>
          </cell>
          <cell r="J3" t="str">
            <v>Temporary Total Disablement
(if patient confined to bed due to temporary and total inability to engage in any occupation or any activity)</v>
          </cell>
          <cell r="K3" t="str">
            <v>Accidental Hospitalization (IPD) 
(min. 24 hours hospitalization)</v>
          </cell>
          <cell r="L3" t="str">
            <v xml:space="preserve">Accidental Expenses (OPD) </v>
          </cell>
          <cell r="M3" t="str">
            <v xml:space="preserve">Additional Benefits </v>
          </cell>
          <cell r="N3" t="str">
            <v xml:space="preserve">Terrorism </v>
          </cell>
          <cell r="O3" t="str">
            <v>Geographical Limit</v>
          </cell>
          <cell r="P3" t="str">
            <v xml:space="preserve">Coverage </v>
          </cell>
        </row>
        <row r="4">
          <cell r="A4" t="str">
            <v>Go Digit ( Basic Plan)</v>
          </cell>
        </row>
        <row r="5">
          <cell r="A5" t="str">
            <v>Go Digit ( Standard Plan)</v>
          </cell>
        </row>
        <row r="6">
          <cell r="A6" t="str">
            <v>Go Digit (Pro Plan)</v>
          </cell>
        </row>
        <row r="7">
          <cell r="A7" t="str">
            <v>IFFCO Tokio (Base Plan)</v>
          </cell>
        </row>
        <row r="8">
          <cell r="A8" t="str">
            <v>IFFCO Tokio ( Pro Plan)</v>
          </cell>
        </row>
        <row r="9">
          <cell r="A9" t="str">
            <v>Care Health</v>
          </cell>
        </row>
        <row r="10">
          <cell r="A10" t="str">
            <v>Tata AIG</v>
          </cell>
        </row>
        <row r="11">
          <cell r="A11" t="str">
            <v>GoDigit</v>
          </cell>
        </row>
        <row r="12">
          <cell r="A12" t="str">
            <v>ICICI Lombard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igh Level Quotes - Slide 1"/>
      <sheetName val="SOP"/>
      <sheetName val="Inputs"/>
      <sheetName val="Premium Breakdown"/>
      <sheetName val="High Level Quotes - Working"/>
      <sheetName val="Policy &amp; Technical Features - o"/>
      <sheetName val="Policy &amp; Technical Features"/>
      <sheetName val="Company Info"/>
      <sheetName val="GTLI DB"/>
      <sheetName val="GPA DB"/>
      <sheetName val="BASE GHI TP"/>
      <sheetName val="Technical DB"/>
      <sheetName val="GHI Policy Features (Option 1)"/>
      <sheetName val="GPA DB old"/>
      <sheetName val="GPA Policy Features (Option 1)"/>
      <sheetName val="GTLI Policy Features (Option 1)"/>
      <sheetName val="Know your Insurer - Credentials"/>
      <sheetName val="GTLI Policy Features - old"/>
      <sheetName val="Flexi Top-Up Rate Card_dont use"/>
      <sheetName val="Technical Paramters"/>
      <sheetName val="Flexi Top-up Rate Card"/>
      <sheetName val="Base GHI"/>
      <sheetName val="Summary_Sentence"/>
      <sheetName val="BackUp Data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E7" t="str">
            <v xml:space="preserve">Premium per mille (excl. GST) </v>
          </cell>
          <cell r="F7" t="str">
            <v xml:space="preserve">No. of lives </v>
          </cell>
          <cell r="G7" t="str">
            <v>Age Band</v>
          </cell>
          <cell r="H7" t="str">
            <v>Lumpsum Fixed benefits</v>
          </cell>
          <cell r="I7" t="str">
            <v>Pre-requisites for claim</v>
          </cell>
          <cell r="J7" t="str">
            <v xml:space="preserve">Other Conditions </v>
          </cell>
          <cell r="K7" t="str">
            <v>Quote Validity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E04A0-F45C-4F9E-B48B-0F25185FAEA6}">
  <dimension ref="A1:N38"/>
  <sheetViews>
    <sheetView topLeftCell="A4" zoomScaleNormal="100" workbookViewId="0">
      <selection activeCell="F7" sqref="F7"/>
    </sheetView>
  </sheetViews>
  <sheetFormatPr defaultColWidth="9.109375" defaultRowHeight="14.4" x14ac:dyDescent="0.3"/>
  <cols>
    <col min="1" max="1" width="22.33203125" style="1" customWidth="1"/>
    <col min="2" max="2" width="21.88671875" style="2" customWidth="1"/>
    <col min="3" max="3" width="20.33203125" style="2" customWidth="1"/>
    <col min="4" max="4" width="21.77734375" style="2" customWidth="1"/>
    <col min="5" max="5" width="21.77734375" style="1" customWidth="1"/>
    <col min="6" max="13" width="21.77734375" style="2" customWidth="1"/>
    <col min="14" max="16384" width="9.109375" style="2"/>
  </cols>
  <sheetData>
    <row r="1" spans="1:7" ht="15" thickBot="1" x14ac:dyDescent="0.35"/>
    <row r="2" spans="1:7" ht="37.950000000000003" customHeight="1" thickTop="1" thickBot="1" x14ac:dyDescent="0.35">
      <c r="A2" s="133" t="s">
        <v>19</v>
      </c>
      <c r="B2" s="4" t="s">
        <v>354</v>
      </c>
      <c r="C2" s="136" t="str">
        <f>IF(B2="","Please fill Organization Name","Good to proceed")</f>
        <v>Good to proceed</v>
      </c>
      <c r="E2" s="133" t="s">
        <v>30</v>
      </c>
      <c r="F2" s="4">
        <v>21</v>
      </c>
      <c r="G2" s="140" t="str">
        <f>IF(F2="","",IF(F2&gt;100,"Rater cannot be used for more than 100 employees",IF(F2&lt;7,"Rater cannot be used for less than 7 employees",IF(AND(F2&gt;=7,F2&lt;=10),"PED and SD waiting period will apply","Good to proceed"))))</f>
        <v>Good to proceed</v>
      </c>
    </row>
    <row r="3" spans="1:7" ht="3" customHeight="1" thickTop="1" thickBot="1" x14ac:dyDescent="0.35">
      <c r="A3" s="134"/>
      <c r="B3" s="5"/>
      <c r="C3" s="137"/>
      <c r="E3" s="134"/>
      <c r="F3" s="5"/>
      <c r="G3" s="3"/>
    </row>
    <row r="4" spans="1:7" ht="37.950000000000003" customHeight="1" thickTop="1" thickBot="1" x14ac:dyDescent="0.35">
      <c r="A4" s="133" t="s">
        <v>20</v>
      </c>
      <c r="B4" s="4"/>
      <c r="C4" s="136" t="str">
        <f>IF(B4="","Please fill GST Number","Good to proceed")</f>
        <v>Please fill GST Number</v>
      </c>
      <c r="E4" s="133" t="s">
        <v>31</v>
      </c>
      <c r="F4" s="4">
        <v>15</v>
      </c>
      <c r="G4" s="3"/>
    </row>
    <row r="5" spans="1:7" ht="3" customHeight="1" thickTop="1" thickBot="1" x14ac:dyDescent="0.35">
      <c r="A5" s="134"/>
      <c r="B5" s="5"/>
      <c r="C5" s="138"/>
      <c r="E5" s="134"/>
      <c r="F5" s="5"/>
      <c r="G5" s="3"/>
    </row>
    <row r="6" spans="1:7" ht="37.950000000000003" customHeight="1" thickTop="1" thickBot="1" x14ac:dyDescent="0.35">
      <c r="A6" s="133" t="s">
        <v>21</v>
      </c>
      <c r="B6" s="4" t="s">
        <v>43</v>
      </c>
      <c r="C6" s="139" t="str">
        <f>IF(B6="","",VLOOKUP(B6,'Drop Down Options'!A:B,2,0))</f>
        <v>Zone B</v>
      </c>
      <c r="E6" s="133" t="s">
        <v>32</v>
      </c>
      <c r="F6" s="4">
        <v>17</v>
      </c>
      <c r="G6" s="3"/>
    </row>
    <row r="7" spans="1:7" ht="3" customHeight="1" thickTop="1" thickBot="1" x14ac:dyDescent="0.35">
      <c r="A7" s="134"/>
      <c r="B7" s="5"/>
      <c r="C7" s="137"/>
      <c r="E7" s="134"/>
      <c r="F7" s="5"/>
      <c r="G7" s="3"/>
    </row>
    <row r="8" spans="1:7" ht="37.950000000000003" customHeight="1" thickTop="1" thickBot="1" x14ac:dyDescent="0.35">
      <c r="A8" s="133" t="s">
        <v>176</v>
      </c>
      <c r="B8" s="4" t="s">
        <v>127</v>
      </c>
      <c r="C8" s="136" t="str">
        <f>IF(B8="","",VLOOKUP(B8,'Drop Down Options'!D2:E56,2,0))</f>
        <v>Good to proceed</v>
      </c>
      <c r="E8" s="133" t="s">
        <v>33</v>
      </c>
      <c r="F8" s="142">
        <f>SUM(F2:F6)</f>
        <v>53</v>
      </c>
      <c r="G8" s="3"/>
    </row>
    <row r="9" spans="1:7" ht="3" customHeight="1" thickTop="1" thickBot="1" x14ac:dyDescent="0.35">
      <c r="A9" s="134"/>
      <c r="B9" s="5"/>
      <c r="C9" s="3"/>
      <c r="E9" s="134"/>
      <c r="F9" s="5"/>
      <c r="G9" s="3"/>
    </row>
    <row r="10" spans="1:7" ht="37.950000000000003" customHeight="1" thickTop="1" thickBot="1" x14ac:dyDescent="0.35">
      <c r="A10" s="133" t="s">
        <v>22</v>
      </c>
      <c r="B10" s="4" t="s">
        <v>23</v>
      </c>
      <c r="E10" s="133" t="s">
        <v>34</v>
      </c>
      <c r="F10" s="4" t="s">
        <v>168</v>
      </c>
      <c r="G10" s="3"/>
    </row>
    <row r="11" spans="1:7" ht="3" customHeight="1" thickTop="1" thickBot="1" x14ac:dyDescent="0.35">
      <c r="A11" s="134"/>
      <c r="B11" s="5"/>
      <c r="C11" s="3"/>
      <c r="E11" s="134"/>
      <c r="F11" s="5"/>
      <c r="G11" s="3"/>
    </row>
    <row r="12" spans="1:7" ht="37.950000000000003" customHeight="1" thickTop="1" thickBot="1" x14ac:dyDescent="0.35">
      <c r="A12" s="133" t="s">
        <v>26</v>
      </c>
      <c r="B12" s="4"/>
      <c r="C12" s="136" t="str">
        <f>IF(B12="","",IF(B12="Bajaj General Insurance","Rater cannot be used for Bajaj Renewals","Good to Proceed"))</f>
        <v/>
      </c>
      <c r="E12" s="133" t="s">
        <v>35</v>
      </c>
      <c r="F12" s="4" t="s">
        <v>36</v>
      </c>
      <c r="G12" s="3"/>
    </row>
    <row r="13" spans="1:7" ht="3" customHeight="1" thickTop="1" thickBot="1" x14ac:dyDescent="0.35">
      <c r="A13" s="134"/>
      <c r="B13" s="5"/>
      <c r="C13" s="3"/>
      <c r="E13" s="134"/>
      <c r="F13" s="5"/>
      <c r="G13" s="3"/>
    </row>
    <row r="14" spans="1:7" ht="37.950000000000003" customHeight="1" thickTop="1" thickBot="1" x14ac:dyDescent="0.35">
      <c r="A14" s="133" t="s">
        <v>27</v>
      </c>
      <c r="B14" s="4"/>
      <c r="E14" s="141" t="s">
        <v>181</v>
      </c>
      <c r="F14" s="6">
        <v>46172</v>
      </c>
      <c r="G14" s="136" t="str">
        <f ca="1">IF(F14="","",IF(F14&lt;'Age Band Raters'!O7,"Policy start date cannot be in the past","Good to proceed"))</f>
        <v>Good to proceed</v>
      </c>
    </row>
    <row r="15" spans="1:7" ht="3" customHeight="1" thickTop="1" thickBot="1" x14ac:dyDescent="0.35">
      <c r="A15" s="134"/>
      <c r="B15" s="5"/>
      <c r="C15" s="3"/>
      <c r="E15" s="134"/>
      <c r="F15" s="5"/>
      <c r="G15" s="3"/>
    </row>
    <row r="16" spans="1:7" ht="37.950000000000003" customHeight="1" thickTop="1" thickBot="1" x14ac:dyDescent="0.35">
      <c r="A16" s="133" t="s">
        <v>189</v>
      </c>
      <c r="B16" s="4"/>
      <c r="E16" s="133" t="s">
        <v>37</v>
      </c>
      <c r="F16" s="143" t="str">
        <f>IF(F10="","",IF(F10="5 Lac",'Drop Down Options'!O3,'Drop Down Options'!O2))</f>
        <v>Normal - 2% of SI (Max 7.5K), ICU - No Limit</v>
      </c>
      <c r="G16" s="3"/>
    </row>
    <row r="17" spans="1:14" ht="3" customHeight="1" thickTop="1" thickBot="1" x14ac:dyDescent="0.35">
      <c r="A17" s="134"/>
      <c r="B17" s="5"/>
      <c r="C17" s="3"/>
      <c r="E17" s="134"/>
      <c r="F17" s="5"/>
      <c r="G17" s="3"/>
    </row>
    <row r="18" spans="1:14" ht="37.950000000000003" customHeight="1" thickTop="1" thickBot="1" x14ac:dyDescent="0.35">
      <c r="A18" s="133" t="s">
        <v>28</v>
      </c>
      <c r="B18" s="10"/>
      <c r="E18" s="133" t="s">
        <v>38</v>
      </c>
      <c r="F18" s="4" t="s">
        <v>174</v>
      </c>
      <c r="G18" s="144" t="str">
        <f>IF(OR(F18="",F18="No"),"",IF(F2&lt;10,"Maternity cannot be provided. Minimum 11 employees required","Good to proceed"))</f>
        <v>Good to proceed</v>
      </c>
    </row>
    <row r="19" spans="1:14" ht="3" customHeight="1" thickTop="1" thickBot="1" x14ac:dyDescent="0.35">
      <c r="A19" s="134"/>
      <c r="B19" s="5"/>
      <c r="C19" s="3"/>
      <c r="E19" s="134"/>
      <c r="F19" s="5"/>
      <c r="G19" s="3"/>
    </row>
    <row r="20" spans="1:14" ht="39.450000000000003" customHeight="1" thickTop="1" thickBot="1" x14ac:dyDescent="0.35">
      <c r="A20" s="133" t="s">
        <v>29</v>
      </c>
      <c r="B20" s="10"/>
      <c r="E20" s="133" t="s">
        <v>179</v>
      </c>
      <c r="F20" s="9">
        <v>0.25</v>
      </c>
      <c r="G20" s="140" t="s">
        <v>182</v>
      </c>
    </row>
    <row r="21" spans="1:14" ht="3" customHeight="1" thickTop="1" thickBot="1" x14ac:dyDescent="0.35">
      <c r="A21" s="134"/>
      <c r="B21" s="5"/>
      <c r="C21" s="3"/>
      <c r="E21" s="5"/>
    </row>
    <row r="22" spans="1:14" ht="39.450000000000003" customHeight="1" thickTop="1" thickBot="1" x14ac:dyDescent="0.35">
      <c r="A22" s="133" t="s">
        <v>220</v>
      </c>
      <c r="B22" s="135" t="str">
        <f>IF(OR(B18="",B20=""),"",B20/B18)</f>
        <v/>
      </c>
      <c r="C22" s="140" t="str">
        <f>IF(B22="","",IF(B22&gt;=75%,"Rater cannot be used for policies with LR more than 75%","Good to proceed"))</f>
        <v/>
      </c>
      <c r="E22" s="2"/>
    </row>
    <row r="23" spans="1:14" ht="3" customHeight="1" thickTop="1" x14ac:dyDescent="0.3">
      <c r="A23" s="5"/>
      <c r="B23" s="5"/>
      <c r="C23" s="3"/>
      <c r="E23" s="5"/>
    </row>
    <row r="24" spans="1:14" ht="15" thickBot="1" x14ac:dyDescent="0.35">
      <c r="A24" s="7"/>
      <c r="B24" s="7"/>
      <c r="C24" s="1"/>
      <c r="D24" s="7"/>
      <c r="E24" s="7"/>
      <c r="F24" s="7"/>
      <c r="G24" s="7"/>
      <c r="H24" s="7"/>
      <c r="I24" s="7"/>
      <c r="J24" s="7"/>
      <c r="K24" s="7"/>
    </row>
    <row r="25" spans="1:14" ht="15.6" thickTop="1" thickBot="1" x14ac:dyDescent="0.35">
      <c r="A25" s="145" t="s">
        <v>178</v>
      </c>
      <c r="B25" s="146" t="s">
        <v>9</v>
      </c>
      <c r="C25" s="146" t="s">
        <v>0</v>
      </c>
      <c r="D25" s="146" t="s">
        <v>1</v>
      </c>
      <c r="E25" s="146" t="s">
        <v>2</v>
      </c>
      <c r="F25" s="146" t="s">
        <v>3</v>
      </c>
      <c r="G25" s="146" t="s">
        <v>4</v>
      </c>
      <c r="H25" s="146" t="s">
        <v>5</v>
      </c>
      <c r="I25" s="146" t="s">
        <v>6</v>
      </c>
      <c r="J25" s="146" t="s">
        <v>7</v>
      </c>
      <c r="K25" s="146" t="s">
        <v>8</v>
      </c>
      <c r="L25" s="147" t="s">
        <v>198</v>
      </c>
    </row>
    <row r="26" spans="1:14" ht="16.8" thickTop="1" thickBot="1" x14ac:dyDescent="0.35">
      <c r="A26" s="145" t="s">
        <v>11</v>
      </c>
      <c r="B26" s="11"/>
      <c r="C26" s="12"/>
      <c r="D26" s="11"/>
      <c r="E26" s="11"/>
      <c r="F26" s="11"/>
      <c r="G26" s="11"/>
      <c r="H26" s="11"/>
      <c r="I26" s="11"/>
      <c r="J26" s="11"/>
      <c r="K26" s="11"/>
      <c r="L26" s="13">
        <f>SUM(B26:K26)</f>
        <v>0</v>
      </c>
      <c r="M26" s="154" t="str">
        <f>IF(L26=0,"",IF(L26&lt;&gt;$F$8,"Number of lives is different",""))</f>
        <v/>
      </c>
      <c r="N26" s="154"/>
    </row>
    <row r="27" spans="1:14" ht="16.8" thickTop="1" thickBot="1" x14ac:dyDescent="0.35">
      <c r="A27" s="145" t="s">
        <v>12</v>
      </c>
      <c r="B27" s="11"/>
      <c r="C27" s="12"/>
      <c r="D27" s="11"/>
      <c r="E27" s="11"/>
      <c r="F27" s="11"/>
      <c r="G27" s="11"/>
      <c r="H27" s="11"/>
      <c r="I27" s="11"/>
      <c r="J27" s="11"/>
      <c r="K27" s="11"/>
      <c r="L27" s="13">
        <f>SUM(B27:K27)</f>
        <v>0</v>
      </c>
      <c r="M27" s="154" t="str">
        <f>IF(L27=0,"",IF(L27&lt;&gt;$F$8,"Number of lives is different",""))</f>
        <v/>
      </c>
      <c r="N27" s="154"/>
    </row>
    <row r="28" spans="1:14" ht="16.8" thickTop="1" thickBot="1" x14ac:dyDescent="0.35">
      <c r="A28" s="145" t="s">
        <v>13</v>
      </c>
      <c r="B28" s="11">
        <v>17</v>
      </c>
      <c r="C28" s="12">
        <v>0</v>
      </c>
      <c r="D28" s="11">
        <v>10</v>
      </c>
      <c r="E28" s="11">
        <v>4</v>
      </c>
      <c r="F28" s="11">
        <v>10</v>
      </c>
      <c r="G28" s="11">
        <v>5</v>
      </c>
      <c r="H28" s="11">
        <v>3</v>
      </c>
      <c r="I28" s="11">
        <v>4</v>
      </c>
      <c r="J28" s="11"/>
      <c r="K28" s="11"/>
      <c r="L28" s="13">
        <f t="shared" ref="L28" si="0">SUM(B28:K28)</f>
        <v>53</v>
      </c>
      <c r="M28" s="154" t="str">
        <f>IF(L28=0,"",IF(L28&lt;&gt;$F$8,"Number of lives is different",""))</f>
        <v/>
      </c>
      <c r="N28" s="154"/>
    </row>
    <row r="29" spans="1:14" ht="16.8" thickTop="1" thickBot="1" x14ac:dyDescent="0.35">
      <c r="A29" s="145" t="s">
        <v>14</v>
      </c>
      <c r="B29" s="11"/>
      <c r="C29" s="12"/>
      <c r="D29" s="11"/>
      <c r="E29" s="11"/>
      <c r="F29" s="11"/>
      <c r="G29" s="11"/>
      <c r="H29" s="11"/>
      <c r="I29" s="11"/>
      <c r="J29" s="11"/>
      <c r="K29" s="11"/>
      <c r="L29" s="13">
        <f>SUM(B29:K29)</f>
        <v>0</v>
      </c>
      <c r="M29" s="154" t="str">
        <f>IF(L29=0,"",IF(L29&lt;&gt;$F$8,"Number of lives is different",""))</f>
        <v/>
      </c>
      <c r="N29" s="154"/>
    </row>
    <row r="30" spans="1:14" ht="15.6" thickTop="1" thickBot="1" x14ac:dyDescent="0.35">
      <c r="A30" s="2"/>
      <c r="C30" s="1"/>
      <c r="E30" s="2"/>
    </row>
    <row r="31" spans="1:14" ht="31.2" customHeight="1" thickTop="1" thickBot="1" x14ac:dyDescent="0.35">
      <c r="A31" s="148" t="s">
        <v>221</v>
      </c>
      <c r="B31" s="149">
        <f>IF(C6="Zone A",0%,IF(C6="Zone B",-16.52%,""))</f>
        <v>-0.16519999999999999</v>
      </c>
      <c r="C31" s="1"/>
      <c r="E31" s="2"/>
    </row>
    <row r="32" spans="1:14" ht="33.75" customHeight="1" thickTop="1" thickBot="1" x14ac:dyDescent="0.35">
      <c r="A32" s="150" t="s">
        <v>212</v>
      </c>
      <c r="B32" s="151" t="str">
        <f>IF(F20=7.5%,"-10%",IF(F20=10%,"-7%",IF(F20=15%,"0%",IF(F20=20%,"+6.25%",IF(F20=25%,"+13.33%","")))))</f>
        <v>+13.33%</v>
      </c>
      <c r="C32" s="1"/>
      <c r="E32" s="152" t="s">
        <v>211</v>
      </c>
      <c r="F32" s="36">
        <f>IF(AND($C$6="Zone A",$F$20=7.5%),($B$33+($B$33*(-0.1))),IF(AND($C$6="Zone A",$F$20=10%),($B$33+($B$33*(-0.07))),IF(AND($C$6="Zone A",$F$20=15%),($B$33+($B$33*(0))),IF(AND($C$6="Zone A",$F$20=20%),($B$33+($B$33*(0.0625))),IF(AND($C$6="Zone A",$F$20=25%),($B$33+($B$33*(0.1333))),IF(AND($C$6="Zone B",$F$20=7.5%),($B$33+($B$33*(-0.2652))),IF(AND($C$6="Zone B",$F$20=10%),($B$33+($B$33*(-0.2352))),IF(AND($C$6="Zone B",$F$20=15%),($B$33+($B$33*(-0.1652))),IF(AND($C$6="Zone B",$F$20=20%),($B$33+($B$33*(-0.1027))),IF(AND($C$6="Zone B",$F$20=25%),($B$33+($B$33*(-0.0319))),""))))))))))</f>
        <v>217338.45</v>
      </c>
    </row>
    <row r="33" spans="1:5" ht="32.25" customHeight="1" thickTop="1" thickBot="1" x14ac:dyDescent="0.35">
      <c r="A33" s="147" t="s">
        <v>210</v>
      </c>
      <c r="B33" s="35">
        <f>IF(AND('Final Sheet'!$F$12=Calculations!A2,'Final Sheet'!$F$18=Calculations!B2,'Final Sheet'!$F$10=Calculations!D2,'Final Sheet'!$F$2&lt;10),Calculations!E2,IF(AND('Final Sheet'!$F$12=Calculations!A3,'Final Sheet'!$F$18=Calculations!B3,'Final Sheet'!$F$10=Calculations!D3,'Final Sheet'!$F$2&gt;=10),Calculations!E3,IF(AND('Final Sheet'!$F$12=Calculations!A4,'Final Sheet'!$F$18=Calculations!B4,'Final Sheet'!$F$10=Calculations!D4,'Final Sheet'!$F$2&gt;=10),Calculations!E4,IF(AND('Final Sheet'!$F$12=Calculations!A5,'Final Sheet'!$F$18=Calculations!B5,'Final Sheet'!$F$10=Calculations!D5,'Final Sheet'!$F$2&gt;=10),Calculations!E5,IF(AND('Final Sheet'!$F$12=Calculations!A6,'Final Sheet'!$F$18=Calculations!B6,'Final Sheet'!$F$10=Calculations!D6,'Final Sheet'!$F$2&gt;=10),Calculations!E6,IF(AND('Final Sheet'!$F$12=Calculations!A7,'Final Sheet'!$F$18=Calculations!B7,'Final Sheet'!$F$10=Calculations!D7,'Final Sheet'!$F$2&lt;10),Calculations!E7,IF(AND('Final Sheet'!$F$12=Calculations!A8,'Final Sheet'!$F$18=Calculations!B8,'Final Sheet'!$F$10=Calculations!D8,'Final Sheet'!$F$2&gt;=10),Calculations!E8,IF(AND('Final Sheet'!$F$12=Calculations!A9,'Final Sheet'!$F$18=Calculations!B9,'Final Sheet'!$F$10=Calculations!D9,'Final Sheet'!$F$2&gt;=10),Calculations!E10,IF(AND('Final Sheet'!$F$12=Calculations!A11,'Final Sheet'!$F$18=Calculations!B11,'Final Sheet'!$F$10=Calculations!D11,'Final Sheet'!$F$2&gt;=10),Calculations!E11,IF(AND('Final Sheet'!$F$12=Calculations!A12,'Final Sheet'!$F$18=Calculations!B12,'Final Sheet'!$F$10=Calculations!D12,'Final Sheet'!$F$2&lt;10),Calculations!E12,IF(AND('Final Sheet'!$F$12=Calculations!A13,'Final Sheet'!$F$18=Calculations!B13,'Final Sheet'!$F$10=Calculations!D13,'Final Sheet'!$F$2&gt;=10),Calculations!E13,IF(AND('Final Sheet'!$F$12=Calculations!A14,'Final Sheet'!$F$18=Calculations!B14,'Final Sheet'!$F$10=Calculations!D14,'Final Sheet'!$F$2&gt;=10),Calculations!E14,IF(AND('Final Sheet'!$F$12=Calculations!A15,'Final Sheet'!$F$18=Calculations!B15,'Final Sheet'!$F$10=Calculations!D15,'Final Sheet'!$F$2&gt;=10),Calculations!E15,IF(AND('Final Sheet'!$F$12=Calculations!A16,'Final Sheet'!$F$18=Calculations!B16,'Final Sheet'!$F$10=Calculations!D16,'Final Sheet'!$F$2&gt;=10),Calculations!E16,IF(AND('Final Sheet'!$F$12=Calculations!A17,'Final Sheet'!$F$18=Calculations!B17,'Final Sheet'!$F$10=Calculations!D17,'Final Sheet'!$F$2&lt;10),Calculations!E17,IF(AND('Final Sheet'!$F$12=Calculations!A18,'Final Sheet'!$F$18=Calculations!B18,'Final Sheet'!$F$10=Calculations!D18,'Final Sheet'!$F$2&gt;=10),Calculations!E18,IF(AND('Final Sheet'!$F$12=Calculations!A19,'Final Sheet'!$F$18=Calculations!B19,'Final Sheet'!$F$10=Calculations!D19,'Final Sheet'!$F$2&gt;=10),Calculations!E19,IF(AND('Final Sheet'!$F$12=Calculations!A20,'Final Sheet'!$F$18=Calculations!B20,'Final Sheet'!$F$10=Calculations!D20,'Final Sheet'!$F$2&gt;=10),Calculations!E20,IF(AND('Final Sheet'!$F$12=Calculations!A21,'Final Sheet'!$F$18=Calculations!B21,'Final Sheet'!$F$10=Calculations!D21,'Final Sheet'!$F$2&gt;=10),Calculations!E21,IF(AND('Final Sheet'!$F$12=Calculations!A22,'Final Sheet'!$F$18=Calculations!B22,'Final Sheet'!$F$10=Calculations!D22,'Final Sheet'!$F$2&lt;10),Calculations!E22,IF(AND('Final Sheet'!$F$12=Calculations!A23,'Final Sheet'!$F$18=Calculations!B23,'Final Sheet'!$F$10=Calculations!D23,'Final Sheet'!$F$2&gt;=10),Calculations!E23,IF(AND('Final Sheet'!$F$12=Calculations!A24,'Final Sheet'!$F$18=Calculations!B24,'Final Sheet'!$F$10=Calculations!D24,'Final Sheet'!$F$2&gt;=10),Calculations!E24,IF(AND('Final Sheet'!$F$12=Calculations!A25,'Final Sheet'!$F$18=Calculations!B25,'Final Sheet'!$F$10=Calculations!D25,'Final Sheet'!$F$2&gt;=10),Calculations!E25,IF(AND('Final Sheet'!$F$12=Calculations!A26,'Final Sheet'!$F$18=Calculations!B26,'Final Sheet'!$F$10=Calculations!D26,'Final Sheet'!$F$2&gt;=10),Calculations!E26,IF(AND('Final Sheet'!$F$12=Calculations!A27,'Final Sheet'!$F$18=Calculations!B27,'Final Sheet'!$F$10=Calculations!D27,'Final Sheet'!$F$2&lt;10),Calculations!E27,IF(AND('Final Sheet'!$F$12=Calculations!A28,'Final Sheet'!$F$18=Calculations!B28,'Final Sheet'!$F$10=Calculations!D28,'Final Sheet'!$F$2&gt;=10),Calculations!E28,IF(AND('Final Sheet'!$F$12=Calculations!A29,'Final Sheet'!$F$18=Calculations!B29,'Final Sheet'!$F$10=Calculations!D29,'Final Sheet'!$F$2&gt;=10),Calculations!E29,IF(AND('Final Sheet'!$F$12=Calculations!A30,'Final Sheet'!$F$18=Calculations!B30,'Final Sheet'!$F$10=Calculations!D30,'Final Sheet'!$F$2&gt;=10),Calculations!E30,IF(AND('Final Sheet'!$F$12=Calculations!A31,'Final Sheet'!$F$18=Calculations!B31,'Final Sheet'!$F$10=Calculations!D31,'Final Sheet'!$F$2&gt;=10),Calculations!E31,IF(AND('Final Sheet'!$F$12=Calculations!A32,'Final Sheet'!$F$18=Calculations!B32,'Final Sheet'!$F$10=Calculations!D32,'Final Sheet'!$F$2&lt;10),Calculations!E32,IF(AND('Final Sheet'!$F$12=Calculations!A33,'Final Sheet'!$F$18=Calculations!B33,'Final Sheet'!$F$10=Calculations!D33,'Final Sheet'!$F$2&gt;=10),Calculations!E33,IF(AND('Final Sheet'!$F$12=Calculations!A34,'Final Sheet'!$F$18=Calculations!B34,'Final Sheet'!$F$10=Calculations!D34,'Final Sheet'!$F$2&gt;=10),Calculations!E34,IF(AND('Final Sheet'!$F$12=Calculations!A35,'Final Sheet'!$F$18=Calculations!B35,'Final Sheet'!$F$10=Calculations!D35,'Final Sheet'!$F$2&gt;=10),Calculations!E35,IF(AND('Final Sheet'!$F$12=Calculations!A36,'Final Sheet'!$F$18=Calculations!B36,'Final Sheet'!$F$10=Calculations!D36,'Final Sheet'!$F$2&gt;=10),Calculations!E36,IF(AND('Final Sheet'!$F$12=Calculations!A37,'Final Sheet'!$F$18=Calculations!B37,'Final Sheet'!$F$10=Calculations!D37,'Final Sheet'!$F$2&lt;10),Calculations!E37,IF(AND('Final Sheet'!$F$12=Calculations!A38,'Final Sheet'!$F$18=Calculations!B38,'Final Sheet'!$F$10=Calculations!D38,'Final Sheet'!$F$2&gt;=10),Calculations!E38,IF(AND('Final Sheet'!$F$12=Calculations!A39,'Final Sheet'!$F$18=Calculations!B39,'Final Sheet'!$F$10=Calculations!D39,'Final Sheet'!$F$2&gt;=10),Calculations!E39,IF(AND('Final Sheet'!$F$12=Calculations!A40,'Final Sheet'!$F$18=Calculations!B40,'Final Sheet'!$F$10=Calculations!D40,'Final Sheet'!$F$2&gt;=10),Calculations!E40,IF(AND('Final Sheet'!$F$12=Calculations!A41,'Final Sheet'!$F$18=Calculations!B41,'Final Sheet'!$F$10=Calculations!D41,'Final Sheet'!$F$2&gt;=10),Calculations!E41,"")))))))))))))))))))))))))))))))))))))))</f>
        <v>224500</v>
      </c>
      <c r="C33" s="1"/>
      <c r="E33" s="2"/>
    </row>
    <row r="34" spans="1:5" ht="13.95" customHeight="1" thickTop="1" x14ac:dyDescent="0.3">
      <c r="B34" s="132"/>
      <c r="C34" s="1"/>
      <c r="E34" s="2"/>
    </row>
    <row r="35" spans="1:5" ht="37.200000000000003" customHeight="1" x14ac:dyDescent="0.3"/>
    <row r="37" spans="1:5" x14ac:dyDescent="0.3">
      <c r="A37" s="2"/>
    </row>
    <row r="38" spans="1:5" x14ac:dyDescent="0.3">
      <c r="B38" s="8"/>
    </row>
  </sheetData>
  <sheetProtection algorithmName="SHA-512" hashValue="eDknBy1+Xf4AQuHxWi9Y5QUS80rKMOkdAzei6kzITLelO9M8gQIMqbCxvWwr2Lu6JB6dTBsXyh9SjjR/dKRRFA==" saltValue="43z/d6Cblo89Cpf61i/eFw==" spinCount="100000" sheet="1" objects="1" scenarios="1"/>
  <mergeCells count="4">
    <mergeCell ref="M29:N29"/>
    <mergeCell ref="M26:N26"/>
    <mergeCell ref="M27:N27"/>
    <mergeCell ref="M28:N28"/>
  </mergeCells>
  <conditionalFormatting sqref="C2">
    <cfRule type="containsText" dxfId="23" priority="13" operator="containsText" text="Please fill Organization Name">
      <formula>NOT(ISERROR(SEARCH("Please fill Organization Name",C2)))</formula>
    </cfRule>
    <cfRule type="containsText" dxfId="22" priority="14" operator="containsText" text="Good to proceed">
      <formula>NOT(ISERROR(SEARCH("Good to proceed",C2)))</formula>
    </cfRule>
  </conditionalFormatting>
  <conditionalFormatting sqref="C4">
    <cfRule type="containsText" dxfId="21" priority="11" operator="containsText" text="Please fill GST Number">
      <formula>NOT(ISERROR(SEARCH("Please fill GST Number",C4)))</formula>
    </cfRule>
    <cfRule type="containsText" dxfId="20" priority="12" operator="containsText" text="Good to proceed">
      <formula>NOT(ISERROR(SEARCH("Good to proceed",C4)))</formula>
    </cfRule>
  </conditionalFormatting>
  <conditionalFormatting sqref="C6">
    <cfRule type="containsBlanks" dxfId="19" priority="8">
      <formula>LEN(TRIM(C6))=0</formula>
    </cfRule>
    <cfRule type="containsText" dxfId="18" priority="9" operator="containsText" text="Zone B">
      <formula>NOT(ISERROR(SEARCH("Zone B",C6)))</formula>
    </cfRule>
    <cfRule type="containsText" dxfId="17" priority="10" operator="containsText" text="Zone A">
      <formula>NOT(ISERROR(SEARCH("Zone A",C6)))</formula>
    </cfRule>
  </conditionalFormatting>
  <conditionalFormatting sqref="C8">
    <cfRule type="containsText" dxfId="16" priority="32" operator="containsText" text="Good to proceed">
      <formula>NOT(ISERROR(SEARCH("Good to proceed",C8)))</formula>
    </cfRule>
    <cfRule type="containsText" dxfId="15" priority="38" operator="containsText" text="Decline List">
      <formula>NOT(ISERROR(SEARCH("Decline List",C8)))</formula>
    </cfRule>
  </conditionalFormatting>
  <conditionalFormatting sqref="C12">
    <cfRule type="containsText" dxfId="14" priority="1" operator="containsText" text="Good to proceed">
      <formula>NOT(ISERROR(SEARCH("Good to proceed",C12)))</formula>
    </cfRule>
    <cfRule type="containsText" dxfId="13" priority="2" operator="containsText" text="Rater cannot be used for Bajaj Renewals">
      <formula>NOT(ISERROR(SEARCH("Rater cannot be used for Bajaj Renewals",C12)))</formula>
    </cfRule>
  </conditionalFormatting>
  <conditionalFormatting sqref="C22">
    <cfRule type="containsText" dxfId="12" priority="25" operator="containsText" text="Rater cannot be used for policies with LR more than 75%">
      <formula>NOT(ISERROR(SEARCH("Rater cannot be used for policies with LR more than 75%",C22)))</formula>
    </cfRule>
    <cfRule type="containsText" dxfId="11" priority="26" operator="containsText" text="Good to proceed">
      <formula>NOT(ISERROR(SEARCH("Good to proceed",C22)))</formula>
    </cfRule>
    <cfRule type="containsBlanks" dxfId="10" priority="27">
      <formula>LEN(TRIM(C22))=0</formula>
    </cfRule>
  </conditionalFormatting>
  <conditionalFormatting sqref="G2">
    <cfRule type="containsText" dxfId="9" priority="3" operator="containsText" text="PED and SD waiting period will apply">
      <formula>NOT(ISERROR(SEARCH("PED and SD waiting period will apply",G2)))</formula>
    </cfRule>
    <cfRule type="containsText" dxfId="8" priority="16" operator="containsText" text="Rater cannot be used for less than 7 employees">
      <formula>NOT(ISERROR(SEARCH("Rater cannot be used for less than 7 employees",G2)))</formula>
    </cfRule>
    <cfRule type="containsBlanks" priority="23">
      <formula>LEN(TRIM(G2))=0</formula>
    </cfRule>
    <cfRule type="containsText" dxfId="7" priority="24" operator="containsText" text="Good to proceed">
      <formula>NOT(ISERROR(SEARCH("Good to proceed",G2)))</formula>
    </cfRule>
    <cfRule type="containsText" dxfId="6" priority="36" operator="containsText" text="Rater cannot be used for more than 100 employees">
      <formula>NOT(ISERROR(SEARCH("Rater cannot be used for more than 100 employees",G2)))</formula>
    </cfRule>
  </conditionalFormatting>
  <conditionalFormatting sqref="G14">
    <cfRule type="containsBlanks" priority="21">
      <formula>LEN(TRIM(G14))=0</formula>
    </cfRule>
    <cfRule type="containsText" dxfId="5" priority="22" operator="containsText" text="Good to proceed">
      <formula>NOT(ISERROR(SEARCH("Good to proceed",G14)))</formula>
    </cfRule>
    <cfRule type="containsText" dxfId="4" priority="35" operator="containsText" text="Policy start date cannot be in the past">
      <formula>NOT(ISERROR(SEARCH("Policy start date cannot be in the past",G14)))</formula>
    </cfRule>
  </conditionalFormatting>
  <conditionalFormatting sqref="G18">
    <cfRule type="containsBlanks" priority="19">
      <formula>LEN(TRIM(G18))=0</formula>
    </cfRule>
    <cfRule type="containsText" dxfId="3" priority="20" operator="containsText" text="Good to proceed">
      <formula>NOT(ISERROR(SEARCH("Good to proceed",G18)))</formula>
    </cfRule>
    <cfRule type="containsText" dxfId="2" priority="34" operator="containsText" text="Maternity cannot be provided. Minimum 11 employees required">
      <formula>NOT(ISERROR(SEARCH("Maternity cannot be provided. Minimum 11 employees required",G18)))</formula>
    </cfRule>
  </conditionalFormatting>
  <conditionalFormatting sqref="M26:M29">
    <cfRule type="containsBlanks" priority="17">
      <formula>LEN(TRIM(M26))=0</formula>
    </cfRule>
    <cfRule type="containsText" dxfId="1" priority="18" operator="containsText" text="Number of lives is different">
      <formula>NOT(ISERROR(SEARCH("Number of lives is different",M26)))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DFF7CF39-9EB7-4A5F-AF38-D07B93BCE8CF}">
          <x14:formula1>
            <xm:f>'Drop Down Options'!$D$2:$D$56</xm:f>
          </x14:formula1>
          <xm:sqref>B8</xm:sqref>
        </x14:dataValidation>
        <x14:dataValidation type="list" allowBlank="1" showInputMessage="1" showErrorMessage="1" xr:uid="{469D772E-E0C0-48F7-994C-77A7198180AA}">
          <x14:formula1>
            <xm:f>'Drop Down Options'!$I$2:$I$4</xm:f>
          </x14:formula1>
          <xm:sqref>B10</xm:sqref>
        </x14:dataValidation>
        <x14:dataValidation type="list" allowBlank="1" showInputMessage="1" showErrorMessage="1" xr:uid="{39A08A09-F45D-4DF2-975C-7869137E032D}">
          <x14:formula1>
            <xm:f>'Drop Down Options'!$G$2:$G$26</xm:f>
          </x14:formula1>
          <xm:sqref>B12</xm:sqref>
        </x14:dataValidation>
        <x14:dataValidation type="list" allowBlank="1" showInputMessage="1" showErrorMessage="1" xr:uid="{DE3055D6-D987-4792-9A10-480E204BA5DA}">
          <x14:formula1>
            <xm:f>'Drop Down Options'!$S$2:$S$3</xm:f>
          </x14:formula1>
          <xm:sqref>B14</xm:sqref>
        </x14:dataValidation>
        <x14:dataValidation type="list" allowBlank="1" showInputMessage="1" showErrorMessage="1" xr:uid="{51A8D9F8-9B3D-4F7D-8742-AD177C44F5B0}">
          <x14:formula1>
            <xm:f>'Drop Down Options'!$K$2:$K$5</xm:f>
          </x14:formula1>
          <xm:sqref>F10</xm:sqref>
        </x14:dataValidation>
        <x14:dataValidation type="list" allowBlank="1" showInputMessage="1" showErrorMessage="1" xr:uid="{F86026F0-1566-4A91-99CC-AE83C9F3ABEA}">
          <x14:formula1>
            <xm:f>'Drop Down Options'!$M$2:$M$3</xm:f>
          </x14:formula1>
          <xm:sqref>F12</xm:sqref>
        </x14:dataValidation>
        <x14:dataValidation type="list" allowBlank="1" showInputMessage="1" showErrorMessage="1" xr:uid="{8BD845E9-6384-4346-B7EE-CB1D2272A790}">
          <x14:formula1>
            <xm:f>'Drop Down Options'!$Q$2:$Q$5</xm:f>
          </x14:formula1>
          <xm:sqref>F18</xm:sqref>
        </x14:dataValidation>
        <x14:dataValidation type="list" allowBlank="1" showInputMessage="1" showErrorMessage="1" xr:uid="{61CACE90-799B-4516-9AC5-E79EA385F930}">
          <x14:formula1>
            <xm:f>'Drop Down Options'!$U$2:$U$6</xm:f>
          </x14:formula1>
          <xm:sqref>F20</xm:sqref>
        </x14:dataValidation>
        <x14:dataValidation type="list" allowBlank="1" showInputMessage="1" showErrorMessage="1" xr:uid="{CF44B823-B7FF-49B8-8F75-EE4573C15539}">
          <x14:formula1>
            <xm:f>'Drop Down Options'!$A$2:$A$55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43F5-9970-4A6C-BC6F-6DD104264068}">
  <dimension ref="A1:Q993"/>
  <sheetViews>
    <sheetView showGridLines="0" tabSelected="1" zoomScale="43" zoomScaleNormal="60" workbookViewId="0">
      <pane xSplit="6" ySplit="15" topLeftCell="G31" activePane="bottomRight" state="frozen"/>
      <selection pane="topRight" activeCell="B6" sqref="B6:B14"/>
      <selection pane="bottomLeft" activeCell="B6" sqref="B6:B14"/>
      <selection pane="bottomRight" activeCell="B38" sqref="A1:XFD1048576"/>
    </sheetView>
  </sheetViews>
  <sheetFormatPr defaultColWidth="14.44140625" defaultRowHeight="18" x14ac:dyDescent="0.35"/>
  <cols>
    <col min="1" max="1" width="5.5546875" style="37" customWidth="1"/>
    <col min="2" max="2" width="39.5546875" style="37" customWidth="1"/>
    <col min="3" max="3" width="39.109375" style="37" customWidth="1"/>
    <col min="4" max="4" width="37.44140625" style="37" hidden="1" customWidth="1"/>
    <col min="5" max="5" width="40.5546875" style="38" customWidth="1"/>
    <col min="6" max="6" width="1.77734375" style="37" customWidth="1"/>
    <col min="7" max="9" width="44.5546875" style="37" customWidth="1"/>
    <col min="10" max="10" width="44.44140625" style="37" customWidth="1"/>
    <col min="11" max="11" width="15.44140625" style="37" bestFit="1" customWidth="1"/>
    <col min="12" max="12" width="11.21875" style="37" bestFit="1" customWidth="1"/>
    <col min="13" max="13" width="8.77734375" style="37" customWidth="1"/>
    <col min="14" max="14" width="72" style="37" customWidth="1"/>
    <col min="15" max="17" width="8.77734375" style="37" customWidth="1"/>
    <col min="18" max="16384" width="14.44140625" style="37"/>
  </cols>
  <sheetData>
    <row r="1" spans="1:17" ht="18.600000000000001" thickBot="1" x14ac:dyDescent="0.4">
      <c r="A1" s="130" t="s">
        <v>342</v>
      </c>
    </row>
    <row r="2" spans="1:17" ht="18.600000000000001" thickBot="1" x14ac:dyDescent="0.4">
      <c r="A2" s="129">
        <v>45289</v>
      </c>
      <c r="B2" s="119"/>
      <c r="C2" s="167" t="s">
        <v>339</v>
      </c>
      <c r="D2" s="168"/>
      <c r="E2" s="168"/>
      <c r="F2" s="168"/>
      <c r="G2" s="168"/>
      <c r="H2" s="168"/>
      <c r="I2" s="168"/>
      <c r="J2" s="169"/>
      <c r="K2" s="39"/>
      <c r="L2" s="39"/>
      <c r="M2" s="39"/>
      <c r="N2" s="39"/>
      <c r="O2" s="39"/>
      <c r="P2" s="39"/>
      <c r="Q2" s="39"/>
    </row>
    <row r="3" spans="1:17" x14ac:dyDescent="0.35">
      <c r="B3" s="119"/>
      <c r="C3" s="170" t="s">
        <v>341</v>
      </c>
      <c r="D3" s="171"/>
      <c r="E3" s="172"/>
      <c r="F3" s="128"/>
      <c r="G3" s="173" t="str">
        <f>'Final Sheet'!B2</f>
        <v>Neotel</v>
      </c>
      <c r="H3" s="174"/>
      <c r="I3" s="174"/>
      <c r="J3" s="175"/>
      <c r="K3" s="39"/>
      <c r="L3" s="39"/>
      <c r="M3" s="39"/>
      <c r="N3" s="39"/>
      <c r="O3" s="39"/>
      <c r="P3" s="39"/>
      <c r="Q3" s="39"/>
    </row>
    <row r="4" spans="1:17" x14ac:dyDescent="0.35">
      <c r="B4" s="119"/>
      <c r="C4" s="155" t="s">
        <v>340</v>
      </c>
      <c r="D4" s="156"/>
      <c r="E4" s="157"/>
      <c r="F4" s="128"/>
      <c r="G4" s="158" t="s">
        <v>339</v>
      </c>
      <c r="H4" s="159"/>
      <c r="I4" s="159"/>
      <c r="J4" s="160"/>
      <c r="K4" s="39"/>
      <c r="L4" s="39"/>
      <c r="M4" s="39"/>
      <c r="N4" s="39"/>
      <c r="O4" s="39"/>
      <c r="P4" s="39"/>
      <c r="Q4" s="39"/>
    </row>
    <row r="5" spans="1:17" x14ac:dyDescent="0.35">
      <c r="B5" s="119"/>
      <c r="C5" s="155" t="s">
        <v>338</v>
      </c>
      <c r="D5" s="156"/>
      <c r="E5" s="157"/>
      <c r="F5" s="128"/>
      <c r="G5" s="158"/>
      <c r="H5" s="159"/>
      <c r="I5" s="159"/>
      <c r="J5" s="160"/>
      <c r="K5" s="39"/>
      <c r="L5" s="39"/>
      <c r="M5" s="39"/>
      <c r="N5" s="39"/>
      <c r="O5" s="39"/>
      <c r="P5" s="39"/>
      <c r="Q5" s="39"/>
    </row>
    <row r="6" spans="1:17" ht="18.600000000000001" thickBot="1" x14ac:dyDescent="0.4">
      <c r="B6" s="119"/>
      <c r="C6" s="161" t="s">
        <v>34</v>
      </c>
      <c r="D6" s="162"/>
      <c r="E6" s="163"/>
      <c r="F6" s="128"/>
      <c r="G6" s="164" t="str">
        <f>'Final Sheet'!F10</f>
        <v>3 Lac</v>
      </c>
      <c r="H6" s="165"/>
      <c r="I6" s="165"/>
      <c r="J6" s="166"/>
      <c r="K6" s="39"/>
      <c r="L6" s="39"/>
      <c r="M6" s="39"/>
      <c r="N6" s="39"/>
      <c r="O6" s="39"/>
      <c r="P6" s="39"/>
      <c r="Q6" s="39"/>
    </row>
    <row r="7" spans="1:17" ht="18.600000000000001" thickBot="1" x14ac:dyDescent="0.4">
      <c r="B7" s="119"/>
      <c r="C7" s="128"/>
      <c r="D7" s="128"/>
      <c r="E7" s="128"/>
      <c r="F7" s="128"/>
      <c r="G7" s="127"/>
      <c r="H7" s="127"/>
      <c r="I7" s="127"/>
      <c r="J7" s="127"/>
      <c r="K7" s="39"/>
      <c r="L7" s="39"/>
      <c r="M7" s="39"/>
      <c r="N7" s="39"/>
      <c r="O7" s="39"/>
      <c r="P7" s="39"/>
      <c r="Q7" s="39"/>
    </row>
    <row r="8" spans="1:17" ht="18.600000000000001" thickBot="1" x14ac:dyDescent="0.4">
      <c r="B8" s="119"/>
      <c r="C8" s="176"/>
      <c r="D8" s="176"/>
      <c r="E8" s="176"/>
      <c r="F8" s="126"/>
      <c r="G8" s="196" t="s">
        <v>337</v>
      </c>
      <c r="H8" s="197"/>
      <c r="I8" s="197"/>
      <c r="J8" s="198"/>
      <c r="K8" s="39"/>
      <c r="L8" s="39"/>
      <c r="M8" s="39"/>
      <c r="N8" s="39"/>
      <c r="O8" s="39"/>
      <c r="P8" s="39"/>
      <c r="Q8" s="39"/>
    </row>
    <row r="9" spans="1:17" ht="18.600000000000001" thickBot="1" x14ac:dyDescent="0.4">
      <c r="B9" s="119"/>
      <c r="C9" s="124"/>
      <c r="D9" s="125"/>
      <c r="E9" s="124"/>
      <c r="F9" s="124"/>
      <c r="G9" s="123" t="s">
        <v>343</v>
      </c>
      <c r="H9" s="122" t="s">
        <v>349</v>
      </c>
      <c r="I9" s="121" t="s">
        <v>350</v>
      </c>
      <c r="J9" s="120" t="s">
        <v>349</v>
      </c>
      <c r="K9" s="39"/>
      <c r="L9" s="39"/>
      <c r="M9" s="39"/>
      <c r="N9" s="39"/>
      <c r="O9" s="39"/>
      <c r="P9" s="39"/>
      <c r="Q9" s="39"/>
    </row>
    <row r="10" spans="1:17" ht="18.600000000000001" thickBot="1" x14ac:dyDescent="0.4">
      <c r="B10" s="119"/>
      <c r="C10" s="177" t="s">
        <v>336</v>
      </c>
      <c r="D10" s="178"/>
      <c r="E10" s="178"/>
      <c r="F10" s="178"/>
      <c r="G10" s="178"/>
      <c r="H10" s="178"/>
      <c r="I10" s="178"/>
      <c r="J10" s="179"/>
      <c r="K10" s="39"/>
      <c r="L10" s="39"/>
      <c r="M10" s="39"/>
      <c r="N10" s="39"/>
      <c r="O10" s="39"/>
      <c r="P10" s="39"/>
      <c r="Q10" s="39"/>
    </row>
    <row r="11" spans="1:17" x14ac:dyDescent="0.35">
      <c r="B11" s="100"/>
      <c r="C11" s="116" t="s">
        <v>34</v>
      </c>
      <c r="D11" s="118"/>
      <c r="E11" s="117" t="s">
        <v>332</v>
      </c>
      <c r="F11" s="113"/>
      <c r="G11" s="116" t="str">
        <f>'Final Sheet'!F10</f>
        <v>3 Lac</v>
      </c>
      <c r="H11" s="116" t="s">
        <v>169</v>
      </c>
      <c r="I11" s="116" t="s">
        <v>351</v>
      </c>
      <c r="J11" s="116" t="s">
        <v>351</v>
      </c>
      <c r="K11" s="39"/>
      <c r="L11" s="39"/>
      <c r="M11" s="39"/>
      <c r="N11" s="39"/>
      <c r="O11" s="39"/>
      <c r="P11" s="39"/>
      <c r="Q11" s="39"/>
    </row>
    <row r="12" spans="1:17" x14ac:dyDescent="0.35">
      <c r="B12" s="100"/>
      <c r="C12" s="115" t="s">
        <v>335</v>
      </c>
      <c r="D12" s="114"/>
      <c r="E12" s="110" t="s">
        <v>332</v>
      </c>
      <c r="F12" s="113"/>
      <c r="G12" s="111">
        <f>'Final Sheet'!F32</f>
        <v>217338.45</v>
      </c>
      <c r="H12" s="112">
        <v>130000</v>
      </c>
      <c r="I12" s="111">
        <v>80000</v>
      </c>
      <c r="J12" s="110">
        <v>100000</v>
      </c>
      <c r="K12" s="39"/>
      <c r="L12" s="39"/>
      <c r="M12" s="39"/>
      <c r="N12" s="39"/>
      <c r="O12" s="39"/>
      <c r="P12" s="39"/>
      <c r="Q12" s="39"/>
    </row>
    <row r="13" spans="1:17" x14ac:dyDescent="0.35">
      <c r="B13" s="100"/>
      <c r="C13" s="109" t="s">
        <v>334</v>
      </c>
      <c r="D13" s="108"/>
      <c r="E13" s="106"/>
      <c r="F13" s="107"/>
      <c r="G13" s="106">
        <f>'Final Sheet'!F8</f>
        <v>53</v>
      </c>
      <c r="H13" s="106">
        <v>17</v>
      </c>
      <c r="I13" s="106">
        <v>17</v>
      </c>
      <c r="J13" s="106">
        <v>17</v>
      </c>
      <c r="K13" s="39"/>
      <c r="L13" s="39"/>
      <c r="M13" s="39"/>
      <c r="N13" s="39"/>
      <c r="O13" s="39"/>
      <c r="P13" s="39"/>
      <c r="Q13" s="39"/>
    </row>
    <row r="14" spans="1:17" ht="18.600000000000001" thickBot="1" x14ac:dyDescent="0.4">
      <c r="B14" s="100"/>
      <c r="C14" s="105" t="s">
        <v>333</v>
      </c>
      <c r="D14" s="104"/>
      <c r="E14" s="102" t="s">
        <v>332</v>
      </c>
      <c r="F14" s="103"/>
      <c r="G14" s="102">
        <f>G12/G13</f>
        <v>4100.7254716981133</v>
      </c>
      <c r="H14" s="102">
        <f>H12/H13</f>
        <v>7647.0588235294117</v>
      </c>
      <c r="I14" s="102">
        <f>I12/I13</f>
        <v>4705.8823529411766</v>
      </c>
      <c r="J14" s="102">
        <f>J12/J13</f>
        <v>5882.3529411764703</v>
      </c>
      <c r="K14" s="39"/>
      <c r="L14" s="39"/>
      <c r="M14" s="39"/>
      <c r="N14" s="39"/>
      <c r="O14" s="39"/>
      <c r="P14" s="39"/>
      <c r="Q14" s="39"/>
    </row>
    <row r="15" spans="1:17" ht="18.75" customHeight="1" thickBot="1" x14ac:dyDescent="0.4">
      <c r="B15" s="100"/>
      <c r="C15" s="193" t="s">
        <v>331</v>
      </c>
      <c r="D15" s="194"/>
      <c r="E15" s="194"/>
      <c r="F15" s="194"/>
      <c r="G15" s="194"/>
      <c r="H15" s="194"/>
      <c r="I15" s="194"/>
      <c r="J15" s="195"/>
      <c r="K15" s="101"/>
      <c r="L15" s="39"/>
      <c r="M15" s="39"/>
      <c r="N15" s="39"/>
      <c r="O15" s="39"/>
      <c r="P15" s="39"/>
      <c r="Q15" s="39"/>
    </row>
    <row r="16" spans="1:17" ht="18.75" hidden="1" customHeight="1" x14ac:dyDescent="0.35">
      <c r="B16" s="100"/>
      <c r="C16" s="99"/>
      <c r="D16" s="98"/>
      <c r="E16" s="97"/>
      <c r="F16" s="98"/>
      <c r="G16" s="97" t="s">
        <v>330</v>
      </c>
      <c r="H16" s="97" t="s">
        <v>328</v>
      </c>
      <c r="I16" s="97" t="s">
        <v>329</v>
      </c>
      <c r="J16" s="97" t="s">
        <v>328</v>
      </c>
      <c r="K16" s="39"/>
      <c r="L16" s="39"/>
      <c r="M16" s="39"/>
      <c r="N16" s="39"/>
      <c r="O16" s="39"/>
      <c r="P16" s="39"/>
      <c r="Q16" s="39"/>
    </row>
    <row r="17" spans="2:17" x14ac:dyDescent="0.35">
      <c r="B17" s="183" t="s">
        <v>327</v>
      </c>
      <c r="C17" s="186" t="s">
        <v>35</v>
      </c>
      <c r="D17" s="96" t="s">
        <v>324</v>
      </c>
      <c r="E17" s="69" t="s">
        <v>326</v>
      </c>
      <c r="F17" s="73"/>
      <c r="G17" s="68" t="str">
        <f>IF('Final Sheet'!F12&lt;&gt;"","✔","")</f>
        <v>✔</v>
      </c>
      <c r="H17" s="67" t="s">
        <v>352</v>
      </c>
      <c r="I17" s="54" t="s">
        <v>352</v>
      </c>
      <c r="J17" s="53" t="s">
        <v>352</v>
      </c>
      <c r="K17" s="39"/>
      <c r="L17" s="39"/>
      <c r="M17" s="39"/>
      <c r="N17" s="39"/>
      <c r="O17" s="39"/>
      <c r="P17" s="39"/>
      <c r="Q17" s="39"/>
    </row>
    <row r="18" spans="2:17" x14ac:dyDescent="0.35">
      <c r="B18" s="184"/>
      <c r="C18" s="187"/>
      <c r="D18" s="96" t="s">
        <v>324</v>
      </c>
      <c r="E18" s="50" t="s">
        <v>31</v>
      </c>
      <c r="F18" s="73"/>
      <c r="G18" s="48" t="str">
        <f>IF('Final Sheet'!F12="ESC","✔","✖")</f>
        <v>✔</v>
      </c>
      <c r="H18" s="47" t="s">
        <v>224</v>
      </c>
      <c r="I18" s="46" t="s">
        <v>224</v>
      </c>
      <c r="J18" s="45" t="s">
        <v>224</v>
      </c>
      <c r="K18" s="39"/>
      <c r="L18" s="39"/>
      <c r="M18" s="39"/>
      <c r="N18" s="39"/>
      <c r="O18" s="39"/>
      <c r="P18" s="39"/>
      <c r="Q18" s="39"/>
    </row>
    <row r="19" spans="2:17" x14ac:dyDescent="0.35">
      <c r="B19" s="184"/>
      <c r="C19" s="187"/>
      <c r="D19" s="96" t="s">
        <v>324</v>
      </c>
      <c r="E19" s="50" t="s">
        <v>325</v>
      </c>
      <c r="F19" s="73"/>
      <c r="G19" s="72" t="str">
        <f>IF('Final Sheet'!F12="ESC","✔","✖")</f>
        <v>✔</v>
      </c>
      <c r="H19" s="71" t="s">
        <v>224</v>
      </c>
      <c r="I19" s="46" t="s">
        <v>224</v>
      </c>
      <c r="J19" s="45" t="s">
        <v>224</v>
      </c>
      <c r="K19" s="39"/>
      <c r="L19" s="39"/>
      <c r="M19" s="39"/>
      <c r="N19" s="39"/>
      <c r="O19" s="39"/>
      <c r="P19" s="39"/>
      <c r="Q19" s="39"/>
    </row>
    <row r="20" spans="2:17" ht="36.6" thickBot="1" x14ac:dyDescent="0.4">
      <c r="B20" s="185"/>
      <c r="C20" s="188"/>
      <c r="D20" s="96" t="s">
        <v>324</v>
      </c>
      <c r="E20" s="64" t="s">
        <v>323</v>
      </c>
      <c r="F20" s="73"/>
      <c r="G20" s="78" t="s">
        <v>224</v>
      </c>
      <c r="H20" s="95" t="s">
        <v>224</v>
      </c>
      <c r="I20" s="61" t="s">
        <v>224</v>
      </c>
      <c r="J20" s="60" t="s">
        <v>224</v>
      </c>
      <c r="K20" s="39"/>
      <c r="L20" s="39"/>
      <c r="M20" s="39"/>
      <c r="N20" s="39"/>
      <c r="O20" s="39"/>
      <c r="P20" s="39"/>
      <c r="Q20" s="39"/>
    </row>
    <row r="21" spans="2:17" ht="7.5" customHeight="1" thickBot="1" x14ac:dyDescent="0.4">
      <c r="B21" s="189"/>
      <c r="C21" s="189"/>
      <c r="D21" s="189"/>
      <c r="E21" s="189"/>
      <c r="F21" s="189"/>
      <c r="G21" s="189"/>
      <c r="H21" s="189"/>
      <c r="I21" s="189"/>
      <c r="J21" s="189"/>
      <c r="K21" s="39"/>
      <c r="L21" s="39"/>
      <c r="M21" s="39"/>
      <c r="N21" s="39"/>
      <c r="O21" s="39"/>
      <c r="P21" s="39"/>
      <c r="Q21" s="39"/>
    </row>
    <row r="22" spans="2:17" x14ac:dyDescent="0.35">
      <c r="B22" s="190" t="s">
        <v>22</v>
      </c>
      <c r="C22" s="94" t="s">
        <v>322</v>
      </c>
      <c r="D22" s="51" t="s">
        <v>321</v>
      </c>
      <c r="E22" s="69" t="s">
        <v>320</v>
      </c>
      <c r="F22" s="73"/>
      <c r="G22" s="56" t="s">
        <v>225</v>
      </c>
      <c r="H22" s="55" t="s">
        <v>225</v>
      </c>
      <c r="I22" s="54" t="s">
        <v>225</v>
      </c>
      <c r="J22" s="53" t="s">
        <v>225</v>
      </c>
      <c r="K22" s="39"/>
      <c r="L22" s="39"/>
      <c r="M22" s="39"/>
      <c r="N22" s="39"/>
      <c r="O22" s="39"/>
      <c r="P22" s="39"/>
      <c r="Q22" s="39"/>
    </row>
    <row r="23" spans="2:17" ht="36" x14ac:dyDescent="0.35">
      <c r="B23" s="191"/>
      <c r="C23" s="93" t="s">
        <v>319</v>
      </c>
      <c r="D23" s="51" t="s">
        <v>318</v>
      </c>
      <c r="E23" s="50" t="str">
        <f>IF('Final Sheet'!F10="5 Lac","Normal - No Limit, ICU - No Limit","Normal - 2% of SI (Max 7.5K), ICU - No Limit")</f>
        <v>Normal - 2% of SI (Max 7.5K), ICU - No Limit</v>
      </c>
      <c r="F23" s="73"/>
      <c r="G23" s="83" t="s">
        <v>225</v>
      </c>
      <c r="H23" s="71" t="s">
        <v>225</v>
      </c>
      <c r="I23" s="153" t="s">
        <v>353</v>
      </c>
      <c r="J23" s="45" t="s">
        <v>225</v>
      </c>
      <c r="K23" s="39"/>
      <c r="L23" s="39"/>
      <c r="M23" s="39"/>
      <c r="N23" s="39"/>
      <c r="O23" s="39"/>
      <c r="P23" s="39"/>
      <c r="Q23" s="39"/>
    </row>
    <row r="24" spans="2:17" x14ac:dyDescent="0.35">
      <c r="B24" s="191"/>
      <c r="C24" s="93" t="s">
        <v>317</v>
      </c>
      <c r="D24" s="51" t="s">
        <v>316</v>
      </c>
      <c r="E24" s="50" t="s">
        <v>344</v>
      </c>
      <c r="F24" s="73"/>
      <c r="G24" s="83" t="s">
        <v>225</v>
      </c>
      <c r="H24" s="82" t="s">
        <v>225</v>
      </c>
      <c r="I24" s="46" t="s">
        <v>225</v>
      </c>
      <c r="J24" s="45" t="s">
        <v>225</v>
      </c>
      <c r="K24" s="39"/>
      <c r="L24" s="39"/>
      <c r="M24" s="39"/>
      <c r="N24" s="39"/>
      <c r="O24" s="39"/>
      <c r="P24" s="39"/>
      <c r="Q24" s="39"/>
    </row>
    <row r="25" spans="2:17" x14ac:dyDescent="0.35">
      <c r="B25" s="191"/>
      <c r="C25" s="92" t="s">
        <v>315</v>
      </c>
      <c r="D25" s="51" t="s">
        <v>314</v>
      </c>
      <c r="E25" s="50" t="s">
        <v>313</v>
      </c>
      <c r="F25" s="73"/>
      <c r="G25" s="83" t="s">
        <v>313</v>
      </c>
      <c r="H25" s="82" t="s">
        <v>313</v>
      </c>
      <c r="I25" s="46" t="s">
        <v>313</v>
      </c>
      <c r="J25" s="45" t="s">
        <v>313</v>
      </c>
      <c r="K25" s="39"/>
      <c r="L25" s="39"/>
      <c r="M25" s="39"/>
      <c r="N25" s="39"/>
      <c r="O25" s="39"/>
      <c r="P25" s="39"/>
      <c r="Q25" s="39"/>
    </row>
    <row r="26" spans="2:17" ht="7.5" customHeight="1" thickBot="1" x14ac:dyDescent="0.4">
      <c r="B26" s="189"/>
      <c r="C26" s="189"/>
      <c r="D26" s="189"/>
      <c r="E26" s="189"/>
      <c r="F26" s="189"/>
      <c r="G26" s="189"/>
      <c r="H26" s="189"/>
      <c r="I26" s="189"/>
      <c r="J26" s="189"/>
      <c r="K26" s="39"/>
      <c r="L26" s="39"/>
      <c r="M26" s="39"/>
      <c r="N26" s="39"/>
      <c r="O26" s="39"/>
      <c r="P26" s="39"/>
      <c r="Q26" s="39"/>
    </row>
    <row r="27" spans="2:17" x14ac:dyDescent="0.35">
      <c r="B27" s="190" t="s">
        <v>312</v>
      </c>
      <c r="C27" s="70" t="s">
        <v>311</v>
      </c>
      <c r="D27" s="51" t="s">
        <v>310</v>
      </c>
      <c r="E27" s="69" t="s">
        <v>265</v>
      </c>
      <c r="F27" s="73"/>
      <c r="G27" s="56" t="s">
        <v>225</v>
      </c>
      <c r="H27" s="55" t="s">
        <v>225</v>
      </c>
      <c r="I27" s="54" t="s">
        <v>225</v>
      </c>
      <c r="J27" s="53" t="s">
        <v>225</v>
      </c>
      <c r="K27" s="39"/>
      <c r="L27" s="39"/>
      <c r="M27" s="39"/>
      <c r="N27" s="39"/>
      <c r="O27" s="39"/>
      <c r="P27" s="39"/>
      <c r="Q27" s="39"/>
    </row>
    <row r="28" spans="2:17" x14ac:dyDescent="0.35">
      <c r="B28" s="191"/>
      <c r="C28" s="66" t="s">
        <v>309</v>
      </c>
      <c r="D28" s="51" t="s">
        <v>308</v>
      </c>
      <c r="E28" s="50" t="s">
        <v>307</v>
      </c>
      <c r="F28" s="73"/>
      <c r="G28" s="72" t="s">
        <v>306</v>
      </c>
      <c r="H28" s="71" t="s">
        <v>306</v>
      </c>
      <c r="I28" s="46" t="s">
        <v>306</v>
      </c>
      <c r="J28" s="45" t="s">
        <v>306</v>
      </c>
      <c r="K28" s="39"/>
      <c r="L28" s="39"/>
      <c r="M28" s="39"/>
      <c r="N28" s="39"/>
      <c r="O28" s="39"/>
      <c r="P28" s="39"/>
      <c r="Q28" s="39"/>
    </row>
    <row r="29" spans="2:17" x14ac:dyDescent="0.35">
      <c r="B29" s="191"/>
      <c r="C29" s="66" t="s">
        <v>305</v>
      </c>
      <c r="D29" s="51" t="s">
        <v>304</v>
      </c>
      <c r="E29" s="50" t="s">
        <v>303</v>
      </c>
      <c r="F29" s="73"/>
      <c r="G29" s="48" t="s">
        <v>225</v>
      </c>
      <c r="H29" s="91" t="s">
        <v>225</v>
      </c>
      <c r="I29" s="46" t="s">
        <v>225</v>
      </c>
      <c r="J29" s="45" t="s">
        <v>225</v>
      </c>
      <c r="K29" s="39"/>
      <c r="L29" s="39"/>
      <c r="M29" s="39"/>
      <c r="N29" s="39"/>
      <c r="O29" s="39"/>
      <c r="P29" s="39"/>
      <c r="Q29" s="39"/>
    </row>
    <row r="30" spans="2:17" x14ac:dyDescent="0.35">
      <c r="B30" s="191"/>
      <c r="C30" s="66" t="s">
        <v>302</v>
      </c>
      <c r="D30" s="51" t="s">
        <v>301</v>
      </c>
      <c r="E30" s="50" t="s">
        <v>265</v>
      </c>
      <c r="F30" s="73"/>
      <c r="G30" s="48" t="s">
        <v>225</v>
      </c>
      <c r="H30" s="47" t="s">
        <v>225</v>
      </c>
      <c r="I30" s="46" t="s">
        <v>225</v>
      </c>
      <c r="J30" s="45" t="s">
        <v>225</v>
      </c>
      <c r="K30" s="39"/>
      <c r="L30" s="39"/>
      <c r="M30" s="39"/>
      <c r="N30" s="39"/>
      <c r="O30" s="39"/>
      <c r="P30" s="39"/>
      <c r="Q30" s="39"/>
    </row>
    <row r="31" spans="2:17" ht="54.6" thickBot="1" x14ac:dyDescent="0.4">
      <c r="B31" s="192"/>
      <c r="C31" s="65" t="s">
        <v>300</v>
      </c>
      <c r="D31" s="51" t="s">
        <v>299</v>
      </c>
      <c r="E31" s="64" t="s">
        <v>298</v>
      </c>
      <c r="F31" s="49"/>
      <c r="G31" s="63" t="s">
        <v>225</v>
      </c>
      <c r="H31" s="77" t="s">
        <v>225</v>
      </c>
      <c r="I31" s="61" t="s">
        <v>225</v>
      </c>
      <c r="J31" s="45" t="s">
        <v>225</v>
      </c>
      <c r="K31" s="39"/>
      <c r="L31" s="39"/>
      <c r="M31" s="39"/>
      <c r="N31" s="39"/>
      <c r="O31" s="39"/>
      <c r="P31" s="39"/>
      <c r="Q31" s="39"/>
    </row>
    <row r="32" spans="2:17" ht="7.5" customHeight="1" thickBot="1" x14ac:dyDescent="0.4">
      <c r="B32" s="189"/>
      <c r="C32" s="189"/>
      <c r="D32" s="189"/>
      <c r="E32" s="189"/>
      <c r="F32" s="189"/>
      <c r="G32" s="189"/>
      <c r="H32" s="189"/>
      <c r="I32" s="189"/>
      <c r="J32" s="189"/>
      <c r="K32" s="39"/>
      <c r="L32" s="39"/>
      <c r="M32" s="39"/>
      <c r="N32" s="39"/>
      <c r="O32" s="39"/>
      <c r="P32" s="39"/>
      <c r="Q32" s="39"/>
    </row>
    <row r="33" spans="2:17" ht="90.6" thickBot="1" x14ac:dyDescent="0.4">
      <c r="B33" s="90" t="s">
        <v>297</v>
      </c>
      <c r="C33" s="89" t="s">
        <v>296</v>
      </c>
      <c r="D33" s="51" t="s">
        <v>295</v>
      </c>
      <c r="E33" s="88" t="s">
        <v>294</v>
      </c>
      <c r="F33" s="49"/>
      <c r="G33" s="87" t="s">
        <v>345</v>
      </c>
      <c r="H33" s="86" t="s">
        <v>345</v>
      </c>
      <c r="I33" s="85" t="s">
        <v>345</v>
      </c>
      <c r="J33" s="84" t="s">
        <v>345</v>
      </c>
      <c r="K33" s="39"/>
      <c r="L33" s="39"/>
      <c r="M33" s="39"/>
      <c r="N33" s="39"/>
      <c r="O33" s="39"/>
      <c r="P33" s="39"/>
      <c r="Q33" s="39"/>
    </row>
    <row r="34" spans="2:17" ht="7.5" customHeight="1" thickBot="1" x14ac:dyDescent="0.4">
      <c r="B34" s="189"/>
      <c r="C34" s="189"/>
      <c r="D34" s="189"/>
      <c r="E34" s="189"/>
      <c r="F34" s="189"/>
      <c r="G34" s="189"/>
      <c r="H34" s="189"/>
      <c r="I34" s="189"/>
      <c r="J34" s="189"/>
      <c r="K34" s="39"/>
      <c r="L34" s="39"/>
      <c r="M34" s="39"/>
      <c r="N34" s="39"/>
      <c r="O34" s="39"/>
      <c r="P34" s="39"/>
      <c r="Q34" s="39"/>
    </row>
    <row r="35" spans="2:17" ht="18.600000000000001" thickBot="1" x14ac:dyDescent="0.4">
      <c r="B35" s="180" t="s">
        <v>293</v>
      </c>
      <c r="C35" s="70" t="s">
        <v>292</v>
      </c>
      <c r="D35" s="51" t="s">
        <v>291</v>
      </c>
      <c r="E35" s="131" t="str">
        <f>'Final Sheet'!F18</f>
        <v>Normal - 50K, C Section - 50K</v>
      </c>
      <c r="F35" s="49"/>
      <c r="G35" s="68" t="s">
        <v>225</v>
      </c>
      <c r="H35" s="55" t="s">
        <v>225</v>
      </c>
      <c r="I35" s="54" t="s">
        <v>225</v>
      </c>
      <c r="J35" s="53" t="s">
        <v>225</v>
      </c>
      <c r="K35" s="39"/>
      <c r="L35" s="39"/>
      <c r="M35" s="39"/>
      <c r="N35" s="39"/>
      <c r="O35" s="39"/>
      <c r="P35" s="39"/>
      <c r="Q35" s="39"/>
    </row>
    <row r="36" spans="2:17" ht="18.600000000000001" thickBot="1" x14ac:dyDescent="0.4">
      <c r="B36" s="181"/>
      <c r="C36" s="66" t="s">
        <v>290</v>
      </c>
      <c r="D36" s="51" t="s">
        <v>289</v>
      </c>
      <c r="E36" s="50" t="s">
        <v>279</v>
      </c>
      <c r="F36" s="73"/>
      <c r="G36" s="68" t="s">
        <v>225</v>
      </c>
      <c r="H36" s="82" t="s">
        <v>225</v>
      </c>
      <c r="I36" s="46" t="s">
        <v>225</v>
      </c>
      <c r="J36" s="45" t="s">
        <v>225</v>
      </c>
      <c r="K36" s="39"/>
      <c r="L36" s="39"/>
      <c r="M36" s="39"/>
      <c r="N36" s="39"/>
      <c r="O36" s="39"/>
      <c r="P36" s="39"/>
      <c r="Q36" s="39"/>
    </row>
    <row r="37" spans="2:17" ht="18.600000000000001" thickBot="1" x14ac:dyDescent="0.4">
      <c r="B37" s="182"/>
      <c r="C37" s="65" t="s">
        <v>288</v>
      </c>
      <c r="D37" s="51" t="s">
        <v>287</v>
      </c>
      <c r="E37" s="64" t="s">
        <v>346</v>
      </c>
      <c r="F37" s="49"/>
      <c r="G37" s="68" t="s">
        <v>225</v>
      </c>
      <c r="H37" s="77" t="s">
        <v>225</v>
      </c>
      <c r="I37" s="61" t="s">
        <v>225</v>
      </c>
      <c r="J37" s="60" t="s">
        <v>225</v>
      </c>
      <c r="K37" s="39"/>
      <c r="L37" s="39"/>
      <c r="M37" s="39"/>
      <c r="N37" s="39"/>
      <c r="O37" s="39"/>
      <c r="P37" s="39"/>
      <c r="Q37" s="39"/>
    </row>
    <row r="38" spans="2:17" ht="7.5" customHeight="1" thickBot="1" x14ac:dyDescent="0.4">
      <c r="B38" s="189"/>
      <c r="C38" s="189"/>
      <c r="D38" s="189"/>
      <c r="E38" s="189"/>
      <c r="F38" s="189"/>
      <c r="G38" s="189"/>
      <c r="H38" s="189"/>
      <c r="I38" s="189"/>
      <c r="J38" s="189"/>
      <c r="K38" s="39"/>
      <c r="L38" s="39"/>
      <c r="M38" s="39"/>
      <c r="N38" s="39"/>
      <c r="O38" s="39"/>
      <c r="P38" s="39"/>
      <c r="Q38" s="39"/>
    </row>
    <row r="39" spans="2:17" x14ac:dyDescent="0.35">
      <c r="B39" s="180" t="s">
        <v>286</v>
      </c>
      <c r="C39" s="70" t="s">
        <v>285</v>
      </c>
      <c r="D39" s="51" t="s">
        <v>284</v>
      </c>
      <c r="E39" s="69" t="str">
        <f>IF(AND('Final Sheet'!F2&gt;=7,'Final Sheet'!F2&lt;=10),"Waiting period is applicable","Waived off")</f>
        <v>Waived off</v>
      </c>
      <c r="F39" s="73"/>
      <c r="G39" s="68" t="s">
        <v>225</v>
      </c>
      <c r="H39" s="67" t="s">
        <v>225</v>
      </c>
      <c r="I39" s="54" t="s">
        <v>225</v>
      </c>
      <c r="J39" s="53" t="s">
        <v>225</v>
      </c>
      <c r="K39" s="39"/>
      <c r="L39" s="39"/>
      <c r="M39" s="39"/>
      <c r="N39" s="39"/>
      <c r="O39" s="39"/>
      <c r="P39" s="39"/>
      <c r="Q39" s="39"/>
    </row>
    <row r="40" spans="2:17" ht="36" x14ac:dyDescent="0.35">
      <c r="B40" s="181"/>
      <c r="C40" s="66" t="s">
        <v>283</v>
      </c>
      <c r="D40" s="51" t="s">
        <v>282</v>
      </c>
      <c r="E40" s="50" t="str">
        <f>IF(AND('Final Sheet'!F2&gt;=7,'Final Sheet'!F2&lt;=10),"Waiting period is applicable","Waived off")</f>
        <v>Waived off</v>
      </c>
      <c r="F40" s="73"/>
      <c r="G40" s="48" t="s">
        <v>225</v>
      </c>
      <c r="H40" s="47" t="s">
        <v>225</v>
      </c>
      <c r="I40" s="46" t="s">
        <v>225</v>
      </c>
      <c r="J40" s="45" t="s">
        <v>225</v>
      </c>
      <c r="K40" s="39"/>
      <c r="L40" s="39"/>
      <c r="M40" s="39"/>
      <c r="N40" s="39"/>
      <c r="O40" s="39"/>
      <c r="P40" s="39"/>
      <c r="Q40" s="39"/>
    </row>
    <row r="41" spans="2:17" ht="36.6" thickBot="1" x14ac:dyDescent="0.4">
      <c r="B41" s="182"/>
      <c r="C41" s="65" t="s">
        <v>281</v>
      </c>
      <c r="D41" s="51" t="s">
        <v>280</v>
      </c>
      <c r="E41" s="64" t="str">
        <f>IF(AND('Final Sheet'!F2&gt;=7,'Final Sheet'!F2&lt;=10),"Waiting period is applicable","Waived off")</f>
        <v>Waived off</v>
      </c>
      <c r="F41" s="73"/>
      <c r="G41" s="63" t="s">
        <v>225</v>
      </c>
      <c r="H41" s="62" t="s">
        <v>225</v>
      </c>
      <c r="I41" s="61" t="s">
        <v>225</v>
      </c>
      <c r="J41" s="60" t="s">
        <v>225</v>
      </c>
      <c r="K41" s="39"/>
      <c r="L41" s="39"/>
      <c r="M41" s="39"/>
      <c r="N41" s="39"/>
      <c r="O41" s="39"/>
      <c r="P41" s="39"/>
      <c r="Q41" s="39"/>
    </row>
    <row r="42" spans="2:17" ht="7.5" customHeight="1" thickBot="1" x14ac:dyDescent="0.4">
      <c r="B42" s="189"/>
      <c r="C42" s="189"/>
      <c r="D42" s="189"/>
      <c r="E42" s="189"/>
      <c r="F42" s="189"/>
      <c r="G42" s="189"/>
      <c r="H42" s="189"/>
      <c r="I42" s="189"/>
      <c r="J42" s="189"/>
      <c r="K42" s="39"/>
      <c r="L42" s="39"/>
      <c r="M42" s="39"/>
      <c r="N42" s="39"/>
      <c r="O42" s="39"/>
      <c r="P42" s="39"/>
      <c r="Q42" s="39"/>
    </row>
    <row r="43" spans="2:17" x14ac:dyDescent="0.35">
      <c r="B43" s="180" t="s">
        <v>278</v>
      </c>
      <c r="C43" s="70" t="s">
        <v>277</v>
      </c>
      <c r="D43" s="51" t="s">
        <v>276</v>
      </c>
      <c r="E43" s="81" t="s">
        <v>273</v>
      </c>
      <c r="F43" s="79"/>
      <c r="G43" s="56" t="s">
        <v>347</v>
      </c>
      <c r="H43" s="55" t="s">
        <v>347</v>
      </c>
      <c r="I43" s="54" t="s">
        <v>347</v>
      </c>
      <c r="J43" s="53" t="s">
        <v>347</v>
      </c>
      <c r="K43" s="39"/>
      <c r="L43" s="39"/>
      <c r="M43" s="39"/>
      <c r="N43" s="39"/>
      <c r="O43" s="39"/>
      <c r="P43" s="39"/>
      <c r="Q43" s="39"/>
    </row>
    <row r="44" spans="2:17" ht="18.600000000000001" thickBot="1" x14ac:dyDescent="0.4">
      <c r="B44" s="182"/>
      <c r="C44" s="65" t="s">
        <v>275</v>
      </c>
      <c r="D44" s="51" t="s">
        <v>274</v>
      </c>
      <c r="E44" s="80" t="s">
        <v>273</v>
      </c>
      <c r="F44" s="79"/>
      <c r="G44" s="78" t="s">
        <v>224</v>
      </c>
      <c r="H44" s="77" t="s">
        <v>224</v>
      </c>
      <c r="I44" s="61" t="s">
        <v>224</v>
      </c>
      <c r="J44" s="60" t="s">
        <v>224</v>
      </c>
      <c r="K44" s="39"/>
      <c r="L44" s="39"/>
      <c r="M44" s="39"/>
      <c r="N44" s="39"/>
      <c r="O44" s="39"/>
      <c r="P44" s="39"/>
      <c r="Q44" s="39"/>
    </row>
    <row r="45" spans="2:17" ht="7.5" customHeight="1" thickBot="1" x14ac:dyDescent="0.4">
      <c r="B45" s="189"/>
      <c r="C45" s="189"/>
      <c r="D45" s="189"/>
      <c r="E45" s="189"/>
      <c r="F45" s="189"/>
      <c r="G45" s="189"/>
      <c r="H45" s="189"/>
      <c r="I45" s="189"/>
      <c r="J45" s="189"/>
      <c r="K45" s="39"/>
      <c r="L45" s="39"/>
      <c r="M45" s="39"/>
      <c r="N45" s="39"/>
      <c r="O45" s="39"/>
      <c r="P45" s="39"/>
      <c r="Q45" s="39"/>
    </row>
    <row r="46" spans="2:17" ht="36.6" thickBot="1" x14ac:dyDescent="0.4">
      <c r="B46" s="180" t="s">
        <v>272</v>
      </c>
      <c r="C46" s="70" t="s">
        <v>271</v>
      </c>
      <c r="D46" s="51" t="s">
        <v>270</v>
      </c>
      <c r="E46" s="76" t="s">
        <v>269</v>
      </c>
      <c r="F46" s="73"/>
      <c r="G46" s="75" t="s">
        <v>268</v>
      </c>
      <c r="H46" s="74" t="s">
        <v>268</v>
      </c>
      <c r="I46" s="54" t="s">
        <v>268</v>
      </c>
      <c r="J46" s="53" t="s">
        <v>268</v>
      </c>
      <c r="K46" s="39"/>
      <c r="L46" s="39"/>
      <c r="M46" s="39"/>
      <c r="N46" s="39"/>
      <c r="O46" s="39"/>
      <c r="P46" s="39"/>
      <c r="Q46" s="39"/>
    </row>
    <row r="47" spans="2:17" x14ac:dyDescent="0.35">
      <c r="B47" s="181"/>
      <c r="C47" s="66" t="s">
        <v>267</v>
      </c>
      <c r="D47" s="51" t="s">
        <v>266</v>
      </c>
      <c r="E47" s="50" t="s">
        <v>265</v>
      </c>
      <c r="F47" s="73"/>
      <c r="G47" s="48" t="s">
        <v>348</v>
      </c>
      <c r="H47" s="47" t="s">
        <v>348</v>
      </c>
      <c r="I47" s="46" t="s">
        <v>348</v>
      </c>
      <c r="J47" s="53" t="s">
        <v>348</v>
      </c>
      <c r="K47" s="39"/>
      <c r="L47" s="39"/>
      <c r="M47" s="39"/>
      <c r="N47" s="39"/>
      <c r="O47" s="39"/>
      <c r="P47" s="39"/>
      <c r="Q47" s="39"/>
    </row>
    <row r="48" spans="2:17" ht="36" x14ac:dyDescent="0.35">
      <c r="B48" s="181"/>
      <c r="C48" s="66" t="s">
        <v>264</v>
      </c>
      <c r="D48" s="51" t="s">
        <v>263</v>
      </c>
      <c r="E48" s="50" t="s">
        <v>262</v>
      </c>
      <c r="F48" s="49"/>
      <c r="G48" s="48" t="s">
        <v>225</v>
      </c>
      <c r="H48" s="47" t="s">
        <v>225</v>
      </c>
      <c r="I48" s="46" t="s">
        <v>225</v>
      </c>
      <c r="J48" s="45" t="s">
        <v>225</v>
      </c>
      <c r="K48" s="39"/>
      <c r="L48" s="39"/>
      <c r="M48" s="39"/>
      <c r="N48" s="39"/>
      <c r="O48" s="39"/>
      <c r="P48" s="39"/>
      <c r="Q48" s="39"/>
    </row>
    <row r="49" spans="2:17" x14ac:dyDescent="0.35">
      <c r="B49" s="181"/>
      <c r="C49" s="66" t="s">
        <v>261</v>
      </c>
      <c r="D49" s="51" t="s">
        <v>260</v>
      </c>
      <c r="E49" s="50" t="s">
        <v>259</v>
      </c>
      <c r="F49" s="49"/>
      <c r="G49" s="48" t="s">
        <v>225</v>
      </c>
      <c r="H49" s="71" t="s">
        <v>224</v>
      </c>
      <c r="I49" s="46" t="s">
        <v>225</v>
      </c>
      <c r="J49" s="45" t="s">
        <v>224</v>
      </c>
      <c r="K49" s="39"/>
      <c r="L49" s="39"/>
      <c r="M49" s="39"/>
      <c r="N49" s="39"/>
      <c r="O49" s="39"/>
      <c r="P49" s="39"/>
      <c r="Q49" s="39"/>
    </row>
    <row r="50" spans="2:17" x14ac:dyDescent="0.35">
      <c r="B50" s="181"/>
      <c r="C50" s="66" t="s">
        <v>258</v>
      </c>
      <c r="D50" s="51" t="s">
        <v>257</v>
      </c>
      <c r="E50" s="50" t="s">
        <v>256</v>
      </c>
      <c r="F50" s="49"/>
      <c r="G50" s="72" t="s">
        <v>255</v>
      </c>
      <c r="H50" s="71" t="s">
        <v>255</v>
      </c>
      <c r="I50" s="46" t="s">
        <v>255</v>
      </c>
      <c r="J50" s="45" t="s">
        <v>255</v>
      </c>
      <c r="K50" s="39"/>
      <c r="L50" s="39"/>
      <c r="M50" s="39"/>
      <c r="N50" s="39"/>
      <c r="O50" s="39"/>
      <c r="P50" s="39"/>
      <c r="Q50" s="39"/>
    </row>
    <row r="51" spans="2:17" ht="18.600000000000001" thickBot="1" x14ac:dyDescent="0.4">
      <c r="B51" s="182"/>
      <c r="C51" s="65" t="s">
        <v>254</v>
      </c>
      <c r="D51" s="51" t="s">
        <v>254</v>
      </c>
      <c r="E51" s="64" t="s">
        <v>254</v>
      </c>
      <c r="F51" s="49"/>
      <c r="G51" s="63" t="s">
        <v>225</v>
      </c>
      <c r="H51" s="62" t="s">
        <v>225</v>
      </c>
      <c r="I51" s="61" t="s">
        <v>225</v>
      </c>
      <c r="J51" s="60" t="s">
        <v>225</v>
      </c>
      <c r="K51" s="39"/>
      <c r="L51" s="39"/>
      <c r="M51" s="39"/>
      <c r="N51" s="39"/>
      <c r="O51" s="39"/>
      <c r="P51" s="39"/>
      <c r="Q51" s="39"/>
    </row>
    <row r="52" spans="2:17" ht="7.5" customHeight="1" thickBot="1" x14ac:dyDescent="0.4">
      <c r="B52" s="189"/>
      <c r="C52" s="189"/>
      <c r="D52" s="189"/>
      <c r="E52" s="189"/>
      <c r="F52" s="189"/>
      <c r="G52" s="189"/>
      <c r="H52" s="189"/>
      <c r="I52" s="189"/>
      <c r="J52" s="189"/>
      <c r="K52" s="39"/>
      <c r="L52" s="39"/>
      <c r="M52" s="39"/>
      <c r="N52" s="39"/>
      <c r="O52" s="39"/>
      <c r="P52" s="39"/>
      <c r="Q52" s="39"/>
    </row>
    <row r="53" spans="2:17" x14ac:dyDescent="0.35">
      <c r="B53" s="180" t="s">
        <v>253</v>
      </c>
      <c r="C53" s="70" t="s">
        <v>252</v>
      </c>
      <c r="D53" s="51" t="s">
        <v>251</v>
      </c>
      <c r="E53" s="69" t="s">
        <v>250</v>
      </c>
      <c r="F53" s="49"/>
      <c r="G53" s="68" t="s">
        <v>225</v>
      </c>
      <c r="H53" s="67"/>
      <c r="I53" s="54"/>
      <c r="J53" s="53"/>
      <c r="K53" s="39"/>
      <c r="L53" s="39"/>
      <c r="M53" s="39"/>
      <c r="N53" s="39"/>
      <c r="O53" s="39"/>
      <c r="P53" s="39"/>
      <c r="Q53" s="39"/>
    </row>
    <row r="54" spans="2:17" ht="36" x14ac:dyDescent="0.35">
      <c r="B54" s="181"/>
      <c r="C54" s="66" t="s">
        <v>249</v>
      </c>
      <c r="D54" s="51" t="s">
        <v>248</v>
      </c>
      <c r="E54" s="50" t="s">
        <v>247</v>
      </c>
      <c r="F54" s="49"/>
      <c r="G54" s="48" t="s">
        <v>224</v>
      </c>
      <c r="H54" s="47"/>
      <c r="I54" s="46"/>
      <c r="J54" s="45"/>
      <c r="K54" s="39"/>
      <c r="L54" s="39"/>
      <c r="M54" s="39"/>
      <c r="N54" s="39"/>
      <c r="O54" s="39"/>
      <c r="P54" s="39"/>
      <c r="Q54" s="39"/>
    </row>
    <row r="55" spans="2:17" ht="36" x14ac:dyDescent="0.35">
      <c r="B55" s="181"/>
      <c r="C55" s="66" t="s">
        <v>246</v>
      </c>
      <c r="D55" s="51" t="s">
        <v>245</v>
      </c>
      <c r="E55" s="50" t="s">
        <v>244</v>
      </c>
      <c r="F55" s="49"/>
      <c r="G55" s="48" t="str">
        <f>IF('Final Sheet'!F12="ESC","✔","✖")</f>
        <v>✔</v>
      </c>
      <c r="H55" s="47"/>
      <c r="I55" s="46"/>
      <c r="J55" s="45"/>
      <c r="K55" s="39"/>
      <c r="L55" s="39"/>
      <c r="M55" s="39"/>
      <c r="N55" s="39"/>
      <c r="O55" s="39"/>
      <c r="P55" s="39"/>
      <c r="Q55" s="39"/>
    </row>
    <row r="56" spans="2:17" ht="18.600000000000001" thickBot="1" x14ac:dyDescent="0.4">
      <c r="B56" s="182"/>
      <c r="C56" s="65" t="s">
        <v>243</v>
      </c>
      <c r="D56" s="51" t="s">
        <v>242</v>
      </c>
      <c r="E56" s="64" t="s">
        <v>241</v>
      </c>
      <c r="F56" s="49"/>
      <c r="G56" s="63" t="s">
        <v>224</v>
      </c>
      <c r="H56" s="62"/>
      <c r="I56" s="61"/>
      <c r="J56" s="60"/>
      <c r="K56" s="39"/>
      <c r="L56" s="39"/>
      <c r="M56" s="39"/>
      <c r="N56" s="39"/>
      <c r="O56" s="39"/>
      <c r="P56" s="39"/>
      <c r="Q56" s="39"/>
    </row>
    <row r="57" spans="2:17" ht="7.5" customHeight="1" thickBot="1" x14ac:dyDescent="0.4">
      <c r="B57" s="189"/>
      <c r="C57" s="189"/>
      <c r="D57" s="189"/>
      <c r="E57" s="189"/>
      <c r="F57" s="189"/>
      <c r="G57" s="189"/>
      <c r="H57" s="189"/>
      <c r="I57" s="189"/>
      <c r="J57" s="189"/>
      <c r="K57" s="39"/>
      <c r="L57" s="39"/>
      <c r="M57" s="39"/>
      <c r="N57" s="39"/>
      <c r="O57" s="39"/>
      <c r="P57" s="39"/>
      <c r="Q57" s="39"/>
    </row>
    <row r="58" spans="2:17" ht="36" x14ac:dyDescent="0.35">
      <c r="B58" s="199" t="s">
        <v>240</v>
      </c>
      <c r="C58" s="59" t="s">
        <v>239</v>
      </c>
      <c r="D58" s="51" t="s">
        <v>238</v>
      </c>
      <c r="E58" s="58" t="s">
        <v>237</v>
      </c>
      <c r="F58" s="57"/>
      <c r="G58" s="56" t="s">
        <v>225</v>
      </c>
      <c r="H58" s="55"/>
      <c r="I58" s="54"/>
      <c r="J58" s="53"/>
      <c r="K58" s="39"/>
      <c r="L58" s="39"/>
      <c r="M58" s="39"/>
      <c r="N58" s="39"/>
      <c r="O58" s="39"/>
      <c r="P58" s="39"/>
      <c r="Q58" s="39"/>
    </row>
    <row r="59" spans="2:17" ht="36" x14ac:dyDescent="0.35">
      <c r="B59" s="181"/>
      <c r="C59" s="52" t="s">
        <v>236</v>
      </c>
      <c r="D59" s="51" t="s">
        <v>235</v>
      </c>
      <c r="E59" s="50" t="s">
        <v>234</v>
      </c>
      <c r="F59" s="49"/>
      <c r="G59" s="48" t="s">
        <v>225</v>
      </c>
      <c r="H59" s="47"/>
      <c r="I59" s="46"/>
      <c r="J59" s="45"/>
      <c r="K59" s="39"/>
      <c r="L59" s="39"/>
      <c r="M59" s="39"/>
      <c r="N59" s="39"/>
      <c r="O59" s="39"/>
      <c r="P59" s="39"/>
      <c r="Q59" s="39"/>
    </row>
    <row r="60" spans="2:17" x14ac:dyDescent="0.35">
      <c r="B60" s="181"/>
      <c r="C60" s="52" t="s">
        <v>233</v>
      </c>
      <c r="D60" s="51" t="s">
        <v>232</v>
      </c>
      <c r="E60" s="50" t="s">
        <v>231</v>
      </c>
      <c r="F60" s="49"/>
      <c r="G60" s="48" t="s">
        <v>225</v>
      </c>
      <c r="H60" s="47"/>
      <c r="I60" s="46"/>
      <c r="J60" s="45"/>
      <c r="K60" s="39"/>
      <c r="L60" s="39"/>
      <c r="M60" s="39"/>
      <c r="N60" s="39"/>
      <c r="O60" s="39"/>
      <c r="P60" s="39"/>
      <c r="Q60" s="39"/>
    </row>
    <row r="61" spans="2:17" ht="36" x14ac:dyDescent="0.35">
      <c r="B61" s="181"/>
      <c r="C61" s="52" t="s">
        <v>230</v>
      </c>
      <c r="D61" s="51"/>
      <c r="E61" s="50" t="s">
        <v>229</v>
      </c>
      <c r="F61" s="49"/>
      <c r="G61" s="48" t="s">
        <v>225</v>
      </c>
      <c r="H61" s="47"/>
      <c r="I61" s="46"/>
      <c r="J61" s="45"/>
      <c r="K61" s="39"/>
      <c r="L61" s="39"/>
      <c r="M61" s="39"/>
      <c r="N61" s="39"/>
      <c r="O61" s="39"/>
      <c r="P61" s="39"/>
      <c r="Q61" s="39"/>
    </row>
    <row r="62" spans="2:17" ht="36" x14ac:dyDescent="0.35">
      <c r="B62" s="181"/>
      <c r="C62" s="52" t="s">
        <v>228</v>
      </c>
      <c r="D62" s="51" t="s">
        <v>227</v>
      </c>
      <c r="E62" s="50" t="s">
        <v>226</v>
      </c>
      <c r="F62" s="49"/>
      <c r="G62" s="48" t="s">
        <v>225</v>
      </c>
      <c r="H62" s="47"/>
      <c r="I62" s="46"/>
      <c r="J62" s="45"/>
      <c r="K62" s="39"/>
      <c r="L62" s="39"/>
      <c r="M62" s="39"/>
      <c r="N62" s="39"/>
      <c r="O62" s="39"/>
      <c r="P62" s="39"/>
      <c r="Q62" s="39"/>
    </row>
    <row r="63" spans="2:17" x14ac:dyDescent="0.35">
      <c r="D63" s="44"/>
      <c r="E63" s="40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</row>
    <row r="64" spans="2:17" x14ac:dyDescent="0.35">
      <c r="B64" s="44"/>
      <c r="C64" s="41"/>
      <c r="D64" s="41"/>
      <c r="E64" s="40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</row>
    <row r="65" spans="3:17" x14ac:dyDescent="0.35">
      <c r="C65" s="41"/>
      <c r="D65" s="41"/>
      <c r="E65" s="40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</row>
    <row r="66" spans="3:17" x14ac:dyDescent="0.35">
      <c r="C66" s="41"/>
      <c r="D66" s="41"/>
      <c r="E66" s="40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</row>
    <row r="67" spans="3:17" x14ac:dyDescent="0.35">
      <c r="C67" s="41"/>
      <c r="D67" s="41"/>
      <c r="E67" s="40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</row>
    <row r="68" spans="3:17" x14ac:dyDescent="0.35">
      <c r="C68" s="41"/>
      <c r="D68" s="41"/>
      <c r="E68" s="40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</row>
    <row r="69" spans="3:17" x14ac:dyDescent="0.35">
      <c r="C69" s="41"/>
      <c r="D69" s="41"/>
      <c r="E69" s="40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</row>
    <row r="70" spans="3:17" x14ac:dyDescent="0.35">
      <c r="C70" s="41"/>
      <c r="D70" s="41"/>
      <c r="E70" s="40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</row>
    <row r="71" spans="3:17" x14ac:dyDescent="0.35">
      <c r="C71" s="41"/>
      <c r="D71" s="41"/>
      <c r="E71" s="40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</row>
    <row r="72" spans="3:17" x14ac:dyDescent="0.35">
      <c r="C72" s="41"/>
      <c r="D72" s="41"/>
      <c r="E72" s="40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</row>
    <row r="73" spans="3:17" x14ac:dyDescent="0.35">
      <c r="C73" s="41"/>
      <c r="D73" s="41"/>
      <c r="E73" s="40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</row>
    <row r="74" spans="3:17" x14ac:dyDescent="0.35">
      <c r="C74" s="41"/>
      <c r="D74" s="41"/>
      <c r="E74" s="40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</row>
    <row r="75" spans="3:17" x14ac:dyDescent="0.35">
      <c r="C75" s="41"/>
      <c r="D75" s="41"/>
      <c r="E75" s="40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</row>
    <row r="76" spans="3:17" x14ac:dyDescent="0.35">
      <c r="C76" s="41"/>
      <c r="D76" s="41"/>
      <c r="E76" s="40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</row>
    <row r="77" spans="3:17" x14ac:dyDescent="0.35">
      <c r="C77" s="41"/>
      <c r="D77" s="41"/>
      <c r="E77" s="40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</row>
    <row r="78" spans="3:17" x14ac:dyDescent="0.35">
      <c r="C78" s="41"/>
      <c r="D78" s="41"/>
      <c r="E78" s="40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</row>
    <row r="79" spans="3:17" x14ac:dyDescent="0.35">
      <c r="C79" s="41"/>
      <c r="D79" s="41"/>
      <c r="E79" s="40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</row>
    <row r="80" spans="3:17" x14ac:dyDescent="0.35">
      <c r="C80" s="41"/>
      <c r="D80" s="41"/>
      <c r="E80" s="40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</row>
    <row r="81" spans="3:17" x14ac:dyDescent="0.35">
      <c r="C81" s="41"/>
      <c r="D81" s="41"/>
      <c r="E81" s="40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</row>
    <row r="82" spans="3:17" x14ac:dyDescent="0.35">
      <c r="C82" s="41"/>
      <c r="D82" s="41"/>
      <c r="E82" s="40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</row>
    <row r="83" spans="3:17" x14ac:dyDescent="0.35">
      <c r="C83" s="41"/>
      <c r="D83" s="41"/>
      <c r="E83" s="40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</row>
    <row r="84" spans="3:17" x14ac:dyDescent="0.35">
      <c r="C84" s="41"/>
      <c r="D84" s="41"/>
      <c r="E84" s="40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</row>
    <row r="85" spans="3:17" x14ac:dyDescent="0.35">
      <c r="C85" s="41"/>
      <c r="D85" s="41"/>
      <c r="E85" s="40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</row>
    <row r="86" spans="3:17" x14ac:dyDescent="0.35">
      <c r="C86" s="41"/>
      <c r="D86" s="41"/>
      <c r="E86" s="40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</row>
    <row r="87" spans="3:17" x14ac:dyDescent="0.35">
      <c r="C87" s="41"/>
      <c r="D87" s="41"/>
      <c r="E87" s="40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</row>
    <row r="88" spans="3:17" x14ac:dyDescent="0.35">
      <c r="C88" s="41"/>
      <c r="D88" s="41"/>
      <c r="E88" s="40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</row>
    <row r="89" spans="3:17" x14ac:dyDescent="0.35">
      <c r="C89" s="41"/>
      <c r="D89" s="41"/>
      <c r="E89" s="43"/>
      <c r="F89" s="43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</row>
    <row r="90" spans="3:17" x14ac:dyDescent="0.35">
      <c r="C90" s="41"/>
      <c r="D90" s="41"/>
      <c r="E90" s="43"/>
      <c r="F90" s="43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</row>
    <row r="91" spans="3:17" x14ac:dyDescent="0.35">
      <c r="C91" s="41"/>
      <c r="D91" s="41"/>
      <c r="E91" s="43"/>
      <c r="F91" s="43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</row>
    <row r="92" spans="3:17" x14ac:dyDescent="0.35">
      <c r="C92" s="41"/>
      <c r="D92" s="41"/>
      <c r="E92" s="43"/>
      <c r="F92" s="43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</row>
    <row r="93" spans="3:17" x14ac:dyDescent="0.35">
      <c r="C93" s="41"/>
      <c r="D93" s="41"/>
      <c r="F93" s="38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</row>
    <row r="94" spans="3:17" x14ac:dyDescent="0.35">
      <c r="C94" s="41"/>
      <c r="D94" s="41"/>
      <c r="E94" s="43"/>
      <c r="F94" s="43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</row>
    <row r="95" spans="3:17" x14ac:dyDescent="0.35">
      <c r="C95" s="41"/>
      <c r="D95" s="41"/>
      <c r="F95" s="38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</row>
    <row r="96" spans="3:17" x14ac:dyDescent="0.35">
      <c r="C96" s="41"/>
      <c r="D96" s="41"/>
      <c r="F96" s="38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</row>
    <row r="97" spans="3:17" x14ac:dyDescent="0.35">
      <c r="C97" s="41"/>
      <c r="D97" s="41"/>
      <c r="E97" s="43"/>
      <c r="F97" s="43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</row>
    <row r="98" spans="3:17" x14ac:dyDescent="0.35">
      <c r="C98" s="41"/>
      <c r="D98" s="41"/>
      <c r="F98" s="38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</row>
    <row r="99" spans="3:17" x14ac:dyDescent="0.35">
      <c r="C99" s="41"/>
      <c r="D99" s="41"/>
      <c r="E99" s="43"/>
      <c r="F99" s="43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</row>
    <row r="100" spans="3:17" x14ac:dyDescent="0.35">
      <c r="C100" s="41"/>
      <c r="D100" s="41"/>
      <c r="E100" s="43"/>
      <c r="F100" s="43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</row>
    <row r="101" spans="3:17" x14ac:dyDescent="0.35">
      <c r="C101" s="41"/>
      <c r="D101" s="41"/>
      <c r="E101" s="43"/>
      <c r="F101" s="43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</row>
    <row r="102" spans="3:17" x14ac:dyDescent="0.35">
      <c r="C102" s="41"/>
      <c r="D102" s="41"/>
      <c r="E102" s="43"/>
      <c r="F102" s="43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</row>
    <row r="103" spans="3:17" x14ac:dyDescent="0.35">
      <c r="C103" s="41"/>
      <c r="D103" s="41"/>
      <c r="E103" s="43"/>
      <c r="F103" s="43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</row>
    <row r="104" spans="3:17" x14ac:dyDescent="0.35">
      <c r="C104" s="41"/>
      <c r="D104" s="41"/>
      <c r="E104" s="43"/>
      <c r="F104" s="43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</row>
    <row r="105" spans="3:17" x14ac:dyDescent="0.35">
      <c r="C105" s="41"/>
      <c r="D105" s="41"/>
      <c r="E105" s="43"/>
      <c r="F105" s="43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</row>
    <row r="106" spans="3:17" x14ac:dyDescent="0.35">
      <c r="C106" s="41"/>
      <c r="D106" s="41"/>
      <c r="E106" s="43"/>
      <c r="F106" s="43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</row>
    <row r="107" spans="3:17" x14ac:dyDescent="0.35">
      <c r="C107" s="41"/>
      <c r="D107" s="41"/>
      <c r="F107" s="38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</row>
    <row r="108" spans="3:17" x14ac:dyDescent="0.35">
      <c r="C108" s="41"/>
      <c r="D108" s="41"/>
      <c r="E108" s="43"/>
      <c r="F108" s="43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</row>
    <row r="109" spans="3:17" x14ac:dyDescent="0.35">
      <c r="C109" s="41"/>
      <c r="D109" s="41"/>
      <c r="F109" s="38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</row>
    <row r="110" spans="3:17" x14ac:dyDescent="0.35">
      <c r="C110" s="41"/>
      <c r="D110" s="41"/>
      <c r="E110" s="43"/>
      <c r="F110" s="43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</row>
    <row r="111" spans="3:17" x14ac:dyDescent="0.35">
      <c r="C111" s="41"/>
      <c r="D111" s="41"/>
      <c r="E111" s="43"/>
      <c r="F111" s="43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</row>
    <row r="112" spans="3:17" x14ac:dyDescent="0.35">
      <c r="C112" s="41"/>
      <c r="D112" s="41"/>
      <c r="E112" s="43"/>
      <c r="F112" s="43"/>
      <c r="H112" s="39"/>
      <c r="I112" s="39"/>
      <c r="J112" s="39"/>
      <c r="K112" s="39"/>
      <c r="L112" s="39"/>
      <c r="M112" s="39"/>
      <c r="N112" s="39"/>
      <c r="O112" s="39"/>
      <c r="P112" s="39"/>
      <c r="Q112" s="39"/>
    </row>
    <row r="113" spans="3:17" x14ac:dyDescent="0.35">
      <c r="C113" s="41"/>
      <c r="D113" s="41"/>
      <c r="F113" s="38"/>
      <c r="H113" s="43"/>
      <c r="I113" s="39"/>
      <c r="J113" s="39"/>
      <c r="K113" s="39"/>
      <c r="L113" s="39"/>
      <c r="M113" s="39"/>
      <c r="N113" s="39"/>
      <c r="O113" s="39"/>
      <c r="P113" s="39"/>
      <c r="Q113" s="39"/>
    </row>
    <row r="114" spans="3:17" x14ac:dyDescent="0.35">
      <c r="C114" s="41"/>
      <c r="D114" s="41"/>
      <c r="F114" s="38"/>
      <c r="H114" s="43"/>
      <c r="I114" s="39"/>
      <c r="J114" s="39"/>
      <c r="K114" s="39"/>
      <c r="L114" s="39"/>
      <c r="M114" s="39"/>
      <c r="N114" s="39"/>
      <c r="O114" s="39"/>
      <c r="P114" s="39"/>
      <c r="Q114" s="39"/>
    </row>
    <row r="115" spans="3:17" x14ac:dyDescent="0.35">
      <c r="C115" s="41"/>
      <c r="D115" s="41"/>
      <c r="F115" s="38"/>
      <c r="H115" s="43"/>
      <c r="I115" s="39"/>
      <c r="J115" s="39"/>
      <c r="K115" s="39"/>
      <c r="L115" s="39"/>
      <c r="M115" s="39"/>
      <c r="N115" s="39"/>
      <c r="O115" s="39"/>
      <c r="P115" s="39"/>
      <c r="Q115" s="39"/>
    </row>
    <row r="116" spans="3:17" x14ac:dyDescent="0.35">
      <c r="C116" s="41"/>
      <c r="D116" s="41"/>
      <c r="F116" s="38"/>
      <c r="H116" s="38"/>
      <c r="I116" s="39"/>
      <c r="J116" s="39"/>
      <c r="K116" s="39"/>
      <c r="L116" s="39"/>
      <c r="M116" s="39"/>
      <c r="N116" s="39"/>
      <c r="O116" s="39"/>
      <c r="P116" s="39"/>
      <c r="Q116" s="39"/>
    </row>
    <row r="117" spans="3:17" x14ac:dyDescent="0.35">
      <c r="C117" s="41"/>
      <c r="D117" s="41"/>
      <c r="F117" s="38"/>
      <c r="H117" s="43"/>
      <c r="I117" s="39"/>
      <c r="J117" s="39"/>
      <c r="K117" s="39"/>
      <c r="L117" s="39"/>
      <c r="M117" s="39"/>
      <c r="N117" s="39"/>
      <c r="O117" s="39"/>
      <c r="P117" s="39"/>
      <c r="Q117" s="39"/>
    </row>
    <row r="118" spans="3:17" x14ac:dyDescent="0.35">
      <c r="C118" s="41"/>
      <c r="D118" s="41"/>
      <c r="F118" s="38"/>
      <c r="H118" s="43"/>
      <c r="I118" s="39"/>
      <c r="J118" s="39"/>
      <c r="K118" s="39"/>
      <c r="L118" s="39"/>
      <c r="M118" s="39"/>
      <c r="N118" s="39"/>
      <c r="O118" s="39"/>
      <c r="P118" s="39"/>
      <c r="Q118" s="39"/>
    </row>
    <row r="119" spans="3:17" x14ac:dyDescent="0.35">
      <c r="C119" s="41"/>
      <c r="D119" s="41"/>
      <c r="F119" s="38"/>
      <c r="H119" s="38"/>
      <c r="I119" s="39"/>
      <c r="J119" s="39"/>
      <c r="K119" s="39"/>
      <c r="L119" s="39"/>
      <c r="M119" s="39"/>
      <c r="N119" s="39"/>
      <c r="O119" s="39"/>
      <c r="P119" s="39"/>
      <c r="Q119" s="39"/>
    </row>
    <row r="120" spans="3:17" x14ac:dyDescent="0.35">
      <c r="C120" s="41"/>
      <c r="D120" s="41"/>
      <c r="F120" s="38"/>
      <c r="H120" s="43"/>
      <c r="I120" s="39"/>
      <c r="J120" s="39"/>
      <c r="K120" s="39"/>
      <c r="L120" s="39"/>
      <c r="M120" s="39"/>
      <c r="N120" s="39"/>
      <c r="O120" s="39"/>
      <c r="P120" s="39"/>
      <c r="Q120" s="39"/>
    </row>
    <row r="121" spans="3:17" x14ac:dyDescent="0.35">
      <c r="C121" s="41"/>
      <c r="D121" s="41"/>
      <c r="F121" s="38"/>
      <c r="H121" s="43"/>
      <c r="I121" s="39"/>
      <c r="J121" s="39"/>
      <c r="K121" s="39"/>
      <c r="L121" s="39"/>
      <c r="M121" s="39"/>
      <c r="N121" s="39"/>
      <c r="O121" s="39"/>
      <c r="P121" s="39"/>
      <c r="Q121" s="39"/>
    </row>
    <row r="122" spans="3:17" x14ac:dyDescent="0.35">
      <c r="C122" s="41"/>
      <c r="D122" s="41"/>
      <c r="F122" s="38"/>
      <c r="H122" s="43"/>
      <c r="I122" s="39"/>
      <c r="J122" s="39"/>
      <c r="K122" s="39"/>
      <c r="L122" s="39"/>
      <c r="M122" s="39"/>
      <c r="N122" s="39"/>
      <c r="O122" s="39"/>
      <c r="P122" s="39"/>
      <c r="Q122" s="39"/>
    </row>
    <row r="123" spans="3:17" x14ac:dyDescent="0.35">
      <c r="C123" s="41"/>
      <c r="D123" s="41"/>
      <c r="F123" s="38"/>
      <c r="H123" s="43"/>
      <c r="I123" s="39"/>
      <c r="J123" s="39"/>
      <c r="K123" s="39"/>
      <c r="L123" s="39"/>
      <c r="M123" s="39"/>
      <c r="N123" s="39"/>
      <c r="O123" s="39"/>
      <c r="P123" s="39"/>
      <c r="Q123" s="39"/>
    </row>
    <row r="124" spans="3:17" x14ac:dyDescent="0.35">
      <c r="C124" s="41"/>
      <c r="D124" s="41"/>
      <c r="F124" s="38"/>
      <c r="H124" s="43"/>
      <c r="I124" s="39"/>
      <c r="J124" s="39"/>
      <c r="K124" s="39"/>
      <c r="L124" s="39"/>
      <c r="M124" s="39"/>
      <c r="N124" s="39"/>
      <c r="O124" s="39"/>
      <c r="P124" s="39"/>
      <c r="Q124" s="39"/>
    </row>
    <row r="125" spans="3:17" x14ac:dyDescent="0.35">
      <c r="C125" s="41"/>
      <c r="D125" s="41"/>
      <c r="F125" s="38"/>
      <c r="H125" s="43"/>
      <c r="I125" s="39"/>
      <c r="J125" s="39"/>
      <c r="K125" s="39"/>
      <c r="L125" s="39"/>
      <c r="M125" s="39"/>
      <c r="N125" s="39"/>
      <c r="O125" s="39"/>
      <c r="P125" s="39"/>
      <c r="Q125" s="39"/>
    </row>
    <row r="126" spans="3:17" x14ac:dyDescent="0.35">
      <c r="C126" s="41"/>
      <c r="D126" s="41"/>
      <c r="F126" s="38"/>
      <c r="H126" s="43"/>
      <c r="I126" s="39"/>
      <c r="J126" s="39"/>
      <c r="K126" s="39"/>
      <c r="L126" s="39"/>
      <c r="M126" s="39"/>
      <c r="N126" s="39"/>
      <c r="O126" s="39"/>
      <c r="P126" s="39"/>
      <c r="Q126" s="39"/>
    </row>
    <row r="127" spans="3:17" x14ac:dyDescent="0.35">
      <c r="C127" s="41"/>
      <c r="D127" s="41"/>
      <c r="F127" s="38"/>
      <c r="H127" s="43"/>
      <c r="I127" s="39"/>
      <c r="J127" s="39"/>
      <c r="K127" s="39"/>
      <c r="L127" s="39"/>
      <c r="M127" s="39"/>
      <c r="N127" s="39"/>
      <c r="O127" s="39"/>
      <c r="P127" s="39"/>
      <c r="Q127" s="39"/>
    </row>
    <row r="128" spans="3:17" x14ac:dyDescent="0.35">
      <c r="C128" s="41"/>
      <c r="D128" s="41"/>
      <c r="F128" s="38"/>
      <c r="H128" s="38"/>
      <c r="I128" s="39"/>
      <c r="J128" s="39"/>
      <c r="K128" s="39"/>
      <c r="L128" s="39"/>
      <c r="M128" s="39"/>
      <c r="N128" s="39"/>
      <c r="O128" s="39"/>
      <c r="P128" s="39"/>
      <c r="Q128" s="39"/>
    </row>
    <row r="129" spans="3:17" x14ac:dyDescent="0.35">
      <c r="C129" s="41"/>
      <c r="D129" s="41"/>
      <c r="F129" s="38"/>
      <c r="H129" s="43"/>
      <c r="I129" s="39"/>
      <c r="J129" s="39"/>
      <c r="K129" s="39"/>
      <c r="L129" s="39"/>
      <c r="M129" s="39"/>
      <c r="N129" s="39"/>
      <c r="O129" s="39"/>
      <c r="P129" s="39"/>
      <c r="Q129" s="39"/>
    </row>
    <row r="130" spans="3:17" x14ac:dyDescent="0.35">
      <c r="C130" s="41"/>
      <c r="D130" s="41"/>
      <c r="F130" s="38"/>
      <c r="H130" s="38"/>
      <c r="I130" s="39"/>
      <c r="J130" s="39"/>
      <c r="K130" s="39"/>
      <c r="L130" s="39"/>
      <c r="M130" s="39"/>
      <c r="N130" s="39"/>
      <c r="O130" s="39"/>
      <c r="P130" s="39"/>
      <c r="Q130" s="39"/>
    </row>
    <row r="131" spans="3:17" x14ac:dyDescent="0.35">
      <c r="C131" s="41"/>
      <c r="D131" s="41"/>
      <c r="F131" s="38"/>
      <c r="H131" s="43"/>
      <c r="I131" s="39"/>
      <c r="J131" s="39"/>
      <c r="K131" s="39"/>
      <c r="L131" s="39"/>
      <c r="M131" s="39"/>
      <c r="N131" s="39"/>
      <c r="O131" s="39"/>
      <c r="P131" s="39"/>
      <c r="Q131" s="39"/>
    </row>
    <row r="132" spans="3:17" x14ac:dyDescent="0.35">
      <c r="C132" s="41"/>
      <c r="D132" s="41"/>
      <c r="F132" s="38"/>
      <c r="H132" s="43"/>
      <c r="I132" s="39"/>
      <c r="J132" s="39"/>
      <c r="K132" s="39"/>
      <c r="L132" s="39"/>
      <c r="M132" s="39"/>
      <c r="N132" s="39"/>
      <c r="O132" s="39"/>
      <c r="P132" s="39"/>
      <c r="Q132" s="39"/>
    </row>
    <row r="133" spans="3:17" x14ac:dyDescent="0.35">
      <c r="C133" s="41"/>
      <c r="D133" s="41"/>
      <c r="F133" s="38"/>
      <c r="H133" s="43"/>
      <c r="I133" s="39"/>
      <c r="J133" s="39"/>
      <c r="K133" s="39"/>
      <c r="L133" s="39"/>
      <c r="M133" s="39"/>
      <c r="N133" s="39"/>
      <c r="O133" s="39"/>
      <c r="P133" s="39"/>
      <c r="Q133" s="39"/>
    </row>
    <row r="134" spans="3:17" x14ac:dyDescent="0.35">
      <c r="C134" s="41"/>
      <c r="D134" s="41"/>
      <c r="F134" s="38"/>
      <c r="H134" s="38"/>
      <c r="I134" s="39"/>
      <c r="J134" s="39"/>
      <c r="K134" s="39"/>
      <c r="L134" s="39"/>
      <c r="M134" s="39"/>
      <c r="N134" s="39"/>
      <c r="O134" s="39"/>
      <c r="P134" s="39"/>
      <c r="Q134" s="39"/>
    </row>
    <row r="135" spans="3:17" x14ac:dyDescent="0.35">
      <c r="C135" s="41"/>
      <c r="D135" s="41"/>
      <c r="F135" s="38"/>
      <c r="H135" s="43"/>
      <c r="I135" s="39"/>
      <c r="J135" s="39"/>
      <c r="K135" s="39"/>
      <c r="L135" s="39"/>
      <c r="M135" s="39"/>
      <c r="N135" s="39"/>
      <c r="O135" s="39"/>
      <c r="P135" s="39"/>
      <c r="Q135" s="39"/>
    </row>
    <row r="136" spans="3:17" x14ac:dyDescent="0.35">
      <c r="C136" s="41"/>
      <c r="D136" s="41"/>
      <c r="F136" s="38"/>
      <c r="H136" s="38"/>
      <c r="I136" s="39"/>
      <c r="J136" s="39"/>
      <c r="K136" s="39"/>
      <c r="L136" s="39"/>
      <c r="M136" s="39"/>
      <c r="N136" s="39"/>
      <c r="O136" s="39"/>
      <c r="P136" s="39"/>
      <c r="Q136" s="39"/>
    </row>
    <row r="137" spans="3:17" x14ac:dyDescent="0.35">
      <c r="C137" s="41"/>
      <c r="D137" s="41"/>
      <c r="F137" s="38"/>
      <c r="H137" s="43"/>
      <c r="I137" s="39"/>
      <c r="J137" s="39"/>
      <c r="K137" s="39"/>
      <c r="L137" s="39"/>
      <c r="M137" s="39"/>
      <c r="N137" s="39"/>
      <c r="O137" s="39"/>
      <c r="P137" s="39"/>
      <c r="Q137" s="39"/>
    </row>
    <row r="138" spans="3:17" x14ac:dyDescent="0.35">
      <c r="C138" s="41"/>
      <c r="D138" s="41"/>
      <c r="F138" s="38"/>
      <c r="H138" s="38"/>
      <c r="I138" s="39"/>
      <c r="J138" s="39"/>
      <c r="K138" s="39"/>
      <c r="L138" s="39"/>
      <c r="M138" s="39"/>
      <c r="N138" s="39"/>
      <c r="O138" s="39"/>
      <c r="P138" s="39"/>
      <c r="Q138" s="39"/>
    </row>
    <row r="139" spans="3:17" x14ac:dyDescent="0.35">
      <c r="C139" s="41"/>
      <c r="D139" s="41"/>
      <c r="F139" s="38"/>
      <c r="H139" s="43"/>
      <c r="I139" s="39"/>
      <c r="J139" s="39"/>
      <c r="K139" s="39"/>
      <c r="L139" s="39"/>
      <c r="M139" s="39"/>
      <c r="N139" s="39"/>
      <c r="O139" s="39"/>
      <c r="P139" s="39"/>
      <c r="Q139" s="39"/>
    </row>
    <row r="140" spans="3:17" x14ac:dyDescent="0.35">
      <c r="C140" s="41"/>
      <c r="D140" s="41"/>
      <c r="F140" s="38"/>
      <c r="H140" s="38"/>
      <c r="I140" s="39"/>
      <c r="J140" s="39"/>
      <c r="K140" s="39"/>
      <c r="L140" s="39"/>
      <c r="M140" s="39"/>
      <c r="N140" s="39"/>
      <c r="O140" s="39"/>
      <c r="P140" s="39"/>
      <c r="Q140" s="39"/>
    </row>
    <row r="141" spans="3:17" x14ac:dyDescent="0.35">
      <c r="C141" s="41"/>
      <c r="D141" s="41"/>
      <c r="F141" s="38"/>
      <c r="H141" s="43"/>
      <c r="I141" s="39"/>
      <c r="J141" s="39"/>
      <c r="K141" s="39"/>
      <c r="L141" s="39"/>
      <c r="M141" s="39"/>
      <c r="N141" s="39"/>
      <c r="O141" s="39"/>
      <c r="P141" s="39"/>
      <c r="Q141" s="39"/>
    </row>
    <row r="142" spans="3:17" x14ac:dyDescent="0.35">
      <c r="C142" s="41"/>
      <c r="D142" s="41"/>
      <c r="F142" s="38"/>
      <c r="H142" s="38"/>
      <c r="I142" s="39"/>
      <c r="J142" s="39"/>
      <c r="K142" s="39"/>
      <c r="L142" s="39"/>
      <c r="M142" s="39"/>
      <c r="N142" s="39"/>
      <c r="O142" s="39"/>
      <c r="P142" s="39"/>
      <c r="Q142" s="39"/>
    </row>
    <row r="143" spans="3:17" x14ac:dyDescent="0.35">
      <c r="C143" s="41"/>
      <c r="D143" s="41"/>
      <c r="F143" s="38"/>
      <c r="H143" s="43"/>
      <c r="I143" s="39"/>
      <c r="J143" s="39"/>
      <c r="K143" s="39"/>
      <c r="L143" s="39"/>
      <c r="M143" s="39"/>
      <c r="N143" s="39"/>
      <c r="O143" s="39"/>
      <c r="P143" s="39"/>
      <c r="Q143" s="39"/>
    </row>
    <row r="144" spans="3:17" x14ac:dyDescent="0.35">
      <c r="C144" s="41"/>
      <c r="D144" s="41"/>
      <c r="F144" s="38"/>
      <c r="H144" s="43"/>
      <c r="I144" s="39"/>
      <c r="J144" s="39"/>
      <c r="K144" s="39"/>
      <c r="L144" s="39"/>
      <c r="M144" s="39"/>
      <c r="N144" s="39"/>
      <c r="O144" s="39"/>
      <c r="P144" s="39"/>
      <c r="Q144" s="39"/>
    </row>
    <row r="145" spans="3:17" x14ac:dyDescent="0.35">
      <c r="C145" s="41"/>
      <c r="D145" s="41"/>
      <c r="E145" s="42" t="s">
        <v>223</v>
      </c>
      <c r="F145" s="38"/>
      <c r="I145" s="39"/>
      <c r="J145" s="39"/>
      <c r="K145" s="39"/>
      <c r="L145" s="39"/>
      <c r="M145" s="39"/>
      <c r="N145" s="39"/>
      <c r="O145" s="39"/>
      <c r="P145" s="39"/>
      <c r="Q145" s="39"/>
    </row>
    <row r="146" spans="3:17" x14ac:dyDescent="0.35">
      <c r="C146" s="41"/>
      <c r="D146" s="41"/>
      <c r="E146" s="42" t="s">
        <v>222</v>
      </c>
      <c r="F146" s="38"/>
      <c r="I146" s="39"/>
      <c r="J146" s="39"/>
      <c r="K146" s="39"/>
      <c r="L146" s="39"/>
      <c r="M146" s="39"/>
      <c r="N146" s="39"/>
      <c r="O146" s="39"/>
      <c r="P146" s="39"/>
      <c r="Q146" s="39"/>
    </row>
    <row r="147" spans="3:17" x14ac:dyDescent="0.35">
      <c r="C147" s="41"/>
      <c r="D147" s="41"/>
      <c r="E147" s="40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</row>
    <row r="148" spans="3:17" x14ac:dyDescent="0.35">
      <c r="C148" s="41"/>
      <c r="D148" s="41"/>
      <c r="E148" s="40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</row>
    <row r="149" spans="3:17" x14ac:dyDescent="0.35">
      <c r="C149" s="41"/>
      <c r="D149" s="41"/>
      <c r="E149" s="40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</row>
    <row r="150" spans="3:17" x14ac:dyDescent="0.35">
      <c r="C150" s="41"/>
      <c r="D150" s="41"/>
      <c r="E150" s="40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</row>
    <row r="151" spans="3:17" x14ac:dyDescent="0.35">
      <c r="C151" s="41"/>
      <c r="D151" s="41"/>
      <c r="E151" s="40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</row>
    <row r="152" spans="3:17" x14ac:dyDescent="0.35">
      <c r="C152" s="41"/>
      <c r="D152" s="41"/>
      <c r="E152" s="40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</row>
    <row r="153" spans="3:17" x14ac:dyDescent="0.35">
      <c r="C153" s="41"/>
      <c r="D153" s="41"/>
      <c r="E153" s="40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</row>
    <row r="154" spans="3:17" x14ac:dyDescent="0.35">
      <c r="C154" s="41"/>
      <c r="D154" s="41"/>
      <c r="E154" s="40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</row>
    <row r="155" spans="3:17" x14ac:dyDescent="0.35">
      <c r="C155" s="41"/>
      <c r="D155" s="41"/>
      <c r="E155" s="40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</row>
    <row r="156" spans="3:17" x14ac:dyDescent="0.35">
      <c r="C156" s="41"/>
      <c r="D156" s="41"/>
      <c r="E156" s="40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</row>
    <row r="157" spans="3:17" x14ac:dyDescent="0.35">
      <c r="C157" s="41"/>
      <c r="D157" s="41"/>
      <c r="E157" s="40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</row>
    <row r="158" spans="3:17" x14ac:dyDescent="0.35">
      <c r="C158" s="41"/>
      <c r="D158" s="41"/>
      <c r="E158" s="40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</row>
    <row r="159" spans="3:17" x14ac:dyDescent="0.35">
      <c r="C159" s="41"/>
      <c r="D159" s="41"/>
      <c r="E159" s="40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</row>
    <row r="160" spans="3:17" x14ac:dyDescent="0.35">
      <c r="C160" s="41"/>
      <c r="D160" s="41"/>
      <c r="E160" s="40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</row>
    <row r="161" spans="3:17" x14ac:dyDescent="0.35">
      <c r="C161" s="41"/>
      <c r="D161" s="41"/>
      <c r="E161" s="40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</row>
    <row r="162" spans="3:17" x14ac:dyDescent="0.35">
      <c r="C162" s="41"/>
      <c r="D162" s="41"/>
      <c r="E162" s="40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</row>
    <row r="163" spans="3:17" x14ac:dyDescent="0.35">
      <c r="C163" s="41"/>
      <c r="D163" s="41"/>
      <c r="E163" s="40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</row>
    <row r="164" spans="3:17" x14ac:dyDescent="0.35">
      <c r="C164" s="41"/>
      <c r="D164" s="41"/>
      <c r="E164" s="40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</row>
    <row r="165" spans="3:17" x14ac:dyDescent="0.35">
      <c r="C165" s="41"/>
      <c r="D165" s="41"/>
      <c r="E165" s="40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</row>
    <row r="166" spans="3:17" x14ac:dyDescent="0.35">
      <c r="C166" s="41"/>
      <c r="D166" s="41"/>
      <c r="E166" s="40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</row>
    <row r="167" spans="3:17" x14ac:dyDescent="0.35">
      <c r="C167" s="41"/>
      <c r="D167" s="41"/>
      <c r="E167" s="40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</row>
    <row r="168" spans="3:17" x14ac:dyDescent="0.35">
      <c r="C168" s="41"/>
      <c r="D168" s="41"/>
      <c r="E168" s="40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</row>
    <row r="169" spans="3:17" x14ac:dyDescent="0.35">
      <c r="C169" s="41"/>
      <c r="D169" s="41"/>
      <c r="E169" s="40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</row>
    <row r="170" spans="3:17" x14ac:dyDescent="0.35">
      <c r="C170" s="41"/>
      <c r="D170" s="41"/>
      <c r="E170" s="40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</row>
    <row r="171" spans="3:17" x14ac:dyDescent="0.35">
      <c r="C171" s="41"/>
      <c r="D171" s="41"/>
      <c r="E171" s="40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</row>
    <row r="172" spans="3:17" x14ac:dyDescent="0.35">
      <c r="C172" s="41"/>
      <c r="D172" s="41"/>
      <c r="E172" s="40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</row>
    <row r="173" spans="3:17" x14ac:dyDescent="0.35">
      <c r="C173" s="41"/>
      <c r="D173" s="41"/>
      <c r="E173" s="40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</row>
    <row r="174" spans="3:17" x14ac:dyDescent="0.35">
      <c r="C174" s="41"/>
      <c r="D174" s="41"/>
      <c r="E174" s="40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</row>
    <row r="175" spans="3:17" x14ac:dyDescent="0.35">
      <c r="C175" s="41"/>
      <c r="D175" s="41"/>
      <c r="E175" s="40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</row>
    <row r="176" spans="3:17" x14ac:dyDescent="0.35">
      <c r="C176" s="41"/>
      <c r="D176" s="41"/>
      <c r="E176" s="40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</row>
    <row r="177" spans="3:17" x14ac:dyDescent="0.35">
      <c r="C177" s="41"/>
      <c r="D177" s="41"/>
      <c r="E177" s="40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</row>
    <row r="178" spans="3:17" x14ac:dyDescent="0.35">
      <c r="C178" s="41"/>
      <c r="D178" s="41"/>
      <c r="E178" s="40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</row>
    <row r="179" spans="3:17" x14ac:dyDescent="0.35">
      <c r="C179" s="41"/>
      <c r="D179" s="41"/>
      <c r="E179" s="40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</row>
    <row r="180" spans="3:17" x14ac:dyDescent="0.35">
      <c r="C180" s="41"/>
      <c r="D180" s="41"/>
      <c r="E180" s="40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</row>
    <row r="181" spans="3:17" x14ac:dyDescent="0.35">
      <c r="C181" s="41"/>
      <c r="D181" s="41"/>
      <c r="E181" s="40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</row>
    <row r="182" spans="3:17" x14ac:dyDescent="0.35">
      <c r="C182" s="41"/>
      <c r="D182" s="41"/>
      <c r="E182" s="40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</row>
    <row r="183" spans="3:17" x14ac:dyDescent="0.35">
      <c r="C183" s="41"/>
      <c r="D183" s="41"/>
      <c r="E183" s="40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</row>
    <row r="184" spans="3:17" x14ac:dyDescent="0.35">
      <c r="C184" s="41"/>
      <c r="D184" s="41"/>
      <c r="E184" s="40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</row>
    <row r="185" spans="3:17" x14ac:dyDescent="0.35">
      <c r="C185" s="41"/>
      <c r="D185" s="41"/>
      <c r="E185" s="40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</row>
    <row r="186" spans="3:17" x14ac:dyDescent="0.35">
      <c r="C186" s="41"/>
      <c r="D186" s="41"/>
      <c r="E186" s="40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</row>
    <row r="187" spans="3:17" x14ac:dyDescent="0.35">
      <c r="C187" s="41"/>
      <c r="D187" s="41"/>
      <c r="E187" s="40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</row>
    <row r="188" spans="3:17" x14ac:dyDescent="0.35">
      <c r="C188" s="41"/>
      <c r="D188" s="41"/>
      <c r="E188" s="40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</row>
    <row r="189" spans="3:17" x14ac:dyDescent="0.35">
      <c r="C189" s="41"/>
      <c r="D189" s="41"/>
      <c r="E189" s="40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</row>
    <row r="190" spans="3:17" x14ac:dyDescent="0.35">
      <c r="C190" s="41"/>
      <c r="D190" s="41"/>
      <c r="E190" s="40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</row>
    <row r="191" spans="3:17" x14ac:dyDescent="0.35">
      <c r="C191" s="41"/>
      <c r="D191" s="41"/>
      <c r="E191" s="40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</row>
    <row r="192" spans="3:17" x14ac:dyDescent="0.35">
      <c r="C192" s="41"/>
      <c r="D192" s="41"/>
      <c r="E192" s="40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</row>
    <row r="193" spans="3:17" x14ac:dyDescent="0.35">
      <c r="C193" s="41"/>
      <c r="D193" s="41"/>
      <c r="E193" s="40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</row>
    <row r="194" spans="3:17" x14ac:dyDescent="0.35">
      <c r="C194" s="41"/>
      <c r="D194" s="41"/>
      <c r="E194" s="40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</row>
    <row r="195" spans="3:17" x14ac:dyDescent="0.35">
      <c r="C195" s="41"/>
      <c r="D195" s="41"/>
      <c r="E195" s="40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</row>
    <row r="196" spans="3:17" x14ac:dyDescent="0.35">
      <c r="C196" s="41"/>
      <c r="D196" s="41"/>
      <c r="E196" s="40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</row>
    <row r="197" spans="3:17" x14ac:dyDescent="0.35">
      <c r="C197" s="41"/>
      <c r="D197" s="41"/>
      <c r="E197" s="40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</row>
    <row r="198" spans="3:17" x14ac:dyDescent="0.35">
      <c r="C198" s="41"/>
      <c r="D198" s="41"/>
      <c r="E198" s="40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</row>
    <row r="199" spans="3:17" x14ac:dyDescent="0.35">
      <c r="C199" s="41"/>
      <c r="D199" s="41"/>
      <c r="E199" s="40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</row>
    <row r="200" spans="3:17" x14ac:dyDescent="0.35">
      <c r="C200" s="41"/>
      <c r="D200" s="41"/>
      <c r="E200" s="40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</row>
    <row r="201" spans="3:17" x14ac:dyDescent="0.35">
      <c r="C201" s="41"/>
      <c r="D201" s="41"/>
      <c r="E201" s="40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</row>
    <row r="202" spans="3:17" x14ac:dyDescent="0.35">
      <c r="C202" s="41"/>
      <c r="D202" s="41"/>
      <c r="E202" s="40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</row>
    <row r="203" spans="3:17" x14ac:dyDescent="0.35">
      <c r="C203" s="41"/>
      <c r="D203" s="41"/>
      <c r="E203" s="40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</row>
    <row r="204" spans="3:17" x14ac:dyDescent="0.35">
      <c r="C204" s="41"/>
      <c r="D204" s="41"/>
      <c r="E204" s="40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</row>
    <row r="205" spans="3:17" x14ac:dyDescent="0.35">
      <c r="C205" s="41"/>
      <c r="D205" s="41"/>
      <c r="E205" s="40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</row>
    <row r="206" spans="3:17" x14ac:dyDescent="0.35">
      <c r="C206" s="41"/>
      <c r="D206" s="41"/>
      <c r="E206" s="40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</row>
    <row r="207" spans="3:17" x14ac:dyDescent="0.35">
      <c r="C207" s="41"/>
      <c r="D207" s="41"/>
      <c r="E207" s="40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</row>
    <row r="208" spans="3:17" x14ac:dyDescent="0.35">
      <c r="C208" s="41"/>
      <c r="D208" s="41"/>
      <c r="E208" s="40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</row>
    <row r="209" spans="3:17" x14ac:dyDescent="0.35">
      <c r="C209" s="41"/>
      <c r="D209" s="41"/>
      <c r="E209" s="40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</row>
    <row r="210" spans="3:17" x14ac:dyDescent="0.35">
      <c r="C210" s="41"/>
      <c r="D210" s="41"/>
      <c r="E210" s="40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</row>
    <row r="211" spans="3:17" x14ac:dyDescent="0.35">
      <c r="C211" s="41"/>
      <c r="D211" s="41"/>
      <c r="E211" s="40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</row>
    <row r="212" spans="3:17" x14ac:dyDescent="0.35">
      <c r="C212" s="41"/>
      <c r="D212" s="41"/>
      <c r="E212" s="40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</row>
    <row r="213" spans="3:17" x14ac:dyDescent="0.35">
      <c r="C213" s="41"/>
      <c r="D213" s="41"/>
      <c r="E213" s="40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</row>
    <row r="214" spans="3:17" x14ac:dyDescent="0.35">
      <c r="C214" s="41"/>
      <c r="D214" s="41"/>
      <c r="E214" s="40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</row>
    <row r="215" spans="3:17" x14ac:dyDescent="0.35">
      <c r="C215" s="41"/>
      <c r="D215" s="41"/>
      <c r="E215" s="40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</row>
    <row r="216" spans="3:17" x14ac:dyDescent="0.35">
      <c r="C216" s="41"/>
      <c r="D216" s="41"/>
      <c r="E216" s="40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</row>
    <row r="217" spans="3:17" x14ac:dyDescent="0.35">
      <c r="C217" s="41"/>
      <c r="D217" s="41"/>
      <c r="E217" s="40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</row>
    <row r="218" spans="3:17" x14ac:dyDescent="0.35">
      <c r="C218" s="41"/>
      <c r="D218" s="41"/>
      <c r="E218" s="40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</row>
    <row r="219" spans="3:17" x14ac:dyDescent="0.35">
      <c r="C219" s="41"/>
      <c r="D219" s="41"/>
      <c r="E219" s="40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</row>
    <row r="220" spans="3:17" x14ac:dyDescent="0.35">
      <c r="C220" s="41"/>
      <c r="D220" s="41"/>
      <c r="E220" s="40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</row>
    <row r="221" spans="3:17" x14ac:dyDescent="0.35">
      <c r="C221" s="41"/>
      <c r="D221" s="41"/>
      <c r="E221" s="40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</row>
    <row r="222" spans="3:17" x14ac:dyDescent="0.35">
      <c r="C222" s="41"/>
      <c r="D222" s="41"/>
      <c r="E222" s="40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</row>
    <row r="223" spans="3:17" x14ac:dyDescent="0.35">
      <c r="C223" s="41"/>
      <c r="D223" s="41"/>
      <c r="E223" s="40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</row>
    <row r="224" spans="3:17" x14ac:dyDescent="0.35">
      <c r="C224" s="41"/>
      <c r="D224" s="41"/>
      <c r="E224" s="40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</row>
    <row r="225" spans="3:17" x14ac:dyDescent="0.35">
      <c r="C225" s="41"/>
      <c r="D225" s="41"/>
      <c r="E225" s="40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</row>
    <row r="226" spans="3:17" x14ac:dyDescent="0.35">
      <c r="C226" s="41"/>
      <c r="D226" s="41"/>
      <c r="E226" s="40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</row>
    <row r="227" spans="3:17" x14ac:dyDescent="0.35">
      <c r="C227" s="41"/>
      <c r="D227" s="41"/>
      <c r="E227" s="40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</row>
    <row r="228" spans="3:17" x14ac:dyDescent="0.35">
      <c r="C228" s="41"/>
      <c r="D228" s="41"/>
      <c r="E228" s="40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</row>
    <row r="229" spans="3:17" x14ac:dyDescent="0.35">
      <c r="C229" s="41"/>
      <c r="D229" s="41"/>
      <c r="E229" s="40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</row>
    <row r="230" spans="3:17" x14ac:dyDescent="0.35">
      <c r="C230" s="41"/>
      <c r="D230" s="41"/>
      <c r="E230" s="40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</row>
    <row r="231" spans="3:17" x14ac:dyDescent="0.35">
      <c r="C231" s="41"/>
      <c r="D231" s="41"/>
      <c r="E231" s="40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</row>
    <row r="232" spans="3:17" x14ac:dyDescent="0.35">
      <c r="C232" s="41"/>
      <c r="D232" s="41"/>
      <c r="E232" s="40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</row>
    <row r="233" spans="3:17" x14ac:dyDescent="0.35">
      <c r="C233" s="41"/>
      <c r="D233" s="41"/>
      <c r="E233" s="40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</row>
    <row r="234" spans="3:17" x14ac:dyDescent="0.35">
      <c r="C234" s="41"/>
      <c r="D234" s="41"/>
      <c r="E234" s="40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</row>
    <row r="235" spans="3:17" x14ac:dyDescent="0.35">
      <c r="C235" s="41"/>
      <c r="D235" s="41"/>
      <c r="E235" s="40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</row>
    <row r="236" spans="3:17" x14ac:dyDescent="0.35">
      <c r="C236" s="41"/>
      <c r="D236" s="41"/>
      <c r="E236" s="40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</row>
    <row r="237" spans="3:17" x14ac:dyDescent="0.35">
      <c r="C237" s="41"/>
      <c r="D237" s="41"/>
      <c r="E237" s="40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</row>
    <row r="238" spans="3:17" x14ac:dyDescent="0.35">
      <c r="C238" s="41"/>
      <c r="D238" s="41"/>
      <c r="E238" s="40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</row>
    <row r="239" spans="3:17" x14ac:dyDescent="0.35">
      <c r="C239" s="41"/>
      <c r="D239" s="41"/>
      <c r="E239" s="40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</row>
    <row r="240" spans="3:17" x14ac:dyDescent="0.35">
      <c r="C240" s="41"/>
      <c r="D240" s="41"/>
      <c r="E240" s="40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</row>
    <row r="241" spans="3:17" x14ac:dyDescent="0.35">
      <c r="C241" s="41"/>
      <c r="D241" s="41"/>
      <c r="E241" s="40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</row>
    <row r="242" spans="3:17" x14ac:dyDescent="0.35">
      <c r="C242" s="41"/>
      <c r="D242" s="41"/>
      <c r="E242" s="40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</row>
    <row r="243" spans="3:17" x14ac:dyDescent="0.35">
      <c r="C243" s="41"/>
      <c r="D243" s="41"/>
      <c r="E243" s="40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</row>
    <row r="244" spans="3:17" x14ac:dyDescent="0.35">
      <c r="C244" s="41"/>
      <c r="D244" s="41"/>
      <c r="E244" s="40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</row>
    <row r="245" spans="3:17" x14ac:dyDescent="0.35">
      <c r="C245" s="41"/>
      <c r="D245" s="41"/>
      <c r="E245" s="40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</row>
    <row r="246" spans="3:17" x14ac:dyDescent="0.35">
      <c r="C246" s="41"/>
      <c r="D246" s="41"/>
      <c r="E246" s="40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</row>
    <row r="247" spans="3:17" x14ac:dyDescent="0.35">
      <c r="C247" s="41"/>
      <c r="D247" s="41"/>
      <c r="E247" s="40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</row>
    <row r="248" spans="3:17" x14ac:dyDescent="0.35">
      <c r="C248" s="41"/>
      <c r="D248" s="41"/>
      <c r="E248" s="40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</row>
    <row r="249" spans="3:17" x14ac:dyDescent="0.35">
      <c r="C249" s="41"/>
      <c r="D249" s="41"/>
      <c r="E249" s="40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</row>
    <row r="250" spans="3:17" x14ac:dyDescent="0.35">
      <c r="C250" s="41"/>
      <c r="D250" s="41"/>
      <c r="E250" s="40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</row>
    <row r="251" spans="3:17" x14ac:dyDescent="0.35">
      <c r="C251" s="41"/>
      <c r="D251" s="41"/>
      <c r="E251" s="40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</row>
    <row r="252" spans="3:17" x14ac:dyDescent="0.35">
      <c r="C252" s="41"/>
      <c r="D252" s="41"/>
      <c r="E252" s="40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</row>
    <row r="253" spans="3:17" x14ac:dyDescent="0.35">
      <c r="C253" s="41"/>
      <c r="D253" s="41"/>
      <c r="E253" s="40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</row>
    <row r="254" spans="3:17" x14ac:dyDescent="0.35">
      <c r="C254" s="41"/>
      <c r="D254" s="41"/>
      <c r="E254" s="40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</row>
    <row r="255" spans="3:17" x14ac:dyDescent="0.35">
      <c r="C255" s="41"/>
      <c r="D255" s="41"/>
      <c r="E255" s="40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</row>
    <row r="256" spans="3:17" x14ac:dyDescent="0.35">
      <c r="C256" s="41"/>
      <c r="D256" s="41"/>
      <c r="E256" s="40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</row>
    <row r="257" spans="3:17" x14ac:dyDescent="0.35">
      <c r="C257" s="41"/>
      <c r="D257" s="41"/>
      <c r="E257" s="40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</row>
    <row r="258" spans="3:17" x14ac:dyDescent="0.35">
      <c r="C258" s="41"/>
      <c r="D258" s="41"/>
      <c r="E258" s="40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</row>
    <row r="259" spans="3:17" x14ac:dyDescent="0.35">
      <c r="C259" s="41"/>
      <c r="D259" s="41"/>
      <c r="E259" s="40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</row>
    <row r="260" spans="3:17" x14ac:dyDescent="0.35">
      <c r="C260" s="41"/>
      <c r="D260" s="41"/>
      <c r="E260" s="40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</row>
    <row r="261" spans="3:17" x14ac:dyDescent="0.35">
      <c r="C261" s="41"/>
      <c r="D261" s="41"/>
      <c r="E261" s="40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</row>
    <row r="262" spans="3:17" x14ac:dyDescent="0.35">
      <c r="C262" s="41"/>
      <c r="D262" s="41"/>
      <c r="E262" s="40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</row>
    <row r="263" spans="3:17" x14ac:dyDescent="0.35">
      <c r="C263" s="41"/>
      <c r="D263" s="41"/>
      <c r="E263" s="40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</row>
    <row r="264" spans="3:17" x14ac:dyDescent="0.35">
      <c r="C264" s="41"/>
      <c r="D264" s="41"/>
      <c r="E264" s="40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</row>
    <row r="265" spans="3:17" x14ac:dyDescent="0.35">
      <c r="C265" s="41"/>
      <c r="D265" s="41"/>
      <c r="E265" s="40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</row>
    <row r="266" spans="3:17" x14ac:dyDescent="0.35">
      <c r="C266" s="41"/>
      <c r="D266" s="41"/>
      <c r="E266" s="40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</row>
    <row r="267" spans="3:17" x14ac:dyDescent="0.35">
      <c r="C267" s="41"/>
      <c r="D267" s="41"/>
      <c r="E267" s="40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</row>
    <row r="268" spans="3:17" x14ac:dyDescent="0.35">
      <c r="C268" s="41"/>
      <c r="D268" s="41"/>
      <c r="E268" s="40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</row>
    <row r="269" spans="3:17" x14ac:dyDescent="0.35">
      <c r="C269" s="41"/>
      <c r="D269" s="41"/>
      <c r="E269" s="40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</row>
    <row r="270" spans="3:17" x14ac:dyDescent="0.35">
      <c r="C270" s="41"/>
      <c r="D270" s="41"/>
      <c r="E270" s="40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</row>
    <row r="271" spans="3:17" x14ac:dyDescent="0.35">
      <c r="C271" s="41"/>
      <c r="D271" s="41"/>
      <c r="E271" s="40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</row>
    <row r="272" spans="3:17" x14ac:dyDescent="0.35">
      <c r="C272" s="41"/>
      <c r="D272" s="41"/>
      <c r="E272" s="40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</row>
    <row r="273" spans="3:17" x14ac:dyDescent="0.35">
      <c r="C273" s="41"/>
      <c r="D273" s="41"/>
      <c r="E273" s="40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</row>
    <row r="274" spans="3:17" x14ac:dyDescent="0.35">
      <c r="C274" s="41"/>
      <c r="D274" s="41"/>
      <c r="E274" s="40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</row>
    <row r="275" spans="3:17" x14ac:dyDescent="0.35">
      <c r="C275" s="41"/>
      <c r="D275" s="41"/>
      <c r="E275" s="40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</row>
    <row r="276" spans="3:17" x14ac:dyDescent="0.35">
      <c r="C276" s="41"/>
      <c r="D276" s="41"/>
      <c r="E276" s="40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</row>
    <row r="277" spans="3:17" x14ac:dyDescent="0.35">
      <c r="C277" s="41"/>
      <c r="D277" s="41"/>
      <c r="E277" s="40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</row>
    <row r="278" spans="3:17" x14ac:dyDescent="0.35">
      <c r="C278" s="41"/>
      <c r="D278" s="41"/>
      <c r="E278" s="40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</row>
    <row r="279" spans="3:17" x14ac:dyDescent="0.35">
      <c r="C279" s="41"/>
      <c r="D279" s="41"/>
      <c r="E279" s="40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</row>
    <row r="280" spans="3:17" x14ac:dyDescent="0.35">
      <c r="C280" s="41"/>
      <c r="D280" s="41"/>
      <c r="E280" s="40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</row>
    <row r="281" spans="3:17" x14ac:dyDescent="0.35">
      <c r="C281" s="41"/>
      <c r="D281" s="41"/>
      <c r="E281" s="40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</row>
    <row r="282" spans="3:17" x14ac:dyDescent="0.35">
      <c r="C282" s="41"/>
      <c r="D282" s="41"/>
      <c r="E282" s="40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</row>
    <row r="283" spans="3:17" x14ac:dyDescent="0.35">
      <c r="C283" s="41"/>
      <c r="D283" s="41"/>
      <c r="E283" s="40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</row>
    <row r="284" spans="3:17" x14ac:dyDescent="0.35">
      <c r="C284" s="41"/>
      <c r="D284" s="41"/>
      <c r="E284" s="40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</row>
    <row r="285" spans="3:17" x14ac:dyDescent="0.35">
      <c r="C285" s="41"/>
      <c r="D285" s="41"/>
      <c r="E285" s="40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</row>
    <row r="286" spans="3:17" x14ac:dyDescent="0.35">
      <c r="C286" s="41"/>
      <c r="D286" s="41"/>
      <c r="E286" s="40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</row>
    <row r="287" spans="3:17" x14ac:dyDescent="0.35">
      <c r="C287" s="41"/>
      <c r="D287" s="41"/>
      <c r="E287" s="40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</row>
    <row r="288" spans="3:17" x14ac:dyDescent="0.35">
      <c r="C288" s="41"/>
      <c r="D288" s="41"/>
      <c r="E288" s="40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</row>
    <row r="289" spans="3:17" x14ac:dyDescent="0.35">
      <c r="C289" s="41"/>
      <c r="D289" s="41"/>
      <c r="E289" s="40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</row>
    <row r="290" spans="3:17" x14ac:dyDescent="0.35">
      <c r="C290" s="41"/>
      <c r="D290" s="41"/>
      <c r="E290" s="40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</row>
    <row r="291" spans="3:17" x14ac:dyDescent="0.35">
      <c r="C291" s="41"/>
      <c r="D291" s="41"/>
      <c r="E291" s="40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</row>
    <row r="292" spans="3:17" x14ac:dyDescent="0.35">
      <c r="C292" s="41"/>
      <c r="D292" s="41"/>
      <c r="E292" s="40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</row>
    <row r="293" spans="3:17" x14ac:dyDescent="0.35">
      <c r="C293" s="41"/>
      <c r="D293" s="41"/>
      <c r="E293" s="40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</row>
    <row r="294" spans="3:17" x14ac:dyDescent="0.35">
      <c r="C294" s="41"/>
      <c r="D294" s="41"/>
      <c r="E294" s="40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</row>
    <row r="295" spans="3:17" x14ac:dyDescent="0.35">
      <c r="C295" s="41"/>
      <c r="D295" s="41"/>
      <c r="E295" s="40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</row>
    <row r="296" spans="3:17" x14ac:dyDescent="0.35">
      <c r="C296" s="41"/>
      <c r="D296" s="41"/>
      <c r="E296" s="40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</row>
    <row r="297" spans="3:17" x14ac:dyDescent="0.35">
      <c r="C297" s="41"/>
      <c r="D297" s="41"/>
      <c r="E297" s="40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</row>
    <row r="298" spans="3:17" x14ac:dyDescent="0.35">
      <c r="C298" s="41"/>
      <c r="D298" s="41"/>
      <c r="E298" s="40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</row>
    <row r="299" spans="3:17" x14ac:dyDescent="0.35">
      <c r="C299" s="41"/>
      <c r="D299" s="41"/>
      <c r="E299" s="40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</row>
    <row r="300" spans="3:17" x14ac:dyDescent="0.35">
      <c r="C300" s="41"/>
      <c r="D300" s="41"/>
      <c r="E300" s="40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</row>
    <row r="301" spans="3:17" x14ac:dyDescent="0.35">
      <c r="C301" s="41"/>
      <c r="D301" s="41"/>
      <c r="E301" s="40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</row>
    <row r="302" spans="3:17" x14ac:dyDescent="0.35">
      <c r="C302" s="41"/>
      <c r="D302" s="41"/>
      <c r="E302" s="40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</row>
    <row r="303" spans="3:17" x14ac:dyDescent="0.35">
      <c r="C303" s="41"/>
      <c r="D303" s="41"/>
      <c r="E303" s="40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</row>
    <row r="304" spans="3:17" x14ac:dyDescent="0.35">
      <c r="C304" s="41"/>
      <c r="D304" s="41"/>
      <c r="E304" s="40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</row>
    <row r="305" spans="3:17" x14ac:dyDescent="0.35">
      <c r="C305" s="41"/>
      <c r="D305" s="41"/>
      <c r="E305" s="40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</row>
    <row r="306" spans="3:17" x14ac:dyDescent="0.35">
      <c r="C306" s="41"/>
      <c r="D306" s="41"/>
      <c r="E306" s="40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</row>
    <row r="307" spans="3:17" x14ac:dyDescent="0.35">
      <c r="C307" s="41"/>
      <c r="D307" s="41"/>
      <c r="E307" s="40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</row>
    <row r="308" spans="3:17" x14ac:dyDescent="0.35">
      <c r="C308" s="41"/>
      <c r="D308" s="41"/>
      <c r="E308" s="40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</row>
    <row r="309" spans="3:17" x14ac:dyDescent="0.35">
      <c r="C309" s="41"/>
      <c r="D309" s="41"/>
      <c r="E309" s="40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</row>
    <row r="310" spans="3:17" x14ac:dyDescent="0.35">
      <c r="C310" s="41"/>
      <c r="D310" s="41"/>
      <c r="E310" s="40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</row>
    <row r="311" spans="3:17" x14ac:dyDescent="0.35">
      <c r="C311" s="41"/>
      <c r="D311" s="41"/>
      <c r="E311" s="40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</row>
    <row r="312" spans="3:17" x14ac:dyDescent="0.35">
      <c r="C312" s="41"/>
      <c r="D312" s="41"/>
      <c r="E312" s="40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</row>
    <row r="313" spans="3:17" x14ac:dyDescent="0.35">
      <c r="C313" s="41"/>
      <c r="D313" s="41"/>
      <c r="E313" s="40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</row>
    <row r="314" spans="3:17" x14ac:dyDescent="0.35">
      <c r="C314" s="41"/>
      <c r="D314" s="41"/>
      <c r="E314" s="40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</row>
    <row r="315" spans="3:17" x14ac:dyDescent="0.35">
      <c r="C315" s="41"/>
      <c r="D315" s="41"/>
      <c r="E315" s="40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</row>
    <row r="316" spans="3:17" x14ac:dyDescent="0.35">
      <c r="C316" s="41"/>
      <c r="D316" s="41"/>
      <c r="E316" s="40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</row>
    <row r="317" spans="3:17" x14ac:dyDescent="0.35">
      <c r="C317" s="41"/>
      <c r="D317" s="41"/>
      <c r="E317" s="40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</row>
    <row r="318" spans="3:17" x14ac:dyDescent="0.35">
      <c r="C318" s="41"/>
      <c r="D318" s="41"/>
      <c r="E318" s="40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</row>
    <row r="319" spans="3:17" x14ac:dyDescent="0.35">
      <c r="C319" s="41"/>
      <c r="D319" s="41"/>
      <c r="E319" s="40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</row>
    <row r="320" spans="3:17" x14ac:dyDescent="0.35">
      <c r="C320" s="41"/>
      <c r="D320" s="41"/>
      <c r="E320" s="40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</row>
    <row r="321" spans="3:17" x14ac:dyDescent="0.35">
      <c r="C321" s="41"/>
      <c r="D321" s="41"/>
      <c r="E321" s="40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</row>
    <row r="322" spans="3:17" x14ac:dyDescent="0.35">
      <c r="C322" s="41"/>
      <c r="D322" s="41"/>
      <c r="E322" s="40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</row>
    <row r="323" spans="3:17" x14ac:dyDescent="0.35">
      <c r="C323" s="41"/>
      <c r="D323" s="41"/>
      <c r="E323" s="40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</row>
    <row r="324" spans="3:17" x14ac:dyDescent="0.35">
      <c r="C324" s="41"/>
      <c r="D324" s="41"/>
      <c r="E324" s="40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</row>
    <row r="325" spans="3:17" x14ac:dyDescent="0.35">
      <c r="C325" s="41"/>
      <c r="D325" s="41"/>
      <c r="E325" s="40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</row>
    <row r="326" spans="3:17" x14ac:dyDescent="0.35">
      <c r="C326" s="41"/>
      <c r="D326" s="41"/>
      <c r="E326" s="40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</row>
    <row r="327" spans="3:17" x14ac:dyDescent="0.35">
      <c r="C327" s="41"/>
      <c r="D327" s="41"/>
      <c r="E327" s="40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</row>
    <row r="328" spans="3:17" x14ac:dyDescent="0.35">
      <c r="C328" s="41"/>
      <c r="D328" s="41"/>
      <c r="E328" s="40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</row>
    <row r="329" spans="3:17" x14ac:dyDescent="0.35">
      <c r="C329" s="41"/>
      <c r="D329" s="41"/>
      <c r="E329" s="40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</row>
    <row r="330" spans="3:17" x14ac:dyDescent="0.35">
      <c r="C330" s="41"/>
      <c r="D330" s="41"/>
      <c r="E330" s="40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</row>
    <row r="331" spans="3:17" x14ac:dyDescent="0.35">
      <c r="C331" s="41"/>
      <c r="D331" s="41"/>
      <c r="E331" s="40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</row>
    <row r="332" spans="3:17" x14ac:dyDescent="0.35">
      <c r="C332" s="41"/>
      <c r="D332" s="41"/>
      <c r="E332" s="40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</row>
    <row r="333" spans="3:17" x14ac:dyDescent="0.35">
      <c r="C333" s="41"/>
      <c r="D333" s="41"/>
      <c r="E333" s="40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</row>
    <row r="334" spans="3:17" x14ac:dyDescent="0.35">
      <c r="C334" s="41"/>
      <c r="D334" s="41"/>
      <c r="E334" s="40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</row>
    <row r="335" spans="3:17" x14ac:dyDescent="0.35">
      <c r="C335" s="41"/>
      <c r="D335" s="41"/>
      <c r="E335" s="40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</row>
    <row r="336" spans="3:17" x14ac:dyDescent="0.35">
      <c r="C336" s="41"/>
      <c r="D336" s="41"/>
      <c r="E336" s="40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</row>
    <row r="337" spans="3:17" x14ac:dyDescent="0.35">
      <c r="C337" s="41"/>
      <c r="D337" s="41"/>
      <c r="E337" s="40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</row>
    <row r="338" spans="3:17" x14ac:dyDescent="0.35">
      <c r="C338" s="41"/>
      <c r="D338" s="41"/>
      <c r="E338" s="40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</row>
    <row r="339" spans="3:17" x14ac:dyDescent="0.35">
      <c r="C339" s="41"/>
      <c r="D339" s="41"/>
      <c r="E339" s="40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</row>
    <row r="340" spans="3:17" x14ac:dyDescent="0.35">
      <c r="C340" s="41"/>
      <c r="D340" s="41"/>
      <c r="E340" s="40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</row>
    <row r="341" spans="3:17" x14ac:dyDescent="0.35">
      <c r="C341" s="41"/>
      <c r="D341" s="41"/>
      <c r="E341" s="40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</row>
    <row r="342" spans="3:17" x14ac:dyDescent="0.35">
      <c r="C342" s="41"/>
      <c r="D342" s="41"/>
      <c r="E342" s="40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</row>
    <row r="343" spans="3:17" x14ac:dyDescent="0.35">
      <c r="C343" s="41"/>
      <c r="D343" s="41"/>
      <c r="E343" s="40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</row>
    <row r="344" spans="3:17" x14ac:dyDescent="0.35">
      <c r="C344" s="41"/>
      <c r="D344" s="41"/>
      <c r="E344" s="40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</row>
    <row r="345" spans="3:17" x14ac:dyDescent="0.35">
      <c r="C345" s="41"/>
      <c r="D345" s="41"/>
      <c r="E345" s="40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</row>
    <row r="346" spans="3:17" x14ac:dyDescent="0.35">
      <c r="C346" s="41"/>
      <c r="D346" s="41"/>
      <c r="E346" s="40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</row>
    <row r="347" spans="3:17" x14ac:dyDescent="0.35">
      <c r="C347" s="41"/>
      <c r="D347" s="41"/>
      <c r="E347" s="40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</row>
    <row r="348" spans="3:17" x14ac:dyDescent="0.35">
      <c r="C348" s="41"/>
      <c r="D348" s="41"/>
      <c r="E348" s="40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</row>
    <row r="349" spans="3:17" x14ac:dyDescent="0.35">
      <c r="C349" s="41"/>
      <c r="D349" s="41"/>
      <c r="E349" s="40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</row>
    <row r="350" spans="3:17" x14ac:dyDescent="0.35">
      <c r="C350" s="41"/>
      <c r="D350" s="41"/>
      <c r="E350" s="40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</row>
    <row r="351" spans="3:17" x14ac:dyDescent="0.35">
      <c r="C351" s="41"/>
      <c r="D351" s="41"/>
      <c r="E351" s="40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</row>
    <row r="352" spans="3:17" x14ac:dyDescent="0.35">
      <c r="C352" s="41"/>
      <c r="D352" s="41"/>
      <c r="E352" s="40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</row>
    <row r="353" spans="3:17" x14ac:dyDescent="0.35">
      <c r="C353" s="41"/>
      <c r="D353" s="41"/>
      <c r="E353" s="40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</row>
    <row r="354" spans="3:17" x14ac:dyDescent="0.35">
      <c r="C354" s="41"/>
      <c r="D354" s="41"/>
      <c r="E354" s="40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</row>
    <row r="355" spans="3:17" x14ac:dyDescent="0.35">
      <c r="C355" s="41"/>
      <c r="D355" s="41"/>
      <c r="E355" s="40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</row>
    <row r="356" spans="3:17" x14ac:dyDescent="0.35">
      <c r="C356" s="41"/>
      <c r="D356" s="41"/>
      <c r="E356" s="40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</row>
    <row r="357" spans="3:17" x14ac:dyDescent="0.35">
      <c r="C357" s="41"/>
      <c r="D357" s="41"/>
      <c r="E357" s="40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</row>
    <row r="358" spans="3:17" x14ac:dyDescent="0.35">
      <c r="C358" s="41"/>
      <c r="D358" s="41"/>
      <c r="E358" s="40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</row>
    <row r="359" spans="3:17" x14ac:dyDescent="0.35">
      <c r="C359" s="41"/>
      <c r="D359" s="41"/>
      <c r="E359" s="40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</row>
    <row r="360" spans="3:17" x14ac:dyDescent="0.35">
      <c r="C360" s="41"/>
      <c r="D360" s="41"/>
      <c r="E360" s="40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</row>
    <row r="361" spans="3:17" x14ac:dyDescent="0.35">
      <c r="C361" s="41"/>
      <c r="D361" s="41"/>
      <c r="E361" s="40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</row>
    <row r="362" spans="3:17" x14ac:dyDescent="0.35">
      <c r="C362" s="41"/>
      <c r="D362" s="41"/>
      <c r="E362" s="40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</row>
    <row r="363" spans="3:17" x14ac:dyDescent="0.35">
      <c r="C363" s="41"/>
      <c r="D363" s="41"/>
      <c r="E363" s="40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</row>
    <row r="364" spans="3:17" x14ac:dyDescent="0.35">
      <c r="C364" s="41"/>
      <c r="D364" s="41"/>
      <c r="E364" s="40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</row>
    <row r="365" spans="3:17" x14ac:dyDescent="0.35">
      <c r="C365" s="41"/>
      <c r="D365" s="41"/>
      <c r="E365" s="40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</row>
    <row r="366" spans="3:17" x14ac:dyDescent="0.35">
      <c r="C366" s="41"/>
      <c r="D366" s="41"/>
      <c r="E366" s="40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</row>
    <row r="367" spans="3:17" x14ac:dyDescent="0.35">
      <c r="C367" s="41"/>
      <c r="D367" s="41"/>
      <c r="E367" s="40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</row>
    <row r="368" spans="3:17" x14ac:dyDescent="0.35">
      <c r="C368" s="41"/>
      <c r="D368" s="41"/>
      <c r="E368" s="40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</row>
    <row r="369" spans="3:17" x14ac:dyDescent="0.35">
      <c r="C369" s="41"/>
      <c r="D369" s="41"/>
      <c r="E369" s="40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</row>
    <row r="370" spans="3:17" x14ac:dyDescent="0.35">
      <c r="C370" s="41"/>
      <c r="D370" s="41"/>
      <c r="E370" s="40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</row>
    <row r="371" spans="3:17" x14ac:dyDescent="0.35">
      <c r="C371" s="41"/>
      <c r="D371" s="41"/>
      <c r="E371" s="40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</row>
    <row r="372" spans="3:17" x14ac:dyDescent="0.35">
      <c r="C372" s="41"/>
      <c r="D372" s="41"/>
      <c r="E372" s="40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</row>
    <row r="373" spans="3:17" x14ac:dyDescent="0.35">
      <c r="C373" s="41"/>
      <c r="D373" s="41"/>
      <c r="E373" s="40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</row>
    <row r="374" spans="3:17" x14ac:dyDescent="0.35">
      <c r="C374" s="41"/>
      <c r="D374" s="41"/>
      <c r="E374" s="40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</row>
    <row r="375" spans="3:17" x14ac:dyDescent="0.35">
      <c r="C375" s="41"/>
      <c r="D375" s="41"/>
      <c r="E375" s="40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</row>
    <row r="376" spans="3:17" x14ac:dyDescent="0.35">
      <c r="C376" s="41"/>
      <c r="D376" s="41"/>
      <c r="E376" s="40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</row>
    <row r="377" spans="3:17" x14ac:dyDescent="0.35">
      <c r="C377" s="41"/>
      <c r="D377" s="41"/>
      <c r="E377" s="40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</row>
    <row r="378" spans="3:17" x14ac:dyDescent="0.35">
      <c r="C378" s="41"/>
      <c r="D378" s="41"/>
      <c r="E378" s="40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</row>
    <row r="379" spans="3:17" x14ac:dyDescent="0.35">
      <c r="C379" s="41"/>
      <c r="D379" s="41"/>
      <c r="E379" s="40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</row>
    <row r="380" spans="3:17" x14ac:dyDescent="0.35">
      <c r="C380" s="41"/>
      <c r="D380" s="41"/>
      <c r="E380" s="40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</row>
    <row r="381" spans="3:17" x14ac:dyDescent="0.35">
      <c r="C381" s="41"/>
      <c r="D381" s="41"/>
      <c r="E381" s="40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</row>
    <row r="382" spans="3:17" x14ac:dyDescent="0.35">
      <c r="C382" s="41"/>
      <c r="D382" s="41"/>
      <c r="E382" s="40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</row>
    <row r="383" spans="3:17" x14ac:dyDescent="0.35">
      <c r="C383" s="41"/>
      <c r="D383" s="41"/>
      <c r="E383" s="40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</row>
    <row r="384" spans="3:17" x14ac:dyDescent="0.35">
      <c r="C384" s="41"/>
      <c r="D384" s="41"/>
      <c r="E384" s="40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</row>
    <row r="385" spans="3:17" x14ac:dyDescent="0.35">
      <c r="C385" s="41"/>
      <c r="D385" s="41"/>
      <c r="E385" s="40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</row>
    <row r="386" spans="3:17" x14ac:dyDescent="0.35">
      <c r="C386" s="41"/>
      <c r="D386" s="41"/>
      <c r="E386" s="40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</row>
    <row r="387" spans="3:17" x14ac:dyDescent="0.35">
      <c r="C387" s="41"/>
      <c r="D387" s="41"/>
      <c r="E387" s="40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</row>
    <row r="388" spans="3:17" x14ac:dyDescent="0.35">
      <c r="C388" s="41"/>
      <c r="D388" s="41"/>
      <c r="E388" s="40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</row>
    <row r="389" spans="3:17" x14ac:dyDescent="0.35">
      <c r="C389" s="41"/>
      <c r="D389" s="41"/>
      <c r="E389" s="40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</row>
    <row r="390" spans="3:17" x14ac:dyDescent="0.35">
      <c r="C390" s="41"/>
      <c r="D390" s="41"/>
      <c r="E390" s="40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</row>
    <row r="391" spans="3:17" x14ac:dyDescent="0.35">
      <c r="C391" s="41"/>
      <c r="D391" s="41"/>
      <c r="E391" s="40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</row>
    <row r="392" spans="3:17" x14ac:dyDescent="0.35">
      <c r="C392" s="41"/>
      <c r="D392" s="41"/>
      <c r="E392" s="40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</row>
    <row r="393" spans="3:17" x14ac:dyDescent="0.35">
      <c r="C393" s="41"/>
      <c r="D393" s="41"/>
      <c r="E393" s="40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</row>
    <row r="394" spans="3:17" x14ac:dyDescent="0.35">
      <c r="C394" s="41"/>
      <c r="D394" s="41"/>
      <c r="E394" s="40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</row>
    <row r="395" spans="3:17" x14ac:dyDescent="0.35">
      <c r="C395" s="41"/>
      <c r="D395" s="41"/>
      <c r="E395" s="40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</row>
    <row r="396" spans="3:17" x14ac:dyDescent="0.35">
      <c r="C396" s="41"/>
      <c r="D396" s="41"/>
      <c r="E396" s="40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</row>
    <row r="397" spans="3:17" x14ac:dyDescent="0.35">
      <c r="C397" s="41"/>
      <c r="D397" s="41"/>
      <c r="E397" s="40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</row>
    <row r="398" spans="3:17" x14ac:dyDescent="0.35">
      <c r="C398" s="41"/>
      <c r="D398" s="41"/>
      <c r="E398" s="40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</row>
    <row r="399" spans="3:17" x14ac:dyDescent="0.35">
      <c r="C399" s="41"/>
      <c r="D399" s="41"/>
      <c r="E399" s="40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</row>
    <row r="400" spans="3:17" x14ac:dyDescent="0.35">
      <c r="C400" s="41"/>
      <c r="D400" s="41"/>
      <c r="E400" s="40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</row>
    <row r="401" spans="3:17" x14ac:dyDescent="0.35">
      <c r="C401" s="41"/>
      <c r="D401" s="41"/>
      <c r="E401" s="40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</row>
    <row r="402" spans="3:17" x14ac:dyDescent="0.35">
      <c r="C402" s="41"/>
      <c r="D402" s="41"/>
      <c r="E402" s="40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</row>
    <row r="403" spans="3:17" x14ac:dyDescent="0.35">
      <c r="C403" s="41"/>
      <c r="D403" s="41"/>
      <c r="E403" s="40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</row>
    <row r="404" spans="3:17" x14ac:dyDescent="0.35">
      <c r="C404" s="41"/>
      <c r="D404" s="41"/>
      <c r="E404" s="40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</row>
    <row r="405" spans="3:17" x14ac:dyDescent="0.35">
      <c r="C405" s="41"/>
      <c r="D405" s="41"/>
      <c r="E405" s="40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</row>
    <row r="406" spans="3:17" x14ac:dyDescent="0.35">
      <c r="C406" s="41"/>
      <c r="D406" s="41"/>
      <c r="E406" s="40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</row>
    <row r="407" spans="3:17" x14ac:dyDescent="0.35">
      <c r="C407" s="41"/>
      <c r="D407" s="41"/>
      <c r="E407" s="40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</row>
    <row r="408" spans="3:17" x14ac:dyDescent="0.35">
      <c r="C408" s="41"/>
      <c r="D408" s="41"/>
      <c r="E408" s="40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</row>
    <row r="409" spans="3:17" x14ac:dyDescent="0.35">
      <c r="C409" s="41"/>
      <c r="D409" s="41"/>
      <c r="E409" s="40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</row>
    <row r="410" spans="3:17" x14ac:dyDescent="0.35">
      <c r="C410" s="41"/>
      <c r="D410" s="41"/>
      <c r="E410" s="40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</row>
    <row r="411" spans="3:17" x14ac:dyDescent="0.35">
      <c r="C411" s="41"/>
      <c r="D411" s="41"/>
      <c r="E411" s="40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</row>
    <row r="412" spans="3:17" x14ac:dyDescent="0.35">
      <c r="C412" s="41"/>
      <c r="D412" s="41"/>
      <c r="E412" s="40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</row>
    <row r="413" spans="3:17" x14ac:dyDescent="0.35">
      <c r="C413" s="41"/>
      <c r="D413" s="41"/>
      <c r="E413" s="40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</row>
    <row r="414" spans="3:17" x14ac:dyDescent="0.35">
      <c r="C414" s="41"/>
      <c r="D414" s="41"/>
      <c r="E414" s="40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</row>
    <row r="415" spans="3:17" x14ac:dyDescent="0.35">
      <c r="C415" s="41"/>
      <c r="D415" s="41"/>
      <c r="E415" s="40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</row>
    <row r="416" spans="3:17" x14ac:dyDescent="0.35">
      <c r="C416" s="41"/>
      <c r="D416" s="41"/>
      <c r="E416" s="40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</row>
    <row r="417" spans="3:17" x14ac:dyDescent="0.35">
      <c r="C417" s="41"/>
      <c r="D417" s="41"/>
      <c r="E417" s="40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</row>
    <row r="418" spans="3:17" x14ac:dyDescent="0.35">
      <c r="C418" s="41"/>
      <c r="D418" s="41"/>
      <c r="E418" s="40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</row>
    <row r="419" spans="3:17" x14ac:dyDescent="0.35">
      <c r="C419" s="41"/>
      <c r="D419" s="41"/>
      <c r="E419" s="40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</row>
    <row r="420" spans="3:17" x14ac:dyDescent="0.35">
      <c r="C420" s="41"/>
      <c r="D420" s="41"/>
      <c r="E420" s="40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</row>
    <row r="421" spans="3:17" x14ac:dyDescent="0.35">
      <c r="C421" s="41"/>
      <c r="D421" s="41"/>
      <c r="E421" s="40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</row>
    <row r="422" spans="3:17" x14ac:dyDescent="0.35">
      <c r="C422" s="41"/>
      <c r="D422" s="41"/>
      <c r="E422" s="40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</row>
    <row r="423" spans="3:17" x14ac:dyDescent="0.35">
      <c r="C423" s="41"/>
      <c r="D423" s="41"/>
      <c r="E423" s="40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</row>
    <row r="424" spans="3:17" x14ac:dyDescent="0.35">
      <c r="C424" s="41"/>
      <c r="D424" s="41"/>
      <c r="E424" s="40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</row>
    <row r="425" spans="3:17" x14ac:dyDescent="0.35">
      <c r="C425" s="41"/>
      <c r="D425" s="41"/>
      <c r="E425" s="40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</row>
    <row r="426" spans="3:17" x14ac:dyDescent="0.35">
      <c r="C426" s="41"/>
      <c r="D426" s="41"/>
      <c r="E426" s="40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</row>
    <row r="427" spans="3:17" x14ac:dyDescent="0.35">
      <c r="C427" s="41"/>
      <c r="D427" s="41"/>
      <c r="E427" s="40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</row>
    <row r="428" spans="3:17" x14ac:dyDescent="0.35">
      <c r="C428" s="41"/>
      <c r="D428" s="41"/>
      <c r="E428" s="40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</row>
    <row r="429" spans="3:17" x14ac:dyDescent="0.35">
      <c r="C429" s="41"/>
      <c r="D429" s="41"/>
      <c r="E429" s="40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</row>
    <row r="430" spans="3:17" x14ac:dyDescent="0.35">
      <c r="C430" s="41"/>
      <c r="D430" s="41"/>
      <c r="E430" s="40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</row>
    <row r="431" spans="3:17" x14ac:dyDescent="0.35">
      <c r="C431" s="41"/>
      <c r="D431" s="41"/>
      <c r="E431" s="40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</row>
    <row r="432" spans="3:17" x14ac:dyDescent="0.35">
      <c r="C432" s="41"/>
      <c r="D432" s="41"/>
      <c r="E432" s="40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</row>
    <row r="433" spans="3:17" x14ac:dyDescent="0.35">
      <c r="C433" s="41"/>
      <c r="D433" s="41"/>
      <c r="E433" s="40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</row>
    <row r="434" spans="3:17" x14ac:dyDescent="0.35">
      <c r="C434" s="41"/>
      <c r="D434" s="41"/>
      <c r="E434" s="40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</row>
    <row r="435" spans="3:17" x14ac:dyDescent="0.35">
      <c r="C435" s="41"/>
      <c r="D435" s="41"/>
      <c r="E435" s="40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</row>
    <row r="436" spans="3:17" x14ac:dyDescent="0.35">
      <c r="C436" s="41"/>
      <c r="D436" s="41"/>
      <c r="E436" s="40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</row>
    <row r="437" spans="3:17" x14ac:dyDescent="0.35">
      <c r="C437" s="41"/>
      <c r="D437" s="41"/>
      <c r="E437" s="40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</row>
    <row r="438" spans="3:17" x14ac:dyDescent="0.35">
      <c r="C438" s="41"/>
      <c r="D438" s="41"/>
      <c r="E438" s="40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</row>
    <row r="439" spans="3:17" x14ac:dyDescent="0.35">
      <c r="C439" s="41"/>
      <c r="D439" s="41"/>
      <c r="E439" s="40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</row>
    <row r="440" spans="3:17" x14ac:dyDescent="0.35">
      <c r="C440" s="41"/>
      <c r="D440" s="41"/>
      <c r="E440" s="40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</row>
    <row r="441" spans="3:17" x14ac:dyDescent="0.35">
      <c r="C441" s="41"/>
      <c r="D441" s="41"/>
      <c r="E441" s="40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</row>
    <row r="442" spans="3:17" x14ac:dyDescent="0.35">
      <c r="C442" s="41"/>
      <c r="D442" s="41"/>
      <c r="E442" s="40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</row>
    <row r="443" spans="3:17" x14ac:dyDescent="0.35">
      <c r="C443" s="41"/>
      <c r="D443" s="41"/>
      <c r="E443" s="40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</row>
    <row r="444" spans="3:17" x14ac:dyDescent="0.35">
      <c r="C444" s="41"/>
      <c r="D444" s="41"/>
      <c r="E444" s="40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</row>
    <row r="445" spans="3:17" x14ac:dyDescent="0.35">
      <c r="C445" s="41"/>
      <c r="D445" s="41"/>
      <c r="E445" s="40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</row>
    <row r="446" spans="3:17" x14ac:dyDescent="0.35">
      <c r="C446" s="41"/>
      <c r="D446" s="41"/>
      <c r="E446" s="40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</row>
    <row r="447" spans="3:17" x14ac:dyDescent="0.35">
      <c r="C447" s="41"/>
      <c r="D447" s="41"/>
      <c r="E447" s="40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</row>
    <row r="448" spans="3:17" x14ac:dyDescent="0.35">
      <c r="C448" s="41"/>
      <c r="D448" s="41"/>
      <c r="E448" s="40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</row>
    <row r="449" spans="3:17" x14ac:dyDescent="0.35">
      <c r="C449" s="41"/>
      <c r="D449" s="41"/>
      <c r="E449" s="40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</row>
    <row r="450" spans="3:17" x14ac:dyDescent="0.35">
      <c r="C450" s="41"/>
      <c r="D450" s="41"/>
      <c r="E450" s="40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</row>
    <row r="451" spans="3:17" x14ac:dyDescent="0.35">
      <c r="C451" s="41"/>
      <c r="D451" s="41"/>
      <c r="E451" s="40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</row>
    <row r="452" spans="3:17" x14ac:dyDescent="0.35">
      <c r="C452" s="41"/>
      <c r="D452" s="41"/>
      <c r="E452" s="40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</row>
    <row r="453" spans="3:17" x14ac:dyDescent="0.35">
      <c r="C453" s="41"/>
      <c r="D453" s="41"/>
      <c r="E453" s="40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</row>
    <row r="454" spans="3:17" x14ac:dyDescent="0.35">
      <c r="C454" s="41"/>
      <c r="D454" s="41"/>
      <c r="E454" s="40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</row>
    <row r="455" spans="3:17" x14ac:dyDescent="0.35">
      <c r="C455" s="41"/>
      <c r="D455" s="41"/>
      <c r="E455" s="40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</row>
    <row r="456" spans="3:17" x14ac:dyDescent="0.35">
      <c r="C456" s="41"/>
      <c r="D456" s="41"/>
      <c r="E456" s="40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</row>
    <row r="457" spans="3:17" x14ac:dyDescent="0.35">
      <c r="C457" s="41"/>
      <c r="D457" s="41"/>
      <c r="E457" s="40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</row>
    <row r="458" spans="3:17" x14ac:dyDescent="0.35">
      <c r="C458" s="41"/>
      <c r="D458" s="41"/>
      <c r="E458" s="40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</row>
    <row r="459" spans="3:17" x14ac:dyDescent="0.35">
      <c r="C459" s="41"/>
      <c r="D459" s="41"/>
      <c r="E459" s="40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</row>
    <row r="460" spans="3:17" x14ac:dyDescent="0.35">
      <c r="C460" s="41"/>
      <c r="D460" s="41"/>
      <c r="E460" s="40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</row>
    <row r="461" spans="3:17" x14ac:dyDescent="0.35">
      <c r="C461" s="41"/>
      <c r="D461" s="41"/>
      <c r="E461" s="40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</row>
    <row r="462" spans="3:17" x14ac:dyDescent="0.35">
      <c r="C462" s="41"/>
      <c r="D462" s="41"/>
      <c r="E462" s="40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</row>
    <row r="463" spans="3:17" x14ac:dyDescent="0.35">
      <c r="C463" s="41"/>
      <c r="D463" s="41"/>
      <c r="E463" s="40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</row>
    <row r="464" spans="3:17" x14ac:dyDescent="0.35">
      <c r="C464" s="41"/>
      <c r="D464" s="41"/>
      <c r="E464" s="40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</row>
    <row r="465" spans="3:17" x14ac:dyDescent="0.35">
      <c r="C465" s="41"/>
      <c r="D465" s="41"/>
      <c r="E465" s="40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</row>
    <row r="466" spans="3:17" x14ac:dyDescent="0.35">
      <c r="C466" s="41"/>
      <c r="D466" s="41"/>
      <c r="E466" s="40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</row>
    <row r="467" spans="3:17" x14ac:dyDescent="0.35">
      <c r="C467" s="41"/>
      <c r="D467" s="41"/>
      <c r="E467" s="40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</row>
    <row r="468" spans="3:17" x14ac:dyDescent="0.35">
      <c r="C468" s="41"/>
      <c r="D468" s="41"/>
      <c r="E468" s="40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</row>
    <row r="469" spans="3:17" x14ac:dyDescent="0.35">
      <c r="C469" s="41"/>
      <c r="D469" s="41"/>
      <c r="E469" s="40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</row>
    <row r="470" spans="3:17" x14ac:dyDescent="0.35">
      <c r="C470" s="41"/>
      <c r="D470" s="41"/>
      <c r="E470" s="40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</row>
    <row r="471" spans="3:17" x14ac:dyDescent="0.35">
      <c r="C471" s="41"/>
      <c r="D471" s="41"/>
      <c r="E471" s="40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</row>
    <row r="472" spans="3:17" x14ac:dyDescent="0.35">
      <c r="C472" s="41"/>
      <c r="D472" s="41"/>
      <c r="E472" s="40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</row>
    <row r="473" spans="3:17" x14ac:dyDescent="0.35">
      <c r="C473" s="41"/>
      <c r="D473" s="41"/>
      <c r="E473" s="40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</row>
    <row r="474" spans="3:17" x14ac:dyDescent="0.35">
      <c r="C474" s="41"/>
      <c r="D474" s="41"/>
      <c r="E474" s="40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</row>
    <row r="475" spans="3:17" x14ac:dyDescent="0.35">
      <c r="C475" s="41"/>
      <c r="D475" s="41"/>
      <c r="E475" s="40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</row>
    <row r="476" spans="3:17" x14ac:dyDescent="0.35">
      <c r="C476" s="41"/>
      <c r="D476" s="41"/>
      <c r="E476" s="40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</row>
    <row r="477" spans="3:17" x14ac:dyDescent="0.35">
      <c r="C477" s="41"/>
      <c r="D477" s="41"/>
      <c r="E477" s="40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</row>
    <row r="478" spans="3:17" x14ac:dyDescent="0.35">
      <c r="C478" s="41"/>
      <c r="D478" s="41"/>
      <c r="E478" s="40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</row>
    <row r="479" spans="3:17" x14ac:dyDescent="0.35">
      <c r="C479" s="41"/>
      <c r="D479" s="41"/>
      <c r="E479" s="40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</row>
    <row r="480" spans="3:17" x14ac:dyDescent="0.35">
      <c r="C480" s="41"/>
      <c r="D480" s="41"/>
      <c r="E480" s="40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</row>
    <row r="481" spans="3:17" x14ac:dyDescent="0.35">
      <c r="C481" s="41"/>
      <c r="D481" s="41"/>
      <c r="E481" s="40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</row>
    <row r="482" spans="3:17" x14ac:dyDescent="0.35">
      <c r="C482" s="41"/>
      <c r="D482" s="41"/>
      <c r="E482" s="40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</row>
    <row r="483" spans="3:17" x14ac:dyDescent="0.35">
      <c r="C483" s="41"/>
      <c r="D483" s="41"/>
      <c r="E483" s="40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</row>
    <row r="484" spans="3:17" x14ac:dyDescent="0.35">
      <c r="C484" s="41"/>
      <c r="D484" s="41"/>
      <c r="E484" s="40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</row>
    <row r="485" spans="3:17" x14ac:dyDescent="0.35">
      <c r="C485" s="41"/>
      <c r="D485" s="41"/>
      <c r="E485" s="40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</row>
    <row r="486" spans="3:17" x14ac:dyDescent="0.35">
      <c r="C486" s="41"/>
      <c r="D486" s="41"/>
      <c r="E486" s="40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</row>
    <row r="487" spans="3:17" x14ac:dyDescent="0.35">
      <c r="C487" s="41"/>
      <c r="D487" s="41"/>
      <c r="E487" s="40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</row>
    <row r="488" spans="3:17" x14ac:dyDescent="0.35">
      <c r="C488" s="41"/>
      <c r="D488" s="41"/>
      <c r="E488" s="40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</row>
    <row r="489" spans="3:17" x14ac:dyDescent="0.35">
      <c r="C489" s="41"/>
      <c r="D489" s="41"/>
      <c r="E489" s="40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</row>
    <row r="490" spans="3:17" x14ac:dyDescent="0.35">
      <c r="C490" s="41"/>
      <c r="D490" s="41"/>
      <c r="E490" s="40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</row>
    <row r="491" spans="3:17" x14ac:dyDescent="0.35">
      <c r="C491" s="41"/>
      <c r="D491" s="41"/>
      <c r="E491" s="40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</row>
    <row r="492" spans="3:17" x14ac:dyDescent="0.35">
      <c r="C492" s="41"/>
      <c r="D492" s="41"/>
      <c r="E492" s="40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</row>
    <row r="493" spans="3:17" x14ac:dyDescent="0.35">
      <c r="C493" s="41"/>
      <c r="D493" s="41"/>
      <c r="E493" s="40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</row>
    <row r="494" spans="3:17" x14ac:dyDescent="0.35">
      <c r="C494" s="41"/>
      <c r="D494" s="41"/>
      <c r="E494" s="40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</row>
    <row r="495" spans="3:17" x14ac:dyDescent="0.35">
      <c r="C495" s="41"/>
      <c r="D495" s="41"/>
      <c r="E495" s="40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</row>
    <row r="496" spans="3:17" x14ac:dyDescent="0.35">
      <c r="C496" s="41"/>
      <c r="D496" s="41"/>
      <c r="E496" s="40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</row>
    <row r="497" spans="3:17" x14ac:dyDescent="0.35">
      <c r="C497" s="41"/>
      <c r="D497" s="41"/>
      <c r="E497" s="40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</row>
    <row r="498" spans="3:17" x14ac:dyDescent="0.35">
      <c r="C498" s="41"/>
      <c r="D498" s="41"/>
      <c r="E498" s="40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</row>
    <row r="499" spans="3:17" x14ac:dyDescent="0.35">
      <c r="C499" s="41"/>
      <c r="D499" s="41"/>
      <c r="E499" s="40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</row>
    <row r="500" spans="3:17" x14ac:dyDescent="0.35">
      <c r="C500" s="41"/>
      <c r="D500" s="41"/>
      <c r="E500" s="40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</row>
    <row r="501" spans="3:17" x14ac:dyDescent="0.35">
      <c r="C501" s="41"/>
      <c r="D501" s="41"/>
      <c r="E501" s="40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</row>
    <row r="502" spans="3:17" x14ac:dyDescent="0.35">
      <c r="C502" s="41"/>
      <c r="D502" s="41"/>
      <c r="E502" s="40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</row>
    <row r="503" spans="3:17" x14ac:dyDescent="0.35">
      <c r="C503" s="41"/>
      <c r="D503" s="41"/>
      <c r="E503" s="40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</row>
    <row r="504" spans="3:17" x14ac:dyDescent="0.35">
      <c r="C504" s="41"/>
      <c r="D504" s="41"/>
      <c r="E504" s="40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</row>
    <row r="505" spans="3:17" x14ac:dyDescent="0.35">
      <c r="C505" s="41"/>
      <c r="D505" s="41"/>
      <c r="E505" s="40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</row>
    <row r="506" spans="3:17" x14ac:dyDescent="0.35">
      <c r="C506" s="41"/>
      <c r="D506" s="41"/>
      <c r="E506" s="40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</row>
    <row r="507" spans="3:17" x14ac:dyDescent="0.35">
      <c r="C507" s="41"/>
      <c r="D507" s="41"/>
      <c r="E507" s="40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</row>
    <row r="508" spans="3:17" x14ac:dyDescent="0.35">
      <c r="C508" s="41"/>
      <c r="D508" s="41"/>
      <c r="E508" s="40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</row>
    <row r="509" spans="3:17" x14ac:dyDescent="0.35">
      <c r="C509" s="41"/>
      <c r="D509" s="41"/>
      <c r="E509" s="40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</row>
    <row r="510" spans="3:17" x14ac:dyDescent="0.35">
      <c r="C510" s="41"/>
      <c r="D510" s="41"/>
      <c r="E510" s="40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</row>
    <row r="511" spans="3:17" x14ac:dyDescent="0.35">
      <c r="C511" s="41"/>
      <c r="D511" s="41"/>
      <c r="E511" s="40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</row>
    <row r="512" spans="3:17" x14ac:dyDescent="0.35">
      <c r="C512" s="41"/>
      <c r="D512" s="41"/>
      <c r="E512" s="40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</row>
    <row r="513" spans="3:17" x14ac:dyDescent="0.35">
      <c r="C513" s="41"/>
      <c r="D513" s="41"/>
      <c r="E513" s="40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</row>
    <row r="514" spans="3:17" x14ac:dyDescent="0.35">
      <c r="C514" s="41"/>
      <c r="D514" s="41"/>
      <c r="E514" s="40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</row>
    <row r="515" spans="3:17" x14ac:dyDescent="0.35">
      <c r="C515" s="41"/>
      <c r="D515" s="41"/>
      <c r="E515" s="40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</row>
    <row r="516" spans="3:17" x14ac:dyDescent="0.35">
      <c r="C516" s="41"/>
      <c r="D516" s="41"/>
      <c r="E516" s="40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</row>
    <row r="517" spans="3:17" x14ac:dyDescent="0.35">
      <c r="C517" s="41"/>
      <c r="D517" s="41"/>
      <c r="E517" s="40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</row>
    <row r="518" spans="3:17" x14ac:dyDescent="0.35">
      <c r="C518" s="41"/>
      <c r="D518" s="41"/>
      <c r="E518" s="40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</row>
    <row r="519" spans="3:17" x14ac:dyDescent="0.35">
      <c r="C519" s="41"/>
      <c r="D519" s="41"/>
      <c r="E519" s="40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</row>
    <row r="520" spans="3:17" x14ac:dyDescent="0.35">
      <c r="C520" s="41"/>
      <c r="D520" s="41"/>
      <c r="E520" s="40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</row>
    <row r="521" spans="3:17" x14ac:dyDescent="0.35">
      <c r="C521" s="41"/>
      <c r="D521" s="41"/>
      <c r="E521" s="40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</row>
    <row r="522" spans="3:17" x14ac:dyDescent="0.35">
      <c r="C522" s="41"/>
      <c r="D522" s="41"/>
      <c r="E522" s="40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</row>
    <row r="523" spans="3:17" x14ac:dyDescent="0.35">
      <c r="C523" s="41"/>
      <c r="D523" s="41"/>
      <c r="E523" s="40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</row>
    <row r="524" spans="3:17" x14ac:dyDescent="0.35">
      <c r="C524" s="41"/>
      <c r="D524" s="41"/>
      <c r="E524" s="40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</row>
    <row r="525" spans="3:17" x14ac:dyDescent="0.35">
      <c r="C525" s="41"/>
      <c r="D525" s="41"/>
      <c r="E525" s="40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</row>
    <row r="526" spans="3:17" x14ac:dyDescent="0.35">
      <c r="C526" s="41"/>
      <c r="D526" s="41"/>
      <c r="E526" s="40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</row>
    <row r="527" spans="3:17" x14ac:dyDescent="0.35">
      <c r="C527" s="41"/>
      <c r="D527" s="41"/>
      <c r="E527" s="40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</row>
    <row r="528" spans="3:17" x14ac:dyDescent="0.35">
      <c r="C528" s="41"/>
      <c r="D528" s="41"/>
      <c r="E528" s="40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</row>
    <row r="529" spans="3:17" x14ac:dyDescent="0.35">
      <c r="C529" s="41"/>
      <c r="D529" s="41"/>
      <c r="E529" s="40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</row>
    <row r="530" spans="3:17" x14ac:dyDescent="0.35">
      <c r="C530" s="41"/>
      <c r="D530" s="41"/>
      <c r="E530" s="40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</row>
    <row r="531" spans="3:17" x14ac:dyDescent="0.35">
      <c r="C531" s="41"/>
      <c r="D531" s="41"/>
      <c r="E531" s="40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</row>
    <row r="532" spans="3:17" x14ac:dyDescent="0.35">
      <c r="C532" s="41"/>
      <c r="D532" s="41"/>
      <c r="E532" s="40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</row>
    <row r="533" spans="3:17" x14ac:dyDescent="0.35">
      <c r="C533" s="41"/>
      <c r="D533" s="41"/>
      <c r="E533" s="40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</row>
    <row r="534" spans="3:17" x14ac:dyDescent="0.35">
      <c r="C534" s="41"/>
      <c r="D534" s="41"/>
      <c r="E534" s="40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</row>
    <row r="535" spans="3:17" x14ac:dyDescent="0.35">
      <c r="C535" s="41"/>
      <c r="D535" s="41"/>
      <c r="E535" s="40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</row>
    <row r="536" spans="3:17" x14ac:dyDescent="0.35">
      <c r="C536" s="41"/>
      <c r="D536" s="41"/>
      <c r="E536" s="40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</row>
    <row r="537" spans="3:17" x14ac:dyDescent="0.35">
      <c r="C537" s="41"/>
      <c r="D537" s="41"/>
      <c r="E537" s="40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</row>
    <row r="538" spans="3:17" x14ac:dyDescent="0.35">
      <c r="C538" s="41"/>
      <c r="D538" s="41"/>
      <c r="E538" s="40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</row>
    <row r="539" spans="3:17" x14ac:dyDescent="0.35">
      <c r="C539" s="41"/>
      <c r="D539" s="41"/>
      <c r="E539" s="40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</row>
    <row r="540" spans="3:17" x14ac:dyDescent="0.35">
      <c r="C540" s="41"/>
      <c r="D540" s="41"/>
      <c r="E540" s="40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</row>
    <row r="541" spans="3:17" x14ac:dyDescent="0.35">
      <c r="C541" s="41"/>
      <c r="D541" s="41"/>
      <c r="E541" s="40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</row>
    <row r="542" spans="3:17" x14ac:dyDescent="0.35">
      <c r="C542" s="41"/>
      <c r="D542" s="41"/>
      <c r="E542" s="40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</row>
    <row r="543" spans="3:17" x14ac:dyDescent="0.35">
      <c r="C543" s="41"/>
      <c r="D543" s="41"/>
      <c r="E543" s="40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</row>
    <row r="544" spans="3:17" x14ac:dyDescent="0.35">
      <c r="C544" s="41"/>
      <c r="D544" s="41"/>
      <c r="E544" s="40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</row>
    <row r="545" spans="3:17" x14ac:dyDescent="0.35">
      <c r="C545" s="41"/>
      <c r="D545" s="41"/>
      <c r="E545" s="40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</row>
    <row r="546" spans="3:17" x14ac:dyDescent="0.35">
      <c r="C546" s="41"/>
      <c r="D546" s="41"/>
      <c r="E546" s="40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</row>
    <row r="547" spans="3:17" x14ac:dyDescent="0.35">
      <c r="C547" s="41"/>
      <c r="D547" s="41"/>
      <c r="E547" s="40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</row>
    <row r="548" spans="3:17" x14ac:dyDescent="0.35">
      <c r="C548" s="41"/>
      <c r="D548" s="41"/>
      <c r="E548" s="40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</row>
    <row r="549" spans="3:17" x14ac:dyDescent="0.35">
      <c r="C549" s="41"/>
      <c r="D549" s="41"/>
      <c r="E549" s="40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</row>
    <row r="550" spans="3:17" x14ac:dyDescent="0.35">
      <c r="C550" s="41"/>
      <c r="D550" s="41"/>
      <c r="E550" s="40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</row>
    <row r="551" spans="3:17" x14ac:dyDescent="0.35">
      <c r="C551" s="41"/>
      <c r="D551" s="41"/>
      <c r="E551" s="40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</row>
    <row r="552" spans="3:17" x14ac:dyDescent="0.35">
      <c r="C552" s="41"/>
      <c r="D552" s="41"/>
      <c r="E552" s="40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</row>
    <row r="553" spans="3:17" x14ac:dyDescent="0.35">
      <c r="C553" s="41"/>
      <c r="D553" s="41"/>
      <c r="E553" s="40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</row>
    <row r="554" spans="3:17" x14ac:dyDescent="0.35">
      <c r="C554" s="41"/>
      <c r="D554" s="41"/>
      <c r="E554" s="40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</row>
    <row r="555" spans="3:17" x14ac:dyDescent="0.35">
      <c r="C555" s="41"/>
      <c r="D555" s="41"/>
      <c r="E555" s="40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</row>
    <row r="556" spans="3:17" x14ac:dyDescent="0.35">
      <c r="C556" s="41"/>
      <c r="D556" s="41"/>
      <c r="E556" s="40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</row>
    <row r="557" spans="3:17" x14ac:dyDescent="0.35">
      <c r="C557" s="41"/>
      <c r="D557" s="41"/>
      <c r="E557" s="40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</row>
    <row r="558" spans="3:17" x14ac:dyDescent="0.35">
      <c r="C558" s="41"/>
      <c r="D558" s="41"/>
      <c r="E558" s="40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</row>
    <row r="559" spans="3:17" x14ac:dyDescent="0.35">
      <c r="C559" s="41"/>
      <c r="D559" s="41"/>
      <c r="E559" s="40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</row>
    <row r="560" spans="3:17" x14ac:dyDescent="0.35">
      <c r="C560" s="41"/>
      <c r="D560" s="41"/>
      <c r="E560" s="40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</row>
    <row r="561" spans="3:17" x14ac:dyDescent="0.35">
      <c r="C561" s="41"/>
      <c r="D561" s="41"/>
      <c r="E561" s="40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</row>
    <row r="562" spans="3:17" x14ac:dyDescent="0.35">
      <c r="C562" s="41"/>
      <c r="D562" s="41"/>
      <c r="E562" s="40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</row>
    <row r="563" spans="3:17" x14ac:dyDescent="0.35">
      <c r="C563" s="41"/>
      <c r="D563" s="41"/>
      <c r="E563" s="40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</row>
    <row r="564" spans="3:17" x14ac:dyDescent="0.35">
      <c r="C564" s="41"/>
      <c r="D564" s="41"/>
      <c r="E564" s="40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</row>
    <row r="565" spans="3:17" x14ac:dyDescent="0.35">
      <c r="C565" s="41"/>
      <c r="D565" s="41"/>
      <c r="E565" s="40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</row>
    <row r="566" spans="3:17" x14ac:dyDescent="0.35">
      <c r="C566" s="41"/>
      <c r="D566" s="41"/>
      <c r="E566" s="40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</row>
    <row r="567" spans="3:17" x14ac:dyDescent="0.35">
      <c r="C567" s="41"/>
      <c r="D567" s="41"/>
      <c r="E567" s="40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</row>
    <row r="568" spans="3:17" x14ac:dyDescent="0.35">
      <c r="C568" s="41"/>
      <c r="D568" s="41"/>
      <c r="E568" s="40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</row>
    <row r="569" spans="3:17" x14ac:dyDescent="0.35">
      <c r="C569" s="41"/>
      <c r="D569" s="41"/>
      <c r="E569" s="40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</row>
    <row r="570" spans="3:17" x14ac:dyDescent="0.35">
      <c r="C570" s="41"/>
      <c r="D570" s="41"/>
      <c r="E570" s="40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</row>
    <row r="571" spans="3:17" x14ac:dyDescent="0.35">
      <c r="C571" s="41"/>
      <c r="D571" s="41"/>
      <c r="E571" s="40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</row>
    <row r="572" spans="3:17" x14ac:dyDescent="0.35">
      <c r="C572" s="41"/>
      <c r="D572" s="41"/>
      <c r="E572" s="40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</row>
    <row r="573" spans="3:17" x14ac:dyDescent="0.35">
      <c r="C573" s="41"/>
      <c r="D573" s="41"/>
      <c r="E573" s="40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</row>
    <row r="574" spans="3:17" x14ac:dyDescent="0.35">
      <c r="C574" s="41"/>
      <c r="D574" s="41"/>
      <c r="E574" s="40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</row>
    <row r="575" spans="3:17" x14ac:dyDescent="0.35">
      <c r="C575" s="41"/>
      <c r="D575" s="41"/>
      <c r="E575" s="40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</row>
    <row r="576" spans="3:17" x14ac:dyDescent="0.35">
      <c r="C576" s="41"/>
      <c r="D576" s="41"/>
      <c r="E576" s="40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</row>
    <row r="577" spans="3:17" x14ac:dyDescent="0.35">
      <c r="C577" s="41"/>
      <c r="D577" s="41"/>
      <c r="E577" s="40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</row>
    <row r="578" spans="3:17" x14ac:dyDescent="0.35">
      <c r="C578" s="41"/>
      <c r="D578" s="41"/>
      <c r="E578" s="40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</row>
    <row r="579" spans="3:17" x14ac:dyDescent="0.35">
      <c r="C579" s="41"/>
      <c r="D579" s="41"/>
      <c r="E579" s="40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</row>
    <row r="580" spans="3:17" x14ac:dyDescent="0.35">
      <c r="C580" s="41"/>
      <c r="D580" s="41"/>
      <c r="E580" s="40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</row>
    <row r="581" spans="3:17" x14ac:dyDescent="0.35">
      <c r="C581" s="41"/>
      <c r="D581" s="41"/>
      <c r="E581" s="40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</row>
    <row r="582" spans="3:17" x14ac:dyDescent="0.35">
      <c r="C582" s="41"/>
      <c r="D582" s="41"/>
      <c r="E582" s="40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</row>
    <row r="583" spans="3:17" x14ac:dyDescent="0.35">
      <c r="C583" s="41"/>
      <c r="D583" s="41"/>
      <c r="E583" s="40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</row>
    <row r="584" spans="3:17" x14ac:dyDescent="0.35">
      <c r="C584" s="41"/>
      <c r="D584" s="41"/>
      <c r="E584" s="40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</row>
    <row r="585" spans="3:17" x14ac:dyDescent="0.35">
      <c r="C585" s="41"/>
      <c r="D585" s="41"/>
      <c r="E585" s="40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</row>
    <row r="586" spans="3:17" x14ac:dyDescent="0.35">
      <c r="C586" s="41"/>
      <c r="D586" s="41"/>
      <c r="E586" s="40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</row>
    <row r="587" spans="3:17" x14ac:dyDescent="0.35">
      <c r="C587" s="41"/>
      <c r="D587" s="41"/>
      <c r="E587" s="40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</row>
    <row r="588" spans="3:17" x14ac:dyDescent="0.35">
      <c r="C588" s="41"/>
      <c r="D588" s="41"/>
      <c r="E588" s="40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</row>
    <row r="589" spans="3:17" x14ac:dyDescent="0.35">
      <c r="C589" s="41"/>
      <c r="D589" s="41"/>
      <c r="E589" s="40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</row>
    <row r="590" spans="3:17" x14ac:dyDescent="0.35">
      <c r="C590" s="41"/>
      <c r="D590" s="41"/>
      <c r="E590" s="40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</row>
    <row r="591" spans="3:17" x14ac:dyDescent="0.35">
      <c r="C591" s="41"/>
      <c r="D591" s="41"/>
      <c r="E591" s="40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</row>
    <row r="592" spans="3:17" x14ac:dyDescent="0.35">
      <c r="C592" s="41"/>
      <c r="D592" s="41"/>
      <c r="E592" s="40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</row>
    <row r="593" spans="3:17" x14ac:dyDescent="0.35">
      <c r="C593" s="41"/>
      <c r="D593" s="41"/>
      <c r="E593" s="40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</row>
    <row r="594" spans="3:17" x14ac:dyDescent="0.35">
      <c r="C594" s="41"/>
      <c r="D594" s="41"/>
      <c r="E594" s="40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</row>
    <row r="595" spans="3:17" x14ac:dyDescent="0.35">
      <c r="C595" s="41"/>
      <c r="D595" s="41"/>
      <c r="E595" s="40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</row>
    <row r="596" spans="3:17" x14ac:dyDescent="0.35">
      <c r="C596" s="41"/>
      <c r="D596" s="41"/>
      <c r="E596" s="40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</row>
    <row r="597" spans="3:17" x14ac:dyDescent="0.35">
      <c r="C597" s="41"/>
      <c r="D597" s="41"/>
      <c r="E597" s="40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</row>
    <row r="598" spans="3:17" x14ac:dyDescent="0.35">
      <c r="C598" s="41"/>
      <c r="D598" s="41"/>
      <c r="E598" s="40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</row>
    <row r="599" spans="3:17" x14ac:dyDescent="0.35">
      <c r="C599" s="41"/>
      <c r="D599" s="41"/>
      <c r="E599" s="40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</row>
    <row r="600" spans="3:17" x14ac:dyDescent="0.35">
      <c r="C600" s="41"/>
      <c r="D600" s="41"/>
      <c r="E600" s="40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</row>
    <row r="601" spans="3:17" x14ac:dyDescent="0.35">
      <c r="C601" s="41"/>
      <c r="D601" s="41"/>
      <c r="E601" s="40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</row>
    <row r="602" spans="3:17" x14ac:dyDescent="0.35">
      <c r="C602" s="41"/>
      <c r="D602" s="41"/>
      <c r="E602" s="40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</row>
    <row r="603" spans="3:17" x14ac:dyDescent="0.35">
      <c r="C603" s="41"/>
      <c r="D603" s="41"/>
      <c r="E603" s="40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</row>
    <row r="604" spans="3:17" x14ac:dyDescent="0.35">
      <c r="C604" s="41"/>
      <c r="D604" s="41"/>
      <c r="E604" s="40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</row>
    <row r="605" spans="3:17" x14ac:dyDescent="0.35">
      <c r="C605" s="41"/>
      <c r="D605" s="41"/>
      <c r="E605" s="40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</row>
    <row r="606" spans="3:17" x14ac:dyDescent="0.35">
      <c r="C606" s="41"/>
      <c r="D606" s="41"/>
      <c r="E606" s="40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</row>
    <row r="607" spans="3:17" x14ac:dyDescent="0.35">
      <c r="C607" s="41"/>
      <c r="D607" s="41"/>
      <c r="E607" s="40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</row>
    <row r="608" spans="3:17" x14ac:dyDescent="0.35">
      <c r="C608" s="41"/>
      <c r="D608" s="41"/>
      <c r="E608" s="40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</row>
    <row r="609" spans="3:17" x14ac:dyDescent="0.35">
      <c r="C609" s="41"/>
      <c r="D609" s="41"/>
      <c r="E609" s="40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</row>
    <row r="610" spans="3:17" x14ac:dyDescent="0.35">
      <c r="C610" s="41"/>
      <c r="D610" s="41"/>
      <c r="E610" s="40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</row>
    <row r="611" spans="3:17" x14ac:dyDescent="0.35">
      <c r="C611" s="41"/>
      <c r="D611" s="41"/>
      <c r="E611" s="40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</row>
    <row r="612" spans="3:17" x14ac:dyDescent="0.35">
      <c r="C612" s="41"/>
      <c r="D612" s="41"/>
      <c r="E612" s="40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</row>
    <row r="613" spans="3:17" x14ac:dyDescent="0.35">
      <c r="C613" s="41"/>
      <c r="D613" s="41"/>
      <c r="E613" s="40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</row>
    <row r="614" spans="3:17" x14ac:dyDescent="0.35">
      <c r="C614" s="41"/>
      <c r="D614" s="41"/>
      <c r="E614" s="40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</row>
    <row r="615" spans="3:17" x14ac:dyDescent="0.35">
      <c r="C615" s="41"/>
      <c r="D615" s="41"/>
      <c r="E615" s="40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</row>
    <row r="616" spans="3:17" x14ac:dyDescent="0.35">
      <c r="C616" s="41"/>
      <c r="D616" s="41"/>
      <c r="E616" s="40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</row>
    <row r="617" spans="3:17" x14ac:dyDescent="0.35">
      <c r="C617" s="41"/>
      <c r="D617" s="41"/>
      <c r="E617" s="40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</row>
    <row r="618" spans="3:17" x14ac:dyDescent="0.35">
      <c r="C618" s="41"/>
      <c r="D618" s="41"/>
      <c r="E618" s="40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</row>
    <row r="619" spans="3:17" x14ac:dyDescent="0.35">
      <c r="C619" s="41"/>
      <c r="D619" s="41"/>
      <c r="E619" s="40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</row>
    <row r="620" spans="3:17" x14ac:dyDescent="0.35">
      <c r="C620" s="41"/>
      <c r="D620" s="41"/>
      <c r="E620" s="40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</row>
    <row r="621" spans="3:17" x14ac:dyDescent="0.35">
      <c r="C621" s="41"/>
      <c r="D621" s="41"/>
      <c r="E621" s="40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</row>
    <row r="622" spans="3:17" x14ac:dyDescent="0.35">
      <c r="C622" s="41"/>
      <c r="D622" s="41"/>
      <c r="E622" s="40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</row>
    <row r="623" spans="3:17" x14ac:dyDescent="0.35">
      <c r="C623" s="41"/>
      <c r="D623" s="41"/>
      <c r="E623" s="40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</row>
    <row r="624" spans="3:17" x14ac:dyDescent="0.35">
      <c r="C624" s="41"/>
      <c r="D624" s="41"/>
      <c r="E624" s="40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</row>
    <row r="625" spans="3:17" x14ac:dyDescent="0.35">
      <c r="C625" s="41"/>
      <c r="D625" s="41"/>
      <c r="E625" s="40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</row>
    <row r="626" spans="3:17" x14ac:dyDescent="0.35">
      <c r="C626" s="41"/>
      <c r="D626" s="41"/>
      <c r="E626" s="40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</row>
    <row r="627" spans="3:17" x14ac:dyDescent="0.35">
      <c r="C627" s="41"/>
      <c r="D627" s="41"/>
      <c r="E627" s="40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</row>
    <row r="628" spans="3:17" x14ac:dyDescent="0.35">
      <c r="C628" s="41"/>
      <c r="D628" s="41"/>
      <c r="E628" s="40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</row>
    <row r="629" spans="3:17" x14ac:dyDescent="0.35">
      <c r="C629" s="41"/>
      <c r="D629" s="41"/>
      <c r="E629" s="40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</row>
    <row r="630" spans="3:17" x14ac:dyDescent="0.35">
      <c r="C630" s="41"/>
      <c r="D630" s="41"/>
      <c r="E630" s="40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</row>
    <row r="631" spans="3:17" x14ac:dyDescent="0.35">
      <c r="C631" s="41"/>
      <c r="D631" s="41"/>
      <c r="E631" s="40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</row>
    <row r="632" spans="3:17" x14ac:dyDescent="0.35">
      <c r="C632" s="41"/>
      <c r="D632" s="41"/>
      <c r="E632" s="40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</row>
    <row r="633" spans="3:17" x14ac:dyDescent="0.35">
      <c r="C633" s="41"/>
      <c r="D633" s="41"/>
      <c r="E633" s="40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</row>
    <row r="634" spans="3:17" x14ac:dyDescent="0.35">
      <c r="C634" s="41"/>
      <c r="D634" s="41"/>
      <c r="E634" s="40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</row>
    <row r="635" spans="3:17" x14ac:dyDescent="0.35">
      <c r="C635" s="41"/>
      <c r="D635" s="41"/>
      <c r="E635" s="40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</row>
    <row r="636" spans="3:17" x14ac:dyDescent="0.35">
      <c r="C636" s="41"/>
      <c r="D636" s="41"/>
      <c r="E636" s="40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</row>
    <row r="637" spans="3:17" x14ac:dyDescent="0.35">
      <c r="C637" s="41"/>
      <c r="D637" s="41"/>
      <c r="E637" s="40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</row>
    <row r="638" spans="3:17" x14ac:dyDescent="0.35">
      <c r="C638" s="41"/>
      <c r="D638" s="41"/>
      <c r="E638" s="40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</row>
    <row r="639" spans="3:17" x14ac:dyDescent="0.35">
      <c r="C639" s="41"/>
      <c r="D639" s="41"/>
      <c r="E639" s="40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</row>
    <row r="640" spans="3:17" x14ac:dyDescent="0.35">
      <c r="C640" s="41"/>
      <c r="D640" s="41"/>
      <c r="E640" s="40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</row>
    <row r="641" spans="3:17" x14ac:dyDescent="0.35">
      <c r="C641" s="41"/>
      <c r="D641" s="41"/>
      <c r="E641" s="40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</row>
    <row r="642" spans="3:17" x14ac:dyDescent="0.35">
      <c r="C642" s="41"/>
      <c r="D642" s="41"/>
      <c r="E642" s="40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</row>
    <row r="643" spans="3:17" x14ac:dyDescent="0.35">
      <c r="C643" s="41"/>
      <c r="D643" s="41"/>
      <c r="E643" s="40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</row>
    <row r="644" spans="3:17" x14ac:dyDescent="0.35">
      <c r="C644" s="41"/>
      <c r="D644" s="41"/>
      <c r="E644" s="40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</row>
    <row r="645" spans="3:17" x14ac:dyDescent="0.35">
      <c r="C645" s="41"/>
      <c r="D645" s="41"/>
      <c r="E645" s="40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</row>
    <row r="646" spans="3:17" x14ac:dyDescent="0.35">
      <c r="C646" s="41"/>
      <c r="D646" s="41"/>
      <c r="E646" s="40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</row>
    <row r="647" spans="3:17" x14ac:dyDescent="0.35">
      <c r="C647" s="41"/>
      <c r="D647" s="41"/>
      <c r="E647" s="40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</row>
    <row r="648" spans="3:17" x14ac:dyDescent="0.35">
      <c r="C648" s="41"/>
      <c r="D648" s="41"/>
      <c r="E648" s="40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</row>
    <row r="649" spans="3:17" x14ac:dyDescent="0.35">
      <c r="C649" s="41"/>
      <c r="D649" s="41"/>
      <c r="E649" s="40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</row>
    <row r="650" spans="3:17" x14ac:dyDescent="0.35">
      <c r="C650" s="41"/>
      <c r="D650" s="41"/>
      <c r="E650" s="40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</row>
    <row r="651" spans="3:17" x14ac:dyDescent="0.35">
      <c r="C651" s="41"/>
      <c r="D651" s="41"/>
      <c r="E651" s="40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</row>
    <row r="652" spans="3:17" x14ac:dyDescent="0.35">
      <c r="C652" s="41"/>
      <c r="D652" s="41"/>
      <c r="E652" s="40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</row>
    <row r="653" spans="3:17" x14ac:dyDescent="0.35">
      <c r="C653" s="41"/>
      <c r="D653" s="41"/>
      <c r="E653" s="40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</row>
    <row r="654" spans="3:17" x14ac:dyDescent="0.35">
      <c r="C654" s="41"/>
      <c r="D654" s="41"/>
      <c r="E654" s="40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</row>
    <row r="655" spans="3:17" x14ac:dyDescent="0.35">
      <c r="C655" s="41"/>
      <c r="D655" s="41"/>
      <c r="E655" s="40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</row>
    <row r="656" spans="3:17" x14ac:dyDescent="0.35">
      <c r="C656" s="41"/>
      <c r="D656" s="41"/>
      <c r="E656" s="40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</row>
    <row r="657" spans="3:17" x14ac:dyDescent="0.35">
      <c r="C657" s="41"/>
      <c r="D657" s="41"/>
      <c r="E657" s="40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</row>
    <row r="658" spans="3:17" x14ac:dyDescent="0.35">
      <c r="C658" s="41"/>
      <c r="D658" s="41"/>
      <c r="E658" s="40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</row>
    <row r="659" spans="3:17" x14ac:dyDescent="0.35">
      <c r="C659" s="41"/>
      <c r="D659" s="41"/>
      <c r="E659" s="40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</row>
    <row r="660" spans="3:17" x14ac:dyDescent="0.35">
      <c r="C660" s="41"/>
      <c r="D660" s="41"/>
      <c r="E660" s="40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</row>
    <row r="661" spans="3:17" x14ac:dyDescent="0.35">
      <c r="C661" s="41"/>
      <c r="D661" s="41"/>
      <c r="E661" s="40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</row>
    <row r="662" spans="3:17" x14ac:dyDescent="0.35">
      <c r="C662" s="41"/>
      <c r="D662" s="41"/>
      <c r="E662" s="40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</row>
    <row r="663" spans="3:17" x14ac:dyDescent="0.35">
      <c r="C663" s="41"/>
      <c r="D663" s="41"/>
      <c r="E663" s="40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</row>
    <row r="664" spans="3:17" x14ac:dyDescent="0.35">
      <c r="C664" s="41"/>
      <c r="D664" s="41"/>
      <c r="E664" s="40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</row>
    <row r="665" spans="3:17" x14ac:dyDescent="0.35">
      <c r="C665" s="41"/>
      <c r="D665" s="41"/>
      <c r="E665" s="40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</row>
    <row r="666" spans="3:17" x14ac:dyDescent="0.35">
      <c r="C666" s="41"/>
      <c r="D666" s="41"/>
      <c r="E666" s="40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</row>
    <row r="667" spans="3:17" x14ac:dyDescent="0.35">
      <c r="C667" s="41"/>
      <c r="D667" s="41"/>
      <c r="E667" s="40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</row>
    <row r="668" spans="3:17" x14ac:dyDescent="0.35">
      <c r="C668" s="41"/>
      <c r="D668" s="41"/>
      <c r="E668" s="40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</row>
    <row r="669" spans="3:17" x14ac:dyDescent="0.35">
      <c r="C669" s="41"/>
      <c r="D669" s="41"/>
      <c r="E669" s="40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</row>
    <row r="670" spans="3:17" x14ac:dyDescent="0.35">
      <c r="C670" s="41"/>
      <c r="D670" s="41"/>
      <c r="E670" s="40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</row>
    <row r="671" spans="3:17" x14ac:dyDescent="0.35">
      <c r="C671" s="41"/>
      <c r="D671" s="41"/>
      <c r="E671" s="40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</row>
    <row r="672" spans="3:17" x14ac:dyDescent="0.35">
      <c r="C672" s="41"/>
      <c r="D672" s="41"/>
      <c r="E672" s="40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</row>
    <row r="673" spans="3:17" x14ac:dyDescent="0.35">
      <c r="C673" s="41"/>
      <c r="D673" s="41"/>
      <c r="E673" s="40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</row>
    <row r="674" spans="3:17" x14ac:dyDescent="0.35">
      <c r="C674" s="41"/>
      <c r="D674" s="41"/>
      <c r="E674" s="40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</row>
    <row r="675" spans="3:17" x14ac:dyDescent="0.35">
      <c r="C675" s="41"/>
      <c r="D675" s="41"/>
      <c r="E675" s="40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</row>
    <row r="676" spans="3:17" x14ac:dyDescent="0.35">
      <c r="C676" s="41"/>
      <c r="D676" s="41"/>
      <c r="E676" s="40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</row>
    <row r="677" spans="3:17" x14ac:dyDescent="0.35">
      <c r="C677" s="41"/>
      <c r="D677" s="41"/>
      <c r="E677" s="40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</row>
    <row r="678" spans="3:17" x14ac:dyDescent="0.35">
      <c r="C678" s="41"/>
      <c r="D678" s="41"/>
      <c r="E678" s="40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</row>
    <row r="679" spans="3:17" x14ac:dyDescent="0.35">
      <c r="C679" s="41"/>
      <c r="D679" s="41"/>
      <c r="E679" s="40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</row>
    <row r="680" spans="3:17" x14ac:dyDescent="0.35">
      <c r="C680" s="41"/>
      <c r="D680" s="41"/>
      <c r="E680" s="40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</row>
    <row r="681" spans="3:17" x14ac:dyDescent="0.35">
      <c r="C681" s="41"/>
      <c r="D681" s="41"/>
      <c r="E681" s="40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</row>
    <row r="682" spans="3:17" x14ac:dyDescent="0.35">
      <c r="C682" s="41"/>
      <c r="D682" s="41"/>
      <c r="E682" s="40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</row>
    <row r="683" spans="3:17" x14ac:dyDescent="0.35">
      <c r="C683" s="41"/>
      <c r="D683" s="41"/>
      <c r="E683" s="40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</row>
    <row r="684" spans="3:17" x14ac:dyDescent="0.35">
      <c r="C684" s="41"/>
      <c r="D684" s="41"/>
      <c r="E684" s="40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</row>
    <row r="685" spans="3:17" x14ac:dyDescent="0.35">
      <c r="C685" s="41"/>
      <c r="D685" s="41"/>
      <c r="E685" s="40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</row>
    <row r="686" spans="3:17" x14ac:dyDescent="0.35">
      <c r="C686" s="41"/>
      <c r="D686" s="41"/>
      <c r="E686" s="40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</row>
    <row r="687" spans="3:17" x14ac:dyDescent="0.35">
      <c r="C687" s="41"/>
      <c r="D687" s="41"/>
      <c r="E687" s="40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</row>
    <row r="688" spans="3:17" x14ac:dyDescent="0.35">
      <c r="C688" s="41"/>
      <c r="D688" s="41"/>
      <c r="E688" s="40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</row>
    <row r="689" spans="3:17" x14ac:dyDescent="0.35">
      <c r="C689" s="41"/>
      <c r="D689" s="41"/>
      <c r="E689" s="40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</row>
    <row r="690" spans="3:17" x14ac:dyDescent="0.35">
      <c r="C690" s="41"/>
      <c r="D690" s="41"/>
      <c r="E690" s="40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</row>
    <row r="691" spans="3:17" x14ac:dyDescent="0.35">
      <c r="C691" s="41"/>
      <c r="D691" s="41"/>
      <c r="E691" s="40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</row>
    <row r="692" spans="3:17" x14ac:dyDescent="0.35">
      <c r="C692" s="41"/>
      <c r="D692" s="41"/>
      <c r="E692" s="40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</row>
    <row r="693" spans="3:17" x14ac:dyDescent="0.35">
      <c r="C693" s="41"/>
      <c r="D693" s="41"/>
      <c r="E693" s="40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</row>
    <row r="694" spans="3:17" x14ac:dyDescent="0.35">
      <c r="C694" s="41"/>
      <c r="D694" s="41"/>
      <c r="E694" s="40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</row>
    <row r="695" spans="3:17" x14ac:dyDescent="0.35">
      <c r="C695" s="41"/>
      <c r="D695" s="41"/>
      <c r="E695" s="40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</row>
    <row r="696" spans="3:17" x14ac:dyDescent="0.35">
      <c r="C696" s="41"/>
      <c r="D696" s="41"/>
      <c r="E696" s="40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</row>
    <row r="697" spans="3:17" x14ac:dyDescent="0.35">
      <c r="C697" s="41"/>
      <c r="D697" s="41"/>
      <c r="E697" s="40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</row>
    <row r="698" spans="3:17" x14ac:dyDescent="0.35">
      <c r="C698" s="41"/>
      <c r="D698" s="41"/>
      <c r="E698" s="40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</row>
    <row r="699" spans="3:17" x14ac:dyDescent="0.35">
      <c r="C699" s="41"/>
      <c r="D699" s="41"/>
      <c r="E699" s="40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</row>
    <row r="700" spans="3:17" x14ac:dyDescent="0.35">
      <c r="C700" s="41"/>
      <c r="D700" s="41"/>
      <c r="E700" s="40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</row>
    <row r="701" spans="3:17" x14ac:dyDescent="0.35">
      <c r="C701" s="41"/>
      <c r="D701" s="41"/>
      <c r="E701" s="40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</row>
    <row r="702" spans="3:17" x14ac:dyDescent="0.35">
      <c r="C702" s="41"/>
      <c r="D702" s="41"/>
      <c r="E702" s="40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</row>
    <row r="703" spans="3:17" x14ac:dyDescent="0.35">
      <c r="C703" s="41"/>
      <c r="D703" s="41"/>
      <c r="E703" s="40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</row>
    <row r="704" spans="3:17" x14ac:dyDescent="0.35">
      <c r="C704" s="41"/>
      <c r="D704" s="41"/>
      <c r="E704" s="40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</row>
    <row r="705" spans="3:17" x14ac:dyDescent="0.35">
      <c r="C705" s="41"/>
      <c r="D705" s="41"/>
      <c r="E705" s="40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</row>
    <row r="706" spans="3:17" x14ac:dyDescent="0.35">
      <c r="C706" s="41"/>
      <c r="D706" s="41"/>
      <c r="E706" s="40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</row>
    <row r="707" spans="3:17" x14ac:dyDescent="0.35">
      <c r="C707" s="41"/>
      <c r="D707" s="41"/>
      <c r="E707" s="40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</row>
    <row r="708" spans="3:17" x14ac:dyDescent="0.35">
      <c r="C708" s="41"/>
      <c r="D708" s="41"/>
      <c r="E708" s="40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</row>
    <row r="709" spans="3:17" x14ac:dyDescent="0.35">
      <c r="C709" s="41"/>
      <c r="D709" s="41"/>
      <c r="E709" s="40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</row>
    <row r="710" spans="3:17" x14ac:dyDescent="0.35">
      <c r="C710" s="41"/>
      <c r="D710" s="41"/>
      <c r="E710" s="40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</row>
    <row r="711" spans="3:17" x14ac:dyDescent="0.35">
      <c r="C711" s="41"/>
      <c r="D711" s="41"/>
      <c r="E711" s="40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</row>
    <row r="712" spans="3:17" x14ac:dyDescent="0.35">
      <c r="C712" s="41"/>
      <c r="D712" s="41"/>
      <c r="E712" s="40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</row>
    <row r="713" spans="3:17" x14ac:dyDescent="0.35">
      <c r="C713" s="41"/>
      <c r="D713" s="41"/>
      <c r="E713" s="40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</row>
    <row r="714" spans="3:17" x14ac:dyDescent="0.35">
      <c r="C714" s="41"/>
      <c r="D714" s="41"/>
      <c r="E714" s="40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</row>
    <row r="715" spans="3:17" x14ac:dyDescent="0.35">
      <c r="C715" s="41"/>
      <c r="D715" s="41"/>
      <c r="E715" s="40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</row>
    <row r="716" spans="3:17" x14ac:dyDescent="0.35">
      <c r="C716" s="41"/>
      <c r="D716" s="41"/>
      <c r="E716" s="40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</row>
    <row r="717" spans="3:17" x14ac:dyDescent="0.35">
      <c r="C717" s="41"/>
      <c r="D717" s="41"/>
      <c r="E717" s="40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</row>
    <row r="718" spans="3:17" x14ac:dyDescent="0.35">
      <c r="C718" s="41"/>
      <c r="D718" s="41"/>
      <c r="E718" s="40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</row>
    <row r="719" spans="3:17" x14ac:dyDescent="0.35">
      <c r="C719" s="41"/>
      <c r="D719" s="41"/>
      <c r="E719" s="40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</row>
    <row r="720" spans="3:17" x14ac:dyDescent="0.35">
      <c r="C720" s="41"/>
      <c r="D720" s="41"/>
      <c r="E720" s="40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</row>
    <row r="721" spans="3:17" x14ac:dyDescent="0.35">
      <c r="C721" s="41"/>
      <c r="D721" s="41"/>
      <c r="E721" s="40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</row>
    <row r="722" spans="3:17" x14ac:dyDescent="0.35">
      <c r="C722" s="41"/>
      <c r="D722" s="41"/>
      <c r="E722" s="40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</row>
    <row r="723" spans="3:17" x14ac:dyDescent="0.35">
      <c r="C723" s="41"/>
      <c r="D723" s="41"/>
      <c r="E723" s="40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</row>
    <row r="724" spans="3:17" x14ac:dyDescent="0.35">
      <c r="C724" s="41"/>
      <c r="D724" s="41"/>
      <c r="E724" s="40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</row>
    <row r="725" spans="3:17" x14ac:dyDescent="0.35">
      <c r="C725" s="41"/>
      <c r="D725" s="41"/>
      <c r="E725" s="40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</row>
    <row r="726" spans="3:17" x14ac:dyDescent="0.35">
      <c r="C726" s="41"/>
      <c r="D726" s="41"/>
      <c r="E726" s="40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</row>
    <row r="727" spans="3:17" x14ac:dyDescent="0.35">
      <c r="C727" s="41"/>
      <c r="D727" s="41"/>
      <c r="E727" s="40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</row>
    <row r="728" spans="3:17" x14ac:dyDescent="0.35">
      <c r="C728" s="41"/>
      <c r="D728" s="41"/>
      <c r="E728" s="40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</row>
    <row r="729" spans="3:17" x14ac:dyDescent="0.35">
      <c r="C729" s="41"/>
      <c r="D729" s="41"/>
      <c r="E729" s="40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</row>
    <row r="730" spans="3:17" x14ac:dyDescent="0.35">
      <c r="C730" s="41"/>
      <c r="D730" s="41"/>
      <c r="E730" s="40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</row>
    <row r="731" spans="3:17" x14ac:dyDescent="0.35">
      <c r="C731" s="41"/>
      <c r="D731" s="41"/>
      <c r="E731" s="40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</row>
    <row r="732" spans="3:17" x14ac:dyDescent="0.35">
      <c r="C732" s="41"/>
      <c r="D732" s="41"/>
      <c r="E732" s="40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</row>
    <row r="733" spans="3:17" x14ac:dyDescent="0.35">
      <c r="C733" s="41"/>
      <c r="D733" s="41"/>
      <c r="E733" s="40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</row>
    <row r="734" spans="3:17" x14ac:dyDescent="0.35">
      <c r="C734" s="41"/>
      <c r="D734" s="41"/>
      <c r="E734" s="40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</row>
    <row r="735" spans="3:17" x14ac:dyDescent="0.35">
      <c r="C735" s="41"/>
      <c r="D735" s="41"/>
      <c r="E735" s="40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</row>
    <row r="736" spans="3:17" x14ac:dyDescent="0.35">
      <c r="C736" s="41"/>
      <c r="D736" s="41"/>
      <c r="E736" s="40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</row>
    <row r="737" spans="3:17" x14ac:dyDescent="0.35">
      <c r="C737" s="41"/>
      <c r="D737" s="41"/>
      <c r="E737" s="40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</row>
    <row r="738" spans="3:17" x14ac:dyDescent="0.35">
      <c r="C738" s="41"/>
      <c r="D738" s="41"/>
      <c r="E738" s="40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</row>
    <row r="739" spans="3:17" x14ac:dyDescent="0.35">
      <c r="C739" s="41"/>
      <c r="D739" s="41"/>
      <c r="E739" s="40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</row>
    <row r="740" spans="3:17" x14ac:dyDescent="0.35">
      <c r="C740" s="41"/>
      <c r="D740" s="41"/>
      <c r="E740" s="40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</row>
    <row r="741" spans="3:17" x14ac:dyDescent="0.35">
      <c r="C741" s="41"/>
      <c r="D741" s="41"/>
      <c r="E741" s="40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</row>
    <row r="742" spans="3:17" x14ac:dyDescent="0.35">
      <c r="C742" s="41"/>
      <c r="D742" s="41"/>
      <c r="E742" s="40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</row>
    <row r="743" spans="3:17" x14ac:dyDescent="0.35">
      <c r="C743" s="41"/>
      <c r="D743" s="41"/>
      <c r="E743" s="40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</row>
    <row r="744" spans="3:17" x14ac:dyDescent="0.35">
      <c r="C744" s="41"/>
      <c r="D744" s="41"/>
      <c r="E744" s="40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</row>
    <row r="745" spans="3:17" x14ac:dyDescent="0.35">
      <c r="C745" s="41"/>
      <c r="D745" s="41"/>
      <c r="E745" s="40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</row>
    <row r="746" spans="3:17" x14ac:dyDescent="0.35">
      <c r="C746" s="41"/>
      <c r="D746" s="41"/>
      <c r="E746" s="40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</row>
    <row r="747" spans="3:17" x14ac:dyDescent="0.35">
      <c r="C747" s="41"/>
      <c r="D747" s="41"/>
      <c r="E747" s="40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</row>
    <row r="748" spans="3:17" x14ac:dyDescent="0.35">
      <c r="C748" s="41"/>
      <c r="D748" s="41"/>
      <c r="E748" s="40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</row>
    <row r="749" spans="3:17" x14ac:dyDescent="0.35">
      <c r="C749" s="41"/>
      <c r="D749" s="41"/>
      <c r="E749" s="40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</row>
    <row r="750" spans="3:17" x14ac:dyDescent="0.35">
      <c r="C750" s="41"/>
      <c r="D750" s="41"/>
      <c r="E750" s="40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</row>
    <row r="751" spans="3:17" x14ac:dyDescent="0.35">
      <c r="C751" s="41"/>
      <c r="D751" s="41"/>
      <c r="E751" s="40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</row>
    <row r="752" spans="3:17" x14ac:dyDescent="0.35">
      <c r="C752" s="41"/>
      <c r="D752" s="41"/>
      <c r="E752" s="40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</row>
    <row r="753" spans="3:17" x14ac:dyDescent="0.35">
      <c r="C753" s="41"/>
      <c r="D753" s="41"/>
      <c r="E753" s="40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</row>
    <row r="754" spans="3:17" x14ac:dyDescent="0.35">
      <c r="C754" s="41"/>
      <c r="D754" s="41"/>
      <c r="E754" s="40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</row>
    <row r="755" spans="3:17" x14ac:dyDescent="0.35">
      <c r="C755" s="41"/>
      <c r="D755" s="41"/>
      <c r="E755" s="40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</row>
    <row r="756" spans="3:17" x14ac:dyDescent="0.35">
      <c r="C756" s="41"/>
      <c r="D756" s="41"/>
      <c r="E756" s="40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</row>
    <row r="757" spans="3:17" x14ac:dyDescent="0.35">
      <c r="C757" s="41"/>
      <c r="D757" s="41"/>
      <c r="E757" s="40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</row>
    <row r="758" spans="3:17" x14ac:dyDescent="0.35">
      <c r="C758" s="41"/>
      <c r="D758" s="41"/>
      <c r="E758" s="40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</row>
    <row r="759" spans="3:17" x14ac:dyDescent="0.35">
      <c r="C759" s="41"/>
      <c r="D759" s="41"/>
      <c r="E759" s="40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</row>
    <row r="760" spans="3:17" x14ac:dyDescent="0.35">
      <c r="C760" s="41"/>
      <c r="D760" s="41"/>
      <c r="E760" s="40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</row>
    <row r="761" spans="3:17" x14ac:dyDescent="0.35">
      <c r="C761" s="41"/>
      <c r="D761" s="41"/>
      <c r="E761" s="40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</row>
    <row r="762" spans="3:17" x14ac:dyDescent="0.35">
      <c r="C762" s="41"/>
      <c r="D762" s="41"/>
      <c r="E762" s="40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</row>
    <row r="763" spans="3:17" x14ac:dyDescent="0.35">
      <c r="C763" s="41"/>
      <c r="D763" s="41"/>
      <c r="E763" s="40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</row>
    <row r="764" spans="3:17" x14ac:dyDescent="0.35">
      <c r="C764" s="41"/>
      <c r="D764" s="41"/>
      <c r="E764" s="40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</row>
    <row r="765" spans="3:17" x14ac:dyDescent="0.35">
      <c r="C765" s="41"/>
      <c r="D765" s="41"/>
      <c r="E765" s="40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</row>
    <row r="766" spans="3:17" x14ac:dyDescent="0.35">
      <c r="C766" s="41"/>
      <c r="D766" s="41"/>
      <c r="E766" s="40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</row>
    <row r="767" spans="3:17" x14ac:dyDescent="0.35">
      <c r="C767" s="41"/>
      <c r="D767" s="41"/>
      <c r="E767" s="40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</row>
    <row r="768" spans="3:17" x14ac:dyDescent="0.35">
      <c r="C768" s="41"/>
      <c r="D768" s="41"/>
      <c r="E768" s="40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</row>
    <row r="769" spans="3:17" x14ac:dyDescent="0.35">
      <c r="C769" s="41"/>
      <c r="D769" s="41"/>
      <c r="E769" s="40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</row>
    <row r="770" spans="3:17" x14ac:dyDescent="0.35">
      <c r="C770" s="41"/>
      <c r="D770" s="41"/>
      <c r="E770" s="40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</row>
    <row r="771" spans="3:17" x14ac:dyDescent="0.35">
      <c r="C771" s="41"/>
      <c r="D771" s="41"/>
      <c r="E771" s="40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</row>
    <row r="772" spans="3:17" x14ac:dyDescent="0.35">
      <c r="C772" s="41"/>
      <c r="D772" s="41"/>
      <c r="E772" s="40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</row>
    <row r="773" spans="3:17" x14ac:dyDescent="0.35">
      <c r="C773" s="41"/>
      <c r="D773" s="41"/>
      <c r="E773" s="40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</row>
    <row r="774" spans="3:17" x14ac:dyDescent="0.35">
      <c r="C774" s="41"/>
      <c r="D774" s="41"/>
      <c r="E774" s="40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</row>
    <row r="775" spans="3:17" x14ac:dyDescent="0.35">
      <c r="C775" s="41"/>
      <c r="D775" s="41"/>
      <c r="E775" s="40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</row>
    <row r="776" spans="3:17" x14ac:dyDescent="0.35">
      <c r="C776" s="41"/>
      <c r="D776" s="41"/>
      <c r="E776" s="40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</row>
    <row r="777" spans="3:17" x14ac:dyDescent="0.35">
      <c r="C777" s="41"/>
      <c r="D777" s="41"/>
      <c r="E777" s="40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</row>
    <row r="778" spans="3:17" x14ac:dyDescent="0.35">
      <c r="C778" s="41"/>
      <c r="D778" s="41"/>
      <c r="E778" s="40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</row>
    <row r="779" spans="3:17" x14ac:dyDescent="0.35">
      <c r="C779" s="41"/>
      <c r="D779" s="41"/>
      <c r="E779" s="40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</row>
    <row r="780" spans="3:17" x14ac:dyDescent="0.35">
      <c r="C780" s="41"/>
      <c r="D780" s="41"/>
      <c r="E780" s="40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</row>
    <row r="781" spans="3:17" x14ac:dyDescent="0.35">
      <c r="C781" s="41"/>
      <c r="D781" s="41"/>
      <c r="E781" s="40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</row>
    <row r="782" spans="3:17" x14ac:dyDescent="0.35">
      <c r="C782" s="41"/>
      <c r="D782" s="41"/>
      <c r="E782" s="40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</row>
    <row r="783" spans="3:17" x14ac:dyDescent="0.35">
      <c r="C783" s="41"/>
      <c r="D783" s="41"/>
      <c r="E783" s="40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</row>
    <row r="784" spans="3:17" x14ac:dyDescent="0.35">
      <c r="C784" s="41"/>
      <c r="D784" s="41"/>
      <c r="E784" s="40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</row>
    <row r="785" spans="3:17" x14ac:dyDescent="0.35">
      <c r="C785" s="41"/>
      <c r="D785" s="41"/>
      <c r="E785" s="40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</row>
    <row r="786" spans="3:17" x14ac:dyDescent="0.35">
      <c r="C786" s="41"/>
      <c r="D786" s="41"/>
      <c r="E786" s="40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</row>
    <row r="787" spans="3:17" x14ac:dyDescent="0.35">
      <c r="C787" s="41"/>
      <c r="D787" s="41"/>
      <c r="E787" s="40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</row>
    <row r="788" spans="3:17" x14ac:dyDescent="0.35">
      <c r="C788" s="41"/>
      <c r="D788" s="41"/>
      <c r="E788" s="40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</row>
    <row r="789" spans="3:17" x14ac:dyDescent="0.35">
      <c r="C789" s="41"/>
      <c r="D789" s="41"/>
      <c r="E789" s="40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</row>
    <row r="790" spans="3:17" x14ac:dyDescent="0.35">
      <c r="C790" s="41"/>
      <c r="D790" s="41"/>
      <c r="E790" s="40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</row>
    <row r="791" spans="3:17" x14ac:dyDescent="0.35">
      <c r="C791" s="41"/>
      <c r="D791" s="41"/>
      <c r="E791" s="40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</row>
    <row r="792" spans="3:17" x14ac:dyDescent="0.35">
      <c r="C792" s="41"/>
      <c r="D792" s="41"/>
      <c r="E792" s="40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</row>
    <row r="793" spans="3:17" x14ac:dyDescent="0.35">
      <c r="C793" s="41"/>
      <c r="D793" s="41"/>
      <c r="E793" s="40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</row>
    <row r="794" spans="3:17" x14ac:dyDescent="0.35">
      <c r="C794" s="41"/>
      <c r="D794" s="41"/>
      <c r="E794" s="40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</row>
    <row r="795" spans="3:17" x14ac:dyDescent="0.35">
      <c r="C795" s="41"/>
      <c r="D795" s="41"/>
      <c r="E795" s="40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</row>
    <row r="796" spans="3:17" x14ac:dyDescent="0.35">
      <c r="C796" s="41"/>
      <c r="D796" s="41"/>
      <c r="E796" s="40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</row>
    <row r="797" spans="3:17" x14ac:dyDescent="0.35">
      <c r="C797" s="41"/>
      <c r="D797" s="41"/>
      <c r="E797" s="40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</row>
    <row r="798" spans="3:17" x14ac:dyDescent="0.35">
      <c r="C798" s="41"/>
      <c r="D798" s="41"/>
      <c r="E798" s="40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</row>
    <row r="799" spans="3:17" x14ac:dyDescent="0.35">
      <c r="C799" s="41"/>
      <c r="D799" s="41"/>
      <c r="E799" s="40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</row>
    <row r="800" spans="3:17" x14ac:dyDescent="0.35">
      <c r="C800" s="41"/>
      <c r="D800" s="41"/>
      <c r="E800" s="40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</row>
    <row r="801" spans="3:17" x14ac:dyDescent="0.35">
      <c r="C801" s="41"/>
      <c r="D801" s="41"/>
      <c r="E801" s="40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</row>
    <row r="802" spans="3:17" x14ac:dyDescent="0.35">
      <c r="C802" s="41"/>
      <c r="D802" s="41"/>
      <c r="E802" s="40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</row>
    <row r="803" spans="3:17" x14ac:dyDescent="0.35">
      <c r="C803" s="41"/>
      <c r="D803" s="41"/>
      <c r="E803" s="40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</row>
    <row r="804" spans="3:17" x14ac:dyDescent="0.35">
      <c r="C804" s="41"/>
      <c r="D804" s="41"/>
      <c r="E804" s="40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</row>
    <row r="805" spans="3:17" x14ac:dyDescent="0.35">
      <c r="C805" s="41"/>
      <c r="D805" s="41"/>
      <c r="E805" s="40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</row>
    <row r="806" spans="3:17" x14ac:dyDescent="0.35">
      <c r="C806" s="41"/>
      <c r="D806" s="41"/>
      <c r="E806" s="40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</row>
    <row r="807" spans="3:17" x14ac:dyDescent="0.35">
      <c r="C807" s="41"/>
      <c r="D807" s="41"/>
      <c r="E807" s="40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</row>
    <row r="808" spans="3:17" x14ac:dyDescent="0.35">
      <c r="C808" s="41"/>
      <c r="D808" s="41"/>
      <c r="E808" s="40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</row>
    <row r="809" spans="3:17" x14ac:dyDescent="0.35">
      <c r="C809" s="41"/>
      <c r="D809" s="41"/>
      <c r="E809" s="40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</row>
    <row r="810" spans="3:17" x14ac:dyDescent="0.35">
      <c r="C810" s="41"/>
      <c r="D810" s="41"/>
      <c r="E810" s="40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</row>
    <row r="811" spans="3:17" x14ac:dyDescent="0.35">
      <c r="C811" s="41"/>
      <c r="D811" s="41"/>
      <c r="E811" s="40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</row>
    <row r="812" spans="3:17" x14ac:dyDescent="0.35">
      <c r="C812" s="41"/>
      <c r="D812" s="41"/>
      <c r="E812" s="40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</row>
    <row r="813" spans="3:17" x14ac:dyDescent="0.35">
      <c r="C813" s="41"/>
      <c r="D813" s="41"/>
      <c r="E813" s="40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</row>
    <row r="814" spans="3:17" x14ac:dyDescent="0.35">
      <c r="C814" s="41"/>
      <c r="D814" s="41"/>
      <c r="E814" s="40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</row>
    <row r="815" spans="3:17" x14ac:dyDescent="0.35">
      <c r="C815" s="41"/>
      <c r="D815" s="41"/>
      <c r="E815" s="40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</row>
    <row r="816" spans="3:17" x14ac:dyDescent="0.35">
      <c r="C816" s="41"/>
      <c r="D816" s="41"/>
      <c r="E816" s="40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</row>
    <row r="817" spans="3:17" x14ac:dyDescent="0.35">
      <c r="C817" s="41"/>
      <c r="D817" s="41"/>
      <c r="E817" s="40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</row>
    <row r="818" spans="3:17" x14ac:dyDescent="0.35">
      <c r="C818" s="41"/>
      <c r="D818" s="41"/>
      <c r="E818" s="40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</row>
    <row r="819" spans="3:17" x14ac:dyDescent="0.35">
      <c r="C819" s="41"/>
      <c r="D819" s="41"/>
      <c r="E819" s="40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</row>
    <row r="820" spans="3:17" x14ac:dyDescent="0.35">
      <c r="C820" s="41"/>
      <c r="D820" s="41"/>
      <c r="E820" s="40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</row>
    <row r="821" spans="3:17" x14ac:dyDescent="0.35">
      <c r="C821" s="41"/>
      <c r="D821" s="41"/>
      <c r="E821" s="40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</row>
    <row r="822" spans="3:17" x14ac:dyDescent="0.35">
      <c r="C822" s="41"/>
      <c r="D822" s="41"/>
      <c r="E822" s="40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</row>
    <row r="823" spans="3:17" x14ac:dyDescent="0.35">
      <c r="C823" s="41"/>
      <c r="D823" s="41"/>
      <c r="E823" s="40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</row>
    <row r="824" spans="3:17" x14ac:dyDescent="0.35">
      <c r="C824" s="41"/>
      <c r="D824" s="41"/>
      <c r="E824" s="40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</row>
    <row r="825" spans="3:17" x14ac:dyDescent="0.35">
      <c r="C825" s="41"/>
      <c r="D825" s="41"/>
      <c r="E825" s="40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</row>
    <row r="826" spans="3:17" x14ac:dyDescent="0.35">
      <c r="C826" s="41"/>
      <c r="D826" s="41"/>
      <c r="E826" s="40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</row>
    <row r="827" spans="3:17" x14ac:dyDescent="0.35">
      <c r="C827" s="41"/>
      <c r="D827" s="41"/>
      <c r="E827" s="40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</row>
    <row r="828" spans="3:17" x14ac:dyDescent="0.35">
      <c r="C828" s="41"/>
      <c r="D828" s="41"/>
      <c r="E828" s="40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</row>
    <row r="829" spans="3:17" x14ac:dyDescent="0.35">
      <c r="C829" s="41"/>
      <c r="D829" s="41"/>
      <c r="E829" s="40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</row>
    <row r="830" spans="3:17" x14ac:dyDescent="0.35">
      <c r="C830" s="41"/>
      <c r="D830" s="41"/>
      <c r="E830" s="40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</row>
    <row r="831" spans="3:17" x14ac:dyDescent="0.35">
      <c r="C831" s="41"/>
      <c r="D831" s="41"/>
      <c r="E831" s="40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</row>
    <row r="832" spans="3:17" x14ac:dyDescent="0.35">
      <c r="C832" s="41"/>
      <c r="D832" s="41"/>
      <c r="E832" s="40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</row>
    <row r="833" spans="3:17" x14ac:dyDescent="0.35">
      <c r="C833" s="41"/>
      <c r="D833" s="41"/>
      <c r="E833" s="40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</row>
    <row r="834" spans="3:17" x14ac:dyDescent="0.35">
      <c r="C834" s="41"/>
      <c r="D834" s="41"/>
      <c r="E834" s="40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</row>
    <row r="835" spans="3:17" x14ac:dyDescent="0.35">
      <c r="C835" s="41"/>
      <c r="D835" s="41"/>
      <c r="E835" s="40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</row>
    <row r="836" spans="3:17" x14ac:dyDescent="0.35">
      <c r="C836" s="41"/>
      <c r="D836" s="41"/>
      <c r="E836" s="40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</row>
    <row r="837" spans="3:17" x14ac:dyDescent="0.35">
      <c r="C837" s="41"/>
      <c r="D837" s="41"/>
      <c r="E837" s="40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</row>
    <row r="838" spans="3:17" x14ac:dyDescent="0.35">
      <c r="C838" s="41"/>
      <c r="D838" s="41"/>
      <c r="E838" s="40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</row>
    <row r="839" spans="3:17" x14ac:dyDescent="0.35">
      <c r="C839" s="41"/>
      <c r="D839" s="41"/>
      <c r="E839" s="40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</row>
    <row r="840" spans="3:17" x14ac:dyDescent="0.35">
      <c r="C840" s="41"/>
      <c r="D840" s="41"/>
      <c r="E840" s="40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</row>
    <row r="841" spans="3:17" x14ac:dyDescent="0.35">
      <c r="C841" s="41"/>
      <c r="D841" s="41"/>
      <c r="E841" s="40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</row>
    <row r="842" spans="3:17" x14ac:dyDescent="0.35">
      <c r="C842" s="41"/>
      <c r="D842" s="41"/>
      <c r="E842" s="40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</row>
    <row r="843" spans="3:17" x14ac:dyDescent="0.35">
      <c r="C843" s="41"/>
      <c r="D843" s="41"/>
      <c r="E843" s="40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</row>
    <row r="844" spans="3:17" x14ac:dyDescent="0.35">
      <c r="C844" s="41"/>
      <c r="D844" s="41"/>
      <c r="E844" s="40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</row>
    <row r="845" spans="3:17" x14ac:dyDescent="0.35">
      <c r="C845" s="41"/>
      <c r="D845" s="41"/>
      <c r="E845" s="40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</row>
    <row r="846" spans="3:17" x14ac:dyDescent="0.35">
      <c r="C846" s="41"/>
      <c r="D846" s="41"/>
      <c r="E846" s="40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</row>
    <row r="847" spans="3:17" x14ac:dyDescent="0.35">
      <c r="C847" s="41"/>
      <c r="D847" s="41"/>
      <c r="E847" s="40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</row>
    <row r="848" spans="3:17" x14ac:dyDescent="0.35">
      <c r="C848" s="41"/>
      <c r="D848" s="41"/>
      <c r="E848" s="40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</row>
    <row r="849" spans="3:17" x14ac:dyDescent="0.35">
      <c r="C849" s="41"/>
      <c r="D849" s="41"/>
      <c r="E849" s="40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</row>
    <row r="850" spans="3:17" x14ac:dyDescent="0.35">
      <c r="C850" s="41"/>
      <c r="D850" s="41"/>
      <c r="E850" s="40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</row>
    <row r="851" spans="3:17" x14ac:dyDescent="0.35">
      <c r="C851" s="41"/>
      <c r="D851" s="41"/>
      <c r="E851" s="40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</row>
    <row r="852" spans="3:17" x14ac:dyDescent="0.35">
      <c r="C852" s="41"/>
      <c r="D852" s="41"/>
      <c r="E852" s="40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</row>
    <row r="853" spans="3:17" x14ac:dyDescent="0.35">
      <c r="C853" s="41"/>
      <c r="D853" s="41"/>
      <c r="E853" s="40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</row>
    <row r="854" spans="3:17" x14ac:dyDescent="0.35">
      <c r="C854" s="41"/>
      <c r="D854" s="41"/>
      <c r="E854" s="40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</row>
    <row r="855" spans="3:17" x14ac:dyDescent="0.35">
      <c r="C855" s="41"/>
      <c r="D855" s="41"/>
      <c r="E855" s="40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</row>
    <row r="856" spans="3:17" x14ac:dyDescent="0.35">
      <c r="C856" s="41"/>
      <c r="D856" s="41"/>
      <c r="E856" s="40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</row>
    <row r="857" spans="3:17" x14ac:dyDescent="0.35">
      <c r="C857" s="41"/>
      <c r="D857" s="41"/>
      <c r="E857" s="40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</row>
    <row r="858" spans="3:17" x14ac:dyDescent="0.35">
      <c r="C858" s="41"/>
      <c r="D858" s="41"/>
      <c r="E858" s="40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</row>
    <row r="859" spans="3:17" x14ac:dyDescent="0.35">
      <c r="C859" s="41"/>
      <c r="D859" s="41"/>
      <c r="E859" s="40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</row>
    <row r="860" spans="3:17" x14ac:dyDescent="0.35">
      <c r="C860" s="41"/>
      <c r="D860" s="41"/>
      <c r="E860" s="40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</row>
    <row r="861" spans="3:17" x14ac:dyDescent="0.35">
      <c r="C861" s="41"/>
      <c r="D861" s="41"/>
      <c r="E861" s="40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</row>
    <row r="862" spans="3:17" x14ac:dyDescent="0.35">
      <c r="C862" s="41"/>
      <c r="D862" s="41"/>
      <c r="E862" s="40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</row>
    <row r="863" spans="3:17" x14ac:dyDescent="0.35">
      <c r="C863" s="41"/>
      <c r="D863" s="41"/>
      <c r="E863" s="40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</row>
    <row r="864" spans="3:17" x14ac:dyDescent="0.35">
      <c r="C864" s="41"/>
      <c r="D864" s="41"/>
      <c r="E864" s="40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</row>
    <row r="865" spans="3:17" x14ac:dyDescent="0.35">
      <c r="C865" s="41"/>
      <c r="D865" s="41"/>
      <c r="E865" s="40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</row>
    <row r="866" spans="3:17" x14ac:dyDescent="0.35">
      <c r="C866" s="41"/>
      <c r="D866" s="41"/>
      <c r="E866" s="40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</row>
    <row r="867" spans="3:17" x14ac:dyDescent="0.35">
      <c r="C867" s="41"/>
      <c r="D867" s="41"/>
      <c r="E867" s="40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</row>
    <row r="868" spans="3:17" x14ac:dyDescent="0.35">
      <c r="C868" s="41"/>
      <c r="D868" s="41"/>
      <c r="E868" s="40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</row>
    <row r="869" spans="3:17" x14ac:dyDescent="0.35">
      <c r="C869" s="41"/>
      <c r="D869" s="41"/>
      <c r="E869" s="40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</row>
    <row r="870" spans="3:17" x14ac:dyDescent="0.35">
      <c r="C870" s="41"/>
      <c r="D870" s="41"/>
      <c r="E870" s="40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</row>
    <row r="871" spans="3:17" x14ac:dyDescent="0.35">
      <c r="C871" s="41"/>
      <c r="D871" s="41"/>
      <c r="E871" s="40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</row>
    <row r="872" spans="3:17" x14ac:dyDescent="0.35">
      <c r="C872" s="41"/>
      <c r="D872" s="41"/>
      <c r="E872" s="40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</row>
    <row r="873" spans="3:17" x14ac:dyDescent="0.35">
      <c r="C873" s="41"/>
      <c r="D873" s="41"/>
      <c r="E873" s="40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</row>
    <row r="874" spans="3:17" x14ac:dyDescent="0.35">
      <c r="C874" s="41"/>
      <c r="D874" s="41"/>
      <c r="E874" s="40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</row>
    <row r="875" spans="3:17" x14ac:dyDescent="0.35">
      <c r="C875" s="41"/>
      <c r="D875" s="41"/>
      <c r="E875" s="40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</row>
    <row r="876" spans="3:17" x14ac:dyDescent="0.35">
      <c r="C876" s="41"/>
      <c r="D876" s="41"/>
      <c r="E876" s="40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</row>
    <row r="877" spans="3:17" x14ac:dyDescent="0.35">
      <c r="C877" s="41"/>
      <c r="D877" s="41"/>
      <c r="E877" s="40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</row>
    <row r="878" spans="3:17" x14ac:dyDescent="0.35">
      <c r="C878" s="41"/>
      <c r="D878" s="41"/>
      <c r="E878" s="40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</row>
    <row r="879" spans="3:17" x14ac:dyDescent="0.35">
      <c r="C879" s="41"/>
      <c r="D879" s="41"/>
      <c r="E879" s="40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</row>
    <row r="880" spans="3:17" x14ac:dyDescent="0.35">
      <c r="C880" s="41"/>
      <c r="D880" s="41"/>
      <c r="E880" s="40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</row>
    <row r="881" spans="3:17" x14ac:dyDescent="0.35">
      <c r="C881" s="41"/>
      <c r="D881" s="41"/>
      <c r="E881" s="40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</row>
    <row r="882" spans="3:17" x14ac:dyDescent="0.35">
      <c r="C882" s="41"/>
      <c r="D882" s="41"/>
      <c r="E882" s="40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</row>
    <row r="883" spans="3:17" x14ac:dyDescent="0.35">
      <c r="C883" s="41"/>
      <c r="D883" s="41"/>
      <c r="E883" s="40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</row>
    <row r="884" spans="3:17" x14ac:dyDescent="0.35">
      <c r="C884" s="41"/>
      <c r="D884" s="41"/>
      <c r="E884" s="40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</row>
    <row r="885" spans="3:17" x14ac:dyDescent="0.35">
      <c r="C885" s="41"/>
      <c r="D885" s="41"/>
      <c r="E885" s="40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</row>
    <row r="886" spans="3:17" x14ac:dyDescent="0.35">
      <c r="C886" s="41"/>
      <c r="D886" s="41"/>
      <c r="E886" s="40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</row>
    <row r="887" spans="3:17" x14ac:dyDescent="0.35">
      <c r="C887" s="41"/>
      <c r="D887" s="41"/>
      <c r="E887" s="40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</row>
    <row r="888" spans="3:17" x14ac:dyDescent="0.35">
      <c r="C888" s="41"/>
      <c r="D888" s="41"/>
      <c r="E888" s="40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</row>
    <row r="889" spans="3:17" x14ac:dyDescent="0.35">
      <c r="C889" s="41"/>
      <c r="D889" s="41"/>
      <c r="E889" s="40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</row>
    <row r="890" spans="3:17" x14ac:dyDescent="0.35">
      <c r="C890" s="41"/>
      <c r="D890" s="41"/>
      <c r="E890" s="40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</row>
    <row r="891" spans="3:17" x14ac:dyDescent="0.35">
      <c r="C891" s="41"/>
      <c r="D891" s="41"/>
      <c r="E891" s="40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</row>
    <row r="892" spans="3:17" x14ac:dyDescent="0.35">
      <c r="C892" s="41"/>
      <c r="D892" s="41"/>
      <c r="E892" s="40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</row>
    <row r="893" spans="3:17" x14ac:dyDescent="0.35">
      <c r="C893" s="41"/>
      <c r="D893" s="41"/>
      <c r="E893" s="40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</row>
    <row r="894" spans="3:17" x14ac:dyDescent="0.35">
      <c r="C894" s="41"/>
      <c r="D894" s="41"/>
      <c r="E894" s="40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</row>
    <row r="895" spans="3:17" x14ac:dyDescent="0.35">
      <c r="C895" s="41"/>
      <c r="D895" s="41"/>
      <c r="E895" s="40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</row>
    <row r="896" spans="3:17" x14ac:dyDescent="0.35">
      <c r="C896" s="41"/>
      <c r="D896" s="41"/>
      <c r="E896" s="40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</row>
    <row r="897" spans="3:17" x14ac:dyDescent="0.35">
      <c r="C897" s="41"/>
      <c r="D897" s="41"/>
      <c r="E897" s="40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</row>
    <row r="898" spans="3:17" x14ac:dyDescent="0.35">
      <c r="C898" s="41"/>
      <c r="D898" s="41"/>
      <c r="E898" s="40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</row>
    <row r="899" spans="3:17" x14ac:dyDescent="0.35">
      <c r="C899" s="41"/>
      <c r="D899" s="41"/>
      <c r="E899" s="40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</row>
    <row r="900" spans="3:17" x14ac:dyDescent="0.35">
      <c r="C900" s="41"/>
      <c r="D900" s="41"/>
      <c r="E900" s="40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</row>
    <row r="901" spans="3:17" x14ac:dyDescent="0.35">
      <c r="C901" s="41"/>
      <c r="D901" s="41"/>
      <c r="E901" s="40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</row>
    <row r="902" spans="3:17" x14ac:dyDescent="0.35">
      <c r="C902" s="41"/>
      <c r="D902" s="41"/>
      <c r="E902" s="40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</row>
    <row r="903" spans="3:17" x14ac:dyDescent="0.35">
      <c r="C903" s="41"/>
      <c r="D903" s="41"/>
      <c r="E903" s="40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</row>
    <row r="904" spans="3:17" x14ac:dyDescent="0.35">
      <c r="C904" s="41"/>
      <c r="D904" s="41"/>
      <c r="E904" s="40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</row>
    <row r="905" spans="3:17" x14ac:dyDescent="0.35">
      <c r="C905" s="41"/>
      <c r="D905" s="41"/>
      <c r="E905" s="40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</row>
    <row r="906" spans="3:17" x14ac:dyDescent="0.35">
      <c r="C906" s="41"/>
      <c r="D906" s="41"/>
      <c r="E906" s="40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</row>
    <row r="907" spans="3:17" x14ac:dyDescent="0.35">
      <c r="C907" s="41"/>
      <c r="D907" s="41"/>
      <c r="E907" s="40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</row>
    <row r="908" spans="3:17" x14ac:dyDescent="0.35">
      <c r="C908" s="41"/>
      <c r="D908" s="41"/>
      <c r="E908" s="40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</row>
    <row r="909" spans="3:17" x14ac:dyDescent="0.35">
      <c r="C909" s="41"/>
      <c r="D909" s="41"/>
      <c r="E909" s="40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</row>
    <row r="910" spans="3:17" x14ac:dyDescent="0.35">
      <c r="C910" s="41"/>
      <c r="D910" s="41"/>
      <c r="E910" s="40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</row>
    <row r="911" spans="3:17" x14ac:dyDescent="0.35">
      <c r="C911" s="41"/>
      <c r="D911" s="41"/>
      <c r="E911" s="40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</row>
    <row r="912" spans="3:17" x14ac:dyDescent="0.35">
      <c r="C912" s="41"/>
      <c r="D912" s="41"/>
      <c r="E912" s="40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</row>
    <row r="913" spans="3:17" x14ac:dyDescent="0.35">
      <c r="C913" s="41"/>
      <c r="D913" s="41"/>
      <c r="E913" s="40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</row>
    <row r="914" spans="3:17" x14ac:dyDescent="0.35">
      <c r="C914" s="41"/>
      <c r="D914" s="41"/>
      <c r="E914" s="40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</row>
    <row r="915" spans="3:17" x14ac:dyDescent="0.35">
      <c r="C915" s="41"/>
      <c r="D915" s="41"/>
      <c r="E915" s="40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</row>
    <row r="916" spans="3:17" x14ac:dyDescent="0.35">
      <c r="C916" s="41"/>
      <c r="D916" s="41"/>
      <c r="E916" s="40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</row>
    <row r="917" spans="3:17" x14ac:dyDescent="0.35">
      <c r="C917" s="41"/>
      <c r="D917" s="41"/>
      <c r="E917" s="40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</row>
    <row r="918" spans="3:17" x14ac:dyDescent="0.35">
      <c r="C918" s="41"/>
      <c r="D918" s="41"/>
      <c r="E918" s="40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</row>
    <row r="919" spans="3:17" x14ac:dyDescent="0.35">
      <c r="C919" s="41"/>
      <c r="D919" s="41"/>
      <c r="E919" s="40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</row>
    <row r="920" spans="3:17" x14ac:dyDescent="0.35">
      <c r="C920" s="41"/>
      <c r="D920" s="41"/>
      <c r="E920" s="40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</row>
    <row r="921" spans="3:17" x14ac:dyDescent="0.35">
      <c r="C921" s="41"/>
      <c r="D921" s="41"/>
      <c r="E921" s="40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</row>
    <row r="922" spans="3:17" x14ac:dyDescent="0.35">
      <c r="C922" s="41"/>
      <c r="D922" s="41"/>
      <c r="E922" s="40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</row>
    <row r="923" spans="3:17" x14ac:dyDescent="0.35">
      <c r="C923" s="41"/>
      <c r="D923" s="41"/>
      <c r="E923" s="40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</row>
    <row r="924" spans="3:17" x14ac:dyDescent="0.35">
      <c r="C924" s="41"/>
      <c r="D924" s="41"/>
      <c r="E924" s="40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</row>
    <row r="925" spans="3:17" x14ac:dyDescent="0.35">
      <c r="C925" s="41"/>
      <c r="D925" s="41"/>
      <c r="E925" s="40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</row>
    <row r="926" spans="3:17" x14ac:dyDescent="0.35">
      <c r="C926" s="41"/>
      <c r="D926" s="41"/>
      <c r="E926" s="40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</row>
    <row r="927" spans="3:17" x14ac:dyDescent="0.35">
      <c r="C927" s="41"/>
      <c r="D927" s="41"/>
      <c r="E927" s="40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</row>
    <row r="928" spans="3:17" x14ac:dyDescent="0.35">
      <c r="C928" s="41"/>
      <c r="D928" s="41"/>
      <c r="E928" s="40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</row>
    <row r="929" spans="3:17" x14ac:dyDescent="0.35">
      <c r="C929" s="41"/>
      <c r="D929" s="41"/>
      <c r="E929" s="40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</row>
    <row r="930" spans="3:17" x14ac:dyDescent="0.35">
      <c r="C930" s="41"/>
      <c r="D930" s="41"/>
      <c r="E930" s="40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</row>
    <row r="931" spans="3:17" x14ac:dyDescent="0.35">
      <c r="C931" s="41"/>
      <c r="D931" s="41"/>
      <c r="E931" s="40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</row>
    <row r="932" spans="3:17" x14ac:dyDescent="0.35">
      <c r="C932" s="41"/>
      <c r="D932" s="41"/>
      <c r="E932" s="40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</row>
    <row r="933" spans="3:17" x14ac:dyDescent="0.35">
      <c r="C933" s="41"/>
      <c r="D933" s="41"/>
      <c r="E933" s="40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</row>
    <row r="934" spans="3:17" x14ac:dyDescent="0.35">
      <c r="C934" s="41"/>
      <c r="D934" s="41"/>
      <c r="E934" s="40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</row>
    <row r="935" spans="3:17" x14ac:dyDescent="0.35">
      <c r="C935" s="41"/>
      <c r="D935" s="41"/>
      <c r="E935" s="40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</row>
    <row r="936" spans="3:17" x14ac:dyDescent="0.35">
      <c r="C936" s="41"/>
      <c r="D936" s="41"/>
      <c r="E936" s="40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</row>
    <row r="937" spans="3:17" x14ac:dyDescent="0.35">
      <c r="C937" s="41"/>
      <c r="D937" s="41"/>
      <c r="E937" s="40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</row>
    <row r="938" spans="3:17" x14ac:dyDescent="0.35">
      <c r="C938" s="41"/>
      <c r="D938" s="41"/>
      <c r="E938" s="40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</row>
    <row r="939" spans="3:17" x14ac:dyDescent="0.35">
      <c r="C939" s="41"/>
      <c r="D939" s="41"/>
      <c r="E939" s="40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</row>
    <row r="940" spans="3:17" x14ac:dyDescent="0.35">
      <c r="C940" s="41"/>
      <c r="D940" s="41"/>
      <c r="E940" s="40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</row>
    <row r="941" spans="3:17" x14ac:dyDescent="0.35">
      <c r="C941" s="41"/>
      <c r="D941" s="41"/>
      <c r="E941" s="40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</row>
    <row r="942" spans="3:17" x14ac:dyDescent="0.35">
      <c r="C942" s="41"/>
      <c r="D942" s="41"/>
      <c r="E942" s="40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</row>
    <row r="943" spans="3:17" x14ac:dyDescent="0.35">
      <c r="C943" s="41"/>
      <c r="D943" s="41"/>
      <c r="E943" s="40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</row>
    <row r="944" spans="3:17" x14ac:dyDescent="0.35">
      <c r="C944" s="41"/>
      <c r="D944" s="41"/>
      <c r="E944" s="40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</row>
    <row r="945" spans="3:17" x14ac:dyDescent="0.35">
      <c r="C945" s="41"/>
      <c r="D945" s="41"/>
      <c r="E945" s="40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</row>
    <row r="946" spans="3:17" x14ac:dyDescent="0.35">
      <c r="C946" s="41"/>
      <c r="D946" s="41"/>
      <c r="E946" s="40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</row>
    <row r="947" spans="3:17" x14ac:dyDescent="0.35">
      <c r="C947" s="41"/>
      <c r="D947" s="41"/>
      <c r="E947" s="40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</row>
    <row r="948" spans="3:17" x14ac:dyDescent="0.35">
      <c r="C948" s="41"/>
      <c r="D948" s="41"/>
      <c r="E948" s="40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</row>
    <row r="949" spans="3:17" x14ac:dyDescent="0.35">
      <c r="C949" s="41"/>
      <c r="D949" s="41"/>
      <c r="E949" s="40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</row>
    <row r="950" spans="3:17" x14ac:dyDescent="0.35">
      <c r="C950" s="41"/>
      <c r="D950" s="41"/>
      <c r="E950" s="40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</row>
    <row r="951" spans="3:17" x14ac:dyDescent="0.35">
      <c r="C951" s="41"/>
      <c r="D951" s="41"/>
      <c r="E951" s="40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</row>
    <row r="952" spans="3:17" x14ac:dyDescent="0.35">
      <c r="C952" s="41"/>
      <c r="D952" s="41"/>
      <c r="E952" s="40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</row>
    <row r="953" spans="3:17" x14ac:dyDescent="0.35">
      <c r="C953" s="41"/>
      <c r="D953" s="41"/>
      <c r="E953" s="40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</row>
    <row r="954" spans="3:17" x14ac:dyDescent="0.35">
      <c r="C954" s="41"/>
      <c r="D954" s="41"/>
      <c r="E954" s="40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</row>
    <row r="955" spans="3:17" x14ac:dyDescent="0.35">
      <c r="C955" s="41"/>
      <c r="D955" s="41"/>
      <c r="E955" s="40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</row>
    <row r="956" spans="3:17" x14ac:dyDescent="0.35">
      <c r="C956" s="41"/>
      <c r="D956" s="41"/>
      <c r="E956" s="40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</row>
    <row r="957" spans="3:17" x14ac:dyDescent="0.35">
      <c r="C957" s="41"/>
      <c r="D957" s="41"/>
      <c r="E957" s="40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</row>
    <row r="958" spans="3:17" x14ac:dyDescent="0.35">
      <c r="C958" s="41"/>
      <c r="D958" s="41"/>
      <c r="E958" s="40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</row>
    <row r="959" spans="3:17" x14ac:dyDescent="0.35">
      <c r="C959" s="41"/>
      <c r="D959" s="41"/>
      <c r="E959" s="40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</row>
    <row r="960" spans="3:17" x14ac:dyDescent="0.35">
      <c r="C960" s="41"/>
      <c r="D960" s="41"/>
      <c r="E960" s="40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</row>
    <row r="961" spans="3:17" x14ac:dyDescent="0.35">
      <c r="C961" s="41"/>
      <c r="D961" s="41"/>
      <c r="E961" s="40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</row>
    <row r="962" spans="3:17" x14ac:dyDescent="0.35">
      <c r="C962" s="41"/>
      <c r="D962" s="41"/>
      <c r="E962" s="40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</row>
    <row r="963" spans="3:17" x14ac:dyDescent="0.35">
      <c r="C963" s="41"/>
      <c r="D963" s="41"/>
      <c r="E963" s="40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</row>
    <row r="964" spans="3:17" x14ac:dyDescent="0.35">
      <c r="C964" s="41"/>
      <c r="D964" s="41"/>
      <c r="E964" s="40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</row>
    <row r="965" spans="3:17" x14ac:dyDescent="0.35">
      <c r="C965" s="41"/>
      <c r="D965" s="41"/>
      <c r="E965" s="40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</row>
    <row r="966" spans="3:17" x14ac:dyDescent="0.35">
      <c r="C966" s="41"/>
      <c r="D966" s="41"/>
      <c r="E966" s="40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</row>
    <row r="967" spans="3:17" x14ac:dyDescent="0.35">
      <c r="C967" s="41"/>
      <c r="D967" s="41"/>
      <c r="E967" s="40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</row>
    <row r="968" spans="3:17" x14ac:dyDescent="0.35">
      <c r="C968" s="41"/>
      <c r="D968" s="41"/>
      <c r="E968" s="40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</row>
    <row r="969" spans="3:17" x14ac:dyDescent="0.35">
      <c r="C969" s="41"/>
      <c r="D969" s="41"/>
      <c r="E969" s="40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</row>
    <row r="970" spans="3:17" x14ac:dyDescent="0.35">
      <c r="C970" s="41"/>
      <c r="D970" s="41"/>
      <c r="E970" s="40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</row>
    <row r="971" spans="3:17" x14ac:dyDescent="0.35">
      <c r="C971" s="41"/>
      <c r="D971" s="41"/>
      <c r="E971" s="40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</row>
    <row r="972" spans="3:17" x14ac:dyDescent="0.35">
      <c r="C972" s="41"/>
      <c r="D972" s="41"/>
      <c r="E972" s="40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</row>
    <row r="973" spans="3:17" x14ac:dyDescent="0.35">
      <c r="C973" s="41"/>
      <c r="D973" s="41"/>
      <c r="E973" s="40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</row>
    <row r="974" spans="3:17" x14ac:dyDescent="0.35">
      <c r="C974" s="41"/>
      <c r="D974" s="41"/>
      <c r="E974" s="40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</row>
    <row r="975" spans="3:17" x14ac:dyDescent="0.35">
      <c r="C975" s="41"/>
      <c r="D975" s="41"/>
      <c r="E975" s="40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</row>
    <row r="976" spans="3:17" x14ac:dyDescent="0.35">
      <c r="C976" s="41"/>
      <c r="D976" s="41"/>
      <c r="E976" s="40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</row>
    <row r="977" spans="3:17" x14ac:dyDescent="0.35">
      <c r="C977" s="41"/>
      <c r="D977" s="41"/>
      <c r="E977" s="40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</row>
    <row r="978" spans="3:17" x14ac:dyDescent="0.35">
      <c r="C978" s="41"/>
      <c r="D978" s="41"/>
      <c r="E978" s="40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</row>
    <row r="979" spans="3:17" x14ac:dyDescent="0.35">
      <c r="C979" s="41"/>
      <c r="D979" s="41"/>
      <c r="E979" s="40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</row>
    <row r="980" spans="3:17" x14ac:dyDescent="0.35">
      <c r="C980" s="41"/>
      <c r="D980" s="41"/>
      <c r="E980" s="40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</row>
    <row r="981" spans="3:17" x14ac:dyDescent="0.35">
      <c r="C981" s="41"/>
      <c r="D981" s="41"/>
      <c r="E981" s="40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</row>
    <row r="982" spans="3:17" x14ac:dyDescent="0.35">
      <c r="C982" s="41"/>
      <c r="D982" s="41"/>
      <c r="E982" s="40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</row>
    <row r="983" spans="3:17" x14ac:dyDescent="0.35">
      <c r="C983" s="41"/>
      <c r="D983" s="41"/>
      <c r="E983" s="40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</row>
    <row r="984" spans="3:17" x14ac:dyDescent="0.35">
      <c r="C984" s="41"/>
      <c r="D984" s="41"/>
      <c r="E984" s="40"/>
      <c r="F984" s="39"/>
      <c r="G984" s="39"/>
      <c r="H984" s="39"/>
      <c r="I984" s="39"/>
      <c r="K984" s="39"/>
      <c r="L984" s="39"/>
      <c r="M984" s="39"/>
      <c r="N984" s="39"/>
      <c r="O984" s="39"/>
      <c r="P984" s="39"/>
      <c r="Q984" s="39"/>
    </row>
    <row r="985" spans="3:17" x14ac:dyDescent="0.35">
      <c r="C985" s="41"/>
      <c r="D985" s="41"/>
      <c r="E985" s="40"/>
      <c r="F985" s="39"/>
      <c r="G985" s="39"/>
      <c r="H985" s="39"/>
      <c r="I985" s="39"/>
      <c r="K985" s="39"/>
      <c r="L985" s="39"/>
      <c r="M985" s="39"/>
      <c r="N985" s="39"/>
      <c r="O985" s="39"/>
      <c r="P985" s="39"/>
      <c r="Q985" s="39"/>
    </row>
    <row r="986" spans="3:17" x14ac:dyDescent="0.35">
      <c r="C986" s="41"/>
      <c r="D986" s="41"/>
      <c r="E986" s="40"/>
      <c r="F986" s="39"/>
      <c r="G986" s="39"/>
      <c r="H986" s="39"/>
      <c r="I986" s="39"/>
      <c r="K986" s="39"/>
      <c r="L986" s="39"/>
      <c r="M986" s="39"/>
      <c r="N986" s="39"/>
      <c r="O986" s="39"/>
      <c r="P986" s="39"/>
      <c r="Q986" s="39"/>
    </row>
    <row r="987" spans="3:17" x14ac:dyDescent="0.35">
      <c r="C987" s="41"/>
      <c r="D987" s="41"/>
      <c r="E987" s="40"/>
      <c r="F987" s="39"/>
      <c r="G987" s="39"/>
      <c r="H987" s="39"/>
      <c r="I987" s="39"/>
      <c r="K987" s="39"/>
      <c r="L987" s="39"/>
      <c r="M987" s="39"/>
      <c r="N987" s="39"/>
      <c r="O987" s="39"/>
      <c r="P987" s="39"/>
      <c r="Q987" s="39"/>
    </row>
    <row r="988" spans="3:17" x14ac:dyDescent="0.35">
      <c r="C988" s="41"/>
      <c r="D988" s="41"/>
      <c r="E988" s="40"/>
      <c r="F988" s="39"/>
      <c r="G988" s="39"/>
      <c r="H988" s="39"/>
      <c r="I988" s="39"/>
      <c r="K988" s="39"/>
      <c r="L988" s="39"/>
      <c r="M988" s="39"/>
      <c r="N988" s="39"/>
      <c r="O988" s="39"/>
      <c r="P988" s="39"/>
      <c r="Q988" s="39"/>
    </row>
    <row r="989" spans="3:17" x14ac:dyDescent="0.35">
      <c r="K989" s="39"/>
      <c r="L989" s="39"/>
      <c r="M989" s="39"/>
      <c r="N989" s="39"/>
      <c r="O989" s="39"/>
      <c r="P989" s="39"/>
      <c r="Q989" s="39"/>
    </row>
    <row r="990" spans="3:17" x14ac:dyDescent="0.35">
      <c r="K990" s="39"/>
      <c r="L990" s="39"/>
      <c r="M990" s="39"/>
      <c r="N990" s="39"/>
      <c r="O990" s="39"/>
      <c r="P990" s="39"/>
      <c r="Q990" s="39"/>
    </row>
    <row r="991" spans="3:17" x14ac:dyDescent="0.35">
      <c r="K991" s="39"/>
      <c r="L991" s="39"/>
      <c r="M991" s="39"/>
      <c r="N991" s="39"/>
      <c r="O991" s="39"/>
      <c r="P991" s="39"/>
      <c r="Q991" s="39"/>
    </row>
    <row r="992" spans="3:17" x14ac:dyDescent="0.35">
      <c r="K992" s="39"/>
      <c r="L992" s="39"/>
      <c r="M992" s="39"/>
      <c r="N992" s="39"/>
      <c r="O992" s="39"/>
      <c r="P992" s="39"/>
      <c r="Q992" s="39"/>
    </row>
    <row r="993" spans="11:17" x14ac:dyDescent="0.35">
      <c r="K993" s="39"/>
      <c r="L993" s="39"/>
      <c r="M993" s="39"/>
      <c r="N993" s="39"/>
      <c r="O993" s="39"/>
      <c r="P993" s="39"/>
      <c r="Q993" s="39"/>
    </row>
  </sheetData>
  <mergeCells count="32">
    <mergeCell ref="B57:J57"/>
    <mergeCell ref="B58:B62"/>
    <mergeCell ref="B42:J42"/>
    <mergeCell ref="B43:B44"/>
    <mergeCell ref="B45:J45"/>
    <mergeCell ref="B46:B51"/>
    <mergeCell ref="B52:J52"/>
    <mergeCell ref="B53:B56"/>
    <mergeCell ref="C8:E8"/>
    <mergeCell ref="C10:J10"/>
    <mergeCell ref="B39:B41"/>
    <mergeCell ref="B17:B20"/>
    <mergeCell ref="C17:C20"/>
    <mergeCell ref="B21:J21"/>
    <mergeCell ref="B22:B25"/>
    <mergeCell ref="B26:J26"/>
    <mergeCell ref="B27:B31"/>
    <mergeCell ref="C15:J15"/>
    <mergeCell ref="B32:J32"/>
    <mergeCell ref="B34:J34"/>
    <mergeCell ref="B35:B37"/>
    <mergeCell ref="B38:J38"/>
    <mergeCell ref="G8:J8"/>
    <mergeCell ref="C5:E5"/>
    <mergeCell ref="G5:J5"/>
    <mergeCell ref="C6:E6"/>
    <mergeCell ref="G6:J6"/>
    <mergeCell ref="C2:J2"/>
    <mergeCell ref="C3:E3"/>
    <mergeCell ref="G3:J3"/>
    <mergeCell ref="C4:E4"/>
    <mergeCell ref="G4:J4"/>
  </mergeCells>
  <conditionalFormatting sqref="G17">
    <cfRule type="expression" dxfId="0" priority="1">
      <formula>"✔"</formula>
    </cfRule>
  </conditionalFormatting>
  <dataValidations count="3">
    <dataValidation type="list" allowBlank="1" showInputMessage="1" showErrorMessage="1" sqref="C22:C25 C27:C31 C33 C35:C37 C39:C41 C43:C44 C46:C51 C53:C56 C58:C62" xr:uid="{8F3B9220-F9A3-4E43-9237-8E8A124500FE}">
      <formula1>features</formula1>
    </dataValidation>
    <dataValidation type="list" errorStyle="warning" allowBlank="1" showInputMessage="1" showErrorMessage="1" errorTitle="Customized Features" error="You are entering a customized feature." sqref="E27:E31 E33 E35:E37 E39:E41 E43:E44 E46:E51 E53:E56 E58:E62 E22:E25" xr:uid="{99DE1ABD-B463-466C-B362-F146989F299D}">
      <formula1>INDIRECT(D22)</formula1>
    </dataValidation>
    <dataValidation type="list" allowBlank="1" showInputMessage="1" showErrorMessage="1" sqref="E17:E20" xr:uid="{250C50B3-4C40-47C8-898A-CE7669AEBE1D}">
      <formula1>INDIRECT(D17)</formula1>
    </dataValidation>
  </dataValidations>
  <pageMargins left="0.7" right="0.7" top="0.75" bottom="0.75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BCC7-B617-4EA0-AB5A-3204E56939BB}">
  <dimension ref="A1:P156"/>
  <sheetViews>
    <sheetView workbookViewId="0">
      <pane xSplit="1" ySplit="1" topLeftCell="B18" activePane="bottomRight" state="frozen"/>
      <selection pane="topRight" activeCell="B1" sqref="B1"/>
      <selection pane="bottomLeft" activeCell="A2" sqref="A2"/>
      <selection pane="bottomRight" activeCell="E41" sqref="E41"/>
    </sheetView>
  </sheetViews>
  <sheetFormatPr defaultColWidth="9.109375" defaultRowHeight="14.4" x14ac:dyDescent="0.3"/>
  <cols>
    <col min="1" max="1" width="14.88671875" style="2" bestFit="1" customWidth="1"/>
    <col min="2" max="2" width="24" style="2" bestFit="1" customWidth="1"/>
    <col min="3" max="3" width="9.6640625" style="2" bestFit="1" customWidth="1"/>
    <col min="4" max="4" width="11" style="2" bestFit="1" customWidth="1"/>
    <col min="5" max="14" width="9.109375" style="2"/>
    <col min="15" max="15" width="14" style="2" bestFit="1" customWidth="1"/>
    <col min="16" max="16384" width="9.109375" style="2"/>
  </cols>
  <sheetData>
    <row r="1" spans="1:16" ht="15.6" thickTop="1" thickBot="1" x14ac:dyDescent="0.35">
      <c r="A1" s="18" t="s">
        <v>194</v>
      </c>
      <c r="B1" s="18" t="s">
        <v>38</v>
      </c>
      <c r="C1" s="18" t="s">
        <v>30</v>
      </c>
      <c r="D1" s="18" t="s">
        <v>34</v>
      </c>
      <c r="E1" s="19" t="s">
        <v>201</v>
      </c>
      <c r="F1"/>
      <c r="G1"/>
      <c r="H1"/>
      <c r="I1"/>
      <c r="J1"/>
      <c r="K1" s="18" t="s">
        <v>214</v>
      </c>
      <c r="L1" s="20" t="s">
        <v>213</v>
      </c>
      <c r="M1" s="18" t="s">
        <v>179</v>
      </c>
      <c r="N1" s="20" t="s">
        <v>213</v>
      </c>
      <c r="O1" s="20" t="s">
        <v>217</v>
      </c>
      <c r="P1"/>
    </row>
    <row r="2" spans="1:16" ht="15.6" thickTop="1" thickBot="1" x14ac:dyDescent="0.35">
      <c r="A2" s="20" t="s">
        <v>170</v>
      </c>
      <c r="B2" s="20" t="s">
        <v>39</v>
      </c>
      <c r="C2" s="20" t="s">
        <v>195</v>
      </c>
      <c r="D2" s="20" t="s">
        <v>11</v>
      </c>
      <c r="E2">
        <f>IF(AND('Final Sheet'!$F$12=Calculations!A2,'Final Sheet'!$F$18=Calculations!B2,'Final Sheet'!$F$10=Calculations!D2,'Final Sheet'!$F$2&lt;10),(B44*B52)+(C44*B53)+(D44*B54)+(E44*B55)+(F44*B56)+(G44*B57)+(H44*B58)+(I44*B59)+(J44*B60)+(K44*B61),0)</f>
        <v>0</v>
      </c>
      <c r="F2"/>
      <c r="G2"/>
      <c r="H2"/>
      <c r="I2"/>
      <c r="J2"/>
      <c r="K2" s="20" t="s">
        <v>215</v>
      </c>
      <c r="L2" s="22">
        <v>0</v>
      </c>
      <c r="M2" s="23">
        <v>7.4999999999999997E-2</v>
      </c>
      <c r="N2" s="22">
        <v>-0.1</v>
      </c>
      <c r="O2" s="22">
        <v>-0.1</v>
      </c>
      <c r="P2" s="24">
        <f>O2</f>
        <v>-0.1</v>
      </c>
    </row>
    <row r="3" spans="1:16" ht="15.6" thickTop="1" thickBot="1" x14ac:dyDescent="0.35">
      <c r="A3" s="20" t="s">
        <v>170</v>
      </c>
      <c r="B3" s="20" t="s">
        <v>39</v>
      </c>
      <c r="C3" s="20" t="s">
        <v>209</v>
      </c>
      <c r="D3" s="20" t="s">
        <v>11</v>
      </c>
      <c r="E3">
        <f>IF(AND('Final Sheet'!$F$12=Calculations!A3,'Final Sheet'!$F$18=Calculations!B3,'Final Sheet'!$F$10=Calculations!D3,'Final Sheet'!$F$2&gt;=10),(B44*H52)+(C44*H53)+(D44*H54)+(E44*H55)+(F44*H56)+(G44*H57)+(H44*H58)+(I44*H59)+(J44*H60)+(K44*H61),0)</f>
        <v>0</v>
      </c>
      <c r="F3"/>
      <c r="G3"/>
      <c r="H3"/>
      <c r="I3"/>
      <c r="J3"/>
      <c r="K3" s="20" t="s">
        <v>215</v>
      </c>
      <c r="L3" s="22">
        <v>0</v>
      </c>
      <c r="M3" s="22">
        <v>0.1</v>
      </c>
      <c r="N3" s="22">
        <v>-7.0000000000000007E-2</v>
      </c>
      <c r="O3" s="22">
        <v>-7.0000000000000007E-2</v>
      </c>
      <c r="P3" s="24">
        <f t="shared" ref="P3:P11" si="0">O3</f>
        <v>-7.0000000000000007E-2</v>
      </c>
    </row>
    <row r="4" spans="1:16" ht="15.6" thickTop="1" thickBot="1" x14ac:dyDescent="0.35">
      <c r="A4" s="20" t="s">
        <v>170</v>
      </c>
      <c r="B4" s="20" t="s">
        <v>173</v>
      </c>
      <c r="C4" s="20" t="s">
        <v>209</v>
      </c>
      <c r="D4" s="20" t="s">
        <v>11</v>
      </c>
      <c r="E4">
        <f>IF(AND('Final Sheet'!$F$12=Calculations!A4,'Final Sheet'!$F$18='Drop Down Options'!Q3,'Final Sheet'!$F$10=Calculations!D4,'Final Sheet'!$F$2&gt;=10),(B44*H79)+(C44*H80)+(D44*H81)+(E44*H82)+(F44*H83)+(G44*H84)+(H44*H85)+(I44*H86)+(J44*H87)+(K44*H88),0)</f>
        <v>0</v>
      </c>
      <c r="F4"/>
      <c r="G4"/>
      <c r="H4"/>
      <c r="I4"/>
      <c r="J4"/>
      <c r="K4" s="20" t="s">
        <v>215</v>
      </c>
      <c r="L4" s="22">
        <v>0</v>
      </c>
      <c r="M4" s="22">
        <v>0.15</v>
      </c>
      <c r="N4" s="22">
        <v>0</v>
      </c>
      <c r="O4" s="22">
        <v>0</v>
      </c>
      <c r="P4" s="24">
        <f t="shared" si="0"/>
        <v>0</v>
      </c>
    </row>
    <row r="5" spans="1:16" ht="15.6" thickTop="1" thickBot="1" x14ac:dyDescent="0.35">
      <c r="A5" s="20" t="s">
        <v>170</v>
      </c>
      <c r="B5" s="20" t="s">
        <v>174</v>
      </c>
      <c r="C5" s="20" t="s">
        <v>209</v>
      </c>
      <c r="D5" s="20" t="s">
        <v>11</v>
      </c>
      <c r="E5">
        <f>IF(AND('Final Sheet'!$F$12=Calculations!A5,'Final Sheet'!$F$18='Drop Down Options'!Q4,'Final Sheet'!$F$10=Calculations!D5,'Final Sheet'!$F$2&gt;=10),(B44*H106)+(C44*H107)+(D44*H108)+(E44*H109)+(F44*H110)+(G44*H111)+(H44*H112)+(I44*H113)+(J44*H114)+(K44*H115),0)</f>
        <v>0</v>
      </c>
      <c r="F5"/>
      <c r="G5"/>
      <c r="H5"/>
      <c r="I5"/>
      <c r="J5"/>
      <c r="K5" s="20" t="s">
        <v>215</v>
      </c>
      <c r="L5" s="22">
        <v>0</v>
      </c>
      <c r="M5" s="22">
        <v>0.2</v>
      </c>
      <c r="N5" s="23">
        <v>6.25E-2</v>
      </c>
      <c r="O5" s="23">
        <v>6.25E-2</v>
      </c>
      <c r="P5" s="24">
        <f t="shared" si="0"/>
        <v>6.25E-2</v>
      </c>
    </row>
    <row r="6" spans="1:16" ht="15.6" thickTop="1" thickBot="1" x14ac:dyDescent="0.35">
      <c r="A6" s="20" t="s">
        <v>170</v>
      </c>
      <c r="B6" s="20" t="s">
        <v>175</v>
      </c>
      <c r="C6" s="20" t="s">
        <v>209</v>
      </c>
      <c r="D6" s="20" t="s">
        <v>11</v>
      </c>
      <c r="E6">
        <f>IF(AND('Final Sheet'!$F$12=Calculations!A6,'Final Sheet'!$F$18='Drop Down Options'!Q5,'Final Sheet'!$F$10=Calculations!D6,'Final Sheet'!$F$2&gt;=10),(B44*H133)+(C44*H134)+(D44*H135)+(E44*H136)+(F44*H137)+(G44*H138)+(H44*H139)+(I44*H140)+(J44*H141)+(K44*H142),0)</f>
        <v>0</v>
      </c>
      <c r="F6"/>
      <c r="G6"/>
      <c r="H6"/>
      <c r="I6"/>
      <c r="J6"/>
      <c r="K6" s="20" t="s">
        <v>215</v>
      </c>
      <c r="L6" s="22">
        <v>0</v>
      </c>
      <c r="M6" s="22">
        <v>0.25</v>
      </c>
      <c r="N6" s="23">
        <v>0.1333</v>
      </c>
      <c r="O6" s="23">
        <v>0.1333</v>
      </c>
      <c r="P6" s="24">
        <f t="shared" si="0"/>
        <v>0.1333</v>
      </c>
    </row>
    <row r="7" spans="1:16" ht="15.6" thickTop="1" thickBot="1" x14ac:dyDescent="0.35">
      <c r="A7" s="20" t="s">
        <v>36</v>
      </c>
      <c r="B7" s="20" t="s">
        <v>39</v>
      </c>
      <c r="C7" s="20" t="s">
        <v>195</v>
      </c>
      <c r="D7" s="20" t="s">
        <v>11</v>
      </c>
      <c r="E7">
        <f>IF(AND('Final Sheet'!$F$12=Calculations!A7,'Final Sheet'!$F$18=Calculations!B7,'Final Sheet'!$F$10=Calculations!D7,'Final Sheet'!$F$2&lt;10),(B44*B65)+(C44*B66)+(D44*B67)+(E44*B68)+(F44*B69)+(G44*B70)+(H44*B71)+(I44*B72)+(J44*B73)+(K44*B74),0)</f>
        <v>0</v>
      </c>
      <c r="F7"/>
      <c r="G7"/>
      <c r="H7"/>
      <c r="I7"/>
      <c r="J7"/>
      <c r="K7" s="20" t="s">
        <v>216</v>
      </c>
      <c r="L7" s="23">
        <v>-0.16520000000000001</v>
      </c>
      <c r="M7" s="23">
        <v>7.4999999999999997E-2</v>
      </c>
      <c r="N7" s="22">
        <v>-0.1</v>
      </c>
      <c r="O7" s="23">
        <v>-0.26519999999999999</v>
      </c>
      <c r="P7" s="24">
        <f t="shared" si="0"/>
        <v>-0.26519999999999999</v>
      </c>
    </row>
    <row r="8" spans="1:16" ht="15.6" thickTop="1" thickBot="1" x14ac:dyDescent="0.35">
      <c r="A8" s="20" t="s">
        <v>36</v>
      </c>
      <c r="B8" s="20" t="s">
        <v>39</v>
      </c>
      <c r="C8" s="20" t="s">
        <v>209</v>
      </c>
      <c r="D8" s="20" t="s">
        <v>11</v>
      </c>
      <c r="E8">
        <f>IF(AND('Final Sheet'!$F$12=Calculations!A8,'Final Sheet'!$F$18=Calculations!B8,'Final Sheet'!$F$10=Calculations!D8,'Final Sheet'!$F$2&gt;=10),(B44*H65)+(C44*H66)+(D44*H67)+(E44*H68)+(F44*H69)+(G44*H70)+(H44*H71)+(I44*H72)+(J44*H73)+(K44*H74),0)</f>
        <v>0</v>
      </c>
      <c r="F8"/>
      <c r="G8"/>
      <c r="H8"/>
      <c r="I8"/>
      <c r="J8"/>
      <c r="K8" s="20" t="s">
        <v>216</v>
      </c>
      <c r="L8" s="23">
        <v>-0.16520000000000001</v>
      </c>
      <c r="M8" s="22">
        <v>0.1</v>
      </c>
      <c r="N8" s="22">
        <v>-7.0000000000000007E-2</v>
      </c>
      <c r="O8" s="25">
        <f>N8+L8</f>
        <v>-0.23520000000000002</v>
      </c>
      <c r="P8" s="24">
        <f t="shared" si="0"/>
        <v>-0.23520000000000002</v>
      </c>
    </row>
    <row r="9" spans="1:16" ht="15.6" thickTop="1" thickBot="1" x14ac:dyDescent="0.35">
      <c r="A9" s="20" t="s">
        <v>36</v>
      </c>
      <c r="B9" s="20" t="s">
        <v>173</v>
      </c>
      <c r="C9" s="20" t="s">
        <v>209</v>
      </c>
      <c r="D9" s="20" t="s">
        <v>11</v>
      </c>
      <c r="E9">
        <f>IF(AND('Final Sheet'!$F$12=Calculations!A9,'Final Sheet'!$F$18='Drop Down Options'!Q3,'Final Sheet'!$F$10=Calculations!D9,'Final Sheet'!$F$2&gt;=10),(B44*H92)+(C44*H93)+(D44*H94)+(E44*H95)+(F44*H96)+(G44*H97)+(H44*H98)+(I44*H99)+(J44*H100)+(K44*H101),0)</f>
        <v>0</v>
      </c>
      <c r="F9"/>
      <c r="G9"/>
      <c r="H9"/>
      <c r="I9"/>
      <c r="J9"/>
      <c r="K9" s="20" t="s">
        <v>216</v>
      </c>
      <c r="L9" s="23">
        <v>-0.16520000000000001</v>
      </c>
      <c r="M9" s="22">
        <v>0.15</v>
      </c>
      <c r="N9" s="22">
        <v>0</v>
      </c>
      <c r="O9" s="25">
        <f>N9+L9</f>
        <v>-0.16520000000000001</v>
      </c>
      <c r="P9" s="24">
        <f t="shared" si="0"/>
        <v>-0.16520000000000001</v>
      </c>
    </row>
    <row r="10" spans="1:16" ht="15.6" thickTop="1" thickBot="1" x14ac:dyDescent="0.35">
      <c r="A10" s="20" t="s">
        <v>36</v>
      </c>
      <c r="B10" s="20" t="s">
        <v>174</v>
      </c>
      <c r="C10" s="20" t="s">
        <v>209</v>
      </c>
      <c r="D10" s="20" t="s">
        <v>11</v>
      </c>
      <c r="E10">
        <f>IF(AND('Final Sheet'!$F$12=Calculations!A10,'Final Sheet'!$F$18='Drop Down Options'!Q4,'Final Sheet'!$F$10=Calculations!D10,'Final Sheet'!$F$2&gt;=10),(B44*H119)+(C44*H120)+(D44*H121)+(E44*H122)+(F44*H123)+(G44*H124)+(H44*H125)+(I44*H126)+(J44*H127)+(K44*H128),0)</f>
        <v>0</v>
      </c>
      <c r="F10"/>
      <c r="G10"/>
      <c r="H10"/>
      <c r="I10"/>
      <c r="J10"/>
      <c r="K10" s="20" t="s">
        <v>216</v>
      </c>
      <c r="L10" s="23">
        <v>-0.16520000000000001</v>
      </c>
      <c r="M10" s="22">
        <v>0.2</v>
      </c>
      <c r="N10" s="23">
        <v>6.25E-2</v>
      </c>
      <c r="O10" s="25">
        <f>N10+L10</f>
        <v>-0.10270000000000001</v>
      </c>
      <c r="P10" s="24">
        <f t="shared" si="0"/>
        <v>-0.10270000000000001</v>
      </c>
    </row>
    <row r="11" spans="1:16" ht="15.6" thickTop="1" thickBot="1" x14ac:dyDescent="0.35">
      <c r="A11" s="20" t="s">
        <v>36</v>
      </c>
      <c r="B11" s="20" t="s">
        <v>175</v>
      </c>
      <c r="C11" s="20" t="s">
        <v>209</v>
      </c>
      <c r="D11" s="20" t="s">
        <v>11</v>
      </c>
      <c r="E11">
        <f>IF(AND('Final Sheet'!$F$12=Calculations!A11,'Final Sheet'!$F$18='Drop Down Options'!Q5,'Final Sheet'!$F$10=Calculations!D11,'Final Sheet'!$F$2&gt;=10),(B44*H146)+(C44*H147)+(D44*H148)+(E44*H149)+(F44*H150)+(G44*H151)+(H44*H152)+(I44*H153)+(J44*H154)+(K44*H155),0)</f>
        <v>0</v>
      </c>
      <c r="F11"/>
      <c r="G11"/>
      <c r="H11"/>
      <c r="I11"/>
      <c r="J11"/>
      <c r="K11" s="20" t="s">
        <v>216</v>
      </c>
      <c r="L11" s="23">
        <v>-0.16520000000000001</v>
      </c>
      <c r="M11" s="22">
        <v>0.25</v>
      </c>
      <c r="N11" s="23">
        <v>0.1333</v>
      </c>
      <c r="O11" s="25">
        <f>N11+L11</f>
        <v>-3.1900000000000012E-2</v>
      </c>
      <c r="P11" s="24">
        <f t="shared" si="0"/>
        <v>-3.1900000000000012E-2</v>
      </c>
    </row>
    <row r="12" spans="1:16" ht="15.6" thickTop="1" thickBot="1" x14ac:dyDescent="0.35">
      <c r="A12" s="20" t="s">
        <v>170</v>
      </c>
      <c r="B12" s="20" t="s">
        <v>39</v>
      </c>
      <c r="C12" s="20" t="s">
        <v>195</v>
      </c>
      <c r="D12" s="20" t="s">
        <v>167</v>
      </c>
      <c r="E12">
        <f>IF(AND('Final Sheet'!$F$12=Calculations!A12,'Final Sheet'!$F$18=Calculations!B12,'Final Sheet'!$F$10=Calculations!D12,'Final Sheet'!$F$2&lt;10),(B45*C52)+(C45*C53)+(D45*C54)+(E45*C55)+(F45*C56)+(G45*C57)+(H45*C58)+(I45*C59)+(J45*C60)+(K45*C61),0)</f>
        <v>0</v>
      </c>
      <c r="F12"/>
      <c r="G12"/>
      <c r="H12"/>
      <c r="I12"/>
      <c r="J12"/>
      <c r="K12"/>
    </row>
    <row r="13" spans="1:16" ht="15.6" thickTop="1" thickBot="1" x14ac:dyDescent="0.35">
      <c r="A13" s="20" t="s">
        <v>170</v>
      </c>
      <c r="B13" s="20" t="s">
        <v>39</v>
      </c>
      <c r="C13" s="20" t="s">
        <v>209</v>
      </c>
      <c r="D13" s="20" t="s">
        <v>167</v>
      </c>
      <c r="E13">
        <f>IF(AND('Final Sheet'!$F$12=Calculations!A13,'Final Sheet'!$F$18=Calculations!B13,'Final Sheet'!$F$10=Calculations!D13,'Final Sheet'!$F$2&gt;=10),(B45*I52)+(C45*I53)+(D45*I54)+(E45*I55)+(F45*I56)+(G45*I57)+(H45*I58)+(I45*I59)+(J45*I60)+(K45*I61),0)</f>
        <v>0</v>
      </c>
      <c r="F13"/>
      <c r="G13"/>
      <c r="H13"/>
      <c r="I13"/>
      <c r="J13"/>
      <c r="K13"/>
    </row>
    <row r="14" spans="1:16" ht="15.6" thickTop="1" thickBot="1" x14ac:dyDescent="0.35">
      <c r="A14" s="20" t="s">
        <v>170</v>
      </c>
      <c r="B14" s="20" t="s">
        <v>173</v>
      </c>
      <c r="C14" s="20" t="s">
        <v>209</v>
      </c>
      <c r="D14" s="20" t="s">
        <v>167</v>
      </c>
      <c r="E14">
        <f>IF(AND('Final Sheet'!$F$12=Calculations!A14,'Final Sheet'!$F$18='Drop Down Options'!Q3,'Final Sheet'!$F$10=Calculations!D14,'Final Sheet'!$F$2&gt;=10),(B45*I79)+(C45*I80)+(D45*I81)+(E45*I82)+(F45*I83)+(G45*I84)+(H45*I85)+(I45*I86)+(J45*I87)+(K45*I88),0)</f>
        <v>0</v>
      </c>
      <c r="F14"/>
      <c r="G14"/>
      <c r="H14"/>
      <c r="I14"/>
      <c r="J14"/>
      <c r="K14"/>
    </row>
    <row r="15" spans="1:16" ht="15.6" thickTop="1" thickBot="1" x14ac:dyDescent="0.35">
      <c r="A15" s="20" t="s">
        <v>170</v>
      </c>
      <c r="B15" s="20" t="s">
        <v>174</v>
      </c>
      <c r="C15" s="20" t="s">
        <v>209</v>
      </c>
      <c r="D15" s="20" t="s">
        <v>167</v>
      </c>
      <c r="E15">
        <f>IF(AND('Final Sheet'!$F$12=Calculations!A15,'Final Sheet'!$F$18='Drop Down Options'!Q4,'Final Sheet'!$F$10=Calculations!D15,'Final Sheet'!$F$2&gt;=10),(B45*I106)+(C45*I107)+(D45*I108)+(E45*I109)+(F45*I110)+(G45*I111)+(H45*I112)+(I45*I113)+(J45*I114)+(K45*I115),0)</f>
        <v>0</v>
      </c>
      <c r="F15"/>
      <c r="G15"/>
      <c r="H15"/>
      <c r="I15"/>
      <c r="J15"/>
      <c r="K15"/>
    </row>
    <row r="16" spans="1:16" ht="15.6" thickTop="1" thickBot="1" x14ac:dyDescent="0.35">
      <c r="A16" s="20" t="s">
        <v>170</v>
      </c>
      <c r="B16" s="20" t="s">
        <v>175</v>
      </c>
      <c r="C16" s="20" t="s">
        <v>209</v>
      </c>
      <c r="D16" s="20" t="s">
        <v>167</v>
      </c>
      <c r="E16">
        <f>IF(AND('Final Sheet'!$F$12=Calculations!A16,'Final Sheet'!$F$18='Drop Down Options'!Q5,'Final Sheet'!$F$10=Calculations!D16,'Final Sheet'!$F$2&gt;=10),(B45*I133)+(C45*I134)+(D45*I135)+(E45*I136)+(F45*I137)+(G45*I138)+(H45*I139)+(I45*I140)+(J45*I141)+(K45*I142),0)</f>
        <v>0</v>
      </c>
      <c r="F16"/>
      <c r="G16"/>
      <c r="H16"/>
      <c r="I16"/>
      <c r="J16"/>
      <c r="K16"/>
    </row>
    <row r="17" spans="1:11" ht="15.6" thickTop="1" thickBot="1" x14ac:dyDescent="0.35">
      <c r="A17" s="20" t="s">
        <v>36</v>
      </c>
      <c r="B17" s="20" t="s">
        <v>39</v>
      </c>
      <c r="C17" s="20" t="s">
        <v>195</v>
      </c>
      <c r="D17" s="20" t="s">
        <v>167</v>
      </c>
      <c r="E17">
        <f>IF(AND('Final Sheet'!$F$12=Calculations!A17,'Final Sheet'!$F$18=Calculations!B17,'Final Sheet'!$F$10=Calculations!D17,'Final Sheet'!$F$2&lt;10),(B45*C65)+(C45*C66)+(D45*C67)+(E45*C68)+(F45*C69)+(G45*C70)+(H45*C71)+(I45*C72)+(J45*C73)+(K45*C74),0)</f>
        <v>0</v>
      </c>
      <c r="F17"/>
      <c r="G17"/>
      <c r="H17"/>
      <c r="I17"/>
      <c r="J17"/>
      <c r="K17"/>
    </row>
    <row r="18" spans="1:11" ht="15.6" thickTop="1" thickBot="1" x14ac:dyDescent="0.35">
      <c r="A18" s="20" t="s">
        <v>36</v>
      </c>
      <c r="B18" s="20" t="s">
        <v>39</v>
      </c>
      <c r="C18" s="20" t="s">
        <v>209</v>
      </c>
      <c r="D18" s="20" t="s">
        <v>167</v>
      </c>
      <c r="E18">
        <f>IF(AND('Final Sheet'!$F$12=Calculations!A18,'Final Sheet'!$F$18=Calculations!B18,'Final Sheet'!$F$10=Calculations!D18,'Final Sheet'!$F$2&gt;=10),(B45*I65)+(C45*I66)+(D45*I67)+(E45*I68)+(F45*I69)+(G45*I70)+(H45*I71)+(I45*I72)+(J45*I73)+(K45*I74),0)</f>
        <v>0</v>
      </c>
      <c r="F18"/>
      <c r="G18"/>
      <c r="H18"/>
      <c r="I18"/>
      <c r="J18"/>
      <c r="K18"/>
    </row>
    <row r="19" spans="1:11" ht="15.6" thickTop="1" thickBot="1" x14ac:dyDescent="0.35">
      <c r="A19" s="20" t="s">
        <v>36</v>
      </c>
      <c r="B19" s="20" t="s">
        <v>173</v>
      </c>
      <c r="C19" s="20" t="s">
        <v>209</v>
      </c>
      <c r="D19" s="20" t="s">
        <v>167</v>
      </c>
      <c r="E19">
        <f>IF(AND('Final Sheet'!$F$12=Calculations!A19,'Final Sheet'!$F$18='Drop Down Options'!Q3,'Final Sheet'!$F$10=Calculations!D19,'Final Sheet'!$F$2&gt;=10),(B45*I92)+(C45*I93)+(D45*I94)+(E45*I95)+(F45*I96)+(G45*I97)+(H45*I98)+(I45*I99)+(J45*I100)+(K45*I101),0)</f>
        <v>0</v>
      </c>
      <c r="F19"/>
      <c r="G19"/>
      <c r="H19"/>
      <c r="I19"/>
      <c r="J19"/>
      <c r="K19"/>
    </row>
    <row r="20" spans="1:11" ht="15.6" thickTop="1" thickBot="1" x14ac:dyDescent="0.35">
      <c r="A20" s="20" t="s">
        <v>36</v>
      </c>
      <c r="B20" s="20" t="s">
        <v>174</v>
      </c>
      <c r="C20" s="20" t="s">
        <v>209</v>
      </c>
      <c r="D20" s="20" t="s">
        <v>167</v>
      </c>
      <c r="E20">
        <f>IF(AND('Final Sheet'!$F$12=Calculations!A20,'Final Sheet'!$F$18='Drop Down Options'!Q4,'Final Sheet'!$F$10=Calculations!D20,'Final Sheet'!$F$2&gt;=10),(B45*I119)+(C45*I120)+(D45*I121)+(E45*I122)+(F45*I123)+(G45*I124)+(H45*I125)+(I45*I126)+(J45*I127)+(K45*I128),0)</f>
        <v>0</v>
      </c>
      <c r="F20"/>
      <c r="G20"/>
      <c r="H20"/>
      <c r="I20"/>
      <c r="J20"/>
      <c r="K20"/>
    </row>
    <row r="21" spans="1:11" ht="15.6" thickTop="1" thickBot="1" x14ac:dyDescent="0.35">
      <c r="A21" s="20" t="s">
        <v>36</v>
      </c>
      <c r="B21" s="20" t="s">
        <v>175</v>
      </c>
      <c r="C21" s="20" t="s">
        <v>209</v>
      </c>
      <c r="D21" s="20" t="s">
        <v>167</v>
      </c>
      <c r="E21">
        <f>IF(AND('Final Sheet'!$F$12=Calculations!A21,'Final Sheet'!$F$18='Drop Down Options'!Q5,'Final Sheet'!$F$10=Calculations!D21,'Final Sheet'!$F$2&gt;=10),(B45*I146)+(C45*I147)+(D45*I148)+(E45*I149)+(F45*I150)+(G45*I151)+(H45*I152)+(I45*I153)+(J45*I154)+(K45*I155),0)</f>
        <v>0</v>
      </c>
      <c r="F21"/>
      <c r="G21"/>
      <c r="H21"/>
      <c r="I21"/>
      <c r="J21"/>
      <c r="K21"/>
    </row>
    <row r="22" spans="1:11" ht="15.6" thickTop="1" thickBot="1" x14ac:dyDescent="0.35">
      <c r="A22" s="20" t="s">
        <v>170</v>
      </c>
      <c r="B22" s="20" t="s">
        <v>39</v>
      </c>
      <c r="C22" s="20" t="s">
        <v>195</v>
      </c>
      <c r="D22" s="20" t="s">
        <v>168</v>
      </c>
      <c r="E22">
        <f>IF(AND('Final Sheet'!$F$12=Calculations!A22,'Final Sheet'!$F$18=Calculations!B22,'Final Sheet'!$F$10=Calculations!D22,'Final Sheet'!$F$2&lt;10),(B46*D52)+(C46*D53)+(D46*D54)+(E46*D55)+(F46*D56)+(G46*D57)+(H46*D58)+(I46*D59)+(J46*D60)+(K46*D61),0)</f>
        <v>0</v>
      </c>
      <c r="F22"/>
      <c r="G22"/>
      <c r="H22"/>
      <c r="I22"/>
      <c r="J22"/>
      <c r="K22"/>
    </row>
    <row r="23" spans="1:11" ht="15.6" thickTop="1" thickBot="1" x14ac:dyDescent="0.35">
      <c r="A23" s="20" t="s">
        <v>170</v>
      </c>
      <c r="B23" s="20" t="s">
        <v>39</v>
      </c>
      <c r="C23" s="20" t="s">
        <v>209</v>
      </c>
      <c r="D23" s="20" t="s">
        <v>168</v>
      </c>
      <c r="E23">
        <f>IF(AND('Final Sheet'!$F$12=Calculations!A23,'Final Sheet'!$F$18=Calculations!B23,'Final Sheet'!$F$10=Calculations!D23,'Final Sheet'!$F$2&gt;=10),(B46*J52)+(C46*J53)+(D46*J54)+(E46*J55)+(F46*J56)+(G46*J57)+(H46*J58)+(I46*J59)+(J46*J60)+(K46*J61),0)</f>
        <v>0</v>
      </c>
      <c r="F23"/>
      <c r="G23"/>
      <c r="H23"/>
      <c r="I23"/>
      <c r="J23"/>
      <c r="K23"/>
    </row>
    <row r="24" spans="1:11" ht="15.6" thickTop="1" thickBot="1" x14ac:dyDescent="0.35">
      <c r="A24" s="20" t="s">
        <v>170</v>
      </c>
      <c r="B24" s="20" t="s">
        <v>173</v>
      </c>
      <c r="C24" s="20" t="s">
        <v>209</v>
      </c>
      <c r="D24" s="20" t="s">
        <v>168</v>
      </c>
      <c r="E24">
        <f>IF(AND('Final Sheet'!$F$12=Calculations!A24,'Final Sheet'!$F$18='Drop Down Options'!Q3,'Final Sheet'!$F$10=Calculations!D24,'Final Sheet'!$F$2&gt;=10),(B46*J79)+(C46*J80)+(D46*J81)+(E46*J82)+(F46*J83)+(G46*J84)+(H46*J85)+(I46*J86)+(J46*J87)+(K46*J88),0)</f>
        <v>0</v>
      </c>
      <c r="F24"/>
      <c r="G24"/>
      <c r="H24"/>
      <c r="I24"/>
      <c r="J24"/>
      <c r="K24"/>
    </row>
    <row r="25" spans="1:11" ht="15.6" thickTop="1" thickBot="1" x14ac:dyDescent="0.35">
      <c r="A25" s="20" t="s">
        <v>170</v>
      </c>
      <c r="B25" s="20" t="s">
        <v>174</v>
      </c>
      <c r="C25" s="20" t="s">
        <v>209</v>
      </c>
      <c r="D25" s="20" t="s">
        <v>168</v>
      </c>
      <c r="E25">
        <f>IF(AND('Final Sheet'!$F$12=Calculations!A25,'Final Sheet'!$F$18='Drop Down Options'!Q4,'Final Sheet'!$F$10=Calculations!D25,'Final Sheet'!$F$2&gt;=10),(B46*J106)+(C46*J107)+(D46*J108)+(E46*J109)+(F46*J110)+(G46*J111)+(H46*J112)+(I46*J113)+(J46*J114)+(K46*J115),0)</f>
        <v>0</v>
      </c>
      <c r="F25"/>
      <c r="G25"/>
      <c r="H25"/>
      <c r="I25"/>
      <c r="J25"/>
      <c r="K25"/>
    </row>
    <row r="26" spans="1:11" ht="15.6" thickTop="1" thickBot="1" x14ac:dyDescent="0.35">
      <c r="A26" s="20" t="s">
        <v>170</v>
      </c>
      <c r="B26" s="20" t="s">
        <v>175</v>
      </c>
      <c r="C26" s="20" t="s">
        <v>209</v>
      </c>
      <c r="D26" s="20" t="s">
        <v>168</v>
      </c>
      <c r="E26">
        <f>IF(AND('Final Sheet'!$F$12=Calculations!A26,'Final Sheet'!$F$18='Drop Down Options'!Q5,'Final Sheet'!$F$10=Calculations!D26,'Final Sheet'!$F$2&gt;=10),(B46*J133)+(C46*J134)+(D46*J135)+(E46*J136)+(F46*J137)+(G46*J138)+(H46*J139)+(I46*J140)+(J46*J141)+(K46*J142),0)</f>
        <v>0</v>
      </c>
      <c r="F26"/>
      <c r="G26"/>
      <c r="H26"/>
      <c r="I26"/>
      <c r="J26"/>
      <c r="K26"/>
    </row>
    <row r="27" spans="1:11" ht="15.6" thickTop="1" thickBot="1" x14ac:dyDescent="0.35">
      <c r="A27" s="20" t="s">
        <v>36</v>
      </c>
      <c r="B27" s="20" t="s">
        <v>39</v>
      </c>
      <c r="C27" s="20" t="s">
        <v>195</v>
      </c>
      <c r="D27" s="20" t="s">
        <v>168</v>
      </c>
      <c r="E27">
        <f>IF(AND('Final Sheet'!$F$12=Calculations!A27,'Final Sheet'!$F$18=Calculations!B27,'Final Sheet'!$F$10=Calculations!D27,'Final Sheet'!$F$2&lt;10),(B46*D65)+(C46*D66)+(D46*D67)+(E46*D68)+(F46*D69)+(G46*D70)+(H46*D71)+(I46*D72)+(J46*D73)+(K46*D74),0)</f>
        <v>0</v>
      </c>
      <c r="F27"/>
      <c r="G27"/>
      <c r="H27"/>
      <c r="I27"/>
      <c r="J27"/>
      <c r="K27"/>
    </row>
    <row r="28" spans="1:11" ht="15.6" thickTop="1" thickBot="1" x14ac:dyDescent="0.35">
      <c r="A28" s="20" t="s">
        <v>36</v>
      </c>
      <c r="B28" s="20" t="s">
        <v>39</v>
      </c>
      <c r="C28" s="20" t="s">
        <v>209</v>
      </c>
      <c r="D28" s="20" t="s">
        <v>168</v>
      </c>
      <c r="E28">
        <f>IF(AND('Final Sheet'!$F$12=Calculations!A28,'Final Sheet'!$F$18=Calculations!B28,'Final Sheet'!$F$10=Calculations!D28,'Final Sheet'!$F$2&gt;=10),(B46*J65)+(C46*J66)+(D46*J67)+(E46*J68)+(F46*J69)+(G46*J70)+(H46*J71)+(I46*J72)+(J46*J73)+(K46*J74),0)</f>
        <v>0</v>
      </c>
      <c r="F28"/>
      <c r="G28"/>
      <c r="H28"/>
      <c r="I28"/>
      <c r="J28"/>
      <c r="K28"/>
    </row>
    <row r="29" spans="1:11" ht="15.6" thickTop="1" thickBot="1" x14ac:dyDescent="0.35">
      <c r="A29" s="20" t="s">
        <v>36</v>
      </c>
      <c r="B29" s="20" t="s">
        <v>173</v>
      </c>
      <c r="C29" s="20" t="s">
        <v>209</v>
      </c>
      <c r="D29" s="20" t="s">
        <v>168</v>
      </c>
      <c r="E29">
        <f>IF(AND('Final Sheet'!$F$12=Calculations!A29,'Final Sheet'!$F$18='Drop Down Options'!Q3,'Final Sheet'!$F$10=Calculations!D29,'Final Sheet'!$F$2&gt;=10),(B46*J92)+(C46*J93)+(D46*J94)+(E46*J95)+(F46*J96)+(G46*J97)+(H46*J98)+(I46*J99)+(J46*J100)+(K46*J101),0)</f>
        <v>0</v>
      </c>
      <c r="F29"/>
      <c r="G29"/>
      <c r="H29"/>
      <c r="I29"/>
      <c r="J29"/>
      <c r="K29"/>
    </row>
    <row r="30" spans="1:11" ht="15.6" thickTop="1" thickBot="1" x14ac:dyDescent="0.35">
      <c r="A30" s="20" t="s">
        <v>36</v>
      </c>
      <c r="B30" s="20" t="s">
        <v>174</v>
      </c>
      <c r="C30" s="20" t="s">
        <v>209</v>
      </c>
      <c r="D30" s="20" t="s">
        <v>168</v>
      </c>
      <c r="E30">
        <f>IF(AND('Final Sheet'!$F$12=Calculations!A30,'Final Sheet'!$F$18='Drop Down Options'!Q4,'Final Sheet'!$F$10=Calculations!D30,'Final Sheet'!$F$2&gt;=10),(B46*J119)+(C46*J120)+(D46*J121)+(E46*J122)+(F46*J123)+(G46*J124)+(H46*J125)+(I46*J126)+(J46*J127)+(K46*J128),0)</f>
        <v>224500</v>
      </c>
      <c r="F30"/>
      <c r="G30"/>
      <c r="H30"/>
      <c r="I30"/>
      <c r="J30"/>
      <c r="K30"/>
    </row>
    <row r="31" spans="1:11" ht="15.6" thickTop="1" thickBot="1" x14ac:dyDescent="0.35">
      <c r="A31" s="20" t="s">
        <v>36</v>
      </c>
      <c r="B31" s="20" t="s">
        <v>175</v>
      </c>
      <c r="C31" s="20" t="s">
        <v>209</v>
      </c>
      <c r="D31" s="20" t="s">
        <v>168</v>
      </c>
      <c r="E31">
        <f>IF(AND('Final Sheet'!$F$12=Calculations!A31,'Final Sheet'!$F$18='Drop Down Options'!Q5,'Final Sheet'!$F$10=Calculations!D31,'Final Sheet'!$F$2&gt;=10),(B46*J146)+(C46*J147)+(D46*J148)+(E46*J149)+(F46*J150)+(G46*J151)+(H46*J152)+(I46*J153)+(J46*J154)+(K46*J155),0)</f>
        <v>0</v>
      </c>
      <c r="F31"/>
      <c r="G31"/>
      <c r="H31"/>
      <c r="I31"/>
      <c r="J31"/>
      <c r="K31"/>
    </row>
    <row r="32" spans="1:11" ht="15.6" thickTop="1" thickBot="1" x14ac:dyDescent="0.35">
      <c r="A32" s="20" t="s">
        <v>170</v>
      </c>
      <c r="B32" s="20" t="s">
        <v>39</v>
      </c>
      <c r="C32" s="20" t="s">
        <v>195</v>
      </c>
      <c r="D32" s="20" t="s">
        <v>169</v>
      </c>
      <c r="E32">
        <f>IF(AND('Final Sheet'!$F$12=Calculations!A32,'Final Sheet'!$F$18=Calculations!B32,'Final Sheet'!$F$10=Calculations!D32,'Final Sheet'!$F$2&lt;10),(B47*E52)+(C47*E53)+(D47*E54)+(E47*E55)+(F47*E56)+(G47*E57)+(H47*E58)+(I47*E59)+(J47*E60)+(K47*E61),0)</f>
        <v>0</v>
      </c>
      <c r="F32"/>
      <c r="G32"/>
      <c r="H32"/>
      <c r="I32"/>
      <c r="J32"/>
      <c r="K32"/>
    </row>
    <row r="33" spans="1:12" ht="15.6" thickTop="1" thickBot="1" x14ac:dyDescent="0.35">
      <c r="A33" s="20" t="s">
        <v>170</v>
      </c>
      <c r="B33" s="20" t="s">
        <v>39</v>
      </c>
      <c r="C33" s="20" t="s">
        <v>209</v>
      </c>
      <c r="D33" s="20" t="s">
        <v>169</v>
      </c>
      <c r="E33">
        <f>IF(AND('Final Sheet'!$F$12=Calculations!A33,'Final Sheet'!$F$18=Calculations!B33,'Final Sheet'!$F$10=Calculations!D33,'Final Sheet'!$F$2&gt;=10),(B47*K52)+(C47*K53)+(D47*K54)+(E47*K55)+(F47*K56)+(G47*K57)+(H47*K58)+(I47*K59)+(J47*K60)+(K47*K61),0)</f>
        <v>0</v>
      </c>
      <c r="F33"/>
      <c r="G33"/>
      <c r="H33"/>
      <c r="I33"/>
      <c r="J33"/>
      <c r="K33"/>
    </row>
    <row r="34" spans="1:12" ht="15.6" thickTop="1" thickBot="1" x14ac:dyDescent="0.35">
      <c r="A34" s="20" t="s">
        <v>170</v>
      </c>
      <c r="B34" s="20" t="s">
        <v>173</v>
      </c>
      <c r="C34" s="20" t="s">
        <v>209</v>
      </c>
      <c r="D34" s="20" t="s">
        <v>169</v>
      </c>
      <c r="E34">
        <f>IF(AND('Final Sheet'!$F$12=Calculations!A34,'Final Sheet'!$F$18='Drop Down Options'!Q3,'Final Sheet'!$F$10=Calculations!D34,'Final Sheet'!$F$2&gt;=10),(B47*K79)+(C47*K80)+(D47*K81)+(E47*K82)+(F47*K83)+(G47*K84)+(H47*K85)+(I47*K86)+(J47*K87)+(K47*K88),0)</f>
        <v>0</v>
      </c>
      <c r="F34"/>
      <c r="G34"/>
      <c r="H34"/>
      <c r="I34"/>
      <c r="J34"/>
      <c r="K34"/>
    </row>
    <row r="35" spans="1:12" ht="15.6" thickTop="1" thickBot="1" x14ac:dyDescent="0.35">
      <c r="A35" s="20" t="s">
        <v>170</v>
      </c>
      <c r="B35" s="20" t="s">
        <v>174</v>
      </c>
      <c r="C35" s="20" t="s">
        <v>209</v>
      </c>
      <c r="D35" s="20" t="s">
        <v>169</v>
      </c>
      <c r="E35">
        <f>IF(AND('Final Sheet'!$F$12=Calculations!A35,'Final Sheet'!$F$18='Drop Down Options'!Q4,'Final Sheet'!$F$10=Calculations!D35,'Final Sheet'!$F$2&gt;=10),(B47*K106)+(C47*K107)+(D47*K108)+(E47*K109)+(F47*K110)+(G47*K111)+(H47*K112)+(I47*K113)+(J47*K114)+(K47*K115),0)</f>
        <v>0</v>
      </c>
      <c r="F35"/>
      <c r="G35"/>
      <c r="H35"/>
      <c r="I35"/>
      <c r="J35"/>
      <c r="K35"/>
    </row>
    <row r="36" spans="1:12" ht="15.6" thickTop="1" thickBot="1" x14ac:dyDescent="0.35">
      <c r="A36" s="20" t="s">
        <v>170</v>
      </c>
      <c r="B36" s="20" t="s">
        <v>175</v>
      </c>
      <c r="C36" s="20" t="s">
        <v>209</v>
      </c>
      <c r="D36" s="20" t="s">
        <v>169</v>
      </c>
      <c r="E36">
        <f>IF(AND('Final Sheet'!$F$12=Calculations!A36,'Final Sheet'!$F$18='Drop Down Options'!Q5,'Final Sheet'!$F$10=Calculations!D36,'Final Sheet'!$F$2&gt;=10),(B47*K133)+(C47*K134)+(D47*K135)+(E47*K136)+(F47*K137)+(G47*K138)+(H47*K139)+(I47*K140)+(J47*K141)+(K47*K142),0)</f>
        <v>0</v>
      </c>
      <c r="F36"/>
      <c r="G36"/>
      <c r="H36"/>
      <c r="I36"/>
      <c r="J36"/>
      <c r="K36"/>
    </row>
    <row r="37" spans="1:12" ht="15.6" thickTop="1" thickBot="1" x14ac:dyDescent="0.35">
      <c r="A37" s="20" t="s">
        <v>36</v>
      </c>
      <c r="B37" s="20" t="s">
        <v>39</v>
      </c>
      <c r="C37" s="20" t="s">
        <v>195</v>
      </c>
      <c r="D37" s="20" t="s">
        <v>169</v>
      </c>
      <c r="E37">
        <f>IF(AND('Final Sheet'!$F$12=Calculations!A37,'Final Sheet'!$F$18=Calculations!B37,'Final Sheet'!$F$10=Calculations!D37,'Final Sheet'!$F$2&lt;10),(B47*E65)+(C47*E66)+(D47*E67)+(E47*E68)+(F47*E69)+(G47*E70)+(H47*E71)+(I47*E72)+(J47*E73)+(K47*E74),0)</f>
        <v>0</v>
      </c>
      <c r="F37"/>
      <c r="G37"/>
      <c r="H37"/>
      <c r="I37"/>
      <c r="J37"/>
      <c r="K37"/>
    </row>
    <row r="38" spans="1:12" ht="15.6" thickTop="1" thickBot="1" x14ac:dyDescent="0.35">
      <c r="A38" s="20" t="s">
        <v>36</v>
      </c>
      <c r="B38" s="20" t="s">
        <v>39</v>
      </c>
      <c r="C38" s="20" t="s">
        <v>209</v>
      </c>
      <c r="D38" s="20" t="s">
        <v>169</v>
      </c>
      <c r="E38">
        <f>IF(AND('Final Sheet'!$F$12=Calculations!A38,'Final Sheet'!$F$18=Calculations!B38,'Final Sheet'!$F$10=Calculations!D38,'Final Sheet'!$F$2&gt;=10),(B47*K65)+(C47*K66)+(D47*K67)+(E47*K68)+(F47*K69)+(G47*K70)+(H47*K71)+(I47*K72)+(J47*K73)+(K47*K74),0)</f>
        <v>0</v>
      </c>
      <c r="F38"/>
      <c r="G38"/>
      <c r="H38"/>
      <c r="I38"/>
      <c r="J38"/>
      <c r="K38"/>
    </row>
    <row r="39" spans="1:12" ht="15.6" thickTop="1" thickBot="1" x14ac:dyDescent="0.35">
      <c r="A39" s="20" t="s">
        <v>36</v>
      </c>
      <c r="B39" s="20" t="s">
        <v>173</v>
      </c>
      <c r="C39" s="20" t="s">
        <v>209</v>
      </c>
      <c r="D39" s="20" t="s">
        <v>169</v>
      </c>
      <c r="E39">
        <f>IF(AND('Final Sheet'!$F$12=Calculations!A39,'Final Sheet'!$F$18='Drop Down Options'!Q3,'Final Sheet'!$F$10=Calculations!D39,'Final Sheet'!$F$2&gt;=10),(B47*K92)+(C47*K93)+(D47*K94)+(E47*K95)+(F47*K96)+(G47*K97)+(H47*K98)+(I47*K99)+(J47*K100)+(K47*K101),0)</f>
        <v>0</v>
      </c>
      <c r="F39"/>
      <c r="G39"/>
      <c r="H39"/>
      <c r="I39"/>
      <c r="J39"/>
      <c r="K39"/>
    </row>
    <row r="40" spans="1:12" ht="15.6" thickTop="1" thickBot="1" x14ac:dyDescent="0.35">
      <c r="A40" s="20" t="s">
        <v>36</v>
      </c>
      <c r="B40" s="20" t="s">
        <v>174</v>
      </c>
      <c r="C40" s="20" t="s">
        <v>209</v>
      </c>
      <c r="D40" s="20" t="s">
        <v>169</v>
      </c>
      <c r="E40">
        <f>IF(AND('Final Sheet'!$F$12=Calculations!A40,'Final Sheet'!$F$18='Drop Down Options'!Q4,'Final Sheet'!$F$10=Calculations!D40,'Final Sheet'!$F$2&gt;=10),(B47*K119)+(C47*K120)+(D47*K121)+(E47*K122)+(F47*K123)+(G47*K124)+(H47*K125)+(I47*K126)+(J47*K127)+(K47*K128),0)</f>
        <v>0</v>
      </c>
      <c r="F40"/>
      <c r="G40"/>
      <c r="H40"/>
      <c r="I40"/>
      <c r="J40"/>
      <c r="K40"/>
    </row>
    <row r="41" spans="1:12" ht="15.6" thickTop="1" thickBot="1" x14ac:dyDescent="0.35">
      <c r="A41" s="20" t="s">
        <v>36</v>
      </c>
      <c r="B41" s="20" t="s">
        <v>175</v>
      </c>
      <c r="C41" s="20" t="s">
        <v>209</v>
      </c>
      <c r="D41" s="20" t="s">
        <v>169</v>
      </c>
      <c r="E41">
        <f>IF(AND('Final Sheet'!$F$12=Calculations!A41,'Final Sheet'!$F$18='Drop Down Options'!Q5,'Final Sheet'!$F$10=Calculations!D41,'Final Sheet'!$F$2&gt;=10),(B47*K146)+(C47*K147)+(D47*K148)+(E47*K149)+(F47*K150)+(G47*K151)+(H47*K152)+(I47*K153)+(J47*K154)+(K47*K155),0)</f>
        <v>0</v>
      </c>
      <c r="F41"/>
      <c r="G41"/>
      <c r="H41"/>
      <c r="I41"/>
      <c r="J41"/>
      <c r="K41"/>
    </row>
    <row r="42" spans="1:12" ht="15" thickTop="1" x14ac:dyDescent="0.3">
      <c r="A42"/>
      <c r="B42"/>
      <c r="C42"/>
      <c r="D42"/>
      <c r="E42"/>
      <c r="F42"/>
      <c r="G42"/>
      <c r="H42"/>
      <c r="I42"/>
      <c r="J42"/>
      <c r="K42"/>
    </row>
    <row r="43" spans="1:12" x14ac:dyDescent="0.3">
      <c r="A43" t="str">
        <f>'Final Sheet'!A25</f>
        <v>Age Band</v>
      </c>
      <c r="B43" t="str">
        <f>'Final Sheet'!B25</f>
        <v>Upto 20 Yrs</v>
      </c>
      <c r="C43" t="str">
        <f>'Final Sheet'!C25</f>
        <v>21-25</v>
      </c>
      <c r="D43" t="str">
        <f>'Final Sheet'!D25</f>
        <v>26-30</v>
      </c>
      <c r="E43" t="str">
        <f>'Final Sheet'!E25</f>
        <v>31-35</v>
      </c>
      <c r="F43" t="str">
        <f>'Final Sheet'!F25</f>
        <v>36-40</v>
      </c>
      <c r="G43" t="str">
        <f>'Final Sheet'!G25</f>
        <v>41-45</v>
      </c>
      <c r="H43" t="str">
        <f>'Final Sheet'!H25</f>
        <v>46-50</v>
      </c>
      <c r="I43" t="str">
        <f>'Final Sheet'!I25</f>
        <v>51-55</v>
      </c>
      <c r="J43" t="str">
        <f>'Final Sheet'!J25</f>
        <v>56-60</v>
      </c>
      <c r="K43" t="str">
        <f>'Final Sheet'!K25</f>
        <v>61-65</v>
      </c>
    </row>
    <row r="44" spans="1:12" x14ac:dyDescent="0.3">
      <c r="A44" t="str">
        <f>'Final Sheet'!A26</f>
        <v>1 Lac</v>
      </c>
      <c r="B44">
        <f>'Final Sheet'!B26</f>
        <v>0</v>
      </c>
      <c r="C44">
        <f>'Final Sheet'!C26</f>
        <v>0</v>
      </c>
      <c r="D44">
        <f>'Final Sheet'!D26</f>
        <v>0</v>
      </c>
      <c r="E44">
        <f>'Final Sheet'!E26</f>
        <v>0</v>
      </c>
      <c r="F44">
        <f>'Final Sheet'!F26</f>
        <v>0</v>
      </c>
      <c r="G44">
        <f>'Final Sheet'!G26</f>
        <v>0</v>
      </c>
      <c r="H44">
        <f>'Final Sheet'!H26</f>
        <v>0</v>
      </c>
      <c r="I44">
        <f>'Final Sheet'!I26</f>
        <v>0</v>
      </c>
      <c r="J44">
        <f>'Final Sheet'!J26</f>
        <v>0</v>
      </c>
      <c r="K44">
        <f>'Final Sheet'!K26</f>
        <v>0</v>
      </c>
      <c r="L44" s="14">
        <f>SUM(B44:K44)</f>
        <v>0</v>
      </c>
    </row>
    <row r="45" spans="1:12" x14ac:dyDescent="0.3">
      <c r="A45" t="str">
        <f>'Final Sheet'!A27</f>
        <v>2 Lacs</v>
      </c>
      <c r="B45">
        <f>'Final Sheet'!B27</f>
        <v>0</v>
      </c>
      <c r="C45">
        <f>'Final Sheet'!C27</f>
        <v>0</v>
      </c>
      <c r="D45">
        <f>'Final Sheet'!D27</f>
        <v>0</v>
      </c>
      <c r="E45">
        <f>'Final Sheet'!E27</f>
        <v>0</v>
      </c>
      <c r="F45">
        <f>'Final Sheet'!F27</f>
        <v>0</v>
      </c>
      <c r="G45">
        <f>'Final Sheet'!G27</f>
        <v>0</v>
      </c>
      <c r="H45">
        <f>'Final Sheet'!H27</f>
        <v>0</v>
      </c>
      <c r="I45">
        <f>'Final Sheet'!I27</f>
        <v>0</v>
      </c>
      <c r="J45">
        <f>'Final Sheet'!J27</f>
        <v>0</v>
      </c>
      <c r="K45">
        <f>'Final Sheet'!K27</f>
        <v>0</v>
      </c>
      <c r="L45" s="14">
        <f>SUM(B45:K45)</f>
        <v>0</v>
      </c>
    </row>
    <row r="46" spans="1:12" x14ac:dyDescent="0.3">
      <c r="A46" t="str">
        <f>'Final Sheet'!A28</f>
        <v>3 Lacs</v>
      </c>
      <c r="B46">
        <f>'Final Sheet'!B28</f>
        <v>17</v>
      </c>
      <c r="C46">
        <f>'Final Sheet'!C28</f>
        <v>0</v>
      </c>
      <c r="D46">
        <f>'Final Sheet'!D28</f>
        <v>10</v>
      </c>
      <c r="E46">
        <f>'Final Sheet'!E28</f>
        <v>4</v>
      </c>
      <c r="F46">
        <f>'Final Sheet'!F28</f>
        <v>10</v>
      </c>
      <c r="G46">
        <f>'Final Sheet'!G28</f>
        <v>5</v>
      </c>
      <c r="H46">
        <f>'Final Sheet'!H28</f>
        <v>3</v>
      </c>
      <c r="I46">
        <f>'Final Sheet'!I28</f>
        <v>4</v>
      </c>
      <c r="J46">
        <f>'Final Sheet'!J28</f>
        <v>0</v>
      </c>
      <c r="K46">
        <f>'Final Sheet'!K28</f>
        <v>0</v>
      </c>
      <c r="L46" s="14">
        <f>SUM(B46:K46)</f>
        <v>53</v>
      </c>
    </row>
    <row r="47" spans="1:12" x14ac:dyDescent="0.3">
      <c r="A47" t="str">
        <f>'Final Sheet'!A29</f>
        <v>5 Lacs</v>
      </c>
      <c r="B47">
        <f>'Final Sheet'!B29</f>
        <v>0</v>
      </c>
      <c r="C47">
        <f>'Final Sheet'!C29</f>
        <v>0</v>
      </c>
      <c r="D47">
        <f>'Final Sheet'!D29</f>
        <v>0</v>
      </c>
      <c r="E47">
        <f>'Final Sheet'!E29</f>
        <v>0</v>
      </c>
      <c r="F47">
        <f>'Final Sheet'!F29</f>
        <v>0</v>
      </c>
      <c r="G47">
        <f>'Final Sheet'!G29</f>
        <v>0</v>
      </c>
      <c r="H47">
        <f>'Final Sheet'!H29</f>
        <v>0</v>
      </c>
      <c r="I47">
        <f>'Final Sheet'!I29</f>
        <v>0</v>
      </c>
      <c r="J47">
        <f>'Final Sheet'!J29</f>
        <v>0</v>
      </c>
      <c r="K47">
        <f>'Final Sheet'!K29</f>
        <v>0</v>
      </c>
      <c r="L47" s="14">
        <f>SUM(B47:K47)</f>
        <v>0</v>
      </c>
    </row>
    <row r="48" spans="1:12" ht="15" thickBot="1" x14ac:dyDescent="0.35">
      <c r="A48"/>
      <c r="B48"/>
      <c r="C48"/>
      <c r="D48"/>
      <c r="E48"/>
      <c r="F48"/>
      <c r="G48"/>
      <c r="H48"/>
      <c r="I48"/>
      <c r="J48"/>
      <c r="K48"/>
    </row>
    <row r="49" spans="1:12" ht="15.6" thickTop="1" thickBot="1" x14ac:dyDescent="0.35">
      <c r="A49" s="202" t="s">
        <v>190</v>
      </c>
      <c r="B49" s="202"/>
      <c r="C49" s="202"/>
      <c r="D49" s="202"/>
      <c r="E49" s="202"/>
      <c r="F49" s="202"/>
      <c r="G49" s="202"/>
      <c r="H49" s="202"/>
      <c r="I49" s="202"/>
      <c r="J49" s="202"/>
      <c r="K49" s="202"/>
      <c r="L49" s="15"/>
    </row>
    <row r="50" spans="1:12" ht="15.6" thickTop="1" thickBot="1" x14ac:dyDescent="0.35">
      <c r="A50" s="201" t="s">
        <v>10</v>
      </c>
      <c r="B50" s="201"/>
      <c r="C50" s="201"/>
      <c r="D50" s="201"/>
      <c r="E50" s="201"/>
      <c r="F50"/>
      <c r="G50" s="201" t="s">
        <v>15</v>
      </c>
      <c r="H50" s="201"/>
      <c r="I50" s="201"/>
      <c r="J50" s="201"/>
      <c r="K50" s="201"/>
      <c r="L50" s="16"/>
    </row>
    <row r="51" spans="1:12" ht="15.6" thickTop="1" thickBot="1" x14ac:dyDescent="0.35">
      <c r="A51" s="13"/>
      <c r="B51" s="13" t="s">
        <v>11</v>
      </c>
      <c r="C51" s="13" t="s">
        <v>12</v>
      </c>
      <c r="D51" s="13" t="s">
        <v>13</v>
      </c>
      <c r="E51" s="13" t="s">
        <v>14</v>
      </c>
      <c r="F51"/>
      <c r="G51" s="13"/>
      <c r="H51" s="13" t="s">
        <v>11</v>
      </c>
      <c r="I51" s="13" t="s">
        <v>12</v>
      </c>
      <c r="J51" s="13" t="s">
        <v>13</v>
      </c>
      <c r="K51" s="13" t="s">
        <v>14</v>
      </c>
      <c r="L51" s="16"/>
    </row>
    <row r="52" spans="1:12" ht="15.6" thickTop="1" thickBot="1" x14ac:dyDescent="0.35">
      <c r="A52" s="20" t="s">
        <v>9</v>
      </c>
      <c r="B52" s="21">
        <f>'Age Band Raters'!C4</f>
        <v>1086</v>
      </c>
      <c r="C52" s="21">
        <f>'Age Band Raters'!D4</f>
        <v>1270</v>
      </c>
      <c r="D52" s="21">
        <f>'Age Band Raters'!E4</f>
        <v>1392</v>
      </c>
      <c r="E52" s="21">
        <f>'Age Band Raters'!F4</f>
        <v>1562</v>
      </c>
      <c r="F52"/>
      <c r="G52" s="20" t="s">
        <v>9</v>
      </c>
      <c r="H52" s="21">
        <f>'Age Band Raters'!I4</f>
        <v>1587</v>
      </c>
      <c r="I52" s="21">
        <f>'Age Band Raters'!J4</f>
        <v>1857</v>
      </c>
      <c r="J52" s="21">
        <f>'Age Band Raters'!K4</f>
        <v>2035</v>
      </c>
      <c r="K52" s="21">
        <f>'Age Band Raters'!L4</f>
        <v>2283</v>
      </c>
      <c r="L52" s="17"/>
    </row>
    <row r="53" spans="1:12" ht="15.6" thickTop="1" thickBot="1" x14ac:dyDescent="0.35">
      <c r="A53" s="20" t="s">
        <v>0</v>
      </c>
      <c r="B53" s="21">
        <f>'Age Band Raters'!C5</f>
        <v>1710</v>
      </c>
      <c r="C53" s="21">
        <f>'Age Band Raters'!D5</f>
        <v>2000</v>
      </c>
      <c r="D53" s="21">
        <f>'Age Band Raters'!E5</f>
        <v>2192</v>
      </c>
      <c r="E53" s="21">
        <f>'Age Band Raters'!F5</f>
        <v>2460</v>
      </c>
      <c r="F53"/>
      <c r="G53" s="20" t="s">
        <v>0</v>
      </c>
      <c r="H53" s="21">
        <f>'Age Band Raters'!I5</f>
        <v>2500</v>
      </c>
      <c r="I53" s="21">
        <f>'Age Band Raters'!J5</f>
        <v>2924</v>
      </c>
      <c r="J53" s="21">
        <f>'Age Band Raters'!K5</f>
        <v>3204</v>
      </c>
      <c r="K53" s="21">
        <f>'Age Band Raters'!L5</f>
        <v>3596</v>
      </c>
      <c r="L53" s="17"/>
    </row>
    <row r="54" spans="1:12" ht="15.6" thickTop="1" thickBot="1" x14ac:dyDescent="0.35">
      <c r="A54" s="20" t="s">
        <v>1</v>
      </c>
      <c r="B54" s="21">
        <f>'Age Band Raters'!C6</f>
        <v>1802</v>
      </c>
      <c r="C54" s="21">
        <f>'Age Band Raters'!D6</f>
        <v>2107</v>
      </c>
      <c r="D54" s="21">
        <f>'Age Band Raters'!E6</f>
        <v>2309</v>
      </c>
      <c r="E54" s="21">
        <f>'Age Band Raters'!F6</f>
        <v>2592</v>
      </c>
      <c r="F54"/>
      <c r="G54" s="20" t="s">
        <v>1</v>
      </c>
      <c r="H54" s="21">
        <f>'Age Band Raters'!I6</f>
        <v>2634</v>
      </c>
      <c r="I54" s="21">
        <f>'Age Band Raters'!J6</f>
        <v>3080</v>
      </c>
      <c r="J54" s="21">
        <f>'Age Band Raters'!K6</f>
        <v>3376</v>
      </c>
      <c r="K54" s="21">
        <f>'Age Band Raters'!L6</f>
        <v>3788</v>
      </c>
      <c r="L54" s="17"/>
    </row>
    <row r="55" spans="1:12" ht="15.6" thickTop="1" thickBot="1" x14ac:dyDescent="0.35">
      <c r="A55" s="20" t="s">
        <v>2</v>
      </c>
      <c r="B55" s="21">
        <f>'Age Band Raters'!C7</f>
        <v>1959</v>
      </c>
      <c r="C55" s="21">
        <f>'Age Band Raters'!D7</f>
        <v>2291</v>
      </c>
      <c r="D55" s="21">
        <f>'Age Band Raters'!E7</f>
        <v>2511</v>
      </c>
      <c r="E55" s="21">
        <f>'Age Band Raters'!F7</f>
        <v>2818</v>
      </c>
      <c r="F55"/>
      <c r="G55" s="20" t="s">
        <v>2</v>
      </c>
      <c r="H55" s="21">
        <f>'Age Band Raters'!I7</f>
        <v>2864</v>
      </c>
      <c r="I55" s="21">
        <f>'Age Band Raters'!J7</f>
        <v>3350</v>
      </c>
      <c r="J55" s="21">
        <f>'Age Band Raters'!K7</f>
        <v>3671</v>
      </c>
      <c r="K55" s="21">
        <f>'Age Band Raters'!L7</f>
        <v>4120</v>
      </c>
      <c r="L55" s="17"/>
    </row>
    <row r="56" spans="1:12" ht="15.6" thickTop="1" thickBot="1" x14ac:dyDescent="0.35">
      <c r="A56" s="20" t="s">
        <v>3</v>
      </c>
      <c r="B56" s="21">
        <f>'Age Band Raters'!C8</f>
        <v>2209</v>
      </c>
      <c r="C56" s="21">
        <f>'Age Band Raters'!D8</f>
        <v>2583</v>
      </c>
      <c r="D56" s="21">
        <f>'Age Band Raters'!E8</f>
        <v>2831</v>
      </c>
      <c r="E56" s="21">
        <f>'Age Band Raters'!F8</f>
        <v>3177</v>
      </c>
      <c r="F56"/>
      <c r="G56" s="20" t="s">
        <v>3</v>
      </c>
      <c r="H56" s="21">
        <f>'Age Band Raters'!I8</f>
        <v>3229</v>
      </c>
      <c r="I56" s="21">
        <f>'Age Band Raters'!J8</f>
        <v>3777</v>
      </c>
      <c r="J56" s="21">
        <f>'Age Band Raters'!K8</f>
        <v>4139</v>
      </c>
      <c r="K56" s="21">
        <f>'Age Band Raters'!L8</f>
        <v>4645</v>
      </c>
      <c r="L56" s="17"/>
    </row>
    <row r="57" spans="1:12" ht="15.6" thickTop="1" thickBot="1" x14ac:dyDescent="0.35">
      <c r="A57" s="20" t="s">
        <v>4</v>
      </c>
      <c r="B57" s="21">
        <f>'Age Band Raters'!C9</f>
        <v>2673</v>
      </c>
      <c r="C57" s="21">
        <f>'Age Band Raters'!D9</f>
        <v>3126</v>
      </c>
      <c r="D57" s="21">
        <f>'Age Band Raters'!E9</f>
        <v>3426</v>
      </c>
      <c r="E57" s="21">
        <f>'Age Band Raters'!F9</f>
        <v>3845</v>
      </c>
      <c r="F57"/>
      <c r="G57" s="20" t="s">
        <v>4</v>
      </c>
      <c r="H57" s="21">
        <f>'Age Band Raters'!I9</f>
        <v>3907</v>
      </c>
      <c r="I57" s="21">
        <f>'Age Band Raters'!J9</f>
        <v>4570</v>
      </c>
      <c r="J57" s="21">
        <f>'Age Band Raters'!K9</f>
        <v>5009</v>
      </c>
      <c r="K57" s="21">
        <f>'Age Band Raters'!L9</f>
        <v>5621</v>
      </c>
      <c r="L57" s="17"/>
    </row>
    <row r="58" spans="1:12" ht="15.6" thickTop="1" thickBot="1" x14ac:dyDescent="0.35">
      <c r="A58" s="20" t="s">
        <v>5</v>
      </c>
      <c r="B58" s="21">
        <f>'Age Band Raters'!C10</f>
        <v>3273</v>
      </c>
      <c r="C58" s="21">
        <f>'Age Band Raters'!D10</f>
        <v>3828</v>
      </c>
      <c r="D58" s="21">
        <f>'Age Band Raters'!E10</f>
        <v>4196</v>
      </c>
      <c r="E58" s="21">
        <f>'Age Band Raters'!F10</f>
        <v>4708</v>
      </c>
      <c r="F58"/>
      <c r="G58" s="20" t="s">
        <v>5</v>
      </c>
      <c r="H58" s="21">
        <f>'Age Band Raters'!I10</f>
        <v>4785</v>
      </c>
      <c r="I58" s="21">
        <f>'Age Band Raters'!J10</f>
        <v>5597</v>
      </c>
      <c r="J58" s="21">
        <f>'Age Band Raters'!K10</f>
        <v>6133</v>
      </c>
      <c r="K58" s="21">
        <f>'Age Band Raters'!L10</f>
        <v>6883</v>
      </c>
      <c r="L58" s="17"/>
    </row>
    <row r="59" spans="1:12" ht="15.6" thickTop="1" thickBot="1" x14ac:dyDescent="0.35">
      <c r="A59" s="20" t="s">
        <v>6</v>
      </c>
      <c r="B59" s="21">
        <f>'Age Band Raters'!C11</f>
        <v>4172</v>
      </c>
      <c r="C59" s="21">
        <f>'Age Band Raters'!D11</f>
        <v>4880</v>
      </c>
      <c r="D59" s="21">
        <f>'Age Band Raters'!E11</f>
        <v>5348</v>
      </c>
      <c r="E59" s="21">
        <f>'Age Band Raters'!F11</f>
        <v>6001</v>
      </c>
      <c r="F59"/>
      <c r="G59" s="20" t="s">
        <v>6</v>
      </c>
      <c r="H59" s="21">
        <f>'Age Band Raters'!I11</f>
        <v>6099</v>
      </c>
      <c r="I59" s="21">
        <f>'Age Band Raters'!J11</f>
        <v>7133</v>
      </c>
      <c r="J59" s="21">
        <f>'Age Band Raters'!K11</f>
        <v>7818</v>
      </c>
      <c r="K59" s="21">
        <f>'Age Band Raters'!L11</f>
        <v>8773</v>
      </c>
      <c r="L59" s="17"/>
    </row>
    <row r="60" spans="1:12" ht="15.6" thickTop="1" thickBot="1" x14ac:dyDescent="0.35">
      <c r="A60" s="20" t="s">
        <v>7</v>
      </c>
      <c r="B60" s="21">
        <f>'Age Band Raters'!C12</f>
        <v>5490</v>
      </c>
      <c r="C60" s="21">
        <f>'Age Band Raters'!D12</f>
        <v>6421</v>
      </c>
      <c r="D60" s="21">
        <f>'Age Band Raters'!E12</f>
        <v>7037</v>
      </c>
      <c r="E60" s="21">
        <f>'Age Band Raters'!F12</f>
        <v>7897</v>
      </c>
      <c r="F60"/>
      <c r="G60" s="20" t="s">
        <v>7</v>
      </c>
      <c r="H60" s="21">
        <f>'Age Band Raters'!I12</f>
        <v>8025</v>
      </c>
      <c r="I60" s="21">
        <f>'Age Band Raters'!J12</f>
        <v>9387</v>
      </c>
      <c r="J60" s="21">
        <f>'Age Band Raters'!K12</f>
        <v>10287</v>
      </c>
      <c r="K60" s="21">
        <f>'Age Band Raters'!L12</f>
        <v>11544</v>
      </c>
      <c r="L60" s="17"/>
    </row>
    <row r="61" spans="1:12" ht="15.6" thickTop="1" thickBot="1" x14ac:dyDescent="0.35">
      <c r="A61" s="20" t="s">
        <v>8</v>
      </c>
      <c r="B61" s="21">
        <f>'Age Band Raters'!C13</f>
        <v>7465</v>
      </c>
      <c r="C61" s="21">
        <f>'Age Band Raters'!D13</f>
        <v>8732</v>
      </c>
      <c r="D61" s="21">
        <f>'Age Band Raters'!E13</f>
        <v>9570</v>
      </c>
      <c r="E61" s="21">
        <f>'Age Band Raters'!F13</f>
        <v>10739</v>
      </c>
      <c r="F61"/>
      <c r="G61" s="20" t="s">
        <v>8</v>
      </c>
      <c r="H61" s="21">
        <f>'Age Band Raters'!I13</f>
        <v>10914</v>
      </c>
      <c r="I61" s="21">
        <f>'Age Band Raters'!J13</f>
        <v>12765</v>
      </c>
      <c r="J61" s="21">
        <f>'Age Band Raters'!K13</f>
        <v>13990</v>
      </c>
      <c r="K61" s="21">
        <f>'Age Band Raters'!L13</f>
        <v>15699</v>
      </c>
      <c r="L61" s="17"/>
    </row>
    <row r="62" spans="1:12" ht="15.6" thickTop="1" thickBot="1" x14ac:dyDescent="0.35">
      <c r="A62"/>
      <c r="B62"/>
      <c r="C62"/>
      <c r="D62"/>
      <c r="E62"/>
      <c r="F62"/>
      <c r="G62"/>
      <c r="H62"/>
      <c r="I62"/>
      <c r="J62"/>
      <c r="K62"/>
    </row>
    <row r="63" spans="1:12" ht="15.6" thickTop="1" thickBot="1" x14ac:dyDescent="0.35">
      <c r="A63" s="200" t="s">
        <v>17</v>
      </c>
      <c r="B63" s="200"/>
      <c r="C63" s="200"/>
      <c r="D63" s="200"/>
      <c r="E63" s="200"/>
      <c r="F63"/>
      <c r="G63" s="200" t="s">
        <v>16</v>
      </c>
      <c r="H63" s="200"/>
      <c r="I63" s="200"/>
      <c r="J63" s="200"/>
      <c r="K63" s="200"/>
      <c r="L63" s="16"/>
    </row>
    <row r="64" spans="1:12" ht="15.6" thickTop="1" thickBot="1" x14ac:dyDescent="0.35">
      <c r="A64" s="18"/>
      <c r="B64" s="13" t="s">
        <v>11</v>
      </c>
      <c r="C64" s="13" t="s">
        <v>12</v>
      </c>
      <c r="D64" s="13" t="s">
        <v>13</v>
      </c>
      <c r="E64" s="13" t="s">
        <v>14</v>
      </c>
      <c r="F64"/>
      <c r="G64" s="13"/>
      <c r="H64" s="13" t="s">
        <v>11</v>
      </c>
      <c r="I64" s="13" t="s">
        <v>12</v>
      </c>
      <c r="J64" s="13" t="s">
        <v>13</v>
      </c>
      <c r="K64" s="13" t="s">
        <v>14</v>
      </c>
      <c r="L64" s="16"/>
    </row>
    <row r="65" spans="1:12" ht="15.6" thickTop="1" thickBot="1" x14ac:dyDescent="0.35">
      <c r="A65" s="20" t="s">
        <v>9</v>
      </c>
      <c r="B65" s="21">
        <f>'Age Band Raters'!C17</f>
        <v>923</v>
      </c>
      <c r="C65" s="21">
        <f>'Age Band Raters'!D17</f>
        <v>1080</v>
      </c>
      <c r="D65" s="21">
        <f>'Age Band Raters'!E17</f>
        <v>1183</v>
      </c>
      <c r="E65" s="21">
        <f>'Age Band Raters'!F17</f>
        <v>1328</v>
      </c>
      <c r="F65"/>
      <c r="G65" s="20" t="s">
        <v>9</v>
      </c>
      <c r="H65" s="21">
        <f>'Age Band Raters'!I17</f>
        <v>1349</v>
      </c>
      <c r="I65" s="21">
        <f>'Age Band Raters'!J17</f>
        <v>1578</v>
      </c>
      <c r="J65" s="21">
        <f>'Age Band Raters'!K17</f>
        <v>1730</v>
      </c>
      <c r="K65" s="21">
        <f>'Age Band Raters'!L17</f>
        <v>1941</v>
      </c>
      <c r="L65" s="17"/>
    </row>
    <row r="66" spans="1:12" ht="15.6" thickTop="1" thickBot="1" x14ac:dyDescent="0.35">
      <c r="A66" s="20" t="s">
        <v>0</v>
      </c>
      <c r="B66" s="21">
        <f>'Age Band Raters'!C18</f>
        <v>1453</v>
      </c>
      <c r="C66" s="21">
        <f>'Age Band Raters'!D18</f>
        <v>1700</v>
      </c>
      <c r="D66" s="21">
        <f>'Age Band Raters'!E18</f>
        <v>1863</v>
      </c>
      <c r="E66" s="21">
        <f>'Age Band Raters'!F18</f>
        <v>2091</v>
      </c>
      <c r="F66"/>
      <c r="G66" s="20" t="s">
        <v>0</v>
      </c>
      <c r="H66" s="21">
        <f>'Age Band Raters'!I18</f>
        <v>2125</v>
      </c>
      <c r="I66" s="21">
        <f>'Age Band Raters'!J18</f>
        <v>2485</v>
      </c>
      <c r="J66" s="21">
        <f>'Age Band Raters'!K18</f>
        <v>2723</v>
      </c>
      <c r="K66" s="21">
        <f>'Age Band Raters'!L18</f>
        <v>3056</v>
      </c>
      <c r="L66" s="17"/>
    </row>
    <row r="67" spans="1:12" ht="15.6" thickTop="1" thickBot="1" x14ac:dyDescent="0.35">
      <c r="A67" s="20" t="s">
        <v>1</v>
      </c>
      <c r="B67" s="21">
        <f>'Age Band Raters'!C19</f>
        <v>1531</v>
      </c>
      <c r="C67" s="21">
        <f>'Age Band Raters'!D19</f>
        <v>1791</v>
      </c>
      <c r="D67" s="21">
        <f>'Age Band Raters'!E19</f>
        <v>1963</v>
      </c>
      <c r="E67" s="21">
        <f>'Age Band Raters'!F19</f>
        <v>2203</v>
      </c>
      <c r="F67"/>
      <c r="G67" s="20" t="s">
        <v>1</v>
      </c>
      <c r="H67" s="21">
        <f>'Age Band Raters'!I19</f>
        <v>2239</v>
      </c>
      <c r="I67" s="21">
        <f>'Age Band Raters'!J19</f>
        <v>2618</v>
      </c>
      <c r="J67" s="21">
        <f>'Age Band Raters'!K19</f>
        <v>2870</v>
      </c>
      <c r="K67" s="21">
        <f>'Age Band Raters'!L19</f>
        <v>3220</v>
      </c>
      <c r="L67" s="17"/>
    </row>
    <row r="68" spans="1:12" ht="15.6" thickTop="1" thickBot="1" x14ac:dyDescent="0.35">
      <c r="A68" s="20" t="s">
        <v>2</v>
      </c>
      <c r="B68" s="21">
        <f>'Age Band Raters'!C20</f>
        <v>1665</v>
      </c>
      <c r="C68" s="21">
        <f>'Age Band Raters'!D20</f>
        <v>1948</v>
      </c>
      <c r="D68" s="21">
        <f>'Age Band Raters'!E20</f>
        <v>2135</v>
      </c>
      <c r="E68" s="21">
        <f>'Age Band Raters'!F20</f>
        <v>2395</v>
      </c>
      <c r="F68"/>
      <c r="G68" s="20" t="s">
        <v>2</v>
      </c>
      <c r="H68" s="21">
        <f>'Age Band Raters'!I20</f>
        <v>2434</v>
      </c>
      <c r="I68" s="21">
        <f>'Age Band Raters'!J20</f>
        <v>2847</v>
      </c>
      <c r="J68" s="21">
        <f>'Age Band Raters'!K20</f>
        <v>3120</v>
      </c>
      <c r="K68" s="21">
        <f>'Age Band Raters'!L20</f>
        <v>3502</v>
      </c>
      <c r="L68" s="17"/>
    </row>
    <row r="69" spans="1:12" ht="15.6" thickTop="1" thickBot="1" x14ac:dyDescent="0.35">
      <c r="A69" s="20" t="s">
        <v>3</v>
      </c>
      <c r="B69" s="21">
        <f>'Age Band Raters'!C21</f>
        <v>1877</v>
      </c>
      <c r="C69" s="21">
        <f>'Age Band Raters'!D21</f>
        <v>2196</v>
      </c>
      <c r="D69" s="21">
        <f>'Age Band Raters'!E21</f>
        <v>2407</v>
      </c>
      <c r="E69" s="21">
        <f>'Age Band Raters'!F21</f>
        <v>2701</v>
      </c>
      <c r="F69"/>
      <c r="G69" s="20" t="s">
        <v>3</v>
      </c>
      <c r="H69" s="21">
        <f>'Age Band Raters'!I21</f>
        <v>2744</v>
      </c>
      <c r="I69" s="21">
        <f>'Age Band Raters'!J21</f>
        <v>3210</v>
      </c>
      <c r="J69" s="21">
        <f>'Age Band Raters'!K21</f>
        <v>3518</v>
      </c>
      <c r="K69" s="21">
        <f>'Age Band Raters'!L21</f>
        <v>3948</v>
      </c>
      <c r="L69" s="17"/>
    </row>
    <row r="70" spans="1:12" ht="15.6" thickTop="1" thickBot="1" x14ac:dyDescent="0.35">
      <c r="A70" s="20" t="s">
        <v>4</v>
      </c>
      <c r="B70" s="21">
        <f>'Age Band Raters'!C22</f>
        <v>2272</v>
      </c>
      <c r="C70" s="21">
        <f>'Age Band Raters'!D22</f>
        <v>2657</v>
      </c>
      <c r="D70" s="21">
        <f>'Age Band Raters'!E22</f>
        <v>2912</v>
      </c>
      <c r="E70" s="21">
        <f>'Age Band Raters'!F22</f>
        <v>3268</v>
      </c>
      <c r="F70"/>
      <c r="G70" s="20" t="s">
        <v>4</v>
      </c>
      <c r="H70" s="21">
        <f>'Age Band Raters'!I22</f>
        <v>3321</v>
      </c>
      <c r="I70" s="21">
        <f>'Age Band Raters'!J22</f>
        <v>3885</v>
      </c>
      <c r="J70" s="21">
        <f>'Age Band Raters'!K22</f>
        <v>4257</v>
      </c>
      <c r="K70" s="21">
        <f>'Age Band Raters'!L22</f>
        <v>4778</v>
      </c>
      <c r="L70" s="17"/>
    </row>
    <row r="71" spans="1:12" ht="15.6" thickTop="1" thickBot="1" x14ac:dyDescent="0.35">
      <c r="A71" s="20" t="s">
        <v>5</v>
      </c>
      <c r="B71" s="21">
        <f>'Age Band Raters'!C23</f>
        <v>2782</v>
      </c>
      <c r="C71" s="21">
        <f>'Age Band Raters'!D23</f>
        <v>3254</v>
      </c>
      <c r="D71" s="21">
        <f>'Age Band Raters'!E23</f>
        <v>3566</v>
      </c>
      <c r="E71" s="21">
        <f>'Age Band Raters'!F23</f>
        <v>4002</v>
      </c>
      <c r="F71"/>
      <c r="G71" s="20" t="s">
        <v>5</v>
      </c>
      <c r="H71" s="21">
        <f>'Age Band Raters'!I23</f>
        <v>4067</v>
      </c>
      <c r="I71" s="21">
        <f>'Age Band Raters'!J23</f>
        <v>4757</v>
      </c>
      <c r="J71" s="21">
        <f>'Age Band Raters'!K23</f>
        <v>5213</v>
      </c>
      <c r="K71" s="21">
        <f>'Age Band Raters'!L23</f>
        <v>5850</v>
      </c>
      <c r="L71" s="17"/>
    </row>
    <row r="72" spans="1:12" ht="15.6" thickTop="1" thickBot="1" x14ac:dyDescent="0.35">
      <c r="A72" s="20" t="s">
        <v>6</v>
      </c>
      <c r="B72" s="21">
        <f>'Age Band Raters'!C24</f>
        <v>3546</v>
      </c>
      <c r="C72" s="21">
        <f>'Age Band Raters'!D24</f>
        <v>4148</v>
      </c>
      <c r="D72" s="21">
        <f>'Age Band Raters'!E24</f>
        <v>4546</v>
      </c>
      <c r="E72" s="21">
        <f>'Age Band Raters'!F24</f>
        <v>5101</v>
      </c>
      <c r="F72"/>
      <c r="G72" s="20" t="s">
        <v>6</v>
      </c>
      <c r="H72" s="21">
        <f>'Age Band Raters'!I24</f>
        <v>5184</v>
      </c>
      <c r="I72" s="21">
        <f>'Age Band Raters'!J24</f>
        <v>6063</v>
      </c>
      <c r="J72" s="21">
        <f>'Age Band Raters'!K24</f>
        <v>6645</v>
      </c>
      <c r="K72" s="21">
        <f>'Age Band Raters'!L24</f>
        <v>7457</v>
      </c>
      <c r="L72" s="17"/>
    </row>
    <row r="73" spans="1:12" ht="15.6" thickTop="1" thickBot="1" x14ac:dyDescent="0.35">
      <c r="A73" s="20" t="s">
        <v>7</v>
      </c>
      <c r="B73" s="21">
        <f>'Age Band Raters'!C25</f>
        <v>4666</v>
      </c>
      <c r="C73" s="21">
        <f>'Age Band Raters'!D25</f>
        <v>5458</v>
      </c>
      <c r="D73" s="21">
        <f>'Age Band Raters'!E25</f>
        <v>5981</v>
      </c>
      <c r="E73" s="21">
        <f>'Age Band Raters'!F25</f>
        <v>6712</v>
      </c>
      <c r="F73"/>
      <c r="G73" s="20" t="s">
        <v>7</v>
      </c>
      <c r="H73" s="21">
        <f>'Age Band Raters'!I25</f>
        <v>6821</v>
      </c>
      <c r="I73" s="21">
        <f>'Age Band Raters'!J25</f>
        <v>7979</v>
      </c>
      <c r="J73" s="21">
        <f>'Age Band Raters'!K25</f>
        <v>8744</v>
      </c>
      <c r="K73" s="21">
        <f>'Age Band Raters'!L25</f>
        <v>9812</v>
      </c>
      <c r="L73" s="17"/>
    </row>
    <row r="74" spans="1:12" ht="15.6" thickTop="1" thickBot="1" x14ac:dyDescent="0.35">
      <c r="A74" s="20" t="s">
        <v>8</v>
      </c>
      <c r="B74" s="21">
        <f>'Age Band Raters'!C26</f>
        <v>6346</v>
      </c>
      <c r="C74" s="21">
        <f>'Age Band Raters'!D26</f>
        <v>7422</v>
      </c>
      <c r="D74" s="21">
        <f>'Age Band Raters'!E26</f>
        <v>8134</v>
      </c>
      <c r="E74" s="21">
        <f>'Age Band Raters'!F26</f>
        <v>9128</v>
      </c>
      <c r="F74"/>
      <c r="G74" s="20" t="s">
        <v>8</v>
      </c>
      <c r="H74" s="21">
        <f>'Age Band Raters'!I26</f>
        <v>9276</v>
      </c>
      <c r="I74" s="21">
        <f>'Age Band Raters'!J26</f>
        <v>10850</v>
      </c>
      <c r="J74" s="21">
        <f>'Age Band Raters'!K26</f>
        <v>11891</v>
      </c>
      <c r="K74" s="21">
        <f>'Age Band Raters'!L26</f>
        <v>13344</v>
      </c>
      <c r="L74" s="17"/>
    </row>
    <row r="75" spans="1:12" ht="15.6" thickTop="1" thickBot="1" x14ac:dyDescent="0.35">
      <c r="A75"/>
      <c r="B75"/>
      <c r="C75"/>
      <c r="D75"/>
      <c r="E75"/>
      <c r="F75"/>
      <c r="G75"/>
      <c r="H75"/>
      <c r="I75"/>
      <c r="J75"/>
      <c r="K75"/>
    </row>
    <row r="76" spans="1:12" ht="15.6" thickTop="1" thickBot="1" x14ac:dyDescent="0.35">
      <c r="A76" s="202" t="s">
        <v>191</v>
      </c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15"/>
    </row>
    <row r="77" spans="1:12" ht="15.6" thickTop="1" thickBot="1" x14ac:dyDescent="0.35">
      <c r="A77" s="201" t="s">
        <v>10</v>
      </c>
      <c r="B77" s="201"/>
      <c r="C77" s="201"/>
      <c r="D77" s="201"/>
      <c r="E77" s="201"/>
      <c r="F77"/>
      <c r="G77" s="201" t="s">
        <v>15</v>
      </c>
      <c r="H77" s="201"/>
      <c r="I77" s="201"/>
      <c r="J77" s="201"/>
      <c r="K77" s="201"/>
      <c r="L77" s="16"/>
    </row>
    <row r="78" spans="1:12" ht="15.6" thickTop="1" thickBot="1" x14ac:dyDescent="0.35">
      <c r="A78" s="13"/>
      <c r="B78" s="13" t="s">
        <v>11</v>
      </c>
      <c r="C78" s="13" t="s">
        <v>12</v>
      </c>
      <c r="D78" s="13" t="s">
        <v>13</v>
      </c>
      <c r="E78" s="13" t="s">
        <v>14</v>
      </c>
      <c r="F78"/>
      <c r="G78" s="13"/>
      <c r="H78" s="13" t="s">
        <v>11</v>
      </c>
      <c r="I78" s="13" t="s">
        <v>12</v>
      </c>
      <c r="J78" s="13" t="s">
        <v>13</v>
      </c>
      <c r="K78" s="13" t="s">
        <v>14</v>
      </c>
      <c r="L78" s="16"/>
    </row>
    <row r="79" spans="1:12" ht="15.6" thickTop="1" thickBot="1" x14ac:dyDescent="0.35">
      <c r="A79" s="20" t="s">
        <v>9</v>
      </c>
      <c r="B79" s="21">
        <f>'Age Band Raters'!C31</f>
        <v>1711</v>
      </c>
      <c r="C79" s="21">
        <f>'Age Band Raters'!D31</f>
        <v>1895</v>
      </c>
      <c r="D79" s="21">
        <f>'Age Band Raters'!E31</f>
        <v>2017</v>
      </c>
      <c r="E79" s="21">
        <f>'Age Band Raters'!F31</f>
        <v>2187</v>
      </c>
      <c r="F79"/>
      <c r="G79" s="20" t="s">
        <v>9</v>
      </c>
      <c r="H79" s="21">
        <f>'Age Band Raters'!I31</f>
        <v>2212</v>
      </c>
      <c r="I79" s="21">
        <f>'Age Band Raters'!J31</f>
        <v>2482</v>
      </c>
      <c r="J79" s="21">
        <f>'Age Band Raters'!K31</f>
        <v>2660</v>
      </c>
      <c r="K79" s="21">
        <f>'Age Band Raters'!L31</f>
        <v>2908</v>
      </c>
      <c r="L79" s="17"/>
    </row>
    <row r="80" spans="1:12" ht="15.6" thickTop="1" thickBot="1" x14ac:dyDescent="0.35">
      <c r="A80" s="20" t="s">
        <v>0</v>
      </c>
      <c r="B80" s="21">
        <f>'Age Band Raters'!C32</f>
        <v>2335</v>
      </c>
      <c r="C80" s="21">
        <f>'Age Band Raters'!D32</f>
        <v>2625</v>
      </c>
      <c r="D80" s="21">
        <f>'Age Band Raters'!E32</f>
        <v>2817</v>
      </c>
      <c r="E80" s="21">
        <f>'Age Band Raters'!F32</f>
        <v>3085</v>
      </c>
      <c r="F80"/>
      <c r="G80" s="20" t="s">
        <v>0</v>
      </c>
      <c r="H80" s="21">
        <f>'Age Band Raters'!I32</f>
        <v>3125</v>
      </c>
      <c r="I80" s="21">
        <f>'Age Band Raters'!J32</f>
        <v>3549</v>
      </c>
      <c r="J80" s="21">
        <f>'Age Band Raters'!K32</f>
        <v>3829</v>
      </c>
      <c r="K80" s="21">
        <f>'Age Band Raters'!L32</f>
        <v>4221</v>
      </c>
      <c r="L80" s="17"/>
    </row>
    <row r="81" spans="1:12" ht="15.6" thickTop="1" thickBot="1" x14ac:dyDescent="0.35">
      <c r="A81" s="20" t="s">
        <v>1</v>
      </c>
      <c r="B81" s="21">
        <f>'Age Band Raters'!C33</f>
        <v>2427</v>
      </c>
      <c r="C81" s="21">
        <f>'Age Band Raters'!D33</f>
        <v>2732</v>
      </c>
      <c r="D81" s="21">
        <f>'Age Band Raters'!E33</f>
        <v>2934</v>
      </c>
      <c r="E81" s="21">
        <f>'Age Band Raters'!F33</f>
        <v>3217</v>
      </c>
      <c r="F81"/>
      <c r="G81" s="20" t="s">
        <v>1</v>
      </c>
      <c r="H81" s="21">
        <f>'Age Band Raters'!I33</f>
        <v>3259</v>
      </c>
      <c r="I81" s="21">
        <f>'Age Band Raters'!J33</f>
        <v>3705</v>
      </c>
      <c r="J81" s="21">
        <f>'Age Band Raters'!K33</f>
        <v>4001</v>
      </c>
      <c r="K81" s="21">
        <f>'Age Band Raters'!L33</f>
        <v>4413</v>
      </c>
      <c r="L81" s="17"/>
    </row>
    <row r="82" spans="1:12" ht="15.6" thickTop="1" thickBot="1" x14ac:dyDescent="0.35">
      <c r="A82" s="20" t="s">
        <v>2</v>
      </c>
      <c r="B82" s="21">
        <f>'Age Band Raters'!C34</f>
        <v>2584</v>
      </c>
      <c r="C82" s="21">
        <f>'Age Band Raters'!D34</f>
        <v>2916</v>
      </c>
      <c r="D82" s="21">
        <f>'Age Band Raters'!E34</f>
        <v>3136</v>
      </c>
      <c r="E82" s="21">
        <f>'Age Band Raters'!F34</f>
        <v>3443</v>
      </c>
      <c r="F82"/>
      <c r="G82" s="20" t="s">
        <v>2</v>
      </c>
      <c r="H82" s="21">
        <f>'Age Band Raters'!I34</f>
        <v>3489</v>
      </c>
      <c r="I82" s="21">
        <f>'Age Band Raters'!J34</f>
        <v>3975</v>
      </c>
      <c r="J82" s="21">
        <f>'Age Band Raters'!K34</f>
        <v>4296</v>
      </c>
      <c r="K82" s="21">
        <f>'Age Band Raters'!L34</f>
        <v>4745</v>
      </c>
      <c r="L82" s="17"/>
    </row>
    <row r="83" spans="1:12" ht="15.6" thickTop="1" thickBot="1" x14ac:dyDescent="0.35">
      <c r="A83" s="20" t="s">
        <v>3</v>
      </c>
      <c r="B83" s="21">
        <f>'Age Band Raters'!C35</f>
        <v>2834</v>
      </c>
      <c r="C83" s="21">
        <f>'Age Band Raters'!D35</f>
        <v>3208</v>
      </c>
      <c r="D83" s="21">
        <f>'Age Band Raters'!E35</f>
        <v>3456</v>
      </c>
      <c r="E83" s="21">
        <f>'Age Band Raters'!F35</f>
        <v>3802</v>
      </c>
      <c r="F83"/>
      <c r="G83" s="20" t="s">
        <v>3</v>
      </c>
      <c r="H83" s="21">
        <f>'Age Band Raters'!I35</f>
        <v>3854</v>
      </c>
      <c r="I83" s="21">
        <f>'Age Band Raters'!J35</f>
        <v>4402</v>
      </c>
      <c r="J83" s="21">
        <f>'Age Band Raters'!K35</f>
        <v>4764</v>
      </c>
      <c r="K83" s="21">
        <f>'Age Band Raters'!L35</f>
        <v>5270</v>
      </c>
      <c r="L83" s="17"/>
    </row>
    <row r="84" spans="1:12" ht="15.6" thickTop="1" thickBot="1" x14ac:dyDescent="0.35">
      <c r="A84" s="20" t="s">
        <v>4</v>
      </c>
      <c r="B84" s="21">
        <f>'Age Band Raters'!C36</f>
        <v>3298</v>
      </c>
      <c r="C84" s="21">
        <f>'Age Band Raters'!D36</f>
        <v>3751</v>
      </c>
      <c r="D84" s="21">
        <f>'Age Band Raters'!E36</f>
        <v>4051</v>
      </c>
      <c r="E84" s="21">
        <f>'Age Band Raters'!F36</f>
        <v>4470</v>
      </c>
      <c r="F84"/>
      <c r="G84" s="20" t="s">
        <v>4</v>
      </c>
      <c r="H84" s="21">
        <f>'Age Band Raters'!I36</f>
        <v>4532</v>
      </c>
      <c r="I84" s="21">
        <f>'Age Band Raters'!J36</f>
        <v>5195</v>
      </c>
      <c r="J84" s="21">
        <f>'Age Band Raters'!K36</f>
        <v>5634</v>
      </c>
      <c r="K84" s="21">
        <f>'Age Band Raters'!L36</f>
        <v>6246</v>
      </c>
      <c r="L84" s="17"/>
    </row>
    <row r="85" spans="1:12" ht="15.6" thickTop="1" thickBot="1" x14ac:dyDescent="0.35">
      <c r="A85" s="20" t="s">
        <v>5</v>
      </c>
      <c r="B85" s="21">
        <f>'Age Band Raters'!C37</f>
        <v>3898</v>
      </c>
      <c r="C85" s="21">
        <f>'Age Band Raters'!D37</f>
        <v>4453</v>
      </c>
      <c r="D85" s="21">
        <f>'Age Band Raters'!E37</f>
        <v>4821</v>
      </c>
      <c r="E85" s="21">
        <f>'Age Band Raters'!F37</f>
        <v>5333</v>
      </c>
      <c r="F85"/>
      <c r="G85" s="20" t="s">
        <v>5</v>
      </c>
      <c r="H85" s="21">
        <f>'Age Band Raters'!I37</f>
        <v>5410</v>
      </c>
      <c r="I85" s="21">
        <f>'Age Band Raters'!J37</f>
        <v>6222</v>
      </c>
      <c r="J85" s="21">
        <f>'Age Band Raters'!K37</f>
        <v>6758</v>
      </c>
      <c r="K85" s="21">
        <f>'Age Band Raters'!L37</f>
        <v>7508</v>
      </c>
      <c r="L85" s="17"/>
    </row>
    <row r="86" spans="1:12" ht="15.6" thickTop="1" thickBot="1" x14ac:dyDescent="0.35">
      <c r="A86" s="20" t="s">
        <v>6</v>
      </c>
      <c r="B86" s="21">
        <f>'Age Band Raters'!C38</f>
        <v>4797</v>
      </c>
      <c r="C86" s="21">
        <f>'Age Band Raters'!D38</f>
        <v>5505</v>
      </c>
      <c r="D86" s="21">
        <f>'Age Band Raters'!E38</f>
        <v>5973</v>
      </c>
      <c r="E86" s="21">
        <f>'Age Band Raters'!F38</f>
        <v>6626</v>
      </c>
      <c r="F86"/>
      <c r="G86" s="20" t="s">
        <v>6</v>
      </c>
      <c r="H86" s="21">
        <f>'Age Band Raters'!I38</f>
        <v>6724</v>
      </c>
      <c r="I86" s="21">
        <f>'Age Band Raters'!J38</f>
        <v>7758</v>
      </c>
      <c r="J86" s="21">
        <f>'Age Band Raters'!K38</f>
        <v>8443</v>
      </c>
      <c r="K86" s="21">
        <f>'Age Band Raters'!L38</f>
        <v>9398</v>
      </c>
      <c r="L86" s="17"/>
    </row>
    <row r="87" spans="1:12" ht="15.6" thickTop="1" thickBot="1" x14ac:dyDescent="0.35">
      <c r="A87" s="20" t="s">
        <v>7</v>
      </c>
      <c r="B87" s="21">
        <f>'Age Band Raters'!C39</f>
        <v>6115</v>
      </c>
      <c r="C87" s="21">
        <f>'Age Band Raters'!D39</f>
        <v>7046</v>
      </c>
      <c r="D87" s="21">
        <f>'Age Band Raters'!E39</f>
        <v>7662</v>
      </c>
      <c r="E87" s="21">
        <f>'Age Band Raters'!F39</f>
        <v>8522</v>
      </c>
      <c r="F87"/>
      <c r="G87" s="20" t="s">
        <v>7</v>
      </c>
      <c r="H87" s="21">
        <f>'Age Band Raters'!I39</f>
        <v>8650</v>
      </c>
      <c r="I87" s="21">
        <f>'Age Band Raters'!J39</f>
        <v>10012</v>
      </c>
      <c r="J87" s="21">
        <f>'Age Band Raters'!K39</f>
        <v>10912</v>
      </c>
      <c r="K87" s="21">
        <f>'Age Band Raters'!L39</f>
        <v>12169</v>
      </c>
      <c r="L87" s="17"/>
    </row>
    <row r="88" spans="1:12" ht="15.6" thickTop="1" thickBot="1" x14ac:dyDescent="0.35">
      <c r="A88" s="20" t="s">
        <v>8</v>
      </c>
      <c r="B88" s="21">
        <f>'Age Band Raters'!C40</f>
        <v>8090</v>
      </c>
      <c r="C88" s="21">
        <f>'Age Band Raters'!D40</f>
        <v>9357</v>
      </c>
      <c r="D88" s="21">
        <f>'Age Band Raters'!E40</f>
        <v>10195</v>
      </c>
      <c r="E88" s="21">
        <f>'Age Band Raters'!F40</f>
        <v>11364</v>
      </c>
      <c r="F88"/>
      <c r="G88" s="20" t="s">
        <v>8</v>
      </c>
      <c r="H88" s="21">
        <f>'Age Band Raters'!I40</f>
        <v>11539</v>
      </c>
      <c r="I88" s="21">
        <f>'Age Band Raters'!J40</f>
        <v>13390</v>
      </c>
      <c r="J88" s="21">
        <f>'Age Band Raters'!K40</f>
        <v>14615</v>
      </c>
      <c r="K88" s="21">
        <f>'Age Band Raters'!L40</f>
        <v>16324</v>
      </c>
      <c r="L88" s="17"/>
    </row>
    <row r="89" spans="1:12" ht="15.6" thickTop="1" thickBot="1" x14ac:dyDescent="0.35">
      <c r="A89"/>
      <c r="B89"/>
      <c r="C89"/>
      <c r="D89"/>
      <c r="E89"/>
      <c r="F89"/>
      <c r="G89"/>
      <c r="H89"/>
      <c r="I89"/>
      <c r="J89"/>
      <c r="K89"/>
    </row>
    <row r="90" spans="1:12" ht="15.6" thickTop="1" thickBot="1" x14ac:dyDescent="0.35">
      <c r="A90" s="200" t="s">
        <v>17</v>
      </c>
      <c r="B90" s="200"/>
      <c r="C90" s="200"/>
      <c r="D90" s="200"/>
      <c r="E90" s="200"/>
      <c r="F90"/>
      <c r="G90" s="200" t="s">
        <v>16</v>
      </c>
      <c r="H90" s="200"/>
      <c r="I90" s="200"/>
      <c r="J90" s="200"/>
      <c r="K90" s="200"/>
      <c r="L90" s="16"/>
    </row>
    <row r="91" spans="1:12" ht="15.6" thickTop="1" thickBot="1" x14ac:dyDescent="0.35">
      <c r="A91" s="18"/>
      <c r="B91" s="13" t="s">
        <v>11</v>
      </c>
      <c r="C91" s="13" t="s">
        <v>12</v>
      </c>
      <c r="D91" s="13" t="s">
        <v>13</v>
      </c>
      <c r="E91" s="13" t="s">
        <v>14</v>
      </c>
      <c r="F91"/>
      <c r="G91" s="13"/>
      <c r="H91" s="13" t="s">
        <v>11</v>
      </c>
      <c r="I91" s="13" t="s">
        <v>12</v>
      </c>
      <c r="J91" s="13" t="s">
        <v>13</v>
      </c>
      <c r="K91" s="13" t="s">
        <v>14</v>
      </c>
      <c r="L91" s="16"/>
    </row>
    <row r="92" spans="1:12" ht="15.6" thickTop="1" thickBot="1" x14ac:dyDescent="0.35">
      <c r="A92" s="20" t="s">
        <v>9</v>
      </c>
      <c r="B92" s="21">
        <f>'Age Band Raters'!C44</f>
        <v>1548</v>
      </c>
      <c r="C92" s="21">
        <f>'Age Band Raters'!D44</f>
        <v>1705</v>
      </c>
      <c r="D92" s="21">
        <f>'Age Band Raters'!E44</f>
        <v>1808</v>
      </c>
      <c r="E92" s="21">
        <f>'Age Band Raters'!F44</f>
        <v>1953</v>
      </c>
      <c r="F92"/>
      <c r="G92" s="20" t="s">
        <v>9</v>
      </c>
      <c r="H92" s="21">
        <f>'Age Band Raters'!I44</f>
        <v>1974</v>
      </c>
      <c r="I92" s="21">
        <f>'Age Band Raters'!J44</f>
        <v>2203</v>
      </c>
      <c r="J92" s="21">
        <f>'Age Band Raters'!K44</f>
        <v>2355</v>
      </c>
      <c r="K92" s="21">
        <f>'Age Band Raters'!L44</f>
        <v>2566</v>
      </c>
      <c r="L92" s="17"/>
    </row>
    <row r="93" spans="1:12" ht="15.6" thickTop="1" thickBot="1" x14ac:dyDescent="0.35">
      <c r="A93" s="20" t="s">
        <v>0</v>
      </c>
      <c r="B93" s="21">
        <f>'Age Band Raters'!C45</f>
        <v>2078</v>
      </c>
      <c r="C93" s="21">
        <f>'Age Band Raters'!D45</f>
        <v>2325</v>
      </c>
      <c r="D93" s="21">
        <f>'Age Band Raters'!E45</f>
        <v>2488</v>
      </c>
      <c r="E93" s="21">
        <f>'Age Band Raters'!F45</f>
        <v>2716</v>
      </c>
      <c r="F93"/>
      <c r="G93" s="20" t="s">
        <v>0</v>
      </c>
      <c r="H93" s="21">
        <f>'Age Band Raters'!I45</f>
        <v>2750</v>
      </c>
      <c r="I93" s="21">
        <f>'Age Band Raters'!J45</f>
        <v>3110</v>
      </c>
      <c r="J93" s="21">
        <f>'Age Band Raters'!K45</f>
        <v>3348</v>
      </c>
      <c r="K93" s="21">
        <f>'Age Band Raters'!L45</f>
        <v>3681</v>
      </c>
      <c r="L93" s="17"/>
    </row>
    <row r="94" spans="1:12" ht="15.6" thickTop="1" thickBot="1" x14ac:dyDescent="0.35">
      <c r="A94" s="20" t="s">
        <v>1</v>
      </c>
      <c r="B94" s="21">
        <f>'Age Band Raters'!C46</f>
        <v>2156</v>
      </c>
      <c r="C94" s="21">
        <f>'Age Band Raters'!D46</f>
        <v>2416</v>
      </c>
      <c r="D94" s="21">
        <f>'Age Band Raters'!E46</f>
        <v>2588</v>
      </c>
      <c r="E94" s="21">
        <f>'Age Band Raters'!F46</f>
        <v>2828</v>
      </c>
      <c r="F94"/>
      <c r="G94" s="20" t="s">
        <v>1</v>
      </c>
      <c r="H94" s="21">
        <f>'Age Band Raters'!I46</f>
        <v>2864</v>
      </c>
      <c r="I94" s="21">
        <f>'Age Band Raters'!J46</f>
        <v>3243</v>
      </c>
      <c r="J94" s="21">
        <f>'Age Band Raters'!K46</f>
        <v>3495</v>
      </c>
      <c r="K94" s="21">
        <f>'Age Band Raters'!L46</f>
        <v>3845</v>
      </c>
      <c r="L94" s="17"/>
    </row>
    <row r="95" spans="1:12" ht="15.6" thickTop="1" thickBot="1" x14ac:dyDescent="0.35">
      <c r="A95" s="20" t="s">
        <v>2</v>
      </c>
      <c r="B95" s="21">
        <f>'Age Band Raters'!C47</f>
        <v>2290</v>
      </c>
      <c r="C95" s="21">
        <f>'Age Band Raters'!D47</f>
        <v>2573</v>
      </c>
      <c r="D95" s="21">
        <f>'Age Band Raters'!E47</f>
        <v>2760</v>
      </c>
      <c r="E95" s="21">
        <f>'Age Band Raters'!F47</f>
        <v>3020</v>
      </c>
      <c r="F95"/>
      <c r="G95" s="20" t="s">
        <v>2</v>
      </c>
      <c r="H95" s="21">
        <f>'Age Band Raters'!I47</f>
        <v>3059</v>
      </c>
      <c r="I95" s="21">
        <f>'Age Band Raters'!J47</f>
        <v>3472</v>
      </c>
      <c r="J95" s="21">
        <f>'Age Band Raters'!K47</f>
        <v>3745</v>
      </c>
      <c r="K95" s="21">
        <f>'Age Band Raters'!L47</f>
        <v>4127</v>
      </c>
      <c r="L95" s="17"/>
    </row>
    <row r="96" spans="1:12" ht="15.6" thickTop="1" thickBot="1" x14ac:dyDescent="0.35">
      <c r="A96" s="20" t="s">
        <v>3</v>
      </c>
      <c r="B96" s="21">
        <f>'Age Band Raters'!C48</f>
        <v>2502</v>
      </c>
      <c r="C96" s="21">
        <f>'Age Band Raters'!D48</f>
        <v>2821</v>
      </c>
      <c r="D96" s="21">
        <f>'Age Band Raters'!E48</f>
        <v>3032</v>
      </c>
      <c r="E96" s="21">
        <f>'Age Band Raters'!F48</f>
        <v>3326</v>
      </c>
      <c r="F96"/>
      <c r="G96" s="20" t="s">
        <v>3</v>
      </c>
      <c r="H96" s="21">
        <f>'Age Band Raters'!I48</f>
        <v>3369</v>
      </c>
      <c r="I96" s="21">
        <f>'Age Band Raters'!J48</f>
        <v>3835</v>
      </c>
      <c r="J96" s="21">
        <f>'Age Band Raters'!K48</f>
        <v>4143</v>
      </c>
      <c r="K96" s="21">
        <f>'Age Band Raters'!L48</f>
        <v>4573</v>
      </c>
      <c r="L96" s="17"/>
    </row>
    <row r="97" spans="1:12" ht="15.6" thickTop="1" thickBot="1" x14ac:dyDescent="0.35">
      <c r="A97" s="20" t="s">
        <v>4</v>
      </c>
      <c r="B97" s="21">
        <f>'Age Band Raters'!C49</f>
        <v>2897</v>
      </c>
      <c r="C97" s="21">
        <f>'Age Band Raters'!D49</f>
        <v>3282</v>
      </c>
      <c r="D97" s="21">
        <f>'Age Band Raters'!E49</f>
        <v>3537</v>
      </c>
      <c r="E97" s="21">
        <f>'Age Band Raters'!F49</f>
        <v>3893</v>
      </c>
      <c r="F97"/>
      <c r="G97" s="20" t="s">
        <v>4</v>
      </c>
      <c r="H97" s="21">
        <f>'Age Band Raters'!I49</f>
        <v>3946</v>
      </c>
      <c r="I97" s="21">
        <f>'Age Band Raters'!J49</f>
        <v>4510</v>
      </c>
      <c r="J97" s="21">
        <f>'Age Band Raters'!K49</f>
        <v>4882</v>
      </c>
      <c r="K97" s="21">
        <f>'Age Band Raters'!L49</f>
        <v>5403</v>
      </c>
      <c r="L97" s="17"/>
    </row>
    <row r="98" spans="1:12" ht="15.6" thickTop="1" thickBot="1" x14ac:dyDescent="0.35">
      <c r="A98" s="20" t="s">
        <v>5</v>
      </c>
      <c r="B98" s="21">
        <f>'Age Band Raters'!C50</f>
        <v>3407</v>
      </c>
      <c r="C98" s="21">
        <f>'Age Band Raters'!D50</f>
        <v>3879</v>
      </c>
      <c r="D98" s="21">
        <f>'Age Band Raters'!E50</f>
        <v>4191</v>
      </c>
      <c r="E98" s="21">
        <f>'Age Band Raters'!F50</f>
        <v>4627</v>
      </c>
      <c r="F98"/>
      <c r="G98" s="20" t="s">
        <v>5</v>
      </c>
      <c r="H98" s="21">
        <f>'Age Band Raters'!I50</f>
        <v>4692</v>
      </c>
      <c r="I98" s="21">
        <f>'Age Band Raters'!J50</f>
        <v>5382</v>
      </c>
      <c r="J98" s="21">
        <f>'Age Band Raters'!K50</f>
        <v>5838</v>
      </c>
      <c r="K98" s="21">
        <f>'Age Band Raters'!L50</f>
        <v>6475</v>
      </c>
      <c r="L98" s="17"/>
    </row>
    <row r="99" spans="1:12" ht="15.6" thickTop="1" thickBot="1" x14ac:dyDescent="0.35">
      <c r="A99" s="20" t="s">
        <v>6</v>
      </c>
      <c r="B99" s="21">
        <f>'Age Band Raters'!C51</f>
        <v>4171</v>
      </c>
      <c r="C99" s="21">
        <f>'Age Band Raters'!D51</f>
        <v>4773</v>
      </c>
      <c r="D99" s="21">
        <f>'Age Band Raters'!E51</f>
        <v>5171</v>
      </c>
      <c r="E99" s="21">
        <f>'Age Band Raters'!F51</f>
        <v>5726</v>
      </c>
      <c r="F99"/>
      <c r="G99" s="20" t="s">
        <v>6</v>
      </c>
      <c r="H99" s="21">
        <f>'Age Band Raters'!I51</f>
        <v>5809</v>
      </c>
      <c r="I99" s="21">
        <f>'Age Band Raters'!J51</f>
        <v>6688</v>
      </c>
      <c r="J99" s="21">
        <f>'Age Band Raters'!K51</f>
        <v>7270</v>
      </c>
      <c r="K99" s="21">
        <f>'Age Band Raters'!L51</f>
        <v>8082</v>
      </c>
      <c r="L99" s="17"/>
    </row>
    <row r="100" spans="1:12" ht="15.6" thickTop="1" thickBot="1" x14ac:dyDescent="0.35">
      <c r="A100" s="20" t="s">
        <v>7</v>
      </c>
      <c r="B100" s="21">
        <f>'Age Band Raters'!C52</f>
        <v>5291</v>
      </c>
      <c r="C100" s="21">
        <f>'Age Band Raters'!D52</f>
        <v>6083</v>
      </c>
      <c r="D100" s="21">
        <f>'Age Band Raters'!E52</f>
        <v>6606</v>
      </c>
      <c r="E100" s="21">
        <f>'Age Band Raters'!F52</f>
        <v>7337</v>
      </c>
      <c r="F100"/>
      <c r="G100" s="20" t="s">
        <v>7</v>
      </c>
      <c r="H100" s="21">
        <f>'Age Band Raters'!I52</f>
        <v>7446</v>
      </c>
      <c r="I100" s="21">
        <f>'Age Band Raters'!J52</f>
        <v>8604</v>
      </c>
      <c r="J100" s="21">
        <f>'Age Band Raters'!K52</f>
        <v>9369</v>
      </c>
      <c r="K100" s="21">
        <f>'Age Band Raters'!L52</f>
        <v>10437</v>
      </c>
      <c r="L100" s="17"/>
    </row>
    <row r="101" spans="1:12" ht="15.6" thickTop="1" thickBot="1" x14ac:dyDescent="0.35">
      <c r="A101" s="20" t="s">
        <v>8</v>
      </c>
      <c r="B101" s="21">
        <f>'Age Band Raters'!C53</f>
        <v>6971</v>
      </c>
      <c r="C101" s="21">
        <f>'Age Band Raters'!D53</f>
        <v>8047</v>
      </c>
      <c r="D101" s="21">
        <f>'Age Band Raters'!E53</f>
        <v>8759</v>
      </c>
      <c r="E101" s="21">
        <f>'Age Band Raters'!F53</f>
        <v>9753</v>
      </c>
      <c r="F101"/>
      <c r="G101" s="20" t="s">
        <v>8</v>
      </c>
      <c r="H101" s="21">
        <f>'Age Band Raters'!I53</f>
        <v>9901</v>
      </c>
      <c r="I101" s="21">
        <f>'Age Band Raters'!J53</f>
        <v>11475</v>
      </c>
      <c r="J101" s="21">
        <f>'Age Band Raters'!K53</f>
        <v>12516</v>
      </c>
      <c r="K101" s="21">
        <f>'Age Band Raters'!L53</f>
        <v>13969</v>
      </c>
      <c r="L101" s="17"/>
    </row>
    <row r="102" spans="1:12" ht="15.6" thickTop="1" thickBot="1" x14ac:dyDescent="0.35">
      <c r="A102"/>
      <c r="B102"/>
      <c r="C102"/>
      <c r="D102"/>
      <c r="E102"/>
      <c r="F102"/>
      <c r="G102"/>
      <c r="H102"/>
      <c r="I102"/>
      <c r="J102"/>
      <c r="K102"/>
    </row>
    <row r="103" spans="1:12" ht="15.6" thickTop="1" thickBot="1" x14ac:dyDescent="0.35">
      <c r="A103" s="202" t="s">
        <v>192</v>
      </c>
      <c r="B103" s="202"/>
      <c r="C103" s="202"/>
      <c r="D103" s="202"/>
      <c r="E103" s="202"/>
      <c r="F103" s="202"/>
      <c r="G103" s="202"/>
      <c r="H103" s="202"/>
      <c r="I103" s="202"/>
      <c r="J103" s="202"/>
      <c r="K103" s="202"/>
      <c r="L103" s="15"/>
    </row>
    <row r="104" spans="1:12" ht="15.6" thickTop="1" thickBot="1" x14ac:dyDescent="0.35">
      <c r="A104" s="201" t="s">
        <v>10</v>
      </c>
      <c r="B104" s="201"/>
      <c r="C104" s="201"/>
      <c r="D104" s="201"/>
      <c r="E104" s="201"/>
      <c r="F104"/>
      <c r="G104" s="201" t="s">
        <v>15</v>
      </c>
      <c r="H104" s="201"/>
      <c r="I104" s="201"/>
      <c r="J104" s="201"/>
      <c r="K104" s="201"/>
      <c r="L104" s="16"/>
    </row>
    <row r="105" spans="1:12" ht="15.6" thickTop="1" thickBot="1" x14ac:dyDescent="0.35">
      <c r="A105" s="13"/>
      <c r="B105" s="13" t="s">
        <v>11</v>
      </c>
      <c r="C105" s="13" t="s">
        <v>12</v>
      </c>
      <c r="D105" s="13" t="s">
        <v>13</v>
      </c>
      <c r="E105" s="13" t="s">
        <v>14</v>
      </c>
      <c r="F105"/>
      <c r="G105" s="13"/>
      <c r="H105" s="13" t="s">
        <v>11</v>
      </c>
      <c r="I105" s="13" t="s">
        <v>12</v>
      </c>
      <c r="J105" s="13" t="s">
        <v>13</v>
      </c>
      <c r="K105" s="13" t="s">
        <v>14</v>
      </c>
      <c r="L105" s="16"/>
    </row>
    <row r="106" spans="1:12" ht="15.6" thickTop="1" thickBot="1" x14ac:dyDescent="0.35">
      <c r="A106" s="20" t="s">
        <v>9</v>
      </c>
      <c r="B106" s="21">
        <f>'Age Band Raters'!C58</f>
        <v>2128</v>
      </c>
      <c r="C106" s="21">
        <f>'Age Band Raters'!D58</f>
        <v>2312</v>
      </c>
      <c r="D106" s="21">
        <f>'Age Band Raters'!E58</f>
        <v>2434</v>
      </c>
      <c r="E106" s="21">
        <f>'Age Band Raters'!F58</f>
        <v>2604</v>
      </c>
      <c r="F106"/>
      <c r="G106" s="20" t="s">
        <v>9</v>
      </c>
      <c r="H106" s="21">
        <f>'Age Band Raters'!I58</f>
        <v>2629</v>
      </c>
      <c r="I106" s="21">
        <f>'Age Band Raters'!J58</f>
        <v>2899</v>
      </c>
      <c r="J106" s="21">
        <f>'Age Band Raters'!K58</f>
        <v>3077</v>
      </c>
      <c r="K106" s="21">
        <f>'Age Band Raters'!L58</f>
        <v>3325</v>
      </c>
      <c r="L106" s="17"/>
    </row>
    <row r="107" spans="1:12" ht="15.6" thickTop="1" thickBot="1" x14ac:dyDescent="0.35">
      <c r="A107" s="20" t="s">
        <v>0</v>
      </c>
      <c r="B107" s="21">
        <f>'Age Band Raters'!C59</f>
        <v>2752</v>
      </c>
      <c r="C107" s="21">
        <f>'Age Band Raters'!D59</f>
        <v>3042</v>
      </c>
      <c r="D107" s="21">
        <f>'Age Band Raters'!E59</f>
        <v>3234</v>
      </c>
      <c r="E107" s="21">
        <f>'Age Band Raters'!F59</f>
        <v>3502</v>
      </c>
      <c r="F107"/>
      <c r="G107" s="20" t="s">
        <v>0</v>
      </c>
      <c r="H107" s="21">
        <f>'Age Band Raters'!I59</f>
        <v>3542</v>
      </c>
      <c r="I107" s="21">
        <f>'Age Band Raters'!J59</f>
        <v>3966</v>
      </c>
      <c r="J107" s="21">
        <f>'Age Band Raters'!K59</f>
        <v>4246</v>
      </c>
      <c r="K107" s="21">
        <f>'Age Band Raters'!L59</f>
        <v>4638</v>
      </c>
      <c r="L107" s="17"/>
    </row>
    <row r="108" spans="1:12" ht="15.6" thickTop="1" thickBot="1" x14ac:dyDescent="0.35">
      <c r="A108" s="20" t="s">
        <v>1</v>
      </c>
      <c r="B108" s="21">
        <f>'Age Band Raters'!C60</f>
        <v>2844</v>
      </c>
      <c r="C108" s="21">
        <f>'Age Band Raters'!D60</f>
        <v>3149</v>
      </c>
      <c r="D108" s="21">
        <f>'Age Band Raters'!E60</f>
        <v>3351</v>
      </c>
      <c r="E108" s="21">
        <f>'Age Band Raters'!F60</f>
        <v>3634</v>
      </c>
      <c r="F108"/>
      <c r="G108" s="20" t="s">
        <v>1</v>
      </c>
      <c r="H108" s="21">
        <f>'Age Band Raters'!I60</f>
        <v>3676</v>
      </c>
      <c r="I108" s="21">
        <f>'Age Band Raters'!J60</f>
        <v>4122</v>
      </c>
      <c r="J108" s="21">
        <f>'Age Band Raters'!K60</f>
        <v>4418</v>
      </c>
      <c r="K108" s="21">
        <f>'Age Band Raters'!L60</f>
        <v>4830</v>
      </c>
      <c r="L108" s="17"/>
    </row>
    <row r="109" spans="1:12" ht="15.6" thickTop="1" thickBot="1" x14ac:dyDescent="0.35">
      <c r="A109" s="20" t="s">
        <v>2</v>
      </c>
      <c r="B109" s="21">
        <f>'Age Band Raters'!C61</f>
        <v>3001</v>
      </c>
      <c r="C109" s="21">
        <f>'Age Band Raters'!D61</f>
        <v>3333</v>
      </c>
      <c r="D109" s="21">
        <f>'Age Band Raters'!E61</f>
        <v>3553</v>
      </c>
      <c r="E109" s="21">
        <f>'Age Band Raters'!F61</f>
        <v>3860</v>
      </c>
      <c r="F109"/>
      <c r="G109" s="20" t="s">
        <v>2</v>
      </c>
      <c r="H109" s="21">
        <f>'Age Band Raters'!I61</f>
        <v>3906</v>
      </c>
      <c r="I109" s="21">
        <f>'Age Band Raters'!J61</f>
        <v>4392</v>
      </c>
      <c r="J109" s="21">
        <f>'Age Band Raters'!K61</f>
        <v>4713</v>
      </c>
      <c r="K109" s="21">
        <f>'Age Band Raters'!L61</f>
        <v>5162</v>
      </c>
      <c r="L109" s="17"/>
    </row>
    <row r="110" spans="1:12" ht="15.6" thickTop="1" thickBot="1" x14ac:dyDescent="0.35">
      <c r="A110" s="20" t="s">
        <v>3</v>
      </c>
      <c r="B110" s="21">
        <f>'Age Band Raters'!C62</f>
        <v>3251</v>
      </c>
      <c r="C110" s="21">
        <f>'Age Band Raters'!D62</f>
        <v>3625</v>
      </c>
      <c r="D110" s="21">
        <f>'Age Band Raters'!E62</f>
        <v>3873</v>
      </c>
      <c r="E110" s="21">
        <f>'Age Band Raters'!F62</f>
        <v>4219</v>
      </c>
      <c r="F110"/>
      <c r="G110" s="20" t="s">
        <v>3</v>
      </c>
      <c r="H110" s="21">
        <f>'Age Band Raters'!I62</f>
        <v>4271</v>
      </c>
      <c r="I110" s="21">
        <f>'Age Band Raters'!J62</f>
        <v>4819</v>
      </c>
      <c r="J110" s="21">
        <f>'Age Band Raters'!K62</f>
        <v>5181</v>
      </c>
      <c r="K110" s="21">
        <f>'Age Band Raters'!L62</f>
        <v>5687</v>
      </c>
      <c r="L110" s="17"/>
    </row>
    <row r="111" spans="1:12" ht="15.6" thickTop="1" thickBot="1" x14ac:dyDescent="0.35">
      <c r="A111" s="20" t="s">
        <v>4</v>
      </c>
      <c r="B111" s="21">
        <f>'Age Band Raters'!C63</f>
        <v>3715</v>
      </c>
      <c r="C111" s="21">
        <f>'Age Band Raters'!D63</f>
        <v>4168</v>
      </c>
      <c r="D111" s="21">
        <f>'Age Band Raters'!E63</f>
        <v>4468</v>
      </c>
      <c r="E111" s="21">
        <f>'Age Band Raters'!F63</f>
        <v>4887</v>
      </c>
      <c r="F111"/>
      <c r="G111" s="20" t="s">
        <v>4</v>
      </c>
      <c r="H111" s="21">
        <f>'Age Band Raters'!I63</f>
        <v>4949</v>
      </c>
      <c r="I111" s="21">
        <f>'Age Band Raters'!J63</f>
        <v>5612</v>
      </c>
      <c r="J111" s="21">
        <f>'Age Band Raters'!K63</f>
        <v>6051</v>
      </c>
      <c r="K111" s="21">
        <f>'Age Band Raters'!L63</f>
        <v>6663</v>
      </c>
      <c r="L111" s="17"/>
    </row>
    <row r="112" spans="1:12" ht="15.6" thickTop="1" thickBot="1" x14ac:dyDescent="0.35">
      <c r="A112" s="20" t="s">
        <v>5</v>
      </c>
      <c r="B112" s="21">
        <f>'Age Band Raters'!C64</f>
        <v>4315</v>
      </c>
      <c r="C112" s="21">
        <f>'Age Band Raters'!D64</f>
        <v>4870</v>
      </c>
      <c r="D112" s="21">
        <f>'Age Band Raters'!E64</f>
        <v>5238</v>
      </c>
      <c r="E112" s="21">
        <f>'Age Band Raters'!F64</f>
        <v>5750</v>
      </c>
      <c r="F112"/>
      <c r="G112" s="20" t="s">
        <v>5</v>
      </c>
      <c r="H112" s="21">
        <f>'Age Band Raters'!I64</f>
        <v>5827</v>
      </c>
      <c r="I112" s="21">
        <f>'Age Band Raters'!J64</f>
        <v>6639</v>
      </c>
      <c r="J112" s="21">
        <f>'Age Band Raters'!K64</f>
        <v>7175</v>
      </c>
      <c r="K112" s="21">
        <f>'Age Band Raters'!L64</f>
        <v>7925</v>
      </c>
      <c r="L112" s="17"/>
    </row>
    <row r="113" spans="1:12" ht="15.6" thickTop="1" thickBot="1" x14ac:dyDescent="0.35">
      <c r="A113" s="20" t="s">
        <v>6</v>
      </c>
      <c r="B113" s="21">
        <f>'Age Band Raters'!C65</f>
        <v>5214</v>
      </c>
      <c r="C113" s="21">
        <f>'Age Band Raters'!D65</f>
        <v>5922</v>
      </c>
      <c r="D113" s="21">
        <f>'Age Band Raters'!E65</f>
        <v>6390</v>
      </c>
      <c r="E113" s="21">
        <f>'Age Band Raters'!F65</f>
        <v>7043</v>
      </c>
      <c r="F113"/>
      <c r="G113" s="20" t="s">
        <v>6</v>
      </c>
      <c r="H113" s="21">
        <f>'Age Band Raters'!I65</f>
        <v>7141</v>
      </c>
      <c r="I113" s="21">
        <f>'Age Band Raters'!J65</f>
        <v>8175</v>
      </c>
      <c r="J113" s="21">
        <f>'Age Band Raters'!K65</f>
        <v>8860</v>
      </c>
      <c r="K113" s="21">
        <f>'Age Band Raters'!L65</f>
        <v>9815</v>
      </c>
      <c r="L113" s="17"/>
    </row>
    <row r="114" spans="1:12" ht="15.6" thickTop="1" thickBot="1" x14ac:dyDescent="0.35">
      <c r="A114" s="20" t="s">
        <v>7</v>
      </c>
      <c r="B114" s="21">
        <f>'Age Band Raters'!C66</f>
        <v>6532</v>
      </c>
      <c r="C114" s="21">
        <f>'Age Band Raters'!D66</f>
        <v>7463</v>
      </c>
      <c r="D114" s="21">
        <f>'Age Band Raters'!E66</f>
        <v>8079</v>
      </c>
      <c r="E114" s="21">
        <f>'Age Band Raters'!F66</f>
        <v>8939</v>
      </c>
      <c r="F114"/>
      <c r="G114" s="20" t="s">
        <v>7</v>
      </c>
      <c r="H114" s="21">
        <f>'Age Band Raters'!I66</f>
        <v>9067</v>
      </c>
      <c r="I114" s="21">
        <f>'Age Band Raters'!J66</f>
        <v>10429</v>
      </c>
      <c r="J114" s="21">
        <f>'Age Band Raters'!K66</f>
        <v>11329</v>
      </c>
      <c r="K114" s="21">
        <f>'Age Band Raters'!L66</f>
        <v>12586</v>
      </c>
      <c r="L114" s="17"/>
    </row>
    <row r="115" spans="1:12" ht="15.6" thickTop="1" thickBot="1" x14ac:dyDescent="0.35">
      <c r="A115" s="20" t="s">
        <v>8</v>
      </c>
      <c r="B115" s="21">
        <f>'Age Band Raters'!C67</f>
        <v>8507</v>
      </c>
      <c r="C115" s="21">
        <f>'Age Band Raters'!D67</f>
        <v>9774</v>
      </c>
      <c r="D115" s="21">
        <f>'Age Band Raters'!E67</f>
        <v>10612</v>
      </c>
      <c r="E115" s="21">
        <f>'Age Band Raters'!F67</f>
        <v>11781</v>
      </c>
      <c r="F115"/>
      <c r="G115" s="20" t="s">
        <v>8</v>
      </c>
      <c r="H115" s="21">
        <f>'Age Band Raters'!I67</f>
        <v>11956</v>
      </c>
      <c r="I115" s="21">
        <f>'Age Band Raters'!J67</f>
        <v>13807</v>
      </c>
      <c r="J115" s="21">
        <f>'Age Band Raters'!K67</f>
        <v>15032</v>
      </c>
      <c r="K115" s="21">
        <f>'Age Band Raters'!L67</f>
        <v>16741</v>
      </c>
      <c r="L115" s="17"/>
    </row>
    <row r="116" spans="1:12" ht="15.6" thickTop="1" thickBot="1" x14ac:dyDescent="0.35">
      <c r="A116"/>
      <c r="B116"/>
      <c r="C116"/>
      <c r="D116"/>
      <c r="E116"/>
      <c r="F116"/>
      <c r="G116"/>
      <c r="H116"/>
      <c r="I116"/>
      <c r="J116"/>
      <c r="K116"/>
    </row>
    <row r="117" spans="1:12" ht="15.6" thickTop="1" thickBot="1" x14ac:dyDescent="0.35">
      <c r="A117" s="200" t="s">
        <v>17</v>
      </c>
      <c r="B117" s="200"/>
      <c r="C117" s="200"/>
      <c r="D117" s="200"/>
      <c r="E117" s="200"/>
      <c r="F117"/>
      <c r="G117" s="200" t="s">
        <v>16</v>
      </c>
      <c r="H117" s="200"/>
      <c r="I117" s="200"/>
      <c r="J117" s="200"/>
      <c r="K117" s="200"/>
      <c r="L117" s="16"/>
    </row>
    <row r="118" spans="1:12" ht="15.6" thickTop="1" thickBot="1" x14ac:dyDescent="0.35">
      <c r="A118" s="18"/>
      <c r="B118" s="13" t="s">
        <v>11</v>
      </c>
      <c r="C118" s="13" t="s">
        <v>12</v>
      </c>
      <c r="D118" s="13" t="s">
        <v>13</v>
      </c>
      <c r="E118" s="13" t="s">
        <v>14</v>
      </c>
      <c r="F118"/>
      <c r="G118" s="13"/>
      <c r="H118" s="13" t="s">
        <v>11</v>
      </c>
      <c r="I118" s="13" t="s">
        <v>12</v>
      </c>
      <c r="J118" s="13" t="s">
        <v>13</v>
      </c>
      <c r="K118" s="13" t="s">
        <v>14</v>
      </c>
      <c r="L118" s="16"/>
    </row>
    <row r="119" spans="1:12" ht="15.6" thickTop="1" thickBot="1" x14ac:dyDescent="0.35">
      <c r="A119" s="20" t="s">
        <v>9</v>
      </c>
      <c r="B119" s="21">
        <f>'Age Band Raters'!C71</f>
        <v>1965</v>
      </c>
      <c r="C119" s="21">
        <f>'Age Band Raters'!D71</f>
        <v>2122</v>
      </c>
      <c r="D119" s="21">
        <f>'Age Band Raters'!E71</f>
        <v>2225</v>
      </c>
      <c r="E119" s="21">
        <f>'Age Band Raters'!F71</f>
        <v>2370</v>
      </c>
      <c r="F119"/>
      <c r="G119" s="20" t="s">
        <v>9</v>
      </c>
      <c r="H119" s="21">
        <f>'Age Band Raters'!I71</f>
        <v>2391</v>
      </c>
      <c r="I119" s="21">
        <f>'Age Band Raters'!J71</f>
        <v>2620</v>
      </c>
      <c r="J119" s="21">
        <f>'Age Band Raters'!K71</f>
        <v>2772</v>
      </c>
      <c r="K119" s="21">
        <f>'Age Band Raters'!L71</f>
        <v>2983</v>
      </c>
      <c r="L119" s="17"/>
    </row>
    <row r="120" spans="1:12" ht="15.6" thickTop="1" thickBot="1" x14ac:dyDescent="0.35">
      <c r="A120" s="20" t="s">
        <v>0</v>
      </c>
      <c r="B120" s="21">
        <f>'Age Band Raters'!C72</f>
        <v>2495</v>
      </c>
      <c r="C120" s="21">
        <f>'Age Band Raters'!D72</f>
        <v>2742</v>
      </c>
      <c r="D120" s="21">
        <f>'Age Band Raters'!E72</f>
        <v>2905</v>
      </c>
      <c r="E120" s="21">
        <f>'Age Band Raters'!F72</f>
        <v>3133</v>
      </c>
      <c r="F120"/>
      <c r="G120" s="20" t="s">
        <v>0</v>
      </c>
      <c r="H120" s="21">
        <f>'Age Band Raters'!I72</f>
        <v>3167</v>
      </c>
      <c r="I120" s="21">
        <f>'Age Band Raters'!J72</f>
        <v>3527</v>
      </c>
      <c r="J120" s="21">
        <f>'Age Band Raters'!K72</f>
        <v>3765</v>
      </c>
      <c r="K120" s="21">
        <f>'Age Band Raters'!L72</f>
        <v>4098</v>
      </c>
      <c r="L120" s="17"/>
    </row>
    <row r="121" spans="1:12" ht="15.6" thickTop="1" thickBot="1" x14ac:dyDescent="0.35">
      <c r="A121" s="20" t="s">
        <v>1</v>
      </c>
      <c r="B121" s="21">
        <f>'Age Band Raters'!C73</f>
        <v>2573</v>
      </c>
      <c r="C121" s="21">
        <f>'Age Band Raters'!D73</f>
        <v>2833</v>
      </c>
      <c r="D121" s="21">
        <f>'Age Band Raters'!E73</f>
        <v>3005</v>
      </c>
      <c r="E121" s="21">
        <f>'Age Band Raters'!F73</f>
        <v>3245</v>
      </c>
      <c r="F121"/>
      <c r="G121" s="20" t="s">
        <v>1</v>
      </c>
      <c r="H121" s="21">
        <f>'Age Band Raters'!I73</f>
        <v>3281</v>
      </c>
      <c r="I121" s="21">
        <f>'Age Band Raters'!J73</f>
        <v>3660</v>
      </c>
      <c r="J121" s="21">
        <f>'Age Band Raters'!K73</f>
        <v>3912</v>
      </c>
      <c r="K121" s="21">
        <f>'Age Band Raters'!L73</f>
        <v>4262</v>
      </c>
      <c r="L121" s="17"/>
    </row>
    <row r="122" spans="1:12" ht="15.6" thickTop="1" thickBot="1" x14ac:dyDescent="0.35">
      <c r="A122" s="20" t="s">
        <v>2</v>
      </c>
      <c r="B122" s="21">
        <f>'Age Band Raters'!C74</f>
        <v>2707</v>
      </c>
      <c r="C122" s="21">
        <f>'Age Band Raters'!D74</f>
        <v>2990</v>
      </c>
      <c r="D122" s="21">
        <f>'Age Band Raters'!E74</f>
        <v>3177</v>
      </c>
      <c r="E122" s="21">
        <f>'Age Band Raters'!F74</f>
        <v>3437</v>
      </c>
      <c r="F122"/>
      <c r="G122" s="20" t="s">
        <v>2</v>
      </c>
      <c r="H122" s="21">
        <f>'Age Band Raters'!I74</f>
        <v>3476</v>
      </c>
      <c r="I122" s="21">
        <f>'Age Band Raters'!J74</f>
        <v>3889</v>
      </c>
      <c r="J122" s="21">
        <f>'Age Band Raters'!K74</f>
        <v>4162</v>
      </c>
      <c r="K122" s="21">
        <f>'Age Band Raters'!L74</f>
        <v>4544</v>
      </c>
      <c r="L122" s="17"/>
    </row>
    <row r="123" spans="1:12" ht="15.6" thickTop="1" thickBot="1" x14ac:dyDescent="0.35">
      <c r="A123" s="20" t="s">
        <v>3</v>
      </c>
      <c r="B123" s="21">
        <f>'Age Band Raters'!C75</f>
        <v>2919</v>
      </c>
      <c r="C123" s="21">
        <f>'Age Band Raters'!D75</f>
        <v>3238</v>
      </c>
      <c r="D123" s="21">
        <f>'Age Band Raters'!E75</f>
        <v>3449</v>
      </c>
      <c r="E123" s="21">
        <f>'Age Band Raters'!F75</f>
        <v>3743</v>
      </c>
      <c r="F123"/>
      <c r="G123" s="20" t="s">
        <v>3</v>
      </c>
      <c r="H123" s="21">
        <f>'Age Band Raters'!I75</f>
        <v>3786</v>
      </c>
      <c r="I123" s="21">
        <f>'Age Band Raters'!J75</f>
        <v>4252</v>
      </c>
      <c r="J123" s="21">
        <f>'Age Band Raters'!K75</f>
        <v>4560</v>
      </c>
      <c r="K123" s="21">
        <f>'Age Band Raters'!L75</f>
        <v>4990</v>
      </c>
      <c r="L123" s="17"/>
    </row>
    <row r="124" spans="1:12" ht="15.6" thickTop="1" thickBot="1" x14ac:dyDescent="0.35">
      <c r="A124" s="20" t="s">
        <v>4</v>
      </c>
      <c r="B124" s="21">
        <f>'Age Band Raters'!C76</f>
        <v>3314</v>
      </c>
      <c r="C124" s="21">
        <f>'Age Band Raters'!D76</f>
        <v>3699</v>
      </c>
      <c r="D124" s="21">
        <f>'Age Band Raters'!E76</f>
        <v>3954</v>
      </c>
      <c r="E124" s="21">
        <f>'Age Band Raters'!F76</f>
        <v>4310</v>
      </c>
      <c r="F124"/>
      <c r="G124" s="20" t="s">
        <v>4</v>
      </c>
      <c r="H124" s="21">
        <f>'Age Band Raters'!I76</f>
        <v>4363</v>
      </c>
      <c r="I124" s="21">
        <f>'Age Band Raters'!J76</f>
        <v>4927</v>
      </c>
      <c r="J124" s="21">
        <f>'Age Band Raters'!K76</f>
        <v>5299</v>
      </c>
      <c r="K124" s="21">
        <f>'Age Band Raters'!L76</f>
        <v>5820</v>
      </c>
      <c r="L124" s="17"/>
    </row>
    <row r="125" spans="1:12" ht="15.6" thickTop="1" thickBot="1" x14ac:dyDescent="0.35">
      <c r="A125" s="20" t="s">
        <v>5</v>
      </c>
      <c r="B125" s="21">
        <f>'Age Band Raters'!C77</f>
        <v>3824</v>
      </c>
      <c r="C125" s="21">
        <f>'Age Band Raters'!D77</f>
        <v>4296</v>
      </c>
      <c r="D125" s="21">
        <f>'Age Band Raters'!E77</f>
        <v>4608</v>
      </c>
      <c r="E125" s="21">
        <f>'Age Band Raters'!F77</f>
        <v>5044</v>
      </c>
      <c r="F125"/>
      <c r="G125" s="20" t="s">
        <v>5</v>
      </c>
      <c r="H125" s="21">
        <f>'Age Band Raters'!I77</f>
        <v>5109</v>
      </c>
      <c r="I125" s="21">
        <f>'Age Band Raters'!J77</f>
        <v>5799</v>
      </c>
      <c r="J125" s="21">
        <f>'Age Band Raters'!K77</f>
        <v>6255</v>
      </c>
      <c r="K125" s="21">
        <f>'Age Band Raters'!L77</f>
        <v>6892</v>
      </c>
      <c r="L125" s="17"/>
    </row>
    <row r="126" spans="1:12" ht="15.6" thickTop="1" thickBot="1" x14ac:dyDescent="0.35">
      <c r="A126" s="20" t="s">
        <v>6</v>
      </c>
      <c r="B126" s="21">
        <f>'Age Band Raters'!C78</f>
        <v>4588</v>
      </c>
      <c r="C126" s="21">
        <f>'Age Band Raters'!D78</f>
        <v>5190</v>
      </c>
      <c r="D126" s="21">
        <f>'Age Band Raters'!E78</f>
        <v>5588</v>
      </c>
      <c r="E126" s="21">
        <f>'Age Band Raters'!F78</f>
        <v>6143</v>
      </c>
      <c r="F126"/>
      <c r="G126" s="20" t="s">
        <v>6</v>
      </c>
      <c r="H126" s="21">
        <f>'Age Band Raters'!I78</f>
        <v>6226</v>
      </c>
      <c r="I126" s="21">
        <f>'Age Band Raters'!J78</f>
        <v>7105</v>
      </c>
      <c r="J126" s="21">
        <f>'Age Band Raters'!K78</f>
        <v>7687</v>
      </c>
      <c r="K126" s="21">
        <f>'Age Band Raters'!L78</f>
        <v>8499</v>
      </c>
      <c r="L126" s="17"/>
    </row>
    <row r="127" spans="1:12" ht="15.6" thickTop="1" thickBot="1" x14ac:dyDescent="0.35">
      <c r="A127" s="20" t="s">
        <v>7</v>
      </c>
      <c r="B127" s="21">
        <f>'Age Band Raters'!C79</f>
        <v>5708</v>
      </c>
      <c r="C127" s="21">
        <f>'Age Band Raters'!D79</f>
        <v>6500</v>
      </c>
      <c r="D127" s="21">
        <f>'Age Band Raters'!E79</f>
        <v>7023</v>
      </c>
      <c r="E127" s="21">
        <f>'Age Band Raters'!F79</f>
        <v>7754</v>
      </c>
      <c r="F127"/>
      <c r="G127" s="20" t="s">
        <v>7</v>
      </c>
      <c r="H127" s="21">
        <f>'Age Band Raters'!I79</f>
        <v>7863</v>
      </c>
      <c r="I127" s="21">
        <f>'Age Band Raters'!J79</f>
        <v>9021</v>
      </c>
      <c r="J127" s="21">
        <f>'Age Band Raters'!K79</f>
        <v>9786</v>
      </c>
      <c r="K127" s="21">
        <f>'Age Band Raters'!L79</f>
        <v>10854</v>
      </c>
      <c r="L127" s="17"/>
    </row>
    <row r="128" spans="1:12" ht="15.6" thickTop="1" thickBot="1" x14ac:dyDescent="0.35">
      <c r="A128" s="20" t="s">
        <v>8</v>
      </c>
      <c r="B128" s="21">
        <f>'Age Band Raters'!C80</f>
        <v>7388</v>
      </c>
      <c r="C128" s="21">
        <f>'Age Band Raters'!D80</f>
        <v>8464</v>
      </c>
      <c r="D128" s="21">
        <f>'Age Band Raters'!E80</f>
        <v>9176</v>
      </c>
      <c r="E128" s="21">
        <f>'Age Band Raters'!F80</f>
        <v>10170</v>
      </c>
      <c r="F128"/>
      <c r="G128" s="20" t="s">
        <v>8</v>
      </c>
      <c r="H128" s="21">
        <f>'Age Band Raters'!I80</f>
        <v>10318</v>
      </c>
      <c r="I128" s="21">
        <f>'Age Band Raters'!J80</f>
        <v>11892</v>
      </c>
      <c r="J128" s="21">
        <f>'Age Band Raters'!K80</f>
        <v>12933</v>
      </c>
      <c r="K128" s="21">
        <f>'Age Band Raters'!L80</f>
        <v>14386</v>
      </c>
      <c r="L128" s="17"/>
    </row>
    <row r="129" spans="1:12" ht="15.6" thickTop="1" thickBot="1" x14ac:dyDescent="0.35">
      <c r="A129"/>
      <c r="B129"/>
      <c r="C129"/>
      <c r="D129"/>
      <c r="E129"/>
      <c r="F129"/>
      <c r="G129"/>
      <c r="H129"/>
      <c r="I129"/>
      <c r="J129"/>
      <c r="K129"/>
    </row>
    <row r="130" spans="1:12" ht="15.6" thickTop="1" thickBot="1" x14ac:dyDescent="0.35">
      <c r="A130" s="202" t="s">
        <v>193</v>
      </c>
      <c r="B130" s="202"/>
      <c r="C130" s="202"/>
      <c r="D130" s="202"/>
      <c r="E130" s="202"/>
      <c r="F130" s="202"/>
      <c r="G130" s="202"/>
      <c r="H130" s="202"/>
      <c r="I130" s="202"/>
      <c r="J130" s="202"/>
      <c r="K130" s="202"/>
      <c r="L130" s="15"/>
    </row>
    <row r="131" spans="1:12" ht="15.6" thickTop="1" thickBot="1" x14ac:dyDescent="0.35">
      <c r="A131" s="201" t="s">
        <v>10</v>
      </c>
      <c r="B131" s="201"/>
      <c r="C131" s="201"/>
      <c r="D131" s="201"/>
      <c r="E131" s="201"/>
      <c r="F131"/>
      <c r="G131" s="201" t="s">
        <v>15</v>
      </c>
      <c r="H131" s="201"/>
      <c r="I131" s="201"/>
      <c r="J131" s="201"/>
      <c r="K131" s="201"/>
      <c r="L131" s="16"/>
    </row>
    <row r="132" spans="1:12" ht="15.6" thickTop="1" thickBot="1" x14ac:dyDescent="0.35">
      <c r="A132" s="13"/>
      <c r="B132" s="13" t="s">
        <v>11</v>
      </c>
      <c r="C132" s="13" t="s">
        <v>12</v>
      </c>
      <c r="D132" s="13" t="s">
        <v>13</v>
      </c>
      <c r="E132" s="13" t="s">
        <v>14</v>
      </c>
      <c r="F132"/>
      <c r="G132" s="13"/>
      <c r="H132" s="13" t="s">
        <v>11</v>
      </c>
      <c r="I132" s="13" t="s">
        <v>12</v>
      </c>
      <c r="J132" s="13" t="s">
        <v>13</v>
      </c>
      <c r="K132" s="13" t="s">
        <v>14</v>
      </c>
      <c r="L132" s="16"/>
    </row>
    <row r="133" spans="1:12" ht="15.6" thickTop="1" thickBot="1" x14ac:dyDescent="0.35">
      <c r="A133" s="20" t="s">
        <v>9</v>
      </c>
      <c r="B133" s="21">
        <f>'Age Band Raters'!C85</f>
        <v>2649</v>
      </c>
      <c r="C133" s="21">
        <f>'Age Band Raters'!D85</f>
        <v>2833</v>
      </c>
      <c r="D133" s="21">
        <f>'Age Band Raters'!E85</f>
        <v>2955</v>
      </c>
      <c r="E133" s="21">
        <f>'Age Band Raters'!F85</f>
        <v>3125</v>
      </c>
      <c r="F133"/>
      <c r="G133" s="20" t="s">
        <v>9</v>
      </c>
      <c r="H133" s="21">
        <f>'Age Band Raters'!I85</f>
        <v>3150</v>
      </c>
      <c r="I133" s="21">
        <f>'Age Band Raters'!J85</f>
        <v>3420</v>
      </c>
      <c r="J133" s="21">
        <f>'Age Band Raters'!K85</f>
        <v>3598</v>
      </c>
      <c r="K133" s="21">
        <f>'Age Band Raters'!L85</f>
        <v>3846</v>
      </c>
      <c r="L133" s="17"/>
    </row>
    <row r="134" spans="1:12" ht="15.6" thickTop="1" thickBot="1" x14ac:dyDescent="0.35">
      <c r="A134" s="20" t="s">
        <v>0</v>
      </c>
      <c r="B134" s="21">
        <f>'Age Band Raters'!C86</f>
        <v>3273</v>
      </c>
      <c r="C134" s="21">
        <f>'Age Band Raters'!D86</f>
        <v>3563</v>
      </c>
      <c r="D134" s="21">
        <f>'Age Band Raters'!E86</f>
        <v>3755</v>
      </c>
      <c r="E134" s="21">
        <f>'Age Band Raters'!F86</f>
        <v>4023</v>
      </c>
      <c r="F134"/>
      <c r="G134" s="20" t="s">
        <v>0</v>
      </c>
      <c r="H134" s="21">
        <f>'Age Band Raters'!I86</f>
        <v>4063</v>
      </c>
      <c r="I134" s="21">
        <f>'Age Band Raters'!J86</f>
        <v>4487</v>
      </c>
      <c r="J134" s="21">
        <f>'Age Band Raters'!K86</f>
        <v>4767</v>
      </c>
      <c r="K134" s="21">
        <f>'Age Band Raters'!L86</f>
        <v>5159</v>
      </c>
      <c r="L134" s="17"/>
    </row>
    <row r="135" spans="1:12" ht="15.6" thickTop="1" thickBot="1" x14ac:dyDescent="0.35">
      <c r="A135" s="20" t="s">
        <v>1</v>
      </c>
      <c r="B135" s="21">
        <f>'Age Band Raters'!C87</f>
        <v>3365</v>
      </c>
      <c r="C135" s="21">
        <f>'Age Band Raters'!D87</f>
        <v>3670</v>
      </c>
      <c r="D135" s="21">
        <f>'Age Band Raters'!E87</f>
        <v>3872</v>
      </c>
      <c r="E135" s="21">
        <f>'Age Band Raters'!F87</f>
        <v>4155</v>
      </c>
      <c r="F135"/>
      <c r="G135" s="20" t="s">
        <v>1</v>
      </c>
      <c r="H135" s="21">
        <f>'Age Band Raters'!I87</f>
        <v>4197</v>
      </c>
      <c r="I135" s="21">
        <f>'Age Band Raters'!J87</f>
        <v>4643</v>
      </c>
      <c r="J135" s="21">
        <f>'Age Band Raters'!K87</f>
        <v>4939</v>
      </c>
      <c r="K135" s="21">
        <f>'Age Band Raters'!L87</f>
        <v>5351</v>
      </c>
      <c r="L135" s="17"/>
    </row>
    <row r="136" spans="1:12" ht="15.6" thickTop="1" thickBot="1" x14ac:dyDescent="0.35">
      <c r="A136" s="20" t="s">
        <v>2</v>
      </c>
      <c r="B136" s="21">
        <f>'Age Band Raters'!C88</f>
        <v>3522</v>
      </c>
      <c r="C136" s="21">
        <f>'Age Band Raters'!D88</f>
        <v>3854</v>
      </c>
      <c r="D136" s="21">
        <f>'Age Band Raters'!E88</f>
        <v>4074</v>
      </c>
      <c r="E136" s="21">
        <f>'Age Band Raters'!F88</f>
        <v>4381</v>
      </c>
      <c r="F136"/>
      <c r="G136" s="20" t="s">
        <v>2</v>
      </c>
      <c r="H136" s="21">
        <f>'Age Band Raters'!I88</f>
        <v>4427</v>
      </c>
      <c r="I136" s="21">
        <f>'Age Band Raters'!J88</f>
        <v>4913</v>
      </c>
      <c r="J136" s="21">
        <f>'Age Band Raters'!K88</f>
        <v>5234</v>
      </c>
      <c r="K136" s="21">
        <f>'Age Band Raters'!L88</f>
        <v>5683</v>
      </c>
      <c r="L136" s="17"/>
    </row>
    <row r="137" spans="1:12" ht="15.6" thickTop="1" thickBot="1" x14ac:dyDescent="0.35">
      <c r="A137" s="20" t="s">
        <v>3</v>
      </c>
      <c r="B137" s="21">
        <f>'Age Band Raters'!C89</f>
        <v>3772</v>
      </c>
      <c r="C137" s="21">
        <f>'Age Band Raters'!D89</f>
        <v>4146</v>
      </c>
      <c r="D137" s="21">
        <f>'Age Band Raters'!E89</f>
        <v>4394</v>
      </c>
      <c r="E137" s="21">
        <f>'Age Band Raters'!F89</f>
        <v>4740</v>
      </c>
      <c r="F137"/>
      <c r="G137" s="20" t="s">
        <v>3</v>
      </c>
      <c r="H137" s="21">
        <f>'Age Band Raters'!I89</f>
        <v>4792</v>
      </c>
      <c r="I137" s="21">
        <f>'Age Band Raters'!J89</f>
        <v>5340</v>
      </c>
      <c r="J137" s="21">
        <f>'Age Band Raters'!K89</f>
        <v>5702</v>
      </c>
      <c r="K137" s="21">
        <f>'Age Band Raters'!L89</f>
        <v>6208</v>
      </c>
      <c r="L137" s="17"/>
    </row>
    <row r="138" spans="1:12" ht="15.6" thickTop="1" thickBot="1" x14ac:dyDescent="0.35">
      <c r="A138" s="20" t="s">
        <v>4</v>
      </c>
      <c r="B138" s="21">
        <f>'Age Band Raters'!C90</f>
        <v>4236</v>
      </c>
      <c r="C138" s="21">
        <f>'Age Band Raters'!D90</f>
        <v>4689</v>
      </c>
      <c r="D138" s="21">
        <f>'Age Band Raters'!E90</f>
        <v>4989</v>
      </c>
      <c r="E138" s="21">
        <f>'Age Band Raters'!F90</f>
        <v>5408</v>
      </c>
      <c r="F138"/>
      <c r="G138" s="20" t="s">
        <v>4</v>
      </c>
      <c r="H138" s="21">
        <f>'Age Band Raters'!I90</f>
        <v>5470</v>
      </c>
      <c r="I138" s="21">
        <f>'Age Band Raters'!J90</f>
        <v>6133</v>
      </c>
      <c r="J138" s="21">
        <f>'Age Band Raters'!K90</f>
        <v>6572</v>
      </c>
      <c r="K138" s="21">
        <f>'Age Band Raters'!L90</f>
        <v>7184</v>
      </c>
      <c r="L138" s="17"/>
    </row>
    <row r="139" spans="1:12" ht="15.6" thickTop="1" thickBot="1" x14ac:dyDescent="0.35">
      <c r="A139" s="20" t="s">
        <v>5</v>
      </c>
      <c r="B139" s="21">
        <f>'Age Band Raters'!C91</f>
        <v>4836</v>
      </c>
      <c r="C139" s="21">
        <f>'Age Band Raters'!D91</f>
        <v>5391</v>
      </c>
      <c r="D139" s="21">
        <f>'Age Band Raters'!E91</f>
        <v>5759</v>
      </c>
      <c r="E139" s="21">
        <f>'Age Band Raters'!F91</f>
        <v>6271</v>
      </c>
      <c r="F139"/>
      <c r="G139" s="20" t="s">
        <v>5</v>
      </c>
      <c r="H139" s="21">
        <f>'Age Band Raters'!I91</f>
        <v>6348</v>
      </c>
      <c r="I139" s="21">
        <f>'Age Band Raters'!J91</f>
        <v>7160</v>
      </c>
      <c r="J139" s="21">
        <f>'Age Band Raters'!K91</f>
        <v>7696</v>
      </c>
      <c r="K139" s="21">
        <f>'Age Band Raters'!L91</f>
        <v>8446</v>
      </c>
      <c r="L139" s="17"/>
    </row>
    <row r="140" spans="1:12" ht="15.6" thickTop="1" thickBot="1" x14ac:dyDescent="0.35">
      <c r="A140" s="20" t="s">
        <v>6</v>
      </c>
      <c r="B140" s="21">
        <f>'Age Band Raters'!C92</f>
        <v>5735</v>
      </c>
      <c r="C140" s="21">
        <f>'Age Band Raters'!D92</f>
        <v>6443</v>
      </c>
      <c r="D140" s="21">
        <f>'Age Band Raters'!E92</f>
        <v>6911</v>
      </c>
      <c r="E140" s="21">
        <f>'Age Band Raters'!F92</f>
        <v>7564</v>
      </c>
      <c r="F140"/>
      <c r="G140" s="20" t="s">
        <v>6</v>
      </c>
      <c r="H140" s="21">
        <f>'Age Band Raters'!I92</f>
        <v>7662</v>
      </c>
      <c r="I140" s="21">
        <f>'Age Band Raters'!J92</f>
        <v>8696</v>
      </c>
      <c r="J140" s="21">
        <f>'Age Band Raters'!K92</f>
        <v>9381</v>
      </c>
      <c r="K140" s="21">
        <f>'Age Band Raters'!L92</f>
        <v>10336</v>
      </c>
      <c r="L140" s="17"/>
    </row>
    <row r="141" spans="1:12" ht="15.6" thickTop="1" thickBot="1" x14ac:dyDescent="0.35">
      <c r="A141" s="20" t="s">
        <v>7</v>
      </c>
      <c r="B141" s="21">
        <f>'Age Band Raters'!C93</f>
        <v>7053</v>
      </c>
      <c r="C141" s="21">
        <f>'Age Band Raters'!D93</f>
        <v>7984</v>
      </c>
      <c r="D141" s="21">
        <f>'Age Band Raters'!E93</f>
        <v>8600</v>
      </c>
      <c r="E141" s="21">
        <f>'Age Band Raters'!F93</f>
        <v>9460</v>
      </c>
      <c r="F141"/>
      <c r="G141" s="20" t="s">
        <v>7</v>
      </c>
      <c r="H141" s="21">
        <f>'Age Band Raters'!I93</f>
        <v>9588</v>
      </c>
      <c r="I141" s="21">
        <f>'Age Band Raters'!J93</f>
        <v>10950</v>
      </c>
      <c r="J141" s="21">
        <f>'Age Band Raters'!K93</f>
        <v>11850</v>
      </c>
      <c r="K141" s="21">
        <f>'Age Band Raters'!L93</f>
        <v>13107</v>
      </c>
      <c r="L141" s="17"/>
    </row>
    <row r="142" spans="1:12" ht="15.6" thickTop="1" thickBot="1" x14ac:dyDescent="0.35">
      <c r="A142" s="20" t="s">
        <v>8</v>
      </c>
      <c r="B142" s="21">
        <f>'Age Band Raters'!C94</f>
        <v>9028</v>
      </c>
      <c r="C142" s="21">
        <f>'Age Band Raters'!D94</f>
        <v>10295</v>
      </c>
      <c r="D142" s="21">
        <f>'Age Band Raters'!E94</f>
        <v>11133</v>
      </c>
      <c r="E142" s="21">
        <f>'Age Band Raters'!F94</f>
        <v>12302</v>
      </c>
      <c r="F142"/>
      <c r="G142" s="20" t="s">
        <v>8</v>
      </c>
      <c r="H142" s="21">
        <f>'Age Band Raters'!I94</f>
        <v>12477</v>
      </c>
      <c r="I142" s="21">
        <f>'Age Band Raters'!J94</f>
        <v>14328</v>
      </c>
      <c r="J142" s="21">
        <f>'Age Band Raters'!K94</f>
        <v>15553</v>
      </c>
      <c r="K142" s="21">
        <f>'Age Band Raters'!L94</f>
        <v>17262</v>
      </c>
      <c r="L142" s="17"/>
    </row>
    <row r="143" spans="1:12" ht="15.6" thickTop="1" thickBot="1" x14ac:dyDescent="0.35">
      <c r="A143"/>
      <c r="B143"/>
      <c r="C143"/>
      <c r="D143"/>
      <c r="E143"/>
      <c r="F143"/>
      <c r="G143"/>
      <c r="H143"/>
      <c r="I143"/>
      <c r="J143"/>
      <c r="K143"/>
    </row>
    <row r="144" spans="1:12" ht="15.6" thickTop="1" thickBot="1" x14ac:dyDescent="0.35">
      <c r="A144" s="200" t="s">
        <v>17</v>
      </c>
      <c r="B144" s="200"/>
      <c r="C144" s="200"/>
      <c r="D144" s="200"/>
      <c r="E144" s="200"/>
      <c r="F144"/>
      <c r="G144" s="200" t="s">
        <v>16</v>
      </c>
      <c r="H144" s="200"/>
      <c r="I144" s="200"/>
      <c r="J144" s="200"/>
      <c r="K144" s="200"/>
      <c r="L144" s="16"/>
    </row>
    <row r="145" spans="1:12" ht="15.6" thickTop="1" thickBot="1" x14ac:dyDescent="0.35">
      <c r="A145" s="18"/>
      <c r="B145" s="13" t="s">
        <v>11</v>
      </c>
      <c r="C145" s="13" t="s">
        <v>12</v>
      </c>
      <c r="D145" s="13" t="s">
        <v>13</v>
      </c>
      <c r="E145" s="13" t="s">
        <v>14</v>
      </c>
      <c r="F145"/>
      <c r="G145" s="13"/>
      <c r="H145" s="13" t="s">
        <v>11</v>
      </c>
      <c r="I145" s="13" t="s">
        <v>12</v>
      </c>
      <c r="J145" s="13" t="s">
        <v>13</v>
      </c>
      <c r="K145" s="13" t="s">
        <v>14</v>
      </c>
      <c r="L145" s="16"/>
    </row>
    <row r="146" spans="1:12" ht="15.6" thickTop="1" thickBot="1" x14ac:dyDescent="0.35">
      <c r="A146" s="20" t="s">
        <v>9</v>
      </c>
      <c r="B146" s="21">
        <f>'Age Band Raters'!C98</f>
        <v>2486</v>
      </c>
      <c r="C146" s="21">
        <f>'Age Band Raters'!D98</f>
        <v>2643</v>
      </c>
      <c r="D146" s="21">
        <f>'Age Band Raters'!E98</f>
        <v>2746</v>
      </c>
      <c r="E146" s="21">
        <f>'Age Band Raters'!F98</f>
        <v>2891</v>
      </c>
      <c r="F146"/>
      <c r="G146" s="20" t="s">
        <v>9</v>
      </c>
      <c r="H146" s="21">
        <f>'Age Band Raters'!I98</f>
        <v>2912</v>
      </c>
      <c r="I146" s="21">
        <f>'Age Band Raters'!J98</f>
        <v>3141</v>
      </c>
      <c r="J146" s="21">
        <f>'Age Band Raters'!K98</f>
        <v>3293</v>
      </c>
      <c r="K146" s="21">
        <f>'Age Band Raters'!L98</f>
        <v>3504</v>
      </c>
      <c r="L146" s="17"/>
    </row>
    <row r="147" spans="1:12" ht="15.6" thickTop="1" thickBot="1" x14ac:dyDescent="0.35">
      <c r="A147" s="20" t="s">
        <v>0</v>
      </c>
      <c r="B147" s="21">
        <f>'Age Band Raters'!C99</f>
        <v>3016</v>
      </c>
      <c r="C147" s="21">
        <f>'Age Band Raters'!D99</f>
        <v>3263</v>
      </c>
      <c r="D147" s="21">
        <f>'Age Band Raters'!E99</f>
        <v>3426</v>
      </c>
      <c r="E147" s="21">
        <f>'Age Band Raters'!F99</f>
        <v>3654</v>
      </c>
      <c r="F147"/>
      <c r="G147" s="20" t="s">
        <v>0</v>
      </c>
      <c r="H147" s="21">
        <f>'Age Band Raters'!I99</f>
        <v>3688</v>
      </c>
      <c r="I147" s="21">
        <f>'Age Band Raters'!J99</f>
        <v>4048</v>
      </c>
      <c r="J147" s="21">
        <f>'Age Band Raters'!K99</f>
        <v>4286</v>
      </c>
      <c r="K147" s="21">
        <f>'Age Band Raters'!L99</f>
        <v>4619</v>
      </c>
      <c r="L147" s="17"/>
    </row>
    <row r="148" spans="1:12" ht="15.6" thickTop="1" thickBot="1" x14ac:dyDescent="0.35">
      <c r="A148" s="20" t="s">
        <v>1</v>
      </c>
      <c r="B148" s="21">
        <f>'Age Band Raters'!C100</f>
        <v>3094</v>
      </c>
      <c r="C148" s="21">
        <f>'Age Band Raters'!D100</f>
        <v>3354</v>
      </c>
      <c r="D148" s="21">
        <f>'Age Band Raters'!E100</f>
        <v>3526</v>
      </c>
      <c r="E148" s="21">
        <f>'Age Band Raters'!F100</f>
        <v>3766</v>
      </c>
      <c r="F148"/>
      <c r="G148" s="20" t="s">
        <v>1</v>
      </c>
      <c r="H148" s="21">
        <f>'Age Band Raters'!I100</f>
        <v>3802</v>
      </c>
      <c r="I148" s="21">
        <f>'Age Band Raters'!J100</f>
        <v>4181</v>
      </c>
      <c r="J148" s="21">
        <f>'Age Band Raters'!K100</f>
        <v>4433</v>
      </c>
      <c r="K148" s="21">
        <f>'Age Band Raters'!L100</f>
        <v>4783</v>
      </c>
      <c r="L148" s="17"/>
    </row>
    <row r="149" spans="1:12" ht="15.6" thickTop="1" thickBot="1" x14ac:dyDescent="0.35">
      <c r="A149" s="20" t="s">
        <v>2</v>
      </c>
      <c r="B149" s="21">
        <f>'Age Band Raters'!C101</f>
        <v>3228</v>
      </c>
      <c r="C149" s="21">
        <f>'Age Band Raters'!D101</f>
        <v>3511</v>
      </c>
      <c r="D149" s="21">
        <f>'Age Band Raters'!E101</f>
        <v>3698</v>
      </c>
      <c r="E149" s="21">
        <f>'Age Band Raters'!F101</f>
        <v>3958</v>
      </c>
      <c r="F149"/>
      <c r="G149" s="20" t="s">
        <v>2</v>
      </c>
      <c r="H149" s="21">
        <f>'Age Band Raters'!I101</f>
        <v>3997</v>
      </c>
      <c r="I149" s="21">
        <f>'Age Band Raters'!J101</f>
        <v>4410</v>
      </c>
      <c r="J149" s="21">
        <f>'Age Band Raters'!K101</f>
        <v>4683</v>
      </c>
      <c r="K149" s="21">
        <f>'Age Band Raters'!L101</f>
        <v>5065</v>
      </c>
      <c r="L149" s="17"/>
    </row>
    <row r="150" spans="1:12" ht="15.6" thickTop="1" thickBot="1" x14ac:dyDescent="0.35">
      <c r="A150" s="20" t="s">
        <v>3</v>
      </c>
      <c r="B150" s="21">
        <f>'Age Band Raters'!C102</f>
        <v>3440</v>
      </c>
      <c r="C150" s="21">
        <f>'Age Band Raters'!D102</f>
        <v>3759</v>
      </c>
      <c r="D150" s="21">
        <f>'Age Band Raters'!E102</f>
        <v>3970</v>
      </c>
      <c r="E150" s="21">
        <f>'Age Band Raters'!F102</f>
        <v>4264</v>
      </c>
      <c r="F150"/>
      <c r="G150" s="20" t="s">
        <v>3</v>
      </c>
      <c r="H150" s="21">
        <f>'Age Band Raters'!I102</f>
        <v>4307</v>
      </c>
      <c r="I150" s="21">
        <f>'Age Band Raters'!J102</f>
        <v>4773</v>
      </c>
      <c r="J150" s="21">
        <f>'Age Band Raters'!K102</f>
        <v>5081</v>
      </c>
      <c r="K150" s="21">
        <f>'Age Band Raters'!L102</f>
        <v>5511</v>
      </c>
      <c r="L150" s="17"/>
    </row>
    <row r="151" spans="1:12" ht="15.6" thickTop="1" thickBot="1" x14ac:dyDescent="0.35">
      <c r="A151" s="20" t="s">
        <v>4</v>
      </c>
      <c r="B151" s="21">
        <f>'Age Band Raters'!C103</f>
        <v>3835</v>
      </c>
      <c r="C151" s="21">
        <f>'Age Band Raters'!D103</f>
        <v>4220</v>
      </c>
      <c r="D151" s="21">
        <f>'Age Band Raters'!E103</f>
        <v>4475</v>
      </c>
      <c r="E151" s="21">
        <f>'Age Band Raters'!F103</f>
        <v>4831</v>
      </c>
      <c r="F151"/>
      <c r="G151" s="20" t="s">
        <v>4</v>
      </c>
      <c r="H151" s="21">
        <f>'Age Band Raters'!I103</f>
        <v>4884</v>
      </c>
      <c r="I151" s="21">
        <f>'Age Band Raters'!J103</f>
        <v>5448</v>
      </c>
      <c r="J151" s="21">
        <f>'Age Band Raters'!K103</f>
        <v>5820</v>
      </c>
      <c r="K151" s="21">
        <f>'Age Band Raters'!L103</f>
        <v>6341</v>
      </c>
      <c r="L151" s="17"/>
    </row>
    <row r="152" spans="1:12" ht="15.6" thickTop="1" thickBot="1" x14ac:dyDescent="0.35">
      <c r="A152" s="20" t="s">
        <v>5</v>
      </c>
      <c r="B152" s="21">
        <f>'Age Band Raters'!C104</f>
        <v>4345</v>
      </c>
      <c r="C152" s="21">
        <f>'Age Band Raters'!D104</f>
        <v>4817</v>
      </c>
      <c r="D152" s="21">
        <f>'Age Band Raters'!E104</f>
        <v>5129</v>
      </c>
      <c r="E152" s="21">
        <f>'Age Band Raters'!F104</f>
        <v>5565</v>
      </c>
      <c r="F152"/>
      <c r="G152" s="20" t="s">
        <v>5</v>
      </c>
      <c r="H152" s="21">
        <f>'Age Band Raters'!I104</f>
        <v>5630</v>
      </c>
      <c r="I152" s="21">
        <f>'Age Band Raters'!J104</f>
        <v>6320</v>
      </c>
      <c r="J152" s="21">
        <f>'Age Band Raters'!K104</f>
        <v>6776</v>
      </c>
      <c r="K152" s="21">
        <f>'Age Band Raters'!L104</f>
        <v>7413</v>
      </c>
      <c r="L152" s="17"/>
    </row>
    <row r="153" spans="1:12" ht="15.6" thickTop="1" thickBot="1" x14ac:dyDescent="0.35">
      <c r="A153" s="20" t="s">
        <v>6</v>
      </c>
      <c r="B153" s="21">
        <f>'Age Band Raters'!C105</f>
        <v>5109</v>
      </c>
      <c r="C153" s="21">
        <f>'Age Band Raters'!D105</f>
        <v>5711</v>
      </c>
      <c r="D153" s="21">
        <f>'Age Band Raters'!E105</f>
        <v>6109</v>
      </c>
      <c r="E153" s="21">
        <f>'Age Band Raters'!F105</f>
        <v>6664</v>
      </c>
      <c r="F153"/>
      <c r="G153" s="20" t="s">
        <v>6</v>
      </c>
      <c r="H153" s="21">
        <f>'Age Band Raters'!I105</f>
        <v>6747</v>
      </c>
      <c r="I153" s="21">
        <f>'Age Band Raters'!J105</f>
        <v>7626</v>
      </c>
      <c r="J153" s="21">
        <f>'Age Band Raters'!K105</f>
        <v>8208</v>
      </c>
      <c r="K153" s="21">
        <f>'Age Band Raters'!L105</f>
        <v>9020</v>
      </c>
      <c r="L153" s="17"/>
    </row>
    <row r="154" spans="1:12" ht="15.6" thickTop="1" thickBot="1" x14ac:dyDescent="0.35">
      <c r="A154" s="20" t="s">
        <v>7</v>
      </c>
      <c r="B154" s="21">
        <f>'Age Band Raters'!C106</f>
        <v>6229</v>
      </c>
      <c r="C154" s="21">
        <f>'Age Band Raters'!D106</f>
        <v>7021</v>
      </c>
      <c r="D154" s="21">
        <f>'Age Band Raters'!E106</f>
        <v>7544</v>
      </c>
      <c r="E154" s="21">
        <f>'Age Band Raters'!F106</f>
        <v>8275</v>
      </c>
      <c r="F154"/>
      <c r="G154" s="20" t="s">
        <v>7</v>
      </c>
      <c r="H154" s="21">
        <f>'Age Band Raters'!I106</f>
        <v>8384</v>
      </c>
      <c r="I154" s="21">
        <f>'Age Band Raters'!J106</f>
        <v>9542</v>
      </c>
      <c r="J154" s="21">
        <f>'Age Band Raters'!K106</f>
        <v>10307</v>
      </c>
      <c r="K154" s="21">
        <f>'Age Band Raters'!L106</f>
        <v>11375</v>
      </c>
      <c r="L154" s="17"/>
    </row>
    <row r="155" spans="1:12" ht="15.6" thickTop="1" thickBot="1" x14ac:dyDescent="0.35">
      <c r="A155" s="20" t="s">
        <v>8</v>
      </c>
      <c r="B155" s="21">
        <f>'Age Band Raters'!C107</f>
        <v>7909</v>
      </c>
      <c r="C155" s="21">
        <f>'Age Band Raters'!D107</f>
        <v>8985</v>
      </c>
      <c r="D155" s="21">
        <f>'Age Band Raters'!E107</f>
        <v>9697</v>
      </c>
      <c r="E155" s="21">
        <f>'Age Band Raters'!F107</f>
        <v>10691</v>
      </c>
      <c r="F155"/>
      <c r="G155" s="20" t="s">
        <v>8</v>
      </c>
      <c r="H155" s="21">
        <f>'Age Band Raters'!I107</f>
        <v>10839</v>
      </c>
      <c r="I155" s="21">
        <f>'Age Band Raters'!J107</f>
        <v>12413</v>
      </c>
      <c r="J155" s="21">
        <f>'Age Band Raters'!K107</f>
        <v>13454</v>
      </c>
      <c r="K155" s="21">
        <f>'Age Band Raters'!L107</f>
        <v>14907</v>
      </c>
      <c r="L155" s="17"/>
    </row>
    <row r="156" spans="1:12" ht="15" thickTop="1" x14ac:dyDescent="0.3"/>
  </sheetData>
  <sheetProtection algorithmName="SHA-512" hashValue="/wmG8Yk6R4gXaT8DDh8k9r7UcKgWYtEAmP0i6qVyov4k8W9TSgMik5GI+iEZXaQYaPyAXvW8ptmcWOUqJla+1Q==" saltValue="9GLiVyfEMuGWjviYt91iJw==" spinCount="100000" sheet="1" objects="1" scenarios="1"/>
  <autoFilter ref="A1:E41" xr:uid="{42BBBCC7-B617-4EA0-AB5A-3204E56939BB}"/>
  <mergeCells count="20">
    <mergeCell ref="A76:K76"/>
    <mergeCell ref="A49:K49"/>
    <mergeCell ref="A50:E50"/>
    <mergeCell ref="G50:K50"/>
    <mergeCell ref="A63:E63"/>
    <mergeCell ref="G63:K63"/>
    <mergeCell ref="A144:E144"/>
    <mergeCell ref="G144:K144"/>
    <mergeCell ref="A77:E77"/>
    <mergeCell ref="G77:K77"/>
    <mergeCell ref="A90:E90"/>
    <mergeCell ref="G90:K90"/>
    <mergeCell ref="A103:K103"/>
    <mergeCell ref="A104:E104"/>
    <mergeCell ref="G104:K104"/>
    <mergeCell ref="A117:E117"/>
    <mergeCell ref="G117:K117"/>
    <mergeCell ref="A130:K130"/>
    <mergeCell ref="A131:E131"/>
    <mergeCell ref="G131:K1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108"/>
  <sheetViews>
    <sheetView workbookViewId="0">
      <selection activeCell="E24" sqref="E24"/>
    </sheetView>
  </sheetViews>
  <sheetFormatPr defaultColWidth="9.109375" defaultRowHeight="14.4" x14ac:dyDescent="0.3"/>
  <cols>
    <col min="1" max="1" width="10.109375" style="2" customWidth="1"/>
    <col min="2" max="2" width="9.88671875" bestFit="1" customWidth="1"/>
    <col min="3" max="6" width="8.77734375"/>
    <col min="7" max="7" width="3.5546875" customWidth="1"/>
    <col min="8" max="8" width="9.88671875" bestFit="1" customWidth="1"/>
    <col min="9" max="14" width="8.77734375"/>
    <col min="15" max="15" width="12.33203125" bestFit="1" customWidth="1"/>
    <col min="16" max="16" width="8.77734375"/>
    <col min="17" max="17" width="12.33203125" bestFit="1" customWidth="1"/>
    <col min="18" max="18" width="9.109375" bestFit="1" customWidth="1"/>
    <col min="19" max="20" width="9.21875" bestFit="1" customWidth="1"/>
    <col min="21" max="16384" width="9.109375" style="2"/>
  </cols>
  <sheetData>
    <row r="1" spans="2:20" ht="15.6" thickTop="1" thickBot="1" x14ac:dyDescent="0.35">
      <c r="B1" s="202" t="s">
        <v>190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</row>
    <row r="2" spans="2:20" ht="15.6" thickTop="1" thickBot="1" x14ac:dyDescent="0.35">
      <c r="B2" s="201" t="s">
        <v>10</v>
      </c>
      <c r="C2" s="201"/>
      <c r="D2" s="201"/>
      <c r="E2" s="201"/>
      <c r="F2" s="201"/>
      <c r="H2" s="201" t="s">
        <v>15</v>
      </c>
      <c r="I2" s="201"/>
      <c r="J2" s="201"/>
      <c r="K2" s="201"/>
      <c r="L2" s="201"/>
      <c r="O2" s="13" t="s">
        <v>18</v>
      </c>
      <c r="Q2" s="13" t="s">
        <v>199</v>
      </c>
      <c r="R2" s="13" t="s">
        <v>196</v>
      </c>
      <c r="S2" s="13" t="s">
        <v>197</v>
      </c>
      <c r="T2" s="13" t="s">
        <v>202</v>
      </c>
    </row>
    <row r="3" spans="2:20" ht="15.6" thickTop="1" thickBot="1" x14ac:dyDescent="0.35">
      <c r="B3" s="13"/>
      <c r="C3" s="13" t="s">
        <v>11</v>
      </c>
      <c r="D3" s="13" t="s">
        <v>12</v>
      </c>
      <c r="E3" s="13" t="s">
        <v>13</v>
      </c>
      <c r="F3" s="13" t="s">
        <v>14</v>
      </c>
      <c r="H3" s="13"/>
      <c r="I3" s="13" t="s">
        <v>11</v>
      </c>
      <c r="J3" s="13" t="s">
        <v>12</v>
      </c>
      <c r="K3" s="13" t="s">
        <v>13</v>
      </c>
      <c r="L3" s="13" t="s">
        <v>14</v>
      </c>
      <c r="O3" s="26">
        <v>0.16520000000000001</v>
      </c>
      <c r="Q3" s="27" t="s">
        <v>200</v>
      </c>
      <c r="R3" s="28">
        <v>625</v>
      </c>
      <c r="S3" s="28">
        <v>1042</v>
      </c>
      <c r="T3" s="28">
        <v>1563</v>
      </c>
    </row>
    <row r="4" spans="2:20" ht="15.6" thickTop="1" thickBot="1" x14ac:dyDescent="0.35">
      <c r="B4" s="20" t="s">
        <v>9</v>
      </c>
      <c r="C4" s="21">
        <v>1086</v>
      </c>
      <c r="D4" s="20">
        <v>1270</v>
      </c>
      <c r="E4" s="20">
        <v>1392</v>
      </c>
      <c r="F4" s="20">
        <v>1562</v>
      </c>
      <c r="H4" s="20" t="s">
        <v>9</v>
      </c>
      <c r="I4" s="21">
        <v>1587</v>
      </c>
      <c r="J4" s="20">
        <v>1857</v>
      </c>
      <c r="K4" s="20">
        <v>2035</v>
      </c>
      <c r="L4" s="20">
        <v>2283</v>
      </c>
    </row>
    <row r="5" spans="2:20" ht="15.6" thickTop="1" thickBot="1" x14ac:dyDescent="0.35">
      <c r="B5" s="20" t="s">
        <v>0</v>
      </c>
      <c r="C5" s="21">
        <v>1710</v>
      </c>
      <c r="D5" s="20">
        <v>2000</v>
      </c>
      <c r="E5" s="20">
        <v>2192</v>
      </c>
      <c r="F5" s="20">
        <v>2460</v>
      </c>
      <c r="H5" s="20" t="s">
        <v>0</v>
      </c>
      <c r="I5" s="21">
        <v>2500</v>
      </c>
      <c r="J5" s="20">
        <v>2924</v>
      </c>
      <c r="K5" s="20">
        <v>3204</v>
      </c>
      <c r="L5" s="20">
        <v>3596</v>
      </c>
    </row>
    <row r="6" spans="2:20" ht="15.6" thickTop="1" thickBot="1" x14ac:dyDescent="0.35">
      <c r="B6" s="20" t="s">
        <v>1</v>
      </c>
      <c r="C6" s="21">
        <v>1802</v>
      </c>
      <c r="D6" s="20">
        <v>2107</v>
      </c>
      <c r="E6" s="20">
        <v>2309</v>
      </c>
      <c r="F6" s="20">
        <v>2592</v>
      </c>
      <c r="H6" s="20" t="s">
        <v>1</v>
      </c>
      <c r="I6" s="21">
        <v>2634</v>
      </c>
      <c r="J6" s="20">
        <v>3080</v>
      </c>
      <c r="K6" s="20">
        <v>3376</v>
      </c>
      <c r="L6" s="20">
        <v>3788</v>
      </c>
    </row>
    <row r="7" spans="2:20" ht="15.6" thickTop="1" thickBot="1" x14ac:dyDescent="0.35">
      <c r="B7" s="20" t="s">
        <v>2</v>
      </c>
      <c r="C7" s="21">
        <v>1959</v>
      </c>
      <c r="D7" s="20">
        <v>2291</v>
      </c>
      <c r="E7" s="20">
        <v>2511</v>
      </c>
      <c r="F7" s="20">
        <v>2818</v>
      </c>
      <c r="H7" s="20" t="s">
        <v>2</v>
      </c>
      <c r="I7" s="21">
        <v>2864</v>
      </c>
      <c r="J7" s="20">
        <v>3350</v>
      </c>
      <c r="K7" s="20">
        <v>3671</v>
      </c>
      <c r="L7" s="20">
        <v>4120</v>
      </c>
      <c r="O7" s="29">
        <f ca="1">TODAY()</f>
        <v>46169</v>
      </c>
    </row>
    <row r="8" spans="2:20" ht="15.6" thickTop="1" thickBot="1" x14ac:dyDescent="0.35">
      <c r="B8" s="20" t="s">
        <v>3</v>
      </c>
      <c r="C8" s="21">
        <v>2209</v>
      </c>
      <c r="D8" s="20">
        <v>2583</v>
      </c>
      <c r="E8" s="20">
        <v>2831</v>
      </c>
      <c r="F8" s="20">
        <v>3177</v>
      </c>
      <c r="H8" s="20" t="s">
        <v>3</v>
      </c>
      <c r="I8" s="21">
        <v>3229</v>
      </c>
      <c r="J8" s="20">
        <v>3777</v>
      </c>
      <c r="K8" s="20">
        <v>4139</v>
      </c>
      <c r="L8" s="20">
        <v>4645</v>
      </c>
    </row>
    <row r="9" spans="2:20" ht="15.6" thickTop="1" thickBot="1" x14ac:dyDescent="0.35">
      <c r="B9" s="20" t="s">
        <v>4</v>
      </c>
      <c r="C9" s="21">
        <v>2673</v>
      </c>
      <c r="D9" s="20">
        <v>3126</v>
      </c>
      <c r="E9" s="20">
        <v>3426</v>
      </c>
      <c r="F9" s="20">
        <v>3845</v>
      </c>
      <c r="H9" s="20" t="s">
        <v>4</v>
      </c>
      <c r="I9" s="21">
        <v>3907</v>
      </c>
      <c r="J9" s="20">
        <v>4570</v>
      </c>
      <c r="K9" s="20">
        <v>5009</v>
      </c>
      <c r="L9" s="20">
        <v>5621</v>
      </c>
    </row>
    <row r="10" spans="2:20" ht="15.6" thickTop="1" thickBot="1" x14ac:dyDescent="0.35">
      <c r="B10" s="20" t="s">
        <v>5</v>
      </c>
      <c r="C10" s="21">
        <v>3273</v>
      </c>
      <c r="D10" s="20">
        <v>3828</v>
      </c>
      <c r="E10" s="20">
        <v>4196</v>
      </c>
      <c r="F10" s="20">
        <v>4708</v>
      </c>
      <c r="H10" s="20" t="s">
        <v>5</v>
      </c>
      <c r="I10" s="21">
        <v>4785</v>
      </c>
      <c r="J10" s="20">
        <v>5597</v>
      </c>
      <c r="K10" s="20">
        <v>6133</v>
      </c>
      <c r="L10" s="20">
        <v>6883</v>
      </c>
    </row>
    <row r="11" spans="2:20" ht="15.6" thickTop="1" thickBot="1" x14ac:dyDescent="0.35">
      <c r="B11" s="20" t="s">
        <v>6</v>
      </c>
      <c r="C11" s="21">
        <v>4172</v>
      </c>
      <c r="D11" s="20">
        <v>4880</v>
      </c>
      <c r="E11" s="20">
        <v>5348</v>
      </c>
      <c r="F11" s="20">
        <v>6001</v>
      </c>
      <c r="H11" s="20" t="s">
        <v>6</v>
      </c>
      <c r="I11" s="21">
        <v>6099</v>
      </c>
      <c r="J11" s="20">
        <v>7133</v>
      </c>
      <c r="K11" s="20">
        <v>7818</v>
      </c>
      <c r="L11" s="20">
        <v>8773</v>
      </c>
    </row>
    <row r="12" spans="2:20" ht="15.6" thickTop="1" thickBot="1" x14ac:dyDescent="0.35">
      <c r="B12" s="20" t="s">
        <v>7</v>
      </c>
      <c r="C12" s="21">
        <v>5490</v>
      </c>
      <c r="D12" s="20">
        <v>6421</v>
      </c>
      <c r="E12" s="20">
        <v>7037</v>
      </c>
      <c r="F12" s="20">
        <v>7897</v>
      </c>
      <c r="H12" s="20" t="s">
        <v>7</v>
      </c>
      <c r="I12" s="21">
        <v>8025</v>
      </c>
      <c r="J12" s="20">
        <v>9387</v>
      </c>
      <c r="K12" s="20">
        <v>10287</v>
      </c>
      <c r="L12" s="20">
        <v>11544</v>
      </c>
    </row>
    <row r="13" spans="2:20" ht="15.6" thickTop="1" thickBot="1" x14ac:dyDescent="0.35">
      <c r="B13" s="20" t="s">
        <v>8</v>
      </c>
      <c r="C13" s="21">
        <v>7465</v>
      </c>
      <c r="D13" s="20">
        <v>8732</v>
      </c>
      <c r="E13" s="20">
        <v>9570</v>
      </c>
      <c r="F13" s="20">
        <v>10739</v>
      </c>
      <c r="H13" s="20" t="s">
        <v>8</v>
      </c>
      <c r="I13" s="21">
        <v>10914</v>
      </c>
      <c r="J13" s="20">
        <v>12765</v>
      </c>
      <c r="K13" s="20">
        <v>13990</v>
      </c>
      <c r="L13" s="20">
        <v>15699</v>
      </c>
      <c r="P13" s="30"/>
    </row>
    <row r="14" spans="2:20" ht="15.6" thickTop="1" thickBot="1" x14ac:dyDescent="0.35"/>
    <row r="15" spans="2:20" ht="15.6" thickTop="1" thickBot="1" x14ac:dyDescent="0.35">
      <c r="B15" s="200" t="s">
        <v>17</v>
      </c>
      <c r="C15" s="200"/>
      <c r="D15" s="200"/>
      <c r="E15" s="200"/>
      <c r="F15" s="200"/>
      <c r="H15" s="200" t="s">
        <v>16</v>
      </c>
      <c r="I15" s="200"/>
      <c r="J15" s="200"/>
      <c r="K15" s="200"/>
      <c r="L15" s="200"/>
    </row>
    <row r="16" spans="2:20" ht="15.6" thickTop="1" thickBot="1" x14ac:dyDescent="0.35">
      <c r="B16" s="18"/>
      <c r="C16" s="13" t="s">
        <v>11</v>
      </c>
      <c r="D16" s="13" t="s">
        <v>12</v>
      </c>
      <c r="E16" s="13" t="s">
        <v>13</v>
      </c>
      <c r="F16" s="13" t="s">
        <v>14</v>
      </c>
      <c r="H16" s="13"/>
      <c r="I16" s="13" t="s">
        <v>11</v>
      </c>
      <c r="J16" s="13" t="s">
        <v>12</v>
      </c>
      <c r="K16" s="13" t="s">
        <v>13</v>
      </c>
      <c r="L16" s="13" t="s">
        <v>14</v>
      </c>
    </row>
    <row r="17" spans="2:20" ht="15.6" thickTop="1" thickBot="1" x14ac:dyDescent="0.35">
      <c r="B17" s="20" t="s">
        <v>9</v>
      </c>
      <c r="C17" s="20">
        <v>923</v>
      </c>
      <c r="D17" s="20">
        <v>1080</v>
      </c>
      <c r="E17" s="20">
        <v>1183</v>
      </c>
      <c r="F17" s="20">
        <v>1328</v>
      </c>
      <c r="H17" s="20" t="s">
        <v>9</v>
      </c>
      <c r="I17" s="21">
        <v>1349</v>
      </c>
      <c r="J17" s="20">
        <v>1578</v>
      </c>
      <c r="K17" s="20">
        <v>1730</v>
      </c>
      <c r="L17" s="20">
        <v>1941</v>
      </c>
    </row>
    <row r="18" spans="2:20" ht="15.6" thickTop="1" thickBot="1" x14ac:dyDescent="0.35">
      <c r="B18" s="20" t="s">
        <v>0</v>
      </c>
      <c r="C18" s="20">
        <v>1453</v>
      </c>
      <c r="D18" s="20">
        <v>1700</v>
      </c>
      <c r="E18" s="20">
        <v>1863</v>
      </c>
      <c r="F18" s="20">
        <v>2091</v>
      </c>
      <c r="H18" s="20" t="s">
        <v>0</v>
      </c>
      <c r="I18" s="21">
        <v>2125</v>
      </c>
      <c r="J18" s="20">
        <v>2485</v>
      </c>
      <c r="K18" s="20">
        <v>2723</v>
      </c>
      <c r="L18" s="20">
        <v>3056</v>
      </c>
    </row>
    <row r="19" spans="2:20" ht="15.6" thickTop="1" thickBot="1" x14ac:dyDescent="0.35">
      <c r="B19" s="20" t="s">
        <v>1</v>
      </c>
      <c r="C19" s="20">
        <v>1531</v>
      </c>
      <c r="D19" s="20">
        <v>1791</v>
      </c>
      <c r="E19" s="20">
        <v>1963</v>
      </c>
      <c r="F19" s="20">
        <v>2203</v>
      </c>
      <c r="H19" s="20" t="s">
        <v>1</v>
      </c>
      <c r="I19" s="21">
        <v>2239</v>
      </c>
      <c r="J19" s="20">
        <v>2618</v>
      </c>
      <c r="K19" s="20">
        <v>2870</v>
      </c>
      <c r="L19" s="20">
        <v>3220</v>
      </c>
    </row>
    <row r="20" spans="2:20" ht="15.6" thickTop="1" thickBot="1" x14ac:dyDescent="0.35">
      <c r="B20" s="20" t="s">
        <v>2</v>
      </c>
      <c r="C20" s="20">
        <v>1665</v>
      </c>
      <c r="D20" s="20">
        <v>1948</v>
      </c>
      <c r="E20" s="20">
        <v>2135</v>
      </c>
      <c r="F20" s="20">
        <v>2395</v>
      </c>
      <c r="H20" s="20" t="s">
        <v>2</v>
      </c>
      <c r="I20" s="21">
        <v>2434</v>
      </c>
      <c r="J20" s="20">
        <v>2847</v>
      </c>
      <c r="K20" s="20">
        <v>3120</v>
      </c>
      <c r="L20" s="20">
        <v>3502</v>
      </c>
    </row>
    <row r="21" spans="2:20" ht="15.6" thickTop="1" thickBot="1" x14ac:dyDescent="0.35">
      <c r="B21" s="20" t="s">
        <v>3</v>
      </c>
      <c r="C21" s="20">
        <v>1877</v>
      </c>
      <c r="D21" s="20">
        <v>2196</v>
      </c>
      <c r="E21" s="20">
        <v>2407</v>
      </c>
      <c r="F21" s="20">
        <v>2701</v>
      </c>
      <c r="H21" s="20" t="s">
        <v>3</v>
      </c>
      <c r="I21" s="21">
        <v>2744</v>
      </c>
      <c r="J21" s="20">
        <v>3210</v>
      </c>
      <c r="K21" s="20">
        <v>3518</v>
      </c>
      <c r="L21" s="20">
        <v>3948</v>
      </c>
    </row>
    <row r="22" spans="2:20" ht="15.6" thickTop="1" thickBot="1" x14ac:dyDescent="0.35">
      <c r="B22" s="20" t="s">
        <v>4</v>
      </c>
      <c r="C22" s="20">
        <v>2272</v>
      </c>
      <c r="D22" s="20">
        <v>2657</v>
      </c>
      <c r="E22" s="20">
        <v>2912</v>
      </c>
      <c r="F22" s="20">
        <v>3268</v>
      </c>
      <c r="H22" s="20" t="s">
        <v>4</v>
      </c>
      <c r="I22" s="21">
        <v>3321</v>
      </c>
      <c r="J22" s="20">
        <v>3885</v>
      </c>
      <c r="K22" s="20">
        <v>4257</v>
      </c>
      <c r="L22" s="20">
        <v>4778</v>
      </c>
    </row>
    <row r="23" spans="2:20" ht="15.6" thickTop="1" thickBot="1" x14ac:dyDescent="0.35">
      <c r="B23" s="20" t="s">
        <v>5</v>
      </c>
      <c r="C23" s="20">
        <v>2782</v>
      </c>
      <c r="D23" s="20">
        <v>3254</v>
      </c>
      <c r="E23" s="20">
        <v>3566</v>
      </c>
      <c r="F23" s="20">
        <v>4002</v>
      </c>
      <c r="H23" s="20" t="s">
        <v>5</v>
      </c>
      <c r="I23" s="21">
        <v>4067</v>
      </c>
      <c r="J23" s="20">
        <v>4757</v>
      </c>
      <c r="K23" s="20">
        <v>5213</v>
      </c>
      <c r="L23" s="20">
        <v>5850</v>
      </c>
    </row>
    <row r="24" spans="2:20" ht="15.6" thickTop="1" thickBot="1" x14ac:dyDescent="0.35">
      <c r="B24" s="20" t="s">
        <v>6</v>
      </c>
      <c r="C24" s="20">
        <v>3546</v>
      </c>
      <c r="D24" s="20">
        <v>4148</v>
      </c>
      <c r="E24" s="20">
        <v>4546</v>
      </c>
      <c r="F24" s="20">
        <v>5101</v>
      </c>
      <c r="H24" s="20" t="s">
        <v>6</v>
      </c>
      <c r="I24" s="21">
        <v>5184</v>
      </c>
      <c r="J24" s="20">
        <v>6063</v>
      </c>
      <c r="K24" s="20">
        <v>6645</v>
      </c>
      <c r="L24" s="20">
        <v>7457</v>
      </c>
    </row>
    <row r="25" spans="2:20" ht="15.6" thickTop="1" thickBot="1" x14ac:dyDescent="0.35">
      <c r="B25" s="20" t="s">
        <v>7</v>
      </c>
      <c r="C25" s="20">
        <v>4666</v>
      </c>
      <c r="D25" s="20">
        <v>5458</v>
      </c>
      <c r="E25" s="20">
        <v>5981</v>
      </c>
      <c r="F25" s="20">
        <v>6712</v>
      </c>
      <c r="H25" s="20" t="s">
        <v>7</v>
      </c>
      <c r="I25" s="21">
        <v>6821</v>
      </c>
      <c r="J25" s="20">
        <v>7979</v>
      </c>
      <c r="K25" s="20">
        <v>8744</v>
      </c>
      <c r="L25" s="20">
        <v>9812</v>
      </c>
    </row>
    <row r="26" spans="2:20" ht="15.6" thickTop="1" thickBot="1" x14ac:dyDescent="0.35">
      <c r="B26" s="20" t="s">
        <v>8</v>
      </c>
      <c r="C26" s="20">
        <v>6346</v>
      </c>
      <c r="D26" s="20">
        <v>7422</v>
      </c>
      <c r="E26" s="20">
        <v>8134</v>
      </c>
      <c r="F26" s="20">
        <v>9128</v>
      </c>
      <c r="H26" s="20" t="s">
        <v>8</v>
      </c>
      <c r="I26" s="21">
        <v>9276</v>
      </c>
      <c r="J26" s="20">
        <v>10850</v>
      </c>
      <c r="K26" s="20">
        <v>11891</v>
      </c>
      <c r="L26" s="20">
        <v>13344</v>
      </c>
    </row>
    <row r="27" spans="2:20" ht="15.6" thickTop="1" thickBot="1" x14ac:dyDescent="0.35"/>
    <row r="28" spans="2:20" ht="15.6" thickTop="1" thickBot="1" x14ac:dyDescent="0.35">
      <c r="B28" s="202" t="s">
        <v>191</v>
      </c>
      <c r="C28" s="202"/>
      <c r="D28" s="202"/>
      <c r="E28" s="202"/>
      <c r="F28" s="202"/>
      <c r="G28" s="202"/>
      <c r="H28" s="202"/>
      <c r="I28" s="202"/>
      <c r="J28" s="202"/>
      <c r="K28" s="202"/>
      <c r="L28" s="202"/>
    </row>
    <row r="29" spans="2:20" ht="15.6" thickTop="1" thickBot="1" x14ac:dyDescent="0.35">
      <c r="B29" s="201" t="s">
        <v>10</v>
      </c>
      <c r="C29" s="201"/>
      <c r="D29" s="201"/>
      <c r="E29" s="201"/>
      <c r="F29" s="201"/>
      <c r="H29" s="201" t="s">
        <v>15</v>
      </c>
      <c r="I29" s="201"/>
      <c r="J29" s="201"/>
      <c r="K29" s="201"/>
      <c r="L29" s="201"/>
    </row>
    <row r="30" spans="2:20" ht="15.6" thickTop="1" thickBot="1" x14ac:dyDescent="0.35">
      <c r="B30" s="13"/>
      <c r="C30" s="13" t="s">
        <v>11</v>
      </c>
      <c r="D30" s="13" t="s">
        <v>12</v>
      </c>
      <c r="E30" s="13" t="s">
        <v>13</v>
      </c>
      <c r="F30" s="13" t="s">
        <v>14</v>
      </c>
      <c r="H30" s="13"/>
      <c r="I30" s="13" t="s">
        <v>11</v>
      </c>
      <c r="J30" s="13" t="s">
        <v>12</v>
      </c>
      <c r="K30" s="13" t="s">
        <v>13</v>
      </c>
      <c r="L30" s="13" t="s">
        <v>14</v>
      </c>
    </row>
    <row r="31" spans="2:20" ht="15.6" thickTop="1" thickBot="1" x14ac:dyDescent="0.35">
      <c r="B31" s="20" t="s">
        <v>9</v>
      </c>
      <c r="C31" s="21">
        <f t="shared" ref="C31:C40" si="0">C4+$R$3</f>
        <v>1711</v>
      </c>
      <c r="D31" s="21">
        <f t="shared" ref="D31:F31" si="1">D4+$R$3</f>
        <v>1895</v>
      </c>
      <c r="E31" s="21">
        <f t="shared" si="1"/>
        <v>2017</v>
      </c>
      <c r="F31" s="21">
        <f t="shared" si="1"/>
        <v>2187</v>
      </c>
      <c r="H31" s="20" t="s">
        <v>9</v>
      </c>
      <c r="I31" s="21">
        <f t="shared" ref="I31:L31" si="2">I4+$R$3</f>
        <v>2212</v>
      </c>
      <c r="J31" s="21">
        <f t="shared" si="2"/>
        <v>2482</v>
      </c>
      <c r="K31" s="21">
        <f t="shared" si="2"/>
        <v>2660</v>
      </c>
      <c r="L31" s="21">
        <f t="shared" si="2"/>
        <v>2908</v>
      </c>
      <c r="N31" s="30"/>
      <c r="O31" s="30"/>
      <c r="P31" s="30"/>
      <c r="Q31" s="30"/>
      <c r="R31" s="30"/>
      <c r="S31" s="30"/>
      <c r="T31" s="30"/>
    </row>
    <row r="32" spans="2:20" ht="15.6" thickTop="1" thickBot="1" x14ac:dyDescent="0.35">
      <c r="B32" s="20" t="s">
        <v>0</v>
      </c>
      <c r="C32" s="21">
        <f t="shared" si="0"/>
        <v>2335</v>
      </c>
      <c r="D32" s="21">
        <f t="shared" ref="D32:F32" si="3">D5+$R$3</f>
        <v>2625</v>
      </c>
      <c r="E32" s="21">
        <f t="shared" si="3"/>
        <v>2817</v>
      </c>
      <c r="F32" s="21">
        <f t="shared" si="3"/>
        <v>3085</v>
      </c>
      <c r="H32" s="20" t="s">
        <v>0</v>
      </c>
      <c r="I32" s="21">
        <f t="shared" ref="I32:L32" si="4">I5+$R$3</f>
        <v>3125</v>
      </c>
      <c r="J32" s="21">
        <f t="shared" si="4"/>
        <v>3549</v>
      </c>
      <c r="K32" s="21">
        <f t="shared" si="4"/>
        <v>3829</v>
      </c>
      <c r="L32" s="21">
        <f t="shared" si="4"/>
        <v>4221</v>
      </c>
      <c r="N32" s="30"/>
      <c r="O32" s="30"/>
      <c r="P32" s="30"/>
      <c r="Q32" s="30"/>
      <c r="R32" s="30"/>
    </row>
    <row r="33" spans="2:18" ht="15.6" thickTop="1" thickBot="1" x14ac:dyDescent="0.35">
      <c r="B33" s="20" t="s">
        <v>1</v>
      </c>
      <c r="C33" s="21">
        <f t="shared" si="0"/>
        <v>2427</v>
      </c>
      <c r="D33" s="21">
        <f t="shared" ref="D33:F33" si="5">D6+$R$3</f>
        <v>2732</v>
      </c>
      <c r="E33" s="21">
        <f t="shared" si="5"/>
        <v>2934</v>
      </c>
      <c r="F33" s="21">
        <f t="shared" si="5"/>
        <v>3217</v>
      </c>
      <c r="H33" s="20" t="s">
        <v>1</v>
      </c>
      <c r="I33" s="21">
        <f t="shared" ref="I33:L33" si="6">I6+$R$3</f>
        <v>3259</v>
      </c>
      <c r="J33" s="21">
        <f t="shared" si="6"/>
        <v>3705</v>
      </c>
      <c r="K33" s="21">
        <f t="shared" si="6"/>
        <v>4001</v>
      </c>
      <c r="L33" s="21">
        <f t="shared" si="6"/>
        <v>4413</v>
      </c>
      <c r="N33" s="30"/>
      <c r="O33" s="30"/>
      <c r="P33" s="30"/>
      <c r="Q33" s="30"/>
      <c r="R33" s="30"/>
    </row>
    <row r="34" spans="2:18" ht="15.6" thickTop="1" thickBot="1" x14ac:dyDescent="0.35">
      <c r="B34" s="20" t="s">
        <v>2</v>
      </c>
      <c r="C34" s="21">
        <f t="shared" si="0"/>
        <v>2584</v>
      </c>
      <c r="D34" s="21">
        <f t="shared" ref="D34:F34" si="7">D7+$R$3</f>
        <v>2916</v>
      </c>
      <c r="E34" s="21">
        <f t="shared" si="7"/>
        <v>3136</v>
      </c>
      <c r="F34" s="21">
        <f t="shared" si="7"/>
        <v>3443</v>
      </c>
      <c r="H34" s="20" t="s">
        <v>2</v>
      </c>
      <c r="I34" s="21">
        <f t="shared" ref="I34:L34" si="8">I7+$R$3</f>
        <v>3489</v>
      </c>
      <c r="J34" s="21">
        <f t="shared" si="8"/>
        <v>3975</v>
      </c>
      <c r="K34" s="21">
        <f t="shared" si="8"/>
        <v>4296</v>
      </c>
      <c r="L34" s="21">
        <f t="shared" si="8"/>
        <v>4745</v>
      </c>
      <c r="N34" s="30"/>
      <c r="O34" s="30"/>
      <c r="P34" s="30"/>
      <c r="Q34" s="30"/>
      <c r="R34" s="30"/>
    </row>
    <row r="35" spans="2:18" ht="15.6" thickTop="1" thickBot="1" x14ac:dyDescent="0.35">
      <c r="B35" s="20" t="s">
        <v>3</v>
      </c>
      <c r="C35" s="21">
        <f t="shared" si="0"/>
        <v>2834</v>
      </c>
      <c r="D35" s="21">
        <f t="shared" ref="D35:F35" si="9">D8+$R$3</f>
        <v>3208</v>
      </c>
      <c r="E35" s="21">
        <f t="shared" si="9"/>
        <v>3456</v>
      </c>
      <c r="F35" s="21">
        <f t="shared" si="9"/>
        <v>3802</v>
      </c>
      <c r="H35" s="20" t="s">
        <v>3</v>
      </c>
      <c r="I35" s="21">
        <f t="shared" ref="I35:L35" si="10">I8+$R$3</f>
        <v>3854</v>
      </c>
      <c r="J35" s="21">
        <f t="shared" si="10"/>
        <v>4402</v>
      </c>
      <c r="K35" s="21">
        <f t="shared" si="10"/>
        <v>4764</v>
      </c>
      <c r="L35" s="21">
        <f t="shared" si="10"/>
        <v>5270</v>
      </c>
      <c r="N35" s="30"/>
      <c r="O35" s="30"/>
      <c r="P35" s="30"/>
      <c r="Q35" s="30"/>
      <c r="R35" s="30"/>
    </row>
    <row r="36" spans="2:18" ht="15.6" thickTop="1" thickBot="1" x14ac:dyDescent="0.35">
      <c r="B36" s="20" t="s">
        <v>4</v>
      </c>
      <c r="C36" s="21">
        <f t="shared" si="0"/>
        <v>3298</v>
      </c>
      <c r="D36" s="21">
        <f t="shared" ref="D36:F36" si="11">D9+$R$3</f>
        <v>3751</v>
      </c>
      <c r="E36" s="21">
        <f t="shared" si="11"/>
        <v>4051</v>
      </c>
      <c r="F36" s="21">
        <f t="shared" si="11"/>
        <v>4470</v>
      </c>
      <c r="H36" s="20" t="s">
        <v>4</v>
      </c>
      <c r="I36" s="21">
        <f t="shared" ref="I36:L36" si="12">I9+$R$3</f>
        <v>4532</v>
      </c>
      <c r="J36" s="21">
        <f t="shared" si="12"/>
        <v>5195</v>
      </c>
      <c r="K36" s="21">
        <f t="shared" si="12"/>
        <v>5634</v>
      </c>
      <c r="L36" s="21">
        <f t="shared" si="12"/>
        <v>6246</v>
      </c>
      <c r="N36" s="30"/>
      <c r="O36" s="30"/>
      <c r="P36" s="30"/>
      <c r="Q36" s="30"/>
      <c r="R36" s="30"/>
    </row>
    <row r="37" spans="2:18" ht="15.6" thickTop="1" thickBot="1" x14ac:dyDescent="0.35">
      <c r="B37" s="20" t="s">
        <v>5</v>
      </c>
      <c r="C37" s="21">
        <f t="shared" si="0"/>
        <v>3898</v>
      </c>
      <c r="D37" s="21">
        <f t="shared" ref="D37:F37" si="13">D10+$R$3</f>
        <v>4453</v>
      </c>
      <c r="E37" s="21">
        <f t="shared" si="13"/>
        <v>4821</v>
      </c>
      <c r="F37" s="21">
        <f t="shared" si="13"/>
        <v>5333</v>
      </c>
      <c r="H37" s="20" t="s">
        <v>5</v>
      </c>
      <c r="I37" s="21">
        <f t="shared" ref="I37:L37" si="14">I10+$R$3</f>
        <v>5410</v>
      </c>
      <c r="J37" s="21">
        <f t="shared" si="14"/>
        <v>6222</v>
      </c>
      <c r="K37" s="21">
        <f t="shared" si="14"/>
        <v>6758</v>
      </c>
      <c r="L37" s="21">
        <f t="shared" si="14"/>
        <v>7508</v>
      </c>
      <c r="N37" s="30"/>
      <c r="O37" s="30"/>
      <c r="P37" s="30"/>
      <c r="Q37" s="30"/>
      <c r="R37" s="30"/>
    </row>
    <row r="38" spans="2:18" ht="15.6" thickTop="1" thickBot="1" x14ac:dyDescent="0.35">
      <c r="B38" s="20" t="s">
        <v>6</v>
      </c>
      <c r="C38" s="21">
        <f t="shared" si="0"/>
        <v>4797</v>
      </c>
      <c r="D38" s="21">
        <f t="shared" ref="D38:F38" si="15">D11+$R$3</f>
        <v>5505</v>
      </c>
      <c r="E38" s="21">
        <f t="shared" si="15"/>
        <v>5973</v>
      </c>
      <c r="F38" s="21">
        <f t="shared" si="15"/>
        <v>6626</v>
      </c>
      <c r="H38" s="20" t="s">
        <v>6</v>
      </c>
      <c r="I38" s="21">
        <f t="shared" ref="I38:L38" si="16">I11+$R$3</f>
        <v>6724</v>
      </c>
      <c r="J38" s="21">
        <f t="shared" si="16"/>
        <v>7758</v>
      </c>
      <c r="K38" s="21">
        <f t="shared" si="16"/>
        <v>8443</v>
      </c>
      <c r="L38" s="21">
        <f t="shared" si="16"/>
        <v>9398</v>
      </c>
      <c r="N38" s="30"/>
      <c r="O38" s="30"/>
      <c r="P38" s="30"/>
      <c r="Q38" s="30"/>
      <c r="R38" s="30"/>
    </row>
    <row r="39" spans="2:18" ht="15.6" thickTop="1" thickBot="1" x14ac:dyDescent="0.35">
      <c r="B39" s="20" t="s">
        <v>7</v>
      </c>
      <c r="C39" s="21">
        <f t="shared" si="0"/>
        <v>6115</v>
      </c>
      <c r="D39" s="21">
        <f t="shared" ref="D39:F39" si="17">D12+$R$3</f>
        <v>7046</v>
      </c>
      <c r="E39" s="21">
        <f t="shared" si="17"/>
        <v>7662</v>
      </c>
      <c r="F39" s="21">
        <f t="shared" si="17"/>
        <v>8522</v>
      </c>
      <c r="H39" s="20" t="s">
        <v>7</v>
      </c>
      <c r="I39" s="21">
        <f t="shared" ref="I39:L39" si="18">I12+$R$3</f>
        <v>8650</v>
      </c>
      <c r="J39" s="21">
        <f t="shared" si="18"/>
        <v>10012</v>
      </c>
      <c r="K39" s="21">
        <f t="shared" si="18"/>
        <v>10912</v>
      </c>
      <c r="L39" s="21">
        <f t="shared" si="18"/>
        <v>12169</v>
      </c>
      <c r="N39" s="30"/>
      <c r="O39" s="30"/>
      <c r="P39" s="30"/>
      <c r="Q39" s="30"/>
      <c r="R39" s="30"/>
    </row>
    <row r="40" spans="2:18" ht="15.6" thickTop="1" thickBot="1" x14ac:dyDescent="0.35">
      <c r="B40" s="20" t="s">
        <v>8</v>
      </c>
      <c r="C40" s="21">
        <f t="shared" si="0"/>
        <v>8090</v>
      </c>
      <c r="D40" s="21">
        <f t="shared" ref="D40:F40" si="19">D13+$R$3</f>
        <v>9357</v>
      </c>
      <c r="E40" s="21">
        <f t="shared" si="19"/>
        <v>10195</v>
      </c>
      <c r="F40" s="21">
        <f t="shared" si="19"/>
        <v>11364</v>
      </c>
      <c r="H40" s="20" t="s">
        <v>8</v>
      </c>
      <c r="I40" s="21">
        <f t="shared" ref="I40:L40" si="20">I13+$R$3</f>
        <v>11539</v>
      </c>
      <c r="J40" s="21">
        <f t="shared" si="20"/>
        <v>13390</v>
      </c>
      <c r="K40" s="21">
        <f t="shared" si="20"/>
        <v>14615</v>
      </c>
      <c r="L40" s="21">
        <f t="shared" si="20"/>
        <v>16324</v>
      </c>
      <c r="N40" s="30"/>
      <c r="O40" s="30"/>
      <c r="P40" s="30"/>
      <c r="Q40" s="30"/>
      <c r="R40" s="30"/>
    </row>
    <row r="41" spans="2:18" ht="15.6" thickTop="1" thickBot="1" x14ac:dyDescent="0.35"/>
    <row r="42" spans="2:18" ht="15.6" thickTop="1" thickBot="1" x14ac:dyDescent="0.35">
      <c r="B42" s="200" t="s">
        <v>17</v>
      </c>
      <c r="C42" s="200"/>
      <c r="D42" s="200"/>
      <c r="E42" s="200"/>
      <c r="F42" s="200"/>
      <c r="H42" s="200" t="s">
        <v>16</v>
      </c>
      <c r="I42" s="200"/>
      <c r="J42" s="200"/>
      <c r="K42" s="200"/>
      <c r="L42" s="200"/>
    </row>
    <row r="43" spans="2:18" ht="15.6" thickTop="1" thickBot="1" x14ac:dyDescent="0.35">
      <c r="B43" s="18"/>
      <c r="C43" s="13" t="s">
        <v>11</v>
      </c>
      <c r="D43" s="13" t="s">
        <v>12</v>
      </c>
      <c r="E43" s="13" t="s">
        <v>13</v>
      </c>
      <c r="F43" s="13" t="s">
        <v>14</v>
      </c>
      <c r="H43" s="13"/>
      <c r="I43" s="13" t="s">
        <v>11</v>
      </c>
      <c r="J43" s="13" t="s">
        <v>12</v>
      </c>
      <c r="K43" s="13" t="s">
        <v>13</v>
      </c>
      <c r="L43" s="13" t="s">
        <v>14</v>
      </c>
    </row>
    <row r="44" spans="2:18" ht="15.6" thickTop="1" thickBot="1" x14ac:dyDescent="0.35">
      <c r="B44" s="20" t="s">
        <v>9</v>
      </c>
      <c r="C44" s="21">
        <f t="shared" ref="C44:F44" si="21">C17+$R$3</f>
        <v>1548</v>
      </c>
      <c r="D44" s="21">
        <f t="shared" si="21"/>
        <v>1705</v>
      </c>
      <c r="E44" s="21">
        <f t="shared" si="21"/>
        <v>1808</v>
      </c>
      <c r="F44" s="21">
        <f t="shared" si="21"/>
        <v>1953</v>
      </c>
      <c r="H44" s="20" t="s">
        <v>9</v>
      </c>
      <c r="I44" s="21">
        <f t="shared" ref="I44:L44" si="22">I17+$R$3</f>
        <v>1974</v>
      </c>
      <c r="J44" s="21">
        <f t="shared" si="22"/>
        <v>2203</v>
      </c>
      <c r="K44" s="21">
        <f t="shared" si="22"/>
        <v>2355</v>
      </c>
      <c r="L44" s="21">
        <f t="shared" si="22"/>
        <v>2566</v>
      </c>
    </row>
    <row r="45" spans="2:18" ht="15.6" thickTop="1" thickBot="1" x14ac:dyDescent="0.35">
      <c r="B45" s="20" t="s">
        <v>0</v>
      </c>
      <c r="C45" s="21">
        <f t="shared" ref="C45:F45" si="23">C18+$R$3</f>
        <v>2078</v>
      </c>
      <c r="D45" s="21">
        <f t="shared" si="23"/>
        <v>2325</v>
      </c>
      <c r="E45" s="21">
        <f t="shared" si="23"/>
        <v>2488</v>
      </c>
      <c r="F45" s="21">
        <f t="shared" si="23"/>
        <v>2716</v>
      </c>
      <c r="H45" s="20" t="s">
        <v>0</v>
      </c>
      <c r="I45" s="21">
        <f t="shared" ref="I45:L45" si="24">I18+$R$3</f>
        <v>2750</v>
      </c>
      <c r="J45" s="21">
        <f t="shared" si="24"/>
        <v>3110</v>
      </c>
      <c r="K45" s="21">
        <f t="shared" si="24"/>
        <v>3348</v>
      </c>
      <c r="L45" s="21">
        <f t="shared" si="24"/>
        <v>3681</v>
      </c>
    </row>
    <row r="46" spans="2:18" ht="15.6" thickTop="1" thickBot="1" x14ac:dyDescent="0.35">
      <c r="B46" s="20" t="s">
        <v>1</v>
      </c>
      <c r="C46" s="21">
        <f t="shared" ref="C46:F46" si="25">C19+$R$3</f>
        <v>2156</v>
      </c>
      <c r="D46" s="21">
        <f t="shared" si="25"/>
        <v>2416</v>
      </c>
      <c r="E46" s="21">
        <f t="shared" si="25"/>
        <v>2588</v>
      </c>
      <c r="F46" s="21">
        <f t="shared" si="25"/>
        <v>2828</v>
      </c>
      <c r="H46" s="20" t="s">
        <v>1</v>
      </c>
      <c r="I46" s="21">
        <f t="shared" ref="I46:L46" si="26">I19+$R$3</f>
        <v>2864</v>
      </c>
      <c r="J46" s="21">
        <f t="shared" si="26"/>
        <v>3243</v>
      </c>
      <c r="K46" s="21">
        <f t="shared" si="26"/>
        <v>3495</v>
      </c>
      <c r="L46" s="21">
        <f t="shared" si="26"/>
        <v>3845</v>
      </c>
    </row>
    <row r="47" spans="2:18" ht="15.6" thickTop="1" thickBot="1" x14ac:dyDescent="0.35">
      <c r="B47" s="20" t="s">
        <v>2</v>
      </c>
      <c r="C47" s="21">
        <f t="shared" ref="C47:F47" si="27">C20+$R$3</f>
        <v>2290</v>
      </c>
      <c r="D47" s="21">
        <f t="shared" si="27"/>
        <v>2573</v>
      </c>
      <c r="E47" s="21">
        <f t="shared" si="27"/>
        <v>2760</v>
      </c>
      <c r="F47" s="21">
        <f t="shared" si="27"/>
        <v>3020</v>
      </c>
      <c r="H47" s="20" t="s">
        <v>2</v>
      </c>
      <c r="I47" s="21">
        <f t="shared" ref="I47:L47" si="28">I20+$R$3</f>
        <v>3059</v>
      </c>
      <c r="J47" s="21">
        <f t="shared" si="28"/>
        <v>3472</v>
      </c>
      <c r="K47" s="21">
        <f t="shared" si="28"/>
        <v>3745</v>
      </c>
      <c r="L47" s="21">
        <f t="shared" si="28"/>
        <v>4127</v>
      </c>
    </row>
    <row r="48" spans="2:18" ht="15.6" thickTop="1" thickBot="1" x14ac:dyDescent="0.35">
      <c r="B48" s="20" t="s">
        <v>3</v>
      </c>
      <c r="C48" s="21">
        <f t="shared" ref="C48:F48" si="29">C21+$R$3</f>
        <v>2502</v>
      </c>
      <c r="D48" s="21">
        <f t="shared" si="29"/>
        <v>2821</v>
      </c>
      <c r="E48" s="21">
        <f t="shared" si="29"/>
        <v>3032</v>
      </c>
      <c r="F48" s="21">
        <f t="shared" si="29"/>
        <v>3326</v>
      </c>
      <c r="H48" s="20" t="s">
        <v>3</v>
      </c>
      <c r="I48" s="21">
        <f t="shared" ref="I48:L48" si="30">I21+$R$3</f>
        <v>3369</v>
      </c>
      <c r="J48" s="21">
        <f t="shared" si="30"/>
        <v>3835</v>
      </c>
      <c r="K48" s="21">
        <f t="shared" si="30"/>
        <v>4143</v>
      </c>
      <c r="L48" s="21">
        <f t="shared" si="30"/>
        <v>4573</v>
      </c>
    </row>
    <row r="49" spans="2:12" ht="15.6" thickTop="1" thickBot="1" x14ac:dyDescent="0.35">
      <c r="B49" s="20" t="s">
        <v>4</v>
      </c>
      <c r="C49" s="21">
        <f t="shared" ref="C49:F49" si="31">C22+$R$3</f>
        <v>2897</v>
      </c>
      <c r="D49" s="21">
        <f t="shared" si="31"/>
        <v>3282</v>
      </c>
      <c r="E49" s="21">
        <f t="shared" si="31"/>
        <v>3537</v>
      </c>
      <c r="F49" s="21">
        <f t="shared" si="31"/>
        <v>3893</v>
      </c>
      <c r="H49" s="20" t="s">
        <v>4</v>
      </c>
      <c r="I49" s="21">
        <f t="shared" ref="I49:L49" si="32">I22+$R$3</f>
        <v>3946</v>
      </c>
      <c r="J49" s="21">
        <f t="shared" si="32"/>
        <v>4510</v>
      </c>
      <c r="K49" s="21">
        <f t="shared" si="32"/>
        <v>4882</v>
      </c>
      <c r="L49" s="21">
        <f t="shared" si="32"/>
        <v>5403</v>
      </c>
    </row>
    <row r="50" spans="2:12" ht="15.6" thickTop="1" thickBot="1" x14ac:dyDescent="0.35">
      <c r="B50" s="20" t="s">
        <v>5</v>
      </c>
      <c r="C50" s="21">
        <f t="shared" ref="C50:F50" si="33">C23+$R$3</f>
        <v>3407</v>
      </c>
      <c r="D50" s="21">
        <f t="shared" si="33"/>
        <v>3879</v>
      </c>
      <c r="E50" s="21">
        <f t="shared" si="33"/>
        <v>4191</v>
      </c>
      <c r="F50" s="21">
        <f t="shared" si="33"/>
        <v>4627</v>
      </c>
      <c r="H50" s="20" t="s">
        <v>5</v>
      </c>
      <c r="I50" s="21">
        <f t="shared" ref="I50:L50" si="34">I23+$R$3</f>
        <v>4692</v>
      </c>
      <c r="J50" s="21">
        <f t="shared" si="34"/>
        <v>5382</v>
      </c>
      <c r="K50" s="21">
        <f t="shared" si="34"/>
        <v>5838</v>
      </c>
      <c r="L50" s="21">
        <f t="shared" si="34"/>
        <v>6475</v>
      </c>
    </row>
    <row r="51" spans="2:12" ht="15.6" thickTop="1" thickBot="1" x14ac:dyDescent="0.35">
      <c r="B51" s="20" t="s">
        <v>6</v>
      </c>
      <c r="C51" s="21">
        <f t="shared" ref="C51:F51" si="35">C24+$R$3</f>
        <v>4171</v>
      </c>
      <c r="D51" s="21">
        <f t="shared" si="35"/>
        <v>4773</v>
      </c>
      <c r="E51" s="21">
        <f t="shared" si="35"/>
        <v>5171</v>
      </c>
      <c r="F51" s="21">
        <f t="shared" si="35"/>
        <v>5726</v>
      </c>
      <c r="H51" s="20" t="s">
        <v>6</v>
      </c>
      <c r="I51" s="21">
        <f t="shared" ref="I51:L51" si="36">I24+$R$3</f>
        <v>5809</v>
      </c>
      <c r="J51" s="21">
        <f t="shared" si="36"/>
        <v>6688</v>
      </c>
      <c r="K51" s="21">
        <f t="shared" si="36"/>
        <v>7270</v>
      </c>
      <c r="L51" s="21">
        <f t="shared" si="36"/>
        <v>8082</v>
      </c>
    </row>
    <row r="52" spans="2:12" ht="15.6" thickTop="1" thickBot="1" x14ac:dyDescent="0.35">
      <c r="B52" s="20" t="s">
        <v>7</v>
      </c>
      <c r="C52" s="21">
        <f t="shared" ref="C52:F52" si="37">C25+$R$3</f>
        <v>5291</v>
      </c>
      <c r="D52" s="21">
        <f t="shared" si="37"/>
        <v>6083</v>
      </c>
      <c r="E52" s="21">
        <f t="shared" si="37"/>
        <v>6606</v>
      </c>
      <c r="F52" s="21">
        <f t="shared" si="37"/>
        <v>7337</v>
      </c>
      <c r="H52" s="20" t="s">
        <v>7</v>
      </c>
      <c r="I52" s="21">
        <f t="shared" ref="I52:L52" si="38">I25+$R$3</f>
        <v>7446</v>
      </c>
      <c r="J52" s="21">
        <f t="shared" si="38"/>
        <v>8604</v>
      </c>
      <c r="K52" s="21">
        <f t="shared" si="38"/>
        <v>9369</v>
      </c>
      <c r="L52" s="21">
        <f t="shared" si="38"/>
        <v>10437</v>
      </c>
    </row>
    <row r="53" spans="2:12" ht="15.6" thickTop="1" thickBot="1" x14ac:dyDescent="0.35">
      <c r="B53" s="20" t="s">
        <v>8</v>
      </c>
      <c r="C53" s="21">
        <f t="shared" ref="C53:F53" si="39">C26+$R$3</f>
        <v>6971</v>
      </c>
      <c r="D53" s="21">
        <f t="shared" si="39"/>
        <v>8047</v>
      </c>
      <c r="E53" s="21">
        <f t="shared" si="39"/>
        <v>8759</v>
      </c>
      <c r="F53" s="21">
        <f t="shared" si="39"/>
        <v>9753</v>
      </c>
      <c r="H53" s="20" t="s">
        <v>8</v>
      </c>
      <c r="I53" s="21">
        <f t="shared" ref="I53:L53" si="40">I26+$R$3</f>
        <v>9901</v>
      </c>
      <c r="J53" s="21">
        <f t="shared" si="40"/>
        <v>11475</v>
      </c>
      <c r="K53" s="21">
        <f t="shared" si="40"/>
        <v>12516</v>
      </c>
      <c r="L53" s="21">
        <f t="shared" si="40"/>
        <v>13969</v>
      </c>
    </row>
    <row r="54" spans="2:12" ht="15.6" thickTop="1" thickBot="1" x14ac:dyDescent="0.35"/>
    <row r="55" spans="2:12" ht="15.6" thickTop="1" thickBot="1" x14ac:dyDescent="0.35">
      <c r="B55" s="202" t="s">
        <v>192</v>
      </c>
      <c r="C55" s="202"/>
      <c r="D55" s="202"/>
      <c r="E55" s="202"/>
      <c r="F55" s="202"/>
      <c r="G55" s="202"/>
      <c r="H55" s="202"/>
      <c r="I55" s="202"/>
      <c r="J55" s="202"/>
      <c r="K55" s="202"/>
      <c r="L55" s="202"/>
    </row>
    <row r="56" spans="2:12" ht="15.6" thickTop="1" thickBot="1" x14ac:dyDescent="0.35">
      <c r="B56" s="201" t="s">
        <v>10</v>
      </c>
      <c r="C56" s="201"/>
      <c r="D56" s="201"/>
      <c r="E56" s="201"/>
      <c r="F56" s="201"/>
      <c r="H56" s="201" t="s">
        <v>15</v>
      </c>
      <c r="I56" s="201"/>
      <c r="J56" s="201"/>
      <c r="K56" s="201"/>
      <c r="L56" s="201"/>
    </row>
    <row r="57" spans="2:12" ht="15.6" thickTop="1" thickBot="1" x14ac:dyDescent="0.35">
      <c r="B57" s="13"/>
      <c r="C57" s="13" t="s">
        <v>11</v>
      </c>
      <c r="D57" s="13" t="s">
        <v>12</v>
      </c>
      <c r="E57" s="13" t="s">
        <v>13</v>
      </c>
      <c r="F57" s="13" t="s">
        <v>14</v>
      </c>
      <c r="H57" s="13"/>
      <c r="I57" s="13" t="s">
        <v>11</v>
      </c>
      <c r="J57" s="13" t="s">
        <v>12</v>
      </c>
      <c r="K57" s="13" t="s">
        <v>13</v>
      </c>
      <c r="L57" s="13" t="s">
        <v>14</v>
      </c>
    </row>
    <row r="58" spans="2:12" ht="15.6" thickTop="1" thickBot="1" x14ac:dyDescent="0.35">
      <c r="B58" s="20" t="s">
        <v>9</v>
      </c>
      <c r="C58" s="21">
        <f>C4+$S$3</f>
        <v>2128</v>
      </c>
      <c r="D58" s="21">
        <f t="shared" ref="D58:F58" si="41">D4+$S$3</f>
        <v>2312</v>
      </c>
      <c r="E58" s="21">
        <f t="shared" si="41"/>
        <v>2434</v>
      </c>
      <c r="F58" s="21">
        <f t="shared" si="41"/>
        <v>2604</v>
      </c>
      <c r="H58" s="20" t="s">
        <v>9</v>
      </c>
      <c r="I58" s="21">
        <f>I4+$S$3</f>
        <v>2629</v>
      </c>
      <c r="J58" s="21">
        <f t="shared" ref="J58:L58" si="42">J4+$S$3</f>
        <v>2899</v>
      </c>
      <c r="K58" s="21">
        <f t="shared" si="42"/>
        <v>3077</v>
      </c>
      <c r="L58" s="21">
        <f t="shared" si="42"/>
        <v>3325</v>
      </c>
    </row>
    <row r="59" spans="2:12" ht="15.6" thickTop="1" thickBot="1" x14ac:dyDescent="0.35">
      <c r="B59" s="20" t="s">
        <v>0</v>
      </c>
      <c r="C59" s="21">
        <f t="shared" ref="C59:F59" si="43">C5+$S$3</f>
        <v>2752</v>
      </c>
      <c r="D59" s="21">
        <f t="shared" si="43"/>
        <v>3042</v>
      </c>
      <c r="E59" s="21">
        <f t="shared" si="43"/>
        <v>3234</v>
      </c>
      <c r="F59" s="21">
        <f t="shared" si="43"/>
        <v>3502</v>
      </c>
      <c r="H59" s="20" t="s">
        <v>0</v>
      </c>
      <c r="I59" s="21">
        <f t="shared" ref="I59:L59" si="44">I5+$S$3</f>
        <v>3542</v>
      </c>
      <c r="J59" s="21">
        <f t="shared" si="44"/>
        <v>3966</v>
      </c>
      <c r="K59" s="21">
        <f t="shared" si="44"/>
        <v>4246</v>
      </c>
      <c r="L59" s="21">
        <f t="shared" si="44"/>
        <v>4638</v>
      </c>
    </row>
    <row r="60" spans="2:12" ht="15.6" thickTop="1" thickBot="1" x14ac:dyDescent="0.35">
      <c r="B60" s="20" t="s">
        <v>1</v>
      </c>
      <c r="C60" s="21">
        <f t="shared" ref="C60:F60" si="45">C6+$S$3</f>
        <v>2844</v>
      </c>
      <c r="D60" s="21">
        <f t="shared" si="45"/>
        <v>3149</v>
      </c>
      <c r="E60" s="21">
        <f t="shared" si="45"/>
        <v>3351</v>
      </c>
      <c r="F60" s="21">
        <f t="shared" si="45"/>
        <v>3634</v>
      </c>
      <c r="H60" s="20" t="s">
        <v>1</v>
      </c>
      <c r="I60" s="21">
        <f t="shared" ref="I60:L60" si="46">I6+$S$3</f>
        <v>3676</v>
      </c>
      <c r="J60" s="21">
        <f t="shared" si="46"/>
        <v>4122</v>
      </c>
      <c r="K60" s="21">
        <f t="shared" si="46"/>
        <v>4418</v>
      </c>
      <c r="L60" s="21">
        <f t="shared" si="46"/>
        <v>4830</v>
      </c>
    </row>
    <row r="61" spans="2:12" ht="15.6" thickTop="1" thickBot="1" x14ac:dyDescent="0.35">
      <c r="B61" s="20" t="s">
        <v>2</v>
      </c>
      <c r="C61" s="21">
        <f t="shared" ref="C61:F61" si="47">C7+$S$3</f>
        <v>3001</v>
      </c>
      <c r="D61" s="21">
        <f t="shared" si="47"/>
        <v>3333</v>
      </c>
      <c r="E61" s="21">
        <f t="shared" si="47"/>
        <v>3553</v>
      </c>
      <c r="F61" s="21">
        <f t="shared" si="47"/>
        <v>3860</v>
      </c>
      <c r="H61" s="20" t="s">
        <v>2</v>
      </c>
      <c r="I61" s="21">
        <f t="shared" ref="I61:L61" si="48">I7+$S$3</f>
        <v>3906</v>
      </c>
      <c r="J61" s="21">
        <f t="shared" si="48"/>
        <v>4392</v>
      </c>
      <c r="K61" s="21">
        <f t="shared" si="48"/>
        <v>4713</v>
      </c>
      <c r="L61" s="21">
        <f t="shared" si="48"/>
        <v>5162</v>
      </c>
    </row>
    <row r="62" spans="2:12" ht="15.6" thickTop="1" thickBot="1" x14ac:dyDescent="0.35">
      <c r="B62" s="20" t="s">
        <v>3</v>
      </c>
      <c r="C62" s="21">
        <f t="shared" ref="C62:F62" si="49">C8+$S$3</f>
        <v>3251</v>
      </c>
      <c r="D62" s="21">
        <f t="shared" si="49"/>
        <v>3625</v>
      </c>
      <c r="E62" s="21">
        <f t="shared" si="49"/>
        <v>3873</v>
      </c>
      <c r="F62" s="21">
        <f t="shared" si="49"/>
        <v>4219</v>
      </c>
      <c r="H62" s="20" t="s">
        <v>3</v>
      </c>
      <c r="I62" s="21">
        <f t="shared" ref="I62:L62" si="50">I8+$S$3</f>
        <v>4271</v>
      </c>
      <c r="J62" s="21">
        <f t="shared" si="50"/>
        <v>4819</v>
      </c>
      <c r="K62" s="21">
        <f t="shared" si="50"/>
        <v>5181</v>
      </c>
      <c r="L62" s="21">
        <f t="shared" si="50"/>
        <v>5687</v>
      </c>
    </row>
    <row r="63" spans="2:12" ht="15.6" thickTop="1" thickBot="1" x14ac:dyDescent="0.35">
      <c r="B63" s="20" t="s">
        <v>4</v>
      </c>
      <c r="C63" s="21">
        <f t="shared" ref="C63:F63" si="51">C9+$S$3</f>
        <v>3715</v>
      </c>
      <c r="D63" s="21">
        <f t="shared" si="51"/>
        <v>4168</v>
      </c>
      <c r="E63" s="21">
        <f t="shared" si="51"/>
        <v>4468</v>
      </c>
      <c r="F63" s="21">
        <f t="shared" si="51"/>
        <v>4887</v>
      </c>
      <c r="H63" s="20" t="s">
        <v>4</v>
      </c>
      <c r="I63" s="21">
        <f t="shared" ref="I63:L63" si="52">I9+$S$3</f>
        <v>4949</v>
      </c>
      <c r="J63" s="21">
        <f t="shared" si="52"/>
        <v>5612</v>
      </c>
      <c r="K63" s="21">
        <f t="shared" si="52"/>
        <v>6051</v>
      </c>
      <c r="L63" s="21">
        <f t="shared" si="52"/>
        <v>6663</v>
      </c>
    </row>
    <row r="64" spans="2:12" ht="15.6" thickTop="1" thickBot="1" x14ac:dyDescent="0.35">
      <c r="B64" s="20" t="s">
        <v>5</v>
      </c>
      <c r="C64" s="21">
        <f t="shared" ref="C64:F64" si="53">C10+$S$3</f>
        <v>4315</v>
      </c>
      <c r="D64" s="21">
        <f t="shared" si="53"/>
        <v>4870</v>
      </c>
      <c r="E64" s="21">
        <f t="shared" si="53"/>
        <v>5238</v>
      </c>
      <c r="F64" s="21">
        <f t="shared" si="53"/>
        <v>5750</v>
      </c>
      <c r="H64" s="20" t="s">
        <v>5</v>
      </c>
      <c r="I64" s="21">
        <f t="shared" ref="I64:L64" si="54">I10+$S$3</f>
        <v>5827</v>
      </c>
      <c r="J64" s="21">
        <f t="shared" si="54"/>
        <v>6639</v>
      </c>
      <c r="K64" s="21">
        <f t="shared" si="54"/>
        <v>7175</v>
      </c>
      <c r="L64" s="21">
        <f t="shared" si="54"/>
        <v>7925</v>
      </c>
    </row>
    <row r="65" spans="2:12" ht="15.6" thickTop="1" thickBot="1" x14ac:dyDescent="0.35">
      <c r="B65" s="20" t="s">
        <v>6</v>
      </c>
      <c r="C65" s="21">
        <f t="shared" ref="C65:F65" si="55">C11+$S$3</f>
        <v>5214</v>
      </c>
      <c r="D65" s="21">
        <f t="shared" si="55"/>
        <v>5922</v>
      </c>
      <c r="E65" s="21">
        <f t="shared" si="55"/>
        <v>6390</v>
      </c>
      <c r="F65" s="21">
        <f t="shared" si="55"/>
        <v>7043</v>
      </c>
      <c r="H65" s="20" t="s">
        <v>6</v>
      </c>
      <c r="I65" s="21">
        <f t="shared" ref="I65:L65" si="56">I11+$S$3</f>
        <v>7141</v>
      </c>
      <c r="J65" s="21">
        <f t="shared" si="56"/>
        <v>8175</v>
      </c>
      <c r="K65" s="21">
        <f t="shared" si="56"/>
        <v>8860</v>
      </c>
      <c r="L65" s="21">
        <f t="shared" si="56"/>
        <v>9815</v>
      </c>
    </row>
    <row r="66" spans="2:12" ht="15.6" thickTop="1" thickBot="1" x14ac:dyDescent="0.35">
      <c r="B66" s="20" t="s">
        <v>7</v>
      </c>
      <c r="C66" s="21">
        <f t="shared" ref="C66:F66" si="57">C12+$S$3</f>
        <v>6532</v>
      </c>
      <c r="D66" s="21">
        <f t="shared" si="57"/>
        <v>7463</v>
      </c>
      <c r="E66" s="21">
        <f t="shared" si="57"/>
        <v>8079</v>
      </c>
      <c r="F66" s="21">
        <f t="shared" si="57"/>
        <v>8939</v>
      </c>
      <c r="H66" s="20" t="s">
        <v>7</v>
      </c>
      <c r="I66" s="21">
        <f t="shared" ref="I66:L66" si="58">I12+$S$3</f>
        <v>9067</v>
      </c>
      <c r="J66" s="21">
        <f t="shared" si="58"/>
        <v>10429</v>
      </c>
      <c r="K66" s="21">
        <f t="shared" si="58"/>
        <v>11329</v>
      </c>
      <c r="L66" s="21">
        <f t="shared" si="58"/>
        <v>12586</v>
      </c>
    </row>
    <row r="67" spans="2:12" ht="15.6" thickTop="1" thickBot="1" x14ac:dyDescent="0.35">
      <c r="B67" s="20" t="s">
        <v>8</v>
      </c>
      <c r="C67" s="21">
        <f t="shared" ref="C67:F67" si="59">C13+$S$3</f>
        <v>8507</v>
      </c>
      <c r="D67" s="21">
        <f t="shared" si="59"/>
        <v>9774</v>
      </c>
      <c r="E67" s="21">
        <f t="shared" si="59"/>
        <v>10612</v>
      </c>
      <c r="F67" s="21">
        <f t="shared" si="59"/>
        <v>11781</v>
      </c>
      <c r="H67" s="20" t="s">
        <v>8</v>
      </c>
      <c r="I67" s="21">
        <f t="shared" ref="I67:L67" si="60">I13+$S$3</f>
        <v>11956</v>
      </c>
      <c r="J67" s="21">
        <f t="shared" si="60"/>
        <v>13807</v>
      </c>
      <c r="K67" s="21">
        <f t="shared" si="60"/>
        <v>15032</v>
      </c>
      <c r="L67" s="21">
        <f t="shared" si="60"/>
        <v>16741</v>
      </c>
    </row>
    <row r="68" spans="2:12" ht="15.6" thickTop="1" thickBot="1" x14ac:dyDescent="0.35"/>
    <row r="69" spans="2:12" ht="15.6" thickTop="1" thickBot="1" x14ac:dyDescent="0.35">
      <c r="B69" s="200" t="s">
        <v>17</v>
      </c>
      <c r="C69" s="200"/>
      <c r="D69" s="200"/>
      <c r="E69" s="200"/>
      <c r="F69" s="200"/>
      <c r="H69" s="200" t="s">
        <v>16</v>
      </c>
      <c r="I69" s="200"/>
      <c r="J69" s="200"/>
      <c r="K69" s="200"/>
      <c r="L69" s="200"/>
    </row>
    <row r="70" spans="2:12" ht="15.6" thickTop="1" thickBot="1" x14ac:dyDescent="0.35">
      <c r="B70" s="18"/>
      <c r="C70" s="13" t="s">
        <v>11</v>
      </c>
      <c r="D70" s="13" t="s">
        <v>12</v>
      </c>
      <c r="E70" s="13" t="s">
        <v>13</v>
      </c>
      <c r="F70" s="13" t="s">
        <v>14</v>
      </c>
      <c r="H70" s="13"/>
      <c r="I70" s="13" t="s">
        <v>11</v>
      </c>
      <c r="J70" s="13" t="s">
        <v>12</v>
      </c>
      <c r="K70" s="13" t="s">
        <v>13</v>
      </c>
      <c r="L70" s="13" t="s">
        <v>14</v>
      </c>
    </row>
    <row r="71" spans="2:12" ht="15.6" thickTop="1" thickBot="1" x14ac:dyDescent="0.35">
      <c r="B71" s="20" t="s">
        <v>9</v>
      </c>
      <c r="C71" s="21">
        <f>C17+$S$3</f>
        <v>1965</v>
      </c>
      <c r="D71" s="21">
        <f t="shared" ref="D71:F71" si="61">D17+$S$3</f>
        <v>2122</v>
      </c>
      <c r="E71" s="21">
        <f t="shared" si="61"/>
        <v>2225</v>
      </c>
      <c r="F71" s="21">
        <f t="shared" si="61"/>
        <v>2370</v>
      </c>
      <c r="H71" s="20" t="s">
        <v>9</v>
      </c>
      <c r="I71" s="21">
        <f>I17+$S$3</f>
        <v>2391</v>
      </c>
      <c r="J71" s="21">
        <f t="shared" ref="J71:L71" si="62">J17+$S$3</f>
        <v>2620</v>
      </c>
      <c r="K71" s="21">
        <f t="shared" si="62"/>
        <v>2772</v>
      </c>
      <c r="L71" s="21">
        <f t="shared" si="62"/>
        <v>2983</v>
      </c>
    </row>
    <row r="72" spans="2:12" ht="15.6" thickTop="1" thickBot="1" x14ac:dyDescent="0.35">
      <c r="B72" s="20" t="s">
        <v>0</v>
      </c>
      <c r="C72" s="21">
        <f t="shared" ref="C72:F72" si="63">C18+$S$3</f>
        <v>2495</v>
      </c>
      <c r="D72" s="21">
        <f t="shared" si="63"/>
        <v>2742</v>
      </c>
      <c r="E72" s="21">
        <f t="shared" si="63"/>
        <v>2905</v>
      </c>
      <c r="F72" s="21">
        <f t="shared" si="63"/>
        <v>3133</v>
      </c>
      <c r="H72" s="20" t="s">
        <v>0</v>
      </c>
      <c r="I72" s="21">
        <f t="shared" ref="I72:L72" si="64">I18+$S$3</f>
        <v>3167</v>
      </c>
      <c r="J72" s="21">
        <f t="shared" si="64"/>
        <v>3527</v>
      </c>
      <c r="K72" s="21">
        <f t="shared" si="64"/>
        <v>3765</v>
      </c>
      <c r="L72" s="21">
        <f t="shared" si="64"/>
        <v>4098</v>
      </c>
    </row>
    <row r="73" spans="2:12" ht="15.6" thickTop="1" thickBot="1" x14ac:dyDescent="0.35">
      <c r="B73" s="20" t="s">
        <v>1</v>
      </c>
      <c r="C73" s="21">
        <f t="shared" ref="C73:F73" si="65">C19+$S$3</f>
        <v>2573</v>
      </c>
      <c r="D73" s="21">
        <f t="shared" si="65"/>
        <v>2833</v>
      </c>
      <c r="E73" s="21">
        <f t="shared" si="65"/>
        <v>3005</v>
      </c>
      <c r="F73" s="21">
        <f t="shared" si="65"/>
        <v>3245</v>
      </c>
      <c r="H73" s="20" t="s">
        <v>1</v>
      </c>
      <c r="I73" s="21">
        <f t="shared" ref="I73:L73" si="66">I19+$S$3</f>
        <v>3281</v>
      </c>
      <c r="J73" s="21">
        <f t="shared" si="66"/>
        <v>3660</v>
      </c>
      <c r="K73" s="21">
        <f t="shared" si="66"/>
        <v>3912</v>
      </c>
      <c r="L73" s="21">
        <f t="shared" si="66"/>
        <v>4262</v>
      </c>
    </row>
    <row r="74" spans="2:12" ht="15.6" thickTop="1" thickBot="1" x14ac:dyDescent="0.35">
      <c r="B74" s="20" t="s">
        <v>2</v>
      </c>
      <c r="C74" s="21">
        <f t="shared" ref="C74:F74" si="67">C20+$S$3</f>
        <v>2707</v>
      </c>
      <c r="D74" s="21">
        <f t="shared" si="67"/>
        <v>2990</v>
      </c>
      <c r="E74" s="21">
        <f t="shared" si="67"/>
        <v>3177</v>
      </c>
      <c r="F74" s="21">
        <f t="shared" si="67"/>
        <v>3437</v>
      </c>
      <c r="H74" s="20" t="s">
        <v>2</v>
      </c>
      <c r="I74" s="21">
        <f t="shared" ref="I74:L74" si="68">I20+$S$3</f>
        <v>3476</v>
      </c>
      <c r="J74" s="21">
        <f t="shared" si="68"/>
        <v>3889</v>
      </c>
      <c r="K74" s="21">
        <f t="shared" si="68"/>
        <v>4162</v>
      </c>
      <c r="L74" s="21">
        <f t="shared" si="68"/>
        <v>4544</v>
      </c>
    </row>
    <row r="75" spans="2:12" ht="15.6" thickTop="1" thickBot="1" x14ac:dyDescent="0.35">
      <c r="B75" s="20" t="s">
        <v>3</v>
      </c>
      <c r="C75" s="21">
        <f t="shared" ref="C75:F75" si="69">C21+$S$3</f>
        <v>2919</v>
      </c>
      <c r="D75" s="21">
        <f t="shared" si="69"/>
        <v>3238</v>
      </c>
      <c r="E75" s="21">
        <f t="shared" si="69"/>
        <v>3449</v>
      </c>
      <c r="F75" s="21">
        <f t="shared" si="69"/>
        <v>3743</v>
      </c>
      <c r="H75" s="20" t="s">
        <v>3</v>
      </c>
      <c r="I75" s="21">
        <f t="shared" ref="I75:L75" si="70">I21+$S$3</f>
        <v>3786</v>
      </c>
      <c r="J75" s="21">
        <f t="shared" si="70"/>
        <v>4252</v>
      </c>
      <c r="K75" s="21">
        <f t="shared" si="70"/>
        <v>4560</v>
      </c>
      <c r="L75" s="21">
        <f t="shared" si="70"/>
        <v>4990</v>
      </c>
    </row>
    <row r="76" spans="2:12" ht="15.6" thickTop="1" thickBot="1" x14ac:dyDescent="0.35">
      <c r="B76" s="20" t="s">
        <v>4</v>
      </c>
      <c r="C76" s="21">
        <f t="shared" ref="C76:F76" si="71">C22+$S$3</f>
        <v>3314</v>
      </c>
      <c r="D76" s="21">
        <f t="shared" si="71"/>
        <v>3699</v>
      </c>
      <c r="E76" s="21">
        <f t="shared" si="71"/>
        <v>3954</v>
      </c>
      <c r="F76" s="21">
        <f t="shared" si="71"/>
        <v>4310</v>
      </c>
      <c r="H76" s="20" t="s">
        <v>4</v>
      </c>
      <c r="I76" s="21">
        <f t="shared" ref="I76:L76" si="72">I22+$S$3</f>
        <v>4363</v>
      </c>
      <c r="J76" s="21">
        <f t="shared" si="72"/>
        <v>4927</v>
      </c>
      <c r="K76" s="21">
        <f t="shared" si="72"/>
        <v>5299</v>
      </c>
      <c r="L76" s="21">
        <f t="shared" si="72"/>
        <v>5820</v>
      </c>
    </row>
    <row r="77" spans="2:12" ht="15.6" thickTop="1" thickBot="1" x14ac:dyDescent="0.35">
      <c r="B77" s="20" t="s">
        <v>5</v>
      </c>
      <c r="C77" s="21">
        <f t="shared" ref="C77:F77" si="73">C23+$S$3</f>
        <v>3824</v>
      </c>
      <c r="D77" s="21">
        <f t="shared" si="73"/>
        <v>4296</v>
      </c>
      <c r="E77" s="21">
        <f t="shared" si="73"/>
        <v>4608</v>
      </c>
      <c r="F77" s="21">
        <f t="shared" si="73"/>
        <v>5044</v>
      </c>
      <c r="H77" s="20" t="s">
        <v>5</v>
      </c>
      <c r="I77" s="21">
        <f t="shared" ref="I77:L77" si="74">I23+$S$3</f>
        <v>5109</v>
      </c>
      <c r="J77" s="21">
        <f t="shared" si="74"/>
        <v>5799</v>
      </c>
      <c r="K77" s="21">
        <f t="shared" si="74"/>
        <v>6255</v>
      </c>
      <c r="L77" s="21">
        <f t="shared" si="74"/>
        <v>6892</v>
      </c>
    </row>
    <row r="78" spans="2:12" ht="15.6" thickTop="1" thickBot="1" x14ac:dyDescent="0.35">
      <c r="B78" s="20" t="s">
        <v>6</v>
      </c>
      <c r="C78" s="21">
        <f t="shared" ref="C78:F78" si="75">C24+$S$3</f>
        <v>4588</v>
      </c>
      <c r="D78" s="21">
        <f t="shared" si="75"/>
        <v>5190</v>
      </c>
      <c r="E78" s="21">
        <f t="shared" si="75"/>
        <v>5588</v>
      </c>
      <c r="F78" s="21">
        <f t="shared" si="75"/>
        <v>6143</v>
      </c>
      <c r="H78" s="20" t="s">
        <v>6</v>
      </c>
      <c r="I78" s="21">
        <f t="shared" ref="I78:L78" si="76">I24+$S$3</f>
        <v>6226</v>
      </c>
      <c r="J78" s="21">
        <f t="shared" si="76"/>
        <v>7105</v>
      </c>
      <c r="K78" s="21">
        <f t="shared" si="76"/>
        <v>7687</v>
      </c>
      <c r="L78" s="21">
        <f t="shared" si="76"/>
        <v>8499</v>
      </c>
    </row>
    <row r="79" spans="2:12" ht="15.6" thickTop="1" thickBot="1" x14ac:dyDescent="0.35">
      <c r="B79" s="20" t="s">
        <v>7</v>
      </c>
      <c r="C79" s="21">
        <f t="shared" ref="C79:F79" si="77">C25+$S$3</f>
        <v>5708</v>
      </c>
      <c r="D79" s="21">
        <f t="shared" si="77"/>
        <v>6500</v>
      </c>
      <c r="E79" s="21">
        <f t="shared" si="77"/>
        <v>7023</v>
      </c>
      <c r="F79" s="21">
        <f t="shared" si="77"/>
        <v>7754</v>
      </c>
      <c r="H79" s="20" t="s">
        <v>7</v>
      </c>
      <c r="I79" s="21">
        <f t="shared" ref="I79:L79" si="78">I25+$S$3</f>
        <v>7863</v>
      </c>
      <c r="J79" s="21">
        <f t="shared" si="78"/>
        <v>9021</v>
      </c>
      <c r="K79" s="21">
        <f t="shared" si="78"/>
        <v>9786</v>
      </c>
      <c r="L79" s="21">
        <f t="shared" si="78"/>
        <v>10854</v>
      </c>
    </row>
    <row r="80" spans="2:12" ht="15.6" thickTop="1" thickBot="1" x14ac:dyDescent="0.35">
      <c r="B80" s="20" t="s">
        <v>8</v>
      </c>
      <c r="C80" s="21">
        <f t="shared" ref="C80:F80" si="79">C26+$S$3</f>
        <v>7388</v>
      </c>
      <c r="D80" s="21">
        <f t="shared" si="79"/>
        <v>8464</v>
      </c>
      <c r="E80" s="21">
        <f t="shared" si="79"/>
        <v>9176</v>
      </c>
      <c r="F80" s="21">
        <f t="shared" si="79"/>
        <v>10170</v>
      </c>
      <c r="H80" s="20" t="s">
        <v>8</v>
      </c>
      <c r="I80" s="21">
        <f t="shared" ref="I80:L80" si="80">I26+$S$3</f>
        <v>10318</v>
      </c>
      <c r="J80" s="21">
        <f t="shared" si="80"/>
        <v>11892</v>
      </c>
      <c r="K80" s="21">
        <f t="shared" si="80"/>
        <v>12933</v>
      </c>
      <c r="L80" s="21">
        <f t="shared" si="80"/>
        <v>14386</v>
      </c>
    </row>
    <row r="81" spans="2:12" ht="15.6" thickTop="1" thickBot="1" x14ac:dyDescent="0.35"/>
    <row r="82" spans="2:12" ht="15.6" thickTop="1" thickBot="1" x14ac:dyDescent="0.35">
      <c r="B82" s="202" t="s">
        <v>203</v>
      </c>
      <c r="C82" s="202"/>
      <c r="D82" s="202"/>
      <c r="E82" s="202"/>
      <c r="F82" s="202"/>
      <c r="G82" s="202"/>
      <c r="H82" s="202"/>
      <c r="I82" s="202"/>
      <c r="J82" s="202"/>
      <c r="K82" s="202"/>
      <c r="L82" s="202"/>
    </row>
    <row r="83" spans="2:12" ht="15.6" thickTop="1" thickBot="1" x14ac:dyDescent="0.35">
      <c r="B83" s="201" t="s">
        <v>10</v>
      </c>
      <c r="C83" s="201"/>
      <c r="D83" s="201"/>
      <c r="E83" s="201"/>
      <c r="F83" s="201"/>
      <c r="H83" s="201" t="s">
        <v>15</v>
      </c>
      <c r="I83" s="201"/>
      <c r="J83" s="201"/>
      <c r="K83" s="201"/>
      <c r="L83" s="201"/>
    </row>
    <row r="84" spans="2:12" ht="15.6" thickTop="1" thickBot="1" x14ac:dyDescent="0.35">
      <c r="B84" s="13"/>
      <c r="C84" s="13" t="s">
        <v>11</v>
      </c>
      <c r="D84" s="13" t="s">
        <v>12</v>
      </c>
      <c r="E84" s="13" t="s">
        <v>13</v>
      </c>
      <c r="F84" s="13" t="s">
        <v>14</v>
      </c>
      <c r="H84" s="13"/>
      <c r="I84" s="13" t="s">
        <v>11</v>
      </c>
      <c r="J84" s="13" t="s">
        <v>12</v>
      </c>
      <c r="K84" s="13" t="s">
        <v>13</v>
      </c>
      <c r="L84" s="13" t="s">
        <v>14</v>
      </c>
    </row>
    <row r="85" spans="2:12" ht="15.6" thickTop="1" thickBot="1" x14ac:dyDescent="0.35">
      <c r="B85" s="20" t="s">
        <v>9</v>
      </c>
      <c r="C85" s="21">
        <f>C4+$T$3</f>
        <v>2649</v>
      </c>
      <c r="D85" s="21">
        <f t="shared" ref="D85:F85" si="81">D4+$T$3</f>
        <v>2833</v>
      </c>
      <c r="E85" s="21">
        <f t="shared" si="81"/>
        <v>2955</v>
      </c>
      <c r="F85" s="21">
        <f t="shared" si="81"/>
        <v>3125</v>
      </c>
      <c r="H85" s="20" t="s">
        <v>9</v>
      </c>
      <c r="I85" s="21">
        <f>I4+$T$3</f>
        <v>3150</v>
      </c>
      <c r="J85" s="21">
        <f t="shared" ref="J85:L85" si="82">J4+$T$3</f>
        <v>3420</v>
      </c>
      <c r="K85" s="21">
        <f t="shared" si="82"/>
        <v>3598</v>
      </c>
      <c r="L85" s="21">
        <f t="shared" si="82"/>
        <v>3846</v>
      </c>
    </row>
    <row r="86" spans="2:12" ht="15.6" thickTop="1" thickBot="1" x14ac:dyDescent="0.35">
      <c r="B86" s="20" t="s">
        <v>0</v>
      </c>
      <c r="C86" s="21">
        <f t="shared" ref="C86:F94" si="83">C5+$T$3</f>
        <v>3273</v>
      </c>
      <c r="D86" s="21">
        <f t="shared" si="83"/>
        <v>3563</v>
      </c>
      <c r="E86" s="21">
        <f t="shared" si="83"/>
        <v>3755</v>
      </c>
      <c r="F86" s="21">
        <f t="shared" si="83"/>
        <v>4023</v>
      </c>
      <c r="H86" s="20" t="s">
        <v>0</v>
      </c>
      <c r="I86" s="21">
        <f t="shared" ref="I86:L86" si="84">I5+$T$3</f>
        <v>4063</v>
      </c>
      <c r="J86" s="21">
        <f t="shared" si="84"/>
        <v>4487</v>
      </c>
      <c r="K86" s="21">
        <f t="shared" si="84"/>
        <v>4767</v>
      </c>
      <c r="L86" s="21">
        <f t="shared" si="84"/>
        <v>5159</v>
      </c>
    </row>
    <row r="87" spans="2:12" ht="15.6" thickTop="1" thickBot="1" x14ac:dyDescent="0.35">
      <c r="B87" s="20" t="s">
        <v>1</v>
      </c>
      <c r="C87" s="21">
        <f t="shared" si="83"/>
        <v>3365</v>
      </c>
      <c r="D87" s="21">
        <f t="shared" si="83"/>
        <v>3670</v>
      </c>
      <c r="E87" s="21">
        <f t="shared" si="83"/>
        <v>3872</v>
      </c>
      <c r="F87" s="21">
        <f t="shared" si="83"/>
        <v>4155</v>
      </c>
      <c r="H87" s="20" t="s">
        <v>1</v>
      </c>
      <c r="I87" s="21">
        <f t="shared" ref="I87:L87" si="85">I6+$T$3</f>
        <v>4197</v>
      </c>
      <c r="J87" s="21">
        <f t="shared" si="85"/>
        <v>4643</v>
      </c>
      <c r="K87" s="21">
        <f t="shared" si="85"/>
        <v>4939</v>
      </c>
      <c r="L87" s="21">
        <f t="shared" si="85"/>
        <v>5351</v>
      </c>
    </row>
    <row r="88" spans="2:12" ht="15.6" thickTop="1" thickBot="1" x14ac:dyDescent="0.35">
      <c r="B88" s="20" t="s">
        <v>2</v>
      </c>
      <c r="C88" s="21">
        <f t="shared" si="83"/>
        <v>3522</v>
      </c>
      <c r="D88" s="21">
        <f t="shared" si="83"/>
        <v>3854</v>
      </c>
      <c r="E88" s="21">
        <f t="shared" si="83"/>
        <v>4074</v>
      </c>
      <c r="F88" s="21">
        <f t="shared" si="83"/>
        <v>4381</v>
      </c>
      <c r="H88" s="20" t="s">
        <v>2</v>
      </c>
      <c r="I88" s="21">
        <f t="shared" ref="I88:L88" si="86">I7+$T$3</f>
        <v>4427</v>
      </c>
      <c r="J88" s="21">
        <f t="shared" si="86"/>
        <v>4913</v>
      </c>
      <c r="K88" s="21">
        <f t="shared" si="86"/>
        <v>5234</v>
      </c>
      <c r="L88" s="21">
        <f t="shared" si="86"/>
        <v>5683</v>
      </c>
    </row>
    <row r="89" spans="2:12" ht="15.6" thickTop="1" thickBot="1" x14ac:dyDescent="0.35">
      <c r="B89" s="20" t="s">
        <v>3</v>
      </c>
      <c r="C89" s="21">
        <f t="shared" si="83"/>
        <v>3772</v>
      </c>
      <c r="D89" s="21">
        <f t="shared" si="83"/>
        <v>4146</v>
      </c>
      <c r="E89" s="21">
        <f t="shared" si="83"/>
        <v>4394</v>
      </c>
      <c r="F89" s="21">
        <f t="shared" si="83"/>
        <v>4740</v>
      </c>
      <c r="H89" s="20" t="s">
        <v>3</v>
      </c>
      <c r="I89" s="21">
        <f t="shared" ref="I89:L89" si="87">I8+$T$3</f>
        <v>4792</v>
      </c>
      <c r="J89" s="21">
        <f t="shared" si="87"/>
        <v>5340</v>
      </c>
      <c r="K89" s="21">
        <f t="shared" si="87"/>
        <v>5702</v>
      </c>
      <c r="L89" s="21">
        <f t="shared" si="87"/>
        <v>6208</v>
      </c>
    </row>
    <row r="90" spans="2:12" ht="15.6" thickTop="1" thickBot="1" x14ac:dyDescent="0.35">
      <c r="B90" s="20" t="s">
        <v>4</v>
      </c>
      <c r="C90" s="21">
        <f t="shared" si="83"/>
        <v>4236</v>
      </c>
      <c r="D90" s="21">
        <f t="shared" si="83"/>
        <v>4689</v>
      </c>
      <c r="E90" s="21">
        <f t="shared" si="83"/>
        <v>4989</v>
      </c>
      <c r="F90" s="21">
        <f t="shared" si="83"/>
        <v>5408</v>
      </c>
      <c r="H90" s="20" t="s">
        <v>4</v>
      </c>
      <c r="I90" s="21">
        <f t="shared" ref="I90:L90" si="88">I9+$T$3</f>
        <v>5470</v>
      </c>
      <c r="J90" s="21">
        <f t="shared" si="88"/>
        <v>6133</v>
      </c>
      <c r="K90" s="21">
        <f t="shared" si="88"/>
        <v>6572</v>
      </c>
      <c r="L90" s="21">
        <f t="shared" si="88"/>
        <v>7184</v>
      </c>
    </row>
    <row r="91" spans="2:12" ht="15.6" thickTop="1" thickBot="1" x14ac:dyDescent="0.35">
      <c r="B91" s="20" t="s">
        <v>5</v>
      </c>
      <c r="C91" s="21">
        <f t="shared" si="83"/>
        <v>4836</v>
      </c>
      <c r="D91" s="21">
        <f t="shared" si="83"/>
        <v>5391</v>
      </c>
      <c r="E91" s="21">
        <f t="shared" si="83"/>
        <v>5759</v>
      </c>
      <c r="F91" s="21">
        <f t="shared" si="83"/>
        <v>6271</v>
      </c>
      <c r="H91" s="20" t="s">
        <v>5</v>
      </c>
      <c r="I91" s="21">
        <f t="shared" ref="I91:L91" si="89">I10+$T$3</f>
        <v>6348</v>
      </c>
      <c r="J91" s="21">
        <f t="shared" si="89"/>
        <v>7160</v>
      </c>
      <c r="K91" s="21">
        <f t="shared" si="89"/>
        <v>7696</v>
      </c>
      <c r="L91" s="21">
        <f t="shared" si="89"/>
        <v>8446</v>
      </c>
    </row>
    <row r="92" spans="2:12" ht="15.6" thickTop="1" thickBot="1" x14ac:dyDescent="0.35">
      <c r="B92" s="20" t="s">
        <v>6</v>
      </c>
      <c r="C92" s="21">
        <f t="shared" si="83"/>
        <v>5735</v>
      </c>
      <c r="D92" s="21">
        <f t="shared" si="83"/>
        <v>6443</v>
      </c>
      <c r="E92" s="21">
        <f t="shared" si="83"/>
        <v>6911</v>
      </c>
      <c r="F92" s="21">
        <f t="shared" si="83"/>
        <v>7564</v>
      </c>
      <c r="H92" s="20" t="s">
        <v>6</v>
      </c>
      <c r="I92" s="21">
        <f t="shared" ref="I92:L92" si="90">I11+$T$3</f>
        <v>7662</v>
      </c>
      <c r="J92" s="21">
        <f t="shared" si="90"/>
        <v>8696</v>
      </c>
      <c r="K92" s="21">
        <f t="shared" si="90"/>
        <v>9381</v>
      </c>
      <c r="L92" s="21">
        <f t="shared" si="90"/>
        <v>10336</v>
      </c>
    </row>
    <row r="93" spans="2:12" ht="15.6" thickTop="1" thickBot="1" x14ac:dyDescent="0.35">
      <c r="B93" s="20" t="s">
        <v>7</v>
      </c>
      <c r="C93" s="21">
        <f t="shared" si="83"/>
        <v>7053</v>
      </c>
      <c r="D93" s="21">
        <f t="shared" si="83"/>
        <v>7984</v>
      </c>
      <c r="E93" s="21">
        <f t="shared" si="83"/>
        <v>8600</v>
      </c>
      <c r="F93" s="21">
        <f t="shared" si="83"/>
        <v>9460</v>
      </c>
      <c r="H93" s="20" t="s">
        <v>7</v>
      </c>
      <c r="I93" s="21">
        <f t="shared" ref="I93:L93" si="91">I12+$T$3</f>
        <v>9588</v>
      </c>
      <c r="J93" s="21">
        <f t="shared" si="91"/>
        <v>10950</v>
      </c>
      <c r="K93" s="21">
        <f t="shared" si="91"/>
        <v>11850</v>
      </c>
      <c r="L93" s="21">
        <f t="shared" si="91"/>
        <v>13107</v>
      </c>
    </row>
    <row r="94" spans="2:12" ht="15.6" thickTop="1" thickBot="1" x14ac:dyDescent="0.35">
      <c r="B94" s="20" t="s">
        <v>8</v>
      </c>
      <c r="C94" s="21">
        <f t="shared" si="83"/>
        <v>9028</v>
      </c>
      <c r="D94" s="21">
        <f t="shared" si="83"/>
        <v>10295</v>
      </c>
      <c r="E94" s="21">
        <f t="shared" si="83"/>
        <v>11133</v>
      </c>
      <c r="F94" s="21">
        <f t="shared" si="83"/>
        <v>12302</v>
      </c>
      <c r="H94" s="20" t="s">
        <v>8</v>
      </c>
      <c r="I94" s="21">
        <f t="shared" ref="I94:L94" si="92">I13+$T$3</f>
        <v>12477</v>
      </c>
      <c r="J94" s="21">
        <f t="shared" si="92"/>
        <v>14328</v>
      </c>
      <c r="K94" s="21">
        <f t="shared" si="92"/>
        <v>15553</v>
      </c>
      <c r="L94" s="21">
        <f t="shared" si="92"/>
        <v>17262</v>
      </c>
    </row>
    <row r="95" spans="2:12" ht="15.6" thickTop="1" thickBot="1" x14ac:dyDescent="0.35"/>
    <row r="96" spans="2:12" ht="15.6" thickTop="1" thickBot="1" x14ac:dyDescent="0.35">
      <c r="B96" s="200" t="s">
        <v>17</v>
      </c>
      <c r="C96" s="200"/>
      <c r="D96" s="200"/>
      <c r="E96" s="200"/>
      <c r="F96" s="200"/>
      <c r="H96" s="200" t="s">
        <v>16</v>
      </c>
      <c r="I96" s="200"/>
      <c r="J96" s="200"/>
      <c r="K96" s="200"/>
      <c r="L96" s="200"/>
    </row>
    <row r="97" spans="2:12" ht="15.6" thickTop="1" thickBot="1" x14ac:dyDescent="0.35">
      <c r="B97" s="18"/>
      <c r="C97" s="13" t="s">
        <v>11</v>
      </c>
      <c r="D97" s="13" t="s">
        <v>12</v>
      </c>
      <c r="E97" s="13" t="s">
        <v>13</v>
      </c>
      <c r="F97" s="13" t="s">
        <v>14</v>
      </c>
      <c r="H97" s="13"/>
      <c r="I97" s="13" t="s">
        <v>11</v>
      </c>
      <c r="J97" s="13" t="s">
        <v>12</v>
      </c>
      <c r="K97" s="13" t="s">
        <v>13</v>
      </c>
      <c r="L97" s="13" t="s">
        <v>14</v>
      </c>
    </row>
    <row r="98" spans="2:12" ht="15.6" thickTop="1" thickBot="1" x14ac:dyDescent="0.35">
      <c r="B98" s="20" t="s">
        <v>9</v>
      </c>
      <c r="C98" s="21">
        <f>C17+$T$3</f>
        <v>2486</v>
      </c>
      <c r="D98" s="21">
        <f t="shared" ref="D98:F98" si="93">D17+$T$3</f>
        <v>2643</v>
      </c>
      <c r="E98" s="21">
        <f t="shared" si="93"/>
        <v>2746</v>
      </c>
      <c r="F98" s="21">
        <f t="shared" si="93"/>
        <v>2891</v>
      </c>
      <c r="H98" s="20" t="s">
        <v>9</v>
      </c>
      <c r="I98" s="21">
        <f>I17+$T$3</f>
        <v>2912</v>
      </c>
      <c r="J98" s="21">
        <f t="shared" ref="J98:L98" si="94">J17+$T$3</f>
        <v>3141</v>
      </c>
      <c r="K98" s="21">
        <f t="shared" si="94"/>
        <v>3293</v>
      </c>
      <c r="L98" s="21">
        <f t="shared" si="94"/>
        <v>3504</v>
      </c>
    </row>
    <row r="99" spans="2:12" ht="15.6" thickTop="1" thickBot="1" x14ac:dyDescent="0.35">
      <c r="B99" s="20" t="s">
        <v>0</v>
      </c>
      <c r="C99" s="21">
        <f t="shared" ref="C99:F99" si="95">C18+$T$3</f>
        <v>3016</v>
      </c>
      <c r="D99" s="21">
        <f t="shared" si="95"/>
        <v>3263</v>
      </c>
      <c r="E99" s="21">
        <f t="shared" si="95"/>
        <v>3426</v>
      </c>
      <c r="F99" s="21">
        <f t="shared" si="95"/>
        <v>3654</v>
      </c>
      <c r="H99" s="20" t="s">
        <v>0</v>
      </c>
      <c r="I99" s="21">
        <f t="shared" ref="I99:L99" si="96">I18+$T$3</f>
        <v>3688</v>
      </c>
      <c r="J99" s="21">
        <f t="shared" si="96"/>
        <v>4048</v>
      </c>
      <c r="K99" s="21">
        <f t="shared" si="96"/>
        <v>4286</v>
      </c>
      <c r="L99" s="21">
        <f t="shared" si="96"/>
        <v>4619</v>
      </c>
    </row>
    <row r="100" spans="2:12" ht="15.6" thickTop="1" thickBot="1" x14ac:dyDescent="0.35">
      <c r="B100" s="20" t="s">
        <v>1</v>
      </c>
      <c r="C100" s="21">
        <f t="shared" ref="C100:F100" si="97">C19+$T$3</f>
        <v>3094</v>
      </c>
      <c r="D100" s="21">
        <f t="shared" si="97"/>
        <v>3354</v>
      </c>
      <c r="E100" s="21">
        <f t="shared" si="97"/>
        <v>3526</v>
      </c>
      <c r="F100" s="21">
        <f t="shared" si="97"/>
        <v>3766</v>
      </c>
      <c r="H100" s="20" t="s">
        <v>1</v>
      </c>
      <c r="I100" s="21">
        <f t="shared" ref="I100:L100" si="98">I19+$T$3</f>
        <v>3802</v>
      </c>
      <c r="J100" s="21">
        <f t="shared" si="98"/>
        <v>4181</v>
      </c>
      <c r="K100" s="21">
        <f t="shared" si="98"/>
        <v>4433</v>
      </c>
      <c r="L100" s="21">
        <f t="shared" si="98"/>
        <v>4783</v>
      </c>
    </row>
    <row r="101" spans="2:12" ht="15.6" thickTop="1" thickBot="1" x14ac:dyDescent="0.35">
      <c r="B101" s="20" t="s">
        <v>2</v>
      </c>
      <c r="C101" s="21">
        <f t="shared" ref="C101:F101" si="99">C20+$T$3</f>
        <v>3228</v>
      </c>
      <c r="D101" s="21">
        <f t="shared" si="99"/>
        <v>3511</v>
      </c>
      <c r="E101" s="21">
        <f t="shared" si="99"/>
        <v>3698</v>
      </c>
      <c r="F101" s="21">
        <f t="shared" si="99"/>
        <v>3958</v>
      </c>
      <c r="H101" s="20" t="s">
        <v>2</v>
      </c>
      <c r="I101" s="21">
        <f t="shared" ref="I101:L101" si="100">I20+$T$3</f>
        <v>3997</v>
      </c>
      <c r="J101" s="21">
        <f t="shared" si="100"/>
        <v>4410</v>
      </c>
      <c r="K101" s="21">
        <f t="shared" si="100"/>
        <v>4683</v>
      </c>
      <c r="L101" s="21">
        <f t="shared" si="100"/>
        <v>5065</v>
      </c>
    </row>
    <row r="102" spans="2:12" ht="15.6" thickTop="1" thickBot="1" x14ac:dyDescent="0.35">
      <c r="B102" s="20" t="s">
        <v>3</v>
      </c>
      <c r="C102" s="21">
        <f t="shared" ref="C102:F102" si="101">C21+$T$3</f>
        <v>3440</v>
      </c>
      <c r="D102" s="21">
        <f t="shared" si="101"/>
        <v>3759</v>
      </c>
      <c r="E102" s="21">
        <f t="shared" si="101"/>
        <v>3970</v>
      </c>
      <c r="F102" s="21">
        <f t="shared" si="101"/>
        <v>4264</v>
      </c>
      <c r="H102" s="20" t="s">
        <v>3</v>
      </c>
      <c r="I102" s="21">
        <f t="shared" ref="I102:L102" si="102">I21+$T$3</f>
        <v>4307</v>
      </c>
      <c r="J102" s="21">
        <f t="shared" si="102"/>
        <v>4773</v>
      </c>
      <c r="K102" s="21">
        <f t="shared" si="102"/>
        <v>5081</v>
      </c>
      <c r="L102" s="21">
        <f t="shared" si="102"/>
        <v>5511</v>
      </c>
    </row>
    <row r="103" spans="2:12" ht="15.6" thickTop="1" thickBot="1" x14ac:dyDescent="0.35">
      <c r="B103" s="20" t="s">
        <v>4</v>
      </c>
      <c r="C103" s="21">
        <f t="shared" ref="C103:F103" si="103">C22+$T$3</f>
        <v>3835</v>
      </c>
      <c r="D103" s="21">
        <f t="shared" si="103"/>
        <v>4220</v>
      </c>
      <c r="E103" s="21">
        <f t="shared" si="103"/>
        <v>4475</v>
      </c>
      <c r="F103" s="21">
        <f t="shared" si="103"/>
        <v>4831</v>
      </c>
      <c r="H103" s="20" t="s">
        <v>4</v>
      </c>
      <c r="I103" s="21">
        <f t="shared" ref="I103:L103" si="104">I22+$T$3</f>
        <v>4884</v>
      </c>
      <c r="J103" s="21">
        <f t="shared" si="104"/>
        <v>5448</v>
      </c>
      <c r="K103" s="21">
        <f t="shared" si="104"/>
        <v>5820</v>
      </c>
      <c r="L103" s="21">
        <f t="shared" si="104"/>
        <v>6341</v>
      </c>
    </row>
    <row r="104" spans="2:12" ht="15.6" thickTop="1" thickBot="1" x14ac:dyDescent="0.35">
      <c r="B104" s="20" t="s">
        <v>5</v>
      </c>
      <c r="C104" s="21">
        <f t="shared" ref="C104:F104" si="105">C23+$T$3</f>
        <v>4345</v>
      </c>
      <c r="D104" s="21">
        <f t="shared" si="105"/>
        <v>4817</v>
      </c>
      <c r="E104" s="21">
        <f t="shared" si="105"/>
        <v>5129</v>
      </c>
      <c r="F104" s="21">
        <f t="shared" si="105"/>
        <v>5565</v>
      </c>
      <c r="H104" s="20" t="s">
        <v>5</v>
      </c>
      <c r="I104" s="21">
        <f t="shared" ref="I104:L104" si="106">I23+$T$3</f>
        <v>5630</v>
      </c>
      <c r="J104" s="21">
        <f t="shared" si="106"/>
        <v>6320</v>
      </c>
      <c r="K104" s="21">
        <f t="shared" si="106"/>
        <v>6776</v>
      </c>
      <c r="L104" s="21">
        <f t="shared" si="106"/>
        <v>7413</v>
      </c>
    </row>
    <row r="105" spans="2:12" ht="15.6" thickTop="1" thickBot="1" x14ac:dyDescent="0.35">
      <c r="B105" s="20" t="s">
        <v>6</v>
      </c>
      <c r="C105" s="21">
        <f t="shared" ref="C105:F105" si="107">C24+$T$3</f>
        <v>5109</v>
      </c>
      <c r="D105" s="21">
        <f t="shared" si="107"/>
        <v>5711</v>
      </c>
      <c r="E105" s="21">
        <f t="shared" si="107"/>
        <v>6109</v>
      </c>
      <c r="F105" s="21">
        <f t="shared" si="107"/>
        <v>6664</v>
      </c>
      <c r="H105" s="20" t="s">
        <v>6</v>
      </c>
      <c r="I105" s="21">
        <f t="shared" ref="I105:L105" si="108">I24+$T$3</f>
        <v>6747</v>
      </c>
      <c r="J105" s="21">
        <f t="shared" si="108"/>
        <v>7626</v>
      </c>
      <c r="K105" s="21">
        <f t="shared" si="108"/>
        <v>8208</v>
      </c>
      <c r="L105" s="21">
        <f t="shared" si="108"/>
        <v>9020</v>
      </c>
    </row>
    <row r="106" spans="2:12" ht="15.6" thickTop="1" thickBot="1" x14ac:dyDescent="0.35">
      <c r="B106" s="20" t="s">
        <v>7</v>
      </c>
      <c r="C106" s="21">
        <f t="shared" ref="C106:F106" si="109">C25+$T$3</f>
        <v>6229</v>
      </c>
      <c r="D106" s="21">
        <f t="shared" si="109"/>
        <v>7021</v>
      </c>
      <c r="E106" s="21">
        <f t="shared" si="109"/>
        <v>7544</v>
      </c>
      <c r="F106" s="21">
        <f t="shared" si="109"/>
        <v>8275</v>
      </c>
      <c r="H106" s="20" t="s">
        <v>7</v>
      </c>
      <c r="I106" s="21">
        <f t="shared" ref="I106:L106" si="110">I25+$T$3</f>
        <v>8384</v>
      </c>
      <c r="J106" s="21">
        <f t="shared" si="110"/>
        <v>9542</v>
      </c>
      <c r="K106" s="21">
        <f t="shared" si="110"/>
        <v>10307</v>
      </c>
      <c r="L106" s="21">
        <f t="shared" si="110"/>
        <v>11375</v>
      </c>
    </row>
    <row r="107" spans="2:12" ht="15.6" thickTop="1" thickBot="1" x14ac:dyDescent="0.35">
      <c r="B107" s="20" t="s">
        <v>8</v>
      </c>
      <c r="C107" s="21">
        <f t="shared" ref="C107:F107" si="111">C26+$T$3</f>
        <v>7909</v>
      </c>
      <c r="D107" s="21">
        <f t="shared" si="111"/>
        <v>8985</v>
      </c>
      <c r="E107" s="21">
        <f t="shared" si="111"/>
        <v>9697</v>
      </c>
      <c r="F107" s="21">
        <f t="shared" si="111"/>
        <v>10691</v>
      </c>
      <c r="H107" s="20" t="s">
        <v>8</v>
      </c>
      <c r="I107" s="21">
        <f t="shared" ref="I107:L107" si="112">I26+$T$3</f>
        <v>10839</v>
      </c>
      <c r="J107" s="21">
        <f t="shared" si="112"/>
        <v>12413</v>
      </c>
      <c r="K107" s="21">
        <f t="shared" si="112"/>
        <v>13454</v>
      </c>
      <c r="L107" s="21">
        <f t="shared" si="112"/>
        <v>14907</v>
      </c>
    </row>
    <row r="108" spans="2:12" ht="15" thickTop="1" x14ac:dyDescent="0.3"/>
  </sheetData>
  <sheetProtection algorithmName="SHA-512" hashValue="mufq921bSpB9OMrvjsrpzQwC92i3wKVPn5EJdHDtJBgW4PeTOm3DL+PFSmMS+wiWFrViT8JmrXIJkq0AMxOyeg==" saltValue="foffurfBhmaBukDtEIbELQ==" spinCount="100000" sheet="1" objects="1" scenarios="1"/>
  <mergeCells count="20">
    <mergeCell ref="B1:L1"/>
    <mergeCell ref="B28:L28"/>
    <mergeCell ref="B29:F29"/>
    <mergeCell ref="H29:L29"/>
    <mergeCell ref="B42:F42"/>
    <mergeCell ref="H42:L42"/>
    <mergeCell ref="B2:F2"/>
    <mergeCell ref="H2:L2"/>
    <mergeCell ref="B15:F15"/>
    <mergeCell ref="H15:L15"/>
    <mergeCell ref="B55:L55"/>
    <mergeCell ref="B56:F56"/>
    <mergeCell ref="H56:L56"/>
    <mergeCell ref="B69:F69"/>
    <mergeCell ref="H69:L69"/>
    <mergeCell ref="B82:L82"/>
    <mergeCell ref="B83:F83"/>
    <mergeCell ref="H83:L83"/>
    <mergeCell ref="B96:F96"/>
    <mergeCell ref="H96:L9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FF35-4EBD-4ECD-955A-D9EBD8626841}">
  <dimension ref="A1:U56"/>
  <sheetViews>
    <sheetView topLeftCell="A29" workbookViewId="0">
      <selection activeCell="D51" sqref="D51"/>
    </sheetView>
  </sheetViews>
  <sheetFormatPr defaultColWidth="9.109375" defaultRowHeight="14.4" x14ac:dyDescent="0.3"/>
  <cols>
    <col min="1" max="1" width="17.77734375" bestFit="1" customWidth="1"/>
    <col min="2" max="2" width="17.77734375" customWidth="1"/>
    <col min="3" max="3" width="5.44140625" customWidth="1"/>
    <col min="4" max="4" width="39.33203125" bestFit="1" customWidth="1"/>
    <col min="5" max="5" width="18.109375" customWidth="1"/>
    <col min="6" max="6" width="5.6640625" customWidth="1"/>
    <col min="7" max="7" width="31.33203125" bestFit="1" customWidth="1"/>
    <col min="8" max="8" width="1.44140625" customWidth="1"/>
    <col min="9" max="9" width="11.6640625" bestFit="1" customWidth="1"/>
    <col min="10" max="10" width="1.109375" customWidth="1"/>
    <col min="11" max="11" width="11" bestFit="1" customWidth="1"/>
    <col min="12" max="12" width="1.33203125" customWidth="1"/>
    <col min="13" max="13" width="14.6640625" bestFit="1" customWidth="1"/>
    <col min="14" max="14" width="1.21875" customWidth="1"/>
    <col min="15" max="15" width="35.77734375" bestFit="1" customWidth="1"/>
    <col min="16" max="16" width="1.109375" customWidth="1"/>
    <col min="17" max="17" width="24" bestFit="1" customWidth="1"/>
    <col min="18" max="18" width="1.21875" customWidth="1"/>
    <col min="19" max="19" width="10.109375" bestFit="1" customWidth="1"/>
    <col min="20" max="20" width="1.21875" customWidth="1"/>
    <col min="21" max="21" width="10.109375" bestFit="1" customWidth="1"/>
    <col min="22" max="16384" width="9.109375" style="2"/>
  </cols>
  <sheetData>
    <row r="1" spans="1:21" x14ac:dyDescent="0.3">
      <c r="A1" s="31" t="s">
        <v>90</v>
      </c>
      <c r="B1" s="31" t="s">
        <v>204</v>
      </c>
      <c r="D1" s="203" t="s">
        <v>141</v>
      </c>
      <c r="E1" s="203"/>
      <c r="G1" s="19" t="s">
        <v>165</v>
      </c>
      <c r="I1" s="19" t="s">
        <v>22</v>
      </c>
      <c r="K1" s="19" t="s">
        <v>34</v>
      </c>
      <c r="M1" s="19" t="s">
        <v>35</v>
      </c>
      <c r="O1" s="19" t="s">
        <v>37</v>
      </c>
      <c r="Q1" s="19" t="s">
        <v>38</v>
      </c>
      <c r="S1" s="19" t="s">
        <v>27</v>
      </c>
      <c r="U1" s="19" t="s">
        <v>38</v>
      </c>
    </row>
    <row r="2" spans="1:21" x14ac:dyDescent="0.3">
      <c r="A2" s="32" t="s">
        <v>58</v>
      </c>
      <c r="B2" s="32" t="s">
        <v>206</v>
      </c>
      <c r="D2" t="s">
        <v>127</v>
      </c>
      <c r="E2" t="s">
        <v>188</v>
      </c>
      <c r="G2" t="s">
        <v>158</v>
      </c>
      <c r="I2" t="s">
        <v>23</v>
      </c>
      <c r="K2" t="s">
        <v>11</v>
      </c>
      <c r="M2" t="s">
        <v>170</v>
      </c>
      <c r="O2" t="s">
        <v>171</v>
      </c>
      <c r="Q2" t="s">
        <v>39</v>
      </c>
      <c r="S2" t="s">
        <v>177</v>
      </c>
      <c r="U2" s="33">
        <v>7.4999999999999997E-2</v>
      </c>
    </row>
    <row r="3" spans="1:21" x14ac:dyDescent="0.3">
      <c r="A3" s="32" t="s">
        <v>46</v>
      </c>
      <c r="B3" s="32" t="s">
        <v>205</v>
      </c>
      <c r="D3" t="s">
        <v>103</v>
      </c>
      <c r="E3" t="s">
        <v>188</v>
      </c>
      <c r="G3" t="s">
        <v>145</v>
      </c>
      <c r="I3" t="s">
        <v>25</v>
      </c>
      <c r="K3" t="s">
        <v>167</v>
      </c>
      <c r="M3" t="s">
        <v>36</v>
      </c>
      <c r="O3" t="s">
        <v>172</v>
      </c>
      <c r="Q3" t="s">
        <v>173</v>
      </c>
      <c r="S3" t="s">
        <v>166</v>
      </c>
      <c r="U3" s="34">
        <v>0.1</v>
      </c>
    </row>
    <row r="4" spans="1:21" ht="28.8" x14ac:dyDescent="0.3">
      <c r="A4" s="32" t="s">
        <v>70</v>
      </c>
      <c r="B4" s="32" t="s">
        <v>206</v>
      </c>
      <c r="D4" t="s">
        <v>94</v>
      </c>
      <c r="E4" t="s">
        <v>188</v>
      </c>
      <c r="G4" t="s">
        <v>180</v>
      </c>
      <c r="I4" t="s">
        <v>24</v>
      </c>
      <c r="K4" t="s">
        <v>168</v>
      </c>
      <c r="Q4" t="s">
        <v>174</v>
      </c>
      <c r="U4" s="34">
        <v>0.15</v>
      </c>
    </row>
    <row r="5" spans="1:21" x14ac:dyDescent="0.3">
      <c r="A5" s="32" t="s">
        <v>69</v>
      </c>
      <c r="B5" s="32" t="s">
        <v>206</v>
      </c>
      <c r="D5" t="s">
        <v>115</v>
      </c>
      <c r="E5" t="s">
        <v>188</v>
      </c>
      <c r="G5" t="s">
        <v>143</v>
      </c>
      <c r="K5" t="s">
        <v>169</v>
      </c>
      <c r="Q5" t="s">
        <v>175</v>
      </c>
      <c r="U5" s="34">
        <v>0.2</v>
      </c>
    </row>
    <row r="6" spans="1:21" x14ac:dyDescent="0.3">
      <c r="A6" s="32" t="s">
        <v>74</v>
      </c>
      <c r="B6" s="32" t="s">
        <v>206</v>
      </c>
      <c r="D6" t="s">
        <v>139</v>
      </c>
      <c r="E6" t="s">
        <v>188</v>
      </c>
      <c r="G6" t="s">
        <v>152</v>
      </c>
      <c r="U6" s="34">
        <v>0.25</v>
      </c>
    </row>
    <row r="7" spans="1:21" x14ac:dyDescent="0.3">
      <c r="A7" s="32" t="s">
        <v>43</v>
      </c>
      <c r="B7" s="32" t="s">
        <v>206</v>
      </c>
      <c r="D7" t="s">
        <v>112</v>
      </c>
      <c r="E7" t="s">
        <v>188</v>
      </c>
      <c r="G7" t="s">
        <v>155</v>
      </c>
    </row>
    <row r="8" spans="1:21" x14ac:dyDescent="0.3">
      <c r="A8" s="32" t="s">
        <v>55</v>
      </c>
      <c r="B8" s="32" t="s">
        <v>206</v>
      </c>
      <c r="D8" t="s">
        <v>93</v>
      </c>
      <c r="E8" t="s">
        <v>188</v>
      </c>
      <c r="G8" t="s">
        <v>157</v>
      </c>
    </row>
    <row r="9" spans="1:21" x14ac:dyDescent="0.3">
      <c r="A9" s="32" t="s">
        <v>77</v>
      </c>
      <c r="B9" s="32" t="s">
        <v>206</v>
      </c>
      <c r="D9" t="s">
        <v>120</v>
      </c>
      <c r="E9" t="s">
        <v>188</v>
      </c>
      <c r="G9" t="s">
        <v>148</v>
      </c>
    </row>
    <row r="10" spans="1:21" x14ac:dyDescent="0.3">
      <c r="A10" s="32" t="s">
        <v>44</v>
      </c>
      <c r="B10" s="32" t="s">
        <v>206</v>
      </c>
      <c r="D10" t="s">
        <v>97</v>
      </c>
      <c r="E10" t="s">
        <v>188</v>
      </c>
      <c r="G10" t="s">
        <v>147</v>
      </c>
    </row>
    <row r="11" spans="1:21" x14ac:dyDescent="0.3">
      <c r="A11" s="32" t="s">
        <v>78</v>
      </c>
      <c r="B11" s="32" t="s">
        <v>206</v>
      </c>
      <c r="D11" t="s">
        <v>131</v>
      </c>
      <c r="E11" t="s">
        <v>188</v>
      </c>
      <c r="G11" t="s">
        <v>156</v>
      </c>
    </row>
    <row r="12" spans="1:21" x14ac:dyDescent="0.3">
      <c r="A12" s="32" t="s">
        <v>40</v>
      </c>
      <c r="B12" s="32" t="s">
        <v>205</v>
      </c>
      <c r="D12" t="s">
        <v>101</v>
      </c>
      <c r="E12" t="s">
        <v>188</v>
      </c>
      <c r="G12" t="s">
        <v>154</v>
      </c>
    </row>
    <row r="13" spans="1:21" x14ac:dyDescent="0.3">
      <c r="A13" s="32" t="s">
        <v>65</v>
      </c>
      <c r="B13" s="32" t="s">
        <v>205</v>
      </c>
      <c r="D13" t="s">
        <v>109</v>
      </c>
      <c r="E13" t="s">
        <v>188</v>
      </c>
      <c r="G13" t="s">
        <v>164</v>
      </c>
    </row>
    <row r="14" spans="1:21" x14ac:dyDescent="0.3">
      <c r="A14" s="32" t="s">
        <v>66</v>
      </c>
      <c r="B14" s="32" t="s">
        <v>205</v>
      </c>
      <c r="D14" t="s">
        <v>133</v>
      </c>
      <c r="E14" t="s">
        <v>188</v>
      </c>
      <c r="G14" t="s">
        <v>146</v>
      </c>
    </row>
    <row r="15" spans="1:21" x14ac:dyDescent="0.3">
      <c r="A15" s="32" t="s">
        <v>208</v>
      </c>
      <c r="B15" s="32" t="s">
        <v>205</v>
      </c>
      <c r="D15" t="s">
        <v>104</v>
      </c>
      <c r="E15" t="s">
        <v>188</v>
      </c>
      <c r="G15" t="s">
        <v>162</v>
      </c>
    </row>
    <row r="16" spans="1:21" x14ac:dyDescent="0.3">
      <c r="A16" s="32" t="s">
        <v>81</v>
      </c>
      <c r="B16" s="32" t="s">
        <v>206</v>
      </c>
      <c r="D16" t="s">
        <v>126</v>
      </c>
      <c r="E16" t="s">
        <v>188</v>
      </c>
      <c r="G16" t="s">
        <v>144</v>
      </c>
    </row>
    <row r="17" spans="1:7" x14ac:dyDescent="0.3">
      <c r="A17" s="32" t="s">
        <v>82</v>
      </c>
      <c r="B17" s="32" t="s">
        <v>206</v>
      </c>
      <c r="D17" t="s">
        <v>92</v>
      </c>
      <c r="E17" t="s">
        <v>188</v>
      </c>
      <c r="G17" t="s">
        <v>150</v>
      </c>
    </row>
    <row r="18" spans="1:7" x14ac:dyDescent="0.3">
      <c r="A18" s="32" t="s">
        <v>73</v>
      </c>
      <c r="B18" s="32" t="s">
        <v>205</v>
      </c>
      <c r="D18" t="s">
        <v>124</v>
      </c>
      <c r="E18" t="s">
        <v>188</v>
      </c>
      <c r="G18" t="s">
        <v>153</v>
      </c>
    </row>
    <row r="19" spans="1:7" x14ac:dyDescent="0.3">
      <c r="A19" s="32" t="s">
        <v>86</v>
      </c>
      <c r="B19" s="32" t="s">
        <v>206</v>
      </c>
      <c r="D19" t="s">
        <v>135</v>
      </c>
      <c r="E19" t="s">
        <v>188</v>
      </c>
      <c r="G19" t="s">
        <v>151</v>
      </c>
    </row>
    <row r="20" spans="1:7" x14ac:dyDescent="0.3">
      <c r="A20" s="32" t="s">
        <v>45</v>
      </c>
      <c r="B20" s="32" t="s">
        <v>205</v>
      </c>
      <c r="D20" t="s">
        <v>102</v>
      </c>
      <c r="E20" t="s">
        <v>188</v>
      </c>
      <c r="G20" t="s">
        <v>142</v>
      </c>
    </row>
    <row r="21" spans="1:7" x14ac:dyDescent="0.3">
      <c r="A21" s="32" t="s">
        <v>53</v>
      </c>
      <c r="B21" s="32" t="s">
        <v>206</v>
      </c>
      <c r="D21" t="s">
        <v>100</v>
      </c>
      <c r="E21" t="s">
        <v>188</v>
      </c>
      <c r="G21" t="s">
        <v>149</v>
      </c>
    </row>
    <row r="22" spans="1:7" x14ac:dyDescent="0.3">
      <c r="A22" s="32" t="s">
        <v>72</v>
      </c>
      <c r="B22" s="32" t="s">
        <v>206</v>
      </c>
      <c r="D22" t="s">
        <v>132</v>
      </c>
      <c r="E22" t="s">
        <v>183</v>
      </c>
      <c r="G22" t="s">
        <v>159</v>
      </c>
    </row>
    <row r="23" spans="1:7" x14ac:dyDescent="0.3">
      <c r="A23" s="32" t="s">
        <v>49</v>
      </c>
      <c r="B23" s="32" t="s">
        <v>206</v>
      </c>
      <c r="D23" t="s">
        <v>134</v>
      </c>
      <c r="E23" t="s">
        <v>188</v>
      </c>
      <c r="G23" t="s">
        <v>160</v>
      </c>
    </row>
    <row r="24" spans="1:7" x14ac:dyDescent="0.3">
      <c r="A24" s="32" t="s">
        <v>87</v>
      </c>
      <c r="B24" s="32" t="s">
        <v>206</v>
      </c>
      <c r="D24" t="s">
        <v>125</v>
      </c>
      <c r="E24" t="s">
        <v>188</v>
      </c>
      <c r="G24" t="s">
        <v>161</v>
      </c>
    </row>
    <row r="25" spans="1:7" x14ac:dyDescent="0.3">
      <c r="A25" s="32" t="s">
        <v>79</v>
      </c>
      <c r="B25" s="32" t="s">
        <v>206</v>
      </c>
      <c r="D25" t="s">
        <v>111</v>
      </c>
      <c r="E25" t="s">
        <v>188</v>
      </c>
      <c r="G25" t="s">
        <v>163</v>
      </c>
    </row>
    <row r="26" spans="1:7" x14ac:dyDescent="0.3">
      <c r="A26" s="32" t="s">
        <v>62</v>
      </c>
      <c r="B26" s="32" t="s">
        <v>205</v>
      </c>
      <c r="D26" t="s">
        <v>110</v>
      </c>
      <c r="E26" t="s">
        <v>188</v>
      </c>
      <c r="G26" t="s">
        <v>166</v>
      </c>
    </row>
    <row r="27" spans="1:7" x14ac:dyDescent="0.3">
      <c r="A27" s="32" t="s">
        <v>50</v>
      </c>
      <c r="B27" s="32" t="s">
        <v>206</v>
      </c>
      <c r="D27" t="s">
        <v>106</v>
      </c>
      <c r="E27" t="s">
        <v>188</v>
      </c>
    </row>
    <row r="28" spans="1:7" x14ac:dyDescent="0.3">
      <c r="A28" s="32" t="s">
        <v>42</v>
      </c>
      <c r="B28" s="32" t="s">
        <v>205</v>
      </c>
      <c r="D28" t="s">
        <v>114</v>
      </c>
      <c r="E28" t="s">
        <v>188</v>
      </c>
    </row>
    <row r="29" spans="1:7" x14ac:dyDescent="0.3">
      <c r="A29" s="32" t="s">
        <v>51</v>
      </c>
      <c r="B29" s="32" t="s">
        <v>206</v>
      </c>
      <c r="D29" t="s">
        <v>119</v>
      </c>
      <c r="E29" t="s">
        <v>188</v>
      </c>
    </row>
    <row r="30" spans="1:7" x14ac:dyDescent="0.3">
      <c r="A30" s="32" t="s">
        <v>56</v>
      </c>
      <c r="B30" s="32" t="s">
        <v>206</v>
      </c>
      <c r="D30" t="s">
        <v>113</v>
      </c>
      <c r="E30" t="s">
        <v>188</v>
      </c>
    </row>
    <row r="31" spans="1:7" x14ac:dyDescent="0.3">
      <c r="A31" s="32" t="s">
        <v>80</v>
      </c>
      <c r="B31" s="32" t="s">
        <v>206</v>
      </c>
      <c r="D31" t="s">
        <v>128</v>
      </c>
      <c r="E31" t="s">
        <v>188</v>
      </c>
    </row>
    <row r="32" spans="1:7" x14ac:dyDescent="0.3">
      <c r="A32" s="32" t="s">
        <v>64</v>
      </c>
      <c r="B32" s="32" t="s">
        <v>206</v>
      </c>
      <c r="D32" t="s">
        <v>105</v>
      </c>
      <c r="E32" t="s">
        <v>188</v>
      </c>
    </row>
    <row r="33" spans="1:5" x14ac:dyDescent="0.3">
      <c r="A33" s="32" t="s">
        <v>41</v>
      </c>
      <c r="B33" s="32" t="s">
        <v>205</v>
      </c>
      <c r="D33" t="s">
        <v>136</v>
      </c>
      <c r="E33" t="s">
        <v>188</v>
      </c>
    </row>
    <row r="34" spans="1:5" x14ac:dyDescent="0.3">
      <c r="A34" s="32" t="s">
        <v>84</v>
      </c>
      <c r="B34" s="32" t="s">
        <v>206</v>
      </c>
      <c r="D34" t="s">
        <v>184</v>
      </c>
      <c r="E34" t="s">
        <v>183</v>
      </c>
    </row>
    <row r="35" spans="1:5" x14ac:dyDescent="0.3">
      <c r="A35" s="32" t="s">
        <v>52</v>
      </c>
      <c r="B35" s="32" t="s">
        <v>206</v>
      </c>
      <c r="D35" t="s">
        <v>185</v>
      </c>
      <c r="E35" t="s">
        <v>183</v>
      </c>
    </row>
    <row r="36" spans="1:5" x14ac:dyDescent="0.3">
      <c r="A36" s="32" t="s">
        <v>60</v>
      </c>
      <c r="B36" s="32" t="s">
        <v>206</v>
      </c>
      <c r="D36" t="s">
        <v>186</v>
      </c>
      <c r="E36" t="s">
        <v>183</v>
      </c>
    </row>
    <row r="37" spans="1:5" x14ac:dyDescent="0.3">
      <c r="A37" s="32" t="s">
        <v>218</v>
      </c>
      <c r="B37" s="32" t="s">
        <v>205</v>
      </c>
      <c r="D37" t="s">
        <v>117</v>
      </c>
      <c r="E37" t="s">
        <v>188</v>
      </c>
    </row>
    <row r="38" spans="1:5" x14ac:dyDescent="0.3">
      <c r="A38" s="32" t="s">
        <v>54</v>
      </c>
      <c r="B38" s="32" t="s">
        <v>206</v>
      </c>
      <c r="D38" t="s">
        <v>98</v>
      </c>
      <c r="E38" t="s">
        <v>188</v>
      </c>
    </row>
    <row r="39" spans="1:5" x14ac:dyDescent="0.3">
      <c r="A39" s="32" t="s">
        <v>61</v>
      </c>
      <c r="B39" s="32" t="s">
        <v>206</v>
      </c>
      <c r="D39" t="s">
        <v>140</v>
      </c>
      <c r="E39" t="s">
        <v>188</v>
      </c>
    </row>
    <row r="40" spans="1:5" x14ac:dyDescent="0.3">
      <c r="A40" s="32" t="s">
        <v>48</v>
      </c>
      <c r="B40" s="32" t="s">
        <v>206</v>
      </c>
      <c r="D40" t="s">
        <v>137</v>
      </c>
      <c r="E40" t="s">
        <v>188</v>
      </c>
    </row>
    <row r="41" spans="1:5" x14ac:dyDescent="0.3">
      <c r="A41" s="32" t="s">
        <v>67</v>
      </c>
      <c r="B41" s="32" t="s">
        <v>206</v>
      </c>
      <c r="D41" t="s">
        <v>99</v>
      </c>
      <c r="E41" t="s">
        <v>188</v>
      </c>
    </row>
    <row r="42" spans="1:5" x14ac:dyDescent="0.3">
      <c r="A42" s="32" t="s">
        <v>85</v>
      </c>
      <c r="B42" s="32" t="s">
        <v>206</v>
      </c>
      <c r="D42" t="s">
        <v>107</v>
      </c>
      <c r="E42" t="s">
        <v>188</v>
      </c>
    </row>
    <row r="43" spans="1:5" x14ac:dyDescent="0.3">
      <c r="A43" s="32" t="s">
        <v>89</v>
      </c>
      <c r="B43" s="32" t="s">
        <v>206</v>
      </c>
      <c r="D43" t="s">
        <v>96</v>
      </c>
      <c r="E43" t="s">
        <v>188</v>
      </c>
    </row>
    <row r="44" spans="1:5" x14ac:dyDescent="0.3">
      <c r="A44" s="32" t="s">
        <v>75</v>
      </c>
      <c r="B44" s="32" t="s">
        <v>206</v>
      </c>
      <c r="D44" t="s">
        <v>138</v>
      </c>
      <c r="E44" t="s">
        <v>188</v>
      </c>
    </row>
    <row r="45" spans="1:5" x14ac:dyDescent="0.3">
      <c r="A45" s="32" t="s">
        <v>219</v>
      </c>
      <c r="B45" s="32" t="s">
        <v>205</v>
      </c>
      <c r="D45" t="s">
        <v>121</v>
      </c>
      <c r="E45" t="s">
        <v>188</v>
      </c>
    </row>
    <row r="46" spans="1:5" x14ac:dyDescent="0.3">
      <c r="A46" s="32" t="s">
        <v>76</v>
      </c>
      <c r="B46" s="32" t="s">
        <v>206</v>
      </c>
      <c r="D46" t="s">
        <v>118</v>
      </c>
      <c r="E46" t="s">
        <v>188</v>
      </c>
    </row>
    <row r="47" spans="1:5" x14ac:dyDescent="0.3">
      <c r="A47" s="32" t="s">
        <v>47</v>
      </c>
      <c r="B47" s="32" t="s">
        <v>205</v>
      </c>
      <c r="D47" t="s">
        <v>108</v>
      </c>
      <c r="E47" t="s">
        <v>188</v>
      </c>
    </row>
    <row r="48" spans="1:5" x14ac:dyDescent="0.3">
      <c r="A48" s="32" t="s">
        <v>63</v>
      </c>
      <c r="B48" s="32" t="s">
        <v>205</v>
      </c>
      <c r="D48" t="s">
        <v>95</v>
      </c>
      <c r="E48" t="s">
        <v>188</v>
      </c>
    </row>
    <row r="49" spans="1:5" ht="28.8" x14ac:dyDescent="0.3">
      <c r="A49" s="32" t="s">
        <v>88</v>
      </c>
      <c r="B49" s="32" t="s">
        <v>206</v>
      </c>
      <c r="D49" t="s">
        <v>91</v>
      </c>
      <c r="E49" t="s">
        <v>188</v>
      </c>
    </row>
    <row r="50" spans="1:5" x14ac:dyDescent="0.3">
      <c r="A50" s="32" t="s">
        <v>57</v>
      </c>
      <c r="B50" s="32" t="s">
        <v>206</v>
      </c>
      <c r="D50" t="s">
        <v>116</v>
      </c>
      <c r="E50" t="s">
        <v>188</v>
      </c>
    </row>
    <row r="51" spans="1:5" x14ac:dyDescent="0.3">
      <c r="A51" s="32" t="s">
        <v>59</v>
      </c>
      <c r="B51" s="32" t="s">
        <v>205</v>
      </c>
      <c r="D51" t="s">
        <v>130</v>
      </c>
      <c r="E51" t="s">
        <v>188</v>
      </c>
    </row>
    <row r="52" spans="1:5" x14ac:dyDescent="0.3">
      <c r="A52" s="32" t="s">
        <v>68</v>
      </c>
      <c r="B52" s="32" t="s">
        <v>206</v>
      </c>
      <c r="D52" t="s">
        <v>187</v>
      </c>
      <c r="E52" t="s">
        <v>183</v>
      </c>
    </row>
    <row r="53" spans="1:5" x14ac:dyDescent="0.3">
      <c r="A53" s="32" t="s">
        <v>83</v>
      </c>
      <c r="B53" s="32" t="s">
        <v>206</v>
      </c>
      <c r="D53" t="s">
        <v>129</v>
      </c>
      <c r="E53" t="s">
        <v>188</v>
      </c>
    </row>
    <row r="54" spans="1:5" x14ac:dyDescent="0.3">
      <c r="A54" s="32" t="s">
        <v>71</v>
      </c>
      <c r="B54" s="32" t="s">
        <v>206</v>
      </c>
      <c r="D54" t="s">
        <v>122</v>
      </c>
      <c r="E54" t="s">
        <v>188</v>
      </c>
    </row>
    <row r="55" spans="1:5" x14ac:dyDescent="0.3">
      <c r="A55" s="32" t="s">
        <v>207</v>
      </c>
      <c r="B55" s="32" t="s">
        <v>205</v>
      </c>
      <c r="D55" t="s">
        <v>123</v>
      </c>
      <c r="E55" t="s">
        <v>188</v>
      </c>
    </row>
    <row r="56" spans="1:5" x14ac:dyDescent="0.3">
      <c r="A56" s="32" t="s">
        <v>166</v>
      </c>
      <c r="B56" s="32" t="s">
        <v>206</v>
      </c>
      <c r="D56" t="s">
        <v>166</v>
      </c>
      <c r="E56" t="s">
        <v>188</v>
      </c>
    </row>
  </sheetData>
  <mergeCells count="1">
    <mergeCell ref="D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df6b5f7-d342-49f2-86e7-16b167db190f" xsi:nil="true"/>
    <TaxCatchAll xmlns="2b47590b-d718-474f-a7b3-10b44959738c" xsi:nil="true"/>
    <lcf76f155ced4ddcb4097134ff3c332f xmlns="edf6b5f7-d342-49f2-86e7-16b167db190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BD4E4ACEE17047B2CD88717FF8D421" ma:contentTypeVersion="21" ma:contentTypeDescription="Create a new document." ma:contentTypeScope="" ma:versionID="a39149432796a8a5ac3476c29ac77687">
  <xsd:schema xmlns:xsd="http://www.w3.org/2001/XMLSchema" xmlns:xs="http://www.w3.org/2001/XMLSchema" xmlns:p="http://schemas.microsoft.com/office/2006/metadata/properties" xmlns:ns2="edf6b5f7-d342-49f2-86e7-16b167db190f" xmlns:ns3="2b47590b-d718-474f-a7b3-10b44959738c" targetNamespace="http://schemas.microsoft.com/office/2006/metadata/properties" ma:root="true" ma:fieldsID="1a52db9392da18844b66f7fc49b74c14" ns2:_="" ns3:_="">
    <xsd:import namespace="edf6b5f7-d342-49f2-86e7-16b167db190f"/>
    <xsd:import namespace="2b47590b-d718-474f-a7b3-10b4495973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6b5f7-d342-49f2-86e7-16b167db19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54ba23b-1f8a-4162-98cf-07c68cba3f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47590b-d718-474f-a7b3-10b4495973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814ff0-5522-4f97-b5fe-6179ba350c79}" ma:internalName="TaxCatchAll" ma:showField="CatchAllData" ma:web="2b47590b-d718-474f-a7b3-10b4495973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2C7B7C-6B1D-40E6-BF1C-828E0AD0F58A}">
  <ds:schemaRefs>
    <ds:schemaRef ds:uri="http://schemas.microsoft.com/office/2006/metadata/properties"/>
    <ds:schemaRef ds:uri="http://schemas.microsoft.com/office/infopath/2007/PartnerControls"/>
    <ds:schemaRef ds:uri="edf6b5f7-d342-49f2-86e7-16b167db190f"/>
    <ds:schemaRef ds:uri="2b47590b-d718-474f-a7b3-10b44959738c"/>
  </ds:schemaRefs>
</ds:datastoreItem>
</file>

<file path=customXml/itemProps2.xml><?xml version="1.0" encoding="utf-8"?>
<ds:datastoreItem xmlns:ds="http://schemas.openxmlformats.org/officeDocument/2006/customXml" ds:itemID="{68DC1173-8539-4102-B467-D7217BB5C6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50B55B-00A5-484C-9843-8332804065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6b5f7-d342-49f2-86e7-16b167db190f"/>
    <ds:schemaRef ds:uri="2b47590b-d718-474f-a7b3-10b4495973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Final Sheet</vt:lpstr>
      <vt:lpstr>GHI Policy Features</vt:lpstr>
      <vt:lpstr>Calculations</vt:lpstr>
      <vt:lpstr>Age Band Raters</vt:lpstr>
      <vt:lpstr>Drop Down Options</vt:lpstr>
      <vt:lpstr>policy_features_custom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Nipun</dc:creator>
  <cp:lastModifiedBy>Mayank Mehta</cp:lastModifiedBy>
  <dcterms:created xsi:type="dcterms:W3CDTF">2015-06-05T18:17:20Z</dcterms:created>
  <dcterms:modified xsi:type="dcterms:W3CDTF">2026-05-27T11:10:07Z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0x01010070BD4E4ACEE17047B2CD88717FF8D421</vt:lpwstr>
  </property>
  <property fmtid="{D5CDD505-2E9C-101B-9397-08002B2CF9AE}" pid="3" name="MediaServiceImageTags">
    <vt:lpwstr/>
  </property>
</Properties>
</file>