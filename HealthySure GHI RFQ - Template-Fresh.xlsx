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healthysurein.sharepoint.com/sites/HealthySureGroup/HealthySure/HealthySure/Employee Benefits Platform/Placements/RFQs/GHI/"/>
    </mc:Choice>
  </mc:AlternateContent>
  <xr:revisionPtr revIDLastSave="206" documentId="13_ncr:1_{0FDD7681-DCC1-E442-AEF0-CCC5F8393CAB}" xr6:coauthVersionLast="47" xr6:coauthVersionMax="47" xr10:uidLastSave="{474B9540-45E0-49C1-8085-217A6DAFEC29}"/>
  <bookViews>
    <workbookView xWindow="-108" yWindow="-108" windowWidth="23256" windowHeight="13896" activeTab="2" xr2:uid="{030FBE25-8AE6-46E2-A0DB-BB8C571CC9D9}"/>
  </bookViews>
  <sheets>
    <sheet name="Company Info" sheetId="21" r:id="rId1"/>
    <sheet name="Expiring Policy Terms" sheetId="4" state="hidden" r:id="rId2"/>
    <sheet name="GHI RFQ" sheetId="6" r:id="rId3"/>
    <sheet name="Employee_Data" sheetId="28" r:id="rId4"/>
    <sheet name="Age Band Pivot" sheetId="29" r:id="rId5"/>
    <sheet name="Records to be corrected" sheetId="24" r:id="rId6"/>
    <sheet name="Age Band - Only PSU" sheetId="18" state="hidden" r:id="rId7"/>
  </sheets>
  <externalReferences>
    <externalReference r:id="rId8"/>
  </externalReferences>
  <definedNames>
    <definedName name="_xlnm._FilterDatabase" localSheetId="3" hidden="1">Employee_Data!$A$2:$L$17</definedName>
  </definedNames>
  <calcPr calcId="191028"/>
  <pivotCaches>
    <pivotCache cacheId="1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28" l="1"/>
  <c r="G14" i="28" s="1"/>
  <c r="F15" i="28"/>
  <c r="G15" i="28" s="1"/>
  <c r="F16" i="28"/>
  <c r="G16" i="28" s="1"/>
  <c r="F17" i="28"/>
  <c r="G17" i="28" s="1"/>
  <c r="N14" i="28"/>
  <c r="N15" i="28"/>
  <c r="N16" i="28"/>
  <c r="N17" i="28"/>
  <c r="P14" i="28"/>
  <c r="P15" i="28"/>
  <c r="P16" i="28"/>
  <c r="P17" i="28"/>
  <c r="Q14" i="28"/>
  <c r="Q15" i="28"/>
  <c r="Q16" i="28"/>
  <c r="Q17" i="28"/>
  <c r="R14" i="28" a="1"/>
  <c r="R14" i="28" s="1"/>
  <c r="R15" i="28" a="1"/>
  <c r="R15" i="28" s="1"/>
  <c r="R16" i="28" a="1"/>
  <c r="R16" i="28" s="1"/>
  <c r="R17" i="28" a="1"/>
  <c r="R17" i="28" s="1"/>
  <c r="S14" i="28"/>
  <c r="S15" i="28"/>
  <c r="S16" i="28"/>
  <c r="S17" i="28"/>
  <c r="T14" i="28"/>
  <c r="T15" i="28"/>
  <c r="T16" i="28"/>
  <c r="T17" i="28"/>
  <c r="U14" i="28"/>
  <c r="U15" i="28"/>
  <c r="U16" i="28"/>
  <c r="U17" i="28"/>
  <c r="V14" i="28"/>
  <c r="V15" i="28"/>
  <c r="V16" i="28"/>
  <c r="V17" i="28"/>
  <c r="W14" i="28" a="1"/>
  <c r="W14" i="28" s="1"/>
  <c r="W15" i="28" a="1"/>
  <c r="W15" i="28" s="1"/>
  <c r="W16" i="28" a="1"/>
  <c r="W16" i="28" s="1"/>
  <c r="W17" i="28" a="1"/>
  <c r="W17" i="28" s="1"/>
  <c r="X14" i="28"/>
  <c r="X15" i="28"/>
  <c r="X16" i="28"/>
  <c r="X17" i="28"/>
  <c r="Y14" i="28"/>
  <c r="Y15" i="28"/>
  <c r="Y16" i="28"/>
  <c r="Y17" i="28"/>
  <c r="Z14" i="28" a="1"/>
  <c r="Z14" i="28" s="1"/>
  <c r="Z15" i="28" a="1"/>
  <c r="Z15" i="28" s="1"/>
  <c r="Z16" i="28" a="1"/>
  <c r="Z16" i="28" s="1"/>
  <c r="Z17" i="28" a="1"/>
  <c r="Z17" i="28" s="1"/>
  <c r="AA14" i="28" a="1"/>
  <c r="AA14" i="28" s="1"/>
  <c r="AA15" i="28" a="1"/>
  <c r="AA15" i="28" s="1"/>
  <c r="AA16" i="28" a="1"/>
  <c r="AA16" i="28" s="1"/>
  <c r="AA17" i="28" a="1"/>
  <c r="AA17" i="28" s="1"/>
  <c r="F10" i="28"/>
  <c r="G10" i="28" s="1"/>
  <c r="R3" i="28" a="1"/>
  <c r="R3" i="28" s="1"/>
  <c r="F13" i="28"/>
  <c r="G13" i="28" s="1"/>
  <c r="N13" i="28"/>
  <c r="P13" i="28"/>
  <c r="Q13" i="28"/>
  <c r="R13" i="28" a="1"/>
  <c r="R13" i="28" s="1"/>
  <c r="S13" i="28"/>
  <c r="T13" i="28"/>
  <c r="U13" i="28"/>
  <c r="V13" i="28"/>
  <c r="W13" i="28" a="1"/>
  <c r="W13" i="28" s="1"/>
  <c r="X13" i="28"/>
  <c r="Y13" i="28"/>
  <c r="Z13" i="28" a="1"/>
  <c r="Z13" i="28" s="1"/>
  <c r="AA13" i="28" a="1"/>
  <c r="AA13" i="28" s="1"/>
  <c r="F12" i="28"/>
  <c r="G12" i="28" s="1"/>
  <c r="N12" i="28"/>
  <c r="P12" i="28"/>
  <c r="Q12" i="28"/>
  <c r="R12" i="28" a="1"/>
  <c r="R12" i="28" s="1"/>
  <c r="S12" i="28"/>
  <c r="T12" i="28"/>
  <c r="U12" i="28"/>
  <c r="V12" i="28"/>
  <c r="W12" i="28" a="1"/>
  <c r="W12" i="28" s="1"/>
  <c r="X12" i="28"/>
  <c r="Y12" i="28"/>
  <c r="Z12" i="28" a="1"/>
  <c r="Z12" i="28" s="1"/>
  <c r="AA12" i="28" a="1"/>
  <c r="AA12" i="28" s="1"/>
  <c r="B11" i="6"/>
  <c r="W3" i="28" a="1"/>
  <c r="W3" i="28" s="1"/>
  <c r="W4" i="28" a="1"/>
  <c r="W4" i="28" s="1"/>
  <c r="W5" i="28" a="1"/>
  <c r="W5" i="28" s="1"/>
  <c r="W6" i="28" a="1"/>
  <c r="W6" i="28" s="1"/>
  <c r="W7" i="28" a="1"/>
  <c r="W7" i="28" s="1"/>
  <c r="W8" i="28" a="1"/>
  <c r="W8" i="28" s="1"/>
  <c r="W9" i="28" a="1"/>
  <c r="W9" i="28" s="1"/>
  <c r="W10" i="28" a="1"/>
  <c r="W10" i="28" s="1"/>
  <c r="W11" i="28" a="1"/>
  <c r="W11" i="28" s="1"/>
  <c r="Z3" i="28" a="1"/>
  <c r="Z3" i="28" s="1"/>
  <c r="Z5" i="28" a="1"/>
  <c r="Z5" i="28" s="1"/>
  <c r="Z7" i="28" a="1"/>
  <c r="Z7" i="28" s="1"/>
  <c r="Z8" i="28" a="1"/>
  <c r="Z8" i="28" s="1"/>
  <c r="Z9" i="28" a="1"/>
  <c r="Z9" i="28" s="1"/>
  <c r="Z10" i="28" a="1"/>
  <c r="Z10" i="28" s="1"/>
  <c r="Z11" i="28" a="1"/>
  <c r="Z11" i="28" s="1"/>
  <c r="Y9" i="28"/>
  <c r="Y3" i="28"/>
  <c r="Y4" i="28"/>
  <c r="Y5" i="28"/>
  <c r="Y6" i="28"/>
  <c r="Y7" i="28"/>
  <c r="Y8" i="28"/>
  <c r="Y10" i="28"/>
  <c r="Y11" i="28"/>
  <c r="X3" i="28"/>
  <c r="X4" i="28"/>
  <c r="X5" i="28"/>
  <c r="X6" i="28"/>
  <c r="X7" i="28"/>
  <c r="X8" i="28"/>
  <c r="X9" i="28"/>
  <c r="X10" i="28"/>
  <c r="X11" i="28"/>
  <c r="AA4" i="28" a="1"/>
  <c r="AA4" i="28" s="1"/>
  <c r="AA5" i="28" a="1"/>
  <c r="AA5" i="28" s="1"/>
  <c r="AA7" i="28" a="1"/>
  <c r="AA7" i="28" s="1"/>
  <c r="AA8" i="28" a="1"/>
  <c r="AA8" i="28" s="1"/>
  <c r="AA9" i="28" a="1"/>
  <c r="AA9" i="28" s="1"/>
  <c r="AA10" i="28" a="1"/>
  <c r="AA10" i="28" s="1"/>
  <c r="AA11" i="28" a="1"/>
  <c r="AA11" i="28" s="1"/>
  <c r="V3" i="28"/>
  <c r="N8" i="28"/>
  <c r="F3" i="28"/>
  <c r="O17" i="28" l="1"/>
  <c r="M17" i="28" s="1"/>
  <c r="O13" i="28"/>
  <c r="M13" i="28" s="1"/>
  <c r="O16" i="28"/>
  <c r="M16" i="28" s="1"/>
  <c r="O15" i="28"/>
  <c r="M15" i="28" s="1"/>
  <c r="O14" i="28"/>
  <c r="M14" i="28" s="1"/>
  <c r="O12" i="28"/>
  <c r="M12" i="28" s="1"/>
  <c r="V11" i="28"/>
  <c r="U11" i="28"/>
  <c r="T11" i="28"/>
  <c r="S11" i="28"/>
  <c r="R11" i="28" a="1"/>
  <c r="R11" i="28" s="1"/>
  <c r="Q11" i="28"/>
  <c r="P11" i="28"/>
  <c r="N11" i="28"/>
  <c r="F11" i="28"/>
  <c r="G11" i="28" s="1"/>
  <c r="V10" i="28"/>
  <c r="U10" i="28"/>
  <c r="T10" i="28"/>
  <c r="S10" i="28"/>
  <c r="R10" i="28" a="1"/>
  <c r="R10" i="28" s="1"/>
  <c r="Q10" i="28"/>
  <c r="P10" i="28"/>
  <c r="N10" i="28"/>
  <c r="V9" i="28"/>
  <c r="U9" i="28"/>
  <c r="T9" i="28"/>
  <c r="S9" i="28"/>
  <c r="R9" i="28" a="1"/>
  <c r="R9" i="28" s="1"/>
  <c r="Q9" i="28"/>
  <c r="P9" i="28"/>
  <c r="N9" i="28"/>
  <c r="F9" i="28"/>
  <c r="G9" i="28" s="1"/>
  <c r="V8" i="28"/>
  <c r="U8" i="28"/>
  <c r="T8" i="28"/>
  <c r="S8" i="28"/>
  <c r="R8" i="28" a="1"/>
  <c r="R8" i="28" s="1"/>
  <c r="Q8" i="28"/>
  <c r="P8" i="28"/>
  <c r="F8" i="28"/>
  <c r="G8" i="28" s="1"/>
  <c r="V7" i="28"/>
  <c r="U7" i="28"/>
  <c r="T7" i="28"/>
  <c r="S7" i="28"/>
  <c r="R7" i="28" a="1"/>
  <c r="R7" i="28" s="1"/>
  <c r="Q7" i="28"/>
  <c r="P7" i="28"/>
  <c r="N7" i="28"/>
  <c r="F7" i="28"/>
  <c r="G7" i="28" s="1"/>
  <c r="V6" i="28"/>
  <c r="U6" i="28"/>
  <c r="T6" i="28"/>
  <c r="S6" i="28"/>
  <c r="R6" i="28" a="1"/>
  <c r="R6" i="28" s="1"/>
  <c r="Q6" i="28"/>
  <c r="P6" i="28"/>
  <c r="N6" i="28"/>
  <c r="F6" i="28"/>
  <c r="V5" i="28"/>
  <c r="U5" i="28"/>
  <c r="T5" i="28"/>
  <c r="S5" i="28"/>
  <c r="R5" i="28" a="1"/>
  <c r="R5" i="28" s="1"/>
  <c r="Q5" i="28"/>
  <c r="P5" i="28"/>
  <c r="N5" i="28"/>
  <c r="F5" i="28"/>
  <c r="V4" i="28"/>
  <c r="U4" i="28"/>
  <c r="T4" i="28"/>
  <c r="S4" i="28"/>
  <c r="R4" i="28" a="1"/>
  <c r="R4" i="28" s="1"/>
  <c r="Q4" i="28"/>
  <c r="P4" i="28"/>
  <c r="N4" i="28"/>
  <c r="F4" i="28"/>
  <c r="U3" i="28"/>
  <c r="T3" i="28"/>
  <c r="S3" i="28"/>
  <c r="Q3" i="28"/>
  <c r="P3" i="28"/>
  <c r="O3" i="28"/>
  <c r="N3" i="28"/>
  <c r="G3" i="28"/>
  <c r="O11" i="28" l="1"/>
  <c r="M11" i="28" s="1"/>
  <c r="G6" i="28"/>
  <c r="Z6" i="28" a="1"/>
  <c r="Z6" i="28" s="1"/>
  <c r="G5" i="28"/>
  <c r="O5" i="28"/>
  <c r="M5" i="28" s="1"/>
  <c r="O10" i="28"/>
  <c r="M10" i="28" s="1"/>
  <c r="O9" i="28"/>
  <c r="M9" i="28" s="1"/>
  <c r="M3" i="28"/>
  <c r="G4" i="28"/>
  <c r="Z4" i="28" a="1"/>
  <c r="Z4" i="28" s="1"/>
  <c r="O8" i="28"/>
  <c r="M8" i="28" s="1"/>
  <c r="O7" i="28"/>
  <c r="M7" i="28" s="1"/>
  <c r="O6" i="28"/>
  <c r="O4" i="28"/>
  <c r="M6" i="28" l="1"/>
  <c r="M4" i="28"/>
  <c r="M1" i="28" l="1"/>
  <c r="F37" i="18"/>
  <c r="R39" i="18"/>
  <c r="M40" i="18"/>
  <c r="O34" i="18"/>
  <c r="O31" i="18"/>
  <c r="M27" i="18"/>
  <c r="F24" i="18"/>
  <c r="O20" i="18"/>
  <c r="O17" i="18"/>
  <c r="M13" i="18"/>
  <c r="F10" i="18"/>
  <c r="R38" i="18" s="1"/>
  <c r="O6" i="18"/>
  <c r="R37" i="18" s="1"/>
  <c r="O3" i="18"/>
  <c r="R36" i="18" l="1"/>
  <c r="R40" i="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<sst xmlns="http://schemas.openxmlformats.org/spreadsheetml/2006/main" count="402" uniqueCount="196">
  <si>
    <t>HealthySure Template</t>
  </si>
  <si>
    <t>Basic Company Details</t>
  </si>
  <si>
    <t>Brand Name of the Company</t>
  </si>
  <si>
    <t>Legal Name of the Company</t>
  </si>
  <si>
    <t>Address of the Company</t>
  </si>
  <si>
    <t>Pincode of the Company</t>
  </si>
  <si>
    <t>Contact Person - Name</t>
  </si>
  <si>
    <t>Pending</t>
  </si>
  <si>
    <t>Contact Person - Mobile No</t>
  </si>
  <si>
    <t>Contact Person - Email ID</t>
  </si>
  <si>
    <t>GST or PAN of Company</t>
  </si>
  <si>
    <t>Nature of Industry</t>
  </si>
  <si>
    <t>Expiring Policy Terms</t>
  </si>
  <si>
    <t>Insured Name</t>
  </si>
  <si>
    <t>:</t>
  </si>
  <si>
    <t>WRITER BUSINESS SERVICES PRIVATE LIMITED</t>
  </si>
  <si>
    <t>Address</t>
  </si>
  <si>
    <t>Mumbai</t>
  </si>
  <si>
    <t>Existing Insurer</t>
  </si>
  <si>
    <t>Iffco</t>
  </si>
  <si>
    <t>Existing TPA</t>
  </si>
  <si>
    <t>Paramount</t>
  </si>
  <si>
    <t>Policy Period</t>
  </si>
  <si>
    <t>27/07/2020 - 26/07/2021</t>
  </si>
  <si>
    <t>Scope of Coverage:</t>
  </si>
  <si>
    <t>Expiring</t>
  </si>
  <si>
    <t>Family Definition</t>
  </si>
  <si>
    <t>Self + Spouse + 2 Dependent Children (upto the age of 23 years) + 2 Dependent Parents (upto the
age of 80 years).</t>
  </si>
  <si>
    <t>Coverage of Dependent's till policy expiry in case of death of the employee</t>
  </si>
  <si>
    <t>Not Covered</t>
  </si>
  <si>
    <t>Sum Insured</t>
  </si>
  <si>
    <t xml:space="preserve"> Rs. 200,000, Rs. 300,000,Rs,500000</t>
  </si>
  <si>
    <t>Domiciliary hospitalization expenses</t>
  </si>
  <si>
    <t>Pre-existing Diseases Coverage</t>
  </si>
  <si>
    <t>Covered from Day One</t>
  </si>
  <si>
    <t>First 30 days and 1st and 2nd &amp; 4th year waiting period</t>
  </si>
  <si>
    <t>Waived off</t>
  </si>
  <si>
    <t>Maternity cover </t>
  </si>
  <si>
    <t>9 months waiting period for Maternity cover</t>
  </si>
  <si>
    <t>Not Applicable</t>
  </si>
  <si>
    <t xml:space="preserve">Room rent </t>
  </si>
  <si>
    <t>1.5% of SI for normal and 2.5% of SI for ICU/ICCU, all other charges accordance with the room
rent restriction. In case if the insured opts for a higher room rent than his eligibility, the proporationate increase in the
cost of room rent and other incidental charges will have to be borne by the employee</t>
  </si>
  <si>
    <t>Pre &amp; Post hospitalization expenses covered for 30 &amp; 60 days respectively</t>
  </si>
  <si>
    <t>Covered</t>
  </si>
  <si>
    <t>Pre post natal Cover</t>
  </si>
  <si>
    <t>Baby covered</t>
  </si>
  <si>
    <t>New born baby covered from day one</t>
  </si>
  <si>
    <t>Day care surgeries</t>
  </si>
  <si>
    <t>Ambulance Charges  </t>
  </si>
  <si>
    <t>covered upto Rs. 1,000/- per incident in case of emergency.</t>
  </si>
  <si>
    <t>Hospitalization due to terrorism </t>
  </si>
  <si>
    <t>Co Pay</t>
  </si>
  <si>
    <t>30% Co-Pay on all parental claims &amp; No Co-Pay on Capped Ailments.</t>
  </si>
  <si>
    <t>Sub Limits for specified illness</t>
  </si>
  <si>
    <t xml:space="preserve">1. Cataract - Rs. 35,000/- Per Eye. 
2. Tympanoplasty - Rs. 45,000/
3. Fistula, Piles, Hydrocele, Sinusitis (Fees) - Rs. 45,000/
4. Appendicitis, Hernia - Rs. 45,000/
5. Benign Prostrate, Hypertophy (Turp) - Rs. 70,000/
6. Cholecystectomy, Lapchole - Rs. 70,000/
7. Tonsilitis/Tonsilectomy - Rs. 30,000/
8. Laparoscopic Procedure - Rs. 85,000/
9. Joint Replacement (Each Joint) Excluding Implant Cost - Rs. 1,40,000/
10. Coronary Artery Disease, Ischemic heart Disease Requiring Angioplasty/Ptca (Excluding Cost Of Stent) - Rs. 1,65,000 
</t>
  </si>
  <si>
    <t>Corporate Buffer</t>
  </si>
  <si>
    <t xml:space="preserve">Corporate Buffer for 1 Crore with restricted to INR 500,00 for all Ailments except Maternity </t>
  </si>
  <si>
    <t xml:space="preserve">Organ Donor Expenses </t>
  </si>
  <si>
    <t xml:space="preserve">In case of an organ transplant, if there is a need of an organ donor, hospitalisation charges for the organ donor should be covered excl. Organ cost </t>
  </si>
  <si>
    <t xml:space="preserve">Psychiatric treatment </t>
  </si>
  <si>
    <t xml:space="preserve">covered only for Employees on IPD Basis </t>
  </si>
  <si>
    <t xml:space="preserve">Bereavement Cover </t>
  </si>
  <si>
    <t xml:space="preserve">100% of the claimed amount is paid if the claimant passes away during hospitalization cover </t>
  </si>
  <si>
    <t>Mid term Increase in Sum Insured</t>
  </si>
  <si>
    <t>not allowed except due to promotion to higher cadre.</t>
  </si>
  <si>
    <t>Mid-term Addition of Dependents</t>
  </si>
  <si>
    <t>only in case of new born baby and spouse in case of marriage.</t>
  </si>
  <si>
    <t>Mid-term addition of parents</t>
  </si>
  <si>
    <t>not allowed except for new joinees.</t>
  </si>
  <si>
    <t>Addition/Deletion</t>
  </si>
  <si>
    <t>Addition/Deletion on prorata basis from Date of Joining and Date of Leaving respectively subject to CD balance.</t>
  </si>
  <si>
    <t>Refund of premium on account of Mid-term Deletion of member</t>
  </si>
  <si>
    <t>allowed from the date of resignation subject to
receipt of intimation within 45 days from the date of resignation failing which refund will be calculated from the date of
intimation to the Company. No refund for deletion if employee or family member has claimed during the Policy</t>
  </si>
  <si>
    <t>Claim Intimation</t>
  </si>
  <si>
    <t>waived off</t>
  </si>
  <si>
    <t>Claim document submission</t>
  </si>
  <si>
    <t>within 45 days from date of discharge</t>
  </si>
  <si>
    <t>Portability</t>
  </si>
  <si>
    <t>HEALTHYSURE</t>
  </si>
  <si>
    <t>Policy Type</t>
  </si>
  <si>
    <t>Group Mediclaim Cover</t>
  </si>
  <si>
    <t>Case Type</t>
  </si>
  <si>
    <t>Fresh</t>
  </si>
  <si>
    <t>EMPLOYEE COUNT</t>
  </si>
  <si>
    <t>2025-26</t>
  </si>
  <si>
    <t xml:space="preserve">Total Employees </t>
  </si>
  <si>
    <t>Total Spouse</t>
  </si>
  <si>
    <t>Total Children</t>
  </si>
  <si>
    <t>Total Parents/Parents-in-law</t>
  </si>
  <si>
    <t>Total Members</t>
  </si>
  <si>
    <t xml:space="preserve">GMC COVERAGE </t>
  </si>
  <si>
    <t>Policy Features</t>
  </si>
  <si>
    <t>Current Year</t>
  </si>
  <si>
    <t>Rs. 5 lacs/ 10 Lacs (graded)</t>
  </si>
  <si>
    <t>Family Floater</t>
  </si>
  <si>
    <t>Rater Type</t>
  </si>
  <si>
    <t>Age Bandwise Rates per life/ Flat Rate per life</t>
  </si>
  <si>
    <t xml:space="preserve">Co-Pay </t>
  </si>
  <si>
    <t>0% for All</t>
  </si>
  <si>
    <t xml:space="preserve">Parental Co-Pay </t>
  </si>
  <si>
    <t>Room Rent Restriction</t>
  </si>
  <si>
    <t>Normal - 2% of SI per day 
ICU - 4% of SI per day</t>
  </si>
  <si>
    <t>Rs. XXX restricted to Family Floater SI
&lt;for all ailments/ critical illness&gt;</t>
  </si>
  <si>
    <t>Cashless Network</t>
  </si>
  <si>
    <t>As per Insurer</t>
  </si>
  <si>
    <t>Reimbursements Claims Filing</t>
  </si>
  <si>
    <t>Paperless/ Hard copy submission</t>
  </si>
  <si>
    <t>TPA</t>
  </si>
  <si>
    <t>XXX</t>
  </si>
  <si>
    <t>Disease Capping</t>
  </si>
  <si>
    <t>NIL</t>
  </si>
  <si>
    <t xml:space="preserve">Initial Waiting Period </t>
  </si>
  <si>
    <t>Waived</t>
  </si>
  <si>
    <t>Specific Diseases Waiting Period</t>
  </si>
  <si>
    <t>Pre-Existing Diseases Waiting Period</t>
  </si>
  <si>
    <t>Maternity Cover</t>
  </si>
  <si>
    <t>Normal - Rs. 50k
C Section - Rs. 50K</t>
  </si>
  <si>
    <t>Maternity Waiting Period</t>
  </si>
  <si>
    <t>Pre and Post Natal Expenses</t>
  </si>
  <si>
    <t>Covered within maternity limit</t>
  </si>
  <si>
    <t>New Born Baby Coverage</t>
  </si>
  <si>
    <t>From Day 1</t>
  </si>
  <si>
    <t>Home Hospitalization</t>
  </si>
  <si>
    <t>Psychiatric Illness</t>
  </si>
  <si>
    <t>Alternative Treatments</t>
  </si>
  <si>
    <t>Organ Donor Expenses</t>
  </si>
  <si>
    <t>Cochlear Implant</t>
  </si>
  <si>
    <t xml:space="preserve">Emergency Ambulance </t>
  </si>
  <si>
    <t>Rs. 2000</t>
  </si>
  <si>
    <t xml:space="preserve">Emergency Air Ambulance </t>
  </si>
  <si>
    <t>Number of errors:</t>
  </si>
  <si>
    <t>S.No.</t>
  </si>
  <si>
    <t>Employee ID</t>
  </si>
  <si>
    <t>Employment Type
(On-Roll/Off-Roll)</t>
  </si>
  <si>
    <t>Member Name</t>
  </si>
  <si>
    <t>Date of Birth</t>
  </si>
  <si>
    <t>Age</t>
  </si>
  <si>
    <t>Age Band</t>
  </si>
  <si>
    <t>Gender</t>
  </si>
  <si>
    <t>Relationship to Self</t>
  </si>
  <si>
    <t>GHI Sum Insured</t>
  </si>
  <si>
    <t>Mobile Number</t>
  </si>
  <si>
    <t>Email</t>
  </si>
  <si>
    <t>Error</t>
  </si>
  <si>
    <t>Error_Relationship</t>
  </si>
  <si>
    <t>Error_Age</t>
  </si>
  <si>
    <t>Error_Gender</t>
  </si>
  <si>
    <t>Error_Ph</t>
  </si>
  <si>
    <t>Error_Email</t>
  </si>
  <si>
    <t>Error_Name</t>
  </si>
  <si>
    <t>Error_DoB</t>
  </si>
  <si>
    <t>Error_Duplicate</t>
  </si>
  <si>
    <t>Error_EmployeeID</t>
  </si>
  <si>
    <t>Error_Spouse</t>
  </si>
  <si>
    <t>Error_Child_Count</t>
  </si>
  <si>
    <t>Error_No_Self</t>
  </si>
  <si>
    <t>Error_Parent_Diff</t>
  </si>
  <si>
    <t>Error_Spouse_Gender</t>
  </si>
  <si>
    <t>Other Errors, if any</t>
  </si>
  <si>
    <t>Self</t>
  </si>
  <si>
    <t>Spouse</t>
  </si>
  <si>
    <t>Self and Spouse age more than 18</t>
  </si>
  <si>
    <t>Count of Relationship to Self</t>
  </si>
  <si>
    <t>Column Labels</t>
  </si>
  <si>
    <t>Children age less than 25</t>
  </si>
  <si>
    <t>Row Labels</t>
  </si>
  <si>
    <t>Grand Total</t>
  </si>
  <si>
    <t>Parents age more than 40</t>
  </si>
  <si>
    <t>Records to be corrected</t>
  </si>
  <si>
    <t>For 2 Lakhs Sum Insured</t>
  </si>
  <si>
    <t>0-20</t>
  </si>
  <si>
    <t>21-25</t>
  </si>
  <si>
    <t>26-30</t>
  </si>
  <si>
    <t>31-35</t>
  </si>
  <si>
    <t>36-40</t>
  </si>
  <si>
    <t>41-45</t>
  </si>
  <si>
    <t>46-50</t>
  </si>
  <si>
    <t>51-55</t>
  </si>
  <si>
    <t>56-60</t>
  </si>
  <si>
    <t>61-65</t>
  </si>
  <si>
    <t>66-70</t>
  </si>
  <si>
    <t>71-75</t>
  </si>
  <si>
    <t>76-80</t>
  </si>
  <si>
    <t>TOTAL</t>
  </si>
  <si>
    <t>Children</t>
  </si>
  <si>
    <t>30+</t>
  </si>
  <si>
    <t>Parents</t>
  </si>
  <si>
    <t>81-85</t>
  </si>
  <si>
    <t>85+</t>
  </si>
  <si>
    <t>For 3 Lakhs Sum Insured</t>
  </si>
  <si>
    <t>For 5 Lakhs Sum Insured</t>
  </si>
  <si>
    <t>-</t>
  </si>
  <si>
    <t>Total Lives</t>
  </si>
  <si>
    <t>Employee Only</t>
  </si>
  <si>
    <t>(blank)</t>
  </si>
  <si>
    <t>From 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</si>
</sst>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dd/mmm/yyyy"/>
    <numFmt numFmtId="165" formatCode="[$INR]\ #,##0"/>
    <numFmt numFmtId="166" formatCode="_ * #,##0_ ;_ * \-#,##0_ ;_ * &quot;-&quot;??_ ;_ @_ "/>
  </numFmts>
  <fonts count="23"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Verdana"/>
      <family val="2"/>
    </font>
    <font>
      <b/>
      <sz val="14"/>
      <name val="Verdana"/>
      <family val="2"/>
    </font>
    <font>
      <b/>
      <sz val="10"/>
      <name val="Verdana"/>
      <family val="2"/>
    </font>
    <font>
      <sz val="10"/>
      <name val="Arial"/>
      <family val="2"/>
    </font>
    <font>
      <b/>
      <sz val="11"/>
      <name val="Calibri"/>
      <family val="2"/>
      <scheme val="minor"/>
    </font>
    <font>
      <sz val="11"/>
      <name val="Calibri"/>
      <family val="2"/>
      <scheme val="minor"/>
    </font>
    <font>
      <b/>
      <sz val="11"/>
      <color indexed="8"/>
      <name val="Calibri"/>
      <family val="2"/>
      <scheme val="minor"/>
    </font>
    <font>
      <sz val="10.5"/>
      <name val="Calibri"/>
      <family val="2"/>
      <scheme val="minor"/>
    </font>
    <font>
      <b/>
      <sz val="15"/>
      <color theme="0"/>
      <name val="Calibri"/>
      <family val="2"/>
      <scheme val="minor"/>
    </font>
    <font>
      <b/>
      <sz val="10"/>
      <color rgb="FF000000"/>
      <name val="Arial"/>
      <family val="2"/>
    </font>
    <font>
      <sz val="10"/>
      <color rgb="FF000000"/>
      <name val="Arial"/>
      <family val="2"/>
    </font>
    <font>
      <b/>
      <sz val="11"/>
      <color rgb="FFFF0000"/>
      <name val="Calibri"/>
      <family val="2"/>
      <scheme val="minor"/>
    </font>
    <font>
      <u/>
      <sz val="11"/>
      <color rgb="FF0000FF"/>
      <name val="Calibri"/>
      <family val="2"/>
      <scheme val="minor"/>
    </font>
    <font>
      <sz val="11"/>
      <color rgb="FFFF0000"/>
      <name val="Calibri"/>
      <family val="2"/>
      <scheme val="minor"/>
    </font>
    <font>
      <sz val="11"/>
      <color rgb="FF000000"/>
      <name val="Calibri"/>
      <family val="2"/>
      <scheme val="minor"/>
    </font>
    <font>
      <b/>
      <sz val="15"/>
      <color theme="3"/>
      <name val="Calibri"/>
      <family val="2"/>
      <scheme val="minor"/>
    </font>
    <font>
      <sz val="10"/>
      <color rgb="FFFF0000"/>
      <name val="Calibri"/>
      <family val="2"/>
      <scheme val="minor"/>
    </font>
    <font>
      <sz val="11"/>
      <color rgb="FF000000"/>
      <name val="Calibri"/>
      <family val="2"/>
    </font>
    <font>
      <sz val="10"/>
      <color rgb="FF000000"/>
      <name val="Calibri"/>
      <family val="2"/>
      <scheme val="minor"/>
    </font>
  </fonts>
  <fills count="12">
    <fill>
      <patternFill patternType="none"/>
    </fill>
    <fill>
      <patternFill patternType="gray125"/>
    </fill>
    <fill>
      <patternFill patternType="solid">
        <fgColor rgb="FF51C5A9"/>
        <bgColor indexed="64"/>
      </patternFill>
    </fill>
    <fill>
      <patternFill patternType="solid">
        <fgColor rgb="FFD9F3ED"/>
        <bgColor indexed="64"/>
      </patternFill>
    </fill>
    <fill>
      <patternFill patternType="solid">
        <fgColor theme="0"/>
        <bgColor indexed="64"/>
      </patternFill>
    </fill>
    <fill>
      <patternFill patternType="solid">
        <fgColor theme="4" tint="0.39997558519241921"/>
        <bgColor indexed="64"/>
      </patternFill>
    </fill>
    <fill>
      <patternFill patternType="solid">
        <fgColor indexed="9"/>
        <bgColor indexed="64"/>
      </patternFill>
    </fill>
    <fill>
      <patternFill patternType="solid">
        <fgColor rgb="FFFFFF00"/>
        <bgColor indexed="64"/>
      </patternFill>
    </fill>
    <fill>
      <patternFill patternType="solid">
        <fgColor indexed="9"/>
        <bgColor indexed="26"/>
      </patternFill>
    </fill>
    <fill>
      <patternFill patternType="solid">
        <fgColor rgb="FFFFFFFF"/>
        <bgColor indexed="64"/>
      </patternFill>
    </fill>
    <fill>
      <patternFill patternType="solid">
        <fgColor rgb="FFD9F3ED"/>
        <bgColor indexed="26"/>
      </patternFill>
    </fill>
    <fill>
      <patternFill patternType="solid">
        <fgColor rgb="FFD9F3ED"/>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ck">
        <color theme="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10">
    <xf numFmtId="0" fontId="0" fillId="0" borderId="0"/>
    <xf numFmtId="43" fontId="3" fillId="0" borderId="0" applyFont="0" applyFill="0" applyBorder="0" applyAlignment="0" applyProtection="0"/>
    <xf numFmtId="0" fontId="7" fillId="0" borderId="0"/>
    <xf numFmtId="0" fontId="16" fillId="0" borderId="0" applyNumberFormat="0" applyFill="0" applyBorder="0" applyAlignment="0" applyProtection="0">
      <alignment vertical="center"/>
    </xf>
    <xf numFmtId="0" fontId="7" fillId="0" borderId="0"/>
    <xf numFmtId="43" fontId="3" fillId="0" borderId="0" applyFont="0" applyFill="0" applyBorder="0" applyAlignment="0" applyProtection="0"/>
    <xf numFmtId="0" fontId="19" fillId="0" borderId="9" applyNumberFormat="0" applyFill="0" applyAlignment="0" applyProtection="0"/>
    <xf numFmtId="0" fontId="17" fillId="0" borderId="0" applyNumberFormat="0" applyFill="0" applyBorder="0" applyAlignment="0" applyProtection="0"/>
    <xf numFmtId="43" fontId="3" fillId="0" borderId="0" applyFont="0" applyFill="0" applyBorder="0" applyAlignment="0" applyProtection="0"/>
    <xf numFmtId="0" fontId="22" fillId="0" borderId="0"/>
  </cellStyleXfs>
  <cellXfs count="116">
    <xf numFmtId="0" fontId="0" fillId="0" borderId="0" xfId="0"/>
    <xf numFmtId="0" fontId="2" fillId="0" borderId="0" xfId="0" applyFont="1"/>
    <xf numFmtId="0" fontId="4" fillId="4" borderId="0" xfId="0" applyFont="1" applyFill="1"/>
    <xf numFmtId="0" fontId="4" fillId="4" borderId="0" xfId="0" applyFont="1" applyFill="1" applyAlignment="1">
      <alignment horizontal="center" vertical="center"/>
    </xf>
    <xf numFmtId="0" fontId="4" fillId="0" borderId="1" xfId="0" applyFont="1" applyBorder="1"/>
    <xf numFmtId="0" fontId="6" fillId="0" borderId="1" xfId="0" applyFont="1" applyBorder="1" applyAlignment="1">
      <alignment horizontal="center" vertical="center"/>
    </xf>
    <xf numFmtId="0" fontId="6" fillId="0" borderId="4" xfId="0" applyFont="1" applyBorder="1" applyAlignment="1">
      <alignment horizontal="left"/>
    </xf>
    <xf numFmtId="0" fontId="6" fillId="0" borderId="4" xfId="0" applyFont="1" applyBorder="1" applyAlignment="1">
      <alignment horizontal="left" vertical="center" wrapText="1"/>
    </xf>
    <xf numFmtId="14" fontId="6" fillId="0" borderId="1" xfId="0" applyNumberFormat="1" applyFont="1" applyBorder="1" applyAlignment="1">
      <alignment horizontal="center"/>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0" fontId="4" fillId="7" borderId="1" xfId="0" applyFont="1" applyFill="1" applyBorder="1" applyAlignment="1">
      <alignment horizontal="center" vertical="center" wrapText="1"/>
    </xf>
    <xf numFmtId="0" fontId="0" fillId="0" borderId="1" xfId="0" applyBorder="1" applyAlignment="1">
      <alignment horizontal="center"/>
    </xf>
    <xf numFmtId="0" fontId="13" fillId="9" borderId="1" xfId="0" applyFont="1" applyFill="1" applyBorder="1" applyAlignment="1">
      <alignment horizontal="left" vertical="center" wrapText="1"/>
    </xf>
    <xf numFmtId="0" fontId="13"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5" fillId="7" borderId="1" xfId="0" applyFont="1" applyFill="1" applyBorder="1" applyAlignment="1">
      <alignment horizontal="center"/>
    </xf>
    <xf numFmtId="0" fontId="13" fillId="9" borderId="5" xfId="0" applyFont="1" applyFill="1" applyBorder="1" applyAlignment="1">
      <alignment horizontal="left" vertical="center" wrapText="1"/>
    </xf>
    <xf numFmtId="0" fontId="13" fillId="9" borderId="5" xfId="0" applyFont="1" applyFill="1" applyBorder="1" applyAlignment="1">
      <alignment horizontal="center" vertical="center" wrapText="1"/>
    </xf>
    <xf numFmtId="0" fontId="14" fillId="9" borderId="0" xfId="0" applyFont="1" applyFill="1" applyAlignment="1">
      <alignment horizontal="left" vertical="center" wrapText="1"/>
    </xf>
    <xf numFmtId="0" fontId="0" fillId="0" borderId="0" xfId="0" applyAlignment="1">
      <alignment horizontal="center"/>
    </xf>
    <xf numFmtId="0" fontId="15" fillId="0" borderId="0" xfId="0" applyFont="1" applyAlignment="1">
      <alignment horizontal="center"/>
    </xf>
    <xf numFmtId="0" fontId="0" fillId="0" borderId="0" xfId="0" applyAlignment="1">
      <alignment wrapText="1"/>
    </xf>
    <xf numFmtId="0" fontId="2" fillId="3" borderId="1" xfId="0" applyFont="1" applyFill="1" applyBorder="1" applyAlignment="1">
      <alignment vertical="center" wrapText="1"/>
    </xf>
    <xf numFmtId="0" fontId="8" fillId="0" borderId="1" xfId="2" applyFont="1" applyBorder="1" applyAlignment="1">
      <alignment horizontal="left" wrapText="1"/>
    </xf>
    <xf numFmtId="0" fontId="10" fillId="8" borderId="1" xfId="2" applyFont="1" applyFill="1" applyBorder="1" applyAlignment="1">
      <alignment horizontal="left" wrapText="1"/>
    </xf>
    <xf numFmtId="0" fontId="0" fillId="0" borderId="0" xfId="0" applyAlignment="1">
      <alignment vertical="top"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top" wrapText="1"/>
    </xf>
    <xf numFmtId="0" fontId="2" fillId="0" borderId="1" xfId="0" applyFont="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3" borderId="1" xfId="0" applyFont="1" applyFill="1" applyBorder="1" applyAlignment="1">
      <alignment vertical="center" wrapText="1"/>
    </xf>
    <xf numFmtId="0" fontId="0" fillId="0" borderId="1" xfId="0" applyBorder="1" applyAlignment="1" applyProtection="1">
      <alignment horizontal="left"/>
      <protection locked="0"/>
    </xf>
    <xf numFmtId="0" fontId="0" fillId="3" borderId="1" xfId="0" applyFill="1" applyBorder="1" applyAlignment="1">
      <alignment vertical="center" wrapText="1"/>
    </xf>
    <xf numFmtId="0" fontId="1" fillId="2" borderId="1" xfId="0" applyFont="1" applyFill="1" applyBorder="1" applyAlignment="1">
      <alignment horizontal="center" vertical="top" wrapText="1"/>
    </xf>
    <xf numFmtId="164" fontId="1" fillId="2" borderId="1" xfId="0" applyNumberFormat="1" applyFont="1" applyFill="1" applyBorder="1" applyAlignment="1">
      <alignment horizontal="center" vertical="top" wrapText="1"/>
    </xf>
    <xf numFmtId="1" fontId="1" fillId="2" borderId="1" xfId="0" applyNumberFormat="1" applyFont="1" applyFill="1" applyBorder="1" applyAlignment="1">
      <alignment horizontal="center" vertical="top" wrapText="1"/>
    </xf>
    <xf numFmtId="3" fontId="1" fillId="2" borderId="1" xfId="0" applyNumberFormat="1" applyFont="1" applyFill="1" applyBorder="1" applyAlignment="1">
      <alignment horizontal="center" vertical="top" wrapText="1"/>
    </xf>
    <xf numFmtId="0" fontId="0" fillId="0" borderId="1" xfId="0" applyBorder="1" applyAlignment="1">
      <alignment horizontal="center" wrapText="1"/>
    </xf>
    <xf numFmtId="0" fontId="0" fillId="3" borderId="1" xfId="0" quotePrefix="1" applyFill="1" applyBorder="1" applyAlignment="1">
      <alignment horizontal="center" wrapText="1"/>
    </xf>
    <xf numFmtId="0" fontId="0" fillId="0" borderId="1" xfId="0" applyBorder="1" applyAlignment="1">
      <alignment wrapText="1"/>
    </xf>
    <xf numFmtId="164" fontId="0" fillId="7" borderId="1" xfId="0" applyNumberFormat="1" applyFill="1" applyBorder="1" applyAlignment="1">
      <alignment horizontal="center"/>
    </xf>
    <xf numFmtId="1" fontId="0" fillId="0" borderId="1" xfId="1" applyNumberFormat="1" applyFont="1" applyBorder="1" applyAlignment="1">
      <alignment horizontal="center" wrapText="1"/>
    </xf>
    <xf numFmtId="17" fontId="0" fillId="0" borderId="1" xfId="0" applyNumberFormat="1" applyBorder="1" applyAlignment="1">
      <alignment horizontal="center" wrapText="1"/>
    </xf>
    <xf numFmtId="3" fontId="0" fillId="0" borderId="1" xfId="0" applyNumberFormat="1" applyBorder="1" applyAlignment="1">
      <alignment horizontal="center" wrapText="1"/>
    </xf>
    <xf numFmtId="166" fontId="0" fillId="0" borderId="1" xfId="1" applyNumberFormat="1" applyFont="1" applyBorder="1" applyAlignment="1">
      <alignment horizontal="center" wrapText="1"/>
    </xf>
    <xf numFmtId="0" fontId="0" fillId="0" borderId="1" xfId="0" applyBorder="1"/>
    <xf numFmtId="0" fontId="2" fillId="0" borderId="0" xfId="0" applyFont="1" applyProtection="1">
      <protection locked="0"/>
    </xf>
    <xf numFmtId="0" fontId="3" fillId="0" borderId="0" xfId="0" applyFont="1" applyAlignment="1" applyProtection="1">
      <alignment horizontal="center"/>
      <protection locked="0"/>
    </xf>
    <xf numFmtId="0" fontId="3" fillId="0" borderId="0" xfId="0" applyFont="1" applyProtection="1">
      <protection locked="0"/>
    </xf>
    <xf numFmtId="164" fontId="3" fillId="0" borderId="0" xfId="0"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3" fontId="3" fillId="0" borderId="0" xfId="0" applyNumberFormat="1" applyFont="1" applyAlignment="1" applyProtection="1">
      <alignment horizontal="center"/>
      <protection locked="0"/>
    </xf>
    <xf numFmtId="0" fontId="19" fillId="0" borderId="9" xfId="6" applyProtection="1">
      <protection locked="0"/>
    </xf>
    <xf numFmtId="0" fontId="19" fillId="0" borderId="9" xfId="6" applyProtection="1">
      <protection hidden="1"/>
    </xf>
    <xf numFmtId="166" fontId="3" fillId="0" borderId="1" xfId="1" applyNumberFormat="1" applyFont="1" applyBorder="1" applyAlignment="1" applyProtection="1">
      <alignment horizontal="center" wrapText="1"/>
      <protection locked="0"/>
    </xf>
    <xf numFmtId="0" fontId="3" fillId="3" borderId="1" xfId="0" applyFont="1" applyFill="1" applyBorder="1" applyAlignment="1" applyProtection="1">
      <alignment horizontal="center" wrapText="1"/>
      <protection locked="0"/>
    </xf>
    <xf numFmtId="0" fontId="20" fillId="0" borderId="1" xfId="7" applyFont="1" applyFill="1" applyBorder="1" applyAlignment="1" applyProtection="1">
      <alignment wrapText="1"/>
      <protection hidden="1"/>
    </xf>
    <xf numFmtId="0" fontId="3" fillId="0" borderId="0" xfId="0" applyFont="1" applyAlignment="1" applyProtection="1">
      <alignment wrapText="1"/>
      <protection hidden="1"/>
    </xf>
    <xf numFmtId="0" fontId="0" fillId="0" borderId="0" xfId="0" applyAlignment="1" applyProtection="1">
      <alignment wrapText="1"/>
      <protection hidden="1"/>
    </xf>
    <xf numFmtId="3" fontId="0" fillId="0" borderId="0" xfId="0" applyNumberFormat="1" applyAlignment="1" applyProtection="1">
      <alignment wrapText="1"/>
      <protection locked="0"/>
    </xf>
    <xf numFmtId="0" fontId="0" fillId="3" borderId="1" xfId="0" applyFill="1" applyBorder="1" applyAlignment="1" applyProtection="1">
      <alignment horizontal="center" wrapText="1"/>
      <protection locked="0"/>
    </xf>
    <xf numFmtId="1" fontId="0" fillId="0" borderId="1" xfId="1" applyNumberFormat="1" applyFont="1" applyBorder="1" applyAlignment="1" applyProtection="1">
      <alignment horizontal="center" wrapText="1"/>
    </xf>
    <xf numFmtId="0" fontId="16" fillId="3" borderId="1" xfId="3" applyFill="1" applyBorder="1" applyAlignment="1" applyProtection="1">
      <alignment wrapText="1"/>
      <protection locked="0"/>
    </xf>
    <xf numFmtId="0" fontId="20" fillId="0" borderId="1" xfId="7" applyNumberFormat="1" applyFont="1" applyFill="1" applyBorder="1" applyAlignment="1" applyProtection="1">
      <alignment wrapText="1"/>
      <protection hidden="1"/>
    </xf>
    <xf numFmtId="0" fontId="0" fillId="0" borderId="11" xfId="0" applyBorder="1" applyAlignment="1" applyProtection="1">
      <alignment wrapText="1"/>
      <protection hidden="1"/>
    </xf>
    <xf numFmtId="17" fontId="0" fillId="0" borderId="1" xfId="1" applyNumberFormat="1" applyFont="1" applyBorder="1" applyAlignment="1" applyProtection="1">
      <alignment horizontal="center" wrapText="1"/>
    </xf>
    <xf numFmtId="0" fontId="0" fillId="2" borderId="0" xfId="0" applyFill="1"/>
    <xf numFmtId="0" fontId="0" fillId="2" borderId="0" xfId="0" applyFill="1" applyAlignment="1">
      <alignment horizontal="left"/>
    </xf>
    <xf numFmtId="0" fontId="0" fillId="3" borderId="0" xfId="0" applyFill="1" applyAlignment="1">
      <alignment horizontal="left"/>
    </xf>
    <xf numFmtId="0" fontId="1" fillId="2" borderId="8"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164" fontId="1" fillId="2" borderId="5" xfId="0" applyNumberFormat="1" applyFont="1" applyFill="1" applyBorder="1" applyAlignment="1" applyProtection="1">
      <alignment horizontal="center" vertical="center" wrapText="1"/>
      <protection locked="0"/>
    </xf>
    <xf numFmtId="1" fontId="1" fillId="2" borderId="5" xfId="0" applyNumberFormat="1" applyFont="1" applyFill="1" applyBorder="1" applyAlignment="1" applyProtection="1">
      <alignment horizontal="center" vertical="center" wrapText="1"/>
      <protection locked="0"/>
    </xf>
    <xf numFmtId="3" fontId="1" fillId="2" borderId="5" xfId="0" applyNumberFormat="1" applyFont="1" applyFill="1" applyBorder="1" applyAlignment="1" applyProtection="1">
      <alignment horizontal="center" vertical="center" wrapText="1"/>
      <protection locked="0"/>
    </xf>
    <xf numFmtId="0" fontId="1" fillId="2" borderId="5" xfId="0" applyFont="1" applyFill="1" applyBorder="1" applyAlignment="1" applyProtection="1">
      <alignment vertical="center" wrapText="1"/>
      <protection locked="0"/>
    </xf>
    <xf numFmtId="0" fontId="1" fillId="2" borderId="10" xfId="0" applyFont="1" applyFill="1" applyBorder="1" applyAlignment="1" applyProtection="1">
      <alignment horizontal="center" vertical="center" wrapText="1"/>
      <protection locked="0"/>
    </xf>
    <xf numFmtId="3" fontId="1" fillId="2" borderId="1" xfId="0" applyNumberFormat="1" applyFont="1" applyFill="1" applyBorder="1" applyAlignment="1" applyProtection="1">
      <alignment horizontal="center" vertical="center" wrapText="1"/>
      <protection locked="0"/>
    </xf>
    <xf numFmtId="3" fontId="1" fillId="2" borderId="8" xfId="0" applyNumberFormat="1"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8" fillId="8" borderId="1" xfId="2" applyFont="1" applyFill="1" applyBorder="1" applyAlignment="1">
      <alignment vertical="top" wrapText="1" readingOrder="1"/>
    </xf>
    <xf numFmtId="0" fontId="9" fillId="8" borderId="1" xfId="2" applyFont="1" applyFill="1" applyBorder="1" applyAlignment="1">
      <alignment vertical="top" wrapText="1" readingOrder="1"/>
    </xf>
    <xf numFmtId="3" fontId="11" fillId="8" borderId="1" xfId="2" applyNumberFormat="1" applyFont="1" applyFill="1" applyBorder="1" applyAlignment="1">
      <alignment horizontal="center"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8" fillId="3" borderId="1" xfId="0" applyFont="1" applyFill="1" applyBorder="1" applyAlignment="1">
      <alignment horizontal="center" vertical="center"/>
    </xf>
    <xf numFmtId="0" fontId="8" fillId="10" borderId="1" xfId="2" applyFont="1" applyFill="1" applyBorder="1" applyAlignment="1">
      <alignment horizontal="center" vertical="center" wrapText="1"/>
    </xf>
    <xf numFmtId="0" fontId="9" fillId="8" borderId="1" xfId="2" applyFont="1" applyFill="1" applyBorder="1" applyAlignment="1">
      <alignment horizontal="center" vertical="center" wrapText="1"/>
    </xf>
    <xf numFmtId="0" fontId="0" fillId="3" borderId="12" xfId="0" applyFill="1" applyBorder="1" applyAlignment="1" applyProtection="1">
      <alignment horizontal="center" wrapText="1"/>
      <protection locked="0"/>
    </xf>
    <xf numFmtId="166" fontId="0" fillId="0" borderId="12" xfId="1" applyNumberFormat="1" applyFont="1" applyBorder="1" applyAlignment="1" applyProtection="1">
      <alignment horizontal="center" wrapText="1"/>
      <protection locked="0"/>
    </xf>
    <xf numFmtId="0" fontId="3" fillId="3" borderId="12" xfId="0" applyFont="1" applyFill="1" applyBorder="1" applyAlignment="1" applyProtection="1">
      <alignment wrapText="1"/>
      <protection locked="0"/>
    </xf>
    <xf numFmtId="0" fontId="20" fillId="0" borderId="12" xfId="7" applyNumberFormat="1" applyFont="1" applyFill="1" applyBorder="1" applyAlignment="1" applyProtection="1">
      <alignment wrapText="1"/>
      <protection hidden="1"/>
    </xf>
    <xf numFmtId="0" fontId="0" fillId="2" borderId="0" xfId="0" applyFill="1" applyAlignment="1">
      <alignment horizontal="center"/>
    </xf>
    <xf numFmtId="3" fontId="3" fillId="0" borderId="1" xfId="0" applyNumberFormat="1" applyFont="1" applyBorder="1" applyAlignment="1" applyProtection="1">
      <alignment horizontal="center" wrapText="1"/>
      <protection locked="0"/>
    </xf>
    <xf numFmtId="164" fontId="0" fillId="0" borderId="1" xfId="0" applyNumberFormat="1" applyBorder="1" applyAlignment="1" applyProtection="1">
      <alignment horizontal="center"/>
      <protection locked="0"/>
    </xf>
    <xf numFmtId="166" fontId="0" fillId="0" borderId="1" xfId="1" applyNumberFormat="1" applyFont="1" applyBorder="1" applyAlignment="1" applyProtection="1">
      <alignment horizontal="center" wrapText="1"/>
      <protection locked="0"/>
    </xf>
    <xf numFmtId="0" fontId="0" fillId="0" borderId="7" xfId="0" applyBorder="1" applyAlignment="1" applyProtection="1">
      <alignment horizontal="center" wrapText="1"/>
      <protection locked="0"/>
    </xf>
    <xf numFmtId="0" fontId="18" fillId="11" borderId="1" xfId="0" applyFont="1" applyFill="1" applyBorder="1" applyAlignment="1" applyProtection="1">
      <alignment horizontal="center"/>
      <protection locked="0"/>
    </xf>
    <xf numFmtId="0" fontId="0" fillId="0" borderId="1" xfId="0" applyBorder="1" applyAlignment="1" applyProtection="1">
      <alignment horizontal="center"/>
      <protection locked="0"/>
    </xf>
    <xf numFmtId="164" fontId="0" fillId="9" borderId="1" xfId="0" applyNumberFormat="1" applyFill="1" applyBorder="1" applyAlignment="1" applyProtection="1">
      <alignment horizontal="center"/>
      <protection locked="0"/>
    </xf>
    <xf numFmtId="0" fontId="3" fillId="3" borderId="1" xfId="0" applyFont="1" applyFill="1" applyBorder="1" applyAlignment="1" applyProtection="1">
      <alignment wrapText="1"/>
      <protection locked="0"/>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12" fillId="2" borderId="1" xfId="0" applyFont="1" applyFill="1" applyBorder="1" applyAlignment="1">
      <alignment horizontal="center" vertical="top"/>
    </xf>
    <xf numFmtId="0" fontId="1" fillId="2" borderId="1" xfId="0" applyFont="1" applyFill="1" applyBorder="1" applyAlignment="1">
      <alignment horizontal="center" vertical="center"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6" xfId="0" applyFont="1" applyFill="1" applyBorder="1" applyAlignment="1">
      <alignment horizontal="center"/>
    </xf>
    <xf numFmtId="0" fontId="0" fillId="3" borderId="0" xfId="0" applyNumberFormat="1" applyFill="1" applyAlignment="1">
      <alignment horizontal="center"/>
    </xf>
    <xf numFmtId="0" fontId="0" fillId="2" borderId="0" xfId="0" applyNumberFormat="1" applyFill="1" applyAlignment="1">
      <alignment horizontal="center"/>
    </xf>
  </cellXfs>
  <cellStyles count="10">
    <cellStyle name="Comma" xfId="1" builtinId="3"/>
    <cellStyle name="Comma 2" xfId="5" xr:uid="{9C4333FB-95AC-4B4F-910F-CE3EE74D751A}"/>
    <cellStyle name="Comma 3" xfId="8" xr:uid="{08A266B7-3C05-45B1-9251-E44E975733BD}"/>
    <cellStyle name="Excel Built-in Normal 1" xfId="4" xr:uid="{6889B71C-576E-46AF-A9B4-8D28B3B5D58F}"/>
    <cellStyle name="Heading 1" xfId="6" builtinId="16"/>
    <cellStyle name="Hyperlink 2" xfId="3" xr:uid="{B48BCC6C-E7E8-4ACF-AD29-96883491654C}"/>
    <cellStyle name="Normal" xfId="0" builtinId="0"/>
    <cellStyle name="Normal 15" xfId="2" xr:uid="{FF1271A6-CF9E-478B-864A-21B556266F02}"/>
    <cellStyle name="Normal 2" xfId="9" xr:uid="{C8F04300-0FFF-4985-9703-ABE268569886}"/>
    <cellStyle name="Warning Text" xfId="7" builtinId="11"/>
  </cellStyles>
  <dxfs count="69">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D9F3ED"/>
        </patternFill>
      </fill>
    </dxf>
    <dxf>
      <fill>
        <patternFill patternType="solid">
          <bgColor rgb="FFD9F3ED"/>
        </patternFill>
      </fill>
    </dxf>
    <dxf>
      <alignment horizontal="center"/>
    </dxf>
    <dxf>
      <alignment horizontal="center"/>
    </dxf>
    <dxf>
      <alignment horizontal="center"/>
    </dxf>
    <dxf>
      <alignment horizontal="center"/>
    </dxf>
    <dxf>
      <alignment horizontal="cent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1"/>
        <color theme="1"/>
        <name val="Calibri"/>
        <family val="2"/>
        <scheme val="minor"/>
      </font>
      <numFmt numFmtId="3" formatCode="#,##0"/>
      <alignment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0" formatCode="General"/>
      <alignment vertical="bottom" textRotation="0" wrapText="1" indent="0" justifyLastLine="0" shrinkToFit="0" readingOrder="0"/>
      <border outline="0">
        <left style="thin">
          <color indexed="64"/>
        </left>
        <right/>
      </border>
      <protection locked="1" hidden="1"/>
    </dxf>
    <dxf>
      <font>
        <strike val="0"/>
        <outline val="0"/>
        <shadow val="0"/>
        <u val="none"/>
        <vertAlign val="baseline"/>
        <sz val="10"/>
        <color rgb="FFFF0000"/>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ill>
        <patternFill patternType="solid">
          <fgColor indexed="64"/>
          <bgColor rgb="FFD9F3ED"/>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rgb="FFD9F3ED"/>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3"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22" formatCode="mmm/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64"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rgb="FFD9F3ED"/>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fill>
        <patternFill patternType="solid">
          <fgColor rgb="FF000000"/>
          <bgColor rgb="FFD9F3ED"/>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numFmt numFmtId="3" formatCode="#,##0"/>
      <alignment vertical="bottom"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0"/>
        <name val="Calibri"/>
        <family val="2"/>
        <scheme val="minor"/>
      </font>
      <numFmt numFmtId="3" formatCode="#,##0"/>
      <fill>
        <patternFill patternType="solid">
          <fgColor indexed="64"/>
          <bgColor rgb="FF51C5A9"/>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alignment horizontal="center"/>
    </dxf>
    <dxf>
      <alignment horizontal="center"/>
    </dxf>
    <dxf>
      <alignment horizontal="center"/>
    </dxf>
    <dxf>
      <alignment horizontal="center"/>
    </dxf>
    <dxf>
      <alignment horizontal="center"/>
    </dxf>
    <dxf>
      <fill>
        <patternFill patternType="solid">
          <bgColor rgb="FFD9F3ED"/>
        </patternFill>
      </fill>
    </dxf>
    <dxf>
      <fill>
        <patternFill patternType="solid">
          <bgColor rgb="FFD9F3ED"/>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
      <fill>
        <patternFill patternType="solid">
          <bgColor rgb="FF51C5A9"/>
        </patternFill>
      </fill>
    </dxf>
  </dxfs>
  <tableStyles count="1" defaultTableStyle="TableStyleMedium2" defaultPivotStyle="PivotStyleLight16">
    <tableStyle name="Invisible" pivot="0" table="0" count="0" xr9:uid="{AED00BF1-EB7B-42C8-8C8C-61C407980A12}"/>
  </tableStyles>
  <colors>
    <mruColors>
      <color rgb="FFD9F3ED"/>
      <color rgb="FF51C5A9"/>
      <color rgb="FF357C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68580</xdr:colOff>
          <xdr:row>0</xdr:row>
          <xdr:rowOff>68580</xdr:rowOff>
        </xdr:from>
        <xdr:to>
          <xdr:col>8</xdr:col>
          <xdr:colOff>1859280</xdr:colOff>
          <xdr:row>0</xdr:row>
          <xdr:rowOff>449580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N" sz="1100" b="0" i="0" u="none" strike="noStrike" baseline="0">
                  <a:solidFill>
                    <a:srgbClr val="000000"/>
                  </a:solidFill>
                  <a:latin typeface="Calibri"/>
                  <a:ea typeface="Calibri"/>
                  <a:cs typeface="Calibri"/>
                </a:rPr>
                <a:t>Convert relationship titles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20from%20Employer/RFQ/HS_DV_Template_01%20Sept%202021.xlsm" TargetMode="External"/><Relationship Id="rId2" Type="http://schemas.openxmlformats.org/officeDocument/2006/relationships/externalLinkPath" Target="https://healthysurein.sharepoint.com/sites/HealthySureGroup/HealthySure/HealthySure/Employee%20Benefits%20Platform/Documents%20from%20Employer/RFQ/HS_DV_Template_01%20Sept%202021.xlsm" TargetMode="External"/><Relationship Id="rId1" Type="http://schemas.openxmlformats.org/officeDocument/2006/relationships/externalLinkPath" Target="/sites/HealthySureGroup/HealthySure/HealthySure/Employee%20Benefits%20Platform/Documents%20from%20Employer/RFQ/HS_DV_Template_01%20Sept%20202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kNxVp4ZVUmrO1O4I3TvbAtZRysY109Hp7MQtElZc4z3tfbtQtPySYbnFrFn2xkP" itemId="01GV5LYG3U4HJV7IQR3ZB2VFXMDQD56CAQ">
      <xxl21:absoluteUrl r:id="rId2"/>
      <xxl21:relativeUrl r:id="rId3"/>
    </xxl21:alternateUrls>
    <sheetNames>
      <sheetName val="Employee_Data"/>
      <sheetName val="Count"/>
      <sheetName val="Valid"/>
      <sheetName val="HS_DV_Template_01 Sept 2021"/>
    </sheetNames>
    <sheetDataSet>
      <sheetData sheetId="0" refreshError="1"/>
      <sheetData sheetId="1" refreshError="1"/>
      <sheetData sheetId="2" refreshError="1">
        <row r="1">
          <cell r="K1" t="str">
            <v>@xxx.com</v>
          </cell>
        </row>
        <row r="2">
          <cell r="C2" t="str">
            <v>Self</v>
          </cell>
          <cell r="D2">
            <v>18</v>
          </cell>
          <cell r="E2">
            <v>80</v>
          </cell>
        </row>
        <row r="3">
          <cell r="C3" t="str">
            <v>Spouse</v>
          </cell>
          <cell r="D3">
            <v>18</v>
          </cell>
          <cell r="E3">
            <v>80</v>
          </cell>
        </row>
        <row r="4">
          <cell r="C4" t="str">
            <v>Child</v>
          </cell>
          <cell r="D4">
            <v>0</v>
          </cell>
          <cell r="E4">
            <v>25</v>
          </cell>
        </row>
        <row r="5">
          <cell r="C5" t="str">
            <v>Parent</v>
          </cell>
          <cell r="D5">
            <v>40</v>
          </cell>
          <cell r="E5">
            <v>80</v>
          </cell>
        </row>
        <row r="6">
          <cell r="C6" t="str">
            <v>Parent-in-law</v>
          </cell>
          <cell r="D6">
            <v>40</v>
          </cell>
          <cell r="E6">
            <v>80</v>
          </cell>
        </row>
      </sheetData>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ane" refreshedDate="46162.489275" createdVersion="7" refreshedVersion="8" minRefreshableVersion="3" recordCount="15" xr:uid="{D34CA3EB-AD05-4574-B904-98F693D96B23}">
  <cacheSource type="worksheet">
    <worksheetSource name="Table1"/>
  </cacheSource>
  <cacheFields count="28">
    <cacheField name="S.No." numFmtId="0">
      <sharedItems containsSemiMixedTypes="0" containsString="0" containsNumber="1" containsInteger="1" minValue="1" maxValue="15"/>
    </cacheField>
    <cacheField name="Employee ID" numFmtId="0">
      <sharedItems containsNonDate="0" containsString="0" containsBlank="1"/>
    </cacheField>
    <cacheField name="Employment Type_x000a_(On-Roll/Off-Roll)" numFmtId="0">
      <sharedItems containsNonDate="0" containsString="0" containsBlank="1"/>
    </cacheField>
    <cacheField name="Member Name" numFmtId="0">
      <sharedItems containsNonDate="0" containsString="0" containsBlank="1"/>
    </cacheField>
    <cacheField name="Date of Birth" numFmtId="164">
      <sharedItems containsNonDate="0" containsString="0" containsBlank="1"/>
    </cacheField>
    <cacheField name="Age" numFmtId="1">
      <sharedItems containsSemiMixedTypes="0" containsString="0" containsNumber="1" containsInteger="1" minValue="126" maxValue="126"/>
    </cacheField>
    <cacheField name="Age Band" numFmtId="17">
      <sharedItems count="7">
        <s v="From 86"/>
        <s v="56-60" u="1"/>
        <s v="61-65" u="1"/>
        <s v="36-40" u="1"/>
        <s v="26-30" u="1"/>
        <s v="31-35" u="1"/>
        <s v="19-25" u="1"/>
      </sharedItems>
    </cacheField>
    <cacheField name="Gender" numFmtId="0">
      <sharedItems containsNonDate="0" containsString="0" containsBlank="1"/>
    </cacheField>
    <cacheField name="Relationship to Self" numFmtId="3">
      <sharedItems containsNonDate="0" containsBlank="1" count="2">
        <m/>
        <s v="Self" u="1"/>
      </sharedItems>
    </cacheField>
    <cacheField name="GHI Sum Insured" numFmtId="166">
      <sharedItems containsNonDate="0" containsString="0" containsBlank="1"/>
    </cacheField>
    <cacheField name="Mobile Number" numFmtId="0">
      <sharedItems containsNonDate="0" containsString="0" containsBlank="1"/>
    </cacheField>
    <cacheField name="Email" numFmtId="0">
      <sharedItems containsNonDate="0" containsString="0" containsBlank="1"/>
    </cacheField>
    <cacheField name="Error" numFmtId="0">
      <sharedItems/>
    </cacheField>
    <cacheField name="Error_Relationship" numFmtId="0">
      <sharedItems/>
    </cacheField>
    <cacheField name="Error_Age" numFmtId="0">
      <sharedItems/>
    </cacheField>
    <cacheField name="Error_Gender" numFmtId="0">
      <sharedItems/>
    </cacheField>
    <cacheField name="Error_Ph" numFmtId="0">
      <sharedItems/>
    </cacheField>
    <cacheField name="Error_Email" numFmtId="0">
      <sharedItems/>
    </cacheField>
    <cacheField name="Error_Name" numFmtId="0">
      <sharedItems/>
    </cacheField>
    <cacheField name="Error_DoB" numFmtId="0">
      <sharedItems/>
    </cacheField>
    <cacheField name="Error_Duplicate" numFmtId="0">
      <sharedItems/>
    </cacheField>
    <cacheField name="Error_EmployeeID" numFmtId="0">
      <sharedItems/>
    </cacheField>
    <cacheField name="Error_Spouse" numFmtId="0">
      <sharedItems/>
    </cacheField>
    <cacheField name="Error_Child_Count" numFmtId="0">
      <sharedItems/>
    </cacheField>
    <cacheField name="Error_No_Self" numFmtId="0">
      <sharedItems/>
    </cacheField>
    <cacheField name="Error_Parent_Diff" numFmtId="0">
      <sharedItems/>
    </cacheField>
    <cacheField name="Error_Spouse_Gender" numFmtId="0">
      <sharedItems containsBlank="1"/>
    </cacheField>
    <cacheField name="Other Errors, if any" numFmtId="3">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m/>
    <m/>
    <m/>
    <m/>
    <n v="126"/>
    <x v="0"/>
    <m/>
    <x v="0"/>
    <m/>
    <m/>
    <m/>
    <s v="Please enter Member Name. Invalid gender. Invalid relationship to employee. "/>
    <s v="Invalid relationship to employee. "/>
    <s v=""/>
    <s v="Invalid gender. "/>
    <s v=""/>
    <s v=""/>
    <s v="Please enter Member Name. "/>
    <s v=""/>
    <s v=""/>
    <s v=""/>
    <s v=""/>
    <s v=""/>
    <s v=""/>
    <s v=""/>
    <m/>
    <m/>
  </r>
  <r>
    <n v="2"/>
    <m/>
    <m/>
    <m/>
    <m/>
    <n v="126"/>
    <x v="0"/>
    <m/>
    <x v="0"/>
    <m/>
    <m/>
    <m/>
    <s v="Please enter Member Name. Invalid gender. Invalid relationship to employee. "/>
    <s v="Invalid relationship to employee. "/>
    <s v=""/>
    <s v="Invalid gender. "/>
    <s v=""/>
    <s v=""/>
    <s v="Please enter Member Name. "/>
    <s v=""/>
    <s v=""/>
    <s v=""/>
    <s v=""/>
    <s v=""/>
    <s v=""/>
    <s v=""/>
    <s v=""/>
    <m/>
  </r>
  <r>
    <n v="3"/>
    <m/>
    <m/>
    <m/>
    <m/>
    <n v="126"/>
    <x v="0"/>
    <m/>
    <x v="0"/>
    <m/>
    <m/>
    <m/>
    <s v="Please enter Member Name. Invalid gender. Invalid relationship to employee. "/>
    <s v="Invalid relationship to employee. "/>
    <s v=""/>
    <s v="Invalid gender. "/>
    <s v=""/>
    <s v=""/>
    <s v="Please enter Member Name. "/>
    <s v=""/>
    <s v=""/>
    <s v=""/>
    <s v=""/>
    <s v=""/>
    <s v=""/>
    <s v=""/>
    <s v=""/>
    <m/>
  </r>
  <r>
    <n v="4"/>
    <m/>
    <m/>
    <m/>
    <m/>
    <n v="126"/>
    <x v="0"/>
    <m/>
    <x v="0"/>
    <m/>
    <m/>
    <m/>
    <s v="Please enter Member Name. Invalid gender. Invalid relationship to employee. "/>
    <s v="Invalid relationship to employee. "/>
    <s v=""/>
    <s v="Invalid gender. "/>
    <s v=""/>
    <s v=""/>
    <s v="Please enter Member Name. "/>
    <s v=""/>
    <s v=""/>
    <s v=""/>
    <s v=""/>
    <s v=""/>
    <s v=""/>
    <s v=""/>
    <m/>
    <m/>
  </r>
  <r>
    <n v="5"/>
    <m/>
    <m/>
    <m/>
    <m/>
    <n v="126"/>
    <x v="0"/>
    <m/>
    <x v="0"/>
    <m/>
    <m/>
    <m/>
    <s v="Please enter Member Name. Invalid gender. Invalid relationship to employee. "/>
    <s v="Invalid relationship to employee. "/>
    <s v=""/>
    <s v="Invalid gender. "/>
    <s v=""/>
    <s v=""/>
    <s v="Please enter Member Name. "/>
    <s v=""/>
    <s v=""/>
    <s v=""/>
    <s v=""/>
    <s v=""/>
    <s v=""/>
    <s v=""/>
    <s v=""/>
    <m/>
  </r>
  <r>
    <n v="6"/>
    <m/>
    <m/>
    <m/>
    <m/>
    <n v="126"/>
    <x v="0"/>
    <m/>
    <x v="0"/>
    <m/>
    <m/>
    <m/>
    <s v="Please enter Member Name. Invalid gender. Invalid relationship to employee. "/>
    <s v="Invalid relationship to employee. "/>
    <s v=""/>
    <s v="Invalid gender. "/>
    <s v=""/>
    <s v=""/>
    <s v="Please enter Member Name. "/>
    <s v=""/>
    <s v=""/>
    <s v=""/>
    <s v=""/>
    <s v=""/>
    <s v=""/>
    <s v=""/>
    <s v=""/>
    <m/>
  </r>
  <r>
    <n v="7"/>
    <m/>
    <m/>
    <m/>
    <m/>
    <n v="126"/>
    <x v="0"/>
    <m/>
    <x v="0"/>
    <m/>
    <m/>
    <m/>
    <s v="Please enter Member Name. Invalid gender. Invalid relationship to employee. "/>
    <s v="Invalid relationship to employee. "/>
    <s v=""/>
    <s v="Invalid gender. "/>
    <s v=""/>
    <s v=""/>
    <s v="Please enter Member Name. "/>
    <s v=""/>
    <s v=""/>
    <s v=""/>
    <s v=""/>
    <s v=""/>
    <s v=""/>
    <s v=""/>
    <s v=""/>
    <m/>
  </r>
  <r>
    <n v="8"/>
    <m/>
    <m/>
    <m/>
    <m/>
    <n v="126"/>
    <x v="0"/>
    <m/>
    <x v="0"/>
    <m/>
    <m/>
    <m/>
    <s v="Please enter Member Name. Invalid gender. Invalid relationship to employee. "/>
    <s v="Invalid relationship to employee. "/>
    <s v=""/>
    <s v="Invalid gender. "/>
    <s v=""/>
    <s v=""/>
    <s v="Please enter Member Name. "/>
    <s v=""/>
    <s v=""/>
    <s v=""/>
    <s v=""/>
    <s v=""/>
    <s v=""/>
    <s v=""/>
    <s v=""/>
    <m/>
  </r>
  <r>
    <n v="9"/>
    <m/>
    <m/>
    <m/>
    <m/>
    <n v="126"/>
    <x v="0"/>
    <m/>
    <x v="0"/>
    <m/>
    <m/>
    <m/>
    <s v="Please enter Member Name. Invalid gender. Invalid relationship to employee. "/>
    <s v="Invalid relationship to employee. "/>
    <s v=""/>
    <s v="Invalid gender. "/>
    <s v=""/>
    <s v=""/>
    <s v="Please enter Member Name. "/>
    <s v=""/>
    <s v=""/>
    <s v=""/>
    <s v=""/>
    <s v=""/>
    <s v=""/>
    <s v=""/>
    <s v=""/>
    <m/>
  </r>
  <r>
    <n v="10"/>
    <m/>
    <m/>
    <m/>
    <m/>
    <n v="126"/>
    <x v="0"/>
    <m/>
    <x v="0"/>
    <m/>
    <m/>
    <m/>
    <s v="Please enter Member Name. Invalid gender. Invalid relationship to employee. "/>
    <s v="Invalid relationship to employee. "/>
    <s v=""/>
    <s v="Invalid gender. "/>
    <s v=""/>
    <s v=""/>
    <s v="Please enter Member Name. "/>
    <s v=""/>
    <s v=""/>
    <s v=""/>
    <s v=""/>
    <s v=""/>
    <s v=""/>
    <s v=""/>
    <s v=""/>
    <m/>
  </r>
  <r>
    <n v="11"/>
    <m/>
    <m/>
    <m/>
    <m/>
    <n v="126"/>
    <x v="0"/>
    <m/>
    <x v="0"/>
    <m/>
    <m/>
    <m/>
    <s v="Please enter Member Name. Invalid gender. Invalid relationship to employee. "/>
    <s v="Invalid relationship to employee. "/>
    <s v=""/>
    <s v="Invalid gender. "/>
    <s v=""/>
    <s v=""/>
    <s v="Please enter Member Name. "/>
    <s v=""/>
    <s v=""/>
    <s v=""/>
    <s v=""/>
    <s v=""/>
    <s v=""/>
    <s v=""/>
    <s v=""/>
    <m/>
  </r>
  <r>
    <n v="12"/>
    <m/>
    <m/>
    <m/>
    <m/>
    <n v="126"/>
    <x v="0"/>
    <m/>
    <x v="0"/>
    <m/>
    <m/>
    <m/>
    <s v="Please enter Member Name. Invalid gender. Invalid relationship to employee. "/>
    <s v="Invalid relationship to employee. "/>
    <s v=""/>
    <s v="Invalid gender. "/>
    <s v=""/>
    <s v=""/>
    <s v="Please enter Member Name. "/>
    <s v=""/>
    <s v=""/>
    <s v=""/>
    <s v=""/>
    <s v=""/>
    <s v=""/>
    <s v=""/>
    <s v=""/>
    <m/>
  </r>
  <r>
    <n v="13"/>
    <m/>
    <m/>
    <m/>
    <m/>
    <n v="126"/>
    <x v="0"/>
    <m/>
    <x v="0"/>
    <m/>
    <m/>
    <m/>
    <s v="Please enter Member Name. Invalid gender. Invalid relationship to employee. "/>
    <s v="Invalid relationship to employee. "/>
    <s v=""/>
    <s v="Invalid gender. "/>
    <s v=""/>
    <s v=""/>
    <s v="Please enter Member Name. "/>
    <s v=""/>
    <s v=""/>
    <s v=""/>
    <s v=""/>
    <s v=""/>
    <s v=""/>
    <s v=""/>
    <s v=""/>
    <m/>
  </r>
  <r>
    <n v="14"/>
    <m/>
    <m/>
    <m/>
    <m/>
    <n v="126"/>
    <x v="0"/>
    <m/>
    <x v="0"/>
    <m/>
    <m/>
    <m/>
    <s v="Please enter Member Name. Invalid gender. Invalid relationship to employee. "/>
    <s v="Invalid relationship to employee. "/>
    <s v=""/>
    <s v="Invalid gender. "/>
    <s v=""/>
    <s v=""/>
    <s v="Please enter Member Name. "/>
    <s v=""/>
    <s v=""/>
    <s v=""/>
    <s v=""/>
    <s v=""/>
    <s v=""/>
    <s v=""/>
    <s v=""/>
    <m/>
  </r>
  <r>
    <n v="15"/>
    <m/>
    <m/>
    <m/>
    <m/>
    <n v="126"/>
    <x v="0"/>
    <m/>
    <x v="0"/>
    <m/>
    <m/>
    <m/>
    <s v="Please enter Member Name. Invalid gender. Invalid relationship to employee. "/>
    <s v="Invalid relationship to employee. "/>
    <s v=""/>
    <s v="Invalid gender. "/>
    <s v=""/>
    <s v=""/>
    <s v="Please enter Member Name. "/>
    <s v=""/>
    <s v=""/>
    <s v=""/>
    <s v=""/>
    <s v=""/>
    <s v=""/>
    <s v=""/>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7B7B8-1573-4F65-BF70-BA802EF7F9E8}" name="PivotTable1" cacheId="17"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6" firstHeaderRow="1" firstDataRow="2" firstDataCol="1"/>
  <pivotFields count="28">
    <pivotField showAll="0"/>
    <pivotField showAll="0"/>
    <pivotField showAll="0"/>
    <pivotField showAll="0"/>
    <pivotField showAll="0"/>
    <pivotField numFmtId="1" showAll="0"/>
    <pivotField axis="axisRow" showAll="0" sortType="ascending">
      <items count="8">
        <item m="1" x="6"/>
        <item m="1" x="4"/>
        <item m="1" x="5"/>
        <item m="1" x="3"/>
        <item m="1" x="1"/>
        <item m="1" x="2"/>
        <item x="0"/>
        <item t="default"/>
      </items>
    </pivotField>
    <pivotField showAll="0"/>
    <pivotField axis="axisCol" dataField="1" showAll="0">
      <items count="3">
        <item x="0"/>
        <item m="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6"/>
    </i>
    <i t="grand">
      <x/>
    </i>
  </rowItems>
  <colFields count="1">
    <field x="8"/>
  </colFields>
  <colItems count="2">
    <i>
      <x/>
    </i>
    <i t="grand">
      <x/>
    </i>
  </colItems>
  <dataFields count="1">
    <dataField name="Count of Relationship to Self" fld="8" subtotal="count" baseField="0" baseItem="0"/>
  </dataFields>
  <formats count="15">
    <format dxfId="68">
      <pivotArea type="origin" dataOnly="0" labelOnly="1" outline="0" fieldPosition="0"/>
    </format>
    <format dxfId="67">
      <pivotArea field="8" type="button" dataOnly="0" labelOnly="1" outline="0" axis="axisCol" fieldPosition="0"/>
    </format>
    <format dxfId="66">
      <pivotArea type="topRight" dataOnly="0" labelOnly="1" outline="0" fieldPosition="0"/>
    </format>
    <format dxfId="65">
      <pivotArea field="6" type="button" dataOnly="0" labelOnly="1" outline="0" axis="axisRow" fieldPosition="0"/>
    </format>
    <format dxfId="64">
      <pivotArea dataOnly="0" labelOnly="1" fieldPosition="0">
        <references count="1">
          <reference field="8" count="0"/>
        </references>
      </pivotArea>
    </format>
    <format dxfId="63">
      <pivotArea dataOnly="0" labelOnly="1" grandCol="1" outline="0" fieldPosition="0"/>
    </format>
    <format dxfId="62">
      <pivotArea grandRow="1" outline="0" collapsedLevelsAreSubtotals="1" fieldPosition="0"/>
    </format>
    <format dxfId="61">
      <pivotArea dataOnly="0" labelOnly="1" grandRow="1" outline="0" fieldPosition="0"/>
    </format>
    <format dxfId="60">
      <pivotArea collapsedLevelsAreSubtotals="1" fieldPosition="0">
        <references count="1">
          <reference field="6" count="0"/>
        </references>
      </pivotArea>
    </format>
    <format dxfId="59">
      <pivotArea dataOnly="0" labelOnly="1" fieldPosition="0">
        <references count="1">
          <reference field="6" count="0"/>
        </references>
      </pivotArea>
    </format>
    <format dxfId="58">
      <pivotArea outline="0" collapsedLevelsAreSubtotals="1" fieldPosition="0"/>
    </format>
    <format dxfId="57">
      <pivotArea field="8" type="button" dataOnly="0" labelOnly="1" outline="0" axis="axisCol" fieldPosition="0"/>
    </format>
    <format dxfId="56">
      <pivotArea type="topRight" dataOnly="0" labelOnly="1" outline="0" fieldPosition="0"/>
    </format>
    <format dxfId="55">
      <pivotArea dataOnly="0" labelOnly="1" fieldPosition="0">
        <references count="1">
          <reference field="8" count="0"/>
        </references>
      </pivotArea>
    </format>
    <format dxfId="5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109F6E-D9EF-4589-A929-BC6F9639DD50}" name="Table1" displayName="Table1" ref="A2:AB17" totalsRowShown="0" headerRowDxfId="53" dataDxfId="51" headerRowBorderDxfId="52" tableBorderDxfId="50" totalsRowBorderDxfId="49">
  <autoFilter ref="A2:AB17" xr:uid="{7CB3301C-2D57-4FE9-BC24-A0ACC043DD9F}"/>
  <tableColumns count="28">
    <tableColumn id="1" xr3:uid="{44E69A8A-D258-4BCC-83AA-8479015D4829}" name="S.No." dataDxfId="48"/>
    <tableColumn id="2" xr3:uid="{A12687E0-5569-4C7A-8A73-9A60B3A00777}" name="Employee ID" dataDxfId="47"/>
    <tableColumn id="10" xr3:uid="{D7403735-7497-4966-83EB-57BAF0A34814}" name="Employment Type_x000a_(On-Roll/Off-Roll)" dataDxfId="46"/>
    <tableColumn id="3" xr3:uid="{A435289F-75BA-4149-A356-999CA24F718B}" name="Member Name" dataDxfId="45"/>
    <tableColumn id="4" xr3:uid="{1AD729ED-B0BB-407C-BC05-C88342E11640}" name="Date of Birth" dataDxfId="44"/>
    <tableColumn id="5" xr3:uid="{9A0386C9-3E60-4613-BB42-F0B6A38051E2}" name="Age" dataDxfId="43" dataCellStyle="Comma">
      <calculatedColumnFormula>DATEDIF(E3,TODAY(),"y")</calculatedColumnFormula>
    </tableColumn>
    <tableColumn id="6" xr3:uid="{5771ADE6-C937-46AE-9A51-F9E0AC994E4A}" name="Age Band" dataDxfId="42" dataCellStyle="Comma">
      <calculatedColumnFormula>IF(
    $F3&gt;85,
    "From 86",
    IF(
        $F3&gt;80,
        "81-85",
        IF(
            $F3&gt;75,
            "76-80",
            IF(
                $F3&gt;70,
                "71-75",
                IF(
                    $F3&gt;65,
                    "66-70",
                    IF(
                        $F3&gt;60,
                        "61-65",
                        IF(
                            $F3&gt;55,
                            "56-60",
                            IF(
                                $F3&gt;50,
                                "51-55",
                                IF(
                                    $F3&gt;45,
                                    "46-50",
                                    IF(
                                        $F3&gt;40,
                                        "41-45",
                                        IF(
                                            $F3&gt;35,
                                            "36-40",
                                            IF(
                                                $F3&gt;30,
                                                "31-35",
                                                IF($F3&gt;25, "26-30", IF($F3&gt;18,"19-25","0-18")
                                              )
                                            )
                                        )
                                    )
                                )
                            )
                        )
                    )
                )
            )
        )
    )
)</calculatedColumnFormula>
    </tableColumn>
    <tableColumn id="7" xr3:uid="{CB81D4BD-EFD2-4B16-B87E-04E569BDC41C}" name="Gender" dataDxfId="41"/>
    <tableColumn id="8" xr3:uid="{4D219DBC-2B7A-4CA8-A07D-3CF550097874}" name="Relationship to Self" dataDxfId="40"/>
    <tableColumn id="9" xr3:uid="{2683EDC2-B273-4FF3-84E6-404A98D8DCC9}" name="GHI Sum Insured" dataDxfId="39" dataCellStyle="Comma"/>
    <tableColumn id="14" xr3:uid="{859F5AFF-A9FF-4797-9152-57EF3AF8A9C0}" name="Mobile Number" dataDxfId="38"/>
    <tableColumn id="15" xr3:uid="{76CC319B-5156-48DE-8D7E-F81299ACC16C}" name="Email" dataDxfId="37"/>
    <tableColumn id="16" xr3:uid="{719604DC-B1A5-421E-A6B2-5CF3A9AF87CE}" name="Error" dataDxfId="36" dataCellStyle="Warning Text">
      <calculatedColumnFormula>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calculatedColumnFormula>
    </tableColumn>
    <tableColumn id="17" xr3:uid="{63D9AEE1-6374-45B3-BFB3-98281B181E9F}" name="Error_Relationship" dataDxfId="35">
      <calculatedColumnFormula>IF(ISNUMBER(MATCH(Table1[[#This Row],[Relationship to Self]],[1]!Table4[Valid Relations],0)),"","Invalid relationship to employee. ")</calculatedColumnFormula>
    </tableColumn>
    <tableColumn id="18" xr3:uid="{D86333CF-07A8-4834-9B0E-ECC7B6B6C79F}" name="Error_Age" dataDxfId="34">
      <calculatedColumnFormula>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calculatedColumnFormula>
    </tableColumn>
    <tableColumn id="19" xr3:uid="{1F499B3F-48C8-4FD2-BCE2-810B68B0F18B}" name="Error_Gender" dataDxfId="33">
      <calculatedColumnFormula>IF(ISNUMBER(MATCH(Table1[[#This Row],[Gender]],[1]!Table6[Gender],0)),"","Invalid gender. ")</calculatedColumnFormula>
    </tableColumn>
    <tableColumn id="20" xr3:uid="{A7411694-03B9-4D89-A74B-DB6AEDC37DB3}" name="Error_Ph" dataDxfId="32">
      <calculatedColumnFormula>IF(Table1[[#This Row],[Relationship to Self]]&lt;&gt;"Self","",IF(AND(Table1[[#This Row],[Mobile Number]]&gt;6000000000,Table1[[#This Row],[Mobile Number]]&lt;9999999999),"","The entered mobile number is invalid. "))</calculatedColumnFormula>
    </tableColumn>
    <tableColumn id="21" xr3:uid="{4D07964B-0975-4838-8B0A-BC67177D7C50}" name="Error_Email" dataDxfId="31">
      <calculatedColumnFormula array="1">IF(Table1[[#This Row],[Relationship to Self]]&lt;&gt;"Self","",IF(IsEmailValid(Table1[[#This Row],[Email]]),IF(ISNUMBER(SEARCH([1]Valid!$K$1,Table1[[#This Row],[Email]])),"","The entered email is not corporate email. "),"The entered email is invalid. "))</calculatedColumnFormula>
    </tableColumn>
    <tableColumn id="24" xr3:uid="{AF7F8ABC-FD05-4CC8-A535-D35F9B186A66}" name="Error_Name" dataDxfId="30">
      <calculatedColumnFormula>IF(Table1[[#This Row],[Member Name]]="","Please enter Member Name. ","")</calculatedColumnFormula>
    </tableColumn>
    <tableColumn id="25" xr3:uid="{A7ADD335-EAD7-462D-8813-380CE835084D}" name="Error_DoB" dataDxfId="29">
      <calculatedColumnFormula>IF(YEAR(Table1[[#This Row],[Date of Birth]])=1905, "DoB is incomplete. ","")</calculatedColumnFormula>
    </tableColumn>
    <tableColumn id="22" xr3:uid="{D85C0911-80BF-4DA4-961C-80370651896F}" name="Error_Duplicate" dataDxfId="28">
      <calculatedColumnFormula>IF(COUNTIFS(Table1[Employee ID],Table1[[#This Row],[Employee ID]],Table1[Date of Birth],Table1[[#This Row],[Date of Birth]],Table1[Relationship to Self],Table1[[#This Row],[Relationship to Self]],Table1[Member Name],Table1[[#This Row],[Member Name]])&gt;1,"This entry is repeated multiple times. ","")</calculatedColumnFormula>
    </tableColumn>
    <tableColumn id="26" xr3:uid="{1705B0A6-2C26-4DEA-84E2-906FFB6B6E15}" name="Error_EmployeeID" dataDxfId="27">
      <calculatedColumnFormula>IF(COUNTIFS(Table1[Employee ID],Table1[[#This Row],[Employee ID]],Table1[Relationship to Self],"Self")&gt;1, "Duplicate Employee ID","")</calculatedColumnFormula>
    </tableColumn>
    <tableColumn id="11" xr3:uid="{D78C5901-E7F8-2E44-9519-3976C40A0954}" name="Error_Spouse" dataDxfId="26">
      <calculatedColumnFormula array="1">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calculatedColumnFormula>
    </tableColumn>
    <tableColumn id="13" xr3:uid="{5E54D2D2-0AFA-9540-B734-EF50B08223F8}" name="Error_Child_Count" dataDxfId="25">
      <calculatedColumnFormula>IF(Table1[[#This Row],[Relationship to Self]]="Self",IF(COUNTIFS(Table1[Relationship to Self],"Child",Table1[Employee ID],Table1[[#This Row],[Employee ID]])&gt;2, "More than 2 children",""),"")</calculatedColumnFormula>
    </tableColumn>
    <tableColumn id="27" xr3:uid="{4E8AB786-04B7-374E-A944-8B314D6F12ED}" name="Error_No_Self" dataDxfId="24">
      <calculatedColumnFormula>IF(AND(Table1[[#This Row],[Relationship to Self]]&lt;&gt;"Self", Table1[[#This Row],[Relationship to Self]]&lt;&gt;""),IF(COUNTIFS(Table1[Employee ID],Table1[[#This Row],[Employee ID]],Table1[Relationship to Self],"Self")=0,"No Self member for this dependent",""),"")</calculatedColumnFormula>
    </tableColumn>
    <tableColumn id="28" xr3:uid="{F2ECB79E-0413-ED44-9F69-2486A40E5304}" name="Error_Parent_Diff" dataDxfId="23">
      <calculatedColumnFormula array="1">IF(Table1[[#This Row],[Relationship to Self]]="Parent",IF(Table1[[#This Row],[Age]]-_xlfn._xlws.FILTER(Table1[Age],(Table1[Employee ID]=Table1[[#This Row],[Employee ID]])*(Table1[Relationship to Self]="Self"))&lt;18,"Difference between self and parent should be atleast 18 years",""),"")</calculatedColumnFormula>
    </tableColumn>
    <tableColumn id="12" xr3:uid="{8D7B0166-7EA3-5D4A-8BE8-92500D1B7302}" name="Error_Spouse_Gender" dataDxfId="22">
      <calculatedColumnFormula array="1">IF(Table1[[#This Row],[Relationship to Self]]="Self",IF(Table1[[#This Row],[Gender]]=_xlfn._xlws.FILTER($H:$H, ($B:$B=Table1[[#This Row],[Employee ID]])*($I:$I="Spouse")), "Self and spouse cannot have same gender",""), "")</calculatedColumnFormula>
    </tableColumn>
    <tableColumn id="23" xr3:uid="{F6D2D512-AC58-4903-A41B-B7E45D367BC9}" name="Other Errors, if any" dataDxfId="21"/>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FAE5-A56D-426C-953E-35C920526E08}">
  <sheetPr codeName="Sheet2"/>
  <dimension ref="A1:B12"/>
  <sheetViews>
    <sheetView showGridLines="0" workbookViewId="0">
      <selection activeCell="G8" sqref="G8"/>
    </sheetView>
  </sheetViews>
  <sheetFormatPr defaultColWidth="8.88671875" defaultRowHeight="14.4" x14ac:dyDescent="0.3"/>
  <cols>
    <col min="1" max="1" width="29.109375" customWidth="1"/>
    <col min="2" max="2" width="49.44140625" customWidth="1"/>
  </cols>
  <sheetData>
    <row r="1" spans="1:2" x14ac:dyDescent="0.3">
      <c r="A1" s="1" t="s">
        <v>0</v>
      </c>
    </row>
    <row r="2" spans="1:2" x14ac:dyDescent="0.3">
      <c r="A2" s="1" t="s">
        <v>1</v>
      </c>
    </row>
    <row r="4" spans="1:2" x14ac:dyDescent="0.3">
      <c r="A4" s="37" t="s">
        <v>2</v>
      </c>
      <c r="B4" s="38"/>
    </row>
    <row r="5" spans="1:2" x14ac:dyDescent="0.3">
      <c r="A5" s="37" t="s">
        <v>3</v>
      </c>
      <c r="B5" s="38"/>
    </row>
    <row r="6" spans="1:2" x14ac:dyDescent="0.3">
      <c r="A6" s="37" t="s">
        <v>4</v>
      </c>
      <c r="B6" s="38"/>
    </row>
    <row r="7" spans="1:2" x14ac:dyDescent="0.3">
      <c r="A7" s="37" t="s">
        <v>5</v>
      </c>
      <c r="B7" s="38"/>
    </row>
    <row r="8" spans="1:2" x14ac:dyDescent="0.3">
      <c r="A8" s="37" t="s">
        <v>6</v>
      </c>
      <c r="B8" s="38" t="s">
        <v>7</v>
      </c>
    </row>
    <row r="9" spans="1:2" x14ac:dyDescent="0.3">
      <c r="A9" s="37" t="s">
        <v>8</v>
      </c>
      <c r="B9" s="38" t="s">
        <v>7</v>
      </c>
    </row>
    <row r="10" spans="1:2" x14ac:dyDescent="0.3">
      <c r="A10" s="37" t="s">
        <v>9</v>
      </c>
      <c r="B10" s="38" t="s">
        <v>7</v>
      </c>
    </row>
    <row r="11" spans="1:2" x14ac:dyDescent="0.3">
      <c r="A11" s="37" t="s">
        <v>10</v>
      </c>
      <c r="B11" s="38"/>
    </row>
    <row r="12" spans="1:2" x14ac:dyDescent="0.3">
      <c r="A12" s="39" t="s">
        <v>11</v>
      </c>
      <c r="B12" s="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B7EC-294C-4005-B0CB-7DB42961D2BF}">
  <sheetPr codeName="Sheet3"/>
  <dimension ref="A1:E45"/>
  <sheetViews>
    <sheetView workbookViewId="0">
      <selection activeCell="B6" sqref="B6"/>
    </sheetView>
  </sheetViews>
  <sheetFormatPr defaultColWidth="8.88671875" defaultRowHeight="14.4" x14ac:dyDescent="0.3"/>
  <cols>
    <col min="2" max="2" width="39.88671875" bestFit="1" customWidth="1"/>
    <col min="3" max="3" width="8.88671875" customWidth="1"/>
    <col min="4" max="4" width="40" bestFit="1" customWidth="1"/>
    <col min="5" max="5" width="23.44140625" customWidth="1"/>
    <col min="258" max="258" width="39.88671875" bestFit="1" customWidth="1"/>
    <col min="259" max="259" width="8.88671875" customWidth="1"/>
    <col min="260" max="260" width="40" bestFit="1" customWidth="1"/>
    <col min="261" max="261" width="23.44140625" customWidth="1"/>
    <col min="514" max="514" width="39.88671875" bestFit="1" customWidth="1"/>
    <col min="515" max="515" width="8.88671875" customWidth="1"/>
    <col min="516" max="516" width="40" bestFit="1" customWidth="1"/>
    <col min="517" max="517" width="23.44140625" customWidth="1"/>
    <col min="770" max="770" width="39.88671875" bestFit="1" customWidth="1"/>
    <col min="771" max="771" width="8.88671875" customWidth="1"/>
    <col min="772" max="772" width="40" bestFit="1" customWidth="1"/>
    <col min="773" max="773" width="23.44140625" customWidth="1"/>
    <col min="1026" max="1026" width="39.88671875" bestFit="1" customWidth="1"/>
    <col min="1027" max="1027" width="8.88671875" customWidth="1"/>
    <col min="1028" max="1028" width="40" bestFit="1" customWidth="1"/>
    <col min="1029" max="1029" width="23.44140625" customWidth="1"/>
    <col min="1282" max="1282" width="39.88671875" bestFit="1" customWidth="1"/>
    <col min="1283" max="1283" width="8.88671875" customWidth="1"/>
    <col min="1284" max="1284" width="40" bestFit="1" customWidth="1"/>
    <col min="1285" max="1285" width="23.44140625" customWidth="1"/>
    <col min="1538" max="1538" width="39.88671875" bestFit="1" customWidth="1"/>
    <col min="1539" max="1539" width="8.88671875" customWidth="1"/>
    <col min="1540" max="1540" width="40" bestFit="1" customWidth="1"/>
    <col min="1541" max="1541" width="23.44140625" customWidth="1"/>
    <col min="1794" max="1794" width="39.88671875" bestFit="1" customWidth="1"/>
    <col min="1795" max="1795" width="8.88671875" customWidth="1"/>
    <col min="1796" max="1796" width="40" bestFit="1" customWidth="1"/>
    <col min="1797" max="1797" width="23.44140625" customWidth="1"/>
    <col min="2050" max="2050" width="39.88671875" bestFit="1" customWidth="1"/>
    <col min="2051" max="2051" width="8.88671875" customWidth="1"/>
    <col min="2052" max="2052" width="40" bestFit="1" customWidth="1"/>
    <col min="2053" max="2053" width="23.44140625" customWidth="1"/>
    <col min="2306" max="2306" width="39.88671875" bestFit="1" customWidth="1"/>
    <col min="2307" max="2307" width="8.88671875" customWidth="1"/>
    <col min="2308" max="2308" width="40" bestFit="1" customWidth="1"/>
    <col min="2309" max="2309" width="23.44140625" customWidth="1"/>
    <col min="2562" max="2562" width="39.88671875" bestFit="1" customWidth="1"/>
    <col min="2563" max="2563" width="8.88671875" customWidth="1"/>
    <col min="2564" max="2564" width="40" bestFit="1" customWidth="1"/>
    <col min="2565" max="2565" width="23.44140625" customWidth="1"/>
    <col min="2818" max="2818" width="39.88671875" bestFit="1" customWidth="1"/>
    <col min="2819" max="2819" width="8.88671875" customWidth="1"/>
    <col min="2820" max="2820" width="40" bestFit="1" customWidth="1"/>
    <col min="2821" max="2821" width="23.44140625" customWidth="1"/>
    <col min="3074" max="3074" width="39.88671875" bestFit="1" customWidth="1"/>
    <col min="3075" max="3075" width="8.88671875" customWidth="1"/>
    <col min="3076" max="3076" width="40" bestFit="1" customWidth="1"/>
    <col min="3077" max="3077" width="23.44140625" customWidth="1"/>
    <col min="3330" max="3330" width="39.88671875" bestFit="1" customWidth="1"/>
    <col min="3331" max="3331" width="8.88671875" customWidth="1"/>
    <col min="3332" max="3332" width="40" bestFit="1" customWidth="1"/>
    <col min="3333" max="3333" width="23.44140625" customWidth="1"/>
    <col min="3586" max="3586" width="39.88671875" bestFit="1" customWidth="1"/>
    <col min="3587" max="3587" width="8.88671875" customWidth="1"/>
    <col min="3588" max="3588" width="40" bestFit="1" customWidth="1"/>
    <col min="3589" max="3589" width="23.44140625" customWidth="1"/>
    <col min="3842" max="3842" width="39.88671875" bestFit="1" customWidth="1"/>
    <col min="3843" max="3843" width="8.88671875" customWidth="1"/>
    <col min="3844" max="3844" width="40" bestFit="1" customWidth="1"/>
    <col min="3845" max="3845" width="23.44140625" customWidth="1"/>
    <col min="4098" max="4098" width="39.88671875" bestFit="1" customWidth="1"/>
    <col min="4099" max="4099" width="8.88671875" customWidth="1"/>
    <col min="4100" max="4100" width="40" bestFit="1" customWidth="1"/>
    <col min="4101" max="4101" width="23.44140625" customWidth="1"/>
    <col min="4354" max="4354" width="39.88671875" bestFit="1" customWidth="1"/>
    <col min="4355" max="4355" width="8.88671875" customWidth="1"/>
    <col min="4356" max="4356" width="40" bestFit="1" customWidth="1"/>
    <col min="4357" max="4357" width="23.44140625" customWidth="1"/>
    <col min="4610" max="4610" width="39.88671875" bestFit="1" customWidth="1"/>
    <col min="4611" max="4611" width="8.88671875" customWidth="1"/>
    <col min="4612" max="4612" width="40" bestFit="1" customWidth="1"/>
    <col min="4613" max="4613" width="23.44140625" customWidth="1"/>
    <col min="4866" max="4866" width="39.88671875" bestFit="1" customWidth="1"/>
    <col min="4867" max="4867" width="8.88671875" customWidth="1"/>
    <col min="4868" max="4868" width="40" bestFit="1" customWidth="1"/>
    <col min="4869" max="4869" width="23.44140625" customWidth="1"/>
    <col min="5122" max="5122" width="39.88671875" bestFit="1" customWidth="1"/>
    <col min="5123" max="5123" width="8.88671875" customWidth="1"/>
    <col min="5124" max="5124" width="40" bestFit="1" customWidth="1"/>
    <col min="5125" max="5125" width="23.44140625" customWidth="1"/>
    <col min="5378" max="5378" width="39.88671875" bestFit="1" customWidth="1"/>
    <col min="5379" max="5379" width="8.88671875" customWidth="1"/>
    <col min="5380" max="5380" width="40" bestFit="1" customWidth="1"/>
    <col min="5381" max="5381" width="23.44140625" customWidth="1"/>
    <col min="5634" max="5634" width="39.88671875" bestFit="1" customWidth="1"/>
    <col min="5635" max="5635" width="8.88671875" customWidth="1"/>
    <col min="5636" max="5636" width="40" bestFit="1" customWidth="1"/>
    <col min="5637" max="5637" width="23.44140625" customWidth="1"/>
    <col min="5890" max="5890" width="39.88671875" bestFit="1" customWidth="1"/>
    <col min="5891" max="5891" width="8.88671875" customWidth="1"/>
    <col min="5892" max="5892" width="40" bestFit="1" customWidth="1"/>
    <col min="5893" max="5893" width="23.44140625" customWidth="1"/>
    <col min="6146" max="6146" width="39.88671875" bestFit="1" customWidth="1"/>
    <col min="6147" max="6147" width="8.88671875" customWidth="1"/>
    <col min="6148" max="6148" width="40" bestFit="1" customWidth="1"/>
    <col min="6149" max="6149" width="23.44140625" customWidth="1"/>
    <col min="6402" max="6402" width="39.88671875" bestFit="1" customWidth="1"/>
    <col min="6403" max="6403" width="8.88671875" customWidth="1"/>
    <col min="6404" max="6404" width="40" bestFit="1" customWidth="1"/>
    <col min="6405" max="6405" width="23.44140625" customWidth="1"/>
    <col min="6658" max="6658" width="39.88671875" bestFit="1" customWidth="1"/>
    <col min="6659" max="6659" width="8.88671875" customWidth="1"/>
    <col min="6660" max="6660" width="40" bestFit="1" customWidth="1"/>
    <col min="6661" max="6661" width="23.44140625" customWidth="1"/>
    <col min="6914" max="6914" width="39.88671875" bestFit="1" customWidth="1"/>
    <col min="6915" max="6915" width="8.88671875" customWidth="1"/>
    <col min="6916" max="6916" width="40" bestFit="1" customWidth="1"/>
    <col min="6917" max="6917" width="23.44140625" customWidth="1"/>
    <col min="7170" max="7170" width="39.88671875" bestFit="1" customWidth="1"/>
    <col min="7171" max="7171" width="8.88671875" customWidth="1"/>
    <col min="7172" max="7172" width="40" bestFit="1" customWidth="1"/>
    <col min="7173" max="7173" width="23.44140625" customWidth="1"/>
    <col min="7426" max="7426" width="39.88671875" bestFit="1" customWidth="1"/>
    <col min="7427" max="7427" width="8.88671875" customWidth="1"/>
    <col min="7428" max="7428" width="40" bestFit="1" customWidth="1"/>
    <col min="7429" max="7429" width="23.44140625" customWidth="1"/>
    <col min="7682" max="7682" width="39.88671875" bestFit="1" customWidth="1"/>
    <col min="7683" max="7683" width="8.88671875" customWidth="1"/>
    <col min="7684" max="7684" width="40" bestFit="1" customWidth="1"/>
    <col min="7685" max="7685" width="23.44140625" customWidth="1"/>
    <col min="7938" max="7938" width="39.88671875" bestFit="1" customWidth="1"/>
    <col min="7939" max="7939" width="8.88671875" customWidth="1"/>
    <col min="7940" max="7940" width="40" bestFit="1" customWidth="1"/>
    <col min="7941" max="7941" width="23.44140625" customWidth="1"/>
    <col min="8194" max="8194" width="39.88671875" bestFit="1" customWidth="1"/>
    <col min="8195" max="8195" width="8.88671875" customWidth="1"/>
    <col min="8196" max="8196" width="40" bestFit="1" customWidth="1"/>
    <col min="8197" max="8197" width="23.44140625" customWidth="1"/>
    <col min="8450" max="8450" width="39.88671875" bestFit="1" customWidth="1"/>
    <col min="8451" max="8451" width="8.88671875" customWidth="1"/>
    <col min="8452" max="8452" width="40" bestFit="1" customWidth="1"/>
    <col min="8453" max="8453" width="23.44140625" customWidth="1"/>
    <col min="8706" max="8706" width="39.88671875" bestFit="1" customWidth="1"/>
    <col min="8707" max="8707" width="8.88671875" customWidth="1"/>
    <col min="8708" max="8708" width="40" bestFit="1" customWidth="1"/>
    <col min="8709" max="8709" width="23.44140625" customWidth="1"/>
    <col min="8962" max="8962" width="39.88671875" bestFit="1" customWidth="1"/>
    <col min="8963" max="8963" width="8.88671875" customWidth="1"/>
    <col min="8964" max="8964" width="40" bestFit="1" customWidth="1"/>
    <col min="8965" max="8965" width="23.44140625" customWidth="1"/>
    <col min="9218" max="9218" width="39.88671875" bestFit="1" customWidth="1"/>
    <col min="9219" max="9219" width="8.88671875" customWidth="1"/>
    <col min="9220" max="9220" width="40" bestFit="1" customWidth="1"/>
    <col min="9221" max="9221" width="23.44140625" customWidth="1"/>
    <col min="9474" max="9474" width="39.88671875" bestFit="1" customWidth="1"/>
    <col min="9475" max="9475" width="8.88671875" customWidth="1"/>
    <col min="9476" max="9476" width="40" bestFit="1" customWidth="1"/>
    <col min="9477" max="9477" width="23.44140625" customWidth="1"/>
    <col min="9730" max="9730" width="39.88671875" bestFit="1" customWidth="1"/>
    <col min="9731" max="9731" width="8.88671875" customWidth="1"/>
    <col min="9732" max="9732" width="40" bestFit="1" customWidth="1"/>
    <col min="9733" max="9733" width="23.44140625" customWidth="1"/>
    <col min="9986" max="9986" width="39.88671875" bestFit="1" customWidth="1"/>
    <col min="9987" max="9987" width="8.88671875" customWidth="1"/>
    <col min="9988" max="9988" width="40" bestFit="1" customWidth="1"/>
    <col min="9989" max="9989" width="23.44140625" customWidth="1"/>
    <col min="10242" max="10242" width="39.88671875" bestFit="1" customWidth="1"/>
    <col min="10243" max="10243" width="8.88671875" customWidth="1"/>
    <col min="10244" max="10244" width="40" bestFit="1" customWidth="1"/>
    <col min="10245" max="10245" width="23.44140625" customWidth="1"/>
    <col min="10498" max="10498" width="39.88671875" bestFit="1" customWidth="1"/>
    <col min="10499" max="10499" width="8.88671875" customWidth="1"/>
    <col min="10500" max="10500" width="40" bestFit="1" customWidth="1"/>
    <col min="10501" max="10501" width="23.44140625" customWidth="1"/>
    <col min="10754" max="10754" width="39.88671875" bestFit="1" customWidth="1"/>
    <col min="10755" max="10755" width="8.88671875" customWidth="1"/>
    <col min="10756" max="10756" width="40" bestFit="1" customWidth="1"/>
    <col min="10757" max="10757" width="23.44140625" customWidth="1"/>
    <col min="11010" max="11010" width="39.88671875" bestFit="1" customWidth="1"/>
    <col min="11011" max="11011" width="8.88671875" customWidth="1"/>
    <col min="11012" max="11012" width="40" bestFit="1" customWidth="1"/>
    <col min="11013" max="11013" width="23.44140625" customWidth="1"/>
    <col min="11266" max="11266" width="39.88671875" bestFit="1" customWidth="1"/>
    <col min="11267" max="11267" width="8.88671875" customWidth="1"/>
    <col min="11268" max="11268" width="40" bestFit="1" customWidth="1"/>
    <col min="11269" max="11269" width="23.44140625" customWidth="1"/>
    <col min="11522" max="11522" width="39.88671875" bestFit="1" customWidth="1"/>
    <col min="11523" max="11523" width="8.88671875" customWidth="1"/>
    <col min="11524" max="11524" width="40" bestFit="1" customWidth="1"/>
    <col min="11525" max="11525" width="23.44140625" customWidth="1"/>
    <col min="11778" max="11778" width="39.88671875" bestFit="1" customWidth="1"/>
    <col min="11779" max="11779" width="8.88671875" customWidth="1"/>
    <col min="11780" max="11780" width="40" bestFit="1" customWidth="1"/>
    <col min="11781" max="11781" width="23.44140625" customWidth="1"/>
    <col min="12034" max="12034" width="39.88671875" bestFit="1" customWidth="1"/>
    <col min="12035" max="12035" width="8.88671875" customWidth="1"/>
    <col min="12036" max="12036" width="40" bestFit="1" customWidth="1"/>
    <col min="12037" max="12037" width="23.44140625" customWidth="1"/>
    <col min="12290" max="12290" width="39.88671875" bestFit="1" customWidth="1"/>
    <col min="12291" max="12291" width="8.88671875" customWidth="1"/>
    <col min="12292" max="12292" width="40" bestFit="1" customWidth="1"/>
    <col min="12293" max="12293" width="23.44140625" customWidth="1"/>
    <col min="12546" max="12546" width="39.88671875" bestFit="1" customWidth="1"/>
    <col min="12547" max="12547" width="8.88671875" customWidth="1"/>
    <col min="12548" max="12548" width="40" bestFit="1" customWidth="1"/>
    <col min="12549" max="12549" width="23.44140625" customWidth="1"/>
    <col min="12802" max="12802" width="39.88671875" bestFit="1" customWidth="1"/>
    <col min="12803" max="12803" width="8.88671875" customWidth="1"/>
    <col min="12804" max="12804" width="40" bestFit="1" customWidth="1"/>
    <col min="12805" max="12805" width="23.44140625" customWidth="1"/>
    <col min="13058" max="13058" width="39.88671875" bestFit="1" customWidth="1"/>
    <col min="13059" max="13059" width="8.88671875" customWidth="1"/>
    <col min="13060" max="13060" width="40" bestFit="1" customWidth="1"/>
    <col min="13061" max="13061" width="23.44140625" customWidth="1"/>
    <col min="13314" max="13314" width="39.88671875" bestFit="1" customWidth="1"/>
    <col min="13315" max="13315" width="8.88671875" customWidth="1"/>
    <col min="13316" max="13316" width="40" bestFit="1" customWidth="1"/>
    <col min="13317" max="13317" width="23.44140625" customWidth="1"/>
    <col min="13570" max="13570" width="39.88671875" bestFit="1" customWidth="1"/>
    <col min="13571" max="13571" width="8.88671875" customWidth="1"/>
    <col min="13572" max="13572" width="40" bestFit="1" customWidth="1"/>
    <col min="13573" max="13573" width="23.44140625" customWidth="1"/>
    <col min="13826" max="13826" width="39.88671875" bestFit="1" customWidth="1"/>
    <col min="13827" max="13827" width="8.88671875" customWidth="1"/>
    <col min="13828" max="13828" width="40" bestFit="1" customWidth="1"/>
    <col min="13829" max="13829" width="23.44140625" customWidth="1"/>
    <col min="14082" max="14082" width="39.88671875" bestFit="1" customWidth="1"/>
    <col min="14083" max="14083" width="8.88671875" customWidth="1"/>
    <col min="14084" max="14084" width="40" bestFit="1" customWidth="1"/>
    <col min="14085" max="14085" width="23.44140625" customWidth="1"/>
    <col min="14338" max="14338" width="39.88671875" bestFit="1" customWidth="1"/>
    <col min="14339" max="14339" width="8.88671875" customWidth="1"/>
    <col min="14340" max="14340" width="40" bestFit="1" customWidth="1"/>
    <col min="14341" max="14341" width="23.44140625" customWidth="1"/>
    <col min="14594" max="14594" width="39.88671875" bestFit="1" customWidth="1"/>
    <col min="14595" max="14595" width="8.88671875" customWidth="1"/>
    <col min="14596" max="14596" width="40" bestFit="1" customWidth="1"/>
    <col min="14597" max="14597" width="23.44140625" customWidth="1"/>
    <col min="14850" max="14850" width="39.88671875" bestFit="1" customWidth="1"/>
    <col min="14851" max="14851" width="8.88671875" customWidth="1"/>
    <col min="14852" max="14852" width="40" bestFit="1" customWidth="1"/>
    <col min="14853" max="14853" width="23.44140625" customWidth="1"/>
    <col min="15106" max="15106" width="39.88671875" bestFit="1" customWidth="1"/>
    <col min="15107" max="15107" width="8.88671875" customWidth="1"/>
    <col min="15108" max="15108" width="40" bestFit="1" customWidth="1"/>
    <col min="15109" max="15109" width="23.44140625" customWidth="1"/>
    <col min="15362" max="15362" width="39.88671875" bestFit="1" customWidth="1"/>
    <col min="15363" max="15363" width="8.88671875" customWidth="1"/>
    <col min="15364" max="15364" width="40" bestFit="1" customWidth="1"/>
    <col min="15365" max="15365" width="23.44140625" customWidth="1"/>
    <col min="15618" max="15618" width="39.88671875" bestFit="1" customWidth="1"/>
    <col min="15619" max="15619" width="8.88671875" customWidth="1"/>
    <col min="15620" max="15620" width="40" bestFit="1" customWidth="1"/>
    <col min="15621" max="15621" width="23.44140625" customWidth="1"/>
    <col min="15874" max="15874" width="39.88671875" bestFit="1" customWidth="1"/>
    <col min="15875" max="15875" width="8.88671875" customWidth="1"/>
    <col min="15876" max="15876" width="40" bestFit="1" customWidth="1"/>
    <col min="15877" max="15877" width="23.44140625" customWidth="1"/>
    <col min="16130" max="16130" width="39.88671875" bestFit="1" customWidth="1"/>
    <col min="16131" max="16131" width="8.88671875" customWidth="1"/>
    <col min="16132" max="16132" width="40" bestFit="1" customWidth="1"/>
    <col min="16133" max="16133" width="23.44140625" customWidth="1"/>
  </cols>
  <sheetData>
    <row r="1" spans="1:5" x14ac:dyDescent="0.3">
      <c r="A1" s="2"/>
      <c r="B1" s="2"/>
      <c r="C1" s="3"/>
      <c r="D1" s="2"/>
      <c r="E1" s="2"/>
    </row>
    <row r="2" spans="1:5" x14ac:dyDescent="0.3">
      <c r="A2" s="2"/>
      <c r="B2" s="2"/>
      <c r="C2" s="3"/>
      <c r="D2" s="2"/>
      <c r="E2" s="2"/>
    </row>
    <row r="3" spans="1:5" x14ac:dyDescent="0.3">
      <c r="A3" s="2"/>
      <c r="B3" s="2"/>
      <c r="C3" s="3"/>
      <c r="D3" s="2"/>
      <c r="E3" s="2"/>
    </row>
    <row r="4" spans="1:5" x14ac:dyDescent="0.3">
      <c r="A4" s="2"/>
      <c r="B4" s="2"/>
      <c r="C4" s="3"/>
      <c r="D4" s="2"/>
      <c r="E4" s="2"/>
    </row>
    <row r="5" spans="1:5" x14ac:dyDescent="0.3">
      <c r="A5" s="2"/>
      <c r="B5" s="2"/>
      <c r="C5" s="3"/>
      <c r="D5" s="2"/>
      <c r="E5" s="2"/>
    </row>
    <row r="6" spans="1:5" ht="15" thickBot="1" x14ac:dyDescent="0.35">
      <c r="A6" s="2"/>
      <c r="B6" s="2"/>
      <c r="C6" s="3"/>
      <c r="D6" s="2"/>
      <c r="E6" s="2"/>
    </row>
    <row r="7" spans="1:5" ht="18" thickBot="1" x14ac:dyDescent="0.35">
      <c r="A7" s="2"/>
      <c r="B7" s="107" t="s">
        <v>12</v>
      </c>
      <c r="C7" s="108"/>
      <c r="D7" s="108"/>
      <c r="E7" s="2"/>
    </row>
    <row r="8" spans="1:5" x14ac:dyDescent="0.3">
      <c r="A8" s="2"/>
      <c r="B8" s="2"/>
      <c r="C8" s="3"/>
      <c r="D8" s="2"/>
      <c r="E8" s="2"/>
    </row>
    <row r="9" spans="1:5" x14ac:dyDescent="0.3">
      <c r="A9" s="2"/>
      <c r="B9" s="2"/>
      <c r="C9" s="3"/>
      <c r="D9" s="2"/>
      <c r="E9" s="2"/>
    </row>
    <row r="10" spans="1:5" x14ac:dyDescent="0.3">
      <c r="A10" s="2"/>
      <c r="B10" s="4" t="s">
        <v>13</v>
      </c>
      <c r="C10" s="5" t="s">
        <v>14</v>
      </c>
      <c r="D10" s="6" t="s">
        <v>15</v>
      </c>
      <c r="E10" s="2"/>
    </row>
    <row r="11" spans="1:5" x14ac:dyDescent="0.3">
      <c r="A11" s="2"/>
      <c r="B11" s="4" t="s">
        <v>16</v>
      </c>
      <c r="C11" s="5" t="s">
        <v>14</v>
      </c>
      <c r="D11" s="7" t="s">
        <v>17</v>
      </c>
      <c r="E11" s="2"/>
    </row>
    <row r="12" spans="1:5" x14ac:dyDescent="0.3">
      <c r="A12" s="2"/>
      <c r="B12" s="4" t="s">
        <v>18</v>
      </c>
      <c r="C12" s="5" t="s">
        <v>14</v>
      </c>
      <c r="D12" s="6" t="s">
        <v>19</v>
      </c>
      <c r="E12" s="2"/>
    </row>
    <row r="13" spans="1:5" x14ac:dyDescent="0.3">
      <c r="A13" s="2"/>
      <c r="B13" s="4" t="s">
        <v>20</v>
      </c>
      <c r="C13" s="5" t="s">
        <v>14</v>
      </c>
      <c r="D13" s="6" t="s">
        <v>21</v>
      </c>
      <c r="E13" s="2"/>
    </row>
    <row r="14" spans="1:5" x14ac:dyDescent="0.3">
      <c r="A14" s="2"/>
      <c r="B14" s="4" t="s">
        <v>22</v>
      </c>
      <c r="C14" s="5" t="s">
        <v>14</v>
      </c>
      <c r="D14" s="8" t="s">
        <v>23</v>
      </c>
      <c r="E14" s="2"/>
    </row>
    <row r="15" spans="1:5" x14ac:dyDescent="0.3">
      <c r="A15" s="2"/>
      <c r="B15" s="2"/>
      <c r="C15" s="3"/>
      <c r="D15" s="2"/>
      <c r="E15" s="2"/>
    </row>
    <row r="16" spans="1:5" x14ac:dyDescent="0.3">
      <c r="A16" s="2"/>
      <c r="B16" s="9" t="s">
        <v>24</v>
      </c>
      <c r="C16" s="10" t="s">
        <v>14</v>
      </c>
      <c r="D16" s="10" t="s">
        <v>25</v>
      </c>
    </row>
    <row r="17" spans="1:4" ht="50.4" x14ac:dyDescent="0.3">
      <c r="A17" s="2"/>
      <c r="B17" s="11" t="s">
        <v>26</v>
      </c>
      <c r="C17" s="5" t="s">
        <v>14</v>
      </c>
      <c r="D17" s="12" t="s">
        <v>27</v>
      </c>
    </row>
    <row r="18" spans="1:4" ht="25.2" x14ac:dyDescent="0.3">
      <c r="A18" s="2"/>
      <c r="B18" s="11" t="s">
        <v>28</v>
      </c>
      <c r="C18" s="5"/>
      <c r="D18" s="12" t="s">
        <v>29</v>
      </c>
    </row>
    <row r="19" spans="1:4" x14ac:dyDescent="0.3">
      <c r="A19" s="2"/>
      <c r="B19" s="11" t="s">
        <v>30</v>
      </c>
      <c r="C19" s="5" t="s">
        <v>14</v>
      </c>
      <c r="D19" s="12" t="s">
        <v>31</v>
      </c>
    </row>
    <row r="20" spans="1:4" x14ac:dyDescent="0.3">
      <c r="A20" s="2"/>
      <c r="B20" s="11" t="s">
        <v>32</v>
      </c>
      <c r="C20" s="5" t="s">
        <v>14</v>
      </c>
      <c r="D20" s="12" t="s">
        <v>29</v>
      </c>
    </row>
    <row r="21" spans="1:4" x14ac:dyDescent="0.3">
      <c r="A21" s="2"/>
      <c r="B21" s="11" t="s">
        <v>33</v>
      </c>
      <c r="C21" s="5" t="s">
        <v>14</v>
      </c>
      <c r="D21" s="12" t="s">
        <v>34</v>
      </c>
    </row>
    <row r="22" spans="1:4" ht="25.2" x14ac:dyDescent="0.3">
      <c r="A22" s="2"/>
      <c r="B22" s="11" t="s">
        <v>35</v>
      </c>
      <c r="C22" s="5" t="s">
        <v>14</v>
      </c>
      <c r="D22" s="12" t="s">
        <v>36</v>
      </c>
    </row>
    <row r="23" spans="1:4" x14ac:dyDescent="0.3">
      <c r="A23" s="2"/>
      <c r="B23" s="11" t="s">
        <v>37</v>
      </c>
      <c r="C23" s="5" t="s">
        <v>14</v>
      </c>
      <c r="D23" s="12" t="s">
        <v>29</v>
      </c>
    </row>
    <row r="24" spans="1:4" ht="25.2" x14ac:dyDescent="0.3">
      <c r="A24" s="2"/>
      <c r="B24" s="11" t="s">
        <v>38</v>
      </c>
      <c r="C24" s="5" t="s">
        <v>14</v>
      </c>
      <c r="D24" s="12" t="s">
        <v>39</v>
      </c>
    </row>
    <row r="25" spans="1:4" ht="126" x14ac:dyDescent="0.3">
      <c r="A25" s="2"/>
      <c r="B25" s="11" t="s">
        <v>40</v>
      </c>
      <c r="C25" s="5" t="s">
        <v>14</v>
      </c>
      <c r="D25" s="12" t="s">
        <v>41</v>
      </c>
    </row>
    <row r="26" spans="1:4" ht="25.2" x14ac:dyDescent="0.3">
      <c r="A26" s="2"/>
      <c r="B26" s="11" t="s">
        <v>42</v>
      </c>
      <c r="C26" s="5" t="s">
        <v>14</v>
      </c>
      <c r="D26" s="12" t="s">
        <v>43</v>
      </c>
    </row>
    <row r="27" spans="1:4" x14ac:dyDescent="0.3">
      <c r="A27" s="2"/>
      <c r="B27" s="11" t="s">
        <v>44</v>
      </c>
      <c r="C27" s="5" t="s">
        <v>14</v>
      </c>
      <c r="D27" s="12" t="s">
        <v>39</v>
      </c>
    </row>
    <row r="28" spans="1:4" x14ac:dyDescent="0.3">
      <c r="A28" s="2"/>
      <c r="B28" s="11" t="s">
        <v>45</v>
      </c>
      <c r="C28" s="5" t="s">
        <v>14</v>
      </c>
      <c r="D28" s="12" t="s">
        <v>46</v>
      </c>
    </row>
    <row r="29" spans="1:4" x14ac:dyDescent="0.3">
      <c r="A29" s="2"/>
      <c r="B29" s="11" t="s">
        <v>47</v>
      </c>
      <c r="C29" s="5" t="s">
        <v>14</v>
      </c>
      <c r="D29" s="12" t="s">
        <v>43</v>
      </c>
    </row>
    <row r="30" spans="1:4" ht="25.2" x14ac:dyDescent="0.3">
      <c r="A30" s="2"/>
      <c r="B30" s="11" t="s">
        <v>48</v>
      </c>
      <c r="C30" s="5" t="s">
        <v>14</v>
      </c>
      <c r="D30" s="13" t="s">
        <v>49</v>
      </c>
    </row>
    <row r="31" spans="1:4" x14ac:dyDescent="0.3">
      <c r="A31" s="2"/>
      <c r="B31" s="11" t="s">
        <v>50</v>
      </c>
      <c r="C31" s="5" t="s">
        <v>14</v>
      </c>
      <c r="D31" s="13" t="s">
        <v>43</v>
      </c>
    </row>
    <row r="32" spans="1:4" ht="25.2" x14ac:dyDescent="0.3">
      <c r="A32" s="2"/>
      <c r="B32" s="14" t="s">
        <v>51</v>
      </c>
      <c r="C32" s="5" t="s">
        <v>14</v>
      </c>
      <c r="D32" s="12" t="s">
        <v>52</v>
      </c>
    </row>
    <row r="33" spans="1:4" ht="226.8" x14ac:dyDescent="0.3">
      <c r="A33" s="2"/>
      <c r="B33" s="14" t="s">
        <v>53</v>
      </c>
      <c r="C33" s="5" t="s">
        <v>14</v>
      </c>
      <c r="D33" s="15" t="s">
        <v>54</v>
      </c>
    </row>
    <row r="34" spans="1:4" ht="37.799999999999997" x14ac:dyDescent="0.3">
      <c r="A34" s="2"/>
      <c r="B34" s="11" t="s">
        <v>55</v>
      </c>
      <c r="C34" s="5" t="s">
        <v>14</v>
      </c>
      <c r="D34" s="12" t="s">
        <v>56</v>
      </c>
    </row>
    <row r="35" spans="1:4" ht="63" x14ac:dyDescent="0.3">
      <c r="A35" s="2"/>
      <c r="B35" s="11" t="s">
        <v>57</v>
      </c>
      <c r="C35" s="5"/>
      <c r="D35" s="12" t="s">
        <v>58</v>
      </c>
    </row>
    <row r="36" spans="1:4" ht="25.2" x14ac:dyDescent="0.3">
      <c r="A36" s="2"/>
      <c r="B36" s="11" t="s">
        <v>59</v>
      </c>
      <c r="C36" s="5"/>
      <c r="D36" s="12" t="s">
        <v>60</v>
      </c>
    </row>
    <row r="37" spans="1:4" ht="37.799999999999997" x14ac:dyDescent="0.3">
      <c r="A37" s="2"/>
      <c r="B37" s="11" t="s">
        <v>61</v>
      </c>
      <c r="C37" s="5"/>
      <c r="D37" s="12" t="s">
        <v>62</v>
      </c>
    </row>
    <row r="38" spans="1:4" ht="25.2" x14ac:dyDescent="0.3">
      <c r="A38" s="2"/>
      <c r="B38" s="11" t="s">
        <v>63</v>
      </c>
      <c r="C38" s="5" t="s">
        <v>14</v>
      </c>
      <c r="D38" s="12" t="s">
        <v>64</v>
      </c>
    </row>
    <row r="39" spans="1:4" ht="25.2" x14ac:dyDescent="0.3">
      <c r="A39" s="2"/>
      <c r="B39" s="11" t="s">
        <v>65</v>
      </c>
      <c r="C39" s="5" t="s">
        <v>14</v>
      </c>
      <c r="D39" s="12" t="s">
        <v>66</v>
      </c>
    </row>
    <row r="40" spans="1:4" x14ac:dyDescent="0.3">
      <c r="A40" s="2"/>
      <c r="B40" s="11" t="s">
        <v>67</v>
      </c>
      <c r="C40" s="5" t="s">
        <v>14</v>
      </c>
      <c r="D40" s="12" t="s">
        <v>68</v>
      </c>
    </row>
    <row r="41" spans="1:4" ht="37.799999999999997" x14ac:dyDescent="0.3">
      <c r="A41" s="2"/>
      <c r="B41" s="11" t="s">
        <v>69</v>
      </c>
      <c r="C41" s="5" t="s">
        <v>14</v>
      </c>
      <c r="D41" s="12" t="s">
        <v>70</v>
      </c>
    </row>
    <row r="42" spans="1:4" ht="113.4" x14ac:dyDescent="0.3">
      <c r="A42" s="2"/>
      <c r="B42" s="11" t="s">
        <v>71</v>
      </c>
      <c r="C42" s="5" t="s">
        <v>14</v>
      </c>
      <c r="D42" s="12" t="s">
        <v>72</v>
      </c>
    </row>
    <row r="43" spans="1:4" x14ac:dyDescent="0.3">
      <c r="A43" s="2"/>
      <c r="B43" s="11" t="s">
        <v>73</v>
      </c>
      <c r="C43" s="5" t="s">
        <v>14</v>
      </c>
      <c r="D43" s="12" t="s">
        <v>74</v>
      </c>
    </row>
    <row r="44" spans="1:4" x14ac:dyDescent="0.3">
      <c r="A44" s="2"/>
      <c r="B44" s="11" t="s">
        <v>75</v>
      </c>
      <c r="C44" s="5" t="s">
        <v>14</v>
      </c>
      <c r="D44" s="12" t="s">
        <v>76</v>
      </c>
    </row>
    <row r="45" spans="1:4" x14ac:dyDescent="0.3">
      <c r="A45" s="2"/>
      <c r="B45" s="11" t="s">
        <v>77</v>
      </c>
      <c r="C45" s="5" t="s">
        <v>14</v>
      </c>
      <c r="D45" s="12"/>
    </row>
  </sheetData>
  <mergeCells count="1">
    <mergeCell ref="B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61CF-3D9A-427D-81A0-3A0BEAE4226F}">
  <sheetPr codeName="Sheet4"/>
  <dimension ref="A1:B39"/>
  <sheetViews>
    <sheetView showGridLines="0" tabSelected="1" zoomScale="123" zoomScaleNormal="100" workbookViewId="0">
      <selection activeCell="B8" sqref="B8"/>
    </sheetView>
  </sheetViews>
  <sheetFormatPr defaultColWidth="8.88671875" defaultRowHeight="14.4" x14ac:dyDescent="0.3"/>
  <cols>
    <col min="1" max="1" width="35.88671875" style="26" customWidth="1"/>
    <col min="2" max="2" width="53.88671875" style="30" customWidth="1"/>
  </cols>
  <sheetData>
    <row r="1" spans="1:2" ht="19.8" x14ac:dyDescent="0.3">
      <c r="A1" s="109" t="s">
        <v>78</v>
      </c>
      <c r="B1" s="109"/>
    </row>
    <row r="2" spans="1:2" ht="14.85" customHeight="1" x14ac:dyDescent="0.3">
      <c r="A2" s="28" t="s">
        <v>13</v>
      </c>
      <c r="B2" s="86"/>
    </row>
    <row r="3" spans="1:2" x14ac:dyDescent="0.3">
      <c r="A3" s="28" t="s">
        <v>79</v>
      </c>
      <c r="B3" s="87" t="s">
        <v>80</v>
      </c>
    </row>
    <row r="4" spans="1:2" x14ac:dyDescent="0.3">
      <c r="A4" s="28" t="s">
        <v>81</v>
      </c>
      <c r="B4" s="87" t="s">
        <v>82</v>
      </c>
    </row>
    <row r="5" spans="1:2" x14ac:dyDescent="0.3">
      <c r="A5" s="110" t="s">
        <v>83</v>
      </c>
      <c r="B5" s="110"/>
    </row>
    <row r="6" spans="1:2" x14ac:dyDescent="0.3">
      <c r="A6" s="31"/>
      <c r="B6" s="32" t="s">
        <v>84</v>
      </c>
    </row>
    <row r="7" spans="1:2" x14ac:dyDescent="0.3">
      <c r="A7" s="29" t="s">
        <v>85</v>
      </c>
      <c r="B7" s="88">
        <v>0</v>
      </c>
    </row>
    <row r="8" spans="1:2" x14ac:dyDescent="0.3">
      <c r="A8" s="29" t="s">
        <v>86</v>
      </c>
      <c r="B8" s="88">
        <v>0</v>
      </c>
    </row>
    <row r="9" spans="1:2" x14ac:dyDescent="0.3">
      <c r="A9" s="29" t="s">
        <v>87</v>
      </c>
      <c r="B9" s="88">
        <v>0</v>
      </c>
    </row>
    <row r="10" spans="1:2" x14ac:dyDescent="0.3">
      <c r="A10" s="29" t="s">
        <v>88</v>
      </c>
      <c r="B10" s="88">
        <v>0</v>
      </c>
    </row>
    <row r="11" spans="1:2" x14ac:dyDescent="0.3">
      <c r="A11" s="29" t="s">
        <v>89</v>
      </c>
      <c r="B11" s="88">
        <f>SUM(B7:B10)</f>
        <v>0</v>
      </c>
    </row>
    <row r="12" spans="1:2" x14ac:dyDescent="0.3">
      <c r="A12" s="110" t="s">
        <v>90</v>
      </c>
      <c r="B12" s="110"/>
    </row>
    <row r="13" spans="1:2" x14ac:dyDescent="0.3">
      <c r="A13" s="34" t="s">
        <v>91</v>
      </c>
      <c r="B13" s="34" t="s">
        <v>92</v>
      </c>
    </row>
    <row r="14" spans="1:2" x14ac:dyDescent="0.3">
      <c r="A14" s="27" t="s">
        <v>26</v>
      </c>
      <c r="B14" s="31" t="s">
        <v>193</v>
      </c>
    </row>
    <row r="15" spans="1:2" x14ac:dyDescent="0.3">
      <c r="A15" s="27" t="s">
        <v>30</v>
      </c>
      <c r="B15" s="31" t="s">
        <v>93</v>
      </c>
    </row>
    <row r="16" spans="1:2" x14ac:dyDescent="0.3">
      <c r="A16" s="33" t="s">
        <v>79</v>
      </c>
      <c r="B16" s="89" t="s">
        <v>94</v>
      </c>
    </row>
    <row r="17" spans="1:2" x14ac:dyDescent="0.3">
      <c r="A17" s="27" t="s">
        <v>95</v>
      </c>
      <c r="B17" s="91" t="s">
        <v>96</v>
      </c>
    </row>
    <row r="18" spans="1:2" x14ac:dyDescent="0.3">
      <c r="A18" s="27" t="s">
        <v>97</v>
      </c>
      <c r="B18" s="31" t="s">
        <v>98</v>
      </c>
    </row>
    <row r="19" spans="1:2" x14ac:dyDescent="0.3">
      <c r="A19" s="27" t="s">
        <v>99</v>
      </c>
      <c r="B19" s="31" t="s">
        <v>98</v>
      </c>
    </row>
    <row r="20" spans="1:2" ht="28.8" x14ac:dyDescent="0.3">
      <c r="A20" s="27" t="s">
        <v>100</v>
      </c>
      <c r="B20" s="31" t="s">
        <v>101</v>
      </c>
    </row>
    <row r="21" spans="1:2" ht="31.35" customHeight="1" x14ac:dyDescent="0.3">
      <c r="A21" s="27" t="s">
        <v>55</v>
      </c>
      <c r="B21" s="34" t="s">
        <v>102</v>
      </c>
    </row>
    <row r="22" spans="1:2" x14ac:dyDescent="0.3">
      <c r="A22" s="35" t="s">
        <v>103</v>
      </c>
      <c r="B22" s="92" t="s">
        <v>104</v>
      </c>
    </row>
    <row r="23" spans="1:2" x14ac:dyDescent="0.3">
      <c r="A23" s="27" t="s">
        <v>105</v>
      </c>
      <c r="B23" s="92" t="s">
        <v>106</v>
      </c>
    </row>
    <row r="24" spans="1:2" x14ac:dyDescent="0.3">
      <c r="A24" s="27" t="s">
        <v>107</v>
      </c>
      <c r="B24" s="92" t="s">
        <v>108</v>
      </c>
    </row>
    <row r="25" spans="1:2" x14ac:dyDescent="0.3">
      <c r="A25" s="33" t="s">
        <v>109</v>
      </c>
      <c r="B25" s="89" t="s">
        <v>110</v>
      </c>
    </row>
    <row r="26" spans="1:2" x14ac:dyDescent="0.3">
      <c r="A26" s="33" t="s">
        <v>111</v>
      </c>
      <c r="B26" s="89" t="s">
        <v>112</v>
      </c>
    </row>
    <row r="27" spans="1:2" x14ac:dyDescent="0.3">
      <c r="A27" s="33" t="s">
        <v>113</v>
      </c>
      <c r="B27" s="89" t="s">
        <v>112</v>
      </c>
    </row>
    <row r="28" spans="1:2" x14ac:dyDescent="0.3">
      <c r="A28" s="33" t="s">
        <v>114</v>
      </c>
      <c r="B28" s="89" t="s">
        <v>112</v>
      </c>
    </row>
    <row r="29" spans="1:2" ht="28.8" x14ac:dyDescent="0.3">
      <c r="A29" s="35" t="s">
        <v>115</v>
      </c>
      <c r="B29" s="92" t="s">
        <v>116</v>
      </c>
    </row>
    <row r="30" spans="1:2" x14ac:dyDescent="0.3">
      <c r="A30" s="33" t="s">
        <v>117</v>
      </c>
      <c r="B30" s="89" t="s">
        <v>112</v>
      </c>
    </row>
    <row r="31" spans="1:2" x14ac:dyDescent="0.3">
      <c r="A31" s="33" t="s">
        <v>118</v>
      </c>
      <c r="B31" s="90" t="s">
        <v>119</v>
      </c>
    </row>
    <row r="32" spans="1:2" x14ac:dyDescent="0.3">
      <c r="A32" s="35" t="s">
        <v>120</v>
      </c>
      <c r="B32" s="31" t="s">
        <v>121</v>
      </c>
    </row>
    <row r="33" spans="1:2" x14ac:dyDescent="0.3">
      <c r="A33" s="33" t="s">
        <v>122</v>
      </c>
      <c r="B33" s="93" t="s">
        <v>104</v>
      </c>
    </row>
    <row r="34" spans="1:2" x14ac:dyDescent="0.3">
      <c r="A34" s="33" t="s">
        <v>123</v>
      </c>
      <c r="B34" s="93" t="s">
        <v>104</v>
      </c>
    </row>
    <row r="35" spans="1:2" x14ac:dyDescent="0.3">
      <c r="A35" s="36" t="s">
        <v>124</v>
      </c>
      <c r="B35" s="93" t="s">
        <v>104</v>
      </c>
    </row>
    <row r="36" spans="1:2" x14ac:dyDescent="0.3">
      <c r="A36" s="33" t="s">
        <v>125</v>
      </c>
      <c r="B36" s="93" t="s">
        <v>104</v>
      </c>
    </row>
    <row r="37" spans="1:2" x14ac:dyDescent="0.3">
      <c r="A37" s="33" t="s">
        <v>126</v>
      </c>
      <c r="B37" s="93" t="s">
        <v>104</v>
      </c>
    </row>
    <row r="38" spans="1:2" x14ac:dyDescent="0.3">
      <c r="A38" s="33" t="s">
        <v>127</v>
      </c>
      <c r="B38" s="93" t="s">
        <v>128</v>
      </c>
    </row>
    <row r="39" spans="1:2" x14ac:dyDescent="0.3">
      <c r="A39" s="33" t="s">
        <v>129</v>
      </c>
      <c r="B39" s="93" t="s">
        <v>104</v>
      </c>
    </row>
  </sheetData>
  <mergeCells count="3">
    <mergeCell ref="A1:B1"/>
    <mergeCell ref="A5:B5"/>
    <mergeCell ref="A12:B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EFFA-B389-4D16-B44D-6875FFB53529}">
  <sheetPr codeName="Sheet1"/>
  <dimension ref="A1:AB17"/>
  <sheetViews>
    <sheetView showGridLines="0" zoomScale="86" zoomScaleNormal="86" workbookViewId="0">
      <selection activeCell="B3" sqref="B3"/>
    </sheetView>
  </sheetViews>
  <sheetFormatPr defaultColWidth="9" defaultRowHeight="14.4" x14ac:dyDescent="0.3"/>
  <cols>
    <col min="1" max="1" width="11" style="54" bestFit="1" customWidth="1"/>
    <col min="2" max="2" width="16.44140625" style="54" bestFit="1" customWidth="1"/>
    <col min="3" max="3" width="20.109375" style="55" bestFit="1" customWidth="1"/>
    <col min="4" max="4" width="32.109375" style="56" customWidth="1"/>
    <col min="5" max="5" width="16.88671875" style="56" bestFit="1" customWidth="1"/>
    <col min="6" max="6" width="10" style="57" bestFit="1" customWidth="1"/>
    <col min="7" max="7" width="14.109375" style="54" bestFit="1" customWidth="1"/>
    <col min="8" max="8" width="12.88671875" style="54" bestFit="1" customWidth="1"/>
    <col min="9" max="9" width="13.88671875" style="58" customWidth="1"/>
    <col min="10" max="10" width="19.44140625" style="58" bestFit="1" customWidth="1"/>
    <col min="11" max="11" width="18.109375" style="55" customWidth="1"/>
    <col min="12" max="12" width="21.44140625" style="55" bestFit="1" customWidth="1"/>
    <col min="13" max="13" width="45.88671875" style="55" customWidth="1"/>
    <col min="14" max="14" width="26.109375" style="55" customWidth="1"/>
    <col min="15" max="15" width="14.109375" style="55" customWidth="1"/>
    <col min="16" max="16" width="17.109375" style="55" customWidth="1"/>
    <col min="17" max="17" width="13.44140625" style="55" customWidth="1"/>
    <col min="18" max="18" width="15.109375" style="55" customWidth="1"/>
    <col min="19" max="19" width="22.109375" style="55" customWidth="1"/>
    <col min="20" max="20" width="14.88671875" style="55" customWidth="1"/>
    <col min="21" max="21" width="18.88671875" style="55" customWidth="1"/>
    <col min="22" max="27" width="20.109375" style="55" customWidth="1"/>
    <col min="28" max="28" width="21" style="55" customWidth="1"/>
    <col min="29" max="34" width="9" style="55"/>
    <col min="35" max="35" width="9.109375" style="55" customWidth="1"/>
    <col min="36" max="16384" width="9" style="55"/>
  </cols>
  <sheetData>
    <row r="1" spans="1:28" ht="52.35" customHeight="1" thickBot="1" x14ac:dyDescent="0.45">
      <c r="A1" s="53"/>
      <c r="L1" s="59" t="s">
        <v>130</v>
      </c>
      <c r="M1" s="60">
        <f>COUNT(Table1[S.No.])-COUNTBLANK(Table1[Error])</f>
        <v>15</v>
      </c>
    </row>
    <row r="2" spans="1:28" s="85" customFormat="1" ht="29.4" thickTop="1" x14ac:dyDescent="0.3">
      <c r="A2" s="76" t="s">
        <v>131</v>
      </c>
      <c r="B2" s="77" t="s">
        <v>132</v>
      </c>
      <c r="C2" s="77" t="s">
        <v>133</v>
      </c>
      <c r="D2" s="77" t="s">
        <v>134</v>
      </c>
      <c r="E2" s="78" t="s">
        <v>135</v>
      </c>
      <c r="F2" s="79" t="s">
        <v>136</v>
      </c>
      <c r="G2" s="79" t="s">
        <v>137</v>
      </c>
      <c r="H2" s="77" t="s">
        <v>138</v>
      </c>
      <c r="I2" s="77" t="s">
        <v>139</v>
      </c>
      <c r="J2" s="80" t="s">
        <v>140</v>
      </c>
      <c r="K2" s="81" t="s">
        <v>141</v>
      </c>
      <c r="L2" s="82" t="s">
        <v>142</v>
      </c>
      <c r="M2" s="83" t="s">
        <v>143</v>
      </c>
      <c r="N2" s="84" t="s">
        <v>144</v>
      </c>
      <c r="O2" s="80" t="s">
        <v>145</v>
      </c>
      <c r="P2" s="80" t="s">
        <v>146</v>
      </c>
      <c r="Q2" s="80" t="s">
        <v>147</v>
      </c>
      <c r="R2" s="80" t="s">
        <v>148</v>
      </c>
      <c r="S2" s="80" t="s">
        <v>149</v>
      </c>
      <c r="T2" s="80" t="s">
        <v>150</v>
      </c>
      <c r="U2" s="80" t="s">
        <v>151</v>
      </c>
      <c r="V2" s="80" t="s">
        <v>152</v>
      </c>
      <c r="W2" s="80" t="s">
        <v>153</v>
      </c>
      <c r="X2" s="80" t="s">
        <v>154</v>
      </c>
      <c r="Y2" s="80" t="s">
        <v>155</v>
      </c>
      <c r="Z2" s="80" t="s">
        <v>156</v>
      </c>
      <c r="AA2" s="80" t="s">
        <v>157</v>
      </c>
      <c r="AB2" s="80" t="s">
        <v>158</v>
      </c>
    </row>
    <row r="3" spans="1:28" ht="15" customHeight="1" x14ac:dyDescent="0.3">
      <c r="A3" s="102">
        <v>1</v>
      </c>
      <c r="B3" s="103"/>
      <c r="C3" s="67"/>
      <c r="D3" s="104"/>
      <c r="E3" s="100"/>
      <c r="F3" s="68">
        <f t="shared" ref="F3:F11" ca="1" si="0">DATEDIF(E3,TODAY(),"y")</f>
        <v>126</v>
      </c>
      <c r="G3" s="72" t="str">
        <f ca="1">IF(
    $F3&gt;85,
    "From 86",
    IF(
        $F3&gt;80,
        "81-85",
        IF(
            $F3&gt;75,
            "76-80",
            IF(
                $F3&gt;70,
                "71-75",
                IF(
                    $F3&gt;65,
                    "66-70",
                    IF(
                        $F3&gt;60,
                        "61-65",
                        IF(
                            $F3&gt;55,
                            "56-60",
                            IF(
                                $F3&gt;50,
                                "51-55",
                                IF(
                                    $F3&gt;45,
                                    "46-50",
                                    IF(
                                        $F3&gt;40,
                                        "41-45",
                                        IF(
                                            $F3&gt;35,
                                            "36-40",
                                            IF(
                                                $F3&gt;30,
                                                "31-35",
                                                IF($F3&gt;25, "26-30", IF($F3&gt;18,"19-25","0-18")
                                              )
                                            )
                                        )
                                    )
                                )
                            )
                        )
                    )
                )
            )
        )
    )
)</f>
        <v>From 86</v>
      </c>
      <c r="H3" s="16"/>
      <c r="I3" s="99"/>
      <c r="J3" s="61"/>
      <c r="K3" s="62"/>
      <c r="L3" s="69"/>
      <c r="M3" s="63"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3" s="64" t="str">
        <f>IF(ISNUMBER(MATCH(Table1[[#This Row],[Relationship to Self]],[1]!Table4[Valid Relations],0)),"","Invalid relationship to employee. ")</f>
        <v xml:space="preserve">Invalid relationship to employee. </v>
      </c>
      <c r="O3" s="64"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3" s="65" t="str">
        <f>IF(ISNUMBER(MATCH(Table1[[#This Row],[Gender]],[1]!Table6[Gender],0)),"","Invalid gender. ")</f>
        <v xml:space="preserve">Invalid gender. </v>
      </c>
      <c r="Q3" s="64" t="str">
        <f>IF(Table1[[#This Row],[Relationship to Self]]&lt;&gt;"Self","",IF(AND(Table1[[#This Row],[Mobile Number]]&gt;6000000000,Table1[[#This Row],[Mobile Number]]&lt;9999999999),"","The entered mobile number is invalid. "))</f>
        <v/>
      </c>
      <c r="R3" s="65" t="str" cm="1">
        <f t="array" ref="R3">IF(Table1[[#This Row],[Relationship to Self]]&lt;&gt;"Self","",IF(IsEmailValid(Table1[[#This Row],[Email]]),IF(ISNUMBER(SEARCH([1]Valid!$K$1,Table1[[#This Row],[Email]])),"","The entered email is not corporate email. "),"The entered email is invalid. "))</f>
        <v/>
      </c>
      <c r="S3" s="65" t="str">
        <f>IF(Table1[[#This Row],[Member Name]]="","Please enter Member Name. ","")</f>
        <v xml:space="preserve">Please enter Member Name. </v>
      </c>
      <c r="T3" s="65" t="str">
        <f>IF(YEAR(Table1[[#This Row],[Date of Birth]])=1905, "DoB is incomplete. ","")</f>
        <v/>
      </c>
      <c r="U3" s="65" t="str">
        <f>IF(COUNTIFS(Table1[Employee ID],Table1[[#This Row],[Employee ID]],Table1[Date of Birth],Table1[[#This Row],[Date of Birth]],Table1[Relationship to Self],Table1[[#This Row],[Relationship to Self]],Table1[Member Name],Table1[[#This Row],[Member Name]])&gt;1,"This entry is repeated multiple times. ","")</f>
        <v/>
      </c>
      <c r="V3" s="65" t="str">
        <f>IF(COUNTIFS(Table1[Employee ID],Table1[[#This Row],[Employee ID]],Table1[Relationship to Self],"Self")&gt;1, "Duplicate Employee ID","")</f>
        <v/>
      </c>
      <c r="W3" s="65" t="str" cm="1">
        <f t="array" ref="W3">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3" s="65" t="str">
        <f>IF(Table1[[#This Row],[Relationship to Self]]="Self",IF(COUNTIFS(Table1[Relationship to Self],"Child",Table1[Employee ID],Table1[[#This Row],[Employee ID]])&gt;2, "More than 2 children",""),"")</f>
        <v/>
      </c>
      <c r="Y3" s="65" t="str">
        <f>IF(AND(Table1[[#This Row],[Relationship to Self]]&lt;&gt;"Self", Table1[[#This Row],[Relationship to Self]]&lt;&gt;""),IF(COUNTIFS(Table1[Employee ID],Table1[[#This Row],[Employee ID]],Table1[Relationship to Self],"Self")=0,"No Self member for this dependent",""),"")</f>
        <v/>
      </c>
      <c r="Z3" s="65" t="str" cm="1">
        <f t="array" ref="Z3">IF(Table1[[#This Row],[Relationship to Self]]="Parent",IF(Table1[[#This Row],[Age]]-_xlfn._xlws.FILTER(Table1[Age],(Table1[Employee ID]=Table1[[#This Row],[Employee ID]])*(Table1[Relationship to Self]="Self"))&lt;18,"Difference between self and parent should be atleast 18 years",""),"")</f>
        <v/>
      </c>
      <c r="AA3" s="65"/>
      <c r="AB3" s="66"/>
    </row>
    <row r="4" spans="1:28" ht="15" customHeight="1" x14ac:dyDescent="0.3">
      <c r="A4" s="102">
        <v>2</v>
      </c>
      <c r="B4" s="103"/>
      <c r="C4" s="67"/>
      <c r="D4" s="104"/>
      <c r="E4" s="100"/>
      <c r="F4" s="68">
        <f t="shared" ca="1" si="0"/>
        <v>126</v>
      </c>
      <c r="G4" s="72" t="str">
        <f t="shared" ref="G4:G11" ca="1" si="1">IF(
    $F4&gt;85,
    "From 86",
    IF(
        $F4&gt;80,
        "81-85",
        IF(
            $F4&gt;75,
            "76-80",
            IF(
                $F4&gt;70,
                "71-75",
                IF(
                    $F4&gt;65,
                    "66-70",
                    IF(
                        $F4&gt;60,
                        "61-65",
                        IF(
                            $F4&gt;55,
                            "56-60",
                            IF(
                                $F4&gt;50,
                                "51-55",
                                IF(
                                    $F4&gt;45,
                                    "46-50",
                                    IF(
                                        $F4&gt;40,
                                        "41-45",
                                        IF(
                                            $F4&gt;35,
                                            "36-40",
                                            IF(
                                                $F4&gt;30,
                                                "31-35",
                                                IF($F4&gt;25, "26-30", IF($F4&gt;18,"19-25","0-18")
                                              )
                                            )
                                        )
                                    )
                                )
                            )
                        )
                    )
                )
            )
        )
    )
)</f>
        <v>From 86</v>
      </c>
      <c r="H4" s="16"/>
      <c r="I4" s="99"/>
      <c r="J4" s="61"/>
      <c r="K4" s="67"/>
      <c r="L4" s="69"/>
      <c r="M4"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4" s="71" t="str">
        <f>IF(ISNUMBER(MATCH(Table1[[#This Row],[Relationship to Self]],[1]!Table4[Valid Relations],0)),"","Invalid relationship to employee. ")</f>
        <v xml:space="preserve">Invalid relationship to employee. </v>
      </c>
      <c r="O4"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4" s="65" t="str">
        <f>IF(ISNUMBER(MATCH(Table1[[#This Row],[Gender]],[1]!Table6[Gender],0)),"","Invalid gender. ")</f>
        <v xml:space="preserve">Invalid gender. </v>
      </c>
      <c r="Q4" s="65" t="str">
        <f>IF(Table1[[#This Row],[Relationship to Self]]&lt;&gt;"Self","",IF(AND(Table1[[#This Row],[Mobile Number]]&gt;6000000000,Table1[[#This Row],[Mobile Number]]&lt;9999999999),"","The entered mobile number is invalid. "))</f>
        <v/>
      </c>
      <c r="R4" s="65" t="str" cm="1">
        <f t="array" ref="R4">IF(Table1[[#This Row],[Relationship to Self]]&lt;&gt;"Self","",IF(IsEmailValid(Table1[[#This Row],[Email]]),IF(ISNUMBER(SEARCH([1]Valid!$K$1,Table1[[#This Row],[Email]])),"","The entered email is not corporate email. "),"The entered email is invalid. "))</f>
        <v/>
      </c>
      <c r="S4" s="65" t="str">
        <f>IF(Table1[[#This Row],[Member Name]]="","Please enter Member Name. ","")</f>
        <v xml:space="preserve">Please enter Member Name. </v>
      </c>
      <c r="T4" s="65" t="str">
        <f>IF(YEAR(Table1[[#This Row],[Date of Birth]])=1905, "DoB is incomplete. ","")</f>
        <v/>
      </c>
      <c r="U4" s="65" t="str">
        <f>IF(COUNTIFS(Table1[Employee ID],Table1[[#This Row],[Employee ID]],Table1[Date of Birth],Table1[[#This Row],[Date of Birth]],Table1[Relationship to Self],Table1[[#This Row],[Relationship to Self]],Table1[Member Name],Table1[[#This Row],[Member Name]])&gt;1,"This entry is repeated multiple times. ","")</f>
        <v/>
      </c>
      <c r="V4" s="65" t="str">
        <f>IF(COUNTIFS(Table1[Employee ID],Table1[[#This Row],[Employee ID]],Table1[Relationship to Self],"Self")&gt;1, "Duplicate Employee ID","")</f>
        <v/>
      </c>
      <c r="W4" s="65" t="str" cm="1">
        <f t="array" ref="W4">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4" s="65" t="str">
        <f>IF(Table1[[#This Row],[Relationship to Self]]="Self",IF(COUNTIFS(Table1[Relationship to Self],"Child",Table1[Employee ID],Table1[[#This Row],[Employee ID]])&gt;2, "More than 2 children",""),"")</f>
        <v/>
      </c>
      <c r="Y4" s="65" t="str">
        <f>IF(AND(Table1[[#This Row],[Relationship to Self]]&lt;&gt;"Self", Table1[[#This Row],[Relationship to Self]]&lt;&gt;""),IF(COUNTIFS(Table1[Employee ID],Table1[[#This Row],[Employee ID]],Table1[Relationship to Self],"Self")=0,"No Self member for this dependent",""),"")</f>
        <v/>
      </c>
      <c r="Z4" s="65" t="str" cm="1">
        <f t="array" ref="Z4">IF(Table1[[#This Row],[Relationship to Self]]="Parent",IF(Table1[[#This Row],[Age]]-_xlfn._xlws.FILTER(Table1[Age],(Table1[Employee ID]=Table1[[#This Row],[Employee ID]])*(Table1[Relationship to Self]="Self"))&lt;18,"Difference between self and parent should be atleast 18 years",""),"")</f>
        <v/>
      </c>
      <c r="AA4" s="65" t="str" cm="1">
        <f t="array" ref="AA4">IF(Table1[[#This Row],[Relationship to Self]]="Self",IF(Table1[[#This Row],[Gender]]=_xlfn._xlws.FILTER($H:$H, ($B:$B=Table1[[#This Row],[Employee ID]])*($I:$I="Spouse")), "Self and spouse cannot have same gender",""), "")</f>
        <v/>
      </c>
      <c r="AB4" s="66"/>
    </row>
    <row r="5" spans="1:28" ht="15" customHeight="1" x14ac:dyDescent="0.3">
      <c r="A5" s="102">
        <v>3</v>
      </c>
      <c r="B5" s="103"/>
      <c r="C5" s="67"/>
      <c r="D5" s="104"/>
      <c r="E5" s="100"/>
      <c r="F5" s="68">
        <f t="shared" ca="1" si="0"/>
        <v>126</v>
      </c>
      <c r="G5" s="72" t="str">
        <f t="shared" ca="1" si="1"/>
        <v>From 86</v>
      </c>
      <c r="H5" s="16"/>
      <c r="I5" s="99"/>
      <c r="J5" s="61"/>
      <c r="K5" s="67"/>
      <c r="L5" s="69"/>
      <c r="M5"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5" s="71" t="str">
        <f>IF(ISNUMBER(MATCH(Table1[[#This Row],[Relationship to Self]],[1]!Table4[Valid Relations],0)),"","Invalid relationship to employee. ")</f>
        <v xml:space="preserve">Invalid relationship to employee. </v>
      </c>
      <c r="O5"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5" s="65" t="str">
        <f>IF(ISNUMBER(MATCH(Table1[[#This Row],[Gender]],[1]!Table6[Gender],0)),"","Invalid gender. ")</f>
        <v xml:space="preserve">Invalid gender. </v>
      </c>
      <c r="Q5" s="65" t="str">
        <f>IF(Table1[[#This Row],[Relationship to Self]]&lt;&gt;"Self","",IF(AND(Table1[[#This Row],[Mobile Number]]&gt;6000000000,Table1[[#This Row],[Mobile Number]]&lt;9999999999),"","The entered mobile number is invalid. "))</f>
        <v/>
      </c>
      <c r="R5" s="65" t="str" cm="1">
        <f t="array" ref="R5">IF(Table1[[#This Row],[Relationship to Self]]&lt;&gt;"Self","",IF(IsEmailValid(Table1[[#This Row],[Email]]),IF(ISNUMBER(SEARCH([1]Valid!$K$1,Table1[[#This Row],[Email]])),"","The entered email is not corporate email. "),"The entered email is invalid. "))</f>
        <v/>
      </c>
      <c r="S5" s="65" t="str">
        <f>IF(Table1[[#This Row],[Member Name]]="","Please enter Member Name. ","")</f>
        <v xml:space="preserve">Please enter Member Name. </v>
      </c>
      <c r="T5" s="65" t="str">
        <f>IF(YEAR(Table1[[#This Row],[Date of Birth]])=1905, "DoB is incomplete. ","")</f>
        <v/>
      </c>
      <c r="U5" s="65" t="str">
        <f>IF(COUNTIFS(Table1[Employee ID],Table1[[#This Row],[Employee ID]],Table1[Date of Birth],Table1[[#This Row],[Date of Birth]],Table1[Relationship to Self],Table1[[#This Row],[Relationship to Self]],Table1[Member Name],Table1[[#This Row],[Member Name]])&gt;1,"This entry is repeated multiple times. ","")</f>
        <v/>
      </c>
      <c r="V5" s="65" t="str">
        <f>IF(COUNTIFS(Table1[Employee ID],Table1[[#This Row],[Employee ID]],Table1[Relationship to Self],"Self")&gt;1, "Duplicate Employee ID","")</f>
        <v/>
      </c>
      <c r="W5" s="65" t="str" cm="1">
        <f t="array" ref="W5">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5" s="65" t="str">
        <f>IF(Table1[[#This Row],[Relationship to Self]]="Self",IF(COUNTIFS(Table1[Relationship to Self],"Child",Table1[Employee ID],Table1[[#This Row],[Employee ID]])&gt;2, "More than 2 children",""),"")</f>
        <v/>
      </c>
      <c r="Y5" s="65" t="str">
        <f>IF(AND(Table1[[#This Row],[Relationship to Self]]&lt;&gt;"Self", Table1[[#This Row],[Relationship to Self]]&lt;&gt;""),IF(COUNTIFS(Table1[Employee ID],Table1[[#This Row],[Employee ID]],Table1[Relationship to Self],"Self")=0,"No Self member for this dependent",""),"")</f>
        <v/>
      </c>
      <c r="Z5" s="65" t="str" cm="1">
        <f t="array" ref="Z5">IF(Table1[[#This Row],[Relationship to Self]]="Parent",IF(Table1[[#This Row],[Age]]-_xlfn._xlws.FILTER(Table1[Age],(Table1[Employee ID]=Table1[[#This Row],[Employee ID]])*(Table1[Relationship to Self]="Self"))&lt;18,"Difference between self and parent should be atleast 18 years",""),"")</f>
        <v/>
      </c>
      <c r="AA5" s="65" t="str" cm="1">
        <f t="array" ref="AA5">IF(Table1[[#This Row],[Relationship to Self]]="Self",IF(Table1[[#This Row],[Gender]]=_xlfn._xlws.FILTER($H:$H, ($B:$B=Table1[[#This Row],[Employee ID]])*($I:$I="Spouse")), "Self and spouse cannot have same gender",""), "")</f>
        <v/>
      </c>
      <c r="AB5" s="66"/>
    </row>
    <row r="6" spans="1:28" ht="15" customHeight="1" x14ac:dyDescent="0.3">
      <c r="A6" s="102">
        <v>4</v>
      </c>
      <c r="B6" s="103"/>
      <c r="C6" s="67"/>
      <c r="D6" s="104"/>
      <c r="E6" s="100"/>
      <c r="F6" s="68">
        <f t="shared" ca="1" si="0"/>
        <v>126</v>
      </c>
      <c r="G6" s="72" t="str">
        <f t="shared" ca="1" si="1"/>
        <v>From 86</v>
      </c>
      <c r="H6" s="16"/>
      <c r="I6" s="99"/>
      <c r="J6" s="61"/>
      <c r="K6" s="67"/>
      <c r="L6" s="69"/>
      <c r="M6"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6" s="71" t="str">
        <f>IF(ISNUMBER(MATCH(Table1[[#This Row],[Relationship to Self]],[1]!Table4[Valid Relations],0)),"","Invalid relationship to employee. ")</f>
        <v xml:space="preserve">Invalid relationship to employee. </v>
      </c>
      <c r="O6"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6" s="65" t="str">
        <f>IF(ISNUMBER(MATCH(Table1[[#This Row],[Gender]],[1]!Table6[Gender],0)),"","Invalid gender. ")</f>
        <v xml:space="preserve">Invalid gender. </v>
      </c>
      <c r="Q6" s="65" t="str">
        <f>IF(Table1[[#This Row],[Relationship to Self]]&lt;&gt;"Self","",IF(AND(Table1[[#This Row],[Mobile Number]]&gt;6000000000,Table1[[#This Row],[Mobile Number]]&lt;9999999999),"","The entered mobile number is invalid. "))</f>
        <v/>
      </c>
      <c r="R6" s="65" t="str" cm="1">
        <f t="array" ref="R6">IF(Table1[[#This Row],[Relationship to Self]]&lt;&gt;"Self","",IF(IsEmailValid(Table1[[#This Row],[Email]]),IF(ISNUMBER(SEARCH([1]Valid!$K$1,Table1[[#This Row],[Email]])),"","The entered email is not corporate email. "),"The entered email is invalid. "))</f>
        <v/>
      </c>
      <c r="S6" s="65" t="str">
        <f>IF(Table1[[#This Row],[Member Name]]="","Please enter Member Name. ","")</f>
        <v xml:space="preserve">Please enter Member Name. </v>
      </c>
      <c r="T6" s="65" t="str">
        <f>IF(YEAR(Table1[[#This Row],[Date of Birth]])=1905, "DoB is incomplete. ","")</f>
        <v/>
      </c>
      <c r="U6" s="65" t="str">
        <f>IF(COUNTIFS(Table1[Employee ID],Table1[[#This Row],[Employee ID]],Table1[Date of Birth],Table1[[#This Row],[Date of Birth]],Table1[Relationship to Self],Table1[[#This Row],[Relationship to Self]],Table1[Member Name],Table1[[#This Row],[Member Name]])&gt;1,"This entry is repeated multiple times. ","")</f>
        <v/>
      </c>
      <c r="V6" s="64" t="str">
        <f>IF(COUNTIFS(Table1[Employee ID],Table1[[#This Row],[Employee ID]],Table1[Relationship to Self],"Self")&gt;1, "Duplicate Employee ID","")</f>
        <v/>
      </c>
      <c r="W6" s="64" t="str" cm="1">
        <f t="array" ref="W6">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6" s="64" t="str">
        <f>IF(Table1[[#This Row],[Relationship to Self]]="Self",IF(COUNTIFS(Table1[Relationship to Self],"Child",Table1[Employee ID],Table1[[#This Row],[Employee ID]])&gt;2, "More than 2 children",""),"")</f>
        <v/>
      </c>
      <c r="Y6" s="64" t="str">
        <f>IF(AND(Table1[[#This Row],[Relationship to Self]]&lt;&gt;"Self", Table1[[#This Row],[Relationship to Self]]&lt;&gt;""),IF(COUNTIFS(Table1[Employee ID],Table1[[#This Row],[Employee ID]],Table1[Relationship to Self],"Self")=0,"No Self member for this dependent",""),"")</f>
        <v/>
      </c>
      <c r="Z6" s="64" t="str" cm="1">
        <f t="array" ref="Z6">IF(Table1[[#This Row],[Relationship to Self]]="Parent",IF(Table1[[#This Row],[Age]]-_xlfn._xlws.FILTER(Table1[Age],(Table1[Employee ID]=Table1[[#This Row],[Employee ID]])*(Table1[Relationship to Self]="Self"))&lt;18,"Difference between self and parent should be atleast 18 years",""),"")</f>
        <v/>
      </c>
      <c r="AA6" s="64"/>
      <c r="AB6" s="66"/>
    </row>
    <row r="7" spans="1:28" ht="15" customHeight="1" x14ac:dyDescent="0.3">
      <c r="A7" s="102">
        <v>5</v>
      </c>
      <c r="B7" s="103"/>
      <c r="C7" s="67"/>
      <c r="D7" s="104"/>
      <c r="E7" s="100"/>
      <c r="F7" s="68">
        <f t="shared" ca="1" si="0"/>
        <v>126</v>
      </c>
      <c r="G7" s="72" t="str">
        <f t="shared" ca="1" si="1"/>
        <v>From 86</v>
      </c>
      <c r="H7" s="16"/>
      <c r="I7" s="99"/>
      <c r="J7" s="61"/>
      <c r="K7" s="67"/>
      <c r="L7" s="69"/>
      <c r="M7"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7" s="71" t="str">
        <f>IF(ISNUMBER(MATCH(Table1[[#This Row],[Relationship to Self]],[1]!Table4[Valid Relations],0)),"","Invalid relationship to employee. ")</f>
        <v xml:space="preserve">Invalid relationship to employee. </v>
      </c>
      <c r="O7"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7" s="65" t="str">
        <f>IF(ISNUMBER(MATCH(Table1[[#This Row],[Gender]],[1]!Table6[Gender],0)),"","Invalid gender. ")</f>
        <v xml:space="preserve">Invalid gender. </v>
      </c>
      <c r="Q7" s="65" t="str">
        <f>IF(Table1[[#This Row],[Relationship to Self]]&lt;&gt;"Self","",IF(AND(Table1[[#This Row],[Mobile Number]]&gt;6000000000,Table1[[#This Row],[Mobile Number]]&lt;9999999999),"","The entered mobile number is invalid. "))</f>
        <v/>
      </c>
      <c r="R7" s="65" t="str" cm="1">
        <f t="array" ref="R7">IF(Table1[[#This Row],[Relationship to Self]]&lt;&gt;"Self","",IF(IsEmailValid(Table1[[#This Row],[Email]]),IF(ISNUMBER(SEARCH([1]Valid!$K$1,Table1[[#This Row],[Email]])),"","The entered email is not corporate email. "),"The entered email is invalid. "))</f>
        <v/>
      </c>
      <c r="S7" s="65" t="str">
        <f>IF(Table1[[#This Row],[Member Name]]="","Please enter Member Name. ","")</f>
        <v xml:space="preserve">Please enter Member Name. </v>
      </c>
      <c r="T7" s="65" t="str">
        <f>IF(YEAR(Table1[[#This Row],[Date of Birth]])=1905, "DoB is incomplete. ","")</f>
        <v/>
      </c>
      <c r="U7" s="65" t="str">
        <f>IF(COUNTIFS(Table1[Employee ID],Table1[[#This Row],[Employee ID]],Table1[Date of Birth],Table1[[#This Row],[Date of Birth]],Table1[Relationship to Self],Table1[[#This Row],[Relationship to Self]],Table1[Member Name],Table1[[#This Row],[Member Name]])&gt;1,"This entry is repeated multiple times. ","")</f>
        <v/>
      </c>
      <c r="V7" s="64" t="str">
        <f>IF(COUNTIFS(Table1[Employee ID],Table1[[#This Row],[Employee ID]],Table1[Relationship to Self],"Self")&gt;1, "Duplicate Employee ID","")</f>
        <v/>
      </c>
      <c r="W7" s="64" t="str" cm="1">
        <f t="array" ref="W7">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7" s="64" t="str">
        <f>IF(Table1[[#This Row],[Relationship to Self]]="Self",IF(COUNTIFS(Table1[Relationship to Self],"Child",Table1[Employee ID],Table1[[#This Row],[Employee ID]])&gt;2, "More than 2 children",""),"")</f>
        <v/>
      </c>
      <c r="Y7" s="64" t="str">
        <f>IF(AND(Table1[[#This Row],[Relationship to Self]]&lt;&gt;"Self", Table1[[#This Row],[Relationship to Self]]&lt;&gt;""),IF(COUNTIFS(Table1[Employee ID],Table1[[#This Row],[Employee ID]],Table1[Relationship to Self],"Self")=0,"No Self member for this dependent",""),"")</f>
        <v/>
      </c>
      <c r="Z7" s="64" t="str" cm="1">
        <f t="array" ref="Z7">IF(Table1[[#This Row],[Relationship to Self]]="Parent",IF(Table1[[#This Row],[Age]]-_xlfn._xlws.FILTER(Table1[Age],(Table1[Employee ID]=Table1[[#This Row],[Employee ID]])*(Table1[Relationship to Self]="Self"))&lt;18,"Difference between self and parent should be atleast 18 years",""),"")</f>
        <v/>
      </c>
      <c r="AA7" s="64" t="str" cm="1">
        <f t="array" ref="AA7">IF(Table1[[#This Row],[Relationship to Self]]="Self",IF(Table1[[#This Row],[Gender]]=_xlfn._xlws.FILTER($H:$H, ($B:$B=Table1[[#This Row],[Employee ID]])*($I:$I="Spouse")), "Self and spouse cannot have same gender",""), "")</f>
        <v/>
      </c>
      <c r="AB7" s="66"/>
    </row>
    <row r="8" spans="1:28" ht="15" customHeight="1" x14ac:dyDescent="0.3">
      <c r="A8" s="102">
        <v>6</v>
      </c>
      <c r="B8" s="103"/>
      <c r="C8" s="67"/>
      <c r="D8" s="104"/>
      <c r="E8" s="100"/>
      <c r="F8" s="68">
        <f t="shared" ca="1" si="0"/>
        <v>126</v>
      </c>
      <c r="G8" s="72" t="str">
        <f t="shared" ca="1" si="1"/>
        <v>From 86</v>
      </c>
      <c r="H8" s="16"/>
      <c r="I8" s="99"/>
      <c r="J8" s="61"/>
      <c r="K8" s="67"/>
      <c r="L8" s="69"/>
      <c r="M8"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8" s="71" t="str">
        <f>IF(ISNUMBER(MATCH(Table1[[#This Row],[Relationship to Self]],[1]!Table4[Valid Relations],0)),"","Invalid relationship to employee. ")</f>
        <v xml:space="preserve">Invalid relationship to employee. </v>
      </c>
      <c r="O8"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8" s="65" t="str">
        <f>IF(ISNUMBER(MATCH(Table1[[#This Row],[Gender]],[1]!Table6[Gender],0)),"","Invalid gender. ")</f>
        <v xml:space="preserve">Invalid gender. </v>
      </c>
      <c r="Q8" s="65" t="str">
        <f>IF(Table1[[#This Row],[Relationship to Self]]&lt;&gt;"Self","",IF(AND(Table1[[#This Row],[Mobile Number]]&gt;6000000000,Table1[[#This Row],[Mobile Number]]&lt;9999999999),"","The entered mobile number is invalid. "))</f>
        <v/>
      </c>
      <c r="R8" s="65" t="str" cm="1">
        <f t="array" ref="R8">IF(Table1[[#This Row],[Relationship to Self]]&lt;&gt;"Self","",IF(IsEmailValid(Table1[[#This Row],[Email]]),IF(ISNUMBER(SEARCH([1]Valid!$K$1,Table1[[#This Row],[Email]])),"","The entered email is not corporate email. "),"The entered email is invalid. "))</f>
        <v/>
      </c>
      <c r="S8" s="65" t="str">
        <f>IF(Table1[[#This Row],[Member Name]]="","Please enter Member Name. ","")</f>
        <v xml:space="preserve">Please enter Member Name. </v>
      </c>
      <c r="T8" s="65" t="str">
        <f>IF(YEAR(Table1[[#This Row],[Date of Birth]])=1905, "DoB is incomplete. ","")</f>
        <v/>
      </c>
      <c r="U8" s="65" t="str">
        <f>IF(COUNTIFS(Table1[Employee ID],Table1[[#This Row],[Employee ID]],Table1[Date of Birth],Table1[[#This Row],[Date of Birth]],Table1[Relationship to Self],Table1[[#This Row],[Relationship to Self]],Table1[Member Name],Table1[[#This Row],[Member Name]])&gt;1,"This entry is repeated multiple times. ","")</f>
        <v/>
      </c>
      <c r="V8" s="64" t="str">
        <f>IF(COUNTIFS(Table1[Employee ID],Table1[[#This Row],[Employee ID]],Table1[Relationship to Self],"Self")&gt;1, "Duplicate Employee ID","")</f>
        <v/>
      </c>
      <c r="W8" s="64" t="str" cm="1">
        <f t="array" ref="W8">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8" s="64" t="str">
        <f>IF(Table1[[#This Row],[Relationship to Self]]="Self",IF(COUNTIFS(Table1[Relationship to Self],"Child",Table1[Employee ID],Table1[[#This Row],[Employee ID]])&gt;2, "More than 2 children",""),"")</f>
        <v/>
      </c>
      <c r="Y8" s="64" t="str">
        <f>IF(AND(Table1[[#This Row],[Relationship to Self]]&lt;&gt;"Self", Table1[[#This Row],[Relationship to Self]]&lt;&gt;""),IF(COUNTIFS(Table1[Employee ID],Table1[[#This Row],[Employee ID]],Table1[Relationship to Self],"Self")=0,"No Self member for this dependent",""),"")</f>
        <v/>
      </c>
      <c r="Z8" s="64" t="str" cm="1">
        <f t="array" ref="Z8">IF(Table1[[#This Row],[Relationship to Self]]="Parent",IF(Table1[[#This Row],[Age]]-_xlfn._xlws.FILTER(Table1[Age],(Table1[Employee ID]=Table1[[#This Row],[Employee ID]])*(Table1[Relationship to Self]="Self"))&lt;18,"Difference between self and parent should be atleast 18 years",""),"")</f>
        <v/>
      </c>
      <c r="AA8" s="64" t="str" cm="1">
        <f t="array" ref="AA8">IF(Table1[[#This Row],[Relationship to Self]]="Self",IF(Table1[[#This Row],[Gender]]=_xlfn._xlws.FILTER($H:$H, ($B:$B=Table1[[#This Row],[Employee ID]])*($I:$I="Spouse")), "Self and spouse cannot have same gender",""), "")</f>
        <v/>
      </c>
      <c r="AB8" s="66"/>
    </row>
    <row r="9" spans="1:28" ht="15" customHeight="1" x14ac:dyDescent="0.3">
      <c r="A9" s="102">
        <v>7</v>
      </c>
      <c r="B9" s="103"/>
      <c r="C9" s="67"/>
      <c r="D9" s="104"/>
      <c r="E9" s="100"/>
      <c r="F9" s="68">
        <f t="shared" ca="1" si="0"/>
        <v>126</v>
      </c>
      <c r="G9" s="72" t="str">
        <f t="shared" ca="1" si="1"/>
        <v>From 86</v>
      </c>
      <c r="H9" s="16"/>
      <c r="I9" s="99"/>
      <c r="J9" s="61"/>
      <c r="K9" s="67"/>
      <c r="L9" s="69"/>
      <c r="M9"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9" s="71" t="str">
        <f>IF(ISNUMBER(MATCH(Table1[[#This Row],[Relationship to Self]],[1]!Table4[Valid Relations],0)),"","Invalid relationship to employee. ")</f>
        <v xml:space="preserve">Invalid relationship to employee. </v>
      </c>
      <c r="O9"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9" s="65" t="str">
        <f>IF(ISNUMBER(MATCH(Table1[[#This Row],[Gender]],[1]!Table6[Gender],0)),"","Invalid gender. ")</f>
        <v xml:space="preserve">Invalid gender. </v>
      </c>
      <c r="Q9" s="65" t="str">
        <f>IF(Table1[[#This Row],[Relationship to Self]]&lt;&gt;"Self","",IF(AND(Table1[[#This Row],[Mobile Number]]&gt;6000000000,Table1[[#This Row],[Mobile Number]]&lt;9999999999),"","The entered mobile number is invalid. "))</f>
        <v/>
      </c>
      <c r="R9" s="65" t="str" cm="1">
        <f t="array" ref="R9">IF(Table1[[#This Row],[Relationship to Self]]&lt;&gt;"Self","",IF(IsEmailValid(Table1[[#This Row],[Email]]),IF(ISNUMBER(SEARCH([1]Valid!$K$1,Table1[[#This Row],[Email]])),"","The entered email is not corporate email. "),"The entered email is invalid. "))</f>
        <v/>
      </c>
      <c r="S9" s="65" t="str">
        <f>IF(Table1[[#This Row],[Member Name]]="","Please enter Member Name. ","")</f>
        <v xml:space="preserve">Please enter Member Name. </v>
      </c>
      <c r="T9" s="65" t="str">
        <f>IF(YEAR(Table1[[#This Row],[Date of Birth]])=1905, "DoB is incomplete. ","")</f>
        <v/>
      </c>
      <c r="U9" s="65" t="str">
        <f>IF(COUNTIFS(Table1[Employee ID],Table1[[#This Row],[Employee ID]],Table1[Date of Birth],Table1[[#This Row],[Date of Birth]],Table1[Relationship to Self],Table1[[#This Row],[Relationship to Self]],Table1[Member Name],Table1[[#This Row],[Member Name]])&gt;1,"This entry is repeated multiple times. ","")</f>
        <v/>
      </c>
      <c r="V9" s="64" t="str">
        <f>IF(COUNTIFS(Table1[Employee ID],Table1[[#This Row],[Employee ID]],Table1[Relationship to Self],"Self")&gt;1, "Duplicate Employee ID","")</f>
        <v/>
      </c>
      <c r="W9" s="64" t="str" cm="1">
        <f t="array" ref="W9">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9" s="64" t="str">
        <f>IF(Table1[[#This Row],[Relationship to Self]]="Self",IF(COUNTIFS(Table1[Relationship to Self],"Child",Table1[Employee ID],Table1[[#This Row],[Employee ID]])&gt;2, "More than 2 children",""),"")</f>
        <v/>
      </c>
      <c r="Y9" s="64" t="str">
        <f>IF(AND(Table1[[#This Row],[Relationship to Self]]&lt;&gt;"Self", Table1[[#This Row],[Relationship to Self]]&lt;&gt;""),IF(COUNTIFS(Table1[Employee ID],Table1[[#This Row],[Employee ID]],Table1[Relationship to Self],"Self")=0,"No Self member for this dependent",""),"")</f>
        <v/>
      </c>
      <c r="Z9" s="64" t="str" cm="1">
        <f t="array" ref="Z9">IF(Table1[[#This Row],[Relationship to Self]]="Parent",IF(Table1[[#This Row],[Age]]-_xlfn._xlws.FILTER(Table1[Age],(Table1[Employee ID]=Table1[[#This Row],[Employee ID]])*(Table1[Relationship to Self]="Self"))&lt;18,"Difference between self and parent should be atleast 18 years",""),"")</f>
        <v/>
      </c>
      <c r="AA9" s="64" t="str" cm="1">
        <f t="array" ref="AA9">IF(Table1[[#This Row],[Relationship to Self]]="Self",IF(Table1[[#This Row],[Gender]]=_xlfn._xlws.FILTER($H:$H, ($B:$B=Table1[[#This Row],[Employee ID]])*($I:$I="Spouse")), "Self and spouse cannot have same gender",""), "")</f>
        <v/>
      </c>
      <c r="AB9" s="66"/>
    </row>
    <row r="10" spans="1:28" ht="15" customHeight="1" x14ac:dyDescent="0.3">
      <c r="A10" s="102">
        <v>8</v>
      </c>
      <c r="B10" s="103"/>
      <c r="C10" s="67"/>
      <c r="D10" s="104"/>
      <c r="E10" s="100"/>
      <c r="F10" s="68">
        <f t="shared" ca="1" si="0"/>
        <v>126</v>
      </c>
      <c r="G10" s="72" t="str">
        <f t="shared" ca="1" si="1"/>
        <v>From 86</v>
      </c>
      <c r="H10" s="16"/>
      <c r="I10" s="99"/>
      <c r="J10" s="61"/>
      <c r="K10" s="67"/>
      <c r="L10" s="69"/>
      <c r="M10"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0" s="71" t="str">
        <f>IF(ISNUMBER(MATCH(Table1[[#This Row],[Relationship to Self]],[1]!Table4[Valid Relations],0)),"","Invalid relationship to employee. ")</f>
        <v xml:space="preserve">Invalid relationship to employee. </v>
      </c>
      <c r="O10"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0" s="65" t="str">
        <f>IF(ISNUMBER(MATCH(Table1[[#This Row],[Gender]],[1]!Table6[Gender],0)),"","Invalid gender. ")</f>
        <v xml:space="preserve">Invalid gender. </v>
      </c>
      <c r="Q10" s="65" t="str">
        <f>IF(Table1[[#This Row],[Relationship to Self]]&lt;&gt;"Self","",IF(AND(Table1[[#This Row],[Mobile Number]]&gt;6000000000,Table1[[#This Row],[Mobile Number]]&lt;9999999999),"","The entered mobile number is invalid. "))</f>
        <v/>
      </c>
      <c r="R10" s="65" t="str" cm="1">
        <f t="array" ref="R10">IF(Table1[[#This Row],[Relationship to Self]]&lt;&gt;"Self","",IF(IsEmailValid(Table1[[#This Row],[Email]]),IF(ISNUMBER(SEARCH([1]Valid!$K$1,Table1[[#This Row],[Email]])),"","The entered email is not corporate email. "),"The entered email is invalid. "))</f>
        <v/>
      </c>
      <c r="S10" s="65" t="str">
        <f>IF(Table1[[#This Row],[Member Name]]="","Please enter Member Name. ","")</f>
        <v xml:space="preserve">Please enter Member Name. </v>
      </c>
      <c r="T10" s="65" t="str">
        <f>IF(YEAR(Table1[[#This Row],[Date of Birth]])=1905, "DoB is incomplete. ","")</f>
        <v/>
      </c>
      <c r="U10" s="65" t="str">
        <f>IF(COUNTIFS(Table1[Employee ID],Table1[[#This Row],[Employee ID]],Table1[Date of Birth],Table1[[#This Row],[Date of Birth]],Table1[Relationship to Self],Table1[[#This Row],[Relationship to Self]],Table1[Member Name],Table1[[#This Row],[Member Name]])&gt;1,"This entry is repeated multiple times. ","")</f>
        <v/>
      </c>
      <c r="V10" s="64" t="str">
        <f>IF(COUNTIFS(Table1[Employee ID],Table1[[#This Row],[Employee ID]],Table1[Relationship to Self],"Self")&gt;1, "Duplicate Employee ID","")</f>
        <v/>
      </c>
      <c r="W10" s="64" t="str" cm="1">
        <f t="array" ref="W10">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0" s="64" t="str">
        <f>IF(Table1[[#This Row],[Relationship to Self]]="Self",IF(COUNTIFS(Table1[Relationship to Self],"Child",Table1[Employee ID],Table1[[#This Row],[Employee ID]])&gt;2, "More than 2 children",""),"")</f>
        <v/>
      </c>
      <c r="Y10" s="64" t="str">
        <f>IF(AND(Table1[[#This Row],[Relationship to Self]]&lt;&gt;"Self", Table1[[#This Row],[Relationship to Self]]&lt;&gt;""),IF(COUNTIFS(Table1[Employee ID],Table1[[#This Row],[Employee ID]],Table1[Relationship to Self],"Self")=0,"No Self member for this dependent",""),"")</f>
        <v/>
      </c>
      <c r="Z10" s="64" t="str" cm="1">
        <f t="array" ref="Z10">IF(Table1[[#This Row],[Relationship to Self]]="Parent",IF(Table1[[#This Row],[Age]]-_xlfn._xlws.FILTER(Table1[Age],(Table1[Employee ID]=Table1[[#This Row],[Employee ID]])*(Table1[Relationship to Self]="Self"))&lt;18,"Difference between self and parent should be atleast 18 years",""),"")</f>
        <v/>
      </c>
      <c r="AA10" s="64" t="str" cm="1">
        <f t="array" ref="AA10">IF(Table1[[#This Row],[Relationship to Self]]="Self",IF(Table1[[#This Row],[Gender]]=_xlfn._xlws.FILTER($H:$H, ($B:$B=Table1[[#This Row],[Employee ID]])*($I:$I="Spouse")), "Self and spouse cannot have same gender",""), "")</f>
        <v/>
      </c>
      <c r="AB10" s="66"/>
    </row>
    <row r="11" spans="1:28" ht="15" customHeight="1" x14ac:dyDescent="0.3">
      <c r="A11" s="102">
        <v>9</v>
      </c>
      <c r="B11" s="103"/>
      <c r="C11" s="67"/>
      <c r="D11" s="104"/>
      <c r="E11" s="100"/>
      <c r="F11" s="68">
        <f t="shared" ca="1" si="0"/>
        <v>126</v>
      </c>
      <c r="G11" s="72" t="str">
        <f t="shared" ca="1" si="1"/>
        <v>From 86</v>
      </c>
      <c r="H11" s="16"/>
      <c r="I11" s="99"/>
      <c r="J11" s="61"/>
      <c r="K11" s="67"/>
      <c r="L11" s="69"/>
      <c r="M11"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1" s="71" t="str">
        <f>IF(ISNUMBER(MATCH(Table1[[#This Row],[Relationship to Self]],[1]!Table4[Valid Relations],0)),"","Invalid relationship to employee. ")</f>
        <v xml:space="preserve">Invalid relationship to employee. </v>
      </c>
      <c r="O11"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1" s="65" t="str">
        <f>IF(ISNUMBER(MATCH(Table1[[#This Row],[Gender]],[1]!Table6[Gender],0)),"","Invalid gender. ")</f>
        <v xml:space="preserve">Invalid gender. </v>
      </c>
      <c r="Q11" s="65" t="str">
        <f>IF(Table1[[#This Row],[Relationship to Self]]&lt;&gt;"Self","",IF(AND(Table1[[#This Row],[Mobile Number]]&gt;6000000000,Table1[[#This Row],[Mobile Number]]&lt;9999999999),"","The entered mobile number is invalid. "))</f>
        <v/>
      </c>
      <c r="R11" s="65" t="str" cm="1">
        <f t="array" ref="R11">IF(Table1[[#This Row],[Relationship to Self]]&lt;&gt;"Self","",IF(IsEmailValid(Table1[[#This Row],[Email]]),IF(ISNUMBER(SEARCH([1]Valid!$K$1,Table1[[#This Row],[Email]])),"","The entered email is not corporate email. "),"The entered email is invalid. "))</f>
        <v/>
      </c>
      <c r="S11" s="65" t="str">
        <f>IF(Table1[[#This Row],[Member Name]]="","Please enter Member Name. ","")</f>
        <v xml:space="preserve">Please enter Member Name. </v>
      </c>
      <c r="T11" s="65" t="str">
        <f>IF(YEAR(Table1[[#This Row],[Date of Birth]])=1905, "DoB is incomplete. ","")</f>
        <v/>
      </c>
      <c r="U11" s="65" t="str">
        <f>IF(COUNTIFS(Table1[Employee ID],Table1[[#This Row],[Employee ID]],Table1[Date of Birth],Table1[[#This Row],[Date of Birth]],Table1[Relationship to Self],Table1[[#This Row],[Relationship to Self]],Table1[Member Name],Table1[[#This Row],[Member Name]])&gt;1,"This entry is repeated multiple times. ","")</f>
        <v/>
      </c>
      <c r="V11" s="64" t="str">
        <f>IF(COUNTIFS(Table1[Employee ID],Table1[[#This Row],[Employee ID]],Table1[Relationship to Self],"Self")&gt;1, "Duplicate Employee ID","")</f>
        <v/>
      </c>
      <c r="W11" s="64" t="str" cm="1">
        <f t="array" ref="W11">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1" s="64" t="str">
        <f>IF(Table1[[#This Row],[Relationship to Self]]="Self",IF(COUNTIFS(Table1[Relationship to Self],"Child",Table1[Employee ID],Table1[[#This Row],[Employee ID]])&gt;2, "More than 2 children",""),"")</f>
        <v/>
      </c>
      <c r="Y11" s="64" t="str">
        <f>IF(AND(Table1[[#This Row],[Relationship to Self]]&lt;&gt;"Self", Table1[[#This Row],[Relationship to Self]]&lt;&gt;""),IF(COUNTIFS(Table1[Employee ID],Table1[[#This Row],[Employee ID]],Table1[Relationship to Self],"Self")=0,"No Self member for this dependent",""),"")</f>
        <v/>
      </c>
      <c r="Z11" s="64" t="str" cm="1">
        <f t="array" ref="Z11">IF(Table1[[#This Row],[Relationship to Self]]="Parent",IF(Table1[[#This Row],[Age]]-_xlfn._xlws.FILTER(Table1[Age],(Table1[Employee ID]=Table1[[#This Row],[Employee ID]])*(Table1[Relationship to Self]="Self"))&lt;18,"Difference between self and parent should be atleast 18 years",""),"")</f>
        <v/>
      </c>
      <c r="AA11" s="64" t="str" cm="1">
        <f t="array" ref="AA11">IF(Table1[[#This Row],[Relationship to Self]]="Self",IF(Table1[[#This Row],[Gender]]=_xlfn._xlws.FILTER($H:$H, ($B:$B=Table1[[#This Row],[Employee ID]])*($I:$I="Spouse")), "Self and spouse cannot have same gender",""), "")</f>
        <v/>
      </c>
      <c r="AB11" s="66"/>
    </row>
    <row r="12" spans="1:28" ht="15" customHeight="1" x14ac:dyDescent="0.3">
      <c r="A12" s="102">
        <v>10</v>
      </c>
      <c r="B12" s="103"/>
      <c r="C12" s="67"/>
      <c r="D12" s="104"/>
      <c r="E12" s="100"/>
      <c r="F12" s="68">
        <f ca="1">DATEDIF(E12,TODAY(),"y")</f>
        <v>126</v>
      </c>
      <c r="G12" s="72" t="str">
        <f ca="1">IF(
    $F12&gt;85,
    "From 86",
    IF(
        $F12&gt;80,
        "81-85",
        IF(
            $F12&gt;75,
            "76-80",
            IF(
                $F12&gt;70,
                "71-75",
                IF(
                    $F12&gt;65,
                    "66-70",
                    IF(
                        $F12&gt;60,
                        "61-65",
                        IF(
                            $F12&gt;55,
                            "56-60",
                            IF(
                                $F12&gt;50,
                                "51-55",
                                IF(
                                    $F12&gt;45,
                                    "46-50",
                                    IF(
                                        $F12&gt;40,
                                        "41-45",
                                        IF(
                                            $F12&gt;35,
                                            "36-40",
                                            IF(
                                                $F12&gt;30,
                                                "31-35",
                                                IF($F12&gt;25, "26-30", IF($F12&gt;18,"19-25","0-18")
                                              )
                                            )
                                        )
                                    )
                                )
                            )
                        )
                    )
                )
            )
        )
    )
)</f>
        <v>From 86</v>
      </c>
      <c r="H12" s="16"/>
      <c r="I12" s="99"/>
      <c r="J12" s="95"/>
      <c r="K12" s="94"/>
      <c r="L12" s="96"/>
      <c r="M12" s="97"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2" s="71" t="str">
        <f>IF(ISNUMBER(MATCH(Table1[[#This Row],[Relationship to Self]],[1]!Table4[Valid Relations],0)),"","Invalid relationship to employee. ")</f>
        <v xml:space="preserve">Invalid relationship to employee. </v>
      </c>
      <c r="O12"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2" s="65" t="str">
        <f>IF(ISNUMBER(MATCH(Table1[[#This Row],[Gender]],[1]!Table6[Gender],0)),"","Invalid gender. ")</f>
        <v xml:space="preserve">Invalid gender. </v>
      </c>
      <c r="Q12" s="65" t="str">
        <f>IF(Table1[[#This Row],[Relationship to Self]]&lt;&gt;"Self","",IF(AND(Table1[[#This Row],[Mobile Number]]&gt;6000000000,Table1[[#This Row],[Mobile Number]]&lt;9999999999),"","The entered mobile number is invalid. "))</f>
        <v/>
      </c>
      <c r="R12" s="65" t="str" cm="1">
        <f t="array" ref="R12">IF(Table1[[#This Row],[Relationship to Self]]&lt;&gt;"Self","",IF(IsEmailValid(Table1[[#This Row],[Email]]),IF(ISNUMBER(SEARCH([1]Valid!$K$1,Table1[[#This Row],[Email]])),"","The entered email is not corporate email. "),"The entered email is invalid. "))</f>
        <v/>
      </c>
      <c r="S12" s="65" t="str">
        <f>IF(Table1[[#This Row],[Member Name]]="","Please enter Member Name. ","")</f>
        <v xml:space="preserve">Please enter Member Name. </v>
      </c>
      <c r="T12" s="65" t="str">
        <f>IF(YEAR(Table1[[#This Row],[Date of Birth]])=1905, "DoB is incomplete. ","")</f>
        <v/>
      </c>
      <c r="U12" s="65" t="str">
        <f>IF(COUNTIFS(Table1[Employee ID],Table1[[#This Row],[Employee ID]],Table1[Date of Birth],Table1[[#This Row],[Date of Birth]],Table1[Relationship to Self],Table1[[#This Row],[Relationship to Self]],Table1[Member Name],Table1[[#This Row],[Member Name]])&gt;1,"This entry is repeated multiple times. ","")</f>
        <v/>
      </c>
      <c r="V12" s="64" t="str">
        <f>IF(COUNTIFS(Table1[Employee ID],Table1[[#This Row],[Employee ID]],Table1[Relationship to Self],"Self")&gt;1, "Duplicate Employee ID","")</f>
        <v/>
      </c>
      <c r="W12" s="65" t="str" cm="1">
        <f t="array" ref="W12">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2" s="65" t="str">
        <f>IF(Table1[[#This Row],[Relationship to Self]]="Self",IF(COUNTIFS(Table1[Relationship to Self],"Child",Table1[Employee ID],Table1[[#This Row],[Employee ID]])&gt;2, "More than 2 children",""),"")</f>
        <v/>
      </c>
      <c r="Y12" s="65" t="str">
        <f>IF(AND(Table1[[#This Row],[Relationship to Self]]&lt;&gt;"Self", Table1[[#This Row],[Relationship to Self]]&lt;&gt;""),IF(COUNTIFS(Table1[Employee ID],Table1[[#This Row],[Employee ID]],Table1[Relationship to Self],"Self")=0,"No Self member for this dependent",""),"")</f>
        <v/>
      </c>
      <c r="Z12" s="65" t="str" cm="1">
        <f t="array" ref="Z12">IF(Table1[[#This Row],[Relationship to Self]]="Parent",IF(Table1[[#This Row],[Age]]-_xlfn._xlws.FILTER(Table1[Age],(Table1[Employee ID]=Table1[[#This Row],[Employee ID]])*(Table1[Relationship to Self]="Self"))&lt;18,"Difference between self and parent should be atleast 18 years",""),"")</f>
        <v/>
      </c>
      <c r="AA12" s="65" t="str" cm="1">
        <f t="array" ref="AA12">IF(Table1[[#This Row],[Relationship to Self]]="Self",IF(Table1[[#This Row],[Gender]]=_xlfn._xlws.FILTER($H:$H, ($B:$B=Table1[[#This Row],[Employee ID]])*($I:$I="Spouse")), "Self and spouse cannot have same gender",""), "")</f>
        <v/>
      </c>
      <c r="AB12" s="66"/>
    </row>
    <row r="13" spans="1:28" ht="15" customHeight="1" x14ac:dyDescent="0.3">
      <c r="A13" s="102">
        <v>11</v>
      </c>
      <c r="B13" s="103"/>
      <c r="C13" s="67"/>
      <c r="D13" s="104"/>
      <c r="E13" s="100"/>
      <c r="F13" s="68">
        <f ca="1">DATEDIF(E13,TODAY(),"y")</f>
        <v>126</v>
      </c>
      <c r="G13" s="72" t="str">
        <f ca="1">IF(
    $F13&gt;85,
    "From 86",
    IF(
        $F13&gt;80,
        "81-85",
        IF(
            $F13&gt;75,
            "76-80",
            IF(
                $F13&gt;70,
                "71-75",
                IF(
                    $F13&gt;65,
                    "66-70",
                    IF(
                        $F13&gt;60,
                        "61-65",
                        IF(
                            $F13&gt;55,
                            "56-60",
                            IF(
                                $F13&gt;50,
                                "51-55",
                                IF(
                                    $F13&gt;45,
                                    "46-50",
                                    IF(
                                        $F13&gt;40,
                                        "41-45",
                                        IF(
                                            $F13&gt;35,
                                            "36-40",
                                            IF(
                                                $F13&gt;30,
                                                "31-35",
                                                IF($F13&gt;25, "26-30", IF($F13&gt;18,"19-25","0-18")
                                              )
                                            )
                                        )
                                    )
                                )
                            )
                        )
                    )
                )
            )
        )
    )
)</f>
        <v>From 86</v>
      </c>
      <c r="H13" s="16"/>
      <c r="I13" s="99"/>
      <c r="J13" s="95"/>
      <c r="K13" s="94"/>
      <c r="L13" s="96"/>
      <c r="M13" s="97"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3" s="71" t="str">
        <f>IF(ISNUMBER(MATCH(Table1[[#This Row],[Relationship to Self]],[1]!Table4[Valid Relations],0)),"","Invalid relationship to employee. ")</f>
        <v xml:space="preserve">Invalid relationship to employee. </v>
      </c>
      <c r="O13"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3" s="65" t="str">
        <f>IF(ISNUMBER(MATCH(Table1[[#This Row],[Gender]],[1]!Table6[Gender],0)),"","Invalid gender. ")</f>
        <v xml:space="preserve">Invalid gender. </v>
      </c>
      <c r="Q13" s="65" t="str">
        <f>IF(Table1[[#This Row],[Relationship to Self]]&lt;&gt;"Self","",IF(AND(Table1[[#This Row],[Mobile Number]]&gt;6000000000,Table1[[#This Row],[Mobile Number]]&lt;9999999999),"","The entered mobile number is invalid. "))</f>
        <v/>
      </c>
      <c r="R13" s="65" t="str" cm="1">
        <f t="array" ref="R13">IF(Table1[[#This Row],[Relationship to Self]]&lt;&gt;"Self","",IF(IsEmailValid(Table1[[#This Row],[Email]]),IF(ISNUMBER(SEARCH([1]Valid!$K$1,Table1[[#This Row],[Email]])),"","The entered email is not corporate email. "),"The entered email is invalid. "))</f>
        <v/>
      </c>
      <c r="S13" s="65" t="str">
        <f>IF(Table1[[#This Row],[Member Name]]="","Please enter Member Name. ","")</f>
        <v xml:space="preserve">Please enter Member Name. </v>
      </c>
      <c r="T13" s="65" t="str">
        <f>IF(YEAR(Table1[[#This Row],[Date of Birth]])=1905, "DoB is incomplete. ","")</f>
        <v/>
      </c>
      <c r="U13" s="65" t="str">
        <f>IF(COUNTIFS(Table1[Employee ID],Table1[[#This Row],[Employee ID]],Table1[Date of Birth],Table1[[#This Row],[Date of Birth]],Table1[Relationship to Self],Table1[[#This Row],[Relationship to Self]],Table1[Member Name],Table1[[#This Row],[Member Name]])&gt;1,"This entry is repeated multiple times. ","")</f>
        <v/>
      </c>
      <c r="V13" s="64" t="str">
        <f>IF(COUNTIFS(Table1[Employee ID],Table1[[#This Row],[Employee ID]],Table1[Relationship to Self],"Self")&gt;1, "Duplicate Employee ID","")</f>
        <v/>
      </c>
      <c r="W13" s="65" t="str" cm="1">
        <f t="array" ref="W13">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3" s="65" t="str">
        <f>IF(Table1[[#This Row],[Relationship to Self]]="Self",IF(COUNTIFS(Table1[Relationship to Self],"Child",Table1[Employee ID],Table1[[#This Row],[Employee ID]])&gt;2, "More than 2 children",""),"")</f>
        <v/>
      </c>
      <c r="Y13" s="65" t="str">
        <f>IF(AND(Table1[[#This Row],[Relationship to Self]]&lt;&gt;"Self", Table1[[#This Row],[Relationship to Self]]&lt;&gt;""),IF(COUNTIFS(Table1[Employee ID],Table1[[#This Row],[Employee ID]],Table1[Relationship to Self],"Self")=0,"No Self member for this dependent",""),"")</f>
        <v/>
      </c>
      <c r="Z13" s="65" t="str" cm="1">
        <f t="array" ref="Z13">IF(Table1[[#This Row],[Relationship to Self]]="Parent",IF(Table1[[#This Row],[Age]]-_xlfn._xlws.FILTER(Table1[Age],(Table1[Employee ID]=Table1[[#This Row],[Employee ID]])*(Table1[Relationship to Self]="Self"))&lt;18,"Difference between self and parent should be atleast 18 years",""),"")</f>
        <v/>
      </c>
      <c r="AA13" s="65" t="str" cm="1">
        <f t="array" ref="AA13">IF(Table1[[#This Row],[Relationship to Self]]="Self",IF(Table1[[#This Row],[Gender]]=_xlfn._xlws.FILTER($H:$H, ($B:$B=Table1[[#This Row],[Employee ID]])*($I:$I="Spouse")), "Self and spouse cannot have same gender",""), "")</f>
        <v/>
      </c>
      <c r="AB13" s="66"/>
    </row>
    <row r="14" spans="1:28" ht="43.2" x14ac:dyDescent="0.3">
      <c r="A14" s="102">
        <v>12</v>
      </c>
      <c r="B14" s="103"/>
      <c r="C14" s="67"/>
      <c r="D14" s="104"/>
      <c r="E14" s="100"/>
      <c r="F14" s="68">
        <f t="shared" ref="F14:F17" ca="1" si="2">DATEDIF(E14,TODAY(),"y")</f>
        <v>126</v>
      </c>
      <c r="G14" s="72" t="str">
        <f t="shared" ref="G14:G17" ca="1" si="3">IF(
    $F14&gt;85,
    "From 86",
    IF(
        $F14&gt;80,
        "81-85",
        IF(
            $F14&gt;75,
            "76-80",
            IF(
                $F14&gt;70,
                "71-75",
                IF(
                    $F14&gt;65,
                    "66-70",
                    IF(
                        $F14&gt;60,
                        "61-65",
                        IF(
                            $F14&gt;55,
                            "56-60",
                            IF(
                                $F14&gt;50,
                                "51-55",
                                IF(
                                    $F14&gt;45,
                                    "46-50",
                                    IF(
                                        $F14&gt;40,
                                        "41-45",
                                        IF(
                                            $F14&gt;35,
                                            "36-40",
                                            IF(
                                                $F14&gt;30,
                                                "31-35",
                                                IF($F14&gt;25, "26-30", IF($F14&gt;18,"19-25","0-18")
                                              )
                                            )
                                        )
                                    )
                                )
                            )
                        )
                    )
                )
            )
        )
    )
)</f>
        <v>From 86</v>
      </c>
      <c r="H14" s="16"/>
      <c r="I14" s="99"/>
      <c r="J14" s="101"/>
      <c r="K14" s="67"/>
      <c r="L14" s="106"/>
      <c r="M14"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4" s="71" t="str">
        <f>IF(ISNUMBER(MATCH(Table1[[#This Row],[Relationship to Self]],[1]!Table4[Valid Relations],0)),"","Invalid relationship to employee. ")</f>
        <v xml:space="preserve">Invalid relationship to employee. </v>
      </c>
      <c r="O14"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4" s="65" t="str">
        <f>IF(ISNUMBER(MATCH(Table1[[#This Row],[Gender]],[1]!Table6[Gender],0)),"","Invalid gender. ")</f>
        <v xml:space="preserve">Invalid gender. </v>
      </c>
      <c r="Q14" s="65" t="str">
        <f>IF(Table1[[#This Row],[Relationship to Self]]&lt;&gt;"Self","",IF(AND(Table1[[#This Row],[Mobile Number]]&gt;6000000000,Table1[[#This Row],[Mobile Number]]&lt;9999999999),"","The entered mobile number is invalid. "))</f>
        <v/>
      </c>
      <c r="R14" s="65" t="str" cm="1">
        <f t="array" ref="R14">IF(Table1[[#This Row],[Relationship to Self]]&lt;&gt;"Self","",IF(IsEmailValid(Table1[[#This Row],[Email]]),IF(ISNUMBER(SEARCH([1]Valid!$K$1,Table1[[#This Row],[Email]])),"","The entered email is not corporate email. "),"The entered email is invalid. "))</f>
        <v/>
      </c>
      <c r="S14" s="65" t="str">
        <f>IF(Table1[[#This Row],[Member Name]]="","Please enter Member Name. ","")</f>
        <v xml:space="preserve">Please enter Member Name. </v>
      </c>
      <c r="T14" s="65" t="str">
        <f>IF(YEAR(Table1[[#This Row],[Date of Birth]])=1905, "DoB is incomplete. ","")</f>
        <v/>
      </c>
      <c r="U14" s="65" t="str">
        <f>IF(COUNTIFS(Table1[Employee ID],Table1[[#This Row],[Employee ID]],Table1[Date of Birth],Table1[[#This Row],[Date of Birth]],Table1[Relationship to Self],Table1[[#This Row],[Relationship to Self]],Table1[Member Name],Table1[[#This Row],[Member Name]])&gt;1,"This entry is repeated multiple times. ","")</f>
        <v/>
      </c>
      <c r="V14" s="64" t="str">
        <f>IF(COUNTIFS(Table1[Employee ID],Table1[[#This Row],[Employee ID]],Table1[Relationship to Self],"Self")&gt;1, "Duplicate Employee ID","")</f>
        <v/>
      </c>
      <c r="W14" s="65" t="str" cm="1">
        <f t="array" ref="W14">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4" s="65" t="str">
        <f>IF(Table1[[#This Row],[Relationship to Self]]="Self",IF(COUNTIFS(Table1[Relationship to Self],"Child",Table1[Employee ID],Table1[[#This Row],[Employee ID]])&gt;2, "More than 2 children",""),"")</f>
        <v/>
      </c>
      <c r="Y14" s="65" t="str">
        <f>IF(AND(Table1[[#This Row],[Relationship to Self]]&lt;&gt;"Self", Table1[[#This Row],[Relationship to Self]]&lt;&gt;""),IF(COUNTIFS(Table1[Employee ID],Table1[[#This Row],[Employee ID]],Table1[Relationship to Self],"Self")=0,"No Self member for this dependent",""),"")</f>
        <v/>
      </c>
      <c r="Z14" s="65" t="str" cm="1">
        <f t="array" ref="Z14">IF(Table1[[#This Row],[Relationship to Self]]="Parent",IF(Table1[[#This Row],[Age]]-_xlfn._xlws.FILTER(Table1[Age],(Table1[Employee ID]=Table1[[#This Row],[Employee ID]])*(Table1[Relationship to Self]="Self"))&lt;18,"Difference between self and parent should be atleast 18 years",""),"")</f>
        <v/>
      </c>
      <c r="AA14" s="65" t="str" cm="1">
        <f t="array" ref="AA14">IF(Table1[[#This Row],[Relationship to Self]]="Self",IF(Table1[[#This Row],[Gender]]=_xlfn._xlws.FILTER($H:$H, ($B:$B=Table1[[#This Row],[Employee ID]])*($I:$I="Spouse")), "Self and spouse cannot have same gender",""), "")</f>
        <v/>
      </c>
      <c r="AB14" s="66"/>
    </row>
    <row r="15" spans="1:28" ht="43.2" x14ac:dyDescent="0.3">
      <c r="A15" s="102">
        <v>13</v>
      </c>
      <c r="B15" s="103"/>
      <c r="C15" s="67"/>
      <c r="D15" s="104"/>
      <c r="E15" s="105"/>
      <c r="F15" s="68">
        <f t="shared" ca="1" si="2"/>
        <v>126</v>
      </c>
      <c r="G15" s="72" t="str">
        <f t="shared" ca="1" si="3"/>
        <v>From 86</v>
      </c>
      <c r="H15" s="16"/>
      <c r="I15" s="99"/>
      <c r="J15" s="101"/>
      <c r="K15" s="67"/>
      <c r="L15" s="106"/>
      <c r="M15"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5" s="71" t="str">
        <f>IF(ISNUMBER(MATCH(Table1[[#This Row],[Relationship to Self]],[1]!Table4[Valid Relations],0)),"","Invalid relationship to employee. ")</f>
        <v xml:space="preserve">Invalid relationship to employee. </v>
      </c>
      <c r="O15"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5" s="65" t="str">
        <f>IF(ISNUMBER(MATCH(Table1[[#This Row],[Gender]],[1]!Table6[Gender],0)),"","Invalid gender. ")</f>
        <v xml:space="preserve">Invalid gender. </v>
      </c>
      <c r="Q15" s="65" t="str">
        <f>IF(Table1[[#This Row],[Relationship to Self]]&lt;&gt;"Self","",IF(AND(Table1[[#This Row],[Mobile Number]]&gt;6000000000,Table1[[#This Row],[Mobile Number]]&lt;9999999999),"","The entered mobile number is invalid. "))</f>
        <v/>
      </c>
      <c r="R15" s="65" t="str" cm="1">
        <f t="array" ref="R15">IF(Table1[[#This Row],[Relationship to Self]]&lt;&gt;"Self","",IF(IsEmailValid(Table1[[#This Row],[Email]]),IF(ISNUMBER(SEARCH([1]Valid!$K$1,Table1[[#This Row],[Email]])),"","The entered email is not corporate email. "),"The entered email is invalid. "))</f>
        <v/>
      </c>
      <c r="S15" s="65" t="str">
        <f>IF(Table1[[#This Row],[Member Name]]="","Please enter Member Name. ","")</f>
        <v xml:space="preserve">Please enter Member Name. </v>
      </c>
      <c r="T15" s="65" t="str">
        <f>IF(YEAR(Table1[[#This Row],[Date of Birth]])=1905, "DoB is incomplete. ","")</f>
        <v/>
      </c>
      <c r="U15" s="65" t="str">
        <f>IF(COUNTIFS(Table1[Employee ID],Table1[[#This Row],[Employee ID]],Table1[Date of Birth],Table1[[#This Row],[Date of Birth]],Table1[Relationship to Self],Table1[[#This Row],[Relationship to Self]],Table1[Member Name],Table1[[#This Row],[Member Name]])&gt;1,"This entry is repeated multiple times. ","")</f>
        <v/>
      </c>
      <c r="V15" s="64" t="str">
        <f>IF(COUNTIFS(Table1[Employee ID],Table1[[#This Row],[Employee ID]],Table1[Relationship to Self],"Self")&gt;1, "Duplicate Employee ID","")</f>
        <v/>
      </c>
      <c r="W15" s="65" t="str" cm="1">
        <f t="array" ref="W15">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5" s="65" t="str">
        <f>IF(Table1[[#This Row],[Relationship to Self]]="Self",IF(COUNTIFS(Table1[Relationship to Self],"Child",Table1[Employee ID],Table1[[#This Row],[Employee ID]])&gt;2, "More than 2 children",""),"")</f>
        <v/>
      </c>
      <c r="Y15" s="65" t="str">
        <f>IF(AND(Table1[[#This Row],[Relationship to Self]]&lt;&gt;"Self", Table1[[#This Row],[Relationship to Self]]&lt;&gt;""),IF(COUNTIFS(Table1[Employee ID],Table1[[#This Row],[Employee ID]],Table1[Relationship to Self],"Self")=0,"No Self member for this dependent",""),"")</f>
        <v/>
      </c>
      <c r="Z15" s="65" t="str" cm="1">
        <f t="array" ref="Z15">IF(Table1[[#This Row],[Relationship to Self]]="Parent",IF(Table1[[#This Row],[Age]]-_xlfn._xlws.FILTER(Table1[Age],(Table1[Employee ID]=Table1[[#This Row],[Employee ID]])*(Table1[Relationship to Self]="Self"))&lt;18,"Difference between self and parent should be atleast 18 years",""),"")</f>
        <v/>
      </c>
      <c r="AA15" s="65" t="str" cm="1">
        <f t="array" ref="AA15">IF(Table1[[#This Row],[Relationship to Self]]="Self",IF(Table1[[#This Row],[Gender]]=_xlfn._xlws.FILTER($H:$H, ($B:$B=Table1[[#This Row],[Employee ID]])*($I:$I="Spouse")), "Self and spouse cannot have same gender",""), "")</f>
        <v/>
      </c>
      <c r="AB15" s="66"/>
    </row>
    <row r="16" spans="1:28" ht="43.2" x14ac:dyDescent="0.3">
      <c r="A16" s="102">
        <v>14</v>
      </c>
      <c r="B16" s="103"/>
      <c r="C16" s="67"/>
      <c r="D16" s="104"/>
      <c r="E16" s="100"/>
      <c r="F16" s="68">
        <f t="shared" ca="1" si="2"/>
        <v>126</v>
      </c>
      <c r="G16" s="72" t="str">
        <f t="shared" ca="1" si="3"/>
        <v>From 86</v>
      </c>
      <c r="H16" s="16"/>
      <c r="I16" s="99"/>
      <c r="J16" s="101"/>
      <c r="K16" s="67"/>
      <c r="L16" s="106"/>
      <c r="M16"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6" s="71" t="str">
        <f>IF(ISNUMBER(MATCH(Table1[[#This Row],[Relationship to Self]],[1]!Table4[Valid Relations],0)),"","Invalid relationship to employee. ")</f>
        <v xml:space="preserve">Invalid relationship to employee. </v>
      </c>
      <c r="O16"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6" s="65" t="str">
        <f>IF(ISNUMBER(MATCH(Table1[[#This Row],[Gender]],[1]!Table6[Gender],0)),"","Invalid gender. ")</f>
        <v xml:space="preserve">Invalid gender. </v>
      </c>
      <c r="Q16" s="65" t="str">
        <f>IF(Table1[[#This Row],[Relationship to Self]]&lt;&gt;"Self","",IF(AND(Table1[[#This Row],[Mobile Number]]&gt;6000000000,Table1[[#This Row],[Mobile Number]]&lt;9999999999),"","The entered mobile number is invalid. "))</f>
        <v/>
      </c>
      <c r="R16" s="65" t="str" cm="1">
        <f t="array" ref="R16">IF(Table1[[#This Row],[Relationship to Self]]&lt;&gt;"Self","",IF(IsEmailValid(Table1[[#This Row],[Email]]),IF(ISNUMBER(SEARCH([1]Valid!$K$1,Table1[[#This Row],[Email]])),"","The entered email is not corporate email. "),"The entered email is invalid. "))</f>
        <v/>
      </c>
      <c r="S16" s="65" t="str">
        <f>IF(Table1[[#This Row],[Member Name]]="","Please enter Member Name. ","")</f>
        <v xml:space="preserve">Please enter Member Name. </v>
      </c>
      <c r="T16" s="65" t="str">
        <f>IF(YEAR(Table1[[#This Row],[Date of Birth]])=1905, "DoB is incomplete. ","")</f>
        <v/>
      </c>
      <c r="U16" s="65" t="str">
        <f>IF(COUNTIFS(Table1[Employee ID],Table1[[#This Row],[Employee ID]],Table1[Date of Birth],Table1[[#This Row],[Date of Birth]],Table1[Relationship to Self],Table1[[#This Row],[Relationship to Self]],Table1[Member Name],Table1[[#This Row],[Member Name]])&gt;1,"This entry is repeated multiple times. ","")</f>
        <v/>
      </c>
      <c r="V16" s="64" t="str">
        <f>IF(COUNTIFS(Table1[Employee ID],Table1[[#This Row],[Employee ID]],Table1[Relationship to Self],"Self")&gt;1, "Duplicate Employee ID","")</f>
        <v/>
      </c>
      <c r="W16" s="65" t="str" cm="1">
        <f t="array" ref="W16">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6" s="65" t="str">
        <f>IF(Table1[[#This Row],[Relationship to Self]]="Self",IF(COUNTIFS(Table1[Relationship to Self],"Child",Table1[Employee ID],Table1[[#This Row],[Employee ID]])&gt;2, "More than 2 children",""),"")</f>
        <v/>
      </c>
      <c r="Y16" s="65" t="str">
        <f>IF(AND(Table1[[#This Row],[Relationship to Self]]&lt;&gt;"Self", Table1[[#This Row],[Relationship to Self]]&lt;&gt;""),IF(COUNTIFS(Table1[Employee ID],Table1[[#This Row],[Employee ID]],Table1[Relationship to Self],"Self")=0,"No Self member for this dependent",""),"")</f>
        <v/>
      </c>
      <c r="Z16" s="65" t="str" cm="1">
        <f t="array" ref="Z16">IF(Table1[[#This Row],[Relationship to Self]]="Parent",IF(Table1[[#This Row],[Age]]-_xlfn._xlws.FILTER(Table1[Age],(Table1[Employee ID]=Table1[[#This Row],[Employee ID]])*(Table1[Relationship to Self]="Self"))&lt;18,"Difference between self and parent should be atleast 18 years",""),"")</f>
        <v/>
      </c>
      <c r="AA16" s="65" t="str" cm="1">
        <f t="array" ref="AA16">IF(Table1[[#This Row],[Relationship to Self]]="Self",IF(Table1[[#This Row],[Gender]]=_xlfn._xlws.FILTER($H:$H, ($B:$B=Table1[[#This Row],[Employee ID]])*($I:$I="Spouse")), "Self and spouse cannot have same gender",""), "")</f>
        <v/>
      </c>
      <c r="AB16" s="66"/>
    </row>
    <row r="17" spans="1:28" ht="43.2" x14ac:dyDescent="0.3">
      <c r="A17" s="102">
        <v>15</v>
      </c>
      <c r="B17" s="103"/>
      <c r="C17" s="67"/>
      <c r="D17" s="104"/>
      <c r="E17" s="100"/>
      <c r="F17" s="68">
        <f t="shared" ca="1" si="2"/>
        <v>126</v>
      </c>
      <c r="G17" s="72" t="str">
        <f t="shared" ca="1" si="3"/>
        <v>From 86</v>
      </c>
      <c r="H17" s="16"/>
      <c r="I17" s="99"/>
      <c r="J17" s="101"/>
      <c r="K17" s="67"/>
      <c r="L17" s="106"/>
      <c r="M17" s="70" t="str">
        <f>Table1[[#This Row],[Error_Name]] &amp;Table1[[#This Row],[Error_DoB]] &amp;Table1[[#This Row],[Error_Age]] &amp;Table1[[#This Row],[Error_Gender]] &amp;Table1[[#This Row],[Error_Relationship]]  &amp;Table1[[#This Row],[Error_Ph]] &amp;Table1[[#This Row],[Error_Email]]  &amp;Table1[[#This Row],[Error_Duplicate]] &amp;Table1[[#This Row],[Error_EmployeeID]] &amp;Table1[[#This Row],[Error_Spouse]] &amp;Table1[[#This Row],[Error_Child_Count]] &amp;Table1[[#This Row],[Error_No_Self]] &amp;Table1[[#This Row],[Error_Parent_Diff]] &amp;Table1[[#This Row],[Error_Spouse_Gender]]</f>
        <v xml:space="preserve">Please enter Member Name. Invalid gender. Invalid relationship to employee. </v>
      </c>
      <c r="N17" s="71" t="str">
        <f>IF(ISNUMBER(MATCH(Table1[[#This Row],[Relationship to Self]],[1]!Table4[Valid Relations],0)),"","Invalid relationship to employee. ")</f>
        <v xml:space="preserve">Invalid relationship to employee. </v>
      </c>
      <c r="O17" s="65" t="str">
        <f>IF(
        Table1[[#This Row],[Relationship to Self]]=[1]Valid!$C$6,
        IF(AND(Table1[[#This Row],[Age]]&gt;=[1]Valid!$D$6,Table1[[#This Row],[Age]]&lt;=[1]Valid!$E$6),"",[1]Valid!$C$6 &amp; " age should be between " &amp; [1]Valid!$D$6 &amp; " and " &amp; [1]Valid!$E$6 &amp; ". "),
        IF(
            Table1[[#This Row],[Relationship to Self]]=[1]Valid!$C$2,
            IF(AND(Table1[[#This Row],[Age]]&gt;=[1]Valid!$D$2,Table1[[#This Row],[Age]]&lt;=[1]Valid!$E$2),"",[1]Valid!$C$2 &amp; " age should be between " &amp; [1]Valid!$D$2 &amp; " and " &amp; [1]Valid!$E$2 &amp; ". "),
            IF(
                Table1[[#This Row],[Relationship to Self]]=[1]Valid!$C$3,
                IF(AND(Table1[[#This Row],[Age]]&gt;=[1]Valid!$D$3,Table1[[#This Row],[Age]]&lt;=[1]Valid!$E$3),"",[1]Valid!$C$3 &amp; " age should be between " &amp; [1]Valid!$D$3 &amp; " and " &amp; [1]Valid!$E$3 &amp; ". "),
                IF(
                    Table1[[#This Row],[Relationship to Self]]=[1]Valid!$C$4,
                    IF(AND(Table1[[#This Row],[Age]]&gt;=[1]Valid!$D$4,Table1[[#This Row],[Age]]&lt;=[1]Valid!$E$4),"",[1]Valid!$C$4 &amp; " age should be between " &amp; [1]Valid!$D$4 &amp; " and " &amp; [1]Valid!$E$4 &amp; ". "),
                    IF(
                        Table1[[#This Row],[Relationship to Self]]=[1]Valid!$C$5,
                        IF(AND(Table1[[#This Row],[Age]]&gt;=[1]Valid!$D$5,Table1[[#This Row],[Age]]&lt;=[1]Valid!$E$5),"",[1]Valid!$C$5 &amp; " age should be between " &amp; [1]Valid!$D$5 &amp; " and " &amp; [1]Valid!$E$5 &amp; ". "),
                        ""
                    )
                )
            )
        )
    )</f>
        <v/>
      </c>
      <c r="P17" s="65" t="str">
        <f>IF(ISNUMBER(MATCH(Table1[[#This Row],[Gender]],[1]!Table6[Gender],0)),"","Invalid gender. ")</f>
        <v xml:space="preserve">Invalid gender. </v>
      </c>
      <c r="Q17" s="65" t="str">
        <f>IF(Table1[[#This Row],[Relationship to Self]]&lt;&gt;"Self","",IF(AND(Table1[[#This Row],[Mobile Number]]&gt;6000000000,Table1[[#This Row],[Mobile Number]]&lt;9999999999),"","The entered mobile number is invalid. "))</f>
        <v/>
      </c>
      <c r="R17" s="65" t="str" cm="1">
        <f t="array" ref="R17">IF(Table1[[#This Row],[Relationship to Self]]&lt;&gt;"Self","",IF(IsEmailValid(Table1[[#This Row],[Email]]),IF(ISNUMBER(SEARCH([1]Valid!$K$1,Table1[[#This Row],[Email]])),"","The entered email is not corporate email. "),"The entered email is invalid. "))</f>
        <v/>
      </c>
      <c r="S17" s="65" t="str">
        <f>IF(Table1[[#This Row],[Member Name]]="","Please enter Member Name. ","")</f>
        <v xml:space="preserve">Please enter Member Name. </v>
      </c>
      <c r="T17" s="65" t="str">
        <f>IF(YEAR(Table1[[#This Row],[Date of Birth]])=1905, "DoB is incomplete. ","")</f>
        <v/>
      </c>
      <c r="U17" s="65" t="str">
        <f>IF(COUNTIFS(Table1[Employee ID],Table1[[#This Row],[Employee ID]],Table1[Date of Birth],Table1[[#This Row],[Date of Birth]],Table1[Relationship to Self],Table1[[#This Row],[Relationship to Self]],Table1[Member Name],Table1[[#This Row],[Member Name]])&gt;1,"This entry is repeated multiple times. ","")</f>
        <v/>
      </c>
      <c r="V17" s="64" t="str">
        <f>IF(COUNTIFS(Table1[Employee ID],Table1[[#This Row],[Employee ID]],Table1[Relationship to Self],"Self")&gt;1, "Duplicate Employee ID","")</f>
        <v/>
      </c>
      <c r="W17" s="65" t="str" cm="1">
        <f t="array" ref="W17">IF(COUNTIFS(Table1[Employee ID],Table1[[#This Row],[Employee ID]],Table1[Relationship to Self],"Spouse")&gt;1, "Multiple Spouses",IF(Table1[[#This Row],[Relationship to Self]]="Self",IF(Table1[[#This Row],[Gender]]=_xlfn._xlws.FILTER(Table1[Gender], (Table1[Employee ID]=Table1[[#This Row],[Employee ID]])*(Table1[Relationship to Self]="Spouse"), ""), "Self and spouse cannot have same gender",""),""))</f>
        <v/>
      </c>
      <c r="X17" s="65" t="str">
        <f>IF(Table1[[#This Row],[Relationship to Self]]="Self",IF(COUNTIFS(Table1[Relationship to Self],"Child",Table1[Employee ID],Table1[[#This Row],[Employee ID]])&gt;2, "More than 2 children",""),"")</f>
        <v/>
      </c>
      <c r="Y17" s="65" t="str">
        <f>IF(AND(Table1[[#This Row],[Relationship to Self]]&lt;&gt;"Self", Table1[[#This Row],[Relationship to Self]]&lt;&gt;""),IF(COUNTIFS(Table1[Employee ID],Table1[[#This Row],[Employee ID]],Table1[Relationship to Self],"Self")=0,"No Self member for this dependent",""),"")</f>
        <v/>
      </c>
      <c r="Z17" s="65" t="str" cm="1">
        <f t="array" ref="Z17">IF(Table1[[#This Row],[Relationship to Self]]="Parent",IF(Table1[[#This Row],[Age]]-_xlfn._xlws.FILTER(Table1[Age],(Table1[Employee ID]=Table1[[#This Row],[Employee ID]])*(Table1[Relationship to Self]="Self"))&lt;18,"Difference between self and parent should be atleast 18 years",""),"")</f>
        <v/>
      </c>
      <c r="AA17" s="65" t="str" cm="1">
        <f t="array" ref="AA17">IF(Table1[[#This Row],[Relationship to Self]]="Self",IF(Table1[[#This Row],[Gender]]=_xlfn._xlws.FILTER($H:$H, ($B:$B=Table1[[#This Row],[Employee ID]])*($I:$I="Spouse")), "Self and spouse cannot have same gender",""), "")</f>
        <v/>
      </c>
      <c r="AB17" s="66"/>
    </row>
  </sheetData>
  <sheetProtection insertRows="0" sort="0" autoFilter="0"/>
  <conditionalFormatting sqref="J3:J17">
    <cfRule type="containsBlanks" dxfId="20" priority="4">
      <formula>LEN(TRIM(J3))=0</formula>
    </cfRule>
  </conditionalFormatting>
  <conditionalFormatting sqref="K3:K17">
    <cfRule type="expression" dxfId="18" priority="5">
      <formula>AND(#REF!="Self",$Q3&lt;&gt;"")</formula>
    </cfRule>
  </conditionalFormatting>
  <conditionalFormatting sqref="L3:L17">
    <cfRule type="expression" dxfId="17" priority="6">
      <formula>AND(#REF!="Self",$R3="The entered email is invalid. ")</formula>
    </cfRule>
  </conditionalFormatting>
  <dataValidations count="4">
    <dataValidation type="custom" allowBlank="1" showDropDown="1" showInputMessage="1" showErrorMessage="1" prompt="Enter a valid date in DD-MMM-YYYY format. E.g., 20-Jan-1983" sqref="E3:E11" xr:uid="{F8D6521B-57AB-4E80-B8DC-3D2185BC755C}">
      <formula1>OR(NOT(ISERROR(DATEVALUE(E3))), AND(ISNUMBER(E3), LEFT(CELL("format", E3))="D"))</formula1>
    </dataValidation>
    <dataValidation type="textLength" operator="greaterThan" allowBlank="1" showInputMessage="1" showErrorMessage="1" errorTitle="Invalid Name" error="Please enter the Member's Name" sqref="D3:D17" xr:uid="{ED10058F-AC0E-4608-AEE8-6801955EC077}">
      <formula1>0</formula1>
    </dataValidation>
    <dataValidation type="whole" errorStyle="warning" allowBlank="1" showInputMessage="1" showErrorMessage="1" errorTitle="Invalid Phone Number" error="Please enter a valid phone number." sqref="K3:K17" xr:uid="{4862D809-80A5-4C5A-A05E-680312373698}">
      <formula1>6000000000</formula1>
      <formula2>9999999999</formula2>
    </dataValidation>
    <dataValidation type="list" allowBlank="1" showInputMessage="1" showErrorMessage="1" sqref="H3:H17" xr:uid="{95100EF4-9691-9444-B5D6-1CA55BF72BBE}">
      <formula1>"Male,Female,Other"</formula1>
    </dataValidation>
  </dataValidations>
  <pageMargins left="0.7" right="0.7" top="0.75" bottom="0.75" header="0.3" footer="0.3"/>
  <pageSetup paperSize="9" scale="58"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RelationConversion">
                <anchor moveWithCells="1" sizeWithCells="1">
                  <from>
                    <xdr:col>8</xdr:col>
                    <xdr:colOff>68580</xdr:colOff>
                    <xdr:row>0</xdr:row>
                    <xdr:rowOff>68580</xdr:rowOff>
                  </from>
                  <to>
                    <xdr:col>8</xdr:col>
                    <xdr:colOff>1859280</xdr:colOff>
                    <xdr:row>0</xdr:row>
                    <xdr:rowOff>449580</xdr:rowOff>
                  </to>
                </anchor>
              </controlPr>
            </control>
          </mc:Choice>
        </mc:AlternateContent>
      </controls>
    </mc:Choice>
  </mc:AlternateContent>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ADFE-535E-42B4-826A-73EF31D6CEC6}">
  <sheetPr codeName="Sheet5"/>
  <dimension ref="A2:H11"/>
  <sheetViews>
    <sheetView workbookViewId="0">
      <selection activeCell="A11" sqref="A11"/>
    </sheetView>
  </sheetViews>
  <sheetFormatPr defaultColWidth="8.88671875" defaultRowHeight="14.4" x14ac:dyDescent="0.3"/>
  <cols>
    <col min="1" max="1" width="25.21875" bestFit="1" customWidth="1"/>
    <col min="2" max="2" width="17.77734375" style="24" bestFit="1" customWidth="1"/>
    <col min="3" max="3" width="10.77734375" style="24" bestFit="1" customWidth="1"/>
  </cols>
  <sheetData>
    <row r="2" spans="1:8" x14ac:dyDescent="0.3">
      <c r="H2" t="s">
        <v>161</v>
      </c>
    </row>
    <row r="3" spans="1:8" x14ac:dyDescent="0.3">
      <c r="A3" s="73" t="s">
        <v>162</v>
      </c>
      <c r="B3" s="98" t="s">
        <v>163</v>
      </c>
      <c r="C3" s="98"/>
      <c r="H3" t="s">
        <v>164</v>
      </c>
    </row>
    <row r="4" spans="1:8" x14ac:dyDescent="0.3">
      <c r="A4" s="73" t="s">
        <v>165</v>
      </c>
      <c r="B4" s="98" t="s">
        <v>194</v>
      </c>
      <c r="C4" s="98" t="s">
        <v>166</v>
      </c>
      <c r="H4" t="s">
        <v>167</v>
      </c>
    </row>
    <row r="5" spans="1:8" x14ac:dyDescent="0.3">
      <c r="A5" s="75" t="s">
        <v>195</v>
      </c>
      <c r="B5" s="114"/>
      <c r="C5" s="114"/>
    </row>
    <row r="6" spans="1:8" x14ac:dyDescent="0.3">
      <c r="A6" s="74" t="s">
        <v>166</v>
      </c>
      <c r="B6" s="115"/>
      <c r="C6" s="115"/>
    </row>
    <row r="7" spans="1:8" x14ac:dyDescent="0.3">
      <c r="B7"/>
      <c r="C7"/>
    </row>
    <row r="8" spans="1:8" x14ac:dyDescent="0.3">
      <c r="B8"/>
      <c r="C8"/>
    </row>
    <row r="9" spans="1:8" x14ac:dyDescent="0.3">
      <c r="B9"/>
      <c r="C9"/>
    </row>
    <row r="10" spans="1:8" x14ac:dyDescent="0.3">
      <c r="B10"/>
      <c r="C10"/>
    </row>
    <row r="11" spans="1:8" x14ac:dyDescent="0.3">
      <c r="B11"/>
      <c r="C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C8B3-F8BB-4A62-B995-A2481C46C23B}">
  <sheetPr codeName="Sheet6"/>
  <dimension ref="A1:K5"/>
  <sheetViews>
    <sheetView showGridLines="0" workbookViewId="0">
      <selection activeCell="I14" sqref="I14"/>
    </sheetView>
  </sheetViews>
  <sheetFormatPr defaultColWidth="8.88671875" defaultRowHeight="14.4" x14ac:dyDescent="0.3"/>
  <cols>
    <col min="3" max="3" width="19.44140625" customWidth="1"/>
    <col min="4" max="4" width="29.109375" customWidth="1"/>
    <col min="5" max="5" width="11.109375" bestFit="1" customWidth="1"/>
    <col min="11" max="11" width="24.88671875" customWidth="1"/>
  </cols>
  <sheetData>
    <row r="1" spans="1:11" x14ac:dyDescent="0.3">
      <c r="A1" s="1" t="s">
        <v>168</v>
      </c>
    </row>
    <row r="3" spans="1:11" ht="43.2" x14ac:dyDescent="0.3">
      <c r="A3" s="40" t="s">
        <v>131</v>
      </c>
      <c r="B3" s="40" t="s">
        <v>132</v>
      </c>
      <c r="C3" s="40" t="s">
        <v>133</v>
      </c>
      <c r="D3" s="40" t="s">
        <v>134</v>
      </c>
      <c r="E3" s="41" t="s">
        <v>135</v>
      </c>
      <c r="F3" s="42" t="s">
        <v>136</v>
      </c>
      <c r="G3" s="42" t="s">
        <v>137</v>
      </c>
      <c r="H3" s="40" t="s">
        <v>138</v>
      </c>
      <c r="I3" s="40" t="s">
        <v>139</v>
      </c>
      <c r="J3" s="43" t="s">
        <v>140</v>
      </c>
      <c r="K3" s="43" t="s">
        <v>143</v>
      </c>
    </row>
    <row r="4" spans="1:11" x14ac:dyDescent="0.3">
      <c r="A4" s="44"/>
      <c r="B4" s="45"/>
      <c r="C4" s="44"/>
      <c r="D4" s="46"/>
      <c r="E4" s="47"/>
      <c r="F4" s="48"/>
      <c r="G4" s="49"/>
      <c r="H4" s="44"/>
      <c r="I4" s="50"/>
      <c r="J4" s="51"/>
      <c r="K4" s="52"/>
    </row>
    <row r="5" spans="1:11" x14ac:dyDescent="0.3">
      <c r="A5" s="44"/>
      <c r="B5" s="45"/>
      <c r="C5" s="44"/>
      <c r="D5" s="46"/>
      <c r="E5" s="47"/>
      <c r="F5" s="48"/>
      <c r="G5" s="49"/>
      <c r="H5" s="44"/>
      <c r="I5" s="50"/>
      <c r="J5" s="51"/>
      <c r="K5" s="52"/>
    </row>
  </sheetData>
  <conditionalFormatting sqref="A4:H5">
    <cfRule type="containsBlanks" dxfId="16" priority="2">
      <formula>LEN(TRIM(A4))=0</formula>
    </cfRule>
  </conditionalFormatting>
  <conditionalFormatting sqref="J4:J5">
    <cfRule type="containsBlanks" dxfId="15" priority="1">
      <formula>LEN(TRIM(J4))=0</formula>
    </cfRule>
  </conditionalFormatting>
  <dataValidations count="3">
    <dataValidation type="list" allowBlank="1" showInputMessage="1" showErrorMessage="1" errorTitle="Invalid Gender" error="Please enter a valid gender" sqref="H4:H5" xr:uid="{6A643D92-181D-4918-8910-1D8946319F94}">
      <formula1>INDIRECT("Table6[Gender]")</formula1>
    </dataValidation>
    <dataValidation type="textLength" operator="greaterThan" allowBlank="1" showInputMessage="1" showErrorMessage="1" errorTitle="Invalid Name" error="Please enter the Member's Name" sqref="D4:D5" xr:uid="{1473437C-11CC-4F57-BDB4-ED3E05EBBFB7}">
      <formula1>0</formula1>
    </dataValidation>
    <dataValidation type="custom" allowBlank="1" showDropDown="1" showInputMessage="1" showErrorMessage="1" prompt="Enter a valid date in DD-MMM-YYYY format. E.g., 20-Jan-1983" sqref="E4:E5" xr:uid="{F8BFEEBF-F3A6-46E6-ACB9-59FBBF7C5691}">
      <formula1>OR(NOT(ISERROR(DATEVALUE(E4))), AND(ISNUMBER(E4), LEFT(CELL("format", E4))="D"))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F75F-A24A-46B0-85BA-E00E5A5D38E2}">
  <sheetPr codeName="Sheet7"/>
  <dimension ref="A1:R40"/>
  <sheetViews>
    <sheetView topLeftCell="A6" workbookViewId="0">
      <selection activeCell="M6" sqref="M6"/>
    </sheetView>
  </sheetViews>
  <sheetFormatPr defaultColWidth="8.88671875" defaultRowHeight="14.4" x14ac:dyDescent="0.3"/>
  <cols>
    <col min="17" max="17" width="11.109375" customWidth="1"/>
  </cols>
  <sheetData>
    <row r="1" spans="1:15" ht="15" thickBot="1" x14ac:dyDescent="0.35">
      <c r="A1" s="111" t="s">
        <v>169</v>
      </c>
      <c r="B1" s="112"/>
      <c r="C1" s="112"/>
      <c r="D1" s="112"/>
      <c r="E1" s="112"/>
      <c r="F1" s="112"/>
      <c r="G1" s="112"/>
      <c r="H1" s="112"/>
      <c r="I1" s="112"/>
      <c r="J1" s="112"/>
      <c r="K1" s="112"/>
      <c r="L1" s="112"/>
      <c r="M1" s="112"/>
      <c r="N1" s="112"/>
      <c r="O1" s="113"/>
    </row>
    <row r="2" spans="1:15" x14ac:dyDescent="0.3">
      <c r="A2" s="17" t="s">
        <v>159</v>
      </c>
      <c r="B2" s="18" t="s">
        <v>170</v>
      </c>
      <c r="C2" s="18" t="s">
        <v>171</v>
      </c>
      <c r="D2" s="18" t="s">
        <v>172</v>
      </c>
      <c r="E2" s="18" t="s">
        <v>173</v>
      </c>
      <c r="F2" s="18" t="s">
        <v>174</v>
      </c>
      <c r="G2" s="18" t="s">
        <v>175</v>
      </c>
      <c r="H2" s="18" t="s">
        <v>176</v>
      </c>
      <c r="I2" s="18" t="s">
        <v>177</v>
      </c>
      <c r="J2" s="18" t="s">
        <v>178</v>
      </c>
      <c r="K2" s="18" t="s">
        <v>179</v>
      </c>
      <c r="L2" s="18" t="s">
        <v>180</v>
      </c>
      <c r="M2" s="18" t="s">
        <v>181</v>
      </c>
      <c r="N2" s="18" t="s">
        <v>182</v>
      </c>
      <c r="O2" s="18" t="s">
        <v>183</v>
      </c>
    </row>
    <row r="3" spans="1:15" ht="26.4" x14ac:dyDescent="0.3">
      <c r="A3" s="19" t="s">
        <v>137</v>
      </c>
      <c r="B3" s="16">
        <v>1</v>
      </c>
      <c r="C3" s="16">
        <v>51</v>
      </c>
      <c r="D3" s="16">
        <v>68</v>
      </c>
      <c r="E3" s="16">
        <v>56</v>
      </c>
      <c r="F3" s="16">
        <v>138</v>
      </c>
      <c r="G3" s="16">
        <v>167</v>
      </c>
      <c r="H3" s="16">
        <v>137</v>
      </c>
      <c r="I3" s="16">
        <v>104</v>
      </c>
      <c r="J3" s="16">
        <v>43</v>
      </c>
      <c r="K3" s="16">
        <v>0</v>
      </c>
      <c r="L3" s="16">
        <v>0</v>
      </c>
      <c r="M3" s="16">
        <v>0</v>
      </c>
      <c r="N3" s="16">
        <v>0</v>
      </c>
      <c r="O3" s="20">
        <f>SUM(B3:N3)</f>
        <v>765</v>
      </c>
    </row>
    <row r="5" spans="1:15" x14ac:dyDescent="0.3">
      <c r="A5" s="17" t="s">
        <v>160</v>
      </c>
      <c r="B5" s="18" t="s">
        <v>170</v>
      </c>
      <c r="C5" s="18" t="s">
        <v>171</v>
      </c>
      <c r="D5" s="18" t="s">
        <v>172</v>
      </c>
      <c r="E5" s="18" t="s">
        <v>173</v>
      </c>
      <c r="F5" s="18" t="s">
        <v>174</v>
      </c>
      <c r="G5" s="18" t="s">
        <v>175</v>
      </c>
      <c r="H5" s="18" t="s">
        <v>176</v>
      </c>
      <c r="I5" s="18" t="s">
        <v>177</v>
      </c>
      <c r="J5" s="18" t="s">
        <v>178</v>
      </c>
      <c r="K5" s="18" t="s">
        <v>179</v>
      </c>
      <c r="L5" s="18" t="s">
        <v>180</v>
      </c>
      <c r="M5" s="18" t="s">
        <v>181</v>
      </c>
      <c r="N5" s="18" t="s">
        <v>182</v>
      </c>
      <c r="O5" s="18" t="s">
        <v>183</v>
      </c>
    </row>
    <row r="6" spans="1:15" ht="26.4" x14ac:dyDescent="0.3">
      <c r="A6" s="19" t="s">
        <v>137</v>
      </c>
      <c r="B6" s="16"/>
      <c r="C6" s="16">
        <v>12</v>
      </c>
      <c r="D6" s="16">
        <v>48</v>
      </c>
      <c r="E6" s="16">
        <v>110</v>
      </c>
      <c r="F6" s="16">
        <v>162</v>
      </c>
      <c r="G6" s="16">
        <v>133</v>
      </c>
      <c r="H6" s="16">
        <v>78</v>
      </c>
      <c r="I6" s="16">
        <v>45</v>
      </c>
      <c r="J6" s="16">
        <v>4</v>
      </c>
      <c r="K6" s="16">
        <v>1</v>
      </c>
      <c r="L6" s="16">
        <v>0</v>
      </c>
      <c r="M6" s="16">
        <v>0</v>
      </c>
      <c r="N6" s="16">
        <v>0</v>
      </c>
      <c r="O6" s="20">
        <f>SUM(B6:N6)</f>
        <v>593</v>
      </c>
    </row>
    <row r="9" spans="1:15" x14ac:dyDescent="0.3">
      <c r="A9" s="17" t="s">
        <v>184</v>
      </c>
      <c r="B9" s="18" t="s">
        <v>170</v>
      </c>
      <c r="C9" s="18" t="s">
        <v>171</v>
      </c>
      <c r="D9" s="18" t="s">
        <v>172</v>
      </c>
      <c r="E9" s="18" t="s">
        <v>185</v>
      </c>
      <c r="F9" s="18" t="s">
        <v>183</v>
      </c>
    </row>
    <row r="10" spans="1:15" ht="26.4" x14ac:dyDescent="0.3">
      <c r="A10" s="19" t="s">
        <v>137</v>
      </c>
      <c r="B10" s="16">
        <v>694</v>
      </c>
      <c r="C10" s="16">
        <v>165</v>
      </c>
      <c r="D10" s="16">
        <v>0</v>
      </c>
      <c r="E10" s="16">
        <v>0</v>
      </c>
      <c r="F10" s="20">
        <f>SUM(B10:E10)</f>
        <v>859</v>
      </c>
    </row>
    <row r="12" spans="1:15" x14ac:dyDescent="0.3">
      <c r="A12" s="17" t="s">
        <v>186</v>
      </c>
      <c r="B12" s="18" t="s">
        <v>174</v>
      </c>
      <c r="C12" s="18" t="s">
        <v>175</v>
      </c>
      <c r="D12" s="18" t="s">
        <v>176</v>
      </c>
      <c r="E12" s="18" t="s">
        <v>177</v>
      </c>
      <c r="F12" s="18" t="s">
        <v>178</v>
      </c>
      <c r="G12" s="18" t="s">
        <v>179</v>
      </c>
      <c r="H12" s="18" t="s">
        <v>180</v>
      </c>
      <c r="I12" s="18" t="s">
        <v>181</v>
      </c>
      <c r="J12" s="18" t="s">
        <v>182</v>
      </c>
      <c r="K12" s="18" t="s">
        <v>187</v>
      </c>
      <c r="L12" s="18" t="s">
        <v>188</v>
      </c>
      <c r="M12" s="18" t="s">
        <v>183</v>
      </c>
    </row>
    <row r="13" spans="1:15" ht="26.4" x14ac:dyDescent="0.3">
      <c r="A13" s="19" t="s">
        <v>137</v>
      </c>
      <c r="B13" s="16">
        <v>0</v>
      </c>
      <c r="C13" s="16">
        <v>0</v>
      </c>
      <c r="D13" s="16">
        <v>2</v>
      </c>
      <c r="E13" s="16">
        <v>8</v>
      </c>
      <c r="F13" s="16">
        <v>35</v>
      </c>
      <c r="G13" s="16">
        <v>39</v>
      </c>
      <c r="H13" s="16">
        <v>68</v>
      </c>
      <c r="I13" s="16">
        <v>56</v>
      </c>
      <c r="J13" s="16">
        <v>25</v>
      </c>
      <c r="K13" s="16">
        <v>13</v>
      </c>
      <c r="L13" s="16">
        <v>5</v>
      </c>
      <c r="M13" s="20">
        <f>SUM(B13:L13)</f>
        <v>251</v>
      </c>
    </row>
    <row r="14" spans="1:15" ht="15" thickBot="1" x14ac:dyDescent="0.35">
      <c r="A14" s="23"/>
      <c r="B14" s="24"/>
      <c r="C14" s="24"/>
      <c r="D14" s="24"/>
      <c r="E14" s="24"/>
      <c r="F14" s="24"/>
      <c r="G14" s="24"/>
      <c r="H14" s="24"/>
      <c r="I14" s="24"/>
      <c r="J14" s="24"/>
      <c r="K14" s="24"/>
      <c r="L14" s="24"/>
      <c r="M14" s="25"/>
    </row>
    <row r="15" spans="1:15" ht="15" thickBot="1" x14ac:dyDescent="0.35">
      <c r="A15" s="111" t="s">
        <v>189</v>
      </c>
      <c r="B15" s="112"/>
      <c r="C15" s="112"/>
      <c r="D15" s="112"/>
      <c r="E15" s="112"/>
      <c r="F15" s="112"/>
      <c r="G15" s="112"/>
      <c r="H15" s="112"/>
      <c r="I15" s="112"/>
      <c r="J15" s="112"/>
      <c r="K15" s="112"/>
      <c r="L15" s="112"/>
      <c r="M15" s="112"/>
      <c r="N15" s="112"/>
      <c r="O15" s="113"/>
    </row>
    <row r="16" spans="1:15" x14ac:dyDescent="0.3">
      <c r="A16" s="17" t="s">
        <v>159</v>
      </c>
      <c r="B16" s="18" t="s">
        <v>170</v>
      </c>
      <c r="C16" s="18" t="s">
        <v>171</v>
      </c>
      <c r="D16" s="18" t="s">
        <v>172</v>
      </c>
      <c r="E16" s="18" t="s">
        <v>173</v>
      </c>
      <c r="F16" s="18" t="s">
        <v>174</v>
      </c>
      <c r="G16" s="18" t="s">
        <v>175</v>
      </c>
      <c r="H16" s="18" t="s">
        <v>176</v>
      </c>
      <c r="I16" s="18" t="s">
        <v>177</v>
      </c>
      <c r="J16" s="18" t="s">
        <v>178</v>
      </c>
      <c r="K16" s="18" t="s">
        <v>179</v>
      </c>
      <c r="L16" s="18" t="s">
        <v>180</v>
      </c>
      <c r="M16" s="18" t="s">
        <v>181</v>
      </c>
      <c r="N16" s="18" t="s">
        <v>182</v>
      </c>
      <c r="O16" s="18" t="s">
        <v>183</v>
      </c>
    </row>
    <row r="17" spans="1:15" ht="26.4" x14ac:dyDescent="0.3">
      <c r="A17" s="19" t="s">
        <v>137</v>
      </c>
      <c r="B17" s="16">
        <v>8</v>
      </c>
      <c r="C17" s="16">
        <v>475</v>
      </c>
      <c r="D17" s="16">
        <v>627</v>
      </c>
      <c r="E17" s="16">
        <v>498</v>
      </c>
      <c r="F17" s="16">
        <v>316</v>
      </c>
      <c r="G17" s="16">
        <v>160</v>
      </c>
      <c r="H17" s="16">
        <v>93</v>
      </c>
      <c r="I17" s="16">
        <v>51</v>
      </c>
      <c r="J17" s="16">
        <v>12</v>
      </c>
      <c r="K17" s="16">
        <v>0</v>
      </c>
      <c r="L17" s="16">
        <v>0</v>
      </c>
      <c r="M17" s="16">
        <v>1</v>
      </c>
      <c r="N17" s="16">
        <v>0</v>
      </c>
      <c r="O17" s="20">
        <f>SUM(B17:N17)</f>
        <v>2241</v>
      </c>
    </row>
    <row r="19" spans="1:15" x14ac:dyDescent="0.3">
      <c r="A19" s="17" t="s">
        <v>160</v>
      </c>
      <c r="B19" s="18" t="s">
        <v>170</v>
      </c>
      <c r="C19" s="18" t="s">
        <v>171</v>
      </c>
      <c r="D19" s="18" t="s">
        <v>172</v>
      </c>
      <c r="E19" s="18" t="s">
        <v>173</v>
      </c>
      <c r="F19" s="18" t="s">
        <v>174</v>
      </c>
      <c r="G19" s="18" t="s">
        <v>175</v>
      </c>
      <c r="H19" s="18" t="s">
        <v>176</v>
      </c>
      <c r="I19" s="18" t="s">
        <v>177</v>
      </c>
      <c r="J19" s="18" t="s">
        <v>178</v>
      </c>
      <c r="K19" s="18" t="s">
        <v>179</v>
      </c>
      <c r="L19" s="18" t="s">
        <v>180</v>
      </c>
      <c r="M19" s="18" t="s">
        <v>181</v>
      </c>
      <c r="N19" s="18" t="s">
        <v>182</v>
      </c>
      <c r="O19" s="18" t="s">
        <v>183</v>
      </c>
    </row>
    <row r="20" spans="1:15" ht="26.4" x14ac:dyDescent="0.3">
      <c r="A20" s="19" t="s">
        <v>137</v>
      </c>
      <c r="B20" s="16">
        <v>2</v>
      </c>
      <c r="C20" s="16">
        <v>54</v>
      </c>
      <c r="D20" s="16">
        <v>184</v>
      </c>
      <c r="E20" s="16">
        <v>268</v>
      </c>
      <c r="F20" s="16">
        <v>216</v>
      </c>
      <c r="G20" s="16">
        <v>110</v>
      </c>
      <c r="H20" s="16">
        <v>49</v>
      </c>
      <c r="I20" s="16">
        <v>17</v>
      </c>
      <c r="J20" s="16">
        <v>8</v>
      </c>
      <c r="K20" s="16">
        <v>3</v>
      </c>
      <c r="L20" s="16">
        <v>0</v>
      </c>
      <c r="M20" s="16">
        <v>0</v>
      </c>
      <c r="N20" s="16">
        <v>0</v>
      </c>
      <c r="O20" s="20">
        <f>SUM(B20:N20)</f>
        <v>911</v>
      </c>
    </row>
    <row r="23" spans="1:15" x14ac:dyDescent="0.3">
      <c r="A23" s="17" t="s">
        <v>184</v>
      </c>
      <c r="B23" s="18" t="s">
        <v>170</v>
      </c>
      <c r="C23" s="18" t="s">
        <v>171</v>
      </c>
      <c r="D23" s="18" t="s">
        <v>172</v>
      </c>
      <c r="E23" s="18" t="s">
        <v>185</v>
      </c>
      <c r="F23" s="18" t="s">
        <v>183</v>
      </c>
    </row>
    <row r="24" spans="1:15" ht="26.4" x14ac:dyDescent="0.3">
      <c r="A24" s="19" t="s">
        <v>137</v>
      </c>
      <c r="B24" s="16">
        <v>910</v>
      </c>
      <c r="C24" s="16">
        <v>43</v>
      </c>
      <c r="D24" s="16">
        <v>0</v>
      </c>
      <c r="E24" s="16">
        <v>0</v>
      </c>
      <c r="F24" s="20">
        <f>SUM(B24:E24)</f>
        <v>953</v>
      </c>
    </row>
    <row r="26" spans="1:15" x14ac:dyDescent="0.3">
      <c r="A26" s="17" t="s">
        <v>186</v>
      </c>
      <c r="B26" s="18" t="s">
        <v>174</v>
      </c>
      <c r="C26" s="18" t="s">
        <v>175</v>
      </c>
      <c r="D26" s="18" t="s">
        <v>176</v>
      </c>
      <c r="E26" s="18" t="s">
        <v>177</v>
      </c>
      <c r="F26" s="18" t="s">
        <v>178</v>
      </c>
      <c r="G26" s="18" t="s">
        <v>179</v>
      </c>
      <c r="H26" s="18" t="s">
        <v>180</v>
      </c>
      <c r="I26" s="18" t="s">
        <v>181</v>
      </c>
      <c r="J26" s="18" t="s">
        <v>182</v>
      </c>
      <c r="K26" s="18" t="s">
        <v>187</v>
      </c>
      <c r="L26" s="18" t="s">
        <v>188</v>
      </c>
      <c r="M26" s="18" t="s">
        <v>183</v>
      </c>
    </row>
    <row r="27" spans="1:15" ht="26.4" x14ac:dyDescent="0.3">
      <c r="A27" s="19" t="s">
        <v>137</v>
      </c>
      <c r="B27" s="16">
        <v>0</v>
      </c>
      <c r="C27" s="16">
        <v>7</v>
      </c>
      <c r="D27" s="16">
        <v>46</v>
      </c>
      <c r="E27" s="16">
        <v>110</v>
      </c>
      <c r="F27" s="16">
        <v>183</v>
      </c>
      <c r="G27" s="16">
        <v>182</v>
      </c>
      <c r="H27" s="16">
        <v>163</v>
      </c>
      <c r="I27" s="16">
        <v>111</v>
      </c>
      <c r="J27" s="16">
        <v>39</v>
      </c>
      <c r="K27" s="16">
        <v>19</v>
      </c>
      <c r="L27" s="16">
        <v>3</v>
      </c>
      <c r="M27" s="20">
        <f>SUM(B27:L27)</f>
        <v>863</v>
      </c>
    </row>
    <row r="28" spans="1:15" ht="15" thickBot="1" x14ac:dyDescent="0.35"/>
    <row r="29" spans="1:15" ht="15" thickBot="1" x14ac:dyDescent="0.35">
      <c r="A29" s="111" t="s">
        <v>190</v>
      </c>
      <c r="B29" s="112"/>
      <c r="C29" s="112"/>
      <c r="D29" s="112"/>
      <c r="E29" s="112"/>
      <c r="F29" s="112"/>
      <c r="G29" s="112"/>
      <c r="H29" s="112"/>
      <c r="I29" s="112"/>
      <c r="J29" s="112"/>
      <c r="K29" s="112"/>
      <c r="L29" s="112"/>
      <c r="M29" s="112"/>
      <c r="N29" s="112"/>
      <c r="O29" s="113"/>
    </row>
    <row r="30" spans="1:15" x14ac:dyDescent="0.3">
      <c r="A30" s="21" t="s">
        <v>159</v>
      </c>
      <c r="B30" s="22" t="s">
        <v>170</v>
      </c>
      <c r="C30" s="22" t="s">
        <v>171</v>
      </c>
      <c r="D30" s="22" t="s">
        <v>172</v>
      </c>
      <c r="E30" s="22" t="s">
        <v>173</v>
      </c>
      <c r="F30" s="22" t="s">
        <v>174</v>
      </c>
      <c r="G30" s="22" t="s">
        <v>175</v>
      </c>
      <c r="H30" s="22" t="s">
        <v>176</v>
      </c>
      <c r="I30" s="22" t="s">
        <v>177</v>
      </c>
      <c r="J30" s="22" t="s">
        <v>178</v>
      </c>
      <c r="K30" s="22" t="s">
        <v>179</v>
      </c>
      <c r="L30" s="22" t="s">
        <v>180</v>
      </c>
      <c r="M30" s="22" t="s">
        <v>181</v>
      </c>
      <c r="N30" s="22" t="s">
        <v>182</v>
      </c>
      <c r="O30" s="22" t="s">
        <v>183</v>
      </c>
    </row>
    <row r="31" spans="1:15" ht="26.4" x14ac:dyDescent="0.3">
      <c r="A31" s="19" t="s">
        <v>137</v>
      </c>
      <c r="B31" s="16">
        <v>0</v>
      </c>
      <c r="C31" s="16">
        <v>0</v>
      </c>
      <c r="D31" s="16">
        <v>2</v>
      </c>
      <c r="E31" s="16">
        <v>25</v>
      </c>
      <c r="F31" s="16">
        <v>49</v>
      </c>
      <c r="G31" s="16">
        <v>67</v>
      </c>
      <c r="H31" s="16">
        <v>48</v>
      </c>
      <c r="I31" s="16">
        <v>27</v>
      </c>
      <c r="J31" s="16">
        <v>9</v>
      </c>
      <c r="K31" s="16">
        <v>3</v>
      </c>
      <c r="L31" s="16">
        <v>0</v>
      </c>
      <c r="M31" s="16">
        <v>1</v>
      </c>
      <c r="N31" s="16" t="s">
        <v>191</v>
      </c>
      <c r="O31" s="20">
        <f>SUM(B31:N31)</f>
        <v>231</v>
      </c>
    </row>
    <row r="33" spans="1:18" x14ac:dyDescent="0.3">
      <c r="A33" s="17" t="s">
        <v>160</v>
      </c>
      <c r="B33" s="18" t="s">
        <v>170</v>
      </c>
      <c r="C33" s="18" t="s">
        <v>171</v>
      </c>
      <c r="D33" s="18" t="s">
        <v>172</v>
      </c>
      <c r="E33" s="18" t="s">
        <v>173</v>
      </c>
      <c r="F33" s="18" t="s">
        <v>174</v>
      </c>
      <c r="G33" s="18" t="s">
        <v>175</v>
      </c>
      <c r="H33" s="18" t="s">
        <v>176</v>
      </c>
      <c r="I33" s="18" t="s">
        <v>177</v>
      </c>
      <c r="J33" s="18" t="s">
        <v>178</v>
      </c>
      <c r="K33" s="18" t="s">
        <v>179</v>
      </c>
      <c r="L33" s="18" t="s">
        <v>180</v>
      </c>
      <c r="M33" s="18" t="s">
        <v>181</v>
      </c>
      <c r="N33" s="18" t="s">
        <v>182</v>
      </c>
      <c r="O33" s="18" t="s">
        <v>183</v>
      </c>
    </row>
    <row r="34" spans="1:18" ht="26.4" x14ac:dyDescent="0.3">
      <c r="A34" s="19" t="s">
        <v>137</v>
      </c>
      <c r="B34" s="16">
        <v>0</v>
      </c>
      <c r="C34" s="16">
        <v>0</v>
      </c>
      <c r="D34" s="16">
        <v>8</v>
      </c>
      <c r="E34" s="16">
        <v>32</v>
      </c>
      <c r="F34" s="16">
        <v>63</v>
      </c>
      <c r="G34" s="16">
        <v>49</v>
      </c>
      <c r="H34" s="16">
        <v>36</v>
      </c>
      <c r="I34" s="16">
        <v>17</v>
      </c>
      <c r="J34" s="16">
        <v>3</v>
      </c>
      <c r="K34" s="16">
        <v>1</v>
      </c>
      <c r="L34" s="16">
        <v>0</v>
      </c>
      <c r="M34" s="16">
        <v>1</v>
      </c>
      <c r="N34" s="16">
        <v>0</v>
      </c>
      <c r="O34" s="20">
        <f>SUM(B34:N34)</f>
        <v>210</v>
      </c>
    </row>
    <row r="36" spans="1:18" x14ac:dyDescent="0.3">
      <c r="A36" s="17" t="s">
        <v>184</v>
      </c>
      <c r="B36" s="18" t="s">
        <v>170</v>
      </c>
      <c r="C36" s="18" t="s">
        <v>171</v>
      </c>
      <c r="D36" s="18" t="s">
        <v>172</v>
      </c>
      <c r="E36" s="18" t="s">
        <v>185</v>
      </c>
      <c r="F36" s="18" t="s">
        <v>183</v>
      </c>
      <c r="Q36" s="20" t="s">
        <v>159</v>
      </c>
      <c r="R36" s="20">
        <f>O3+O17+O31</f>
        <v>3237</v>
      </c>
    </row>
    <row r="37" spans="1:18" ht="26.4" x14ac:dyDescent="0.3">
      <c r="A37" s="19" t="s">
        <v>137</v>
      </c>
      <c r="B37" s="16">
        <v>213</v>
      </c>
      <c r="C37" s="16">
        <v>30</v>
      </c>
      <c r="D37" s="16">
        <v>1</v>
      </c>
      <c r="E37" s="16">
        <v>0</v>
      </c>
      <c r="F37" s="20">
        <f>SUM(B37:E37)</f>
        <v>244</v>
      </c>
      <c r="Q37" s="20" t="s">
        <v>160</v>
      </c>
      <c r="R37" s="20">
        <f>O6+O20+O34</f>
        <v>1714</v>
      </c>
    </row>
    <row r="38" spans="1:18" x14ac:dyDescent="0.3">
      <c r="Q38" s="20" t="s">
        <v>184</v>
      </c>
      <c r="R38" s="20">
        <f>F10+F24+F37</f>
        <v>2056</v>
      </c>
    </row>
    <row r="39" spans="1:18" x14ac:dyDescent="0.3">
      <c r="A39" s="17" t="s">
        <v>186</v>
      </c>
      <c r="B39" s="18" t="s">
        <v>174</v>
      </c>
      <c r="C39" s="18" t="s">
        <v>175</v>
      </c>
      <c r="D39" s="18" t="s">
        <v>176</v>
      </c>
      <c r="E39" s="18" t="s">
        <v>177</v>
      </c>
      <c r="F39" s="18" t="s">
        <v>178</v>
      </c>
      <c r="G39" s="18" t="s">
        <v>179</v>
      </c>
      <c r="H39" s="18" t="s">
        <v>180</v>
      </c>
      <c r="I39" s="18" t="s">
        <v>181</v>
      </c>
      <c r="J39" s="18" t="s">
        <v>182</v>
      </c>
      <c r="K39" s="18" t="s">
        <v>187</v>
      </c>
      <c r="L39" s="18" t="s">
        <v>188</v>
      </c>
      <c r="M39" s="18" t="s">
        <v>183</v>
      </c>
      <c r="Q39" s="20" t="s">
        <v>186</v>
      </c>
      <c r="R39" s="20">
        <f>M13+M27+M40</f>
        <v>1276</v>
      </c>
    </row>
    <row r="40" spans="1:18" ht="26.4" x14ac:dyDescent="0.3">
      <c r="A40" s="19" t="s">
        <v>137</v>
      </c>
      <c r="B40" s="16">
        <v>0</v>
      </c>
      <c r="C40" s="16">
        <v>0</v>
      </c>
      <c r="D40" s="16">
        <v>1</v>
      </c>
      <c r="E40" s="16">
        <v>8</v>
      </c>
      <c r="F40" s="16">
        <v>16</v>
      </c>
      <c r="G40" s="16">
        <v>27</v>
      </c>
      <c r="H40" s="16">
        <v>44</v>
      </c>
      <c r="I40" s="16">
        <v>32</v>
      </c>
      <c r="J40" s="16">
        <v>20</v>
      </c>
      <c r="K40" s="16">
        <v>10</v>
      </c>
      <c r="L40" s="16">
        <v>4</v>
      </c>
      <c r="M40" s="20">
        <f>SUM(B40:L40)</f>
        <v>162</v>
      </c>
      <c r="Q40" s="20" t="s">
        <v>192</v>
      </c>
      <c r="R40" s="20">
        <f>SUM(R36:R39)</f>
        <v>8283</v>
      </c>
    </row>
  </sheetData>
  <mergeCells count="3">
    <mergeCell ref="A1:O1"/>
    <mergeCell ref="A15:O15"/>
    <mergeCell ref="A29:O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BD4E4ACEE17047B2CD88717FF8D421" ma:contentTypeVersion="21" ma:contentTypeDescription="Create a new document." ma:contentTypeScope="" ma:versionID="a39149432796a8a5ac3476c29ac77687">
  <xsd:schema xmlns:xsd="http://www.w3.org/2001/XMLSchema" xmlns:xs="http://www.w3.org/2001/XMLSchema" xmlns:p="http://schemas.microsoft.com/office/2006/metadata/properties" xmlns:ns2="edf6b5f7-d342-49f2-86e7-16b167db190f" xmlns:ns3="2b47590b-d718-474f-a7b3-10b44959738c" targetNamespace="http://schemas.microsoft.com/office/2006/metadata/properties" ma:root="true" ma:fieldsID="1a52db9392da18844b66f7fc49b74c14" ns2:_="" ns3:_="">
    <xsd:import namespace="edf6b5f7-d342-49f2-86e7-16b167db190f"/>
    <xsd:import namespace="2b47590b-d718-474f-a7b3-10b4495973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b5f7-d342-49f2-86e7-16b167db19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54ba23b-1f8a-4162-98cf-07c68cba3f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47590b-d718-474f-a7b3-10b4495973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814ff0-5522-4f97-b5fe-6179ba350c79}" ma:internalName="TaxCatchAll" ma:showField="CatchAllData" ma:web="2b47590b-d718-474f-a7b3-10b449597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b47590b-d718-474f-a7b3-10b44959738c" xsi:nil="true"/>
    <lcf76f155ced4ddcb4097134ff3c332f xmlns="edf6b5f7-d342-49f2-86e7-16b167db190f">
      <Terms xmlns="http://schemas.microsoft.com/office/infopath/2007/PartnerControls"/>
    </lcf76f155ced4ddcb4097134ff3c332f>
    <_Flow_SignoffStatus xmlns="edf6b5f7-d342-49f2-86e7-16b167db190f" xsi:nil="true"/>
  </documentManagement>
</p:properties>
</file>

<file path=customXml/itemProps1.xml><?xml version="1.0" encoding="utf-8"?>
<ds:datastoreItem xmlns:ds="http://schemas.openxmlformats.org/officeDocument/2006/customXml" ds:itemID="{4537659B-CF66-43A7-A1F9-9E7B42BCE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b5f7-d342-49f2-86e7-16b167db190f"/>
    <ds:schemaRef ds:uri="2b47590b-d718-474f-a7b3-10b449597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29A0B5-AFA8-4F90-83A4-78CC2EF10EBB}">
  <ds:schemaRefs>
    <ds:schemaRef ds:uri="http://schemas.microsoft.com/sharepoint/v3/contenttype/forms"/>
  </ds:schemaRefs>
</ds:datastoreItem>
</file>

<file path=customXml/itemProps3.xml><?xml version="1.0" encoding="utf-8"?>
<ds:datastoreItem xmlns:ds="http://schemas.openxmlformats.org/officeDocument/2006/customXml" ds:itemID="{05B1D13C-FDB6-406D-B9C2-3DA99ECA7408}">
  <ds:schemaRefs>
    <ds:schemaRef ds:uri="http://schemas.microsoft.com/office/2006/metadata/properties"/>
    <ds:schemaRef ds:uri="http://schemas.microsoft.com/office/infopath/2007/PartnerControls"/>
    <ds:schemaRef ds:uri="2b47590b-d718-474f-a7b3-10b44959738c"/>
    <ds:schemaRef ds:uri="edf6b5f7-d342-49f2-86e7-16b167db19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Info</vt:lpstr>
      <vt:lpstr>Expiring Policy Terms</vt:lpstr>
      <vt:lpstr>GHI RFQ</vt:lpstr>
      <vt:lpstr>Employee_Data</vt:lpstr>
      <vt:lpstr>Age Band Pivot</vt:lpstr>
      <vt:lpstr>Records to be corrected</vt:lpstr>
      <vt:lpstr>Age Band - Only PSU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Parekh</dc:creator>
  <cp:keywords/>
  <dc:description/>
  <cp:lastModifiedBy>Aditya Rane</cp:lastModifiedBy>
  <cp:revision/>
  <dcterms:created xsi:type="dcterms:W3CDTF">2020-11-23T09:43:14Z</dcterms:created>
  <dcterms:modified xsi:type="dcterms:W3CDTF">2026-05-20T09:21:37Z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0x01010070BD4E4ACEE17047B2CD88717FF8D421</vt:lpwstr>
  </property>
  <property fmtid="{D5CDD505-2E9C-101B-9397-08002B2CF9AE}" pid="3" name="MediaServiceImageTags">
    <vt:lpwstr/>
  </property>
</Properties>
</file>