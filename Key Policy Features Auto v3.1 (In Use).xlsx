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2.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3.xml" ContentType="application/vnd.openxmlformats-officedocument.drawing+xml"/>
  <Override PartName="/xl/ctrlProps/ctrlProp7.xml" ContentType="application/vnd.ms-excel.controlproperties+xml"/>
  <Override PartName="/xl/ctrlProps/ctrlProp8.xml" ContentType="application/vnd.ms-excel.controlproperties+xml"/>
  <Override PartName="/xl/drawings/drawing4.xml" ContentType="application/vnd.openxmlformats-officedocument.drawing+xml"/>
  <Override PartName="/xl/ctrlProps/ctrlProp9.xml" ContentType="application/vnd.ms-excel.controlproperties+xml"/>
  <Override PartName="/xl/ctrlProps/ctrlProp10.xml" ContentType="application/vnd.ms-excel.controlproperties+xml"/>
  <Override PartName="/xl/comments1.xml" ContentType="application/vnd.openxmlformats-officedocument.spreadsheetml.comments+xml"/>
  <Override PartName="/xl/drawings/drawing5.xml" ContentType="application/vnd.openxmlformats-officedocument.drawing+xml"/>
  <Override PartName="/xl/ctrlProps/ctrlProp11.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trlProps/ctrlProp12.xml" ContentType="application/vnd.ms-excel.controlproperties+xml"/>
  <Override PartName="/xl/drawings/drawing12.xml" ContentType="application/vnd.openxmlformats-officedocument.drawing+xml"/>
  <Override PartName="/xl/comments5.xml" ContentType="application/vnd.openxmlformats-officedocument.spreadsheetml.comments+xml"/>
  <Override PartName="/xl/threadedComments/threadedComment2.xml" ContentType="application/vnd.ms-excel.threadedcomments+xml"/>
  <Override PartName="/xl/drawings/drawing13.xml" ContentType="application/vnd.openxmlformats-officedocument.drawing+xml"/>
  <Override PartName="/xl/tables/table1.xml" ContentType="application/vnd.openxmlformats-officedocument.spreadsheetml.table+xml"/>
  <Override PartName="/xl/comments6.xml" ContentType="application/vnd.openxmlformats-officedocument.spreadsheetml.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healthysurein.sharepoint.com/sites/HealthySureGroup/HealthySure/HealthySure/Employee Benefits Platform/Placements/HS Quotes Making/Auto/"/>
    </mc:Choice>
  </mc:AlternateContent>
  <xr:revisionPtr revIDLastSave="2" documentId="8_{DC5BF4BF-479D-45A4-BD4C-4ACB0D8F7EC3}" xr6:coauthVersionLast="47" xr6:coauthVersionMax="47" xr10:uidLastSave="{3F28B3AB-94D1-44FC-AD58-E0D3627F4E3A}"/>
  <bookViews>
    <workbookView xWindow="-108" yWindow="-108" windowWidth="23256" windowHeight="13896" tabRatio="978" firstSheet="7" activeTab="16" xr2:uid="{00000000-000D-0000-FFFF-FFFF00000000}"/>
  </bookViews>
  <sheets>
    <sheet name="High Level Quotes - Slide 1" sheetId="14" state="hidden" r:id="rId1"/>
    <sheet name="SOP" sheetId="15" state="hidden" r:id="rId2"/>
    <sheet name="Inputs" sheetId="19" state="hidden" r:id="rId3"/>
    <sheet name="Premium Breakdown" sheetId="18" state="hidden" r:id="rId4"/>
    <sheet name="High Level Quotes - Working" sheetId="16" state="hidden" r:id="rId5"/>
    <sheet name="Policy &amp; Technical Features - o" sheetId="8" state="hidden" r:id="rId6"/>
    <sheet name="Policy &amp; Technical Features" sheetId="21" state="hidden" r:id="rId7"/>
    <sheet name="Company Info" sheetId="23" r:id="rId8"/>
    <sheet name="Base GHI" sheetId="3" state="hidden" r:id="rId9"/>
    <sheet name="GHI Features (Option 1)" sheetId="1" r:id="rId10"/>
    <sheet name="GPA DB old" sheetId="26" state="hidden" r:id="rId11"/>
    <sheet name="GHI DB" sheetId="2" state="hidden" r:id="rId12"/>
    <sheet name="GPA Features (Option 1)" sheetId="24" r:id="rId13"/>
    <sheet name="GPA DB" sheetId="27" state="hidden" r:id="rId14"/>
    <sheet name="GTLI Features (Option 1)" sheetId="29" r:id="rId15"/>
    <sheet name="OPD Policy Features (Option 1)" sheetId="33" r:id="rId16"/>
    <sheet name="GHI Insurers" sheetId="17" r:id="rId17"/>
    <sheet name="GTLI Insurers" sheetId="35" r:id="rId18"/>
    <sheet name="GTLI DB" sheetId="31" state="hidden" r:id="rId19"/>
    <sheet name="GTLI Policy Features - old" sheetId="25" state="hidden" r:id="rId20"/>
    <sheet name="Flexi Top-Up Rate Card_dont use" sheetId="22" state="hidden" r:id="rId21"/>
    <sheet name="Technical Paramters" sheetId="10" state="hidden" r:id="rId22"/>
    <sheet name="Technical DB (Health)" sheetId="11" state="hidden" r:id="rId23"/>
    <sheet name="Technical DB (Life)" sheetId="34" state="hidden" r:id="rId24"/>
    <sheet name="Flexi Top-up Rate Card" sheetId="30" r:id="rId25"/>
    <sheet name="OPD DB" sheetId="32" state="hidden" r:id="rId26"/>
    <sheet name="Summary_Sentence" sheetId="4" state="hidden" r:id="rId27"/>
    <sheet name="BackUp Data" sheetId="5" state="hidden" r:id="rId28"/>
    <sheet name="Sheet2" sheetId="6" state="hidden" r:id="rId29"/>
  </sheets>
  <definedNames>
    <definedName name="_xlnm._FilterDatabase" localSheetId="11" hidden="1">'GHI DB'!$A$3:$BS$27</definedName>
    <definedName name="_xlnm._FilterDatabase" localSheetId="9" hidden="1">'GHI Features (Option 1)'!$E$110:$H$110</definedName>
    <definedName name="_xlnm._FilterDatabase" localSheetId="16" hidden="1">'GHI Insurers'!$D$76:$G$76</definedName>
    <definedName name="_xlnm._FilterDatabase" localSheetId="13" hidden="1">'GPA DB'!$A$3:$O$15</definedName>
    <definedName name="_xlnm._FilterDatabase" localSheetId="12" hidden="1">'GPA Features (Option 1)'!$F$76:$G$76</definedName>
    <definedName name="_xlnm._FilterDatabase" localSheetId="18" hidden="1">'GTLI DB'!$A$7:$N$16</definedName>
    <definedName name="_xlnm._FilterDatabase" localSheetId="14" hidden="1">'GTLI Features (Option 1)'!$F$73:$G$73</definedName>
    <definedName name="_xlnm._FilterDatabase" localSheetId="19" hidden="1">'GTLI Policy Features - old'!$E$113:$H$113</definedName>
    <definedName name="_xlnm._FilterDatabase" localSheetId="22" hidden="1">'Technical DB (Health)'!$A$2:$Q$28</definedName>
    <definedName name="AdditionsandDeletions">'GHI DB'!$BG$3:$BH$3</definedName>
    <definedName name="AYUSHTreatments">'GHI DB'!$BA$3:$BB$3</definedName>
    <definedName name="CashlessAuthorizationTAT">'GHI DB'!$BO$3</definedName>
    <definedName name="CashlessNetwork">'GHI DB'!$W$3</definedName>
    <definedName name="ClaimsIntermediary">'GHI DB'!$Y$3</definedName>
    <definedName name="CoPay">'GHI DB'!$M$3:$R$3</definedName>
    <definedName name="CorporateBuffer">'GHI DB'!$S$3:$T$3</definedName>
    <definedName name="COVID19Coverage">'GHI DB'!$AC$3</definedName>
    <definedName name="DayCareTreatments">'GHI DB'!$AA$3</definedName>
    <definedName name="DentalCoverage">'GHI DB'!$AM$3</definedName>
    <definedName name="DiseaseCapping">'GHI DB'!$AB$3</definedName>
    <definedName name="DoctorTeleconsultations">'GHI DB'!$AG$3</definedName>
    <definedName name="DomicillaryHospitalization">'GHI DB'!$AD$3</definedName>
    <definedName name="EmergencyAirAmbulance">'GHI DB'!$AW$3:$AW$3</definedName>
    <definedName name="EmergencyAmbulance">'GHI DB'!$AV$3</definedName>
    <definedName name="FamilyDefinition">'GHI DB'!$C$3:$F$3</definedName>
    <definedName name="features">'GHI DB'!$B$1:$BS$1</definedName>
    <definedName name="GHI_Quotes" localSheetId="4">'High Level Quotes - Working'!$B$3:$N$15</definedName>
    <definedName name="GPA_features">'GPA DB'!$D$3:$O$3</definedName>
    <definedName name="GPA_Insurers">'GPA DB'!$A$4:$A$9</definedName>
    <definedName name="GPA_number_of_lives_expiring">'High Level Quotes - Working'!$T$22</definedName>
    <definedName name="GPA_opt1_number_of_employees_expiring">'High Level Quotes - Working'!$T$22</definedName>
    <definedName name="GPA_opt1_number_of_employees_renewal">'High Level Quotes - Working'!$R$22</definedName>
    <definedName name="GPA_opt1_number_of_lives_renewal">'High Level Quotes - Working'!$S$22</definedName>
    <definedName name="GPA_opt2_number_of_employees_expiring">'High Level Quotes - Working'!$T$24</definedName>
    <definedName name="GPA_opt2_number_of_employees_renewal">'High Level Quotes - Working'!$R$24</definedName>
    <definedName name="GPA_opt2_number_of_lives_renewal">'High Level Quotes - Working'!$S$24</definedName>
    <definedName name="GPA_Quotes" localSheetId="4">'High Level Quotes - Working'!$B$18:$N$25</definedName>
    <definedName name="GPA_Quotes">'High Level Quotes - Slide 1'!$B$13:$N$18</definedName>
    <definedName name="GTLI_Features">'GTLI DB'!$D$7:$J$7</definedName>
    <definedName name="GTLI_number_of_employees_expiring">'High Level Quotes - Working'!$T$32</definedName>
    <definedName name="GTLI_number_of_lives_expiring">'High Level Quotes - Working'!$T$32</definedName>
    <definedName name="GTLI_opt1_number_of_employees_renewal">'High Level Quotes - Working'!$R$32</definedName>
    <definedName name="GTLI_opt2_number_of_employees_renewal">'High Level Quotes - Working'!$R$34</definedName>
    <definedName name="GTLI_Quotes" localSheetId="4">'High Level Quotes - Working'!$B$28:$N$35</definedName>
    <definedName name="GTLI_Quotes">'High Level Quotes - Slide 1'!$B$22:$N$27</definedName>
    <definedName name="HealthCheckups">'GHI DB'!$AJ$3</definedName>
    <definedName name="InitialWaitingPeriod">'GHI DB'!$AS$3</definedName>
    <definedName name="InpatientHospitalization">'GHI DB'!$Z$3</definedName>
    <definedName name="Know_Your_Insurers" localSheetId="6">'Policy &amp; Technical Features'!$Q$27:$Z$42</definedName>
    <definedName name="Know_Your_Insurers">'Policy &amp; Technical Features - o'!$Q$26:$Z$41</definedName>
    <definedName name="LasikEyeSurgery">'GHI DB'!$BE$3</definedName>
    <definedName name="Logo">'GHI DB'!$B$3</definedName>
    <definedName name="MaternityCover">'GHI DB'!$AN$3:$AO$3</definedName>
    <definedName name="MaternityWaitingPeriod">'GHI DB'!$AP$3:$AQ$3</definedName>
    <definedName name="MedicinesDelivery">'GHI DB'!$AL$3</definedName>
    <definedName name="MidtermAdditionofDependents">'GHI DB'!$BK$3:$BL$3</definedName>
    <definedName name="Midtermadditionofparents">'GHI DB'!$BM$3:$BN$3</definedName>
    <definedName name="MidtermIncreaseinSumInsured">'GHI DB'!$BI$3:$BJ$3</definedName>
    <definedName name="ModernTreatmentsandRoboticSurgeries">'GHI DB'!$AX$3</definedName>
    <definedName name="number_of_employees_expiring" localSheetId="4">'High Level Quotes - Working'!$T$6</definedName>
    <definedName name="number_of_employees_expiring">'High Level Quotes - Slide 1'!$U$6</definedName>
    <definedName name="number_of_lives_expiring" localSheetId="4">'High Level Quotes - Working'!$U$6</definedName>
    <definedName name="number_of_lives_expiring">'High Level Quotes - Slide 1'!$V$6</definedName>
    <definedName name="opt1_number_of_employees_renewal" localSheetId="4">'High Level Quotes - Working'!$R$6</definedName>
    <definedName name="opt1_number_of_employees_renewal">'High Level Quotes - Slide 1'!$R$6</definedName>
    <definedName name="opt1_number_of_lives_renewal" localSheetId="4">'High Level Quotes - Working'!$S$6</definedName>
    <definedName name="opt1_number_of_lives_renewal">'High Level Quotes - Slide 1'!$S$6</definedName>
    <definedName name="opt2_number_of_employees_renewal" localSheetId="4">'High Level Quotes - Working'!$R$8</definedName>
    <definedName name="opt2_number_of_employees_renewal">'High Level Quotes - Slide 1'!$R$7</definedName>
    <definedName name="opt2_number_of_lives_renewal" localSheetId="4">'High Level Quotes - Working'!$S$8</definedName>
    <definedName name="opt2_number_of_lives_renewal">'High Level Quotes - Slide 1'!$S$7</definedName>
    <definedName name="opt3_number_of_employees_renewal" localSheetId="4">'High Level Quotes - Working'!$R$10</definedName>
    <definedName name="opt3_number_of_employees_renewal">'High Level Quotes - Slide 1'!$R$8</definedName>
    <definedName name="opt3_number_of_lives_renewal" localSheetId="4">'High Level Quotes - Working'!$S$10</definedName>
    <definedName name="opt3_number_of_lives_renewal">'High Level Quotes - Slide 1'!$S$8</definedName>
    <definedName name="opt4_number_of_employees_renewal" localSheetId="4">'High Level Quotes - Working'!$R$12</definedName>
    <definedName name="opt4_number_of_employees_renewal">'High Level Quotes - Slide 1'!$R$9</definedName>
    <definedName name="opt4_number_of_lives_renewal" localSheetId="4">'High Level Quotes - Working'!$S$12</definedName>
    <definedName name="opt4_number_of_lives_renewal">'High Level Quotes - Slide 1'!$S$9</definedName>
    <definedName name="opt5_number_of_employees_renewal" localSheetId="4">'High Level Quotes - Working'!$R$14</definedName>
    <definedName name="opt5_number_of_employees_renewal">'High Level Quotes - Slide 1'!$R$10</definedName>
    <definedName name="opt5_number_of_lives_renewal" localSheetId="4">'High Level Quotes - Working'!$S$14</definedName>
    <definedName name="opt5_number_of_lives_renewal">'High Level Quotes - Slide 1'!$S$10</definedName>
    <definedName name="OrganDonorExpenses">'GHI DB'!$BC$3:$BD$3</definedName>
    <definedName name="PanIndiaCoverage">'GHI DB'!$V$3</definedName>
    <definedName name="Policy_Features" localSheetId="6">'Policy &amp; Technical Features'!$Q$6:$Z$19</definedName>
    <definedName name="Policy_Features">'Policy &amp; Technical Features - o'!$Q$5:$Z$18</definedName>
    <definedName name="policy_features_custom" localSheetId="12">'GPA Features (Option 1)'!$C$16:$C$29</definedName>
    <definedName name="policy_features_custom" localSheetId="14">'GTLI Features (Option 1)'!$C$16:$C$24</definedName>
    <definedName name="policy_features_custom" localSheetId="19">'GTLI Policy Features - old'!$C$17:$C$63</definedName>
    <definedName name="policy_features_custom">'GHI Features (Option 1)'!$C$15:$C$60</definedName>
    <definedName name="PreandPostHospitalizationCoverage">'GHI DB'!$AE$3:$AF$3</definedName>
    <definedName name="PreandPostNatalExpenses">'GHI DB'!$AR$3</definedName>
    <definedName name="PsychiatricIllness">'GHI DB'!$AY$3:$AZ$3</definedName>
    <definedName name="ReimburementClaimSettlementTAT">'GHI DB'!$BP$3</definedName>
    <definedName name="ReimbursementClaimfiling">'GHI DB'!$BQ$3</definedName>
    <definedName name="ReimbursementClaimIntimation">'GHI DB'!$BR$3</definedName>
    <definedName name="ReimbursementClaimSubmission">'GHI DB'!$BS$3</definedName>
    <definedName name="ReimbursementNetwork">'GHI DB'!$X$3</definedName>
    <definedName name="RoomRentRestriction">'GHI DB'!$I$3:$L$3</definedName>
    <definedName name="SpecificDiseasesWaitingPeriod">'GHI DB'!$AT$3</definedName>
    <definedName name="Terrorism">'GHI DB'!$BF$3</definedName>
    <definedName name="TPA">'GHI DB'!$Y$3</definedName>
    <definedName name="TypeofCover">'GHI DB'!$G$3:$H$3</definedName>
    <definedName name="UpgradeOption">'GHI DB'!$U$3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7" l="1"/>
  <c r="G31" i="24"/>
  <c r="G32" i="24"/>
  <c r="G28" i="24"/>
  <c r="G29" i="24"/>
  <c r="G25" i="24"/>
  <c r="G26" i="24"/>
  <c r="G18" i="24"/>
  <c r="G19" i="24"/>
  <c r="G20" i="24"/>
  <c r="G21" i="24"/>
  <c r="G22" i="24"/>
  <c r="G23" i="24"/>
  <c r="G26" i="1"/>
  <c r="G29" i="1"/>
  <c r="H32" i="24"/>
  <c r="H31" i="24"/>
  <c r="H29" i="24"/>
  <c r="H28" i="24"/>
  <c r="H26" i="24"/>
  <c r="H25" i="24"/>
  <c r="H23" i="24"/>
  <c r="H22" i="24"/>
  <c r="H18" i="24"/>
  <c r="H20" i="24"/>
  <c r="H19" i="24"/>
  <c r="H21" i="24"/>
  <c r="G15" i="1"/>
  <c r="G16" i="1"/>
  <c r="A1" i="30"/>
  <c r="J57" i="1" l="1"/>
  <c r="I57" i="1"/>
  <c r="H57" i="1"/>
  <c r="G57" i="1"/>
  <c r="J56" i="1"/>
  <c r="I56" i="1"/>
  <c r="H56" i="1"/>
  <c r="G56" i="1"/>
  <c r="AJ2" i="2"/>
  <c r="AI2" i="2"/>
  <c r="AH2" i="2"/>
  <c r="H11" i="33"/>
  <c r="G11" i="33"/>
  <c r="F11" i="33"/>
  <c r="E3" i="33"/>
  <c r="F18" i="35"/>
  <c r="G18" i="35"/>
  <c r="F17" i="35"/>
  <c r="I18" i="35"/>
  <c r="H18" i="35"/>
  <c r="I17" i="35"/>
  <c r="H17" i="35"/>
  <c r="G17" i="35"/>
  <c r="H60" i="1"/>
  <c r="I60" i="1"/>
  <c r="J60" i="1"/>
  <c r="F20" i="24"/>
  <c r="G27" i="29"/>
  <c r="F27" i="29"/>
  <c r="G26" i="29" l="1"/>
  <c r="F26" i="29"/>
  <c r="G30" i="29"/>
  <c r="F30" i="29"/>
  <c r="I31" i="24"/>
  <c r="I32" i="24"/>
  <c r="F31" i="24"/>
  <c r="F32" i="24"/>
  <c r="F25" i="24"/>
  <c r="I25" i="24"/>
  <c r="G29" i="29" l="1"/>
  <c r="G37" i="1" l="1"/>
  <c r="I20" i="35" l="1"/>
  <c r="H20" i="35"/>
  <c r="G20" i="35"/>
  <c r="F20" i="35"/>
  <c r="F5" i="35"/>
  <c r="F4" i="35"/>
  <c r="F4" i="17"/>
  <c r="F5" i="17"/>
  <c r="J16" i="1"/>
  <c r="J17" i="1"/>
  <c r="J18" i="1"/>
  <c r="J20" i="1"/>
  <c r="J21" i="1"/>
  <c r="J22" i="1"/>
  <c r="J23" i="1"/>
  <c r="J25" i="1"/>
  <c r="J26" i="1"/>
  <c r="J27" i="1"/>
  <c r="J28" i="1"/>
  <c r="J29" i="1"/>
  <c r="J31" i="1"/>
  <c r="J33" i="1"/>
  <c r="J34" i="1"/>
  <c r="J35" i="1"/>
  <c r="J37" i="1"/>
  <c r="J38" i="1"/>
  <c r="J39" i="1"/>
  <c r="J41" i="1"/>
  <c r="J42" i="1"/>
  <c r="J44" i="1"/>
  <c r="J45" i="1"/>
  <c r="J46" i="1"/>
  <c r="J47" i="1"/>
  <c r="J48" i="1"/>
  <c r="J49" i="1"/>
  <c r="J51" i="1"/>
  <c r="J52" i="1"/>
  <c r="J54" i="1"/>
  <c r="J55" i="1"/>
  <c r="J58" i="1"/>
  <c r="J59" i="1"/>
  <c r="J15" i="1"/>
  <c r="I16" i="1"/>
  <c r="I17" i="1"/>
  <c r="I18" i="1"/>
  <c r="I20" i="1"/>
  <c r="I21" i="1"/>
  <c r="I22" i="1"/>
  <c r="I23" i="1"/>
  <c r="I25" i="1"/>
  <c r="I26" i="1"/>
  <c r="I27" i="1"/>
  <c r="I28" i="1"/>
  <c r="I29" i="1"/>
  <c r="I31" i="1"/>
  <c r="I33" i="1"/>
  <c r="I34" i="1"/>
  <c r="I35" i="1"/>
  <c r="I37" i="1"/>
  <c r="I38" i="1"/>
  <c r="I39" i="1"/>
  <c r="I41" i="1"/>
  <c r="I42" i="1"/>
  <c r="I44" i="1"/>
  <c r="I45" i="1"/>
  <c r="I46" i="1"/>
  <c r="I47" i="1"/>
  <c r="I48" i="1"/>
  <c r="I49" i="1"/>
  <c r="I51" i="1"/>
  <c r="I52" i="1"/>
  <c r="I54" i="1"/>
  <c r="I55" i="1"/>
  <c r="I58" i="1"/>
  <c r="I59" i="1"/>
  <c r="I15" i="1"/>
  <c r="H16" i="1"/>
  <c r="H17" i="1"/>
  <c r="H18" i="1"/>
  <c r="H20" i="1"/>
  <c r="H21" i="1"/>
  <c r="H22" i="1"/>
  <c r="H23" i="1"/>
  <c r="H25" i="1"/>
  <c r="H26" i="1"/>
  <c r="H27" i="1"/>
  <c r="H28" i="1"/>
  <c r="H29" i="1"/>
  <c r="H31" i="1"/>
  <c r="H33" i="1"/>
  <c r="H34" i="1"/>
  <c r="H35" i="1"/>
  <c r="H37" i="1"/>
  <c r="H38" i="1"/>
  <c r="H39" i="1"/>
  <c r="H41" i="1"/>
  <c r="H42" i="1"/>
  <c r="H44" i="1"/>
  <c r="H45" i="1"/>
  <c r="H46" i="1"/>
  <c r="H47" i="1"/>
  <c r="H48" i="1"/>
  <c r="H49" i="1"/>
  <c r="H51" i="1"/>
  <c r="H52" i="1"/>
  <c r="H54" i="1"/>
  <c r="H55" i="1"/>
  <c r="H58" i="1"/>
  <c r="H59" i="1"/>
  <c r="H15" i="1"/>
  <c r="G41" i="1"/>
  <c r="G42" i="1"/>
  <c r="G44" i="1"/>
  <c r="G45" i="1"/>
  <c r="G46" i="1"/>
  <c r="G47" i="1"/>
  <c r="G48" i="1"/>
  <c r="G49" i="1"/>
  <c r="G51" i="1"/>
  <c r="G52" i="1"/>
  <c r="G54" i="1"/>
  <c r="G55" i="1"/>
  <c r="G58" i="1"/>
  <c r="G59" i="1"/>
  <c r="G60" i="1"/>
  <c r="G38" i="1"/>
  <c r="G39" i="1"/>
  <c r="G34" i="1"/>
  <c r="G35" i="1"/>
  <c r="G33" i="1"/>
  <c r="G31" i="1"/>
  <c r="G27" i="1"/>
  <c r="G28" i="1"/>
  <c r="G25" i="1"/>
  <c r="G21" i="1"/>
  <c r="G22" i="1"/>
  <c r="G23" i="1"/>
  <c r="G20" i="1"/>
  <c r="G17" i="1"/>
  <c r="G18" i="1"/>
  <c r="I19" i="24"/>
  <c r="I20" i="24"/>
  <c r="I21" i="24"/>
  <c r="I22" i="24"/>
  <c r="I23" i="24"/>
  <c r="I26" i="24"/>
  <c r="I28" i="24"/>
  <c r="I29" i="24"/>
  <c r="I18" i="24"/>
  <c r="F21" i="24"/>
  <c r="F22" i="24"/>
  <c r="F23" i="24"/>
  <c r="F26" i="24"/>
  <c r="F28" i="24"/>
  <c r="F29" i="24"/>
  <c r="F19" i="24"/>
  <c r="F18" i="24"/>
  <c r="I21" i="35"/>
  <c r="H21" i="35"/>
  <c r="G21" i="35"/>
  <c r="I14" i="35"/>
  <c r="I15" i="35"/>
  <c r="I13" i="35"/>
  <c r="H13" i="35"/>
  <c r="G13" i="35"/>
  <c r="H15" i="35"/>
  <c r="H14" i="35"/>
  <c r="I11" i="35"/>
  <c r="H11" i="35"/>
  <c r="H10" i="35"/>
  <c r="I10" i="35"/>
  <c r="G14" i="35"/>
  <c r="G15" i="35"/>
  <c r="G11" i="35"/>
  <c r="G10" i="35"/>
  <c r="F21" i="35"/>
  <c r="F14" i="35"/>
  <c r="F15" i="35"/>
  <c r="F13" i="35"/>
  <c r="F11" i="35"/>
  <c r="F10" i="35"/>
  <c r="G14" i="17" l="1"/>
  <c r="F10" i="17"/>
  <c r="A2" i="35"/>
  <c r="A1" i="35"/>
  <c r="F3" i="29"/>
  <c r="F3" i="35" s="1"/>
  <c r="F3" i="24"/>
  <c r="G3" i="1"/>
  <c r="F3" i="17" s="1"/>
  <c r="I12" i="29"/>
  <c r="I13" i="29" l="1"/>
  <c r="H13" i="29"/>
  <c r="G13" i="29"/>
  <c r="F13" i="29"/>
  <c r="I13" i="24"/>
  <c r="H13" i="24" l="1"/>
  <c r="G13" i="24"/>
  <c r="F13" i="24"/>
  <c r="D31" i="1" l="1"/>
  <c r="B10" i="2"/>
  <c r="B8" i="2"/>
  <c r="B27" i="2"/>
  <c r="B21" i="2"/>
  <c r="B16" i="2"/>
  <c r="B20" i="2"/>
  <c r="B15" i="2"/>
  <c r="B12" i="2"/>
  <c r="B26" i="2"/>
  <c r="B6" i="2"/>
  <c r="B22" i="2"/>
  <c r="B9" i="2"/>
  <c r="B4" i="2"/>
  <c r="B5" i="2"/>
  <c r="B23" i="2"/>
  <c r="F29" i="29"/>
  <c r="I8" i="29"/>
  <c r="H8" i="29"/>
  <c r="D18" i="1"/>
  <c r="J11" i="1"/>
  <c r="D19" i="29"/>
  <c r="D18" i="29"/>
  <c r="D16" i="29"/>
  <c r="A2" i="29"/>
  <c r="A1" i="29"/>
  <c r="L57" i="19"/>
  <c r="K57" i="19"/>
  <c r="J57" i="19"/>
  <c r="I57" i="19"/>
  <c r="L43" i="19"/>
  <c r="K43" i="19"/>
  <c r="J43" i="19"/>
  <c r="I43" i="19"/>
  <c r="D63" i="25"/>
  <c r="D62" i="25"/>
  <c r="D61" i="25"/>
  <c r="D60" i="25"/>
  <c r="D59" i="25"/>
  <c r="D57" i="25"/>
  <c r="D56" i="25"/>
  <c r="D55" i="25"/>
  <c r="D54" i="25"/>
  <c r="D52" i="25"/>
  <c r="D51" i="25"/>
  <c r="D50" i="25"/>
  <c r="D49" i="25"/>
  <c r="D48" i="25"/>
  <c r="D47" i="25"/>
  <c r="D45" i="25"/>
  <c r="D44" i="25"/>
  <c r="D42" i="25"/>
  <c r="D41" i="25"/>
  <c r="D40" i="25"/>
  <c r="D38" i="25"/>
  <c r="D37" i="25"/>
  <c r="D36" i="25"/>
  <c r="D34" i="25"/>
  <c r="D32" i="25"/>
  <c r="D31" i="25"/>
  <c r="D30" i="25"/>
  <c r="D29" i="25"/>
  <c r="D28" i="25"/>
  <c r="D26" i="25"/>
  <c r="D25" i="25"/>
  <c r="D24" i="25"/>
  <c r="D23" i="25"/>
  <c r="D22" i="25"/>
  <c r="D20" i="25"/>
  <c r="D19" i="25"/>
  <c r="D18" i="25"/>
  <c r="D17" i="25"/>
  <c r="J13" i="25"/>
  <c r="J14" i="25" s="1"/>
  <c r="I13" i="25"/>
  <c r="I14" i="25" s="1"/>
  <c r="H13" i="25"/>
  <c r="H14" i="25" s="1"/>
  <c r="G13" i="25"/>
  <c r="G14" i="25" s="1"/>
  <c r="I11" i="25"/>
  <c r="H11" i="25"/>
  <c r="G11" i="25"/>
  <c r="J9" i="25"/>
  <c r="J55" i="25" s="1" a="1"/>
  <c r="J55" i="25" s="1"/>
  <c r="I9" i="25"/>
  <c r="I57" i="25" s="1" a="1"/>
  <c r="I57" i="25" s="1"/>
  <c r="H9" i="25"/>
  <c r="H60" i="25" s="1" a="1"/>
  <c r="H60" i="25" s="1"/>
  <c r="G9" i="25"/>
  <c r="G62" i="25" s="1" a="1"/>
  <c r="G62" i="25" s="1"/>
  <c r="G3" i="25"/>
  <c r="A2" i="25"/>
  <c r="A1" i="25"/>
  <c r="D21" i="24"/>
  <c r="D20" i="24"/>
  <c r="D19" i="24"/>
  <c r="D18" i="24"/>
  <c r="D16" i="24"/>
  <c r="A2" i="24"/>
  <c r="A1" i="24"/>
  <c r="H26" i="29" l="1"/>
  <c r="H27" i="29"/>
  <c r="I26" i="29"/>
  <c r="I27" i="29"/>
  <c r="H29" i="29"/>
  <c r="H30" i="29"/>
  <c r="I29" i="29"/>
  <c r="I30" i="29"/>
  <c r="I24" i="29"/>
  <c r="I21" i="29"/>
  <c r="I20" i="29"/>
  <c r="G24" i="29"/>
  <c r="G21" i="29"/>
  <c r="G20" i="29"/>
  <c r="F24" i="29"/>
  <c r="F20" i="29"/>
  <c r="F21" i="29"/>
  <c r="H24" i="29"/>
  <c r="H21" i="29"/>
  <c r="H20" i="29"/>
  <c r="H23" i="29"/>
  <c r="H22" i="29"/>
  <c r="H19" i="29"/>
  <c r="H18" i="29"/>
  <c r="G23" i="29"/>
  <c r="G22" i="29"/>
  <c r="G19" i="29"/>
  <c r="G18" i="29"/>
  <c r="F23" i="29"/>
  <c r="F22" i="29"/>
  <c r="F19" i="29"/>
  <c r="F18" i="29"/>
  <c r="I18" i="29"/>
  <c r="I19" i="29"/>
  <c r="I22" i="29"/>
  <c r="I23" i="29"/>
  <c r="H51" i="25" a="1"/>
  <c r="H51" i="25" s="1"/>
  <c r="J17" i="25" a="1"/>
  <c r="J17" i="25" s="1"/>
  <c r="I17" i="25" a="1"/>
  <c r="I17" i="25" s="1"/>
  <c r="H42" i="25" a="1"/>
  <c r="H42" i="25" s="1"/>
  <c r="I42" i="25" a="1"/>
  <c r="I42" i="25" s="1"/>
  <c r="I18" i="25" a="1"/>
  <c r="I18" i="25" s="1"/>
  <c r="J40" i="25" a="1"/>
  <c r="J40" i="25" s="1"/>
  <c r="I32" i="25" a="1"/>
  <c r="I32" i="25" s="1"/>
  <c r="J23" i="25" a="1"/>
  <c r="J23" i="25" s="1"/>
  <c r="J57" i="25" a="1"/>
  <c r="J57" i="25" s="1"/>
  <c r="G48" i="25" a="1"/>
  <c r="G48" i="25" s="1"/>
  <c r="H56" i="25" a="1"/>
  <c r="H56" i="25" s="1"/>
  <c r="G24" i="25"/>
  <c r="H36" i="25" a="1"/>
  <c r="H36" i="25" s="1"/>
  <c r="H48" i="25" a="1"/>
  <c r="H48" i="25" s="1"/>
  <c r="G56" i="25" a="1"/>
  <c r="G56" i="25" s="1"/>
  <c r="H24" i="25" a="1"/>
  <c r="H24" i="25" s="1"/>
  <c r="J30" i="25" a="1"/>
  <c r="J30" i="25" s="1"/>
  <c r="J42" i="25" a="1"/>
  <c r="J42" i="25" s="1"/>
  <c r="G32" i="25" a="1"/>
  <c r="G32" i="25" s="1"/>
  <c r="H45" i="25" a="1"/>
  <c r="H45" i="25" s="1"/>
  <c r="I49" i="25" a="1"/>
  <c r="I49" i="25" s="1"/>
  <c r="H19" i="25" a="1"/>
  <c r="H19" i="25" s="1"/>
  <c r="H32" i="25" a="1"/>
  <c r="H32" i="25" s="1"/>
  <c r="I16" i="25"/>
  <c r="J25" i="25" a="1"/>
  <c r="J25" i="25" s="1"/>
  <c r="J49" i="25" a="1"/>
  <c r="J49" i="25" s="1"/>
  <c r="G50" i="25" a="1"/>
  <c r="G50" i="25" s="1"/>
  <c r="G59" i="25" a="1"/>
  <c r="G59" i="25" s="1"/>
  <c r="I45" i="25" a="1"/>
  <c r="I45" i="25" s="1"/>
  <c r="G45" i="25" a="1"/>
  <c r="G45" i="25" s="1"/>
  <c r="J19" i="25" a="1"/>
  <c r="J19" i="25" s="1"/>
  <c r="J51" i="25" a="1"/>
  <c r="J51" i="25" s="1"/>
  <c r="J28" i="25" a="1"/>
  <c r="J28" i="25" s="1"/>
  <c r="G22" i="25" a="1"/>
  <c r="G22" i="25" s="1"/>
  <c r="G38" i="25" a="1"/>
  <c r="G38" i="25" s="1"/>
  <c r="G54" i="25" a="1"/>
  <c r="G54" i="25" s="1"/>
  <c r="H62" i="25" a="1"/>
  <c r="H62" i="25" s="1"/>
  <c r="I60" i="25" a="1"/>
  <c r="I60" i="25" s="1"/>
  <c r="I28" i="25" a="1"/>
  <c r="I28" i="25" s="1"/>
  <c r="J60" i="25" a="1"/>
  <c r="J60" i="25" s="1"/>
  <c r="J37" i="25" a="1"/>
  <c r="J37" i="25" s="1"/>
  <c r="H22" i="25" a="1"/>
  <c r="H22" i="25" s="1"/>
  <c r="H30" i="25" a="1"/>
  <c r="H30" i="25" s="1"/>
  <c r="J47" i="25" a="1"/>
  <c r="J47" i="25" s="1"/>
  <c r="H54" i="25" a="1"/>
  <c r="H54" i="25" s="1"/>
  <c r="J62" i="25" a="1"/>
  <c r="J62" i="25" s="1"/>
  <c r="G26" i="25" a="1"/>
  <c r="G26" i="25" s="1"/>
  <c r="G36" i="25" a="1"/>
  <c r="G36" i="25" s="1"/>
  <c r="I19" i="25" a="1"/>
  <c r="I19" i="25" s="1"/>
  <c r="I51" i="25" a="1"/>
  <c r="I51" i="25" s="1"/>
  <c r="I22" i="25" a="1"/>
  <c r="I22" i="25" s="1"/>
  <c r="I30" i="25" a="1"/>
  <c r="I30" i="25" s="1"/>
  <c r="I40" i="25" a="1"/>
  <c r="I40" i="25" s="1"/>
  <c r="I54" i="25" a="1"/>
  <c r="I54" i="25" s="1"/>
  <c r="I62" i="25" a="1"/>
  <c r="I62" i="25" s="1"/>
  <c r="G18" i="25" a="1"/>
  <c r="G18" i="25" s="1"/>
  <c r="I24" i="25" a="1"/>
  <c r="I24" i="25" s="1"/>
  <c r="H26" i="25" a="1"/>
  <c r="H26" i="25" s="1"/>
  <c r="G29" i="25" a="1"/>
  <c r="G29" i="25" s="1"/>
  <c r="I36" i="25" a="1"/>
  <c r="I36" i="25" s="1"/>
  <c r="H38" i="25" a="1"/>
  <c r="H38" i="25" s="1"/>
  <c r="G41" i="25" a="1"/>
  <c r="G41" i="25" s="1"/>
  <c r="J54" i="25" a="1"/>
  <c r="J54" i="25" s="1"/>
  <c r="I56" i="25" a="1"/>
  <c r="I56" i="25" s="1"/>
  <c r="H59" i="25" a="1"/>
  <c r="H59" i="25" s="1"/>
  <c r="G61" i="25" a="1"/>
  <c r="G61" i="25" s="1"/>
  <c r="J22" i="25" a="1"/>
  <c r="J22" i="25" s="1"/>
  <c r="J32" i="25" a="1"/>
  <c r="J32" i="25" s="1"/>
  <c r="J45" i="25" a="1"/>
  <c r="J45" i="25" s="1"/>
  <c r="I48" i="25" a="1"/>
  <c r="I48" i="25" s="1"/>
  <c r="H50" i="25" a="1"/>
  <c r="H50" i="25" s="1"/>
  <c r="G52" i="25" a="1"/>
  <c r="G52" i="25" s="1"/>
  <c r="G16" i="25"/>
  <c r="H18" i="25" a="1"/>
  <c r="H18" i="25" s="1"/>
  <c r="G20" i="25" a="1"/>
  <c r="G20" i="25" s="1"/>
  <c r="J24" i="25" a="1"/>
  <c r="J24" i="25" s="1"/>
  <c r="I26" i="25" a="1"/>
  <c r="I26" i="25" s="1"/>
  <c r="H29" i="25" a="1"/>
  <c r="H29" i="25" s="1"/>
  <c r="G31" i="25" a="1"/>
  <c r="G31" i="25" s="1"/>
  <c r="J36" i="25" a="1"/>
  <c r="J36" i="25" s="1"/>
  <c r="I38" i="25" a="1"/>
  <c r="I38" i="25" s="1"/>
  <c r="H41" i="25" a="1"/>
  <c r="H41" i="25" s="1"/>
  <c r="G44" i="25" a="1"/>
  <c r="G44" i="25" s="1"/>
  <c r="J56" i="25" a="1"/>
  <c r="J56" i="25" s="1"/>
  <c r="I59" i="25" a="1"/>
  <c r="I59" i="25" s="1"/>
  <c r="H61" i="25" a="1"/>
  <c r="H61" i="25" s="1"/>
  <c r="G63" i="25" a="1"/>
  <c r="G63" i="25" s="1"/>
  <c r="H16" i="25"/>
  <c r="J48" i="25" a="1"/>
  <c r="J48" i="25" s="1"/>
  <c r="I50" i="25" a="1"/>
  <c r="I50" i="25" s="1"/>
  <c r="H52" i="25" a="1"/>
  <c r="H52" i="25" s="1"/>
  <c r="G55" i="25" a="1"/>
  <c r="G55" i="25" s="1"/>
  <c r="H20" i="25" a="1"/>
  <c r="H20" i="25" s="1"/>
  <c r="G23" i="25" a="1"/>
  <c r="G23" i="25" s="1"/>
  <c r="J26" i="25" a="1"/>
  <c r="J26" i="25" s="1"/>
  <c r="I29" i="25" a="1"/>
  <c r="I29" i="25" s="1"/>
  <c r="H31" i="25" a="1"/>
  <c r="H31" i="25" s="1"/>
  <c r="G34" i="25" a="1"/>
  <c r="G34" i="25" s="1"/>
  <c r="J38" i="25" a="1"/>
  <c r="J38" i="25" s="1"/>
  <c r="I41" i="25" a="1"/>
  <c r="I41" i="25" s="1"/>
  <c r="H44" i="25" a="1"/>
  <c r="H44" i="25" s="1"/>
  <c r="G47" i="25" a="1"/>
  <c r="G47" i="25" s="1"/>
  <c r="J59" i="25" a="1"/>
  <c r="J59" i="25" s="1"/>
  <c r="I61" i="25" a="1"/>
  <c r="I61" i="25" s="1"/>
  <c r="H63" i="25" a="1"/>
  <c r="H63" i="25" s="1"/>
  <c r="J16" i="25"/>
  <c r="G25" i="25" a="1"/>
  <c r="G25" i="25" s="1"/>
  <c r="G37" i="25" a="1"/>
  <c r="G37" i="25" s="1"/>
  <c r="J50" i="25" a="1"/>
  <c r="J50" i="25" s="1"/>
  <c r="I52" i="25" a="1"/>
  <c r="I52" i="25" s="1"/>
  <c r="H55" i="25" a="1"/>
  <c r="H55" i="25" s="1"/>
  <c r="G57" i="25" a="1"/>
  <c r="G57" i="25" s="1"/>
  <c r="J18" i="25" a="1"/>
  <c r="J18" i="25" s="1"/>
  <c r="I20" i="25" a="1"/>
  <c r="I20" i="25" s="1"/>
  <c r="H23" i="25" a="1"/>
  <c r="H23" i="25" s="1"/>
  <c r="J29" i="25" a="1"/>
  <c r="J29" i="25" s="1"/>
  <c r="I31" i="25" a="1"/>
  <c r="I31" i="25" s="1"/>
  <c r="H34" i="25"/>
  <c r="J41" i="25" a="1"/>
  <c r="J41" i="25" s="1"/>
  <c r="I44" i="25" a="1"/>
  <c r="I44" i="25" s="1"/>
  <c r="H47" i="25" a="1"/>
  <c r="H47" i="25" s="1"/>
  <c r="G49" i="25" a="1"/>
  <c r="G49" i="25" s="1"/>
  <c r="J61" i="25" a="1"/>
  <c r="J61" i="25" s="1"/>
  <c r="I63" i="25" a="1"/>
  <c r="I63" i="25" s="1"/>
  <c r="G17" i="25" a="1"/>
  <c r="G17" i="25" s="1"/>
  <c r="H25" i="25" a="1"/>
  <c r="H25" i="25" s="1"/>
  <c r="G28" i="25" a="1"/>
  <c r="G28" i="25" s="1"/>
  <c r="I34" i="25" a="1"/>
  <c r="I34" i="25" s="1"/>
  <c r="H37" i="25" a="1"/>
  <c r="H37" i="25" s="1"/>
  <c r="G40" i="25" a="1"/>
  <c r="G40" i="25" s="1"/>
  <c r="J52" i="25" a="1"/>
  <c r="J52" i="25" s="1"/>
  <c r="I55" i="25" a="1"/>
  <c r="I55" i="25" s="1"/>
  <c r="H57" i="25" a="1"/>
  <c r="H57" i="25" s="1"/>
  <c r="G60" i="25" a="1"/>
  <c r="G60" i="25" s="1"/>
  <c r="J20" i="25" a="1"/>
  <c r="J20" i="25" s="1"/>
  <c r="I23" i="25" a="1"/>
  <c r="I23" i="25" s="1"/>
  <c r="J31" i="25" a="1"/>
  <c r="J31" i="25" s="1"/>
  <c r="J44" i="25" a="1"/>
  <c r="J44" i="25" s="1"/>
  <c r="I47" i="25" a="1"/>
  <c r="I47" i="25" s="1"/>
  <c r="H49" i="25" a="1"/>
  <c r="H49" i="25" s="1"/>
  <c r="G51" i="25" a="1"/>
  <c r="G51" i="25" s="1"/>
  <c r="J63" i="25" a="1"/>
  <c r="J63" i="25" s="1"/>
  <c r="H17" i="25" a="1"/>
  <c r="H17" i="25" s="1"/>
  <c r="G19" i="25" a="1"/>
  <c r="G19" i="25" s="1"/>
  <c r="I25" i="25" a="1"/>
  <c r="I25" i="25" s="1"/>
  <c r="H28" i="25" a="1"/>
  <c r="H28" i="25" s="1"/>
  <c r="G30" i="25" a="1"/>
  <c r="G30" i="25" s="1"/>
  <c r="J34" i="25" a="1"/>
  <c r="J34" i="25" s="1"/>
  <c r="I37" i="25" a="1"/>
  <c r="I37" i="25" s="1"/>
  <c r="H40" i="25" a="1"/>
  <c r="H40" i="25" s="1"/>
  <c r="G42" i="25" a="1"/>
  <c r="G42" i="25" s="1"/>
  <c r="A2" i="17"/>
  <c r="A1" i="17"/>
  <c r="A2" i="1"/>
  <c r="D16" i="1" l="1"/>
  <c r="D17" i="1"/>
  <c r="D15" i="1"/>
  <c r="R10" i="21" l="1"/>
  <c r="R9" i="21"/>
  <c r="D12" i="21"/>
  <c r="R12" i="21" s="1"/>
  <c r="D13" i="21"/>
  <c r="D14" i="21"/>
  <c r="R14" i="21" s="1"/>
  <c r="D15" i="21"/>
  <c r="R15" i="21" s="1"/>
  <c r="D16" i="21"/>
  <c r="R16" i="21" s="1"/>
  <c r="D17" i="21"/>
  <c r="R17" i="21" s="1"/>
  <c r="D18" i="21"/>
  <c r="R18" i="21" s="1"/>
  <c r="D19" i="21"/>
  <c r="R19" i="21" s="1"/>
  <c r="D11" i="21"/>
  <c r="R11" i="21" s="1"/>
  <c r="C10" i="21"/>
  <c r="C11" i="21"/>
  <c r="C12" i="21"/>
  <c r="C13" i="21"/>
  <c r="C14" i="21"/>
  <c r="C15" i="21"/>
  <c r="C16" i="21"/>
  <c r="C17" i="21"/>
  <c r="C18" i="21"/>
  <c r="C19" i="21"/>
  <c r="C9" i="21"/>
  <c r="B2" i="21"/>
  <c r="D45" i="21"/>
  <c r="R42" i="21"/>
  <c r="R41" i="21"/>
  <c r="R40" i="21"/>
  <c r="R39" i="21"/>
  <c r="R38" i="21"/>
  <c r="R37" i="21"/>
  <c r="R36" i="21"/>
  <c r="Q36" i="21"/>
  <c r="R35" i="21"/>
  <c r="R34" i="21"/>
  <c r="Q34" i="21"/>
  <c r="R33" i="21"/>
  <c r="Q33" i="21"/>
  <c r="R32" i="21"/>
  <c r="R31" i="21"/>
  <c r="Q31" i="21"/>
  <c r="R30" i="21"/>
  <c r="R29" i="21"/>
  <c r="Q29" i="21"/>
  <c r="R28" i="21"/>
  <c r="Q28" i="21"/>
  <c r="L28" i="21"/>
  <c r="J28" i="21"/>
  <c r="H28" i="21"/>
  <c r="F28" i="21"/>
  <c r="Z27" i="21"/>
  <c r="Q19" i="21"/>
  <c r="Q18" i="21"/>
  <c r="Q17" i="21"/>
  <c r="Q16" i="21"/>
  <c r="Q15" i="21"/>
  <c r="Q14" i="21"/>
  <c r="Q13" i="21"/>
  <c r="Q12" i="21"/>
  <c r="Q11" i="21"/>
  <c r="Z8" i="21"/>
  <c r="X8" i="21"/>
  <c r="V8" i="21"/>
  <c r="T8" i="21"/>
  <c r="R8" i="21"/>
  <c r="Q8" i="21"/>
  <c r="R7" i="21"/>
  <c r="Q7" i="21"/>
  <c r="L7" i="21"/>
  <c r="Z7" i="21" s="1"/>
  <c r="J7" i="21"/>
  <c r="H7" i="21"/>
  <c r="F7" i="21"/>
  <c r="C7" i="21"/>
  <c r="Z6" i="21"/>
  <c r="T28" i="21" l="1"/>
  <c r="V28" i="21"/>
  <c r="R13" i="21"/>
  <c r="T7" i="21"/>
  <c r="V7" i="21"/>
  <c r="Z28" i="21"/>
  <c r="X7" i="21"/>
  <c r="X28" i="21"/>
  <c r="B11" i="15"/>
  <c r="B12" i="15" s="1"/>
  <c r="B13" i="15" s="1"/>
  <c r="B14" i="15" s="1"/>
  <c r="B15" i="15" s="1"/>
  <c r="B16" i="15" s="1"/>
  <c r="B17" i="15" s="1"/>
  <c r="B18" i="15" s="1"/>
  <c r="B19" i="15" s="1"/>
  <c r="B20" i="15" s="1"/>
  <c r="B21" i="15" s="1"/>
  <c r="B22" i="15" s="1"/>
  <c r="B23" i="15" s="1"/>
  <c r="B24" i="15" s="1"/>
  <c r="B25" i="15" s="1"/>
  <c r="B26" i="15" s="1"/>
  <c r="B27" i="15" s="1"/>
  <c r="J12" i="1"/>
  <c r="J13" i="1" s="1"/>
  <c r="B45" i="8"/>
  <c r="P3" i="16"/>
  <c r="L27" i="8" l="1"/>
  <c r="J27" i="8"/>
  <c r="H27" i="8"/>
  <c r="F27" i="8"/>
  <c r="L6" i="8"/>
  <c r="J6" i="8"/>
  <c r="H6" i="8"/>
  <c r="F6" i="8"/>
  <c r="I8" i="17"/>
  <c r="I10" i="17" s="1"/>
  <c r="H20" i="17"/>
  <c r="M30" i="16"/>
  <c r="J30" i="16"/>
  <c r="G30" i="16"/>
  <c r="D30" i="16"/>
  <c r="M20" i="16"/>
  <c r="J20" i="16"/>
  <c r="G20" i="16"/>
  <c r="D20" i="16"/>
  <c r="B34" i="16"/>
  <c r="B32" i="16"/>
  <c r="J34" i="16"/>
  <c r="G34" i="16"/>
  <c r="D34" i="16"/>
  <c r="M32" i="16"/>
  <c r="J32" i="16"/>
  <c r="G32" i="16"/>
  <c r="D32" i="16"/>
  <c r="B24" i="16"/>
  <c r="B22" i="16"/>
  <c r="M22" i="16"/>
  <c r="J24" i="16"/>
  <c r="J22" i="16"/>
  <c r="G24" i="16"/>
  <c r="G22" i="16"/>
  <c r="D24" i="16"/>
  <c r="D22" i="16"/>
  <c r="L22" i="19"/>
  <c r="K22" i="19"/>
  <c r="J22" i="19"/>
  <c r="I22" i="19"/>
  <c r="M6" i="16"/>
  <c r="J14" i="16"/>
  <c r="J12" i="16"/>
  <c r="J10" i="16"/>
  <c r="J8" i="16"/>
  <c r="J6" i="16"/>
  <c r="G14" i="16"/>
  <c r="G12" i="16"/>
  <c r="G10" i="16"/>
  <c r="G8" i="16"/>
  <c r="G6" i="16"/>
  <c r="D14" i="16"/>
  <c r="D12" i="16"/>
  <c r="D10" i="16"/>
  <c r="D8" i="16"/>
  <c r="D61" i="19"/>
  <c r="R34" i="16" s="1"/>
  <c r="D47" i="19"/>
  <c r="R24" i="16" s="1"/>
  <c r="D33" i="19"/>
  <c r="R14" i="16" s="1"/>
  <c r="D31" i="19"/>
  <c r="R12" i="16" s="1"/>
  <c r="D29" i="19"/>
  <c r="R10" i="16" s="1"/>
  <c r="D27" i="19"/>
  <c r="R8" i="16" s="1"/>
  <c r="T32" i="16"/>
  <c r="R32" i="16"/>
  <c r="T22" i="16"/>
  <c r="R22" i="16"/>
  <c r="P24" i="16"/>
  <c r="P22" i="16"/>
  <c r="B8" i="16"/>
  <c r="B10" i="16"/>
  <c r="B12" i="16"/>
  <c r="B14" i="16"/>
  <c r="B6" i="16"/>
  <c r="P8" i="16"/>
  <c r="P10" i="16"/>
  <c r="P12" i="16"/>
  <c r="P14" i="16"/>
  <c r="P6" i="16"/>
  <c r="S10" i="16"/>
  <c r="S12" i="16"/>
  <c r="S14" i="16"/>
  <c r="S8" i="16"/>
  <c r="S6" i="16"/>
  <c r="T6" i="16"/>
  <c r="U6" i="16"/>
  <c r="R6" i="16"/>
  <c r="F13" i="21" l="1"/>
  <c r="T13" i="21" s="1"/>
  <c r="H12" i="21"/>
  <c r="V12" i="21" s="1"/>
  <c r="I26" i="17"/>
  <c r="L42" i="21" s="1"/>
  <c r="Z42" i="21" s="1"/>
  <c r="I25" i="17"/>
  <c r="L41" i="21" s="1"/>
  <c r="Z41" i="21" s="1"/>
  <c r="I24" i="17"/>
  <c r="L40" i="21" s="1"/>
  <c r="Z40" i="21" s="1"/>
  <c r="I23" i="17"/>
  <c r="L39" i="21" s="1"/>
  <c r="Z39" i="21" s="1"/>
  <c r="I22" i="17"/>
  <c r="L38" i="21" s="1"/>
  <c r="Z38" i="21" s="1"/>
  <c r="I21" i="17"/>
  <c r="L37" i="21" s="1"/>
  <c r="Z37" i="21" s="1"/>
  <c r="I20" i="17"/>
  <c r="L36" i="21" s="1"/>
  <c r="Z36" i="21" s="1"/>
  <c r="I18" i="17"/>
  <c r="L35" i="21" s="1"/>
  <c r="Z35" i="21" s="1"/>
  <c r="I17" i="17"/>
  <c r="L34" i="21" s="1"/>
  <c r="Z34" i="21" s="1"/>
  <c r="I15" i="17"/>
  <c r="L33" i="21" s="1"/>
  <c r="Z33" i="21" s="1"/>
  <c r="I14" i="17"/>
  <c r="L32" i="21" s="1"/>
  <c r="Z32" i="21" s="1"/>
  <c r="I13" i="17"/>
  <c r="L31" i="21" s="1"/>
  <c r="Z31" i="21" s="1"/>
  <c r="I11" i="17"/>
  <c r="L30" i="21" s="1"/>
  <c r="Z30" i="21" s="1"/>
  <c r="L29" i="21"/>
  <c r="Z29" i="21" s="1"/>
  <c r="F11" i="17"/>
  <c r="F30" i="21" s="1"/>
  <c r="T30" i="21" s="1"/>
  <c r="F26" i="17"/>
  <c r="F42" i="21" s="1"/>
  <c r="T42" i="21" s="1"/>
  <c r="F25" i="17"/>
  <c r="F41" i="21" s="1"/>
  <c r="T41" i="21" s="1"/>
  <c r="F24" i="17"/>
  <c r="F40" i="21" s="1"/>
  <c r="T40" i="21" s="1"/>
  <c r="F23" i="17"/>
  <c r="F39" i="21" s="1"/>
  <c r="T39" i="21" s="1"/>
  <c r="F22" i="17"/>
  <c r="F38" i="21" s="1"/>
  <c r="T38" i="21" s="1"/>
  <c r="F21" i="17"/>
  <c r="F37" i="21" s="1"/>
  <c r="T37" i="21" s="1"/>
  <c r="F20" i="17"/>
  <c r="F36" i="21" s="1"/>
  <c r="T36" i="21" s="1"/>
  <c r="F18" i="17"/>
  <c r="F35" i="21" s="1"/>
  <c r="T35" i="21" s="1"/>
  <c r="F17" i="17"/>
  <c r="F34" i="21" s="1"/>
  <c r="T34" i="21" s="1"/>
  <c r="F15" i="17"/>
  <c r="F33" i="21" s="1"/>
  <c r="T33" i="21" s="1"/>
  <c r="F14" i="17"/>
  <c r="F32" i="21" s="1"/>
  <c r="T32" i="21" s="1"/>
  <c r="F13" i="17"/>
  <c r="F31" i="21" s="1"/>
  <c r="T31" i="21" s="1"/>
  <c r="F29" i="21"/>
  <c r="T29" i="21" s="1"/>
  <c r="H10" i="17"/>
  <c r="J29" i="21" s="1"/>
  <c r="X29" i="21" s="1"/>
  <c r="H26" i="17"/>
  <c r="J42" i="21" s="1"/>
  <c r="X42" i="21" s="1"/>
  <c r="H25" i="17"/>
  <c r="J41" i="21" s="1"/>
  <c r="X41" i="21" s="1"/>
  <c r="H24" i="17"/>
  <c r="J40" i="21" s="1"/>
  <c r="X40" i="21" s="1"/>
  <c r="H23" i="17"/>
  <c r="J39" i="21" s="1"/>
  <c r="X39" i="21" s="1"/>
  <c r="H22" i="17"/>
  <c r="J38" i="21" s="1"/>
  <c r="X38" i="21" s="1"/>
  <c r="H21" i="17"/>
  <c r="J37" i="21" s="1"/>
  <c r="X37" i="21" s="1"/>
  <c r="J36" i="21"/>
  <c r="X36" i="21" s="1"/>
  <c r="H18" i="17"/>
  <c r="J35" i="21" s="1"/>
  <c r="X35" i="21" s="1"/>
  <c r="H17" i="17"/>
  <c r="J34" i="21" s="1"/>
  <c r="X34" i="21" s="1"/>
  <c r="H15" i="17"/>
  <c r="J33" i="21" s="1"/>
  <c r="X33" i="21" s="1"/>
  <c r="H14" i="17"/>
  <c r="J32" i="21" s="1"/>
  <c r="X32" i="21" s="1"/>
  <c r="H13" i="17"/>
  <c r="J31" i="21" s="1"/>
  <c r="X31" i="21" s="1"/>
  <c r="H11" i="17"/>
  <c r="J30" i="21" s="1"/>
  <c r="X30" i="21" s="1"/>
  <c r="G10" i="17"/>
  <c r="H29" i="21" s="1"/>
  <c r="V29" i="21" s="1"/>
  <c r="G26" i="17"/>
  <c r="H42" i="21" s="1"/>
  <c r="V42" i="21" s="1"/>
  <c r="G25" i="17"/>
  <c r="H41" i="21" s="1"/>
  <c r="V41" i="21" s="1"/>
  <c r="G24" i="17"/>
  <c r="H40" i="21" s="1"/>
  <c r="V40" i="21" s="1"/>
  <c r="G23" i="17"/>
  <c r="H39" i="21" s="1"/>
  <c r="V39" i="21" s="1"/>
  <c r="G22" i="17"/>
  <c r="H38" i="21" s="1"/>
  <c r="V38" i="21" s="1"/>
  <c r="G21" i="17"/>
  <c r="H37" i="21" s="1"/>
  <c r="V37" i="21" s="1"/>
  <c r="G20" i="17"/>
  <c r="H36" i="21" s="1"/>
  <c r="V36" i="21" s="1"/>
  <c r="G18" i="17"/>
  <c r="H35" i="21" s="1"/>
  <c r="V35" i="21" s="1"/>
  <c r="G17" i="17"/>
  <c r="H34" i="21" s="1"/>
  <c r="V34" i="21" s="1"/>
  <c r="G15" i="17"/>
  <c r="H33" i="21" s="1"/>
  <c r="V33" i="21" s="1"/>
  <c r="H32" i="21"/>
  <c r="V32" i="21" s="1"/>
  <c r="G13" i="17"/>
  <c r="H31" i="21" s="1"/>
  <c r="V31" i="21" s="1"/>
  <c r="G11" i="17"/>
  <c r="H30" i="21" s="1"/>
  <c r="V30" i="21" s="1"/>
  <c r="J15" i="21"/>
  <c r="X15" i="21" s="1"/>
  <c r="L15" i="21"/>
  <c r="Z15" i="21" s="1"/>
  <c r="H15" i="21"/>
  <c r="V15" i="21" s="1"/>
  <c r="H9" i="21"/>
  <c r="V9" i="21" s="1"/>
  <c r="N6" i="16"/>
  <c r="F10" i="21"/>
  <c r="T10" i="21" s="1"/>
  <c r="G13" i="1"/>
  <c r="H13" i="1"/>
  <c r="I13" i="1"/>
  <c r="F9" i="21"/>
  <c r="T9" i="21" s="1"/>
  <c r="D20" i="1"/>
  <c r="D21" i="1"/>
  <c r="D22" i="1"/>
  <c r="D23" i="1"/>
  <c r="D25" i="1"/>
  <c r="D26" i="1"/>
  <c r="D27" i="1"/>
  <c r="D28" i="1"/>
  <c r="D29" i="1"/>
  <c r="F15" i="21"/>
  <c r="T15" i="21" s="1"/>
  <c r="D33" i="1"/>
  <c r="D34" i="1"/>
  <c r="D35" i="1"/>
  <c r="F12" i="21"/>
  <c r="T12" i="21" s="1"/>
  <c r="D37" i="1"/>
  <c r="D38" i="1"/>
  <c r="D39" i="1"/>
  <c r="D41" i="1"/>
  <c r="D42" i="1"/>
  <c r="D44" i="1"/>
  <c r="D45" i="1"/>
  <c r="D46" i="1"/>
  <c r="D47" i="1"/>
  <c r="D48" i="1"/>
  <c r="D49" i="1"/>
  <c r="D51" i="1"/>
  <c r="D52" i="1"/>
  <c r="D54" i="1"/>
  <c r="D55" i="1"/>
  <c r="D58" i="1"/>
  <c r="D60" i="1"/>
  <c r="M4" i="16"/>
  <c r="J4" i="16"/>
  <c r="G4" i="16"/>
  <c r="D4" i="16"/>
  <c r="H10" i="21" l="1"/>
  <c r="V10" i="21" s="1"/>
  <c r="H13" i="21"/>
  <c r="V13" i="21" s="1"/>
  <c r="L12" i="21"/>
  <c r="Z12" i="21" s="1"/>
  <c r="J12" i="21"/>
  <c r="X12" i="21" s="1"/>
  <c r="L10" i="21"/>
  <c r="Z10" i="21" s="1"/>
  <c r="J10" i="21"/>
  <c r="X10" i="21" s="1"/>
  <c r="L13" i="21"/>
  <c r="Z13" i="21" s="1"/>
  <c r="J13" i="21"/>
  <c r="X13" i="21" s="1"/>
  <c r="L9" i="21"/>
  <c r="Z9" i="21" s="1"/>
  <c r="J9" i="21"/>
  <c r="X9" i="21" s="1"/>
  <c r="L17" i="21"/>
  <c r="Z17" i="21" s="1"/>
  <c r="L18" i="21"/>
  <c r="Z18" i="21" s="1"/>
  <c r="F17" i="21"/>
  <c r="T17" i="21" s="1"/>
  <c r="F18" i="21"/>
  <c r="T18" i="21" s="1"/>
  <c r="F11" i="21"/>
  <c r="T11" i="21" s="1"/>
  <c r="F14" i="21"/>
  <c r="T14" i="21" s="1"/>
  <c r="F16" i="21"/>
  <c r="T16" i="21" s="1"/>
  <c r="F19" i="21"/>
  <c r="T19" i="21" s="1"/>
  <c r="J17" i="21"/>
  <c r="X17" i="21" s="1"/>
  <c r="J18" i="21"/>
  <c r="X18" i="21" s="1"/>
  <c r="H18" i="21"/>
  <c r="V18" i="21" s="1"/>
  <c r="H17" i="21"/>
  <c r="V17" i="21" s="1"/>
  <c r="L16" i="21"/>
  <c r="Z16" i="21" s="1"/>
  <c r="L19" i="21"/>
  <c r="Z19" i="21" s="1"/>
  <c r="L11" i="21"/>
  <c r="Z11" i="21" s="1"/>
  <c r="L14" i="21"/>
  <c r="Z14" i="21" s="1"/>
  <c r="J11" i="21"/>
  <c r="X11" i="21" s="1"/>
  <c r="J14" i="21"/>
  <c r="X14" i="21" s="1"/>
  <c r="J16" i="21"/>
  <c r="X16" i="21" s="1"/>
  <c r="J19" i="21"/>
  <c r="X19" i="21" s="1"/>
  <c r="H19" i="21"/>
  <c r="V19" i="21" s="1"/>
  <c r="H16" i="21"/>
  <c r="V16" i="21" s="1"/>
  <c r="H11" i="21"/>
  <c r="V11" i="21" s="1"/>
  <c r="H14" i="21"/>
  <c r="V14" i="21" s="1"/>
  <c r="H9" i="8"/>
  <c r="C20" i="10" l="1"/>
  <c r="I2" i="2" l="1"/>
  <c r="C15" i="8"/>
  <c r="C12" i="8"/>
  <c r="J10" i="8"/>
  <c r="H10" i="8"/>
  <c r="E32" i="16" l="1"/>
  <c r="E34" i="16"/>
  <c r="H34" i="16"/>
  <c r="H32" i="16"/>
  <c r="K34" i="16"/>
  <c r="K32" i="16"/>
  <c r="N32" i="16"/>
  <c r="N22" i="16"/>
  <c r="K22" i="16"/>
  <c r="K24" i="16"/>
  <c r="H24" i="16"/>
  <c r="H22" i="16"/>
  <c r="E24" i="16"/>
  <c r="E22" i="16"/>
  <c r="M33" i="16" a="1"/>
  <c r="M33" i="16" s="1"/>
  <c r="J35" i="16"/>
  <c r="J33" i="16"/>
  <c r="G35" i="16"/>
  <c r="G33" i="16"/>
  <c r="D35" i="16"/>
  <c r="D33" i="16"/>
  <c r="P34" i="16"/>
  <c r="P32" i="16"/>
  <c r="M23" i="16"/>
  <c r="J23" i="16"/>
  <c r="J25" i="16"/>
  <c r="G25" i="16"/>
  <c r="G23" i="16"/>
  <c r="D25" i="16"/>
  <c r="D23" i="16"/>
  <c r="M7" i="16"/>
  <c r="J13" i="16"/>
  <c r="J11" i="16"/>
  <c r="J9" i="16"/>
  <c r="J7" i="16"/>
  <c r="G13" i="16"/>
  <c r="G11" i="16"/>
  <c r="G9" i="16"/>
  <c r="G7" i="16"/>
  <c r="J15" i="16"/>
  <c r="G15" i="16"/>
  <c r="D15" i="16"/>
  <c r="D13" i="16"/>
  <c r="D11" i="16"/>
  <c r="D9" i="16"/>
  <c r="D7" i="16"/>
  <c r="H8" i="16"/>
  <c r="K8" i="16"/>
  <c r="K10" i="16"/>
  <c r="H10" i="16"/>
  <c r="H12" i="16"/>
  <c r="K12" i="16"/>
  <c r="K14" i="16"/>
  <c r="H14" i="16"/>
  <c r="E14" i="16"/>
  <c r="E12" i="16"/>
  <c r="E10" i="16"/>
  <c r="E8" i="16"/>
  <c r="K6" i="16"/>
  <c r="H6" i="16"/>
  <c r="E6" i="16"/>
  <c r="D7" i="14"/>
  <c r="AH7" i="14" s="1"/>
  <c r="AI7" i="14" s="1"/>
  <c r="D8" i="14"/>
  <c r="AH8" i="14" s="1"/>
  <c r="AI8" i="14" s="1"/>
  <c r="D9" i="14"/>
  <c r="AH9" i="14" s="1"/>
  <c r="AI9" i="14" s="1"/>
  <c r="D10" i="14"/>
  <c r="AH10" i="14" s="1"/>
  <c r="AI10" i="14" s="1"/>
  <c r="E7" i="14"/>
  <c r="E8" i="14"/>
  <c r="E9" i="14"/>
  <c r="E10" i="14"/>
  <c r="E6" i="14"/>
  <c r="D6" i="14"/>
  <c r="AH6" i="14" s="1"/>
  <c r="AI6" i="14" s="1"/>
  <c r="AQ6" i="14"/>
  <c r="AR6" i="14" s="1"/>
  <c r="AN7" i="14"/>
  <c r="AO7" i="14" s="1"/>
  <c r="AN8" i="14"/>
  <c r="AO8" i="14" s="1"/>
  <c r="AN9" i="14"/>
  <c r="AO9" i="14" s="1"/>
  <c r="AN10" i="14"/>
  <c r="AO10" i="14" s="1"/>
  <c r="AO27" i="14"/>
  <c r="AO26" i="14"/>
  <c r="AL27" i="14"/>
  <c r="AL26" i="14"/>
  <c r="AI27" i="14"/>
  <c r="AI26" i="14"/>
  <c r="AO18" i="14"/>
  <c r="AO17" i="14"/>
  <c r="AL18" i="14"/>
  <c r="AL17" i="14"/>
  <c r="R8" i="14"/>
  <c r="R9" i="14"/>
  <c r="R10" i="14"/>
  <c r="R7" i="14"/>
  <c r="AI18" i="14"/>
  <c r="AI17" i="14"/>
  <c r="AH2" i="14"/>
  <c r="P7" i="14"/>
  <c r="P8" i="14"/>
  <c r="P9" i="14"/>
  <c r="P10" i="14"/>
  <c r="P6" i="14"/>
  <c r="AN6" i="14"/>
  <c r="AO6" i="14" s="1"/>
  <c r="AK7" i="14"/>
  <c r="AL7" i="14" s="1"/>
  <c r="AK8" i="14"/>
  <c r="AL8" i="14" s="1"/>
  <c r="AK9" i="14"/>
  <c r="AL9" i="14" s="1"/>
  <c r="AK10" i="14"/>
  <c r="AL10" i="14" s="1"/>
  <c r="AK6" i="14"/>
  <c r="AL6" i="14" s="1"/>
  <c r="AR26" i="14"/>
  <c r="AR17" i="14"/>
  <c r="B3" i="15" l="1"/>
  <c r="B4" i="15" s="1"/>
  <c r="B5" i="15" s="1"/>
  <c r="B6" i="15" s="1"/>
  <c r="N26" i="14" l="1"/>
  <c r="N17" i="14"/>
  <c r="J4" i="14" l="1"/>
  <c r="AN4" i="14" s="1"/>
  <c r="G4" i="14"/>
  <c r="AK4" i="14" s="1"/>
  <c r="X6" i="8"/>
  <c r="V6" i="8"/>
  <c r="R8" i="8"/>
  <c r="R9" i="8"/>
  <c r="Q10" i="8"/>
  <c r="R10" i="8"/>
  <c r="Q11" i="8"/>
  <c r="R11" i="8"/>
  <c r="Q12" i="8"/>
  <c r="R12" i="8"/>
  <c r="Q13" i="8"/>
  <c r="R13" i="8"/>
  <c r="Q14" i="8"/>
  <c r="R14" i="8"/>
  <c r="Q15" i="8"/>
  <c r="R15" i="8"/>
  <c r="Q16" i="8"/>
  <c r="R16" i="8"/>
  <c r="Q17" i="8"/>
  <c r="R17" i="8"/>
  <c r="Q18" i="8"/>
  <c r="R18" i="8"/>
  <c r="Z7" i="8"/>
  <c r="X7" i="8"/>
  <c r="V7" i="8"/>
  <c r="T7" i="8"/>
  <c r="R7" i="8"/>
  <c r="Q7" i="8"/>
  <c r="R6" i="8"/>
  <c r="Q6" i="8"/>
  <c r="Z5" i="8"/>
  <c r="V27" i="8"/>
  <c r="X27" i="8"/>
  <c r="Q27" i="8" l="1"/>
  <c r="R27" i="8"/>
  <c r="Q28" i="8"/>
  <c r="R28" i="8"/>
  <c r="R29" i="8"/>
  <c r="Q30" i="8"/>
  <c r="R30" i="8"/>
  <c r="R31" i="8"/>
  <c r="Q32" i="8"/>
  <c r="R32" i="8"/>
  <c r="Q33" i="8"/>
  <c r="R33" i="8"/>
  <c r="R34" i="8"/>
  <c r="Q35" i="8"/>
  <c r="R35" i="8"/>
  <c r="R36" i="8"/>
  <c r="R37" i="8"/>
  <c r="R38" i="8"/>
  <c r="R39" i="8"/>
  <c r="R40" i="8"/>
  <c r="R41" i="8"/>
  <c r="Z26" i="8"/>
  <c r="C18" i="8"/>
  <c r="D44" i="8" l="1"/>
  <c r="B2" i="2"/>
  <c r="C17" i="8"/>
  <c r="C9" i="8" l="1"/>
  <c r="C8" i="8"/>
  <c r="C6" i="8" l="1"/>
  <c r="C10" i="8"/>
  <c r="C11" i="8"/>
  <c r="C13" i="8"/>
  <c r="M2" i="2"/>
  <c r="W2" i="2"/>
  <c r="X2" i="2"/>
  <c r="Y2" i="2"/>
  <c r="Z2" i="2"/>
  <c r="AA2" i="2"/>
  <c r="AB2" i="2"/>
  <c r="AC2" i="2"/>
  <c r="AD2" i="2"/>
  <c r="AE2" i="2"/>
  <c r="AG2" i="2"/>
  <c r="AL2" i="2"/>
  <c r="AM2" i="2"/>
  <c r="AN2" i="2"/>
  <c r="AP2" i="2"/>
  <c r="AR2" i="2"/>
  <c r="AS2" i="2"/>
  <c r="AT2" i="2"/>
  <c r="AU2" i="2"/>
  <c r="AV2" i="2"/>
  <c r="AW2" i="2"/>
  <c r="AX2" i="2"/>
  <c r="AY2" i="2"/>
  <c r="BA2" i="2"/>
  <c r="BC2" i="2"/>
  <c r="BE2" i="2"/>
  <c r="BF2" i="2"/>
  <c r="BG2" i="2"/>
  <c r="BI2" i="2"/>
  <c r="BK2" i="2"/>
  <c r="BM2" i="2"/>
  <c r="BO2" i="2"/>
  <c r="BP2" i="2"/>
  <c r="BQ2" i="2"/>
  <c r="BR2" i="2"/>
  <c r="BS2" i="2"/>
  <c r="S2" i="2"/>
  <c r="V2" i="2"/>
  <c r="G2" i="2"/>
  <c r="C2" i="2"/>
  <c r="C14" i="8"/>
  <c r="C16" i="8"/>
  <c r="H28" i="8"/>
  <c r="V28" i="8" s="1"/>
  <c r="H29" i="8"/>
  <c r="V29" i="8" s="1"/>
  <c r="H30" i="8"/>
  <c r="V30" i="8" s="1"/>
  <c r="H31" i="8"/>
  <c r="V31" i="8" s="1"/>
  <c r="H32" i="8"/>
  <c r="V32" i="8" s="1"/>
  <c r="H33" i="8"/>
  <c r="V33" i="8" s="1"/>
  <c r="H34" i="8"/>
  <c r="V34" i="8" s="1"/>
  <c r="H35" i="8"/>
  <c r="V35" i="8" s="1"/>
  <c r="H36" i="8"/>
  <c r="V36" i="8" s="1"/>
  <c r="H37" i="8"/>
  <c r="V37" i="8" s="1"/>
  <c r="H38" i="8"/>
  <c r="V38" i="8" s="1"/>
  <c r="H39" i="8"/>
  <c r="V39" i="8" s="1"/>
  <c r="H40" i="8"/>
  <c r="V40" i="8" s="1"/>
  <c r="H41" i="8"/>
  <c r="V41" i="8" s="1"/>
  <c r="D20" i="10" l="1"/>
  <c r="E20" i="10"/>
  <c r="F20" i="10"/>
  <c r="J28" i="8"/>
  <c r="X28" i="8" s="1"/>
  <c r="J29" i="8"/>
  <c r="X29" i="8" s="1"/>
  <c r="J30" i="8"/>
  <c r="X30" i="8" s="1"/>
  <c r="J31" i="8"/>
  <c r="X31" i="8" s="1"/>
  <c r="J32" i="8"/>
  <c r="X32" i="8" s="1"/>
  <c r="J33" i="8"/>
  <c r="X33" i="8" s="1"/>
  <c r="J34" i="8"/>
  <c r="X34" i="8" s="1"/>
  <c r="J35" i="8"/>
  <c r="X35" i="8" s="1"/>
  <c r="J36" i="8"/>
  <c r="X36" i="8" s="1"/>
  <c r="J37" i="8"/>
  <c r="X37" i="8" s="1"/>
  <c r="J38" i="8"/>
  <c r="X38" i="8" s="1"/>
  <c r="J39" i="8"/>
  <c r="X39" i="8" s="1"/>
  <c r="J40" i="8"/>
  <c r="X40" i="8" s="1"/>
  <c r="J41" i="8"/>
  <c r="X41" i="8" s="1"/>
  <c r="C13" i="10"/>
  <c r="D13" i="10"/>
  <c r="E13" i="10"/>
  <c r="F13" i="10"/>
  <c r="C14" i="10"/>
  <c r="D14" i="10"/>
  <c r="E14" i="10"/>
  <c r="F14" i="10"/>
  <c r="C15" i="10"/>
  <c r="D15" i="10"/>
  <c r="E15" i="10"/>
  <c r="F15" i="10"/>
  <c r="C16" i="10"/>
  <c r="D16" i="10"/>
  <c r="E16" i="10"/>
  <c r="F16" i="10"/>
  <c r="C17" i="10"/>
  <c r="D17" i="10"/>
  <c r="E17" i="10"/>
  <c r="F17" i="10"/>
  <c r="C18" i="10"/>
  <c r="D18" i="10"/>
  <c r="E18" i="10"/>
  <c r="F18" i="10"/>
  <c r="C19" i="10"/>
  <c r="D19" i="10"/>
  <c r="E19" i="10"/>
  <c r="F19" i="10"/>
  <c r="C21" i="10"/>
  <c r="D21" i="10"/>
  <c r="E21" i="10"/>
  <c r="F21" i="10"/>
  <c r="C22" i="10"/>
  <c r="D22" i="10"/>
  <c r="E22" i="10"/>
  <c r="F22" i="10"/>
  <c r="C23" i="10"/>
  <c r="D23" i="10"/>
  <c r="E23" i="10"/>
  <c r="F23" i="10"/>
  <c r="C24" i="10"/>
  <c r="D24" i="10"/>
  <c r="E24" i="10"/>
  <c r="F24" i="10"/>
  <c r="C25" i="10"/>
  <c r="D25" i="10"/>
  <c r="E25" i="10"/>
  <c r="F25" i="10"/>
  <c r="C26" i="10"/>
  <c r="D26" i="10"/>
  <c r="E26" i="10"/>
  <c r="F26" i="10"/>
  <c r="F9" i="10"/>
  <c r="E9" i="10"/>
  <c r="D9" i="10"/>
  <c r="C9" i="10"/>
  <c r="H8" i="8" l="1"/>
  <c r="V8" i="8" s="1"/>
  <c r="H16" i="8"/>
  <c r="V16" i="8" s="1"/>
  <c r="H14" i="8"/>
  <c r="V14" i="8" s="1"/>
  <c r="V10" i="8"/>
  <c r="H11" i="8"/>
  <c r="V11" i="8" s="1"/>
  <c r="H15" i="8"/>
  <c r="V15" i="8" s="1"/>
  <c r="H17" i="8"/>
  <c r="V17" i="8" s="1"/>
  <c r="V9" i="8"/>
  <c r="H12" i="8"/>
  <c r="V12" i="8" s="1"/>
  <c r="H18" i="8"/>
  <c r="V18" i="8" s="1"/>
  <c r="H13" i="8"/>
  <c r="V13" i="8" s="1"/>
  <c r="J8" i="8"/>
  <c r="X8" i="8" s="1"/>
  <c r="J12" i="8"/>
  <c r="X12" i="8" s="1"/>
  <c r="J18" i="8"/>
  <c r="X18" i="8" s="1"/>
  <c r="X10" i="8"/>
  <c r="J13" i="8"/>
  <c r="X13" i="8" s="1"/>
  <c r="J11" i="8"/>
  <c r="X11" i="8" s="1"/>
  <c r="J17" i="8"/>
  <c r="X17" i="8" s="1"/>
  <c r="J16" i="8"/>
  <c r="X16" i="8" s="1"/>
  <c r="J9" i="8"/>
  <c r="X9" i="8" s="1"/>
  <c r="J14" i="8"/>
  <c r="X14" i="8" s="1"/>
  <c r="J15" i="8"/>
  <c r="X15" i="8" s="1"/>
  <c r="L10" i="8" l="1"/>
  <c r="Z10" i="8" s="1"/>
  <c r="L39" i="8"/>
  <c r="Z39" i="8" s="1"/>
  <c r="L15" i="8"/>
  <c r="Z15" i="8" s="1"/>
  <c r="L16" i="8"/>
  <c r="Z16" i="8" s="1"/>
  <c r="L13" i="8"/>
  <c r="Z13" i="8" s="1"/>
  <c r="L11" i="8"/>
  <c r="Z11" i="8" s="1"/>
  <c r="L9" i="8"/>
  <c r="Z9" i="8" s="1"/>
  <c r="L17" i="8"/>
  <c r="Z17" i="8" s="1"/>
  <c r="L14" i="8"/>
  <c r="Z14" i="8" s="1"/>
  <c r="L12" i="8"/>
  <c r="Z12" i="8" s="1"/>
  <c r="L8" i="8"/>
  <c r="Z8" i="8" s="1"/>
  <c r="L18" i="8"/>
  <c r="Z18" i="8" s="1"/>
  <c r="Z6" i="8"/>
  <c r="M4" i="14"/>
  <c r="AQ4" i="14" s="1"/>
  <c r="L40" i="8" l="1"/>
  <c r="Z40" i="8" s="1"/>
  <c r="L36" i="8"/>
  <c r="Z36" i="8" s="1"/>
  <c r="L32" i="8"/>
  <c r="Z32" i="8" s="1"/>
  <c r="L29" i="8"/>
  <c r="Z29" i="8" s="1"/>
  <c r="L28" i="8"/>
  <c r="Z28" i="8" s="1"/>
  <c r="L34" i="8"/>
  <c r="Z34" i="8" s="1"/>
  <c r="L41" i="8"/>
  <c r="Z41" i="8" s="1"/>
  <c r="L38" i="8"/>
  <c r="Z38" i="8" s="1"/>
  <c r="L33" i="8"/>
  <c r="Z33" i="8" s="1"/>
  <c r="L31" i="8"/>
  <c r="Z31" i="8" s="1"/>
  <c r="L35" i="8"/>
  <c r="Z35" i="8" s="1"/>
  <c r="L37" i="8"/>
  <c r="Z37" i="8" s="1"/>
  <c r="L30" i="8"/>
  <c r="Z30" i="8" s="1"/>
  <c r="Z27" i="8"/>
  <c r="F10" i="8" l="1"/>
  <c r="T10" i="8" s="1"/>
  <c r="F16" i="8"/>
  <c r="T16" i="8" s="1"/>
  <c r="F15" i="8"/>
  <c r="T15" i="8" s="1"/>
  <c r="F14" i="8"/>
  <c r="T14" i="8" s="1"/>
  <c r="F13" i="8"/>
  <c r="T13" i="8" s="1"/>
  <c r="F12" i="8"/>
  <c r="T12" i="8" s="1"/>
  <c r="F11" i="8"/>
  <c r="T11" i="8" s="1"/>
  <c r="F9" i="8"/>
  <c r="T9" i="8" s="1"/>
  <c r="F8" i="8"/>
  <c r="T8" i="8" s="1"/>
  <c r="F18" i="8"/>
  <c r="T18" i="8" s="1"/>
  <c r="F17" i="8"/>
  <c r="T17" i="8" s="1"/>
  <c r="T6" i="8"/>
  <c r="D4" i="14"/>
  <c r="AH4" i="14" s="1"/>
  <c r="F35" i="8" l="1"/>
  <c r="T35" i="8" s="1"/>
  <c r="T27" i="8"/>
  <c r="F34" i="8"/>
  <c r="T34" i="8" s="1"/>
  <c r="F41" i="8"/>
  <c r="T41" i="8" s="1"/>
  <c r="F33" i="8"/>
  <c r="T33" i="8" s="1"/>
  <c r="F38" i="8"/>
  <c r="T38" i="8" s="1"/>
  <c r="F32" i="8"/>
  <c r="T32" i="8" s="1"/>
  <c r="F36" i="8"/>
  <c r="T36" i="8" s="1"/>
  <c r="F31" i="8"/>
  <c r="T31" i="8" s="1"/>
  <c r="F39" i="8"/>
  <c r="T39" i="8" s="1"/>
  <c r="F30" i="8"/>
  <c r="T30" i="8" s="1"/>
  <c r="F40" i="8"/>
  <c r="T40" i="8" s="1"/>
  <c r="F28" i="8"/>
  <c r="T28" i="8" s="1"/>
  <c r="F37" i="8"/>
  <c r="T37" i="8" s="1"/>
  <c r="F29" i="8"/>
  <c r="T29"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1" authorId="0" shapeId="0" xr:uid="{00000000-0006-0000-0200-000001000000}">
      <text>
        <r>
          <rPr>
            <sz val="11"/>
            <color theme="1"/>
            <rFont val="Calibri"/>
            <family val="2"/>
            <scheme val="minor"/>
          </rPr>
          <t>======
ID#AAAAg0JwH8U
tc={6E6B685B-9247-4426-B02B-57D7DA69F875}    (2022-10-04 12:55:08)
[Threaded comment]
Your version of Excel allows you to read this threaded comment; however, any edits to it will get removed if the file is opened in a newer version of Excel. Learn more: https://go.microsoft.com/fwlink/?linkid=870924
Comment:
    cashless claims for network hospitals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Anuj Parekh</author>
  </authors>
  <commentList>
    <comment ref="I12" authorId="0" shapeId="0" xr:uid="{B224D843-36DE-4740-8911-5BD549857650}">
      <text>
        <r>
          <rPr>
            <b/>
            <sz val="9"/>
            <color indexed="81"/>
            <rFont val="Tahoma"/>
            <family val="2"/>
          </rPr>
          <t xml:space="preserve">HealthySure
Basis 2 - </t>
        </r>
        <r>
          <rPr>
            <sz val="9"/>
            <color indexed="81"/>
            <rFont val="Tahoma"/>
            <family val="2"/>
          </rPr>
          <t xml:space="preserve">GoDigit does have an option to remove the clause of 40% of admissible PA claim 
</t>
        </r>
        <r>
          <rPr>
            <b/>
            <sz val="9"/>
            <color indexed="81"/>
            <rFont val="Tahoma"/>
            <family val="2"/>
          </rPr>
          <t xml:space="preserve">Basis 1 - </t>
        </r>
        <r>
          <rPr>
            <sz val="9"/>
            <color indexed="81"/>
            <rFont val="Tahoma"/>
            <family val="2"/>
          </rPr>
          <t>Even daycare procedures covered but not OPD.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Shalin Bhansali</author>
    <author/>
  </authors>
  <commentList>
    <comment ref="M1" authorId="0" shapeId="0" xr:uid="{87EAD087-4853-4228-B5EE-625604ED6A42}">
      <text>
        <r>
          <rPr>
            <b/>
            <sz val="9"/>
            <color indexed="81"/>
            <rFont val="Tahoma"/>
            <family val="2"/>
          </rPr>
          <t>Shalin Bhansali:</t>
        </r>
        <r>
          <rPr>
            <sz val="9"/>
            <color indexed="81"/>
            <rFont val="Tahoma"/>
            <family val="2"/>
          </rPr>
          <t xml:space="preserve">
% IN DROPDOWN</t>
        </r>
      </text>
    </comment>
    <comment ref="AB1" authorId="0" shapeId="0" xr:uid="{512A19DA-1908-4582-8653-5B3E1FC9726C}">
      <text>
        <r>
          <rPr>
            <b/>
            <sz val="9"/>
            <color indexed="81"/>
            <rFont val="Tahoma"/>
            <family val="2"/>
          </rPr>
          <t>Shalin Bhansali:</t>
        </r>
        <r>
          <rPr>
            <sz val="9"/>
            <color indexed="81"/>
            <rFont val="Tahoma"/>
            <family val="2"/>
          </rPr>
          <t xml:space="preserve">
A/NA</t>
        </r>
      </text>
    </comment>
    <comment ref="AW1" authorId="0" shapeId="0" xr:uid="{F90D9C98-8D35-4F21-8E4B-0815F8B55F5C}">
      <text>
        <r>
          <rPr>
            <b/>
            <sz val="9"/>
            <color indexed="81"/>
            <rFont val="Tahoma"/>
            <family val="2"/>
          </rPr>
          <t>Shalin Bhansali:</t>
        </r>
        <r>
          <rPr>
            <sz val="9"/>
            <color indexed="81"/>
            <rFont val="Tahoma"/>
            <family val="2"/>
          </rPr>
          <t xml:space="preserve">
covered/mot covered, 1L, 50k</t>
        </r>
      </text>
    </comment>
    <comment ref="A26" authorId="1" shapeId="0" xr:uid="{00000000-0006-0000-0100-000001000000}">
      <text>
        <r>
          <rPr>
            <sz val="11"/>
            <color theme="1"/>
            <rFont val="Calibri"/>
            <family val="2"/>
            <scheme val="minor"/>
          </rPr>
          <t>======
ID#AAAAg0JwH98
tc={FCB5D814-546D-49C6-989E-A4CAD1023AB2}    (2022-10-04 12:55:09)
[Threaded comment]
Your version of Excel allows you to read this threaded comment; however, any edits to it will get removed if the file is opened in a newer version of Excel. Learn more: https://go.microsoft.com/fwlink/?linkid=870924
Comment:
    cashless claims for network hospitals only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tc={47D3B9D0-13A7-4E22-A559-BB61EC80CE79}</author>
    <author>Anuj Parekh</author>
  </authors>
  <commentList>
    <comment ref="H7" authorId="0" shapeId="0" xr:uid="{47D3B9D0-13A7-4E22-A559-BB61EC80CE79}">
      <text>
        <t>[Threaded comment]
Your version of Excel allows you to read this threaded comment; however, any edits to it will get removed if the file is opened in a newer version of Excel. Learn more: https://go.microsoft.com/fwlink/?linkid=870924
Comment:
    HealthySure
Basis 2 - GoDigit does have an option to remove the clause of 40% of admissible PA claim 
Basis 1 - Even daycare procedures covered but not OPD.</t>
      </text>
    </comment>
    <comment ref="H14" authorId="1" shapeId="0" xr:uid="{9E0FE508-4DB8-4853-B85D-7E951CDDB59D}">
      <text>
        <r>
          <rPr>
            <b/>
            <sz val="9"/>
            <color indexed="81"/>
            <rFont val="Tahoma"/>
            <family val="2"/>
          </rPr>
          <t xml:space="preserve">HealthySure
Basis 2 - </t>
        </r>
        <r>
          <rPr>
            <sz val="9"/>
            <color indexed="81"/>
            <rFont val="Tahoma"/>
            <family val="2"/>
          </rPr>
          <t xml:space="preserve">GoDigit does have an option to remove the clause of 40% of admissible PA claim 
</t>
        </r>
        <r>
          <rPr>
            <b/>
            <sz val="9"/>
            <color indexed="81"/>
            <rFont val="Tahoma"/>
            <family val="2"/>
          </rPr>
          <t xml:space="preserve">Basis 1 - </t>
        </r>
        <r>
          <rPr>
            <sz val="9"/>
            <color indexed="81"/>
            <rFont val="Tahoma"/>
            <family val="2"/>
          </rPr>
          <t>Even daycare procedures covered but not OPD.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tc={EBD16B01-FE01-4ADD-B319-9E064C58412E}</author>
    <author>tc={19F2B9C6-6D33-4819-8A0B-3024ED15818A}</author>
    <author>tc={18E7847A-1077-47B9-8702-910DE1CE603D}</author>
    <author>tc={3D4ADFC7-81DF-42D9-B860-9CFA6499FAE1}</author>
    <author>tc={83526B8C-C142-41AE-A6D8-4538D320ABDD}</author>
    <author>tc={3BA44DAC-1CF5-4DB8-88B7-B778C1B5A0EC}</author>
    <author>tc={EFC634BE-47C2-428B-AC8E-25009AAA269C}</author>
    <author>tc={1DD8B45F-FDFA-4C68-ABC0-F9BC20647389}</author>
    <author>tc={2721772B-12F4-4BF1-9D4E-9DE99818BDFA}</author>
    <author>tc={D5CA3090-F1F2-4660-9B5E-9AF29733015B}</author>
    <author>tc={A7CC4199-DC68-42EC-AFB9-DAF2715F7494}</author>
    <author>tc={683AB015-FB40-4363-BD67-B8FDB0BA80C0}</author>
    <author/>
  </authors>
  <commentList>
    <comment ref="E2" authorId="0" shapeId="0" xr:uid="{EBD16B01-FE01-4ADD-B319-9E064C58412E}">
      <text>
        <t>[Threaded comment]
Your version of Excel allows you to read this threaded comment; however, any edits to it will get removed if the file is opened in a newer version of Excel. Learn more: https://go.microsoft.com/fwlink/?linkid=870924
Comment:
    From IRDA data</t>
      </text>
    </comment>
    <comment ref="F2" authorId="1" shapeId="0" xr:uid="{19F2B9C6-6D33-4819-8A0B-3024ED15818A}">
      <text>
        <t>[Threaded comment]
Your version of Excel allows you to read this threaded comment; however, any edits to it will get removed if the file is opened in a newer version of Excel. Learn more: https://go.microsoft.com/fwlink/?linkid=870924
Comment:
    From IRDA data</t>
      </text>
    </comment>
    <comment ref="G2" authorId="2" shapeId="0" xr:uid="{18E7847A-1077-47B9-8702-910DE1CE603D}">
      <text>
        <t>[Threaded comment]
Your version of Excel allows you to read this threaded comment; however, any edits to it will get removed if the file is opened in a newer version of Excel. Learn more: https://go.microsoft.com/fwlink/?linkid=870924
Comment:
    NL26</t>
      </text>
    </comment>
    <comment ref="H2" authorId="3" shapeId="0" xr:uid="{3D4ADFC7-81DF-42D9-B860-9CFA6499FAE1}">
      <text>
        <t>[Threaded comment]
Your version of Excel allows you to read this threaded comment; however, any edits to it will get removed if the file is opened in a newer version of Excel. Learn more: https://go.microsoft.com/fwlink/?linkid=870924
Comment:
    From BS KAM Team</t>
      </text>
    </comment>
    <comment ref="I2" authorId="4" shapeId="0" xr:uid="{83526B8C-C142-41AE-A6D8-4538D320ABDD}">
      <text>
        <t xml:space="preserve">[Threaded comment]
Your version of Excel allows you to read this threaded comment; however, any edits to it will get removed if the file is opened in a newer version of Excel. Learn more: https://go.microsoft.com/fwlink/?linkid=870924
Comment:
    From BS KAM Team
</t>
      </text>
    </comment>
    <comment ref="J2" authorId="5" shapeId="0" xr:uid="{3BA44DAC-1CF5-4DB8-88B7-B778C1B5A0EC}">
      <text>
        <t>[Threaded comment]
Your version of Excel allows you to read this threaded comment; however, any edits to it will get removed if the file is opened in a newer version of Excel. Learn more: https://go.microsoft.com/fwlink/?linkid=870924
Comment:
    From respective insurer website (if not available check trustworthy sources like Beshak or Ditto)</t>
      </text>
    </comment>
    <comment ref="L2" authorId="6" shapeId="0" xr:uid="{EFC634BE-47C2-428B-AC8E-25009AAA269C}">
      <text>
        <t>[Threaded comment]
Your version of Excel allows you to read this threaded comment; however, any edits to it will get removed if the file is opened in a newer version of Excel. Learn more: https://go.microsoft.com/fwlink/?linkid=870924
Comment:
    From BS Claims team</t>
      </text>
    </comment>
    <comment ref="M2" authorId="7" shapeId="0" xr:uid="{1DD8B45F-FDFA-4C68-ABC0-F9BC20647389}">
      <text>
        <t>[Threaded comment]
Your version of Excel allows you to read this threaded comment; however, any edits to it will get removed if the file is opened in a newer version of Excel. Learn more: https://go.microsoft.com/fwlink/?linkid=870924
Comment:
    From BS Claims Team</t>
      </text>
    </comment>
    <comment ref="N2" authorId="8" shapeId="0" xr:uid="{2721772B-12F4-4BF1-9D4E-9DE99818BDFA}">
      <text>
        <t>[Threaded comment]
Your version of Excel allows you to read this threaded comment; however, any edits to it will get removed if the file is opened in a newer version of Excel. Learn more: https://go.microsoft.com/fwlink/?linkid=870924
Comment:
    Compute manually from NL39</t>
      </text>
    </comment>
    <comment ref="O2" authorId="9" shapeId="0" xr:uid="{D5CA3090-F1F2-4660-9B5E-9AF29733015B}">
      <text>
        <t>[Threaded comment]
Your version of Excel allows you to read this threaded comment; however, any edits to it will get removed if the file is opened in a newer version of Excel. Learn more: https://go.microsoft.com/fwlink/?linkid=870924
Comment:
    From Placements team</t>
      </text>
    </comment>
    <comment ref="P2" authorId="10" shapeId="0" xr:uid="{A7CC4199-DC68-42EC-AFB9-DAF2715F7494}">
      <text>
        <t>[Threaded comment]
Your version of Excel allows you to read this threaded comment; however, any edits to it will get removed if the file is opened in a newer version of Excel. Learn more: https://go.microsoft.com/fwlink/?linkid=870924
Comment:
    From Placements team</t>
      </text>
    </comment>
    <comment ref="Q2" authorId="11" shapeId="0" xr:uid="{683AB015-FB40-4363-BD67-B8FDB0BA80C0}">
      <text>
        <t>[Threaded comment]
Your version of Excel allows you to read this threaded comment; however, any edits to it will get removed if the file is opened in a newer version of Excel. Learn more: https://go.microsoft.com/fwlink/?linkid=870924
Comment:
    From Placements team</t>
      </text>
    </comment>
    <comment ref="A11" authorId="12" shapeId="0" xr:uid="{F652DDA0-7AE7-4212-805C-00E915AA119A}">
      <text>
        <r>
          <rPr>
            <sz val="11"/>
            <color theme="1"/>
            <rFont val="Calibri"/>
            <family val="2"/>
            <scheme val="minor"/>
          </rPr>
          <t>======
ID#AAAAg0JwH98
tc={FCB5D814-546D-49C6-989E-A4CAD1023AB2}    (2022-10-04 12:55:09)
[Threaded comment]
Your version of Excel allows you to read this threaded comment; however, any edits to it will get removed if the file is opened in a newer version of Excel. Learn more: https://go.microsoft.com/fwlink/?linkid=870924
Comment:
    cashless claims for network hospitals only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00000000-0006-0000-0500-000009000000}">
      <text>
        <r>
          <rPr>
            <sz val="11"/>
            <color theme="1"/>
            <rFont val="Calibri"/>
            <family val="2"/>
            <scheme val="minor"/>
          </rPr>
          <t>======
ID#AAAAg0JwH-k
tc={7A6F6288-FE14-4F3C-8AD1-445E97643572}    (2022-10-04 12:55:09)
[Threaded comment]
Your version of Excel allows you to read this threaded comment; however, any edits to it will get removed if the file is opened in a newer version of Excel. Learn more: https://go.microsoft.com/fwlink/?linkid=870924
Comment:
    Entry age - 65 years
UW - ?
Questions - High</t>
        </r>
      </text>
    </comment>
    <comment ref="C5" authorId="0" shapeId="0" xr:uid="{00000000-0006-0000-0500-000011000000}">
      <text>
        <r>
          <rPr>
            <sz val="11"/>
            <color theme="1"/>
            <rFont val="Calibri"/>
            <family val="2"/>
            <scheme val="minor"/>
          </rPr>
          <t>======
ID#AAAAg0JwH-E
tc={992A933F-E494-410F-84A4-783105CBCCB6}    (2022-10-04 12:55:09)
[Threaded comment]
Your version of Excel allows you to read this threaded comment; however, any edits to it will get removed if the file is opened in a newer version of Excel. Learn more: https://go.microsoft.com/fwlink/?linkid=870924
Comment:
    No entry age limit
UW - moderate
Questions - moderate</t>
        </r>
      </text>
    </comment>
    <comment ref="D5" authorId="0" shapeId="0" xr:uid="{00000000-0006-0000-0500-00001A000000}">
      <text>
        <r>
          <rPr>
            <sz val="11"/>
            <color theme="1"/>
            <rFont val="Calibri"/>
            <family val="2"/>
            <scheme val="minor"/>
          </rPr>
          <t>======
ID#AAAAg0JwH9c
tc={FBCCC352-C7D4-457E-9B44-28F9D5BC49BB}    (2022-10-04 12:55:08)
[Threaded comment]
Your version of Excel allows you to read this threaded comment; however, any edits to it will get removed if the file is opened in a newer version of Excel. Learn more: https://go.microsoft.com/fwlink/?linkid=870924
Comment:
    No entry age limit
UW - Strict
Questions - Moderate</t>
        </r>
      </text>
    </comment>
    <comment ref="E5" authorId="0" shapeId="0" xr:uid="{00000000-0006-0000-0500-00003C000000}">
      <text>
        <r>
          <rPr>
            <sz val="11"/>
            <color theme="1"/>
            <rFont val="Calibri"/>
            <family val="2"/>
            <scheme val="minor"/>
          </rPr>
          <t>======
ID#AAAAg0JwH7Q
tc={43C96726-C682-45CF-B602-C24634E560C8}    (2022-10-04 12:55:08)
[Threaded comment]
Your version of Excel allows you to read this threaded comment; however, any edits to it will get removed if the file is opened in a newer version of Excel. Learn more: https://go.microsoft.com/fwlink/?linkid=870924
Comment:
    Entry Age - No Limit
UW - ?
Questions - ?</t>
        </r>
      </text>
    </comment>
    <comment ref="F5" authorId="0" shapeId="0" xr:uid="{00000000-0006-0000-0500-000017000000}">
      <text>
        <r>
          <rPr>
            <sz val="11"/>
            <color theme="1"/>
            <rFont val="Calibri"/>
            <family val="2"/>
            <scheme val="minor"/>
          </rPr>
          <t>======
ID#AAAAg0JwH9o
tc={22967CB6-B959-4322-80F4-8B0314C58C74}    (2022-10-04 12:55:08)
[Threaded comment]
Your version of Excel allows you to read this threaded comment; however, any edits to it will get removed if the file is opened in a newer version of Excel. Learn more: https://go.microsoft.com/fwlink/?linkid=870924
Comment:
    Entry age - 65 years
UW - Moderate
Questions - Very Limited</t>
        </r>
      </text>
    </comment>
    <comment ref="I5" authorId="0" shapeId="0" xr:uid="{00000000-0006-0000-0500-000028000000}">
      <text>
        <r>
          <rPr>
            <sz val="11"/>
            <color theme="1"/>
            <rFont val="Calibri"/>
            <family val="2"/>
            <scheme val="minor"/>
          </rPr>
          <t>======
ID#AAAAg0JwH8k
tc={1C738632-B561-4320-A3AD-0187A1ECF963}    (2022-10-04 12:55:08)
[Threaded comment]
Your version of Excel allows you to read this threaded comment; however, any edits to it will get removed if the file is opened in a newer version of Excel. Learn more: https://go.microsoft.com/fwlink/?linkid=870924
Comment:
    Entry age - 60 to 75 years</t>
        </r>
      </text>
    </comment>
    <comment ref="J5" authorId="0" shapeId="0" xr:uid="{00000000-0006-0000-0500-000026000000}">
      <text>
        <r>
          <rPr>
            <sz val="11"/>
            <color theme="1"/>
            <rFont val="Calibri"/>
            <family val="2"/>
            <scheme val="minor"/>
          </rPr>
          <t>======
ID#AAAAg0JwH8s
tc={5DBA3DB2-DAEB-4B7D-B841-D8AAFD74C90F}    (2022-10-04 12:55:08)
[Threaded comment]
Your version of Excel allows you to read this threaded comment; however, any edits to it will get removed if the file is opened in a newer version of Excel. Learn more: https://go.microsoft.com/fwlink/?linkid=870924
Comment:
    Entry age - 65 years</t>
        </r>
      </text>
    </comment>
    <comment ref="L5" authorId="0" shapeId="0" xr:uid="{00000000-0006-0000-0500-00001E000000}">
      <text>
        <r>
          <rPr>
            <sz val="11"/>
            <color theme="1"/>
            <rFont val="Calibri"/>
            <family val="2"/>
            <scheme val="minor"/>
          </rPr>
          <t>======
ID#AAAAg0JwH9M
tc={011A8A2C-0A62-4979-904B-4EC04F462DDD}    (2022-10-04 12:55:08)
[Threaded comment]
Your version of Excel allows you to read this threaded comment; however, any edits to it will get removed if the file is opened in a newer version of Excel. Learn more: https://go.microsoft.com/fwlink/?linkid=870924
Comment:
    Upto 45 Years - Max 5 Lac SI
&gt; 45 Years - Max 10 Lac SI
Cancer survivor - accepted
Cancer live - declined</t>
        </r>
      </text>
    </comment>
    <comment ref="R5" authorId="0" shapeId="0" xr:uid="{00000000-0006-0000-0500-00003B000000}">
      <text>
        <r>
          <rPr>
            <sz val="11"/>
            <color theme="1"/>
            <rFont val="Calibri"/>
            <family val="2"/>
            <scheme val="minor"/>
          </rPr>
          <t>======
ID#AAAAg0JwH7U
Lenovo    (2022-10-04 12:55:08)
Entry Age Limit is 70 Years</t>
        </r>
      </text>
    </comment>
    <comment ref="I9" authorId="0" shapeId="0" xr:uid="{00000000-0006-0000-0500-000039000000}">
      <text>
        <r>
          <rPr>
            <sz val="11"/>
            <color theme="1"/>
            <rFont val="Calibri"/>
            <family val="2"/>
            <scheme val="minor"/>
          </rPr>
          <t>======
ID#AAAAg0JwH7c
tc={3015518A-BD98-49A9-A7EE-62DC18C2FB94}    (2022-10-04 12:55:08)
[Threaded comment]
Your version of Excel allows you to read this threaded comment; however, any edits to it will get removed if the file is opened in a newer version of Excel. Learn more: https://go.microsoft.com/fwlink/?linkid=870924
Comment:
    Rs. 5K for 5L and Rs. 6K for 10L</t>
        </r>
      </text>
    </comment>
    <comment ref="K9" authorId="0" shapeId="0" xr:uid="{00000000-0006-0000-0500-00003D000000}">
      <text>
        <r>
          <rPr>
            <sz val="11"/>
            <color theme="1"/>
            <rFont val="Calibri"/>
            <family val="2"/>
            <scheme val="minor"/>
          </rPr>
          <t>======
ID#AAAAg0JwH7M
tc={760467CC-F8F9-40A0-A24D-140AEFAC4FF2}    (2022-10-04 12:55:08)
[Threaded comment]
Your version of Excel allows you to read this threaded comment; however, any edits to it will get removed if the file is opened in a newer version of Excel. Learn more: https://go.microsoft.com/fwlink/?linkid=870924
Comment:
    Option to chose type of room to reduce premium</t>
        </r>
      </text>
    </comment>
    <comment ref="L9" authorId="0" shapeId="0" xr:uid="{00000000-0006-0000-0500-00000A000000}">
      <text>
        <r>
          <rPr>
            <sz val="11"/>
            <color theme="1"/>
            <rFont val="Calibri"/>
            <family val="2"/>
            <scheme val="minor"/>
          </rPr>
          <t>======
ID#AAAAg0JwH-g
tc={E8335BEB-F9B6-409A-AEA8-49750FFEF902}    (2022-10-04 12:55:09)
[Threaded comment]
Your version of Excel allows you to read this threaded comment; however, any edits to it will get removed if the file is opened in a newer version of Excel. Learn more: https://go.microsoft.com/fwlink/?linkid=870924
Comment:
    Twin sharing for 5L and Single Private AC for 10L</t>
        </r>
      </text>
    </comment>
    <comment ref="E10" authorId="0" shapeId="0" xr:uid="{00000000-0006-0000-0500-000012000000}">
      <text>
        <r>
          <rPr>
            <sz val="11"/>
            <color theme="1"/>
            <rFont val="Calibri"/>
            <family val="2"/>
            <scheme val="minor"/>
          </rPr>
          <t>======
ID#AAAAg0JwH-A
Anuj Parekh    (2022-10-04 12:55:09)
Above 65 years – mandatory 20% copay  -Pay extra to remove co-pay</t>
        </r>
      </text>
    </comment>
    <comment ref="F10" authorId="0" shapeId="0" xr:uid="{00000000-0006-0000-0500-000033000000}">
      <text>
        <r>
          <rPr>
            <sz val="11"/>
            <color theme="1"/>
            <rFont val="Calibri"/>
            <family val="2"/>
            <scheme val="minor"/>
          </rPr>
          <t>======
ID#AAAAg0JwH70
Anuj Parekh    (2022-10-04 12:55:08)
0% Co-pay if entry age&lt;60 years 
10% Co-pay if entry age after 61 years
Max entry age - 65</t>
        </r>
      </text>
    </comment>
    <comment ref="I10" authorId="0" shapeId="0" xr:uid="{00000000-0006-0000-0500-000001000000}">
      <text>
        <r>
          <rPr>
            <sz val="11"/>
            <color theme="1"/>
            <rFont val="Calibri"/>
            <family val="2"/>
            <scheme val="minor"/>
          </rPr>
          <t>======
ID#AAAAg0JwH_E
tc={2B1F5AB3-3548-4C98-A40F-1EEB8D060EA9}    (2022-10-04 12:55:09)
[Threaded comment]
Your version of Excel allows you to read this threaded comment; however, any edits to it will get removed if the file is opened in a newer version of Excel. Learn more: https://go.microsoft.com/fwlink/?linkid=870924
Comment:
    Co-pay – 30% for claims if Non-PED | 50% for claims if PED 
30% co-pay &gt;15 lacs if PED
Certain disease sub-limits</t>
        </r>
      </text>
    </comment>
    <comment ref="J10" authorId="0" shapeId="0" xr:uid="{00000000-0006-0000-0500-000031000000}">
      <text>
        <r>
          <rPr>
            <sz val="11"/>
            <color theme="1"/>
            <rFont val="Calibri"/>
            <family val="2"/>
            <scheme val="minor"/>
          </rPr>
          <t>======
ID#AAAAg0JwH8A
Anuj Parekh    (2022-10-04 12:55:08)
10% co-pay if entry age &gt; 61 years</t>
        </r>
      </text>
    </comment>
    <comment ref="I11" authorId="0" shapeId="0" xr:uid="{00000000-0006-0000-0500-000022000000}">
      <text>
        <r>
          <rPr>
            <sz val="11"/>
            <color theme="1"/>
            <rFont val="Calibri"/>
            <family val="2"/>
            <scheme val="minor"/>
          </rPr>
          <t>======
ID#AAAAg0JwH88
tc={D3090052-D0D0-4812-92E6-6F506B600DE0}    (2022-10-04 12:55:08)
[Threaded comment]
Your version of Excel allows you to read this threaded comment; however, any edits to it will get removed if the file is opened in a newer version of Excel. Learn more: https://go.microsoft.com/fwlink/?linkid=870924
Comment:
    Disease capping on cataract - 30K and modern treatments</t>
        </r>
      </text>
    </comment>
    <comment ref="J11" authorId="0" shapeId="0" xr:uid="{00000000-0006-0000-0500-00001F000000}">
      <text>
        <r>
          <rPr>
            <sz val="11"/>
            <color theme="1"/>
            <rFont val="Calibri"/>
            <family val="2"/>
            <scheme val="minor"/>
          </rPr>
          <t>======
ID#AAAAg0JwH9E
tc={B3176492-700E-4843-9EE8-5BF11CB58EC7}    (2022-10-04 12:55:08)
[Threaded comment]
Your version of Excel allows you to read this threaded comment; however, any edits to it will get removed if the file is opened in a newer version of Excel. Learn more: https://go.microsoft.com/fwlink/?linkid=870924
Comment:
    Disease capping on cataract - 30K and modern treatments</t>
        </r>
      </text>
    </comment>
    <comment ref="L11" authorId="0" shapeId="0" xr:uid="{00000000-0006-0000-0500-000014000000}">
      <text>
        <r>
          <rPr>
            <sz val="11"/>
            <color theme="1"/>
            <rFont val="Calibri"/>
            <family val="2"/>
            <scheme val="minor"/>
          </rPr>
          <t>======
ID#AAAAg0JwH90
tc={F8392FC9-BD3B-4B3C-B364-F2F5DC734F1B}    (2022-10-04 12:55:09)
[Threaded comment]
Your version of Excel allows you to read this threaded comment; however, any edits to it will get removed if the file is opened in a newer version of Excel. Learn more: https://go.microsoft.com/fwlink/?linkid=870924
Comment:
    Disease capping on cataract - 30K and modern treatments
Cataract - Rs. 30,000
Total Knee Replacement - Rs, 100,000
Few Ailments - Rs. 65,000
Other Ailments - Rs. 250,000</t>
        </r>
      </text>
    </comment>
    <comment ref="P11" authorId="0" shapeId="0" xr:uid="{00000000-0006-0000-0500-000007000000}">
      <text>
        <r>
          <rPr>
            <sz val="11"/>
            <color theme="1"/>
            <rFont val="Calibri"/>
            <family val="2"/>
            <scheme val="minor"/>
          </rPr>
          <t>======
ID#AAAAg0JwH-s
tc={270FA8C9-FA5A-4C6A-AE81-092642179D6F}    (2022-10-04 12:55:09)
[Threaded comment]
Your version of Excel allows you to read this threaded comment; however, any edits to it will get removed if the file is opened in a newer version of Excel. Learn more: https://go.microsoft.com/fwlink/?linkid=870924
Comment:
    Knee replacement - 1L/1.2L per knee
Hernia/Hysterectomy/Surgeries for Benign Prostate Hypertrophy/Surgical treatment of stones of renal system - 65K/80K
Treatment of Cerebrovascular
 disordersTreatments/Surgeries for
 Cancer/Treatment of other renal complications and Disorders/Treatment for breakage of bones - 2.5L/3L</t>
        </r>
      </text>
    </comment>
    <comment ref="I13" authorId="0" shapeId="0" xr:uid="{00000000-0006-0000-0500-000006000000}">
      <text>
        <r>
          <rPr>
            <sz val="11"/>
            <color theme="1"/>
            <rFont val="Calibri"/>
            <family val="2"/>
            <scheme val="minor"/>
          </rPr>
          <t>======
ID#AAAAg0JwH-w
tc={A6D85EC3-3D35-4738-B97C-9ABEBB055C09}    (2022-10-04 12:55:09)
[Threaded comment]
Your version of Excel allows you to read this threaded comment; however, any edits to it will get removed if the file is opened in a newer version of Excel. Learn more: https://go.microsoft.com/fwlink/?linkid=870924
Comment:
    Rs. 5K for 5L and Rs. 7K for 10L</t>
        </r>
      </text>
    </comment>
    <comment ref="F14" authorId="0" shapeId="0" xr:uid="{00000000-0006-0000-0500-000020000000}">
      <text>
        <r>
          <rPr>
            <sz val="11"/>
            <color theme="1"/>
            <rFont val="Calibri"/>
            <family val="2"/>
            <scheme val="minor"/>
          </rPr>
          <t>======
ID#AAAAg0JwH9I
Anuj Parekh    (2022-10-04 12:55:08)
Additional premium for buyback by 24 mos</t>
        </r>
      </text>
    </comment>
    <comment ref="L14" authorId="0" shapeId="0" xr:uid="{00000000-0006-0000-0500-000029000000}">
      <text>
        <r>
          <rPr>
            <sz val="11"/>
            <color theme="1"/>
            <rFont val="Calibri"/>
            <family val="2"/>
            <scheme val="minor"/>
          </rPr>
          <t>======
ID#AAAAg0JwH8g
tc={3367EB6A-484D-4CF7-84B3-A771C483C9C6}    (2022-10-04 12:55:08)
[Threaded comment]
Your version of Excel allows you to read this threaded comment; however, any edits to it will get removed if the file is opened in a newer version of Excel. Learn more: https://go.microsoft.com/fwlink/?linkid=870924
Comment:
    May add higher waiting period post UW</t>
        </r>
      </text>
    </comment>
    <comment ref="P14" authorId="0" shapeId="0" xr:uid="{00000000-0006-0000-0500-000016000000}">
      <text>
        <r>
          <rPr>
            <sz val="11"/>
            <color theme="1"/>
            <rFont val="Calibri"/>
            <family val="2"/>
            <scheme val="minor"/>
          </rPr>
          <t>======
ID#AAAAg0JwH9s
tc={0337497D-954C-4698-96E7-868683BA32C6}    (2022-10-04 12:55:08)
[Threaded comment]
Your version of Excel allows you to read this threaded comment; however, any edits to it will get removed if the file is opened in a newer version of Excel. Learn more: https://go.microsoft.com/fwlink/?linkid=870924
Comment:
    May add higher waiting period post UW</t>
        </r>
      </text>
    </comment>
    <comment ref="F18" authorId="0" shapeId="0" xr:uid="{00000000-0006-0000-0500-00002F000000}">
      <text>
        <r>
          <rPr>
            <sz val="11"/>
            <color theme="1"/>
            <rFont val="Calibri"/>
            <family val="2"/>
            <scheme val="minor"/>
          </rPr>
          <t>======
ID#AAAAg0JwH8E
Anuj Parekh    (2022-10-04 12:55:08)
50% for SI upto 5 lacs
100% for SI above 5 lacs</t>
        </r>
      </text>
    </comment>
    <comment ref="G18" authorId="0" shapeId="0" xr:uid="{00000000-0006-0000-0500-000004000000}">
      <text>
        <r>
          <rPr>
            <sz val="11"/>
            <color theme="1"/>
            <rFont val="Calibri"/>
            <family val="2"/>
            <scheme val="minor"/>
          </rPr>
          <t>======
ID#AAAAg0JwH-4
tc={B545718F-1B8F-418F-9072-771139D19DCC}    (2022-10-04 12:55:09)
[Threaded comment]
Your version of Excel allows you to read this threaded comment; however, any edits to it will get removed if the file is opened in a newer version of Excel. Learn more: https://go.microsoft.com/fwlink/?linkid=870924
Comment:
    Irrespective of claims</t>
        </r>
      </text>
    </comment>
    <comment ref="B20" authorId="0" shapeId="0" xr:uid="{00000000-0006-0000-0500-00002B000000}">
      <text>
        <r>
          <rPr>
            <sz val="11"/>
            <color theme="1"/>
            <rFont val="Calibri"/>
            <family val="2"/>
            <scheme val="minor"/>
          </rPr>
          <t>======
ID#AAAAg0JwH8Y
tc={AE9A0E63-C452-43A9-9DB4-75B423E24652}    (2022-10-04 12:55:08)
[Threaded comment]
Your version of Excel allows you to read this threaded comment; however, any edits to it will get removed if the file is opened in a newer version of Excel. Learn more: https://go.microsoft.com/fwlink/?linkid=870924
Comment:
    Above 45 years</t>
        </r>
      </text>
    </comment>
    <comment ref="C20" authorId="0" shapeId="0" xr:uid="{00000000-0006-0000-0500-000015000000}">
      <text>
        <r>
          <rPr>
            <sz val="11"/>
            <color theme="1"/>
            <rFont val="Calibri"/>
            <family val="2"/>
            <scheme val="minor"/>
          </rPr>
          <t>======
ID#AAAAg0JwH9w
tc={ABFD63C1-8C58-4BC4-962F-859EA3A8FD3B}    (2022-10-04 12:55:08)
[Threaded comment]
Your version of Excel allows you to read this threaded comment; however, any edits to it will get removed if the file is opened in a newer version of Excel. Learn more: https://go.microsoft.com/fwlink/?linkid=870924
Comment:
    Above 60 years
(No PPMC if no PED)</t>
        </r>
      </text>
    </comment>
    <comment ref="D20" authorId="0" shapeId="0" xr:uid="{00000000-0006-0000-0500-000027000000}">
      <text>
        <r>
          <rPr>
            <sz val="11"/>
            <color theme="1"/>
            <rFont val="Calibri"/>
            <family val="2"/>
            <scheme val="minor"/>
          </rPr>
          <t>======
ID#AAAAg0JwH8o
tc={99AB77CA-9608-4ACE-9233-D254748932D4}    (2022-10-04 12:55:08)
[Threaded comment]
Your version of Excel allows you to read this threaded comment; however, any edits to it will get removed if the file is opened in a newer version of Excel. Learn more: https://go.microsoft.com/fwlink/?linkid=870924
Comment:
    Above 65 years</t>
        </r>
      </text>
    </comment>
    <comment ref="E20" authorId="0" shapeId="0" xr:uid="{00000000-0006-0000-0500-00001D000000}">
      <text>
        <r>
          <rPr>
            <sz val="11"/>
            <color theme="1"/>
            <rFont val="Calibri"/>
            <family val="2"/>
            <scheme val="minor"/>
          </rPr>
          <t>======
ID#AAAAg0JwH9Q
tc={88CF58AD-8B5A-4F62-85CE-F877CBF430C5}    (2022-10-04 12:55:08)
[Threaded comment]
Your version of Excel allows you to read this threaded comment; however, any edits to it will get removed if the file is opened in a newer version of Excel. Learn more: https://go.microsoft.com/fwlink/?linkid=870924
Comment:
    Above 55 Years</t>
        </r>
      </text>
    </comment>
    <comment ref="F20" authorId="0" shapeId="0" xr:uid="{00000000-0006-0000-0500-000034000000}">
      <text>
        <r>
          <rPr>
            <sz val="11"/>
            <color theme="1"/>
            <rFont val="Calibri"/>
            <family val="2"/>
            <scheme val="minor"/>
          </rPr>
          <t>======
ID#AAAAg0JwH7w
tc={224504DD-E97A-4D9F-8360-3E00F20E8E36}    (2022-10-04 12:55:08)
[Threaded comment]
Your version of Excel allows you to read this threaded comment; however, any edits to it will get removed if the file is opened in a newer version of Excel. Learn more: https://go.microsoft.com/fwlink/?linkid=870924
Comment:
    No PPMC | No loading</t>
        </r>
      </text>
    </comment>
    <comment ref="G20" authorId="0" shapeId="0" xr:uid="{00000000-0006-0000-0500-000038000000}">
      <text>
        <r>
          <rPr>
            <sz val="11"/>
            <color theme="1"/>
            <rFont val="Calibri"/>
            <family val="2"/>
            <scheme val="minor"/>
          </rPr>
          <t>======
ID#AAAAg0JwH7g
tc={74EEC502-69F5-42AE-B6B5-1DCECE71AE0E}    (2022-10-04 12:55:08)
[Threaded comment]
Your version of Excel allows you to read this threaded comment; however, any edits to it will get removed if the file is opened in a newer version of Excel. Learn more: https://go.microsoft.com/fwlink/?linkid=870924
Comment:
    Need to find the min age</t>
        </r>
      </text>
    </comment>
    <comment ref="I20" authorId="0" shapeId="0" xr:uid="{00000000-0006-0000-0500-000025000000}">
      <text>
        <r>
          <rPr>
            <sz val="11"/>
            <color theme="1"/>
            <rFont val="Calibri"/>
            <family val="2"/>
            <scheme val="minor"/>
          </rPr>
          <t>======
ID#AAAAg0JwH8w
tc={985B3DC1-7311-4F93-8833-284D610FEC05}    (2022-10-04 12:55:08)
[Threaded comment]
Your version of Excel allows you to read this threaded comment; however, any edits to it will get removed if the file is opened in a newer version of Excel. Learn more: https://go.microsoft.com/fwlink/?linkid=870924
Comment:
    No PPMC but Discount if PPMC | no loading</t>
        </r>
      </text>
    </comment>
    <comment ref="L20" authorId="0" shapeId="0" xr:uid="{00000000-0006-0000-0500-000008000000}">
      <text>
        <r>
          <rPr>
            <sz val="11"/>
            <color theme="1"/>
            <rFont val="Calibri"/>
            <family val="2"/>
            <scheme val="minor"/>
          </rPr>
          <t>======
ID#AAAAg0JwH-o
tc={439564A0-B007-4FFE-B315-95202A7D4243}    (2022-10-04 12:55:09)
[Threaded comment]
Your version of Excel allows you to read this threaded comment; however, any edits to it will get removed if the file is opened in a newer version of Excel. Learn more: https://go.microsoft.com/fwlink/?linkid=870924
Comment:
    Above 45 Years</t>
        </r>
      </text>
    </comment>
    <comment ref="N20" authorId="0" shapeId="0" xr:uid="{00000000-0006-0000-0500-00000B000000}">
      <text>
        <r>
          <rPr>
            <sz val="11"/>
            <color theme="1"/>
            <rFont val="Calibri"/>
            <family val="2"/>
            <scheme val="minor"/>
          </rPr>
          <t>======
ID#AAAAg0JwH-c
tc={00508573-0BF7-45C2-83C9-19B3C74830C1}    (2022-10-04 12:55:09)
[Threaded comment]
Your version of Excel allows you to read this threaded comment; however, any edits to it will get removed if the file is opened in a newer version of Excel. Learn more: https://go.microsoft.com/fwlink/?linkid=870924
Comment:
    Above 45 Years</t>
        </r>
      </text>
    </comment>
    <comment ref="O20" authorId="0" shapeId="0" xr:uid="{00000000-0006-0000-0500-000021000000}">
      <text>
        <r>
          <rPr>
            <sz val="11"/>
            <color theme="1"/>
            <rFont val="Calibri"/>
            <family val="2"/>
            <scheme val="minor"/>
          </rPr>
          <t>======
ID#AAAAg0JwH9A
tc={CC50443D-3867-43E8-9EFC-0A297D929B77}    (2022-10-04 12:55:08)
[Threaded comment]
Your version of Excel allows you to read this threaded comment; however, any edits to it will get removed if the file is opened in a newer version of Excel. Learn more: https://go.microsoft.com/fwlink/?linkid=870924
Comment:
    Above 45 Years</t>
        </r>
      </text>
    </comment>
    <comment ref="B21" authorId="0" shapeId="0" xr:uid="{00000000-0006-0000-0500-000005000000}">
      <text>
        <r>
          <rPr>
            <sz val="11"/>
            <color theme="1"/>
            <rFont val="Calibri"/>
            <family val="2"/>
            <scheme val="minor"/>
          </rPr>
          <t>======
ID#AAAAg0JwH-0
tc={2B0CD857-3981-4867-9C4C-52B3B40A41AF}    (2022-10-04 12:55:09)
[Threaded comment]
Your version of Excel allows you to read this threaded comment; however, any edits to it will get removed if the file is opened in a newer version of Excel. Learn more: https://go.microsoft.com/fwlink/?linkid=870924
Comment:
    Different rates and geographical co-pay</t>
        </r>
      </text>
    </comment>
    <comment ref="C21" authorId="0" shapeId="0" xr:uid="{00000000-0006-0000-0500-000032000000}">
      <text>
        <r>
          <rPr>
            <sz val="11"/>
            <color theme="1"/>
            <rFont val="Calibri"/>
            <family val="2"/>
            <scheme val="minor"/>
          </rPr>
          <t>======
ID#AAAAg0JwH74
tc={659F46D6-083A-461C-B706-32B18FF78AD1}    (2022-10-04 12:55:08)
[Threaded comment]
Your version of Excel allows you to read this threaded comment; however, any edits to it will get removed if the file is opened in a newer version of Excel. Learn more: https://go.microsoft.com/fwlink/?linkid=870924
Comment:
    Different rates but no geographical co-pay</t>
        </r>
      </text>
    </comment>
    <comment ref="D21" authorId="0" shapeId="0" xr:uid="{00000000-0006-0000-0500-000023000000}">
      <text>
        <r>
          <rPr>
            <sz val="11"/>
            <color theme="1"/>
            <rFont val="Calibri"/>
            <family val="2"/>
            <scheme val="minor"/>
          </rPr>
          <t>======
ID#AAAAg0JwH84
tc={D01CE112-7693-4453-B568-72F4D4B59F65}    (2022-10-04 12:55:08)
[Threaded comment]
Your version of Excel allows you to read this threaded comment; however, any edits to it will get removed if the file is opened in a newer version of Excel. Learn more: https://go.microsoft.com/fwlink/?linkid=870924
Comment:
    Same rates and no geographical co-pay</t>
        </r>
      </text>
    </comment>
    <comment ref="E21" authorId="0" shapeId="0" xr:uid="{00000000-0006-0000-0500-000037000000}">
      <text>
        <r>
          <rPr>
            <sz val="11"/>
            <color theme="1"/>
            <rFont val="Calibri"/>
            <family val="2"/>
            <scheme val="minor"/>
          </rPr>
          <t>======
ID#AAAAg0JwH7k
tc={D6A8326F-6E0D-48BB-BCA4-6EA67CAEE598}    (2022-10-04 12:55:08)
[Threaded comment]
Your version of Excel allows you to read this threaded comment; however, any edits to it will get removed if the file is opened in a newer version of Excel. Learn more: https://go.microsoft.com/fwlink/?linkid=870924
Comment:
    Different rates and geographical co-pay</t>
        </r>
      </text>
    </comment>
    <comment ref="F21" authorId="0" shapeId="0" xr:uid="{00000000-0006-0000-0500-000003000000}">
      <text>
        <r>
          <rPr>
            <sz val="11"/>
            <color theme="1"/>
            <rFont val="Calibri"/>
            <family val="2"/>
            <scheme val="minor"/>
          </rPr>
          <t>======
ID#AAAAg0JwH-8
tc={75AC69AC-48CF-49C9-BF0C-80EE4D8DD47D}    (2022-10-04 12:55:09)
[Threaded comment]
Your version of Excel allows you to read this threaded comment; however, any edits to it will get removed if the file is opened in a newer version of Excel. Learn more: https://go.microsoft.com/fwlink/?linkid=870924
Comment:
    same rates but no geographical co-pay</t>
        </r>
      </text>
    </comment>
    <comment ref="G21" authorId="0" shapeId="0" xr:uid="{00000000-0006-0000-0500-00001C000000}">
      <text>
        <r>
          <rPr>
            <sz val="11"/>
            <color theme="1"/>
            <rFont val="Calibri"/>
            <family val="2"/>
            <scheme val="minor"/>
          </rPr>
          <t>======
ID#AAAAg0JwH9U
tc={39CA4350-966F-4CA9-BA69-9665856F7A74}    (2022-10-04 12:55:08)
[Threaded comment]
Your version of Excel allows you to read this threaded comment; however, any edits to it will get removed if the file is opened in a newer version of Excel. Learn more: https://go.microsoft.com/fwlink/?linkid=870924
Comment:
    Different rates but no geographical co-pay</t>
        </r>
      </text>
    </comment>
    <comment ref="I21" authorId="0" shapeId="0" xr:uid="{00000000-0006-0000-0500-00002A000000}">
      <text>
        <r>
          <rPr>
            <sz val="11"/>
            <color theme="1"/>
            <rFont val="Calibri"/>
            <family val="2"/>
            <scheme val="minor"/>
          </rPr>
          <t>======
ID#AAAAg0JwH8c
tc={64643216-F3D8-4475-8065-4C83C036BB2F}    (2022-10-04 12:55:08)
[Threaded comment]
Your version of Excel allows you to read this threaded comment; however, any edits to it will get removed if the file is opened in a newer version of Excel. Learn more: https://go.microsoft.com/fwlink/?linkid=870924
Comment:
    same rates but no geographical co-pay</t>
        </r>
      </text>
    </comment>
    <comment ref="J21" authorId="0" shapeId="0" xr:uid="{00000000-0006-0000-0500-000010000000}">
      <text>
        <r>
          <rPr>
            <sz val="11"/>
            <color theme="1"/>
            <rFont val="Calibri"/>
            <family val="2"/>
            <scheme val="minor"/>
          </rPr>
          <t>======
ID#AAAAg0JwH-I
tc={28BA71E1-57FA-42D2-AA27-526677E8EE59}    (2022-10-04 12:55:09)
[Threaded comment]
Your version of Excel allows you to read this threaded comment; however, any edits to it will get removed if the file is opened in a newer version of Excel. Learn more: https://go.microsoft.com/fwlink/?linkid=870924
Comment:
    same rates but no geographical co-pay</t>
        </r>
      </text>
    </comment>
    <comment ref="I22" authorId="0" shapeId="0" xr:uid="{00000000-0006-0000-0500-00003E000000}">
      <text>
        <r>
          <rPr>
            <sz val="11"/>
            <color theme="1"/>
            <rFont val="Calibri"/>
            <family val="2"/>
            <scheme val="minor"/>
          </rPr>
          <t>======
ID#AAAAg0JwH7I
tc={0FBC5EFD-9C05-4892-9B14-E04659BFB2BF}    (2022-10-04 12:55:08)
[Threaded comment]
Your version of Excel allows you to read this threaded comment; however, any edits to it will get removed if the file is opened in a newer version of Excel. Learn more: https://go.microsoft.com/fwlink/?linkid=870924
Comment:
    Constant Premium based on SI</t>
        </r>
      </text>
    </comment>
    <comment ref="D26" authorId="0" shapeId="0" xr:uid="{00000000-0006-0000-0500-000035000000}">
      <text>
        <r>
          <rPr>
            <sz val="11"/>
            <color theme="1"/>
            <rFont val="Calibri"/>
            <family val="2"/>
            <scheme val="minor"/>
          </rPr>
          <t>======
ID#AAAAg0JwH7s
tc={74070312-A764-451B-8A55-88D936FE88C9}    (2022-10-04 12:55:08)
[Threaded comment]
Your version of Excel allows you to read this threaded comment; however, any edits to it will get removed if the file is opened in a newer version of Excel. Learn more: https://go.microsoft.com/fwlink/?linkid=870924
Comment:
    Will have to be calculated manually</t>
        </r>
      </text>
    </comment>
    <comment ref="D27" authorId="0" shapeId="0" xr:uid="{00000000-0006-0000-0500-000036000000}">
      <text>
        <r>
          <rPr>
            <sz val="11"/>
            <color theme="1"/>
            <rFont val="Calibri"/>
            <family val="2"/>
            <scheme val="minor"/>
          </rPr>
          <t>======
ID#AAAAg0JwH7o
tc={84F108AF-A389-4446-8E12-0D1E2AB76D43}    (2022-10-04 12:55:08)
[Threaded comment]
Your version of Excel allows you to read this threaded comment; however, any edits to it will get removed if the file is opened in a newer version of Excel. Learn more: https://go.microsoft.com/fwlink/?linkid=870924
Comment:
    Non-medical consumables can be covered</t>
        </r>
      </text>
    </comment>
    <comment ref="D28" authorId="0" shapeId="0" xr:uid="{00000000-0006-0000-0500-000019000000}">
      <text>
        <r>
          <rPr>
            <sz val="11"/>
            <color theme="1"/>
            <rFont val="Calibri"/>
            <family val="2"/>
            <scheme val="minor"/>
          </rPr>
          <t>======
ID#AAAAg0JwH9g
tc={3288E857-E3CC-4D6E-A63B-F5D7F324B4AF}    (2022-10-04 12:55:08)
[Threaded comment]
Your version of Excel allows you to read this threaded comment; however, any edits to it will get removed if the file is opened in a newer version of Excel. Learn more: https://go.microsoft.com/fwlink/?linkid=870924
Comment:
    SI will be increased at renewal
on the basis of inflation rate of previous year</t>
        </r>
      </text>
    </comment>
    <comment ref="C29" authorId="0" shapeId="0" xr:uid="{00000000-0006-0000-0500-000002000000}">
      <text>
        <r>
          <rPr>
            <sz val="11"/>
            <color theme="1"/>
            <rFont val="Calibri"/>
            <family val="2"/>
            <scheme val="minor"/>
          </rPr>
          <t>======
ID#AAAAg0JwH_A
tc={988B84B9-8640-47E3-9B5D-9B5D937A69A8}    (2022-10-04 12:55:09)
[Threaded comment]
Your version of Excel allows you to read this threaded comment; however, any edits to it will get removed if the file is opened in a newer version of Excel. Learn more: https://go.microsoft.com/fwlink/?linkid=870924
Comment:
    Daily cash of Rs. 2000/day for upto 30 days provided min. 48 hours of hospitalization</t>
        </r>
      </text>
    </comment>
    <comment ref="D29" authorId="0" shapeId="0" xr:uid="{00000000-0006-0000-0500-00001B000000}">
      <text>
        <r>
          <rPr>
            <sz val="11"/>
            <color theme="1"/>
            <rFont val="Calibri"/>
            <family val="2"/>
            <scheme val="minor"/>
          </rPr>
          <t>======
ID#AAAAg0JwH9Y
tc={D17C7A9D-F0BC-421D-BFA5-1D429AE00755}    (2022-10-04 12:55:08)
[Threaded comment]
Your version of Excel allows you to read this threaded comment; however, any edits to it will get removed if the file is opened in a newer version of Excel. Learn more: https://go.microsoft.com/fwlink/?linkid=870924
Comment:
    A certain amount will be paid for
each and every completed day of hospitalisation, if such hospitalisation is atleast for a minimum
of 3 consecutive days and subject to maximum of 10 consecutive days.</t>
        </r>
      </text>
    </comment>
    <comment ref="G29" authorId="0" shapeId="0" xr:uid="{00000000-0006-0000-0500-00003A000000}">
      <text>
        <r>
          <rPr>
            <sz val="11"/>
            <color theme="1"/>
            <rFont val="Calibri"/>
            <family val="2"/>
            <scheme val="minor"/>
          </rPr>
          <t>======
ID#AAAAg0JwH7Y
tc={A60A6038-2996-4D26-9EB6-3330BBD392AE}    (2022-10-04 12:55:08)
[Threaded comment]
Your version of Excel allows you to read this threaded comment; however, any edits to it will get removed if the file is opened in a newer version of Excel. Learn more: https://go.microsoft.com/fwlink/?linkid=870924
Comment:
    Rs. 500 to 10000 per day</t>
        </r>
      </text>
    </comment>
    <comment ref="K29" authorId="0" shapeId="0" xr:uid="{00000000-0006-0000-0500-00000D000000}">
      <text>
        <r>
          <rPr>
            <sz val="11"/>
            <color theme="1"/>
            <rFont val="Calibri"/>
            <family val="2"/>
            <scheme val="minor"/>
          </rPr>
          <t>======
ID#AAAAg0JwH-U
tc={0277478D-8549-4304-B9E8-22EE55F64BB6}    (2022-10-04 12:55:09)
[Threaded comment]
Your version of Excel allows you to read this threaded comment; however, any edits to it will get removed if the file is opened in a newer version of Excel. Learn more: https://go.microsoft.com/fwlink/?linkid=870924
Comment:
    Rs. 500 to 5000 per day</t>
        </r>
      </text>
    </comment>
    <comment ref="Q29" authorId="0" shapeId="0" xr:uid="{00000000-0006-0000-0500-000024000000}">
      <text>
        <r>
          <rPr>
            <sz val="11"/>
            <color theme="1"/>
            <rFont val="Calibri"/>
            <family val="2"/>
            <scheme val="minor"/>
          </rPr>
          <t>======
ID#AAAAg0JwH80
tc={83C84C92-EB29-4149-9083-072AB2544466}    (2022-10-04 12:55:08)
[Threaded comment]
Your version of Excel allows you to read this threaded comment; however, any edits to it will get removed if the file is opened in a newer version of Excel. Learn more: https://go.microsoft.com/fwlink/?linkid=870924
Comment:
    Daily cash of Rs. 2000/day for upto 30 days provided min. 48 hours of hospitalization</t>
        </r>
      </text>
    </comment>
    <comment ref="R29" authorId="0" shapeId="0" xr:uid="{00000000-0006-0000-0500-000030000000}">
      <text>
        <r>
          <rPr>
            <sz val="11"/>
            <color theme="1"/>
            <rFont val="Calibri"/>
            <family val="2"/>
            <scheme val="minor"/>
          </rPr>
          <t>======
ID#AAAAg0JwH78
tc={1EB0A61A-5487-411E-A868-53024669C96E}    (2022-10-04 12:55:08)
[Threaded comment]
Your version of Excel allows you to read this threaded comment; however, any edits to it will get removed if the file is opened in a newer version of Excel. Learn more: https://go.microsoft.com/fwlink/?linkid=870924
Comment:
    Daily cash of Rs. 2000/day for upto 30 days provided min. 48 hours of hospitalization</t>
        </r>
      </text>
    </comment>
    <comment ref="D30" authorId="0" shapeId="0" xr:uid="{00000000-0006-0000-0500-000018000000}">
      <text>
        <r>
          <rPr>
            <sz val="11"/>
            <color theme="1"/>
            <rFont val="Calibri"/>
            <family val="2"/>
            <scheme val="minor"/>
          </rPr>
          <t>======
ID#AAAAg0JwH9k
tc={5CD58B3D-3CB7-405D-8BEA-75F30EEE96EB}    (2022-10-04 12:55:08)
[Threaded comment]
Your version of Excel allows you to read this threaded comment; however, any edits to it will get removed if the file is opened in a newer version of Excel. Learn more: https://go.microsoft.com/fwlink/?linkid=870924
Comment:
    10% co-pay - Not a good substitute to travel plan since reimbursement basis only - 45 days per trip upto 90 days for the whole day</t>
        </r>
      </text>
    </comment>
    <comment ref="D31" authorId="0" shapeId="0" xr:uid="{00000000-0006-0000-0500-00002C000000}">
      <text>
        <r>
          <rPr>
            <sz val="11"/>
            <color theme="1"/>
            <rFont val="Calibri"/>
            <family val="2"/>
            <scheme val="minor"/>
          </rPr>
          <t>======
ID#AAAAg0JwH8Q
tc={A2C1BACB-B6D6-429A-AB22-E6017F2A6920}    (2022-10-04 12:55:08)
[Threaded comment]
Your version of Excel allows you to read this threaded comment; however, any edits to it will get removed if the file is opened in a newer version of Excel. Learn more: https://go.microsoft.com/fwlink/?linkid=870924
Comment:
    50% every year upto 100% - over and above 10% every year upto 50%</t>
        </r>
      </text>
    </comment>
    <comment ref="E31" authorId="0" shapeId="0" xr:uid="{00000000-0006-0000-0500-00000F000000}">
      <text>
        <r>
          <rPr>
            <sz val="11"/>
            <color theme="1"/>
            <rFont val="Calibri"/>
            <family val="2"/>
            <scheme val="minor"/>
          </rPr>
          <t>======
ID#AAAAg0JwH-M
tc={67D5BCB5-6C71-4B02-AF3F-C2002978EDC9}    (2022-10-04 12:55:09)
[Threaded comment]
Your version of Excel allows you to read this threaded comment; however, any edits to it will get removed if the file is opened in a newer version of Excel. Learn more: https://go.microsoft.com/fwlink/?linkid=870924
Comment:
    10% every year upto 200%
change to
25% every year upto 200%</t>
        </r>
      </text>
    </comment>
    <comment ref="D32" authorId="0" shapeId="0" xr:uid="{00000000-0006-0000-0500-00000E000000}">
      <text>
        <r>
          <rPr>
            <sz val="11"/>
            <color theme="1"/>
            <rFont val="Calibri"/>
            <family val="2"/>
            <scheme val="minor"/>
          </rPr>
          <t>======
ID#AAAAg0JwH-Q
tc={B8419027-35EB-4B05-BB64-DE3901C52DB5}    (2022-10-04 12:55:09)
[Threaded comment]
Your version of Excel allows you to read this threaded comment; however, any edits to it will get removed if the file is opened in a newer version of Excel. Learn more: https://go.microsoft.com/fwlink/?linkid=870924
Comment:
    Upto sum insured
Specified Severity, First Heart Attack of Specified Severity, Open Chest Cabg, Stroke Resulting in Permanent Symptoms, Permanent Paralysis of
Limbs, Kidney Failure Requiring Regular Dialysis, Major Organ / Bone Marrow Transplant, Multiple
Sclerosis with Persisting Symptoms, Open Heart Replacement or Repair of Heart Valves, Coma of
specified severity</t>
        </r>
      </text>
    </comment>
    <comment ref="E32" authorId="0" shapeId="0" xr:uid="{00000000-0006-0000-0500-00002E000000}">
      <text>
        <r>
          <rPr>
            <sz val="11"/>
            <color theme="1"/>
            <rFont val="Calibri"/>
            <family val="2"/>
            <scheme val="minor"/>
          </rPr>
          <t>======
ID#AAAAg0JwH8I
tc={D9A41E38-62B6-411D-9643-7347521BDA9E}    (2022-10-04 12:55:08)
[Threaded comment]
Your version of Excel allows you to read this threaded comment; however, any edits to it will get removed if the file is opened in a newer version of Excel. Learn more: https://go.microsoft.com/fwlink/?linkid=870924
Comment:
    Additional 100% on Critical Illness</t>
        </r>
      </text>
    </comment>
    <comment ref="G32" authorId="0" shapeId="0" xr:uid="{00000000-0006-0000-0500-00002D000000}">
      <text>
        <r>
          <rPr>
            <sz val="11"/>
            <color theme="1"/>
            <rFont val="Calibri"/>
            <family val="2"/>
            <scheme val="minor"/>
          </rPr>
          <t>======
ID#AAAAg0JwH8M
tc={3E5DCAF8-9A23-4092-8A07-40FC058D66F5}    (2022-10-04 12:55:08)
[Threaded comment]
Your version of Excel allows you to read this threaded comment; however, any edits to it will get removed if the file is opened in a newer version of Excel. Learn more: https://go.microsoft.com/fwlink/?linkid=870924
Comment:
    Critical Illness Cover of 5,00,000 to 2,00,00,000 in multiples of 1 lac</t>
        </r>
      </text>
    </comment>
    <comment ref="D33" authorId="0" shapeId="0" xr:uid="{00000000-0006-0000-0500-000013000000}">
      <text>
        <r>
          <rPr>
            <sz val="11"/>
            <color theme="1"/>
            <rFont val="Calibri"/>
            <family val="2"/>
            <scheme val="minor"/>
          </rPr>
          <t>======
ID#AAAAg0JwH94
tc={A85405E0-AA60-42F9-B859-18E36615E84B}    (2022-10-04 12:55:09)
[Threaded comment]
Your version of Excel allows you to read this threaded comment; however, any edits to it will get removed if the file is opened in a newer version of Excel. Learn more: https://go.microsoft.com/fwlink/?linkid=870924
Comment:
    Upto sum insured - Accidental Death or Permanent Total Disablement</t>
        </r>
      </text>
    </comment>
    <comment ref="L36" authorId="0" shapeId="0" xr:uid="{00000000-0006-0000-0500-00000C000000}">
      <text>
        <r>
          <rPr>
            <sz val="11"/>
            <color theme="1"/>
            <rFont val="Calibri"/>
            <family val="2"/>
            <scheme val="minor"/>
          </rPr>
          <t>======
ID#AAAAg0JwH-Y
tc={65A83B7C-1448-4E83-B75E-F05E722EEBA8}    (2022-10-04 12:55:09)
[Threaded comment]
Your version of Excel allows you to read this threaded comment; however, any edits to it will get removed if the file is opened in a newer version of Excel. Learn more: https://go.microsoft.com/fwlink/?linkid=870924
Comment:
    - Rs. 1,000 for a lumpsum amount per sitting upto 24 mos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<sst xmlns="http://schemas.openxmlformats.org/spreadsheetml/2006/main" count="5579" uniqueCount="1131">
  <si>
    <t>Group Health Insurance</t>
  </si>
  <si>
    <t>File Path of Proposal Deck</t>
  </si>
  <si>
    <t>Options for Renewal</t>
  </si>
  <si>
    <t>Previous Policy</t>
  </si>
  <si>
    <t>C:\Users\shali\Downloads\Key Policy Features\Product Deck Editable Slides (In Use).pptx</t>
  </si>
  <si>
    <t>Incumbent Policy</t>
  </si>
  <si>
    <t>Our Options</t>
  </si>
  <si>
    <t>No. of Employees (renewal)</t>
  </si>
  <si>
    <t>No. of Lives (renewal)</t>
  </si>
  <si>
    <t>Premium (excl GST)</t>
  </si>
  <si>
    <t>No. of Employees (expiring policy)</t>
  </si>
  <si>
    <t>No. of Lives (expiring policy)</t>
  </si>
  <si>
    <t>Total Premium (excl. GST)</t>
  </si>
  <si>
    <t xml:space="preserve"> Premium per Life</t>
  </si>
  <si>
    <t>I. Expiring Terms 
(SI: 2 L)</t>
  </si>
  <si>
    <t>20,00,000</t>
  </si>
  <si>
    <t>II. ESC with 0% Co-Pay (SI : 5 L)</t>
  </si>
  <si>
    <t>30,00,000</t>
  </si>
  <si>
    <t>III. ESCP with 0% Co-Pay (SI : 3 L)</t>
  </si>
  <si>
    <t>40,00,000</t>
  </si>
  <si>
    <t>IV. ESCP with 0% Co-Pay (SI : 5 L)</t>
  </si>
  <si>
    <t>50,00,000</t>
  </si>
  <si>
    <t>V. ESCP with 0% Co-Pay (SI : 5 L)</t>
  </si>
  <si>
    <t>60,00,000</t>
  </si>
  <si>
    <t>Group Personal Accident Insurance</t>
  </si>
  <si>
    <t>Incumbent Insurer</t>
  </si>
  <si>
    <t>Insurer 1</t>
  </si>
  <si>
    <t>Insurer 2</t>
  </si>
  <si>
    <t>Insurer 3</t>
  </si>
  <si>
    <t>Insurer 4</t>
  </si>
  <si>
    <t xml:space="preserve"> Premium per Employee</t>
  </si>
  <si>
    <t>I. Expiring Terms 
(SI: 10 L)</t>
  </si>
  <si>
    <t>2,00,000</t>
  </si>
  <si>
    <t>II. SI: 25 L</t>
  </si>
  <si>
    <t>4,00,000</t>
  </si>
  <si>
    <t>Group Term Life Insurance</t>
  </si>
  <si>
    <t>8,00,000</t>
  </si>
  <si>
    <t>DISCLAIMER</t>
  </si>
  <si>
    <t>Do not change any formula in the Excel file or add/delete/hide/unhide/shift any sheets till you complete running the automation and are satisfied with the output.</t>
  </si>
  <si>
    <t>Do not meddle with any of the data validation/macros/formatting in this Excel file.</t>
  </si>
  <si>
    <t>Do not change the order of the slides in the Proposal Deck before running the automation. You can change the order of slides only on completion of the steps in the SOP mentioned below.</t>
  </si>
  <si>
    <t>Similarly, do not add/delete any slides in the proposal deck before you complete the SOP mentioned below.</t>
  </si>
  <si>
    <t>SOP for running automation for Quotes, Policy Features, and Technical Parameters.</t>
  </si>
  <si>
    <r>
      <t xml:space="preserve">Before beginning, </t>
    </r>
    <r>
      <rPr>
        <b/>
        <sz val="11"/>
        <color theme="1"/>
        <rFont val="Inter"/>
      </rPr>
      <t>move the Template folder containing this file and the Proposal Deck to the Downloads folder of your PC.</t>
    </r>
    <r>
      <rPr>
        <sz val="11"/>
        <color theme="1"/>
        <rFont val="Inter"/>
      </rPr>
      <t xml:space="preserve"> If this is not done at this step, close this file, move the folder to Downloads and resume with your work.</t>
    </r>
  </si>
  <si>
    <r>
      <t>In the 'Inputs' tab, enter the following things (All the cells highlighted in blue need to be filled):
1.</t>
    </r>
    <r>
      <rPr>
        <b/>
        <sz val="11"/>
        <color theme="1"/>
        <rFont val="Inter"/>
      </rPr>
      <t xml:space="preserve"> Name of the client</t>
    </r>
    <r>
      <rPr>
        <sz val="11"/>
        <color theme="1"/>
        <rFont val="Inter"/>
      </rPr>
      <t xml:space="preserve"> (brand name) - </t>
    </r>
    <r>
      <rPr>
        <b/>
        <sz val="11"/>
        <color theme="1"/>
        <rFont val="Inter"/>
      </rPr>
      <t xml:space="preserve">Cell B5
</t>
    </r>
    <r>
      <rPr>
        <sz val="11"/>
        <color theme="1"/>
        <rFont val="Inter"/>
      </rPr>
      <t xml:space="preserve">
2. </t>
    </r>
    <r>
      <rPr>
        <b/>
        <sz val="11"/>
        <color theme="1"/>
        <rFont val="Inter"/>
      </rPr>
      <t>File Path of the Proposal Deck - Cell B9</t>
    </r>
    <r>
      <rPr>
        <sz val="11"/>
        <color theme="1"/>
        <rFont val="Inter"/>
      </rPr>
      <t xml:space="preserve"> - Go to the Folder containing the Proposal Deck (in Downloads) --&gt; Click on Proposal Deck --&gt; Ctrl+Shift+C (this will copy the file path) --&gt; Paste this in cell B9
3. The top 3 renewal insurers for GHI + expiring insurer in cells B14 to E14.
4. The number of employees and lives in the </t>
    </r>
    <r>
      <rPr>
        <b/>
        <sz val="11"/>
        <color theme="1"/>
        <rFont val="Inter"/>
      </rPr>
      <t>expiring policy</t>
    </r>
    <r>
      <rPr>
        <sz val="11"/>
        <color theme="1"/>
        <rFont val="Inter"/>
      </rPr>
      <t xml:space="preserve"> - </t>
    </r>
    <r>
      <rPr>
        <b/>
        <sz val="11"/>
        <color theme="1"/>
        <rFont val="Inter"/>
      </rPr>
      <t xml:space="preserve">Cells F25 and G25
</t>
    </r>
    <r>
      <rPr>
        <sz val="11"/>
        <color theme="1"/>
        <rFont val="Inter"/>
      </rPr>
      <t xml:space="preserve">5. The various </t>
    </r>
    <r>
      <rPr>
        <b/>
        <sz val="11"/>
        <color theme="1"/>
        <rFont val="Inter"/>
      </rPr>
      <t>policy</t>
    </r>
    <r>
      <rPr>
        <sz val="11"/>
        <color theme="1"/>
        <rFont val="Inter"/>
      </rPr>
      <t xml:space="preserve"> </t>
    </r>
    <r>
      <rPr>
        <b/>
        <sz val="11"/>
        <color theme="1"/>
        <rFont val="Inter"/>
      </rPr>
      <t>options for GHI</t>
    </r>
    <r>
      <rPr>
        <sz val="11"/>
        <color theme="1"/>
        <rFont val="Inter"/>
      </rPr>
      <t xml:space="preserve"> in cells </t>
    </r>
    <r>
      <rPr>
        <b/>
        <sz val="11"/>
        <color theme="1"/>
        <rFont val="Inter"/>
      </rPr>
      <t>B25 to B34</t>
    </r>
    <r>
      <rPr>
        <sz val="11"/>
        <color theme="1"/>
        <rFont val="Inter"/>
      </rPr>
      <t xml:space="preserve"> along with the number of lives in each plan - Use short forms like ESC, ESCP, SI, etc. as per your convenience
6. The </t>
    </r>
    <r>
      <rPr>
        <b/>
        <sz val="11"/>
        <color theme="1"/>
        <rFont val="Inter"/>
      </rPr>
      <t>premiums (excluding GST)</t>
    </r>
    <r>
      <rPr>
        <sz val="11"/>
        <color theme="1"/>
        <rFont val="Inter"/>
      </rPr>
      <t xml:space="preserve"> for each of the options in the area alongside the table
7. Repeat steps 4 to 6 for </t>
    </r>
    <r>
      <rPr>
        <b/>
        <sz val="11"/>
        <color theme="1"/>
        <rFont val="Inter"/>
      </rPr>
      <t xml:space="preserve">GPA and GTLI </t>
    </r>
    <r>
      <rPr>
        <sz val="11"/>
        <color theme="1"/>
        <rFont val="Inter"/>
      </rPr>
      <t>(if applicable)</t>
    </r>
  </si>
  <si>
    <r>
      <t xml:space="preserve">Make copies of GHI Policy Features (Option 1) for as many options as you're giving the client. You can also rename with sheet with the option. For example: </t>
    </r>
    <r>
      <rPr>
        <i/>
        <sz val="11"/>
        <color theme="1"/>
        <rFont val="Inter"/>
      </rPr>
      <t>GHI Policy Features (ESC - 5 Lakh SI)</t>
    </r>
  </si>
  <si>
    <t>Enter the following things in each of these sheets: 
Policy Period, Net Premium for each insurer, Sum Insured for each option, Number of Lives (for the copied sheets)</t>
  </si>
  <si>
    <r>
      <t xml:space="preserve">Now, in each of the sheets of 'GHI Policy Features), </t>
    </r>
    <r>
      <rPr>
        <b/>
        <sz val="11"/>
        <color theme="1"/>
        <rFont val="Inter"/>
      </rPr>
      <t>as per the family definition, delete rows all/any of 17, 18, or 19 from the table if required</t>
    </r>
    <r>
      <rPr>
        <sz val="11"/>
        <color theme="1"/>
        <rFont val="Inter"/>
      </rPr>
      <t>. For example, if it is an Employee only policy, delete all 3 rows. If it is an ESC policy, delete only row 19. Recolour the red cells to the color of the cells above it (light grey)</t>
    </r>
  </si>
  <si>
    <r>
      <t xml:space="preserve">Verify whether the rest if the </t>
    </r>
    <r>
      <rPr>
        <b/>
        <sz val="11"/>
        <color theme="1"/>
        <rFont val="Inter"/>
      </rPr>
      <t>features populated in the sheet are as desired by the client.</t>
    </r>
  </si>
  <si>
    <r>
      <t xml:space="preserve">Now, go to the </t>
    </r>
    <r>
      <rPr>
        <b/>
        <sz val="11"/>
        <color theme="1"/>
        <rFont val="Inter"/>
      </rPr>
      <t>'Policy &amp; Technical Features' tab</t>
    </r>
    <r>
      <rPr>
        <sz val="11"/>
        <color theme="1"/>
        <rFont val="Inter"/>
      </rPr>
      <t xml:space="preserve"> and start selecting the features which you want to show in the Policy Features comparison.</t>
    </r>
  </si>
  <si>
    <t>For Family Definition, select the appropriate option as desired by the GM/Client</t>
  </si>
  <si>
    <r>
      <t xml:space="preserve">For other features, following is the methodology:
a. First, </t>
    </r>
    <r>
      <rPr>
        <b/>
        <sz val="11"/>
        <color theme="1"/>
        <rFont val="Inter"/>
      </rPr>
      <t>select the feature in column B from the dropdown list</t>
    </r>
    <r>
      <rPr>
        <sz val="11"/>
        <color theme="1"/>
        <rFont val="Inter"/>
      </rPr>
      <t xml:space="preserve"> (Use Alt+Down Arrow key to open the dropdown)
b. Based on what you select in Column B, you will get option/benefit in the dropdown list in Column D. </t>
    </r>
    <r>
      <rPr>
        <b/>
        <sz val="11"/>
        <color theme="1"/>
        <rFont val="Inter"/>
      </rPr>
      <t>Select the desired option/benefit.</t>
    </r>
    <r>
      <rPr>
        <sz val="11"/>
        <color theme="1"/>
        <rFont val="Inter"/>
      </rPr>
      <t xml:space="preserve">
The cells from Column F to L will get populated automatically based on the insurers chosen as and when you select the desired feature to be shown.
Please note that you need to </t>
    </r>
    <r>
      <rPr>
        <b/>
        <sz val="11"/>
        <color theme="1"/>
        <rFont val="Inter"/>
      </rPr>
      <t>select</t>
    </r>
    <r>
      <rPr>
        <sz val="11"/>
        <color theme="1"/>
        <rFont val="Inter"/>
      </rPr>
      <t xml:space="preserve"> </t>
    </r>
    <r>
      <rPr>
        <b/>
        <sz val="11"/>
        <color theme="1"/>
        <rFont val="Inter"/>
      </rPr>
      <t>only 9 features apart from Family Definition</t>
    </r>
    <r>
      <rPr>
        <sz val="11"/>
        <color theme="1"/>
        <rFont val="Inter"/>
      </rPr>
      <t xml:space="preserve"> which you would like to display in the Proposal Deck.</t>
    </r>
  </si>
  <si>
    <r>
      <t xml:space="preserve">The </t>
    </r>
    <r>
      <rPr>
        <b/>
        <sz val="11"/>
        <color theme="1"/>
        <rFont val="Inter"/>
      </rPr>
      <t>Technical Parameters (Insurer Credentials) will automatically get populated.</t>
    </r>
  </si>
  <si>
    <r>
      <t xml:space="preserve">Once the 'GHI Policy Features' and 'Know your Insurer - Credentials' tabs are final, select all the sheets which you want to send to the client </t>
    </r>
    <r>
      <rPr>
        <b/>
        <sz val="11"/>
        <color theme="1"/>
        <rFont val="Inter"/>
      </rPr>
      <t xml:space="preserve">(Policy Features of all options + Know your Insurers), </t>
    </r>
    <r>
      <rPr>
        <sz val="11"/>
        <color theme="1"/>
        <rFont val="Inter"/>
      </rPr>
      <t xml:space="preserve">click on the </t>
    </r>
    <r>
      <rPr>
        <b/>
        <sz val="11"/>
        <color theme="1"/>
        <rFont val="Inter"/>
      </rPr>
      <t>'…' button on the 'GHI Policy Features' tab</t>
    </r>
    <r>
      <rPr>
        <sz val="11"/>
        <color theme="1"/>
        <rFont val="Inter"/>
      </rPr>
      <t>. By doing this, a new Excel file with the selected tabs will be created to be sent to the client. The file will be saved in the same folder as this Excel file.</t>
    </r>
  </si>
  <si>
    <r>
      <rPr>
        <b/>
        <sz val="11"/>
        <color theme="1"/>
        <rFont val="Inter"/>
      </rPr>
      <t xml:space="preserve">Open the new Excel file from the folder bearing the name 'Client GHI Quotes.' </t>
    </r>
    <r>
      <rPr>
        <sz val="11"/>
        <color theme="1"/>
        <rFont val="Inter"/>
      </rPr>
      <t xml:space="preserve">On every tab in that workbook, do the following:
Ctrl+A
Ctrl+C
Ctrl+Alt+V
Press Enter
Next, </t>
    </r>
    <r>
      <rPr>
        <b/>
        <sz val="11"/>
        <color theme="1"/>
        <rFont val="Inter"/>
      </rPr>
      <t>delete the content from cell A1 of the 'Know your Insurer - Credentials' tab</t>
    </r>
    <r>
      <rPr>
        <sz val="11"/>
        <color theme="1"/>
        <rFont val="Inter"/>
      </rPr>
      <t xml:space="preserve"> in the new workbook.
</t>
    </r>
    <r>
      <rPr>
        <b/>
        <sz val="11"/>
        <color theme="1"/>
        <rFont val="Inter"/>
      </rPr>
      <t>Delete the button</t>
    </r>
    <r>
      <rPr>
        <sz val="11"/>
        <color theme="1"/>
        <rFont val="Inter"/>
      </rPr>
      <t xml:space="preserve"> on the 'GHI Policy Features (Option 1)' sheet</t>
    </r>
  </si>
  <si>
    <r>
      <t xml:space="preserve">Go to the tab 'High Level Quotes - Working' and verify whether all the details are numbers have been populated as required. Once you have verified everything:
</t>
    </r>
    <r>
      <rPr>
        <b/>
        <sz val="11"/>
        <color theme="1"/>
        <rFont val="Inter"/>
      </rPr>
      <t>Click on the button: Send GHI Quotes to Proposal Deck
Click on the button: Send GPA Quotes to Proposal Deck
Click on the button: Send GTLI Quotes to Proposal Deck</t>
    </r>
  </si>
  <si>
    <r>
      <t xml:space="preserve">Go to the 'Policy &amp; Technical Features' tab, and:
</t>
    </r>
    <r>
      <rPr>
        <b/>
        <sz val="11"/>
        <color theme="1"/>
        <rFont val="Inter"/>
      </rPr>
      <t>Click on the button: 'Send Policy Features to Proposal Deck'
Click on the button: 'Send Technical Parameters to Proposal Deck'</t>
    </r>
  </si>
  <si>
    <t>The Proposal Deck would now be populated with the quotes, policy features, and technical parameters.</t>
  </si>
  <si>
    <t>For the GHI, GPA, and GTLI quotes - point the hand-pointer icon to the recommended option on the slides.</t>
  </si>
  <si>
    <r>
      <t xml:space="preserve">Update the numbers on the </t>
    </r>
    <r>
      <rPr>
        <b/>
        <sz val="11"/>
        <color theme="1"/>
        <rFont val="Inter"/>
      </rPr>
      <t>'Breakdown of your premium'</t>
    </r>
    <r>
      <rPr>
        <sz val="11"/>
        <color theme="1"/>
        <rFont val="Inter"/>
      </rPr>
      <t xml:space="preserve"> slide.</t>
    </r>
  </si>
  <si>
    <t>Once everything is final, save all the files, and transfer the files to the relevant client's folder on Sharepoint</t>
  </si>
  <si>
    <t>Date</t>
  </si>
  <si>
    <t>Name of the Client</t>
  </si>
  <si>
    <t>Bandana Gupta Class</t>
  </si>
  <si>
    <t>Proposal Deck File Path</t>
  </si>
  <si>
    <t>C:\Users\shali\Downloads\ABCD\Healthysure Proposal Deck.pptx</t>
  </si>
  <si>
    <t>GHI Insurer Options</t>
  </si>
  <si>
    <t>PROPOSED INSURERS</t>
  </si>
  <si>
    <t>PREVIOUS INSURER</t>
  </si>
  <si>
    <t>Manipal Cigna Standard Rater</t>
  </si>
  <si>
    <t>SBI General</t>
  </si>
  <si>
    <t>Manipal Cigna</t>
  </si>
  <si>
    <t>IFFCO Tokio</t>
  </si>
  <si>
    <t>GHI Quotes</t>
  </si>
  <si>
    <t>Proposed Options</t>
  </si>
  <si>
    <t>Total Premium (₹)</t>
  </si>
  <si>
    <t>I. ESCP with 10% Co-pay (SI: 10 L)</t>
  </si>
  <si>
    <t>4,55,316</t>
  </si>
  <si>
    <t>5,19,638</t>
  </si>
  <si>
    <t>5,26,249</t>
  </si>
  <si>
    <t>3,13,559</t>
  </si>
  <si>
    <t>z</t>
  </si>
  <si>
    <t>-</t>
  </si>
  <si>
    <t>25,00,000</t>
  </si>
  <si>
    <t>GPA Insurer Options</t>
  </si>
  <si>
    <t>Magma HDI (Basic Plan) - NEE Group</t>
  </si>
  <si>
    <t>Magma HDI (Pro Plan) - NEE Group</t>
  </si>
  <si>
    <t>Go Digit (Pro Plan)</t>
  </si>
  <si>
    <t>IFFCO Tokio ( Pro Plan)</t>
  </si>
  <si>
    <t>GPA Quotes</t>
  </si>
  <si>
    <t>39,00,000</t>
  </si>
  <si>
    <t>GTLI Insurer Options</t>
  </si>
  <si>
    <t>CALI (Exclusive)</t>
  </si>
  <si>
    <t>HDFC Life</t>
  </si>
  <si>
    <t>Pramerica Life</t>
  </si>
  <si>
    <t>GTLI Quotes</t>
  </si>
  <si>
    <t>35,00,000</t>
  </si>
  <si>
    <t>OPD Options</t>
  </si>
  <si>
    <t>Visit SI - 5000</t>
  </si>
  <si>
    <t>Even SI - 5000</t>
  </si>
  <si>
    <t>Premium of Recommended Option:</t>
  </si>
  <si>
    <t>Breakdown of Premium per Life</t>
  </si>
  <si>
    <t>x</t>
  </si>
  <si>
    <t>=</t>
  </si>
  <si>
    <t>+</t>
  </si>
  <si>
    <t>Premium per Life</t>
  </si>
  <si>
    <t>Number of Lives</t>
  </si>
  <si>
    <t>Total Premium</t>
  </si>
  <si>
    <t>Claims per life</t>
  </si>
  <si>
    <t>Proposed Terms Impact</t>
  </si>
  <si>
    <t>Inflation and Buffer</t>
  </si>
  <si>
    <t>₹</t>
  </si>
  <si>
    <t>Avg. Premium/Life</t>
  </si>
  <si>
    <t>=Inputs!I25</t>
  </si>
  <si>
    <t>Premium per Mille</t>
  </si>
  <si>
    <t>Policy Features – Group Health Insurance</t>
  </si>
  <si>
    <t xml:space="preserve"> </t>
  </si>
  <si>
    <t>Logo</t>
  </si>
  <si>
    <t>Features</t>
  </si>
  <si>
    <t>Benefits</t>
  </si>
  <si>
    <t>Plan Type:-</t>
  </si>
  <si>
    <t>Family Definition</t>
  </si>
  <si>
    <t>Plan Type</t>
  </si>
  <si>
    <t>Employee, Spouse, and Children</t>
  </si>
  <si>
    <t>Employee only</t>
  </si>
  <si>
    <t>Children - upto 25 yrs of age</t>
  </si>
  <si>
    <t>2 Parents/PIL - upto 80 yrs of age</t>
  </si>
  <si>
    <t>Employee, Spouse, Children, and Parents/Parents-in-law</t>
  </si>
  <si>
    <t>Room Rent Restriction</t>
  </si>
  <si>
    <t>Normal -Single Pvt. AC
ICU - No Capping
(per day)</t>
  </si>
  <si>
    <t>Maternity Cover</t>
  </si>
  <si>
    <t>Normal - Rs. 50k
C Section - Rs. 50K</t>
  </si>
  <si>
    <t>Co Pay</t>
  </si>
  <si>
    <t>0% Co-Pay</t>
  </si>
  <si>
    <t xml:space="preserve">Psychiatric Illness </t>
  </si>
  <si>
    <t>Hospitalization &gt; 24 hours</t>
  </si>
  <si>
    <t>Pre and Post Hospitalization Coverage</t>
  </si>
  <si>
    <t>30/60 days
(For in-patient Hospitalization)</t>
  </si>
  <si>
    <t>Mid term Addition of Dependents</t>
  </si>
  <si>
    <t>Hospitallization &gt; 24 hours in 
Govt Approved Hospitals</t>
  </si>
  <si>
    <t xml:space="preserve">Emergency Ambulance </t>
  </si>
  <si>
    <t>Coverage per event</t>
  </si>
  <si>
    <t>Inpatient Hospitalization</t>
  </si>
  <si>
    <t>Know Your Insurer - Credentials</t>
  </si>
  <si>
    <t>Parameter</t>
  </si>
  <si>
    <t>Background and Credibility</t>
  </si>
  <si>
    <t>Founding Year</t>
  </si>
  <si>
    <t>Backed by</t>
  </si>
  <si>
    <t xml:space="preserve">Market Presence	</t>
  </si>
  <si>
    <t>GHI Book Size (INR Crores)</t>
  </si>
  <si>
    <t>GHI Growth Rate</t>
  </si>
  <si>
    <t>Financial Health</t>
  </si>
  <si>
    <t>Solvency Ratio (IRDAI recommended: &gt;1.5)</t>
  </si>
  <si>
    <t xml:space="preserve">Policy Administration	</t>
  </si>
  <si>
    <t>Policy Issuance TAT</t>
  </si>
  <si>
    <t>Endorsement TAT</t>
  </si>
  <si>
    <t>Claims Summary</t>
  </si>
  <si>
    <t>Cashless Network</t>
  </si>
  <si>
    <t>Claim Settlement Ratio</t>
  </si>
  <si>
    <t>Cashless TAT</t>
  </si>
  <si>
    <t>Reimbursement TAT</t>
  </si>
  <si>
    <t>% of claims settled in 3 months</t>
  </si>
  <si>
    <t>Reimbursement Mode (Paperless/Paper)</t>
  </si>
  <si>
    <t>TPA (in-house or External)</t>
  </si>
  <si>
    <t>Pre and Post Natal Expenses</t>
  </si>
  <si>
    <t>Corporate Buffer</t>
  </si>
  <si>
    <t>Healthysure Template</t>
  </si>
  <si>
    <t>Basic Company Details</t>
  </si>
  <si>
    <t>Brand Name of the Company</t>
  </si>
  <si>
    <t>ABC</t>
  </si>
  <si>
    <t>Legal Name of the Company</t>
  </si>
  <si>
    <t>M/S ABC Private Limited</t>
  </si>
  <si>
    <t>Address of the Company</t>
  </si>
  <si>
    <t>XXXX</t>
  </si>
  <si>
    <t>Pincode of the Company</t>
  </si>
  <si>
    <t>Contact Person - Name</t>
  </si>
  <si>
    <t>Pending</t>
  </si>
  <si>
    <t>Contact Person - Mobile No</t>
  </si>
  <si>
    <t>Contact Person - Email ID</t>
  </si>
  <si>
    <t>GST or PAN of Company</t>
  </si>
  <si>
    <t>Nature of Industry</t>
  </si>
  <si>
    <t>Education</t>
  </si>
  <si>
    <t>Remarks</t>
  </si>
  <si>
    <t>Go Digit</t>
  </si>
  <si>
    <t>Care Health (Religare)</t>
  </si>
  <si>
    <t>TATA AIG</t>
  </si>
  <si>
    <t>Niva Bupa</t>
  </si>
  <si>
    <t>Magma HDI</t>
  </si>
  <si>
    <t>New India Assurance</t>
  </si>
  <si>
    <t>ICICI Lombard</t>
  </si>
  <si>
    <t>ICICI Lombard - Startup Pack</t>
  </si>
  <si>
    <t>Star Health</t>
  </si>
  <si>
    <t>Bajaj Allianz</t>
  </si>
  <si>
    <t>Oriental Insurance</t>
  </si>
  <si>
    <t>Future Generali</t>
  </si>
  <si>
    <t>Kenko</t>
  </si>
  <si>
    <t>Acko</t>
  </si>
  <si>
    <t>Aditya Birla Health</t>
  </si>
  <si>
    <t>Raheja QBE</t>
  </si>
  <si>
    <t>Self</t>
  </si>
  <si>
    <t>✔</t>
  </si>
  <si>
    <t>Spouse</t>
  </si>
  <si>
    <t>Parents Only</t>
  </si>
  <si>
    <t>r</t>
  </si>
  <si>
    <t>Upto 90 Years</t>
  </si>
  <si>
    <t>Type of Over</t>
  </si>
  <si>
    <t>Family Floater/ Individual</t>
  </si>
  <si>
    <t>Normal- Single Pvt AC</t>
  </si>
  <si>
    <t xml:space="preserve">2% of SI upto Rs. 4k per day </t>
  </si>
  <si>
    <t xml:space="preserve">2% of SI </t>
  </si>
  <si>
    <t xml:space="preserve">2% of SI upto Rs. 5k per day </t>
  </si>
  <si>
    <t xml:space="preserve">Rs. 5k per day </t>
  </si>
  <si>
    <t>ICU - No Capping</t>
  </si>
  <si>
    <t xml:space="preserve">4% of SI </t>
  </si>
  <si>
    <t xml:space="preserve">4% of SI upto Rs. 10k per day </t>
  </si>
  <si>
    <t xml:space="preserve">Rs. 8k per day </t>
  </si>
  <si>
    <t>Rs. XXX restricted to Family Floater SI</t>
  </si>
  <si>
    <t>Applicable for</t>
  </si>
  <si>
    <t>For all ailments</t>
  </si>
  <si>
    <t>For critical illness only</t>
  </si>
  <si>
    <t>Upgrade Option</t>
  </si>
  <si>
    <t>Flexi Top-up Insurance of Rs 30 Lacs with continuity option</t>
  </si>
  <si>
    <t>Pan-India Coverage</t>
  </si>
  <si>
    <t>No. of Network Hospitals</t>
  </si>
  <si>
    <t>8,500+ Hospitals</t>
  </si>
  <si>
    <t>8,350+ Hospitals</t>
  </si>
  <si>
    <t>7,200+ Hospitals</t>
  </si>
  <si>
    <t>8,600+ Hospitals</t>
  </si>
  <si>
    <t>6,000+ Hospitals</t>
  </si>
  <si>
    <t>6,500+ Hospitals</t>
  </si>
  <si>
    <t>7,500+ Hospitals</t>
  </si>
  <si>
    <t>6500+ Hospitals</t>
  </si>
  <si>
    <r>
      <rPr>
        <b/>
        <sz val="10"/>
        <color rgb="FF00B050"/>
        <rFont val="Calibri"/>
        <family val="2"/>
      </rPr>
      <t xml:space="preserve">All hospitals
</t>
    </r>
    <r>
      <rPr>
        <b/>
        <sz val="10"/>
        <color rgb="FF00B050"/>
        <rFont val="Calibri"/>
        <family val="2"/>
      </rPr>
      <t>(Cashless option substituted by 
Advance Reimbursement)</t>
    </r>
  </si>
  <si>
    <t>10,000+ Hospitals</t>
  </si>
  <si>
    <t>Reimbursement Network</t>
  </si>
  <si>
    <t>All Hospitals</t>
  </si>
  <si>
    <t>TPA</t>
  </si>
  <si>
    <t xml:space="preserve">Medi Assist Insurance </t>
  </si>
  <si>
    <t>Inhouse TPA</t>
  </si>
  <si>
    <t>Family Health Insurance TPA</t>
  </si>
  <si>
    <t>Paramount TPA</t>
  </si>
  <si>
    <t>Paramount TPA/ Internal TPA</t>
  </si>
  <si>
    <t>Cashless through Family Health
&amp;
Reimbursement through Inhouse TPA</t>
  </si>
  <si>
    <t xml:space="preserve">Inhouse TPA / Medi Assist TPA/ Paramount TPA </t>
  </si>
  <si>
    <t>Hospitallization &gt; 24 hours</t>
  </si>
  <si>
    <t>Day Care Treatments</t>
  </si>
  <si>
    <t>Hospitallization &lt; 24 hours</t>
  </si>
  <si>
    <t xml:space="preserve">All procedures </t>
  </si>
  <si>
    <t>540+ Listed Procedures</t>
  </si>
  <si>
    <t>130+ Listed Procedures</t>
  </si>
  <si>
    <t>380+ Listed Procedures</t>
  </si>
  <si>
    <t>150+ Listed Procedures</t>
  </si>
  <si>
    <t>110+ Listed Procedures</t>
  </si>
  <si>
    <t>400+ Listed Procedures</t>
  </si>
  <si>
    <t>527+ Listed Procedures</t>
  </si>
  <si>
    <t>Disease Capping</t>
  </si>
  <si>
    <t>No disease capping</t>
  </si>
  <si>
    <t>Only on CKD and Cancer Upto 3 Lacs</t>
  </si>
  <si>
    <t>Only on Cataract upto 50K</t>
  </si>
  <si>
    <t xml:space="preserve">COVID-19 Coverage </t>
  </si>
  <si>
    <t>Domicillary Hospitalization</t>
  </si>
  <si>
    <t>Home hospitalization &gt; 3 days +
Patient unable to move OR hospital bed not available</t>
  </si>
  <si>
    <t>Pre/Post Hospitalization Coverage
(medicines, lab tests and consultations for IPD treatments)</t>
  </si>
  <si>
    <t>60/90 Days</t>
  </si>
  <si>
    <t>90/90 Days</t>
  </si>
  <si>
    <t>Doctor Teleconsultations</t>
  </si>
  <si>
    <t>Unlimited with General Physicians</t>
  </si>
  <si>
    <t>Health Check-ups</t>
  </si>
  <si>
    <t>Full body checkup upto 70% off</t>
  </si>
  <si>
    <t>Medicines Delivery</t>
  </si>
  <si>
    <t>Prescribed medicines upto 20% off</t>
  </si>
  <si>
    <t>Dental Coverage</t>
  </si>
  <si>
    <r>
      <rPr>
        <sz val="10"/>
        <color theme="1"/>
        <rFont val="Calibri"/>
        <family val="2"/>
      </rPr>
      <t>Upto Rs. XXX (</t>
    </r>
    <r>
      <rPr>
        <sz val="10"/>
        <color rgb="FFFF0000"/>
        <rFont val="Calibri"/>
        <family val="2"/>
      </rPr>
      <t xml:space="preserve">no exclusions, </t>
    </r>
    <r>
      <rPr>
        <sz val="10"/>
        <color theme="1"/>
        <rFont val="Calibri"/>
        <family val="2"/>
      </rPr>
      <t>Day 1 coverage)</t>
    </r>
  </si>
  <si>
    <t xml:space="preserve">Maternity Waiting Period </t>
  </si>
  <si>
    <t>Waived Off</t>
  </si>
  <si>
    <t>Covered within maternity limit</t>
  </si>
  <si>
    <t xml:space="preserve">Upto Rs. 5K </t>
  </si>
  <si>
    <t xml:space="preserve">Upto Rs. 2.5K </t>
  </si>
  <si>
    <t xml:space="preserve">Initial Waiting Period </t>
  </si>
  <si>
    <t>Specific Diseases Waiting Period</t>
  </si>
  <si>
    <t>Pre-Existing Diseases Waiting Period</t>
  </si>
  <si>
    <t>Rs. 2k</t>
  </si>
  <si>
    <t>Rs. 2.5k</t>
  </si>
  <si>
    <t>Rs. 3k</t>
  </si>
  <si>
    <t>Rs. 1k</t>
  </si>
  <si>
    <t>To Nearest Hospital</t>
  </si>
  <si>
    <t>On Actuals</t>
  </si>
  <si>
    <t xml:space="preserve">Emergency Air Ambulance </t>
  </si>
  <si>
    <t>Rs. 1 lac</t>
  </si>
  <si>
    <t>Rs. 50k</t>
  </si>
  <si>
    <t>Modern Treatments &amp; Robotic Surgeries</t>
  </si>
  <si>
    <t>As per Regulatory Guidelines</t>
  </si>
  <si>
    <t>50% Co-Pay</t>
  </si>
  <si>
    <t>Upto 50% of SI</t>
  </si>
  <si>
    <t>With Exclusions</t>
  </si>
  <si>
    <t>50% Co-Pay with exclusions</t>
  </si>
  <si>
    <t>Upto Rs. 30k</t>
  </si>
  <si>
    <t xml:space="preserve">Upto Rs. 50k  </t>
  </si>
  <si>
    <t>Upto 30% of SI</t>
  </si>
  <si>
    <t>Upto Rs. 25k</t>
  </si>
  <si>
    <t xml:space="preserve">AYUSH Treatments </t>
  </si>
  <si>
    <t>Upto 25% of SI</t>
  </si>
  <si>
    <t>Upto 20% of SI</t>
  </si>
  <si>
    <t>Upto Rs. 50k</t>
  </si>
  <si>
    <t>Organ Donor Expenses</t>
  </si>
  <si>
    <t>Covered upto 100% of SI</t>
  </si>
  <si>
    <t>Lasik Eye Surgery</t>
  </si>
  <si>
    <t>Eye power correction</t>
  </si>
  <si>
    <t>If eye power +/- 7.5</t>
  </si>
  <si>
    <t>If eye power +/- 6.5</t>
  </si>
  <si>
    <t>If eye power +/- 7.0</t>
  </si>
  <si>
    <t>With Conditions</t>
  </si>
  <si>
    <t>Terrorism</t>
  </si>
  <si>
    <t>Additions &amp; Deletions</t>
  </si>
  <si>
    <t xml:space="preserve">On pro-rata basis </t>
  </si>
  <si>
    <t>Mid term Increase in Sum Insured</t>
  </si>
  <si>
    <t>Only for employee promotion</t>
  </si>
  <si>
    <t>Mid-term Addition of Dependents</t>
  </si>
  <si>
    <t>Day 1 coverage of new borns and spouses of newly weds</t>
  </si>
  <si>
    <t>Mid-term addition of parents</t>
  </si>
  <si>
    <t>Only for new joinees</t>
  </si>
  <si>
    <t>Cashless Authorization TAT</t>
  </si>
  <si>
    <t>Faster cashless authorisation</t>
  </si>
  <si>
    <t>2-4 Hrs</t>
  </si>
  <si>
    <t>Reimburement Claim Settlement TAT</t>
  </si>
  <si>
    <t>Within 30 days from date of document submission</t>
  </si>
  <si>
    <t>Reimbursement Claim filing</t>
  </si>
  <si>
    <t>Paperless</t>
  </si>
  <si>
    <t>Reimbursement Claim Intimation</t>
  </si>
  <si>
    <t>Criteria for intimation within 7 days waived off</t>
  </si>
  <si>
    <t>Within 15 Days</t>
  </si>
  <si>
    <t>Within 30 Days</t>
  </si>
  <si>
    <t>Within 24 Hrs</t>
  </si>
  <si>
    <t>Within 2 Days</t>
  </si>
  <si>
    <t>Reimbursement Claim Submission</t>
  </si>
  <si>
    <t>Criteria for document submission within 30 days from date of discharge waived off</t>
  </si>
  <si>
    <t>*Terms and conditions as per policy wordings apply</t>
  </si>
  <si>
    <t>Client Name</t>
  </si>
  <si>
    <t>Type of Policy</t>
  </si>
  <si>
    <t>Rollover</t>
  </si>
  <si>
    <t>Manual</t>
  </si>
  <si>
    <t>Policy Period</t>
  </si>
  <si>
    <t>1-Apr-25 To 31-Mar-26</t>
  </si>
  <si>
    <t>HDFC Ergo</t>
  </si>
  <si>
    <t>Manipal Cigna (Gig Exclusive)</t>
  </si>
  <si>
    <t>Manipal Cigna (SME Exclusive)</t>
  </si>
  <si>
    <t>Care Health</t>
  </si>
  <si>
    <t>Premium Details</t>
  </si>
  <si>
    <t>Sum Insured (Rs.)</t>
  </si>
  <si>
    <t>In INR</t>
  </si>
  <si>
    <t>5 lacs</t>
  </si>
  <si>
    <t>Annual Premium (Excl. GST)</t>
  </si>
  <si>
    <t>Total Number of Lives</t>
  </si>
  <si>
    <t>Count</t>
  </si>
  <si>
    <t>Avg. Premium Per Life</t>
  </si>
  <si>
    <t>Policy Features - Group Health Insurance</t>
  </si>
  <si>
    <t>Members Covered</t>
  </si>
  <si>
    <t>`</t>
  </si>
  <si>
    <t>Policy Type</t>
  </si>
  <si>
    <t>Type of Cover</t>
  </si>
  <si>
    <t>Family Floater</t>
  </si>
  <si>
    <t>Normal - No Capping
ICU - No Capping</t>
  </si>
  <si>
    <t>Recheck with Quote Slip for non-standard programs</t>
  </si>
  <si>
    <t>25% Co-Pay</t>
  </si>
  <si>
    <t>Not Covered</t>
  </si>
  <si>
    <t>Hospitalization Coverage</t>
  </si>
  <si>
    <t>Hospitalization &lt; 24 hours</t>
  </si>
  <si>
    <t xml:space="preserve">COVID 19 Coverage </t>
  </si>
  <si>
    <t>Pre and Post Hospitalization Coverage
(medicines, lab tests and consultations for IPD treatments)</t>
  </si>
  <si>
    <t>Covered</t>
  </si>
  <si>
    <t>Maternity Coverage</t>
  </si>
  <si>
    <t>Not Applicable</t>
  </si>
  <si>
    <t>Waiting Period Benefits</t>
  </si>
  <si>
    <t xml:space="preserve">Waived Off </t>
  </si>
  <si>
    <t xml:space="preserve">Waived Off  </t>
  </si>
  <si>
    <t>PreExisting Diseases Waiting Period</t>
  </si>
  <si>
    <t xml:space="preserve">Waived Off   </t>
  </si>
  <si>
    <t>Hospital Transportation Benefits</t>
  </si>
  <si>
    <t xml:space="preserve">Road Ambulance </t>
  </si>
  <si>
    <t>Change as per expiring policy for renewal cases</t>
  </si>
  <si>
    <t xml:space="preserve">Air Ambulance </t>
  </si>
  <si>
    <t xml:space="preserve">Coverage per event </t>
  </si>
  <si>
    <t>Other Benefits</t>
  </si>
  <si>
    <t>Modern Treatments and Robotic Surgeries</t>
  </si>
  <si>
    <t>Mid-Term Policy Changes</t>
  </si>
  <si>
    <t>Additions and Deletions</t>
  </si>
  <si>
    <t>Only for employee promotion
(if graded SI)</t>
  </si>
  <si>
    <t>The Healthysure Advantage</t>
  </si>
  <si>
    <t>Personal AI Health Assistant</t>
  </si>
  <si>
    <t>Instant help on medical symptoms and book doctor appointments</t>
  </si>
  <si>
    <t xml:space="preserve">Within 25 min Pan-India </t>
  </si>
  <si>
    <t>Health Checkups</t>
  </si>
  <si>
    <t>Gym Memberships</t>
  </si>
  <si>
    <t>Gym Membership Discount upto 50%</t>
  </si>
  <si>
    <t>STELLAPPS</t>
  </si>
  <si>
    <t>Vhire4u</t>
  </si>
  <si>
    <t>Group Personal Accident &amp; Disability Cover</t>
  </si>
  <si>
    <t>Go Digit ( Basic Plan)</t>
  </si>
  <si>
    <t>Go Digit ( Standard Plan)</t>
  </si>
  <si>
    <t>IFFCO Tokio (Base Plan)</t>
  </si>
  <si>
    <t>Care Health (previously, Religare)</t>
  </si>
  <si>
    <t>Tata AIG</t>
  </si>
  <si>
    <t>GoDigit</t>
  </si>
  <si>
    <t xml:space="preserve">Sum Insured </t>
  </si>
  <si>
    <t>Rs.X Lacs
(Max 50 lacs, 3x of CTC 
whichever is lower)</t>
  </si>
  <si>
    <t>Rs.X Lacs
(Max 2 Cr, Max 3x of CTC 
whichever is lower)</t>
  </si>
  <si>
    <t xml:space="preserve"> Upto 20 lac</t>
  </si>
  <si>
    <t>Rs.X Lacs</t>
  </si>
  <si>
    <t>Rs. 10 Lacs</t>
  </si>
  <si>
    <t>₹XXX</t>
  </si>
  <si>
    <t xml:space="preserve">Premium per mille (excl. GST) </t>
  </si>
  <si>
    <t>Risk Class 1 - 0.15 per mile
Risk Class 2 - 0.19 per mile
(Fresh Cases only)</t>
  </si>
  <si>
    <t>Risk Class 1 - 0.25 per mille
Risk Class 2 - 0.325 per mille
(Fresh Cases only)</t>
  </si>
  <si>
    <t>Risk Class 1 - 0.32 per mile
Risk Class 2 - 0.40 per mile
(Fresh Cases only)</t>
  </si>
  <si>
    <t>0.25 per mile</t>
  </si>
  <si>
    <t>0.50 per mile</t>
  </si>
  <si>
    <t>₹0.XX per mille</t>
  </si>
  <si>
    <t>₹0.21 per mille</t>
  </si>
  <si>
    <t>Self only</t>
  </si>
  <si>
    <t xml:space="preserve">No. of lives </t>
  </si>
  <si>
    <t>On-Roll: XX lives</t>
  </si>
  <si>
    <t>On-Roll: XX lives
Off-Roll: XX lives</t>
  </si>
  <si>
    <t>19 lives</t>
  </si>
  <si>
    <t>Accidental Death</t>
  </si>
  <si>
    <t>100% of SI</t>
  </si>
  <si>
    <t>Permanent Total Disablement</t>
  </si>
  <si>
    <t>150% of SI</t>
  </si>
  <si>
    <t>Upto 100% of SI</t>
  </si>
  <si>
    <t>Permanent Partial Disablement</t>
  </si>
  <si>
    <t>Up to 100% of SI based on extent of disability</t>
  </si>
  <si>
    <t>Temporary Total Disablement
(if patient confined to bed due to temporary and total inability to engage in any occupation or any activity)</t>
  </si>
  <si>
    <t>1% of SI or Rs. 5,000 per week or actual salary, whichever is lower for 104 weeks</t>
  </si>
  <si>
    <r>
      <rPr>
        <sz val="12"/>
        <color rgb="FF000000"/>
        <rFont val="Calibri"/>
        <family val="2"/>
      </rPr>
      <t xml:space="preserve">1% of SI or </t>
    </r>
    <r>
      <rPr>
        <b/>
        <sz val="12"/>
        <color rgb="FF92D050"/>
        <rFont val="Calibri"/>
        <family val="2"/>
      </rPr>
      <t>Rs. 10,000</t>
    </r>
    <r>
      <rPr>
        <sz val="12"/>
        <color rgb="FF000000"/>
        <rFont val="Calibri"/>
        <family val="2"/>
      </rPr>
      <t xml:space="preserve"> per week or actual salary, whichever is lower for 104 weeks</t>
    </r>
  </si>
  <si>
    <r>
      <t xml:space="preserve">1% of SI or Rs. 5000 or Actual salary per week upto </t>
    </r>
    <r>
      <rPr>
        <b/>
        <sz val="11"/>
        <color rgb="FF000000"/>
        <rFont val="Calibri"/>
        <family val="2"/>
      </rPr>
      <t>104 weeks</t>
    </r>
    <r>
      <rPr>
        <sz val="11"/>
        <color rgb="FF000000"/>
        <rFont val="Calibri"/>
        <family val="2"/>
      </rPr>
      <t xml:space="preserve"> whichever is lower</t>
    </r>
  </si>
  <si>
    <r>
      <t>1% of SI or Rs. 5000 or Actual salary per week upto</t>
    </r>
    <r>
      <rPr>
        <sz val="12"/>
        <color rgb="FFFF0000"/>
        <rFont val="Calibri"/>
        <family val="2"/>
        <scheme val="minor"/>
      </rPr>
      <t xml:space="preserve"> </t>
    </r>
    <r>
      <rPr>
        <b/>
        <sz val="12"/>
        <color rgb="FF00B050"/>
        <rFont val="Calibri"/>
        <family val="2"/>
        <scheme val="minor"/>
      </rPr>
      <t>104 weeks</t>
    </r>
    <r>
      <rPr>
        <sz val="12"/>
        <color rgb="FFFF0000"/>
        <rFont val="Calibri"/>
        <family val="2"/>
        <scheme val="minor"/>
      </rPr>
      <t xml:space="preserve"> </t>
    </r>
    <r>
      <rPr>
        <sz val="12"/>
        <color theme="1"/>
        <rFont val="Calibri"/>
        <family val="2"/>
        <scheme val="minor"/>
      </rPr>
      <t>whichever is lower</t>
    </r>
  </si>
  <si>
    <r>
      <t xml:space="preserve">1% of SI or Rs. 5000 or Actual salary per week up to </t>
    </r>
    <r>
      <rPr>
        <b/>
        <sz val="12"/>
        <color rgb="FFFF0000"/>
        <rFont val="Calibri"/>
        <family val="2"/>
        <scheme val="minor"/>
      </rPr>
      <t>52 weeks</t>
    </r>
    <r>
      <rPr>
        <b/>
        <sz val="12"/>
        <color rgb="FF000000"/>
        <rFont val="Calibri"/>
        <family val="2"/>
        <scheme val="minor"/>
      </rPr>
      <t xml:space="preserve"> </t>
    </r>
    <r>
      <rPr>
        <sz val="12"/>
        <color rgb="FF000000"/>
        <rFont val="Calibri"/>
        <family val="2"/>
        <scheme val="minor"/>
      </rPr>
      <t>whichever is lower</t>
    </r>
  </si>
  <si>
    <r>
      <t xml:space="preserve">1% of SI or Rs. 5000 or Actual salary per week upto </t>
    </r>
    <r>
      <rPr>
        <b/>
        <sz val="12"/>
        <color rgb="FF00B050"/>
        <rFont val="Calibri"/>
        <family val="2"/>
        <scheme val="minor"/>
      </rPr>
      <t xml:space="preserve">100 weeks </t>
    </r>
    <r>
      <rPr>
        <sz val="12"/>
        <color theme="1"/>
        <rFont val="Calibri"/>
        <family val="2"/>
        <scheme val="minor"/>
      </rPr>
      <t>whichever is lower</t>
    </r>
  </si>
  <si>
    <t>Accidental Hospitalization (IPD) 
(min. 24 hours hospitalization)</t>
  </si>
  <si>
    <r>
      <t xml:space="preserve">Reimb upto 50% of the SI or </t>
    </r>
    <r>
      <rPr>
        <b/>
        <sz val="12"/>
        <color rgb="FF92D050"/>
        <rFont val="Calibri"/>
        <family val="2"/>
        <scheme val="minor"/>
      </rPr>
      <t>Rs. 1L</t>
    </r>
    <r>
      <rPr>
        <sz val="12"/>
        <rFont val="Calibri"/>
        <family val="2"/>
        <scheme val="minor"/>
      </rPr>
      <t xml:space="preserve"> whichever is less
</t>
    </r>
    <r>
      <rPr>
        <b/>
        <u/>
        <sz val="12"/>
        <rFont val="Calibri"/>
        <family val="2"/>
        <scheme val="minor"/>
      </rPr>
      <t>Other Benefits:</t>
    </r>
    <r>
      <rPr>
        <u/>
        <sz val="12"/>
        <rFont val="Calibri"/>
        <family val="2"/>
        <scheme val="minor"/>
      </rPr>
      <t xml:space="preserve">
</t>
    </r>
    <r>
      <rPr>
        <b/>
        <sz val="12"/>
        <rFont val="Calibri"/>
        <family val="2"/>
        <scheme val="minor"/>
      </rPr>
      <t>Day Care Procedures</t>
    </r>
    <r>
      <rPr>
        <sz val="12"/>
        <rFont val="Calibri"/>
        <family val="2"/>
        <scheme val="minor"/>
      </rPr>
      <t xml:space="preserve"> - Covered
</t>
    </r>
    <r>
      <rPr>
        <b/>
        <sz val="12"/>
        <rFont val="Calibri"/>
        <family val="2"/>
        <scheme val="minor"/>
      </rPr>
      <t>Pre / Post Hospitalization</t>
    </r>
    <r>
      <rPr>
        <sz val="12"/>
        <rFont val="Calibri"/>
        <family val="2"/>
        <scheme val="minor"/>
      </rPr>
      <t xml:space="preserve"> - 60/90 days
</t>
    </r>
    <r>
      <rPr>
        <b/>
        <sz val="12"/>
        <rFont val="Calibri"/>
        <family val="2"/>
        <scheme val="minor"/>
      </rPr>
      <t>Road Ambulance Charges</t>
    </r>
    <r>
      <rPr>
        <sz val="12"/>
        <rFont val="Calibri"/>
        <family val="2"/>
        <scheme val="minor"/>
      </rPr>
      <t xml:space="preserve"> - Rs.5,000
</t>
    </r>
    <r>
      <rPr>
        <b/>
        <sz val="12"/>
        <rFont val="Calibri"/>
        <family val="2"/>
        <scheme val="minor"/>
      </rPr>
      <t>Domiciliary Hospitalization</t>
    </r>
    <r>
      <rPr>
        <sz val="12"/>
        <rFont val="Calibri"/>
        <family val="2"/>
        <scheme val="minor"/>
      </rPr>
      <t xml:space="preserve"> - Covered
</t>
    </r>
    <r>
      <rPr>
        <b/>
        <sz val="12"/>
        <rFont val="Calibri"/>
        <family val="2"/>
        <scheme val="minor"/>
      </rPr>
      <t>Dental (due to accients)</t>
    </r>
    <r>
      <rPr>
        <sz val="12"/>
        <rFont val="Calibri"/>
        <family val="2"/>
        <scheme val="minor"/>
      </rPr>
      <t xml:space="preserve"> - 100% of SI 
</t>
    </r>
    <r>
      <rPr>
        <b/>
        <sz val="12"/>
        <rFont val="Calibri"/>
        <family val="2"/>
        <scheme val="minor"/>
      </rPr>
      <t>Trauma Counselling</t>
    </r>
    <r>
      <rPr>
        <sz val="12"/>
        <rFont val="Calibri"/>
        <family val="2"/>
        <scheme val="minor"/>
      </rPr>
      <t xml:space="preserve"> - Covered
</t>
    </r>
    <r>
      <rPr>
        <b/>
        <sz val="12"/>
        <rFont val="Calibri"/>
        <family val="2"/>
        <scheme val="minor"/>
      </rPr>
      <t>Second Medical Opinion</t>
    </r>
    <r>
      <rPr>
        <sz val="12"/>
        <rFont val="Calibri"/>
        <family val="2"/>
        <scheme val="minor"/>
      </rPr>
      <t xml:space="preserve"> - Covered
</t>
    </r>
    <r>
      <rPr>
        <b/>
        <sz val="12"/>
        <rFont val="Calibri"/>
        <family val="2"/>
        <scheme val="minor"/>
      </rPr>
      <t>Transport of Imported Medicines</t>
    </r>
    <r>
      <rPr>
        <sz val="12"/>
        <rFont val="Calibri"/>
        <family val="2"/>
        <scheme val="minor"/>
      </rPr>
      <t xml:space="preserve"> - Covered</t>
    </r>
  </si>
  <si>
    <r>
      <t xml:space="preserve">Reimb upto 50% of the SI or </t>
    </r>
    <r>
      <rPr>
        <b/>
        <sz val="12"/>
        <color rgb="FF92D050"/>
        <rFont val="Calibri"/>
        <family val="2"/>
        <scheme val="minor"/>
      </rPr>
      <t>Rs. 2L</t>
    </r>
    <r>
      <rPr>
        <sz val="12"/>
        <rFont val="Calibri"/>
        <family val="2"/>
        <scheme val="minor"/>
      </rPr>
      <t xml:space="preserve"> whichever is less
</t>
    </r>
    <r>
      <rPr>
        <b/>
        <u/>
        <sz val="12"/>
        <rFont val="Calibri"/>
        <family val="2"/>
        <scheme val="minor"/>
      </rPr>
      <t>Other Benefits:</t>
    </r>
    <r>
      <rPr>
        <u/>
        <sz val="12"/>
        <rFont val="Calibri"/>
        <family val="2"/>
        <scheme val="minor"/>
      </rPr>
      <t xml:space="preserve">
</t>
    </r>
    <r>
      <rPr>
        <b/>
        <sz val="12"/>
        <rFont val="Calibri"/>
        <family val="2"/>
        <scheme val="minor"/>
      </rPr>
      <t>Day Care Procedures</t>
    </r>
    <r>
      <rPr>
        <sz val="12"/>
        <rFont val="Calibri"/>
        <family val="2"/>
        <scheme val="minor"/>
      </rPr>
      <t xml:space="preserve"> - Covered
</t>
    </r>
    <r>
      <rPr>
        <b/>
        <sz val="12"/>
        <rFont val="Calibri"/>
        <family val="2"/>
        <scheme val="minor"/>
      </rPr>
      <t>Pre / Post Hospitalization</t>
    </r>
    <r>
      <rPr>
        <sz val="12"/>
        <rFont val="Calibri"/>
        <family val="2"/>
        <scheme val="minor"/>
      </rPr>
      <t xml:space="preserve"> - 60/90 days
</t>
    </r>
    <r>
      <rPr>
        <b/>
        <sz val="12"/>
        <rFont val="Calibri"/>
        <family val="2"/>
        <scheme val="minor"/>
      </rPr>
      <t>Road Ambulance Charges</t>
    </r>
    <r>
      <rPr>
        <sz val="12"/>
        <rFont val="Calibri"/>
        <family val="2"/>
        <scheme val="minor"/>
      </rPr>
      <t xml:space="preserve"> - Rs.5,000
</t>
    </r>
    <r>
      <rPr>
        <b/>
        <sz val="12"/>
        <rFont val="Calibri"/>
        <family val="2"/>
        <scheme val="minor"/>
      </rPr>
      <t>Domiciliary Hospitalization</t>
    </r>
    <r>
      <rPr>
        <sz val="12"/>
        <rFont val="Calibri"/>
        <family val="2"/>
        <scheme val="minor"/>
      </rPr>
      <t xml:space="preserve"> - Covered
</t>
    </r>
    <r>
      <rPr>
        <b/>
        <sz val="12"/>
        <rFont val="Calibri"/>
        <family val="2"/>
        <scheme val="minor"/>
      </rPr>
      <t>Dental (due to accients)</t>
    </r>
    <r>
      <rPr>
        <sz val="12"/>
        <rFont val="Calibri"/>
        <family val="2"/>
        <scheme val="minor"/>
      </rPr>
      <t xml:space="preserve"> - 100% of SI 
</t>
    </r>
    <r>
      <rPr>
        <b/>
        <sz val="12"/>
        <rFont val="Calibri"/>
        <family val="2"/>
        <scheme val="minor"/>
      </rPr>
      <t>Trauma Counselling</t>
    </r>
    <r>
      <rPr>
        <sz val="12"/>
        <rFont val="Calibri"/>
        <family val="2"/>
        <scheme val="minor"/>
      </rPr>
      <t xml:space="preserve"> - Covered
</t>
    </r>
    <r>
      <rPr>
        <b/>
        <sz val="12"/>
        <rFont val="Calibri"/>
        <family val="2"/>
        <scheme val="minor"/>
      </rPr>
      <t>Second Medical Opinion</t>
    </r>
    <r>
      <rPr>
        <sz val="12"/>
        <rFont val="Calibri"/>
        <family val="2"/>
        <scheme val="minor"/>
      </rPr>
      <t xml:space="preserve"> - Covered
</t>
    </r>
    <r>
      <rPr>
        <b/>
        <sz val="12"/>
        <rFont val="Calibri"/>
        <family val="2"/>
        <scheme val="minor"/>
      </rPr>
      <t>Transport of Imported Medicines</t>
    </r>
    <r>
      <rPr>
        <sz val="12"/>
        <rFont val="Calibri"/>
        <family val="2"/>
        <scheme val="minor"/>
      </rPr>
      <t xml:space="preserve"> - Covered
</t>
    </r>
    <r>
      <rPr>
        <b/>
        <sz val="12"/>
        <rFont val="Calibri"/>
        <family val="2"/>
        <scheme val="minor"/>
      </rPr>
      <t>Daily Hospi Cash</t>
    </r>
    <r>
      <rPr>
        <sz val="12"/>
        <rFont val="Calibri"/>
        <family val="2"/>
        <scheme val="minor"/>
      </rPr>
      <t xml:space="preserve"> - Rs. 1,000 per day for 30 days (2x if ICU hospitalisation &gt; 24 hours)</t>
    </r>
  </si>
  <si>
    <r>
      <t xml:space="preserve">Reimb upto </t>
    </r>
    <r>
      <rPr>
        <b/>
        <sz val="12"/>
        <color rgb="FF92D050"/>
        <rFont val="Calibri"/>
        <family val="2"/>
      </rPr>
      <t xml:space="preserve">Rs. 2L </t>
    </r>
    <r>
      <rPr>
        <sz val="12"/>
        <rFont val="Calibri"/>
        <family val="2"/>
      </rPr>
      <t>or actuals whichever is less</t>
    </r>
    <r>
      <rPr>
        <b/>
        <u/>
        <sz val="12"/>
        <rFont val="Calibri"/>
        <family val="2"/>
      </rPr>
      <t xml:space="preserve">
Other Benefits:</t>
    </r>
    <r>
      <rPr>
        <b/>
        <sz val="12"/>
        <rFont val="Calibri"/>
        <family val="2"/>
      </rPr>
      <t xml:space="preserve">
Pre / Post Hospitalization</t>
    </r>
    <r>
      <rPr>
        <sz val="12"/>
        <rFont val="Calibri"/>
        <family val="2"/>
      </rPr>
      <t xml:space="preserve"> - 60/90 days</t>
    </r>
    <r>
      <rPr>
        <b/>
        <sz val="12"/>
        <rFont val="Calibri"/>
        <family val="2"/>
      </rPr>
      <t xml:space="preserve">
Road Ambulance Charges</t>
    </r>
    <r>
      <rPr>
        <sz val="12"/>
        <rFont val="Calibri"/>
        <family val="2"/>
      </rPr>
      <t xml:space="preserve"> - Rs.5,000</t>
    </r>
    <r>
      <rPr>
        <b/>
        <sz val="12"/>
        <rFont val="Calibri"/>
        <family val="2"/>
      </rPr>
      <t xml:space="preserve">
Domiciliary Hospitalization</t>
    </r>
    <r>
      <rPr>
        <sz val="12"/>
        <rFont val="Calibri"/>
        <family val="2"/>
      </rPr>
      <t xml:space="preserve"> - Covered</t>
    </r>
    <r>
      <rPr>
        <b/>
        <sz val="12"/>
        <rFont val="Calibri"/>
        <family val="2"/>
      </rPr>
      <t xml:space="preserve">
Dental (due to accients)</t>
    </r>
    <r>
      <rPr>
        <sz val="12"/>
        <rFont val="Calibri"/>
        <family val="2"/>
      </rPr>
      <t xml:space="preserve"> - 100% of SI upto 15,000</t>
    </r>
    <r>
      <rPr>
        <b/>
        <sz val="12"/>
        <rFont val="Calibri"/>
        <family val="2"/>
      </rPr>
      <t xml:space="preserve">
Trauma Counselling</t>
    </r>
    <r>
      <rPr>
        <sz val="12"/>
        <rFont val="Calibri"/>
        <family val="2"/>
      </rPr>
      <t xml:space="preserve"> - Covered</t>
    </r>
    <r>
      <rPr>
        <b/>
        <sz val="12"/>
        <rFont val="Calibri"/>
        <family val="2"/>
      </rPr>
      <t xml:space="preserve">
Second Medical Opinion</t>
    </r>
    <r>
      <rPr>
        <sz val="12"/>
        <rFont val="Calibri"/>
        <family val="2"/>
      </rPr>
      <t xml:space="preserve"> - Covered</t>
    </r>
    <r>
      <rPr>
        <b/>
        <sz val="12"/>
        <rFont val="Calibri"/>
        <family val="2"/>
      </rPr>
      <t xml:space="preserve">
Daily Hospi Cash</t>
    </r>
    <r>
      <rPr>
        <sz val="12"/>
        <rFont val="Calibri"/>
        <family val="2"/>
      </rPr>
      <t xml:space="preserve"> - Rs. 1,000 per day for 30 days (2x if ICU hospitalisation &gt; 24 hours)</t>
    </r>
  </si>
  <si>
    <r>
      <t xml:space="preserve">Reimb of 10% of SI or 40% of admissible PA claim or actual expense, whichever is lower </t>
    </r>
    <r>
      <rPr>
        <b/>
        <sz val="12"/>
        <color rgb="FFFF0000"/>
        <rFont val="Calibri"/>
        <family val="2"/>
        <scheme val="minor"/>
      </rPr>
      <t>if accidental death or disability</t>
    </r>
  </si>
  <si>
    <r>
      <t xml:space="preserve">Reimb of 10% of SI or 40% of admissible PA claim or actual expense, whichever is lower </t>
    </r>
    <r>
      <rPr>
        <b/>
        <sz val="12"/>
        <color rgb="FFFF0000"/>
        <rFont val="Calibri"/>
        <family val="2"/>
        <scheme val="minor"/>
      </rPr>
      <t>if accidental death or disability</t>
    </r>
    <r>
      <rPr>
        <sz val="12"/>
        <color rgb="FF000000"/>
        <rFont val="Calibri"/>
        <family val="2"/>
        <scheme val="minor"/>
      </rPr>
      <t xml:space="preserve">
OR
Reimb of Actuals upto Rs. 25,000 (no sub-limit) </t>
    </r>
    <r>
      <rPr>
        <b/>
        <sz val="12"/>
        <color rgb="FF00B050"/>
        <rFont val="Calibri"/>
        <family val="2"/>
        <scheme val="minor"/>
      </rPr>
      <t>for any accidental injury</t>
    </r>
  </si>
  <si>
    <t>None</t>
  </si>
  <si>
    <t xml:space="preserve">Accidental Expenses (OPD) </t>
  </si>
  <si>
    <t>NA</t>
  </si>
  <si>
    <r>
      <t xml:space="preserve">Fracture Cover </t>
    </r>
    <r>
      <rPr>
        <sz val="12"/>
        <color rgb="FF000000"/>
        <rFont val="Calibri"/>
        <family val="2"/>
      </rPr>
      <t xml:space="preserve">- </t>
    </r>
    <r>
      <rPr>
        <b/>
        <sz val="12"/>
        <rFont val="Calibri"/>
        <family val="2"/>
      </rPr>
      <t>Upto 10% SI or Rs. 50,000 whichever is lower</t>
    </r>
    <r>
      <rPr>
        <b/>
        <sz val="12"/>
        <color rgb="FF000000"/>
        <rFont val="Calibri"/>
        <family val="2"/>
      </rPr>
      <t xml:space="preserve">
Burns Cover - Upto 10% SI or Rs. 50,000 whichever is lower</t>
    </r>
  </si>
  <si>
    <r>
      <t xml:space="preserve">Medex Cover - Reimb of Actuals upto Rs. 25,000 (no sub-limit) </t>
    </r>
    <r>
      <rPr>
        <b/>
        <sz val="12"/>
        <color rgb="FF00B050"/>
        <rFont val="Calibri"/>
        <family val="2"/>
        <scheme val="minor"/>
      </rPr>
      <t>for any accidental injury</t>
    </r>
  </si>
  <si>
    <r>
      <t xml:space="preserve">Reimb of Actuals upto Rs. 25,000 (no sub-limit) </t>
    </r>
    <r>
      <rPr>
        <b/>
        <sz val="12"/>
        <color rgb="FF00B050"/>
        <rFont val="Calibri"/>
        <family val="2"/>
        <scheme val="minor"/>
      </rPr>
      <t>for any accidental injury</t>
    </r>
  </si>
  <si>
    <t xml:space="preserve">Additional Benefits </t>
  </si>
  <si>
    <r>
      <rPr>
        <b/>
        <sz val="12"/>
        <color rgb="FF000000"/>
        <rFont val="Calibri"/>
        <family val="2"/>
        <scheme val="minor"/>
      </rPr>
      <t>Children Education Benefit</t>
    </r>
    <r>
      <rPr>
        <sz val="12"/>
        <color rgb="FF000000"/>
        <rFont val="Calibri"/>
        <family val="2"/>
        <scheme val="minor"/>
      </rPr>
      <t xml:space="preserve">-  10% of SI upto Rs. 5000 per child (max 2 children)
</t>
    </r>
    <r>
      <rPr>
        <b/>
        <sz val="12"/>
        <color rgb="FF000000"/>
        <rFont val="Calibri"/>
        <family val="2"/>
        <scheme val="minor"/>
      </rPr>
      <t>Compassionate Visit - 10% SI upto Rs. 25,000
Funeral Expenses</t>
    </r>
    <r>
      <rPr>
        <sz val="12"/>
        <color rgb="FF000000"/>
        <rFont val="Calibri"/>
        <family val="2"/>
        <scheme val="minor"/>
      </rPr>
      <t xml:space="preserve"> - upto Rs. 2500
</t>
    </r>
    <r>
      <rPr>
        <b/>
        <sz val="12"/>
        <color rgb="FF000000"/>
        <rFont val="Calibri"/>
        <family val="2"/>
        <scheme val="minor"/>
      </rPr>
      <t xml:space="preserve">Transportation of Dead Body </t>
    </r>
    <r>
      <rPr>
        <sz val="12"/>
        <color rgb="FF000000"/>
        <rFont val="Calibri"/>
        <family val="2"/>
        <scheme val="minor"/>
      </rPr>
      <t xml:space="preserve">- upto Rs.2500
</t>
    </r>
    <r>
      <rPr>
        <b/>
        <sz val="12"/>
        <color rgb="FF000000"/>
        <rFont val="Calibri"/>
        <family val="2"/>
        <scheme val="minor"/>
      </rPr>
      <t xml:space="preserve">Medical Extension - </t>
    </r>
    <r>
      <rPr>
        <sz val="12"/>
        <color rgb="FF000000"/>
        <rFont val="Calibri"/>
        <family val="2"/>
        <scheme val="minor"/>
      </rPr>
      <t xml:space="preserve">40% of death/disability claim amount or 10% of S.I or actual which ever is less triggered only when claim is admissible under benefit table A,B,C or D1
</t>
    </r>
  </si>
  <si>
    <r>
      <rPr>
        <b/>
        <sz val="12"/>
        <color rgb="FF000000"/>
        <rFont val="Calibri"/>
        <family val="2"/>
      </rPr>
      <t>Children Education Benefit</t>
    </r>
    <r>
      <rPr>
        <sz val="12"/>
        <color rgb="FF000000"/>
        <rFont val="Calibri"/>
        <family val="2"/>
      </rPr>
      <t xml:space="preserve">-  10% of SI upto Rs. 5000 per child
</t>
    </r>
    <r>
      <rPr>
        <b/>
        <sz val="12"/>
        <color rgb="FF000000"/>
        <rFont val="Calibri"/>
        <family val="2"/>
      </rPr>
      <t xml:space="preserve">Funeral Expenses </t>
    </r>
    <r>
      <rPr>
        <sz val="12"/>
        <color rgb="FF000000"/>
        <rFont val="Calibri"/>
        <family val="2"/>
      </rPr>
      <t xml:space="preserve">- upto Rs. 5000
</t>
    </r>
    <r>
      <rPr>
        <b/>
        <sz val="12"/>
        <color rgb="FF000000"/>
        <rFont val="Calibri"/>
        <family val="2"/>
      </rPr>
      <t>Transportation of Dead Body</t>
    </r>
    <r>
      <rPr>
        <sz val="12"/>
        <color rgb="FF000000"/>
        <rFont val="Calibri"/>
        <family val="2"/>
      </rPr>
      <t xml:space="preserve"> - upto Rs.5000
</t>
    </r>
    <r>
      <rPr>
        <b/>
        <sz val="12"/>
        <color rgb="FF000000"/>
        <rFont val="Calibri"/>
        <family val="2"/>
      </rPr>
      <t xml:space="preserve">Burns Cover </t>
    </r>
    <r>
      <rPr>
        <sz val="12"/>
        <color rgb="FF000000"/>
        <rFont val="Calibri"/>
        <family val="2"/>
      </rPr>
      <t>- Upto 10% SI Upto 10000</t>
    </r>
    <r>
      <rPr>
        <sz val="12"/>
        <color rgb="FF000000"/>
        <rFont val="Calibri"/>
        <family val="2"/>
      </rPr>
      <t xml:space="preserve">
Compassionate Visit - 10% SI upto Rs. 25,000</t>
    </r>
  </si>
  <si>
    <r>
      <rPr>
        <b/>
        <sz val="12"/>
        <color rgb="FF000000"/>
        <rFont val="Calibri"/>
        <family val="2"/>
      </rPr>
      <t>Children Education Benefit</t>
    </r>
    <r>
      <rPr>
        <sz val="12"/>
        <color rgb="FF000000"/>
        <rFont val="Calibri"/>
        <family val="2"/>
      </rPr>
      <t xml:space="preserve">-  Upto Rs. 10,000 per child
</t>
    </r>
    <r>
      <rPr>
        <b/>
        <sz val="12"/>
        <color rgb="FF000000"/>
        <rFont val="Calibri"/>
        <family val="2"/>
      </rPr>
      <t>Funeral Expenses</t>
    </r>
    <r>
      <rPr>
        <sz val="12"/>
        <color rgb="FF000000"/>
        <rFont val="Calibri"/>
        <family val="2"/>
      </rPr>
      <t xml:space="preserve"> - upto Rs. 10,000
</t>
    </r>
    <r>
      <rPr>
        <b/>
        <sz val="12"/>
        <color rgb="FF000000"/>
        <rFont val="Calibri"/>
        <family val="2"/>
      </rPr>
      <t>Transportation of Dead Body</t>
    </r>
    <r>
      <rPr>
        <sz val="12"/>
        <color rgb="FF000000"/>
        <rFont val="Calibri"/>
        <family val="2"/>
      </rPr>
      <t xml:space="preserve"> - upto Rs.10,000
</t>
    </r>
    <r>
      <rPr>
        <b/>
        <sz val="12"/>
        <color rgb="FF000000"/>
        <rFont val="Calibri"/>
        <family val="2"/>
      </rPr>
      <t xml:space="preserve">Burns Cover - </t>
    </r>
    <r>
      <rPr>
        <sz val="12"/>
        <color rgb="FF000000"/>
        <rFont val="Calibri"/>
        <family val="2"/>
      </rPr>
      <t xml:space="preserve">Upto 10% SI Upto 10000
</t>
    </r>
    <r>
      <rPr>
        <b/>
        <sz val="12"/>
        <color rgb="FF000000"/>
        <rFont val="Calibri"/>
        <family val="2"/>
      </rPr>
      <t>Compassionate Visit</t>
    </r>
    <r>
      <rPr>
        <sz val="12"/>
        <color rgb="FF000000"/>
        <rFont val="Calibri"/>
        <family val="2"/>
      </rPr>
      <t xml:space="preserve"> - 10% SI upto Rs. 25,000
</t>
    </r>
    <r>
      <rPr>
        <b/>
        <sz val="12"/>
        <color rgb="FF000000"/>
        <rFont val="Calibri"/>
        <family val="2"/>
      </rPr>
      <t>Lifestyle modification</t>
    </r>
    <r>
      <rPr>
        <sz val="12"/>
        <color rgb="FF000000"/>
        <rFont val="Calibri"/>
        <family val="2"/>
      </rPr>
      <t xml:space="preserve"> - 10% SI upto Rs. 25,000</t>
    </r>
  </si>
  <si>
    <r>
      <t>Children Education Benefit</t>
    </r>
    <r>
      <rPr>
        <sz val="12"/>
        <color rgb="FF000000"/>
        <rFont val="Calibri"/>
        <family val="2"/>
      </rPr>
      <t>- 10% of SI upto Rs. 5000 per child (max 2 children)</t>
    </r>
    <r>
      <rPr>
        <b/>
        <sz val="12"/>
        <color rgb="FF000000"/>
        <rFont val="Calibri"/>
        <family val="2"/>
      </rPr>
      <t xml:space="preserve">
Funeral Expenses</t>
    </r>
    <r>
      <rPr>
        <sz val="12"/>
        <color rgb="FF000000"/>
        <rFont val="Calibri"/>
        <family val="2"/>
      </rPr>
      <t xml:space="preserve"> - upto Rs. 5,000</t>
    </r>
    <r>
      <rPr>
        <b/>
        <sz val="12"/>
        <color rgb="FF000000"/>
        <rFont val="Calibri"/>
        <family val="2"/>
      </rPr>
      <t xml:space="preserve">
Transportation of Dead Body</t>
    </r>
    <r>
      <rPr>
        <sz val="12"/>
        <color rgb="FF000000"/>
        <rFont val="Calibri"/>
        <family val="2"/>
      </rPr>
      <t xml:space="preserve"> - upto Rs.5000</t>
    </r>
    <r>
      <rPr>
        <b/>
        <sz val="12"/>
        <color rgb="FF000000"/>
        <rFont val="Calibri"/>
        <family val="2"/>
      </rPr>
      <t xml:space="preserve">
Compassionate Visit</t>
    </r>
    <r>
      <rPr>
        <sz val="12"/>
        <color rgb="FF000000"/>
        <rFont val="Calibri"/>
        <family val="2"/>
      </rPr>
      <t xml:space="preserve"> - 5% SI upto Rs. 10,000</t>
    </r>
  </si>
  <si>
    <t>Child Education Benefit
Funeral Expenses
Transportation Cost of Dead Body
Ambulance Charges
Burns Cover</t>
  </si>
  <si>
    <t>Child Education Welfare - Upto Rs. 10,000 per child (Restricted to 2 children)
Transportation Cost of Dead Body - Upto Rs. 2,500/-</t>
  </si>
  <si>
    <t xml:space="preserve">Terrorism </t>
  </si>
  <si>
    <t>Covered
(Terrorism activity arising out of nuclear, biological and/or chemical means is not covered.)</t>
  </si>
  <si>
    <t xml:space="preserve"> Covered
(except not covered arising out Nuclear/Biological or chemical means)</t>
  </si>
  <si>
    <t>Geographical Limit</t>
  </si>
  <si>
    <t>Worldwide</t>
  </si>
  <si>
    <t>India Only</t>
  </si>
  <si>
    <t>India</t>
  </si>
  <si>
    <t xml:space="preserve">Coverage </t>
  </si>
  <si>
    <t>24 x 7 Cover</t>
  </si>
  <si>
    <t>Indicative Risk Class</t>
  </si>
  <si>
    <t>Risk Class 1</t>
  </si>
  <si>
    <t>Risk Class 2</t>
  </si>
  <si>
    <t>Risk Class 3</t>
  </si>
  <si>
    <t>Pan India Coverage</t>
  </si>
  <si>
    <t>Claims Intermediary</t>
  </si>
  <si>
    <t>Emergency Ambulance</t>
  </si>
  <si>
    <t>Midterm addition of parents</t>
  </si>
  <si>
    <t>Individual</t>
  </si>
  <si>
    <r>
      <rPr>
        <b/>
        <sz val="10"/>
        <color theme="1"/>
        <rFont val="Calibri"/>
        <family val="2"/>
      </rPr>
      <t>Normal</t>
    </r>
    <r>
      <rPr>
        <sz val="10"/>
        <color theme="1"/>
        <rFont val="Calibri"/>
        <family val="2"/>
      </rPr>
      <t xml:space="preserve"> - 1% of SI
</t>
    </r>
    <r>
      <rPr>
        <b/>
        <sz val="10"/>
        <color theme="1"/>
        <rFont val="Calibri"/>
        <family val="2"/>
      </rPr>
      <t>ICU</t>
    </r>
    <r>
      <rPr>
        <sz val="10"/>
        <color theme="1"/>
        <rFont val="Calibri"/>
        <family val="2"/>
      </rPr>
      <t xml:space="preserve"> - 2% of SI
(per day)</t>
    </r>
  </si>
  <si>
    <r>
      <rPr>
        <b/>
        <sz val="10"/>
        <color theme="1"/>
        <rFont val="Calibri"/>
        <family val="2"/>
      </rPr>
      <t>Normal</t>
    </r>
    <r>
      <rPr>
        <sz val="10"/>
        <color theme="1"/>
        <rFont val="Calibri"/>
        <family val="2"/>
      </rPr>
      <t xml:space="preserve"> - 2% of SI
</t>
    </r>
    <r>
      <rPr>
        <b/>
        <sz val="10"/>
        <color theme="1"/>
        <rFont val="Calibri"/>
        <family val="2"/>
      </rPr>
      <t>ICU</t>
    </r>
    <r>
      <rPr>
        <sz val="10"/>
        <color theme="1"/>
        <rFont val="Calibri"/>
        <family val="2"/>
      </rPr>
      <t xml:space="preserve"> - 4% of SI
(per day)</t>
    </r>
  </si>
  <si>
    <r>
      <rPr>
        <b/>
        <sz val="10"/>
        <color theme="1"/>
        <rFont val="Calibri"/>
        <family val="2"/>
      </rPr>
      <t>Normal</t>
    </r>
    <r>
      <rPr>
        <sz val="10"/>
        <color theme="1"/>
        <rFont val="Calibri"/>
        <family val="2"/>
      </rPr>
      <t xml:space="preserve"> - Single Pvt. AC
</t>
    </r>
    <r>
      <rPr>
        <b/>
        <sz val="10"/>
        <color theme="1"/>
        <rFont val="Calibri"/>
        <family val="2"/>
      </rPr>
      <t>ICU</t>
    </r>
    <r>
      <rPr>
        <sz val="10"/>
        <color theme="1"/>
        <rFont val="Calibri"/>
        <family val="2"/>
      </rPr>
      <t xml:space="preserve"> - No Capping
(per day)</t>
    </r>
  </si>
  <si>
    <r>
      <rPr>
        <b/>
        <sz val="10"/>
        <color theme="1"/>
        <rFont val="Calibri"/>
        <family val="2"/>
      </rPr>
      <t>Normal</t>
    </r>
    <r>
      <rPr>
        <sz val="10"/>
        <color theme="1"/>
        <rFont val="Calibri"/>
        <family val="2"/>
      </rPr>
      <t xml:space="preserve"> - No Capping
</t>
    </r>
    <r>
      <rPr>
        <b/>
        <sz val="10"/>
        <color theme="1"/>
        <rFont val="Calibri"/>
        <family val="2"/>
      </rPr>
      <t>ICU</t>
    </r>
    <r>
      <rPr>
        <sz val="10"/>
        <color theme="1"/>
        <rFont val="Calibri"/>
        <family val="2"/>
      </rPr>
      <t xml:space="preserve"> - No Capping</t>
    </r>
  </si>
  <si>
    <t>5% Co-Pay</t>
  </si>
  <si>
    <t>10% Co-Pay</t>
  </si>
  <si>
    <t>15% Co-Pay</t>
  </si>
  <si>
    <t>20% Co-Pay</t>
  </si>
  <si>
    <t>Not Allowed</t>
  </si>
  <si>
    <t xml:space="preserve">✔ </t>
  </si>
  <si>
    <t>✔ 
(Listed Procedures Only)</t>
  </si>
  <si>
    <t>✖</t>
  </si>
  <si>
    <t>30/60 days</t>
  </si>
  <si>
    <t>Bajaj General</t>
  </si>
  <si>
    <t>Bajaj General (SME Exclusive)</t>
  </si>
  <si>
    <t>If eye power +/- 5</t>
  </si>
  <si>
    <t>ICICI  Lombard (SME Exclusive)</t>
  </si>
  <si>
    <t>X</t>
  </si>
  <si>
    <t>Covered upto 10% of maternity within maternity limit</t>
  </si>
  <si>
    <t>50% of SI</t>
  </si>
  <si>
    <t>Upto Rs. 100k</t>
  </si>
  <si>
    <t>ICICI Lombard (HRMS Exclusive)</t>
  </si>
  <si>
    <t>For SI 1/2/3 lac - Rs. 5,000 for Normal, 
Rs. 10,000 for ICU
For SI 5 lac - Single Private AC, 
No Limit for ICU</t>
  </si>
  <si>
    <t>Inhouse</t>
  </si>
  <si>
    <t>✖
(Disease Capping Limits Apply)</t>
  </si>
  <si>
    <r>
      <t xml:space="preserve">Included 
</t>
    </r>
    <r>
      <rPr>
        <sz val="8"/>
        <color theme="1"/>
        <rFont val="Calibri"/>
        <family val="2"/>
        <scheme val="minor"/>
      </rPr>
      <t>(min. 24 hours in-patient hospitalisation)</t>
    </r>
  </si>
  <si>
    <t>Optional -50k 
(with extra loading)</t>
  </si>
  <si>
    <t xml:space="preserve"> NIL for accidental hospitalization
30 days for any other hospitalization </t>
  </si>
  <si>
    <t>Rolling forward addition (Annual)
Pro-rata deletion</t>
  </si>
  <si>
    <t>Magma</t>
  </si>
  <si>
    <t>6,500+ Hopsitals</t>
  </si>
  <si>
    <t>For SI 1 lac - Rs. 2,000 for Normal, 
Rs. 4,000 for ICU
For SI 2/3 lac - Rs. 5,000 for Normal, 
Rs. 10,000 for ICU</t>
  </si>
  <si>
    <t>Nil</t>
  </si>
  <si>
    <t>For SI 1 lac - Rs. 2,000 for Normal, 
Rs. 4,000 for ICU
For SI 2 lac/ 3 lac - Rs. 5,000 for Normal, 
Rs. 10,000 for ICU
For SI 5 lac - Single Private AC,
No Limit for ICU</t>
  </si>
  <si>
    <t>8300+ Hospitals</t>
  </si>
  <si>
    <r>
      <t xml:space="preserve">Optional - 35K, 50K, 75K
</t>
    </r>
    <r>
      <rPr>
        <sz val="11"/>
        <color theme="1"/>
        <rFont val="Calibri"/>
        <family val="2"/>
        <scheme val="minor"/>
      </rPr>
      <t>(with extra loading)</t>
    </r>
  </si>
  <si>
    <t>New India</t>
  </si>
  <si>
    <t>=INDEX('BASE GHI 'BASE GHI TP'!A3TP'!$A$3:$BS$24,MATCH('GHI Policy Features (Option 1)'!F$9,'BASE GHI TP'!$A$3:$A$24,0),MATCH('GHI Policy Features (Option 1)'!$E31,'BASE GHI TP'!$A$3:$BS$3,0))</t>
  </si>
  <si>
    <t>Indusind General</t>
  </si>
  <si>
    <t>23,000+ Hospitals</t>
  </si>
  <si>
    <t>60/90 days</t>
  </si>
  <si>
    <t>1% of SI or Rs. 1k</t>
  </si>
  <si>
    <t>Upto Actuals</t>
  </si>
  <si>
    <t>ICICI Prudential</t>
  </si>
  <si>
    <t>Sum Insured</t>
  </si>
  <si>
    <t>Rs. 5 Lacs</t>
  </si>
  <si>
    <t>Net Premium</t>
  </si>
  <si>
    <t>Total Number Of Lives</t>
  </si>
  <si>
    <t>Premium Per Life</t>
  </si>
  <si>
    <t>Background</t>
  </si>
  <si>
    <t>Credibility</t>
  </si>
  <si>
    <t>GHI Book size (FY25)</t>
  </si>
  <si>
    <t>GHI Growth Rate (FY25)</t>
  </si>
  <si>
    <t>Solvency Ratio (Mar-25)
(IRDAI recommended: &gt;1.5)</t>
  </si>
  <si>
    <t>Claims</t>
  </si>
  <si>
    <t>Magma (Pro Plan) - NEE Group</t>
  </si>
  <si>
    <t>10 Lacs</t>
  </si>
  <si>
    <t>Avg. Premium Per Employee</t>
  </si>
  <si>
    <t>Premium Per Mille</t>
  </si>
  <si>
    <t xml:space="preserve">  Policy Features - Group Personal Accident Insurance </t>
  </si>
  <si>
    <t>Key Benefits</t>
  </si>
  <si>
    <t>Coverage</t>
  </si>
  <si>
    <t xml:space="preserve">Risk Inncidence </t>
  </si>
  <si>
    <r>
      <t>1% of SI or Rs. 5000 or Actual salary per week upto</t>
    </r>
    <r>
      <rPr>
        <sz val="11"/>
        <color rgb="FFFF0000"/>
        <rFont val="Calibri"/>
        <family val="2"/>
        <scheme val="minor"/>
      </rPr>
      <t xml:space="preserve"> </t>
    </r>
    <r>
      <rPr>
        <b/>
        <sz val="11"/>
        <color rgb="FF00B050"/>
        <rFont val="Calibri"/>
        <family val="2"/>
        <scheme val="minor"/>
      </rPr>
      <t>104 weeks</t>
    </r>
    <r>
      <rPr>
        <sz val="11"/>
        <color rgb="FFFF0000"/>
        <rFont val="Calibri"/>
        <family val="2"/>
        <scheme val="minor"/>
      </rPr>
      <t xml:space="preserve"> </t>
    </r>
    <r>
      <rPr>
        <sz val="11"/>
        <color theme="1"/>
        <rFont val="Calibri"/>
        <family val="2"/>
        <scheme val="minor"/>
      </rPr>
      <t>whichever is lower</t>
    </r>
  </si>
  <si>
    <r>
      <t xml:space="preserve">Reimb of 10% of SI or 40% of admissible PA claim or actual expense, whichever is lower </t>
    </r>
    <r>
      <rPr>
        <b/>
        <sz val="11"/>
        <color rgb="FFFF0000"/>
        <rFont val="Calibri"/>
        <family val="2"/>
        <scheme val="minor"/>
      </rPr>
      <t>if accidental death or disability</t>
    </r>
  </si>
  <si>
    <t>Covered
(In Case of Graded SI)</t>
  </si>
  <si>
    <t>• Child Education Benefit
• Funeral Expenses
• Transportation Cost of Dead Body
• Ambulance Charges
• Burns Cover</t>
  </si>
  <si>
    <r>
      <t xml:space="preserve">1% of SI or Rs. 5000 or Actual salary per week upto </t>
    </r>
    <r>
      <rPr>
        <b/>
        <sz val="11"/>
        <color rgb="FF00B050"/>
        <rFont val="Calibri"/>
        <family val="2"/>
        <scheme val="minor"/>
      </rPr>
      <t xml:space="preserve">100 weeks </t>
    </r>
    <r>
      <rPr>
        <sz val="11"/>
        <color theme="1"/>
        <rFont val="Calibri"/>
        <family val="2"/>
        <scheme val="minor"/>
      </rPr>
      <t>whichever is lower</t>
    </r>
  </si>
  <si>
    <t>Payable upto Rs.25000 or Less</t>
  </si>
  <si>
    <t>• Child Education Welfare - Upto Rs. 10,000 per child (Restricted to 2 children)
• Transportation Cost of Dead Body - Upto Rs. 2,500/-</t>
  </si>
  <si>
    <t>Magma (Basic Plan)</t>
  </si>
  <si>
    <t>10% of SI or 40% of admissible claim amount or actuals whichever is lower</t>
  </si>
  <si>
    <r>
      <rPr>
        <b/>
        <sz val="11"/>
        <color rgb="FF000000"/>
        <rFont val="Calibri"/>
        <family val="2"/>
        <scheme val="minor"/>
      </rPr>
      <t>• Children Education Benefit</t>
    </r>
    <r>
      <rPr>
        <sz val="11"/>
        <color rgb="FF000000"/>
        <rFont val="Calibri"/>
        <family val="2"/>
        <scheme val="minor"/>
      </rPr>
      <t xml:space="preserve">-  10% of SI upto Rs. 5000 per child (max 2 children)
</t>
    </r>
    <r>
      <rPr>
        <b/>
        <sz val="11"/>
        <color rgb="FF000000"/>
        <rFont val="Calibri"/>
        <family val="2"/>
        <scheme val="minor"/>
      </rPr>
      <t>• Compassionate Visit - 10% SI upto Rs. 10,000
• Funeral Expenses</t>
    </r>
    <r>
      <rPr>
        <sz val="11"/>
        <color rgb="FF000000"/>
        <rFont val="Calibri"/>
        <family val="2"/>
        <scheme val="minor"/>
      </rPr>
      <t xml:space="preserve"> - upto Rs. 2500
</t>
    </r>
    <r>
      <rPr>
        <b/>
        <sz val="11"/>
        <color rgb="FF000000"/>
        <rFont val="Calibri"/>
        <family val="2"/>
        <scheme val="minor"/>
      </rPr>
      <t xml:space="preserve">• Transportation of Dead Body </t>
    </r>
    <r>
      <rPr>
        <sz val="11"/>
        <color rgb="FF000000"/>
        <rFont val="Calibri"/>
        <family val="2"/>
        <scheme val="minor"/>
      </rPr>
      <t>- upto Rs.2500</t>
    </r>
  </si>
  <si>
    <t>Magma (Standard Plan)</t>
  </si>
  <si>
    <r>
      <t xml:space="preserve">Reimb upto 50% of the SI or </t>
    </r>
    <r>
      <rPr>
        <b/>
        <sz val="11"/>
        <color rgb="FF92D050"/>
        <rFont val="Calibri"/>
        <family val="2"/>
        <scheme val="minor"/>
      </rPr>
      <t>Rs. 1L</t>
    </r>
    <r>
      <rPr>
        <sz val="11"/>
        <rFont val="Calibri"/>
        <family val="2"/>
        <scheme val="minor"/>
      </rPr>
      <t xml:space="preserve"> whichever is less
</t>
    </r>
    <r>
      <rPr>
        <b/>
        <u/>
        <sz val="11"/>
        <rFont val="Calibri"/>
        <family val="2"/>
        <scheme val="minor"/>
      </rPr>
      <t>Other Benefits:</t>
    </r>
    <r>
      <rPr>
        <u/>
        <sz val="11"/>
        <rFont val="Calibri"/>
        <family val="2"/>
        <scheme val="minor"/>
      </rPr>
      <t xml:space="preserve">
</t>
    </r>
    <r>
      <rPr>
        <b/>
        <sz val="11"/>
        <rFont val="Calibri"/>
        <family val="2"/>
        <scheme val="minor"/>
      </rPr>
      <t>• Day Care Procedures</t>
    </r>
    <r>
      <rPr>
        <sz val="11"/>
        <rFont val="Calibri"/>
        <family val="2"/>
        <scheme val="minor"/>
      </rPr>
      <t xml:space="preserve"> - Covered
</t>
    </r>
    <r>
      <rPr>
        <b/>
        <sz val="11"/>
        <rFont val="Calibri"/>
        <family val="2"/>
        <scheme val="minor"/>
      </rPr>
      <t>• Pre / Post Hospitalization</t>
    </r>
    <r>
      <rPr>
        <sz val="11"/>
        <rFont val="Calibri"/>
        <family val="2"/>
        <scheme val="minor"/>
      </rPr>
      <t xml:space="preserve"> - 60/90 days
</t>
    </r>
    <r>
      <rPr>
        <b/>
        <sz val="11"/>
        <rFont val="Calibri"/>
        <family val="2"/>
        <scheme val="minor"/>
      </rPr>
      <t>• Road Ambulance Charges</t>
    </r>
    <r>
      <rPr>
        <sz val="11"/>
        <rFont val="Calibri"/>
        <family val="2"/>
        <scheme val="minor"/>
      </rPr>
      <t xml:space="preserve"> - Rs.5,000
</t>
    </r>
    <r>
      <rPr>
        <b/>
        <sz val="11"/>
        <rFont val="Calibri"/>
        <family val="2"/>
        <scheme val="minor"/>
      </rPr>
      <t>• Domiciliary Hospitalization</t>
    </r>
    <r>
      <rPr>
        <sz val="11"/>
        <rFont val="Calibri"/>
        <family val="2"/>
        <scheme val="minor"/>
      </rPr>
      <t xml:space="preserve"> - Covered
</t>
    </r>
    <r>
      <rPr>
        <b/>
        <sz val="11"/>
        <rFont val="Calibri"/>
        <family val="2"/>
        <scheme val="minor"/>
      </rPr>
      <t>• Dental (due to accients)</t>
    </r>
    <r>
      <rPr>
        <sz val="11"/>
        <rFont val="Calibri"/>
        <family val="2"/>
        <scheme val="minor"/>
      </rPr>
      <t xml:space="preserve"> - 100% of SI 
</t>
    </r>
    <r>
      <rPr>
        <b/>
        <sz val="11"/>
        <rFont val="Calibri"/>
        <family val="2"/>
        <scheme val="minor"/>
      </rPr>
      <t>• Trauma Counselling</t>
    </r>
    <r>
      <rPr>
        <sz val="11"/>
        <rFont val="Calibri"/>
        <family val="2"/>
        <scheme val="minor"/>
      </rPr>
      <t xml:space="preserve"> - Covered
</t>
    </r>
    <r>
      <rPr>
        <b/>
        <sz val="11"/>
        <rFont val="Calibri"/>
        <family val="2"/>
        <scheme val="minor"/>
      </rPr>
      <t>• Second Medical Opinion</t>
    </r>
    <r>
      <rPr>
        <sz val="11"/>
        <rFont val="Calibri"/>
        <family val="2"/>
        <scheme val="minor"/>
      </rPr>
      <t xml:space="preserve"> - Covered
</t>
    </r>
    <r>
      <rPr>
        <b/>
        <sz val="11"/>
        <rFont val="Calibri"/>
        <family val="2"/>
        <scheme val="minor"/>
      </rPr>
      <t>• Transport of Imported Medicines</t>
    </r>
    <r>
      <rPr>
        <sz val="11"/>
        <rFont val="Calibri"/>
        <family val="2"/>
        <scheme val="minor"/>
      </rPr>
      <t xml:space="preserve"> - Covered</t>
    </r>
  </si>
  <si>
    <t>Magma (Pro Plan)</t>
  </si>
  <si>
    <r>
      <rPr>
        <sz val="11"/>
        <color rgb="FF000000"/>
        <rFont val="Calibri"/>
        <family val="2"/>
      </rPr>
      <t xml:space="preserve">1% of SI or </t>
    </r>
    <r>
      <rPr>
        <b/>
        <sz val="11"/>
        <color rgb="FF92D050"/>
        <rFont val="Calibri"/>
        <family val="2"/>
      </rPr>
      <t>Rs. 10,000</t>
    </r>
    <r>
      <rPr>
        <sz val="11"/>
        <color rgb="FF000000"/>
        <rFont val="Calibri"/>
        <family val="2"/>
      </rPr>
      <t xml:space="preserve"> per week or actual salary, whichever is lower for 104 weeks</t>
    </r>
  </si>
  <si>
    <r>
      <t xml:space="preserve">Reimb upto 50% of the SI or </t>
    </r>
    <r>
      <rPr>
        <b/>
        <sz val="11"/>
        <color rgb="FF92D050"/>
        <rFont val="Calibri"/>
        <family val="2"/>
        <scheme val="minor"/>
      </rPr>
      <t>Rs. 2L</t>
    </r>
    <r>
      <rPr>
        <sz val="11"/>
        <rFont val="Calibri"/>
        <family val="2"/>
        <scheme val="minor"/>
      </rPr>
      <t xml:space="preserve"> whichever is less
</t>
    </r>
    <r>
      <rPr>
        <b/>
        <u/>
        <sz val="11"/>
        <rFont val="Calibri"/>
        <family val="2"/>
        <scheme val="minor"/>
      </rPr>
      <t>Other Benefits:</t>
    </r>
    <r>
      <rPr>
        <u/>
        <sz val="11"/>
        <rFont val="Calibri"/>
        <family val="2"/>
        <scheme val="minor"/>
      </rPr>
      <t xml:space="preserve">
</t>
    </r>
    <r>
      <rPr>
        <b/>
        <sz val="11"/>
        <rFont val="Calibri"/>
        <family val="2"/>
        <scheme val="minor"/>
      </rPr>
      <t>• Day Care Procedures</t>
    </r>
    <r>
      <rPr>
        <sz val="11"/>
        <rFont val="Calibri"/>
        <family val="2"/>
        <scheme val="minor"/>
      </rPr>
      <t xml:space="preserve"> - Covered
</t>
    </r>
    <r>
      <rPr>
        <b/>
        <sz val="11"/>
        <rFont val="Calibri"/>
        <family val="2"/>
        <scheme val="minor"/>
      </rPr>
      <t>• Pre / Post Hospitalization</t>
    </r>
    <r>
      <rPr>
        <sz val="11"/>
        <rFont val="Calibri"/>
        <family val="2"/>
        <scheme val="minor"/>
      </rPr>
      <t xml:space="preserve"> - 60/90 days
</t>
    </r>
    <r>
      <rPr>
        <b/>
        <sz val="11"/>
        <rFont val="Calibri"/>
        <family val="2"/>
        <scheme val="minor"/>
      </rPr>
      <t>• Road Ambulance Charges</t>
    </r>
    <r>
      <rPr>
        <sz val="11"/>
        <rFont val="Calibri"/>
        <family val="2"/>
        <scheme val="minor"/>
      </rPr>
      <t xml:space="preserve"> - Rs.5,000
</t>
    </r>
    <r>
      <rPr>
        <b/>
        <sz val="11"/>
        <rFont val="Calibri"/>
        <family val="2"/>
        <scheme val="minor"/>
      </rPr>
      <t>• Domiciliary Hospitalization</t>
    </r>
    <r>
      <rPr>
        <sz val="11"/>
        <rFont val="Calibri"/>
        <family val="2"/>
        <scheme val="minor"/>
      </rPr>
      <t xml:space="preserve"> - Covered
</t>
    </r>
    <r>
      <rPr>
        <b/>
        <sz val="11"/>
        <rFont val="Calibri"/>
        <family val="2"/>
        <scheme val="minor"/>
      </rPr>
      <t>• Dental (due to accients)</t>
    </r>
    <r>
      <rPr>
        <sz val="11"/>
        <rFont val="Calibri"/>
        <family val="2"/>
        <scheme val="minor"/>
      </rPr>
      <t xml:space="preserve"> - 100% of SI 
</t>
    </r>
    <r>
      <rPr>
        <b/>
        <sz val="11"/>
        <rFont val="Calibri"/>
        <family val="2"/>
        <scheme val="minor"/>
      </rPr>
      <t>• Trauma Counselling</t>
    </r>
    <r>
      <rPr>
        <sz val="11"/>
        <rFont val="Calibri"/>
        <family val="2"/>
        <scheme val="minor"/>
      </rPr>
      <t xml:space="preserve"> - Covered
</t>
    </r>
    <r>
      <rPr>
        <b/>
        <sz val="11"/>
        <rFont val="Calibri"/>
        <family val="2"/>
        <scheme val="minor"/>
      </rPr>
      <t>• Second Medical Opinion</t>
    </r>
    <r>
      <rPr>
        <sz val="11"/>
        <rFont val="Calibri"/>
        <family val="2"/>
        <scheme val="minor"/>
      </rPr>
      <t xml:space="preserve"> - Covered
</t>
    </r>
    <r>
      <rPr>
        <b/>
        <sz val="11"/>
        <rFont val="Calibri"/>
        <family val="2"/>
        <scheme val="minor"/>
      </rPr>
      <t>• Transport of Imported Medicines</t>
    </r>
    <r>
      <rPr>
        <sz val="11"/>
        <rFont val="Calibri"/>
        <family val="2"/>
        <scheme val="minor"/>
      </rPr>
      <t xml:space="preserve"> - Covered
</t>
    </r>
    <r>
      <rPr>
        <b/>
        <sz val="11"/>
        <rFont val="Calibri"/>
        <family val="2"/>
        <scheme val="minor"/>
      </rPr>
      <t>• Daily Hospi Cash</t>
    </r>
    <r>
      <rPr>
        <sz val="11"/>
        <rFont val="Calibri"/>
        <family val="2"/>
        <scheme val="minor"/>
      </rPr>
      <t xml:space="preserve"> - Rs. 1,000 per day for 30 days (2x if ICU hospitalisation &gt; 24 hours)</t>
    </r>
  </si>
  <si>
    <r>
      <rPr>
        <b/>
        <sz val="11"/>
        <color rgb="FF000000"/>
        <rFont val="Calibri"/>
        <family val="2"/>
      </rPr>
      <t>• Children Education Benefit</t>
    </r>
    <r>
      <rPr>
        <sz val="11"/>
        <color rgb="FF000000"/>
        <rFont val="Calibri"/>
        <family val="2"/>
      </rPr>
      <t xml:space="preserve">-  Upto Rs. 10,000 per child
</t>
    </r>
    <r>
      <rPr>
        <b/>
        <sz val="11"/>
        <color rgb="FF000000"/>
        <rFont val="Calibri"/>
        <family val="2"/>
      </rPr>
      <t>• Funeral Expenses</t>
    </r>
    <r>
      <rPr>
        <sz val="11"/>
        <color rgb="FF000000"/>
        <rFont val="Calibri"/>
        <family val="2"/>
      </rPr>
      <t xml:space="preserve"> - upto Rs. 10,000
</t>
    </r>
    <r>
      <rPr>
        <b/>
        <sz val="11"/>
        <color rgb="FF000000"/>
        <rFont val="Calibri"/>
        <family val="2"/>
      </rPr>
      <t>• Transportation of Dead Body</t>
    </r>
    <r>
      <rPr>
        <sz val="11"/>
        <color rgb="FF000000"/>
        <rFont val="Calibri"/>
        <family val="2"/>
      </rPr>
      <t xml:space="preserve"> - upto Rs.10,000
</t>
    </r>
    <r>
      <rPr>
        <b/>
        <sz val="11"/>
        <color rgb="FF000000"/>
        <rFont val="Calibri"/>
        <family val="2"/>
      </rPr>
      <t xml:space="preserve">• Burns Cover - </t>
    </r>
    <r>
      <rPr>
        <sz val="11"/>
        <color rgb="FF000000"/>
        <rFont val="Calibri"/>
        <family val="2"/>
      </rPr>
      <t xml:space="preserve">Upto 10% SI Upto 10000
</t>
    </r>
    <r>
      <rPr>
        <b/>
        <sz val="11"/>
        <color rgb="FF000000"/>
        <rFont val="Calibri"/>
        <family val="2"/>
      </rPr>
      <t>• Compassionate Visit</t>
    </r>
    <r>
      <rPr>
        <sz val="11"/>
        <color rgb="FF000000"/>
        <rFont val="Calibri"/>
        <family val="2"/>
      </rPr>
      <t xml:space="preserve"> - 10% SI upto Rs. 25,000
</t>
    </r>
    <r>
      <rPr>
        <b/>
        <sz val="11"/>
        <color rgb="FF000000"/>
        <rFont val="Calibri"/>
        <family val="2"/>
      </rPr>
      <t>• Lifestyle modification</t>
    </r>
    <r>
      <rPr>
        <sz val="11"/>
        <color rgb="FF000000"/>
        <rFont val="Calibri"/>
        <family val="2"/>
      </rPr>
      <t xml:space="preserve"> - 10% SI upto Rs. 25,000</t>
    </r>
  </si>
  <si>
    <t>Magma (Basic Plan) - NEE Group</t>
  </si>
  <si>
    <t>Monthly: Risk Class 1 - 0.019 per mile
                   Risk Class 2 - 0.021 per mile
Annual: Risk Class 1 - 0.16 per mille
                Risk Class 2 - 0.18 per mille</t>
  </si>
  <si>
    <t>Not covered</t>
  </si>
  <si>
    <t>Rolling forward addition
No Deletion</t>
  </si>
  <si>
    <t>Monthly: Risk Class 1 - 0.04 per mile
                   Risk Class 2 - 0.05 per mile
Annual: Risk Class 1 - 0.33 per mille
                Risk Class 2 - 0.36 per mille</t>
  </si>
  <si>
    <r>
      <rPr>
        <sz val="11"/>
        <color rgb="FF000000"/>
        <rFont val="Calibri"/>
        <family val="2"/>
        <scheme val="minor"/>
      </rPr>
      <t xml:space="preserve">Reimb upto 50% of the SI or </t>
    </r>
    <r>
      <rPr>
        <sz val="11"/>
        <color rgb="FFFF0000"/>
        <rFont val="Calibri"/>
        <family val="2"/>
        <scheme val="minor"/>
      </rPr>
      <t xml:space="preserve">50% of admissable claims </t>
    </r>
    <r>
      <rPr>
        <sz val="11"/>
        <color rgb="FF000000"/>
        <rFont val="Calibri"/>
        <family val="2"/>
        <scheme val="minor"/>
      </rPr>
      <t xml:space="preserve">or upto </t>
    </r>
    <r>
      <rPr>
        <b/>
        <sz val="11"/>
        <color rgb="FF92D050"/>
        <rFont val="Calibri"/>
        <family val="2"/>
        <scheme val="minor"/>
      </rPr>
      <t>Rs. 1L</t>
    </r>
    <r>
      <rPr>
        <sz val="11"/>
        <color rgb="FF000000"/>
        <rFont val="Calibri"/>
        <family val="2"/>
        <scheme val="minor"/>
      </rPr>
      <t xml:space="preserve"> whichever is less
</t>
    </r>
    <r>
      <rPr>
        <b/>
        <u/>
        <sz val="11"/>
        <color rgb="FF000000"/>
        <rFont val="Calibri"/>
        <family val="2"/>
        <scheme val="minor"/>
      </rPr>
      <t xml:space="preserve">Other Benefits:
</t>
    </r>
    <r>
      <rPr>
        <b/>
        <sz val="11"/>
        <color rgb="FF000000"/>
        <rFont val="Calibri"/>
        <family val="2"/>
        <scheme val="minor"/>
      </rPr>
      <t xml:space="preserve">Road Ambulance Charges </t>
    </r>
    <r>
      <rPr>
        <sz val="11"/>
        <color rgb="FF000000"/>
        <rFont val="Calibri"/>
        <family val="2"/>
        <scheme val="minor"/>
      </rPr>
      <t xml:space="preserve">- Rs.3,000 or actuals, whichever is lower
</t>
    </r>
    <r>
      <rPr>
        <b/>
        <sz val="11"/>
        <color rgb="FF000000"/>
        <rFont val="Calibri"/>
        <family val="2"/>
        <scheme val="minor"/>
      </rPr>
      <t>Daily Hospicash</t>
    </r>
    <r>
      <rPr>
        <sz val="11"/>
        <color rgb="FF000000"/>
        <rFont val="Calibri"/>
        <family val="2"/>
        <scheme val="minor"/>
      </rPr>
      <t xml:space="preserve"> - Rs.1,000/- per day to the actual number of days or 30 days, whichever is lower subject to minimum of 1 day continous hospitalization (2X if ICU hospitalisation&gt;24 hours)</t>
    </r>
  </si>
  <si>
    <r>
      <rPr>
        <b/>
        <sz val="11"/>
        <color theme="1"/>
        <rFont val="Calibri"/>
        <family val="2"/>
        <scheme val="minor"/>
      </rPr>
      <t>Fracture Indemnity Cover</t>
    </r>
    <r>
      <rPr>
        <sz val="11"/>
        <color theme="1"/>
        <rFont val="Calibri"/>
        <family val="2"/>
        <scheme val="minor"/>
      </rPr>
      <t xml:space="preserve"> - Upto 10% of SI or Rs.25000, whichever is lower
</t>
    </r>
    <r>
      <rPr>
        <b/>
        <sz val="11"/>
        <color theme="1"/>
        <rFont val="Calibri"/>
        <family val="2"/>
        <scheme val="minor"/>
      </rPr>
      <t>Burn Cover</t>
    </r>
    <r>
      <rPr>
        <sz val="11"/>
        <color theme="1"/>
        <rFont val="Calibri"/>
        <family val="2"/>
        <scheme val="minor"/>
      </rPr>
      <t xml:space="preserve"> - Upto 10% of SI or Rs.25000, whichever is lower </t>
    </r>
  </si>
  <si>
    <r>
      <rPr>
        <b/>
        <sz val="11"/>
        <color rgb="FF000000"/>
        <rFont val="Calibri"/>
        <family val="2"/>
        <scheme val="minor"/>
      </rPr>
      <t>Children Education Benefit</t>
    </r>
    <r>
      <rPr>
        <sz val="11"/>
        <color rgb="FF000000"/>
        <rFont val="Calibri"/>
        <family val="2"/>
        <scheme val="minor"/>
      </rPr>
      <t>-  10% of SI or upto Rs. 5000 per child (max 2 children</t>
    </r>
    <r>
      <rPr>
        <b/>
        <sz val="11"/>
        <color rgb="FF000000"/>
        <rFont val="Calibri"/>
        <family val="2"/>
        <scheme val="minor"/>
      </rPr>
      <t>)
Compassionate Visit</t>
    </r>
    <r>
      <rPr>
        <sz val="11"/>
        <color rgb="FF000000"/>
        <rFont val="Calibri"/>
        <family val="2"/>
        <scheme val="minor"/>
      </rPr>
      <t xml:space="preserve"> - 5% of SI upto Rs. 10,000, min. distance in excess of 500 kms
</t>
    </r>
    <r>
      <rPr>
        <b/>
        <sz val="11"/>
        <color rgb="FF000000"/>
        <rFont val="Calibri"/>
        <family val="2"/>
        <scheme val="minor"/>
      </rPr>
      <t>Funeral Expenses</t>
    </r>
    <r>
      <rPr>
        <sz val="11"/>
        <color rgb="FF000000"/>
        <rFont val="Calibri"/>
        <family val="2"/>
        <scheme val="minor"/>
      </rPr>
      <t xml:space="preserve"> - upto Rs. 5000 or actuals, whichever is lower
</t>
    </r>
    <r>
      <rPr>
        <b/>
        <sz val="11"/>
        <color rgb="FF000000"/>
        <rFont val="Calibri"/>
        <family val="2"/>
        <scheme val="minor"/>
      </rPr>
      <t>Transportation of Dead Body</t>
    </r>
    <r>
      <rPr>
        <sz val="11"/>
        <color rgb="FF000000"/>
        <rFont val="Calibri"/>
        <family val="2"/>
        <scheme val="minor"/>
      </rPr>
      <t xml:space="preserve"> - upto Rs. 5000 or actuals, whichever is lower.</t>
    </r>
  </si>
  <si>
    <t>Credit Access Life (Exclusive)</t>
  </si>
  <si>
    <t>Kotak Life</t>
  </si>
  <si>
    <t>Annual Premium Excl. GST</t>
  </si>
  <si>
    <t>300
(X members require medical examination &gt; Free Cover Limit)</t>
  </si>
  <si>
    <t>Avg. Premium Per Employee (in INR)</t>
  </si>
  <si>
    <t>Premium Per Mille (in INR)</t>
  </si>
  <si>
    <t>Policy Features - Group Term Life Insurance</t>
  </si>
  <si>
    <t>Key Terms</t>
  </si>
  <si>
    <t>Age Band</t>
  </si>
  <si>
    <t>Lumpsum Fixed benefits</t>
  </si>
  <si>
    <t>Terminal Illness Benefit
(Life expectancy &lt; 12 months)</t>
  </si>
  <si>
    <t>Critical Illness Benefit
(Severe but not terminal)</t>
  </si>
  <si>
    <t>Pre-requisites for claim</t>
  </si>
  <si>
    <t xml:space="preserve">Other Conditions </t>
  </si>
  <si>
    <t>Quote Validity</t>
  </si>
  <si>
    <t>Risk Incidence</t>
  </si>
  <si>
    <t>Healthysure x Even OPD</t>
  </si>
  <si>
    <t>Silver</t>
  </si>
  <si>
    <t>Gold</t>
  </si>
  <si>
    <t>Platinum</t>
  </si>
  <si>
    <t>Previous Year</t>
  </si>
  <si>
    <t>3k</t>
  </si>
  <si>
    <t>15k</t>
  </si>
  <si>
    <t>30k</t>
  </si>
  <si>
    <t>Total No. of Employees</t>
  </si>
  <si>
    <t>Premium per Employee (excl GST)</t>
  </si>
  <si>
    <t>Policy Features - OPD Insurance</t>
  </si>
  <si>
    <t>ESC</t>
  </si>
  <si>
    <t>Waiting Periods</t>
  </si>
  <si>
    <t>Corporate Plan</t>
  </si>
  <si>
    <t>Day 1</t>
  </si>
  <si>
    <t>Cashless</t>
  </si>
  <si>
    <t>Pay Anywhere in India</t>
  </si>
  <si>
    <t>Reimbursement</t>
  </si>
  <si>
    <t>Settled Within 24 hours</t>
  </si>
  <si>
    <t>Doctor Consultations (Online)</t>
  </si>
  <si>
    <t>General Physicians</t>
  </si>
  <si>
    <t>Unlimited</t>
  </si>
  <si>
    <t>Specialists</t>
  </si>
  <si>
    <t>Upto Sum Insured</t>
  </si>
  <si>
    <t>Doctor Consultations (Offline)</t>
  </si>
  <si>
    <t>GP &amp; Specialists</t>
  </si>
  <si>
    <t>7.5k</t>
  </si>
  <si>
    <t>10k</t>
  </si>
  <si>
    <t>Prescribed Diagnostics</t>
  </si>
  <si>
    <t>Pathology &amp; Radiology</t>
  </si>
  <si>
    <t>Prescribed Medicines</t>
  </si>
  <si>
    <t>Allopathic</t>
  </si>
  <si>
    <t>Vision</t>
  </si>
  <si>
    <t>Prescription Glasses</t>
  </si>
  <si>
    <t>Dental</t>
  </si>
  <si>
    <t>All Procedures (excl. cosmetic)</t>
  </si>
  <si>
    <t>Vaccines</t>
  </si>
  <si>
    <t>WHO Prescribed</t>
  </si>
  <si>
    <t>Mid-term Policy Changes</t>
  </si>
  <si>
    <t>Additions</t>
  </si>
  <si>
    <t>Pro-rata</t>
  </si>
  <si>
    <t>Deletions</t>
  </si>
  <si>
    <t>Pro-rata (whether or not claimed)</t>
  </si>
  <si>
    <t>Note</t>
  </si>
  <si>
    <t>1) Only corporates with min. 10 employees are eligible</t>
  </si>
  <si>
    <t>2) For voluntary subscription, we need participation of 30% employees or 30 employees whichever is higher</t>
  </si>
  <si>
    <t>3) For detailed terms and conditions, click here to see the document</t>
  </si>
  <si>
    <t xml:space="preserve">HealthySure Quotes: </t>
  </si>
  <si>
    <t>No. of lives</t>
  </si>
  <si>
    <t xml:space="preserve">XX Employees </t>
  </si>
  <si>
    <t>Group Term Life Cover</t>
  </si>
  <si>
    <t>Sum Assured</t>
  </si>
  <si>
    <t>Aditya Birla Sun Life</t>
  </si>
  <si>
    <t>18-60 years</t>
  </si>
  <si>
    <t>100% of Sum Assured</t>
  </si>
  <si>
    <t>a. Death due to natural or unnatural reasons (incl. any accident, COVID-19, natural disaster or suicide)
b. Death certificate issued by the local authority in case of death claim</t>
  </si>
  <si>
    <t>1. Coverage is provided to all full time and permenant employees of the company residing in India.
2. Coverage should not exceed 10 times annual CTC for any member
3. All employees have to be actively at work at the coverage commencement for the employee i.e. employee has not availed a sick leave (other than COVID-19) for a continuous period &gt; 7 days in the preceding year. Else, the person has to be submit a medical questionnaire
4. Moral hazard events such as driving under influence of alcohol/narcotics, participation in hazardous/adventurous activities not covered
5. Members travelling to/ residing in attached negative country list will not be covered, and for other countries if member’s residency period (continuous) &gt; 180 days then we reserve right to review and amend the quoted rate.</t>
  </si>
  <si>
    <t>On Pro-rata Basis</t>
  </si>
  <si>
    <t>Worldwide 
(Except Declined Countries)</t>
  </si>
  <si>
    <t>10 Days</t>
  </si>
  <si>
    <t>Bajaj Allianz Life</t>
  </si>
  <si>
    <t>1 lac to 30 lacs</t>
  </si>
  <si>
    <t>18-70 years</t>
  </si>
  <si>
    <t>100% of Sum assured death benefit</t>
  </si>
  <si>
    <t>Rs. 10 Lacs for all</t>
  </si>
  <si>
    <t>Pro-rata Basis</t>
  </si>
  <si>
    <t>India First Life</t>
  </si>
  <si>
    <t>Additions - Pro-rata Basis
Deletions - Quarterly</t>
  </si>
  <si>
    <t>Tata AIA</t>
  </si>
  <si>
    <t>3-April-21 To 2-April-22</t>
  </si>
  <si>
    <t>Flexi Top-up 
(Exclusive for Healthysure Members)</t>
  </si>
  <si>
    <t>Refer Sheet -Flexi Top-Up Rate Card (premium charged based on employee choice)</t>
  </si>
  <si>
    <t>Policy Features - Flexi Top-up</t>
  </si>
  <si>
    <t>Normal - Single Pvt. AC
ICU - No Capping
(per day)</t>
  </si>
  <si>
    <t>Normal - Single Private AC 
ICU - No Capping</t>
  </si>
  <si>
    <t>Rs. 1,00,000 restricted to Family Floater SI</t>
  </si>
  <si>
    <t>All Procedures</t>
  </si>
  <si>
    <t>Mid term addition of parents</t>
  </si>
  <si>
    <t>Upto Rs. XXX (no exclusions, Day 1 coverage)</t>
  </si>
  <si>
    <t>Rexpro</t>
  </si>
  <si>
    <t>Upgradation Pricing (incl. GST)</t>
  </si>
  <si>
    <t>Total Sum Insured - ₹ 2 + 30 Lacs</t>
  </si>
  <si>
    <t>Entry Age Band</t>
  </si>
  <si>
    <t>1 Adult</t>
  </si>
  <si>
    <t>18-40</t>
  </si>
  <si>
    <t>41-50</t>
  </si>
  <si>
    <t>51-60</t>
  </si>
  <si>
    <t>61-65</t>
  </si>
  <si>
    <t>Test Client</t>
  </si>
  <si>
    <t>Rs. 5 lacs</t>
  </si>
  <si>
    <t>Net Premium (In INR)</t>
  </si>
  <si>
    <t>Premium Per Life (In INR)</t>
  </si>
  <si>
    <t>Technical Parameters</t>
  </si>
  <si>
    <t>Key Enterprise Accounts</t>
  </si>
  <si>
    <t>2016</t>
  </si>
  <si>
    <t>Accel Partners, Amazon, Elevation Capital</t>
  </si>
  <si>
    <t>₹ 789 Cr</t>
  </si>
  <si>
    <t>2.20</t>
  </si>
  <si>
    <t>10 to 20 days</t>
  </si>
  <si>
    <t>10 to 15 days</t>
  </si>
  <si>
    <t>14,300+</t>
  </si>
  <si>
    <t>2 to 4 hours</t>
  </si>
  <si>
    <t>15 to 30 days</t>
  </si>
  <si>
    <t>In-house</t>
  </si>
  <si>
    <t>2015</t>
  </si>
  <si>
    <t>Aditya Birla Group, Momentum Group (South Africa), Abu Dhabi Investment Authority</t>
  </si>
  <si>
    <t>₹ 2,957 Cr</t>
  </si>
  <si>
    <t>1.84</t>
  </si>
  <si>
    <t>3 to 5 days</t>
  </si>
  <si>
    <t>12,000+</t>
  </si>
  <si>
    <t>1 to 3 hours</t>
  </si>
  <si>
    <t>In-house
External Option available</t>
  </si>
  <si>
    <t>Novartis, Genpact, xxx</t>
  </si>
  <si>
    <t>2012</t>
  </si>
  <si>
    <t>Religare Enterprises, Kedara Capital</t>
  </si>
  <si>
    <t>₹ 2,906 Cr</t>
  </si>
  <si>
    <t>1.68</t>
  </si>
  <si>
    <t>1 to 3 days</t>
  </si>
  <si>
    <t>11,600+</t>
  </si>
  <si>
    <t>7 to 15 days</t>
  </si>
  <si>
    <t>Union Bank, Punjab National Bank, LNT</t>
  </si>
  <si>
    <t>Generali Central</t>
  </si>
  <si>
    <t>2000</t>
  </si>
  <si>
    <t>Generali Group and Central Bank of India</t>
  </si>
  <si>
    <t>₹ 1,494 Cr</t>
  </si>
  <si>
    <t>1.96</t>
  </si>
  <si>
    <t>5 to 10 days</t>
  </si>
  <si>
    <t>10,000+</t>
  </si>
  <si>
    <t>Fairfax, Sequoia Capital</t>
  </si>
  <si>
    <t>₹ 1,135 Cr</t>
  </si>
  <si>
    <t>2.17</t>
  </si>
  <si>
    <t>9,000+</t>
  </si>
  <si>
    <t>Banglore Internation Airport, Flipkart, Infosys, Adani Group</t>
  </si>
  <si>
    <t>2001</t>
  </si>
  <si>
    <t>ICICI Bank</t>
  </si>
  <si>
    <t>₹ 5,394 Cr</t>
  </si>
  <si>
    <t>2.70</t>
  </si>
  <si>
    <t>10,200+</t>
  </si>
  <si>
    <t>Tata Steels, Swiggy, Zomato, ICICI Bank, Standard Charted India, American Express, BNP Paribas, Paypal</t>
  </si>
  <si>
    <t>IFFCO India, Tokio Marine Insurance (Japan)</t>
  </si>
  <si>
    <t>₹ 531 Cr</t>
  </si>
  <si>
    <t>1.86</t>
  </si>
  <si>
    <t>7,000+</t>
  </si>
  <si>
    <t>Paper-based</t>
  </si>
  <si>
    <t>2009</t>
  </si>
  <si>
    <t xml:space="preserve"> Patanjali Ayurved and DS Group</t>
  </si>
  <si>
    <t>₹ 657 Cr</t>
  </si>
  <si>
    <t>2.02</t>
  </si>
  <si>
    <t>11,000+</t>
  </si>
  <si>
    <t>External</t>
  </si>
  <si>
    <t>Automobiles - Tata, Audi, Mercedes, BMW, Volkswagen, Renault
Metal - JSW Steel, Jindal Saw LTD, ALSTOM
Infra and Mfg - LMT+Tools, Bharathi Cement, Canco
Pharma - Novartis, Merck, Sanofi</t>
  </si>
  <si>
    <t>2014</t>
  </si>
  <si>
    <t>Manipal Group, Cigna Holdings</t>
  </si>
  <si>
    <t>₹ 924 Cr</t>
  </si>
  <si>
    <t>1.91</t>
  </si>
  <si>
    <t>8,500+</t>
  </si>
  <si>
    <t>Wipro, DBS Bank, Dentuso</t>
  </si>
  <si>
    <t>1919</t>
  </si>
  <si>
    <t>PSU</t>
  </si>
  <si>
    <t>₹ 12,996 Cr</t>
  </si>
  <si>
    <t>6,500+</t>
  </si>
  <si>
    <t>2008</t>
  </si>
  <si>
    <t>True North Fund, Bupa Insurance (UK)</t>
  </si>
  <si>
    <t>₹ 2,184 Cr</t>
  </si>
  <si>
    <t>3.03</t>
  </si>
  <si>
    <t>10,800+</t>
  </si>
  <si>
    <t>IBM, Erickson</t>
  </si>
  <si>
    <t>1947</t>
  </si>
  <si>
    <t>₹ 5,802 Cr</t>
  </si>
  <si>
    <t>(-)1.03 (below regulatory)</t>
  </si>
  <si>
    <t>5000+</t>
  </si>
  <si>
    <t>2007</t>
  </si>
  <si>
    <t>Raheja Group, QBE Insurance (Australia)</t>
  </si>
  <si>
    <t>₹ 25 Cr</t>
  </si>
  <si>
    <t>1.78</t>
  </si>
  <si>
    <t>5400+</t>
  </si>
  <si>
    <t>Indusind General
(formerly Reliance)</t>
  </si>
  <si>
    <t>Reliance Capital</t>
  </si>
  <si>
    <t>₹ 1,169 Cr</t>
  </si>
  <si>
    <t>1.59</t>
  </si>
  <si>
    <t>10000+</t>
  </si>
  <si>
    <t xml:space="preserve"> TATA AIG</t>
  </si>
  <si>
    <t>Tata Group, AIG Insurance (USA)</t>
  </si>
  <si>
    <t>₹ 1,677 Cr</t>
  </si>
  <si>
    <t>2.21</t>
  </si>
  <si>
    <t>2006</t>
  </si>
  <si>
    <t>Rakesh Jhunjhunwala</t>
  </si>
  <si>
    <t>₹ 1,104 Cr</t>
  </si>
  <si>
    <t>14,000+</t>
  </si>
  <si>
    <t>Bajaj Finserv and Allianz SE</t>
  </si>
  <si>
    <t>₹ 3,260 Cr</t>
  </si>
  <si>
    <t>3.52</t>
  </si>
  <si>
    <t>12000+</t>
  </si>
  <si>
    <t>Delloite, Coco Cola, Bro, Pacific BPO</t>
  </si>
  <si>
    <t>Zuno</t>
  </si>
  <si>
    <t>1995</t>
  </si>
  <si>
    <t>Edelweiss Group</t>
  </si>
  <si>
    <t>₹ 347 Cr</t>
  </si>
  <si>
    <t>1.58</t>
  </si>
  <si>
    <t>6208+</t>
  </si>
  <si>
    <t>State Bank of India, Warburg Pincus, Premji Invest</t>
  </si>
  <si>
    <t>₹ 3,040 Cr</t>
  </si>
  <si>
    <t>2.03</t>
  </si>
  <si>
    <t>17900+</t>
  </si>
  <si>
    <t>GIPCL, Adani, Torant Power, GSEC, Deepak Nitrate, Patanjali</t>
  </si>
  <si>
    <t>United India</t>
  </si>
  <si>
    <t>1938</t>
  </si>
  <si>
    <t>₹ 3,547 Cr</t>
  </si>
  <si>
    <t>(-) 0.65 (below regulatory)</t>
  </si>
  <si>
    <t>5,600+</t>
  </si>
  <si>
    <t xml:space="preserve">National </t>
  </si>
  <si>
    <t>1906</t>
  </si>
  <si>
    <t>₹ 4,778 Cr</t>
  </si>
  <si>
    <t>0.40 (below regulatory)</t>
  </si>
  <si>
    <t>3,200+</t>
  </si>
  <si>
    <t>Liberty</t>
  </si>
  <si>
    <t> Liberty Citystate holdings PTE Ltd, Liberty Mutual Insurance Group,Enam Securities,DP Jindal Group</t>
  </si>
  <si>
    <t>₹ 283 Cr</t>
  </si>
  <si>
    <t>1.80</t>
  </si>
  <si>
    <t>6,400+</t>
  </si>
  <si>
    <t>Royal Sundaram</t>
  </si>
  <si>
    <t>Sundaram Finance,Ageas Insurance</t>
  </si>
  <si>
    <t>₹ 517 Cr</t>
  </si>
  <si>
    <t>2.26</t>
  </si>
  <si>
    <t>TCS-Co Share, Food India Service LTD</t>
  </si>
  <si>
    <t>Cholamandalam</t>
  </si>
  <si>
    <t>Murugappa Group</t>
  </si>
  <si>
    <t>₹ 363 Cr</t>
  </si>
  <si>
    <t>Justdial, Ambuja, ACC, Indian Post, Sports Authority</t>
  </si>
  <si>
    <t>Shriram General Insurance Co Ltd</t>
  </si>
  <si>
    <t> Shriram Capital Limited,Sanlam Limited (South Africa)</t>
  </si>
  <si>
    <t>₹ 0.02 Cr</t>
  </si>
  <si>
    <t>3.51</t>
  </si>
  <si>
    <t>16,700+</t>
  </si>
  <si>
    <t> HDFC, ERGO International AG</t>
  </si>
  <si>
    <t>₹ 1,507 Cr</t>
  </si>
  <si>
    <t>1.99</t>
  </si>
  <si>
    <t>13,600+</t>
  </si>
  <si>
    <t>GTLI Book size (FY25)</t>
  </si>
  <si>
    <t>GTLI Growth Rate (FY25)</t>
  </si>
  <si>
    <t>ICICI Bank, Prudential Corporation Group</t>
  </si>
  <si>
    <t>15 to 30 Days</t>
  </si>
  <si>
    <t>1 to 3 Days</t>
  </si>
  <si>
    <t>₹ 6,815 Cr</t>
  </si>
  <si>
    <t>Tata Group</t>
  </si>
  <si>
    <t>₹ 656 Cr</t>
  </si>
  <si>
    <t>Go Digit Life</t>
  </si>
  <si>
    <t>Fairfax Group</t>
  </si>
  <si>
    <t>₹ 331 Cr</t>
  </si>
  <si>
    <t>Piramal Group, Prudential International Group</t>
  </si>
  <si>
    <t>7 to 15 Days</t>
  </si>
  <si>
    <t>3 to 5 Days</t>
  </si>
  <si>
    <t>₹ 134 Cr</t>
  </si>
  <si>
    <t>Axis Max Life</t>
  </si>
  <si>
    <t>Max Financial Services, Axis Bank</t>
  </si>
  <si>
    <t>5 to  10 Days</t>
  </si>
  <si>
    <t>₹ 124 Cr</t>
  </si>
  <si>
    <t>HDFC Group, Standard Life Aberdeen</t>
  </si>
  <si>
    <t>₹ 200 Cr</t>
  </si>
  <si>
    <t>Aditya Birla Group</t>
  </si>
  <si>
    <t>₹ 173 Cr</t>
  </si>
  <si>
    <t>Bajaj Finserv, Allianz SE</t>
  </si>
  <si>
    <t>₹ 560 Cr</t>
  </si>
  <si>
    <t>PNB Metlife</t>
  </si>
  <si>
    <t>MetLife International, PNB Bank, M. Pallonji Group, J&amp;K Bank</t>
  </si>
  <si>
    <t>₹ 68 Cr</t>
  </si>
  <si>
    <t>SBI Life</t>
  </si>
  <si>
    <t>State Bank of India, BNP Paribas</t>
  </si>
  <si>
    <t>₹ 774 Cr</t>
  </si>
  <si>
    <t>Star Union Dai-ichi Life</t>
  </si>
  <si>
    <t>Bank of India, Union Bank of India, Dai-ichi Life International</t>
  </si>
  <si>
    <t>₹ 131 Cr</t>
  </si>
  <si>
    <t xml:space="preserve"> Acko Life Insurance Ltd</t>
  </si>
  <si>
    <t xml:space="preserve"> General Atlantic, Multiples Private Equity, Accel, Amazon, Binny Bansal</t>
  </si>
  <si>
    <t>Aditya Birla Sun Life Insurance Co. Ltd.</t>
  </si>
  <si>
    <t>Aditya Birla Capital Ltd, Sun Life Financial Inc.</t>
  </si>
  <si>
    <t>Ageas Federal Life Insurance Co. Ltd.</t>
  </si>
  <si>
    <t>Ageas Insurance International NV, Federal Bank Ltd.</t>
  </si>
  <si>
    <t>Aviva Life Insurance Co. Ltd.</t>
  </si>
  <si>
    <t xml:space="preserve"> Aviva International Holdings Limited and Dabur Invest Corp</t>
  </si>
  <si>
    <t>Bajaj Allianz Life Insurance Co. Ltd.</t>
  </si>
  <si>
    <t>Bajaj Finserv Ltd., Allianz SE</t>
  </si>
  <si>
    <t>Bandhan Life Insurance Co. Ltd.
(Formerly known as Aegon Life)</t>
  </si>
  <si>
    <t>Bandhan Financial Holdings Limited (BFHL), Bandhan Bank</t>
  </si>
  <si>
    <t>Bharti AXA Life Insurance Co. Ltd.</t>
  </si>
  <si>
    <t>Bharti Group, 360 ONE Asset</t>
  </si>
  <si>
    <t>Canara HSBC Life Insurance Co. Ltd.</t>
  </si>
  <si>
    <t>Canara Bank, HSBC Insurance (Asia Pacific) Holdings Limited, Punjab National Bank</t>
  </si>
  <si>
    <t>Credit Access Life Insurance Ltd.</t>
  </si>
  <si>
    <t>Avalahalli Investments Pvt. Ltd., CreditAccess India N.V.</t>
  </si>
  <si>
    <t>Edelweiss Tokio Life Insurance Co. Ltd.</t>
  </si>
  <si>
    <t>Edelweiss Financial Services Limited, Tokio Marine Holdings Inc.</t>
  </si>
  <si>
    <t>Future Generali Life Insurance Co. Ltd</t>
  </si>
  <si>
    <t>Generali Group, Central Bank of India</t>
  </si>
  <si>
    <t>Go Digit Life Insurance Ltd.</t>
  </si>
  <si>
    <t>Fairfax Financial Holdings Ltd, Go Digit Infoworks Services Pvt. Ltd</t>
  </si>
  <si>
    <t>HDFC Life Insurance Co. Ltd.</t>
  </si>
  <si>
    <t>HDFC Bank Ltd, Foreign Institutional Investors (FII/FPI), Mutual Funds</t>
  </si>
  <si>
    <t>IndiaFirst Life Insurance Co. Ltd.</t>
  </si>
  <si>
    <t>Bank of Baroda, Warburg Pincus, Union Bank of India</t>
  </si>
  <si>
    <t>Kotak Mahindra Insurance Co. Ltd.</t>
  </si>
  <si>
    <t>Kotak Mahindra Bank Limited</t>
  </si>
  <si>
    <t>Max Life Insurance Co. Ltd.</t>
  </si>
  <si>
    <t>Max Financial Services Limited, Axis Bank Limited</t>
  </si>
  <si>
    <t>PNB Metlife Life India Insurance Co. Ltd.</t>
  </si>
  <si>
    <t>MetLife International Holdings LLC, Punjab National Bank</t>
  </si>
  <si>
    <t>Pramerica Life Insurance Co. Ltd.</t>
  </si>
  <si>
    <t>Prudential Financial, Dewan Housing Finance Corporation Ltd.</t>
  </si>
  <si>
    <t>Reliance Nippon Life Insurance Co. Ltd.</t>
  </si>
  <si>
    <t>IndusInd International Holdings Ltd., Nippon Life Insurance Company</t>
  </si>
  <si>
    <t>Sahara India Life Insurance Co. Ltd.</t>
  </si>
  <si>
    <t>Sahara India Financial Corporation Limited</t>
  </si>
  <si>
    <t>SBI Life Insurance Co. Ltd.</t>
  </si>
  <si>
    <t>Foreign Institutional Investors, Mutual Funds</t>
  </si>
  <si>
    <t>Shriram Life Insurance Co. Ltd.</t>
  </si>
  <si>
    <t>Shriram LI Holdings Private Limited, Sanlam Emerging Markets (Mauritius) Limited</t>
  </si>
  <si>
    <t>Star Union Dai-ichi Life Insurance Co. Ltd.</t>
  </si>
  <si>
    <t>Dai-ichi Life Holdings, Inc., Bank of India, Union Bank of India</t>
  </si>
  <si>
    <t>Tata AIA Life Insurance Co. Ltd.</t>
  </si>
  <si>
    <t>Tata Sons Pvt. Ltd, AIA Group Ltd</t>
  </si>
  <si>
    <t>Life Insurance Corporation of India</t>
  </si>
  <si>
    <t>100% ownership</t>
  </si>
  <si>
    <t xml:space="preserve">Note: Amount Including GST </t>
  </si>
  <si>
    <t>Equivalent Retail Policy - for employee aged 35 years</t>
  </si>
  <si>
    <t>2A1C</t>
  </si>
  <si>
    <t>2 Adults</t>
  </si>
  <si>
    <t>2 Adults,
1 Child</t>
  </si>
  <si>
    <t>2 Adults,
2 Children</t>
  </si>
  <si>
    <t>2 Adults,
3 Children</t>
  </si>
  <si>
    <t xml:space="preserve">2 Adults, 4 Children </t>
  </si>
  <si>
    <t>32 lacs</t>
  </si>
  <si>
    <t>Equivalent Retail Policy - for parents aged 65 years</t>
  </si>
  <si>
    <t>2A</t>
  </si>
  <si>
    <t>Source: Manipal Cigna Website</t>
  </si>
  <si>
    <t>Total Sum Insured - ₹ 3 + 30 Lacs</t>
  </si>
  <si>
    <t>33 lacs</t>
  </si>
  <si>
    <t>Total Sum Insured - ₹ 4 + 30 Lacs</t>
  </si>
  <si>
    <t>34 lacs</t>
  </si>
  <si>
    <t>Total Sum Insured - ₹ 5 + 30 Lacs</t>
  </si>
  <si>
    <t>35 lacs</t>
  </si>
  <si>
    <t>Total Sum Insured - ₹ 10 + 30 Lacs</t>
  </si>
  <si>
    <t>40 lacs</t>
  </si>
  <si>
    <t>OPD Cover</t>
  </si>
  <si>
    <t>Family definition</t>
  </si>
  <si>
    <t>Retail Plan</t>
  </si>
  <si>
    <t>Prescription glasses</t>
  </si>
  <si>
    <t>(Cosmetic excluded)</t>
  </si>
  <si>
    <t>Pricing per Family (excl GST)</t>
  </si>
  <si>
    <t>Min. Employee Count</t>
  </si>
  <si>
    <t>Minimum Participation in case of voluntary</t>
  </si>
  <si>
    <t>Pricing per Family (incl GST)</t>
  </si>
  <si>
    <t>Even - Silver</t>
  </si>
  <si>
    <t>30 Days</t>
  </si>
  <si>
    <t>TRUE</t>
  </si>
  <si>
    <t>30% or 30
families, whichever is higher</t>
  </si>
  <si>
    <t>Even - Gold</t>
  </si>
  <si>
    <t>Even - Platinum</t>
  </si>
  <si>
    <t>INR 5,00,000</t>
  </si>
  <si>
    <t>Premium Details </t>
  </si>
  <si>
    <t>Particular</t>
  </si>
  <si>
    <t>INR 32,623</t>
  </si>
  <si>
    <t>INR 2,900</t>
  </si>
  <si>
    <t>Previous Insurer (TATA AIG)</t>
  </si>
  <si>
    <t>Who all are covered in the policy?</t>
  </si>
  <si>
    <t>ü</t>
  </si>
  <si>
    <t>upto 6</t>
  </si>
  <si>
    <t>2 Parents/Parents-in-law (Up to 80 Years)</t>
  </si>
  <si>
    <t>New Born Baby Coverage</t>
  </si>
  <si>
    <t>From Day 1</t>
  </si>
  <si>
    <t>What are the different features?</t>
  </si>
  <si>
    <r>
      <rPr>
        <sz val="10"/>
        <color rgb="FF00B050"/>
        <rFont val="Calibri"/>
        <family val="2"/>
      </rPr>
      <t>for all ailments</t>
    </r>
    <r>
      <rPr>
        <sz val="10"/>
        <color theme="1"/>
        <rFont val="Calibri"/>
        <family val="2"/>
      </rPr>
      <t xml:space="preserve">/ </t>
    </r>
    <r>
      <rPr>
        <sz val="10"/>
        <color rgb="FFFF0000"/>
        <rFont val="Calibri"/>
        <family val="2"/>
      </rPr>
      <t>critical illness</t>
    </r>
  </si>
  <si>
    <t>Flexi Top-up Insurance of Rs 10 Lacs with continuity option</t>
  </si>
  <si>
    <t>Where to avail the treatment?</t>
  </si>
  <si>
    <t>What are the different hospitalization coverages?</t>
  </si>
  <si>
    <t>Home hospitalization &gt; 3 days and patient is unable to move or hospital bed not available in neighbourhood</t>
  </si>
  <si>
    <t>What are non non-hospitalization coverages in the package?</t>
  </si>
  <si>
    <t>Health Check Up</t>
  </si>
  <si>
    <t>Full body checkup @65% Off</t>
  </si>
  <si>
    <t>Medicine</t>
  </si>
  <si>
    <t>Free delivery @20% Off</t>
  </si>
  <si>
    <t>Upto Rs. XXX</t>
  </si>
  <si>
    <t>Is there an option to cover maternity?</t>
  </si>
  <si>
    <t>Are there any waiting periods in the policy?</t>
  </si>
  <si>
    <t>Is transportation to hospital covered?</t>
  </si>
  <si>
    <t>INR 2000 Per Hospitalization</t>
  </si>
  <si>
    <t>Upto INR 1 Lac</t>
  </si>
  <si>
    <t>Rs. 50,000 per event</t>
  </si>
  <si>
    <t>What are some other benefits?</t>
  </si>
  <si>
    <t>Psychiatric Illness (IPD Only)</t>
  </si>
  <si>
    <t xml:space="preserve">On IPD Basis </t>
  </si>
  <si>
    <r>
      <rPr>
        <sz val="11"/>
        <color rgb="FF00B050"/>
        <rFont val="Calibri"/>
        <family val="2"/>
      </rPr>
      <t xml:space="preserve">Upto 50% of SI </t>
    </r>
    <r>
      <rPr>
        <sz val="11"/>
        <color theme="1"/>
        <rFont val="Calibri"/>
        <family val="2"/>
      </rPr>
      <t xml:space="preserve">
</t>
    </r>
    <r>
      <rPr>
        <sz val="8"/>
        <color theme="1"/>
        <rFont val="Calibri"/>
        <family val="2"/>
      </rPr>
      <t>(other than mental retardation, subnormal intelligence, cerebral palsy, cretinism, mongolism, mental intellectual disability, Parkinson’s disease, Alzheimer’s disease and Dementia)</t>
    </r>
  </si>
  <si>
    <t>AYUSH Treatments (IPD Only)</t>
  </si>
  <si>
    <t>ON IPD Basis only in Govt Approved Hospitals</t>
  </si>
  <si>
    <t>Modern Treatments and Robotic Surgery</t>
  </si>
  <si>
    <t>Lasik Surgery</t>
  </si>
  <si>
    <t>Only in Life Threatening Situations</t>
  </si>
  <si>
    <t xml:space="preserve">Covered upto 50% of SI </t>
  </si>
  <si>
    <t>Are mid term policy changes allowed?</t>
  </si>
  <si>
    <t>Not allowed except due to promotion to higher cadre</t>
  </si>
  <si>
    <t>Only in case of new born baby and spouse in case of marriage</t>
  </si>
  <si>
    <t>Not allowed except for new joinees</t>
  </si>
  <si>
    <t>Claims Assistance</t>
  </si>
  <si>
    <t>Dedicated claims relationship manager provided by HealthySure</t>
  </si>
  <si>
    <t>Cashlesh TAT</t>
  </si>
  <si>
    <t>24 Hrs</t>
  </si>
  <si>
    <t>Reimbursement Claim Intimation and Submission Clause</t>
  </si>
  <si>
    <t>Waiver of Intimation within 7 days and document submission within 30 days from date of discharge</t>
  </si>
  <si>
    <t>*Terms and Conditions Apply</t>
  </si>
  <si>
    <t>Room Rent Capping</t>
  </si>
  <si>
    <t>ICU Capping</t>
  </si>
  <si>
    <t>Ambulance Charges</t>
  </si>
  <si>
    <t>Normal -1% of SI</t>
  </si>
  <si>
    <t>ICU -2% of SI</t>
  </si>
  <si>
    <t>INR 2000 Per hospitalization</t>
  </si>
  <si>
    <t>Normal - 2% of SI</t>
  </si>
  <si>
    <t>Normal - 4% of SI</t>
  </si>
  <si>
    <t>INR 2500 Per hospitalization</t>
  </si>
  <si>
    <t>ICU- No limit</t>
  </si>
  <si>
    <t>INR 3000 Per hospitalization</t>
  </si>
  <si>
    <t>Normal -No Capping</t>
  </si>
  <si>
    <t>INR 5000 Per hospitalization</t>
  </si>
  <si>
    <t>XXX's Parents (Father + Mother) / XXX's Parent (Father Only)</t>
  </si>
  <si>
    <t>Key Policy Features</t>
  </si>
  <si>
    <t xml:space="preserve">HDFC ERGO
My Health Suraksha </t>
  </si>
  <si>
    <t>Niva BUPA 
Health Companion</t>
  </si>
  <si>
    <t>ICICI LOMBARD
Health Shield</t>
  </si>
  <si>
    <t>MANIPAL CIGNA Prohealth Protect</t>
  </si>
  <si>
    <t>STAR HEALTH
Comprehensive</t>
  </si>
  <si>
    <t>HDFC ERGO
Optima Secure</t>
  </si>
  <si>
    <t>HDFC ERGO
Optima Restore</t>
  </si>
  <si>
    <t>STAR HEALTH
Red Carpet</t>
  </si>
  <si>
    <t>STAR HEALTH
Cancer Care Platinum</t>
  </si>
  <si>
    <t>Aditya Birla 
Activ Health Platinum Enhanced</t>
  </si>
  <si>
    <t>CARE HEALTH
Freedom</t>
  </si>
  <si>
    <t>Max Bupa
Health Reassure</t>
  </si>
  <si>
    <t>Care Health
Care Plus</t>
  </si>
  <si>
    <t>Care Health
Care Classic</t>
  </si>
  <si>
    <t>Care Health
Heart2</t>
  </si>
  <si>
    <t>Care Health
Care3</t>
  </si>
  <si>
    <t>Go Digit 
Health Care Plus - Gold</t>
  </si>
  <si>
    <t>Sum Insured - Rs. 5/10 Lacs</t>
  </si>
  <si>
    <t>All Hospital Coverage</t>
  </si>
  <si>
    <t>Daycare Treatments</t>
  </si>
  <si>
    <t>No Room Rent Capping</t>
  </si>
  <si>
    <r>
      <rPr>
        <b/>
        <sz val="11"/>
        <color theme="1"/>
        <rFont val="Noto Sans Symbols"/>
      </rPr>
      <t xml:space="preserve">ü
</t>
    </r>
    <r>
      <rPr>
        <sz val="11"/>
        <color theme="1"/>
        <rFont val="Calibri"/>
        <family val="2"/>
      </rPr>
      <t>(Except Suite)</t>
    </r>
  </si>
  <si>
    <t>Single Private AC</t>
  </si>
  <si>
    <t>Rs. 5K/ Rs. 6K per day</t>
  </si>
  <si>
    <t>Twin Sharing/ 
Single Private AC</t>
  </si>
  <si>
    <t>No Co-Pay</t>
  </si>
  <si>
    <r>
      <rPr>
        <b/>
        <sz val="11"/>
        <color theme="1"/>
        <rFont val="Noto Sans Symbols"/>
      </rPr>
      <t>ü</t>
    </r>
    <r>
      <rPr>
        <sz val="11"/>
        <color theme="1"/>
        <rFont val="Calibri"/>
        <family val="2"/>
      </rPr>
      <t>/ 10% Co-pay</t>
    </r>
  </si>
  <si>
    <t>30/50% Co-pay</t>
  </si>
  <si>
    <t>20% Co-pay</t>
  </si>
  <si>
    <t>No Disease Capping</t>
  </si>
  <si>
    <t>Disease capping applicable</t>
  </si>
  <si>
    <t>Lifelong Renewable</t>
  </si>
  <si>
    <t>Pre-Post Hospitalization</t>
  </si>
  <si>
    <t>60/180 Days</t>
  </si>
  <si>
    <t>30/60 Days</t>
  </si>
  <si>
    <t>30 Days / Rs. 5K/7K</t>
  </si>
  <si>
    <t>10% of claim amount</t>
  </si>
  <si>
    <t>30/60 Days, Rs. 25K/50K</t>
  </si>
  <si>
    <t>Pre-existing Diseases Waiting</t>
  </si>
  <si>
    <t xml:space="preserve">3 Years </t>
  </si>
  <si>
    <t>3 Years</t>
  </si>
  <si>
    <t>2 Years</t>
  </si>
  <si>
    <t>1/3 Years</t>
  </si>
  <si>
    <t>1 Year</t>
  </si>
  <si>
    <r>
      <rPr>
        <b/>
        <sz val="11"/>
        <color rgb="FF00B050"/>
        <rFont val="Calibri"/>
        <family val="2"/>
      </rPr>
      <t>2.5 Years</t>
    </r>
    <r>
      <rPr>
        <sz val="11"/>
        <color theme="1"/>
        <rFont val="Calibri"/>
        <family val="2"/>
      </rPr>
      <t xml:space="preserve">
</t>
    </r>
    <r>
      <rPr>
        <b/>
        <sz val="9"/>
        <color rgb="FF00B050"/>
        <rFont val="Calibri"/>
        <family val="2"/>
      </rPr>
      <t>(Cancer covered)</t>
    </r>
  </si>
  <si>
    <t xml:space="preserve">4 Years </t>
  </si>
  <si>
    <t>4 years</t>
  </si>
  <si>
    <t>3 years</t>
  </si>
  <si>
    <t>Specific Diseases Waiting</t>
  </si>
  <si>
    <t>Claim Ratio</t>
  </si>
  <si>
    <t>Cashless Network Hospitals</t>
  </si>
  <si>
    <t>7000+</t>
  </si>
  <si>
    <t>8.500+</t>
  </si>
  <si>
    <t>8,350+</t>
  </si>
  <si>
    <t>No Claim Bonus</t>
  </si>
  <si>
    <t>10% every year,
upto 100% of SI</t>
  </si>
  <si>
    <t>20% every year,
upto 100% of SI</t>
  </si>
  <si>
    <t>10% every year,
upto 50% of SI</t>
  </si>
  <si>
    <t>10% every year,
upto 200% of SI</t>
  </si>
  <si>
    <t>50%/100% every year,
upto 100% of SI</t>
  </si>
  <si>
    <t>50% every year,
upto 100% of SI</t>
  </si>
  <si>
    <t>5% every year,
upto 50% of SI</t>
  </si>
  <si>
    <t>50% every year,
upto 200% of SI</t>
  </si>
  <si>
    <t>25% every year,
upto 150% of SI</t>
  </si>
  <si>
    <t xml:space="preserve">10% every year,
upto 50% of SI + 50% every year upto 100% of SI  </t>
  </si>
  <si>
    <t>20% every year,
upto 100%</t>
  </si>
  <si>
    <t>Refill of Sum Insured</t>
  </si>
  <si>
    <t>Related + Unrelated
illness</t>
  </si>
  <si>
    <t>Unrelated
illness</t>
  </si>
  <si>
    <t>Unrelated
Illness</t>
  </si>
  <si>
    <t>Unlimited Related + Unrelated
illness</t>
  </si>
  <si>
    <t>Unlimited Related + Unrelated
illness but not for Advanced Technolgical Methods</t>
  </si>
  <si>
    <t>Pre-Policy Medical Checks*</t>
  </si>
  <si>
    <r>
      <rPr>
        <b/>
        <sz val="11"/>
        <color rgb="FFFF0000"/>
        <rFont val="Calibri"/>
        <family val="2"/>
      </rPr>
      <t>Yes</t>
    </r>
    <r>
      <rPr>
        <sz val="11"/>
        <color theme="1"/>
        <rFont val="Calibri"/>
        <family val="2"/>
      </rPr>
      <t>/</t>
    </r>
    <r>
      <rPr>
        <b/>
        <sz val="11"/>
        <color rgb="FF00B050"/>
        <rFont val="Calibri"/>
        <family val="2"/>
      </rPr>
      <t>No</t>
    </r>
  </si>
  <si>
    <t>No</t>
  </si>
  <si>
    <t>Yes</t>
  </si>
  <si>
    <t>Tele Mer</t>
  </si>
  <si>
    <r>
      <rPr>
        <b/>
        <sz val="11"/>
        <color rgb="FFFF0000"/>
        <rFont val="Calibri"/>
        <family val="2"/>
      </rPr>
      <t>Yes</t>
    </r>
    <r>
      <rPr>
        <b/>
        <sz val="11"/>
        <color rgb="FF00B050"/>
        <rFont val="Calibri"/>
        <family val="2"/>
      </rPr>
      <t>/</t>
    </r>
    <r>
      <rPr>
        <b/>
        <sz val="11"/>
        <color rgb="FF00B050"/>
        <rFont val="Calibri"/>
        <family val="2"/>
      </rPr>
      <t>No</t>
    </r>
  </si>
  <si>
    <t>Premium (incl. GST)*</t>
  </si>
  <si>
    <t>1 Year - Sum Insured (5 Lacs)</t>
  </si>
  <si>
    <t>1 Year - Sum Insured (10 Lacs)</t>
  </si>
  <si>
    <t>(-) 15.00% Disc. on 
2nd Year</t>
  </si>
  <si>
    <t>(-) 12.50% Disc. on 
2nd Year</t>
  </si>
  <si>
    <t>(-) 10.00% Disc. on 
2nd Year</t>
  </si>
  <si>
    <t>(-) 7.00% Disc. on 
2nd Year</t>
  </si>
  <si>
    <t>Not Available</t>
  </si>
  <si>
    <t>(+) Loading on PED Conditions</t>
  </si>
  <si>
    <t>Applicable</t>
  </si>
  <si>
    <t>Add-on: Riders</t>
  </si>
  <si>
    <t>Non-medical consumables</t>
  </si>
  <si>
    <t>On Request</t>
  </si>
  <si>
    <t>Built-in</t>
  </si>
  <si>
    <t>Inflation-linked increase in SI</t>
  </si>
  <si>
    <t>Incl. with above rider</t>
  </si>
  <si>
    <t xml:space="preserve">Built in </t>
  </si>
  <si>
    <t>Hospital Daily Cash</t>
  </si>
  <si>
    <t>Included in Plan</t>
  </si>
  <si>
    <t xml:space="preserve">Worldwide Cover </t>
  </si>
  <si>
    <t xml:space="preserve">Super NCB </t>
  </si>
  <si>
    <t xml:space="preserve">Critical Illness </t>
  </si>
  <si>
    <t xml:space="preserve">25% additonal SI </t>
  </si>
  <si>
    <t>Personal Accident Cover</t>
  </si>
  <si>
    <t>*subject to loading for medical history based on declarations or pre-policy medical checks</t>
  </si>
  <si>
    <t>Other features for reference</t>
  </si>
  <si>
    <t>Hospice Care</t>
  </si>
  <si>
    <t xml:space="preserve">Dialysis Coverage </t>
  </si>
  <si>
    <t>PA insurance</t>
  </si>
  <si>
    <t>Organ donor</t>
  </si>
  <si>
    <t>Diabetes and cardiac health checkup</t>
  </si>
  <si>
    <t>Tata AIG (Basic Plan)</t>
  </si>
  <si>
    <t>10% of the CSI or 40% of the Admissible Claim or Actuals whichever is less 
(only if accidental death or disability - PTD/ PPD)</t>
  </si>
  <si>
    <t>Tata AIG (Standard Plan)</t>
  </si>
  <si>
    <t>Fixed INR 1,00,000 or Actuals whichever is lower.</t>
  </si>
  <si>
    <t>Tata AIG (Pro Plan)</t>
  </si>
  <si>
    <r>
      <t>•</t>
    </r>
    <r>
      <rPr>
        <b/>
        <sz val="11"/>
        <color rgb="FF000000"/>
        <rFont val="Calibri"/>
        <family val="2"/>
        <scheme val="minor"/>
      </rPr>
      <t xml:space="preserve"> Children Education Benefit</t>
    </r>
    <r>
      <rPr>
        <sz val="11"/>
        <color rgb="FF000000"/>
        <rFont val="Calibri"/>
        <family val="2"/>
        <scheme val="minor"/>
      </rPr>
      <t xml:space="preserve">-  10% of SI upto Rs. 5000 per child (max 2 children upto 25 years of age)
• </t>
    </r>
    <r>
      <rPr>
        <b/>
        <sz val="11"/>
        <color rgb="FF000000"/>
        <rFont val="Calibri"/>
        <family val="2"/>
        <scheme val="minor"/>
      </rPr>
      <t>Compassionate Visit</t>
    </r>
    <r>
      <rPr>
        <sz val="11"/>
        <color rgb="FF000000"/>
        <rFont val="Calibri"/>
        <family val="2"/>
        <scheme val="minor"/>
      </rPr>
      <t xml:space="preserve"> - 10% SI upto Rs. 25,000
• </t>
    </r>
    <r>
      <rPr>
        <b/>
        <sz val="11"/>
        <color rgb="FF000000"/>
        <rFont val="Calibri"/>
        <family val="2"/>
        <scheme val="minor"/>
      </rPr>
      <t>Funeral Expenses</t>
    </r>
    <r>
      <rPr>
        <sz val="11"/>
        <color rgb="FF000000"/>
        <rFont val="Calibri"/>
        <family val="2"/>
        <scheme val="minor"/>
      </rPr>
      <t xml:space="preserve"> - 2.5% of SI upto Rs. 2500
• </t>
    </r>
    <r>
      <rPr>
        <b/>
        <sz val="11"/>
        <color rgb="FF000000"/>
        <rFont val="Calibri"/>
        <family val="2"/>
        <scheme val="minor"/>
      </rPr>
      <t>Transportation of Dead Body</t>
    </r>
    <r>
      <rPr>
        <sz val="11"/>
        <color rgb="FF000000"/>
        <rFont val="Calibri"/>
        <family val="2"/>
        <scheme val="minor"/>
      </rPr>
      <t xml:space="preserve"> - 2.5% of SI upto Rs.2500</t>
    </r>
  </si>
  <si>
    <r>
      <t>•</t>
    </r>
    <r>
      <rPr>
        <b/>
        <sz val="11"/>
        <color theme="1"/>
        <rFont val="Calibri"/>
        <family val="2"/>
        <scheme val="minor"/>
      </rPr>
      <t xml:space="preserve"> Children Education Benefit</t>
    </r>
    <r>
      <rPr>
        <sz val="11"/>
        <color theme="1"/>
        <rFont val="Calibri"/>
        <family val="2"/>
        <scheme val="minor"/>
      </rPr>
      <t xml:space="preserve">-  10% of SI upto Rs. 5000 per child (max 2 children upto 25 years of age)
• </t>
    </r>
    <r>
      <rPr>
        <b/>
        <sz val="11"/>
        <color theme="1"/>
        <rFont val="Calibri"/>
        <family val="2"/>
        <scheme val="minor"/>
      </rPr>
      <t xml:space="preserve">Compassionate Visit </t>
    </r>
    <r>
      <rPr>
        <sz val="11"/>
        <color theme="1"/>
        <rFont val="Calibri"/>
        <family val="2"/>
        <scheme val="minor"/>
      </rPr>
      <t xml:space="preserve">- 10% SI upto Rs. 25,000
</t>
    </r>
    <r>
      <rPr>
        <b/>
        <sz val="11"/>
        <color theme="1"/>
        <rFont val="Calibri"/>
        <family val="2"/>
        <scheme val="minor"/>
      </rPr>
      <t xml:space="preserve">• Funeral Expenses </t>
    </r>
    <r>
      <rPr>
        <sz val="11"/>
        <color theme="1"/>
        <rFont val="Calibri"/>
        <family val="2"/>
        <scheme val="minor"/>
      </rPr>
      <t xml:space="preserve">- 2.5% of SI upto Rs. 5000
</t>
    </r>
    <r>
      <rPr>
        <b/>
        <sz val="11"/>
        <color theme="1"/>
        <rFont val="Calibri"/>
        <family val="2"/>
        <scheme val="minor"/>
      </rPr>
      <t xml:space="preserve">• Transportation of Dead Body </t>
    </r>
    <r>
      <rPr>
        <sz val="11"/>
        <color theme="1"/>
        <rFont val="Calibri"/>
        <family val="2"/>
        <scheme val="minor"/>
      </rPr>
      <t xml:space="preserve">- 2.5% of SI upto Rs.5000
</t>
    </r>
    <r>
      <rPr>
        <b/>
        <sz val="11"/>
        <color theme="1"/>
        <rFont val="Calibri"/>
        <family val="2"/>
        <scheme val="minor"/>
      </rPr>
      <t>• Lifestyle modification</t>
    </r>
    <r>
      <rPr>
        <sz val="11"/>
        <color theme="1"/>
        <rFont val="Calibri"/>
        <family val="2"/>
        <scheme val="minor"/>
      </rPr>
      <t xml:space="preserve"> - 10% SI upto Rs. 10,000</t>
    </r>
  </si>
  <si>
    <r>
      <t xml:space="preserve">• </t>
    </r>
    <r>
      <rPr>
        <b/>
        <sz val="11"/>
        <color theme="1"/>
        <rFont val="Calibri"/>
        <family val="2"/>
        <scheme val="minor"/>
      </rPr>
      <t>Children Education Benefit</t>
    </r>
    <r>
      <rPr>
        <sz val="11"/>
        <color theme="1"/>
        <rFont val="Calibri"/>
        <family val="2"/>
        <scheme val="minor"/>
      </rPr>
      <t xml:space="preserve">-  Upto Rs. 10,000 per child (max 2 children upto 25 years of age)
• </t>
    </r>
    <r>
      <rPr>
        <b/>
        <sz val="11"/>
        <color theme="1"/>
        <rFont val="Calibri"/>
        <family val="2"/>
        <scheme val="minor"/>
      </rPr>
      <t xml:space="preserve">Compassionate Visit </t>
    </r>
    <r>
      <rPr>
        <sz val="11"/>
        <color theme="1"/>
        <rFont val="Calibri"/>
        <family val="2"/>
        <scheme val="minor"/>
      </rPr>
      <t>- 10% SI upto Rs. 25,000
•</t>
    </r>
    <r>
      <rPr>
        <b/>
        <sz val="11"/>
        <color theme="1"/>
        <rFont val="Calibri"/>
        <family val="2"/>
        <scheme val="minor"/>
      </rPr>
      <t xml:space="preserve"> Funeral Expenses</t>
    </r>
    <r>
      <rPr>
        <sz val="11"/>
        <color theme="1"/>
        <rFont val="Calibri"/>
        <family val="2"/>
        <scheme val="minor"/>
      </rPr>
      <t xml:space="preserve"> - 5% of SI upto Rs. 10,000
• </t>
    </r>
    <r>
      <rPr>
        <b/>
        <sz val="11"/>
        <color theme="1"/>
        <rFont val="Calibri"/>
        <family val="2"/>
        <scheme val="minor"/>
      </rPr>
      <t>Transportation of Dead Body</t>
    </r>
    <r>
      <rPr>
        <sz val="11"/>
        <color theme="1"/>
        <rFont val="Calibri"/>
        <family val="2"/>
        <scheme val="minor"/>
      </rPr>
      <t xml:space="preserve"> - 5% of SI upto Rs.10,000
•</t>
    </r>
    <r>
      <rPr>
        <b/>
        <sz val="11"/>
        <color theme="1"/>
        <rFont val="Calibri"/>
        <family val="2"/>
        <scheme val="minor"/>
      </rPr>
      <t xml:space="preserve"> Lifestyle modification</t>
    </r>
    <r>
      <rPr>
        <sz val="11"/>
        <color theme="1"/>
        <rFont val="Calibri"/>
        <family val="2"/>
        <scheme val="minor"/>
      </rPr>
      <t xml:space="preserve"> - 10% SI upto Rs. 25,000</t>
    </r>
  </si>
  <si>
    <r>
      <rPr>
        <b/>
        <sz val="11"/>
        <color rgb="FF000000"/>
        <rFont val="Calibri"/>
        <family val="2"/>
      </rPr>
      <t>• Children Education Benefit</t>
    </r>
    <r>
      <rPr>
        <sz val="11"/>
        <color rgb="FF000000"/>
        <rFont val="Calibri"/>
        <family val="2"/>
      </rPr>
      <t xml:space="preserve">-  10% of SI upto Rs. 5000 per child
</t>
    </r>
    <r>
      <rPr>
        <b/>
        <sz val="11"/>
        <color rgb="FF000000"/>
        <rFont val="Calibri"/>
        <family val="2"/>
      </rPr>
      <t xml:space="preserve">• Funeral Expenses </t>
    </r>
    <r>
      <rPr>
        <sz val="11"/>
        <color rgb="FF000000"/>
        <rFont val="Calibri"/>
        <family val="2"/>
      </rPr>
      <t xml:space="preserve">- upto Rs. 5000
</t>
    </r>
    <r>
      <rPr>
        <b/>
        <sz val="11"/>
        <color rgb="FF000000"/>
        <rFont val="Calibri"/>
        <family val="2"/>
      </rPr>
      <t>Transportation of Dead Body</t>
    </r>
    <r>
      <rPr>
        <sz val="11"/>
        <color rgb="FF000000"/>
        <rFont val="Calibri"/>
        <family val="2"/>
      </rPr>
      <t xml:space="preserve"> - upto Rs.5000
</t>
    </r>
    <r>
      <rPr>
        <b/>
        <sz val="11"/>
        <color rgb="FF000000"/>
        <rFont val="Calibri"/>
        <family val="2"/>
      </rPr>
      <t xml:space="preserve">• Burns Cover </t>
    </r>
    <r>
      <rPr>
        <sz val="11"/>
        <color rgb="FF000000"/>
        <rFont val="Calibri"/>
        <family val="2"/>
      </rPr>
      <t>- Upto 10% SI Upto 10000
•</t>
    </r>
    <r>
      <rPr>
        <b/>
        <sz val="11"/>
        <color rgb="FF000000"/>
        <rFont val="Calibri"/>
        <family val="2"/>
      </rPr>
      <t xml:space="preserve"> Compassionate Visit</t>
    </r>
    <r>
      <rPr>
        <sz val="11"/>
        <color rgb="FF000000"/>
        <rFont val="Calibri"/>
        <family val="2"/>
      </rPr>
      <t xml:space="preserve"> - 10% SI upto Rs. 10,000
• </t>
    </r>
    <r>
      <rPr>
        <b/>
        <sz val="11"/>
        <color rgb="FF000000"/>
        <rFont val="Calibri"/>
        <family val="2"/>
      </rPr>
      <t>Lifestyle modification</t>
    </r>
    <r>
      <rPr>
        <sz val="11"/>
        <color rgb="FF000000"/>
        <rFont val="Calibri"/>
        <family val="2"/>
      </rPr>
      <t xml:space="preserve"> - 10% SI upto Rs. 10,000</t>
    </r>
  </si>
  <si>
    <r>
      <t>1% of SI or Rs. 10,000 or Actual salary per week upto</t>
    </r>
    <r>
      <rPr>
        <sz val="11"/>
        <color rgb="FFFF0000"/>
        <rFont val="Calibri"/>
        <family val="2"/>
        <scheme val="minor"/>
      </rPr>
      <t xml:space="preserve"> </t>
    </r>
    <r>
      <rPr>
        <b/>
        <sz val="11"/>
        <color rgb="FF00B050"/>
        <rFont val="Calibri"/>
        <family val="2"/>
        <scheme val="minor"/>
      </rPr>
      <t>104 weeks</t>
    </r>
    <r>
      <rPr>
        <sz val="11"/>
        <color rgb="FFFF0000"/>
        <rFont val="Calibri"/>
        <family val="2"/>
        <scheme val="minor"/>
      </rPr>
      <t xml:space="preserve"> </t>
    </r>
    <r>
      <rPr>
        <sz val="11"/>
        <color theme="1"/>
        <rFont val="Calibri"/>
        <family val="2"/>
        <scheme val="minor"/>
      </rPr>
      <t>whichever is lower</t>
    </r>
  </si>
  <si>
    <t>% of claims settled within 30 days of intimation</t>
  </si>
  <si>
    <t>General</t>
  </si>
  <si>
    <r>
      <rPr>
        <b/>
        <sz val="10"/>
        <color rgb="FF000000"/>
        <rFont val="Calibri"/>
        <family val="2"/>
      </rPr>
      <t xml:space="preserve">Normal - </t>
    </r>
    <r>
      <rPr>
        <sz val="10"/>
        <color rgb="FF000000"/>
        <rFont val="Calibri"/>
        <family val="2"/>
      </rPr>
      <t xml:space="preserve">For SI 1/2/3 lacs - 2% of SI upto 7,500; for SI 5 lacs - Single Pvt AC
</t>
    </r>
    <r>
      <rPr>
        <b/>
        <sz val="10"/>
        <color rgb="FF000000"/>
        <rFont val="Calibri"/>
        <family val="2"/>
      </rPr>
      <t xml:space="preserve">ICU </t>
    </r>
    <r>
      <rPr>
        <sz val="10"/>
        <color rgb="FF000000"/>
        <rFont val="Calibri"/>
        <family val="2"/>
      </rPr>
      <t>- No Limit</t>
    </r>
  </si>
  <si>
    <t>Upto Rs. 1 lac</t>
  </si>
  <si>
    <t>Upto Rs. 2.5k</t>
  </si>
  <si>
    <t>Upto Rs. 2k</t>
  </si>
  <si>
    <t>Upto Rs. 3k</t>
  </si>
  <si>
    <t>Upto Rs. 1k</t>
  </si>
  <si>
    <t>Upto Rs.2.5k</t>
  </si>
  <si>
    <t>Upto 1% of SI</t>
  </si>
  <si>
    <t>Upto Rs. 2.5K</t>
  </si>
  <si>
    <t>Employee, Spouse &amp; 2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</si>
</sst>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6" formatCode="&quot;₹&quot;\ #,##0;[Red]&quot;₹&quot;\ \-#,##0"/>
    <numFmt numFmtId="43" formatCode="_ * #,##0.00_ ;_ * \-#,##0.00_ ;_ * &quot;-&quot;??_ ;_ @_ "/>
    <numFmt numFmtId="164" formatCode="_(* #,##0.00_);_(* \(#,##0.00\);_(* &quot;-&quot;??_);_(@_)"/>
    <numFmt numFmtId="165" formatCode="&quot;₹&quot;\ #,##0"/>
    <numFmt numFmtId="166" formatCode="d/m/yyyy"/>
    <numFmt numFmtId="167" formatCode="dd\-mmm\-yyyy"/>
    <numFmt numFmtId="168" formatCode="0.0%"/>
    <numFmt numFmtId="169" formatCode="0.0"/>
    <numFmt numFmtId="170" formatCode="_ * #,##0_ ;_ * \-#,##0_ ;_ * &quot;-&quot;??_ ;_ @_ "/>
    <numFmt numFmtId="171" formatCode="&quot;₹&quot;\ #,##0.0000"/>
    <numFmt numFmtId="172" formatCode="[$₹-44C]#,##0"/>
    <numFmt numFmtId="173" formatCode="[$-14009]d\ mmmm\ yyyy;@"/>
    <numFmt numFmtId="174" formatCode="&quot;₹&quot;\ #,##0.000"/>
    <numFmt numFmtId="175" formatCode="&quot;₹&quot;\ #,##0.00"/>
    <numFmt numFmtId="176" formatCode="\₹#,##0"/>
    <numFmt numFmtId="177" formatCode="\₹0"/>
  </numFmts>
  <fonts count="188">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0"/>
      <color theme="1"/>
      <name val="Calibri"/>
      <family val="2"/>
    </font>
    <font>
      <sz val="11"/>
      <color theme="1"/>
      <name val="Calibri"/>
      <family val="2"/>
    </font>
    <font>
      <sz val="10"/>
      <color rgb="FF000000"/>
      <name val="Calibri"/>
      <family val="2"/>
    </font>
    <font>
      <b/>
      <sz val="10"/>
      <color theme="0"/>
      <name val="Calibri"/>
      <family val="2"/>
    </font>
    <font>
      <b/>
      <sz val="10"/>
      <color rgb="FFFFFFFF"/>
      <name val="Calibri"/>
      <family val="2"/>
    </font>
    <font>
      <b/>
      <sz val="10"/>
      <color rgb="FF00B050"/>
      <name val="Calibri"/>
      <family val="2"/>
    </font>
    <font>
      <b/>
      <u/>
      <sz val="10"/>
      <color rgb="FF00B050"/>
      <name val="Calibri"/>
      <family val="2"/>
    </font>
    <font>
      <sz val="10"/>
      <color rgb="FFFF0000"/>
      <name val="Calibri"/>
      <family val="2"/>
    </font>
    <font>
      <b/>
      <sz val="10"/>
      <color rgb="FFFF0000"/>
      <name val="Calibri"/>
      <family val="2"/>
    </font>
    <font>
      <b/>
      <sz val="11"/>
      <color theme="0"/>
      <name val="Calibri"/>
      <family val="2"/>
    </font>
    <font>
      <b/>
      <sz val="11"/>
      <color theme="1"/>
      <name val="Calibri"/>
      <family val="2"/>
    </font>
    <font>
      <b/>
      <u/>
      <sz val="10"/>
      <color theme="10"/>
      <name val="Calibri"/>
      <family val="2"/>
    </font>
    <font>
      <b/>
      <u/>
      <sz val="10"/>
      <color rgb="FF0070C0"/>
      <name val="Calibri"/>
      <family val="2"/>
    </font>
    <font>
      <sz val="10"/>
      <color theme="1"/>
      <name val="Noto Sans Symbols"/>
    </font>
    <font>
      <sz val="10"/>
      <color rgb="FFFF0000"/>
      <name val="Marlett"/>
      <charset val="2"/>
    </font>
    <font>
      <b/>
      <sz val="10"/>
      <color rgb="FFFF0000"/>
      <name val="Marlett"/>
      <charset val="2"/>
    </font>
    <font>
      <i/>
      <sz val="11"/>
      <color theme="1"/>
      <name val="Calibri"/>
      <family val="2"/>
    </font>
    <font>
      <b/>
      <sz val="12"/>
      <color rgb="FF000000"/>
      <name val="Calibri"/>
      <family val="2"/>
    </font>
    <font>
      <sz val="12"/>
      <color rgb="FF000000"/>
      <name val="Calibri"/>
      <family val="2"/>
    </font>
    <font>
      <b/>
      <sz val="11"/>
      <color theme="1"/>
      <name val="Noto Sans Symbols"/>
    </font>
    <font>
      <sz val="11"/>
      <color theme="1"/>
      <name val="Noto Sans Symbols"/>
    </font>
    <font>
      <b/>
      <sz val="11"/>
      <color rgb="FF92D050"/>
      <name val="Noto Sans Symbols"/>
    </font>
    <font>
      <b/>
      <sz val="11"/>
      <color rgb="FFFF0000"/>
      <name val="Noto Sans Symbols"/>
    </font>
    <font>
      <u/>
      <sz val="11"/>
      <color theme="10"/>
      <name val="Calibri"/>
      <family val="2"/>
    </font>
    <font>
      <u/>
      <sz val="11"/>
      <color rgb="FF00B050"/>
      <name val="Calibri"/>
      <family val="2"/>
    </font>
    <font>
      <sz val="11"/>
      <color rgb="FF00B050"/>
      <name val="Calibri"/>
      <family val="2"/>
    </font>
    <font>
      <sz val="11"/>
      <color rgb="FFFF0000"/>
      <name val="Marlett"/>
      <charset val="2"/>
    </font>
    <font>
      <b/>
      <sz val="12"/>
      <color theme="1"/>
      <name val="Calibri"/>
      <family val="2"/>
    </font>
    <font>
      <b/>
      <sz val="11"/>
      <color rgb="FFFF0000"/>
      <name val="Calibri"/>
      <family val="2"/>
    </font>
    <font>
      <b/>
      <sz val="11"/>
      <color rgb="FF00B050"/>
      <name val="Calibri"/>
      <family val="2"/>
    </font>
    <font>
      <b/>
      <u/>
      <sz val="11"/>
      <color rgb="FF00B050"/>
      <name val="Calibri"/>
      <family val="2"/>
    </font>
    <font>
      <b/>
      <u/>
      <sz val="11"/>
      <color theme="10"/>
      <name val="Calibri"/>
      <family val="2"/>
    </font>
    <font>
      <sz val="10"/>
      <color rgb="FF00B050"/>
      <name val="Calibri"/>
      <family val="2"/>
    </font>
    <font>
      <sz val="8"/>
      <color theme="1"/>
      <name val="Calibri"/>
      <family val="2"/>
    </font>
    <font>
      <b/>
      <sz val="9"/>
      <color rgb="FF00B050"/>
      <name val="Calibri"/>
      <family val="2"/>
    </font>
    <font>
      <sz val="12"/>
      <name val="Calibri"/>
      <family val="2"/>
    </font>
    <font>
      <b/>
      <sz val="12"/>
      <color theme="0"/>
      <name val="Calibri"/>
      <family val="2"/>
    </font>
    <font>
      <sz val="12"/>
      <color theme="1"/>
      <name val="Calibri"/>
      <family val="2"/>
    </font>
    <font>
      <i/>
      <sz val="12"/>
      <color theme="1"/>
      <name val="Calibri"/>
      <family val="2"/>
    </font>
    <font>
      <b/>
      <sz val="13"/>
      <color theme="0"/>
      <name val="Calibri"/>
      <family val="2"/>
    </font>
    <font>
      <b/>
      <sz val="13"/>
      <color theme="1"/>
      <name val="Calibri"/>
      <family val="2"/>
    </font>
    <font>
      <b/>
      <sz val="13"/>
      <color rgb="FF000000"/>
      <name val="Calibri"/>
      <family val="2"/>
    </font>
    <font>
      <sz val="13"/>
      <color rgb="FF000000"/>
      <name val="Calibri"/>
      <family val="2"/>
    </font>
    <font>
      <sz val="13"/>
      <color theme="1"/>
      <name val="Calibri"/>
      <family val="2"/>
    </font>
    <font>
      <b/>
      <sz val="13"/>
      <name val="Calibri"/>
      <family val="2"/>
    </font>
    <font>
      <b/>
      <sz val="14"/>
      <name val="Calibri"/>
      <family val="2"/>
    </font>
    <font>
      <b/>
      <sz val="14"/>
      <color rgb="FFFFFFFF"/>
      <name val="Calibri"/>
      <family val="2"/>
    </font>
    <font>
      <b/>
      <sz val="13"/>
      <color rgb="FFFFFFFF"/>
      <name val="Calibri"/>
      <family val="2"/>
    </font>
    <font>
      <sz val="11"/>
      <color rgb="FF006100"/>
      <name val="Calibri"/>
      <family val="2"/>
      <scheme val="minor"/>
    </font>
    <font>
      <sz val="11"/>
      <color rgb="FF9C0006"/>
      <name val="Calibri"/>
      <family val="2"/>
      <scheme val="minor"/>
    </font>
    <font>
      <sz val="11"/>
      <color rgb="FF9C5700"/>
      <name val="Calibri"/>
      <family val="2"/>
      <scheme val="minor"/>
    </font>
    <font>
      <u/>
      <sz val="11"/>
      <color theme="10"/>
      <name val="Calibri"/>
      <family val="2"/>
      <scheme val="minor"/>
    </font>
    <font>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sz val="12"/>
      <color rgb="FF000000"/>
      <name val="Calibri"/>
      <family val="2"/>
      <scheme val="minor"/>
    </font>
    <font>
      <b/>
      <sz val="11"/>
      <name val="Calibri"/>
      <family val="2"/>
    </font>
    <font>
      <b/>
      <sz val="10"/>
      <name val="Calibri"/>
      <family val="2"/>
    </font>
    <font>
      <sz val="11"/>
      <name val="Calibri"/>
      <family val="2"/>
      <scheme val="minor"/>
    </font>
    <font>
      <sz val="18"/>
      <name val="Arial"/>
      <family val="2"/>
    </font>
    <font>
      <b/>
      <sz val="20"/>
      <color rgb="FFFFFFFF"/>
      <name val="Inter"/>
    </font>
    <font>
      <b/>
      <sz val="16"/>
      <color rgb="FF000000"/>
      <name val="Inter"/>
    </font>
    <font>
      <sz val="16"/>
      <color rgb="FF000000"/>
      <name val="Inter"/>
    </font>
    <font>
      <sz val="11"/>
      <color theme="1"/>
      <name val="Calibri"/>
      <family val="2"/>
      <scheme val="minor"/>
    </font>
    <font>
      <sz val="16"/>
      <name val="Arial"/>
      <family val="2"/>
    </font>
    <font>
      <sz val="16"/>
      <name val="Inter"/>
    </font>
    <font>
      <b/>
      <sz val="24"/>
      <color rgb="FF000000"/>
      <name val="Inter"/>
    </font>
    <font>
      <sz val="24"/>
      <name val="Arial"/>
      <family val="2"/>
    </font>
    <font>
      <b/>
      <sz val="11"/>
      <color theme="0"/>
      <name val="Inter"/>
    </font>
    <font>
      <b/>
      <sz val="11"/>
      <color theme="1"/>
      <name val="Inter"/>
    </font>
    <font>
      <b/>
      <sz val="12"/>
      <color rgb="FF000000"/>
      <name val="Inter"/>
    </font>
    <font>
      <sz val="12"/>
      <color theme="1"/>
      <name val="Calibri"/>
      <family val="2"/>
      <scheme val="minor"/>
    </font>
    <font>
      <b/>
      <sz val="20"/>
      <color rgb="FF000000"/>
      <name val="Inter"/>
    </font>
    <font>
      <sz val="20"/>
      <name val="Arial"/>
      <family val="2"/>
    </font>
    <font>
      <b/>
      <sz val="14"/>
      <color rgb="FFFFFFFF"/>
      <name val="Inter"/>
    </font>
    <font>
      <sz val="12"/>
      <name val="Arial"/>
      <family val="2"/>
    </font>
    <font>
      <sz val="8"/>
      <name val="Calibri"/>
      <family val="2"/>
      <scheme val="minor"/>
    </font>
    <font>
      <sz val="18"/>
      <name val="Inter"/>
    </font>
    <font>
      <sz val="11"/>
      <color theme="1"/>
      <name val="Inter"/>
    </font>
    <font>
      <b/>
      <sz val="14"/>
      <name val="Inter"/>
    </font>
    <font>
      <b/>
      <sz val="18"/>
      <color theme="0"/>
      <name val="Arial"/>
      <family val="2"/>
    </font>
    <font>
      <b/>
      <sz val="17"/>
      <color rgb="FF000000"/>
      <name val="Inter"/>
    </font>
    <font>
      <b/>
      <sz val="11"/>
      <color rgb="FF000000"/>
      <name val="Inter"/>
    </font>
    <font>
      <sz val="12"/>
      <color rgb="FF000000"/>
      <name val="Inter"/>
    </font>
    <font>
      <b/>
      <sz val="18"/>
      <color theme="0"/>
      <name val="Inter"/>
    </font>
    <font>
      <b/>
      <sz val="26"/>
      <color theme="1"/>
      <name val="Inter"/>
    </font>
    <font>
      <sz val="11"/>
      <color theme="0"/>
      <name val="Inter"/>
    </font>
    <font>
      <b/>
      <sz val="11"/>
      <name val="Inter"/>
    </font>
    <font>
      <sz val="11"/>
      <name val="Inter"/>
    </font>
    <font>
      <b/>
      <sz val="14"/>
      <color theme="0"/>
      <name val="Inter"/>
    </font>
    <font>
      <sz val="12"/>
      <name val="Inter"/>
    </font>
    <font>
      <i/>
      <sz val="9"/>
      <color rgb="FF000000"/>
      <name val="Inter"/>
    </font>
    <font>
      <i/>
      <sz val="9"/>
      <name val="Inter"/>
    </font>
    <font>
      <b/>
      <sz val="18"/>
      <name val="Inter"/>
    </font>
    <font>
      <b/>
      <sz val="18"/>
      <color theme="1"/>
      <name val="Inter"/>
    </font>
    <font>
      <b/>
      <sz val="9"/>
      <name val="Inter"/>
    </font>
    <font>
      <i/>
      <sz val="16"/>
      <name val="Inter"/>
    </font>
    <font>
      <b/>
      <sz val="14"/>
      <name val="Roboto"/>
    </font>
    <font>
      <b/>
      <sz val="14"/>
      <color rgb="FFFFFFFF"/>
      <name val="Roboto"/>
    </font>
    <font>
      <sz val="14"/>
      <color theme="1"/>
      <name val="Roboto"/>
    </font>
    <font>
      <b/>
      <sz val="14"/>
      <color theme="1"/>
      <name val="Roboto"/>
    </font>
    <font>
      <b/>
      <sz val="14"/>
      <color rgb="FF000000"/>
      <name val="Roboto"/>
    </font>
    <font>
      <sz val="14"/>
      <color rgb="FF000000"/>
      <name val="Roboto"/>
    </font>
    <font>
      <b/>
      <sz val="14"/>
      <color theme="0"/>
      <name val="Roboto"/>
    </font>
    <font>
      <sz val="14"/>
      <name val="Roboto"/>
    </font>
    <font>
      <i/>
      <sz val="14"/>
      <color theme="1"/>
      <name val="Roboto"/>
    </font>
    <font>
      <b/>
      <sz val="10"/>
      <color theme="1"/>
      <name val="Calibri"/>
      <family val="2"/>
    </font>
    <font>
      <b/>
      <sz val="28"/>
      <color rgb="FF000000"/>
      <name val="Roboto"/>
    </font>
    <font>
      <b/>
      <sz val="36"/>
      <color rgb="FF000000"/>
      <name val="Roboto"/>
    </font>
    <font>
      <b/>
      <sz val="24"/>
      <color rgb="FF000000"/>
      <name val="Roboto"/>
    </font>
    <font>
      <sz val="11"/>
      <color theme="1"/>
      <name val="Roboto"/>
    </font>
    <font>
      <i/>
      <sz val="12"/>
      <color theme="1"/>
      <name val="Calibri"/>
      <family val="2"/>
      <scheme val="minor"/>
    </font>
    <font>
      <b/>
      <sz val="11"/>
      <color theme="1"/>
      <name val="Calibri"/>
      <family val="2"/>
      <scheme val="minor"/>
    </font>
    <font>
      <b/>
      <u/>
      <sz val="14"/>
      <color theme="1"/>
      <name val="Roboto"/>
    </font>
    <font>
      <i/>
      <sz val="11"/>
      <color theme="1"/>
      <name val="Inter"/>
    </font>
    <font>
      <b/>
      <sz val="11"/>
      <color theme="0"/>
      <name val="Calibri"/>
      <family val="2"/>
      <scheme val="minor"/>
    </font>
    <font>
      <u/>
      <sz val="14"/>
      <color theme="0"/>
      <name val="Roboto"/>
    </font>
    <font>
      <sz val="10"/>
      <name val="Arial"/>
      <family val="2"/>
    </font>
    <font>
      <b/>
      <sz val="11"/>
      <color rgb="FF000000"/>
      <name val="Calibri"/>
      <family val="2"/>
    </font>
    <font>
      <sz val="9"/>
      <color indexed="81"/>
      <name val="Tahoma"/>
      <family val="2"/>
    </font>
    <font>
      <b/>
      <sz val="9"/>
      <color indexed="81"/>
      <name val="Tahoma"/>
      <family val="2"/>
    </font>
    <font>
      <b/>
      <u/>
      <sz val="12"/>
      <color theme="1"/>
      <name val="Calibri"/>
      <family val="2"/>
      <scheme val="minor"/>
    </font>
    <font>
      <b/>
      <sz val="12"/>
      <color theme="0"/>
      <name val="Calibri"/>
      <family val="2"/>
      <scheme val="minor"/>
    </font>
    <font>
      <b/>
      <sz val="12"/>
      <color theme="1"/>
      <name val="Calibri"/>
      <family val="2"/>
      <scheme val="minor"/>
    </font>
    <font>
      <b/>
      <sz val="12"/>
      <color rgb="FFFF0000"/>
      <name val="Calibri"/>
      <family val="2"/>
      <scheme val="minor"/>
    </font>
    <font>
      <sz val="11"/>
      <color rgb="FF000000"/>
      <name val="Calibri"/>
      <family val="2"/>
    </font>
    <font>
      <b/>
      <sz val="12"/>
      <color rgb="FF92D050"/>
      <name val="Calibri"/>
      <family val="2"/>
      <scheme val="minor"/>
    </font>
    <font>
      <b/>
      <sz val="12"/>
      <color rgb="FF92D050"/>
      <name val="Calibri"/>
      <family val="2"/>
    </font>
    <font>
      <sz val="12"/>
      <color rgb="FFFF0000"/>
      <name val="Calibri"/>
      <family val="2"/>
      <scheme val="minor"/>
    </font>
    <font>
      <b/>
      <sz val="12"/>
      <color rgb="FF00B050"/>
      <name val="Calibri"/>
      <family val="2"/>
      <scheme val="minor"/>
    </font>
    <font>
      <b/>
      <sz val="12"/>
      <color rgb="FF000000"/>
      <name val="Calibri"/>
      <family val="2"/>
      <scheme val="minor"/>
    </font>
    <font>
      <sz val="12"/>
      <name val="Calibri"/>
      <family val="2"/>
      <scheme val="minor"/>
    </font>
    <font>
      <b/>
      <u/>
      <sz val="12"/>
      <name val="Calibri"/>
      <family val="2"/>
      <scheme val="minor"/>
    </font>
    <font>
      <u/>
      <sz val="12"/>
      <name val="Calibri"/>
      <family val="2"/>
      <scheme val="minor"/>
    </font>
    <font>
      <b/>
      <sz val="12"/>
      <name val="Calibri"/>
      <family val="2"/>
      <scheme val="minor"/>
    </font>
    <font>
      <b/>
      <u/>
      <sz val="12"/>
      <name val="Calibri"/>
      <family val="2"/>
    </font>
    <font>
      <b/>
      <sz val="12"/>
      <name val="Calibri"/>
      <family val="2"/>
    </font>
    <font>
      <b/>
      <u/>
      <sz val="11"/>
      <color theme="1"/>
      <name val="Calibri"/>
      <family val="2"/>
      <scheme val="minor"/>
    </font>
    <font>
      <b/>
      <sz val="26"/>
      <color theme="1"/>
      <name val="Calibri"/>
      <family val="2"/>
      <scheme val="minor"/>
    </font>
    <font>
      <b/>
      <sz val="11"/>
      <color rgb="FFFFFFFF"/>
      <name val="Calibri"/>
      <family val="2"/>
    </font>
    <font>
      <b/>
      <sz val="10"/>
      <color rgb="FF000000"/>
      <name val="Calibri"/>
      <family val="2"/>
    </font>
    <font>
      <b/>
      <i/>
      <sz val="11"/>
      <color theme="1"/>
      <name val="Calibri"/>
      <family val="2"/>
      <scheme val="minor"/>
    </font>
    <font>
      <b/>
      <sz val="14"/>
      <color rgb="FF001D35"/>
      <name val="Google Sans"/>
      <charset val="1"/>
    </font>
    <font>
      <sz val="11"/>
      <color rgb="FFFF0000"/>
      <name val="Calibri"/>
      <family val="2"/>
      <scheme val="minor"/>
    </font>
    <font>
      <sz val="11"/>
      <color rgb="FF00B050"/>
      <name val="Calibri"/>
      <family val="2"/>
      <scheme val="minor"/>
    </font>
    <font>
      <sz val="11"/>
      <color rgb="FFEE0000"/>
      <name val="Calibri"/>
      <family val="2"/>
      <scheme val="minor"/>
    </font>
    <font>
      <b/>
      <sz val="10"/>
      <color theme="0"/>
      <name val="Calibri"/>
      <family val="2"/>
      <scheme val="minor"/>
    </font>
    <font>
      <sz val="8"/>
      <color theme="1"/>
      <name val="Calibri"/>
      <family val="2"/>
      <scheme val="minor"/>
    </font>
    <font>
      <b/>
      <sz val="11"/>
      <color rgb="FF00B050"/>
      <name val="Calibri"/>
      <family val="2"/>
      <scheme val="minor"/>
    </font>
    <font>
      <b/>
      <sz val="8"/>
      <color rgb="FF000000"/>
      <name val="Roboto"/>
    </font>
    <font>
      <sz val="11"/>
      <color rgb="FFFF0000"/>
      <name val="Calibri"/>
      <family val="2"/>
    </font>
    <font>
      <sz val="8"/>
      <name val="Calibri"/>
      <family val="2"/>
      <scheme val="minor"/>
    </font>
    <font>
      <b/>
      <sz val="11"/>
      <name val="Aptos"/>
      <family val="2"/>
    </font>
    <font>
      <sz val="9"/>
      <color theme="1"/>
      <name val="Calibri"/>
      <family val="2"/>
    </font>
    <font>
      <b/>
      <sz val="11"/>
      <name val="Calibri"/>
      <family val="2"/>
      <scheme val="minor"/>
    </font>
    <font>
      <b/>
      <sz val="11"/>
      <color rgb="FFFF0000"/>
      <name val="Calibri"/>
      <family val="2"/>
      <scheme val="minor"/>
    </font>
    <font>
      <b/>
      <sz val="11"/>
      <color rgb="FFFFFFFF"/>
      <name val="Calibri"/>
      <family val="2"/>
      <scheme val="minor"/>
    </font>
    <font>
      <b/>
      <sz val="11"/>
      <color rgb="FF92D050"/>
      <name val="Calibri"/>
      <family val="2"/>
      <scheme val="minor"/>
    </font>
    <font>
      <b/>
      <u/>
      <sz val="11"/>
      <name val="Calibri"/>
      <family val="2"/>
      <scheme val="minor"/>
    </font>
    <font>
      <u/>
      <sz val="11"/>
      <name val="Calibri"/>
      <family val="2"/>
      <scheme val="minor"/>
    </font>
    <font>
      <b/>
      <sz val="11"/>
      <color rgb="FF92D050"/>
      <name val="Calibri"/>
      <family val="2"/>
    </font>
    <font>
      <b/>
      <u/>
      <sz val="11"/>
      <color rgb="FF000000"/>
      <name val="Calibri"/>
      <family val="2"/>
      <scheme val="minor"/>
    </font>
    <font>
      <b/>
      <sz val="26"/>
      <color rgb="FF000000"/>
      <name val="Roboto"/>
    </font>
    <font>
      <b/>
      <sz val="11"/>
      <color theme="1"/>
      <name val="Roboto"/>
    </font>
    <font>
      <sz val="9"/>
      <name val="Roboto"/>
    </font>
    <font>
      <u/>
      <sz val="9.5"/>
      <color theme="0"/>
      <name val="Roboto"/>
    </font>
    <font>
      <sz val="9.5"/>
      <color theme="1"/>
      <name val="Roboto"/>
    </font>
    <font>
      <b/>
      <sz val="9.5"/>
      <color theme="0"/>
      <name val="Roboto"/>
    </font>
    <font>
      <b/>
      <sz val="9.5"/>
      <name val="Roboto"/>
    </font>
    <font>
      <b/>
      <sz val="9.5"/>
      <color rgb="FF000000"/>
      <name val="Roboto"/>
    </font>
    <font>
      <sz val="9.5"/>
      <color rgb="FF000000"/>
      <name val="Roboto"/>
    </font>
    <font>
      <b/>
      <sz val="9.5"/>
      <color rgb="FFFFFFFF"/>
      <name val="Roboto"/>
    </font>
    <font>
      <sz val="9.5"/>
      <name val="Roboto"/>
    </font>
    <font>
      <b/>
      <sz val="9.5"/>
      <color theme="1"/>
      <name val="Roboto"/>
    </font>
    <font>
      <i/>
      <sz val="9.5"/>
      <color theme="1"/>
      <name val="Roboto"/>
    </font>
    <font>
      <sz val="9.5"/>
      <color rgb="FF212121"/>
      <name val="Roboto"/>
    </font>
    <font>
      <u/>
      <sz val="9.5"/>
      <color theme="10"/>
      <name val="Roboto"/>
    </font>
  </fonts>
  <fills count="78">
    <fill>
      <patternFill patternType="none"/>
    </fill>
    <fill>
      <patternFill patternType="gray125"/>
    </fill>
    <fill>
      <patternFill patternType="solid">
        <fgColor rgb="FF51C5A9"/>
        <bgColor rgb="FF51C5A9"/>
      </patternFill>
    </fill>
    <fill>
      <patternFill patternType="solid">
        <fgColor rgb="FFF2F2F2"/>
        <bgColor rgb="FFF2F2F2"/>
      </patternFill>
    </fill>
    <fill>
      <patternFill patternType="solid">
        <fgColor rgb="FFFDFDFD"/>
        <bgColor rgb="FFFDFDFD"/>
      </patternFill>
    </fill>
    <fill>
      <patternFill patternType="solid">
        <fgColor rgb="FFD9F3ED"/>
        <bgColor rgb="FFD9F3ED"/>
      </patternFill>
    </fill>
    <fill>
      <patternFill patternType="solid">
        <fgColor theme="0"/>
        <bgColor theme="0"/>
      </patternFill>
    </fill>
    <fill>
      <patternFill patternType="solid">
        <fgColor rgb="FFFFFF00"/>
        <bgColor rgb="FFFFFF00"/>
      </patternFill>
    </fill>
    <fill>
      <patternFill patternType="solid">
        <fgColor rgb="FFD8D8D8"/>
        <bgColor rgb="FFD8D8D8"/>
      </patternFill>
    </fill>
    <fill>
      <patternFill patternType="solid">
        <fgColor theme="0"/>
        <bgColor indexed="64"/>
      </patternFill>
    </fill>
    <fill>
      <patternFill patternType="solid">
        <fgColor theme="0"/>
        <bgColor rgb="FFF2F2F2"/>
      </patternFill>
    </fill>
    <fill>
      <patternFill patternType="solid">
        <fgColor theme="0"/>
        <bgColor rgb="FFFDFDFD"/>
      </patternFill>
    </fill>
    <fill>
      <patternFill patternType="solid">
        <fgColor theme="2" tint="-0.499984740745262"/>
        <bgColor rgb="FF51C5A9"/>
      </patternFill>
    </fill>
    <fill>
      <patternFill patternType="solid">
        <fgColor theme="2" tint="-0.14999847407452621"/>
        <bgColor indexed="64"/>
      </patternFill>
    </fill>
    <fill>
      <patternFill patternType="solid">
        <fgColor theme="2" tint="-4.9989318521683403E-2"/>
        <bgColor indexed="64"/>
      </patternFill>
    </fill>
    <fill>
      <patternFill patternType="solid">
        <fgColor theme="2" tint="-4.9989318521683403E-2"/>
        <bgColor rgb="FFFFFF00"/>
      </patternFill>
    </fill>
    <fill>
      <patternFill patternType="solid">
        <fgColor theme="9" tint="0.79998168889431442"/>
        <bgColor indexed="64"/>
      </patternFill>
    </fill>
    <fill>
      <patternFill patternType="solid">
        <fgColor theme="0"/>
        <bgColor rgb="FF51C5A9"/>
      </patternFill>
    </fill>
    <fill>
      <patternFill patternType="solid">
        <fgColor rgb="FFFCE8F4"/>
        <bgColor rgb="FF51C5A9"/>
      </patternFill>
    </fill>
    <fill>
      <patternFill patternType="solid">
        <fgColor rgb="FFF3E0BD"/>
        <bgColor theme="0"/>
      </patternFill>
    </fill>
    <fill>
      <patternFill patternType="solid">
        <fgColor rgb="FFF3E0BD"/>
        <bgColor indexed="64"/>
      </patternFill>
    </fill>
    <fill>
      <patternFill patternType="solid">
        <fgColor rgb="FFECC7C8"/>
        <bgColor indexed="64"/>
      </patternFill>
    </fill>
    <fill>
      <patternFill patternType="solid">
        <fgColor rgb="FFC9E5E4"/>
        <bgColor indexed="64"/>
      </patternFill>
    </fill>
    <fill>
      <patternFill patternType="solid">
        <fgColor rgb="FF00CC99"/>
        <bgColor indexed="64"/>
      </patternFill>
    </fill>
    <fill>
      <patternFill patternType="solid">
        <fgColor rgb="FFD9F3ED"/>
        <bgColor indexed="64"/>
      </patternFill>
    </fill>
    <fill>
      <patternFill patternType="solid">
        <fgColor rgb="FF757171"/>
        <bgColor indexed="64"/>
      </patternFill>
    </fill>
    <fill>
      <patternFill patternType="solid">
        <fgColor rgb="FFD6DCE4"/>
        <bgColor indexed="64"/>
      </patternFill>
    </fill>
    <fill>
      <patternFill patternType="solid">
        <fgColor rgb="FFFCE4D6"/>
        <bgColor indexed="64"/>
      </patternFill>
    </fill>
    <fill>
      <patternFill patternType="solid">
        <fgColor rgb="FFF8CBAD"/>
        <bgColor indexed="64"/>
      </patternFill>
    </fill>
    <fill>
      <patternFill patternType="solid">
        <fgColor rgb="FFDDEBF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5" tint="0.79998168889431442"/>
        <bgColor indexed="64"/>
      </patternFill>
    </fill>
    <fill>
      <patternFill patternType="solid">
        <fgColor rgb="FFE2EFDA"/>
        <bgColor rgb="FF000000"/>
      </patternFill>
    </fill>
    <fill>
      <patternFill patternType="solid">
        <fgColor rgb="FFDDEBF7"/>
        <bgColor rgb="FF000000"/>
      </patternFill>
    </fill>
    <fill>
      <patternFill patternType="solid">
        <fgColor rgb="FFF56969"/>
        <bgColor indexed="64"/>
      </patternFill>
    </fill>
    <fill>
      <patternFill patternType="solid">
        <fgColor theme="2" tint="-0.14999847407452621"/>
        <bgColor rgb="FF000000"/>
      </patternFill>
    </fill>
    <fill>
      <patternFill patternType="solid">
        <fgColor rgb="FF85EDDE"/>
        <bgColor indexed="64"/>
      </patternFill>
    </fill>
    <fill>
      <patternFill patternType="solid">
        <fgColor rgb="FF80CEBA"/>
        <bgColor indexed="64"/>
      </patternFill>
    </fill>
    <fill>
      <patternFill patternType="solid">
        <fgColor rgb="FFFFAFB1"/>
        <bgColor indexed="64"/>
      </patternFill>
    </fill>
    <fill>
      <patternFill patternType="solid">
        <fgColor rgb="FFFFFF00"/>
        <bgColor indexed="64"/>
      </patternFill>
    </fill>
    <fill>
      <patternFill patternType="solid">
        <fgColor rgb="FF444444"/>
        <bgColor indexed="64"/>
      </patternFill>
    </fill>
    <fill>
      <patternFill patternType="solid">
        <fgColor rgb="FFFAF2E2"/>
        <bgColor indexed="64"/>
      </patternFill>
    </fill>
    <fill>
      <patternFill patternType="solid">
        <fgColor rgb="FFFFE5E6"/>
        <bgColor indexed="64"/>
      </patternFill>
    </fill>
    <fill>
      <patternFill patternType="solid">
        <fgColor rgb="FF11A387"/>
        <bgColor indexed="64"/>
      </patternFill>
    </fill>
    <fill>
      <patternFill patternType="solid">
        <fgColor rgb="FFC0F6EE"/>
        <bgColor indexed="64"/>
      </patternFill>
    </fill>
    <fill>
      <patternFill patternType="solid">
        <fgColor rgb="FFEBEFF1"/>
        <bgColor indexed="64"/>
      </patternFill>
    </fill>
    <fill>
      <patternFill patternType="solid">
        <fgColor theme="1" tint="0.249977111117893"/>
        <bgColor indexed="64"/>
      </patternFill>
    </fill>
    <fill>
      <patternFill patternType="solid">
        <fgColor theme="3" tint="0.249977111117893"/>
        <bgColor indexed="64"/>
      </patternFill>
    </fill>
    <fill>
      <patternFill patternType="solid">
        <fgColor rgb="FFE3FAF6"/>
        <bgColor indexed="64"/>
      </patternFill>
    </fill>
    <fill>
      <patternFill patternType="solid">
        <fgColor rgb="FFC00000"/>
        <bgColor indexed="64"/>
      </patternFill>
    </fill>
    <fill>
      <patternFill patternType="solid">
        <fgColor theme="1" tint="0.34998626667073579"/>
        <bgColor indexed="64"/>
      </patternFill>
    </fill>
    <fill>
      <patternFill patternType="solid">
        <fgColor theme="1" tint="0.499984740745262"/>
        <bgColor indexed="64"/>
      </patternFill>
    </fill>
    <fill>
      <patternFill patternType="solid">
        <fgColor theme="1"/>
        <bgColor indexed="64"/>
      </patternFill>
    </fill>
    <fill>
      <patternFill patternType="solid">
        <fgColor rgb="FFFAF2E2"/>
        <bgColor theme="0"/>
      </patternFill>
    </fill>
    <fill>
      <patternFill patternType="solid">
        <fgColor rgb="FFE3FAF6"/>
        <bgColor theme="0"/>
      </patternFill>
    </fill>
    <fill>
      <patternFill patternType="solid">
        <fgColor theme="0" tint="-0.14999847407452621"/>
        <bgColor indexed="64"/>
      </patternFill>
    </fill>
    <fill>
      <patternFill patternType="solid">
        <fgColor rgb="FFD9FBF5"/>
        <bgColor indexed="64"/>
      </patternFill>
    </fill>
    <fill>
      <patternFill patternType="solid">
        <fgColor rgb="FFE6F2F6"/>
        <bgColor indexed="64"/>
      </patternFill>
    </fill>
    <fill>
      <patternFill patternType="solid">
        <fgColor rgb="FF51C5A9"/>
        <bgColor indexed="64"/>
      </patternFill>
    </fill>
    <fill>
      <patternFill patternType="solid">
        <fgColor theme="7" tint="0.39997558519241921"/>
        <bgColor indexed="64"/>
      </patternFill>
    </fill>
    <fill>
      <patternFill patternType="solid">
        <fgColor rgb="FFD9F3ED"/>
        <bgColor rgb="FF000000"/>
      </patternFill>
    </fill>
    <fill>
      <patternFill patternType="solid">
        <fgColor rgb="FF11A387"/>
        <bgColor rgb="FF000000"/>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4.9989318521683403E-2"/>
        <bgColor rgb="FFFDFDFD"/>
      </patternFill>
    </fill>
    <fill>
      <patternFill patternType="solid">
        <fgColor rgb="FFFFE5E6"/>
        <bgColor theme="0"/>
      </patternFill>
    </fill>
    <fill>
      <patternFill patternType="solid">
        <fgColor rgb="FFFFD966"/>
        <bgColor rgb="FF000000"/>
      </patternFill>
    </fill>
    <fill>
      <patternFill patternType="solid">
        <fgColor theme="0"/>
        <bgColor rgb="FF000000"/>
      </patternFill>
    </fill>
    <fill>
      <patternFill patternType="solid">
        <fgColor rgb="FFF2F2F2"/>
        <bgColor indexed="64"/>
      </patternFill>
    </fill>
    <fill>
      <patternFill patternType="solid">
        <fgColor rgb="FFBFBFBF"/>
        <bgColor indexed="64"/>
      </patternFill>
    </fill>
    <fill>
      <patternFill patternType="solid">
        <fgColor rgb="FFF2F2F2"/>
        <bgColor theme="0"/>
      </patternFill>
    </fill>
    <fill>
      <patternFill patternType="solid">
        <fgColor rgb="FFD9F3ED"/>
        <bgColor theme="0"/>
      </patternFill>
    </fill>
    <fill>
      <patternFill patternType="solid">
        <fgColor rgb="FFD9D9D9"/>
        <bgColor indexed="64"/>
      </patternFill>
    </fill>
    <fill>
      <patternFill patternType="solid">
        <fgColor rgb="FFFFFF00"/>
        <bgColor theme="0"/>
      </patternFill>
    </fill>
    <fill>
      <patternFill patternType="solid">
        <fgColor theme="4" tint="0.79998168889431442"/>
        <bgColor indexed="64"/>
      </patternFill>
    </fill>
  </fills>
  <borders count="148">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rgb="FF000000"/>
      </right>
      <top style="thin">
        <color rgb="FF000000"/>
      </top>
      <bottom/>
      <diagonal/>
    </border>
    <border>
      <left style="medium">
        <color indexed="64"/>
      </left>
      <right/>
      <top style="medium">
        <color indexed="64"/>
      </top>
      <bottom/>
      <diagonal/>
    </border>
    <border>
      <left style="medium">
        <color indexed="64"/>
      </left>
      <right/>
      <top/>
      <bottom/>
      <diagonal/>
    </border>
    <border>
      <left style="medium">
        <color rgb="FF000000"/>
      </left>
      <right/>
      <top style="thin">
        <color rgb="FF000000"/>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style="medium">
        <color rgb="FF000000"/>
      </right>
      <top/>
      <bottom/>
      <diagonal/>
    </border>
    <border>
      <left style="thin">
        <color rgb="FF000000"/>
      </left>
      <right/>
      <top style="thin">
        <color rgb="FF000000"/>
      </top>
      <bottom/>
      <diagonal/>
    </border>
    <border>
      <left style="thin">
        <color rgb="FF000000"/>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000000"/>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medium">
        <color rgb="FF11A387"/>
      </left>
      <right/>
      <top/>
      <bottom/>
      <diagonal/>
    </border>
    <border>
      <left/>
      <right style="medium">
        <color rgb="FF11A387"/>
      </right>
      <top/>
      <bottom/>
      <diagonal/>
    </border>
    <border>
      <left style="medium">
        <color rgb="FF11A387"/>
      </left>
      <right/>
      <top/>
      <bottom style="medium">
        <color rgb="FF11A387"/>
      </bottom>
      <diagonal/>
    </border>
    <border>
      <left/>
      <right/>
      <top/>
      <bottom style="medium">
        <color rgb="FF11A387"/>
      </bottom>
      <diagonal/>
    </border>
    <border>
      <left/>
      <right style="medium">
        <color rgb="FF11A387"/>
      </right>
      <top/>
      <bottom style="medium">
        <color rgb="FF11A387"/>
      </bottom>
      <diagonal/>
    </border>
    <border>
      <left style="medium">
        <color theme="1" tint="0.34998626667073579"/>
      </left>
      <right/>
      <top/>
      <bottom/>
      <diagonal/>
    </border>
    <border>
      <left/>
      <right style="medium">
        <color theme="1" tint="0.34998626667073579"/>
      </right>
      <top/>
      <bottom/>
      <diagonal/>
    </border>
    <border>
      <left style="medium">
        <color theme="1" tint="0.34998626667073579"/>
      </left>
      <right/>
      <top/>
      <bottom style="medium">
        <color theme="1" tint="0.34998626667073579"/>
      </bottom>
      <diagonal/>
    </border>
    <border>
      <left/>
      <right style="medium">
        <color theme="1" tint="0.34998626667073579"/>
      </right>
      <top/>
      <bottom style="medium">
        <color theme="1" tint="0.34998626667073579"/>
      </bottom>
      <diagonal/>
    </border>
    <border>
      <left/>
      <right style="thin">
        <color indexed="64"/>
      </right>
      <top/>
      <bottom/>
      <diagonal/>
    </border>
    <border>
      <left style="medium">
        <color rgb="FF11A387"/>
      </left>
      <right/>
      <top style="medium">
        <color rgb="FF11A387"/>
      </top>
      <bottom style="medium">
        <color rgb="FF11A387"/>
      </bottom>
      <diagonal/>
    </border>
    <border>
      <left/>
      <right/>
      <top style="medium">
        <color rgb="FF11A387"/>
      </top>
      <bottom style="medium">
        <color rgb="FF11A387"/>
      </bottom>
      <diagonal/>
    </border>
    <border>
      <left/>
      <right style="medium">
        <color rgb="FF11A387"/>
      </right>
      <top style="medium">
        <color rgb="FF11A387"/>
      </top>
      <bottom style="medium">
        <color rgb="FF11A387"/>
      </bottom>
      <diagonal/>
    </border>
    <border>
      <left style="medium">
        <color theme="1" tint="0.34998626667073579"/>
      </left>
      <right/>
      <top style="medium">
        <color theme="1" tint="0.34998626667073579"/>
      </top>
      <bottom style="medium">
        <color theme="1" tint="0.34998626667073579"/>
      </bottom>
      <diagonal/>
    </border>
    <border>
      <left/>
      <right style="medium">
        <color theme="1" tint="0.34998626667073579"/>
      </right>
      <top style="medium">
        <color theme="1" tint="0.34998626667073579"/>
      </top>
      <bottom style="medium">
        <color theme="1" tint="0.34998626667073579"/>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top/>
      <bottom style="medium">
        <color indexed="64"/>
      </bottom>
      <diagonal/>
    </border>
    <border>
      <left/>
      <right/>
      <top style="thin">
        <color theme="0"/>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style="medium">
        <color indexed="64"/>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style="medium">
        <color theme="1"/>
      </left>
      <right style="thin">
        <color indexed="64"/>
      </right>
      <top style="thin">
        <color indexed="64"/>
      </top>
      <bottom style="thin">
        <color indexed="64"/>
      </bottom>
      <diagonal/>
    </border>
    <border>
      <left style="medium">
        <color theme="1"/>
      </left>
      <right style="thin">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thin">
        <color indexed="64"/>
      </bottom>
      <diagonal/>
    </border>
    <border>
      <left style="thin">
        <color indexed="64"/>
      </left>
      <right style="medium">
        <color theme="1"/>
      </right>
      <top style="thin">
        <color indexed="64"/>
      </top>
      <bottom style="medium">
        <color theme="1"/>
      </bottom>
      <diagonal/>
    </border>
    <border>
      <left style="medium">
        <color theme="1"/>
      </left>
      <right style="thin">
        <color indexed="64"/>
      </right>
      <top style="medium">
        <color theme="1"/>
      </top>
      <bottom style="medium">
        <color theme="1"/>
      </bottom>
      <diagonal/>
    </border>
    <border>
      <left style="thin">
        <color indexed="64"/>
      </left>
      <right style="thin">
        <color indexed="64"/>
      </right>
      <top style="medium">
        <color theme="1"/>
      </top>
      <bottom style="medium">
        <color theme="1"/>
      </bottom>
      <diagonal/>
    </border>
    <border>
      <left style="thin">
        <color indexed="64"/>
      </left>
      <right style="medium">
        <color theme="1"/>
      </right>
      <top style="medium">
        <color theme="1"/>
      </top>
      <bottom style="medium">
        <color theme="1"/>
      </bottom>
      <diagonal/>
    </border>
    <border>
      <left style="medium">
        <color theme="1"/>
      </left>
      <right style="medium">
        <color theme="1"/>
      </right>
      <top style="medium">
        <color theme="1"/>
      </top>
      <bottom style="thin">
        <color indexed="64"/>
      </bottom>
      <diagonal/>
    </border>
    <border>
      <left style="medium">
        <color theme="1"/>
      </left>
      <right style="medium">
        <color theme="1"/>
      </right>
      <top style="thin">
        <color indexed="64"/>
      </top>
      <bottom style="thin">
        <color indexed="64"/>
      </bottom>
      <diagonal/>
    </border>
    <border>
      <left style="medium">
        <color theme="1"/>
      </left>
      <right style="medium">
        <color theme="1"/>
      </right>
      <top style="thin">
        <color indexed="64"/>
      </top>
      <bottom style="medium">
        <color theme="1"/>
      </bottom>
      <diagonal/>
    </border>
    <border>
      <left style="medium">
        <color theme="1"/>
      </left>
      <right style="medium">
        <color theme="1"/>
      </right>
      <top style="medium">
        <color theme="1"/>
      </top>
      <bottom style="thin">
        <color theme="1"/>
      </bottom>
      <diagonal/>
    </border>
    <border>
      <left style="medium">
        <color theme="1"/>
      </left>
      <right style="medium">
        <color theme="1"/>
      </right>
      <top style="thin">
        <color theme="1"/>
      </top>
      <bottom style="thin">
        <color theme="1"/>
      </bottom>
      <diagonal/>
    </border>
    <border>
      <left style="medium">
        <color theme="1"/>
      </left>
      <right style="medium">
        <color theme="1"/>
      </right>
      <top style="thin">
        <color theme="1"/>
      </top>
      <bottom style="medium">
        <color theme="1"/>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style="thin">
        <color indexed="64"/>
      </left>
      <right style="medium">
        <color theme="1"/>
      </right>
      <top style="medium">
        <color theme="1"/>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theme="1"/>
      </bottom>
      <diagonal/>
    </border>
    <border>
      <left style="thin">
        <color rgb="FF212121"/>
      </left>
      <right style="thin">
        <color rgb="FF000000"/>
      </right>
      <top style="thin">
        <color rgb="FF212121"/>
      </top>
      <bottom style="thin">
        <color rgb="FF212121"/>
      </bottom>
      <diagonal/>
    </border>
    <border>
      <left/>
      <right/>
      <top style="medium">
        <color theme="1"/>
      </top>
      <bottom style="thin">
        <color indexed="64"/>
      </bottom>
      <diagonal/>
    </border>
    <border>
      <left/>
      <right/>
      <top style="thin">
        <color indexed="64"/>
      </top>
      <bottom style="medium">
        <color theme="1"/>
      </bottom>
      <diagonal/>
    </border>
    <border>
      <left style="medium">
        <color theme="1"/>
      </left>
      <right/>
      <top style="thin">
        <color indexed="64"/>
      </top>
      <bottom style="thin">
        <color indexed="64"/>
      </bottom>
      <diagonal/>
    </border>
    <border>
      <left/>
      <right style="medium">
        <color theme="1"/>
      </right>
      <top style="thin">
        <color indexed="64"/>
      </top>
      <bottom style="thin">
        <color indexed="64"/>
      </bottom>
      <diagonal/>
    </border>
    <border>
      <left style="medium">
        <color theme="1"/>
      </left>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top style="thin">
        <color indexed="64"/>
      </top>
      <bottom style="medium">
        <color theme="1"/>
      </bottom>
      <diagonal/>
    </border>
    <border>
      <left/>
      <right style="medium">
        <color theme="1"/>
      </right>
      <top style="thin">
        <color indexed="64"/>
      </top>
      <bottom style="medium">
        <color theme="1"/>
      </bottom>
      <diagonal/>
    </border>
    <border>
      <left style="medium">
        <color indexed="64"/>
      </left>
      <right style="medium">
        <color indexed="64"/>
      </right>
      <top style="medium">
        <color theme="1"/>
      </top>
      <bottom style="thin">
        <color indexed="64"/>
      </bottom>
      <diagonal/>
    </border>
    <border>
      <left style="medium">
        <color indexed="64"/>
      </left>
      <right style="medium">
        <color indexed="64"/>
      </right>
      <top style="thin">
        <color indexed="64"/>
      </top>
      <bottom style="medium">
        <color theme="1"/>
      </bottom>
      <diagonal/>
    </border>
    <border>
      <left style="medium">
        <color theme="1"/>
      </left>
      <right style="medium">
        <color theme="1"/>
      </right>
      <top style="medium">
        <color theme="1"/>
      </top>
      <bottom/>
      <diagonal/>
    </border>
    <border>
      <left style="medium">
        <color theme="1"/>
      </left>
      <right/>
      <top style="thin">
        <color theme="1"/>
      </top>
      <bottom style="medium">
        <color theme="1"/>
      </bottom>
      <diagonal/>
    </border>
    <border>
      <left style="medium">
        <color theme="1"/>
      </left>
      <right style="medium">
        <color indexed="64"/>
      </right>
      <top style="medium">
        <color theme="1"/>
      </top>
      <bottom style="thin">
        <color indexed="64"/>
      </bottom>
      <diagonal/>
    </border>
    <border>
      <left style="medium">
        <color theme="1"/>
      </left>
      <right/>
      <top/>
      <bottom style="medium">
        <color theme="1"/>
      </bottom>
      <diagonal/>
    </border>
    <border>
      <left/>
      <right style="medium">
        <color indexed="64"/>
      </right>
      <top style="thin">
        <color indexed="64"/>
      </top>
      <bottom style="medium">
        <color theme="1"/>
      </bottom>
      <diagonal/>
    </border>
    <border>
      <left/>
      <right style="medium">
        <color indexed="64"/>
      </right>
      <top style="medium">
        <color theme="1"/>
      </top>
      <bottom style="thin">
        <color indexed="64"/>
      </bottom>
      <diagonal/>
    </border>
    <border>
      <left style="medium">
        <color theme="1"/>
      </left>
      <right style="medium">
        <color indexed="64"/>
      </right>
      <top style="thin">
        <color indexed="64"/>
      </top>
      <bottom style="medium">
        <color theme="1"/>
      </bottom>
      <diagonal/>
    </border>
    <border>
      <left style="medium">
        <color theme="1"/>
      </left>
      <right style="medium">
        <color indexed="64"/>
      </right>
      <top style="medium">
        <color theme="1"/>
      </top>
      <bottom style="medium">
        <color theme="1"/>
      </bottom>
      <diagonal/>
    </border>
    <border>
      <left style="medium">
        <color theme="1"/>
      </left>
      <right style="medium">
        <color indexed="64"/>
      </right>
      <top style="medium">
        <color theme="1"/>
      </top>
      <bottom style="thin">
        <color theme="1"/>
      </bottom>
      <diagonal/>
    </border>
    <border>
      <left style="medium">
        <color theme="1"/>
      </left>
      <right/>
      <top style="medium">
        <color theme="1"/>
      </top>
      <bottom style="thin">
        <color theme="1"/>
      </bottom>
      <diagonal/>
    </border>
    <border>
      <left style="medium">
        <color theme="1"/>
      </left>
      <right/>
      <top style="thin">
        <color theme="1"/>
      </top>
      <bottom style="thin">
        <color theme="1"/>
      </bottom>
      <diagonal/>
    </border>
    <border>
      <left/>
      <right style="medium">
        <color theme="1"/>
      </right>
      <top style="thin">
        <color theme="1"/>
      </top>
      <bottom style="medium">
        <color theme="1"/>
      </bottom>
      <diagonal/>
    </border>
    <border>
      <left style="medium">
        <color indexed="64"/>
      </left>
      <right style="medium">
        <color theme="1"/>
      </right>
      <top style="medium">
        <color indexed="64"/>
      </top>
      <bottom/>
      <diagonal/>
    </border>
    <border>
      <left style="medium">
        <color indexed="64"/>
      </left>
      <right style="medium">
        <color theme="1"/>
      </right>
      <top/>
      <bottom/>
      <diagonal/>
    </border>
    <border>
      <left style="medium">
        <color indexed="64"/>
      </left>
      <right style="medium">
        <color theme="1"/>
      </right>
      <top/>
      <bottom style="medium">
        <color indexed="64"/>
      </bottom>
      <diagonal/>
    </border>
    <border>
      <left/>
      <right style="medium">
        <color indexed="64"/>
      </right>
      <top style="thin">
        <color indexed="64"/>
      </top>
      <bottom/>
      <diagonal/>
    </border>
    <border>
      <left/>
      <right/>
      <top style="medium">
        <color theme="1"/>
      </top>
      <bottom/>
      <diagonal/>
    </border>
    <border>
      <left style="medium">
        <color theme="1"/>
      </left>
      <right/>
      <top style="medium">
        <color theme="1"/>
      </top>
      <bottom/>
      <diagonal/>
    </border>
    <border>
      <left style="medium">
        <color theme="1"/>
      </left>
      <right style="medium">
        <color indexed="64"/>
      </right>
      <top style="medium">
        <color indexed="64"/>
      </top>
      <bottom style="thin">
        <color indexed="64"/>
      </bottom>
      <diagonal/>
    </border>
    <border>
      <left style="medium">
        <color theme="1"/>
      </left>
      <right style="medium">
        <color indexed="64"/>
      </right>
      <top style="thin">
        <color indexed="64"/>
      </top>
      <bottom style="thin">
        <color indexed="64"/>
      </bottom>
      <diagonal/>
    </border>
    <border>
      <left style="medium">
        <color indexed="64"/>
      </left>
      <right style="medium">
        <color theme="1"/>
      </right>
      <top style="medium">
        <color indexed="64"/>
      </top>
      <bottom style="medium">
        <color indexed="64"/>
      </bottom>
      <diagonal/>
    </border>
    <border>
      <left style="medium">
        <color theme="1"/>
      </left>
      <right style="medium">
        <color indexed="64"/>
      </right>
      <top style="thin">
        <color indexed="64"/>
      </top>
      <bottom style="medium">
        <color indexed="64"/>
      </bottom>
      <diagonal/>
    </border>
  </borders>
  <cellStyleXfs count="20">
    <xf numFmtId="0" fontId="0" fillId="0" borderId="0"/>
    <xf numFmtId="0" fontId="58" fillId="30" borderId="0" applyNumberFormat="0" applyBorder="0" applyAlignment="0" applyProtection="0"/>
    <xf numFmtId="0" fontId="59" fillId="31" borderId="0" applyNumberFormat="0" applyBorder="0" applyAlignment="0" applyProtection="0"/>
    <xf numFmtId="0" fontId="60" fillId="32" borderId="0" applyNumberFormat="0" applyBorder="0" applyAlignment="0" applyProtection="0"/>
    <xf numFmtId="0" fontId="61" fillId="0" borderId="0" applyNumberFormat="0" applyFill="0" applyBorder="0" applyAlignment="0" applyProtection="0"/>
    <xf numFmtId="9" fontId="62" fillId="0" borderId="0" applyFont="0" applyFill="0" applyBorder="0" applyAlignment="0" applyProtection="0"/>
    <xf numFmtId="0" fontId="8" fillId="0" borderId="7"/>
    <xf numFmtId="0" fontId="58" fillId="30" borderId="7" applyNumberFormat="0" applyBorder="0" applyAlignment="0" applyProtection="0"/>
    <xf numFmtId="0" fontId="59" fillId="31" borderId="7" applyNumberFormat="0" applyBorder="0" applyAlignment="0" applyProtection="0"/>
    <xf numFmtId="0" fontId="60" fillId="32" borderId="7" applyNumberFormat="0" applyBorder="0" applyAlignment="0" applyProtection="0"/>
    <xf numFmtId="0" fontId="63" fillId="0" borderId="7" applyNumberFormat="0" applyFill="0" applyBorder="0" applyAlignment="0" applyProtection="0"/>
    <xf numFmtId="9" fontId="8" fillId="0" borderId="7" applyFont="0" applyFill="0" applyBorder="0" applyAlignment="0" applyProtection="0"/>
    <xf numFmtId="43" fontId="74" fillId="0" borderId="0" applyFont="0" applyFill="0" applyBorder="0" applyAlignment="0" applyProtection="0"/>
    <xf numFmtId="0" fontId="128" fillId="0" borderId="7"/>
    <xf numFmtId="0" fontId="7" fillId="0" borderId="7"/>
    <xf numFmtId="43" fontId="7" fillId="0" borderId="7" applyFont="0" applyFill="0" applyBorder="0" applyAlignment="0" applyProtection="0"/>
    <xf numFmtId="164" fontId="7" fillId="0" borderId="7" applyFont="0" applyFill="0" applyBorder="0" applyAlignment="0" applyProtection="0"/>
    <xf numFmtId="0" fontId="6" fillId="0" borderId="7"/>
    <xf numFmtId="9" fontId="6" fillId="0" borderId="7" applyFont="0" applyFill="0" applyBorder="0" applyAlignment="0" applyProtection="0"/>
    <xf numFmtId="43" fontId="6" fillId="0" borderId="7" applyFont="0" applyFill="0" applyBorder="0" applyAlignment="0" applyProtection="0"/>
  </cellStyleXfs>
  <cellXfs count="1533">
    <xf numFmtId="0" fontId="0" fillId="0" borderId="0" xfId="0"/>
    <xf numFmtId="9" fontId="10" fillId="0" borderId="0" xfId="0" applyNumberFormat="1" applyFont="1"/>
    <xf numFmtId="9" fontId="11" fillId="0" borderId="0" xfId="0" applyNumberFormat="1" applyFont="1"/>
    <xf numFmtId="9" fontId="12" fillId="0" borderId="2" xfId="0" applyNumberFormat="1" applyFont="1" applyBorder="1" applyAlignment="1">
      <alignment horizontal="center" vertical="center" wrapText="1"/>
    </xf>
    <xf numFmtId="9" fontId="13" fillId="2" borderId="2" xfId="0" applyNumberFormat="1" applyFont="1" applyFill="1" applyBorder="1" applyAlignment="1">
      <alignment horizontal="center" vertical="center" wrapText="1"/>
    </xf>
    <xf numFmtId="9" fontId="10" fillId="0" borderId="2" xfId="0" applyNumberFormat="1" applyFont="1" applyBorder="1" applyAlignment="1">
      <alignment horizontal="center" vertical="center"/>
    </xf>
    <xf numFmtId="1" fontId="10" fillId="0" borderId="2" xfId="0" applyNumberFormat="1" applyFont="1" applyBorder="1" applyAlignment="1">
      <alignment horizontal="center" vertical="center" wrapText="1"/>
    </xf>
    <xf numFmtId="0" fontId="10" fillId="0" borderId="2" xfId="0" applyFont="1" applyBorder="1" applyAlignment="1">
      <alignment horizontal="center" vertical="center"/>
    </xf>
    <xf numFmtId="9" fontId="15" fillId="0" borderId="2" xfId="0" applyNumberFormat="1" applyFont="1" applyBorder="1" applyAlignment="1">
      <alignment horizontal="center" vertical="center" wrapText="1"/>
    </xf>
    <xf numFmtId="9" fontId="10" fillId="0" borderId="2" xfId="0" quotePrefix="1" applyNumberFormat="1" applyFont="1" applyBorder="1" applyAlignment="1">
      <alignment horizontal="center" vertical="center"/>
    </xf>
    <xf numFmtId="9" fontId="16" fillId="0" borderId="2" xfId="0" applyNumberFormat="1" applyFont="1" applyBorder="1" applyAlignment="1">
      <alignment horizontal="center" vertical="center" wrapText="1"/>
    </xf>
    <xf numFmtId="9" fontId="10" fillId="0" borderId="2" xfId="0" applyNumberFormat="1" applyFont="1" applyBorder="1" applyAlignment="1">
      <alignment horizontal="center" vertical="center" wrapText="1"/>
    </xf>
    <xf numFmtId="9" fontId="17" fillId="0" borderId="2" xfId="0" applyNumberFormat="1" applyFont="1" applyBorder="1" applyAlignment="1">
      <alignment horizontal="center" vertical="center" wrapText="1"/>
    </xf>
    <xf numFmtId="9" fontId="18" fillId="0" borderId="2" xfId="0" applyNumberFormat="1" applyFont="1" applyBorder="1" applyAlignment="1">
      <alignment horizontal="center" vertical="center" wrapText="1"/>
    </xf>
    <xf numFmtId="9" fontId="11" fillId="0" borderId="0" xfId="0" applyNumberFormat="1" applyFont="1" applyAlignment="1">
      <alignment horizontal="left"/>
    </xf>
    <xf numFmtId="9" fontId="20" fillId="0" borderId="2" xfId="0" applyNumberFormat="1" applyFont="1" applyBorder="1" applyAlignment="1">
      <alignment horizontal="left" vertical="center"/>
    </xf>
    <xf numFmtId="9" fontId="20" fillId="0" borderId="2" xfId="0" applyNumberFormat="1" applyFont="1" applyBorder="1" applyAlignment="1">
      <alignment horizontal="left" vertical="center" wrapText="1"/>
    </xf>
    <xf numFmtId="9" fontId="10" fillId="7" borderId="2" xfId="0" applyNumberFormat="1" applyFont="1" applyFill="1" applyBorder="1" applyAlignment="1">
      <alignment horizontal="center" vertical="center"/>
    </xf>
    <xf numFmtId="9" fontId="15" fillId="0" borderId="2" xfId="0" applyNumberFormat="1" applyFont="1" applyBorder="1" applyAlignment="1">
      <alignment horizontal="center" vertical="center"/>
    </xf>
    <xf numFmtId="9" fontId="21" fillId="0" borderId="2" xfId="0" applyNumberFormat="1" applyFont="1" applyBorder="1" applyAlignment="1">
      <alignment horizontal="center" vertical="center" wrapText="1"/>
    </xf>
    <xf numFmtId="0" fontId="13" fillId="2" borderId="2" xfId="0" applyFont="1" applyFill="1" applyBorder="1" applyAlignment="1">
      <alignment horizontal="center" vertical="center" wrapText="1"/>
    </xf>
    <xf numFmtId="9" fontId="17" fillId="0" borderId="2" xfId="0" applyNumberFormat="1" applyFont="1" applyBorder="1" applyAlignment="1">
      <alignment horizontal="center" vertical="center"/>
    </xf>
    <xf numFmtId="9" fontId="10" fillId="0" borderId="2" xfId="0" applyNumberFormat="1" applyFont="1" applyBorder="1"/>
    <xf numFmtId="1" fontId="10" fillId="7" borderId="2" xfId="0" applyNumberFormat="1" applyFont="1" applyFill="1" applyBorder="1" applyAlignment="1">
      <alignment horizontal="center" vertical="center" wrapText="1"/>
    </xf>
    <xf numFmtId="9" fontId="10" fillId="7" borderId="7" xfId="0" applyNumberFormat="1" applyFont="1" applyFill="1" applyBorder="1" applyAlignment="1">
      <alignment horizontal="center" vertical="center"/>
    </xf>
    <xf numFmtId="0" fontId="22" fillId="0" borderId="2" xfId="0" applyFont="1" applyBorder="1" applyAlignment="1">
      <alignment horizontal="center" vertical="center" wrapText="1"/>
    </xf>
    <xf numFmtId="9" fontId="23" fillId="0" borderId="2" xfId="0" applyNumberFormat="1" applyFont="1" applyBorder="1" applyAlignment="1">
      <alignment horizontal="center" vertical="center"/>
    </xf>
    <xf numFmtId="0" fontId="10" fillId="7" borderId="7" xfId="0" applyFont="1" applyFill="1" applyBorder="1"/>
    <xf numFmtId="9" fontId="24" fillId="0" borderId="2" xfId="0" applyNumberFormat="1" applyFont="1" applyBorder="1" applyAlignment="1">
      <alignment horizontal="center" vertical="center" wrapText="1"/>
    </xf>
    <xf numFmtId="9" fontId="23" fillId="7" borderId="2" xfId="0" applyNumberFormat="1" applyFont="1" applyFill="1" applyBorder="1" applyAlignment="1">
      <alignment horizontal="center" vertical="center"/>
    </xf>
    <xf numFmtId="9" fontId="10" fillId="7" borderId="7" xfId="0" applyNumberFormat="1" applyFont="1" applyFill="1" applyBorder="1"/>
    <xf numFmtId="9" fontId="23" fillId="6" borderId="2" xfId="0" applyNumberFormat="1" applyFont="1" applyFill="1" applyBorder="1" applyAlignment="1">
      <alignment horizontal="center" vertical="center"/>
    </xf>
    <xf numFmtId="9" fontId="25" fillId="0" borderId="2" xfId="0" applyNumberFormat="1" applyFont="1" applyBorder="1" applyAlignment="1">
      <alignment horizontal="center" vertical="center" wrapText="1"/>
    </xf>
    <xf numFmtId="9" fontId="26" fillId="0" borderId="0" xfId="0" applyNumberFormat="1" applyFont="1" applyAlignment="1">
      <alignment horizontal="left"/>
    </xf>
    <xf numFmtId="15" fontId="20" fillId="0" borderId="0" xfId="0" applyNumberFormat="1" applyFont="1" applyAlignment="1">
      <alignment horizontal="left"/>
    </xf>
    <xf numFmtId="0" fontId="27" fillId="0" borderId="2" xfId="0" applyFont="1" applyBorder="1" applyAlignment="1">
      <alignment horizontal="left" vertical="center" wrapText="1"/>
    </xf>
    <xf numFmtId="0" fontId="28" fillId="0" borderId="2" xfId="0" applyFont="1" applyBorder="1" applyAlignment="1">
      <alignment horizontal="center" vertical="center" wrapText="1"/>
    </xf>
    <xf numFmtId="166" fontId="28" fillId="0" borderId="2" xfId="0" applyNumberFormat="1" applyFont="1" applyBorder="1" applyAlignment="1">
      <alignment horizontal="center" vertical="center" wrapText="1"/>
    </xf>
    <xf numFmtId="0" fontId="11" fillId="0" borderId="0" xfId="0" applyFont="1" applyAlignment="1">
      <alignment horizontal="center"/>
    </xf>
    <xf numFmtId="0" fontId="19" fillId="2" borderId="2" xfId="0" applyFont="1" applyFill="1" applyBorder="1" applyAlignment="1">
      <alignment horizontal="left" vertical="center" wrapText="1"/>
    </xf>
    <xf numFmtId="0" fontId="19" fillId="2" borderId="2" xfId="0" applyFont="1" applyFill="1" applyBorder="1" applyAlignment="1">
      <alignment horizontal="center" vertical="center" wrapText="1"/>
    </xf>
    <xf numFmtId="0" fontId="27" fillId="3" borderId="2" xfId="0" applyFont="1" applyFill="1" applyBorder="1" applyAlignment="1">
      <alignment horizontal="left" vertical="center" wrapText="1"/>
    </xf>
    <xf numFmtId="0" fontId="28" fillId="4" borderId="2" xfId="0" applyFont="1" applyFill="1" applyBorder="1" applyAlignment="1">
      <alignment horizontal="center" vertical="center" wrapText="1"/>
    </xf>
    <xf numFmtId="0" fontId="27" fillId="0" borderId="0" xfId="0" applyFont="1" applyAlignment="1">
      <alignment horizontal="left" vertical="center" wrapText="1"/>
    </xf>
    <xf numFmtId="0" fontId="29" fillId="0" borderId="2" xfId="0" applyFont="1" applyBorder="1" applyAlignment="1">
      <alignment horizontal="center" vertical="center"/>
    </xf>
    <xf numFmtId="0" fontId="11" fillId="0" borderId="2" xfId="0" applyFont="1" applyBorder="1" applyAlignment="1">
      <alignment horizontal="center" vertical="center" wrapText="1"/>
    </xf>
    <xf numFmtId="0" fontId="20" fillId="0" borderId="2" xfId="0" applyFont="1" applyBorder="1" applyAlignment="1">
      <alignment horizontal="left" vertical="center"/>
    </xf>
    <xf numFmtId="0" fontId="20" fillId="0" borderId="2" xfId="0" applyFont="1" applyBorder="1" applyAlignment="1">
      <alignment vertical="center"/>
    </xf>
    <xf numFmtId="0" fontId="30" fillId="0" borderId="2" xfId="0" applyFont="1" applyBorder="1" applyAlignment="1">
      <alignment horizontal="center" vertical="center"/>
    </xf>
    <xf numFmtId="0" fontId="10" fillId="0" borderId="2" xfId="0" applyFont="1" applyBorder="1" applyAlignment="1">
      <alignment horizontal="center" vertical="center" wrapText="1"/>
    </xf>
    <xf numFmtId="0" fontId="31" fillId="0" borderId="2" xfId="0" applyFont="1" applyBorder="1" applyAlignment="1">
      <alignment horizontal="center" vertical="center"/>
    </xf>
    <xf numFmtId="0" fontId="32" fillId="0" borderId="2" xfId="0" applyFont="1" applyBorder="1" applyAlignment="1">
      <alignment horizontal="center" vertical="center"/>
    </xf>
    <xf numFmtId="0" fontId="20" fillId="0" borderId="2" xfId="0" applyFont="1" applyBorder="1" applyAlignment="1">
      <alignment vertical="center" wrapText="1"/>
    </xf>
    <xf numFmtId="0" fontId="11" fillId="0" borderId="2" xfId="0" applyFont="1" applyBorder="1" applyAlignment="1">
      <alignment vertical="center"/>
    </xf>
    <xf numFmtId="0" fontId="29" fillId="6" borderId="2" xfId="0" applyFont="1" applyFill="1" applyBorder="1" applyAlignment="1">
      <alignment horizontal="center" vertical="center"/>
    </xf>
    <xf numFmtId="0" fontId="20" fillId="0" borderId="2" xfId="0" applyFont="1" applyBorder="1" applyAlignment="1">
      <alignment horizontal="left" vertical="center" wrapText="1"/>
    </xf>
    <xf numFmtId="0" fontId="33" fillId="0" borderId="2" xfId="0" applyFont="1" applyBorder="1" applyAlignment="1">
      <alignment horizontal="center" vertical="center" wrapText="1"/>
    </xf>
    <xf numFmtId="0" fontId="34" fillId="0" borderId="2" xfId="0" applyFont="1" applyBorder="1" applyAlignment="1">
      <alignment horizontal="center" vertical="center" wrapText="1"/>
    </xf>
    <xf numFmtId="3" fontId="11" fillId="0" borderId="2" xfId="0" applyNumberFormat="1" applyFont="1" applyBorder="1" applyAlignment="1">
      <alignment horizontal="center" vertical="center" wrapText="1"/>
    </xf>
    <xf numFmtId="3" fontId="35" fillId="0" borderId="2" xfId="0" applyNumberFormat="1" applyFont="1" applyBorder="1" applyAlignment="1">
      <alignment horizontal="center" vertical="center" wrapText="1"/>
    </xf>
    <xf numFmtId="0" fontId="30" fillId="6" borderId="2" xfId="0" applyFont="1" applyFill="1" applyBorder="1" applyAlignment="1">
      <alignment horizontal="center" vertical="center"/>
    </xf>
    <xf numFmtId="0" fontId="10" fillId="0" borderId="2" xfId="0" applyFont="1" applyBorder="1" applyAlignment="1">
      <alignment vertical="center"/>
    </xf>
    <xf numFmtId="0" fontId="36" fillId="0" borderId="2" xfId="0" applyFont="1" applyBorder="1" applyAlignment="1">
      <alignment horizontal="center" vertical="center" wrapText="1"/>
    </xf>
    <xf numFmtId="16" fontId="10" fillId="0" borderId="2" xfId="0" applyNumberFormat="1" applyFont="1" applyBorder="1" applyAlignment="1">
      <alignment horizontal="center" vertical="center" wrapText="1"/>
    </xf>
    <xf numFmtId="9" fontId="35" fillId="0" borderId="2" xfId="0" applyNumberFormat="1" applyFont="1" applyBorder="1" applyAlignment="1">
      <alignment horizontal="center" vertical="center"/>
    </xf>
    <xf numFmtId="9" fontId="35" fillId="0" borderId="2" xfId="0" applyNumberFormat="1" applyFont="1" applyBorder="1" applyAlignment="1">
      <alignment horizontal="center" vertical="center" wrapText="1"/>
    </xf>
    <xf numFmtId="9" fontId="11" fillId="0" borderId="2" xfId="0" applyNumberFormat="1" applyFont="1" applyBorder="1" applyAlignment="1">
      <alignment horizontal="center" vertical="center" wrapText="1"/>
    </xf>
    <xf numFmtId="0" fontId="11" fillId="0" borderId="0" xfId="0" applyFont="1" applyAlignment="1">
      <alignment horizontal="left"/>
    </xf>
    <xf numFmtId="0" fontId="20" fillId="0" borderId="2" xfId="0" applyFont="1" applyBorder="1"/>
    <xf numFmtId="0" fontId="11" fillId="0" borderId="2" xfId="0" applyFont="1" applyBorder="1"/>
    <xf numFmtId="0" fontId="20" fillId="0" borderId="0" xfId="0" applyFont="1" applyAlignment="1">
      <alignment vertical="center"/>
    </xf>
    <xf numFmtId="0" fontId="11" fillId="0" borderId="0" xfId="0" applyFont="1" applyAlignment="1">
      <alignment vertical="center"/>
    </xf>
    <xf numFmtId="0" fontId="37" fillId="0" borderId="0" xfId="0" applyFont="1" applyAlignment="1">
      <alignment vertical="center"/>
    </xf>
    <xf numFmtId="167" fontId="37" fillId="0" borderId="0" xfId="0" applyNumberFormat="1" applyFont="1" applyAlignment="1">
      <alignment horizontal="left" vertical="center"/>
    </xf>
    <xf numFmtId="0" fontId="19" fillId="2" borderId="7" xfId="0" applyFont="1" applyFill="1" applyBorder="1" applyAlignment="1">
      <alignment horizontal="left" vertical="center" wrapText="1"/>
    </xf>
    <xf numFmtId="0" fontId="19" fillId="2" borderId="7" xfId="0" applyFont="1" applyFill="1" applyBorder="1" applyAlignment="1">
      <alignment horizontal="center" vertical="center" wrapText="1"/>
    </xf>
    <xf numFmtId="0" fontId="19" fillId="2" borderId="11" xfId="0" applyFont="1" applyFill="1" applyBorder="1" applyAlignment="1">
      <alignment horizontal="center" vertical="center" wrapText="1"/>
    </xf>
    <xf numFmtId="0" fontId="20" fillId="5" borderId="7" xfId="0" applyFont="1" applyFill="1" applyBorder="1" applyAlignment="1">
      <alignment vertical="center"/>
    </xf>
    <xf numFmtId="0" fontId="11" fillId="6" borderId="7" xfId="0" applyFont="1" applyFill="1" applyBorder="1" applyAlignment="1">
      <alignment vertical="center"/>
    </xf>
    <xf numFmtId="0" fontId="29" fillId="6" borderId="7" xfId="0" applyFont="1" applyFill="1" applyBorder="1" applyAlignment="1">
      <alignment horizontal="center" vertical="center"/>
    </xf>
    <xf numFmtId="0" fontId="29" fillId="6"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38" fillId="6" borderId="7" xfId="0" applyFont="1" applyFill="1" applyBorder="1" applyAlignment="1">
      <alignment horizontal="center" vertical="center" wrapText="1"/>
    </xf>
    <xf numFmtId="0" fontId="11" fillId="6" borderId="7" xfId="0" applyFont="1" applyFill="1" applyBorder="1" applyAlignment="1">
      <alignment horizontal="center" vertical="center"/>
    </xf>
    <xf numFmtId="0" fontId="39" fillId="6" borderId="7" xfId="0" applyFont="1" applyFill="1" applyBorder="1" applyAlignment="1">
      <alignment horizontal="center" vertical="center"/>
    </xf>
    <xf numFmtId="0" fontId="38" fillId="6" borderId="7" xfId="0" applyFont="1" applyFill="1" applyBorder="1" applyAlignment="1">
      <alignment horizontal="center" vertical="center"/>
    </xf>
    <xf numFmtId="168" fontId="39" fillId="6" borderId="7" xfId="0" applyNumberFormat="1" applyFont="1" applyFill="1" applyBorder="1" applyAlignment="1">
      <alignment horizontal="center" vertical="center"/>
    </xf>
    <xf numFmtId="168" fontId="11" fillId="6" borderId="7" xfId="0" applyNumberFormat="1" applyFont="1" applyFill="1" applyBorder="1" applyAlignment="1">
      <alignment horizontal="center" vertical="center"/>
    </xf>
    <xf numFmtId="168" fontId="11" fillId="0" borderId="0" xfId="0" applyNumberFormat="1" applyFont="1" applyAlignment="1">
      <alignment horizontal="center" vertical="center"/>
    </xf>
    <xf numFmtId="0" fontId="40" fillId="6" borderId="7" xfId="0" applyFont="1" applyFill="1" applyBorder="1" applyAlignment="1">
      <alignment horizontal="center" vertical="center"/>
    </xf>
    <xf numFmtId="0" fontId="41" fillId="6" borderId="7" xfId="0" applyFont="1" applyFill="1" applyBorder="1" applyAlignment="1">
      <alignment horizontal="center" vertical="center"/>
    </xf>
    <xf numFmtId="0" fontId="39" fillId="6" borderId="7" xfId="0" applyFont="1" applyFill="1" applyBorder="1" applyAlignment="1">
      <alignment horizontal="center" vertical="center" wrapText="1"/>
    </xf>
    <xf numFmtId="0" fontId="38" fillId="0" borderId="0" xfId="0" applyFont="1" applyAlignment="1">
      <alignment horizontal="center" vertical="center" wrapText="1"/>
    </xf>
    <xf numFmtId="0" fontId="11" fillId="7" borderId="7" xfId="0" applyFont="1" applyFill="1" applyBorder="1" applyAlignment="1">
      <alignment horizontal="center" vertical="center"/>
    </xf>
    <xf numFmtId="0" fontId="20" fillId="8" borderId="7" xfId="0" applyFont="1" applyFill="1" applyBorder="1" applyAlignment="1">
      <alignment vertical="center"/>
    </xf>
    <xf numFmtId="0" fontId="11" fillId="8" borderId="7" xfId="0" applyFont="1" applyFill="1" applyBorder="1" applyAlignment="1">
      <alignment vertical="center"/>
    </xf>
    <xf numFmtId="0" fontId="11" fillId="6" borderId="7" xfId="0" applyFont="1" applyFill="1" applyBorder="1" applyAlignment="1">
      <alignment horizontal="left" vertical="center"/>
    </xf>
    <xf numFmtId="165" fontId="11" fillId="6" borderId="7" xfId="0" applyNumberFormat="1" applyFont="1" applyFill="1" applyBorder="1" applyAlignment="1">
      <alignment horizontal="center" vertical="center" wrapText="1"/>
    </xf>
    <xf numFmtId="165" fontId="39" fillId="6" borderId="7" xfId="0" applyNumberFormat="1" applyFont="1" applyFill="1" applyBorder="1" applyAlignment="1">
      <alignment horizontal="center" vertical="center" wrapText="1"/>
    </xf>
    <xf numFmtId="165" fontId="38" fillId="6" borderId="7" xfId="0" applyNumberFormat="1" applyFont="1" applyFill="1" applyBorder="1" applyAlignment="1">
      <alignment horizontal="center" vertical="center" wrapText="1"/>
    </xf>
    <xf numFmtId="165" fontId="11" fillId="8" borderId="7" xfId="0" applyNumberFormat="1" applyFont="1" applyFill="1" applyBorder="1" applyAlignment="1">
      <alignment horizontal="center" vertical="center"/>
    </xf>
    <xf numFmtId="165" fontId="11" fillId="6" borderId="7" xfId="0" applyNumberFormat="1" applyFont="1" applyFill="1" applyBorder="1" applyAlignment="1">
      <alignment horizontal="center" vertical="center"/>
    </xf>
    <xf numFmtId="168" fontId="11" fillId="0" borderId="0" xfId="0" applyNumberFormat="1" applyFont="1" applyAlignment="1">
      <alignment vertical="center"/>
    </xf>
    <xf numFmtId="10" fontId="11" fillId="0" borderId="0" xfId="0" applyNumberFormat="1" applyFont="1" applyAlignment="1">
      <alignment vertical="center"/>
    </xf>
    <xf numFmtId="165" fontId="11" fillId="0" borderId="0" xfId="0" applyNumberFormat="1" applyFont="1" applyAlignment="1">
      <alignment horizontal="center" vertical="center"/>
    </xf>
    <xf numFmtId="0" fontId="26" fillId="0" borderId="0" xfId="0" applyFont="1" applyAlignment="1">
      <alignment vertical="center"/>
    </xf>
    <xf numFmtId="0" fontId="0" fillId="0" borderId="7" xfId="0" applyBorder="1"/>
    <xf numFmtId="9" fontId="11" fillId="0" borderId="7" xfId="0" applyNumberFormat="1" applyFont="1" applyBorder="1"/>
    <xf numFmtId="9" fontId="48" fillId="0" borderId="7" xfId="0" applyNumberFormat="1" applyFont="1" applyBorder="1" applyAlignment="1">
      <alignment horizontal="left"/>
    </xf>
    <xf numFmtId="9" fontId="47" fillId="0" borderId="7" xfId="0" applyNumberFormat="1" applyFont="1" applyBorder="1"/>
    <xf numFmtId="9" fontId="11" fillId="0" borderId="7" xfId="0" applyNumberFormat="1" applyFont="1" applyBorder="1" applyAlignment="1">
      <alignment horizontal="left"/>
    </xf>
    <xf numFmtId="165" fontId="28" fillId="11" borderId="12" xfId="0" applyNumberFormat="1" applyFont="1" applyFill="1" applyBorder="1" applyAlignment="1">
      <alignment horizontal="center" vertical="center" wrapText="1"/>
    </xf>
    <xf numFmtId="0" fontId="22" fillId="0" borderId="7" xfId="0" applyFont="1" applyBorder="1" applyAlignment="1">
      <alignment horizontal="center" vertical="center" wrapText="1"/>
    </xf>
    <xf numFmtId="9" fontId="15" fillId="0" borderId="7" xfId="0" applyNumberFormat="1" applyFont="1" applyBorder="1" applyAlignment="1">
      <alignment horizontal="center" vertical="center" wrapText="1"/>
    </xf>
    <xf numFmtId="9" fontId="51" fillId="0" borderId="7" xfId="0" applyNumberFormat="1" applyFont="1" applyBorder="1" applyAlignment="1">
      <alignment horizontal="center" vertical="center" wrapText="1"/>
    </xf>
    <xf numFmtId="9" fontId="52" fillId="0" borderId="7" xfId="0" applyNumberFormat="1" applyFont="1" applyBorder="1" applyAlignment="1">
      <alignment horizontal="center" vertical="center" wrapText="1"/>
    </xf>
    <xf numFmtId="9" fontId="53" fillId="0" borderId="7" xfId="0" applyNumberFormat="1" applyFont="1" applyBorder="1" applyAlignment="1">
      <alignment horizontal="center"/>
    </xf>
    <xf numFmtId="9" fontId="27" fillId="0" borderId="7" xfId="0" applyNumberFormat="1" applyFont="1" applyBorder="1" applyAlignment="1">
      <alignment horizontal="left" vertical="center" wrapText="1"/>
    </xf>
    <xf numFmtId="165" fontId="28" fillId="0" borderId="7" xfId="0" applyNumberFormat="1" applyFont="1" applyBorder="1" applyAlignment="1">
      <alignment horizontal="center" vertical="center" wrapText="1"/>
    </xf>
    <xf numFmtId="1" fontId="28" fillId="0" borderId="7" xfId="0" applyNumberFormat="1" applyFont="1" applyBorder="1" applyAlignment="1">
      <alignment horizontal="center" vertical="center" wrapText="1"/>
    </xf>
    <xf numFmtId="9" fontId="49" fillId="0" borderId="7" xfId="0" applyNumberFormat="1" applyFont="1" applyBorder="1" applyAlignment="1">
      <alignment horizontal="left" vertical="center" wrapText="1"/>
    </xf>
    <xf numFmtId="9" fontId="49" fillId="0" borderId="7" xfId="0" applyNumberFormat="1" applyFont="1" applyBorder="1" applyAlignment="1">
      <alignment vertical="center"/>
    </xf>
    <xf numFmtId="9" fontId="45" fillId="14" borderId="12" xfId="0" applyNumberFormat="1" applyFont="1" applyFill="1" applyBorder="1" applyAlignment="1">
      <alignment horizontal="center" vertical="center"/>
    </xf>
    <xf numFmtId="9" fontId="46" fillId="17" borderId="7" xfId="0" applyNumberFormat="1" applyFont="1" applyFill="1" applyBorder="1" applyAlignment="1">
      <alignment horizontal="left" vertical="center" wrapText="1"/>
    </xf>
    <xf numFmtId="9" fontId="27" fillId="0" borderId="0" xfId="0" applyNumberFormat="1" applyFont="1" applyAlignment="1">
      <alignment horizontal="left" vertical="center" wrapText="1"/>
    </xf>
    <xf numFmtId="9" fontId="27" fillId="10" borderId="14" xfId="0" applyNumberFormat="1" applyFont="1" applyFill="1" applyBorder="1" applyAlignment="1">
      <alignment horizontal="left" vertical="center" wrapText="1"/>
    </xf>
    <xf numFmtId="9" fontId="27" fillId="9" borderId="15" xfId="0" applyNumberFormat="1" applyFont="1" applyFill="1" applyBorder="1" applyAlignment="1">
      <alignment horizontal="left" vertical="center" wrapText="1"/>
    </xf>
    <xf numFmtId="1" fontId="28" fillId="9" borderId="13" xfId="0" applyNumberFormat="1" applyFont="1" applyFill="1" applyBorder="1" applyAlignment="1">
      <alignment horizontal="center" vertical="center" wrapText="1"/>
    </xf>
    <xf numFmtId="165" fontId="28" fillId="9" borderId="3" xfId="0" applyNumberFormat="1" applyFont="1" applyFill="1" applyBorder="1" applyAlignment="1">
      <alignment horizontal="center" vertical="center" wrapText="1"/>
    </xf>
    <xf numFmtId="9" fontId="27" fillId="9" borderId="24" xfId="0" applyNumberFormat="1" applyFont="1" applyFill="1" applyBorder="1" applyAlignment="1">
      <alignment horizontal="left" vertical="center" wrapText="1"/>
    </xf>
    <xf numFmtId="0" fontId="21" fillId="0" borderId="7" xfId="0" applyFont="1" applyBorder="1" applyAlignment="1">
      <alignment horizontal="center" vertical="center" wrapText="1"/>
    </xf>
    <xf numFmtId="9" fontId="20" fillId="0" borderId="4" xfId="0" applyNumberFormat="1" applyFont="1" applyBorder="1" applyAlignment="1">
      <alignment horizontal="left" vertical="center"/>
    </xf>
    <xf numFmtId="0" fontId="21" fillId="0" borderId="2" xfId="0" applyFont="1" applyBorder="1" applyAlignment="1">
      <alignment horizontal="center" vertical="center" wrapText="1"/>
    </xf>
    <xf numFmtId="9" fontId="19" fillId="2" borderId="8" xfId="0" applyNumberFormat="1" applyFont="1" applyFill="1" applyBorder="1" applyAlignment="1">
      <alignment horizontal="left" vertical="center" wrapText="1"/>
    </xf>
    <xf numFmtId="0" fontId="19" fillId="2" borderId="8" xfId="0" applyFont="1" applyFill="1" applyBorder="1" applyAlignment="1">
      <alignment horizontal="left" vertical="center" wrapText="1"/>
    </xf>
    <xf numFmtId="0" fontId="20" fillId="0" borderId="4" xfId="0" applyFont="1" applyBorder="1" applyAlignment="1">
      <alignment horizontal="left" vertical="center"/>
    </xf>
    <xf numFmtId="3" fontId="41" fillId="6" borderId="7" xfId="0" applyNumberFormat="1" applyFont="1" applyFill="1" applyBorder="1" applyAlignment="1">
      <alignment horizontal="center" vertical="center"/>
    </xf>
    <xf numFmtId="0" fontId="41" fillId="0" borderId="0" xfId="0" applyFont="1" applyAlignment="1">
      <alignment horizontal="center" vertical="center"/>
    </xf>
    <xf numFmtId="9" fontId="46" fillId="12" borderId="25" xfId="0" applyNumberFormat="1" applyFont="1" applyFill="1" applyBorder="1" applyAlignment="1">
      <alignment horizontal="left" vertical="center" wrapText="1"/>
    </xf>
    <xf numFmtId="9" fontId="10" fillId="0" borderId="7" xfId="0" applyNumberFormat="1" applyFont="1" applyBorder="1" applyAlignment="1">
      <alignment horizontal="center" vertical="center"/>
    </xf>
    <xf numFmtId="9" fontId="10" fillId="0" borderId="7" xfId="0" applyNumberFormat="1" applyFont="1" applyBorder="1" applyAlignment="1">
      <alignment horizontal="center" vertical="center" wrapText="1"/>
    </xf>
    <xf numFmtId="9" fontId="10" fillId="0" borderId="7" xfId="0" quotePrefix="1" applyNumberFormat="1" applyFont="1" applyBorder="1" applyAlignment="1">
      <alignment horizontal="center" vertical="center"/>
    </xf>
    <xf numFmtId="9" fontId="12" fillId="0" borderId="7" xfId="0" applyNumberFormat="1" applyFont="1" applyBorder="1" applyAlignment="1">
      <alignment horizontal="center" vertical="center" wrapText="1"/>
    </xf>
    <xf numFmtId="9" fontId="10" fillId="6" borderId="7" xfId="0" applyNumberFormat="1" applyFont="1" applyFill="1" applyBorder="1" applyAlignment="1">
      <alignment horizontal="center" vertical="center"/>
    </xf>
    <xf numFmtId="9" fontId="17" fillId="0" borderId="7" xfId="0" applyNumberFormat="1" applyFont="1" applyBorder="1" applyAlignment="1">
      <alignment horizontal="center" vertical="center" wrapText="1"/>
    </xf>
    <xf numFmtId="9" fontId="15" fillId="0" borderId="7" xfId="0" applyNumberFormat="1" applyFont="1" applyBorder="1" applyAlignment="1">
      <alignment horizontal="center" vertical="center"/>
    </xf>
    <xf numFmtId="9" fontId="17" fillId="0" borderId="7" xfId="0" applyNumberFormat="1" applyFont="1" applyBorder="1" applyAlignment="1">
      <alignment horizontal="center" vertical="center"/>
    </xf>
    <xf numFmtId="9" fontId="27" fillId="9" borderId="27" xfId="0" applyNumberFormat="1" applyFont="1" applyFill="1" applyBorder="1" applyAlignment="1">
      <alignment vertical="center" wrapText="1"/>
    </xf>
    <xf numFmtId="165" fontId="28" fillId="9" borderId="36" xfId="0" applyNumberFormat="1" applyFont="1" applyFill="1" applyBorder="1" applyAlignment="1">
      <alignment horizontal="center" vertical="center" wrapText="1"/>
    </xf>
    <xf numFmtId="9" fontId="55" fillId="0" borderId="7" xfId="0" applyNumberFormat="1" applyFont="1" applyBorder="1"/>
    <xf numFmtId="9" fontId="52" fillId="0" borderId="7" xfId="0" applyNumberFormat="1" applyFont="1" applyBorder="1" applyAlignment="1">
      <alignment vertical="center" wrapText="1"/>
    </xf>
    <xf numFmtId="9" fontId="53" fillId="0" borderId="7" xfId="0" applyNumberFormat="1" applyFont="1" applyBorder="1"/>
    <xf numFmtId="9" fontId="54" fillId="0" borderId="7" xfId="0" applyNumberFormat="1" applyFont="1" applyBorder="1" applyAlignment="1">
      <alignment vertical="center" wrapText="1"/>
    </xf>
    <xf numFmtId="165" fontId="28" fillId="9" borderId="12" xfId="0" applyNumberFormat="1" applyFont="1" applyFill="1" applyBorder="1" applyAlignment="1">
      <alignment horizontal="center" vertical="center" wrapText="1"/>
    </xf>
    <xf numFmtId="1" fontId="28" fillId="9" borderId="12" xfId="0" applyNumberFormat="1" applyFont="1" applyFill="1" applyBorder="1" applyAlignment="1">
      <alignment horizontal="center" vertical="center" wrapText="1"/>
    </xf>
    <xf numFmtId="0" fontId="57" fillId="25" borderId="11" xfId="0" applyFont="1" applyFill="1" applyBorder="1" applyAlignment="1">
      <alignment horizontal="center" vertical="center" wrapText="1"/>
    </xf>
    <xf numFmtId="165" fontId="27" fillId="28" borderId="12" xfId="0" applyNumberFormat="1" applyFont="1" applyFill="1" applyBorder="1" applyAlignment="1">
      <alignment horizontal="center" vertical="center" wrapText="1"/>
    </xf>
    <xf numFmtId="0" fontId="64" fillId="35" borderId="12" xfId="0" applyFont="1" applyFill="1" applyBorder="1" applyAlignment="1">
      <alignment horizontal="center" vertical="top"/>
    </xf>
    <xf numFmtId="0" fontId="65" fillId="0" borderId="12" xfId="0" applyFont="1" applyBorder="1" applyAlignment="1">
      <alignment horizontal="center" vertical="top"/>
    </xf>
    <xf numFmtId="0" fontId="57" fillId="36" borderId="11" xfId="0" applyFont="1" applyFill="1" applyBorder="1" applyAlignment="1">
      <alignment horizontal="center" vertical="center" wrapText="1"/>
    </xf>
    <xf numFmtId="1" fontId="9" fillId="19" borderId="12" xfId="0" applyNumberFormat="1" applyFont="1" applyFill="1" applyBorder="1" applyAlignment="1">
      <alignment horizontal="center" vertical="center"/>
    </xf>
    <xf numFmtId="1" fontId="9" fillId="21" borderId="12" xfId="0" applyNumberFormat="1" applyFont="1" applyFill="1" applyBorder="1" applyAlignment="1">
      <alignment horizontal="center" vertical="center" wrapText="1"/>
    </xf>
    <xf numFmtId="1" fontId="9" fillId="22" borderId="12" xfId="0" applyNumberFormat="1" applyFont="1" applyFill="1" applyBorder="1" applyAlignment="1">
      <alignment horizontal="center" vertical="center" wrapText="1"/>
    </xf>
    <xf numFmtId="1" fontId="9" fillId="16" borderId="12" xfId="0" applyNumberFormat="1" applyFont="1" applyFill="1" applyBorder="1" applyAlignment="1">
      <alignment horizontal="center" vertical="center" wrapText="1"/>
    </xf>
    <xf numFmtId="169" fontId="9" fillId="19" borderId="12" xfId="0" applyNumberFormat="1" applyFont="1" applyFill="1" applyBorder="1" applyAlignment="1">
      <alignment horizontal="center" vertical="center"/>
    </xf>
    <xf numFmtId="169" fontId="9" fillId="21" borderId="12" xfId="0" applyNumberFormat="1" applyFont="1" applyFill="1" applyBorder="1" applyAlignment="1">
      <alignment horizontal="center" vertical="center" wrapText="1"/>
    </xf>
    <xf numFmtId="169" fontId="9" fillId="22" borderId="12" xfId="0" applyNumberFormat="1" applyFont="1" applyFill="1" applyBorder="1" applyAlignment="1">
      <alignment horizontal="center" vertical="center" wrapText="1"/>
    </xf>
    <xf numFmtId="169" fontId="9" fillId="16" borderId="12" xfId="0" applyNumberFormat="1" applyFont="1" applyFill="1" applyBorder="1" applyAlignment="1">
      <alignment horizontal="center" vertical="center" wrapText="1"/>
    </xf>
    <xf numFmtId="0" fontId="56" fillId="23" borderId="38" xfId="0" applyFont="1" applyFill="1" applyBorder="1" applyAlignment="1">
      <alignment horizontal="center" vertical="center" wrapText="1"/>
    </xf>
    <xf numFmtId="169" fontId="9" fillId="19" borderId="21" xfId="0" applyNumberFormat="1" applyFont="1" applyFill="1" applyBorder="1" applyAlignment="1">
      <alignment horizontal="center" vertical="center"/>
    </xf>
    <xf numFmtId="169" fontId="9" fillId="21" borderId="21" xfId="0" applyNumberFormat="1" applyFont="1" applyFill="1" applyBorder="1" applyAlignment="1">
      <alignment horizontal="center" vertical="center" wrapText="1"/>
    </xf>
    <xf numFmtId="169" fontId="9" fillId="22" borderId="21" xfId="0" applyNumberFormat="1" applyFont="1" applyFill="1" applyBorder="1" applyAlignment="1">
      <alignment horizontal="center" vertical="center" wrapText="1"/>
    </xf>
    <xf numFmtId="169" fontId="9" fillId="16" borderId="21" xfId="0" applyNumberFormat="1" applyFont="1" applyFill="1" applyBorder="1" applyAlignment="1">
      <alignment horizontal="center" vertical="center" wrapText="1"/>
    </xf>
    <xf numFmtId="169" fontId="9" fillId="19" borderId="19" xfId="0" applyNumberFormat="1" applyFont="1" applyFill="1" applyBorder="1" applyAlignment="1">
      <alignment horizontal="center" vertical="center"/>
    </xf>
    <xf numFmtId="169" fontId="9" fillId="21" borderId="19" xfId="0" applyNumberFormat="1" applyFont="1" applyFill="1" applyBorder="1" applyAlignment="1">
      <alignment horizontal="center" vertical="center" wrapText="1"/>
    </xf>
    <xf numFmtId="169" fontId="9" fillId="22" borderId="19" xfId="0" applyNumberFormat="1" applyFont="1" applyFill="1" applyBorder="1" applyAlignment="1">
      <alignment horizontal="center" vertical="center" wrapText="1"/>
    </xf>
    <xf numFmtId="169" fontId="9" fillId="16" borderId="19" xfId="0" applyNumberFormat="1" applyFont="1" applyFill="1" applyBorder="1" applyAlignment="1">
      <alignment horizontal="center" vertical="center" wrapText="1"/>
    </xf>
    <xf numFmtId="169" fontId="9" fillId="19" borderId="45" xfId="0" applyNumberFormat="1" applyFont="1" applyFill="1" applyBorder="1" applyAlignment="1">
      <alignment horizontal="center" vertical="center"/>
    </xf>
    <xf numFmtId="169" fontId="9" fillId="21" borderId="45" xfId="0" applyNumberFormat="1" applyFont="1" applyFill="1" applyBorder="1" applyAlignment="1">
      <alignment horizontal="center" vertical="center" wrapText="1"/>
    </xf>
    <xf numFmtId="169" fontId="9" fillId="22" borderId="45" xfId="0" applyNumberFormat="1" applyFont="1" applyFill="1" applyBorder="1" applyAlignment="1">
      <alignment horizontal="center" vertical="center" wrapText="1"/>
    </xf>
    <xf numFmtId="169" fontId="9" fillId="16" borderId="45" xfId="0" applyNumberFormat="1" applyFont="1" applyFill="1" applyBorder="1" applyAlignment="1">
      <alignment horizontal="center" vertical="center" wrapText="1"/>
    </xf>
    <xf numFmtId="1" fontId="9" fillId="21" borderId="19" xfId="0" applyNumberFormat="1" applyFont="1" applyFill="1" applyBorder="1" applyAlignment="1">
      <alignment horizontal="center" vertical="center" wrapText="1"/>
    </xf>
    <xf numFmtId="1" fontId="9" fillId="22" borderId="19" xfId="0" applyNumberFormat="1" applyFont="1" applyFill="1" applyBorder="1" applyAlignment="1">
      <alignment horizontal="center" vertical="center" wrapText="1"/>
    </xf>
    <xf numFmtId="1" fontId="9" fillId="16" borderId="19" xfId="0" applyNumberFormat="1" applyFont="1" applyFill="1" applyBorder="1" applyAlignment="1">
      <alignment horizontal="center" vertical="center" wrapText="1"/>
    </xf>
    <xf numFmtId="0" fontId="66" fillId="37" borderId="14" xfId="0" applyFont="1" applyFill="1" applyBorder="1" applyAlignment="1">
      <alignment horizontal="left" vertical="center"/>
    </xf>
    <xf numFmtId="0" fontId="66" fillId="37" borderId="33" xfId="0" applyFont="1" applyFill="1" applyBorder="1" applyAlignment="1">
      <alignment horizontal="left" vertical="center"/>
    </xf>
    <xf numFmtId="0" fontId="66" fillId="37" borderId="22" xfId="0" applyFont="1" applyFill="1" applyBorder="1" applyAlignment="1">
      <alignment horizontal="left" vertical="center"/>
    </xf>
    <xf numFmtId="0" fontId="66" fillId="37" borderId="44" xfId="0" applyFont="1" applyFill="1" applyBorder="1" applyAlignment="1">
      <alignment horizontal="left" vertical="center"/>
    </xf>
    <xf numFmtId="9" fontId="9" fillId="19" borderId="12" xfId="0" applyNumberFormat="1" applyFont="1" applyFill="1" applyBorder="1" applyAlignment="1">
      <alignment horizontal="center" vertical="center"/>
    </xf>
    <xf numFmtId="9" fontId="9" fillId="21" borderId="12" xfId="0" applyNumberFormat="1" applyFont="1" applyFill="1" applyBorder="1" applyAlignment="1">
      <alignment horizontal="center" vertical="center" wrapText="1"/>
    </xf>
    <xf numFmtId="9" fontId="9" fillId="22" borderId="12" xfId="0" applyNumberFormat="1" applyFont="1" applyFill="1" applyBorder="1" applyAlignment="1">
      <alignment horizontal="center" vertical="center" wrapText="1"/>
    </xf>
    <xf numFmtId="9" fontId="9" fillId="16" borderId="12" xfId="0" applyNumberFormat="1" applyFont="1" applyFill="1" applyBorder="1" applyAlignment="1">
      <alignment horizontal="center" vertical="center" wrapText="1"/>
    </xf>
    <xf numFmtId="9" fontId="9" fillId="19" borderId="19" xfId="0" applyNumberFormat="1" applyFont="1" applyFill="1" applyBorder="1" applyAlignment="1">
      <alignment horizontal="center" vertical="center"/>
    </xf>
    <xf numFmtId="9" fontId="9" fillId="21" borderId="19" xfId="0" applyNumberFormat="1" applyFont="1" applyFill="1" applyBorder="1" applyAlignment="1">
      <alignment horizontal="center" vertical="center" wrapText="1"/>
    </xf>
    <xf numFmtId="9" fontId="9" fillId="22" borderId="19" xfId="0" applyNumberFormat="1" applyFont="1" applyFill="1" applyBorder="1" applyAlignment="1">
      <alignment horizontal="center" vertical="center" wrapText="1"/>
    </xf>
    <xf numFmtId="9" fontId="9" fillId="16" borderId="19" xfId="0" applyNumberFormat="1" applyFont="1" applyFill="1" applyBorder="1" applyAlignment="1">
      <alignment horizontal="center" vertical="center" wrapText="1"/>
    </xf>
    <xf numFmtId="0" fontId="69" fillId="0" borderId="0" xfId="0" applyFont="1"/>
    <xf numFmtId="9" fontId="61" fillId="6" borderId="46" xfId="4" applyNumberFormat="1" applyFill="1" applyBorder="1" applyAlignment="1">
      <alignment horizontal="center" vertical="center"/>
    </xf>
    <xf numFmtId="9" fontId="13" fillId="2" borderId="7" xfId="0" applyNumberFormat="1" applyFont="1" applyFill="1" applyBorder="1" applyAlignment="1">
      <alignment horizontal="center" vertical="center" wrapText="1"/>
    </xf>
    <xf numFmtId="1" fontId="9" fillId="19" borderId="19" xfId="0" applyNumberFormat="1" applyFont="1" applyFill="1" applyBorder="1" applyAlignment="1">
      <alignment horizontal="center" vertical="center" wrapText="1"/>
    </xf>
    <xf numFmtId="0" fontId="70" fillId="0" borderId="7" xfId="0" applyFont="1" applyBorder="1" applyAlignment="1">
      <alignment horizontal="center" vertical="center" wrapText="1"/>
    </xf>
    <xf numFmtId="0" fontId="75" fillId="0" borderId="7" xfId="0" applyFont="1" applyBorder="1" applyAlignment="1">
      <alignment horizontal="center" vertical="center" wrapText="1"/>
    </xf>
    <xf numFmtId="4" fontId="0" fillId="0" borderId="0" xfId="12" applyNumberFormat="1" applyFont="1"/>
    <xf numFmtId="0" fontId="78" fillId="0" borderId="7" xfId="0" applyFont="1" applyBorder="1" applyAlignment="1">
      <alignment horizontal="center" vertical="center" wrapText="1"/>
    </xf>
    <xf numFmtId="0" fontId="79" fillId="23" borderId="7" xfId="0" applyFont="1" applyFill="1" applyBorder="1" applyAlignment="1">
      <alignment vertical="center"/>
    </xf>
    <xf numFmtId="0" fontId="80" fillId="0" borderId="7" xfId="0" applyFont="1" applyBorder="1"/>
    <xf numFmtId="170" fontId="82" fillId="0" borderId="0" xfId="12" applyNumberFormat="1" applyFont="1" applyAlignment="1">
      <alignment horizontal="center" vertical="top"/>
    </xf>
    <xf numFmtId="0" fontId="82" fillId="0" borderId="0" xfId="0" applyFont="1" applyAlignment="1">
      <alignment horizontal="center" vertical="top"/>
    </xf>
    <xf numFmtId="0" fontId="77" fillId="0" borderId="0" xfId="0" applyFont="1" applyAlignment="1">
      <alignment horizontal="center" vertical="center" wrapText="1" readingOrder="1"/>
    </xf>
    <xf numFmtId="170" fontId="82" fillId="0" borderId="0" xfId="12" applyNumberFormat="1" applyFont="1" applyFill="1" applyAlignment="1">
      <alignment horizontal="center" vertical="top"/>
    </xf>
    <xf numFmtId="0" fontId="84" fillId="0" borderId="7" xfId="0" applyFont="1" applyBorder="1" applyAlignment="1">
      <alignment horizontal="center" vertical="center" wrapText="1"/>
    </xf>
    <xf numFmtId="0" fontId="83" fillId="0" borderId="0" xfId="0" applyFont="1" applyAlignment="1">
      <alignment horizontal="center" vertical="center" wrapText="1" readingOrder="1"/>
    </xf>
    <xf numFmtId="171" fontId="75" fillId="0" borderId="7" xfId="0" applyNumberFormat="1" applyFont="1" applyBorder="1" applyAlignment="1">
      <alignment horizontal="center" vertical="center" wrapText="1"/>
    </xf>
    <xf numFmtId="171" fontId="76" fillId="0" borderId="7" xfId="12" applyNumberFormat="1" applyFont="1" applyFill="1" applyBorder="1" applyAlignment="1">
      <alignment horizontal="center" vertical="center" wrapText="1"/>
    </xf>
    <xf numFmtId="171" fontId="76" fillId="0" borderId="7" xfId="0" applyNumberFormat="1" applyFont="1" applyBorder="1" applyAlignment="1">
      <alignment horizontal="center" vertical="center" wrapText="1"/>
    </xf>
    <xf numFmtId="49" fontId="85" fillId="0" borderId="0" xfId="0" applyNumberFormat="1" applyFont="1" applyAlignment="1">
      <alignment horizontal="center" vertical="center" wrapText="1" readingOrder="1"/>
    </xf>
    <xf numFmtId="0" fontId="79" fillId="45" borderId="12" xfId="0" applyFont="1" applyFill="1" applyBorder="1" applyAlignment="1">
      <alignment horizontal="center" vertical="center"/>
    </xf>
    <xf numFmtId="0" fontId="86" fillId="0" borderId="7" xfId="0" applyFont="1" applyBorder="1" applyAlignment="1">
      <alignment horizontal="center" vertical="center" wrapText="1"/>
    </xf>
    <xf numFmtId="0" fontId="79" fillId="0" borderId="7" xfId="0" applyFont="1" applyBorder="1" applyAlignment="1">
      <alignment horizontal="center" vertical="center"/>
    </xf>
    <xf numFmtId="0" fontId="79" fillId="0" borderId="7" xfId="0" applyFont="1" applyBorder="1" applyAlignment="1">
      <alignment horizontal="center" vertical="center" wrapText="1"/>
    </xf>
    <xf numFmtId="0" fontId="79" fillId="0" borderId="7" xfId="0" applyFont="1" applyBorder="1" applyAlignment="1">
      <alignment vertical="center"/>
    </xf>
    <xf numFmtId="0" fontId="81" fillId="0" borderId="7" xfId="0" applyFont="1" applyBorder="1" applyAlignment="1">
      <alignment horizontal="center" vertical="top" wrapText="1" readingOrder="1"/>
    </xf>
    <xf numFmtId="170" fontId="82" fillId="0" borderId="0" xfId="12" applyNumberFormat="1" applyFont="1" applyFill="1" applyAlignment="1">
      <alignment horizontal="center" vertical="center"/>
    </xf>
    <xf numFmtId="0" fontId="88" fillId="0" borderId="7" xfId="0" applyFont="1" applyBorder="1" applyAlignment="1">
      <alignment horizontal="center" vertical="center" wrapText="1"/>
    </xf>
    <xf numFmtId="0" fontId="89" fillId="0" borderId="0" xfId="0" applyFont="1"/>
    <xf numFmtId="0" fontId="81" fillId="24" borderId="12" xfId="0" applyFont="1" applyFill="1" applyBorder="1" applyAlignment="1">
      <alignment horizontal="center" vertical="center" wrapText="1" readingOrder="1"/>
    </xf>
    <xf numFmtId="0" fontId="81" fillId="43" borderId="12" xfId="0" applyFont="1" applyFill="1" applyBorder="1" applyAlignment="1">
      <alignment horizontal="center" vertical="center" wrapText="1" readingOrder="1"/>
    </xf>
    <xf numFmtId="0" fontId="81" fillId="44" borderId="12" xfId="0" applyFont="1" applyFill="1" applyBorder="1" applyAlignment="1">
      <alignment horizontal="center" vertical="center" wrapText="1" readingOrder="1"/>
    </xf>
    <xf numFmtId="49" fontId="76" fillId="44" borderId="12" xfId="12" applyNumberFormat="1" applyFont="1" applyFill="1" applyBorder="1" applyAlignment="1">
      <alignment horizontal="center" vertical="center" wrapText="1"/>
    </xf>
    <xf numFmtId="1" fontId="76" fillId="44" borderId="12" xfId="12" applyNumberFormat="1" applyFont="1" applyFill="1" applyBorder="1" applyAlignment="1">
      <alignment horizontal="center" vertical="center" wrapText="1"/>
    </xf>
    <xf numFmtId="49" fontId="85" fillId="0" borderId="7" xfId="0" applyNumberFormat="1" applyFont="1" applyBorder="1" applyAlignment="1">
      <alignment horizontal="center" vertical="center" wrapText="1" readingOrder="1"/>
    </xf>
    <xf numFmtId="0" fontId="77" fillId="0" borderId="7" xfId="0" applyFont="1" applyBorder="1" applyAlignment="1">
      <alignment horizontal="center" vertical="center" wrapText="1" readingOrder="1"/>
    </xf>
    <xf numFmtId="1" fontId="73" fillId="43" borderId="12" xfId="12" quotePrefix="1" applyNumberFormat="1" applyFont="1" applyFill="1" applyBorder="1" applyAlignment="1">
      <alignment horizontal="center" vertical="center" wrapText="1" readingOrder="1"/>
    </xf>
    <xf numFmtId="49" fontId="76" fillId="44" borderId="12" xfId="0" applyNumberFormat="1" applyFont="1" applyFill="1" applyBorder="1" applyAlignment="1">
      <alignment horizontal="center" vertical="center" wrapText="1"/>
    </xf>
    <xf numFmtId="0" fontId="81" fillId="24" borderId="21" xfId="0" applyFont="1" applyFill="1" applyBorder="1" applyAlignment="1">
      <alignment horizontal="center" vertical="center" wrapText="1" readingOrder="1"/>
    </xf>
    <xf numFmtId="0" fontId="81" fillId="43" borderId="21" xfId="0" applyFont="1" applyFill="1" applyBorder="1" applyAlignment="1">
      <alignment horizontal="center" vertical="center" wrapText="1" readingOrder="1"/>
    </xf>
    <xf numFmtId="0" fontId="81" fillId="44" borderId="21" xfId="0" applyFont="1" applyFill="1" applyBorder="1" applyAlignment="1">
      <alignment horizontal="center" vertical="center" wrapText="1" readingOrder="1"/>
    </xf>
    <xf numFmtId="1" fontId="88" fillId="44" borderId="12" xfId="0" applyNumberFormat="1" applyFont="1" applyFill="1" applyBorder="1" applyAlignment="1">
      <alignment horizontal="center" vertical="center" wrapText="1"/>
    </xf>
    <xf numFmtId="49" fontId="73" fillId="43" borderId="12" xfId="0" applyNumberFormat="1" applyFont="1" applyFill="1" applyBorder="1" applyAlignment="1">
      <alignment horizontal="center" vertical="center" wrapText="1" readingOrder="1"/>
    </xf>
    <xf numFmtId="1" fontId="73" fillId="43" borderId="12" xfId="12" applyNumberFormat="1" applyFont="1" applyFill="1" applyBorder="1" applyAlignment="1">
      <alignment horizontal="center" vertical="center" wrapText="1" readingOrder="1"/>
    </xf>
    <xf numFmtId="1" fontId="73" fillId="43" borderId="12" xfId="0" applyNumberFormat="1" applyFont="1" applyFill="1" applyBorder="1" applyAlignment="1">
      <alignment horizontal="center" vertical="center" wrapText="1" readingOrder="1"/>
    </xf>
    <xf numFmtId="49" fontId="76" fillId="24" borderId="12" xfId="12" applyNumberFormat="1" applyFont="1" applyFill="1" applyBorder="1" applyAlignment="1">
      <alignment horizontal="center" vertical="center" wrapText="1"/>
    </xf>
    <xf numFmtId="1" fontId="76" fillId="24" borderId="12" xfId="12" applyNumberFormat="1" applyFont="1" applyFill="1" applyBorder="1" applyAlignment="1">
      <alignment horizontal="center" vertical="center" wrapText="1"/>
    </xf>
    <xf numFmtId="49" fontId="76" fillId="24" borderId="12" xfId="0" applyNumberFormat="1" applyFont="1" applyFill="1" applyBorder="1" applyAlignment="1">
      <alignment horizontal="center" vertical="center" wrapText="1"/>
    </xf>
    <xf numFmtId="1" fontId="76" fillId="24" borderId="12" xfId="0" applyNumberFormat="1" applyFont="1" applyFill="1" applyBorder="1" applyAlignment="1">
      <alignment horizontal="center" vertical="center" wrapText="1"/>
    </xf>
    <xf numFmtId="0" fontId="81" fillId="50" borderId="21" xfId="0" applyFont="1" applyFill="1" applyBorder="1" applyAlignment="1">
      <alignment horizontal="center" vertical="center" wrapText="1" readingOrder="1"/>
    </xf>
    <xf numFmtId="49" fontId="76" fillId="50" borderId="12" xfId="12" applyNumberFormat="1" applyFont="1" applyFill="1" applyBorder="1" applyAlignment="1">
      <alignment horizontal="center" vertical="center" wrapText="1"/>
    </xf>
    <xf numFmtId="1" fontId="76" fillId="50" borderId="12" xfId="12" applyNumberFormat="1" applyFont="1" applyFill="1" applyBorder="1" applyAlignment="1">
      <alignment horizontal="center" vertical="center" wrapText="1"/>
    </xf>
    <xf numFmtId="0" fontId="81" fillId="50" borderId="12" xfId="0" applyFont="1" applyFill="1" applyBorder="1" applyAlignment="1">
      <alignment horizontal="center" vertical="center" wrapText="1" readingOrder="1"/>
    </xf>
    <xf numFmtId="49" fontId="73" fillId="50" borderId="12" xfId="12" quotePrefix="1" applyNumberFormat="1" applyFont="1" applyFill="1" applyBorder="1" applyAlignment="1">
      <alignment horizontal="center" vertical="center" wrapText="1" readingOrder="1"/>
    </xf>
    <xf numFmtId="1" fontId="88" fillId="50" borderId="12" xfId="0" applyNumberFormat="1" applyFont="1" applyFill="1" applyBorder="1" applyAlignment="1">
      <alignment horizontal="center" vertical="center" wrapText="1"/>
    </xf>
    <xf numFmtId="1" fontId="73" fillId="50" borderId="12" xfId="12" quotePrefix="1" applyNumberFormat="1" applyFont="1" applyFill="1" applyBorder="1" applyAlignment="1">
      <alignment horizontal="center" vertical="center" wrapText="1" readingOrder="1"/>
    </xf>
    <xf numFmtId="0" fontId="96" fillId="0" borderId="0" xfId="0" applyFont="1" applyAlignment="1">
      <alignment horizontal="left"/>
    </xf>
    <xf numFmtId="0" fontId="79" fillId="45" borderId="12" xfId="0" applyFont="1" applyFill="1" applyBorder="1" applyAlignment="1">
      <alignment horizontal="left" vertical="center" wrapText="1" indent="1"/>
    </xf>
    <xf numFmtId="0" fontId="97" fillId="45" borderId="12" xfId="0" applyFont="1" applyFill="1" applyBorder="1" applyAlignment="1">
      <alignment horizontal="left" vertical="center" wrapText="1" indent="1"/>
    </xf>
    <xf numFmtId="0" fontId="97" fillId="45" borderId="12" xfId="0" applyFont="1" applyFill="1" applyBorder="1" applyAlignment="1" applyProtection="1">
      <alignment horizontal="left" vertical="center" wrapText="1" indent="1"/>
      <protection locked="0"/>
    </xf>
    <xf numFmtId="0" fontId="80" fillId="0" borderId="7" xfId="0" applyFont="1" applyBorder="1" applyAlignment="1">
      <alignment wrapText="1"/>
    </xf>
    <xf numFmtId="0" fontId="89" fillId="0" borderId="7" xfId="0" applyFont="1" applyBorder="1"/>
    <xf numFmtId="0" fontId="89" fillId="0" borderId="7" xfId="0" applyFont="1" applyBorder="1" applyAlignment="1">
      <alignment wrapText="1"/>
    </xf>
    <xf numFmtId="0" fontId="89" fillId="0" borderId="0" xfId="0" applyFont="1" applyAlignment="1">
      <alignment wrapText="1"/>
    </xf>
    <xf numFmtId="0" fontId="98" fillId="0" borderId="7" xfId="1" applyFont="1" applyFill="1" applyBorder="1" applyAlignment="1">
      <alignment horizontal="center" vertical="center" wrapText="1"/>
    </xf>
    <xf numFmtId="0" fontId="80" fillId="0" borderId="7" xfId="0" applyFont="1" applyBorder="1" applyAlignment="1">
      <alignment horizontal="center" vertical="center" wrapText="1"/>
    </xf>
    <xf numFmtId="0" fontId="98" fillId="0" borderId="7" xfId="3" applyFont="1" applyFill="1" applyBorder="1" applyAlignment="1">
      <alignment horizontal="center" vertical="center" wrapText="1"/>
    </xf>
    <xf numFmtId="0" fontId="98" fillId="0" borderId="7" xfId="2" applyFont="1" applyFill="1" applyBorder="1" applyAlignment="1">
      <alignment horizontal="center" vertical="center" wrapText="1"/>
    </xf>
    <xf numFmtId="0" fontId="98" fillId="0" borderId="7" xfId="0" applyFont="1" applyBorder="1" applyAlignment="1">
      <alignment horizontal="center" vertical="center" wrapText="1"/>
    </xf>
    <xf numFmtId="0" fontId="96" fillId="0" borderId="7" xfId="0" applyFont="1" applyBorder="1" applyAlignment="1">
      <alignment horizontal="left" indent="1"/>
    </xf>
    <xf numFmtId="0" fontId="89" fillId="0" borderId="7" xfId="0" applyFont="1" applyBorder="1" applyAlignment="1">
      <alignment horizontal="center"/>
    </xf>
    <xf numFmtId="0" fontId="98" fillId="23" borderId="7" xfId="0" applyFont="1" applyFill="1" applyBorder="1" applyAlignment="1">
      <alignment horizontal="center" vertical="center"/>
    </xf>
    <xf numFmtId="0" fontId="97" fillId="0" borderId="7" xfId="0" applyFont="1" applyBorder="1" applyAlignment="1">
      <alignment horizontal="left" vertical="center" wrapText="1" indent="1"/>
    </xf>
    <xf numFmtId="0" fontId="89" fillId="0" borderId="7" xfId="0" applyFont="1" applyBorder="1" applyAlignment="1">
      <alignment horizontal="center" vertical="center"/>
    </xf>
    <xf numFmtId="0" fontId="98" fillId="40" borderId="12" xfId="3" applyFont="1" applyFill="1" applyBorder="1" applyAlignment="1">
      <alignment horizontal="center" vertical="center" wrapText="1"/>
    </xf>
    <xf numFmtId="0" fontId="80" fillId="23" borderId="0" xfId="0" applyFont="1" applyFill="1" applyAlignment="1">
      <alignment vertical="center"/>
    </xf>
    <xf numFmtId="0" fontId="80" fillId="0" borderId="12" xfId="0" applyFont="1" applyBorder="1" applyAlignment="1">
      <alignment horizontal="left" wrapText="1"/>
    </xf>
    <xf numFmtId="0" fontId="80" fillId="0" borderId="12" xfId="0" applyFont="1" applyBorder="1" applyAlignment="1">
      <alignment wrapText="1"/>
    </xf>
    <xf numFmtId="0" fontId="80" fillId="0" borderId="12" xfId="0" applyFont="1" applyBorder="1" applyAlignment="1">
      <alignment horizontal="center" vertical="center" wrapText="1"/>
    </xf>
    <xf numFmtId="0" fontId="89" fillId="0" borderId="7" xfId="0" applyFont="1" applyBorder="1" applyAlignment="1">
      <alignment horizontal="center" vertical="center" wrapText="1"/>
    </xf>
    <xf numFmtId="0" fontId="99" fillId="0" borderId="7" xfId="2" applyFont="1" applyFill="1" applyBorder="1" applyAlignment="1">
      <alignment horizontal="center" vertical="center" wrapText="1"/>
    </xf>
    <xf numFmtId="0" fontId="99" fillId="38" borderId="12" xfId="2" applyFont="1" applyFill="1" applyBorder="1" applyAlignment="1">
      <alignment horizontal="center" vertical="center" wrapText="1"/>
    </xf>
    <xf numFmtId="0" fontId="89" fillId="23" borderId="0" xfId="0" applyFont="1" applyFill="1" applyAlignment="1">
      <alignment vertical="center"/>
    </xf>
    <xf numFmtId="0" fontId="97" fillId="45" borderId="12" xfId="0" applyFont="1" applyFill="1" applyBorder="1" applyAlignment="1">
      <alignment vertical="center" wrapText="1"/>
    </xf>
    <xf numFmtId="49" fontId="89" fillId="24" borderId="12" xfId="0" applyNumberFormat="1" applyFont="1" applyFill="1" applyBorder="1" applyAlignment="1">
      <alignment horizontal="center" wrapText="1"/>
    </xf>
    <xf numFmtId="0" fontId="89" fillId="0" borderId="7" xfId="0" applyFont="1" applyBorder="1" applyAlignment="1">
      <alignment horizontal="center" wrapText="1"/>
    </xf>
    <xf numFmtId="49" fontId="89" fillId="43" borderId="12" xfId="0" applyNumberFormat="1" applyFont="1" applyFill="1" applyBorder="1" applyAlignment="1">
      <alignment horizontal="center" wrapText="1"/>
    </xf>
    <xf numFmtId="49" fontId="89" fillId="44" borderId="12" xfId="0" applyNumberFormat="1" applyFont="1" applyFill="1" applyBorder="1" applyAlignment="1">
      <alignment horizontal="center" wrapText="1"/>
    </xf>
    <xf numFmtId="49" fontId="99" fillId="46" borderId="12" xfId="0" applyNumberFormat="1" applyFont="1" applyFill="1" applyBorder="1" applyAlignment="1">
      <alignment horizontal="center" vertical="center" wrapText="1"/>
    </xf>
    <xf numFmtId="0" fontId="99" fillId="38" borderId="12" xfId="0" applyFont="1" applyFill="1" applyBorder="1" applyAlignment="1">
      <alignment horizontal="center" vertical="center" wrapText="1"/>
    </xf>
    <xf numFmtId="0" fontId="79" fillId="45" borderId="12" xfId="0" applyFont="1" applyFill="1" applyBorder="1" applyAlignment="1">
      <alignment vertical="center" wrapText="1"/>
    </xf>
    <xf numFmtId="0" fontId="89" fillId="0" borderId="7" xfId="0" applyFont="1" applyBorder="1" applyAlignment="1">
      <alignment vertical="center" wrapText="1"/>
    </xf>
    <xf numFmtId="0" fontId="89" fillId="0" borderId="7" xfId="0" applyFont="1" applyBorder="1" applyAlignment="1">
      <alignment vertical="center"/>
    </xf>
    <xf numFmtId="0" fontId="80" fillId="0" borderId="7" xfId="0" applyFont="1" applyBorder="1" applyAlignment="1">
      <alignment horizontal="left" vertical="center" wrapText="1" indent="1"/>
    </xf>
    <xf numFmtId="0" fontId="98" fillId="0" borderId="7" xfId="1" applyFont="1" applyFill="1" applyBorder="1" applyAlignment="1">
      <alignment horizontal="center" vertical="center"/>
    </xf>
    <xf numFmtId="0" fontId="98" fillId="0" borderId="7" xfId="3" applyFont="1" applyFill="1" applyBorder="1" applyAlignment="1">
      <alignment horizontal="center" vertical="center"/>
    </xf>
    <xf numFmtId="0" fontId="98" fillId="0" borderId="7" xfId="2" applyFont="1" applyFill="1" applyBorder="1" applyAlignment="1">
      <alignment horizontal="center" vertical="center"/>
    </xf>
    <xf numFmtId="0" fontId="98" fillId="0" borderId="7" xfId="0" applyFont="1" applyBorder="1" applyAlignment="1">
      <alignment horizontal="center" vertical="center"/>
    </xf>
    <xf numFmtId="0" fontId="79" fillId="0" borderId="7" xfId="0" applyFont="1" applyBorder="1" applyAlignment="1">
      <alignment horizontal="left" vertical="center" wrapText="1" indent="1"/>
    </xf>
    <xf numFmtId="0" fontId="79" fillId="45" borderId="12" xfId="0" applyFont="1" applyFill="1" applyBorder="1" applyAlignment="1">
      <alignment horizontal="left" vertical="center" wrapText="1"/>
    </xf>
    <xf numFmtId="0" fontId="89" fillId="24" borderId="12" xfId="0" applyFont="1" applyFill="1" applyBorder="1" applyAlignment="1">
      <alignment horizontal="center" wrapText="1"/>
    </xf>
    <xf numFmtId="0" fontId="89" fillId="43" borderId="12" xfId="0" applyFont="1" applyFill="1" applyBorder="1" applyAlignment="1">
      <alignment horizontal="center" wrapText="1"/>
    </xf>
    <xf numFmtId="0" fontId="89" fillId="44" borderId="12" xfId="0" applyFont="1" applyFill="1" applyBorder="1" applyAlignment="1">
      <alignment horizontal="center" wrapText="1"/>
    </xf>
    <xf numFmtId="0" fontId="99" fillId="46" borderId="12" xfId="0" applyFont="1" applyFill="1" applyBorder="1" applyAlignment="1">
      <alignment horizontal="center" vertical="center" wrapText="1"/>
    </xf>
    <xf numFmtId="1" fontId="89" fillId="24" borderId="12" xfId="0" applyNumberFormat="1" applyFont="1" applyFill="1" applyBorder="1" applyAlignment="1">
      <alignment horizontal="center" wrapText="1"/>
    </xf>
    <xf numFmtId="1" fontId="89" fillId="43" borderId="12" xfId="0" applyNumberFormat="1" applyFont="1" applyFill="1" applyBorder="1" applyAlignment="1">
      <alignment horizontal="center" wrapText="1"/>
    </xf>
    <xf numFmtId="1" fontId="89" fillId="44" borderId="12" xfId="0" applyNumberFormat="1" applyFont="1" applyFill="1" applyBorder="1" applyAlignment="1">
      <alignment horizontal="center" wrapText="1"/>
    </xf>
    <xf numFmtId="1" fontId="99" fillId="46" borderId="12" xfId="0" applyNumberFormat="1" applyFont="1" applyFill="1" applyBorder="1" applyAlignment="1">
      <alignment horizontal="center" vertical="center" wrapText="1"/>
    </xf>
    <xf numFmtId="9" fontId="89" fillId="24" borderId="12" xfId="0" applyNumberFormat="1" applyFont="1" applyFill="1" applyBorder="1" applyAlignment="1">
      <alignment horizontal="center" wrapText="1"/>
    </xf>
    <xf numFmtId="9" fontId="89" fillId="43" borderId="12" xfId="0" applyNumberFormat="1" applyFont="1" applyFill="1" applyBorder="1" applyAlignment="1">
      <alignment horizontal="center" wrapText="1"/>
    </xf>
    <xf numFmtId="9" fontId="89" fillId="44" borderId="12" xfId="0" applyNumberFormat="1" applyFont="1" applyFill="1" applyBorder="1" applyAlignment="1">
      <alignment horizontal="center" wrapText="1"/>
    </xf>
    <xf numFmtId="9" fontId="89" fillId="0" borderId="12" xfId="0" applyNumberFormat="1" applyFont="1" applyBorder="1" applyAlignment="1">
      <alignment horizontal="center" wrapText="1"/>
    </xf>
    <xf numFmtId="2" fontId="89" fillId="24" borderId="12" xfId="0" applyNumberFormat="1" applyFont="1" applyFill="1" applyBorder="1" applyAlignment="1">
      <alignment horizontal="center" wrapText="1"/>
    </xf>
    <xf numFmtId="2" fontId="89" fillId="43" borderId="12" xfId="0" applyNumberFormat="1" applyFont="1" applyFill="1" applyBorder="1" applyAlignment="1">
      <alignment horizontal="center" wrapText="1"/>
    </xf>
    <xf numFmtId="2" fontId="89" fillId="44" borderId="12" xfId="0" applyNumberFormat="1" applyFont="1" applyFill="1" applyBorder="1" applyAlignment="1">
      <alignment horizontal="center" wrapText="1"/>
    </xf>
    <xf numFmtId="2" fontId="99" fillId="46" borderId="12" xfId="0" applyNumberFormat="1" applyFont="1" applyFill="1" applyBorder="1" applyAlignment="1">
      <alignment horizontal="center" vertical="center" wrapText="1"/>
    </xf>
    <xf numFmtId="9" fontId="99" fillId="46" borderId="12" xfId="0" applyNumberFormat="1" applyFont="1" applyFill="1" applyBorder="1" applyAlignment="1">
      <alignment horizontal="center" vertical="center" wrapText="1"/>
    </xf>
    <xf numFmtId="0" fontId="80" fillId="0" borderId="12" xfId="0" applyFont="1" applyBorder="1" applyAlignment="1">
      <alignment horizontal="left" vertical="center" wrapText="1" indent="1"/>
    </xf>
    <xf numFmtId="0" fontId="98" fillId="20" borderId="12" xfId="1" applyFont="1" applyFill="1" applyBorder="1" applyAlignment="1">
      <alignment horizontal="center" vertical="center" wrapText="1"/>
    </xf>
    <xf numFmtId="0" fontId="98" fillId="39" borderId="12" xfId="0" applyFont="1" applyFill="1" applyBorder="1" applyAlignment="1">
      <alignment horizontal="center" vertical="center" wrapText="1"/>
    </xf>
    <xf numFmtId="0" fontId="99" fillId="43" borderId="12" xfId="1" applyFont="1" applyFill="1" applyBorder="1" applyAlignment="1">
      <alignment horizontal="center" vertical="center" wrapText="1"/>
    </xf>
    <xf numFmtId="0" fontId="99" fillId="44" borderId="12" xfId="2" applyFont="1" applyFill="1" applyBorder="1" applyAlignment="1">
      <alignment horizontal="center" vertical="center" wrapText="1"/>
    </xf>
    <xf numFmtId="0" fontId="99" fillId="50" borderId="12" xfId="3" applyFont="1" applyFill="1" applyBorder="1" applyAlignment="1">
      <alignment horizontal="center" vertical="center" wrapText="1"/>
    </xf>
    <xf numFmtId="0" fontId="98" fillId="0" borderId="12" xfId="0" applyFont="1" applyBorder="1" applyAlignment="1">
      <alignment horizontal="left" vertical="center" wrapText="1" indent="1"/>
    </xf>
    <xf numFmtId="9" fontId="99" fillId="43" borderId="12" xfId="5" applyFont="1" applyFill="1" applyBorder="1" applyAlignment="1">
      <alignment horizontal="center" vertical="center" wrapText="1"/>
    </xf>
    <xf numFmtId="9" fontId="98" fillId="43" borderId="12" xfId="5" applyFont="1" applyFill="1" applyBorder="1" applyAlignment="1">
      <alignment horizontal="center" vertical="center"/>
    </xf>
    <xf numFmtId="9" fontId="99" fillId="50" borderId="12" xfId="5" applyFont="1" applyFill="1" applyBorder="1" applyAlignment="1">
      <alignment horizontal="center" vertical="center" wrapText="1"/>
    </xf>
    <xf numFmtId="9" fontId="98" fillId="50" borderId="12" xfId="5" applyFont="1" applyFill="1" applyBorder="1" applyAlignment="1">
      <alignment horizontal="center" vertical="center"/>
    </xf>
    <xf numFmtId="9" fontId="99" fillId="44" borderId="12" xfId="5" applyFont="1" applyFill="1" applyBorder="1" applyAlignment="1">
      <alignment horizontal="center" vertical="center" wrapText="1"/>
    </xf>
    <xf numFmtId="9" fontId="98" fillId="44" borderId="12" xfId="5" applyFont="1" applyFill="1" applyBorder="1" applyAlignment="1">
      <alignment horizontal="center" vertical="center"/>
    </xf>
    <xf numFmtId="9" fontId="99" fillId="46" borderId="12" xfId="5" applyFont="1" applyFill="1" applyBorder="1" applyAlignment="1">
      <alignment horizontal="center" vertical="center" wrapText="1"/>
    </xf>
    <xf numFmtId="9" fontId="98" fillId="46" borderId="12" xfId="5" applyFont="1" applyFill="1" applyBorder="1" applyAlignment="1">
      <alignment horizontal="center" vertical="center"/>
    </xf>
    <xf numFmtId="0" fontId="98" fillId="0" borderId="48" xfId="0" applyFont="1" applyBorder="1"/>
    <xf numFmtId="0" fontId="79" fillId="48" borderId="7" xfId="0" applyFont="1" applyFill="1" applyBorder="1" applyAlignment="1">
      <alignment horizontal="center" vertical="center"/>
    </xf>
    <xf numFmtId="0" fontId="79" fillId="45" borderId="23" xfId="0" applyFont="1" applyFill="1" applyBorder="1" applyAlignment="1">
      <alignment vertical="center"/>
    </xf>
    <xf numFmtId="0" fontId="79" fillId="45" borderId="7" xfId="0" applyFont="1" applyFill="1" applyBorder="1" applyAlignment="1">
      <alignment vertical="center"/>
    </xf>
    <xf numFmtId="0" fontId="89" fillId="0" borderId="0" xfId="0" applyFont="1" applyAlignment="1">
      <alignment vertical="top" wrapText="1"/>
    </xf>
    <xf numFmtId="0" fontId="89" fillId="0" borderId="12" xfId="0" applyFont="1" applyBorder="1" applyAlignment="1">
      <alignment vertical="top" wrapText="1"/>
    </xf>
    <xf numFmtId="0" fontId="89" fillId="0" borderId="0" xfId="0" applyFont="1" applyAlignment="1">
      <alignment horizontal="center" vertical="top"/>
    </xf>
    <xf numFmtId="0" fontId="80" fillId="0" borderId="12" xfId="0" applyFont="1" applyBorder="1" applyAlignment="1">
      <alignment horizontal="center" vertical="top"/>
    </xf>
    <xf numFmtId="0" fontId="0" fillId="0" borderId="7" xfId="0" applyBorder="1" applyAlignment="1">
      <alignment horizontal="center"/>
    </xf>
    <xf numFmtId="0" fontId="73" fillId="43" borderId="12" xfId="12" quotePrefix="1" applyNumberFormat="1" applyFont="1" applyFill="1" applyBorder="1" applyAlignment="1">
      <alignment horizontal="center" vertical="center" wrapText="1" readingOrder="1"/>
    </xf>
    <xf numFmtId="0" fontId="93" fillId="0" borderId="7" xfId="0" applyFont="1" applyBorder="1" applyAlignment="1">
      <alignment horizontal="center" wrapText="1" readingOrder="1"/>
    </xf>
    <xf numFmtId="0" fontId="94" fillId="0" borderId="7" xfId="0" applyFont="1" applyBorder="1" applyAlignment="1">
      <alignment horizontal="center" vertical="center" wrapText="1" readingOrder="1"/>
    </xf>
    <xf numFmtId="0" fontId="98" fillId="0" borderId="12" xfId="0" applyFont="1" applyBorder="1" applyAlignment="1">
      <alignment horizontal="center" vertical="center"/>
    </xf>
    <xf numFmtId="0" fontId="92" fillId="0" borderId="7" xfId="0" applyFont="1" applyBorder="1" applyAlignment="1">
      <alignment horizontal="center" wrapText="1" readingOrder="1"/>
    </xf>
    <xf numFmtId="0" fontId="93" fillId="0" borderId="7" xfId="0" applyFont="1" applyBorder="1" applyAlignment="1">
      <alignment horizontal="center" vertical="center" wrapText="1" readingOrder="1"/>
    </xf>
    <xf numFmtId="1" fontId="73" fillId="43" borderId="7" xfId="12" quotePrefix="1" applyNumberFormat="1" applyFont="1" applyFill="1" applyBorder="1" applyAlignment="1">
      <alignment horizontal="center" vertical="center" wrapText="1" readingOrder="1"/>
    </xf>
    <xf numFmtId="1" fontId="76" fillId="50" borderId="7" xfId="12" applyNumberFormat="1" applyFont="1" applyFill="1" applyBorder="1" applyAlignment="1">
      <alignment horizontal="center" vertical="center" wrapText="1"/>
    </xf>
    <xf numFmtId="0" fontId="83" fillId="0" borderId="7" xfId="0" applyFont="1" applyBorder="1" applyAlignment="1">
      <alignment horizontal="center" vertical="center" wrapText="1" readingOrder="1"/>
    </xf>
    <xf numFmtId="0" fontId="81" fillId="43" borderId="7" xfId="0" applyFont="1" applyFill="1" applyBorder="1" applyAlignment="1">
      <alignment horizontal="center" vertical="center" wrapText="1" readingOrder="1"/>
    </xf>
    <xf numFmtId="0" fontId="81" fillId="50" borderId="7" xfId="0" applyFont="1" applyFill="1" applyBorder="1" applyAlignment="1">
      <alignment horizontal="center" vertical="center" wrapText="1" readingOrder="1"/>
    </xf>
    <xf numFmtId="0" fontId="81" fillId="44" borderId="7" xfId="0" applyFont="1" applyFill="1" applyBorder="1" applyAlignment="1">
      <alignment horizontal="center" vertical="center" wrapText="1" readingOrder="1"/>
    </xf>
    <xf numFmtId="0" fontId="81" fillId="43" borderId="53" xfId="0" applyFont="1" applyFill="1" applyBorder="1" applyAlignment="1">
      <alignment horizontal="center" vertical="center" wrapText="1" readingOrder="1"/>
    </xf>
    <xf numFmtId="0" fontId="81" fillId="44" borderId="54" xfId="0" applyFont="1" applyFill="1" applyBorder="1" applyAlignment="1">
      <alignment horizontal="center" vertical="center" wrapText="1" readingOrder="1"/>
    </xf>
    <xf numFmtId="0" fontId="75" fillId="0" borderId="56" xfId="0" applyFont="1" applyBorder="1" applyAlignment="1">
      <alignment horizontal="center" vertical="center" wrapText="1"/>
    </xf>
    <xf numFmtId="171" fontId="75" fillId="0" borderId="56" xfId="0" applyNumberFormat="1" applyFont="1" applyBorder="1" applyAlignment="1">
      <alignment horizontal="center" vertical="center" wrapText="1"/>
    </xf>
    <xf numFmtId="0" fontId="81" fillId="24" borderId="58" xfId="0" applyFont="1" applyFill="1" applyBorder="1" applyAlignment="1">
      <alignment horizontal="center" vertical="center" wrapText="1" readingOrder="1"/>
    </xf>
    <xf numFmtId="0" fontId="81" fillId="24" borderId="59" xfId="0" applyFont="1" applyFill="1" applyBorder="1" applyAlignment="1">
      <alignment horizontal="center" vertical="center" wrapText="1" readingOrder="1"/>
    </xf>
    <xf numFmtId="49" fontId="76" fillId="24" borderId="58" xfId="12" applyNumberFormat="1" applyFont="1" applyFill="1" applyBorder="1" applyAlignment="1">
      <alignment horizontal="center" vertical="center" wrapText="1"/>
    </xf>
    <xf numFmtId="49" fontId="76" fillId="24" borderId="60" xfId="12" applyNumberFormat="1" applyFont="1" applyFill="1" applyBorder="1" applyAlignment="1">
      <alignment horizontal="center" vertical="center" wrapText="1"/>
    </xf>
    <xf numFmtId="49" fontId="101" fillId="50" borderId="7" xfId="12" applyNumberFormat="1" applyFont="1" applyFill="1" applyBorder="1" applyAlignment="1">
      <alignment horizontal="center" vertical="center" wrapText="1"/>
    </xf>
    <xf numFmtId="49" fontId="101" fillId="44" borderId="7" xfId="12" applyNumberFormat="1" applyFont="1" applyFill="1" applyBorder="1" applyAlignment="1">
      <alignment horizontal="center" vertical="center" wrapText="1"/>
    </xf>
    <xf numFmtId="49" fontId="101" fillId="24" borderId="58" xfId="12" applyNumberFormat="1" applyFont="1" applyFill="1" applyBorder="1" applyAlignment="1">
      <alignment horizontal="center" vertical="center" wrapText="1"/>
    </xf>
    <xf numFmtId="1" fontId="76" fillId="24" borderId="59" xfId="12" applyNumberFormat="1" applyFont="1" applyFill="1" applyBorder="1" applyAlignment="1">
      <alignment horizontal="center" vertical="center" wrapText="1"/>
    </xf>
    <xf numFmtId="1" fontId="76" fillId="24" borderId="61" xfId="12" applyNumberFormat="1" applyFont="1" applyFill="1" applyBorder="1" applyAlignment="1">
      <alignment horizontal="center" vertical="center" wrapText="1"/>
    </xf>
    <xf numFmtId="1" fontId="76" fillId="44" borderId="54" xfId="12" applyNumberFormat="1" applyFont="1" applyFill="1" applyBorder="1" applyAlignment="1">
      <alignment horizontal="center" vertical="center" wrapText="1"/>
    </xf>
    <xf numFmtId="1" fontId="76" fillId="44" borderId="57" xfId="12" applyNumberFormat="1" applyFont="1" applyFill="1" applyBorder="1" applyAlignment="1">
      <alignment horizontal="center" vertical="center" wrapText="1"/>
    </xf>
    <xf numFmtId="1" fontId="76" fillId="50" borderId="56" xfId="12" applyNumberFormat="1" applyFont="1" applyFill="1" applyBorder="1" applyAlignment="1">
      <alignment horizontal="center" vertical="center" wrapText="1"/>
    </xf>
    <xf numFmtId="1" fontId="73" fillId="43" borderId="56" xfId="12" quotePrefix="1" applyNumberFormat="1" applyFont="1" applyFill="1" applyBorder="1" applyAlignment="1">
      <alignment horizontal="center" vertical="center" wrapText="1" readingOrder="1"/>
    </xf>
    <xf numFmtId="49" fontId="94" fillId="43" borderId="53" xfId="12" quotePrefix="1" applyNumberFormat="1" applyFont="1" applyFill="1" applyBorder="1" applyAlignment="1">
      <alignment horizontal="center" vertical="center" wrapText="1" readingOrder="1"/>
    </xf>
    <xf numFmtId="1" fontId="94" fillId="43" borderId="7" xfId="12" quotePrefix="1" applyNumberFormat="1" applyFont="1" applyFill="1" applyBorder="1" applyAlignment="1">
      <alignment horizontal="center" vertical="center" wrapText="1" readingOrder="1"/>
    </xf>
    <xf numFmtId="1" fontId="101" fillId="50" borderId="7" xfId="12" applyNumberFormat="1" applyFont="1" applyFill="1" applyBorder="1" applyAlignment="1">
      <alignment horizontal="center" vertical="center" wrapText="1"/>
    </xf>
    <xf numFmtId="171" fontId="86" fillId="0" borderId="7" xfId="0" applyNumberFormat="1" applyFont="1" applyBorder="1" applyAlignment="1">
      <alignment horizontal="center" vertical="center" wrapText="1"/>
    </xf>
    <xf numFmtId="1" fontId="101" fillId="44" borderId="54" xfId="12" applyNumberFormat="1" applyFont="1" applyFill="1" applyBorder="1" applyAlignment="1">
      <alignment horizontal="center" vertical="center" wrapText="1"/>
    </xf>
    <xf numFmtId="171" fontId="101" fillId="0" borderId="7" xfId="12" applyNumberFormat="1" applyFont="1" applyFill="1" applyBorder="1" applyAlignment="1">
      <alignment horizontal="center" vertical="center" wrapText="1"/>
    </xf>
    <xf numFmtId="1" fontId="101" fillId="24" borderId="59" xfId="12" applyNumberFormat="1" applyFont="1" applyFill="1" applyBorder="1" applyAlignment="1">
      <alignment horizontal="center" vertical="center" wrapText="1"/>
    </xf>
    <xf numFmtId="171" fontId="101" fillId="0" borderId="7" xfId="0" applyNumberFormat="1" applyFont="1" applyBorder="1" applyAlignment="1">
      <alignment horizontal="center" vertical="center" wrapText="1"/>
    </xf>
    <xf numFmtId="0" fontId="102" fillId="43" borderId="53" xfId="12" quotePrefix="1" applyNumberFormat="1" applyFont="1" applyFill="1" applyBorder="1" applyAlignment="1">
      <alignment horizontal="center" vertical="top" wrapText="1" readingOrder="1"/>
    </xf>
    <xf numFmtId="0" fontId="102" fillId="43" borderId="55" xfId="12" quotePrefix="1" applyNumberFormat="1" applyFont="1" applyFill="1" applyBorder="1" applyAlignment="1">
      <alignment horizontal="center" vertical="top" wrapText="1" readingOrder="1"/>
    </xf>
    <xf numFmtId="0" fontId="103" fillId="24" borderId="58" xfId="12" applyNumberFormat="1" applyFont="1" applyFill="1" applyBorder="1" applyAlignment="1">
      <alignment horizontal="center" vertical="top" wrapText="1"/>
    </xf>
    <xf numFmtId="49" fontId="94" fillId="43" borderId="53" xfId="0" applyNumberFormat="1" applyFont="1" applyFill="1" applyBorder="1" applyAlignment="1">
      <alignment horizontal="center" vertical="center" wrapText="1" readingOrder="1"/>
    </xf>
    <xf numFmtId="49" fontId="94" fillId="50" borderId="7" xfId="12" quotePrefix="1" applyNumberFormat="1" applyFont="1" applyFill="1" applyBorder="1" applyAlignment="1">
      <alignment horizontal="center" vertical="center" wrapText="1" readingOrder="1"/>
    </xf>
    <xf numFmtId="49" fontId="101" fillId="44" borderId="7" xfId="0" applyNumberFormat="1" applyFont="1" applyFill="1" applyBorder="1" applyAlignment="1">
      <alignment horizontal="center" vertical="center" wrapText="1"/>
    </xf>
    <xf numFmtId="49" fontId="101" fillId="24" borderId="58" xfId="0" applyNumberFormat="1" applyFont="1" applyFill="1" applyBorder="1" applyAlignment="1">
      <alignment horizontal="center" vertical="center" wrapText="1"/>
    </xf>
    <xf numFmtId="1" fontId="94" fillId="43" borderId="7" xfId="12" applyNumberFormat="1" applyFont="1" applyFill="1" applyBorder="1" applyAlignment="1">
      <alignment horizontal="center" vertical="center" wrapText="1" readingOrder="1"/>
    </xf>
    <xf numFmtId="1" fontId="94" fillId="50" borderId="7" xfId="12" quotePrefix="1" applyNumberFormat="1" applyFont="1" applyFill="1" applyBorder="1" applyAlignment="1">
      <alignment horizontal="center" vertical="center" wrapText="1" readingOrder="1"/>
    </xf>
    <xf numFmtId="0" fontId="102" fillId="43" borderId="53" xfId="0" applyFont="1" applyFill="1" applyBorder="1" applyAlignment="1">
      <alignment horizontal="center" vertical="top" wrapText="1" readingOrder="1"/>
    </xf>
    <xf numFmtId="1" fontId="73" fillId="43" borderId="7" xfId="12" applyNumberFormat="1" applyFont="1" applyFill="1" applyBorder="1" applyAlignment="1">
      <alignment horizontal="center" vertical="top" wrapText="1" readingOrder="1"/>
    </xf>
    <xf numFmtId="0" fontId="70" fillId="0" borderId="7" xfId="0" applyFont="1" applyBorder="1" applyAlignment="1">
      <alignment horizontal="center" vertical="top" wrapText="1"/>
    </xf>
    <xf numFmtId="49" fontId="102" fillId="50" borderId="7" xfId="12" quotePrefix="1" applyNumberFormat="1" applyFont="1" applyFill="1" applyBorder="1" applyAlignment="1">
      <alignment horizontal="center" vertical="top" wrapText="1" readingOrder="1"/>
    </xf>
    <xf numFmtId="1" fontId="73" fillId="50" borderId="7" xfId="12" quotePrefix="1" applyNumberFormat="1" applyFont="1" applyFill="1" applyBorder="1" applyAlignment="1">
      <alignment horizontal="center" vertical="top" wrapText="1" readingOrder="1"/>
    </xf>
    <xf numFmtId="1" fontId="76" fillId="44" borderId="54" xfId="12" applyNumberFormat="1" applyFont="1" applyFill="1" applyBorder="1" applyAlignment="1">
      <alignment horizontal="center" vertical="top" wrapText="1"/>
    </xf>
    <xf numFmtId="0" fontId="88" fillId="0" borderId="7" xfId="0" applyFont="1" applyBorder="1" applyAlignment="1">
      <alignment horizontal="center" vertical="top" wrapText="1"/>
    </xf>
    <xf numFmtId="0" fontId="103" fillId="24" borderId="58" xfId="0" applyFont="1" applyFill="1" applyBorder="1" applyAlignment="1">
      <alignment horizontal="center" vertical="top" wrapText="1"/>
    </xf>
    <xf numFmtId="1" fontId="73" fillId="43" borderId="56" xfId="12" applyNumberFormat="1" applyFont="1" applyFill="1" applyBorder="1" applyAlignment="1">
      <alignment horizontal="center" vertical="top" wrapText="1" readingOrder="1"/>
    </xf>
    <xf numFmtId="0" fontId="70" fillId="0" borderId="56" xfId="0" applyFont="1" applyBorder="1" applyAlignment="1">
      <alignment horizontal="center" vertical="top" wrapText="1"/>
    </xf>
    <xf numFmtId="1" fontId="73" fillId="50" borderId="56" xfId="12" quotePrefix="1" applyNumberFormat="1" applyFont="1" applyFill="1" applyBorder="1" applyAlignment="1">
      <alignment horizontal="center" vertical="top" wrapText="1" readingOrder="1"/>
    </xf>
    <xf numFmtId="1" fontId="76" fillId="44" borderId="57" xfId="12" applyNumberFormat="1" applyFont="1" applyFill="1" applyBorder="1" applyAlignment="1">
      <alignment horizontal="center" vertical="top" wrapText="1"/>
    </xf>
    <xf numFmtId="1" fontId="76" fillId="24" borderId="59" xfId="12" applyNumberFormat="1" applyFont="1" applyFill="1" applyBorder="1" applyAlignment="1">
      <alignment horizontal="center" vertical="top" wrapText="1"/>
    </xf>
    <xf numFmtId="0" fontId="102" fillId="43" borderId="55" xfId="0" applyFont="1" applyFill="1" applyBorder="1" applyAlignment="1">
      <alignment horizontal="center" vertical="top" wrapText="1" readingOrder="1"/>
    </xf>
    <xf numFmtId="0" fontId="103" fillId="50" borderId="7" xfId="12" applyNumberFormat="1" applyFont="1" applyFill="1" applyBorder="1" applyAlignment="1">
      <alignment horizontal="center" vertical="top" wrapText="1"/>
    </xf>
    <xf numFmtId="0" fontId="103" fillId="50" borderId="56" xfId="12" applyNumberFormat="1" applyFont="1" applyFill="1" applyBorder="1" applyAlignment="1">
      <alignment horizontal="center" vertical="top" wrapText="1"/>
    </xf>
    <xf numFmtId="0" fontId="103" fillId="44" borderId="7" xfId="12" applyNumberFormat="1" applyFont="1" applyFill="1" applyBorder="1" applyAlignment="1">
      <alignment horizontal="center" vertical="top" wrapText="1"/>
    </xf>
    <xf numFmtId="0" fontId="103" fillId="44" borderId="56" xfId="12" applyNumberFormat="1" applyFont="1" applyFill="1" applyBorder="1" applyAlignment="1">
      <alignment horizontal="center" vertical="top" wrapText="1"/>
    </xf>
    <xf numFmtId="0" fontId="103" fillId="44" borderId="7" xfId="0" applyFont="1" applyFill="1" applyBorder="1" applyAlignment="1">
      <alignment horizontal="center" vertical="top" wrapText="1"/>
    </xf>
    <xf numFmtId="0" fontId="103" fillId="44" borderId="56" xfId="0" applyFont="1" applyFill="1" applyBorder="1" applyAlignment="1">
      <alignment horizontal="center" vertical="top" wrapText="1"/>
    </xf>
    <xf numFmtId="0" fontId="102" fillId="50" borderId="7" xfId="12" quotePrefix="1" applyNumberFormat="1" applyFont="1" applyFill="1" applyBorder="1" applyAlignment="1">
      <alignment horizontal="center" vertical="top" wrapText="1" readingOrder="1"/>
    </xf>
    <xf numFmtId="0" fontId="102" fillId="50" borderId="56" xfId="12" quotePrefix="1" applyNumberFormat="1" applyFont="1" applyFill="1" applyBorder="1" applyAlignment="1">
      <alignment horizontal="center" vertical="top" wrapText="1" readingOrder="1"/>
    </xf>
    <xf numFmtId="1" fontId="94" fillId="43" borderId="7" xfId="0" applyNumberFormat="1" applyFont="1" applyFill="1" applyBorder="1" applyAlignment="1">
      <alignment horizontal="center" vertical="center" wrapText="1" readingOrder="1"/>
    </xf>
    <xf numFmtId="0" fontId="101" fillId="0" borderId="7" xfId="0" applyFont="1" applyBorder="1" applyAlignment="1">
      <alignment horizontal="center" vertical="center" wrapText="1"/>
    </xf>
    <xf numFmtId="1" fontId="101" fillId="50" borderId="7" xfId="0" applyNumberFormat="1" applyFont="1" applyFill="1" applyBorder="1" applyAlignment="1">
      <alignment horizontal="center" vertical="center" wrapText="1"/>
    </xf>
    <xf numFmtId="1" fontId="101" fillId="44" borderId="54" xfId="0" applyNumberFormat="1" applyFont="1" applyFill="1" applyBorder="1" applyAlignment="1">
      <alignment horizontal="center" vertical="center" wrapText="1"/>
    </xf>
    <xf numFmtId="1" fontId="101" fillId="24" borderId="59" xfId="0" applyNumberFormat="1" applyFont="1" applyFill="1" applyBorder="1" applyAlignment="1">
      <alignment horizontal="center" vertical="center" wrapText="1"/>
    </xf>
    <xf numFmtId="1" fontId="94" fillId="43" borderId="56" xfId="0" applyNumberFormat="1" applyFont="1" applyFill="1" applyBorder="1" applyAlignment="1">
      <alignment horizontal="center" vertical="center" wrapText="1" readingOrder="1"/>
    </xf>
    <xf numFmtId="0" fontId="101" fillId="0" borderId="56" xfId="0" applyFont="1" applyBorder="1" applyAlignment="1">
      <alignment horizontal="center" vertical="center" wrapText="1"/>
    </xf>
    <xf numFmtId="1" fontId="101" fillId="50" borderId="56" xfId="0" applyNumberFormat="1" applyFont="1" applyFill="1" applyBorder="1" applyAlignment="1">
      <alignment horizontal="center" vertical="center" wrapText="1"/>
    </xf>
    <xf numFmtId="1" fontId="101" fillId="44" borderId="57" xfId="0" applyNumberFormat="1" applyFont="1" applyFill="1" applyBorder="1" applyAlignment="1">
      <alignment horizontal="center" vertical="center" wrapText="1"/>
    </xf>
    <xf numFmtId="49" fontId="106" fillId="24" borderId="60" xfId="0" applyNumberFormat="1" applyFont="1" applyFill="1" applyBorder="1" applyAlignment="1">
      <alignment horizontal="center" vertical="center" wrapText="1"/>
    </xf>
    <xf numFmtId="49" fontId="107" fillId="24" borderId="61" xfId="12" applyNumberFormat="1" applyFont="1" applyFill="1" applyBorder="1" applyAlignment="1">
      <alignment horizontal="center" vertical="center" wrapText="1"/>
    </xf>
    <xf numFmtId="49" fontId="76" fillId="24" borderId="61" xfId="12" applyNumberFormat="1" applyFont="1" applyFill="1" applyBorder="1" applyAlignment="1">
      <alignment horizontal="center" vertical="center" wrapText="1"/>
    </xf>
    <xf numFmtId="9" fontId="61" fillId="0" borderId="7" xfId="4" applyNumberFormat="1" applyBorder="1"/>
    <xf numFmtId="0" fontId="110" fillId="0" borderId="7" xfId="0" applyFont="1" applyBorder="1"/>
    <xf numFmtId="9" fontId="110" fillId="0" borderId="7" xfId="0" applyNumberFormat="1" applyFont="1" applyBorder="1"/>
    <xf numFmtId="9" fontId="112" fillId="0" borderId="7" xfId="0" applyNumberFormat="1" applyFont="1" applyBorder="1" applyAlignment="1">
      <alignment horizontal="center" vertical="center" wrapText="1"/>
    </xf>
    <xf numFmtId="9" fontId="113" fillId="0" borderId="7" xfId="0" applyNumberFormat="1" applyFont="1" applyBorder="1" applyAlignment="1">
      <alignment horizontal="center" vertical="center" wrapText="1"/>
    </xf>
    <xf numFmtId="9" fontId="110" fillId="0" borderId="7" xfId="0" applyNumberFormat="1" applyFont="1" applyBorder="1" applyAlignment="1">
      <alignment horizontal="center"/>
    </xf>
    <xf numFmtId="9" fontId="112" fillId="0" borderId="79" xfId="0" applyNumberFormat="1" applyFont="1" applyBorder="1" applyAlignment="1">
      <alignment horizontal="center" vertical="center" wrapText="1"/>
    </xf>
    <xf numFmtId="9" fontId="114" fillId="0" borderId="7" xfId="0" applyNumberFormat="1" applyFont="1" applyBorder="1" applyAlignment="1">
      <alignment horizontal="center" vertical="center" wrapText="1"/>
    </xf>
    <xf numFmtId="0" fontId="110" fillId="0" borderId="7" xfId="0" applyFont="1" applyBorder="1" applyAlignment="1">
      <alignment horizontal="center"/>
    </xf>
    <xf numFmtId="165" fontId="113" fillId="0" borderId="7" xfId="0" applyNumberFormat="1" applyFont="1" applyBorder="1" applyAlignment="1">
      <alignment horizontal="center" vertical="center" wrapText="1"/>
    </xf>
    <xf numFmtId="1" fontId="113" fillId="0" borderId="7" xfId="0" applyNumberFormat="1" applyFont="1" applyBorder="1" applyAlignment="1">
      <alignment horizontal="center" vertical="center" wrapText="1"/>
    </xf>
    <xf numFmtId="165" fontId="113" fillId="0" borderId="78" xfId="0" applyNumberFormat="1" applyFont="1" applyBorder="1" applyAlignment="1">
      <alignment horizontal="center" vertical="center" wrapText="1"/>
    </xf>
    <xf numFmtId="9" fontId="115" fillId="0" borderId="7" xfId="0" applyNumberFormat="1" applyFont="1" applyBorder="1" applyAlignment="1">
      <alignment horizontal="center" vertical="center"/>
    </xf>
    <xf numFmtId="9" fontId="114" fillId="0" borderId="7" xfId="0" applyNumberFormat="1" applyFont="1" applyBorder="1" applyAlignment="1">
      <alignment horizontal="left" vertical="center" wrapText="1"/>
    </xf>
    <xf numFmtId="0" fontId="115" fillId="0" borderId="7" xfId="0" applyFont="1" applyBorder="1" applyAlignment="1">
      <alignment horizontal="center" vertical="center"/>
    </xf>
    <xf numFmtId="9" fontId="116" fillId="0" borderId="7" xfId="0" applyNumberFormat="1" applyFont="1" applyBorder="1" applyAlignment="1">
      <alignment horizontal="left"/>
    </xf>
    <xf numFmtId="9" fontId="110" fillId="0" borderId="7" xfId="0" applyNumberFormat="1" applyFont="1" applyBorder="1" applyAlignment="1">
      <alignment horizontal="left"/>
    </xf>
    <xf numFmtId="0" fontId="111" fillId="0" borderId="7" xfId="0" applyFont="1" applyBorder="1" applyAlignment="1">
      <alignment wrapText="1"/>
    </xf>
    <xf numFmtId="0" fontId="110" fillId="0" borderId="7" xfId="0" applyFont="1" applyBorder="1" applyAlignment="1">
      <alignment wrapText="1"/>
    </xf>
    <xf numFmtId="0" fontId="110" fillId="47" borderId="7" xfId="0" applyFont="1" applyFill="1" applyBorder="1" applyAlignment="1">
      <alignment wrapText="1"/>
    </xf>
    <xf numFmtId="9" fontId="110" fillId="0" borderId="7" xfId="0" applyNumberFormat="1" applyFont="1" applyBorder="1" applyAlignment="1">
      <alignment wrapText="1"/>
    </xf>
    <xf numFmtId="9" fontId="112" fillId="10" borderId="68" xfId="0" applyNumberFormat="1" applyFont="1" applyFill="1" applyBorder="1" applyAlignment="1">
      <alignment horizontal="left" vertical="center" wrapText="1"/>
    </xf>
    <xf numFmtId="9" fontId="112" fillId="9" borderId="68" xfId="0" applyNumberFormat="1" applyFont="1" applyFill="1" applyBorder="1" applyAlignment="1">
      <alignment horizontal="left" vertical="center" wrapText="1"/>
    </xf>
    <xf numFmtId="9" fontId="112" fillId="9" borderId="69" xfId="0" applyNumberFormat="1" applyFont="1" applyFill="1" applyBorder="1" applyAlignment="1">
      <alignment horizontal="left" vertical="center" wrapText="1"/>
    </xf>
    <xf numFmtId="9" fontId="112" fillId="10" borderId="80" xfId="0" applyNumberFormat="1" applyFont="1" applyFill="1" applyBorder="1" applyAlignment="1">
      <alignment horizontal="center" vertical="center" wrapText="1"/>
    </xf>
    <xf numFmtId="9" fontId="112" fillId="9" borderId="80" xfId="0" applyNumberFormat="1" applyFont="1" applyFill="1" applyBorder="1" applyAlignment="1">
      <alignment horizontal="center" vertical="center" wrapText="1"/>
    </xf>
    <xf numFmtId="9" fontId="112" fillId="9" borderId="40" xfId="0" applyNumberFormat="1" applyFont="1" applyFill="1" applyBorder="1" applyAlignment="1">
      <alignment horizontal="center" vertical="center" wrapText="1"/>
    </xf>
    <xf numFmtId="165" fontId="113" fillId="11" borderId="80" xfId="0" applyNumberFormat="1" applyFont="1" applyFill="1" applyBorder="1" applyAlignment="1">
      <alignment horizontal="center" vertical="center" wrapText="1"/>
    </xf>
    <xf numFmtId="1" fontId="113" fillId="9" borderId="80" xfId="0" applyNumberFormat="1" applyFont="1" applyFill="1" applyBorder="1" applyAlignment="1">
      <alignment horizontal="center" vertical="center" wrapText="1"/>
    </xf>
    <xf numFmtId="165" fontId="113" fillId="9" borderId="40" xfId="0" applyNumberFormat="1" applyFont="1" applyFill="1" applyBorder="1" applyAlignment="1">
      <alignment horizontal="center" vertical="center" wrapText="1"/>
    </xf>
    <xf numFmtId="0" fontId="80" fillId="0" borderId="12" xfId="0" applyFont="1" applyBorder="1" applyAlignment="1">
      <alignment vertical="top" wrapText="1"/>
    </xf>
    <xf numFmtId="0" fontId="110" fillId="9" borderId="7" xfId="0" applyFont="1" applyFill="1" applyBorder="1"/>
    <xf numFmtId="0" fontId="108" fillId="39" borderId="41" xfId="0" applyFont="1" applyFill="1" applyBorder="1" applyAlignment="1">
      <alignment horizontal="center" vertical="center" wrapText="1"/>
    </xf>
    <xf numFmtId="0" fontId="108" fillId="20" borderId="43" xfId="0" applyFont="1" applyFill="1" applyBorder="1" applyAlignment="1">
      <alignment horizontal="center" vertical="center" wrapText="1"/>
    </xf>
    <xf numFmtId="9" fontId="108" fillId="38" borderId="43" xfId="0" applyNumberFormat="1" applyFont="1" applyFill="1" applyBorder="1" applyAlignment="1">
      <alignment horizontal="center" vertical="center" wrapText="1"/>
    </xf>
    <xf numFmtId="0" fontId="108" fillId="40" borderId="43" xfId="0" applyFont="1" applyFill="1" applyBorder="1" applyAlignment="1">
      <alignment horizontal="center" vertical="center" wrapText="1"/>
    </xf>
    <xf numFmtId="165" fontId="114" fillId="52" borderId="38" xfId="0" applyNumberFormat="1" applyFont="1" applyFill="1" applyBorder="1" applyAlignment="1">
      <alignment horizontal="center" vertical="center" wrapText="1"/>
    </xf>
    <xf numFmtId="0" fontId="109" fillId="48" borderId="38" xfId="0" applyFont="1" applyFill="1" applyBorder="1" applyAlignment="1">
      <alignment horizontal="center" vertical="center" wrapText="1"/>
    </xf>
    <xf numFmtId="0" fontId="80" fillId="0" borderId="0" xfId="0" applyFont="1"/>
    <xf numFmtId="9" fontId="98" fillId="38" borderId="12" xfId="3" applyNumberFormat="1" applyFont="1" applyFill="1" applyBorder="1" applyAlignment="1">
      <alignment horizontal="center" vertical="center"/>
    </xf>
    <xf numFmtId="9" fontId="98" fillId="38" borderId="12" xfId="3" applyNumberFormat="1" applyFont="1" applyFill="1" applyBorder="1" applyAlignment="1">
      <alignment horizontal="center" vertical="center" wrapText="1"/>
    </xf>
    <xf numFmtId="6" fontId="118" fillId="0" borderId="7" xfId="0" applyNumberFormat="1" applyFont="1" applyBorder="1" applyAlignment="1">
      <alignment horizontal="center" vertical="center" wrapText="1" readingOrder="1"/>
    </xf>
    <xf numFmtId="0" fontId="119" fillId="0" borderId="7" xfId="0" applyFont="1" applyBorder="1" applyAlignment="1">
      <alignment horizontal="center" vertical="center" wrapText="1" readingOrder="1"/>
    </xf>
    <xf numFmtId="3" fontId="118" fillId="0" borderId="7" xfId="0" applyNumberFormat="1" applyFont="1" applyBorder="1" applyAlignment="1">
      <alignment horizontal="center" vertical="center" wrapText="1" readingOrder="1"/>
    </xf>
    <xf numFmtId="0" fontId="111" fillId="0" borderId="0" xfId="0" applyFont="1"/>
    <xf numFmtId="6" fontId="120" fillId="0" borderId="7" xfId="0" applyNumberFormat="1" applyFont="1" applyBorder="1" applyAlignment="1">
      <alignment horizontal="center" vertical="center" wrapText="1" readingOrder="1"/>
    </xf>
    <xf numFmtId="0" fontId="118" fillId="0" borderId="7" xfId="0" applyFont="1" applyBorder="1" applyAlignment="1">
      <alignment horizontal="center" vertical="center" wrapText="1" readingOrder="1"/>
    </xf>
    <xf numFmtId="0" fontId="121" fillId="0" borderId="0" xfId="0" applyFont="1" applyAlignment="1">
      <alignment horizontal="center"/>
    </xf>
    <xf numFmtId="0" fontId="122" fillId="0" borderId="0" xfId="0" applyFont="1" applyAlignment="1">
      <alignment horizontal="center"/>
    </xf>
    <xf numFmtId="0" fontId="0" fillId="0" borderId="0" xfId="0" applyAlignment="1">
      <alignment vertical="top"/>
    </xf>
    <xf numFmtId="0" fontId="124" fillId="0" borderId="0" xfId="0" applyFont="1" applyAlignment="1">
      <alignment vertical="top" wrapText="1"/>
    </xf>
    <xf numFmtId="0" fontId="124" fillId="0" borderId="0" xfId="0" applyFont="1" applyAlignment="1">
      <alignment vertical="top"/>
    </xf>
    <xf numFmtId="0" fontId="72" fillId="0" borderId="12" xfId="0" applyFont="1" applyBorder="1" applyAlignment="1">
      <alignment horizontal="center" vertical="center" wrapText="1" readingOrder="1"/>
    </xf>
    <xf numFmtId="9" fontId="72" fillId="0" borderId="12" xfId="0" applyNumberFormat="1" applyFont="1" applyBorder="1" applyAlignment="1">
      <alignment horizontal="center" vertical="center" wrapText="1" readingOrder="1"/>
    </xf>
    <xf numFmtId="0" fontId="81" fillId="0" borderId="12" xfId="0" applyFont="1" applyBorder="1" applyAlignment="1">
      <alignment horizontal="center" vertical="center" wrapText="1" readingOrder="1"/>
    </xf>
    <xf numFmtId="49" fontId="94" fillId="58" borderId="12" xfId="12" quotePrefix="1" applyNumberFormat="1" applyFont="1" applyFill="1" applyBorder="1" applyAlignment="1">
      <alignment horizontal="center" vertical="center" wrapText="1" readingOrder="1"/>
    </xf>
    <xf numFmtId="49" fontId="101" fillId="58" borderId="12" xfId="12" applyNumberFormat="1" applyFont="1" applyFill="1" applyBorder="1" applyAlignment="1">
      <alignment horizontal="center" vertical="center" wrapText="1"/>
    </xf>
    <xf numFmtId="0" fontId="102" fillId="0" borderId="12" xfId="12" quotePrefix="1" applyNumberFormat="1" applyFont="1" applyFill="1" applyBorder="1" applyAlignment="1">
      <alignment horizontal="center" vertical="top" wrapText="1" readingOrder="1"/>
    </xf>
    <xf numFmtId="0" fontId="103" fillId="0" borderId="12" xfId="12" applyNumberFormat="1" applyFont="1" applyFill="1" applyBorder="1" applyAlignment="1">
      <alignment horizontal="center" vertical="top" wrapText="1"/>
    </xf>
    <xf numFmtId="49" fontId="101" fillId="0" borderId="12" xfId="12" applyNumberFormat="1" applyFont="1" applyFill="1" applyBorder="1" applyAlignment="1">
      <alignment horizontal="center" vertical="center" wrapText="1"/>
    </xf>
    <xf numFmtId="49" fontId="76" fillId="0" borderId="12" xfId="12" applyNumberFormat="1" applyFont="1" applyFill="1" applyBorder="1" applyAlignment="1">
      <alignment horizontal="center" vertical="center" wrapText="1"/>
    </xf>
    <xf numFmtId="49" fontId="94" fillId="0" borderId="12" xfId="12" quotePrefix="1" applyNumberFormat="1" applyFont="1" applyFill="1" applyBorder="1" applyAlignment="1">
      <alignment horizontal="center" vertical="center" wrapText="1" readingOrder="1"/>
    </xf>
    <xf numFmtId="49" fontId="100" fillId="0" borderId="7" xfId="0" applyNumberFormat="1" applyFont="1" applyBorder="1" applyAlignment="1">
      <alignment horizontal="center" vertical="center" wrapText="1" readingOrder="1"/>
    </xf>
    <xf numFmtId="0" fontId="108" fillId="58" borderId="42" xfId="0" applyFont="1" applyFill="1" applyBorder="1" applyAlignment="1">
      <alignment horizontal="center" vertical="center" wrapText="1"/>
    </xf>
    <xf numFmtId="9" fontId="108" fillId="58" borderId="42" xfId="0" applyNumberFormat="1" applyFont="1" applyFill="1" applyBorder="1" applyAlignment="1">
      <alignment horizontal="center" vertical="center" wrapText="1"/>
    </xf>
    <xf numFmtId="0" fontId="108" fillId="58" borderId="38" xfId="0" applyFont="1" applyFill="1" applyBorder="1" applyAlignment="1">
      <alignment horizontal="center" vertical="center" wrapText="1"/>
    </xf>
    <xf numFmtId="0" fontId="123" fillId="58" borderId="0" xfId="0" applyFont="1" applyFill="1" applyAlignment="1">
      <alignment vertical="top"/>
    </xf>
    <xf numFmtId="1" fontId="99" fillId="43" borderId="12" xfId="1" applyNumberFormat="1" applyFont="1" applyFill="1" applyBorder="1" applyAlignment="1">
      <alignment horizontal="center" vertical="center" wrapText="1"/>
    </xf>
    <xf numFmtId="1" fontId="99" fillId="50" borderId="12" xfId="3" applyNumberFormat="1" applyFont="1" applyFill="1" applyBorder="1" applyAlignment="1">
      <alignment horizontal="center" vertical="center" wrapText="1"/>
    </xf>
    <xf numFmtId="1" fontId="99" fillId="44" borderId="12" xfId="2" applyNumberFormat="1" applyFont="1" applyFill="1" applyBorder="1" applyAlignment="1">
      <alignment horizontal="center" vertical="center" wrapText="1"/>
    </xf>
    <xf numFmtId="9" fontId="114" fillId="0" borderId="7" xfId="0" applyNumberFormat="1" applyFont="1" applyBorder="1" applyAlignment="1">
      <alignment vertical="center" wrapText="1"/>
    </xf>
    <xf numFmtId="0" fontId="98" fillId="58" borderId="7" xfId="0" applyFont="1" applyFill="1" applyBorder="1" applyAlignment="1">
      <alignment vertical="center"/>
    </xf>
    <xf numFmtId="0" fontId="98" fillId="0" borderId="7" xfId="0" applyFont="1" applyBorder="1" applyAlignment="1">
      <alignment vertical="center"/>
    </xf>
    <xf numFmtId="165" fontId="114" fillId="45" borderId="70" xfId="0" applyNumberFormat="1" applyFont="1" applyFill="1" applyBorder="1" applyAlignment="1">
      <alignment horizontal="center" vertical="center" wrapText="1"/>
    </xf>
    <xf numFmtId="9" fontId="108" fillId="24" borderId="34" xfId="0" applyNumberFormat="1" applyFont="1" applyFill="1" applyBorder="1" applyAlignment="1">
      <alignment horizontal="center" vertical="center" wrapText="1"/>
    </xf>
    <xf numFmtId="0" fontId="127" fillId="0" borderId="7" xfId="0" applyFont="1" applyBorder="1"/>
    <xf numFmtId="9" fontId="108" fillId="24" borderId="25" xfId="0" applyNumberFormat="1" applyFont="1" applyFill="1" applyBorder="1" applyAlignment="1">
      <alignment horizontal="center" vertical="center" wrapText="1"/>
    </xf>
    <xf numFmtId="9" fontId="108" fillId="24" borderId="7" xfId="0" applyNumberFormat="1" applyFont="1" applyFill="1" applyBorder="1" applyAlignment="1">
      <alignment horizontal="center" vertical="center" wrapText="1"/>
    </xf>
    <xf numFmtId="9" fontId="108" fillId="0" borderId="82" xfId="0" applyNumberFormat="1" applyFont="1" applyBorder="1" applyAlignment="1">
      <alignment horizontal="center" vertical="center" wrapText="1"/>
    </xf>
    <xf numFmtId="9" fontId="108" fillId="0" borderId="52" xfId="0" applyNumberFormat="1" applyFont="1" applyBorder="1" applyAlignment="1">
      <alignment horizontal="center" vertical="center" wrapText="1"/>
    </xf>
    <xf numFmtId="165" fontId="113" fillId="11" borderId="82" xfId="0" applyNumberFormat="1" applyFont="1" applyFill="1" applyBorder="1" applyAlignment="1">
      <alignment horizontal="center" vertical="center" wrapText="1"/>
    </xf>
    <xf numFmtId="165" fontId="114" fillId="0" borderId="7" xfId="0" applyNumberFormat="1" applyFont="1" applyBorder="1" applyAlignment="1">
      <alignment vertical="center" wrapText="1"/>
    </xf>
    <xf numFmtId="9" fontId="108" fillId="0" borderId="7" xfId="0" applyNumberFormat="1" applyFont="1" applyBorder="1" applyAlignment="1">
      <alignment vertical="center" wrapText="1"/>
    </xf>
    <xf numFmtId="9" fontId="108" fillId="24" borderId="38" xfId="0" applyNumberFormat="1" applyFont="1" applyFill="1" applyBorder="1" applyAlignment="1">
      <alignment horizontal="center" vertical="center" wrapText="1"/>
    </xf>
    <xf numFmtId="165" fontId="115" fillId="0" borderId="80" xfId="0" applyNumberFormat="1" applyFont="1" applyBorder="1" applyAlignment="1">
      <alignment horizontal="center" vertical="center" wrapText="1"/>
    </xf>
    <xf numFmtId="1" fontId="115" fillId="0" borderId="80" xfId="0" applyNumberFormat="1" applyFont="1" applyBorder="1" applyAlignment="1">
      <alignment horizontal="center" vertical="center" wrapText="1"/>
    </xf>
    <xf numFmtId="165" fontId="115" fillId="0" borderId="40" xfId="0" applyNumberFormat="1" applyFont="1" applyBorder="1" applyAlignment="1">
      <alignment horizontal="center" vertical="center" wrapText="1"/>
    </xf>
    <xf numFmtId="9" fontId="108" fillId="0" borderId="39" xfId="0" applyNumberFormat="1" applyFont="1" applyBorder="1" applyAlignment="1">
      <alignment horizontal="center" vertical="center" wrapText="1"/>
    </xf>
    <xf numFmtId="0" fontId="115" fillId="0" borderId="39" xfId="0" applyFont="1" applyBorder="1" applyAlignment="1">
      <alignment horizontal="center" vertical="center"/>
    </xf>
    <xf numFmtId="0" fontId="115" fillId="0" borderId="80" xfId="0" applyFont="1" applyBorder="1" applyAlignment="1">
      <alignment horizontal="center" vertical="center" wrapText="1"/>
    </xf>
    <xf numFmtId="0" fontId="115" fillId="0" borderId="80" xfId="0" applyFont="1" applyBorder="1" applyAlignment="1">
      <alignment horizontal="center"/>
    </xf>
    <xf numFmtId="0" fontId="115" fillId="0" borderId="80" xfId="0" applyFont="1" applyBorder="1" applyAlignment="1">
      <alignment horizontal="center" vertical="center"/>
    </xf>
    <xf numFmtId="0" fontId="115" fillId="0" borderId="40" xfId="0" applyFont="1" applyBorder="1" applyAlignment="1">
      <alignment horizontal="center" vertical="center"/>
    </xf>
    <xf numFmtId="9" fontId="115" fillId="0" borderId="39" xfId="0" applyNumberFormat="1" applyFont="1" applyBorder="1" applyAlignment="1">
      <alignment horizontal="center" vertical="center"/>
    </xf>
    <xf numFmtId="9" fontId="115" fillId="0" borderId="80" xfId="0" applyNumberFormat="1" applyFont="1" applyBorder="1" applyAlignment="1">
      <alignment horizontal="center" vertical="center"/>
    </xf>
    <xf numFmtId="9" fontId="115" fillId="0" borderId="40" xfId="0" applyNumberFormat="1" applyFont="1" applyBorder="1" applyAlignment="1">
      <alignment horizontal="center" vertical="center"/>
    </xf>
    <xf numFmtId="9" fontId="115" fillId="0" borderId="38" xfId="0" applyNumberFormat="1" applyFont="1" applyBorder="1" applyAlignment="1">
      <alignment horizontal="center" vertical="center"/>
    </xf>
    <xf numFmtId="0" fontId="123" fillId="0" borderId="7" xfId="14" applyFont="1"/>
    <xf numFmtId="0" fontId="7" fillId="0" borderId="7" xfId="14"/>
    <xf numFmtId="0" fontId="129" fillId="59" borderId="12" xfId="14" applyFont="1" applyFill="1" applyBorder="1" applyAlignment="1">
      <alignment horizontal="center" vertical="center" wrapText="1"/>
    </xf>
    <xf numFmtId="0" fontId="7" fillId="0" borderId="12" xfId="14" applyBorder="1" applyAlignment="1">
      <alignment horizontal="center"/>
    </xf>
    <xf numFmtId="3" fontId="0" fillId="0" borderId="12" xfId="15" applyNumberFormat="1" applyFont="1" applyFill="1" applyBorder="1" applyAlignment="1">
      <alignment horizontal="center"/>
    </xf>
    <xf numFmtId="165" fontId="115" fillId="0" borderId="86" xfId="0" applyNumberFormat="1" applyFont="1" applyBorder="1" applyAlignment="1">
      <alignment horizontal="center" vertical="center" wrapText="1"/>
    </xf>
    <xf numFmtId="0" fontId="115" fillId="0" borderId="86" xfId="0" applyFont="1" applyBorder="1" applyAlignment="1">
      <alignment horizontal="center" vertical="center"/>
    </xf>
    <xf numFmtId="9" fontId="115" fillId="0" borderId="84" xfId="0" applyNumberFormat="1" applyFont="1" applyBorder="1" applyAlignment="1">
      <alignment horizontal="center" vertical="center"/>
    </xf>
    <xf numFmtId="9" fontId="115" fillId="0" borderId="85" xfId="0" applyNumberFormat="1" applyFont="1" applyBorder="1" applyAlignment="1">
      <alignment horizontal="center" vertical="center"/>
    </xf>
    <xf numFmtId="9" fontId="115" fillId="0" borderId="86" xfId="0" applyNumberFormat="1" applyFont="1" applyBorder="1" applyAlignment="1">
      <alignment horizontal="center" vertical="center"/>
    </xf>
    <xf numFmtId="0" fontId="115" fillId="43" borderId="80" xfId="0" applyFont="1" applyFill="1" applyBorder="1" applyAlignment="1">
      <alignment horizontal="center" vertical="center"/>
    </xf>
    <xf numFmtId="0" fontId="115" fillId="50" borderId="80" xfId="0" applyFont="1" applyFill="1" applyBorder="1" applyAlignment="1">
      <alignment horizontal="center" vertical="center"/>
    </xf>
    <xf numFmtId="0" fontId="115" fillId="44" borderId="80" xfId="0" applyFont="1" applyFill="1" applyBorder="1" applyAlignment="1">
      <alignment horizontal="center" vertical="center"/>
    </xf>
    <xf numFmtId="0" fontId="115" fillId="24" borderId="80" xfId="0" applyFont="1" applyFill="1" applyBorder="1" applyAlignment="1">
      <alignment horizontal="center" vertical="center"/>
    </xf>
    <xf numFmtId="0" fontId="108" fillId="13" borderId="52" xfId="0" applyFont="1" applyFill="1" applyBorder="1" applyAlignment="1">
      <alignment horizontal="left" vertical="center"/>
    </xf>
    <xf numFmtId="0" fontId="115" fillId="14" borderId="39" xfId="0" applyFont="1" applyFill="1" applyBorder="1" applyAlignment="1">
      <alignment horizontal="center" vertical="center" wrapText="1"/>
    </xf>
    <xf numFmtId="0" fontId="115" fillId="55" borderId="39" xfId="0" applyFont="1" applyFill="1" applyBorder="1" applyAlignment="1">
      <alignment horizontal="center" vertical="center"/>
    </xf>
    <xf numFmtId="0" fontId="115" fillId="56" borderId="39" xfId="0" applyFont="1" applyFill="1" applyBorder="1" applyAlignment="1">
      <alignment horizontal="center" vertical="center"/>
    </xf>
    <xf numFmtId="0" fontId="115" fillId="44" borderId="39" xfId="0" applyFont="1" applyFill="1" applyBorder="1" applyAlignment="1">
      <alignment horizontal="center" vertical="center"/>
    </xf>
    <xf numFmtId="0" fontId="115" fillId="24" borderId="39" xfId="0" applyFont="1" applyFill="1" applyBorder="1" applyAlignment="1">
      <alignment horizontal="center" vertical="center"/>
    </xf>
    <xf numFmtId="0" fontId="115" fillId="33" borderId="80" xfId="0" applyFont="1" applyFill="1" applyBorder="1" applyAlignment="1">
      <alignment horizontal="center" vertical="center" wrapText="1"/>
    </xf>
    <xf numFmtId="0" fontId="115" fillId="55" borderId="80" xfId="0" applyFont="1" applyFill="1" applyBorder="1" applyAlignment="1">
      <alignment horizontal="center" vertical="center"/>
    </xf>
    <xf numFmtId="0" fontId="115" fillId="56" borderId="80" xfId="0" applyFont="1" applyFill="1" applyBorder="1" applyAlignment="1">
      <alignment horizontal="center" vertical="center"/>
    </xf>
    <xf numFmtId="0" fontId="115" fillId="43" borderId="80" xfId="0" applyFont="1" applyFill="1" applyBorder="1" applyAlignment="1">
      <alignment horizontal="center" vertical="center" wrapText="1"/>
    </xf>
    <xf numFmtId="0" fontId="115" fillId="50" borderId="80" xfId="0" applyFont="1" applyFill="1" applyBorder="1" applyAlignment="1">
      <alignment horizontal="center" vertical="center" wrapText="1"/>
    </xf>
    <xf numFmtId="0" fontId="115" fillId="33" borderId="40" xfId="0" applyFont="1" applyFill="1" applyBorder="1" applyAlignment="1">
      <alignment horizontal="center" vertical="center" wrapText="1"/>
    </xf>
    <xf numFmtId="0" fontId="115" fillId="43" borderId="40" xfId="0" applyFont="1" applyFill="1" applyBorder="1" applyAlignment="1">
      <alignment horizontal="center" vertical="center"/>
    </xf>
    <xf numFmtId="0" fontId="115" fillId="50" borderId="40" xfId="0" applyFont="1" applyFill="1" applyBorder="1" applyAlignment="1">
      <alignment horizontal="center" vertical="center"/>
    </xf>
    <xf numFmtId="0" fontId="115" fillId="44" borderId="40" xfId="0" applyFont="1" applyFill="1" applyBorder="1" applyAlignment="1">
      <alignment horizontal="center" vertical="center"/>
    </xf>
    <xf numFmtId="0" fontId="115" fillId="24" borderId="40" xfId="0" applyFont="1" applyFill="1" applyBorder="1" applyAlignment="1">
      <alignment horizontal="center" vertical="center"/>
    </xf>
    <xf numFmtId="0" fontId="111" fillId="13" borderId="39" xfId="0" applyFont="1" applyFill="1" applyBorder="1" applyAlignment="1">
      <alignment horizontal="center" vertical="center"/>
    </xf>
    <xf numFmtId="0" fontId="111" fillId="13" borderId="68" xfId="0" applyFont="1" applyFill="1" applyBorder="1" applyAlignment="1">
      <alignment horizontal="left" vertical="center"/>
    </xf>
    <xf numFmtId="0" fontId="115" fillId="43" borderId="39" xfId="0" applyFont="1" applyFill="1" applyBorder="1" applyAlignment="1">
      <alignment horizontal="center" vertical="center"/>
    </xf>
    <xf numFmtId="0" fontId="115" fillId="50" borderId="39" xfId="0" applyFont="1" applyFill="1" applyBorder="1" applyAlignment="1">
      <alignment horizontal="center" vertical="center"/>
    </xf>
    <xf numFmtId="0" fontId="111" fillId="13" borderId="80" xfId="0" applyFont="1" applyFill="1" applyBorder="1" applyAlignment="1">
      <alignment horizontal="center" vertical="center"/>
    </xf>
    <xf numFmtId="0" fontId="115" fillId="14" borderId="80" xfId="0" applyFont="1" applyFill="1" applyBorder="1" applyAlignment="1">
      <alignment horizontal="center" vertical="center" wrapText="1"/>
    </xf>
    <xf numFmtId="0" fontId="110" fillId="14" borderId="40" xfId="0" applyFont="1" applyFill="1" applyBorder="1" applyAlignment="1">
      <alignment horizontal="center" vertical="center" wrapText="1"/>
    </xf>
    <xf numFmtId="0" fontId="110" fillId="0" borderId="7" xfId="0" applyFont="1" applyBorder="1" applyAlignment="1">
      <alignment horizontal="center" vertical="center"/>
    </xf>
    <xf numFmtId="0" fontId="115" fillId="43" borderId="40" xfId="0" applyFont="1" applyFill="1" applyBorder="1" applyAlignment="1">
      <alignment horizontal="center" vertical="center" wrapText="1"/>
    </xf>
    <xf numFmtId="0" fontId="115" fillId="50" borderId="40" xfId="0" applyFont="1" applyFill="1" applyBorder="1" applyAlignment="1">
      <alignment horizontal="center" vertical="center" wrapText="1"/>
    </xf>
    <xf numFmtId="0" fontId="115" fillId="44" borderId="40" xfId="0" applyFont="1" applyFill="1" applyBorder="1" applyAlignment="1">
      <alignment horizontal="center" vertical="center" wrapText="1"/>
    </xf>
    <xf numFmtId="0" fontId="115" fillId="24" borderId="40" xfId="0" applyFont="1" applyFill="1" applyBorder="1" applyAlignment="1">
      <alignment horizontal="center" vertical="center" wrapText="1"/>
    </xf>
    <xf numFmtId="0" fontId="108" fillId="13" borderId="39" xfId="0" applyFont="1" applyFill="1" applyBorder="1" applyAlignment="1">
      <alignment horizontal="center" vertical="center" wrapText="1"/>
    </xf>
    <xf numFmtId="0" fontId="108" fillId="13" borderId="80" xfId="0" applyFont="1" applyFill="1" applyBorder="1" applyAlignment="1">
      <alignment horizontal="center" vertical="center" wrapText="1"/>
    </xf>
    <xf numFmtId="0" fontId="115" fillId="56" borderId="80" xfId="0" applyFont="1" applyFill="1" applyBorder="1" applyAlignment="1">
      <alignment horizontal="center" vertical="center" wrapText="1"/>
    </xf>
    <xf numFmtId="0" fontId="108" fillId="13" borderId="40" xfId="0" applyFont="1" applyFill="1" applyBorder="1" applyAlignment="1">
      <alignment horizontal="center" vertical="center" wrapText="1"/>
    </xf>
    <xf numFmtId="0" fontId="115" fillId="14" borderId="40" xfId="0" applyFont="1" applyFill="1" applyBorder="1" applyAlignment="1">
      <alignment horizontal="center" vertical="center" wrapText="1"/>
    </xf>
    <xf numFmtId="0" fontId="115" fillId="0" borderId="7" xfId="0" applyFont="1" applyBorder="1" applyAlignment="1">
      <alignment horizontal="center" vertical="center" wrapText="1"/>
    </xf>
    <xf numFmtId="0" fontId="115" fillId="55" borderId="40" xfId="0" applyFont="1" applyFill="1" applyBorder="1" applyAlignment="1">
      <alignment horizontal="center" vertical="center"/>
    </xf>
    <xf numFmtId="0" fontId="108" fillId="13" borderId="38" xfId="0" applyFont="1" applyFill="1" applyBorder="1" applyAlignment="1">
      <alignment horizontal="center" vertical="center" wrapText="1"/>
    </xf>
    <xf numFmtId="0" fontId="115" fillId="14" borderId="38" xfId="0" applyFont="1" applyFill="1" applyBorder="1" applyAlignment="1">
      <alignment horizontal="center" vertical="center" wrapText="1"/>
    </xf>
    <xf numFmtId="0" fontId="115" fillId="55" borderId="38" xfId="0" applyFont="1" applyFill="1" applyBorder="1" applyAlignment="1">
      <alignment horizontal="center" vertical="center"/>
    </xf>
    <xf numFmtId="0" fontId="115" fillId="56" borderId="38" xfId="0" applyFont="1" applyFill="1" applyBorder="1" applyAlignment="1">
      <alignment horizontal="center" vertical="center"/>
    </xf>
    <xf numFmtId="0" fontId="115" fillId="44" borderId="38" xfId="0" applyFont="1" applyFill="1" applyBorder="1" applyAlignment="1">
      <alignment horizontal="center" vertical="center"/>
    </xf>
    <xf numFmtId="0" fontId="115" fillId="24" borderId="38" xfId="0" applyFont="1" applyFill="1" applyBorder="1" applyAlignment="1">
      <alignment horizontal="center" vertical="center"/>
    </xf>
    <xf numFmtId="0" fontId="115" fillId="56" borderId="40" xfId="0" applyFont="1" applyFill="1" applyBorder="1" applyAlignment="1">
      <alignment horizontal="center" vertical="center"/>
    </xf>
    <xf numFmtId="0" fontId="115" fillId="14" borderId="39" xfId="0" quotePrefix="1" applyFont="1" applyFill="1" applyBorder="1" applyAlignment="1">
      <alignment horizontal="center" vertical="center" wrapText="1"/>
    </xf>
    <xf numFmtId="0" fontId="115" fillId="0" borderId="7" xfId="0" quotePrefix="1" applyFont="1" applyBorder="1" applyAlignment="1">
      <alignment horizontal="center" vertical="center"/>
    </xf>
    <xf numFmtId="0" fontId="115" fillId="14" borderId="40" xfId="0" quotePrefix="1" applyFont="1" applyFill="1" applyBorder="1" applyAlignment="1">
      <alignment horizontal="center" vertical="center" wrapText="1"/>
    </xf>
    <xf numFmtId="0" fontId="115" fillId="15" borderId="39" xfId="0" applyFont="1" applyFill="1" applyBorder="1" applyAlignment="1">
      <alignment horizontal="center" vertical="center" wrapText="1"/>
    </xf>
    <xf numFmtId="0" fontId="115" fillId="43" borderId="39" xfId="0" applyFont="1" applyFill="1" applyBorder="1" applyAlignment="1">
      <alignment horizontal="center" vertical="center" wrapText="1"/>
    </xf>
    <xf numFmtId="0" fontId="115" fillId="50" borderId="39" xfId="0" applyFont="1" applyFill="1" applyBorder="1" applyAlignment="1">
      <alignment horizontal="center" vertical="center" wrapText="1"/>
    </xf>
    <xf numFmtId="0" fontId="111" fillId="57" borderId="39" xfId="0" applyFont="1" applyFill="1" applyBorder="1" applyAlignment="1">
      <alignment horizontal="center" vertical="center" wrapText="1"/>
    </xf>
    <xf numFmtId="0" fontId="110" fillId="14" borderId="39" xfId="0" applyFont="1" applyFill="1" applyBorder="1" applyAlignment="1">
      <alignment horizontal="center" vertical="center" wrapText="1"/>
    </xf>
    <xf numFmtId="0" fontId="110" fillId="0" borderId="7" xfId="0" applyFont="1" applyBorder="1" applyAlignment="1">
      <alignment horizontal="center" vertical="center" wrapText="1"/>
    </xf>
    <xf numFmtId="0" fontId="108" fillId="57" borderId="80" xfId="0" applyFont="1" applyFill="1" applyBorder="1" applyAlignment="1">
      <alignment horizontal="center" vertical="center" wrapText="1"/>
    </xf>
    <xf numFmtId="0" fontId="108" fillId="57" borderId="40" xfId="0" applyFont="1" applyFill="1" applyBorder="1" applyAlignment="1">
      <alignment horizontal="center" vertical="center" wrapText="1"/>
    </xf>
    <xf numFmtId="173" fontId="123" fillId="58" borderId="0" xfId="0" applyNumberFormat="1" applyFont="1" applyFill="1" applyAlignment="1">
      <alignment horizontal="left" vertical="top"/>
    </xf>
    <xf numFmtId="173" fontId="126" fillId="0" borderId="0" xfId="0" applyNumberFormat="1" applyFont="1" applyAlignment="1">
      <alignment horizontal="left" vertical="top"/>
    </xf>
    <xf numFmtId="0" fontId="132" fillId="0" borderId="12" xfId="14" applyFont="1" applyBorder="1"/>
    <xf numFmtId="0" fontId="133" fillId="60" borderId="12" xfId="14" applyFont="1" applyFill="1" applyBorder="1" applyAlignment="1">
      <alignment wrapText="1"/>
    </xf>
    <xf numFmtId="0" fontId="133" fillId="61" borderId="14" xfId="14" applyFont="1" applyFill="1" applyBorder="1" applyAlignment="1">
      <alignment horizontal="center" vertical="center" wrapText="1"/>
    </xf>
    <xf numFmtId="0" fontId="133" fillId="61" borderId="12" xfId="14" applyFont="1" applyFill="1" applyBorder="1" applyAlignment="1">
      <alignment horizontal="center" vertical="center" wrapText="1"/>
    </xf>
    <xf numFmtId="0" fontId="133" fillId="61" borderId="12" xfId="14" applyFont="1" applyFill="1" applyBorder="1" applyAlignment="1">
      <alignment horizontal="center" wrapText="1"/>
    </xf>
    <xf numFmtId="0" fontId="133" fillId="60" borderId="12" xfId="14" applyFont="1" applyFill="1" applyBorder="1" applyAlignment="1">
      <alignment horizontal="center" wrapText="1"/>
    </xf>
    <xf numFmtId="0" fontId="133" fillId="60" borderId="12" xfId="14" applyFont="1" applyFill="1" applyBorder="1" applyAlignment="1">
      <alignment horizontal="center" vertical="center" wrapText="1"/>
    </xf>
    <xf numFmtId="0" fontId="133" fillId="60" borderId="48" xfId="14" applyFont="1" applyFill="1" applyBorder="1" applyAlignment="1">
      <alignment horizontal="center" vertical="center" wrapText="1"/>
    </xf>
    <xf numFmtId="0" fontId="133" fillId="0" borderId="7" xfId="14" applyFont="1" applyAlignment="1">
      <alignment horizontal="center" vertical="center" wrapText="1"/>
    </xf>
    <xf numFmtId="164" fontId="0" fillId="0" borderId="7" xfId="16" applyFont="1"/>
    <xf numFmtId="0" fontId="134" fillId="24" borderId="12" xfId="14" applyFont="1" applyFill="1" applyBorder="1" applyAlignment="1">
      <alignment horizontal="left" vertical="center"/>
    </xf>
    <xf numFmtId="3" fontId="135" fillId="24" borderId="14" xfId="14" applyNumberFormat="1" applyFont="1" applyFill="1" applyBorder="1" applyAlignment="1">
      <alignment horizontal="center" vertical="center" wrapText="1"/>
    </xf>
    <xf numFmtId="3" fontId="134" fillId="24" borderId="12" xfId="14" applyNumberFormat="1" applyFont="1" applyFill="1" applyBorder="1" applyAlignment="1">
      <alignment horizontal="center" vertical="center" wrapText="1"/>
    </xf>
    <xf numFmtId="0" fontId="129" fillId="62" borderId="12" xfId="14" applyFont="1" applyFill="1" applyBorder="1" applyAlignment="1">
      <alignment horizontal="center" vertical="center" wrapText="1"/>
    </xf>
    <xf numFmtId="0" fontId="129" fillId="62" borderId="14" xfId="14" applyFont="1" applyFill="1" applyBorder="1" applyAlignment="1">
      <alignment horizontal="center" vertical="center" wrapText="1"/>
    </xf>
    <xf numFmtId="3" fontId="134" fillId="24" borderId="48" xfId="14" applyNumberFormat="1" applyFont="1" applyFill="1" applyBorder="1" applyAlignment="1">
      <alignment horizontal="center" vertical="center" wrapText="1"/>
    </xf>
    <xf numFmtId="3" fontId="134" fillId="0" borderId="7" xfId="14" applyNumberFormat="1" applyFont="1" applyAlignment="1">
      <alignment horizontal="center" vertical="center" wrapText="1"/>
    </xf>
    <xf numFmtId="3" fontId="134" fillId="41" borderId="14" xfId="14" applyNumberFormat="1" applyFont="1" applyFill="1" applyBorder="1" applyAlignment="1">
      <alignment horizontal="center" vertical="center" wrapText="1"/>
    </xf>
    <xf numFmtId="3" fontId="134" fillId="41" borderId="12" xfId="14" applyNumberFormat="1" applyFont="1" applyFill="1" applyBorder="1" applyAlignment="1">
      <alignment horizontal="center" vertical="center" wrapText="1"/>
    </xf>
    <xf numFmtId="172" fontId="134" fillId="24" borderId="12" xfId="14" applyNumberFormat="1" applyFont="1" applyFill="1" applyBorder="1" applyAlignment="1">
      <alignment horizontal="center"/>
    </xf>
    <xf numFmtId="172" fontId="134" fillId="24" borderId="48" xfId="14" applyNumberFormat="1" applyFont="1" applyFill="1" applyBorder="1" applyAlignment="1">
      <alignment horizontal="center"/>
    </xf>
    <xf numFmtId="172" fontId="134" fillId="0" borderId="7" xfId="14" applyNumberFormat="1" applyFont="1" applyAlignment="1">
      <alignment horizontal="center"/>
    </xf>
    <xf numFmtId="3" fontId="134" fillId="24" borderId="14" xfId="14" applyNumberFormat="1" applyFont="1" applyFill="1" applyBorder="1" applyAlignment="1">
      <alignment horizontal="center" vertical="center" wrapText="1"/>
    </xf>
    <xf numFmtId="0" fontId="82" fillId="0" borderId="12" xfId="14" applyFont="1" applyBorder="1" applyAlignment="1">
      <alignment horizontal="left" vertical="center"/>
    </xf>
    <xf numFmtId="0" fontId="82" fillId="0" borderId="14" xfId="14" applyFont="1" applyBorder="1" applyAlignment="1">
      <alignment horizontal="center" vertical="center"/>
    </xf>
    <xf numFmtId="0" fontId="82" fillId="0" borderId="12" xfId="14" applyFont="1" applyBorder="1" applyAlignment="1">
      <alignment horizontal="center" vertical="center"/>
    </xf>
    <xf numFmtId="0" fontId="136" fillId="0" borderId="12" xfId="14" applyFont="1" applyBorder="1" applyAlignment="1">
      <alignment horizontal="center" vertical="center"/>
    </xf>
    <xf numFmtId="0" fontId="82" fillId="0" borderId="12" xfId="14" applyFont="1" applyBorder="1" applyAlignment="1">
      <alignment horizontal="center"/>
    </xf>
    <xf numFmtId="0" fontId="66" fillId="0" borderId="12" xfId="14" applyFont="1" applyBorder="1" applyAlignment="1">
      <alignment horizontal="center"/>
    </xf>
    <xf numFmtId="0" fontId="82" fillId="0" borderId="48" xfId="14" applyFont="1" applyBorder="1" applyAlignment="1">
      <alignment horizontal="center"/>
    </xf>
    <xf numFmtId="0" fontId="82" fillId="0" borderId="7" xfId="14" applyFont="1" applyAlignment="1">
      <alignment horizontal="center"/>
    </xf>
    <xf numFmtId="0" fontId="137" fillId="0" borderId="12" xfId="14" applyFont="1" applyBorder="1" applyAlignment="1">
      <alignment horizontal="center" vertical="center"/>
    </xf>
    <xf numFmtId="0" fontId="136" fillId="0" borderId="21" xfId="14" applyFont="1" applyBorder="1" applyAlignment="1">
      <alignment horizontal="center" vertical="center"/>
    </xf>
    <xf numFmtId="0" fontId="82" fillId="0" borderId="14" xfId="14" applyFont="1" applyBorder="1" applyAlignment="1">
      <alignment horizontal="center" vertical="center" wrapText="1"/>
    </xf>
    <xf numFmtId="0" fontId="82" fillId="0" borderId="12" xfId="14" applyFont="1" applyBorder="1" applyAlignment="1">
      <alignment horizontal="center" vertical="center" wrapText="1"/>
    </xf>
    <xf numFmtId="0" fontId="82" fillId="0" borderId="12" xfId="14" applyFont="1" applyBorder="1" applyAlignment="1">
      <alignment horizontal="left" vertical="center" wrapText="1"/>
    </xf>
    <xf numFmtId="0" fontId="45" fillId="0" borderId="12" xfId="14" applyFont="1" applyBorder="1" applyAlignment="1">
      <alignment horizontal="center" vertical="center" wrapText="1"/>
    </xf>
    <xf numFmtId="0" fontId="136" fillId="0" borderId="21" xfId="14" applyFont="1" applyBorder="1" applyAlignment="1">
      <alignment horizontal="center" vertical="center" wrapText="1"/>
    </xf>
    <xf numFmtId="0" fontId="66" fillId="0" borderId="12" xfId="14" applyFont="1" applyBorder="1" applyAlignment="1">
      <alignment horizontal="center" vertical="center" wrapText="1"/>
    </xf>
    <xf numFmtId="0" fontId="82" fillId="0" borderId="48" xfId="14" applyFont="1" applyBorder="1" applyAlignment="1">
      <alignment horizontal="center" vertical="center" wrapText="1"/>
    </xf>
    <xf numFmtId="0" fontId="82" fillId="0" borderId="7" xfId="14" applyFont="1" applyAlignment="1">
      <alignment horizontal="center" vertical="center" wrapText="1"/>
    </xf>
    <xf numFmtId="0" fontId="142" fillId="0" borderId="12" xfId="14" applyFont="1" applyBorder="1" applyAlignment="1">
      <alignment horizontal="left" vertical="center" wrapText="1"/>
    </xf>
    <xf numFmtId="0" fontId="45" fillId="0" borderId="21" xfId="14" applyFont="1" applyBorder="1" applyAlignment="1">
      <alignment horizontal="center" vertical="center" wrapText="1"/>
    </xf>
    <xf numFmtId="0" fontId="82" fillId="41" borderId="12" xfId="14" applyFont="1" applyFill="1" applyBorder="1" applyAlignment="1">
      <alignment horizontal="center" vertical="center" wrapText="1"/>
    </xf>
    <xf numFmtId="0" fontId="136" fillId="0" borderId="12" xfId="14" applyFont="1" applyBorder="1" applyAlignment="1">
      <alignment horizontal="center" vertical="center" wrapText="1"/>
    </xf>
    <xf numFmtId="0" fontId="27" fillId="0" borderId="14" xfId="14" applyFont="1" applyBorder="1" applyAlignment="1">
      <alignment horizontal="center" vertical="center" wrapText="1"/>
    </xf>
    <xf numFmtId="0" fontId="66" fillId="0" borderId="14" xfId="14" applyFont="1" applyBorder="1" applyAlignment="1">
      <alignment horizontal="left" vertical="center" wrapText="1"/>
    </xf>
    <xf numFmtId="0" fontId="28" fillId="0" borderId="12" xfId="14" applyFont="1" applyBorder="1" applyAlignment="1">
      <alignment horizontal="left" vertical="center" wrapText="1"/>
    </xf>
    <xf numFmtId="0" fontId="66" fillId="0" borderId="48" xfId="14" applyFont="1" applyBorder="1" applyAlignment="1">
      <alignment horizontal="center" vertical="center" wrapText="1"/>
    </xf>
    <xf numFmtId="0" fontId="66" fillId="0" borderId="7" xfId="14" applyFont="1" applyAlignment="1">
      <alignment horizontal="center" vertical="center" wrapText="1"/>
    </xf>
    <xf numFmtId="0" fontId="142" fillId="0" borderId="14" xfId="14" applyFont="1" applyBorder="1" applyAlignment="1">
      <alignment horizontal="center" vertical="center"/>
    </xf>
    <xf numFmtId="0" fontId="142" fillId="0" borderId="12" xfId="14" applyFont="1" applyBorder="1" applyAlignment="1">
      <alignment horizontal="center" vertical="center"/>
    </xf>
    <xf numFmtId="0" fontId="45" fillId="0" borderId="14" xfId="14" applyFont="1" applyBorder="1" applyAlignment="1">
      <alignment horizontal="center" vertical="center" wrapText="1"/>
    </xf>
    <xf numFmtId="0" fontId="142" fillId="0" borderId="12" xfId="14" applyFont="1" applyBorder="1" applyAlignment="1">
      <alignment horizontal="center" vertical="center" wrapText="1"/>
    </xf>
    <xf numFmtId="0" fontId="142" fillId="41" borderId="12" xfId="14" applyFont="1" applyFill="1" applyBorder="1" applyAlignment="1">
      <alignment horizontal="center" vertical="center"/>
    </xf>
    <xf numFmtId="0" fontId="142" fillId="0" borderId="48" xfId="14" applyFont="1" applyBorder="1" applyAlignment="1">
      <alignment horizontal="center" vertical="center" wrapText="1"/>
    </xf>
    <xf numFmtId="0" fontId="142" fillId="0" borderId="7" xfId="14" applyFont="1" applyAlignment="1">
      <alignment horizontal="center" vertical="center" wrapText="1"/>
    </xf>
    <xf numFmtId="0" fontId="82" fillId="0" borderId="12" xfId="14" applyFont="1" applyBorder="1" applyAlignment="1">
      <alignment horizontal="left" wrapText="1"/>
    </xf>
    <xf numFmtId="0" fontId="82" fillId="0" borderId="12" xfId="14" applyFont="1" applyBorder="1" applyAlignment="1">
      <alignment horizontal="center" wrapText="1"/>
    </xf>
    <xf numFmtId="0" fontId="66" fillId="0" borderId="14" xfId="14" applyFont="1" applyBorder="1" applyAlignment="1">
      <alignment horizontal="center" vertical="center" wrapText="1"/>
    </xf>
    <xf numFmtId="0" fontId="148" fillId="0" borderId="0" xfId="0" applyFont="1" applyAlignment="1">
      <alignment vertical="top"/>
    </xf>
    <xf numFmtId="0" fontId="133" fillId="60" borderId="12" xfId="14" applyFont="1" applyFill="1" applyBorder="1" applyAlignment="1">
      <alignment vertical="top" wrapText="1"/>
    </xf>
    <xf numFmtId="0" fontId="134" fillId="24" borderId="12" xfId="14" applyFont="1" applyFill="1" applyBorder="1" applyAlignment="1">
      <alignment horizontal="left" vertical="top"/>
    </xf>
    <xf numFmtId="0" fontId="133" fillId="61" borderId="14" xfId="14" applyFont="1" applyFill="1" applyBorder="1" applyAlignment="1">
      <alignment horizontal="center" vertical="top" wrapText="1"/>
    </xf>
    <xf numFmtId="0" fontId="0" fillId="0" borderId="7" xfId="0" applyBorder="1" applyAlignment="1">
      <alignment vertical="top"/>
    </xf>
    <xf numFmtId="0" fontId="123" fillId="0" borderId="12" xfId="17" applyFont="1" applyBorder="1"/>
    <xf numFmtId="3" fontId="123" fillId="0" borderId="12" xfId="17" applyNumberFormat="1" applyFont="1" applyBorder="1" applyAlignment="1">
      <alignment horizontal="center"/>
    </xf>
    <xf numFmtId="0" fontId="129" fillId="24" borderId="12" xfId="17" applyFont="1" applyFill="1" applyBorder="1" applyAlignment="1">
      <alignment horizontal="center" vertical="center" wrapText="1"/>
    </xf>
    <xf numFmtId="3" fontId="0" fillId="0" borderId="12" xfId="19" applyNumberFormat="1" applyFont="1" applyBorder="1" applyAlignment="1">
      <alignment horizontal="center"/>
    </xf>
    <xf numFmtId="169" fontId="94" fillId="43" borderId="7" xfId="12" applyNumberFormat="1" applyFont="1" applyFill="1" applyBorder="1" applyAlignment="1">
      <alignment horizontal="center" vertical="center" wrapText="1" readingOrder="1"/>
    </xf>
    <xf numFmtId="0" fontId="123" fillId="0" borderId="0" xfId="0" applyFont="1"/>
    <xf numFmtId="15" fontId="123" fillId="0" borderId="0" xfId="0" applyNumberFormat="1" applyFont="1" applyAlignment="1">
      <alignment horizontal="left"/>
    </xf>
    <xf numFmtId="3" fontId="123" fillId="24" borderId="12" xfId="0" applyNumberFormat="1" applyFont="1" applyFill="1" applyBorder="1" applyAlignment="1">
      <alignment horizontal="center" vertical="center" wrapText="1"/>
    </xf>
    <xf numFmtId="165" fontId="123" fillId="24" borderId="12" xfId="0" applyNumberFormat="1" applyFont="1" applyFill="1" applyBorder="1" applyAlignment="1">
      <alignment horizontal="center" vertical="center" wrapText="1"/>
    </xf>
    <xf numFmtId="165" fontId="0" fillId="24" borderId="12" xfId="0" applyNumberFormat="1" applyFill="1" applyBorder="1" applyAlignment="1">
      <alignment horizontal="left" vertical="center" wrapText="1"/>
    </xf>
    <xf numFmtId="0" fontId="126" fillId="60" borderId="12" xfId="0" applyFont="1" applyFill="1" applyBorder="1" applyAlignment="1">
      <alignment horizontal="center" vertical="center" wrapText="1"/>
    </xf>
    <xf numFmtId="0" fontId="123" fillId="24" borderId="12" xfId="0" applyFont="1" applyFill="1" applyBorder="1" applyAlignment="1">
      <alignment horizontal="center" vertical="center"/>
    </xf>
    <xf numFmtId="0" fontId="0" fillId="0" borderId="0" xfId="0" applyAlignment="1">
      <alignment horizontal="center" vertical="center"/>
    </xf>
    <xf numFmtId="9" fontId="89" fillId="0" borderId="7" xfId="5" applyFont="1" applyBorder="1" applyAlignment="1">
      <alignment horizontal="center" vertical="center" wrapText="1"/>
    </xf>
    <xf numFmtId="9" fontId="98" fillId="43" borderId="12" xfId="5" applyFont="1" applyFill="1" applyBorder="1" applyAlignment="1">
      <alignment horizontal="center" vertical="center" wrapText="1"/>
    </xf>
    <xf numFmtId="9" fontId="80" fillId="0" borderId="7" xfId="5" applyFont="1" applyBorder="1" applyAlignment="1">
      <alignment horizontal="center" vertical="center" wrapText="1"/>
    </xf>
    <xf numFmtId="9" fontId="98" fillId="50" borderId="12" xfId="5" applyFont="1" applyFill="1" applyBorder="1" applyAlignment="1">
      <alignment horizontal="center" vertical="center" wrapText="1"/>
    </xf>
    <xf numFmtId="9" fontId="98" fillId="44" borderId="12" xfId="5" applyFont="1" applyFill="1" applyBorder="1" applyAlignment="1">
      <alignment horizontal="center" vertical="center" wrapText="1"/>
    </xf>
    <xf numFmtId="9" fontId="98" fillId="46" borderId="12" xfId="5" applyFont="1" applyFill="1" applyBorder="1" applyAlignment="1">
      <alignment horizontal="center" vertical="center" wrapText="1"/>
    </xf>
    <xf numFmtId="9" fontId="99" fillId="44" borderId="12" xfId="2" applyNumberFormat="1" applyFont="1" applyFill="1" applyBorder="1" applyAlignment="1">
      <alignment horizontal="center" vertical="center" wrapText="1"/>
    </xf>
    <xf numFmtId="0" fontId="136" fillId="0" borderId="22" xfId="0" applyFont="1" applyBorder="1" applyAlignment="1">
      <alignment horizontal="center"/>
    </xf>
    <xf numFmtId="3" fontId="136" fillId="0" borderId="22" xfId="0" applyNumberFormat="1" applyFont="1" applyBorder="1" applyAlignment="1">
      <alignment horizontal="center"/>
    </xf>
    <xf numFmtId="0" fontId="136" fillId="0" borderId="21" xfId="0" applyFont="1" applyBorder="1" applyAlignment="1">
      <alignment horizontal="center"/>
    </xf>
    <xf numFmtId="0" fontId="151" fillId="62" borderId="21" xfId="0" applyFont="1" applyFill="1" applyBorder="1" applyAlignment="1">
      <alignment horizontal="center" wrapText="1"/>
    </xf>
    <xf numFmtId="0" fontId="151" fillId="62" borderId="22" xfId="0" applyFont="1" applyFill="1" applyBorder="1" applyAlignment="1">
      <alignment horizontal="center" wrapText="1"/>
    </xf>
    <xf numFmtId="0" fontId="123" fillId="24" borderId="12" xfId="0" applyFont="1" applyFill="1" applyBorder="1" applyAlignment="1">
      <alignment horizontal="center" vertical="center" wrapText="1"/>
    </xf>
    <xf numFmtId="0" fontId="0" fillId="16" borderId="88" xfId="0" applyFill="1" applyBorder="1" applyAlignment="1">
      <alignment horizontal="center" vertical="center"/>
    </xf>
    <xf numFmtId="0" fontId="0" fillId="64" borderId="88" xfId="0" applyFill="1" applyBorder="1" applyAlignment="1">
      <alignment horizontal="center" vertical="center"/>
    </xf>
    <xf numFmtId="0" fontId="134" fillId="24" borderId="12" xfId="14" applyFont="1" applyFill="1" applyBorder="1" applyAlignment="1">
      <alignment horizontal="left" vertical="top" wrapText="1"/>
    </xf>
    <xf numFmtId="3" fontId="134" fillId="24" borderId="68" xfId="14" applyNumberFormat="1" applyFont="1" applyFill="1" applyBorder="1" applyAlignment="1">
      <alignment horizontal="center" vertical="top" wrapText="1"/>
    </xf>
    <xf numFmtId="0" fontId="129" fillId="62" borderId="48" xfId="14" applyFont="1" applyFill="1" applyBorder="1" applyAlignment="1">
      <alignment horizontal="center" vertical="top" wrapText="1"/>
    </xf>
    <xf numFmtId="0" fontId="0" fillId="16" borderId="89" xfId="0" applyFill="1" applyBorder="1" applyAlignment="1">
      <alignment horizontal="center" vertical="center"/>
    </xf>
    <xf numFmtId="0" fontId="134" fillId="24" borderId="13" xfId="14" applyFont="1" applyFill="1" applyBorder="1" applyAlignment="1">
      <alignment horizontal="left" vertical="top"/>
    </xf>
    <xf numFmtId="0" fontId="153" fillId="50" borderId="2" xfId="0" applyFont="1" applyFill="1" applyBorder="1" applyAlignment="1">
      <alignment horizontal="center" vertical="center"/>
    </xf>
    <xf numFmtId="0" fontId="64" fillId="34" borderId="12" xfId="0" applyFont="1" applyFill="1" applyBorder="1" applyAlignment="1">
      <alignment horizontal="center" vertical="top" wrapText="1"/>
    </xf>
    <xf numFmtId="0" fontId="0" fillId="0" borderId="2" xfId="0" applyBorder="1"/>
    <xf numFmtId="169" fontId="155" fillId="0" borderId="12" xfId="12" applyNumberFormat="1" applyFont="1" applyBorder="1" applyAlignment="1">
      <alignment horizontal="center" vertical="top"/>
    </xf>
    <xf numFmtId="9" fontId="155" fillId="0" borderId="12" xfId="5" applyFont="1" applyBorder="1" applyAlignment="1">
      <alignment horizontal="center" vertical="top"/>
    </xf>
    <xf numFmtId="168" fontId="65" fillId="0" borderId="12" xfId="5" applyNumberFormat="1" applyFont="1" applyBorder="1" applyAlignment="1">
      <alignment horizontal="center" vertical="top"/>
    </xf>
    <xf numFmtId="168" fontId="155" fillId="0" borderId="12" xfId="5" applyNumberFormat="1" applyFont="1" applyBorder="1" applyAlignment="1">
      <alignment horizontal="center" vertical="top"/>
    </xf>
    <xf numFmtId="0" fontId="155" fillId="0" borderId="12" xfId="0" applyFont="1" applyBorder="1" applyAlignment="1">
      <alignment horizontal="center" vertical="top"/>
    </xf>
    <xf numFmtId="168" fontId="156" fillId="0" borderId="12" xfId="5" applyNumberFormat="1" applyFont="1" applyBorder="1" applyAlignment="1">
      <alignment horizontal="center" vertical="top"/>
    </xf>
    <xf numFmtId="9" fontId="154" fillId="0" borderId="12" xfId="5" applyFont="1" applyBorder="1" applyAlignment="1">
      <alignment horizontal="center" vertical="top"/>
    </xf>
    <xf numFmtId="0" fontId="65" fillId="0" borderId="12" xfId="0" applyFont="1" applyBorder="1" applyAlignment="1">
      <alignment horizontal="center" vertical="top" wrapText="1"/>
    </xf>
    <xf numFmtId="0" fontId="0" fillId="0" borderId="0" xfId="0" applyAlignment="1">
      <alignment horizontal="center"/>
    </xf>
    <xf numFmtId="0" fontId="149" fillId="0" borderId="7" xfId="0" applyFont="1" applyBorder="1" applyAlignment="1">
      <alignment horizontal="center" vertical="center"/>
    </xf>
    <xf numFmtId="0" fontId="61" fillId="9" borderId="12" xfId="4" applyFill="1" applyBorder="1" applyAlignment="1">
      <alignment horizontal="center" vertical="center" wrapText="1"/>
    </xf>
    <xf numFmtId="49" fontId="61" fillId="9" borderId="12" xfId="4" applyNumberFormat="1" applyFill="1" applyBorder="1" applyAlignment="1" applyProtection="1">
      <alignment horizontal="center" vertical="center" wrapText="1"/>
    </xf>
    <xf numFmtId="0" fontId="61" fillId="9" borderId="2" xfId="4" applyFill="1" applyBorder="1" applyAlignment="1">
      <alignment horizontal="center" vertical="center"/>
    </xf>
    <xf numFmtId="0" fontId="123" fillId="50"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64" fillId="35" borderId="48" xfId="0" applyFont="1" applyFill="1" applyBorder="1" applyAlignment="1">
      <alignment horizontal="center" vertical="top"/>
    </xf>
    <xf numFmtId="0" fontId="65" fillId="0" borderId="13" xfId="0" applyFont="1" applyBorder="1" applyAlignment="1">
      <alignment horizontal="center" vertical="top"/>
    </xf>
    <xf numFmtId="9" fontId="154" fillId="0" borderId="13" xfId="5" applyFont="1" applyBorder="1" applyAlignment="1">
      <alignment horizontal="center" vertical="top"/>
    </xf>
    <xf numFmtId="0" fontId="155" fillId="0" borderId="13" xfId="0" applyFont="1" applyBorder="1" applyAlignment="1">
      <alignment horizontal="center" vertical="top"/>
    </xf>
    <xf numFmtId="168" fontId="65" fillId="0" borderId="13" xfId="5" applyNumberFormat="1" applyFont="1" applyBorder="1" applyAlignment="1">
      <alignment horizontal="center" vertical="top"/>
    </xf>
    <xf numFmtId="168" fontId="155" fillId="0" borderId="13" xfId="5" applyNumberFormat="1" applyFont="1" applyBorder="1" applyAlignment="1">
      <alignment horizontal="center" vertical="top"/>
    </xf>
    <xf numFmtId="0" fontId="0" fillId="0" borderId="2" xfId="0" applyBorder="1" applyAlignment="1">
      <alignment horizontal="center"/>
    </xf>
    <xf numFmtId="49" fontId="61" fillId="9" borderId="13" xfId="4" applyNumberFormat="1" applyFill="1" applyBorder="1" applyAlignment="1" applyProtection="1">
      <alignment horizontal="center" vertical="center" wrapText="1"/>
    </xf>
    <xf numFmtId="49" fontId="61" fillId="9" borderId="21" xfId="4" applyNumberFormat="1" applyFill="1" applyBorder="1" applyAlignment="1" applyProtection="1">
      <alignment horizontal="center" vertical="center" wrapText="1"/>
    </xf>
    <xf numFmtId="9" fontId="65" fillId="9" borderId="12" xfId="5" applyFont="1" applyFill="1" applyBorder="1" applyAlignment="1">
      <alignment horizontal="center" vertical="center"/>
    </xf>
    <xf numFmtId="0" fontId="0" fillId="0" borderId="12" xfId="0" applyBorder="1" applyAlignment="1">
      <alignment horizontal="center" vertical="center" wrapText="1"/>
    </xf>
    <xf numFmtId="9" fontId="19" fillId="2" borderId="12" xfId="0" applyNumberFormat="1" applyFont="1" applyFill="1" applyBorder="1" applyAlignment="1">
      <alignment horizontal="center" vertical="center" wrapText="1"/>
    </xf>
    <xf numFmtId="9" fontId="20" fillId="0" borderId="12" xfId="0" applyNumberFormat="1" applyFont="1" applyBorder="1" applyAlignment="1">
      <alignment horizontal="left" vertical="center" wrapText="1"/>
    </xf>
    <xf numFmtId="9" fontId="20" fillId="0" borderId="12" xfId="0" applyNumberFormat="1" applyFont="1" applyBorder="1" applyAlignment="1">
      <alignment horizontal="left" vertical="center"/>
    </xf>
    <xf numFmtId="9" fontId="20" fillId="33" borderId="12" xfId="0" applyNumberFormat="1" applyFont="1" applyFill="1" applyBorder="1" applyAlignment="1">
      <alignment horizontal="left" vertical="center"/>
    </xf>
    <xf numFmtId="9" fontId="13" fillId="2" borderId="12" xfId="0" applyNumberFormat="1" applyFont="1" applyFill="1" applyBorder="1" applyAlignment="1">
      <alignment horizontal="center" vertical="center" wrapText="1"/>
    </xf>
    <xf numFmtId="9" fontId="10" fillId="0" borderId="12" xfId="0" applyNumberFormat="1" applyFont="1" applyBorder="1" applyAlignment="1">
      <alignment horizontal="center" vertical="center"/>
    </xf>
    <xf numFmtId="9" fontId="10" fillId="0" borderId="12" xfId="0" applyNumberFormat="1" applyFont="1" applyBorder="1" applyAlignment="1">
      <alignment horizontal="center" vertical="center" wrapText="1"/>
    </xf>
    <xf numFmtId="9" fontId="10" fillId="0" borderId="12" xfId="0" quotePrefix="1" applyNumberFormat="1" applyFont="1" applyBorder="1" applyAlignment="1">
      <alignment horizontal="center" vertical="center"/>
    </xf>
    <xf numFmtId="9" fontId="10" fillId="7" borderId="12" xfId="0" applyNumberFormat="1" applyFont="1" applyFill="1" applyBorder="1" applyAlignment="1">
      <alignment horizontal="center" vertical="center"/>
    </xf>
    <xf numFmtId="9" fontId="12" fillId="0" borderId="12" xfId="0" applyNumberFormat="1" applyFont="1" applyBorder="1" applyAlignment="1">
      <alignment horizontal="center" vertical="center" wrapText="1"/>
    </xf>
    <xf numFmtId="1" fontId="10" fillId="0" borderId="12" xfId="0" applyNumberFormat="1" applyFont="1" applyBorder="1" applyAlignment="1">
      <alignment horizontal="center" vertical="center" wrapText="1"/>
    </xf>
    <xf numFmtId="9" fontId="10" fillId="6" borderId="12" xfId="0" applyNumberFormat="1" applyFont="1" applyFill="1" applyBorder="1" applyAlignment="1">
      <alignment horizontal="center" vertical="center"/>
    </xf>
    <xf numFmtId="9" fontId="16" fillId="0" borderId="12" xfId="0" applyNumberFormat="1" applyFont="1" applyBorder="1" applyAlignment="1">
      <alignment horizontal="center" vertical="center" wrapText="1"/>
    </xf>
    <xf numFmtId="9" fontId="17" fillId="0" borderId="12" xfId="0" applyNumberFormat="1" applyFont="1" applyBorder="1" applyAlignment="1">
      <alignment horizontal="center" vertical="center" wrapText="1"/>
    </xf>
    <xf numFmtId="9" fontId="15" fillId="0" borderId="12" xfId="0" applyNumberFormat="1" applyFont="1" applyBorder="1" applyAlignment="1">
      <alignment horizontal="center" vertical="center"/>
    </xf>
    <xf numFmtId="9" fontId="15" fillId="0" borderId="12" xfId="0" applyNumberFormat="1" applyFont="1" applyBorder="1" applyAlignment="1">
      <alignment horizontal="center" vertical="center" wrapText="1"/>
    </xf>
    <xf numFmtId="0" fontId="13" fillId="2" borderId="12" xfId="0" applyFont="1" applyFill="1" applyBorder="1" applyAlignment="1">
      <alignment horizontal="center" vertical="center" wrapText="1"/>
    </xf>
    <xf numFmtId="0" fontId="21" fillId="0" borderId="12" xfId="0" applyFont="1" applyBorder="1" applyAlignment="1">
      <alignment horizontal="center" vertical="center" wrapText="1"/>
    </xf>
    <xf numFmtId="9" fontId="17" fillId="0" borderId="12" xfId="0" applyNumberFormat="1" applyFont="1" applyBorder="1" applyAlignment="1">
      <alignment horizontal="center" vertical="center"/>
    </xf>
    <xf numFmtId="1" fontId="10" fillId="0" borderId="12" xfId="0" applyNumberFormat="1" applyFont="1" applyBorder="1" applyAlignment="1">
      <alignment horizontal="center" vertical="center"/>
    </xf>
    <xf numFmtId="0" fontId="10" fillId="7" borderId="12" xfId="0" applyFont="1" applyFill="1" applyBorder="1" applyAlignment="1">
      <alignment horizontal="center" vertical="center"/>
    </xf>
    <xf numFmtId="0" fontId="22" fillId="0" borderId="12" xfId="0" applyFont="1" applyBorder="1" applyAlignment="1">
      <alignment horizontal="center" vertical="center" wrapText="1"/>
    </xf>
    <xf numFmtId="0" fontId="12" fillId="64" borderId="12" xfId="0" applyFont="1" applyFill="1" applyBorder="1" applyAlignment="1">
      <alignment wrapText="1"/>
    </xf>
    <xf numFmtId="0" fontId="157" fillId="60" borderId="12" xfId="0" applyFont="1" applyFill="1" applyBorder="1" applyAlignment="1">
      <alignment horizontal="center"/>
    </xf>
    <xf numFmtId="0" fontId="0" fillId="0" borderId="12" xfId="0" applyBorder="1"/>
    <xf numFmtId="0" fontId="159" fillId="0" borderId="12" xfId="0" applyFont="1" applyBorder="1" applyAlignment="1">
      <alignment horizontal="center" vertical="center" wrapText="1"/>
    </xf>
    <xf numFmtId="9" fontId="20" fillId="0" borderId="12" xfId="0" applyNumberFormat="1" applyFont="1" applyBorder="1" applyAlignment="1">
      <alignment horizontal="center" vertical="center"/>
    </xf>
    <xf numFmtId="0" fontId="0" fillId="0" borderId="7" xfId="0" applyBorder="1" applyAlignment="1">
      <alignment vertical="center"/>
    </xf>
    <xf numFmtId="0" fontId="0" fillId="0" borderId="0" xfId="0" applyAlignment="1">
      <alignment vertical="center"/>
    </xf>
    <xf numFmtId="0" fontId="64" fillId="34" borderId="12" xfId="0" applyFont="1" applyFill="1" applyBorder="1" applyAlignment="1">
      <alignment horizontal="center" vertical="center" wrapText="1"/>
    </xf>
    <xf numFmtId="170" fontId="64" fillId="34" borderId="12" xfId="12" applyNumberFormat="1" applyFont="1" applyFill="1" applyBorder="1" applyAlignment="1">
      <alignment horizontal="center" vertical="center" wrapText="1"/>
    </xf>
    <xf numFmtId="9" fontId="64" fillId="34" borderId="12" xfId="5" applyFont="1" applyFill="1" applyBorder="1" applyAlignment="1">
      <alignment horizontal="center" vertical="center" wrapText="1"/>
    </xf>
    <xf numFmtId="0" fontId="64" fillId="35" borderId="12" xfId="0" applyFont="1" applyFill="1" applyBorder="1" applyAlignment="1">
      <alignment horizontal="center" vertical="center"/>
    </xf>
    <xf numFmtId="49" fontId="65" fillId="0" borderId="12" xfId="0" quotePrefix="1" applyNumberFormat="1" applyFont="1" applyBorder="1" applyAlignment="1">
      <alignment horizontal="center" vertical="center"/>
    </xf>
    <xf numFmtId="0" fontId="65" fillId="0" borderId="12" xfId="0" applyFont="1" applyBorder="1" applyAlignment="1">
      <alignment horizontal="center" vertical="center"/>
    </xf>
    <xf numFmtId="0" fontId="0" fillId="0" borderId="12" xfId="0" applyBorder="1" applyAlignment="1">
      <alignment horizontal="center" vertical="center"/>
    </xf>
    <xf numFmtId="9" fontId="0" fillId="0" borderId="12" xfId="0" applyNumberFormat="1" applyBorder="1" applyAlignment="1">
      <alignment horizontal="center" vertical="center"/>
    </xf>
    <xf numFmtId="0" fontId="65" fillId="0" borderId="12" xfId="0" applyFont="1" applyBorder="1" applyAlignment="1">
      <alignment vertical="center"/>
    </xf>
    <xf numFmtId="9" fontId="136" fillId="9" borderId="12" xfId="5" applyFont="1" applyFill="1" applyBorder="1" applyAlignment="1">
      <alignment horizontal="center" vertical="center"/>
    </xf>
    <xf numFmtId="0" fontId="61" fillId="0" borderId="0" xfId="4" applyAlignment="1">
      <alignment vertical="center"/>
    </xf>
    <xf numFmtId="0" fontId="65" fillId="9" borderId="12" xfId="0" applyFont="1" applyFill="1" applyBorder="1" applyAlignment="1">
      <alignment horizontal="center" vertical="center"/>
    </xf>
    <xf numFmtId="16" fontId="0" fillId="9" borderId="12" xfId="0" applyNumberFormat="1" applyFill="1" applyBorder="1" applyAlignment="1">
      <alignment horizontal="center" vertical="center"/>
    </xf>
    <xf numFmtId="0" fontId="65" fillId="0" borderId="12" xfId="0" applyFont="1" applyBorder="1" applyAlignment="1">
      <alignment vertical="center" wrapText="1"/>
    </xf>
    <xf numFmtId="0" fontId="65" fillId="9" borderId="13" xfId="0" applyFont="1" applyFill="1" applyBorder="1" applyAlignment="1">
      <alignment horizontal="center" vertical="center" wrapText="1"/>
    </xf>
    <xf numFmtId="0" fontId="65" fillId="0" borderId="13" xfId="0" applyFont="1" applyBorder="1" applyAlignment="1">
      <alignment vertical="center" wrapText="1"/>
    </xf>
    <xf numFmtId="9" fontId="10" fillId="0" borderId="7" xfId="0" applyNumberFormat="1" applyFont="1" applyBorder="1" applyAlignment="1">
      <alignment vertical="center"/>
    </xf>
    <xf numFmtId="9" fontId="0" fillId="0" borderId="13" xfId="0" applyNumberFormat="1" applyBorder="1" applyAlignment="1">
      <alignment horizontal="center" vertical="center"/>
    </xf>
    <xf numFmtId="9" fontId="0" fillId="0" borderId="2" xfId="0" applyNumberFormat="1" applyBorder="1" applyAlignment="1">
      <alignment horizontal="center" vertical="center"/>
    </xf>
    <xf numFmtId="0" fontId="0" fillId="0" borderId="14" xfId="0" applyBorder="1" applyAlignment="1">
      <alignment horizontal="center" vertical="center"/>
    </xf>
    <xf numFmtId="0" fontId="64" fillId="35" borderId="13" xfId="0" applyFont="1" applyFill="1" applyBorder="1" applyAlignment="1">
      <alignment horizontal="center" vertical="center"/>
    </xf>
    <xf numFmtId="0" fontId="64" fillId="0" borderId="13" xfId="0" applyFont="1" applyBorder="1" applyAlignment="1">
      <alignment horizontal="center" vertical="center"/>
    </xf>
    <xf numFmtId="0" fontId="0" fillId="0" borderId="13" xfId="0" applyBorder="1" applyAlignment="1">
      <alignment horizontal="center" vertical="center"/>
    </xf>
    <xf numFmtId="49" fontId="61" fillId="9" borderId="13" xfId="4" applyNumberFormat="1" applyFill="1" applyBorder="1" applyAlignment="1">
      <alignment horizontal="center" vertical="center"/>
    </xf>
    <xf numFmtId="0" fontId="0" fillId="0" borderId="7" xfId="0" applyBorder="1" applyAlignment="1">
      <alignment horizontal="center" vertical="center"/>
    </xf>
    <xf numFmtId="0" fontId="64" fillId="35" borderId="3" xfId="0" applyFont="1" applyFill="1" applyBorder="1" applyAlignment="1">
      <alignment horizontal="center" vertical="center"/>
    </xf>
    <xf numFmtId="49" fontId="65" fillId="0" borderId="3" xfId="0" applyNumberFormat="1" applyFont="1" applyBorder="1" applyAlignment="1">
      <alignment horizontal="center" vertical="center"/>
    </xf>
    <xf numFmtId="0" fontId="65" fillId="0" borderId="3" xfId="0" applyFont="1" applyBorder="1" applyAlignment="1">
      <alignment horizontal="center" vertical="center"/>
    </xf>
    <xf numFmtId="0" fontId="61" fillId="9" borderId="3" xfId="4" applyFill="1" applyBorder="1" applyAlignment="1">
      <alignment horizontal="center" vertical="center"/>
    </xf>
    <xf numFmtId="9" fontId="0" fillId="0" borderId="3" xfId="0" applyNumberFormat="1" applyBorder="1" applyAlignment="1">
      <alignment horizontal="center" vertical="center"/>
    </xf>
    <xf numFmtId="0" fontId="0" fillId="0" borderId="3" xfId="0" applyBorder="1" applyAlignment="1">
      <alignment vertical="center"/>
    </xf>
    <xf numFmtId="0" fontId="64" fillId="35" borderId="2" xfId="0" applyFont="1" applyFill="1" applyBorder="1" applyAlignment="1">
      <alignment horizontal="center" vertical="center"/>
    </xf>
    <xf numFmtId="0" fontId="0" fillId="0" borderId="2" xfId="0" applyBorder="1" applyAlignment="1">
      <alignment vertical="center"/>
    </xf>
    <xf numFmtId="49" fontId="65" fillId="0" borderId="2" xfId="0" applyNumberFormat="1" applyFont="1" applyBorder="1" applyAlignment="1">
      <alignment horizontal="center" vertical="center"/>
    </xf>
    <xf numFmtId="0" fontId="65" fillId="0" borderId="2" xfId="0" applyFont="1" applyBorder="1" applyAlignment="1">
      <alignment horizontal="center" vertical="center"/>
    </xf>
    <xf numFmtId="0" fontId="0" fillId="0" borderId="2" xfId="0" applyBorder="1" applyAlignment="1">
      <alignment horizontal="center" vertical="center"/>
    </xf>
    <xf numFmtId="0" fontId="64" fillId="35" borderId="90" xfId="0" applyFont="1" applyFill="1" applyBorder="1" applyAlignment="1">
      <alignment horizontal="center" vertical="center"/>
    </xf>
    <xf numFmtId="0" fontId="0" fillId="0" borderId="90" xfId="0" applyBorder="1" applyAlignment="1">
      <alignment vertical="center"/>
    </xf>
    <xf numFmtId="49" fontId="65" fillId="0" borderId="90" xfId="0" applyNumberFormat="1" applyFont="1" applyBorder="1" applyAlignment="1">
      <alignment horizontal="center" vertical="center"/>
    </xf>
    <xf numFmtId="0" fontId="65" fillId="0" borderId="90" xfId="0" applyFont="1" applyBorder="1" applyAlignment="1">
      <alignment horizontal="center" vertical="center"/>
    </xf>
    <xf numFmtId="0" fontId="0" fillId="0" borderId="19" xfId="0" applyBorder="1" applyAlignment="1">
      <alignment horizontal="center" vertical="center"/>
    </xf>
    <xf numFmtId="0" fontId="61" fillId="9" borderId="90" xfId="4" applyFill="1" applyBorder="1" applyAlignment="1">
      <alignment horizontal="center" vertical="center"/>
    </xf>
    <xf numFmtId="9" fontId="0" fillId="0" borderId="90" xfId="0" applyNumberFormat="1" applyBorder="1" applyAlignment="1">
      <alignment horizontal="center" vertical="center"/>
    </xf>
    <xf numFmtId="170" fontId="0" fillId="0" borderId="0" xfId="12" applyNumberFormat="1" applyFont="1" applyAlignment="1">
      <alignment vertical="center"/>
    </xf>
    <xf numFmtId="9" fontId="0" fillId="0" borderId="0" xfId="5" applyFont="1" applyAlignment="1">
      <alignment horizontal="center" vertical="center"/>
    </xf>
    <xf numFmtId="3" fontId="61" fillId="9" borderId="2" xfId="4" applyNumberFormat="1" applyFill="1" applyBorder="1" applyAlignment="1">
      <alignment horizontal="center" vertical="center"/>
    </xf>
    <xf numFmtId="0" fontId="126" fillId="60" borderId="12" xfId="0" applyFont="1" applyFill="1" applyBorder="1" applyAlignment="1">
      <alignment horizontal="center" vertical="center"/>
    </xf>
    <xf numFmtId="9" fontId="21" fillId="0" borderId="0" xfId="0" applyNumberFormat="1" applyFont="1" applyAlignment="1">
      <alignment horizontal="center" vertical="center" wrapText="1"/>
    </xf>
    <xf numFmtId="0" fontId="148" fillId="0" borderId="0" xfId="0" applyFont="1" applyAlignment="1">
      <alignment vertical="top" wrapText="1"/>
    </xf>
    <xf numFmtId="0" fontId="0" fillId="0" borderId="0" xfId="0" applyAlignment="1">
      <alignment vertical="top" wrapText="1"/>
    </xf>
    <xf numFmtId="0" fontId="64" fillId="70" borderId="12" xfId="0" applyFont="1" applyFill="1" applyBorder="1" applyAlignment="1">
      <alignment horizontal="center" vertical="center" wrapText="1"/>
    </xf>
    <xf numFmtId="9" fontId="0" fillId="9" borderId="12" xfId="0" applyNumberFormat="1" applyFill="1" applyBorder="1" applyAlignment="1">
      <alignment horizontal="center" vertical="center"/>
    </xf>
    <xf numFmtId="0" fontId="123" fillId="24" borderId="14" xfId="0" applyFont="1" applyFill="1" applyBorder="1" applyAlignment="1">
      <alignment horizontal="center" vertical="center"/>
    </xf>
    <xf numFmtId="165" fontId="123" fillId="24" borderId="21" xfId="0" applyNumberFormat="1" applyFont="1" applyFill="1" applyBorder="1" applyAlignment="1">
      <alignment horizontal="center" vertical="center" wrapText="1"/>
    </xf>
    <xf numFmtId="0" fontId="160" fillId="24" borderId="12" xfId="0" applyFont="1" applyFill="1" applyBorder="1" applyAlignment="1">
      <alignment horizontal="center" vertical="center" wrapText="1"/>
    </xf>
    <xf numFmtId="0" fontId="160" fillId="24" borderId="14" xfId="0" applyFont="1" applyFill="1" applyBorder="1" applyAlignment="1">
      <alignment horizontal="center" vertical="center" wrapText="1"/>
    </xf>
    <xf numFmtId="49" fontId="154" fillId="9" borderId="3" xfId="0" applyNumberFormat="1" applyFont="1" applyFill="1" applyBorder="1" applyAlignment="1">
      <alignment horizontal="center" vertical="center"/>
    </xf>
    <xf numFmtId="49" fontId="154" fillId="9" borderId="12" xfId="0" applyNumberFormat="1" applyFont="1" applyFill="1" applyBorder="1" applyAlignment="1">
      <alignment horizontal="center" vertical="center"/>
    </xf>
    <xf numFmtId="9" fontId="154" fillId="9" borderId="2" xfId="5" applyFont="1" applyFill="1" applyBorder="1" applyAlignment="1">
      <alignment horizontal="center" vertical="center"/>
    </xf>
    <xf numFmtId="9" fontId="154" fillId="9" borderId="12" xfId="5" applyFont="1" applyFill="1" applyBorder="1" applyAlignment="1">
      <alignment horizontal="center" vertical="center"/>
    </xf>
    <xf numFmtId="9" fontId="154" fillId="9" borderId="90" xfId="5" applyFont="1" applyFill="1" applyBorder="1" applyAlignment="1">
      <alignment horizontal="center" vertical="center"/>
    </xf>
    <xf numFmtId="175" fontId="155" fillId="0" borderId="12" xfId="12" applyNumberFormat="1" applyFont="1" applyBorder="1" applyAlignment="1">
      <alignment horizontal="center" vertical="top"/>
    </xf>
    <xf numFmtId="175" fontId="65" fillId="0" borderId="12" xfId="12" applyNumberFormat="1" applyFont="1" applyBorder="1" applyAlignment="1">
      <alignment horizontal="center" vertical="top"/>
    </xf>
    <xf numFmtId="175" fontId="65" fillId="0" borderId="13" xfId="12" applyNumberFormat="1" applyFont="1" applyBorder="1" applyAlignment="1">
      <alignment horizontal="center" vertical="top"/>
    </xf>
    <xf numFmtId="175" fontId="136" fillId="9" borderId="12" xfId="12" applyNumberFormat="1" applyFont="1" applyFill="1" applyBorder="1" applyAlignment="1">
      <alignment horizontal="center" vertical="center"/>
    </xf>
    <xf numFmtId="175" fontId="161" fillId="9" borderId="12" xfId="12" applyNumberFormat="1" applyFont="1" applyFill="1" applyBorder="1" applyAlignment="1">
      <alignment horizontal="center" vertical="center"/>
    </xf>
    <xf numFmtId="0" fontId="66" fillId="24" borderId="12" xfId="0" applyFont="1" applyFill="1" applyBorder="1" applyAlignment="1">
      <alignment horizontal="center" vertical="center" wrapText="1"/>
    </xf>
    <xf numFmtId="0" fontId="65" fillId="9" borderId="12" xfId="0" applyFont="1" applyFill="1" applyBorder="1" applyAlignment="1">
      <alignment horizontal="center" vertical="top"/>
    </xf>
    <xf numFmtId="0" fontId="163" fillId="0" borderId="115" xfId="0" applyFont="1" applyBorder="1" applyAlignment="1">
      <alignment horizontal="center" vertical="center" wrapText="1"/>
    </xf>
    <xf numFmtId="165" fontId="0" fillId="16" borderId="88" xfId="0" applyNumberFormat="1" applyFill="1" applyBorder="1" applyAlignment="1">
      <alignment horizontal="center" vertical="center"/>
    </xf>
    <xf numFmtId="165" fontId="0" fillId="64" borderId="88" xfId="0" applyNumberFormat="1" applyFill="1" applyBorder="1" applyAlignment="1">
      <alignment horizontal="center" vertical="center"/>
    </xf>
    <xf numFmtId="9" fontId="10" fillId="76" borderId="12" xfId="0" applyNumberFormat="1" applyFont="1" applyFill="1" applyBorder="1" applyAlignment="1">
      <alignment horizontal="center" vertical="center"/>
    </xf>
    <xf numFmtId="9" fontId="17" fillId="41" borderId="12" xfId="0" applyNumberFormat="1" applyFont="1" applyFill="1" applyBorder="1" applyAlignment="1">
      <alignment horizontal="center" vertical="center" wrapText="1"/>
    </xf>
    <xf numFmtId="0" fontId="0" fillId="41" borderId="0" xfId="0" applyFill="1"/>
    <xf numFmtId="9" fontId="21" fillId="41" borderId="0" xfId="0" applyNumberFormat="1" applyFont="1" applyFill="1" applyAlignment="1">
      <alignment horizontal="center" vertical="center" wrapText="1"/>
    </xf>
    <xf numFmtId="9" fontId="67" fillId="0" borderId="14" xfId="0" applyNumberFormat="1" applyFont="1" applyBorder="1" applyAlignment="1">
      <alignment horizontal="center" vertical="center" wrapText="1"/>
    </xf>
    <xf numFmtId="9" fontId="67" fillId="0" borderId="14" xfId="0" applyNumberFormat="1" applyFont="1" applyBorder="1" applyAlignment="1">
      <alignment horizontal="left" vertical="center"/>
    </xf>
    <xf numFmtId="9" fontId="68" fillId="0" borderId="14" xfId="0" applyNumberFormat="1" applyFont="1" applyBorder="1" applyAlignment="1">
      <alignment horizontal="center" vertical="center" wrapText="1"/>
    </xf>
    <xf numFmtId="0" fontId="69" fillId="0" borderId="7" xfId="0" applyFont="1" applyBorder="1"/>
    <xf numFmtId="0" fontId="69" fillId="0" borderId="14" xfId="0" applyFont="1" applyBorder="1"/>
    <xf numFmtId="9" fontId="68" fillId="0" borderId="7" xfId="0" applyNumberFormat="1" applyFont="1" applyBorder="1" applyAlignment="1">
      <alignment horizontal="center" vertical="center" wrapText="1"/>
    </xf>
    <xf numFmtId="0" fontId="14" fillId="2" borderId="12" xfId="0" applyFont="1" applyFill="1" applyBorder="1" applyAlignment="1">
      <alignment horizontal="center" vertical="center" wrapText="1"/>
    </xf>
    <xf numFmtId="0" fontId="64" fillId="35" borderId="12" xfId="0" applyFont="1" applyFill="1" applyBorder="1" applyAlignment="1">
      <alignment horizontal="center" vertical="center" wrapText="1"/>
    </xf>
    <xf numFmtId="9" fontId="164" fillId="0" borderId="12" xfId="0" applyNumberFormat="1" applyFont="1" applyBorder="1" applyAlignment="1">
      <alignment horizontal="center" vertical="center"/>
    </xf>
    <xf numFmtId="9" fontId="44" fillId="0" borderId="12" xfId="0" applyNumberFormat="1" applyFont="1" applyBorder="1" applyAlignment="1">
      <alignment horizontal="center" vertical="center"/>
    </xf>
    <xf numFmtId="9" fontId="11" fillId="0" borderId="12" xfId="0" applyNumberFormat="1" applyFont="1" applyBorder="1" applyAlignment="1">
      <alignment horizontal="center" vertical="center"/>
    </xf>
    <xf numFmtId="9" fontId="11" fillId="0" borderId="12"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0" fontId="165" fillId="61" borderId="12" xfId="0" applyFont="1" applyFill="1" applyBorder="1" applyAlignment="1">
      <alignment horizontal="center" vertical="center" wrapText="1"/>
    </xf>
    <xf numFmtId="0" fontId="161" fillId="0" borderId="12" xfId="0" applyFont="1" applyBorder="1" applyAlignment="1">
      <alignment horizontal="center" vertical="center" wrapText="1"/>
    </xf>
    <xf numFmtId="0" fontId="69" fillId="0" borderId="12" xfId="0" applyFont="1" applyBorder="1" applyAlignment="1">
      <alignment horizontal="center" vertical="center" wrapText="1"/>
    </xf>
    <xf numFmtId="9" fontId="161" fillId="0" borderId="12" xfId="0" applyNumberFormat="1" applyFont="1" applyBorder="1" applyAlignment="1">
      <alignment horizontal="center" vertical="center" wrapText="1"/>
    </xf>
    <xf numFmtId="0" fontId="154" fillId="0" borderId="12" xfId="0" applyFont="1" applyBorder="1" applyAlignment="1">
      <alignment horizontal="center" vertical="center" wrapText="1"/>
    </xf>
    <xf numFmtId="0" fontId="65" fillId="0" borderId="12" xfId="0" applyFont="1" applyBorder="1" applyAlignment="1">
      <alignment horizontal="center" vertical="center" wrapText="1"/>
    </xf>
    <xf numFmtId="0" fontId="69" fillId="0" borderId="12" xfId="0" applyFont="1" applyBorder="1" applyAlignment="1">
      <alignment horizontal="left" vertical="center" wrapText="1"/>
    </xf>
    <xf numFmtId="0" fontId="65" fillId="0" borderId="12" xfId="0" applyFont="1" applyBorder="1" applyAlignment="1">
      <alignment horizontal="left" vertical="center" wrapText="1"/>
    </xf>
    <xf numFmtId="0" fontId="5" fillId="0" borderId="0" xfId="0" applyFont="1"/>
    <xf numFmtId="0" fontId="5" fillId="0" borderId="12" xfId="0" applyFont="1" applyBorder="1" applyAlignment="1">
      <alignment horizontal="center" vertical="center" wrapText="1"/>
    </xf>
    <xf numFmtId="0" fontId="5" fillId="0" borderId="0" xfId="0" applyFont="1" applyAlignment="1">
      <alignment vertical="top" wrapText="1"/>
    </xf>
    <xf numFmtId="49" fontId="5" fillId="9" borderId="12" xfId="0" applyNumberFormat="1" applyFont="1" applyFill="1" applyBorder="1" applyAlignment="1">
      <alignment horizontal="center" vertical="center"/>
    </xf>
    <xf numFmtId="0" fontId="5" fillId="0" borderId="13" xfId="0" applyFont="1" applyBorder="1" applyAlignment="1">
      <alignment horizontal="center" vertical="center"/>
    </xf>
    <xf numFmtId="49" fontId="5" fillId="9" borderId="13" xfId="0" applyNumberFormat="1" applyFont="1" applyFill="1" applyBorder="1" applyAlignment="1">
      <alignment horizontal="center" vertical="center"/>
    </xf>
    <xf numFmtId="0" fontId="5" fillId="0" borderId="7" xfId="0" applyFont="1" applyBorder="1" applyAlignment="1">
      <alignment horizontal="left" vertical="center"/>
    </xf>
    <xf numFmtId="49" fontId="5" fillId="9" borderId="2" xfId="0" applyNumberFormat="1" applyFont="1" applyFill="1" applyBorder="1" applyAlignment="1">
      <alignment horizontal="center" vertical="center"/>
    </xf>
    <xf numFmtId="0" fontId="5" fillId="0" borderId="2" xfId="0" applyFont="1" applyBorder="1" applyAlignment="1">
      <alignment vertical="center"/>
    </xf>
    <xf numFmtId="49" fontId="5" fillId="9" borderId="90" xfId="0" applyNumberFormat="1" applyFont="1" applyFill="1" applyBorder="1" applyAlignment="1">
      <alignment horizontal="center" vertical="center"/>
    </xf>
    <xf numFmtId="0" fontId="5" fillId="0" borderId="0" xfId="0" applyFont="1" applyAlignment="1">
      <alignment vertical="center"/>
    </xf>
    <xf numFmtId="170" fontId="5" fillId="0" borderId="0" xfId="12" applyNumberFormat="1" applyFont="1" applyAlignment="1">
      <alignment vertical="center"/>
    </xf>
    <xf numFmtId="9" fontId="5" fillId="0" borderId="0" xfId="5" applyFont="1" applyAlignment="1">
      <alignment horizontal="center" vertical="center"/>
    </xf>
    <xf numFmtId="0" fontId="5" fillId="9" borderId="0" xfId="0" applyFont="1" applyFill="1" applyAlignment="1">
      <alignment vertical="center"/>
    </xf>
    <xf numFmtId="0" fontId="165" fillId="60" borderId="12" xfId="14" applyFont="1" applyFill="1" applyBorder="1" applyAlignment="1">
      <alignment horizontal="center" vertical="center" wrapText="1"/>
    </xf>
    <xf numFmtId="3" fontId="123" fillId="24" borderId="12" xfId="14" applyNumberFormat="1" applyFont="1" applyFill="1" applyBorder="1" applyAlignment="1">
      <alignment horizontal="center" vertical="center" wrapText="1"/>
    </xf>
    <xf numFmtId="0" fontId="5" fillId="0" borderId="12" xfId="14" applyFont="1" applyBorder="1" applyAlignment="1">
      <alignment horizontal="center" vertical="center" wrapText="1"/>
    </xf>
    <xf numFmtId="0" fontId="65" fillId="0" borderId="12" xfId="14" applyFont="1" applyBorder="1" applyAlignment="1">
      <alignment horizontal="center" vertical="center" wrapText="1"/>
    </xf>
    <xf numFmtId="0" fontId="69" fillId="0" borderId="12" xfId="14" applyFont="1" applyBorder="1" applyAlignment="1">
      <alignment horizontal="center" vertical="center" wrapText="1"/>
    </xf>
    <xf numFmtId="0" fontId="5" fillId="0" borderId="14" xfId="14" applyFont="1" applyBorder="1" applyAlignment="1">
      <alignment horizontal="center" vertical="center" wrapText="1"/>
    </xf>
    <xf numFmtId="0" fontId="69" fillId="9" borderId="12" xfId="14" applyFont="1" applyFill="1" applyBorder="1" applyAlignment="1">
      <alignment horizontal="center" vertical="center" wrapText="1"/>
    </xf>
    <xf numFmtId="0" fontId="0" fillId="0" borderId="0" xfId="0" applyAlignment="1">
      <alignment vertical="center" wrapText="1"/>
    </xf>
    <xf numFmtId="0" fontId="165" fillId="61" borderId="12" xfId="14" applyFont="1" applyFill="1" applyBorder="1" applyAlignment="1">
      <alignment horizontal="center" vertical="center" wrapText="1"/>
    </xf>
    <xf numFmtId="0" fontId="168" fillId="0" borderId="12" xfId="14" applyFont="1" applyBorder="1" applyAlignment="1">
      <alignment horizontal="center" vertical="center" wrapText="1"/>
    </xf>
    <xf numFmtId="0" fontId="69" fillId="0" borderId="12" xfId="14" applyFont="1" applyBorder="1" applyAlignment="1">
      <alignment horizontal="left" vertical="center" wrapText="1"/>
    </xf>
    <xf numFmtId="0" fontId="136" fillId="0" borderId="12" xfId="14" applyFont="1" applyBorder="1" applyAlignment="1">
      <alignment horizontal="left" vertical="center" wrapText="1"/>
    </xf>
    <xf numFmtId="0" fontId="9" fillId="0" borderId="12" xfId="14" applyFont="1" applyBorder="1" applyAlignment="1">
      <alignment horizontal="center" vertical="center" wrapText="1"/>
    </xf>
    <xf numFmtId="0" fontId="154" fillId="0" borderId="12" xfId="14" applyFont="1" applyBorder="1" applyAlignment="1">
      <alignment horizontal="center" vertical="center" wrapText="1"/>
    </xf>
    <xf numFmtId="0" fontId="67" fillId="69" borderId="12" xfId="0" applyFont="1" applyFill="1" applyBorder="1" applyAlignment="1">
      <alignment horizontal="center" vertical="center" wrapText="1"/>
    </xf>
    <xf numFmtId="0" fontId="4" fillId="0" borderId="12" xfId="14" applyFont="1" applyBorder="1" applyAlignment="1">
      <alignment horizontal="center" vertical="center" wrapText="1"/>
    </xf>
    <xf numFmtId="0" fontId="3" fillId="0" borderId="12" xfId="14" applyFont="1" applyBorder="1" applyAlignment="1">
      <alignment horizontal="center" vertical="center" wrapText="1"/>
    </xf>
    <xf numFmtId="0" fontId="3" fillId="9" borderId="12" xfId="6" applyFont="1" applyFill="1" applyBorder="1" applyAlignment="1">
      <alignment horizontal="center" vertical="center" wrapText="1"/>
    </xf>
    <xf numFmtId="0" fontId="2" fillId="0" borderId="12" xfId="14" applyFont="1" applyBorder="1" applyAlignment="1">
      <alignment horizontal="center" vertical="center" wrapText="1"/>
    </xf>
    <xf numFmtId="0" fontId="121" fillId="0" borderId="7" xfId="0" applyFont="1" applyBorder="1"/>
    <xf numFmtId="0" fontId="174" fillId="0" borderId="7" xfId="14" applyFont="1"/>
    <xf numFmtId="0" fontId="121" fillId="0" borderId="7" xfId="14" applyFont="1"/>
    <xf numFmtId="0" fontId="121" fillId="24" borderId="12" xfId="14" applyFont="1" applyFill="1" applyBorder="1" applyAlignment="1">
      <alignment vertical="center" wrapText="1"/>
    </xf>
    <xf numFmtId="0" fontId="121" fillId="0" borderId="12" xfId="0" applyFont="1" applyBorder="1" applyAlignment="1" applyProtection="1">
      <alignment horizontal="left"/>
      <protection locked="0"/>
    </xf>
    <xf numFmtId="0" fontId="175" fillId="43" borderId="39" xfId="0" applyFont="1" applyFill="1" applyBorder="1" applyAlignment="1">
      <alignment horizontal="center" vertical="center" wrapText="1"/>
    </xf>
    <xf numFmtId="0" fontId="175" fillId="50" borderId="39" xfId="0" applyFont="1" applyFill="1" applyBorder="1" applyAlignment="1">
      <alignment horizontal="center" vertical="center" wrapText="1"/>
    </xf>
    <xf numFmtId="0" fontId="175" fillId="44" borderId="39" xfId="0" applyFont="1" applyFill="1" applyBorder="1" applyAlignment="1">
      <alignment horizontal="center" vertical="center" wrapText="1"/>
    </xf>
    <xf numFmtId="0" fontId="175" fillId="43" borderId="80" xfId="0" applyFont="1" applyFill="1" applyBorder="1" applyAlignment="1">
      <alignment horizontal="center" vertical="center" wrapText="1"/>
    </xf>
    <xf numFmtId="0" fontId="175" fillId="50" borderId="80" xfId="0" applyFont="1" applyFill="1" applyBorder="1" applyAlignment="1">
      <alignment horizontal="center" vertical="center" wrapText="1"/>
    </xf>
    <xf numFmtId="0" fontId="175" fillId="44" borderId="80" xfId="0" applyFont="1" applyFill="1" applyBorder="1" applyAlignment="1">
      <alignment horizontal="center" vertical="center" wrapText="1"/>
    </xf>
    <xf numFmtId="0" fontId="175" fillId="43" borderId="40" xfId="0" applyFont="1" applyFill="1" applyBorder="1" applyAlignment="1">
      <alignment horizontal="center" vertical="center" wrapText="1"/>
    </xf>
    <xf numFmtId="0" fontId="175" fillId="50" borderId="40" xfId="0" applyFont="1" applyFill="1" applyBorder="1" applyAlignment="1">
      <alignment horizontal="center" vertical="center" wrapText="1"/>
    </xf>
    <xf numFmtId="0" fontId="175" fillId="44" borderId="40" xfId="0" applyFont="1" applyFill="1" applyBorder="1" applyAlignment="1">
      <alignment horizontal="center" vertical="center" wrapText="1"/>
    </xf>
    <xf numFmtId="0" fontId="176" fillId="0" borderId="7" xfId="0" applyFont="1" applyBorder="1"/>
    <xf numFmtId="0" fontId="177" fillId="0" borderId="7" xfId="0" applyFont="1" applyBorder="1"/>
    <xf numFmtId="0" fontId="177" fillId="0" borderId="7" xfId="0" applyFont="1" applyBorder="1" applyAlignment="1">
      <alignment wrapText="1"/>
    </xf>
    <xf numFmtId="173" fontId="178" fillId="0" borderId="0" xfId="0" applyNumberFormat="1" applyFont="1" applyAlignment="1">
      <alignment horizontal="left" vertical="top"/>
    </xf>
    <xf numFmtId="0" fontId="177" fillId="9" borderId="7" xfId="0" applyFont="1" applyFill="1" applyBorder="1"/>
    <xf numFmtId="9" fontId="177" fillId="0" borderId="7" xfId="0" applyNumberFormat="1" applyFont="1" applyBorder="1"/>
    <xf numFmtId="9" fontId="180" fillId="9" borderId="7" xfId="0" applyNumberFormat="1" applyFont="1" applyFill="1" applyBorder="1" applyAlignment="1">
      <alignment horizontal="center" vertical="center" wrapText="1"/>
    </xf>
    <xf numFmtId="9" fontId="180" fillId="0" borderId="7" xfId="0" applyNumberFormat="1" applyFont="1" applyBorder="1" applyAlignment="1">
      <alignment horizontal="center" vertical="center" wrapText="1"/>
    </xf>
    <xf numFmtId="9" fontId="177" fillId="0" borderId="7" xfId="0" applyNumberFormat="1" applyFont="1" applyBorder="1" applyAlignment="1">
      <alignment horizontal="center"/>
    </xf>
    <xf numFmtId="165" fontId="178" fillId="52" borderId="38" xfId="0" applyNumberFormat="1" applyFont="1" applyFill="1" applyBorder="1" applyAlignment="1">
      <alignment horizontal="center" vertical="center" wrapText="1"/>
    </xf>
    <xf numFmtId="9" fontId="178" fillId="0" borderId="7" xfId="0" applyNumberFormat="1" applyFont="1" applyBorder="1" applyAlignment="1">
      <alignment horizontal="center" vertical="center" wrapText="1"/>
    </xf>
    <xf numFmtId="9" fontId="178" fillId="0" borderId="7" xfId="0" applyNumberFormat="1" applyFont="1" applyBorder="1" applyAlignment="1">
      <alignment horizontal="left" vertical="center" wrapText="1"/>
    </xf>
    <xf numFmtId="0" fontId="179" fillId="20" borderId="43" xfId="0" applyFont="1" applyFill="1" applyBorder="1" applyAlignment="1">
      <alignment horizontal="center" vertical="center" wrapText="1"/>
    </xf>
    <xf numFmtId="0" fontId="179" fillId="39" borderId="41" xfId="0" applyFont="1" applyFill="1" applyBorder="1" applyAlignment="1">
      <alignment horizontal="center" vertical="center" wrapText="1"/>
    </xf>
    <xf numFmtId="0" fontId="179" fillId="40" borderId="43" xfId="0" applyFont="1" applyFill="1" applyBorder="1" applyAlignment="1">
      <alignment horizontal="center" vertical="center" wrapText="1"/>
    </xf>
    <xf numFmtId="0" fontId="179" fillId="66" borderId="41" xfId="0" applyFont="1" applyFill="1" applyBorder="1" applyAlignment="1">
      <alignment horizontal="center" vertical="center" wrapText="1"/>
    </xf>
    <xf numFmtId="165" fontId="178" fillId="0" borderId="7" xfId="0" applyNumberFormat="1" applyFont="1" applyBorder="1" applyAlignment="1">
      <alignment vertical="center" wrapText="1"/>
    </xf>
    <xf numFmtId="0" fontId="177" fillId="0" borderId="7" xfId="0" applyFont="1" applyBorder="1" applyAlignment="1">
      <alignment horizontal="center"/>
    </xf>
    <xf numFmtId="9" fontId="179" fillId="0" borderId="82" xfId="0" applyNumberFormat="1" applyFont="1" applyBorder="1" applyAlignment="1">
      <alignment horizontal="center" vertical="center" wrapText="1"/>
    </xf>
    <xf numFmtId="9" fontId="179" fillId="0" borderId="52" xfId="0" applyNumberFormat="1" applyFont="1" applyBorder="1" applyAlignment="1">
      <alignment horizontal="center" vertical="center" wrapText="1"/>
    </xf>
    <xf numFmtId="9" fontId="179" fillId="65" borderId="39" xfId="0" applyNumberFormat="1" applyFont="1" applyFill="1" applyBorder="1" applyAlignment="1">
      <alignment horizontal="center" vertical="center" wrapText="1"/>
    </xf>
    <xf numFmtId="9" fontId="180" fillId="10" borderId="80" xfId="0" applyNumberFormat="1" applyFont="1" applyFill="1" applyBorder="1" applyAlignment="1">
      <alignment horizontal="center" vertical="center" wrapText="1"/>
    </xf>
    <xf numFmtId="9" fontId="180" fillId="10" borderId="68" xfId="0" applyNumberFormat="1" applyFont="1" applyFill="1" applyBorder="1" applyAlignment="1">
      <alignment horizontal="left" vertical="center" wrapText="1"/>
    </xf>
    <xf numFmtId="165" fontId="181" fillId="11" borderId="80" xfId="0" applyNumberFormat="1" applyFont="1" applyFill="1" applyBorder="1" applyAlignment="1">
      <alignment horizontal="center" vertical="center" wrapText="1"/>
    </xf>
    <xf numFmtId="165" fontId="181" fillId="65" borderId="80" xfId="0" applyNumberFormat="1" applyFont="1" applyFill="1" applyBorder="1" applyAlignment="1">
      <alignment horizontal="center" vertical="center" wrapText="1"/>
    </xf>
    <xf numFmtId="9" fontId="180" fillId="9" borderId="80" xfId="0" applyNumberFormat="1" applyFont="1" applyFill="1" applyBorder="1" applyAlignment="1">
      <alignment horizontal="center" vertical="center" wrapText="1"/>
    </xf>
    <xf numFmtId="9" fontId="180" fillId="9" borderId="68" xfId="0" applyNumberFormat="1" applyFont="1" applyFill="1" applyBorder="1" applyAlignment="1">
      <alignment horizontal="left" vertical="center" wrapText="1"/>
    </xf>
    <xf numFmtId="1" fontId="181" fillId="9" borderId="80" xfId="0" applyNumberFormat="1" applyFont="1" applyFill="1" applyBorder="1" applyAlignment="1">
      <alignment horizontal="center" vertical="center" wrapText="1"/>
    </xf>
    <xf numFmtId="1" fontId="181" fillId="65" borderId="80" xfId="0" applyNumberFormat="1" applyFont="1" applyFill="1" applyBorder="1" applyAlignment="1">
      <alignment horizontal="center" vertical="center" wrapText="1"/>
    </xf>
    <xf numFmtId="9" fontId="180" fillId="9" borderId="51" xfId="0" applyNumberFormat="1" applyFont="1" applyFill="1" applyBorder="1" applyAlignment="1">
      <alignment horizontal="left" vertical="center" wrapText="1"/>
    </xf>
    <xf numFmtId="165" fontId="181" fillId="67" borderId="80" xfId="0" applyNumberFormat="1" applyFont="1" applyFill="1" applyBorder="1" applyAlignment="1">
      <alignment horizontal="center" vertical="center" wrapText="1"/>
    </xf>
    <xf numFmtId="9" fontId="180" fillId="9" borderId="40" xfId="0" applyNumberFormat="1" applyFont="1" applyFill="1" applyBorder="1" applyAlignment="1">
      <alignment horizontal="center" vertical="center" wrapText="1"/>
    </xf>
    <xf numFmtId="9" fontId="180" fillId="9" borderId="69" xfId="0" applyNumberFormat="1" applyFont="1" applyFill="1" applyBorder="1" applyAlignment="1">
      <alignment horizontal="left" vertical="center" wrapText="1"/>
    </xf>
    <xf numFmtId="174" fontId="181" fillId="9" borderId="40" xfId="0" applyNumberFormat="1" applyFont="1" applyFill="1" applyBorder="1" applyAlignment="1">
      <alignment horizontal="center" vertical="center" wrapText="1"/>
    </xf>
    <xf numFmtId="174" fontId="181" fillId="65" borderId="40" xfId="0" applyNumberFormat="1" applyFont="1" applyFill="1" applyBorder="1" applyAlignment="1">
      <alignment horizontal="center" vertical="center" wrapText="1"/>
    </xf>
    <xf numFmtId="9" fontId="179" fillId="0" borderId="7" xfId="0" applyNumberFormat="1" applyFont="1" applyBorder="1" applyAlignment="1">
      <alignment vertical="center" wrapText="1"/>
    </xf>
    <xf numFmtId="0" fontId="179" fillId="13" borderId="38" xfId="0" applyFont="1" applyFill="1" applyBorder="1" applyAlignment="1">
      <alignment horizontal="center" vertical="center" wrapText="1"/>
    </xf>
    <xf numFmtId="0" fontId="179" fillId="13" borderId="52" xfId="0" applyFont="1" applyFill="1" applyBorder="1" applyAlignment="1">
      <alignment horizontal="left" vertical="center"/>
    </xf>
    <xf numFmtId="0" fontId="183" fillId="55" borderId="38" xfId="0" applyFont="1" applyFill="1" applyBorder="1" applyAlignment="1">
      <alignment horizontal="center" vertical="center"/>
    </xf>
    <xf numFmtId="0" fontId="183" fillId="56" borderId="38" xfId="0" applyFont="1" applyFill="1" applyBorder="1" applyAlignment="1">
      <alignment horizontal="center" vertical="center"/>
    </xf>
    <xf numFmtId="0" fontId="183" fillId="68" borderId="38" xfId="0" applyFont="1" applyFill="1" applyBorder="1" applyAlignment="1">
      <alignment horizontal="center" vertical="center"/>
    </xf>
    <xf numFmtId="0" fontId="183" fillId="73" borderId="38" xfId="0" applyFont="1" applyFill="1" applyBorder="1" applyAlignment="1">
      <alignment horizontal="center" vertical="center"/>
    </xf>
    <xf numFmtId="165" fontId="181" fillId="0" borderId="7" xfId="0" applyNumberFormat="1" applyFont="1" applyBorder="1" applyAlignment="1">
      <alignment horizontal="center" vertical="center" wrapText="1"/>
    </xf>
    <xf numFmtId="9" fontId="180" fillId="50" borderId="7" xfId="0" applyNumberFormat="1" applyFont="1" applyFill="1" applyBorder="1" applyAlignment="1">
      <alignment horizontal="center" vertical="center" wrapText="1"/>
    </xf>
    <xf numFmtId="9" fontId="180" fillId="44" borderId="7" xfId="0" applyNumberFormat="1" applyFont="1" applyFill="1" applyBorder="1" applyAlignment="1">
      <alignment horizontal="center" vertical="center" wrapText="1"/>
    </xf>
    <xf numFmtId="9" fontId="180" fillId="71" borderId="7" xfId="0" applyNumberFormat="1" applyFont="1" applyFill="1" applyBorder="1" applyAlignment="1">
      <alignment horizontal="center" vertical="center" wrapText="1"/>
    </xf>
    <xf numFmtId="0" fontId="184" fillId="13" borderId="68" xfId="0" applyFont="1" applyFill="1" applyBorder="1" applyAlignment="1">
      <alignment horizontal="left" vertical="center"/>
    </xf>
    <xf numFmtId="0" fontId="183" fillId="43" borderId="39" xfId="0" applyFont="1" applyFill="1" applyBorder="1" applyAlignment="1">
      <alignment horizontal="center" vertical="center" wrapText="1"/>
    </xf>
    <xf numFmtId="0" fontId="183" fillId="50" borderId="39" xfId="0" applyFont="1" applyFill="1" applyBorder="1" applyAlignment="1">
      <alignment horizontal="center" vertical="center" wrapText="1"/>
    </xf>
    <xf numFmtId="0" fontId="183" fillId="44" borderId="39" xfId="0" applyFont="1" applyFill="1" applyBorder="1" applyAlignment="1">
      <alignment horizontal="center" vertical="center" wrapText="1"/>
    </xf>
    <xf numFmtId="0" fontId="183" fillId="71" borderId="39" xfId="0" applyFont="1" applyFill="1" applyBorder="1" applyAlignment="1">
      <alignment horizontal="center" vertical="center" wrapText="1"/>
    </xf>
    <xf numFmtId="0" fontId="183" fillId="43" borderId="80" xfId="0" applyFont="1" applyFill="1" applyBorder="1" applyAlignment="1">
      <alignment horizontal="center" vertical="center" wrapText="1"/>
    </xf>
    <xf numFmtId="0" fontId="183" fillId="50" borderId="80" xfId="0" applyFont="1" applyFill="1" applyBorder="1" applyAlignment="1">
      <alignment horizontal="center" vertical="center" wrapText="1"/>
    </xf>
    <xf numFmtId="0" fontId="183" fillId="44" borderId="80" xfId="0" applyFont="1" applyFill="1" applyBorder="1" applyAlignment="1">
      <alignment horizontal="center" vertical="center" wrapText="1"/>
    </xf>
    <xf numFmtId="0" fontId="183" fillId="71" borderId="80" xfId="0" applyFont="1" applyFill="1" applyBorder="1" applyAlignment="1">
      <alignment horizontal="center" vertical="center" wrapText="1"/>
    </xf>
    <xf numFmtId="0" fontId="183" fillId="43" borderId="40" xfId="0" applyFont="1" applyFill="1" applyBorder="1" applyAlignment="1">
      <alignment horizontal="center" vertical="center" wrapText="1"/>
    </xf>
    <xf numFmtId="0" fontId="183" fillId="50" borderId="40" xfId="0" applyFont="1" applyFill="1" applyBorder="1" applyAlignment="1">
      <alignment horizontal="center" vertical="center" wrapText="1"/>
    </xf>
    <xf numFmtId="0" fontId="183" fillId="44" borderId="40" xfId="0" applyFont="1" applyFill="1" applyBorder="1" applyAlignment="1">
      <alignment horizontal="center" vertical="center" wrapText="1"/>
    </xf>
    <xf numFmtId="0" fontId="183" fillId="71" borderId="40" xfId="0" applyFont="1" applyFill="1" applyBorder="1" applyAlignment="1">
      <alignment horizontal="center" vertical="center" wrapText="1"/>
    </xf>
    <xf numFmtId="0" fontId="179" fillId="13" borderId="141" xfId="0" applyFont="1" applyFill="1" applyBorder="1" applyAlignment="1">
      <alignment horizontal="center" vertical="center" wrapText="1"/>
    </xf>
    <xf numFmtId="9" fontId="185" fillId="0" borderId="7" xfId="0" applyNumberFormat="1" applyFont="1" applyBorder="1" applyAlignment="1">
      <alignment horizontal="left"/>
    </xf>
    <xf numFmtId="9" fontId="177" fillId="0" borderId="7" xfId="0" applyNumberFormat="1" applyFont="1" applyBorder="1" applyAlignment="1">
      <alignment horizontal="left"/>
    </xf>
    <xf numFmtId="9" fontId="177" fillId="0" borderId="7" xfId="0" applyNumberFormat="1" applyFont="1" applyBorder="1" applyAlignment="1">
      <alignment wrapText="1"/>
    </xf>
    <xf numFmtId="0" fontId="184" fillId="0" borderId="7" xfId="0" applyFont="1" applyBorder="1" applyAlignment="1">
      <alignment wrapText="1"/>
    </xf>
    <xf numFmtId="0" fontId="177" fillId="47" borderId="7" xfId="0" applyFont="1" applyFill="1" applyBorder="1" applyAlignment="1">
      <alignment wrapText="1"/>
    </xf>
    <xf numFmtId="0" fontId="179" fillId="13" borderId="17" xfId="0" applyFont="1" applyFill="1" applyBorder="1" applyAlignment="1">
      <alignment horizontal="center" vertical="center" wrapText="1"/>
    </xf>
    <xf numFmtId="0" fontId="179" fillId="13" borderId="18" xfId="0" applyFont="1" applyFill="1" applyBorder="1" applyAlignment="1">
      <alignment horizontal="center" vertical="center" wrapText="1"/>
    </xf>
    <xf numFmtId="0" fontId="179" fillId="13" borderId="20" xfId="0" applyFont="1" applyFill="1" applyBorder="1" applyAlignment="1">
      <alignment horizontal="center" vertical="center" wrapText="1"/>
    </xf>
    <xf numFmtId="0" fontId="182" fillId="48" borderId="44" xfId="0" applyFont="1" applyFill="1" applyBorder="1" applyAlignment="1">
      <alignment horizontal="center" vertical="center"/>
    </xf>
    <xf numFmtId="0" fontId="179" fillId="13" borderId="72" xfId="0" applyFont="1" applyFill="1" applyBorder="1" applyAlignment="1">
      <alignment horizontal="center" vertical="center" wrapText="1"/>
    </xf>
    <xf numFmtId="0" fontId="177" fillId="0" borderId="0" xfId="0" applyFont="1"/>
    <xf numFmtId="9" fontId="177" fillId="0" borderId="0" xfId="0" applyNumberFormat="1" applyFont="1"/>
    <xf numFmtId="9" fontId="180" fillId="9" borderId="0" xfId="0" applyNumberFormat="1" applyFont="1" applyFill="1" applyAlignment="1">
      <alignment horizontal="center" vertical="center" wrapText="1"/>
    </xf>
    <xf numFmtId="0" fontId="177" fillId="0" borderId="7" xfId="0" applyFont="1" applyBorder="1" applyAlignment="1">
      <alignment vertical="center"/>
    </xf>
    <xf numFmtId="165" fontId="178" fillId="52" borderId="70" xfId="0" applyNumberFormat="1" applyFont="1" applyFill="1" applyBorder="1" applyAlignment="1">
      <alignment horizontal="center" vertical="center" wrapText="1"/>
    </xf>
    <xf numFmtId="0" fontId="179" fillId="39" borderId="25" xfId="0" applyFont="1" applyFill="1" applyBorder="1" applyAlignment="1">
      <alignment horizontal="center" vertical="center" wrapText="1"/>
    </xf>
    <xf numFmtId="9" fontId="180" fillId="0" borderId="26" xfId="0" applyNumberFormat="1" applyFont="1" applyBorder="1" applyAlignment="1">
      <alignment vertical="center" wrapText="1"/>
    </xf>
    <xf numFmtId="165" fontId="181" fillId="11" borderId="82" xfId="0" applyNumberFormat="1" applyFont="1" applyFill="1" applyBorder="1" applyAlignment="1">
      <alignment horizontal="center" vertical="center" wrapText="1"/>
    </xf>
    <xf numFmtId="0" fontId="177" fillId="0" borderId="26" xfId="0" applyFont="1" applyBorder="1"/>
    <xf numFmtId="165" fontId="181" fillId="11" borderId="29" xfId="0" applyNumberFormat="1" applyFont="1" applyFill="1" applyBorder="1" applyAlignment="1">
      <alignment horizontal="center" vertical="center" wrapText="1"/>
    </xf>
    <xf numFmtId="1" fontId="181" fillId="9" borderId="29" xfId="0" applyNumberFormat="1" applyFont="1" applyFill="1" applyBorder="1" applyAlignment="1">
      <alignment horizontal="center" vertical="center" wrapText="1"/>
    </xf>
    <xf numFmtId="165" fontId="181" fillId="9" borderId="40" xfId="0" applyNumberFormat="1" applyFont="1" applyFill="1" applyBorder="1" applyAlignment="1">
      <alignment horizontal="center" vertical="center" wrapText="1"/>
    </xf>
    <xf numFmtId="165" fontId="181" fillId="9" borderId="30" xfId="0" applyNumberFormat="1" applyFont="1" applyFill="1" applyBorder="1" applyAlignment="1">
      <alignment horizontal="center" vertical="center" wrapText="1"/>
    </xf>
    <xf numFmtId="165" fontId="181" fillId="65" borderId="42" xfId="0" applyNumberFormat="1" applyFont="1" applyFill="1" applyBorder="1" applyAlignment="1">
      <alignment horizontal="center" vertical="center" wrapText="1"/>
    </xf>
    <xf numFmtId="0" fontId="183" fillId="14" borderId="39" xfId="0" applyFont="1" applyFill="1" applyBorder="1" applyAlignment="1">
      <alignment horizontal="center" vertical="center" wrapText="1"/>
    </xf>
    <xf numFmtId="0" fontId="183" fillId="24" borderId="39" xfId="0" applyFont="1" applyFill="1" applyBorder="1" applyAlignment="1">
      <alignment horizontal="center" vertical="center" wrapText="1"/>
    </xf>
    <xf numFmtId="9" fontId="178" fillId="0" borderId="7" xfId="0" applyNumberFormat="1" applyFont="1" applyBorder="1" applyAlignment="1">
      <alignment vertical="center" wrapText="1"/>
    </xf>
    <xf numFmtId="0" fontId="183" fillId="14" borderId="80" xfId="0" applyFont="1" applyFill="1" applyBorder="1" applyAlignment="1">
      <alignment horizontal="center" vertical="center" wrapText="1"/>
    </xf>
    <xf numFmtId="0" fontId="183" fillId="55" borderId="80" xfId="0" applyFont="1" applyFill="1" applyBorder="1" applyAlignment="1">
      <alignment horizontal="center" vertical="center" wrapText="1"/>
    </xf>
    <xf numFmtId="0" fontId="183" fillId="74" borderId="80" xfId="0" applyFont="1" applyFill="1" applyBorder="1" applyAlignment="1">
      <alignment horizontal="center" vertical="center" wrapText="1"/>
    </xf>
    <xf numFmtId="0" fontId="183" fillId="68" borderId="80" xfId="0" applyFont="1" applyFill="1" applyBorder="1" applyAlignment="1">
      <alignment horizontal="center" vertical="center" wrapText="1"/>
    </xf>
    <xf numFmtId="0" fontId="183" fillId="73" borderId="80" xfId="0" applyFont="1" applyFill="1" applyBorder="1" applyAlignment="1">
      <alignment horizontal="center" vertical="center" wrapText="1"/>
    </xf>
    <xf numFmtId="1" fontId="181" fillId="0" borderId="7" xfId="0" applyNumberFormat="1" applyFont="1" applyBorder="1" applyAlignment="1">
      <alignment horizontal="center" vertical="center" wrapText="1"/>
    </xf>
    <xf numFmtId="0" fontId="183" fillId="14" borderId="40" xfId="0" applyFont="1" applyFill="1" applyBorder="1" applyAlignment="1">
      <alignment horizontal="center" vertical="center" wrapText="1"/>
    </xf>
    <xf numFmtId="0" fontId="183" fillId="55" borderId="40" xfId="0" applyFont="1" applyFill="1" applyBorder="1" applyAlignment="1">
      <alignment horizontal="center" vertical="center" wrapText="1"/>
    </xf>
    <xf numFmtId="0" fontId="183" fillId="74" borderId="40" xfId="0" applyFont="1" applyFill="1" applyBorder="1" applyAlignment="1">
      <alignment horizontal="center" vertical="center" wrapText="1"/>
    </xf>
    <xf numFmtId="0" fontId="183" fillId="68" borderId="40" xfId="0" applyFont="1" applyFill="1" applyBorder="1" applyAlignment="1">
      <alignment horizontal="center" vertical="center" wrapText="1"/>
    </xf>
    <xf numFmtId="0" fontId="183" fillId="73" borderId="40" xfId="0" applyFont="1" applyFill="1" applyBorder="1" applyAlignment="1">
      <alignment horizontal="center" vertical="center" wrapText="1"/>
    </xf>
    <xf numFmtId="165" fontId="181" fillId="0" borderId="43" xfId="0" applyNumberFormat="1" applyFont="1" applyBorder="1" applyAlignment="1">
      <alignment horizontal="center" vertical="center" wrapText="1"/>
    </xf>
    <xf numFmtId="0" fontId="184" fillId="13" borderId="39" xfId="0" applyFont="1" applyFill="1" applyBorder="1" applyAlignment="1">
      <alignment horizontal="center" vertical="center"/>
    </xf>
    <xf numFmtId="0" fontId="184" fillId="13" borderId="80" xfId="0" applyFont="1" applyFill="1" applyBorder="1" applyAlignment="1">
      <alignment horizontal="center" vertical="center"/>
    </xf>
    <xf numFmtId="0" fontId="184" fillId="13" borderId="80" xfId="0" applyFont="1" applyFill="1" applyBorder="1" applyAlignment="1">
      <alignment horizontal="center" vertical="center" wrapText="1"/>
    </xf>
    <xf numFmtId="0" fontId="179" fillId="13" borderId="39" xfId="0" applyFont="1" applyFill="1" applyBorder="1" applyAlignment="1">
      <alignment horizontal="center" vertical="center" wrapText="1"/>
    </xf>
    <xf numFmtId="9" fontId="181" fillId="0" borderId="7" xfId="0" applyNumberFormat="1" applyFont="1" applyBorder="1" applyAlignment="1">
      <alignment horizontal="center" vertical="center" wrapText="1"/>
    </xf>
    <xf numFmtId="0" fontId="179" fillId="13" borderId="80" xfId="0" applyFont="1" applyFill="1" applyBorder="1" applyAlignment="1">
      <alignment horizontal="center" vertical="center" wrapText="1"/>
    </xf>
    <xf numFmtId="0" fontId="179" fillId="13" borderId="40" xfId="0" applyFont="1" applyFill="1" applyBorder="1" applyAlignment="1">
      <alignment horizontal="center" vertical="center" wrapText="1"/>
    </xf>
    <xf numFmtId="0" fontId="182" fillId="48" borderId="38" xfId="0" applyFont="1" applyFill="1" applyBorder="1" applyAlignment="1">
      <alignment horizontal="center" vertical="center" wrapText="1"/>
    </xf>
    <xf numFmtId="0" fontId="183" fillId="14" borderId="38" xfId="0" applyFont="1" applyFill="1" applyBorder="1" applyAlignment="1">
      <alignment horizontal="center" vertical="center" wrapText="1"/>
    </xf>
    <xf numFmtId="0" fontId="183" fillId="55" borderId="38" xfId="0" applyFont="1" applyFill="1" applyBorder="1" applyAlignment="1">
      <alignment horizontal="center" vertical="center" wrapText="1"/>
    </xf>
    <xf numFmtId="0" fontId="183" fillId="74" borderId="38" xfId="0" applyFont="1" applyFill="1" applyBorder="1" applyAlignment="1">
      <alignment horizontal="center" vertical="center" wrapText="1"/>
    </xf>
    <xf numFmtId="0" fontId="183" fillId="68" borderId="38" xfId="0" applyFont="1" applyFill="1" applyBorder="1" applyAlignment="1">
      <alignment horizontal="center" vertical="center" wrapText="1"/>
    </xf>
    <xf numFmtId="0" fontId="183" fillId="73" borderId="38" xfId="0" applyFont="1" applyFill="1" applyBorder="1" applyAlignment="1">
      <alignment horizontal="center" vertical="center" wrapText="1"/>
    </xf>
    <xf numFmtId="0" fontId="183" fillId="55" borderId="39" xfId="0" applyFont="1" applyFill="1" applyBorder="1" applyAlignment="1">
      <alignment horizontal="center" vertical="center" wrapText="1"/>
    </xf>
    <xf numFmtId="0" fontId="183" fillId="74" borderId="39" xfId="0" applyFont="1" applyFill="1" applyBorder="1" applyAlignment="1">
      <alignment horizontal="center" vertical="center" wrapText="1"/>
    </xf>
    <xf numFmtId="0" fontId="183" fillId="68" borderId="39" xfId="0" applyFont="1" applyFill="1" applyBorder="1" applyAlignment="1">
      <alignment horizontal="center" vertical="center" wrapText="1"/>
    </xf>
    <xf numFmtId="0" fontId="183" fillId="73" borderId="39" xfId="0" applyFont="1" applyFill="1" applyBorder="1" applyAlignment="1">
      <alignment horizontal="center" vertical="center" wrapText="1"/>
    </xf>
    <xf numFmtId="0" fontId="183" fillId="14" borderId="39" xfId="0" quotePrefix="1" applyFont="1" applyFill="1" applyBorder="1" applyAlignment="1">
      <alignment horizontal="center" vertical="center" wrapText="1"/>
    </xf>
    <xf numFmtId="0" fontId="183" fillId="14" borderId="40" xfId="0" quotePrefix="1" applyFont="1" applyFill="1" applyBorder="1" applyAlignment="1">
      <alignment horizontal="center" vertical="center" wrapText="1"/>
    </xf>
    <xf numFmtId="0" fontId="183" fillId="15" borderId="39" xfId="0" applyFont="1" applyFill="1" applyBorder="1" applyAlignment="1">
      <alignment horizontal="center" vertical="center" wrapText="1"/>
    </xf>
    <xf numFmtId="0" fontId="184" fillId="57" borderId="39" xfId="0" applyFont="1" applyFill="1" applyBorder="1" applyAlignment="1">
      <alignment horizontal="center" vertical="center" wrapText="1"/>
    </xf>
    <xf numFmtId="0" fontId="177" fillId="14" borderId="39" xfId="0" applyFont="1" applyFill="1" applyBorder="1" applyAlignment="1">
      <alignment horizontal="center" vertical="center" wrapText="1"/>
    </xf>
    <xf numFmtId="0" fontId="179" fillId="57" borderId="80" xfId="0" applyFont="1" applyFill="1" applyBorder="1" applyAlignment="1">
      <alignment horizontal="center" vertical="center" wrapText="1"/>
    </xf>
    <xf numFmtId="0" fontId="180" fillId="0" borderId="7" xfId="0" applyFont="1" applyBorder="1" applyAlignment="1">
      <alignment vertical="center" wrapText="1"/>
    </xf>
    <xf numFmtId="9" fontId="181" fillId="9" borderId="7" xfId="0" applyNumberFormat="1" applyFont="1" applyFill="1" applyBorder="1" applyAlignment="1">
      <alignment horizontal="center" vertical="center" wrapText="1"/>
    </xf>
    <xf numFmtId="9" fontId="179" fillId="38" borderId="43" xfId="0" applyNumberFormat="1" applyFont="1" applyFill="1" applyBorder="1" applyAlignment="1">
      <alignment horizontal="center" vertical="center" wrapText="1"/>
    </xf>
    <xf numFmtId="0" fontId="179" fillId="72" borderId="43" xfId="0" applyFont="1" applyFill="1" applyBorder="1" applyAlignment="1">
      <alignment horizontal="center" vertical="center" wrapText="1"/>
    </xf>
    <xf numFmtId="9" fontId="177" fillId="9" borderId="7" xfId="0" applyNumberFormat="1" applyFont="1" applyFill="1" applyBorder="1"/>
    <xf numFmtId="9" fontId="183" fillId="0" borderId="7" xfId="0" applyNumberFormat="1" applyFont="1" applyBorder="1" applyAlignment="1">
      <alignment horizontal="center" vertical="center"/>
    </xf>
    <xf numFmtId="1" fontId="183" fillId="43" borderId="39" xfId="0" applyNumberFormat="1" applyFont="1" applyFill="1" applyBorder="1" applyAlignment="1">
      <alignment horizontal="center" vertical="center" wrapText="1"/>
    </xf>
    <xf numFmtId="1" fontId="183" fillId="50" borderId="82" xfId="0" applyNumberFormat="1" applyFont="1" applyFill="1" applyBorder="1" applyAlignment="1">
      <alignment horizontal="center" vertical="center" wrapText="1"/>
    </xf>
    <xf numFmtId="1" fontId="183" fillId="44" borderId="82" xfId="0" applyNumberFormat="1" applyFont="1" applyFill="1" applyBorder="1" applyAlignment="1">
      <alignment horizontal="center" vertical="center" wrapText="1"/>
    </xf>
    <xf numFmtId="1" fontId="183" fillId="71" borderId="82" xfId="0" applyNumberFormat="1" applyFont="1" applyFill="1" applyBorder="1" applyAlignment="1">
      <alignment horizontal="center" vertical="center" wrapText="1"/>
    </xf>
    <xf numFmtId="9" fontId="178" fillId="0" borderId="7" xfId="0" applyNumberFormat="1" applyFont="1" applyBorder="1" applyAlignment="1">
      <alignment vertical="center"/>
    </xf>
    <xf numFmtId="9" fontId="183" fillId="43" borderId="40" xfId="0" applyNumberFormat="1" applyFont="1" applyFill="1" applyBorder="1" applyAlignment="1">
      <alignment horizontal="center" vertical="center" wrapText="1"/>
    </xf>
    <xf numFmtId="9" fontId="183" fillId="50" borderId="40" xfId="0" applyNumberFormat="1" applyFont="1" applyFill="1" applyBorder="1" applyAlignment="1">
      <alignment horizontal="center" vertical="center" wrapText="1"/>
    </xf>
    <xf numFmtId="9" fontId="183" fillId="44" borderId="40" xfId="0" applyNumberFormat="1" applyFont="1" applyFill="1" applyBorder="1" applyAlignment="1">
      <alignment horizontal="center" vertical="center" wrapText="1"/>
    </xf>
    <xf numFmtId="9" fontId="183" fillId="71" borderId="40" xfId="0" applyNumberFormat="1" applyFont="1" applyFill="1" applyBorder="1" applyAlignment="1">
      <alignment horizontal="center" vertical="center" wrapText="1"/>
    </xf>
    <xf numFmtId="1" fontId="183" fillId="50" borderId="39" xfId="0" applyNumberFormat="1" applyFont="1" applyFill="1" applyBorder="1" applyAlignment="1">
      <alignment horizontal="center" vertical="center" wrapText="1"/>
    </xf>
    <xf numFmtId="1" fontId="183" fillId="44" borderId="39" xfId="0" applyNumberFormat="1" applyFont="1" applyFill="1" applyBorder="1" applyAlignment="1">
      <alignment horizontal="center" vertical="center" wrapText="1"/>
    </xf>
    <xf numFmtId="1" fontId="183" fillId="71" borderId="39" xfId="0" applyNumberFormat="1" applyFont="1" applyFill="1" applyBorder="1" applyAlignment="1">
      <alignment horizontal="center" vertical="center" wrapText="1"/>
    </xf>
    <xf numFmtId="9" fontId="177" fillId="0" borderId="7" xfId="0" applyNumberFormat="1" applyFont="1" applyBorder="1" applyAlignment="1">
      <alignment horizontal="center" vertical="center"/>
    </xf>
    <xf numFmtId="9" fontId="183" fillId="43" borderId="80" xfId="0" applyNumberFormat="1" applyFont="1" applyFill="1" applyBorder="1" applyAlignment="1">
      <alignment horizontal="center" vertical="center" wrapText="1"/>
    </xf>
    <xf numFmtId="9" fontId="183" fillId="50" borderId="80" xfId="0" applyNumberFormat="1" applyFont="1" applyFill="1" applyBorder="1" applyAlignment="1">
      <alignment horizontal="center" vertical="center" wrapText="1"/>
    </xf>
    <xf numFmtId="9" fontId="183" fillId="44" borderId="80" xfId="0" applyNumberFormat="1" applyFont="1" applyFill="1" applyBorder="1" applyAlignment="1">
      <alignment horizontal="center" vertical="center" wrapText="1"/>
    </xf>
    <xf numFmtId="9" fontId="183" fillId="71" borderId="80" xfId="0" applyNumberFormat="1" applyFont="1" applyFill="1" applyBorder="1" applyAlignment="1">
      <alignment horizontal="center" vertical="center" wrapText="1"/>
    </xf>
    <xf numFmtId="1" fontId="183" fillId="43" borderId="40" xfId="0" applyNumberFormat="1" applyFont="1" applyFill="1" applyBorder="1" applyAlignment="1">
      <alignment horizontal="center" vertical="center" wrapText="1"/>
    </xf>
    <xf numFmtId="1" fontId="183" fillId="50" borderId="40" xfId="0" applyNumberFormat="1" applyFont="1" applyFill="1" applyBorder="1" applyAlignment="1">
      <alignment horizontal="center" vertical="center" wrapText="1"/>
    </xf>
    <xf numFmtId="1" fontId="183" fillId="44" borderId="40" xfId="0" applyNumberFormat="1" applyFont="1" applyFill="1" applyBorder="1" applyAlignment="1">
      <alignment horizontal="center" vertical="center" wrapText="1"/>
    </xf>
    <xf numFmtId="1" fontId="183" fillId="71" borderId="40" xfId="0" applyNumberFormat="1" applyFont="1" applyFill="1" applyBorder="1" applyAlignment="1">
      <alignment horizontal="center" vertical="center" wrapText="1"/>
    </xf>
    <xf numFmtId="9" fontId="183" fillId="0" borderId="7" xfId="0" applyNumberFormat="1" applyFont="1" applyBorder="1" applyAlignment="1">
      <alignment horizontal="center" vertical="center" wrapText="1"/>
    </xf>
    <xf numFmtId="9" fontId="177" fillId="0" borderId="7" xfId="0" applyNumberFormat="1" applyFont="1" applyBorder="1" applyAlignment="1">
      <alignment horizontal="center" vertical="center" wrapText="1"/>
    </xf>
    <xf numFmtId="9" fontId="183" fillId="50" borderId="39" xfId="0" applyNumberFormat="1" applyFont="1" applyFill="1" applyBorder="1" applyAlignment="1">
      <alignment horizontal="center" vertical="center" wrapText="1"/>
    </xf>
    <xf numFmtId="9" fontId="183" fillId="44" borderId="39" xfId="0" applyNumberFormat="1" applyFont="1" applyFill="1" applyBorder="1" applyAlignment="1">
      <alignment horizontal="center" vertical="center" wrapText="1"/>
    </xf>
    <xf numFmtId="9" fontId="183" fillId="71" borderId="39" xfId="0" applyNumberFormat="1" applyFont="1" applyFill="1" applyBorder="1" applyAlignment="1">
      <alignment horizontal="center" vertical="center" wrapText="1"/>
    </xf>
    <xf numFmtId="9" fontId="183" fillId="43" borderId="80" xfId="5" applyFont="1" applyFill="1" applyBorder="1" applyAlignment="1">
      <alignment horizontal="center" vertical="center" wrapText="1"/>
    </xf>
    <xf numFmtId="9" fontId="183" fillId="56" borderId="80" xfId="0" applyNumberFormat="1" applyFont="1" applyFill="1" applyBorder="1" applyAlignment="1">
      <alignment horizontal="center" vertical="center" wrapText="1"/>
    </xf>
    <xf numFmtId="1" fontId="183" fillId="43" borderId="80" xfId="0" applyNumberFormat="1" applyFont="1" applyFill="1" applyBorder="1" applyAlignment="1">
      <alignment horizontal="center" vertical="center" wrapText="1"/>
    </xf>
    <xf numFmtId="9" fontId="183" fillId="56" borderId="81" xfId="0" applyNumberFormat="1" applyFont="1" applyFill="1" applyBorder="1" applyAlignment="1">
      <alignment horizontal="center" vertical="center" wrapText="1"/>
    </xf>
    <xf numFmtId="9" fontId="183" fillId="44" borderId="81" xfId="0" applyNumberFormat="1" applyFont="1" applyFill="1" applyBorder="1" applyAlignment="1">
      <alignment horizontal="center" vertical="center" wrapText="1"/>
    </xf>
    <xf numFmtId="9" fontId="183" fillId="71" borderId="81" xfId="0" applyNumberFormat="1" applyFont="1" applyFill="1" applyBorder="1" applyAlignment="1">
      <alignment horizontal="center" vertical="center" wrapText="1"/>
    </xf>
    <xf numFmtId="0" fontId="184" fillId="40" borderId="43" xfId="0" applyFont="1" applyFill="1" applyBorder="1" applyAlignment="1">
      <alignment horizontal="center" vertical="center" wrapText="1"/>
    </xf>
    <xf numFmtId="9" fontId="179" fillId="0" borderId="83" xfId="0" applyNumberFormat="1" applyFont="1" applyBorder="1" applyAlignment="1">
      <alignment horizontal="center" vertical="center" wrapText="1"/>
    </xf>
    <xf numFmtId="9" fontId="179" fillId="65" borderId="103" xfId="0" applyNumberFormat="1" applyFont="1" applyFill="1" applyBorder="1" applyAlignment="1">
      <alignment horizontal="center" vertical="center" wrapText="1"/>
    </xf>
    <xf numFmtId="165" fontId="181" fillId="67" borderId="104" xfId="0" applyNumberFormat="1" applyFont="1" applyFill="1" applyBorder="1" applyAlignment="1">
      <alignment horizontal="center" vertical="center" wrapText="1"/>
    </xf>
    <xf numFmtId="1" fontId="181" fillId="65" borderId="104" xfId="0" applyNumberFormat="1" applyFont="1" applyFill="1" applyBorder="1" applyAlignment="1">
      <alignment horizontal="center" vertical="center" wrapText="1"/>
    </xf>
    <xf numFmtId="174" fontId="181" fillId="9" borderId="30" xfId="0" applyNumberFormat="1" applyFont="1" applyFill="1" applyBorder="1" applyAlignment="1">
      <alignment horizontal="center" vertical="center" wrapText="1"/>
    </xf>
    <xf numFmtId="174" fontId="181" fillId="65" borderId="105" xfId="0" applyNumberFormat="1" applyFont="1" applyFill="1" applyBorder="1" applyAlignment="1">
      <alignment horizontal="center" vertical="center" wrapText="1"/>
    </xf>
    <xf numFmtId="9" fontId="179" fillId="0" borderId="94" xfId="0" applyNumberFormat="1" applyFont="1" applyBorder="1" applyAlignment="1">
      <alignment vertical="center" wrapText="1"/>
    </xf>
    <xf numFmtId="0" fontId="183" fillId="43" borderId="106" xfId="0" applyFont="1" applyFill="1" applyBorder="1" applyAlignment="1">
      <alignment horizontal="center" vertical="center" wrapText="1"/>
    </xf>
    <xf numFmtId="0" fontId="183" fillId="50" borderId="106" xfId="0" applyFont="1" applyFill="1" applyBorder="1" applyAlignment="1">
      <alignment horizontal="center" vertical="center" wrapText="1"/>
    </xf>
    <xf numFmtId="0" fontId="183" fillId="44" borderId="106" xfId="0" applyFont="1" applyFill="1" applyBorder="1" applyAlignment="1">
      <alignment horizontal="center" vertical="center" wrapText="1"/>
    </xf>
    <xf numFmtId="0" fontId="183" fillId="71" borderId="106" xfId="0" applyFont="1" applyFill="1" applyBorder="1" applyAlignment="1">
      <alignment horizontal="center" vertical="center" wrapText="1"/>
    </xf>
    <xf numFmtId="0" fontId="183" fillId="43" borderId="107" xfId="0" applyFont="1" applyFill="1" applyBorder="1" applyAlignment="1">
      <alignment horizontal="center" vertical="center" wrapText="1"/>
    </xf>
    <xf numFmtId="0" fontId="183" fillId="50" borderId="107" xfId="0" applyFont="1" applyFill="1" applyBorder="1" applyAlignment="1">
      <alignment horizontal="center" vertical="center" wrapText="1"/>
    </xf>
    <xf numFmtId="0" fontId="183" fillId="44" borderId="107" xfId="0" applyFont="1" applyFill="1" applyBorder="1" applyAlignment="1">
      <alignment horizontal="center" vertical="center" wrapText="1"/>
    </xf>
    <xf numFmtId="0" fontId="183" fillId="71" borderId="107" xfId="0" applyFont="1" applyFill="1" applyBorder="1" applyAlignment="1">
      <alignment horizontal="center" vertical="center" wrapText="1"/>
    </xf>
    <xf numFmtId="0" fontId="183" fillId="43" borderId="108" xfId="0" applyFont="1" applyFill="1" applyBorder="1" applyAlignment="1">
      <alignment horizontal="center" vertical="center" wrapText="1"/>
    </xf>
    <xf numFmtId="0" fontId="183" fillId="50" borderId="108" xfId="0" applyFont="1" applyFill="1" applyBorder="1" applyAlignment="1">
      <alignment horizontal="center" vertical="center" wrapText="1"/>
    </xf>
    <xf numFmtId="0" fontId="183" fillId="44" borderId="108" xfId="0" applyFont="1" applyFill="1" applyBorder="1" applyAlignment="1">
      <alignment horizontal="center" vertical="center" wrapText="1"/>
    </xf>
    <xf numFmtId="0" fontId="183" fillId="71" borderId="108" xfId="0" applyFont="1" applyFill="1" applyBorder="1" applyAlignment="1">
      <alignment horizontal="center" vertical="center" wrapText="1"/>
    </xf>
    <xf numFmtId="0" fontId="183" fillId="55" borderId="41" xfId="0" applyFont="1" applyFill="1" applyBorder="1" applyAlignment="1">
      <alignment horizontal="center" vertical="center"/>
    </xf>
    <xf numFmtId="0" fontId="183" fillId="56" borderId="41" xfId="0" applyFont="1" applyFill="1" applyBorder="1" applyAlignment="1">
      <alignment horizontal="center" vertical="center"/>
    </xf>
    <xf numFmtId="0" fontId="183" fillId="68" borderId="41" xfId="0" applyFont="1" applyFill="1" applyBorder="1" applyAlignment="1">
      <alignment horizontal="center" vertical="center"/>
    </xf>
    <xf numFmtId="0" fontId="183" fillId="73" borderId="114" xfId="0" applyFont="1" applyFill="1" applyBorder="1" applyAlignment="1">
      <alignment horizontal="center" vertical="center"/>
    </xf>
    <xf numFmtId="0" fontId="183" fillId="73" borderId="41" xfId="0" applyFont="1" applyFill="1" applyBorder="1" applyAlignment="1">
      <alignment horizontal="center" vertical="center"/>
    </xf>
    <xf numFmtId="9" fontId="181" fillId="9" borderId="7" xfId="0" applyNumberFormat="1" applyFont="1" applyFill="1" applyBorder="1" applyAlignment="1">
      <alignment horizontal="left" vertical="center" wrapText="1"/>
    </xf>
    <xf numFmtId="1" fontId="183" fillId="50" borderId="75" xfId="0" applyNumberFormat="1" applyFont="1" applyFill="1" applyBorder="1" applyAlignment="1">
      <alignment horizontal="center" vertical="center" wrapText="1"/>
    </xf>
    <xf numFmtId="1" fontId="183" fillId="50" borderId="84" xfId="0" applyNumberFormat="1" applyFont="1" applyFill="1" applyBorder="1" applyAlignment="1">
      <alignment horizontal="center" vertical="center" wrapText="1"/>
    </xf>
    <xf numFmtId="1" fontId="183" fillId="43" borderId="28" xfId="0" applyNumberFormat="1" applyFont="1" applyFill="1" applyBorder="1" applyAlignment="1">
      <alignment horizontal="center" vertical="center" wrapText="1"/>
    </xf>
    <xf numFmtId="9" fontId="183" fillId="43" borderId="29" xfId="5" applyFont="1" applyFill="1" applyBorder="1" applyAlignment="1">
      <alignment horizontal="center" vertical="center" wrapText="1"/>
    </xf>
    <xf numFmtId="9" fontId="183" fillId="50" borderId="80" xfId="5" applyFont="1" applyFill="1" applyBorder="1" applyAlignment="1">
      <alignment horizontal="center" vertical="center" wrapText="1"/>
    </xf>
    <xf numFmtId="9" fontId="183" fillId="44" borderId="80" xfId="5" applyFont="1" applyFill="1" applyBorder="1" applyAlignment="1">
      <alignment horizontal="center" vertical="center" wrapText="1"/>
    </xf>
    <xf numFmtId="9" fontId="183" fillId="71" borderId="80" xfId="5" applyFont="1" applyFill="1" applyBorder="1" applyAlignment="1">
      <alignment horizontal="center" vertical="center" wrapText="1"/>
    </xf>
    <xf numFmtId="2" fontId="183" fillId="43" borderId="30" xfId="5" applyNumberFormat="1" applyFont="1" applyFill="1" applyBorder="1" applyAlignment="1">
      <alignment horizontal="center" vertical="center" wrapText="1"/>
    </xf>
    <xf numFmtId="2" fontId="183" fillId="50" borderId="40" xfId="5" applyNumberFormat="1" applyFont="1" applyFill="1" applyBorder="1" applyAlignment="1">
      <alignment horizontal="center" vertical="center" wrapText="1"/>
    </xf>
    <xf numFmtId="2" fontId="183" fillId="44" borderId="40" xfId="5" applyNumberFormat="1" applyFont="1" applyFill="1" applyBorder="1" applyAlignment="1">
      <alignment horizontal="center" vertical="center" wrapText="1"/>
    </xf>
    <xf numFmtId="2" fontId="183" fillId="71" borderId="40" xfId="5" applyNumberFormat="1" applyFont="1" applyFill="1" applyBorder="1" applyAlignment="1">
      <alignment horizontal="center" vertical="center" wrapText="1"/>
    </xf>
    <xf numFmtId="10" fontId="183" fillId="55" borderId="39" xfId="0" applyNumberFormat="1" applyFont="1" applyFill="1" applyBorder="1" applyAlignment="1">
      <alignment horizontal="center" vertical="center" wrapText="1"/>
    </xf>
    <xf numFmtId="10" fontId="183" fillId="56" borderId="39" xfId="0" applyNumberFormat="1" applyFont="1" applyFill="1" applyBorder="1" applyAlignment="1">
      <alignment horizontal="center" vertical="center" wrapText="1"/>
    </xf>
    <xf numFmtId="10" fontId="183" fillId="68" borderId="39" xfId="5" applyNumberFormat="1" applyFont="1" applyFill="1" applyBorder="1" applyAlignment="1">
      <alignment horizontal="center" vertical="center" wrapText="1"/>
    </xf>
    <xf numFmtId="10" fontId="183" fillId="73" borderId="39" xfId="0" applyNumberFormat="1" applyFont="1" applyFill="1" applyBorder="1" applyAlignment="1">
      <alignment horizontal="center" vertical="center" wrapText="1"/>
    </xf>
    <xf numFmtId="10" fontId="183" fillId="43" borderId="40" xfId="5" applyNumberFormat="1" applyFont="1" applyFill="1" applyBorder="1" applyAlignment="1">
      <alignment horizontal="center" vertical="center" wrapText="1"/>
    </xf>
    <xf numFmtId="10" fontId="183" fillId="56" borderId="40" xfId="0" applyNumberFormat="1" applyFont="1" applyFill="1" applyBorder="1" applyAlignment="1">
      <alignment horizontal="center" vertical="center" wrapText="1"/>
    </xf>
    <xf numFmtId="10" fontId="183" fillId="68" borderId="40" xfId="0" applyNumberFormat="1" applyFont="1" applyFill="1" applyBorder="1" applyAlignment="1">
      <alignment horizontal="center" vertical="center" wrapText="1"/>
    </xf>
    <xf numFmtId="10" fontId="183" fillId="73" borderId="40" xfId="0" applyNumberFormat="1" applyFont="1" applyFill="1" applyBorder="1" applyAlignment="1">
      <alignment horizontal="center" vertical="center" wrapText="1"/>
    </xf>
    <xf numFmtId="10" fontId="183" fillId="43" borderId="39" xfId="5" applyNumberFormat="1" applyFont="1" applyFill="1" applyBorder="1" applyAlignment="1">
      <alignment horizontal="center" vertical="center" wrapText="1"/>
    </xf>
    <xf numFmtId="0" fontId="181" fillId="0" borderId="0" xfId="0" applyFont="1" applyAlignment="1">
      <alignment horizontal="center" vertical="center"/>
    </xf>
    <xf numFmtId="0" fontId="184" fillId="20" borderId="38" xfId="0" applyFont="1" applyFill="1" applyBorder="1" applyAlignment="1">
      <alignment horizontal="center" vertical="center" wrapText="1"/>
    </xf>
    <xf numFmtId="0" fontId="184" fillId="39" borderId="38" xfId="0" applyFont="1" applyFill="1" applyBorder="1" applyAlignment="1">
      <alignment horizontal="center" vertical="center" wrapText="1"/>
    </xf>
    <xf numFmtId="0" fontId="184" fillId="40" borderId="38" xfId="0" applyFont="1" applyFill="1" applyBorder="1" applyAlignment="1">
      <alignment horizontal="center" vertical="center" wrapText="1"/>
    </xf>
    <xf numFmtId="0" fontId="184" fillId="66" borderId="73" xfId="0" applyFont="1" applyFill="1" applyBorder="1" applyAlignment="1">
      <alignment horizontal="center" vertical="center" wrapText="1"/>
    </xf>
    <xf numFmtId="0" fontId="179" fillId="9" borderId="124" xfId="0" applyFont="1" applyFill="1" applyBorder="1" applyAlignment="1">
      <alignment horizontal="center" vertical="center" wrapText="1"/>
    </xf>
    <xf numFmtId="0" fontId="181" fillId="9" borderId="0" xfId="0" applyFont="1" applyFill="1" applyAlignment="1">
      <alignment horizontal="center" vertical="center"/>
    </xf>
    <xf numFmtId="176" fontId="180" fillId="9" borderId="124" xfId="0" applyNumberFormat="1" applyFont="1" applyFill="1" applyBorder="1" applyAlignment="1">
      <alignment horizontal="center" vertical="center" shrinkToFit="1"/>
    </xf>
    <xf numFmtId="176" fontId="180" fillId="9" borderId="131" xfId="0" applyNumberFormat="1" applyFont="1" applyFill="1" applyBorder="1" applyAlignment="1">
      <alignment horizontal="center" vertical="center" shrinkToFit="1"/>
    </xf>
    <xf numFmtId="176" fontId="180" fillId="9" borderId="74" xfId="0" applyNumberFormat="1" applyFont="1" applyFill="1" applyBorder="1" applyAlignment="1">
      <alignment horizontal="center" vertical="center" shrinkToFit="1"/>
    </xf>
    <xf numFmtId="0" fontId="179" fillId="9" borderId="80" xfId="0" applyFont="1" applyFill="1" applyBorder="1" applyAlignment="1">
      <alignment horizontal="center" vertical="center" wrapText="1"/>
    </xf>
    <xf numFmtId="0" fontId="179" fillId="9" borderId="125" xfId="0" applyFont="1" applyFill="1" applyBorder="1" applyAlignment="1">
      <alignment horizontal="center" vertical="center" wrapText="1"/>
    </xf>
    <xf numFmtId="0" fontId="179" fillId="75" borderId="103" xfId="0" applyFont="1" applyFill="1" applyBorder="1" applyAlignment="1">
      <alignment horizontal="center" vertical="center" wrapText="1"/>
    </xf>
    <xf numFmtId="176" fontId="180" fillId="65" borderId="121" xfId="0" applyNumberFormat="1" applyFont="1" applyFill="1" applyBorder="1" applyAlignment="1">
      <alignment horizontal="center" vertical="center" shrinkToFit="1"/>
    </xf>
    <xf numFmtId="0" fontId="179" fillId="75" borderId="104" xfId="0" applyFont="1" applyFill="1" applyBorder="1" applyAlignment="1">
      <alignment horizontal="center" vertical="center" wrapText="1"/>
    </xf>
    <xf numFmtId="0" fontId="183" fillId="44" borderId="74" xfId="0" applyFont="1" applyFill="1" applyBorder="1" applyAlignment="1">
      <alignment horizontal="center" vertical="center" wrapText="1"/>
    </xf>
    <xf numFmtId="176" fontId="180" fillId="65" borderId="74" xfId="0" applyNumberFormat="1" applyFont="1" applyFill="1" applyBorder="1" applyAlignment="1">
      <alignment horizontal="center" vertical="center" shrinkToFit="1"/>
    </xf>
    <xf numFmtId="0" fontId="183" fillId="43" borderId="125" xfId="0" applyFont="1" applyFill="1" applyBorder="1" applyAlignment="1">
      <alignment horizontal="center" vertical="center" wrapText="1"/>
    </xf>
    <xf numFmtId="0" fontId="183" fillId="50" borderId="125" xfId="0" applyFont="1" applyFill="1" applyBorder="1" applyAlignment="1">
      <alignment horizontal="center" vertical="center" wrapText="1"/>
    </xf>
    <xf numFmtId="0" fontId="183" fillId="44" borderId="130" xfId="0" applyFont="1" applyFill="1" applyBorder="1" applyAlignment="1">
      <alignment horizontal="center" vertical="center" wrapText="1"/>
    </xf>
    <xf numFmtId="176" fontId="180" fillId="65" borderId="130" xfId="0" applyNumberFormat="1" applyFont="1" applyFill="1" applyBorder="1" applyAlignment="1">
      <alignment horizontal="center" vertical="center" shrinkToFit="1"/>
    </xf>
    <xf numFmtId="0" fontId="183" fillId="44" borderId="75" xfId="0" applyFont="1" applyFill="1" applyBorder="1" applyAlignment="1">
      <alignment horizontal="center" vertical="center" wrapText="1"/>
    </xf>
    <xf numFmtId="176" fontId="180" fillId="65" borderId="75" xfId="0" applyNumberFormat="1" applyFont="1" applyFill="1" applyBorder="1" applyAlignment="1">
      <alignment horizontal="center" vertical="center" shrinkToFit="1"/>
    </xf>
    <xf numFmtId="0" fontId="183" fillId="44" borderId="76" xfId="0" applyFont="1" applyFill="1" applyBorder="1" applyAlignment="1">
      <alignment horizontal="center" vertical="center" wrapText="1"/>
    </xf>
    <xf numFmtId="176" fontId="180" fillId="65" borderId="76" xfId="0" applyNumberFormat="1" applyFont="1" applyFill="1" applyBorder="1" applyAlignment="1">
      <alignment horizontal="center" vertical="center" shrinkToFit="1"/>
    </xf>
    <xf numFmtId="9" fontId="180" fillId="9" borderId="92" xfId="0" applyNumberFormat="1" applyFont="1" applyFill="1" applyBorder="1" applyAlignment="1">
      <alignment horizontal="center" vertical="center" wrapText="1"/>
    </xf>
    <xf numFmtId="9" fontId="177" fillId="0" borderId="86" xfId="0" applyNumberFormat="1" applyFont="1" applyBorder="1"/>
    <xf numFmtId="9" fontId="177" fillId="50" borderId="43" xfId="0" applyNumberFormat="1" applyFont="1" applyFill="1" applyBorder="1"/>
    <xf numFmtId="0" fontId="183" fillId="43" borderId="38" xfId="0" applyFont="1" applyFill="1" applyBorder="1" applyAlignment="1">
      <alignment horizontal="center" vertical="center" wrapText="1"/>
    </xf>
    <xf numFmtId="176" fontId="181" fillId="50" borderId="38" xfId="0" applyNumberFormat="1" applyFont="1" applyFill="1" applyBorder="1" applyAlignment="1">
      <alignment horizontal="center" vertical="center" shrinkToFit="1"/>
    </xf>
    <xf numFmtId="176" fontId="181" fillId="44" borderId="73" xfId="0" applyNumberFormat="1" applyFont="1" applyFill="1" applyBorder="1" applyAlignment="1">
      <alignment horizontal="center" vertical="center" shrinkToFit="1"/>
    </xf>
    <xf numFmtId="176" fontId="180" fillId="65" borderId="73" xfId="0" applyNumberFormat="1" applyFont="1" applyFill="1" applyBorder="1" applyAlignment="1">
      <alignment horizontal="center" vertical="center" shrinkToFit="1"/>
    </xf>
    <xf numFmtId="0" fontId="179" fillId="75" borderId="105" xfId="0" applyFont="1" applyFill="1" applyBorder="1" applyAlignment="1">
      <alignment horizontal="center" vertical="center" wrapText="1"/>
    </xf>
    <xf numFmtId="0" fontId="186" fillId="43" borderId="39" xfId="0" applyFont="1" applyFill="1" applyBorder="1" applyAlignment="1">
      <alignment horizontal="center" vertical="center" wrapText="1"/>
    </xf>
    <xf numFmtId="0" fontId="181" fillId="50" borderId="39" xfId="0" applyFont="1" applyFill="1" applyBorder="1" applyAlignment="1">
      <alignment horizontal="center" vertical="center" wrapText="1"/>
    </xf>
    <xf numFmtId="0" fontId="181" fillId="44" borderId="75" xfId="0" applyFont="1" applyFill="1" applyBorder="1" applyAlignment="1">
      <alignment horizontal="center" vertical="center" wrapText="1"/>
    </xf>
    <xf numFmtId="0" fontId="186" fillId="43" borderId="125" xfId="0" applyFont="1" applyFill="1" applyBorder="1" applyAlignment="1">
      <alignment horizontal="center" vertical="center" wrapText="1"/>
    </xf>
    <xf numFmtId="0" fontId="181" fillId="50" borderId="125" xfId="0" applyFont="1" applyFill="1" applyBorder="1" applyAlignment="1">
      <alignment horizontal="center" vertical="center" wrapText="1"/>
    </xf>
    <xf numFmtId="0" fontId="181" fillId="44" borderId="130" xfId="0" applyFont="1" applyFill="1" applyBorder="1" applyAlignment="1">
      <alignment horizontal="center" vertical="center" wrapText="1"/>
    </xf>
    <xf numFmtId="0" fontId="180" fillId="0" borderId="0" xfId="0" applyFont="1" applyAlignment="1">
      <alignment horizontal="left" vertical="center"/>
    </xf>
    <xf numFmtId="0" fontId="181" fillId="0" borderId="0" xfId="0" applyFont="1" applyAlignment="1">
      <alignment horizontal="left" vertical="center"/>
    </xf>
    <xf numFmtId="0" fontId="187" fillId="0" borderId="0" xfId="4" applyFont="1" applyAlignment="1">
      <alignment horizontal="center" vertical="center"/>
    </xf>
    <xf numFmtId="0" fontId="187" fillId="0" borderId="0" xfId="4" applyFont="1" applyAlignment="1">
      <alignment horizontal="left" vertical="center"/>
    </xf>
    <xf numFmtId="0" fontId="127" fillId="0" borderId="0" xfId="0" applyFont="1"/>
    <xf numFmtId="0" fontId="0" fillId="0" borderId="0" xfId="17" applyFont="1" applyBorder="1"/>
    <xf numFmtId="3" fontId="65" fillId="0" borderId="22" xfId="0" applyNumberFormat="1" applyFont="1" applyBorder="1" applyAlignment="1">
      <alignment horizontal="center"/>
    </xf>
    <xf numFmtId="0" fontId="65" fillId="0" borderId="22" xfId="0" applyFont="1" applyBorder="1" applyAlignment="1">
      <alignment horizontal="center"/>
    </xf>
    <xf numFmtId="0" fontId="65" fillId="0" borderId="21" xfId="0" applyFont="1" applyBorder="1" applyAlignment="1">
      <alignment horizontal="center"/>
    </xf>
    <xf numFmtId="0" fontId="64" fillId="62" borderId="22" xfId="0" applyFont="1" applyFill="1" applyBorder="1" applyAlignment="1">
      <alignment horizontal="center" wrapText="1"/>
    </xf>
    <xf numFmtId="0" fontId="64" fillId="62" borderId="21" xfId="0" applyFont="1" applyFill="1" applyBorder="1" applyAlignment="1">
      <alignment horizontal="center" wrapText="1"/>
    </xf>
    <xf numFmtId="0" fontId="0" fillId="0" borderId="12" xfId="17" applyFont="1" applyBorder="1"/>
    <xf numFmtId="0" fontId="0" fillId="0" borderId="0" xfId="17" applyFont="1" applyBorder="1" applyAlignment="1">
      <alignment horizontal="center"/>
    </xf>
    <xf numFmtId="3" fontId="0" fillId="0" borderId="0" xfId="17" applyNumberFormat="1" applyFont="1" applyBorder="1"/>
    <xf numFmtId="0" fontId="152" fillId="0" borderId="0" xfId="17" applyFont="1" applyBorder="1"/>
    <xf numFmtId="3" fontId="0" fillId="0" borderId="0" xfId="17" applyNumberFormat="1" applyFont="1" applyBorder="1" applyAlignment="1">
      <alignment horizontal="center"/>
    </xf>
    <xf numFmtId="0" fontId="123" fillId="0" borderId="0" xfId="17" applyFont="1" applyBorder="1"/>
    <xf numFmtId="9" fontId="0" fillId="0" borderId="0" xfId="18" applyFont="1" applyBorder="1" applyAlignment="1">
      <alignment horizontal="center"/>
    </xf>
    <xf numFmtId="0" fontId="179" fillId="13" borderId="137" xfId="0" applyFont="1" applyFill="1" applyBorder="1" applyAlignment="1">
      <alignment horizontal="center" vertical="center" wrapText="1"/>
    </xf>
    <xf numFmtId="0" fontId="179" fillId="13" borderId="93" xfId="0" applyFont="1" applyFill="1" applyBorder="1" applyAlignment="1">
      <alignment horizontal="center" vertical="center"/>
    </xf>
    <xf numFmtId="0" fontId="182" fillId="48" borderId="38" xfId="0" applyFont="1" applyFill="1" applyBorder="1" applyAlignment="1">
      <alignment horizontal="center" vertical="center"/>
    </xf>
    <xf numFmtId="0" fontId="175" fillId="43" borderId="107" xfId="0" applyFont="1" applyFill="1" applyBorder="1" applyAlignment="1">
      <alignment horizontal="center" vertical="center" wrapText="1"/>
    </xf>
    <xf numFmtId="0" fontId="175" fillId="50" borderId="107" xfId="0" applyFont="1" applyFill="1" applyBorder="1" applyAlignment="1">
      <alignment horizontal="center" vertical="center" wrapText="1"/>
    </xf>
    <xf numFmtId="0" fontId="175" fillId="44" borderId="107" xfId="0" applyFont="1" applyFill="1" applyBorder="1" applyAlignment="1">
      <alignment horizontal="center" vertical="center" wrapText="1"/>
    </xf>
    <xf numFmtId="9" fontId="177" fillId="0" borderId="0" xfId="0" applyNumberFormat="1" applyFont="1" applyAlignment="1">
      <alignment horizontal="left"/>
    </xf>
    <xf numFmtId="9" fontId="180" fillId="9" borderId="142" xfId="0" applyNumberFormat="1" applyFont="1" applyFill="1" applyBorder="1" applyAlignment="1">
      <alignment horizontal="center" vertical="center" wrapText="1"/>
    </xf>
    <xf numFmtId="0" fontId="181" fillId="0" borderId="7" xfId="0" applyFont="1" applyBorder="1" applyAlignment="1">
      <alignment horizontal="center" vertical="center"/>
    </xf>
    <xf numFmtId="0" fontId="179" fillId="75" borderId="38" xfId="0" applyFont="1" applyFill="1" applyBorder="1" applyAlignment="1">
      <alignment horizontal="center" vertical="center" wrapText="1"/>
    </xf>
    <xf numFmtId="0" fontId="179" fillId="75" borderId="39" xfId="0" applyFont="1" applyFill="1" applyBorder="1" applyAlignment="1">
      <alignment horizontal="center" vertical="center" wrapText="1"/>
    </xf>
    <xf numFmtId="0" fontId="179" fillId="75" borderId="40" xfId="0" applyFont="1" applyFill="1" applyBorder="1" applyAlignment="1">
      <alignment horizontal="center" vertical="center" wrapText="1"/>
    </xf>
    <xf numFmtId="0" fontId="183" fillId="14" borderId="118" xfId="0" applyFont="1" applyFill="1" applyBorder="1" applyAlignment="1">
      <alignment horizontal="center" vertical="center" wrapText="1"/>
    </xf>
    <xf numFmtId="0" fontId="183" fillId="14" borderId="122" xfId="0" applyFont="1" applyFill="1" applyBorder="1" applyAlignment="1">
      <alignment horizontal="center" vertical="center" wrapText="1"/>
    </xf>
    <xf numFmtId="0" fontId="183" fillId="14" borderId="128" xfId="0" applyFont="1" applyFill="1" applyBorder="1" applyAlignment="1">
      <alignment horizontal="center" vertical="center" wrapText="1"/>
    </xf>
    <xf numFmtId="0" fontId="183" fillId="14" borderId="132" xfId="0" applyFont="1" applyFill="1" applyBorder="1" applyAlignment="1">
      <alignment horizontal="center" vertical="center" wrapText="1"/>
    </xf>
    <xf numFmtId="0" fontId="183" fillId="14" borderId="133" xfId="0" applyFont="1" applyFill="1" applyBorder="1" applyAlignment="1">
      <alignment horizontal="center" vertical="center" wrapText="1"/>
    </xf>
    <xf numFmtId="0" fontId="183" fillId="14" borderId="134" xfId="0" applyFont="1" applyFill="1" applyBorder="1" applyAlignment="1">
      <alignment horizontal="center" vertical="center" wrapText="1"/>
    </xf>
    <xf numFmtId="0" fontId="183" fillId="14" borderId="129" xfId="0" applyFont="1" applyFill="1" applyBorder="1" applyAlignment="1">
      <alignment horizontal="center" vertical="center" wrapText="1"/>
    </xf>
    <xf numFmtId="0" fontId="184" fillId="14" borderId="38" xfId="0" applyFont="1" applyFill="1" applyBorder="1" applyAlignment="1">
      <alignment horizontal="center" vertical="center" wrapText="1"/>
    </xf>
    <xf numFmtId="0" fontId="183" fillId="9" borderId="124" xfId="0" applyFont="1" applyFill="1" applyBorder="1" applyAlignment="1">
      <alignment horizontal="center" vertical="center" wrapText="1"/>
    </xf>
    <xf numFmtId="0" fontId="183" fillId="9" borderId="80" xfId="0" applyFont="1" applyFill="1" applyBorder="1" applyAlignment="1">
      <alignment horizontal="center" vertical="center" wrapText="1"/>
    </xf>
    <xf numFmtId="0" fontId="183" fillId="9" borderId="125" xfId="0" applyFont="1" applyFill="1" applyBorder="1" applyAlignment="1">
      <alignment horizontal="center" vertical="center" wrapText="1"/>
    </xf>
    <xf numFmtId="9" fontId="180" fillId="0" borderId="121" xfId="0" applyNumberFormat="1" applyFont="1" applyBorder="1" applyAlignment="1">
      <alignment horizontal="center" vertical="center" wrapText="1"/>
    </xf>
    <xf numFmtId="9" fontId="180" fillId="0" borderId="119" xfId="0" applyNumberFormat="1" applyFont="1" applyBorder="1" applyAlignment="1">
      <alignment horizontal="center" vertical="center" wrapText="1"/>
    </xf>
    <xf numFmtId="9" fontId="180" fillId="43" borderId="39" xfId="0" applyNumberFormat="1" applyFont="1" applyFill="1" applyBorder="1" applyAlignment="1">
      <alignment horizontal="center" vertical="center" wrapText="1"/>
    </xf>
    <xf numFmtId="9" fontId="180" fillId="43" borderId="80" xfId="0" applyNumberFormat="1" applyFont="1" applyFill="1" applyBorder="1" applyAlignment="1">
      <alignment horizontal="center" vertical="center" wrapText="1"/>
    </xf>
    <xf numFmtId="9" fontId="180" fillId="43" borderId="40" xfId="0" applyNumberFormat="1" applyFont="1" applyFill="1" applyBorder="1" applyAlignment="1">
      <alignment horizontal="center" vertical="center" wrapText="1"/>
    </xf>
    <xf numFmtId="0" fontId="179" fillId="75" borderId="144" xfId="0" applyFont="1" applyFill="1" applyBorder="1" applyAlignment="1">
      <alignment horizontal="center" vertical="center" wrapText="1"/>
    </xf>
    <xf numFmtId="0" fontId="179" fillId="75" borderId="145" xfId="0" applyFont="1" applyFill="1" applyBorder="1" applyAlignment="1">
      <alignment horizontal="center" vertical="center" wrapText="1"/>
    </xf>
    <xf numFmtId="0" fontId="179" fillId="75" borderId="147" xfId="0" applyFont="1" applyFill="1" applyBorder="1" applyAlignment="1">
      <alignment horizontal="center" vertical="center" wrapText="1"/>
    </xf>
    <xf numFmtId="176" fontId="181" fillId="9" borderId="80" xfId="0" applyNumberFormat="1" applyFont="1" applyFill="1" applyBorder="1" applyAlignment="1">
      <alignment horizontal="center" vertical="center" shrinkToFit="1"/>
    </xf>
    <xf numFmtId="176" fontId="181" fillId="9" borderId="74" xfId="0" applyNumberFormat="1" applyFont="1" applyFill="1" applyBorder="1" applyAlignment="1">
      <alignment horizontal="center" vertical="center" shrinkToFit="1"/>
    </xf>
    <xf numFmtId="1" fontId="181" fillId="9" borderId="80" xfId="0" applyNumberFormat="1" applyFont="1" applyFill="1" applyBorder="1" applyAlignment="1">
      <alignment horizontal="center" vertical="center" shrinkToFit="1"/>
    </xf>
    <xf numFmtId="1" fontId="181" fillId="9" borderId="74" xfId="0" applyNumberFormat="1" applyFont="1" applyFill="1" applyBorder="1" applyAlignment="1">
      <alignment horizontal="center" vertical="center" shrinkToFit="1"/>
    </xf>
    <xf numFmtId="177" fontId="181" fillId="9" borderId="125" xfId="0" applyNumberFormat="1" applyFont="1" applyFill="1" applyBorder="1" applyAlignment="1">
      <alignment horizontal="center" vertical="center" shrinkToFit="1"/>
    </xf>
    <xf numFmtId="176" fontId="181" fillId="9" borderId="125" xfId="0" applyNumberFormat="1" applyFont="1" applyFill="1" applyBorder="1" applyAlignment="1">
      <alignment horizontal="center" vertical="center" shrinkToFit="1"/>
    </xf>
    <xf numFmtId="176" fontId="181" fillId="9" borderId="130" xfId="0" applyNumberFormat="1" applyFont="1" applyFill="1" applyBorder="1" applyAlignment="1">
      <alignment horizontal="center" vertical="center" shrinkToFit="1"/>
    </xf>
    <xf numFmtId="0" fontId="183" fillId="43" borderId="103" xfId="0" applyFont="1" applyFill="1" applyBorder="1" applyAlignment="1">
      <alignment horizontal="center" vertical="center" wrapText="1"/>
    </xf>
    <xf numFmtId="0" fontId="183" fillId="50" borderId="103" xfId="0" applyFont="1" applyFill="1" applyBorder="1" applyAlignment="1">
      <alignment horizontal="center" vertical="center" wrapText="1"/>
    </xf>
    <xf numFmtId="0" fontId="183" fillId="44" borderId="121" xfId="0" applyFont="1" applyFill="1" applyBorder="1" applyAlignment="1">
      <alignment horizontal="center" vertical="center" wrapText="1"/>
    </xf>
    <xf numFmtId="0" fontId="183" fillId="14" borderId="103" xfId="0" applyFont="1" applyFill="1" applyBorder="1" applyAlignment="1">
      <alignment horizontal="center" vertical="center" wrapText="1"/>
    </xf>
    <xf numFmtId="0" fontId="165" fillId="77" borderId="12" xfId="14" applyFont="1" applyFill="1" applyBorder="1" applyAlignment="1">
      <alignment horizontal="center" vertical="center" wrapText="1"/>
    </xf>
    <xf numFmtId="0" fontId="0" fillId="0" borderId="14" xfId="14" applyFont="1" applyBorder="1" applyAlignment="1">
      <alignment horizontal="center" vertical="center" wrapText="1"/>
    </xf>
    <xf numFmtId="0" fontId="121" fillId="0" borderId="7" xfId="14" applyFont="1" applyAlignment="1">
      <alignment horizontal="center"/>
    </xf>
    <xf numFmtId="0" fontId="81" fillId="0" borderId="12" xfId="0" applyFont="1" applyBorder="1" applyAlignment="1">
      <alignment vertical="center" wrapText="1" readingOrder="1"/>
    </xf>
    <xf numFmtId="0" fontId="81" fillId="0" borderId="48" xfId="0" applyFont="1" applyBorder="1" applyAlignment="1">
      <alignment vertical="center" wrapText="1" readingOrder="1"/>
    </xf>
    <xf numFmtId="0" fontId="91" fillId="0" borderId="7" xfId="0" applyFont="1" applyBorder="1" applyAlignment="1">
      <alignment horizontal="center" vertical="center" wrapText="1"/>
    </xf>
    <xf numFmtId="0" fontId="95" fillId="45" borderId="12" xfId="0" applyFont="1" applyFill="1" applyBorder="1" applyAlignment="1">
      <alignment horizontal="center" vertical="center" wrapText="1"/>
    </xf>
    <xf numFmtId="0" fontId="95" fillId="45" borderId="48" xfId="0" applyFont="1" applyFill="1" applyBorder="1" applyAlignment="1">
      <alignment horizontal="center" vertical="center" wrapText="1"/>
    </xf>
    <xf numFmtId="0" fontId="77" fillId="40" borderId="49" xfId="0" applyFont="1" applyFill="1" applyBorder="1" applyAlignment="1">
      <alignment horizontal="center" vertical="center" wrapText="1" readingOrder="1"/>
    </xf>
    <xf numFmtId="0" fontId="77" fillId="40" borderId="15" xfId="0" applyFont="1" applyFill="1" applyBorder="1" applyAlignment="1">
      <alignment horizontal="center" vertical="center" wrapText="1" readingOrder="1"/>
    </xf>
    <xf numFmtId="0" fontId="71" fillId="42" borderId="12" xfId="0" applyFont="1" applyFill="1" applyBorder="1" applyAlignment="1">
      <alignment horizontal="center" vertical="center" wrapText="1" readingOrder="1"/>
    </xf>
    <xf numFmtId="0" fontId="77" fillId="20" borderId="49" xfId="0" applyFont="1" applyFill="1" applyBorder="1" applyAlignment="1">
      <alignment horizontal="center" vertical="center" wrapText="1" readingOrder="1"/>
    </xf>
    <xf numFmtId="0" fontId="77" fillId="20" borderId="15" xfId="0" applyFont="1" applyFill="1" applyBorder="1" applyAlignment="1">
      <alignment horizontal="center" vertical="center" wrapText="1" readingOrder="1"/>
    </xf>
    <xf numFmtId="0" fontId="77" fillId="38" borderId="49" xfId="0" applyFont="1" applyFill="1" applyBorder="1" applyAlignment="1">
      <alignment horizontal="center" vertical="center" wrapText="1" readingOrder="1"/>
    </xf>
    <xf numFmtId="0" fontId="77" fillId="38" borderId="15" xfId="0" applyFont="1" applyFill="1" applyBorder="1" applyAlignment="1">
      <alignment horizontal="center" vertical="center" wrapText="1" readingOrder="1"/>
    </xf>
    <xf numFmtId="49" fontId="90" fillId="0" borderId="12" xfId="0" applyNumberFormat="1" applyFont="1" applyBorder="1" applyAlignment="1">
      <alignment horizontal="center" vertical="center" wrapText="1" readingOrder="1"/>
    </xf>
    <xf numFmtId="0" fontId="77" fillId="39" borderId="49" xfId="0" applyFont="1" applyFill="1" applyBorder="1" applyAlignment="1">
      <alignment horizontal="center" vertical="center" wrapText="1" readingOrder="1"/>
    </xf>
    <xf numFmtId="0" fontId="77" fillId="39" borderId="15" xfId="0" applyFont="1" applyFill="1" applyBorder="1" applyAlignment="1">
      <alignment horizontal="center" vertical="center" wrapText="1" readingOrder="1"/>
    </xf>
    <xf numFmtId="0" fontId="79" fillId="49" borderId="23" xfId="0" applyFont="1" applyFill="1" applyBorder="1" applyAlignment="1">
      <alignment horizontal="center" vertical="center"/>
    </xf>
    <xf numFmtId="0" fontId="79" fillId="49" borderId="7" xfId="0" applyFont="1" applyFill="1" applyBorder="1" applyAlignment="1">
      <alignment horizontal="center" vertical="center"/>
    </xf>
    <xf numFmtId="49" fontId="90" fillId="0" borderId="13" xfId="0" applyNumberFormat="1" applyFont="1" applyBorder="1" applyAlignment="1">
      <alignment horizontal="center" vertical="center" wrapText="1" readingOrder="1"/>
    </xf>
    <xf numFmtId="0" fontId="72" fillId="20" borderId="49" xfId="0" applyFont="1" applyFill="1" applyBorder="1" applyAlignment="1">
      <alignment horizontal="center" vertical="center" wrapText="1" readingOrder="1"/>
    </xf>
    <xf numFmtId="0" fontId="72" fillId="20" borderId="15" xfId="0" applyFont="1" applyFill="1" applyBorder="1" applyAlignment="1">
      <alignment horizontal="center" vertical="center" wrapText="1" readingOrder="1"/>
    </xf>
    <xf numFmtId="0" fontId="72" fillId="38" borderId="49" xfId="0" applyFont="1" applyFill="1" applyBorder="1" applyAlignment="1">
      <alignment horizontal="center" vertical="center" wrapText="1" readingOrder="1"/>
    </xf>
    <xf numFmtId="0" fontId="72" fillId="38" borderId="15" xfId="0" applyFont="1" applyFill="1" applyBorder="1" applyAlignment="1">
      <alignment horizontal="center" vertical="center" wrapText="1" readingOrder="1"/>
    </xf>
    <xf numFmtId="0" fontId="72" fillId="40" borderId="49" xfId="0" applyFont="1" applyFill="1" applyBorder="1" applyAlignment="1">
      <alignment horizontal="center" vertical="center" wrapText="1" readingOrder="1"/>
    </xf>
    <xf numFmtId="0" fontId="72" fillId="40" borderId="15" xfId="0" applyFont="1" applyFill="1" applyBorder="1" applyAlignment="1">
      <alignment horizontal="center" vertical="center" wrapText="1" readingOrder="1"/>
    </xf>
    <xf numFmtId="0" fontId="72" fillId="39" borderId="49" xfId="0" applyFont="1" applyFill="1" applyBorder="1" applyAlignment="1">
      <alignment horizontal="center" vertical="center" wrapText="1" readingOrder="1"/>
    </xf>
    <xf numFmtId="0" fontId="72" fillId="39" borderId="15" xfId="0" applyFont="1" applyFill="1" applyBorder="1" applyAlignment="1">
      <alignment horizontal="center" vertical="center" wrapText="1" readingOrder="1"/>
    </xf>
    <xf numFmtId="49" fontId="71" fillId="42" borderId="12" xfId="0" applyNumberFormat="1" applyFont="1" applyFill="1" applyBorder="1" applyAlignment="1">
      <alignment horizontal="center" vertical="center" wrapText="1" readingOrder="1"/>
    </xf>
    <xf numFmtId="0" fontId="71" fillId="42" borderId="13" xfId="0" applyFont="1" applyFill="1" applyBorder="1" applyAlignment="1">
      <alignment horizontal="center" vertical="center" wrapText="1" readingOrder="1"/>
    </xf>
    <xf numFmtId="0" fontId="90" fillId="0" borderId="13" xfId="0" applyFont="1" applyBorder="1" applyAlignment="1">
      <alignment horizontal="center" vertical="center" wrapText="1" readingOrder="1"/>
    </xf>
    <xf numFmtId="0" fontId="90" fillId="0" borderId="12" xfId="0" applyFont="1" applyBorder="1" applyAlignment="1">
      <alignment horizontal="center" vertical="center" wrapText="1" readingOrder="1"/>
    </xf>
    <xf numFmtId="0" fontId="91" fillId="45" borderId="12" xfId="0" applyFont="1" applyFill="1" applyBorder="1" applyAlignment="1">
      <alignment horizontal="center" vertical="center" wrapText="1"/>
    </xf>
    <xf numFmtId="0" fontId="91" fillId="45" borderId="48" xfId="0" applyFont="1" applyFill="1" applyBorder="1" applyAlignment="1">
      <alignment horizontal="center" vertical="center" wrapText="1"/>
    </xf>
    <xf numFmtId="0" fontId="100" fillId="48" borderId="51" xfId="0" applyFont="1" applyFill="1" applyBorder="1" applyAlignment="1">
      <alignment horizontal="center" vertical="center" wrapText="1"/>
    </xf>
    <xf numFmtId="0" fontId="100" fillId="48" borderId="52" xfId="0" applyFont="1" applyFill="1" applyBorder="1" applyAlignment="1">
      <alignment horizontal="center" vertical="center" wrapText="1"/>
    </xf>
    <xf numFmtId="0" fontId="91" fillId="45" borderId="13" xfId="0" applyFont="1" applyFill="1" applyBorder="1" applyAlignment="1">
      <alignment horizontal="center" vertical="center" wrapText="1"/>
    </xf>
    <xf numFmtId="0" fontId="79" fillId="45" borderId="12" xfId="0" applyFont="1" applyFill="1" applyBorder="1" applyAlignment="1">
      <alignment horizontal="center" vertical="top"/>
    </xf>
    <xf numFmtId="0" fontId="79" fillId="51" borderId="12" xfId="0" applyFont="1" applyFill="1" applyBorder="1" applyAlignment="1">
      <alignment horizontal="center" vertical="top"/>
    </xf>
    <xf numFmtId="0" fontId="81" fillId="58" borderId="49" xfId="0" applyFont="1" applyFill="1" applyBorder="1" applyAlignment="1">
      <alignment horizontal="left" vertical="center" wrapText="1" indent="1" readingOrder="1"/>
    </xf>
    <xf numFmtId="0" fontId="81" fillId="58" borderId="15" xfId="0" applyFont="1" applyFill="1" applyBorder="1" applyAlignment="1">
      <alignment horizontal="left" vertical="center" wrapText="1" indent="1" readingOrder="1"/>
    </xf>
    <xf numFmtId="0" fontId="81" fillId="58" borderId="50" xfId="0" applyFont="1" applyFill="1" applyBorder="1" applyAlignment="1">
      <alignment horizontal="left" vertical="center" wrapText="1" indent="1" readingOrder="1"/>
    </xf>
    <xf numFmtId="0" fontId="81" fillId="58" borderId="22" xfId="0" applyFont="1" applyFill="1" applyBorder="1" applyAlignment="1">
      <alignment horizontal="left" vertical="center" wrapText="1" indent="1" readingOrder="1"/>
    </xf>
    <xf numFmtId="0" fontId="104" fillId="50" borderId="13" xfId="0" applyFont="1" applyFill="1" applyBorder="1" applyAlignment="1">
      <alignment horizontal="center" vertical="center"/>
    </xf>
    <xf numFmtId="0" fontId="104" fillId="50" borderId="21" xfId="0" applyFont="1" applyFill="1" applyBorder="1" applyAlignment="1">
      <alignment horizontal="center" vertical="center"/>
    </xf>
    <xf numFmtId="0" fontId="104" fillId="0" borderId="13" xfId="0" applyFont="1" applyBorder="1" applyAlignment="1">
      <alignment horizontal="center" vertical="center"/>
    </xf>
    <xf numFmtId="0" fontId="104" fillId="0" borderId="21" xfId="0" applyFont="1" applyBorder="1" applyAlignment="1">
      <alignment horizontal="center" vertical="center"/>
    </xf>
    <xf numFmtId="165" fontId="114" fillId="45" borderId="70" xfId="0" applyNumberFormat="1" applyFont="1" applyFill="1" applyBorder="1" applyAlignment="1">
      <alignment horizontal="center" vertical="center" wrapText="1"/>
    </xf>
    <xf numFmtId="165" fontId="114" fillId="45" borderId="71" xfId="0" applyNumberFormat="1" applyFont="1" applyFill="1" applyBorder="1" applyAlignment="1">
      <alignment horizontal="center" vertical="center" wrapText="1"/>
    </xf>
    <xf numFmtId="165" fontId="114" fillId="45" borderId="73" xfId="0" applyNumberFormat="1" applyFont="1" applyFill="1" applyBorder="1" applyAlignment="1">
      <alignment horizontal="center" vertical="center" wrapText="1"/>
    </xf>
    <xf numFmtId="0" fontId="79" fillId="54" borderId="23" xfId="0" applyFont="1" applyFill="1" applyBorder="1" applyAlignment="1">
      <alignment horizontal="center" vertical="center"/>
    </xf>
    <xf numFmtId="0" fontId="79" fillId="54" borderId="7" xfId="0" applyFont="1" applyFill="1" applyBorder="1" applyAlignment="1">
      <alignment horizontal="center" vertical="center"/>
    </xf>
    <xf numFmtId="0" fontId="91" fillId="45" borderId="49" xfId="0" applyFont="1" applyFill="1" applyBorder="1" applyAlignment="1">
      <alignment horizontal="center" vertical="center" wrapText="1"/>
    </xf>
    <xf numFmtId="0" fontId="100" fillId="53" borderId="12" xfId="0" applyFont="1" applyFill="1" applyBorder="1" applyAlignment="1">
      <alignment horizontal="center" vertical="center" wrapText="1"/>
    </xf>
    <xf numFmtId="0" fontId="100" fillId="48" borderId="12" xfId="0" applyFont="1" applyFill="1" applyBorder="1" applyAlignment="1">
      <alignment horizontal="center" vertical="center" wrapText="1"/>
    </xf>
    <xf numFmtId="0" fontId="81" fillId="0" borderId="12" xfId="0" applyFont="1" applyBorder="1" applyAlignment="1">
      <alignment horizontal="center" vertical="center" wrapText="1" readingOrder="1"/>
    </xf>
    <xf numFmtId="0" fontId="95" fillId="54" borderId="49" xfId="0" applyFont="1" applyFill="1" applyBorder="1" applyAlignment="1">
      <alignment horizontal="center" vertical="center"/>
    </xf>
    <xf numFmtId="0" fontId="95" fillId="54" borderId="15" xfId="0" applyFont="1" applyFill="1" applyBorder="1" applyAlignment="1">
      <alignment horizontal="center" vertical="center"/>
    </xf>
    <xf numFmtId="0" fontId="95" fillId="54" borderId="23" xfId="0" applyFont="1" applyFill="1" applyBorder="1" applyAlignment="1">
      <alignment horizontal="center" vertical="center"/>
    </xf>
    <xf numFmtId="0" fontId="95" fillId="54" borderId="62" xfId="0" applyFont="1" applyFill="1" applyBorder="1" applyAlignment="1">
      <alignment horizontal="center" vertical="center"/>
    </xf>
    <xf numFmtId="0" fontId="95" fillId="54" borderId="50" xfId="0" applyFont="1" applyFill="1" applyBorder="1" applyAlignment="1">
      <alignment horizontal="center" vertical="center"/>
    </xf>
    <xf numFmtId="0" fontId="95" fillId="54" borderId="22" xfId="0" applyFont="1" applyFill="1" applyBorder="1" applyAlignment="1">
      <alignment horizontal="center" vertical="center"/>
    </xf>
    <xf numFmtId="0" fontId="104" fillId="0" borderId="12" xfId="0" applyFont="1" applyBorder="1" applyAlignment="1">
      <alignment horizontal="center" vertical="center"/>
    </xf>
    <xf numFmtId="0" fontId="104" fillId="50" borderId="12" xfId="0" applyFont="1" applyFill="1" applyBorder="1" applyAlignment="1">
      <alignment horizontal="center" vertical="center"/>
    </xf>
    <xf numFmtId="0" fontId="104" fillId="58" borderId="49" xfId="0" applyFont="1" applyFill="1" applyBorder="1" applyAlignment="1">
      <alignment horizontal="center" vertical="center"/>
    </xf>
    <xf numFmtId="0" fontId="104" fillId="58" borderId="15" xfId="0" applyFont="1" applyFill="1" applyBorder="1" applyAlignment="1">
      <alignment horizontal="center" vertical="center"/>
    </xf>
    <xf numFmtId="0" fontId="104" fillId="58" borderId="50" xfId="0" applyFont="1" applyFill="1" applyBorder="1" applyAlignment="1">
      <alignment horizontal="center" vertical="center"/>
    </xf>
    <xf numFmtId="0" fontId="104" fillId="58" borderId="22" xfId="0" applyFont="1" applyFill="1" applyBorder="1" applyAlignment="1">
      <alignment horizontal="center" vertical="center"/>
    </xf>
    <xf numFmtId="0" fontId="104" fillId="0" borderId="49" xfId="0" applyFont="1" applyBorder="1" applyAlignment="1">
      <alignment horizontal="center" vertical="center"/>
    </xf>
    <xf numFmtId="0" fontId="104" fillId="0" borderId="15" xfId="0" applyFont="1" applyBorder="1" applyAlignment="1">
      <alignment horizontal="center" vertical="center"/>
    </xf>
    <xf numFmtId="0" fontId="104" fillId="0" borderId="50" xfId="0" applyFont="1" applyBorder="1" applyAlignment="1">
      <alignment horizontal="center" vertical="center"/>
    </xf>
    <xf numFmtId="0" fontId="104" fillId="0" borderId="22" xfId="0" applyFont="1" applyBorder="1" applyAlignment="1">
      <alignment horizontal="center" vertical="center"/>
    </xf>
    <xf numFmtId="49" fontId="100" fillId="0" borderId="7" xfId="0" applyNumberFormat="1" applyFont="1" applyBorder="1" applyAlignment="1">
      <alignment horizontal="center" vertical="center" wrapText="1" readingOrder="1"/>
    </xf>
    <xf numFmtId="0" fontId="104" fillId="58" borderId="13" xfId="0" applyFont="1" applyFill="1" applyBorder="1" applyAlignment="1">
      <alignment horizontal="center" vertical="center"/>
    </xf>
    <xf numFmtId="0" fontId="104" fillId="58" borderId="21" xfId="0" applyFont="1" applyFill="1" applyBorder="1" applyAlignment="1">
      <alignment horizontal="center" vertical="center"/>
    </xf>
    <xf numFmtId="49" fontId="71" fillId="0" borderId="7" xfId="0" applyNumberFormat="1" applyFont="1" applyBorder="1" applyAlignment="1">
      <alignment horizontal="center" vertical="center" wrapText="1" readingOrder="1"/>
    </xf>
    <xf numFmtId="49" fontId="100" fillId="45" borderId="63" xfId="0" applyNumberFormat="1" applyFont="1" applyFill="1" applyBorder="1" applyAlignment="1">
      <alignment horizontal="center" vertical="center" wrapText="1" readingOrder="1"/>
    </xf>
    <xf numFmtId="49" fontId="100" fillId="45" borderId="64" xfId="0" applyNumberFormat="1" applyFont="1" applyFill="1" applyBorder="1" applyAlignment="1">
      <alignment horizontal="center" vertical="center" wrapText="1" readingOrder="1"/>
    </xf>
    <xf numFmtId="49" fontId="100" fillId="45" borderId="65" xfId="0" applyNumberFormat="1" applyFont="1" applyFill="1" applyBorder="1" applyAlignment="1">
      <alignment horizontal="center" vertical="center" wrapText="1" readingOrder="1"/>
    </xf>
    <xf numFmtId="49" fontId="100" fillId="52" borderId="66" xfId="0" applyNumberFormat="1" applyFont="1" applyFill="1" applyBorder="1" applyAlignment="1">
      <alignment horizontal="center" vertical="center" wrapText="1" readingOrder="1"/>
    </xf>
    <xf numFmtId="49" fontId="100" fillId="52" borderId="67" xfId="0" applyNumberFormat="1" applyFont="1" applyFill="1" applyBorder="1" applyAlignment="1">
      <alignment horizontal="center" vertical="center" wrapText="1" readingOrder="1"/>
    </xf>
    <xf numFmtId="0" fontId="72" fillId="20" borderId="53" xfId="0" applyFont="1" applyFill="1" applyBorder="1" applyAlignment="1">
      <alignment horizontal="center" vertical="center" wrapText="1" readingOrder="1"/>
    </xf>
    <xf numFmtId="0" fontId="72" fillId="20" borderId="7" xfId="0" applyFont="1" applyFill="1" applyBorder="1" applyAlignment="1">
      <alignment horizontal="center" vertical="center" wrapText="1" readingOrder="1"/>
    </xf>
    <xf numFmtId="9" fontId="72" fillId="38" borderId="7" xfId="0" applyNumberFormat="1" applyFont="1" applyFill="1" applyBorder="1" applyAlignment="1">
      <alignment horizontal="center" vertical="center" wrapText="1" readingOrder="1"/>
    </xf>
    <xf numFmtId="0" fontId="72" fillId="38" borderId="7" xfId="0" applyFont="1" applyFill="1" applyBorder="1" applyAlignment="1">
      <alignment horizontal="center" vertical="center" wrapText="1" readingOrder="1"/>
    </xf>
    <xf numFmtId="0" fontId="72" fillId="40" borderId="7" xfId="0" applyFont="1" applyFill="1" applyBorder="1" applyAlignment="1">
      <alignment horizontal="center" vertical="center" wrapText="1" readingOrder="1"/>
    </xf>
    <xf numFmtId="0" fontId="72" fillId="40" borderId="54" xfId="0" applyFont="1" applyFill="1" applyBorder="1" applyAlignment="1">
      <alignment horizontal="center" vertical="center" wrapText="1" readingOrder="1"/>
    </xf>
    <xf numFmtId="0" fontId="72" fillId="39" borderId="58" xfId="0" applyFont="1" applyFill="1" applyBorder="1" applyAlignment="1">
      <alignment horizontal="center" vertical="center" wrapText="1" readingOrder="1"/>
    </xf>
    <xf numFmtId="0" fontId="72" fillId="39" borderId="59" xfId="0" applyFont="1" applyFill="1" applyBorder="1" applyAlignment="1">
      <alignment horizontal="center" vertical="center" wrapText="1" readingOrder="1"/>
    </xf>
    <xf numFmtId="0" fontId="105" fillId="0" borderId="7" xfId="0" applyFont="1" applyBorder="1" applyAlignment="1">
      <alignment horizontal="center" vertical="center"/>
    </xf>
    <xf numFmtId="0" fontId="81" fillId="0" borderId="49" xfId="0" applyFont="1" applyBorder="1" applyAlignment="1">
      <alignment horizontal="left" vertical="center" wrapText="1" indent="1" readingOrder="1"/>
    </xf>
    <xf numFmtId="0" fontId="81" fillId="0" borderId="15" xfId="0" applyFont="1" applyBorder="1" applyAlignment="1">
      <alignment horizontal="left" vertical="center" wrapText="1" indent="1" readingOrder="1"/>
    </xf>
    <xf numFmtId="0" fontId="81" fillId="0" borderId="50" xfId="0" applyFont="1" applyBorder="1" applyAlignment="1">
      <alignment horizontal="left" vertical="center" wrapText="1" indent="1" readingOrder="1"/>
    </xf>
    <xf numFmtId="0" fontId="81" fillId="0" borderId="22" xfId="0" applyFont="1" applyBorder="1" applyAlignment="1">
      <alignment horizontal="left" vertical="center" wrapText="1" indent="1" readingOrder="1"/>
    </xf>
    <xf numFmtId="0" fontId="81" fillId="0" borderId="7" xfId="0" applyFont="1" applyBorder="1" applyAlignment="1">
      <alignment horizontal="left" vertical="center" wrapText="1" indent="1" readingOrder="1"/>
    </xf>
    <xf numFmtId="0" fontId="81" fillId="0" borderId="54" xfId="0" applyFont="1" applyBorder="1" applyAlignment="1">
      <alignment horizontal="left" vertical="center" wrapText="1" indent="1" readingOrder="1"/>
    </xf>
    <xf numFmtId="0" fontId="95" fillId="0" borderId="7" xfId="0" applyFont="1" applyBorder="1" applyAlignment="1">
      <alignment horizontal="center" vertical="center" wrapText="1"/>
    </xf>
    <xf numFmtId="0" fontId="77" fillId="20" borderId="53" xfId="0" applyFont="1" applyFill="1" applyBorder="1" applyAlignment="1">
      <alignment horizontal="center" vertical="center" wrapText="1" readingOrder="1"/>
    </xf>
    <xf numFmtId="0" fontId="77" fillId="20" borderId="7" xfId="0" applyFont="1" applyFill="1" applyBorder="1" applyAlignment="1">
      <alignment horizontal="center" vertical="center" wrapText="1" readingOrder="1"/>
    </xf>
    <xf numFmtId="9" fontId="77" fillId="38" borderId="7" xfId="0" applyNumberFormat="1" applyFont="1" applyFill="1" applyBorder="1" applyAlignment="1">
      <alignment horizontal="center" vertical="center" wrapText="1" readingOrder="1"/>
    </xf>
    <xf numFmtId="0" fontId="77" fillId="38" borderId="7" xfId="0" applyFont="1" applyFill="1" applyBorder="1" applyAlignment="1">
      <alignment horizontal="center" vertical="center" wrapText="1" readingOrder="1"/>
    </xf>
    <xf numFmtId="0" fontId="77" fillId="40" borderId="7" xfId="0" applyFont="1" applyFill="1" applyBorder="1" applyAlignment="1">
      <alignment horizontal="center" vertical="center" wrapText="1" readingOrder="1"/>
    </xf>
    <xf numFmtId="0" fontId="77" fillId="40" borderId="54" xfId="0" applyFont="1" applyFill="1" applyBorder="1" applyAlignment="1">
      <alignment horizontal="center" vertical="center" wrapText="1" readingOrder="1"/>
    </xf>
    <xf numFmtId="0" fontId="77" fillId="39" borderId="58" xfId="0" applyFont="1" applyFill="1" applyBorder="1" applyAlignment="1">
      <alignment horizontal="center" vertical="center" wrapText="1" readingOrder="1"/>
    </xf>
    <xf numFmtId="0" fontId="77" fillId="39" borderId="59" xfId="0" applyFont="1" applyFill="1" applyBorder="1" applyAlignment="1">
      <alignment horizontal="center" vertical="center" wrapText="1" readingOrder="1"/>
    </xf>
    <xf numFmtId="0" fontId="81" fillId="0" borderId="7" xfId="0" applyFont="1" applyBorder="1" applyAlignment="1">
      <alignment horizontal="left" vertical="top" wrapText="1" readingOrder="1"/>
    </xf>
    <xf numFmtId="0" fontId="81" fillId="0" borderId="54" xfId="0" applyFont="1" applyBorder="1" applyAlignment="1">
      <alignment horizontal="left" vertical="top" wrapText="1" readingOrder="1"/>
    </xf>
    <xf numFmtId="0" fontId="79" fillId="45" borderId="13" xfId="0" applyFont="1" applyFill="1" applyBorder="1" applyAlignment="1">
      <alignment horizontal="center" vertical="center" wrapText="1"/>
    </xf>
    <xf numFmtId="0" fontId="79" fillId="45" borderId="47" xfId="0" applyFont="1" applyFill="1" applyBorder="1" applyAlignment="1">
      <alignment horizontal="center" vertical="center" wrapText="1"/>
    </xf>
    <xf numFmtId="0" fontId="79" fillId="45" borderId="21" xfId="0" applyFont="1" applyFill="1" applyBorder="1" applyAlignment="1">
      <alignment horizontal="center" vertical="center" wrapText="1"/>
    </xf>
    <xf numFmtId="0" fontId="79" fillId="45" borderId="12" xfId="0" applyFont="1" applyFill="1" applyBorder="1" applyAlignment="1">
      <alignment horizontal="left" vertical="center" wrapText="1" indent="1"/>
    </xf>
    <xf numFmtId="0" fontId="89" fillId="0" borderId="7" xfId="0" applyFont="1" applyBorder="1" applyAlignment="1">
      <alignment horizontal="center"/>
    </xf>
    <xf numFmtId="0" fontId="79" fillId="45" borderId="12" xfId="0" applyFont="1" applyFill="1" applyBorder="1" applyAlignment="1">
      <alignment horizontal="left" vertical="center" wrapText="1"/>
    </xf>
    <xf numFmtId="0" fontId="79" fillId="45" borderId="12" xfId="0" applyFont="1" applyFill="1" applyBorder="1" applyAlignment="1">
      <alignment horizontal="center" vertical="center"/>
    </xf>
    <xf numFmtId="9" fontId="20" fillId="0" borderId="3" xfId="0" applyNumberFormat="1" applyFont="1" applyBorder="1" applyAlignment="1">
      <alignment horizontal="left" vertical="center"/>
    </xf>
    <xf numFmtId="0" fontId="9" fillId="0" borderId="11" xfId="0" applyFont="1" applyBorder="1"/>
    <xf numFmtId="0" fontId="9" fillId="0" borderId="6" xfId="0" applyFont="1" applyBorder="1"/>
    <xf numFmtId="9" fontId="20" fillId="0" borderId="3" xfId="0" applyNumberFormat="1" applyFont="1" applyBorder="1" applyAlignment="1">
      <alignment horizontal="left" vertical="center" wrapText="1"/>
    </xf>
    <xf numFmtId="9" fontId="180" fillId="43" borderId="95" xfId="0" applyNumberFormat="1" applyFont="1" applyFill="1" applyBorder="1" applyAlignment="1">
      <alignment horizontal="center" vertical="center" wrapText="1"/>
    </xf>
    <xf numFmtId="9" fontId="180" fillId="43" borderId="12" xfId="0" applyNumberFormat="1" applyFont="1" applyFill="1" applyBorder="1" applyAlignment="1">
      <alignment horizontal="center" vertical="center" wrapText="1"/>
    </xf>
    <xf numFmtId="9" fontId="180" fillId="43" borderId="98" xfId="0" applyNumberFormat="1" applyFont="1" applyFill="1" applyBorder="1" applyAlignment="1">
      <alignment horizontal="center" vertical="center" wrapText="1"/>
    </xf>
    <xf numFmtId="9" fontId="180" fillId="43" borderId="96" xfId="0" applyNumberFormat="1" applyFont="1" applyFill="1" applyBorder="1" applyAlignment="1">
      <alignment horizontal="center" vertical="center" wrapText="1"/>
    </xf>
    <xf numFmtId="9" fontId="180" fillId="43" borderId="97" xfId="0" applyNumberFormat="1" applyFont="1" applyFill="1" applyBorder="1" applyAlignment="1">
      <alignment horizontal="center" vertical="center" wrapText="1"/>
    </xf>
    <xf numFmtId="9" fontId="180" fillId="43" borderId="99" xfId="0" applyNumberFormat="1" applyFont="1" applyFill="1" applyBorder="1" applyAlignment="1">
      <alignment horizontal="center" vertical="center" wrapText="1"/>
    </xf>
    <xf numFmtId="9" fontId="180" fillId="24" borderId="70" xfId="0" applyNumberFormat="1" applyFont="1" applyFill="1" applyBorder="1" applyAlignment="1">
      <alignment horizontal="center" vertical="center" wrapText="1"/>
    </xf>
    <xf numFmtId="9" fontId="180" fillId="24" borderId="71" xfId="0" applyNumberFormat="1" applyFont="1" applyFill="1" applyBorder="1" applyAlignment="1">
      <alignment horizontal="center" vertical="center" wrapText="1"/>
    </xf>
    <xf numFmtId="9" fontId="180" fillId="24" borderId="85" xfId="0" applyNumberFormat="1" applyFont="1" applyFill="1" applyBorder="1" applyAlignment="1">
      <alignment horizontal="center" vertical="center" wrapText="1"/>
    </xf>
    <xf numFmtId="9" fontId="179" fillId="24" borderId="113" xfId="0" applyNumberFormat="1" applyFont="1" applyFill="1" applyBorder="1" applyAlignment="1">
      <alignment horizontal="center"/>
    </xf>
    <xf numFmtId="9" fontId="179" fillId="24" borderId="112" xfId="0" applyNumberFormat="1" applyFont="1" applyFill="1" applyBorder="1" applyAlignment="1">
      <alignment horizontal="center"/>
    </xf>
    <xf numFmtId="9" fontId="179" fillId="24" borderId="45" xfId="0" applyNumberFormat="1" applyFont="1" applyFill="1" applyBorder="1" applyAlignment="1">
      <alignment horizontal="center"/>
    </xf>
    <xf numFmtId="9" fontId="179" fillId="24" borderId="72" xfId="0" applyNumberFormat="1" applyFont="1" applyFill="1" applyBorder="1" applyAlignment="1">
      <alignment horizontal="center"/>
    </xf>
    <xf numFmtId="9" fontId="181" fillId="43" borderId="31" xfId="0" applyNumberFormat="1" applyFont="1" applyFill="1" applyBorder="1" applyAlignment="1">
      <alignment horizontal="center" vertical="center" wrapText="1"/>
    </xf>
    <xf numFmtId="9" fontId="181" fillId="43" borderId="16" xfId="0" applyNumberFormat="1" applyFont="1" applyFill="1" applyBorder="1" applyAlignment="1">
      <alignment horizontal="center" vertical="center" wrapText="1"/>
    </xf>
    <xf numFmtId="9" fontId="181" fillId="43" borderId="17" xfId="0" applyNumberFormat="1" applyFont="1" applyFill="1" applyBorder="1" applyAlignment="1">
      <alignment horizontal="center" vertical="center" wrapText="1"/>
    </xf>
    <xf numFmtId="9" fontId="181" fillId="43" borderId="32" xfId="0" applyNumberFormat="1" applyFont="1" applyFill="1" applyBorder="1" applyAlignment="1">
      <alignment horizontal="center" vertical="center" wrapText="1"/>
    </xf>
    <xf numFmtId="9" fontId="181" fillId="43" borderId="12" xfId="0" applyNumberFormat="1" applyFont="1" applyFill="1" applyBorder="1" applyAlignment="1">
      <alignment horizontal="center" vertical="center" wrapText="1"/>
    </xf>
    <xf numFmtId="9" fontId="181" fillId="43" borderId="18" xfId="0" applyNumberFormat="1" applyFont="1" applyFill="1" applyBorder="1" applyAlignment="1">
      <alignment horizontal="center" vertical="center" wrapText="1"/>
    </xf>
    <xf numFmtId="9" fontId="180" fillId="43" borderId="109" xfId="0" applyNumberFormat="1" applyFont="1" applyFill="1" applyBorder="1" applyAlignment="1">
      <alignment horizontal="center" vertical="center" wrapText="1"/>
    </xf>
    <xf numFmtId="9" fontId="180" fillId="43" borderId="110" xfId="0" applyNumberFormat="1" applyFont="1" applyFill="1" applyBorder="1" applyAlignment="1">
      <alignment horizontal="center" vertical="center" wrapText="1"/>
    </xf>
    <xf numFmtId="9" fontId="180" fillId="43" borderId="111" xfId="0" applyNumberFormat="1" applyFont="1" applyFill="1" applyBorder="1" applyAlignment="1">
      <alignment horizontal="center" vertical="center" wrapText="1"/>
    </xf>
    <xf numFmtId="9" fontId="181" fillId="43" borderId="96" xfId="0" applyNumberFormat="1" applyFont="1" applyFill="1" applyBorder="1" applyAlignment="1">
      <alignment horizontal="center" vertical="center" wrapText="1"/>
    </xf>
    <xf numFmtId="9" fontId="181" fillId="43" borderId="97" xfId="0" applyNumberFormat="1" applyFont="1" applyFill="1" applyBorder="1" applyAlignment="1">
      <alignment horizontal="center" vertical="center" wrapText="1"/>
    </xf>
    <xf numFmtId="9" fontId="181" fillId="43" borderId="99" xfId="0" applyNumberFormat="1" applyFont="1" applyFill="1" applyBorder="1" applyAlignment="1">
      <alignment horizontal="center" vertical="center" wrapText="1"/>
    </xf>
    <xf numFmtId="0" fontId="182" fillId="48" borderId="39" xfId="0" applyFont="1" applyFill="1" applyBorder="1" applyAlignment="1">
      <alignment horizontal="center" vertical="center" wrapText="1"/>
    </xf>
    <xf numFmtId="0" fontId="182" fillId="48" borderId="80" xfId="0" applyFont="1" applyFill="1" applyBorder="1" applyAlignment="1">
      <alignment horizontal="center" vertical="center" wrapText="1"/>
    </xf>
    <xf numFmtId="165" fontId="178" fillId="45" borderId="70" xfId="0" applyNumberFormat="1" applyFont="1" applyFill="1" applyBorder="1" applyAlignment="1">
      <alignment horizontal="center" vertical="center" wrapText="1"/>
    </xf>
    <xf numFmtId="165" fontId="178" fillId="45" borderId="71" xfId="0" applyNumberFormat="1" applyFont="1" applyFill="1" applyBorder="1" applyAlignment="1">
      <alignment horizontal="center" vertical="center" wrapText="1"/>
    </xf>
    <xf numFmtId="165" fontId="178" fillId="45" borderId="73" xfId="0" applyNumberFormat="1" applyFont="1" applyFill="1" applyBorder="1" applyAlignment="1">
      <alignment horizontal="center" vertical="center" wrapText="1"/>
    </xf>
    <xf numFmtId="0" fontId="182" fillId="48" borderId="40" xfId="0" applyFont="1" applyFill="1" applyBorder="1" applyAlignment="1">
      <alignment horizontal="center" vertical="center" wrapText="1"/>
    </xf>
    <xf numFmtId="9" fontId="180" fillId="9" borderId="7" xfId="0" applyNumberFormat="1" applyFont="1" applyFill="1" applyBorder="1" applyAlignment="1">
      <alignment horizontal="center" vertical="center" wrapText="1"/>
    </xf>
    <xf numFmtId="9" fontId="179" fillId="24" borderId="70" xfId="0" applyNumberFormat="1" applyFont="1" applyFill="1" applyBorder="1" applyAlignment="1">
      <alignment horizontal="center" vertical="center" wrapText="1"/>
    </xf>
    <xf numFmtId="9" fontId="179" fillId="24" borderId="71" xfId="0" applyNumberFormat="1" applyFont="1" applyFill="1" applyBorder="1" applyAlignment="1">
      <alignment horizontal="center" vertical="center" wrapText="1"/>
    </xf>
    <xf numFmtId="9" fontId="179" fillId="24" borderId="84" xfId="0" applyNumberFormat="1" applyFont="1" applyFill="1" applyBorder="1" applyAlignment="1">
      <alignment horizontal="center" vertical="center" wrapText="1"/>
    </xf>
    <xf numFmtId="0" fontId="182" fillId="48" borderId="39" xfId="0" applyFont="1" applyFill="1" applyBorder="1" applyAlignment="1">
      <alignment horizontal="center" vertical="center"/>
    </xf>
    <xf numFmtId="0" fontId="182" fillId="48" borderId="43" xfId="0" applyFont="1" applyFill="1" applyBorder="1" applyAlignment="1">
      <alignment horizontal="center" vertical="center"/>
    </xf>
    <xf numFmtId="0" fontId="182" fillId="48" borderId="42" xfId="0" applyFont="1" applyFill="1" applyBorder="1" applyAlignment="1">
      <alignment horizontal="center" vertical="center"/>
    </xf>
    <xf numFmtId="0" fontId="179" fillId="13" borderId="39" xfId="0" applyFont="1" applyFill="1" applyBorder="1" applyAlignment="1">
      <alignment horizontal="center" vertical="center"/>
    </xf>
    <xf numFmtId="0" fontId="179" fillId="13" borderId="80" xfId="0" applyFont="1" applyFill="1" applyBorder="1" applyAlignment="1">
      <alignment horizontal="center" vertical="center"/>
    </xf>
    <xf numFmtId="0" fontId="179" fillId="13" borderId="40" xfId="0" applyFont="1" applyFill="1" applyBorder="1" applyAlignment="1">
      <alignment horizontal="center" vertical="center"/>
    </xf>
    <xf numFmtId="0" fontId="182" fillId="48" borderId="41" xfId="0" applyFont="1" applyFill="1" applyBorder="1" applyAlignment="1">
      <alignment horizontal="center" vertical="center" wrapText="1"/>
    </xf>
    <xf numFmtId="0" fontId="182" fillId="48" borderId="43" xfId="0" applyFont="1" applyFill="1" applyBorder="1" applyAlignment="1">
      <alignment horizontal="center" vertical="center" wrapText="1"/>
    </xf>
    <xf numFmtId="0" fontId="182" fillId="48" borderId="42" xfId="0" applyFont="1" applyFill="1" applyBorder="1" applyAlignment="1">
      <alignment horizontal="center" vertical="center" wrapText="1"/>
    </xf>
    <xf numFmtId="9" fontId="20" fillId="0" borderId="12" xfId="0" applyNumberFormat="1" applyFont="1" applyBorder="1" applyAlignment="1">
      <alignment horizontal="center" vertical="center"/>
    </xf>
    <xf numFmtId="9" fontId="20" fillId="0" borderId="12" xfId="0" applyNumberFormat="1" applyFont="1" applyBorder="1" applyAlignment="1">
      <alignment horizontal="center" vertical="center" wrapText="1"/>
    </xf>
    <xf numFmtId="9" fontId="20" fillId="33" borderId="12" xfId="0" applyNumberFormat="1" applyFont="1" applyFill="1" applyBorder="1" applyAlignment="1">
      <alignment horizontal="center" vertical="center" wrapText="1"/>
    </xf>
    <xf numFmtId="0" fontId="182" fillId="48" borderId="31" xfId="0" applyFont="1" applyFill="1" applyBorder="1" applyAlignment="1">
      <alignment horizontal="center" vertical="center" wrapText="1"/>
    </xf>
    <xf numFmtId="0" fontId="182" fillId="48" borderId="33" xfId="0" applyFont="1" applyFill="1" applyBorder="1" applyAlignment="1">
      <alignment horizontal="center" vertical="center" wrapText="1"/>
    </xf>
    <xf numFmtId="0" fontId="182" fillId="48" borderId="32" xfId="0" applyFont="1" applyFill="1" applyBorder="1" applyAlignment="1">
      <alignment horizontal="center" vertical="center" wrapText="1"/>
    </xf>
    <xf numFmtId="9" fontId="181" fillId="43" borderId="109" xfId="0" applyNumberFormat="1" applyFont="1" applyFill="1" applyBorder="1" applyAlignment="1">
      <alignment horizontal="center" vertical="center" wrapText="1"/>
    </xf>
    <xf numFmtId="9" fontId="180" fillId="43" borderId="122" xfId="0" applyNumberFormat="1" applyFont="1" applyFill="1" applyBorder="1" applyAlignment="1">
      <alignment horizontal="center" vertical="center" wrapText="1"/>
    </xf>
    <xf numFmtId="9" fontId="180" fillId="43" borderId="123" xfId="0" applyNumberFormat="1" applyFont="1" applyFill="1" applyBorder="1" applyAlignment="1">
      <alignment horizontal="center" vertical="center" wrapText="1"/>
    </xf>
    <xf numFmtId="9" fontId="181" fillId="43" borderId="122" xfId="0" applyNumberFormat="1" applyFont="1" applyFill="1" applyBorder="1" applyAlignment="1">
      <alignment horizontal="center" vertical="center" wrapText="1"/>
    </xf>
    <xf numFmtId="9" fontId="181" fillId="43" borderId="117" xfId="0" applyNumberFormat="1" applyFont="1" applyFill="1" applyBorder="1" applyAlignment="1">
      <alignment horizontal="center" vertical="center" wrapText="1"/>
    </xf>
    <xf numFmtId="9" fontId="181" fillId="43" borderId="123" xfId="0" applyNumberFormat="1" applyFont="1" applyFill="1" applyBorder="1" applyAlignment="1">
      <alignment horizontal="center" vertical="center" wrapText="1"/>
    </xf>
    <xf numFmtId="9" fontId="179" fillId="24" borderId="100" xfId="0" applyNumberFormat="1" applyFont="1" applyFill="1" applyBorder="1" applyAlignment="1">
      <alignment horizontal="center"/>
    </xf>
    <xf numFmtId="9" fontId="179" fillId="24" borderId="101" xfId="0" applyNumberFormat="1" applyFont="1" applyFill="1" applyBorder="1" applyAlignment="1">
      <alignment horizontal="center"/>
    </xf>
    <xf numFmtId="9" fontId="179" fillId="24" borderId="102" xfId="0" applyNumberFormat="1" applyFont="1" applyFill="1" applyBorder="1" applyAlignment="1">
      <alignment horizontal="center"/>
    </xf>
    <xf numFmtId="9" fontId="180" fillId="43" borderId="120" xfId="0" applyNumberFormat="1" applyFont="1" applyFill="1" applyBorder="1" applyAlignment="1">
      <alignment horizontal="center" vertical="center" wrapText="1"/>
    </xf>
    <xf numFmtId="9" fontId="180" fillId="43" borderId="121" xfId="0" applyNumberFormat="1" applyFont="1" applyFill="1" applyBorder="1" applyAlignment="1">
      <alignment horizontal="center" vertical="center" wrapText="1"/>
    </xf>
    <xf numFmtId="9" fontId="181" fillId="43" borderId="120" xfId="0" applyNumberFormat="1" applyFont="1" applyFill="1" applyBorder="1" applyAlignment="1">
      <alignment horizontal="center" vertical="center" wrapText="1"/>
    </xf>
    <xf numFmtId="9" fontId="181" fillId="43" borderId="116" xfId="0" applyNumberFormat="1" applyFont="1" applyFill="1" applyBorder="1" applyAlignment="1">
      <alignment horizontal="center" vertical="center" wrapText="1"/>
    </xf>
    <xf numFmtId="9" fontId="181" fillId="43" borderId="121" xfId="0" applyNumberFormat="1" applyFont="1" applyFill="1" applyBorder="1" applyAlignment="1">
      <alignment horizontal="center" vertical="center" wrapText="1"/>
    </xf>
    <xf numFmtId="9" fontId="180" fillId="43" borderId="118" xfId="0" applyNumberFormat="1" applyFont="1" applyFill="1" applyBorder="1" applyAlignment="1">
      <alignment horizontal="center" vertical="center" wrapText="1"/>
    </xf>
    <xf numFmtId="9" fontId="180" fillId="43" borderId="119" xfId="0" applyNumberFormat="1" applyFont="1" applyFill="1" applyBorder="1" applyAlignment="1">
      <alignment horizontal="center" vertical="center" wrapText="1"/>
    </xf>
    <xf numFmtId="9" fontId="181" fillId="43" borderId="29" xfId="0" applyNumberFormat="1" applyFont="1" applyFill="1" applyBorder="1" applyAlignment="1">
      <alignment horizontal="center" vertical="center" wrapText="1"/>
    </xf>
    <xf numFmtId="9" fontId="181" fillId="43" borderId="68" xfId="0" applyNumberFormat="1" applyFont="1" applyFill="1" applyBorder="1" applyAlignment="1">
      <alignment horizontal="center" vertical="center" wrapText="1"/>
    </xf>
    <xf numFmtId="9" fontId="181" fillId="43" borderId="74" xfId="0" applyNumberFormat="1" applyFont="1" applyFill="1" applyBorder="1" applyAlignment="1">
      <alignment horizontal="center" vertical="center" wrapText="1"/>
    </xf>
    <xf numFmtId="9" fontId="180" fillId="24" borderId="91" xfId="0" applyNumberFormat="1" applyFont="1" applyFill="1" applyBorder="1" applyAlignment="1">
      <alignment horizontal="center" vertical="center" wrapText="1"/>
    </xf>
    <xf numFmtId="9" fontId="180" fillId="24" borderId="92" xfId="0" applyNumberFormat="1" applyFont="1" applyFill="1" applyBorder="1" applyAlignment="1">
      <alignment horizontal="center" vertical="center" wrapText="1"/>
    </xf>
    <xf numFmtId="9" fontId="180" fillId="24" borderId="93" xfId="0" applyNumberFormat="1" applyFont="1" applyFill="1" applyBorder="1" applyAlignment="1">
      <alignment horizontal="center" vertical="center" wrapText="1"/>
    </xf>
    <xf numFmtId="9" fontId="179" fillId="24" borderId="78" xfId="0" applyNumberFormat="1" applyFont="1" applyFill="1" applyBorder="1" applyAlignment="1">
      <alignment horizontal="center" vertical="center" wrapText="1"/>
    </xf>
    <xf numFmtId="9" fontId="181" fillId="43" borderId="135" xfId="0" applyNumberFormat="1" applyFont="1" applyFill="1" applyBorder="1" applyAlignment="1">
      <alignment horizontal="center" vertical="center" wrapText="1"/>
    </xf>
    <xf numFmtId="9" fontId="181" fillId="43" borderId="136" xfId="0" applyNumberFormat="1" applyFont="1" applyFill="1" applyBorder="1" applyAlignment="1">
      <alignment horizontal="center" vertical="center" wrapText="1"/>
    </xf>
    <xf numFmtId="9" fontId="181" fillId="43" borderId="127" xfId="0" applyNumberFormat="1" applyFont="1" applyFill="1" applyBorder="1" applyAlignment="1">
      <alignment horizontal="center" vertical="center" wrapText="1"/>
    </xf>
    <xf numFmtId="9" fontId="180" fillId="24" borderId="143" xfId="0" applyNumberFormat="1" applyFont="1" applyFill="1" applyBorder="1" applyAlignment="1">
      <alignment horizontal="center" vertical="center" wrapText="1"/>
    </xf>
    <xf numFmtId="0" fontId="178" fillId="48" borderId="138" xfId="0" applyFont="1" applyFill="1" applyBorder="1" applyAlignment="1">
      <alignment horizontal="center" vertical="center" wrapText="1"/>
    </xf>
    <xf numFmtId="0" fontId="178" fillId="48" borderId="140" xfId="0" applyFont="1" applyFill="1" applyBorder="1" applyAlignment="1">
      <alignment horizontal="center" vertical="center" wrapText="1"/>
    </xf>
    <xf numFmtId="0" fontId="179" fillId="75" borderId="126" xfId="0" applyFont="1" applyFill="1" applyBorder="1" applyAlignment="1">
      <alignment horizontal="center" vertical="center" wrapText="1"/>
    </xf>
    <xf numFmtId="0" fontId="178" fillId="48" borderId="139" xfId="0" applyFont="1" applyFill="1" applyBorder="1" applyAlignment="1">
      <alignment horizontal="center" vertical="center" wrapText="1"/>
    </xf>
    <xf numFmtId="0" fontId="178" fillId="48" borderId="25" xfId="0" applyFont="1" applyFill="1" applyBorder="1" applyAlignment="1">
      <alignment horizontal="center" vertical="center" wrapText="1"/>
    </xf>
    <xf numFmtId="0" fontId="178" fillId="48" borderId="138" xfId="0" applyFont="1" applyFill="1" applyBorder="1" applyAlignment="1">
      <alignment horizontal="center" vertical="center"/>
    </xf>
    <xf numFmtId="0" fontId="178" fillId="48" borderId="146" xfId="0" applyFont="1" applyFill="1" applyBorder="1" applyAlignment="1">
      <alignment horizontal="center" vertical="center"/>
    </xf>
    <xf numFmtId="0" fontId="183" fillId="43" borderId="39" xfId="0" applyFont="1" applyFill="1" applyBorder="1" applyAlignment="1">
      <alignment horizontal="center" vertical="center" wrapText="1"/>
    </xf>
    <xf numFmtId="0" fontId="183" fillId="43" borderId="80" xfId="0" applyFont="1" applyFill="1" applyBorder="1" applyAlignment="1">
      <alignment horizontal="center" vertical="center" wrapText="1"/>
    </xf>
    <xf numFmtId="0" fontId="183" fillId="43" borderId="40" xfId="0" applyFont="1" applyFill="1" applyBorder="1" applyAlignment="1">
      <alignment horizontal="center" vertical="center" wrapText="1"/>
    </xf>
    <xf numFmtId="176" fontId="181" fillId="65" borderId="75" xfId="0" applyNumberFormat="1" applyFont="1" applyFill="1" applyBorder="1" applyAlignment="1">
      <alignment horizontal="center" vertical="center" shrinkToFit="1"/>
    </xf>
    <xf numFmtId="176" fontId="181" fillId="65" borderId="74" xfId="0" applyNumberFormat="1" applyFont="1" applyFill="1" applyBorder="1" applyAlignment="1">
      <alignment horizontal="center" vertical="center" shrinkToFit="1"/>
    </xf>
    <xf numFmtId="176" fontId="181" fillId="65" borderId="76" xfId="0" applyNumberFormat="1" applyFont="1" applyFill="1" applyBorder="1" applyAlignment="1">
      <alignment horizontal="center" vertical="center" shrinkToFit="1"/>
    </xf>
    <xf numFmtId="176" fontId="181" fillId="43" borderId="39" xfId="0" applyNumberFormat="1" applyFont="1" applyFill="1" applyBorder="1" applyAlignment="1">
      <alignment horizontal="center" vertical="center" shrinkToFit="1"/>
    </xf>
    <xf numFmtId="176" fontId="181" fillId="50" borderId="41" xfId="0" applyNumberFormat="1" applyFont="1" applyFill="1" applyBorder="1" applyAlignment="1">
      <alignment horizontal="center" vertical="center" shrinkToFit="1"/>
    </xf>
    <xf numFmtId="176" fontId="181" fillId="44" borderId="85" xfId="0" applyNumberFormat="1" applyFont="1" applyFill="1" applyBorder="1" applyAlignment="1">
      <alignment horizontal="center" vertical="center" shrinkToFit="1"/>
    </xf>
    <xf numFmtId="0" fontId="183" fillId="50" borderId="41" xfId="0" applyFont="1" applyFill="1" applyBorder="1" applyAlignment="1">
      <alignment horizontal="center" vertical="center" wrapText="1"/>
    </xf>
    <xf numFmtId="0" fontId="183" fillId="50" borderId="43" xfId="0" applyFont="1" applyFill="1" applyBorder="1" applyAlignment="1">
      <alignment horizontal="center" vertical="center" wrapText="1"/>
    </xf>
    <xf numFmtId="0" fontId="183" fillId="50" borderId="42" xfId="0" applyFont="1" applyFill="1" applyBorder="1" applyAlignment="1">
      <alignment horizontal="center" vertical="center" wrapText="1"/>
    </xf>
    <xf numFmtId="0" fontId="183" fillId="44" borderId="85" xfId="0" applyFont="1" applyFill="1" applyBorder="1" applyAlignment="1">
      <alignment horizontal="center" vertical="center" wrapText="1"/>
    </xf>
    <xf numFmtId="0" fontId="183" fillId="44" borderId="86" xfId="0" applyFont="1" applyFill="1" applyBorder="1" applyAlignment="1">
      <alignment horizontal="center" vertical="center" wrapText="1"/>
    </xf>
    <xf numFmtId="0" fontId="183" fillId="44" borderId="84" xfId="0" applyFont="1" applyFill="1" applyBorder="1" applyAlignment="1">
      <alignment horizontal="center" vertical="center" wrapText="1"/>
    </xf>
    <xf numFmtId="0" fontId="180" fillId="37" borderId="30" xfId="0" applyFont="1" applyFill="1" applyBorder="1" applyAlignment="1">
      <alignment horizontal="left" vertical="center" wrapText="1"/>
    </xf>
    <xf numFmtId="0" fontId="180" fillId="37" borderId="76" xfId="0" applyFont="1" applyFill="1" applyBorder="1" applyAlignment="1">
      <alignment horizontal="left" vertical="center" wrapText="1"/>
    </xf>
    <xf numFmtId="0" fontId="180" fillId="37" borderId="83" xfId="0" applyFont="1" applyFill="1" applyBorder="1" applyAlignment="1">
      <alignment horizontal="left" vertical="center" wrapText="1"/>
    </xf>
    <xf numFmtId="0" fontId="180" fillId="37" borderId="77" xfId="0" applyFont="1" applyFill="1" applyBorder="1" applyAlignment="1">
      <alignment horizontal="left" vertical="center" wrapText="1"/>
    </xf>
    <xf numFmtId="0" fontId="182" fillId="0" borderId="7" xfId="0" applyFont="1" applyBorder="1" applyAlignment="1">
      <alignment horizontal="center" vertical="center"/>
    </xf>
    <xf numFmtId="0" fontId="180" fillId="37" borderId="28" xfId="0" applyFont="1" applyFill="1" applyBorder="1" applyAlignment="1">
      <alignment horizontal="left" vertical="center" wrapText="1"/>
    </xf>
    <xf numFmtId="0" fontId="180" fillId="37" borderId="75" xfId="0" applyFont="1" applyFill="1" applyBorder="1" applyAlignment="1">
      <alignment horizontal="left" vertical="center" wrapText="1"/>
    </xf>
    <xf numFmtId="0" fontId="182" fillId="48" borderId="40" xfId="0" applyFont="1" applyFill="1" applyBorder="1" applyAlignment="1">
      <alignment horizontal="center" vertical="center"/>
    </xf>
    <xf numFmtId="0" fontId="180" fillId="37" borderId="29" xfId="0" applyFont="1" applyFill="1" applyBorder="1" applyAlignment="1">
      <alignment horizontal="left" vertical="center" wrapText="1"/>
    </xf>
    <xf numFmtId="0" fontId="180" fillId="37" borderId="74" xfId="0" applyFont="1" applyFill="1" applyBorder="1" applyAlignment="1">
      <alignment horizontal="left" vertical="center" wrapText="1"/>
    </xf>
    <xf numFmtId="9" fontId="179" fillId="24" borderId="34" xfId="0" applyNumberFormat="1" applyFont="1" applyFill="1" applyBorder="1" applyAlignment="1">
      <alignment horizontal="center" vertical="center" wrapText="1"/>
    </xf>
    <xf numFmtId="9" fontId="179" fillId="24" borderId="73" xfId="0" applyNumberFormat="1" applyFont="1" applyFill="1" applyBorder="1" applyAlignment="1">
      <alignment horizontal="center" vertical="center" wrapText="1"/>
    </xf>
    <xf numFmtId="0" fontId="180" fillId="37" borderId="87" xfId="0" applyFont="1" applyFill="1" applyBorder="1" applyAlignment="1">
      <alignment horizontal="left" vertical="center" wrapText="1"/>
    </xf>
    <xf numFmtId="0" fontId="180" fillId="37" borderId="84" xfId="0" applyFont="1" applyFill="1" applyBorder="1" applyAlignment="1">
      <alignment horizontal="left" vertical="center" wrapText="1"/>
    </xf>
    <xf numFmtId="0" fontId="179" fillId="24" borderId="70" xfId="0" applyFont="1" applyFill="1" applyBorder="1" applyAlignment="1">
      <alignment horizontal="center"/>
    </xf>
    <xf numFmtId="0" fontId="179" fillId="24" borderId="71" xfId="0" applyFont="1" applyFill="1" applyBorder="1" applyAlignment="1">
      <alignment horizontal="center"/>
    </xf>
    <xf numFmtId="0" fontId="179" fillId="24" borderId="73" xfId="0" applyFont="1" applyFill="1" applyBorder="1" applyAlignment="1">
      <alignment horizontal="center"/>
    </xf>
    <xf numFmtId="0" fontId="180" fillId="43" borderId="28" xfId="0" applyFont="1" applyFill="1" applyBorder="1" applyAlignment="1">
      <alignment horizontal="center" vertical="center" wrapText="1"/>
    </xf>
    <xf numFmtId="0" fontId="180" fillId="43" borderId="75" xfId="0" applyFont="1" applyFill="1" applyBorder="1" applyAlignment="1">
      <alignment horizontal="center" vertical="center" wrapText="1"/>
    </xf>
    <xf numFmtId="0" fontId="181" fillId="43" borderId="16" xfId="0" applyFont="1" applyFill="1" applyBorder="1" applyAlignment="1">
      <alignment horizontal="center" vertical="center" wrapText="1"/>
    </xf>
    <xf numFmtId="0" fontId="181" fillId="43" borderId="17" xfId="0" applyFont="1" applyFill="1" applyBorder="1" applyAlignment="1">
      <alignment horizontal="center" vertical="center" wrapText="1"/>
    </xf>
    <xf numFmtId="0" fontId="180" fillId="43" borderId="29" xfId="0" applyFont="1" applyFill="1" applyBorder="1" applyAlignment="1">
      <alignment horizontal="center" vertical="center" wrapText="1"/>
    </xf>
    <xf numFmtId="0" fontId="180" fillId="43" borderId="74" xfId="0" applyFont="1" applyFill="1" applyBorder="1" applyAlignment="1">
      <alignment horizontal="center" vertical="center" wrapText="1"/>
    </xf>
    <xf numFmtId="0" fontId="181" fillId="43" borderId="32" xfId="0" applyFont="1" applyFill="1" applyBorder="1" applyAlignment="1">
      <alignment horizontal="center" vertical="center" wrapText="1"/>
    </xf>
    <xf numFmtId="0" fontId="181" fillId="43" borderId="12" xfId="0" applyFont="1" applyFill="1" applyBorder="1" applyAlignment="1">
      <alignment horizontal="center" vertical="center" wrapText="1"/>
    </xf>
    <xf numFmtId="0" fontId="181" fillId="43" borderId="18" xfId="0" applyFont="1" applyFill="1" applyBorder="1" applyAlignment="1">
      <alignment horizontal="center" vertical="center" wrapText="1"/>
    </xf>
    <xf numFmtId="0" fontId="180" fillId="37" borderId="28" xfId="0" applyFont="1" applyFill="1" applyBorder="1" applyAlignment="1">
      <alignment horizontal="left" vertical="center"/>
    </xf>
    <xf numFmtId="0" fontId="180" fillId="37" borderId="75" xfId="0" applyFont="1" applyFill="1" applyBorder="1" applyAlignment="1">
      <alignment horizontal="left" vertical="center"/>
    </xf>
    <xf numFmtId="0" fontId="180" fillId="37" borderId="29" xfId="0" applyFont="1" applyFill="1" applyBorder="1" applyAlignment="1">
      <alignment horizontal="left" vertical="center"/>
    </xf>
    <xf numFmtId="0" fontId="180" fillId="37" borderId="74" xfId="0" applyFont="1" applyFill="1" applyBorder="1" applyAlignment="1">
      <alignment horizontal="left" vertical="center"/>
    </xf>
    <xf numFmtId="0" fontId="180" fillId="37" borderId="84" xfId="0" applyFont="1" applyFill="1" applyBorder="1" applyAlignment="1">
      <alignment horizontal="left" vertical="center"/>
    </xf>
    <xf numFmtId="9" fontId="179" fillId="24" borderId="85" xfId="0" applyNumberFormat="1" applyFont="1" applyFill="1" applyBorder="1" applyAlignment="1">
      <alignment horizontal="center" vertical="center" wrapText="1"/>
    </xf>
    <xf numFmtId="0" fontId="109" fillId="48" borderId="39" xfId="0" applyFont="1" applyFill="1" applyBorder="1" applyAlignment="1">
      <alignment horizontal="center" vertical="center" wrapText="1"/>
    </xf>
    <xf numFmtId="0" fontId="109" fillId="48" borderId="80" xfId="0" applyFont="1" applyFill="1" applyBorder="1" applyAlignment="1">
      <alignment horizontal="center" vertical="center" wrapText="1"/>
    </xf>
    <xf numFmtId="0" fontId="109" fillId="48" borderId="40" xfId="0" applyFont="1" applyFill="1" applyBorder="1" applyAlignment="1">
      <alignment horizontal="center" vertical="center" wrapText="1"/>
    </xf>
    <xf numFmtId="0" fontId="109" fillId="0" borderId="7" xfId="0" applyFont="1" applyBorder="1" applyAlignment="1">
      <alignment horizontal="center" vertical="center" wrapText="1"/>
    </xf>
    <xf numFmtId="0" fontId="109" fillId="48" borderId="82" xfId="0" applyFont="1" applyFill="1" applyBorder="1" applyAlignment="1">
      <alignment horizontal="center" vertical="center" wrapText="1"/>
    </xf>
    <xf numFmtId="9" fontId="108" fillId="24" borderId="70" xfId="0" applyNumberFormat="1" applyFont="1" applyFill="1" applyBorder="1" applyAlignment="1">
      <alignment horizontal="center" vertical="center" wrapText="1"/>
    </xf>
    <xf numFmtId="9" fontId="108" fillId="24" borderId="71" xfId="0" applyNumberFormat="1" applyFont="1" applyFill="1" applyBorder="1" applyAlignment="1">
      <alignment horizontal="center" vertical="center" wrapText="1"/>
    </xf>
    <xf numFmtId="9" fontId="108" fillId="24" borderId="73" xfId="0" applyNumberFormat="1" applyFont="1" applyFill="1" applyBorder="1" applyAlignment="1">
      <alignment horizontal="center" vertical="center" wrapText="1"/>
    </xf>
    <xf numFmtId="0" fontId="109" fillId="48" borderId="39" xfId="0" applyFont="1" applyFill="1" applyBorder="1" applyAlignment="1">
      <alignment horizontal="center" vertical="center"/>
    </xf>
    <xf numFmtId="0" fontId="109" fillId="48" borderId="80" xfId="0" applyFont="1" applyFill="1" applyBorder="1" applyAlignment="1">
      <alignment horizontal="center" vertical="center"/>
    </xf>
    <xf numFmtId="0" fontId="109" fillId="48" borderId="40" xfId="0" applyFont="1" applyFill="1" applyBorder="1" applyAlignment="1">
      <alignment horizontal="center" vertical="center"/>
    </xf>
    <xf numFmtId="0" fontId="108" fillId="13" borderId="39" xfId="0" applyFont="1" applyFill="1" applyBorder="1" applyAlignment="1">
      <alignment horizontal="center" vertical="center"/>
    </xf>
    <xf numFmtId="0" fontId="108" fillId="13" borderId="80" xfId="0" applyFont="1" applyFill="1" applyBorder="1" applyAlignment="1">
      <alignment horizontal="center" vertical="center"/>
    </xf>
    <xf numFmtId="0" fontId="108" fillId="13" borderId="40" xfId="0" applyFont="1" applyFill="1" applyBorder="1" applyAlignment="1">
      <alignment horizontal="center" vertical="center"/>
    </xf>
    <xf numFmtId="0" fontId="109" fillId="0" borderId="7" xfId="0" applyFont="1" applyBorder="1" applyAlignment="1">
      <alignment horizontal="center" vertical="center"/>
    </xf>
    <xf numFmtId="0" fontId="109" fillId="48" borderId="41" xfId="0" applyFont="1" applyFill="1" applyBorder="1" applyAlignment="1">
      <alignment horizontal="center" vertical="center" wrapText="1"/>
    </xf>
    <xf numFmtId="0" fontId="109" fillId="48" borderId="43" xfId="0" applyFont="1" applyFill="1" applyBorder="1" applyAlignment="1">
      <alignment horizontal="center" vertical="center" wrapText="1"/>
    </xf>
    <xf numFmtId="0" fontId="109" fillId="48" borderId="42" xfId="0" applyFont="1" applyFill="1" applyBorder="1" applyAlignment="1">
      <alignment horizontal="center" vertical="center" wrapText="1"/>
    </xf>
    <xf numFmtId="0" fontId="111" fillId="13" borderId="80" xfId="0" applyFont="1" applyFill="1" applyBorder="1" applyAlignment="1">
      <alignment horizontal="center" vertical="center" wrapText="1"/>
    </xf>
    <xf numFmtId="0" fontId="115" fillId="13" borderId="40" xfId="0" applyFont="1" applyFill="1" applyBorder="1" applyAlignment="1">
      <alignment horizontal="center"/>
    </xf>
    <xf numFmtId="0" fontId="110" fillId="0" borderId="41" xfId="0" applyFont="1" applyBorder="1" applyAlignment="1">
      <alignment horizontal="center" vertical="center" wrapText="1"/>
    </xf>
    <xf numFmtId="0" fontId="110" fillId="0" borderId="43" xfId="0" applyFont="1" applyBorder="1" applyAlignment="1">
      <alignment horizontal="center" vertical="center" wrapText="1"/>
    </xf>
    <xf numFmtId="0" fontId="110" fillId="0" borderId="42" xfId="0" applyFont="1" applyBorder="1" applyAlignment="1">
      <alignment horizontal="center" vertical="center" wrapText="1"/>
    </xf>
    <xf numFmtId="9" fontId="108" fillId="24" borderId="44" xfId="0" applyNumberFormat="1" applyFont="1" applyFill="1" applyBorder="1" applyAlignment="1">
      <alignment horizontal="center"/>
    </xf>
    <xf numFmtId="9" fontId="108" fillId="24" borderId="45" xfId="0" applyNumberFormat="1" applyFont="1" applyFill="1" applyBorder="1" applyAlignment="1">
      <alignment horizontal="center"/>
    </xf>
    <xf numFmtId="9" fontId="108" fillId="24" borderId="72" xfId="0" applyNumberFormat="1" applyFont="1" applyFill="1" applyBorder="1" applyAlignment="1">
      <alignment horizontal="center"/>
    </xf>
    <xf numFmtId="9" fontId="112" fillId="43" borderId="31" xfId="0" applyNumberFormat="1" applyFont="1" applyFill="1" applyBorder="1" applyAlignment="1">
      <alignment horizontal="center" vertical="center" wrapText="1"/>
    </xf>
    <xf numFmtId="9" fontId="112" fillId="43" borderId="16" xfId="0" applyNumberFormat="1" applyFont="1" applyFill="1" applyBorder="1" applyAlignment="1">
      <alignment horizontal="center" vertical="center" wrapText="1"/>
    </xf>
    <xf numFmtId="9" fontId="112" fillId="43" borderId="17" xfId="0" applyNumberFormat="1" applyFont="1" applyFill="1" applyBorder="1" applyAlignment="1">
      <alignment horizontal="center" vertical="center" wrapText="1"/>
    </xf>
    <xf numFmtId="9" fontId="113" fillId="43" borderId="31" xfId="0" applyNumberFormat="1" applyFont="1" applyFill="1" applyBorder="1" applyAlignment="1">
      <alignment horizontal="center" vertical="center" wrapText="1"/>
    </xf>
    <xf numFmtId="9" fontId="113" fillId="43" borderId="16" xfId="0" applyNumberFormat="1" applyFont="1" applyFill="1" applyBorder="1" applyAlignment="1">
      <alignment horizontal="center" vertical="center" wrapText="1"/>
    </xf>
    <xf numFmtId="9" fontId="113" fillId="43" borderId="17" xfId="0" applyNumberFormat="1" applyFont="1" applyFill="1" applyBorder="1" applyAlignment="1">
      <alignment horizontal="center" vertical="center" wrapText="1"/>
    </xf>
    <xf numFmtId="9" fontId="112" fillId="43" borderId="32" xfId="0" applyNumberFormat="1" applyFont="1" applyFill="1" applyBorder="1" applyAlignment="1">
      <alignment horizontal="center" vertical="center" wrapText="1"/>
    </xf>
    <xf numFmtId="9" fontId="112" fillId="43" borderId="12" xfId="0" applyNumberFormat="1" applyFont="1" applyFill="1" applyBorder="1" applyAlignment="1">
      <alignment horizontal="center" vertical="center" wrapText="1"/>
    </xf>
    <xf numFmtId="9" fontId="112" fillId="43" borderId="18" xfId="0" applyNumberFormat="1" applyFont="1" applyFill="1" applyBorder="1" applyAlignment="1">
      <alignment horizontal="center" vertical="center" wrapText="1"/>
    </xf>
    <xf numFmtId="9" fontId="113" fillId="43" borderId="32" xfId="0" applyNumberFormat="1" applyFont="1" applyFill="1" applyBorder="1" applyAlignment="1">
      <alignment horizontal="center" vertical="center" wrapText="1"/>
    </xf>
    <xf numFmtId="9" fontId="113" fillId="43" borderId="12" xfId="0" applyNumberFormat="1" applyFont="1" applyFill="1" applyBorder="1" applyAlignment="1">
      <alignment horizontal="center" vertical="center" wrapText="1"/>
    </xf>
    <xf numFmtId="9" fontId="113" fillId="43" borderId="18" xfId="0" applyNumberFormat="1" applyFont="1" applyFill="1" applyBorder="1" applyAlignment="1">
      <alignment horizontal="center" vertical="center" wrapText="1"/>
    </xf>
    <xf numFmtId="9" fontId="112" fillId="43" borderId="33" xfId="0" applyNumberFormat="1" applyFont="1" applyFill="1" applyBorder="1" applyAlignment="1">
      <alignment horizontal="center" vertical="center" wrapText="1"/>
    </xf>
    <xf numFmtId="9" fontId="112" fillId="43" borderId="19" xfId="0" applyNumberFormat="1" applyFont="1" applyFill="1" applyBorder="1" applyAlignment="1">
      <alignment horizontal="center" vertical="center" wrapText="1"/>
    </xf>
    <xf numFmtId="9" fontId="112" fillId="43" borderId="20" xfId="0" applyNumberFormat="1" applyFont="1" applyFill="1" applyBorder="1" applyAlignment="1">
      <alignment horizontal="center" vertical="center" wrapText="1"/>
    </xf>
    <xf numFmtId="9" fontId="110" fillId="43" borderId="33" xfId="0" applyNumberFormat="1" applyFont="1" applyFill="1" applyBorder="1" applyAlignment="1">
      <alignment horizontal="center"/>
    </xf>
    <xf numFmtId="9" fontId="110" fillId="43" borderId="19" xfId="0" applyNumberFormat="1" applyFont="1" applyFill="1" applyBorder="1" applyAlignment="1">
      <alignment horizontal="center"/>
    </xf>
    <xf numFmtId="9" fontId="110" fillId="43" borderId="20" xfId="0" applyNumberFormat="1" applyFont="1" applyFill="1" applyBorder="1" applyAlignment="1">
      <alignment horizontal="center"/>
    </xf>
    <xf numFmtId="9" fontId="112" fillId="9" borderId="7" xfId="0" applyNumberFormat="1" applyFont="1" applyFill="1" applyBorder="1" applyAlignment="1">
      <alignment horizontal="center" vertical="center" wrapText="1"/>
    </xf>
    <xf numFmtId="9" fontId="112" fillId="24" borderId="70" xfId="0" applyNumberFormat="1" applyFont="1" applyFill="1" applyBorder="1" applyAlignment="1">
      <alignment horizontal="center" vertical="center" wrapText="1"/>
    </xf>
    <xf numFmtId="9" fontId="112" fillId="24" borderId="71" xfId="0" applyNumberFormat="1" applyFont="1" applyFill="1" applyBorder="1" applyAlignment="1">
      <alignment horizontal="center" vertical="center" wrapText="1"/>
    </xf>
    <xf numFmtId="9" fontId="112" fillId="24" borderId="73" xfId="0" applyNumberFormat="1" applyFont="1" applyFill="1" applyBorder="1" applyAlignment="1">
      <alignment horizontal="center" vertical="center" wrapText="1"/>
    </xf>
    <xf numFmtId="0" fontId="126" fillId="45" borderId="50" xfId="14" applyFont="1" applyFill="1" applyBorder="1" applyAlignment="1">
      <alignment horizontal="center"/>
    </xf>
    <xf numFmtId="0" fontId="126" fillId="45" borderId="52" xfId="14" applyFont="1" applyFill="1" applyBorder="1" applyAlignment="1">
      <alignment horizontal="center"/>
    </xf>
    <xf numFmtId="9" fontId="55" fillId="29" borderId="12" xfId="0" applyNumberFormat="1" applyFont="1" applyFill="1" applyBorder="1" applyAlignment="1">
      <alignment horizontal="center"/>
    </xf>
    <xf numFmtId="9" fontId="50" fillId="0" borderId="7" xfId="0" applyNumberFormat="1" applyFont="1" applyBorder="1" applyAlignment="1">
      <alignment horizontal="center"/>
    </xf>
    <xf numFmtId="9" fontId="52" fillId="0" borderId="7" xfId="0" applyNumberFormat="1" applyFont="1" applyBorder="1" applyAlignment="1">
      <alignment horizontal="center" vertical="center" wrapText="1"/>
    </xf>
    <xf numFmtId="9" fontId="54" fillId="9" borderId="1" xfId="0" applyNumberFormat="1" applyFont="1" applyFill="1" applyBorder="1" applyAlignment="1">
      <alignment horizontal="center" vertical="center" wrapText="1"/>
    </xf>
    <xf numFmtId="9" fontId="54" fillId="9" borderId="3" xfId="0" applyNumberFormat="1" applyFont="1" applyFill="1" applyBorder="1" applyAlignment="1">
      <alignment horizontal="center" vertical="center" wrapText="1"/>
    </xf>
    <xf numFmtId="9" fontId="54" fillId="9" borderId="11" xfId="0" applyNumberFormat="1" applyFont="1" applyFill="1" applyBorder="1" applyAlignment="1">
      <alignment horizontal="center" vertical="center" wrapText="1"/>
    </xf>
    <xf numFmtId="9" fontId="54" fillId="9" borderId="37" xfId="0" applyNumberFormat="1" applyFont="1" applyFill="1" applyBorder="1" applyAlignment="1">
      <alignment horizontal="center" vertical="center" wrapText="1"/>
    </xf>
    <xf numFmtId="9" fontId="49" fillId="0" borderId="7" xfId="0" applyNumberFormat="1" applyFont="1" applyBorder="1" applyAlignment="1">
      <alignment horizontal="center" vertical="center" wrapText="1"/>
    </xf>
    <xf numFmtId="9" fontId="52" fillId="27" borderId="12" xfId="0" applyNumberFormat="1" applyFont="1" applyFill="1" applyBorder="1" applyAlignment="1">
      <alignment horizontal="center" vertical="center" wrapText="1"/>
    </xf>
    <xf numFmtId="9" fontId="53" fillId="27" borderId="12" xfId="0" applyNumberFormat="1" applyFont="1" applyFill="1" applyBorder="1" applyAlignment="1">
      <alignment horizontal="center"/>
    </xf>
    <xf numFmtId="0" fontId="56" fillId="23" borderId="39" xfId="0" applyFont="1" applyFill="1" applyBorder="1" applyAlignment="1">
      <alignment horizontal="center" vertical="center"/>
    </xf>
    <xf numFmtId="0" fontId="56" fillId="23" borderId="40" xfId="0" applyFont="1" applyFill="1" applyBorder="1" applyAlignment="1">
      <alignment horizontal="center" vertical="center"/>
    </xf>
    <xf numFmtId="0" fontId="56" fillId="23" borderId="41" xfId="0" applyFont="1" applyFill="1" applyBorder="1" applyAlignment="1">
      <alignment horizontal="center" vertical="center"/>
    </xf>
    <xf numFmtId="0" fontId="56" fillId="23" borderId="42" xfId="0" applyFont="1" applyFill="1" applyBorder="1" applyAlignment="1">
      <alignment horizontal="center" vertical="center"/>
    </xf>
    <xf numFmtId="0" fontId="56" fillId="23" borderId="41" xfId="0" applyFont="1" applyFill="1" applyBorder="1" applyAlignment="1">
      <alignment horizontal="center" vertical="center" wrapText="1"/>
    </xf>
    <xf numFmtId="0" fontId="56" fillId="23" borderId="42" xfId="0" applyFont="1" applyFill="1" applyBorder="1" applyAlignment="1">
      <alignment horizontal="center" vertical="center" wrapText="1"/>
    </xf>
    <xf numFmtId="0" fontId="56" fillId="23" borderId="43" xfId="0" applyFont="1" applyFill="1" applyBorder="1" applyAlignment="1">
      <alignment horizontal="center" vertical="center" wrapText="1"/>
    </xf>
    <xf numFmtId="9" fontId="52" fillId="9" borderId="7" xfId="0" applyNumberFormat="1" applyFont="1" applyFill="1" applyBorder="1" applyAlignment="1">
      <alignment horizontal="center" vertical="center" wrapText="1"/>
    </xf>
    <xf numFmtId="9" fontId="51" fillId="27" borderId="12" xfId="0" applyNumberFormat="1" applyFont="1" applyFill="1" applyBorder="1" applyAlignment="1">
      <alignment horizontal="center" vertical="center" wrapText="1"/>
    </xf>
    <xf numFmtId="9" fontId="53" fillId="9" borderId="7" xfId="0" applyNumberFormat="1" applyFont="1"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0" fillId="9" borderId="35" xfId="0" applyFill="1" applyBorder="1" applyAlignment="1">
      <alignment horizontal="center"/>
    </xf>
    <xf numFmtId="9" fontId="54" fillId="18" borderId="12" xfId="0" applyNumberFormat="1" applyFont="1" applyFill="1" applyBorder="1" applyAlignment="1">
      <alignment horizontal="center" vertical="center" wrapText="1"/>
    </xf>
    <xf numFmtId="165" fontId="27" fillId="26" borderId="12" xfId="0" applyNumberFormat="1" applyFont="1" applyFill="1" applyBorder="1" applyAlignment="1">
      <alignment horizontal="center" vertical="center" wrapText="1"/>
    </xf>
    <xf numFmtId="0" fontId="149" fillId="0" borderId="7" xfId="0" applyFont="1" applyBorder="1" applyAlignment="1">
      <alignment horizontal="center" vertical="center"/>
    </xf>
    <xf numFmtId="0" fontId="126" fillId="45" borderId="50" xfId="17" applyFont="1" applyFill="1" applyBorder="1" applyAlignment="1">
      <alignment horizontal="center"/>
    </xf>
    <xf numFmtId="0" fontId="126" fillId="45" borderId="52" xfId="17" applyFont="1" applyFill="1" applyBorder="1" applyAlignment="1">
      <alignment horizontal="center"/>
    </xf>
    <xf numFmtId="0" fontId="150" fillId="63" borderId="50" xfId="0" applyFont="1" applyFill="1" applyBorder="1" applyAlignment="1">
      <alignment horizontal="center"/>
    </xf>
    <xf numFmtId="0" fontId="150" fillId="63" borderId="52" xfId="0" applyFont="1" applyFill="1" applyBorder="1" applyAlignment="1">
      <alignment horizontal="center"/>
    </xf>
    <xf numFmtId="0" fontId="150" fillId="63" borderId="22" xfId="0" applyFont="1" applyFill="1" applyBorder="1" applyAlignment="1">
      <alignment horizontal="center"/>
    </xf>
    <xf numFmtId="0" fontId="152" fillId="0" borderId="2" xfId="17" applyFont="1" applyBorder="1" applyAlignment="1">
      <alignment horizontal="center"/>
    </xf>
    <xf numFmtId="0" fontId="167" fillId="63" borderId="50" xfId="0" applyFont="1" applyFill="1" applyBorder="1" applyAlignment="1">
      <alignment horizontal="center"/>
    </xf>
    <xf numFmtId="0" fontId="167" fillId="63" borderId="52" xfId="0" applyFont="1" applyFill="1" applyBorder="1" applyAlignment="1">
      <alignment horizontal="center"/>
    </xf>
    <xf numFmtId="0" fontId="167" fillId="63" borderId="22" xfId="0" applyFont="1" applyFill="1" applyBorder="1" applyAlignment="1">
      <alignment horizontal="center"/>
    </xf>
    <xf numFmtId="0" fontId="20" fillId="5" borderId="4" xfId="0" applyFont="1" applyFill="1" applyBorder="1" applyAlignment="1">
      <alignment horizontal="center" vertical="center"/>
    </xf>
    <xf numFmtId="0" fontId="9" fillId="0" borderId="5" xfId="0" applyFont="1" applyBorder="1"/>
    <xf numFmtId="0" fontId="9" fillId="0" borderId="1" xfId="0" applyFont="1" applyBorder="1"/>
    <xf numFmtId="15" fontId="20" fillId="0" borderId="4" xfId="0" applyNumberFormat="1" applyFont="1" applyBorder="1" applyAlignment="1">
      <alignment horizontal="center"/>
    </xf>
    <xf numFmtId="0" fontId="20" fillId="5" borderId="8" xfId="0" applyFont="1" applyFill="1" applyBorder="1" applyAlignment="1">
      <alignment horizontal="center" vertical="center"/>
    </xf>
    <xf numFmtId="0" fontId="9" fillId="0" borderId="9" xfId="0" applyFont="1" applyBorder="1"/>
    <xf numFmtId="0" fontId="9" fillId="0" borderId="10" xfId="0" applyFont="1" applyBorder="1"/>
    <xf numFmtId="0" fontId="20" fillId="0" borderId="3" xfId="0" applyFont="1" applyBorder="1" applyAlignment="1">
      <alignment horizontal="left" vertical="center"/>
    </xf>
    <xf numFmtId="0" fontId="20" fillId="0" borderId="3" xfId="0" applyFont="1" applyBorder="1" applyAlignment="1">
      <alignment vertical="center"/>
    </xf>
    <xf numFmtId="0" fontId="20" fillId="0" borderId="3" xfId="0" applyFont="1" applyBorder="1" applyAlignment="1">
      <alignment vertical="center" wrapText="1"/>
    </xf>
    <xf numFmtId="0" fontId="11" fillId="0" borderId="0" xfId="0" applyFont="1" applyAlignment="1">
      <alignment horizontal="left" vertical="center"/>
    </xf>
    <xf numFmtId="0" fontId="0" fillId="0" borderId="0" xfId="0"/>
  </cellXfs>
  <cellStyles count="20">
    <cellStyle name="Bad" xfId="2" builtinId="27"/>
    <cellStyle name="Bad 2" xfId="8" xr:uid="{15A51A4D-0177-4053-8190-9238FB356195}"/>
    <cellStyle name="Comma" xfId="12" builtinId="3"/>
    <cellStyle name="Comma 2" xfId="15" xr:uid="{7AAD4302-8B7D-4D08-90A7-1CA76C49F486}"/>
    <cellStyle name="Comma 2 2" xfId="19" xr:uid="{31B0D0AA-A66C-4628-9627-014AE033574B}"/>
    <cellStyle name="Comma 3" xfId="16" xr:uid="{E095AED4-A5EE-42D6-9FBB-CE2F915C644C}"/>
    <cellStyle name="Good" xfId="1" builtinId="26"/>
    <cellStyle name="Good 2" xfId="7" xr:uid="{1D59C564-56A3-4620-B52E-2CC04F4E7429}"/>
    <cellStyle name="Hyperlink" xfId="4" builtinId="8"/>
    <cellStyle name="Hyperlink 2" xfId="10" xr:uid="{3E36AD1A-BAD4-4102-BA42-7A8B4C3BE19E}"/>
    <cellStyle name="Neutral" xfId="3" builtinId="28"/>
    <cellStyle name="Neutral 2" xfId="9" xr:uid="{E1FD170A-889F-410D-BF9B-19A6D42B4A28}"/>
    <cellStyle name="Normal" xfId="0" builtinId="0"/>
    <cellStyle name="Normal 15" xfId="13" xr:uid="{6BF726F4-62FB-4417-9D39-5BC83FCE7EB9}"/>
    <cellStyle name="Normal 2" xfId="6" xr:uid="{54A6647D-32EB-4730-BEC7-ED75BBCED29A}"/>
    <cellStyle name="Normal 3" xfId="14" xr:uid="{D87E5A56-C5F6-4E89-BE77-90255ACF1110}"/>
    <cellStyle name="Normal 4" xfId="17" xr:uid="{67BEAFFA-66BF-4871-A5A4-DAB07C2EE37D}"/>
    <cellStyle name="Percent" xfId="5" builtinId="5"/>
    <cellStyle name="Percent 2" xfId="11" xr:uid="{FEFE10E2-C65E-4898-ABC7-2FC3D000F139}"/>
    <cellStyle name="Percent 3" xfId="18" xr:uid="{60B6EDB0-914F-4C42-A092-665C891B7167}"/>
  </cellStyles>
  <dxfs count="9">
    <dxf>
      <font>
        <color theme="9"/>
      </font>
    </dxf>
    <dxf>
      <font>
        <color theme="9"/>
      </font>
    </dxf>
    <dxf>
      <font>
        <color theme="9"/>
      </font>
    </dxf>
    <dxf>
      <font>
        <color theme="9"/>
      </font>
    </dxf>
    <dxf>
      <font>
        <color theme="9"/>
      </font>
    </dxf>
    <dxf>
      <font>
        <color theme="9"/>
      </font>
    </dxf>
    <dxf>
      <fill>
        <patternFill patternType="solid">
          <fgColor rgb="FFD9E2F3"/>
          <bgColor rgb="FFD9E2F3"/>
        </patternFill>
      </fill>
    </dxf>
    <dxf>
      <fill>
        <patternFill patternType="solid">
          <fgColor rgb="FFECECEC"/>
          <bgColor rgb="FFECECEC"/>
        </patternFill>
      </fill>
    </dxf>
    <dxf>
      <fill>
        <patternFill patternType="solid">
          <fgColor theme="0"/>
          <bgColor theme="0"/>
        </patternFill>
      </fill>
    </dxf>
  </dxfs>
  <tableStyles count="1" defaultTableStyle="TableStyleMedium2" defaultPivotStyle="PivotStyleLight16">
    <tableStyle name="Sheet2-style" pivot="0" count="3" xr9:uid="{00000000-0011-0000-FFFF-FFFF00000000}">
      <tableStyleElement type="headerRow" dxfId="8"/>
      <tableStyleElement type="firstRowStripe" dxfId="7"/>
      <tableStyleElement type="secondRowStripe" dxfId="6"/>
    </tableStyle>
  </tableStyles>
  <colors>
    <mruColors>
      <color rgb="FFFAF2E2"/>
      <color rgb="FFF3E0BD"/>
      <color rgb="FF11A387"/>
      <color rgb="FFFFE5E6"/>
      <color rgb="FFFFAFB1"/>
      <color rgb="FFE3FAF6"/>
      <color rgb="FFF2F2F2"/>
      <color rgb="FFD9F3ED"/>
      <color rgb="FFBFBFBF"/>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22/11/relationships/FeaturePropertyBag" Target="featurePropertyBag/featurePropertyBag.xml"/><Relationship Id="rId21" Type="http://schemas.openxmlformats.org/officeDocument/2006/relationships/worksheet" Target="worksheets/sheet21.xml"/><Relationship Id="rId34" Type="http://schemas.microsoft.com/office/2020/07/relationships/rdRichValueWebImage" Target="richData/rdRichValueWebImage.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microsoft.com/office/2017/06/relationships/rdRichValueTypes" Target="richData/rdRichValueTyp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 Target="richData/rdrichvalue.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microsoft.com/office/2017/10/relationships/person" Target="persons/perso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22860</xdr:colOff>
          <xdr:row>1</xdr:row>
          <xdr:rowOff>30480</xdr:rowOff>
        </xdr:from>
        <xdr:to>
          <xdr:col>29</xdr:col>
          <xdr:colOff>403860</xdr:colOff>
          <xdr:row>4</xdr:row>
          <xdr:rowOff>22860</xdr:rowOff>
        </xdr:to>
        <xdr:sp macro="" textlink="">
          <xdr:nvSpPr>
            <xdr:cNvPr id="23553" name="Button 1" hidden="1">
              <a:extLst>
                <a:ext uri="{63B3BB69-23CF-44E3-9099-C40C66FF867C}">
                  <a14:compatExt spid="_x0000_s23553"/>
                </a:ext>
                <a:ext uri="{FF2B5EF4-FFF2-40B4-BE49-F238E27FC236}">
                  <a16:creationId xmlns:a16="http://schemas.microsoft.com/office/drawing/2014/main" id="{00000000-0008-0000-0000-0000015C0000}"/>
                </a:ext>
              </a:extLst>
            </xdr:cNvPr>
            <xdr:cNvSpPr/>
          </xdr:nvSpPr>
          <xdr:spPr bwMode="auto">
            <a:xfrm>
              <a:off x="0" y="0"/>
              <a:ext cx="0" cy="0"/>
            </a:xfrm>
            <a:prstGeom prst="rect">
              <a:avLst/>
            </a:prstGeom>
            <a:noFill/>
            <a:ln w="9525">
              <a:miter lim="800000"/>
              <a:headEnd/>
              <a:tailEnd/>
            </a:ln>
          </xdr:spPr>
          <xdr:txBody>
            <a:bodyPr vertOverflow="clip" wrap="square" lIns="64008" tIns="50292" rIns="64008" bIns="50292" anchor="ctr" upright="1"/>
            <a:lstStyle/>
            <a:p>
              <a:pPr algn="ctr" rtl="0">
                <a:defRPr sz="1000"/>
              </a:pPr>
              <a:r>
                <a:rPr lang="en-IN" sz="2400" b="1" i="0" u="none" strike="noStrike" baseline="0">
                  <a:solidFill>
                    <a:srgbClr val="000000"/>
                  </a:solidFill>
                  <a:latin typeface="Inter"/>
                </a:rPr>
                <a:t>Send GHI Quotes to Proposal Deck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23</xdr:col>
          <xdr:colOff>137160</xdr:colOff>
          <xdr:row>11</xdr:row>
          <xdr:rowOff>175260</xdr:rowOff>
        </xdr:from>
        <xdr:to>
          <xdr:col>29</xdr:col>
          <xdr:colOff>480060</xdr:colOff>
          <xdr:row>14</xdr:row>
          <xdr:rowOff>373380</xdr:rowOff>
        </xdr:to>
        <xdr:sp macro="" textlink="">
          <xdr:nvSpPr>
            <xdr:cNvPr id="23566" name="Button 14" hidden="1">
              <a:extLst>
                <a:ext uri="{63B3BB69-23CF-44E3-9099-C40C66FF867C}">
                  <a14:compatExt spid="_x0000_s23566"/>
                </a:ext>
                <a:ext uri="{FF2B5EF4-FFF2-40B4-BE49-F238E27FC236}">
                  <a16:creationId xmlns:a16="http://schemas.microsoft.com/office/drawing/2014/main" id="{00000000-0008-0000-0000-00000E5C0000}"/>
                </a:ext>
              </a:extLst>
            </xdr:cNvPr>
            <xdr:cNvSpPr/>
          </xdr:nvSpPr>
          <xdr:spPr bwMode="auto">
            <a:xfrm>
              <a:off x="0" y="0"/>
              <a:ext cx="0" cy="0"/>
            </a:xfrm>
            <a:prstGeom prst="rect">
              <a:avLst/>
            </a:prstGeom>
            <a:noFill/>
            <a:ln w="9525">
              <a:miter lim="800000"/>
              <a:headEnd/>
              <a:tailEnd/>
            </a:ln>
          </xdr:spPr>
          <xdr:txBody>
            <a:bodyPr vertOverflow="clip" wrap="square" lIns="64008" tIns="50292" rIns="64008" bIns="50292" anchor="ctr" upright="1"/>
            <a:lstStyle/>
            <a:p>
              <a:pPr algn="ctr" rtl="0">
                <a:defRPr sz="1000"/>
              </a:pPr>
              <a:r>
                <a:rPr lang="en-IN" sz="2400" b="1" i="0" u="none" strike="noStrike" baseline="0">
                  <a:solidFill>
                    <a:srgbClr val="000000"/>
                  </a:solidFill>
                  <a:latin typeface="Inter"/>
                </a:rPr>
                <a:t>Send GPA Quotes to Proposal Deck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23</xdr:col>
          <xdr:colOff>137160</xdr:colOff>
          <xdr:row>20</xdr:row>
          <xdr:rowOff>175260</xdr:rowOff>
        </xdr:from>
        <xdr:to>
          <xdr:col>29</xdr:col>
          <xdr:colOff>480060</xdr:colOff>
          <xdr:row>23</xdr:row>
          <xdr:rowOff>373380</xdr:rowOff>
        </xdr:to>
        <xdr:sp macro="" textlink="">
          <xdr:nvSpPr>
            <xdr:cNvPr id="23567" name="Button 15" hidden="1">
              <a:extLst>
                <a:ext uri="{63B3BB69-23CF-44E3-9099-C40C66FF867C}">
                  <a14:compatExt spid="_x0000_s23567"/>
                </a:ext>
                <a:ext uri="{FF2B5EF4-FFF2-40B4-BE49-F238E27FC236}">
                  <a16:creationId xmlns:a16="http://schemas.microsoft.com/office/drawing/2014/main" id="{00000000-0008-0000-0000-00000F5C0000}"/>
                </a:ext>
              </a:extLst>
            </xdr:cNvPr>
            <xdr:cNvSpPr/>
          </xdr:nvSpPr>
          <xdr:spPr bwMode="auto">
            <a:xfrm>
              <a:off x="0" y="0"/>
              <a:ext cx="0" cy="0"/>
            </a:xfrm>
            <a:prstGeom prst="rect">
              <a:avLst/>
            </a:prstGeom>
            <a:noFill/>
            <a:ln w="9525">
              <a:miter lim="800000"/>
              <a:headEnd/>
              <a:tailEnd/>
            </a:ln>
          </xdr:spPr>
          <xdr:txBody>
            <a:bodyPr vertOverflow="clip" wrap="square" lIns="64008" tIns="50292" rIns="64008" bIns="50292" anchor="ctr" upright="1"/>
            <a:lstStyle/>
            <a:p>
              <a:pPr algn="ctr" rtl="0">
                <a:defRPr sz="1000"/>
              </a:pPr>
              <a:r>
                <a:rPr lang="en-IN" sz="2400" b="1" i="0" u="none" strike="noStrike" baseline="0">
                  <a:solidFill>
                    <a:srgbClr val="000000"/>
                  </a:solidFill>
                  <a:latin typeface="Inter"/>
                </a:rPr>
                <a:t>Send GTLI Quotes to Proposal Deck</a:t>
              </a:r>
            </a:p>
          </xdr:txBody>
        </xdr:sp>
        <xdr:clientData fPrintsWithSheet="0"/>
      </xdr:twoCellAnchor>
    </mc:Choice>
    <mc:Fallback/>
  </mc:AlternateContent>
  <xdr:twoCellAnchor editAs="oneCell">
    <xdr:from>
      <xdr:col>1</xdr:col>
      <xdr:colOff>42333</xdr:colOff>
      <xdr:row>21</xdr:row>
      <xdr:rowOff>225778</xdr:rowOff>
    </xdr:from>
    <xdr:to>
      <xdr:col>2</xdr:col>
      <xdr:colOff>63924</xdr:colOff>
      <xdr:row>22</xdr:row>
      <xdr:rowOff>27123</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649111" y="8001000"/>
          <a:ext cx="1602035" cy="323455"/>
        </a:xfrm>
        <a:prstGeom prst="rect">
          <a:avLst/>
        </a:prstGeom>
      </xdr:spPr>
    </xdr:pic>
    <xdr:clientData/>
  </xdr:twoCellAnchor>
  <xdr:twoCellAnchor editAs="oneCell">
    <xdr:from>
      <xdr:col>1</xdr:col>
      <xdr:colOff>42333</xdr:colOff>
      <xdr:row>12</xdr:row>
      <xdr:rowOff>239888</xdr:rowOff>
    </xdr:from>
    <xdr:to>
      <xdr:col>2</xdr:col>
      <xdr:colOff>63924</xdr:colOff>
      <xdr:row>13</xdr:row>
      <xdr:rowOff>55342</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stretch>
          <a:fillRect/>
        </a:stretch>
      </xdr:blipFill>
      <xdr:spPr>
        <a:xfrm>
          <a:off x="649111" y="4501444"/>
          <a:ext cx="1602035" cy="323455"/>
        </a:xfrm>
        <a:prstGeom prst="rect">
          <a:avLst/>
        </a:prstGeom>
      </xdr:spPr>
    </xdr:pic>
    <xdr:clientData/>
  </xdr:twoCellAnchor>
  <xdr:oneCellAnchor>
    <xdr:from>
      <xdr:col>31</xdr:col>
      <xdr:colOff>42333</xdr:colOff>
      <xdr:row>21</xdr:row>
      <xdr:rowOff>225778</xdr:rowOff>
    </xdr:from>
    <xdr:ext cx="1593216" cy="325219"/>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45583" y="8258528"/>
          <a:ext cx="1593216" cy="325219"/>
        </a:xfrm>
        <a:prstGeom prst="rect">
          <a:avLst/>
        </a:prstGeom>
      </xdr:spPr>
    </xdr:pic>
    <xdr:clientData/>
  </xdr:oneCellAnchor>
  <xdr:oneCellAnchor>
    <xdr:from>
      <xdr:col>31</xdr:col>
      <xdr:colOff>42333</xdr:colOff>
      <xdr:row>12</xdr:row>
      <xdr:rowOff>239888</xdr:rowOff>
    </xdr:from>
    <xdr:ext cx="1593216" cy="323455"/>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45583" y="4732513"/>
          <a:ext cx="1593216" cy="323455"/>
        </a:xfrm>
        <a:prstGeom prst="rect">
          <a:avLst/>
        </a:prstGeom>
      </xdr:spPr>
    </xdr:pic>
    <xdr:clientData/>
  </xdr:oneCellAnchor>
  <xdr:oneCellAnchor>
    <xdr:from>
      <xdr:col>31</xdr:col>
      <xdr:colOff>42333</xdr:colOff>
      <xdr:row>1</xdr:row>
      <xdr:rowOff>225777</xdr:rowOff>
    </xdr:from>
    <xdr:ext cx="1593216" cy="326982"/>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645583" y="416277"/>
          <a:ext cx="1593216" cy="32698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22860</xdr:colOff>
          <xdr:row>3</xdr:row>
          <xdr:rowOff>0</xdr:rowOff>
        </xdr:from>
        <xdr:to>
          <xdr:col>28</xdr:col>
          <xdr:colOff>403860</xdr:colOff>
          <xdr:row>14</xdr:row>
          <xdr:rowOff>251460</xdr:rowOff>
        </xdr:to>
        <xdr:sp macro="" textlink="">
          <xdr:nvSpPr>
            <xdr:cNvPr id="37889" name="GHI" hidden="1">
              <a:extLst>
                <a:ext uri="{63B3BB69-23CF-44E3-9099-C40C66FF867C}">
                  <a14:compatExt spid="_x0000_s37889"/>
                </a:ext>
                <a:ext uri="{FF2B5EF4-FFF2-40B4-BE49-F238E27FC236}">
                  <a16:creationId xmlns:a16="http://schemas.microsoft.com/office/drawing/2014/main" id="{00000000-0008-0000-0400-000001940000}"/>
                </a:ext>
              </a:extLst>
            </xdr:cNvPr>
            <xdr:cNvSpPr/>
          </xdr:nvSpPr>
          <xdr:spPr bwMode="auto">
            <a:xfrm>
              <a:off x="0" y="0"/>
              <a:ext cx="0" cy="0"/>
            </a:xfrm>
            <a:prstGeom prst="rect">
              <a:avLst/>
            </a:prstGeom>
            <a:noFill/>
            <a:ln w="9525">
              <a:miter lim="800000"/>
              <a:headEnd/>
              <a:tailEnd/>
            </a:ln>
          </xdr:spPr>
          <xdr:txBody>
            <a:bodyPr vertOverflow="clip" wrap="square" lIns="64008" tIns="50292" rIns="64008" bIns="50292" anchor="ctr" upright="1"/>
            <a:lstStyle/>
            <a:p>
              <a:pPr algn="ctr" rtl="0">
                <a:defRPr sz="1000"/>
              </a:pPr>
              <a:r>
                <a:rPr lang="en-IN" sz="2400" b="1" i="0" u="none" strike="noStrike" baseline="0">
                  <a:solidFill>
                    <a:srgbClr val="000000"/>
                  </a:solidFill>
                  <a:latin typeface="Inter"/>
                </a:rPr>
                <a:t>Send GHI Quotes to Proposal Deck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22</xdr:col>
          <xdr:colOff>137160</xdr:colOff>
          <xdr:row>18</xdr:row>
          <xdr:rowOff>236220</xdr:rowOff>
        </xdr:from>
        <xdr:to>
          <xdr:col>28</xdr:col>
          <xdr:colOff>480060</xdr:colOff>
          <xdr:row>25</xdr:row>
          <xdr:rowOff>22860</xdr:rowOff>
        </xdr:to>
        <xdr:sp macro="" textlink="">
          <xdr:nvSpPr>
            <xdr:cNvPr id="37890" name="GPA" hidden="1">
              <a:extLst>
                <a:ext uri="{63B3BB69-23CF-44E3-9099-C40C66FF867C}">
                  <a14:compatExt spid="_x0000_s37890"/>
                </a:ext>
                <a:ext uri="{FF2B5EF4-FFF2-40B4-BE49-F238E27FC236}">
                  <a16:creationId xmlns:a16="http://schemas.microsoft.com/office/drawing/2014/main" id="{00000000-0008-0000-0400-000002940000}"/>
                </a:ext>
              </a:extLst>
            </xdr:cNvPr>
            <xdr:cNvSpPr/>
          </xdr:nvSpPr>
          <xdr:spPr bwMode="auto">
            <a:xfrm>
              <a:off x="0" y="0"/>
              <a:ext cx="0" cy="0"/>
            </a:xfrm>
            <a:prstGeom prst="rect">
              <a:avLst/>
            </a:prstGeom>
            <a:noFill/>
            <a:ln w="9525">
              <a:miter lim="800000"/>
              <a:headEnd/>
              <a:tailEnd/>
            </a:ln>
          </xdr:spPr>
          <xdr:txBody>
            <a:bodyPr vertOverflow="clip" wrap="square" lIns="64008" tIns="50292" rIns="64008" bIns="50292" anchor="ctr" upright="1"/>
            <a:lstStyle/>
            <a:p>
              <a:pPr algn="ctr" rtl="0">
                <a:defRPr sz="1000"/>
              </a:pPr>
              <a:r>
                <a:rPr lang="en-IN" sz="2400" b="1" i="0" u="none" strike="noStrike" baseline="0">
                  <a:solidFill>
                    <a:srgbClr val="000000"/>
                  </a:solidFill>
                  <a:latin typeface="Inter"/>
                </a:rPr>
                <a:t>Send GPA Quotes to Proposal Deck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22</xdr:col>
          <xdr:colOff>137160</xdr:colOff>
          <xdr:row>29</xdr:row>
          <xdr:rowOff>0</xdr:rowOff>
        </xdr:from>
        <xdr:to>
          <xdr:col>28</xdr:col>
          <xdr:colOff>480060</xdr:colOff>
          <xdr:row>35</xdr:row>
          <xdr:rowOff>30480</xdr:rowOff>
        </xdr:to>
        <xdr:sp macro="" textlink="">
          <xdr:nvSpPr>
            <xdr:cNvPr id="37891" name="GTLI" hidden="1">
              <a:extLst>
                <a:ext uri="{63B3BB69-23CF-44E3-9099-C40C66FF867C}">
                  <a14:compatExt spid="_x0000_s37891"/>
                </a:ext>
                <a:ext uri="{FF2B5EF4-FFF2-40B4-BE49-F238E27FC236}">
                  <a16:creationId xmlns:a16="http://schemas.microsoft.com/office/drawing/2014/main" id="{00000000-0008-0000-0400-000003940000}"/>
                </a:ext>
              </a:extLst>
            </xdr:cNvPr>
            <xdr:cNvSpPr/>
          </xdr:nvSpPr>
          <xdr:spPr bwMode="auto">
            <a:xfrm>
              <a:off x="0" y="0"/>
              <a:ext cx="0" cy="0"/>
            </a:xfrm>
            <a:prstGeom prst="rect">
              <a:avLst/>
            </a:prstGeom>
            <a:noFill/>
            <a:ln w="9525">
              <a:miter lim="800000"/>
              <a:headEnd/>
              <a:tailEnd/>
            </a:ln>
          </xdr:spPr>
          <xdr:txBody>
            <a:bodyPr vertOverflow="clip" wrap="square" lIns="64008" tIns="50292" rIns="64008" bIns="50292" anchor="ctr" upright="1"/>
            <a:lstStyle/>
            <a:p>
              <a:pPr algn="ctr" rtl="0">
                <a:defRPr sz="1000"/>
              </a:pPr>
              <a:r>
                <a:rPr lang="en-IN" sz="2400" b="1" i="0" u="none" strike="noStrike" baseline="0">
                  <a:solidFill>
                    <a:srgbClr val="000000"/>
                  </a:solidFill>
                  <a:latin typeface="Inter"/>
                </a:rPr>
                <a:t>Send GTLI Quotes to Proposal Deck</a:t>
              </a:r>
            </a:p>
          </xdr:txBody>
        </xdr:sp>
        <xdr:clientData fPrintsWithSheet="0"/>
      </xdr:twoCellAnchor>
    </mc:Choice>
    <mc:Fallback/>
  </mc:AlternateContent>
  <xdr:twoCellAnchor editAs="oneCell">
    <xdr:from>
      <xdr:col>1</xdr:col>
      <xdr:colOff>120951</xdr:colOff>
      <xdr:row>1</xdr:row>
      <xdr:rowOff>482673</xdr:rowOff>
    </xdr:from>
    <xdr:to>
      <xdr:col>1</xdr:col>
      <xdr:colOff>1325232</xdr:colOff>
      <xdr:row>4</xdr:row>
      <xdr:rowOff>211304</xdr:rowOff>
    </xdr:to>
    <xdr:pic>
      <xdr:nvPicPr>
        <xdr:cNvPr id="7" name="Picture 6" descr="A picture containing text, clock&#10;&#10;Description automatically generated">
          <a:extLst>
            <a:ext uri="{FF2B5EF4-FFF2-40B4-BE49-F238E27FC236}">
              <a16:creationId xmlns:a16="http://schemas.microsoft.com/office/drawing/2014/main" id="{00000000-0008-0000-04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713" t="19608" r="19932" b="19932"/>
        <a:stretch/>
      </xdr:blipFill>
      <xdr:spPr>
        <a:xfrm>
          <a:off x="725713" y="664102"/>
          <a:ext cx="1204281" cy="1034916"/>
        </a:xfrm>
        <a:prstGeom prst="rect">
          <a:avLst/>
        </a:prstGeom>
      </xdr:spPr>
    </xdr:pic>
    <xdr:clientData/>
  </xdr:twoCellAnchor>
  <xdr:twoCellAnchor editAs="oneCell">
    <xdr:from>
      <xdr:col>1</xdr:col>
      <xdr:colOff>120951</xdr:colOff>
      <xdr:row>16</xdr:row>
      <xdr:rowOff>163125</xdr:rowOff>
    </xdr:from>
    <xdr:to>
      <xdr:col>1</xdr:col>
      <xdr:colOff>1325232</xdr:colOff>
      <xdr:row>19</xdr:row>
      <xdr:rowOff>414094</xdr:rowOff>
    </xdr:to>
    <xdr:pic>
      <xdr:nvPicPr>
        <xdr:cNvPr id="5" name="Picture 4" descr="A picture containing text, clock&#10;&#10;Description automatically generated">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713" t="19608" r="19932" b="19932"/>
        <a:stretch/>
      </xdr:blipFill>
      <xdr:spPr>
        <a:xfrm>
          <a:off x="735467" y="5202157"/>
          <a:ext cx="1204281" cy="10436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92069</xdr:colOff>
      <xdr:row>3</xdr:row>
      <xdr:rowOff>132769</xdr:rowOff>
    </xdr:from>
    <xdr:to>
      <xdr:col>5</xdr:col>
      <xdr:colOff>720811</xdr:colOff>
      <xdr:row>3</xdr:row>
      <xdr:rowOff>132769</xdr:rowOff>
    </xdr:to>
    <xdr:cxnSp macro="">
      <xdr:nvCxnSpPr>
        <xdr:cNvPr id="3" name="Straight Connector 1">
          <a:extLst>
            <a:ext uri="{FF2B5EF4-FFF2-40B4-BE49-F238E27FC236}">
              <a16:creationId xmlns:a16="http://schemas.microsoft.com/office/drawing/2014/main" id="{00000000-0008-0000-0500-000003000000}"/>
            </a:ext>
          </a:extLst>
        </xdr:cNvPr>
        <xdr:cNvCxnSpPr>
          <a:cxnSpLocks/>
        </xdr:cNvCxnSpPr>
      </xdr:nvCxnSpPr>
      <xdr:spPr>
        <a:xfrm>
          <a:off x="435312" y="929093"/>
          <a:ext cx="4953607" cy="0"/>
        </a:xfrm>
        <a:prstGeom prst="line">
          <a:avLst/>
        </a:prstGeom>
        <a:ln>
          <a:solidFill>
            <a:srgbClr val="44444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75400</xdr:colOff>
      <xdr:row>24</xdr:row>
      <xdr:rowOff>81437</xdr:rowOff>
    </xdr:from>
    <xdr:to>
      <xdr:col>3</xdr:col>
      <xdr:colOff>700626</xdr:colOff>
      <xdr:row>24</xdr:row>
      <xdr:rowOff>81437</xdr:rowOff>
    </xdr:to>
    <xdr:cxnSp macro="">
      <xdr:nvCxnSpPr>
        <xdr:cNvPr id="5" name="Straight Connector 4">
          <a:extLst>
            <a:ext uri="{FF2B5EF4-FFF2-40B4-BE49-F238E27FC236}">
              <a16:creationId xmlns:a16="http://schemas.microsoft.com/office/drawing/2014/main" id="{00000000-0008-0000-0500-000005000000}"/>
            </a:ext>
          </a:extLst>
        </xdr:cNvPr>
        <xdr:cNvCxnSpPr>
          <a:cxnSpLocks/>
        </xdr:cNvCxnSpPr>
      </xdr:nvCxnSpPr>
      <xdr:spPr>
        <a:xfrm>
          <a:off x="418643" y="7907383"/>
          <a:ext cx="2581713" cy="0"/>
        </a:xfrm>
        <a:prstGeom prst="line">
          <a:avLst/>
        </a:prstGeom>
        <a:ln>
          <a:solidFill>
            <a:srgbClr val="444444"/>
          </a:solidFill>
        </a:ln>
      </xdr:spPr>
      <xdr:style>
        <a:lnRef idx="2">
          <a:schemeClr val="accent1"/>
        </a:lnRef>
        <a:fillRef idx="0">
          <a:schemeClr val="accent1"/>
        </a:fillRef>
        <a:effectRef idx="1">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14</xdr:col>
          <xdr:colOff>106680</xdr:colOff>
          <xdr:row>25</xdr:row>
          <xdr:rowOff>190500</xdr:rowOff>
        </xdr:from>
        <xdr:to>
          <xdr:col>15</xdr:col>
          <xdr:colOff>22860</xdr:colOff>
          <xdr:row>31</xdr:row>
          <xdr:rowOff>45720</xdr:rowOff>
        </xdr:to>
        <xdr:sp macro="" textlink="">
          <xdr:nvSpPr>
            <xdr:cNvPr id="25605" name="Technical" hidden="1">
              <a:extLst>
                <a:ext uri="{63B3BB69-23CF-44E3-9099-C40C66FF867C}">
                  <a14:compatExt spid="_x0000_s25605"/>
                </a:ext>
                <a:ext uri="{FF2B5EF4-FFF2-40B4-BE49-F238E27FC236}">
                  <a16:creationId xmlns:a16="http://schemas.microsoft.com/office/drawing/2014/main" id="{00000000-0008-0000-0500-000005640000}"/>
                </a:ext>
              </a:extLst>
            </xdr:cNvPr>
            <xdr:cNvSpPr/>
          </xdr:nvSpPr>
          <xdr:spPr bwMode="auto">
            <a:xfrm>
              <a:off x="0" y="0"/>
              <a:ext cx="0" cy="0"/>
            </a:xfrm>
            <a:prstGeom prst="rect">
              <a:avLst/>
            </a:prstGeom>
            <a:noFill/>
            <a:ln w="9525">
              <a:miter lim="800000"/>
              <a:headEnd/>
              <a:tailEnd/>
            </a:ln>
          </xdr:spPr>
          <xdr:txBody>
            <a:bodyPr vertOverflow="clip" wrap="square" lIns="64008" tIns="50292" rIns="64008" bIns="50292" anchor="ctr" upright="1"/>
            <a:lstStyle/>
            <a:p>
              <a:pPr algn="ctr" rtl="0">
                <a:defRPr sz="1000"/>
              </a:pPr>
              <a:r>
                <a:rPr lang="en-IN" sz="2400" b="1" i="0" u="none" strike="noStrike" baseline="0">
                  <a:solidFill>
                    <a:srgbClr val="000000"/>
                  </a:solidFill>
                  <a:latin typeface="Inter"/>
                </a:rPr>
                <a:t> Send Technical Parameters to Proposal Deck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22860</xdr:colOff>
          <xdr:row>9</xdr:row>
          <xdr:rowOff>251460</xdr:rowOff>
        </xdr:from>
        <xdr:to>
          <xdr:col>15</xdr:col>
          <xdr:colOff>0</xdr:colOff>
          <xdr:row>12</xdr:row>
          <xdr:rowOff>68580</xdr:rowOff>
        </xdr:to>
        <xdr:sp macro="" textlink="">
          <xdr:nvSpPr>
            <xdr:cNvPr id="25609" name="Policy" hidden="1">
              <a:extLst>
                <a:ext uri="{63B3BB69-23CF-44E3-9099-C40C66FF867C}">
                  <a14:compatExt spid="_x0000_s25609"/>
                </a:ext>
                <a:ext uri="{FF2B5EF4-FFF2-40B4-BE49-F238E27FC236}">
                  <a16:creationId xmlns:a16="http://schemas.microsoft.com/office/drawing/2014/main" id="{00000000-0008-0000-0500-000009640000}"/>
                </a:ext>
              </a:extLst>
            </xdr:cNvPr>
            <xdr:cNvSpPr/>
          </xdr:nvSpPr>
          <xdr:spPr bwMode="auto">
            <a:xfrm>
              <a:off x="0" y="0"/>
              <a:ext cx="0" cy="0"/>
            </a:xfrm>
            <a:prstGeom prst="rect">
              <a:avLst/>
            </a:prstGeom>
            <a:noFill/>
            <a:ln w="9525">
              <a:miter lim="800000"/>
              <a:headEnd/>
              <a:tailEnd/>
            </a:ln>
          </xdr:spPr>
          <xdr:txBody>
            <a:bodyPr vertOverflow="clip" wrap="square" lIns="64008" tIns="50292" rIns="64008" bIns="50292" anchor="ctr" upright="1"/>
            <a:lstStyle/>
            <a:p>
              <a:pPr algn="ctr" rtl="0">
                <a:defRPr sz="1000"/>
              </a:pPr>
              <a:r>
                <a:rPr lang="en-IN" sz="2400" b="1" i="0" u="none" strike="noStrike" baseline="0">
                  <a:solidFill>
                    <a:srgbClr val="000000"/>
                  </a:solidFill>
                  <a:latin typeface="Inter"/>
                </a:rPr>
                <a:t>Send Policy Features to Proposal Deck</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xdr:col>
      <xdr:colOff>92069</xdr:colOff>
      <xdr:row>4</xdr:row>
      <xdr:rowOff>132769</xdr:rowOff>
    </xdr:from>
    <xdr:to>
      <xdr:col>5</xdr:col>
      <xdr:colOff>720811</xdr:colOff>
      <xdr:row>4</xdr:row>
      <xdr:rowOff>132769</xdr:rowOff>
    </xdr:to>
    <xdr:cxnSp macro="">
      <xdr:nvCxnSpPr>
        <xdr:cNvPr id="2" name="Straight Connector 1">
          <a:extLst>
            <a:ext uri="{FF2B5EF4-FFF2-40B4-BE49-F238E27FC236}">
              <a16:creationId xmlns:a16="http://schemas.microsoft.com/office/drawing/2014/main" id="{00000000-0008-0000-0600-000002000000}"/>
            </a:ext>
          </a:extLst>
        </xdr:cNvPr>
        <xdr:cNvCxnSpPr>
          <a:cxnSpLocks/>
        </xdr:cNvCxnSpPr>
      </xdr:nvCxnSpPr>
      <xdr:spPr>
        <a:xfrm>
          <a:off x="434969" y="925249"/>
          <a:ext cx="4956902" cy="0"/>
        </a:xfrm>
        <a:prstGeom prst="line">
          <a:avLst/>
        </a:prstGeom>
        <a:ln>
          <a:solidFill>
            <a:srgbClr val="44444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75400</xdr:colOff>
      <xdr:row>25</xdr:row>
      <xdr:rowOff>81437</xdr:rowOff>
    </xdr:from>
    <xdr:to>
      <xdr:col>3</xdr:col>
      <xdr:colOff>700626</xdr:colOff>
      <xdr:row>25</xdr:row>
      <xdr:rowOff>81437</xdr:rowOff>
    </xdr:to>
    <xdr:cxnSp macro="">
      <xdr:nvCxnSpPr>
        <xdr:cNvPr id="3" name="Straight Connector 2">
          <a:extLst>
            <a:ext uri="{FF2B5EF4-FFF2-40B4-BE49-F238E27FC236}">
              <a16:creationId xmlns:a16="http://schemas.microsoft.com/office/drawing/2014/main" id="{00000000-0008-0000-0600-000003000000}"/>
            </a:ext>
          </a:extLst>
        </xdr:cNvPr>
        <xdr:cNvCxnSpPr>
          <a:cxnSpLocks/>
        </xdr:cNvCxnSpPr>
      </xdr:nvCxnSpPr>
      <xdr:spPr>
        <a:xfrm>
          <a:off x="418300" y="7899557"/>
          <a:ext cx="2583566" cy="0"/>
        </a:xfrm>
        <a:prstGeom prst="line">
          <a:avLst/>
        </a:prstGeom>
        <a:ln>
          <a:solidFill>
            <a:srgbClr val="444444"/>
          </a:solidFill>
        </a:ln>
      </xdr:spPr>
      <xdr:style>
        <a:lnRef idx="2">
          <a:schemeClr val="accent1"/>
        </a:lnRef>
        <a:fillRef idx="0">
          <a:schemeClr val="accent1"/>
        </a:fillRef>
        <a:effectRef idx="1">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14</xdr:col>
          <xdr:colOff>106680</xdr:colOff>
          <xdr:row>26</xdr:row>
          <xdr:rowOff>190500</xdr:rowOff>
        </xdr:from>
        <xdr:to>
          <xdr:col>15</xdr:col>
          <xdr:colOff>22860</xdr:colOff>
          <xdr:row>32</xdr:row>
          <xdr:rowOff>45720</xdr:rowOff>
        </xdr:to>
        <xdr:sp macro="" textlink="">
          <xdr:nvSpPr>
            <xdr:cNvPr id="64513" name="Technical" hidden="1">
              <a:extLst>
                <a:ext uri="{63B3BB69-23CF-44E3-9099-C40C66FF867C}">
                  <a14:compatExt spid="_x0000_s64513"/>
                </a:ext>
                <a:ext uri="{FF2B5EF4-FFF2-40B4-BE49-F238E27FC236}">
                  <a16:creationId xmlns:a16="http://schemas.microsoft.com/office/drawing/2014/main" id="{00000000-0008-0000-0600-000001FC0000}"/>
                </a:ext>
              </a:extLst>
            </xdr:cNvPr>
            <xdr:cNvSpPr/>
          </xdr:nvSpPr>
          <xdr:spPr bwMode="auto">
            <a:xfrm>
              <a:off x="0" y="0"/>
              <a:ext cx="0" cy="0"/>
            </a:xfrm>
            <a:prstGeom prst="rect">
              <a:avLst/>
            </a:prstGeom>
            <a:noFill/>
            <a:ln w="9525">
              <a:miter lim="800000"/>
              <a:headEnd/>
              <a:tailEnd/>
            </a:ln>
          </xdr:spPr>
          <xdr:txBody>
            <a:bodyPr vertOverflow="clip" wrap="square" lIns="64008" tIns="50292" rIns="64008" bIns="50292" anchor="ctr" upright="1"/>
            <a:lstStyle/>
            <a:p>
              <a:pPr algn="ctr" rtl="0">
                <a:defRPr sz="1000"/>
              </a:pPr>
              <a:r>
                <a:rPr lang="en-IN" sz="2400" b="1" i="0" u="none" strike="noStrike" baseline="0">
                  <a:solidFill>
                    <a:srgbClr val="000000"/>
                  </a:solidFill>
                  <a:latin typeface="Inter"/>
                </a:rPr>
                <a:t> Send Technical Parameters to Proposal Deck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22860</xdr:colOff>
          <xdr:row>10</xdr:row>
          <xdr:rowOff>251460</xdr:rowOff>
        </xdr:from>
        <xdr:to>
          <xdr:col>15</xdr:col>
          <xdr:colOff>0</xdr:colOff>
          <xdr:row>13</xdr:row>
          <xdr:rowOff>68580</xdr:rowOff>
        </xdr:to>
        <xdr:sp macro="" textlink="">
          <xdr:nvSpPr>
            <xdr:cNvPr id="64514" name="Policy" hidden="1">
              <a:extLst>
                <a:ext uri="{63B3BB69-23CF-44E3-9099-C40C66FF867C}">
                  <a14:compatExt spid="_x0000_s64514"/>
                </a:ext>
                <a:ext uri="{FF2B5EF4-FFF2-40B4-BE49-F238E27FC236}">
                  <a16:creationId xmlns:a16="http://schemas.microsoft.com/office/drawing/2014/main" id="{00000000-0008-0000-0600-000002FC0000}"/>
                </a:ext>
              </a:extLst>
            </xdr:cNvPr>
            <xdr:cNvSpPr/>
          </xdr:nvSpPr>
          <xdr:spPr bwMode="auto">
            <a:xfrm>
              <a:off x="0" y="0"/>
              <a:ext cx="0" cy="0"/>
            </a:xfrm>
            <a:prstGeom prst="rect">
              <a:avLst/>
            </a:prstGeom>
            <a:noFill/>
            <a:ln w="9525">
              <a:miter lim="800000"/>
              <a:headEnd/>
              <a:tailEnd/>
            </a:ln>
          </xdr:spPr>
          <xdr:txBody>
            <a:bodyPr vertOverflow="clip" wrap="square" lIns="64008" tIns="50292" rIns="64008" bIns="50292" anchor="ctr" upright="1"/>
            <a:lstStyle/>
            <a:p>
              <a:pPr algn="ctr" rtl="0">
                <a:defRPr sz="1000"/>
              </a:pPr>
              <a:r>
                <a:rPr lang="en-IN" sz="2400" b="1" i="0" u="none" strike="noStrike" baseline="0">
                  <a:solidFill>
                    <a:srgbClr val="000000"/>
                  </a:solidFill>
                  <a:latin typeface="Inter"/>
                </a:rPr>
                <a:t>Send Policy Features to Proposal Deck</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0</xdr:colOff>
          <xdr:row>0</xdr:row>
          <xdr:rowOff>160020</xdr:rowOff>
        </xdr:from>
        <xdr:to>
          <xdr:col>16</xdr:col>
          <xdr:colOff>457200</xdr:colOff>
          <xdr:row>5</xdr:row>
          <xdr:rowOff>38100</xdr:rowOff>
        </xdr:to>
        <xdr:sp macro="" textlink="">
          <xdr:nvSpPr>
            <xdr:cNvPr id="39940" name="Button 4" hidden="1">
              <a:extLst>
                <a:ext uri="{63B3BB69-23CF-44E3-9099-C40C66FF867C}">
                  <a14:compatExt spid="_x0000_s39940"/>
                </a:ext>
                <a:ext uri="{FF2B5EF4-FFF2-40B4-BE49-F238E27FC236}">
                  <a16:creationId xmlns:a16="http://schemas.microsoft.com/office/drawing/2014/main" id="{00000000-0008-0000-0900-0000049C0000}"/>
                </a:ext>
              </a:extLst>
            </xdr:cNvPr>
            <xdr:cNvSpPr/>
          </xdr:nvSpPr>
          <xdr:spPr bwMode="auto">
            <a:xfrm>
              <a:off x="0" y="0"/>
              <a:ext cx="0" cy="0"/>
            </a:xfrm>
            <a:prstGeom prst="rect">
              <a:avLst/>
            </a:prstGeom>
            <a:noFill/>
            <a:ln w="9525">
              <a:miter lim="800000"/>
              <a:headEnd/>
              <a:tailEnd/>
            </a:ln>
          </xdr:spPr>
          <xdr:txBody>
            <a:bodyPr vertOverflow="clip" wrap="square" lIns="73152" tIns="59436" rIns="73152" bIns="59436" anchor="ctr" upright="1"/>
            <a:lstStyle/>
            <a:p>
              <a:pPr algn="ctr" rtl="0">
                <a:defRPr sz="1000"/>
              </a:pPr>
              <a:r>
                <a:rPr lang="en-IN" sz="2600" b="1" i="0" u="none" strike="noStrike" baseline="0">
                  <a:solidFill>
                    <a:srgbClr val="000000"/>
                  </a:solidFill>
                  <a:latin typeface="Roboto"/>
                  <a:ea typeface="Roboto"/>
                  <a:cs typeface="Roboto"/>
                </a:rPr>
                <a:t>Create Client Sheet</a:t>
              </a:r>
            </a:p>
          </xdr:txBody>
        </xdr:sp>
        <xdr:clientData fPrintsWithSheet="0"/>
      </xdr:twoCellAnchor>
    </mc:Choice>
    <mc:Fallback/>
  </mc:AlternateContent>
  <xdr:twoCellAnchor editAs="oneCell">
    <xdr:from>
      <xdr:col>0</xdr:col>
      <xdr:colOff>-6235700</xdr:colOff>
      <xdr:row>0</xdr:row>
      <xdr:rowOff>-1653540</xdr:rowOff>
    </xdr:from>
    <xdr:to>
      <xdr:col>0</xdr:col>
      <xdr:colOff>-4259580</xdr:colOff>
      <xdr:row>1</xdr:row>
      <xdr:rowOff>123759</xdr:rowOff>
    </xdr:to>
    <xdr:pic>
      <xdr:nvPicPr>
        <xdr:cNvPr id="2" name="Picture 1">
          <a:extLst>
            <a:ext uri="{FF2B5EF4-FFF2-40B4-BE49-F238E27FC236}">
              <a16:creationId xmlns:a16="http://schemas.microsoft.com/office/drawing/2014/main" id="{BE6C75F8-D078-AACF-3ECD-FED05992F8D9}"/>
            </a:ext>
            <a:ext uri="{147F2762-F138-4A5C-976F-8EAC2B608ADB}">
              <a16:predDERef xmlns:a16="http://schemas.microsoft.com/office/drawing/2014/main" pred="{00000000-0008-0000-0900-0000049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5700" y="-1653540"/>
          <a:ext cx="1976120" cy="1944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220979</xdr:colOff>
      <xdr:row>2</xdr:row>
      <xdr:rowOff>129540</xdr:rowOff>
    </xdr:from>
    <xdr:to>
      <xdr:col>1</xdr:col>
      <xdr:colOff>2171700</xdr:colOff>
      <xdr:row>13</xdr:row>
      <xdr:rowOff>91440</xdr:rowOff>
    </xdr:to>
    <xdr:pic>
      <xdr:nvPicPr>
        <xdr:cNvPr id="5" name="Picture 2">
          <a:extLst>
            <a:ext uri="{FF2B5EF4-FFF2-40B4-BE49-F238E27FC236}">
              <a16:creationId xmlns:a16="http://schemas.microsoft.com/office/drawing/2014/main" id="{8FF087F8-C0C3-4492-B052-E69DFDDA734F}"/>
            </a:ext>
            <a:ext uri="{147F2762-F138-4A5C-976F-8EAC2B608ADB}">
              <a16:predDERef xmlns:a16="http://schemas.microsoft.com/office/drawing/2014/main" pred="{BE6C75F8-D078-AACF-3ECD-FED05992F8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94" t="9933" r="10282" b="15731"/>
        <a:stretch>
          <a:fillRect/>
        </a:stretch>
      </xdr:blipFill>
      <xdr:spPr bwMode="auto">
        <a:xfrm>
          <a:off x="601979" y="464820"/>
          <a:ext cx="1950721" cy="1767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220980</xdr:colOff>
      <xdr:row>3</xdr:row>
      <xdr:rowOff>99060</xdr:rowOff>
    </xdr:from>
    <xdr:to>
      <xdr:col>1</xdr:col>
      <xdr:colOff>2171701</xdr:colOff>
      <xdr:row>14</xdr:row>
      <xdr:rowOff>106680</xdr:rowOff>
    </xdr:to>
    <xdr:pic>
      <xdr:nvPicPr>
        <xdr:cNvPr id="7" name="Picture 2">
          <a:extLst>
            <a:ext uri="{FF2B5EF4-FFF2-40B4-BE49-F238E27FC236}">
              <a16:creationId xmlns:a16="http://schemas.microsoft.com/office/drawing/2014/main" id="{D42959B2-E8C6-4A47-BA84-46AF2A31C48B}"/>
            </a:ext>
            <a:ext uri="{147F2762-F138-4A5C-976F-8EAC2B608ADB}">
              <a16:predDERef xmlns:a16="http://schemas.microsoft.com/office/drawing/2014/main" pred="{BE6C75F8-D078-AACF-3ECD-FED05992F8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94" t="9933" r="10282" b="15731"/>
        <a:stretch>
          <a:fillRect/>
        </a:stretch>
      </xdr:blipFill>
      <xdr:spPr bwMode="auto">
        <a:xfrm>
          <a:off x="601980" y="579120"/>
          <a:ext cx="1950721" cy="1767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98010</xdr:colOff>
      <xdr:row>4</xdr:row>
      <xdr:rowOff>15240</xdr:rowOff>
    </xdr:from>
    <xdr:to>
      <xdr:col>1</xdr:col>
      <xdr:colOff>2141222</xdr:colOff>
      <xdr:row>14</xdr:row>
      <xdr:rowOff>60960</xdr:rowOff>
    </xdr:to>
    <xdr:pic>
      <xdr:nvPicPr>
        <xdr:cNvPr id="5" name="Picture 1">
          <a:extLst>
            <a:ext uri="{FF2B5EF4-FFF2-40B4-BE49-F238E27FC236}">
              <a16:creationId xmlns:a16="http://schemas.microsoft.com/office/drawing/2014/main" id="{1B76DB86-2739-4523-A3A7-2CC29E900CF2}"/>
            </a:ext>
            <a:ext uri="{147F2762-F138-4A5C-976F-8EAC2B608ADB}">
              <a16:predDERef xmlns:a16="http://schemas.microsoft.com/office/drawing/2014/main" pred="{BE6C75F8-D078-AACF-3ECD-FED05992F8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94" t="9933" r="10282" b="15731"/>
        <a:stretch>
          <a:fillRect/>
        </a:stretch>
      </xdr:blipFill>
      <xdr:spPr bwMode="auto">
        <a:xfrm>
          <a:off x="479010" y="670560"/>
          <a:ext cx="2043212" cy="1851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317411</xdr:colOff>
      <xdr:row>3</xdr:row>
      <xdr:rowOff>83820</xdr:rowOff>
    </xdr:from>
    <xdr:to>
      <xdr:col>1</xdr:col>
      <xdr:colOff>1813560</xdr:colOff>
      <xdr:row>13</xdr:row>
      <xdr:rowOff>83820</xdr:rowOff>
    </xdr:to>
    <xdr:pic>
      <xdr:nvPicPr>
        <xdr:cNvPr id="6" name="Picture 2">
          <a:extLst>
            <a:ext uri="{FF2B5EF4-FFF2-40B4-BE49-F238E27FC236}">
              <a16:creationId xmlns:a16="http://schemas.microsoft.com/office/drawing/2014/main" id="{50008D2E-33CE-4EF7-BB0B-6A3FF29EFBB4}"/>
            </a:ext>
            <a:ext uri="{147F2762-F138-4A5C-976F-8EAC2B608ADB}">
              <a16:predDERef xmlns:a16="http://schemas.microsoft.com/office/drawing/2014/main" pred="{BE6C75F8-D078-AACF-3ECD-FED05992F8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94" t="9933" r="10282" b="15731"/>
        <a:stretch>
          <a:fillRect/>
        </a:stretch>
      </xdr:blipFill>
      <xdr:spPr bwMode="auto">
        <a:xfrm>
          <a:off x="317411" y="579120"/>
          <a:ext cx="1816189"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350520</xdr:colOff>
      <xdr:row>0</xdr:row>
      <xdr:rowOff>38100</xdr:rowOff>
    </xdr:from>
    <xdr:to>
      <xdr:col>1</xdr:col>
      <xdr:colOff>1882140</xdr:colOff>
      <xdr:row>8</xdr:row>
      <xdr:rowOff>107870</xdr:rowOff>
    </xdr:to>
    <xdr:pic>
      <xdr:nvPicPr>
        <xdr:cNvPr id="8" name="Picture 4">
          <a:extLst>
            <a:ext uri="{FF2B5EF4-FFF2-40B4-BE49-F238E27FC236}">
              <a16:creationId xmlns:a16="http://schemas.microsoft.com/office/drawing/2014/main" id="{1A21007C-78B4-4062-96A6-2015691AA6BE}"/>
            </a:ext>
            <a:ext uri="{147F2762-F138-4A5C-976F-8EAC2B608ADB}">
              <a16:predDERef xmlns:a16="http://schemas.microsoft.com/office/drawing/2014/main" pred="{BE6C75F8-D078-AACF-3ECD-FED05992F8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94" t="9933" r="10282" b="15731"/>
        <a:stretch>
          <a:fillRect/>
        </a:stretch>
      </xdr:blipFill>
      <xdr:spPr bwMode="auto">
        <a:xfrm>
          <a:off x="502920" y="38100"/>
          <a:ext cx="1531620" cy="1388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335281</xdr:colOff>
      <xdr:row>0</xdr:row>
      <xdr:rowOff>38100</xdr:rowOff>
    </xdr:from>
    <xdr:to>
      <xdr:col>1</xdr:col>
      <xdr:colOff>1866901</xdr:colOff>
      <xdr:row>8</xdr:row>
      <xdr:rowOff>107870</xdr:rowOff>
    </xdr:to>
    <xdr:pic>
      <xdr:nvPicPr>
        <xdr:cNvPr id="6" name="Picture 1">
          <a:extLst>
            <a:ext uri="{FF2B5EF4-FFF2-40B4-BE49-F238E27FC236}">
              <a16:creationId xmlns:a16="http://schemas.microsoft.com/office/drawing/2014/main" id="{B246B565-67AF-480D-A281-2FBEA61D11A1}"/>
            </a:ext>
            <a:ext uri="{147F2762-F138-4A5C-976F-8EAC2B608ADB}">
              <a16:predDERef xmlns:a16="http://schemas.microsoft.com/office/drawing/2014/main" pred="{BE6C75F8-D078-AACF-3ECD-FED05992F8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94" t="9933" r="10282" b="15731"/>
        <a:stretch>
          <a:fillRect/>
        </a:stretch>
      </xdr:blipFill>
      <xdr:spPr bwMode="auto">
        <a:xfrm>
          <a:off x="487681" y="38100"/>
          <a:ext cx="1531620" cy="1388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339586</xdr:colOff>
      <xdr:row>3</xdr:row>
      <xdr:rowOff>146021</xdr:rowOff>
    </xdr:from>
    <xdr:to>
      <xdr:col>1</xdr:col>
      <xdr:colOff>2567478</xdr:colOff>
      <xdr:row>13</xdr:row>
      <xdr:rowOff>163201</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553" t="11553" r="18050" b="18050"/>
        <a:stretch/>
      </xdr:blipFill>
      <xdr:spPr>
        <a:xfrm>
          <a:off x="339586" y="847061"/>
          <a:ext cx="2616512" cy="2569880"/>
        </a:xfrm>
        <a:prstGeom prst="rect">
          <a:avLst/>
        </a:prstGeom>
      </xdr:spPr>
    </xdr:pic>
    <xdr:clientData/>
  </xdr:twoCellAnchor>
  <mc:AlternateContent xmlns:mc="http://schemas.openxmlformats.org/markup-compatibility/2006">
    <mc:Choice xmlns:a14="http://schemas.microsoft.com/office/drawing/2010/main" Requires="a14">
      <xdr:twoCellAnchor>
        <xdr:from>
          <xdr:col>10</xdr:col>
          <xdr:colOff>1333500</xdr:colOff>
          <xdr:row>0</xdr:row>
          <xdr:rowOff>160020</xdr:rowOff>
        </xdr:from>
        <xdr:to>
          <xdr:col>12</xdr:col>
          <xdr:colOff>60960</xdr:colOff>
          <xdr:row>6</xdr:row>
          <xdr:rowOff>38100</xdr:rowOff>
        </xdr:to>
        <xdr:sp macro="" textlink="">
          <xdr:nvSpPr>
            <xdr:cNvPr id="68609" name="Button 1" hidden="1">
              <a:extLst>
                <a:ext uri="{63B3BB69-23CF-44E3-9099-C40C66FF867C}">
                  <a14:compatExt spid="_x0000_s68609"/>
                </a:ext>
                <a:ext uri="{FF2B5EF4-FFF2-40B4-BE49-F238E27FC236}">
                  <a16:creationId xmlns:a16="http://schemas.microsoft.com/office/drawing/2014/main" id="{00000000-0008-0000-1300-0000010C0100}"/>
                </a:ext>
              </a:extLst>
            </xdr:cNvPr>
            <xdr:cNvSpPr/>
          </xdr:nvSpPr>
          <xdr:spPr bwMode="auto">
            <a:xfrm>
              <a:off x="0" y="0"/>
              <a:ext cx="0" cy="0"/>
            </a:xfrm>
            <a:prstGeom prst="rect">
              <a:avLst/>
            </a:prstGeom>
            <a:noFill/>
            <a:ln w="9525">
              <a:miter lim="800000"/>
              <a:headEnd/>
              <a:tailEnd/>
            </a:ln>
          </xdr:spPr>
          <xdr:txBody>
            <a:bodyPr vertOverflow="clip" wrap="square" lIns="73152" tIns="59436" rIns="73152" bIns="59436" anchor="ctr" upright="1"/>
            <a:lstStyle/>
            <a:p>
              <a:pPr algn="ctr" rtl="0">
                <a:defRPr sz="1000"/>
              </a:pPr>
              <a:r>
                <a:rPr lang="en-IN" sz="2600" b="1" i="0" u="none" strike="noStrike" baseline="0">
                  <a:solidFill>
                    <a:srgbClr val="000000"/>
                  </a:solidFill>
                  <a:latin typeface="Roboto"/>
                  <a:ea typeface="Roboto"/>
                  <a:cs typeface="Roboto"/>
                </a:rPr>
                <a:t>Create Client Sheet</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xdr:twoCellAnchor>
    <xdr:from>
      <xdr:col>0</xdr:col>
      <xdr:colOff>163286</xdr:colOff>
      <xdr:row>1</xdr:row>
      <xdr:rowOff>130630</xdr:rowOff>
    </xdr:from>
    <xdr:to>
      <xdr:col>0</xdr:col>
      <xdr:colOff>2427514</xdr:colOff>
      <xdr:row>10</xdr:row>
      <xdr:rowOff>179294</xdr:rowOff>
    </xdr:to>
    <xdr:sp macro="" textlink="">
      <xdr:nvSpPr>
        <xdr:cNvPr id="2" name="Rectangle 2">
          <a:extLst>
            <a:ext uri="{FF2B5EF4-FFF2-40B4-BE49-F238E27FC236}">
              <a16:creationId xmlns:a16="http://schemas.microsoft.com/office/drawing/2014/main" id="{00000000-0008-0000-1300-000002000000}"/>
            </a:ext>
          </a:extLst>
        </xdr:cNvPr>
        <xdr:cNvSpPr/>
      </xdr:nvSpPr>
      <xdr:spPr>
        <a:xfrm>
          <a:off x="163286" y="388365"/>
          <a:ext cx="2264228" cy="2076929"/>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222656</xdr:colOff>
      <xdr:row>1</xdr:row>
      <xdr:rowOff>224661</xdr:rowOff>
    </xdr:from>
    <xdr:ext cx="2152650" cy="1912123"/>
    <xdr:pic>
      <xdr:nvPicPr>
        <xdr:cNvPr id="3" name="Picture 1">
          <a:extLst>
            <a:ext uri="{FF2B5EF4-FFF2-40B4-BE49-F238E27FC236}">
              <a16:creationId xmlns:a16="http://schemas.microsoft.com/office/drawing/2014/main" id="{00000000-0008-0000-1300-000003000000}"/>
            </a:ext>
            <a:ext uri="{147F2762-F138-4A5C-976F-8EAC2B608ADB}">
              <a16:predDERef xmlns:a16="http://schemas.microsoft.com/office/drawing/2014/main" pred="{E2CC5059-F4D7-76DA-4031-F343128EC1A8}"/>
            </a:ext>
          </a:extLst>
        </xdr:cNvPr>
        <xdr:cNvPicPr>
          <a:picLocks noChangeAspect="1"/>
        </xdr:cNvPicPr>
      </xdr:nvPicPr>
      <xdr:blipFill>
        <a:blip xmlns:r="http://schemas.openxmlformats.org/officeDocument/2006/relationships" r:embed="rId1"/>
        <a:stretch>
          <a:fillRect/>
        </a:stretch>
      </xdr:blipFill>
      <xdr:spPr>
        <a:xfrm>
          <a:off x="222656" y="475319"/>
          <a:ext cx="2152650" cy="1912123"/>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2</xdr:col>
      <xdr:colOff>828675</xdr:colOff>
      <xdr:row>0</xdr:row>
      <xdr:rowOff>57150</xdr:rowOff>
    </xdr:from>
    <xdr:ext cx="1724025" cy="666750"/>
    <xdr:pic>
      <xdr:nvPicPr>
        <xdr:cNvPr id="2" name="image1.png">
          <a:extLst>
            <a:ext uri="{FF2B5EF4-FFF2-40B4-BE49-F238E27FC236}">
              <a16:creationId xmlns:a16="http://schemas.microsoft.com/office/drawing/2014/main" id="{00000000-0008-0000-1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Mann Shah" id="{B8776D8F-AE48-4BF0-87A8-E2951B50C2BC}" userId="S::Mann@healthysure.in::4851a368-11fb-4598-8ff0-b734de3e90b4" providerId="AD"/>
  <person displayName="Anuj Parekh" id="{7612571E-A473-4509-BB15-855C66EFCA96}" userId="S::anuj.parekh@bharatsure.com::074b046d-4a23-4c0f-ab09-98f0f799dc1a" providerId="AD"/>
</personList>
</file>

<file path=xl/richData/_rels/rdRichValueWebImage.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upload.wikimedia.org/wikipedia/commons/c/c4/Digit_Insurance.jp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Srd>
</file>

<file path=xl/richData/rdrichvalue.xml><?xml version="1.0" encoding="utf-8"?>
<rvData xmlns="http://schemas.microsoft.com/office/spreadsheetml/2017/richdata" count="2">
  <rv s="0">
    <v>2</v>
    <v>10</v>
  </rv>
  <rv s="1">
    <v>0</v>
    <v>1</v>
    <v>0</v>
    <v>0</v>
    <v>Digit</v>
  </rv>
</rvData>
</file>

<file path=xl/richData/rdrichvaluestructure.xml><?xml version="1.0" encoding="utf-8"?>
<rvStructures xmlns="http://schemas.microsoft.com/office/spreadsheetml/2017/richdata" count="2">
  <s t="_error">
    <k n="errorType" t="i"/>
    <k n="subType" t="i"/>
  </s>
  <s t="_webimage">
    <k n="WebImageIdentifier" t="i"/>
    <k n="CalcOrigin" t="i"/>
    <k n="ComputedImage" t="b"/>
    <k n="ImageSizing" t="i"/>
    <k n="Text" t="s"/>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R33">
  <tableColumns count="18">
    <tableColumn id="1" xr3:uid="{00000000-0010-0000-0000-000001000000}" name="Key Policy Features"/>
    <tableColumn id="2" xr3:uid="{00000000-0010-0000-0000-000002000000}" name="HDFC ERGO_x000a_My Health Suraksha "/>
    <tableColumn id="3" xr3:uid="{00000000-0010-0000-0000-000003000000}" name="Niva BUPA _x000a_Health Companion"/>
    <tableColumn id="4" xr3:uid="{00000000-0010-0000-0000-000004000000}" name="ICICI LOMBARD_x000a_Health Shield"/>
    <tableColumn id="5" xr3:uid="{00000000-0010-0000-0000-000005000000}" name="MANIPAL CIGNA Prohealth Protect"/>
    <tableColumn id="6" xr3:uid="{00000000-0010-0000-0000-000006000000}" name="STAR HEALTH_x000a_Comprehensive"/>
    <tableColumn id="7" xr3:uid="{00000000-0010-0000-0000-000007000000}" name="HDFC ERGO_x000a_Optima Secure"/>
    <tableColumn id="8" xr3:uid="{00000000-0010-0000-0000-000008000000}" name="HDFC ERGO_x000a_Optima Restore"/>
    <tableColumn id="9" xr3:uid="{00000000-0010-0000-0000-000009000000}" name="STAR HEALTH_x000a_Red Carpet"/>
    <tableColumn id="10" xr3:uid="{00000000-0010-0000-0000-00000A000000}" name="STAR HEALTH_x000a_Cancer Care Platinum"/>
    <tableColumn id="11" xr3:uid="{00000000-0010-0000-0000-00000B000000}" name="Aditya Birla _x000a_Activ Health Platinum Enhanced"/>
    <tableColumn id="12" xr3:uid="{00000000-0010-0000-0000-00000C000000}" name="CARE HEALTH_x000a_Freedom"/>
    <tableColumn id="13" xr3:uid="{00000000-0010-0000-0000-00000D000000}" name="Max Bupa_x000a_Health Reassure"/>
    <tableColumn id="14" xr3:uid="{00000000-0010-0000-0000-00000E000000}" name="Care Health_x000a_Care Plus"/>
    <tableColumn id="15" xr3:uid="{00000000-0010-0000-0000-00000F000000}" name="Care Health_x000a_Care Classic"/>
    <tableColumn id="16" xr3:uid="{00000000-0010-0000-0000-000010000000}" name="Care Health_x000a_Heart2"/>
    <tableColumn id="17" xr3:uid="{00000000-0010-0000-0000-000011000000}" name="Care Health_x000a_Care3"/>
    <tableColumn id="18" xr3:uid="{00000000-0010-0000-0000-000012000000}" name="Go Digit _x000a_Health Care Plus - Gold"/>
  </tableColumns>
  <tableStyleInfo name="Sheet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5-10-10T15:31:46.50" personId="{B8776D8F-AE48-4BF0-87A8-E2951B50C2BC}" id="{47D3B9D0-13A7-4E22-A559-BB61EC80CE79}">
    <text>HealthySure
Basis 2 - GoDigit does have an option to remove the clause of 40% of admissible PA claim 
Basis 1 - Even daycare procedures covered but not OPD.</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4-07-29T06:00:33.69" personId="{7612571E-A473-4509-BB15-855C66EFCA96}" id="{EBD16B01-FE01-4ADD-B319-9E064C58412E}">
    <text>From IRDA data</text>
  </threadedComment>
  <threadedComment ref="F2" dT="2024-07-29T06:00:29.30" personId="{7612571E-A473-4509-BB15-855C66EFCA96}" id="{19F2B9C6-6D33-4819-8A0B-3024ED15818A}">
    <text>From IRDA data</text>
  </threadedComment>
  <threadedComment ref="G2" dT="2024-07-29T06:00:16.52" personId="{7612571E-A473-4509-BB15-855C66EFCA96}" id="{18E7847A-1077-47B9-8702-910DE1CE603D}">
    <text>NL26</text>
  </threadedComment>
  <threadedComment ref="H2" dT="2024-07-29T06:00:49.39" personId="{7612571E-A473-4509-BB15-855C66EFCA96}" id="{3D4ADFC7-81DF-42D9-B860-9CFA6499FAE1}">
    <text>From BS KAM Team</text>
  </threadedComment>
  <threadedComment ref="I2" dT="2024-07-29T06:00:54.97" personId="{7612571E-A473-4509-BB15-855C66EFCA96}" id="{83526B8C-C142-41AE-A6D8-4538D320ABDD}">
    <text xml:space="preserve">From BS KAM Team
</text>
  </threadedComment>
  <threadedComment ref="J2" dT="2024-07-29T06:01:07.59" personId="{7612571E-A473-4509-BB15-855C66EFCA96}" id="{3BA44DAC-1CF5-4DB8-88B7-B778C1B5A0EC}">
    <text>From respective insurer website (if not available check trustworthy sources like Beshak or Ditto)</text>
  </threadedComment>
  <threadedComment ref="L2" dT="2024-07-29T06:01:27.97" personId="{7612571E-A473-4509-BB15-855C66EFCA96}" id="{EFC634BE-47C2-428B-AC8E-25009AAA269C}">
    <text>From BS Claims team</text>
  </threadedComment>
  <threadedComment ref="M2" dT="2024-07-29T06:01:41.76" personId="{7612571E-A473-4509-BB15-855C66EFCA96}" id="{1DD8B45F-FDFA-4C68-ABC0-F9BC20647389}">
    <text>From BS Claims Team</text>
  </threadedComment>
  <threadedComment ref="N2" dT="2024-07-29T05:59:55.44" personId="{7612571E-A473-4509-BB15-855C66EFCA96}" id="{2721772B-12F4-4BF1-9D4E-9DE99818BDFA}">
    <text>Compute manually from NL39</text>
  </threadedComment>
  <threadedComment ref="O2" dT="2024-07-29T06:01:56.42" personId="{7612571E-A473-4509-BB15-855C66EFCA96}" id="{D5CA3090-F1F2-4660-9B5E-9AF29733015B}">
    <text>From Placements team</text>
  </threadedComment>
  <threadedComment ref="P2" dT="2024-07-29T06:02:00.21" personId="{7612571E-A473-4509-BB15-855C66EFCA96}" id="{A7CC4199-DC68-42EC-AFB9-DAF2715F7494}">
    <text>From Placements team</text>
  </threadedComment>
  <threadedComment ref="Q2" dT="2024-07-29T06:02:00.21" personId="{7612571E-A473-4509-BB15-855C66EFCA96}" id="{683AB015-FB40-4363-BD67-B8FDB0BA80C0}">
    <text>From Placements team</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ctrlProp" Target="../ctrlProps/ctrlProp8.xml"/><Relationship Id="rId4" Type="http://schemas.openxmlformats.org/officeDocument/2006/relationships/ctrlProp" Target="../ctrlProps/ctrlProp7.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9.xml.rels><?xml version="1.0" encoding="UTF-8" standalone="yes"?>
<Relationships xmlns="http://schemas.openxmlformats.org/package/2006/relationships"><Relationship Id="rId8" Type="http://schemas.openxmlformats.org/officeDocument/2006/relationships/hyperlink" Target="https://www.icicilombard.com/cashless-hospitals" TargetMode="External"/><Relationship Id="rId13" Type="http://schemas.openxmlformats.org/officeDocument/2006/relationships/hyperlink" Target="https://general.futuregenerali.in/network-hospitals" TargetMode="External"/><Relationship Id="rId18" Type="http://schemas.openxmlformats.org/officeDocument/2006/relationships/vmlDrawing" Target="../drawings/vmlDrawing5.vml"/><Relationship Id="rId3" Type="http://schemas.openxmlformats.org/officeDocument/2006/relationships/hyperlink" Target="https://www.tataaig.com/health-insurance" TargetMode="External"/><Relationship Id="rId7" Type="http://schemas.openxmlformats.org/officeDocument/2006/relationships/hyperlink" Target="https://www.paramounttpa.com/Home/ProviderNetwork.aspx" TargetMode="External"/><Relationship Id="rId12" Type="http://schemas.openxmlformats.org/officeDocument/2006/relationships/hyperlink" Target="https://www.paramounttpa.com/Home/ProviderNetwork.aspx" TargetMode="External"/><Relationship Id="rId17" Type="http://schemas.openxmlformats.org/officeDocument/2006/relationships/printerSettings" Target="../printerSettings/printerSettings6.bin"/><Relationship Id="rId2" Type="http://schemas.openxmlformats.org/officeDocument/2006/relationships/hyperlink" Target="https://www.careinsurance.com/health-plan-network-hospitals.html?state=1&amp;city=40&amp;page=2" TargetMode="External"/><Relationship Id="rId16" Type="http://schemas.openxmlformats.org/officeDocument/2006/relationships/hyperlink" Target="https://www.rahejaqbe.com/hospital-locator" TargetMode="External"/><Relationship Id="rId1" Type="http://schemas.openxmlformats.org/officeDocument/2006/relationships/hyperlink" Target="https://www.medibuddy.in/networkHospitals" TargetMode="External"/><Relationship Id="rId6" Type="http://schemas.openxmlformats.org/officeDocument/2006/relationships/hyperlink" Target="https://www.paramounttpa.com/Home/ProviderNetwork.aspx" TargetMode="External"/><Relationship Id="rId11" Type="http://schemas.openxmlformats.org/officeDocument/2006/relationships/hyperlink" Target="https://general.bajajallianz.com/BagicNxt/hm/hmSearchState.do" TargetMode="External"/><Relationship Id="rId5" Type="http://schemas.openxmlformats.org/officeDocument/2006/relationships/hyperlink" Target="https://www.paramounttpa.com/Home/ProviderNetwork.aspx" TargetMode="External"/><Relationship Id="rId15" Type="http://schemas.openxmlformats.org/officeDocument/2006/relationships/hyperlink" Target="https://www.adityabirlacapital.com/healthinsurance/locate-care/hospital-listing" TargetMode="External"/><Relationship Id="rId10" Type="http://schemas.openxmlformats.org/officeDocument/2006/relationships/hyperlink" Target="https://www.starhealth.in/network-hospitals" TargetMode="External"/><Relationship Id="rId19" Type="http://schemas.openxmlformats.org/officeDocument/2006/relationships/comments" Target="../comments1.xml"/><Relationship Id="rId4" Type="http://schemas.openxmlformats.org/officeDocument/2006/relationships/hyperlink" Target="https://transaction.nivabupa.com/Pages/hospitalnetwork.aspx" TargetMode="External"/><Relationship Id="rId9" Type="http://schemas.openxmlformats.org/officeDocument/2006/relationships/hyperlink" Target="https://www.icicilombard.com/cashless-hospitals" TargetMode="External"/><Relationship Id="rId14" Type="http://schemas.openxmlformats.org/officeDocument/2006/relationships/hyperlink" Target="https://www.acko.com/health-product/networkhospitals" TargetMode="Externa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trlProp" Target="../ctrlProps/ctrlProp11.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8" Type="http://schemas.openxmlformats.org/officeDocument/2006/relationships/hyperlink" Target="https://www.icicilombard.com/cashless-hospitals" TargetMode="External"/><Relationship Id="rId13" Type="http://schemas.openxmlformats.org/officeDocument/2006/relationships/hyperlink" Target="https://www.acko.com/health-product/networkhospitals" TargetMode="External"/><Relationship Id="rId18" Type="http://schemas.openxmlformats.org/officeDocument/2006/relationships/vmlDrawing" Target="../drawings/vmlDrawing8.vml"/><Relationship Id="rId3" Type="http://schemas.openxmlformats.org/officeDocument/2006/relationships/hyperlink" Target="https://www.tataaig.com/health-insurance" TargetMode="External"/><Relationship Id="rId7" Type="http://schemas.openxmlformats.org/officeDocument/2006/relationships/hyperlink" Target="https://www.paramounttpa.com/Home/ProviderNetwork.aspx" TargetMode="External"/><Relationship Id="rId12" Type="http://schemas.openxmlformats.org/officeDocument/2006/relationships/hyperlink" Target="https://general.futuregenerali.in/network-hospitals" TargetMode="External"/><Relationship Id="rId17" Type="http://schemas.openxmlformats.org/officeDocument/2006/relationships/printerSettings" Target="../printerSettings/printerSettings9.bin"/><Relationship Id="rId2" Type="http://schemas.openxmlformats.org/officeDocument/2006/relationships/hyperlink" Target="https://www.careinsurance.com/health-plan-network-hospitals.html?state=1&amp;city=40&amp;page=2" TargetMode="External"/><Relationship Id="rId16" Type="http://schemas.openxmlformats.org/officeDocument/2006/relationships/hyperlink" Target="https://general.bajajallianz.com/BagicNxt/hm/hmSearchState.do" TargetMode="External"/><Relationship Id="rId1" Type="http://schemas.openxmlformats.org/officeDocument/2006/relationships/hyperlink" Target="https://www.medibuddy.in/networkHospitals" TargetMode="External"/><Relationship Id="rId6" Type="http://schemas.openxmlformats.org/officeDocument/2006/relationships/hyperlink" Target="https://www.paramounttpa.com/Home/ProviderNetwork.aspx" TargetMode="External"/><Relationship Id="rId11" Type="http://schemas.openxmlformats.org/officeDocument/2006/relationships/hyperlink" Target="https://www.paramounttpa.com/Home/ProviderNetwork.aspx" TargetMode="External"/><Relationship Id="rId5" Type="http://schemas.openxmlformats.org/officeDocument/2006/relationships/hyperlink" Target="https://www.paramounttpa.com/Home/ProviderNetwork.aspx" TargetMode="External"/><Relationship Id="rId15" Type="http://schemas.openxmlformats.org/officeDocument/2006/relationships/hyperlink" Target="https://www.rahejaqbe.com/hospital-locator" TargetMode="External"/><Relationship Id="rId10" Type="http://schemas.openxmlformats.org/officeDocument/2006/relationships/hyperlink" Target="https://general.bajajallianz.com/BagicNxt/hm/hmSearchState.do" TargetMode="External"/><Relationship Id="rId19" Type="http://schemas.openxmlformats.org/officeDocument/2006/relationships/comments" Target="../comments3.xml"/><Relationship Id="rId4" Type="http://schemas.openxmlformats.org/officeDocument/2006/relationships/hyperlink" Target="https://transaction.nivabupa.com/Pages/hospitalnetwork.aspx" TargetMode="External"/><Relationship Id="rId9" Type="http://schemas.openxmlformats.org/officeDocument/2006/relationships/hyperlink" Target="https://www.starhealth.in/network-hospitals" TargetMode="External"/><Relationship Id="rId14" Type="http://schemas.openxmlformats.org/officeDocument/2006/relationships/hyperlink" Target="https://www.adityabirlacapital.com/healthinsurance/locate-care/hospital-listing"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4.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docsend.com/view/yif2uvxm4m4cs7hg"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4.bin"/><Relationship Id="rId4" Type="http://schemas.openxmlformats.org/officeDocument/2006/relationships/ctrlProp" Target="../ctrlProps/ctrlProp12.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8" Type="http://schemas.openxmlformats.org/officeDocument/2006/relationships/hyperlink" Target="https://general.futuregenerali.in/network-hospitals" TargetMode="External"/><Relationship Id="rId13" Type="http://schemas.openxmlformats.org/officeDocument/2006/relationships/hyperlink" Target="https://www.paramounttpa.com/Home/ProviderNetwork.aspx" TargetMode="External"/><Relationship Id="rId18" Type="http://schemas.openxmlformats.org/officeDocument/2006/relationships/hyperlink" Target="https://joinditto.in/health-insurance/bajaj-allianz/" TargetMode="External"/><Relationship Id="rId26" Type="http://schemas.openxmlformats.org/officeDocument/2006/relationships/hyperlink" Target="https://www.cholainsurance.com/cashless-hospitals" TargetMode="External"/><Relationship Id="rId3" Type="http://schemas.openxmlformats.org/officeDocument/2006/relationships/hyperlink" Target="https://joinditto.in/health-insurance/max-bupa/" TargetMode="External"/><Relationship Id="rId21" Type="http://schemas.openxmlformats.org/officeDocument/2006/relationships/hyperlink" Target="https://joinditto.in/health-insurance/national-insurance/" TargetMode="External"/><Relationship Id="rId7" Type="http://schemas.openxmlformats.org/officeDocument/2006/relationships/hyperlink" Target="https://www.icicilombard.com/blogs/health-insurance/hi/list-of-cashless-network-hospital-list-in-mumbai" TargetMode="External"/><Relationship Id="rId12" Type="http://schemas.openxmlformats.org/officeDocument/2006/relationships/hyperlink" Target="https://www.hizuno.com/cashless-hospital-network" TargetMode="External"/><Relationship Id="rId17" Type="http://schemas.openxmlformats.org/officeDocument/2006/relationships/hyperlink" Target="https://joinditto.in/health-insurance/star-health/" TargetMode="External"/><Relationship Id="rId25" Type="http://schemas.openxmlformats.org/officeDocument/2006/relationships/hyperlink" Target="https://joinditto.in/health-insurance/royal-sundaram/" TargetMode="External"/><Relationship Id="rId2" Type="http://schemas.openxmlformats.org/officeDocument/2006/relationships/hyperlink" Target="https://www.careinsurance.com/health-plan-network-hospitals.html" TargetMode="External"/><Relationship Id="rId16" Type="http://schemas.openxmlformats.org/officeDocument/2006/relationships/hyperlink" Target="https://www.tataaig.com/locator/cashless-network-hospitals" TargetMode="External"/><Relationship Id="rId20" Type="http://schemas.openxmlformats.org/officeDocument/2006/relationships/hyperlink" Target="https://joinditto.in/health-insurance/united-india/" TargetMode="External"/><Relationship Id="rId29" Type="http://schemas.openxmlformats.org/officeDocument/2006/relationships/comments" Target="../comments5.xml"/><Relationship Id="rId1" Type="http://schemas.openxmlformats.org/officeDocument/2006/relationships/hyperlink" Target="https://www.godigit.com/health-insurance/digit-cashless-network-hospitals-list" TargetMode="External"/><Relationship Id="rId6" Type="http://schemas.openxmlformats.org/officeDocument/2006/relationships/hyperlink" Target="https://www.paramounttpa.com/Home/ProviderNetwork.aspx" TargetMode="External"/><Relationship Id="rId11" Type="http://schemas.openxmlformats.org/officeDocument/2006/relationships/hyperlink" Target="https://www.manipalcigna.com/locate-us" TargetMode="External"/><Relationship Id="rId24" Type="http://schemas.openxmlformats.org/officeDocument/2006/relationships/hyperlink" Target="https://joinditto.in/health-insurance/hdfc-ergo/" TargetMode="External"/><Relationship Id="rId5" Type="http://schemas.openxmlformats.org/officeDocument/2006/relationships/hyperlink" Target="https://www.paramounttpa.com/Home/ProviderNetwork.aspx" TargetMode="External"/><Relationship Id="rId15" Type="http://schemas.openxmlformats.org/officeDocument/2006/relationships/hyperlink" Target="https://www.rahejaqbe.com/hospital-locator" TargetMode="External"/><Relationship Id="rId23" Type="http://schemas.openxmlformats.org/officeDocument/2006/relationships/hyperlink" Target="https://joinditto.in/health-insurance/royal-sundaram/" TargetMode="External"/><Relationship Id="rId28" Type="http://schemas.openxmlformats.org/officeDocument/2006/relationships/vmlDrawing" Target="../drawings/vmlDrawing11.vml"/><Relationship Id="rId10" Type="http://schemas.openxmlformats.org/officeDocument/2006/relationships/hyperlink" Target="https://joinditto.in/health-insurance/aditya-birla/" TargetMode="External"/><Relationship Id="rId19" Type="http://schemas.openxmlformats.org/officeDocument/2006/relationships/hyperlink" Target="https://joinditto.in/health-insurance/sbi/" TargetMode="External"/><Relationship Id="rId4" Type="http://schemas.openxmlformats.org/officeDocument/2006/relationships/hyperlink" Target="https://www.paramounttpa.com/Home/ProviderNetwork.aspx" TargetMode="External"/><Relationship Id="rId9" Type="http://schemas.openxmlformats.org/officeDocument/2006/relationships/hyperlink" Target="https://www.acko.com/health-product/networkhospitals" TargetMode="External"/><Relationship Id="rId14" Type="http://schemas.openxmlformats.org/officeDocument/2006/relationships/hyperlink" Target="https://joinditto.in/health-insurance/reliance/" TargetMode="External"/><Relationship Id="rId22" Type="http://schemas.openxmlformats.org/officeDocument/2006/relationships/hyperlink" Target="https://www.libertyinsurance.in/products/CPMigration/hospitalLocator" TargetMode="External"/><Relationship Id="rId27" Type="http://schemas.openxmlformats.org/officeDocument/2006/relationships/printerSettings" Target="../printerSettings/printerSettings16.bin"/><Relationship Id="rId30" Type="http://schemas.microsoft.com/office/2017/10/relationships/threadedComment" Target="../threadedComments/threadedComment2.xml"/></Relationships>
</file>

<file path=xl/worksheets/_rels/sheet27.xml.rels><?xml version="1.0" encoding="UTF-8" standalone="yes"?>
<Relationships xmlns="http://schemas.openxmlformats.org/package/2006/relationships"><Relationship Id="rId3" Type="http://schemas.openxmlformats.org/officeDocument/2006/relationships/hyperlink" Target="https://www.tataaig.com/health-insurance" TargetMode="External"/><Relationship Id="rId2" Type="http://schemas.openxmlformats.org/officeDocument/2006/relationships/hyperlink" Target="https://www.careinsurance.com/health-plan-network-hospitals.html?state=1&amp;city=40&amp;page=2" TargetMode="External"/><Relationship Id="rId1" Type="http://schemas.openxmlformats.org/officeDocument/2006/relationships/hyperlink" Target="https://www.medibuddy.in/networkHospitals" TargetMode="External"/><Relationship Id="rId4"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8" Type="http://schemas.openxmlformats.org/officeDocument/2006/relationships/hyperlink" Target="https://www.starhealth.in/network-hospitals" TargetMode="External"/><Relationship Id="rId13" Type="http://schemas.openxmlformats.org/officeDocument/2006/relationships/hyperlink" Target="https://www.careinsurance.com/health-plan-network-hospitals.html?state=1&amp;city=40&amp;page=2" TargetMode="External"/><Relationship Id="rId18" Type="http://schemas.openxmlformats.org/officeDocument/2006/relationships/vmlDrawing" Target="../drawings/vmlDrawing12.vml"/><Relationship Id="rId3" Type="http://schemas.openxmlformats.org/officeDocument/2006/relationships/hyperlink" Target="https://www.icicilombard.com/cashless-hospitals" TargetMode="External"/><Relationship Id="rId7" Type="http://schemas.openxmlformats.org/officeDocument/2006/relationships/hyperlink" Target="https://www.starhealth.in/network-hospitals" TargetMode="External"/><Relationship Id="rId12" Type="http://schemas.openxmlformats.org/officeDocument/2006/relationships/hyperlink" Target="https://www.careinsurance.com/health-plan-network-hospitals.html?state=1&amp;city=40&amp;page=2" TargetMode="External"/><Relationship Id="rId17" Type="http://schemas.openxmlformats.org/officeDocument/2006/relationships/drawing" Target="../drawings/drawing13.xml"/><Relationship Id="rId2" Type="http://schemas.openxmlformats.org/officeDocument/2006/relationships/hyperlink" Target="https://transaction.maxbupa.com/Pages/hospitalnetwork.aspx" TargetMode="External"/><Relationship Id="rId16" Type="http://schemas.openxmlformats.org/officeDocument/2006/relationships/printerSettings" Target="../printerSettings/printerSettings19.bin"/><Relationship Id="rId20" Type="http://schemas.openxmlformats.org/officeDocument/2006/relationships/comments" Target="../comments6.xml"/><Relationship Id="rId1" Type="http://schemas.openxmlformats.org/officeDocument/2006/relationships/hyperlink" Target="https://www.hdfcergo.com/locators/cashless-hospitals-network" TargetMode="External"/><Relationship Id="rId6" Type="http://schemas.openxmlformats.org/officeDocument/2006/relationships/hyperlink" Target="https://www.hdfcergo.com/locators/cashless-hospitals-network" TargetMode="External"/><Relationship Id="rId11" Type="http://schemas.openxmlformats.org/officeDocument/2006/relationships/hyperlink" Target="https://www.careinsurance.com/health-plan-network-hospitals.html?state=1&amp;city=40&amp;page=2" TargetMode="External"/><Relationship Id="rId5" Type="http://schemas.openxmlformats.org/officeDocument/2006/relationships/hyperlink" Target="https://www.hdfcergo.com/locators/cashless-hospitals-network" TargetMode="External"/><Relationship Id="rId15" Type="http://schemas.openxmlformats.org/officeDocument/2006/relationships/hyperlink" Target="https://www.medibuddy.in/networkHospitals" TargetMode="External"/><Relationship Id="rId10" Type="http://schemas.openxmlformats.org/officeDocument/2006/relationships/hyperlink" Target="https://transaction.maxbupa.com/Pages/hospitalnetwork.aspx" TargetMode="External"/><Relationship Id="rId19" Type="http://schemas.openxmlformats.org/officeDocument/2006/relationships/table" Target="../tables/table1.xml"/><Relationship Id="rId4" Type="http://schemas.openxmlformats.org/officeDocument/2006/relationships/hyperlink" Target="https://www.starhealth.in/network-hospitals" TargetMode="External"/><Relationship Id="rId9" Type="http://schemas.openxmlformats.org/officeDocument/2006/relationships/hyperlink" Target="https://www.careinsurance.com/health-plan-network-hospitals.html?state=1&amp;city=40&amp;page=2" TargetMode="External"/><Relationship Id="rId14" Type="http://schemas.openxmlformats.org/officeDocument/2006/relationships/hyperlink" Target="https://www.careinsurance.com/health-plan-network-hospitals.html?state=1&amp;city=40&amp;page=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1568-64FB-42EE-93A2-9ED00EF39343}">
  <sheetPr codeName="Sheet10"/>
  <dimension ref="B2:AR41"/>
  <sheetViews>
    <sheetView showGridLines="0" topLeftCell="C1" zoomScale="46" zoomScaleNormal="80" workbookViewId="0">
      <selection activeCell="S17" sqref="S17"/>
    </sheetView>
  </sheetViews>
  <sheetFormatPr defaultRowHeight="14.4"/>
  <cols>
    <col min="2" max="2" width="23" customWidth="1"/>
    <col min="3" max="3" width="2.44140625" customWidth="1"/>
    <col min="4" max="5" width="23" customWidth="1"/>
    <col min="6" max="6" width="2.44140625" customWidth="1"/>
    <col min="7" max="8" width="23" customWidth="1"/>
    <col min="9" max="9" width="2.44140625" customWidth="1"/>
    <col min="10" max="11" width="23" customWidth="1"/>
    <col min="12" max="12" width="2.44140625" customWidth="1"/>
    <col min="13" max="14" width="23" customWidth="1"/>
    <col min="15" max="15" width="16" bestFit="1" customWidth="1"/>
    <col min="16" max="16" width="22.5546875" customWidth="1"/>
    <col min="17" max="17" width="2.5546875" customWidth="1"/>
    <col min="18" max="22" width="25.44140625" customWidth="1"/>
    <col min="23" max="23" width="6.5546875" customWidth="1"/>
    <col min="28" max="28" width="14.44140625" bestFit="1" customWidth="1"/>
    <col min="31" max="31" width="8.5546875" style="106"/>
    <col min="32" max="32" width="23" customWidth="1"/>
    <col min="33" max="33" width="2.44140625" customWidth="1"/>
    <col min="34" max="35" width="23" customWidth="1"/>
    <col min="36" max="36" width="2.44140625" customWidth="1"/>
    <col min="37" max="38" width="23" customWidth="1"/>
    <col min="39" max="39" width="2.44140625" customWidth="1"/>
    <col min="40" max="41" width="23" customWidth="1"/>
    <col min="42" max="42" width="2.44140625" customWidth="1"/>
    <col min="43" max="44" width="23" customWidth="1"/>
  </cols>
  <sheetData>
    <row r="2" spans="2:44" ht="42" customHeight="1">
      <c r="B2" s="200"/>
      <c r="C2" s="200"/>
      <c r="D2" s="1215" t="s">
        <v>0</v>
      </c>
      <c r="E2" s="1215"/>
      <c r="F2" s="1215"/>
      <c r="G2" s="1215"/>
      <c r="H2" s="1215"/>
      <c r="I2" s="1215"/>
      <c r="J2" s="1215"/>
      <c r="K2" s="1215"/>
      <c r="L2" s="1215"/>
      <c r="M2" s="1215"/>
      <c r="N2" s="1215"/>
      <c r="P2" s="1204" t="s">
        <v>1</v>
      </c>
      <c r="Q2" s="1205"/>
      <c r="R2" s="1205"/>
      <c r="S2" s="1205"/>
      <c r="T2" s="1205"/>
      <c r="U2" s="1205"/>
      <c r="V2" s="1205"/>
      <c r="W2" s="219"/>
      <c r="AE2" s="341"/>
      <c r="AF2" s="200"/>
      <c r="AG2" s="200"/>
      <c r="AH2" s="1215" t="str">
        <f>D2</f>
        <v>Group Health Insurance</v>
      </c>
      <c r="AI2" s="1196"/>
      <c r="AJ2" s="1196"/>
      <c r="AK2" s="1196"/>
      <c r="AL2" s="1196"/>
      <c r="AM2" s="1196"/>
      <c r="AN2" s="1196"/>
      <c r="AO2" s="1196"/>
      <c r="AP2" s="1196"/>
      <c r="AQ2" s="1196"/>
      <c r="AR2" s="1196"/>
    </row>
    <row r="3" spans="2:44" ht="23.1" customHeight="1">
      <c r="B3" s="200"/>
      <c r="C3" s="200"/>
      <c r="D3" s="1206" t="s">
        <v>2</v>
      </c>
      <c r="E3" s="1206"/>
      <c r="F3" s="1201"/>
      <c r="G3" s="1206"/>
      <c r="H3" s="1206"/>
      <c r="I3" s="1201"/>
      <c r="J3" s="1206"/>
      <c r="K3" s="1206"/>
      <c r="L3" s="215"/>
      <c r="M3" s="1206" t="s">
        <v>3</v>
      </c>
      <c r="N3" s="1206"/>
      <c r="P3" s="330" t="s">
        <v>4</v>
      </c>
      <c r="Q3" s="331"/>
      <c r="R3" s="331"/>
      <c r="S3" s="331"/>
      <c r="T3" s="331"/>
      <c r="U3" s="331"/>
      <c r="V3" s="331"/>
      <c r="W3" s="218"/>
      <c r="AE3" s="342"/>
      <c r="AF3" s="200"/>
      <c r="AG3" s="200"/>
      <c r="AH3" s="1217" t="s">
        <v>2</v>
      </c>
      <c r="AI3" s="1217"/>
      <c r="AJ3" s="1218"/>
      <c r="AK3" s="1217"/>
      <c r="AL3" s="1217"/>
      <c r="AM3" s="1218"/>
      <c r="AN3" s="1217"/>
      <c r="AO3" s="1217"/>
      <c r="AP3" s="215"/>
      <c r="AQ3" s="1217" t="s">
        <v>5</v>
      </c>
      <c r="AR3" s="1217"/>
    </row>
    <row r="4" spans="2:44" ht="38.85" customHeight="1">
      <c r="B4" s="1191"/>
      <c r="C4" s="1191"/>
      <c r="D4" s="1207" t="str">
        <f>'Policy &amp; Technical Features - o'!F6</f>
        <v>Manipal Cigna Standard Rater</v>
      </c>
      <c r="E4" s="1208"/>
      <c r="F4" s="210"/>
      <c r="G4" s="1209" t="str">
        <f>'Policy &amp; Technical Features - o'!H6</f>
        <v>SBI General</v>
      </c>
      <c r="H4" s="1210"/>
      <c r="I4" s="210"/>
      <c r="J4" s="1211" t="str">
        <f>'Policy &amp; Technical Features - o'!J6</f>
        <v>Manipal Cigna</v>
      </c>
      <c r="K4" s="1212"/>
      <c r="L4" s="211"/>
      <c r="M4" s="1213" t="str">
        <f>'Policy &amp; Technical Features - o'!L6</f>
        <v>IFFCO Tokio</v>
      </c>
      <c r="N4" s="1214"/>
      <c r="P4" s="1219" t="s">
        <v>6</v>
      </c>
      <c r="Q4" s="1220"/>
      <c r="R4" s="1221" t="s">
        <v>7</v>
      </c>
      <c r="S4" s="1221" t="s">
        <v>8</v>
      </c>
      <c r="T4" s="1221" t="s">
        <v>9</v>
      </c>
      <c r="U4" s="1221" t="s">
        <v>10</v>
      </c>
      <c r="V4" s="1221" t="s">
        <v>11</v>
      </c>
      <c r="AE4" s="338"/>
      <c r="AF4" s="1219" t="s">
        <v>6</v>
      </c>
      <c r="AG4" s="1220"/>
      <c r="AH4" s="1207" t="str">
        <f>D4</f>
        <v>Manipal Cigna Standard Rater</v>
      </c>
      <c r="AI4" s="1208"/>
      <c r="AJ4" s="210"/>
      <c r="AK4" s="1209" t="str">
        <f>G4</f>
        <v>SBI General</v>
      </c>
      <c r="AL4" s="1210"/>
      <c r="AM4" s="210"/>
      <c r="AN4" s="1211" t="str">
        <f>J4</f>
        <v>Manipal Cigna</v>
      </c>
      <c r="AO4" s="1212"/>
      <c r="AP4" s="211"/>
      <c r="AQ4" s="1213" t="str">
        <f>M4</f>
        <v>IFFCO Tokio</v>
      </c>
      <c r="AR4" s="1214"/>
    </row>
    <row r="5" spans="2:44" ht="31.2">
      <c r="B5" s="1191"/>
      <c r="C5" s="1191"/>
      <c r="D5" s="235" t="s">
        <v>12</v>
      </c>
      <c r="E5" s="235" t="s">
        <v>13</v>
      </c>
      <c r="F5" s="217"/>
      <c r="G5" s="245" t="s">
        <v>12</v>
      </c>
      <c r="H5" s="245" t="s">
        <v>13</v>
      </c>
      <c r="I5" s="217"/>
      <c r="J5" s="236" t="s">
        <v>12</v>
      </c>
      <c r="K5" s="236" t="s">
        <v>13</v>
      </c>
      <c r="L5" s="217"/>
      <c r="M5" s="234" t="s">
        <v>12</v>
      </c>
      <c r="N5" s="234" t="s">
        <v>13</v>
      </c>
      <c r="P5" s="1223"/>
      <c r="Q5" s="1223"/>
      <c r="R5" s="1222"/>
      <c r="S5" s="1222"/>
      <c r="T5" s="1222"/>
      <c r="U5" s="1222"/>
      <c r="V5" s="1222"/>
      <c r="W5" s="218"/>
      <c r="AE5" s="339"/>
      <c r="AF5" s="1219"/>
      <c r="AG5" s="1219"/>
      <c r="AH5" s="235" t="s">
        <v>12</v>
      </c>
      <c r="AI5" s="235" t="s">
        <v>13</v>
      </c>
      <c r="AJ5" s="217"/>
      <c r="AK5" s="245" t="s">
        <v>12</v>
      </c>
      <c r="AL5" s="245" t="s">
        <v>13</v>
      </c>
      <c r="AM5" s="217"/>
      <c r="AN5" s="236" t="s">
        <v>12</v>
      </c>
      <c r="AO5" s="236" t="s">
        <v>13</v>
      </c>
      <c r="AP5" s="217"/>
      <c r="AQ5" s="234" t="s">
        <v>12</v>
      </c>
      <c r="AR5" s="234" t="s">
        <v>13</v>
      </c>
    </row>
    <row r="6" spans="2:44" ht="40.799999999999997">
      <c r="B6" s="1189" t="s">
        <v>14</v>
      </c>
      <c r="C6" s="1189"/>
      <c r="D6" s="337" t="str">
        <f>CONCATENATE(TRUNC(T6,0), CHAR(10), "(", S6, " lives)")</f>
        <v>2000000
(450 lives)</v>
      </c>
      <c r="E6" s="232">
        <f>T6/opt1_number_of_lives_renewal</f>
        <v>4444.4444444444443</v>
      </c>
      <c r="F6" s="201"/>
      <c r="G6" s="246" t="s">
        <v>15</v>
      </c>
      <c r="H6" s="247"/>
      <c r="I6" s="212"/>
      <c r="J6" s="228" t="s">
        <v>15</v>
      </c>
      <c r="K6" s="229"/>
      <c r="L6" s="213"/>
      <c r="M6" s="241" t="s">
        <v>15</v>
      </c>
      <c r="N6" s="242"/>
      <c r="P6" s="1189" t="str">
        <f>B6</f>
        <v>I. Expiring Terms 
(SI: 2 L)</v>
      </c>
      <c r="Q6" s="1189"/>
      <c r="R6" s="340">
        <v>300</v>
      </c>
      <c r="S6" s="340">
        <v>450</v>
      </c>
      <c r="T6" s="340">
        <v>2000000</v>
      </c>
      <c r="U6" s="340">
        <v>200</v>
      </c>
      <c r="V6" s="340">
        <v>300</v>
      </c>
      <c r="AE6" s="200"/>
      <c r="AF6" s="1189" t="s">
        <v>14</v>
      </c>
      <c r="AG6" s="1189"/>
      <c r="AH6" s="337" t="str">
        <f>D6</f>
        <v>2000000
(450 lives)</v>
      </c>
      <c r="AI6" s="232" t="e">
        <f>AH6/opt1_number_of_lives_renewal</f>
        <v>#VALUE!</v>
      </c>
      <c r="AJ6" s="201"/>
      <c r="AK6" s="246" t="str">
        <f>G6</f>
        <v>20,00,000</v>
      </c>
      <c r="AL6" s="247" t="e">
        <f>AK6/opt1_number_of_lives_renewal</f>
        <v>#VALUE!</v>
      </c>
      <c r="AM6" s="212"/>
      <c r="AN6" s="228" t="str">
        <f>J6</f>
        <v>20,00,000</v>
      </c>
      <c r="AO6" s="229" t="e">
        <f>AN6/opt1_number_of_lives_renewal</f>
        <v>#VALUE!</v>
      </c>
      <c r="AP6" s="213"/>
      <c r="AQ6" s="241" t="str">
        <f>M6</f>
        <v>20,00,000</v>
      </c>
      <c r="AR6" s="242" t="e">
        <f>AQ6/number_of_lives_expiring</f>
        <v>#VALUE!</v>
      </c>
    </row>
    <row r="7" spans="2:44" ht="40.799999999999997">
      <c r="B7" s="1189" t="s">
        <v>16</v>
      </c>
      <c r="C7" s="1189"/>
      <c r="D7" s="337" t="str">
        <f>CONCATENATE(TRUNC(T7,0), CHAR(10), "(", S7, " lives)")</f>
        <v>2500000
(450 lives)</v>
      </c>
      <c r="E7" s="232">
        <f>T7/opt1_number_of_lives_renewal</f>
        <v>5555.5555555555557</v>
      </c>
      <c r="F7" s="201"/>
      <c r="G7" s="246" t="s">
        <v>17</v>
      </c>
      <c r="H7" s="247"/>
      <c r="I7" s="212"/>
      <c r="J7" s="228" t="s">
        <v>17</v>
      </c>
      <c r="K7" s="229"/>
      <c r="L7" s="213"/>
      <c r="M7" s="241"/>
      <c r="N7" s="242"/>
      <c r="P7" s="1189" t="str">
        <f>B7</f>
        <v>II. ESC with 0% Co-Pay (SI : 5 L)</v>
      </c>
      <c r="Q7" s="1189"/>
      <c r="R7" s="340">
        <f>opt1_number_of_employees_renewal</f>
        <v>300</v>
      </c>
      <c r="S7" s="340">
        <v>450</v>
      </c>
      <c r="T7" s="340">
        <v>2500000</v>
      </c>
      <c r="U7" s="340"/>
      <c r="V7" s="340"/>
      <c r="AB7" s="202"/>
      <c r="AE7" s="200"/>
      <c r="AF7" s="1189" t="s">
        <v>16</v>
      </c>
      <c r="AG7" s="1189"/>
      <c r="AH7" s="337" t="str">
        <f>D7</f>
        <v>2500000
(450 lives)</v>
      </c>
      <c r="AI7" s="232" t="e">
        <f>AH7/opt2_number_of_lives_renewal</f>
        <v>#VALUE!</v>
      </c>
      <c r="AJ7" s="201"/>
      <c r="AK7" s="246" t="str">
        <f>G7</f>
        <v>30,00,000</v>
      </c>
      <c r="AL7" s="247" t="e">
        <f>AK7/opt2_number_of_lives_renewal</f>
        <v>#VALUE!</v>
      </c>
      <c r="AM7" s="212"/>
      <c r="AN7" s="228" t="str">
        <f>J7</f>
        <v>30,00,000</v>
      </c>
      <c r="AO7" s="229" t="e">
        <f>AN7/opt2_number_of_lives_renewal</f>
        <v>#VALUE!</v>
      </c>
      <c r="AP7" s="213"/>
      <c r="AQ7" s="241"/>
      <c r="AR7" s="242"/>
    </row>
    <row r="8" spans="2:44" ht="40.799999999999997">
      <c r="B8" s="1189" t="s">
        <v>18</v>
      </c>
      <c r="C8" s="1189"/>
      <c r="D8" s="337" t="str">
        <f>CONCATENATE(TRUNC(T8,0), CHAR(10), "(", S8, " lives)")</f>
        <v>3000000
(600 lives)</v>
      </c>
      <c r="E8" s="232">
        <f>T8/opt1_number_of_lives_renewal</f>
        <v>6666.666666666667</v>
      </c>
      <c r="F8" s="201"/>
      <c r="G8" s="246" t="s">
        <v>19</v>
      </c>
      <c r="H8" s="247"/>
      <c r="I8" s="212"/>
      <c r="J8" s="228" t="s">
        <v>19</v>
      </c>
      <c r="K8" s="229"/>
      <c r="L8" s="214"/>
      <c r="M8" s="241"/>
      <c r="N8" s="242"/>
      <c r="P8" s="1189" t="str">
        <f>B8</f>
        <v>III. ESCP with 0% Co-Pay (SI : 3 L)</v>
      </c>
      <c r="Q8" s="1189"/>
      <c r="R8" s="340">
        <f>opt1_number_of_employees_renewal</f>
        <v>300</v>
      </c>
      <c r="S8" s="340">
        <v>600</v>
      </c>
      <c r="T8" s="340">
        <v>3000000</v>
      </c>
      <c r="U8" s="340"/>
      <c r="V8" s="340"/>
      <c r="AF8" s="1189" t="s">
        <v>18</v>
      </c>
      <c r="AG8" s="1189"/>
      <c r="AH8" s="337" t="str">
        <f>D8</f>
        <v>3000000
(600 lives)</v>
      </c>
      <c r="AI8" s="232" t="e">
        <f>AH8/opt3_number_of_lives_renewal</f>
        <v>#VALUE!</v>
      </c>
      <c r="AJ8" s="201"/>
      <c r="AK8" s="246" t="str">
        <f>G8</f>
        <v>40,00,000</v>
      </c>
      <c r="AL8" s="247" t="e">
        <f>AK8/opt3_number_of_lives_renewal</f>
        <v>#VALUE!</v>
      </c>
      <c r="AM8" s="212"/>
      <c r="AN8" s="228" t="str">
        <f>J8</f>
        <v>40,00,000</v>
      </c>
      <c r="AO8" s="229" t="e">
        <f>AN8/opt3_number_of_lives_renewal</f>
        <v>#VALUE!</v>
      </c>
      <c r="AP8" s="214"/>
      <c r="AQ8" s="241"/>
      <c r="AR8" s="242"/>
    </row>
    <row r="9" spans="2:44" ht="40.799999999999997">
      <c r="B9" s="1189" t="s">
        <v>20</v>
      </c>
      <c r="C9" s="1189"/>
      <c r="D9" s="337" t="str">
        <f>CONCATENATE(TRUNC(T9,0), CHAR(10), "(", S9, " lives)")</f>
        <v>4000000
(600 lives)</v>
      </c>
      <c r="E9" s="232">
        <f>T9/opt1_number_of_lives_renewal</f>
        <v>8888.8888888888887</v>
      </c>
      <c r="F9" s="201"/>
      <c r="G9" s="246" t="s">
        <v>21</v>
      </c>
      <c r="H9" s="247"/>
      <c r="I9" s="212"/>
      <c r="J9" s="228" t="s">
        <v>21</v>
      </c>
      <c r="K9" s="229"/>
      <c r="L9" s="214"/>
      <c r="M9" s="241"/>
      <c r="N9" s="242"/>
      <c r="P9" s="1189" t="str">
        <f>B9</f>
        <v>IV. ESCP with 0% Co-Pay (SI : 5 L)</v>
      </c>
      <c r="Q9" s="1189"/>
      <c r="R9" s="340">
        <f>opt1_number_of_employees_renewal</f>
        <v>300</v>
      </c>
      <c r="S9" s="340">
        <v>600</v>
      </c>
      <c r="T9" s="340">
        <v>4000000</v>
      </c>
      <c r="U9" s="340"/>
      <c r="V9" s="340"/>
      <c r="AF9" s="1189" t="s">
        <v>20</v>
      </c>
      <c r="AG9" s="1189"/>
      <c r="AH9" s="337" t="str">
        <f>D9</f>
        <v>4000000
(600 lives)</v>
      </c>
      <c r="AI9" s="232" t="e">
        <f>AH9/opt4_number_of_lives_renewal</f>
        <v>#VALUE!</v>
      </c>
      <c r="AJ9" s="201"/>
      <c r="AK9" s="246" t="str">
        <f>G9</f>
        <v>50,00,000</v>
      </c>
      <c r="AL9" s="247" t="e">
        <f>AK9/opt4_number_of_lives_renewal</f>
        <v>#VALUE!</v>
      </c>
      <c r="AM9" s="212"/>
      <c r="AN9" s="228" t="str">
        <f>J9</f>
        <v>50,00,000</v>
      </c>
      <c r="AO9" s="229" t="e">
        <f>AN9/opt4_number_of_lives_renewal</f>
        <v>#VALUE!</v>
      </c>
      <c r="AP9" s="214"/>
      <c r="AQ9" s="241"/>
      <c r="AR9" s="242"/>
    </row>
    <row r="10" spans="2:44" ht="40.799999999999997">
      <c r="B10" s="1189" t="s">
        <v>22</v>
      </c>
      <c r="C10" s="1189"/>
      <c r="D10" s="337" t="str">
        <f>CONCATENATE(TRUNC(T10,0), CHAR(10), "(", S10, " lives)")</f>
        <v>5000000
(600 lives)</v>
      </c>
      <c r="E10" s="232">
        <f>T10/opt1_number_of_lives_renewal</f>
        <v>11111.111111111111</v>
      </c>
      <c r="F10" s="201"/>
      <c r="G10" s="246" t="s">
        <v>23</v>
      </c>
      <c r="H10" s="247"/>
      <c r="I10" s="212"/>
      <c r="J10" s="228" t="s">
        <v>23</v>
      </c>
      <c r="K10" s="229"/>
      <c r="L10" s="214"/>
      <c r="M10" s="241"/>
      <c r="N10" s="242"/>
      <c r="P10" s="1189" t="str">
        <f>B10</f>
        <v>V. ESCP with 0% Co-Pay (SI : 5 L)</v>
      </c>
      <c r="Q10" s="1189"/>
      <c r="R10" s="340">
        <f>opt1_number_of_employees_renewal</f>
        <v>300</v>
      </c>
      <c r="S10" s="340">
        <v>600</v>
      </c>
      <c r="T10" s="340">
        <v>5000000</v>
      </c>
      <c r="U10" s="340"/>
      <c r="V10" s="340"/>
      <c r="AF10" s="1189" t="s">
        <v>22</v>
      </c>
      <c r="AG10" s="1189"/>
      <c r="AH10" s="337" t="str">
        <f>D10</f>
        <v>5000000
(600 lives)</v>
      </c>
      <c r="AI10" s="232" t="e">
        <f>AH10/opt5_number_of_lives_renewal</f>
        <v>#VALUE!</v>
      </c>
      <c r="AJ10" s="201"/>
      <c r="AK10" s="246" t="str">
        <f>G10</f>
        <v>60,00,000</v>
      </c>
      <c r="AL10" s="247" t="e">
        <f>AK10/opt5_number_of_lives_renewal</f>
        <v>#VALUE!</v>
      </c>
      <c r="AM10" s="212"/>
      <c r="AN10" s="228" t="str">
        <f>J10</f>
        <v>60,00,000</v>
      </c>
      <c r="AO10" s="229" t="e">
        <f>AN10/opt5_number_of_lives_renewal</f>
        <v>#VALUE!</v>
      </c>
      <c r="AP10" s="214"/>
      <c r="AQ10" s="241"/>
      <c r="AR10" s="242"/>
    </row>
    <row r="13" spans="2:44" ht="40.35" customHeight="1">
      <c r="B13" s="200"/>
      <c r="C13" s="200"/>
      <c r="D13" s="1196" t="s">
        <v>24</v>
      </c>
      <c r="E13" s="1196"/>
      <c r="F13" s="1196"/>
      <c r="G13" s="1196"/>
      <c r="H13" s="1196"/>
      <c r="I13" s="1196"/>
      <c r="J13" s="1196"/>
      <c r="K13" s="1196"/>
      <c r="L13" s="1216"/>
      <c r="M13" s="1196"/>
      <c r="N13" s="1196"/>
      <c r="R13" s="106"/>
      <c r="S13" s="106"/>
      <c r="T13" s="106"/>
      <c r="U13" s="106"/>
      <c r="V13" s="106"/>
      <c r="W13" s="106"/>
      <c r="AF13" s="200"/>
      <c r="AG13" s="200"/>
      <c r="AH13" s="1196" t="s">
        <v>24</v>
      </c>
      <c r="AI13" s="1196"/>
      <c r="AJ13" s="1196"/>
      <c r="AK13" s="1196"/>
      <c r="AL13" s="1196"/>
      <c r="AM13" s="1196"/>
      <c r="AN13" s="1196"/>
      <c r="AO13" s="1196"/>
      <c r="AP13" s="1216"/>
      <c r="AQ13" s="1196"/>
      <c r="AR13" s="1196"/>
    </row>
    <row r="14" spans="2:44" ht="23.1" customHeight="1">
      <c r="B14" s="200"/>
      <c r="C14" s="200"/>
      <c r="D14" s="1206" t="s">
        <v>2</v>
      </c>
      <c r="E14" s="1206"/>
      <c r="F14" s="1201"/>
      <c r="G14" s="1206"/>
      <c r="H14" s="1206"/>
      <c r="I14" s="1201"/>
      <c r="J14" s="1206"/>
      <c r="K14" s="1206"/>
      <c r="L14" s="230"/>
      <c r="M14" s="1206" t="s">
        <v>25</v>
      </c>
      <c r="N14" s="1206"/>
      <c r="R14" s="218"/>
      <c r="S14" s="218"/>
      <c r="T14" s="218"/>
      <c r="U14" s="218"/>
      <c r="V14" s="218"/>
      <c r="W14" s="218"/>
      <c r="AF14" s="200"/>
      <c r="AG14" s="200"/>
      <c r="AH14" s="1206" t="s">
        <v>2</v>
      </c>
      <c r="AI14" s="1206"/>
      <c r="AJ14" s="1201"/>
      <c r="AK14" s="1206"/>
      <c r="AL14" s="1206"/>
      <c r="AM14" s="1201"/>
      <c r="AN14" s="1206"/>
      <c r="AO14" s="1206"/>
      <c r="AP14" s="230"/>
      <c r="AQ14" s="1206" t="s">
        <v>5</v>
      </c>
      <c r="AR14" s="1206"/>
    </row>
    <row r="15" spans="2:44" ht="38.1" customHeight="1">
      <c r="B15" s="1192" t="s">
        <v>6</v>
      </c>
      <c r="C15" s="1193"/>
      <c r="D15" s="1197" t="s">
        <v>26</v>
      </c>
      <c r="E15" s="1198"/>
      <c r="F15" s="203"/>
      <c r="G15" s="1199" t="s">
        <v>27</v>
      </c>
      <c r="H15" s="1200"/>
      <c r="I15" s="203"/>
      <c r="J15" s="1194" t="s">
        <v>28</v>
      </c>
      <c r="K15" s="1195"/>
      <c r="L15" s="231"/>
      <c r="M15" s="1202" t="s">
        <v>29</v>
      </c>
      <c r="N15" s="1203"/>
      <c r="R15" s="106"/>
      <c r="S15" s="106"/>
      <c r="T15" s="106"/>
      <c r="U15" s="106"/>
      <c r="V15" s="106"/>
      <c r="W15" s="106"/>
      <c r="AF15" s="1192" t="s">
        <v>6</v>
      </c>
      <c r="AG15" s="1193"/>
      <c r="AH15" s="1197" t="s">
        <v>26</v>
      </c>
      <c r="AI15" s="1198"/>
      <c r="AJ15" s="203"/>
      <c r="AK15" s="1199" t="s">
        <v>27</v>
      </c>
      <c r="AL15" s="1200"/>
      <c r="AM15" s="203"/>
      <c r="AN15" s="1194" t="s">
        <v>28</v>
      </c>
      <c r="AO15" s="1195"/>
      <c r="AP15" s="231"/>
      <c r="AQ15" s="1202" t="s">
        <v>29</v>
      </c>
      <c r="AR15" s="1203"/>
    </row>
    <row r="16" spans="2:44" s="106" customFormat="1" ht="42" customHeight="1">
      <c r="B16" s="1192"/>
      <c r="C16" s="1193"/>
      <c r="D16" s="235" t="s">
        <v>12</v>
      </c>
      <c r="E16" s="235" t="s">
        <v>30</v>
      </c>
      <c r="F16" s="217"/>
      <c r="G16" s="245" t="s">
        <v>12</v>
      </c>
      <c r="H16" s="245" t="s">
        <v>30</v>
      </c>
      <c r="I16" s="217"/>
      <c r="J16" s="236" t="s">
        <v>12</v>
      </c>
      <c r="K16" s="236" t="s">
        <v>30</v>
      </c>
      <c r="L16" s="217"/>
      <c r="M16" s="234" t="s">
        <v>12</v>
      </c>
      <c r="N16" s="234" t="s">
        <v>30</v>
      </c>
      <c r="AF16" s="1192"/>
      <c r="AG16" s="1193"/>
      <c r="AH16" s="235" t="s">
        <v>12</v>
      </c>
      <c r="AI16" s="235" t="s">
        <v>30</v>
      </c>
      <c r="AJ16" s="217"/>
      <c r="AK16" s="245" t="s">
        <v>12</v>
      </c>
      <c r="AL16" s="245" t="s">
        <v>30</v>
      </c>
      <c r="AM16" s="217"/>
      <c r="AN16" s="236" t="s">
        <v>12</v>
      </c>
      <c r="AO16" s="236" t="s">
        <v>30</v>
      </c>
      <c r="AP16" s="217"/>
      <c r="AQ16" s="234" t="s">
        <v>12</v>
      </c>
      <c r="AR16" s="234" t="s">
        <v>30</v>
      </c>
    </row>
    <row r="17" spans="2:44" ht="37.35" customHeight="1">
      <c r="B17" s="1189" t="s">
        <v>31</v>
      </c>
      <c r="C17" s="1190"/>
      <c r="D17" s="238" t="s">
        <v>32</v>
      </c>
      <c r="E17" s="239"/>
      <c r="F17" s="200"/>
      <c r="G17" s="249" t="s">
        <v>32</v>
      </c>
      <c r="H17" s="251"/>
      <c r="I17" s="200"/>
      <c r="J17" s="233" t="s">
        <v>32</v>
      </c>
      <c r="K17" s="229"/>
      <c r="L17" s="223"/>
      <c r="M17" s="243" t="s">
        <v>32</v>
      </c>
      <c r="N17" s="242" t="e">
        <f>M17/number_of_employees_expiring</f>
        <v>#VALUE!</v>
      </c>
      <c r="AF17" s="1189" t="s">
        <v>31</v>
      </c>
      <c r="AG17" s="1190"/>
      <c r="AH17" s="238" t="s">
        <v>32</v>
      </c>
      <c r="AI17" s="239" t="e">
        <f>AH17/opt1_number_of_employees_renewal</f>
        <v>#VALUE!</v>
      </c>
      <c r="AJ17" s="200"/>
      <c r="AK17" s="249" t="s">
        <v>32</v>
      </c>
      <c r="AL17" s="251" t="e">
        <f>AK17/opt1_number_of_employees_renewal</f>
        <v>#VALUE!</v>
      </c>
      <c r="AM17" s="200"/>
      <c r="AN17" s="233" t="s">
        <v>32</v>
      </c>
      <c r="AO17" s="229" t="e">
        <f>AN17/opt1_number_of_employees_renewal</f>
        <v>#VALUE!</v>
      </c>
      <c r="AP17" s="223"/>
      <c r="AQ17" s="243" t="s">
        <v>32</v>
      </c>
      <c r="AR17" s="242" t="e">
        <f>AQ17/number_of_employees_expiring</f>
        <v>#VALUE!</v>
      </c>
    </row>
    <row r="18" spans="2:44" ht="37.35" customHeight="1">
      <c r="B18" s="1189" t="s">
        <v>33</v>
      </c>
      <c r="C18" s="1190"/>
      <c r="D18" s="238" t="s">
        <v>34</v>
      </c>
      <c r="E18" s="239"/>
      <c r="F18" s="200"/>
      <c r="G18" s="249" t="s">
        <v>34</v>
      </c>
      <c r="H18" s="251"/>
      <c r="I18" s="200"/>
      <c r="J18" s="233" t="s">
        <v>34</v>
      </c>
      <c r="K18" s="229"/>
      <c r="L18" s="223"/>
      <c r="M18" s="243"/>
      <c r="N18" s="242"/>
      <c r="AF18" s="1189" t="s">
        <v>33</v>
      </c>
      <c r="AG18" s="1190"/>
      <c r="AH18" s="238" t="s">
        <v>34</v>
      </c>
      <c r="AI18" s="239" t="e">
        <f>AH18/opt1_number_of_employees_renewal</f>
        <v>#VALUE!</v>
      </c>
      <c r="AJ18" s="200"/>
      <c r="AK18" s="249" t="s">
        <v>34</v>
      </c>
      <c r="AL18" s="251" t="e">
        <f>AK18/opt1_number_of_employees_renewal</f>
        <v>#VALUE!</v>
      </c>
      <c r="AM18" s="200"/>
      <c r="AN18" s="233" t="s">
        <v>34</v>
      </c>
      <c r="AO18" s="229" t="e">
        <f>AN18/opt1_number_of_employees_renewal</f>
        <v>#VALUE!</v>
      </c>
      <c r="AP18" s="223"/>
      <c r="AQ18" s="243"/>
      <c r="AR18" s="242"/>
    </row>
    <row r="22" spans="2:44" ht="41.1" customHeight="1">
      <c r="B22" s="200"/>
      <c r="C22" s="200"/>
      <c r="D22" s="1196" t="s">
        <v>35</v>
      </c>
      <c r="E22" s="1196"/>
      <c r="F22" s="1196"/>
      <c r="G22" s="1196"/>
      <c r="H22" s="1196"/>
      <c r="I22" s="1196"/>
      <c r="J22" s="1196"/>
      <c r="K22" s="1196"/>
      <c r="L22" s="1196"/>
      <c r="M22" s="1196"/>
      <c r="N22" s="1196"/>
      <c r="AF22" s="200"/>
      <c r="AG22" s="200"/>
      <c r="AH22" s="1196" t="s">
        <v>35</v>
      </c>
      <c r="AI22" s="1196"/>
      <c r="AJ22" s="1196"/>
      <c r="AK22" s="1196"/>
      <c r="AL22" s="1196"/>
      <c r="AM22" s="1196"/>
      <c r="AN22" s="1196"/>
      <c r="AO22" s="1196"/>
      <c r="AP22" s="1196"/>
      <c r="AQ22" s="1196"/>
      <c r="AR22" s="1196"/>
    </row>
    <row r="23" spans="2:44" ht="23.1" customHeight="1">
      <c r="B23" s="200"/>
      <c r="C23" s="200"/>
      <c r="D23" s="1201" t="s">
        <v>2</v>
      </c>
      <c r="E23" s="1201"/>
      <c r="F23" s="1201"/>
      <c r="G23" s="1201"/>
      <c r="H23" s="1201"/>
      <c r="I23" s="1201"/>
      <c r="J23" s="1201"/>
      <c r="K23" s="1201"/>
      <c r="L23" s="215"/>
      <c r="M23" s="1201" t="s">
        <v>5</v>
      </c>
      <c r="N23" s="1201"/>
      <c r="R23" s="218"/>
      <c r="S23" s="218"/>
      <c r="T23" s="218"/>
      <c r="U23" s="218"/>
      <c r="V23" s="218"/>
      <c r="W23" s="218"/>
      <c r="AF23" s="200"/>
      <c r="AG23" s="200"/>
      <c r="AH23" s="1201" t="s">
        <v>2</v>
      </c>
      <c r="AI23" s="1201"/>
      <c r="AJ23" s="1201"/>
      <c r="AK23" s="1201"/>
      <c r="AL23" s="1201"/>
      <c r="AM23" s="1201"/>
      <c r="AN23" s="1201"/>
      <c r="AO23" s="1201"/>
      <c r="AP23" s="215"/>
      <c r="AQ23" s="1201" t="s">
        <v>5</v>
      </c>
      <c r="AR23" s="1201"/>
    </row>
    <row r="24" spans="2:44" ht="41.1" customHeight="1">
      <c r="B24" s="1192" t="s">
        <v>6</v>
      </c>
      <c r="C24" s="1193"/>
      <c r="D24" s="1197" t="s">
        <v>26</v>
      </c>
      <c r="E24" s="1198"/>
      <c r="F24" s="203"/>
      <c r="G24" s="1199" t="s">
        <v>27</v>
      </c>
      <c r="H24" s="1200"/>
      <c r="I24" s="203"/>
      <c r="J24" s="1194" t="s">
        <v>28</v>
      </c>
      <c r="K24" s="1195"/>
      <c r="L24" s="208"/>
      <c r="M24" s="1202" t="s">
        <v>29</v>
      </c>
      <c r="N24" s="1203"/>
      <c r="AF24" s="1192" t="s">
        <v>6</v>
      </c>
      <c r="AG24" s="1193"/>
      <c r="AH24" s="1197" t="s">
        <v>26</v>
      </c>
      <c r="AI24" s="1198"/>
      <c r="AJ24" s="203"/>
      <c r="AK24" s="1199" t="s">
        <v>27</v>
      </c>
      <c r="AL24" s="1200"/>
      <c r="AM24" s="203"/>
      <c r="AN24" s="1194" t="s">
        <v>28</v>
      </c>
      <c r="AO24" s="1195"/>
      <c r="AP24" s="208"/>
      <c r="AQ24" s="1202" t="s">
        <v>29</v>
      </c>
      <c r="AR24" s="1203"/>
    </row>
    <row r="25" spans="2:44" ht="31.2">
      <c r="B25" s="1192"/>
      <c r="C25" s="1193"/>
      <c r="D25" s="226" t="s">
        <v>12</v>
      </c>
      <c r="E25" s="226" t="s">
        <v>30</v>
      </c>
      <c r="F25" s="217"/>
      <c r="G25" s="248" t="s">
        <v>12</v>
      </c>
      <c r="H25" s="248" t="s">
        <v>30</v>
      </c>
      <c r="I25" s="217"/>
      <c r="J25" s="227" t="s">
        <v>12</v>
      </c>
      <c r="K25" s="227" t="s">
        <v>30</v>
      </c>
      <c r="L25" s="217"/>
      <c r="M25" s="225" t="s">
        <v>12</v>
      </c>
      <c r="N25" s="225" t="s">
        <v>30</v>
      </c>
      <c r="AF25" s="1192"/>
      <c r="AG25" s="1193"/>
      <c r="AH25" s="226" t="s">
        <v>12</v>
      </c>
      <c r="AI25" s="226" t="s">
        <v>30</v>
      </c>
      <c r="AJ25" s="217"/>
      <c r="AK25" s="248" t="s">
        <v>12</v>
      </c>
      <c r="AL25" s="248" t="s">
        <v>30</v>
      </c>
      <c r="AM25" s="217"/>
      <c r="AN25" s="227" t="s">
        <v>12</v>
      </c>
      <c r="AO25" s="227" t="s">
        <v>30</v>
      </c>
      <c r="AP25" s="217"/>
      <c r="AQ25" s="225" t="s">
        <v>12</v>
      </c>
      <c r="AR25" s="225" t="s">
        <v>30</v>
      </c>
    </row>
    <row r="26" spans="2:44" ht="36" customHeight="1">
      <c r="B26" s="1189" t="s">
        <v>31</v>
      </c>
      <c r="C26" s="1190"/>
      <c r="D26" s="238" t="s">
        <v>34</v>
      </c>
      <c r="E26" s="240"/>
      <c r="F26" s="223"/>
      <c r="G26" s="249" t="s">
        <v>34</v>
      </c>
      <c r="H26" s="250"/>
      <c r="I26" s="223"/>
      <c r="J26" s="233" t="s">
        <v>34</v>
      </c>
      <c r="K26" s="237"/>
      <c r="L26" s="223"/>
      <c r="M26" s="243" t="s">
        <v>34</v>
      </c>
      <c r="N26" s="244" t="e">
        <f>M26/number_of_employees_expiring</f>
        <v>#VALUE!</v>
      </c>
      <c r="O26" s="224"/>
      <c r="P26" s="224"/>
      <c r="Q26" s="224"/>
      <c r="AF26" s="1189" t="s">
        <v>31</v>
      </c>
      <c r="AG26" s="1190"/>
      <c r="AH26" s="238" t="s">
        <v>34</v>
      </c>
      <c r="AI26" s="240" t="e">
        <f>AH26/opt1_number_of_employees_renewal</f>
        <v>#VALUE!</v>
      </c>
      <c r="AJ26" s="223"/>
      <c r="AK26" s="249" t="s">
        <v>34</v>
      </c>
      <c r="AL26" s="250" t="e">
        <f>AK26/opt1_number_of_employees_renewal</f>
        <v>#VALUE!</v>
      </c>
      <c r="AM26" s="223"/>
      <c r="AN26" s="233" t="s">
        <v>34</v>
      </c>
      <c r="AO26" s="237" t="e">
        <f>AN26/opt1_number_of_employees_renewal</f>
        <v>#VALUE!</v>
      </c>
      <c r="AP26" s="223"/>
      <c r="AQ26" s="243" t="s">
        <v>34</v>
      </c>
      <c r="AR26" s="244" t="e">
        <f>AQ26/number_of_employees_expiring</f>
        <v>#VALUE!</v>
      </c>
    </row>
    <row r="27" spans="2:44" ht="36" customHeight="1">
      <c r="B27" s="1189" t="s">
        <v>33</v>
      </c>
      <c r="C27" s="1190"/>
      <c r="D27" s="238" t="s">
        <v>36</v>
      </c>
      <c r="E27" s="240"/>
      <c r="F27" s="223"/>
      <c r="G27" s="249" t="s">
        <v>36</v>
      </c>
      <c r="H27" s="250"/>
      <c r="I27" s="223"/>
      <c r="J27" s="233" t="s">
        <v>36</v>
      </c>
      <c r="K27" s="237"/>
      <c r="L27" s="223"/>
      <c r="M27" s="243"/>
      <c r="N27" s="244"/>
      <c r="O27" s="224"/>
      <c r="P27" s="224"/>
      <c r="Q27" s="224"/>
      <c r="AF27" s="1189" t="s">
        <v>33</v>
      </c>
      <c r="AG27" s="1190"/>
      <c r="AH27" s="238" t="s">
        <v>36</v>
      </c>
      <c r="AI27" s="240" t="e">
        <f>AH27/opt1_number_of_employees_renewal</f>
        <v>#VALUE!</v>
      </c>
      <c r="AJ27" s="223"/>
      <c r="AK27" s="249" t="s">
        <v>36</v>
      </c>
      <c r="AL27" s="250" t="e">
        <f>AK27/opt1_number_of_employees_renewal</f>
        <v>#VALUE!</v>
      </c>
      <c r="AM27" s="223"/>
      <c r="AN27" s="233" t="s">
        <v>36</v>
      </c>
      <c r="AO27" s="237" t="e">
        <f>AN27/opt1_number_of_employees_renewal</f>
        <v>#VALUE!</v>
      </c>
      <c r="AP27" s="223"/>
      <c r="AQ27" s="243"/>
      <c r="AR27" s="244"/>
    </row>
    <row r="28" spans="2:44">
      <c r="D28" s="224"/>
      <c r="E28" s="224"/>
      <c r="F28" s="224"/>
      <c r="G28" s="224"/>
      <c r="H28" s="224"/>
      <c r="I28" s="224"/>
      <c r="J28" s="224"/>
      <c r="K28" s="224"/>
      <c r="L28" s="224"/>
      <c r="M28" s="224"/>
      <c r="N28" s="224"/>
      <c r="O28" s="224"/>
      <c r="P28" s="224"/>
      <c r="Q28" s="224"/>
      <c r="AH28" s="224"/>
      <c r="AI28" s="224"/>
      <c r="AJ28" s="224"/>
      <c r="AK28" s="224"/>
      <c r="AL28" s="224"/>
      <c r="AM28" s="224"/>
      <c r="AN28" s="224"/>
      <c r="AO28" s="224"/>
      <c r="AP28" s="224"/>
      <c r="AQ28" s="224"/>
      <c r="AR28" s="224"/>
    </row>
    <row r="32" spans="2:44">
      <c r="C32" s="220"/>
      <c r="E32" s="220"/>
      <c r="F32" s="220"/>
      <c r="G32" s="220"/>
      <c r="AG32" s="220"/>
      <c r="AI32" s="220"/>
      <c r="AJ32" s="220"/>
      <c r="AK32" s="220"/>
    </row>
    <row r="33" spans="2:44">
      <c r="C33" s="205"/>
      <c r="D33" s="205"/>
      <c r="E33" s="205"/>
      <c r="F33" s="205"/>
      <c r="G33" s="205"/>
      <c r="AG33" s="205"/>
      <c r="AH33" s="205"/>
      <c r="AI33" s="205"/>
      <c r="AJ33" s="205"/>
      <c r="AK33" s="205"/>
    </row>
    <row r="37" spans="2:44" ht="15.6">
      <c r="B37" s="221"/>
      <c r="C37" s="222"/>
      <c r="D37" s="209"/>
      <c r="E37" s="209"/>
      <c r="F37" s="209"/>
      <c r="G37" s="209"/>
      <c r="H37" s="209"/>
      <c r="I37" s="209"/>
      <c r="J37" s="209"/>
      <c r="K37" s="209"/>
      <c r="L37" s="209"/>
      <c r="M37" s="209"/>
      <c r="N37" s="209"/>
      <c r="O37" s="209"/>
      <c r="P37" s="209"/>
      <c r="Q37" s="209"/>
      <c r="R37" s="209"/>
      <c r="S37" s="206"/>
      <c r="T37" s="206"/>
      <c r="U37" s="209"/>
      <c r="V37" s="206"/>
      <c r="W37" s="209"/>
      <c r="AF37" s="221"/>
      <c r="AG37" s="222"/>
      <c r="AH37" s="209"/>
      <c r="AI37" s="209"/>
      <c r="AJ37" s="209"/>
      <c r="AK37" s="209"/>
      <c r="AL37" s="209"/>
      <c r="AM37" s="209"/>
      <c r="AN37" s="209"/>
      <c r="AO37" s="209"/>
      <c r="AP37" s="209"/>
      <c r="AQ37" s="209"/>
      <c r="AR37" s="209"/>
    </row>
    <row r="38" spans="2:44" ht="15.6">
      <c r="B38" s="221"/>
      <c r="C38" s="207"/>
      <c r="D38" s="207"/>
      <c r="E38" s="207"/>
      <c r="F38" s="207"/>
      <c r="G38" s="207"/>
      <c r="H38" s="207"/>
      <c r="I38" s="207"/>
      <c r="J38" s="207"/>
      <c r="K38" s="207"/>
      <c r="L38" s="207"/>
      <c r="M38" s="207"/>
      <c r="N38" s="207"/>
      <c r="O38" s="207"/>
      <c r="P38" s="207"/>
      <c r="Q38" s="207"/>
      <c r="R38" s="207"/>
      <c r="S38" s="207"/>
      <c r="T38" s="207"/>
      <c r="U38" s="207"/>
      <c r="V38" s="207"/>
      <c r="W38" s="207"/>
      <c r="AF38" s="221"/>
      <c r="AG38" s="207"/>
      <c r="AH38" s="207"/>
      <c r="AI38" s="207"/>
      <c r="AJ38" s="207"/>
      <c r="AK38" s="207"/>
      <c r="AL38" s="207"/>
      <c r="AM38" s="207"/>
      <c r="AN38" s="207"/>
      <c r="AO38" s="207"/>
      <c r="AP38" s="207"/>
      <c r="AQ38" s="207"/>
      <c r="AR38" s="207"/>
    </row>
    <row r="39" spans="2:44" ht="15.6">
      <c r="B39" s="221"/>
      <c r="C39" s="207"/>
      <c r="D39" s="207"/>
      <c r="E39" s="207"/>
      <c r="F39" s="207"/>
      <c r="G39" s="207"/>
      <c r="H39" s="207"/>
      <c r="I39" s="207"/>
      <c r="J39" s="207"/>
      <c r="K39" s="207"/>
      <c r="L39" s="207"/>
      <c r="M39" s="207"/>
      <c r="N39" s="207"/>
      <c r="O39" s="207"/>
      <c r="P39" s="207"/>
      <c r="Q39" s="207"/>
      <c r="R39" s="207"/>
      <c r="S39" s="207"/>
      <c r="T39" s="207"/>
      <c r="U39" s="207"/>
      <c r="V39" s="207"/>
      <c r="W39" s="207"/>
      <c r="AF39" s="221"/>
      <c r="AG39" s="207"/>
      <c r="AH39" s="207"/>
      <c r="AI39" s="207"/>
      <c r="AJ39" s="207"/>
      <c r="AK39" s="207"/>
      <c r="AL39" s="207"/>
      <c r="AM39" s="207"/>
      <c r="AN39" s="207"/>
      <c r="AO39" s="207"/>
      <c r="AP39" s="207"/>
      <c r="AQ39" s="207"/>
      <c r="AR39" s="207"/>
    </row>
    <row r="40" spans="2:44" ht="15.6">
      <c r="B40" s="221"/>
      <c r="AF40" s="221"/>
    </row>
    <row r="41" spans="2:44" ht="15.6">
      <c r="B41" s="221"/>
      <c r="AF41" s="221"/>
    </row>
  </sheetData>
  <mergeCells count="78">
    <mergeCell ref="T4:T5"/>
    <mergeCell ref="AF26:AG26"/>
    <mergeCell ref="AF27:AG27"/>
    <mergeCell ref="P4:Q5"/>
    <mergeCell ref="P10:Q10"/>
    <mergeCell ref="P9:Q9"/>
    <mergeCell ref="P8:Q8"/>
    <mergeCell ref="P7:Q7"/>
    <mergeCell ref="P6:Q6"/>
    <mergeCell ref="V4:V5"/>
    <mergeCell ref="U4:U5"/>
    <mergeCell ref="S4:S5"/>
    <mergeCell ref="R4:R5"/>
    <mergeCell ref="AF24:AG25"/>
    <mergeCell ref="AF6:AG6"/>
    <mergeCell ref="AF7:AG7"/>
    <mergeCell ref="AH24:AI24"/>
    <mergeCell ref="AK24:AL24"/>
    <mergeCell ref="AN24:AO24"/>
    <mergeCell ref="AQ24:AR24"/>
    <mergeCell ref="AF17:AG17"/>
    <mergeCell ref="AF18:AG18"/>
    <mergeCell ref="AH22:AR22"/>
    <mergeCell ref="AH23:AO23"/>
    <mergeCell ref="AQ23:AR23"/>
    <mergeCell ref="AH13:AR13"/>
    <mergeCell ref="AH14:AO14"/>
    <mergeCell ref="AQ14:AR14"/>
    <mergeCell ref="AF15:AG16"/>
    <mergeCell ref="AH15:AI15"/>
    <mergeCell ref="AK15:AL15"/>
    <mergeCell ref="AN15:AO15"/>
    <mergeCell ref="AQ15:AR15"/>
    <mergeCell ref="AF8:AG8"/>
    <mergeCell ref="AF9:AG9"/>
    <mergeCell ref="AF10:AG10"/>
    <mergeCell ref="AH2:AR2"/>
    <mergeCell ref="AH3:AO3"/>
    <mergeCell ref="AQ3:AR3"/>
    <mergeCell ref="AF4:AG5"/>
    <mergeCell ref="AH4:AI4"/>
    <mergeCell ref="AK4:AL4"/>
    <mergeCell ref="AN4:AO4"/>
    <mergeCell ref="AQ4:AR4"/>
    <mergeCell ref="P2:V2"/>
    <mergeCell ref="M23:N23"/>
    <mergeCell ref="M24:N24"/>
    <mergeCell ref="M14:N14"/>
    <mergeCell ref="D4:E4"/>
    <mergeCell ref="G4:H4"/>
    <mergeCell ref="J4:K4"/>
    <mergeCell ref="D15:E15"/>
    <mergeCell ref="G15:H15"/>
    <mergeCell ref="J15:K15"/>
    <mergeCell ref="D14:K14"/>
    <mergeCell ref="M4:N4"/>
    <mergeCell ref="D2:N2"/>
    <mergeCell ref="D13:N13"/>
    <mergeCell ref="D3:K3"/>
    <mergeCell ref="M3:N3"/>
    <mergeCell ref="B24:C25"/>
    <mergeCell ref="B26:C26"/>
    <mergeCell ref="B27:C27"/>
    <mergeCell ref="B15:C16"/>
    <mergeCell ref="J24:K24"/>
    <mergeCell ref="D22:N22"/>
    <mergeCell ref="D24:E24"/>
    <mergeCell ref="G24:H24"/>
    <mergeCell ref="D23:K23"/>
    <mergeCell ref="M15:N15"/>
    <mergeCell ref="B10:C10"/>
    <mergeCell ref="B17:C17"/>
    <mergeCell ref="B18:C18"/>
    <mergeCell ref="B4:C5"/>
    <mergeCell ref="B9:C9"/>
    <mergeCell ref="B8:C8"/>
    <mergeCell ref="B7:C7"/>
    <mergeCell ref="B6:C6"/>
  </mergeCells>
  <phoneticPr fontId="87" type="noConversion"/>
  <dataValidations disablePrompts="1" count="2">
    <dataValidation type="list" allowBlank="1" showInputMessage="1" showErrorMessage="1" sqref="L8 AP8" xr:uid="{5590D71C-587E-490E-9DCB-13F39A81B12F}">
      <formula1>$C$38:$E$38</formula1>
    </dataValidation>
    <dataValidation type="list" allowBlank="1" showInputMessage="1" showErrorMessage="1" sqref="L9:L10 AP9:AP10" xr:uid="{DF0AB401-7F87-48FD-9078-07755AE8649B}">
      <formula1>$C$39:$D$39</formula1>
    </dataValidation>
  </dataValidations>
  <pageMargins left="0.7" right="0.7" top="0.75" bottom="0.75" header="0.3" footer="0.3"/>
  <pageSetup orientation="portrait"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23553" r:id="rId4" name="Button 1">
              <controlPr defaultSize="0" print="0" autoFill="0" autoPict="0" macro="[0]!ExportGHITableToPPT">
                <anchor moveWithCells="1" sizeWithCells="1">
                  <from>
                    <xdr:col>23</xdr:col>
                    <xdr:colOff>22860</xdr:colOff>
                    <xdr:row>1</xdr:row>
                    <xdr:rowOff>30480</xdr:rowOff>
                  </from>
                  <to>
                    <xdr:col>29</xdr:col>
                    <xdr:colOff>403860</xdr:colOff>
                    <xdr:row>4</xdr:row>
                    <xdr:rowOff>22860</xdr:rowOff>
                  </to>
                </anchor>
              </controlPr>
            </control>
          </mc:Choice>
        </mc:AlternateContent>
        <mc:AlternateContent xmlns:mc="http://schemas.openxmlformats.org/markup-compatibility/2006">
          <mc:Choice Requires="x14">
            <control shapeId="23566" r:id="rId5" name="Button 14">
              <controlPr defaultSize="0" print="0" autoFill="0" autoPict="0" macro="[0]!ExportGPATableToPPT">
                <anchor moveWithCells="1" sizeWithCells="1">
                  <from>
                    <xdr:col>23</xdr:col>
                    <xdr:colOff>137160</xdr:colOff>
                    <xdr:row>11</xdr:row>
                    <xdr:rowOff>175260</xdr:rowOff>
                  </from>
                  <to>
                    <xdr:col>29</xdr:col>
                    <xdr:colOff>480060</xdr:colOff>
                    <xdr:row>14</xdr:row>
                    <xdr:rowOff>373380</xdr:rowOff>
                  </to>
                </anchor>
              </controlPr>
            </control>
          </mc:Choice>
        </mc:AlternateContent>
        <mc:AlternateContent xmlns:mc="http://schemas.openxmlformats.org/markup-compatibility/2006">
          <mc:Choice Requires="x14">
            <control shapeId="23567" r:id="rId6" name="Button 15">
              <controlPr defaultSize="0" print="0" autoFill="0" autoPict="0" macro="[0]!ExportGTLITableToPPT">
                <anchor moveWithCells="1" sizeWithCells="1">
                  <from>
                    <xdr:col>23</xdr:col>
                    <xdr:colOff>137160</xdr:colOff>
                    <xdr:row>20</xdr:row>
                    <xdr:rowOff>175260</xdr:rowOff>
                  </from>
                  <to>
                    <xdr:col>29</xdr:col>
                    <xdr:colOff>480060</xdr:colOff>
                    <xdr:row>23</xdr:row>
                    <xdr:rowOff>373380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15E5-998B-48B5-A4BD-E1E211ECAE9B}">
  <sheetPr codeName="Sheet13"/>
  <dimension ref="B2:C27"/>
  <sheetViews>
    <sheetView showGridLines="0" topLeftCell="C1" zoomScale="82" workbookViewId="0">
      <selection activeCell="C3" sqref="C3"/>
    </sheetView>
  </sheetViews>
  <sheetFormatPr defaultColWidth="8.5546875" defaultRowHeight="13.8"/>
  <cols>
    <col min="1" max="1" width="8.5546875" style="224"/>
    <col min="2" max="2" width="6.5546875" style="334" bestFit="1" customWidth="1"/>
    <col min="3" max="3" width="136.5546875" style="332" customWidth="1"/>
    <col min="4" max="16384" width="8.5546875" style="224"/>
  </cols>
  <sheetData>
    <row r="2" spans="2:3">
      <c r="B2" s="1225" t="s">
        <v>37</v>
      </c>
      <c r="C2" s="1225"/>
    </row>
    <row r="3" spans="2:3" ht="27.6">
      <c r="B3" s="335">
        <f>B1+1</f>
        <v>1</v>
      </c>
      <c r="C3" s="333" t="s">
        <v>38</v>
      </c>
    </row>
    <row r="4" spans="2:3">
      <c r="B4" s="335">
        <f>B3+1</f>
        <v>2</v>
      </c>
      <c r="C4" s="333" t="s">
        <v>39</v>
      </c>
    </row>
    <row r="5" spans="2:3" ht="27.6">
      <c r="B5" s="335">
        <f>B4+1</f>
        <v>3</v>
      </c>
      <c r="C5" s="333" t="s">
        <v>40</v>
      </c>
    </row>
    <row r="6" spans="2:3">
      <c r="B6" s="335">
        <f>B5+1</f>
        <v>4</v>
      </c>
      <c r="C6" s="333" t="s">
        <v>41</v>
      </c>
    </row>
    <row r="9" spans="2:3">
      <c r="B9" s="1224" t="s">
        <v>42</v>
      </c>
      <c r="C9" s="1224"/>
    </row>
    <row r="10" spans="2:3" ht="27.6">
      <c r="B10" s="335">
        <v>1</v>
      </c>
      <c r="C10" s="333" t="s">
        <v>43</v>
      </c>
    </row>
    <row r="11" spans="2:3" ht="251.1" customHeight="1">
      <c r="B11" s="335">
        <f>B10+1</f>
        <v>2</v>
      </c>
      <c r="C11" s="333" t="s">
        <v>44</v>
      </c>
    </row>
    <row r="12" spans="2:3" ht="28.2">
      <c r="B12" s="335">
        <f t="shared" ref="B12:B27" si="0">B11+1</f>
        <v>3</v>
      </c>
      <c r="C12" s="333" t="s">
        <v>45</v>
      </c>
    </row>
    <row r="13" spans="2:3" ht="27.6">
      <c r="B13" s="335">
        <f t="shared" si="0"/>
        <v>4</v>
      </c>
      <c r="C13" s="333" t="s">
        <v>46</v>
      </c>
    </row>
    <row r="14" spans="2:3" ht="41.4">
      <c r="B14" s="335">
        <f t="shared" si="0"/>
        <v>5</v>
      </c>
      <c r="C14" s="333" t="s">
        <v>47</v>
      </c>
    </row>
    <row r="15" spans="2:3">
      <c r="B15" s="335">
        <f t="shared" si="0"/>
        <v>6</v>
      </c>
      <c r="C15" s="333" t="s">
        <v>48</v>
      </c>
    </row>
    <row r="16" spans="2:3">
      <c r="B16" s="335">
        <f t="shared" si="0"/>
        <v>7</v>
      </c>
      <c r="C16" s="333" t="s">
        <v>49</v>
      </c>
    </row>
    <row r="17" spans="2:3">
      <c r="B17" s="335">
        <f t="shared" si="0"/>
        <v>8</v>
      </c>
      <c r="C17" s="333" t="s">
        <v>50</v>
      </c>
    </row>
    <row r="18" spans="2:3" ht="117.6" customHeight="1">
      <c r="B18" s="335">
        <f t="shared" si="0"/>
        <v>9</v>
      </c>
      <c r="C18" s="333" t="s">
        <v>51</v>
      </c>
    </row>
    <row r="19" spans="2:3">
      <c r="B19" s="335">
        <f t="shared" si="0"/>
        <v>10</v>
      </c>
      <c r="C19" s="333" t="s">
        <v>52</v>
      </c>
    </row>
    <row r="20" spans="2:3" ht="41.4">
      <c r="B20" s="335">
        <f t="shared" si="0"/>
        <v>11</v>
      </c>
      <c r="C20" s="333" t="s">
        <v>53</v>
      </c>
    </row>
    <row r="21" spans="2:3" ht="110.4">
      <c r="B21" s="335">
        <f t="shared" si="0"/>
        <v>12</v>
      </c>
      <c r="C21" s="333" t="s">
        <v>54</v>
      </c>
    </row>
    <row r="22" spans="2:3" ht="69">
      <c r="B22" s="335">
        <f t="shared" si="0"/>
        <v>13</v>
      </c>
      <c r="C22" s="333" t="s">
        <v>55</v>
      </c>
    </row>
    <row r="23" spans="2:3" ht="41.4">
      <c r="B23" s="335">
        <f t="shared" si="0"/>
        <v>14</v>
      </c>
      <c r="C23" s="333" t="s">
        <v>56</v>
      </c>
    </row>
    <row r="24" spans="2:3">
      <c r="B24" s="335">
        <f t="shared" si="0"/>
        <v>15</v>
      </c>
      <c r="C24" s="447" t="s">
        <v>57</v>
      </c>
    </row>
    <row r="25" spans="2:3">
      <c r="B25" s="335">
        <f t="shared" si="0"/>
        <v>16</v>
      </c>
      <c r="C25" s="333" t="s">
        <v>58</v>
      </c>
    </row>
    <row r="26" spans="2:3">
      <c r="B26" s="335">
        <f t="shared" si="0"/>
        <v>17</v>
      </c>
      <c r="C26" s="333" t="s">
        <v>59</v>
      </c>
    </row>
    <row r="27" spans="2:3">
      <c r="B27" s="335">
        <f t="shared" si="0"/>
        <v>18</v>
      </c>
      <c r="C27" s="333" t="s">
        <v>60</v>
      </c>
    </row>
  </sheetData>
  <mergeCells count="2">
    <mergeCell ref="B9:C9"/>
    <mergeCell ref="B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5FD3C-F5F4-46C8-83CC-884EA2825295}">
  <sheetPr codeName="Sheet15"/>
  <dimension ref="B1:L70"/>
  <sheetViews>
    <sheetView showGridLines="0" topLeftCell="A2" zoomScale="60" zoomScaleNormal="60" workbookViewId="0">
      <selection activeCell="F27" activeCellId="1" sqref="F9 F27"/>
    </sheetView>
  </sheetViews>
  <sheetFormatPr defaultColWidth="8.5546875" defaultRowHeight="14.4"/>
  <cols>
    <col min="1" max="1" width="8.5546875" style="466"/>
    <col min="2" max="2" width="44.5546875" style="466" customWidth="1"/>
    <col min="3" max="7" width="26.44140625" style="466" customWidth="1"/>
    <col min="8" max="8" width="8.5546875" style="466"/>
    <col min="9" max="12" width="21" style="466" customWidth="1"/>
    <col min="13" max="16384" width="8.5546875" style="466"/>
  </cols>
  <sheetData>
    <row r="1" spans="2:5" ht="18">
      <c r="B1" s="468" t="s">
        <v>61</v>
      </c>
    </row>
    <row r="2" spans="2:5">
      <c r="B2" s="581">
        <v>45177</v>
      </c>
    </row>
    <row r="4" spans="2:5" ht="18">
      <c r="B4" s="467" t="s">
        <v>62</v>
      </c>
    </row>
    <row r="5" spans="2:5">
      <c r="B5" s="483" t="s">
        <v>63</v>
      </c>
    </row>
    <row r="8" spans="2:5" ht="18">
      <c r="B8" s="468" t="s">
        <v>64</v>
      </c>
    </row>
    <row r="9" spans="2:5">
      <c r="B9" s="488" t="s">
        <v>65</v>
      </c>
    </row>
    <row r="10" spans="2:5">
      <c r="B10" s="489"/>
    </row>
    <row r="11" spans="2:5">
      <c r="B11" s="489"/>
    </row>
    <row r="12" spans="2:5" ht="18.600000000000001" thickBot="1">
      <c r="B12" s="467" t="s">
        <v>66</v>
      </c>
    </row>
    <row r="13" spans="2:5" ht="18.600000000000001" thickBot="1">
      <c r="B13" s="1234" t="s">
        <v>67</v>
      </c>
      <c r="C13" s="1235"/>
      <c r="D13" s="1236"/>
      <c r="E13" s="453" t="s">
        <v>68</v>
      </c>
    </row>
    <row r="14" spans="2:5" ht="18">
      <c r="B14" s="480" t="s">
        <v>69</v>
      </c>
      <c r="C14" s="481" t="s">
        <v>70</v>
      </c>
      <c r="D14" s="480" t="s">
        <v>71</v>
      </c>
      <c r="E14" s="482" t="s">
        <v>72</v>
      </c>
    </row>
    <row r="19" spans="2:12" ht="18">
      <c r="B19" s="468" t="s">
        <v>73</v>
      </c>
    </row>
    <row r="21" spans="2:12" ht="18.600000000000001" customHeight="1">
      <c r="B21" s="1237" t="s">
        <v>1</v>
      </c>
      <c r="C21" s="1238"/>
      <c r="D21" s="1238"/>
      <c r="E21" s="1238"/>
      <c r="F21" s="1238"/>
      <c r="G21" s="1238"/>
      <c r="I21" s="1259" t="s">
        <v>2</v>
      </c>
      <c r="J21" s="1259"/>
      <c r="K21" s="1259"/>
      <c r="L21" s="479" t="s">
        <v>3</v>
      </c>
    </row>
    <row r="22" spans="2:12" ht="84">
      <c r="B22" s="330"/>
      <c r="C22" s="331"/>
      <c r="D22" s="331"/>
      <c r="E22" s="331"/>
      <c r="F22" s="331"/>
      <c r="G22" s="331"/>
      <c r="I22" s="469" t="str">
        <f>B14</f>
        <v>Manipal Cigna Standard Rater</v>
      </c>
      <c r="J22" s="470" t="str">
        <f>C14</f>
        <v>SBI General</v>
      </c>
      <c r="K22" s="469" t="str">
        <f>D14</f>
        <v>Manipal Cigna</v>
      </c>
      <c r="L22" s="469" t="str">
        <f>E14</f>
        <v>IFFCO Tokio</v>
      </c>
    </row>
    <row r="23" spans="2:12" ht="22.35" customHeight="1">
      <c r="B23" s="1219" t="s">
        <v>74</v>
      </c>
      <c r="C23" s="1220"/>
      <c r="D23" s="1240" t="s">
        <v>7</v>
      </c>
      <c r="E23" s="1240" t="s">
        <v>8</v>
      </c>
      <c r="F23" s="1241" t="s">
        <v>10</v>
      </c>
      <c r="G23" s="1241" t="s">
        <v>11</v>
      </c>
      <c r="I23" s="1242" t="s">
        <v>75</v>
      </c>
      <c r="J23" s="1242" t="s">
        <v>75</v>
      </c>
      <c r="K23" s="1242" t="s">
        <v>75</v>
      </c>
      <c r="L23" s="1242" t="s">
        <v>75</v>
      </c>
    </row>
    <row r="24" spans="2:12" ht="22.35" customHeight="1">
      <c r="B24" s="1223"/>
      <c r="C24" s="1239"/>
      <c r="D24" s="1240"/>
      <c r="E24" s="1240"/>
      <c r="F24" s="1241"/>
      <c r="G24" s="1241"/>
      <c r="I24" s="1242"/>
      <c r="J24" s="1242"/>
      <c r="K24" s="1242"/>
      <c r="L24" s="1242"/>
    </row>
    <row r="25" spans="2:12" ht="14.85" customHeight="1">
      <c r="B25" s="1226" t="s">
        <v>76</v>
      </c>
      <c r="C25" s="1227"/>
      <c r="D25" s="1230">
        <v>6</v>
      </c>
      <c r="E25" s="1230">
        <v>6</v>
      </c>
      <c r="F25" s="1260">
        <v>20</v>
      </c>
      <c r="G25" s="1260">
        <v>30</v>
      </c>
      <c r="I25" s="472" t="s">
        <v>77</v>
      </c>
      <c r="J25" s="473" t="s">
        <v>78</v>
      </c>
      <c r="K25" s="473" t="s">
        <v>79</v>
      </c>
      <c r="L25" s="473" t="s">
        <v>80</v>
      </c>
    </row>
    <row r="26" spans="2:12" ht="14.85" customHeight="1">
      <c r="B26" s="1228"/>
      <c r="C26" s="1229"/>
      <c r="D26" s="1231"/>
      <c r="E26" s="1231"/>
      <c r="F26" s="1261"/>
      <c r="G26" s="1261"/>
      <c r="I26" s="474"/>
      <c r="J26" s="475"/>
      <c r="K26" s="475"/>
      <c r="L26" s="475"/>
    </row>
    <row r="27" spans="2:12" ht="14.85" customHeight="1">
      <c r="B27" s="1226" t="s">
        <v>16</v>
      </c>
      <c r="C27" s="1227"/>
      <c r="D27" s="1232">
        <f>D25</f>
        <v>6</v>
      </c>
      <c r="E27" s="1230" t="s">
        <v>81</v>
      </c>
      <c r="F27" s="1243" t="s">
        <v>82</v>
      </c>
      <c r="G27" s="1244"/>
      <c r="I27" s="472" t="s">
        <v>83</v>
      </c>
      <c r="J27" s="473" t="s">
        <v>17</v>
      </c>
      <c r="K27" s="473" t="s">
        <v>17</v>
      </c>
      <c r="L27" s="476" t="s">
        <v>82</v>
      </c>
    </row>
    <row r="28" spans="2:12" ht="14.85" customHeight="1">
      <c r="B28" s="1228"/>
      <c r="C28" s="1229"/>
      <c r="D28" s="1233"/>
      <c r="E28" s="1231"/>
      <c r="F28" s="1245"/>
      <c r="G28" s="1246"/>
      <c r="I28" s="474"/>
      <c r="J28" s="475"/>
      <c r="K28" s="475"/>
      <c r="L28" s="477"/>
    </row>
    <row r="29" spans="2:12" ht="14.85" customHeight="1">
      <c r="B29" s="1226" t="s">
        <v>18</v>
      </c>
      <c r="C29" s="1227"/>
      <c r="D29" s="1232">
        <f>D25</f>
        <v>6</v>
      </c>
      <c r="E29" s="1230">
        <v>800</v>
      </c>
      <c r="F29" s="1245"/>
      <c r="G29" s="1246"/>
      <c r="I29" s="472" t="s">
        <v>17</v>
      </c>
      <c r="J29" s="473" t="s">
        <v>19</v>
      </c>
      <c r="K29" s="473" t="s">
        <v>19</v>
      </c>
      <c r="L29" s="476" t="s">
        <v>82</v>
      </c>
    </row>
    <row r="30" spans="2:12" ht="14.85" customHeight="1">
      <c r="B30" s="1228"/>
      <c r="C30" s="1229"/>
      <c r="D30" s="1233"/>
      <c r="E30" s="1231"/>
      <c r="F30" s="1245"/>
      <c r="G30" s="1246"/>
      <c r="I30" s="474"/>
      <c r="J30" s="475"/>
      <c r="K30" s="475"/>
      <c r="L30" s="477"/>
    </row>
    <row r="31" spans="2:12" ht="14.85" customHeight="1">
      <c r="B31" s="1226" t="s">
        <v>20</v>
      </c>
      <c r="C31" s="1227"/>
      <c r="D31" s="1232">
        <f>D25</f>
        <v>6</v>
      </c>
      <c r="E31" s="1230">
        <v>800</v>
      </c>
      <c r="F31" s="1245"/>
      <c r="G31" s="1246"/>
      <c r="I31" s="472" t="s">
        <v>21</v>
      </c>
      <c r="J31" s="473" t="s">
        <v>21</v>
      </c>
      <c r="K31" s="473" t="s">
        <v>21</v>
      </c>
      <c r="L31" s="476" t="s">
        <v>82</v>
      </c>
    </row>
    <row r="32" spans="2:12" ht="14.85" customHeight="1">
      <c r="B32" s="1228"/>
      <c r="C32" s="1229"/>
      <c r="D32" s="1233"/>
      <c r="E32" s="1231"/>
      <c r="F32" s="1245"/>
      <c r="G32" s="1246"/>
      <c r="I32" s="474"/>
      <c r="J32" s="475"/>
      <c r="K32" s="475"/>
      <c r="L32" s="477"/>
    </row>
    <row r="33" spans="2:12" ht="14.85" customHeight="1">
      <c r="B33" s="1226" t="s">
        <v>22</v>
      </c>
      <c r="C33" s="1227"/>
      <c r="D33" s="1249">
        <f>D25</f>
        <v>6</v>
      </c>
      <c r="E33" s="1250">
        <v>800</v>
      </c>
      <c r="F33" s="1245"/>
      <c r="G33" s="1246"/>
      <c r="I33" s="472" t="s">
        <v>23</v>
      </c>
      <c r="J33" s="473" t="s">
        <v>23</v>
      </c>
      <c r="K33" s="473" t="s">
        <v>23</v>
      </c>
      <c r="L33" s="476" t="s">
        <v>82</v>
      </c>
    </row>
    <row r="34" spans="2:12" ht="14.85" customHeight="1">
      <c r="B34" s="1228"/>
      <c r="C34" s="1229"/>
      <c r="D34" s="1249"/>
      <c r="E34" s="1250"/>
      <c r="F34" s="1247"/>
      <c r="G34" s="1248"/>
      <c r="I34" s="474"/>
      <c r="J34" s="475"/>
      <c r="K34" s="475"/>
      <c r="L34" s="477"/>
    </row>
    <row r="37" spans="2:12" ht="18.600000000000001" thickBot="1">
      <c r="B37" s="467" t="s">
        <v>84</v>
      </c>
    </row>
    <row r="38" spans="2:12" ht="18.600000000000001" thickBot="1">
      <c r="B38" s="1234" t="s">
        <v>67</v>
      </c>
      <c r="C38" s="1235"/>
      <c r="D38" s="1236"/>
      <c r="E38" s="453" t="s">
        <v>68</v>
      </c>
    </row>
    <row r="39" spans="2:12" ht="36">
      <c r="B39" s="480" t="s">
        <v>85</v>
      </c>
      <c r="C39" s="481" t="s">
        <v>86</v>
      </c>
      <c r="D39" s="480" t="s">
        <v>87</v>
      </c>
      <c r="E39" s="482" t="s">
        <v>88</v>
      </c>
    </row>
    <row r="41" spans="2:12" ht="18.600000000000001" customHeight="1">
      <c r="B41" s="468" t="s">
        <v>89</v>
      </c>
    </row>
    <row r="42" spans="2:12" ht="18.600000000000001" customHeight="1">
      <c r="B42" s="468"/>
    </row>
    <row r="43" spans="2:12" ht="30.6" customHeight="1">
      <c r="B43" s="1219" t="s">
        <v>74</v>
      </c>
      <c r="C43" s="1220"/>
      <c r="D43" s="1240" t="s">
        <v>7</v>
      </c>
      <c r="E43" s="1240"/>
      <c r="F43" s="1241" t="s">
        <v>10</v>
      </c>
      <c r="G43" s="1241"/>
      <c r="I43" s="469" t="str">
        <f>B39</f>
        <v>Magma HDI (Basic Plan) - NEE Group</v>
      </c>
      <c r="J43" s="470" t="str">
        <f>C39</f>
        <v>Magma HDI (Pro Plan) - NEE Group</v>
      </c>
      <c r="K43" s="469" t="str">
        <f>D39</f>
        <v>Go Digit (Pro Plan)</v>
      </c>
      <c r="L43" s="469" t="str">
        <f>E39</f>
        <v>IFFCO Tokio ( Pro Plan)</v>
      </c>
    </row>
    <row r="44" spans="2:12" ht="15.6">
      <c r="B44" s="1223"/>
      <c r="C44" s="1239"/>
      <c r="D44" s="1240"/>
      <c r="E44" s="1240"/>
      <c r="F44" s="1241"/>
      <c r="G44" s="1241"/>
      <c r="I44" s="471" t="s">
        <v>75</v>
      </c>
      <c r="J44" s="471" t="s">
        <v>75</v>
      </c>
      <c r="K44" s="471" t="s">
        <v>75</v>
      </c>
      <c r="L44" s="471" t="s">
        <v>75</v>
      </c>
    </row>
    <row r="45" spans="2:12" ht="15">
      <c r="B45" s="1226" t="s">
        <v>31</v>
      </c>
      <c r="C45" s="1227"/>
      <c r="D45" s="1251">
        <v>30</v>
      </c>
      <c r="E45" s="1252"/>
      <c r="F45" s="1251">
        <v>20</v>
      </c>
      <c r="G45" s="1252"/>
      <c r="I45" s="472" t="s">
        <v>15</v>
      </c>
      <c r="J45" s="473" t="s">
        <v>15</v>
      </c>
      <c r="K45" s="473" t="s">
        <v>15</v>
      </c>
      <c r="L45" s="473" t="s">
        <v>15</v>
      </c>
    </row>
    <row r="46" spans="2:12">
      <c r="B46" s="1228"/>
      <c r="C46" s="1229"/>
      <c r="D46" s="1253"/>
      <c r="E46" s="1254"/>
      <c r="F46" s="1253"/>
      <c r="G46" s="1254"/>
      <c r="I46" s="474"/>
      <c r="J46" s="475"/>
      <c r="K46" s="475"/>
      <c r="L46" s="475"/>
    </row>
    <row r="47" spans="2:12" ht="15">
      <c r="B47" s="1226" t="s">
        <v>33</v>
      </c>
      <c r="C47" s="1227"/>
      <c r="D47" s="1255">
        <f>D45</f>
        <v>30</v>
      </c>
      <c r="E47" s="1256"/>
      <c r="F47" s="1243" t="s">
        <v>82</v>
      </c>
      <c r="G47" s="1244"/>
      <c r="I47" s="472" t="s">
        <v>90</v>
      </c>
      <c r="J47" s="473" t="s">
        <v>17</v>
      </c>
      <c r="K47" s="473" t="s">
        <v>17</v>
      </c>
      <c r="L47" s="476" t="s">
        <v>82</v>
      </c>
    </row>
    <row r="48" spans="2:12" ht="15">
      <c r="B48" s="1228"/>
      <c r="C48" s="1229"/>
      <c r="D48" s="1257"/>
      <c r="E48" s="1258"/>
      <c r="F48" s="1245"/>
      <c r="G48" s="1246"/>
      <c r="I48" s="478"/>
      <c r="J48" s="476"/>
      <c r="K48" s="476"/>
      <c r="L48" s="476"/>
    </row>
    <row r="51" spans="2:12" ht="18.600000000000001" thickBot="1">
      <c r="B51" s="467" t="s">
        <v>91</v>
      </c>
    </row>
    <row r="52" spans="2:12" ht="18.600000000000001" thickBot="1">
      <c r="B52" s="1234" t="s">
        <v>67</v>
      </c>
      <c r="C52" s="1235"/>
      <c r="D52" s="1236"/>
      <c r="E52" s="453" t="s">
        <v>68</v>
      </c>
    </row>
    <row r="53" spans="2:12" ht="18">
      <c r="B53" s="480" t="s">
        <v>92</v>
      </c>
      <c r="C53" s="480" t="s">
        <v>92</v>
      </c>
      <c r="D53" s="480" t="s">
        <v>93</v>
      </c>
      <c r="E53" s="480" t="s">
        <v>94</v>
      </c>
    </row>
    <row r="54" spans="2:12" s="647" customFormat="1"/>
    <row r="55" spans="2:12" ht="18">
      <c r="B55" s="468" t="s">
        <v>95</v>
      </c>
    </row>
    <row r="56" spans="2:12" ht="18">
      <c r="B56" s="468"/>
    </row>
    <row r="57" spans="2:12" ht="42">
      <c r="B57" s="1219" t="s">
        <v>74</v>
      </c>
      <c r="C57" s="1220"/>
      <c r="D57" s="1240" t="s">
        <v>7</v>
      </c>
      <c r="E57" s="1240"/>
      <c r="F57" s="1241" t="s">
        <v>10</v>
      </c>
      <c r="G57" s="1241"/>
      <c r="I57" s="469" t="str">
        <f>B53</f>
        <v>CALI (Exclusive)</v>
      </c>
      <c r="J57" s="470" t="str">
        <f>C53</f>
        <v>CALI (Exclusive)</v>
      </c>
      <c r="K57" s="469" t="str">
        <f>D53</f>
        <v>HDFC Life</v>
      </c>
      <c r="L57" s="469" t="str">
        <f>E53</f>
        <v>Pramerica Life</v>
      </c>
    </row>
    <row r="58" spans="2:12" ht="15.6">
      <c r="B58" s="1223"/>
      <c r="C58" s="1239"/>
      <c r="D58" s="1240"/>
      <c r="E58" s="1240"/>
      <c r="F58" s="1241"/>
      <c r="G58" s="1241"/>
      <c r="I58" s="471" t="s">
        <v>75</v>
      </c>
      <c r="J58" s="471" t="s">
        <v>75</v>
      </c>
      <c r="K58" s="471" t="s">
        <v>75</v>
      </c>
      <c r="L58" s="471" t="s">
        <v>75</v>
      </c>
    </row>
    <row r="59" spans="2:12" ht="15">
      <c r="B59" s="1226" t="s">
        <v>31</v>
      </c>
      <c r="C59" s="1227"/>
      <c r="D59" s="1251">
        <v>300</v>
      </c>
      <c r="E59" s="1252"/>
      <c r="F59" s="1251">
        <v>150</v>
      </c>
      <c r="G59" s="1252"/>
      <c r="I59" s="472" t="s">
        <v>83</v>
      </c>
      <c r="J59" s="473" t="s">
        <v>15</v>
      </c>
      <c r="K59" s="473" t="s">
        <v>15</v>
      </c>
      <c r="L59" s="473" t="s">
        <v>15</v>
      </c>
    </row>
    <row r="60" spans="2:12">
      <c r="B60" s="1228"/>
      <c r="C60" s="1229"/>
      <c r="D60" s="1253"/>
      <c r="E60" s="1254"/>
      <c r="F60" s="1253"/>
      <c r="G60" s="1254"/>
      <c r="I60" s="474"/>
      <c r="J60" s="475"/>
      <c r="K60" s="475"/>
      <c r="L60" s="475"/>
    </row>
    <row r="61" spans="2:12" ht="15">
      <c r="B61" s="1226" t="s">
        <v>33</v>
      </c>
      <c r="C61" s="1227"/>
      <c r="D61" s="1255">
        <f>D59</f>
        <v>300</v>
      </c>
      <c r="E61" s="1256"/>
      <c r="F61" s="1243" t="s">
        <v>82</v>
      </c>
      <c r="G61" s="1244"/>
      <c r="I61" s="472" t="s">
        <v>96</v>
      </c>
      <c r="J61" s="473" t="s">
        <v>17</v>
      </c>
      <c r="K61" s="473" t="s">
        <v>17</v>
      </c>
      <c r="L61" s="476" t="s">
        <v>82</v>
      </c>
    </row>
    <row r="62" spans="2:12" ht="15">
      <c r="B62" s="1228"/>
      <c r="C62" s="1229"/>
      <c r="D62" s="1257"/>
      <c r="E62" s="1258"/>
      <c r="F62" s="1245"/>
      <c r="G62" s="1246"/>
      <c r="I62" s="478"/>
      <c r="J62" s="476"/>
      <c r="K62" s="476"/>
      <c r="L62" s="476"/>
    </row>
    <row r="68" spans="2:4" ht="18">
      <c r="B68" s="467" t="s">
        <v>97</v>
      </c>
    </row>
    <row r="69" spans="2:4" ht="18">
      <c r="B69" s="1234" t="s">
        <v>67</v>
      </c>
      <c r="C69" s="1235"/>
      <c r="D69" s="1236"/>
    </row>
    <row r="70" spans="2:4" ht="18">
      <c r="B70" s="480" t="s">
        <v>98</v>
      </c>
      <c r="C70" s="480" t="s">
        <v>99</v>
      </c>
      <c r="D70" s="480" t="s">
        <v>99</v>
      </c>
    </row>
  </sheetData>
  <mergeCells count="51">
    <mergeCell ref="B69:D69"/>
    <mergeCell ref="B43:C44"/>
    <mergeCell ref="D43:E44"/>
    <mergeCell ref="I21:K21"/>
    <mergeCell ref="B61:C62"/>
    <mergeCell ref="D61:E62"/>
    <mergeCell ref="F61:G62"/>
    <mergeCell ref="I23:I24"/>
    <mergeCell ref="B59:C60"/>
    <mergeCell ref="D59:E60"/>
    <mergeCell ref="F59:G60"/>
    <mergeCell ref="F43:G44"/>
    <mergeCell ref="F25:F26"/>
    <mergeCell ref="G25:G26"/>
    <mergeCell ref="B27:C28"/>
    <mergeCell ref="D27:D28"/>
    <mergeCell ref="B31:C32"/>
    <mergeCell ref="B29:C30"/>
    <mergeCell ref="B38:D38"/>
    <mergeCell ref="B52:D52"/>
    <mergeCell ref="B33:C34"/>
    <mergeCell ref="B57:C58"/>
    <mergeCell ref="D57:E58"/>
    <mergeCell ref="F57:G58"/>
    <mergeCell ref="B45:C46"/>
    <mergeCell ref="D45:E46"/>
    <mergeCell ref="F45:G46"/>
    <mergeCell ref="B47:C48"/>
    <mergeCell ref="D47:E48"/>
    <mergeCell ref="F47:G48"/>
    <mergeCell ref="L23:L24"/>
    <mergeCell ref="J23:J24"/>
    <mergeCell ref="K23:K24"/>
    <mergeCell ref="D31:D32"/>
    <mergeCell ref="E31:E32"/>
    <mergeCell ref="F27:G34"/>
    <mergeCell ref="D33:D34"/>
    <mergeCell ref="E33:E34"/>
    <mergeCell ref="E27:E28"/>
    <mergeCell ref="E29:E30"/>
    <mergeCell ref="B25:C26"/>
    <mergeCell ref="D25:D26"/>
    <mergeCell ref="E25:E26"/>
    <mergeCell ref="D29:D30"/>
    <mergeCell ref="B13:D13"/>
    <mergeCell ref="B21:G21"/>
    <mergeCell ref="B23:C24"/>
    <mergeCell ref="D23:D24"/>
    <mergeCell ref="E23:E24"/>
    <mergeCell ref="F23:F24"/>
    <mergeCell ref="G23:G24"/>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ErrorMessage="1" xr:uid="{A54D28C5-7B05-4682-9BA9-7938BFFE04D5}">
          <x14:formula1>
            <xm:f>'GPA DB'!$A$4:$A$14</xm:f>
          </x14:formula1>
          <xm:sqref>B39:E39</xm:sqref>
        </x14:dataValidation>
        <x14:dataValidation type="list" allowBlank="1" showErrorMessage="1" xr:uid="{256F93A7-F9F5-40EC-BA77-0CE0D90BCC5E}">
          <x14:formula1>
            <xm:f>'GTLI DB'!$A$8:$A$16</xm:f>
          </x14:formula1>
          <xm:sqref>B53:E53</xm:sqref>
        </x14:dataValidation>
        <x14:dataValidation type="list" allowBlank="1" showErrorMessage="1" xr:uid="{D0576C8A-F5D2-4CD1-BF76-27CEAA519119}">
          <x14:formula1>
            <xm:f>'OPD DB'!$A$4:$A$6</xm:f>
          </x14:formula1>
          <xm:sqref>B70:D70</xm:sqref>
        </x14:dataValidation>
        <x14:dataValidation type="list" allowBlank="1" showErrorMessage="1" xr:uid="{820C47D7-DC51-456A-A96A-624BFED17596}">
          <x14:formula1>
            <xm:f>'GHI DB'!$A$4:$A$25</xm:f>
          </x14:formula1>
          <xm:sqref>B14:E14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1A4E-4EA3-41A8-8504-E976B6147915}">
  <sheetPr codeName="Sheet9"/>
  <dimension ref="B2:Q4"/>
  <sheetViews>
    <sheetView showGridLines="0" zoomScale="60" workbookViewId="0">
      <selection activeCell="J18" sqref="J18"/>
    </sheetView>
  </sheetViews>
  <sheetFormatPr defaultRowHeight="14.4"/>
  <cols>
    <col min="2" max="2" width="44.5546875" bestFit="1" customWidth="1"/>
    <col min="4" max="4" width="5.5546875" bestFit="1" customWidth="1"/>
    <col min="6" max="6" width="15.44140625" bestFit="1" customWidth="1"/>
    <col min="8" max="8" width="6.44140625" bestFit="1" customWidth="1"/>
    <col min="10" max="10" width="34.5546875" bestFit="1" customWidth="1"/>
    <col min="13" max="13" width="31.44140625" customWidth="1"/>
    <col min="15" max="15" width="31.44140625" customWidth="1"/>
    <col min="17" max="18" width="31.44140625" customWidth="1"/>
  </cols>
  <sheetData>
    <row r="2" spans="2:17" ht="18">
      <c r="B2" s="461" t="s">
        <v>100</v>
      </c>
      <c r="M2" s="461" t="s">
        <v>101</v>
      </c>
    </row>
    <row r="3" spans="2:17" ht="45.6">
      <c r="B3" s="458">
        <v>300</v>
      </c>
      <c r="C3" s="200"/>
      <c r="D3" s="459" t="s">
        <v>102</v>
      </c>
      <c r="E3" s="200"/>
      <c r="F3" s="460">
        <v>6000</v>
      </c>
      <c r="G3" s="200"/>
      <c r="H3" s="459" t="s">
        <v>103</v>
      </c>
      <c r="I3" s="200"/>
      <c r="J3" s="458">
        <v>11800000</v>
      </c>
      <c r="M3" s="462">
        <v>200</v>
      </c>
      <c r="N3" s="463" t="s">
        <v>104</v>
      </c>
      <c r="O3" s="462">
        <v>50</v>
      </c>
      <c r="P3" s="463" t="s">
        <v>104</v>
      </c>
      <c r="Q3" s="462">
        <v>50</v>
      </c>
    </row>
    <row r="4" spans="2:17" ht="15.6">
      <c r="B4" s="465" t="s">
        <v>105</v>
      </c>
      <c r="C4" s="465"/>
      <c r="D4" s="465"/>
      <c r="E4" s="465"/>
      <c r="F4" s="465" t="s">
        <v>106</v>
      </c>
      <c r="G4" s="465"/>
      <c r="H4" s="465"/>
      <c r="I4" s="465"/>
      <c r="J4" s="465" t="s">
        <v>107</v>
      </c>
      <c r="M4" s="464" t="s">
        <v>108</v>
      </c>
      <c r="N4" s="464"/>
      <c r="O4" s="464" t="s">
        <v>109</v>
      </c>
      <c r="P4" s="464"/>
      <c r="Q4" s="464" t="s">
        <v>110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86C4F-5F2F-4C83-BABC-913EE8F37915}">
  <sheetPr codeName="Sheet14"/>
  <dimension ref="B1:AD49"/>
  <sheetViews>
    <sheetView showGridLines="0" topLeftCell="A5" zoomScale="56" zoomScaleNormal="44" workbookViewId="0">
      <selection activeCell="F27" activeCellId="1" sqref="F9 F27"/>
    </sheetView>
  </sheetViews>
  <sheetFormatPr defaultRowHeight="14.4"/>
  <cols>
    <col min="2" max="2" width="23" customWidth="1"/>
    <col min="3" max="3" width="2.44140625" customWidth="1"/>
    <col min="4" max="5" width="19.5546875" customWidth="1"/>
    <col min="6" max="6" width="2.44140625" customWidth="1"/>
    <col min="7" max="8" width="19.5546875" customWidth="1"/>
    <col min="9" max="9" width="2.44140625" customWidth="1"/>
    <col min="10" max="11" width="19.5546875" customWidth="1"/>
    <col min="12" max="12" width="2.44140625" customWidth="1"/>
    <col min="13" max="14" width="19.5546875" customWidth="1"/>
    <col min="15" max="15" width="16" bestFit="1" customWidth="1"/>
    <col min="16" max="16" width="22.5546875" customWidth="1"/>
    <col min="17" max="17" width="2.5546875" customWidth="1"/>
    <col min="18" max="21" width="25.44140625" customWidth="1"/>
    <col min="22" max="22" width="6.5546875" customWidth="1"/>
    <col min="27" max="27" width="14.44140625" bestFit="1" customWidth="1"/>
    <col min="30" max="30" width="8.5546875" style="106"/>
  </cols>
  <sheetData>
    <row r="1" spans="2:30">
      <c r="G1" s="834" t="s">
        <v>111</v>
      </c>
    </row>
    <row r="2" spans="2:30" ht="42" customHeight="1" thickBot="1">
      <c r="B2" s="200"/>
      <c r="C2" s="200"/>
      <c r="D2" s="1262"/>
      <c r="E2" s="1262"/>
      <c r="F2" s="1262"/>
      <c r="G2" s="1262"/>
      <c r="H2" s="1262"/>
      <c r="I2" s="1262"/>
      <c r="J2" s="1262"/>
      <c r="K2" s="1262"/>
      <c r="L2" s="1262"/>
      <c r="M2" s="1262"/>
      <c r="N2" s="1262"/>
      <c r="P2" s="1237" t="s">
        <v>1</v>
      </c>
      <c r="Q2" s="1238"/>
      <c r="R2" s="1238"/>
      <c r="S2" s="1238"/>
      <c r="T2" s="1238"/>
      <c r="U2" s="1238"/>
      <c r="V2" s="219"/>
      <c r="AD2" s="341"/>
    </row>
    <row r="3" spans="2:30" ht="23.1" customHeight="1" thickBot="1">
      <c r="B3" s="200"/>
      <c r="C3" s="200"/>
      <c r="D3" s="1263" t="s">
        <v>2</v>
      </c>
      <c r="E3" s="1264"/>
      <c r="F3" s="1264"/>
      <c r="G3" s="1264"/>
      <c r="H3" s="1264"/>
      <c r="I3" s="1264"/>
      <c r="J3" s="1264"/>
      <c r="K3" s="1265"/>
      <c r="L3" s="230"/>
      <c r="M3" s="1266" t="s">
        <v>3</v>
      </c>
      <c r="N3" s="1267"/>
      <c r="P3" s="330" t="str">
        <f>Inputs!B9</f>
        <v>C:\Users\shali\Downloads\ABCD\Healthysure Proposal Deck.pptx</v>
      </c>
      <c r="Q3" s="331"/>
      <c r="R3" s="331"/>
      <c r="S3" s="331"/>
      <c r="T3" s="331"/>
      <c r="U3" s="331"/>
      <c r="V3" s="218"/>
      <c r="AD3" s="342"/>
    </row>
    <row r="4" spans="2:30" ht="38.85" customHeight="1">
      <c r="B4" s="1191"/>
      <c r="C4" s="1191"/>
      <c r="D4" s="1268" t="str">
        <f>'GHI Features (Option 1)'!G8</f>
        <v>HDFC Ergo</v>
      </c>
      <c r="E4" s="1269"/>
      <c r="F4" s="210"/>
      <c r="G4" s="1270" t="str">
        <f>'GHI Features (Option 1)'!H8</f>
        <v>Manipal Cigna (Gig Exclusive)</v>
      </c>
      <c r="H4" s="1271"/>
      <c r="I4" s="210"/>
      <c r="J4" s="1272" t="str">
        <f>'GHI Features (Option 1)'!I8</f>
        <v>Manipal Cigna (SME Exclusive)</v>
      </c>
      <c r="K4" s="1273"/>
      <c r="L4" s="345"/>
      <c r="M4" s="1274" t="str">
        <f>'GHI Features (Option 1)'!J8</f>
        <v>Care Health</v>
      </c>
      <c r="N4" s="1275"/>
      <c r="P4" s="1219" t="s">
        <v>74</v>
      </c>
      <c r="Q4" s="1220"/>
      <c r="R4" s="1240" t="s">
        <v>7</v>
      </c>
      <c r="S4" s="1240" t="s">
        <v>8</v>
      </c>
      <c r="T4" s="1241" t="s">
        <v>10</v>
      </c>
      <c r="U4" s="1241" t="s">
        <v>11</v>
      </c>
      <c r="AD4" s="338"/>
    </row>
    <row r="5" spans="2:30" ht="31.2">
      <c r="B5" s="1191"/>
      <c r="C5" s="1191"/>
      <c r="D5" s="349" t="s">
        <v>75</v>
      </c>
      <c r="E5" s="346" t="s">
        <v>112</v>
      </c>
      <c r="F5" s="217"/>
      <c r="G5" s="347" t="s">
        <v>75</v>
      </c>
      <c r="H5" s="347" t="s">
        <v>112</v>
      </c>
      <c r="I5" s="217"/>
      <c r="J5" s="348" t="s">
        <v>75</v>
      </c>
      <c r="K5" s="350" t="s">
        <v>112</v>
      </c>
      <c r="L5" s="217"/>
      <c r="M5" s="353" t="s">
        <v>75</v>
      </c>
      <c r="N5" s="354" t="s">
        <v>112</v>
      </c>
      <c r="P5" s="1223"/>
      <c r="Q5" s="1239"/>
      <c r="R5" s="1240"/>
      <c r="S5" s="1240"/>
      <c r="T5" s="1241"/>
      <c r="U5" s="1241"/>
      <c r="V5" s="218"/>
      <c r="AD5" s="339"/>
    </row>
    <row r="6" spans="2:30" ht="24" customHeight="1">
      <c r="B6" s="1281" t="str">
        <f>Inputs!B25</f>
        <v>I. ESCP with 10% Co-pay (SI: 10 L)</v>
      </c>
      <c r="C6" s="1281"/>
      <c r="D6" s="366" t="s">
        <v>113</v>
      </c>
      <c r="E6" s="367" t="e">
        <f>D6/opt1_number_of_lives_renewal</f>
        <v>#VALUE!</v>
      </c>
      <c r="F6" s="217"/>
      <c r="G6" s="357" t="str">
        <f>Inputs!J25</f>
        <v>5,19,638</v>
      </c>
      <c r="H6" s="368" t="e">
        <f>G6/opt1_number_of_lives_renewal</f>
        <v>#VALUE!</v>
      </c>
      <c r="I6" s="369"/>
      <c r="J6" s="358" t="str">
        <f>Inputs!K25</f>
        <v>5,26,249</v>
      </c>
      <c r="K6" s="370" t="e">
        <f>J6/opt1_number_of_lives_renewal</f>
        <v>#VALUE!</v>
      </c>
      <c r="L6" s="371"/>
      <c r="M6" s="359" t="str">
        <f>Inputs!L25</f>
        <v>3,13,559</v>
      </c>
      <c r="N6" s="372" t="e">
        <f>M6/number_of_lives_expiring</f>
        <v>#VALUE!</v>
      </c>
      <c r="P6" s="1277" t="str">
        <f>Inputs!B25</f>
        <v>I. ESCP with 10% Co-pay (SI: 10 L)</v>
      </c>
      <c r="Q6" s="1278"/>
      <c r="R6" s="1230">
        <f>Inputs!D25</f>
        <v>6</v>
      </c>
      <c r="S6" s="1230">
        <f>Inputs!E25</f>
        <v>6</v>
      </c>
      <c r="T6" s="1230">
        <f>Inputs!F25</f>
        <v>20</v>
      </c>
      <c r="U6" s="1230">
        <f>Inputs!G25</f>
        <v>30</v>
      </c>
      <c r="AD6" s="200"/>
    </row>
    <row r="7" spans="2:30" ht="25.35" customHeight="1">
      <c r="B7" s="1281"/>
      <c r="C7" s="1281"/>
      <c r="D7" s="374" t="str">
        <f>CONCATENATE("(", opt1_number_of_lives_renewal, " lives)")</f>
        <v>(6 lives)</v>
      </c>
      <c r="E7" s="343"/>
      <c r="F7" s="201"/>
      <c r="G7" s="397" t="str">
        <f>CONCATENATE("(", opt1_number_of_lives_renewal, " lives)")</f>
        <v>(6 lives)</v>
      </c>
      <c r="H7" s="344"/>
      <c r="I7" s="212"/>
      <c r="J7" s="399" t="str">
        <f>CONCATENATE("(", opt1_number_of_lives_renewal, " lives)")</f>
        <v>(6 lives)</v>
      </c>
      <c r="K7" s="362"/>
      <c r="L7" s="213"/>
      <c r="M7" s="376" t="str">
        <f>CONCATENATE("(", number_of_lives_expiring, " lives)")</f>
        <v>(30 lives)</v>
      </c>
      <c r="N7" s="360"/>
      <c r="P7" s="1279"/>
      <c r="Q7" s="1280"/>
      <c r="R7" s="1231"/>
      <c r="S7" s="1231"/>
      <c r="T7" s="1231"/>
      <c r="U7" s="1231"/>
      <c r="AD7" s="200"/>
    </row>
    <row r="8" spans="2:30" ht="24" customHeight="1">
      <c r="B8" s="1281" t="str">
        <f>Inputs!B27</f>
        <v>II. ESC with 0% Co-Pay (SI : 5 L)</v>
      </c>
      <c r="C8" s="1281"/>
      <c r="D8" s="366" t="str">
        <f>Inputs!I27</f>
        <v>25,00,000</v>
      </c>
      <c r="E8" s="367" t="e">
        <f>D8/opt2_number_of_lives_renewal</f>
        <v>#VALUE!</v>
      </c>
      <c r="F8" s="217"/>
      <c r="G8" s="357" t="str">
        <f>Inputs!J27</f>
        <v>30,00,000</v>
      </c>
      <c r="H8" s="368" t="e">
        <f>G8/opt2_number_of_lives_renewal</f>
        <v>#VALUE!</v>
      </c>
      <c r="I8" s="369"/>
      <c r="J8" s="358" t="str">
        <f>Inputs!K27</f>
        <v>30,00,000</v>
      </c>
      <c r="K8" s="370" t="e">
        <f>J8/opt2_number_of_lives_renewal</f>
        <v>#VALUE!</v>
      </c>
      <c r="L8" s="371"/>
      <c r="M8" s="359" t="s">
        <v>82</v>
      </c>
      <c r="N8" s="372" t="s">
        <v>82</v>
      </c>
      <c r="P8" s="1277" t="str">
        <f>Inputs!B27</f>
        <v>II. ESC with 0% Co-Pay (SI : 5 L)</v>
      </c>
      <c r="Q8" s="1278"/>
      <c r="R8" s="1232">
        <f>Inputs!D27</f>
        <v>6</v>
      </c>
      <c r="S8" s="1230" t="str">
        <f>Inputs!E27</f>
        <v>z</v>
      </c>
      <c r="T8" s="1243" t="s">
        <v>82</v>
      </c>
      <c r="U8" s="1244"/>
      <c r="AA8" s="202"/>
      <c r="AD8" s="200"/>
    </row>
    <row r="9" spans="2:30" ht="22.8">
      <c r="B9" s="1281"/>
      <c r="C9" s="1281"/>
      <c r="D9" s="374" t="str">
        <f>CONCATENATE("(", opt2_number_of_lives_renewal, " lives)")</f>
        <v>(z lives)</v>
      </c>
      <c r="E9" s="343"/>
      <c r="F9" s="201"/>
      <c r="G9" s="397" t="str">
        <f>CONCATENATE("(", opt2_number_of_lives_renewal, " lives)")</f>
        <v>(z lives)</v>
      </c>
      <c r="H9" s="344"/>
      <c r="I9" s="212"/>
      <c r="J9" s="399" t="str">
        <f>CONCATENATE("(", opt2_number_of_lives_renewal, " lives)")</f>
        <v>(z lives)</v>
      </c>
      <c r="K9" s="362"/>
      <c r="L9" s="213"/>
      <c r="M9" s="355"/>
      <c r="N9" s="360"/>
      <c r="P9" s="1279"/>
      <c r="Q9" s="1280"/>
      <c r="R9" s="1233"/>
      <c r="S9" s="1231"/>
      <c r="T9" s="1245"/>
      <c r="U9" s="1246"/>
      <c r="AA9" s="202"/>
      <c r="AD9" s="200"/>
    </row>
    <row r="10" spans="2:30" ht="24" customHeight="1">
      <c r="B10" s="1281" t="str">
        <f>Inputs!B29</f>
        <v>III. ESCP with 0% Co-Pay (SI : 3 L)</v>
      </c>
      <c r="C10" s="1281"/>
      <c r="D10" s="366" t="str">
        <f>Inputs!I29</f>
        <v>30,00,000</v>
      </c>
      <c r="E10" s="367" t="e">
        <f>D10/opt3_number_of_lives_renewal</f>
        <v>#VALUE!</v>
      </c>
      <c r="F10" s="217"/>
      <c r="G10" s="357" t="str">
        <f>Inputs!J29</f>
        <v>40,00,000</v>
      </c>
      <c r="H10" s="368" t="e">
        <f>G10/opt3_number_of_lives_renewal</f>
        <v>#VALUE!</v>
      </c>
      <c r="I10" s="369"/>
      <c r="J10" s="358" t="str">
        <f>Inputs!K29</f>
        <v>40,00,000</v>
      </c>
      <c r="K10" s="370" t="e">
        <f>J10/opt3_number_of_lives_renewal</f>
        <v>#VALUE!</v>
      </c>
      <c r="L10" s="373"/>
      <c r="M10" s="359" t="s">
        <v>82</v>
      </c>
      <c r="N10" s="372" t="s">
        <v>82</v>
      </c>
      <c r="P10" s="1277" t="str">
        <f>Inputs!B29</f>
        <v>III. ESCP with 0% Co-Pay (SI : 3 L)</v>
      </c>
      <c r="Q10" s="1278"/>
      <c r="R10" s="1232">
        <f>Inputs!D29</f>
        <v>6</v>
      </c>
      <c r="S10" s="1230">
        <f>Inputs!E29</f>
        <v>800</v>
      </c>
      <c r="T10" s="1245"/>
      <c r="U10" s="1246"/>
    </row>
    <row r="11" spans="2:30" ht="21" customHeight="1">
      <c r="B11" s="1281"/>
      <c r="C11" s="1281"/>
      <c r="D11" s="374" t="str">
        <f>CONCATENATE("(", opt3_number_of_lives_renewal, " lives)")</f>
        <v>(800 lives)</v>
      </c>
      <c r="E11" s="343"/>
      <c r="F11" s="201"/>
      <c r="G11" s="397" t="str">
        <f>CONCATENATE("(", opt3_number_of_lives_renewal, " lives)")</f>
        <v>(800 lives)</v>
      </c>
      <c r="H11" s="344"/>
      <c r="I11" s="212"/>
      <c r="J11" s="399" t="str">
        <f>CONCATENATE("(", opt3_number_of_lives_renewal, " lives)")</f>
        <v>(800 lives)</v>
      </c>
      <c r="K11" s="362"/>
      <c r="L11" s="214"/>
      <c r="M11" s="355"/>
      <c r="N11" s="360"/>
      <c r="P11" s="1279"/>
      <c r="Q11" s="1280"/>
      <c r="R11" s="1233"/>
      <c r="S11" s="1231"/>
      <c r="T11" s="1245"/>
      <c r="U11" s="1246"/>
    </row>
    <row r="12" spans="2:30" ht="24" customHeight="1">
      <c r="B12" s="1281" t="str">
        <f>Inputs!B31</f>
        <v>IV. ESCP with 0% Co-Pay (SI : 5 L)</v>
      </c>
      <c r="C12" s="1281"/>
      <c r="D12" s="366" t="str">
        <f>Inputs!I31</f>
        <v>50,00,000</v>
      </c>
      <c r="E12" s="367" t="e">
        <f>D12/opt4_number_of_lives_renewal</f>
        <v>#VALUE!</v>
      </c>
      <c r="F12" s="217"/>
      <c r="G12" s="357" t="str">
        <f>Inputs!J31</f>
        <v>50,00,000</v>
      </c>
      <c r="H12" s="368" t="e">
        <f>G12/opt4_number_of_lives_renewal</f>
        <v>#VALUE!</v>
      </c>
      <c r="I12" s="369"/>
      <c r="J12" s="358" t="str">
        <f>Inputs!K31</f>
        <v>50,00,000</v>
      </c>
      <c r="K12" s="370" t="e">
        <f>J12/opt4_number_of_lives_renewal</f>
        <v>#VALUE!</v>
      </c>
      <c r="L12" s="373"/>
      <c r="M12" s="359" t="s">
        <v>82</v>
      </c>
      <c r="N12" s="372" t="s">
        <v>82</v>
      </c>
      <c r="P12" s="1277" t="str">
        <f>Inputs!B31</f>
        <v>IV. ESCP with 0% Co-Pay (SI : 5 L)</v>
      </c>
      <c r="Q12" s="1278"/>
      <c r="R12" s="1232">
        <f>Inputs!D31</f>
        <v>6</v>
      </c>
      <c r="S12" s="1230">
        <f>Inputs!E31</f>
        <v>800</v>
      </c>
      <c r="T12" s="1245"/>
      <c r="U12" s="1246"/>
    </row>
    <row r="13" spans="2:30" ht="21" customHeight="1">
      <c r="B13" s="1281"/>
      <c r="C13" s="1281"/>
      <c r="D13" s="374" t="str">
        <f>CONCATENATE("(", opt4_number_of_lives_renewal, " lives)")</f>
        <v>(800 lives)</v>
      </c>
      <c r="E13" s="343"/>
      <c r="F13" s="201"/>
      <c r="G13" s="397" t="str">
        <f>CONCATENATE("(", opt4_number_of_lives_renewal, " lives)")</f>
        <v>(800 lives)</v>
      </c>
      <c r="H13" s="344"/>
      <c r="I13" s="212"/>
      <c r="J13" s="399" t="str">
        <f>CONCATENATE("(", opt4_number_of_lives_renewal, " lives)")</f>
        <v>(800 lives)</v>
      </c>
      <c r="K13" s="362"/>
      <c r="L13" s="214"/>
      <c r="M13" s="355"/>
      <c r="N13" s="360"/>
      <c r="P13" s="1279"/>
      <c r="Q13" s="1280"/>
      <c r="R13" s="1233"/>
      <c r="S13" s="1231"/>
      <c r="T13" s="1245"/>
      <c r="U13" s="1246"/>
    </row>
    <row r="14" spans="2:30" ht="24" customHeight="1">
      <c r="B14" s="1281" t="str">
        <f>Inputs!B33</f>
        <v>V. ESCP with 0% Co-Pay (SI : 5 L)</v>
      </c>
      <c r="C14" s="1281"/>
      <c r="D14" s="366" t="str">
        <f>Inputs!I33</f>
        <v>60,00,000</v>
      </c>
      <c r="E14" s="367" t="e">
        <f>D14/opt5_number_of_lives_renewal</f>
        <v>#VALUE!</v>
      </c>
      <c r="F14" s="217"/>
      <c r="G14" s="357" t="str">
        <f>Inputs!J33</f>
        <v>60,00,000</v>
      </c>
      <c r="H14" s="368" t="e">
        <f>G14/opt5_number_of_lives_renewal</f>
        <v>#VALUE!</v>
      </c>
      <c r="I14" s="369"/>
      <c r="J14" s="358" t="str">
        <f>Inputs!K33</f>
        <v>60,00,000</v>
      </c>
      <c r="K14" s="370" t="e">
        <f>J14/opt5_number_of_lives_renewal</f>
        <v>#VALUE!</v>
      </c>
      <c r="L14" s="373"/>
      <c r="M14" s="359" t="s">
        <v>82</v>
      </c>
      <c r="N14" s="372" t="s">
        <v>82</v>
      </c>
      <c r="P14" s="1277" t="str">
        <f>Inputs!B33</f>
        <v>V. ESCP with 0% Co-Pay (SI : 5 L)</v>
      </c>
      <c r="Q14" s="1278"/>
      <c r="R14" s="1232">
        <f>Inputs!D33</f>
        <v>6</v>
      </c>
      <c r="S14" s="1230">
        <f>Inputs!E33</f>
        <v>800</v>
      </c>
      <c r="T14" s="1245"/>
      <c r="U14" s="1246"/>
    </row>
    <row r="15" spans="2:30" ht="21.6" customHeight="1" thickBot="1">
      <c r="B15" s="1281"/>
      <c r="C15" s="1281"/>
      <c r="D15" s="375" t="str">
        <f>CONCATENATE("(", opt5_number_of_lives_renewal, " lives)")</f>
        <v>(800 lives)</v>
      </c>
      <c r="E15" s="365"/>
      <c r="F15" s="351"/>
      <c r="G15" s="398" t="str">
        <f>CONCATENATE("(", opt5_number_of_lives_renewal, " lives)")</f>
        <v>(800 lives)</v>
      </c>
      <c r="H15" s="364"/>
      <c r="I15" s="352"/>
      <c r="J15" s="400" t="str">
        <f>CONCATENATE("(", opt5_number_of_lives_renewal, " lives)")</f>
        <v>(800 lives)</v>
      </c>
      <c r="K15" s="363"/>
      <c r="L15" s="214"/>
      <c r="M15" s="356"/>
      <c r="N15" s="361"/>
      <c r="P15" s="1279"/>
      <c r="Q15" s="1280"/>
      <c r="R15" s="1233"/>
      <c r="S15" s="1231"/>
      <c r="T15" s="1247"/>
      <c r="U15" s="1248"/>
    </row>
    <row r="16" spans="2:30">
      <c r="D16" s="106"/>
      <c r="G16" s="106"/>
      <c r="J16" s="106"/>
      <c r="M16" s="336"/>
    </row>
    <row r="18" spans="2:22" ht="24.6" customHeight="1" thickBot="1">
      <c r="D18" s="1276" t="s">
        <v>24</v>
      </c>
      <c r="E18" s="1276"/>
      <c r="F18" s="1276"/>
      <c r="G18" s="1276"/>
      <c r="H18" s="1276"/>
      <c r="I18" s="1276"/>
      <c r="J18" s="1276"/>
      <c r="K18" s="1276"/>
      <c r="L18" s="1276"/>
      <c r="M18" s="1276"/>
      <c r="N18" s="1276"/>
    </row>
    <row r="19" spans="2:22" ht="23.1" customHeight="1" thickBot="1">
      <c r="B19" s="200"/>
      <c r="C19" s="200"/>
      <c r="D19" s="1263" t="s">
        <v>2</v>
      </c>
      <c r="E19" s="1264"/>
      <c r="F19" s="1264"/>
      <c r="G19" s="1264"/>
      <c r="H19" s="1264"/>
      <c r="I19" s="1264"/>
      <c r="J19" s="1264"/>
      <c r="K19" s="1265"/>
      <c r="L19" s="230"/>
      <c r="M19" s="1266" t="s">
        <v>3</v>
      </c>
      <c r="N19" s="1267"/>
      <c r="R19" s="218"/>
      <c r="S19" s="218"/>
      <c r="T19" s="218"/>
      <c r="U19" s="218"/>
      <c r="V19" s="218"/>
    </row>
    <row r="20" spans="2:22" ht="39" customHeight="1">
      <c r="B20" s="1283"/>
      <c r="C20" s="1283"/>
      <c r="D20" s="1284" t="str">
        <f>Inputs!I43</f>
        <v>Magma HDI (Basic Plan) - NEE Group</v>
      </c>
      <c r="E20" s="1285"/>
      <c r="F20" s="203"/>
      <c r="G20" s="1286" t="str">
        <f>Inputs!J43</f>
        <v>Magma HDI (Pro Plan) - NEE Group</v>
      </c>
      <c r="H20" s="1287"/>
      <c r="I20" s="203"/>
      <c r="J20" s="1288" t="str">
        <f>Inputs!K43</f>
        <v>Go Digit (Pro Plan)</v>
      </c>
      <c r="K20" s="1289"/>
      <c r="L20" s="231"/>
      <c r="M20" s="1290" t="str">
        <f>Inputs!L43</f>
        <v>IFFCO Tokio ( Pro Plan)</v>
      </c>
      <c r="N20" s="1291"/>
      <c r="P20" s="1219" t="s">
        <v>74</v>
      </c>
      <c r="Q20" s="1220"/>
      <c r="R20" s="1240" t="s">
        <v>7</v>
      </c>
      <c r="S20" s="1240"/>
      <c r="T20" s="1241" t="s">
        <v>10</v>
      </c>
      <c r="U20" s="1241"/>
      <c r="V20" s="106"/>
    </row>
    <row r="21" spans="2:22" s="106" customFormat="1" ht="32.85" customHeight="1">
      <c r="B21" s="1283"/>
      <c r="C21" s="1283"/>
      <c r="D21" s="349" t="s">
        <v>75</v>
      </c>
      <c r="E21" s="346" t="s">
        <v>114</v>
      </c>
      <c r="F21" s="217"/>
      <c r="G21" s="347" t="s">
        <v>75</v>
      </c>
      <c r="H21" s="347" t="s">
        <v>114</v>
      </c>
      <c r="I21" s="217"/>
      <c r="J21" s="348" t="s">
        <v>75</v>
      </c>
      <c r="K21" s="350" t="s">
        <v>114</v>
      </c>
      <c r="L21" s="217"/>
      <c r="M21" s="353" t="s">
        <v>75</v>
      </c>
      <c r="N21" s="354" t="s">
        <v>114</v>
      </c>
      <c r="P21" s="1223"/>
      <c r="Q21" s="1239"/>
      <c r="R21" s="1240"/>
      <c r="S21" s="1240"/>
      <c r="T21" s="1241"/>
      <c r="U21" s="1241"/>
    </row>
    <row r="22" spans="2:22" ht="24.6" customHeight="1">
      <c r="B22" s="1281" t="str">
        <f>Inputs!B45</f>
        <v>I. Expiring Terms 
(SI: 10 L)</v>
      </c>
      <c r="C22" s="1282"/>
      <c r="D22" s="377" t="str">
        <f>Inputs!I45</f>
        <v>20,00,000</v>
      </c>
      <c r="E22" s="652" t="e">
        <f>D22/GPA_opt1_number_of_employees_renewal</f>
        <v>#VALUE!</v>
      </c>
      <c r="F22" s="200"/>
      <c r="G22" s="378" t="str">
        <f>Inputs!J45</f>
        <v>20,00,000</v>
      </c>
      <c r="H22" s="382" t="e">
        <f>G22/GPA_opt1_number_of_employees_renewal</f>
        <v>#VALUE!</v>
      </c>
      <c r="I22" s="200"/>
      <c r="J22" s="379" t="str">
        <f>Inputs!K45</f>
        <v>20,00,000</v>
      </c>
      <c r="K22" s="370" t="e">
        <f>J22/GPA_opt1_number_of_employees_renewal</f>
        <v>#VALUE!</v>
      </c>
      <c r="L22" s="223"/>
      <c r="M22" s="380" t="str">
        <f>Inputs!L45</f>
        <v>20,00,000</v>
      </c>
      <c r="N22" s="372" t="e">
        <f>M22/GPA_number_of_lives_expiring</f>
        <v>#VALUE!</v>
      </c>
      <c r="P22" s="1277" t="str">
        <f>Inputs!B45</f>
        <v>I. Expiring Terms 
(SI: 10 L)</v>
      </c>
      <c r="Q22" s="1278"/>
      <c r="R22" s="1251">
        <f>Inputs!D45</f>
        <v>30</v>
      </c>
      <c r="S22" s="1252"/>
      <c r="T22" s="1255">
        <f>Inputs!F45</f>
        <v>20</v>
      </c>
      <c r="U22" s="1256"/>
    </row>
    <row r="23" spans="2:22" ht="23.85" customHeight="1">
      <c r="B23" s="1281"/>
      <c r="C23" s="1282"/>
      <c r="D23" s="383" t="str">
        <f>CONCATENATE("(", GPA_opt1_number_of_employees_renewal, " employees)")</f>
        <v>(30 employees)</v>
      </c>
      <c r="E23" s="384"/>
      <c r="F23" s="385"/>
      <c r="G23" s="403" t="str">
        <f>CONCATENATE("(", GPA_opt1_number_of_employees_renewal, " employees)")</f>
        <v>(30 employees)</v>
      </c>
      <c r="H23" s="387"/>
      <c r="I23" s="385"/>
      <c r="J23" s="401" t="str">
        <f>CONCATENATE("(", GPA_opt1_number_of_employees_renewal, " employees)")</f>
        <v>(30 employees)</v>
      </c>
      <c r="K23" s="388"/>
      <c r="L23" s="389"/>
      <c r="M23" s="390" t="str">
        <f>CONCATENATE("(", GPA_opt1_number_of_employees_expiring, " employees)")</f>
        <v>(20 employees)</v>
      </c>
      <c r="N23" s="395"/>
      <c r="P23" s="1279"/>
      <c r="Q23" s="1280"/>
      <c r="R23" s="1253"/>
      <c r="S23" s="1254"/>
      <c r="T23" s="1257"/>
      <c r="U23" s="1258"/>
    </row>
    <row r="24" spans="2:22" ht="24.6" customHeight="1">
      <c r="B24" s="1281" t="str">
        <f>Inputs!B47</f>
        <v>II. SI: 25 L</v>
      </c>
      <c r="C24" s="1282"/>
      <c r="D24" s="377" t="str">
        <f>Inputs!I47</f>
        <v>39,00,000</v>
      </c>
      <c r="E24" s="381" t="e">
        <f>D24/GPA_opt2_number_of_employees_renewal</f>
        <v>#VALUE!</v>
      </c>
      <c r="F24" s="200"/>
      <c r="G24" s="378" t="str">
        <f>Inputs!J47</f>
        <v>30,00,000</v>
      </c>
      <c r="H24" s="382" t="e">
        <f>G24/GPA_opt2_number_of_employees_renewal</f>
        <v>#VALUE!</v>
      </c>
      <c r="I24" s="200"/>
      <c r="J24" s="379" t="str">
        <f>Inputs!K47</f>
        <v>30,00,000</v>
      </c>
      <c r="K24" s="370" t="e">
        <f>J24/GPA_opt2_number_of_employees_renewal</f>
        <v>#VALUE!</v>
      </c>
      <c r="L24" s="223"/>
      <c r="M24" s="380" t="s">
        <v>82</v>
      </c>
      <c r="N24" s="372" t="s">
        <v>82</v>
      </c>
      <c r="P24" s="1277" t="str">
        <f>Inputs!B47</f>
        <v>II. SI: 25 L</v>
      </c>
      <c r="Q24" s="1278"/>
      <c r="R24" s="1255">
        <f>Inputs!D47</f>
        <v>30</v>
      </c>
      <c r="S24" s="1256"/>
      <c r="T24" s="1243" t="s">
        <v>82</v>
      </c>
      <c r="U24" s="1244"/>
    </row>
    <row r="25" spans="2:22" ht="23.85" customHeight="1" thickBot="1">
      <c r="B25" s="1281"/>
      <c r="C25" s="1282"/>
      <c r="D25" s="396" t="str">
        <f>CONCATENATE("(", GPA_opt2_number_of_employees_renewal, " employees)")</f>
        <v>(30 employees)</v>
      </c>
      <c r="E25" s="391"/>
      <c r="F25" s="392"/>
      <c r="G25" s="404" t="str">
        <f>CONCATENATE("(", GPA_opt2_number_of_employees_renewal, " employees)")</f>
        <v>(30 employees)</v>
      </c>
      <c r="H25" s="393"/>
      <c r="I25" s="392"/>
      <c r="J25" s="402" t="str">
        <f>CONCATENATE("(", GPA_opt2_number_of_employees_renewal, " employees)")</f>
        <v>(30 employees)</v>
      </c>
      <c r="K25" s="394"/>
      <c r="L25" s="389"/>
      <c r="M25" s="414"/>
      <c r="N25" s="416"/>
      <c r="P25" s="1279"/>
      <c r="Q25" s="1280"/>
      <c r="R25" s="1257"/>
      <c r="S25" s="1258"/>
      <c r="T25" s="1245"/>
      <c r="U25" s="1246"/>
    </row>
    <row r="28" spans="2:22" ht="23.4" thickBot="1">
      <c r="D28" s="1276" t="s">
        <v>35</v>
      </c>
      <c r="E28" s="1276"/>
      <c r="F28" s="1276"/>
      <c r="G28" s="1276"/>
      <c r="H28" s="1276"/>
      <c r="I28" s="1276"/>
      <c r="J28" s="1276"/>
      <c r="K28" s="1276"/>
      <c r="L28" s="1276"/>
      <c r="M28" s="1276"/>
      <c r="N28" s="1276"/>
    </row>
    <row r="29" spans="2:22" ht="23.1" customHeight="1" thickBot="1">
      <c r="B29" s="200"/>
      <c r="C29" s="200"/>
      <c r="D29" s="1263" t="s">
        <v>2</v>
      </c>
      <c r="E29" s="1264"/>
      <c r="F29" s="1264"/>
      <c r="G29" s="1264"/>
      <c r="H29" s="1264"/>
      <c r="I29" s="1264"/>
      <c r="J29" s="1264"/>
      <c r="K29" s="1265"/>
      <c r="L29" s="230"/>
      <c r="M29" s="1266" t="s">
        <v>3</v>
      </c>
      <c r="N29" s="1267"/>
      <c r="R29" s="218"/>
      <c r="S29" s="218"/>
      <c r="T29" s="218"/>
      <c r="U29" s="218"/>
      <c r="V29" s="218"/>
    </row>
    <row r="30" spans="2:22" ht="41.1" customHeight="1">
      <c r="B30" s="1283"/>
      <c r="C30" s="1283"/>
      <c r="D30" s="1284" t="str">
        <f>Inputs!I57</f>
        <v>CALI (Exclusive)</v>
      </c>
      <c r="E30" s="1285"/>
      <c r="F30" s="203"/>
      <c r="G30" s="1286" t="str">
        <f>Inputs!J57</f>
        <v>CALI (Exclusive)</v>
      </c>
      <c r="H30" s="1287"/>
      <c r="I30" s="203"/>
      <c r="J30" s="1288" t="str">
        <f>Inputs!K57</f>
        <v>HDFC Life</v>
      </c>
      <c r="K30" s="1289"/>
      <c r="L30" s="231"/>
      <c r="M30" s="1290" t="str">
        <f>Inputs!L57</f>
        <v>Pramerica Life</v>
      </c>
      <c r="N30" s="1291"/>
      <c r="P30" s="1219" t="s">
        <v>74</v>
      </c>
      <c r="Q30" s="1220"/>
      <c r="R30" s="1240" t="s">
        <v>7</v>
      </c>
      <c r="S30" s="1240"/>
      <c r="T30" s="1241" t="s">
        <v>10</v>
      </c>
      <c r="U30" s="1241"/>
    </row>
    <row r="31" spans="2:22" ht="32.1" customHeight="1">
      <c r="B31" s="1283"/>
      <c r="C31" s="1283"/>
      <c r="D31" s="349" t="s">
        <v>75</v>
      </c>
      <c r="E31" s="346" t="s">
        <v>114</v>
      </c>
      <c r="F31" s="217"/>
      <c r="G31" s="347" t="s">
        <v>75</v>
      </c>
      <c r="H31" s="347" t="s">
        <v>114</v>
      </c>
      <c r="I31" s="217"/>
      <c r="J31" s="348" t="s">
        <v>75</v>
      </c>
      <c r="K31" s="350" t="s">
        <v>114</v>
      </c>
      <c r="L31" s="217"/>
      <c r="M31" s="353" t="s">
        <v>75</v>
      </c>
      <c r="N31" s="354" t="s">
        <v>114</v>
      </c>
      <c r="P31" s="1223"/>
      <c r="Q31" s="1239"/>
      <c r="R31" s="1240"/>
      <c r="S31" s="1240"/>
      <c r="T31" s="1241"/>
      <c r="U31" s="1241"/>
    </row>
    <row r="32" spans="2:22" ht="25.35" customHeight="1">
      <c r="B32" s="1292" t="str">
        <f>Inputs!B59</f>
        <v>I. Expiring Terms 
(SI: 10 L)</v>
      </c>
      <c r="C32" s="1293"/>
      <c r="D32" s="377" t="str">
        <f>Inputs!I59</f>
        <v>25,00,000</v>
      </c>
      <c r="E32" s="405" t="e">
        <f>D32/GTLI_opt1_number_of_employees_renewal</f>
        <v>#VALUE!</v>
      </c>
      <c r="F32" s="406"/>
      <c r="G32" s="378" t="str">
        <f>Inputs!J59</f>
        <v>20,00,000</v>
      </c>
      <c r="H32" s="407" t="e">
        <f>G32/GTLI_opt1_number_of_employees_renewal</f>
        <v>#VALUE!</v>
      </c>
      <c r="I32" s="406"/>
      <c r="J32" s="379" t="str">
        <f>Inputs!K59</f>
        <v>20,00,000</v>
      </c>
      <c r="K32" s="408" t="e">
        <f>J32/GTLI_opt1_number_of_employees_renewal</f>
        <v>#VALUE!</v>
      </c>
      <c r="L32" s="406"/>
      <c r="M32" s="380" t="str">
        <f>Inputs!L59</f>
        <v>20,00,000</v>
      </c>
      <c r="N32" s="409" t="e">
        <f>M32/GTLI_number_of_employees_expiring</f>
        <v>#VALUE!</v>
      </c>
      <c r="O32" s="224"/>
      <c r="P32" s="1277" t="str">
        <f>B32</f>
        <v>I. Expiring Terms 
(SI: 10 L)</v>
      </c>
      <c r="Q32" s="1278"/>
      <c r="R32" s="1251">
        <f>Inputs!D59</f>
        <v>300</v>
      </c>
      <c r="S32" s="1252"/>
      <c r="T32" s="1255">
        <f>Inputs!F59</f>
        <v>150</v>
      </c>
      <c r="U32" s="1256"/>
    </row>
    <row r="33" spans="2:22" ht="23.85" customHeight="1">
      <c r="B33" s="1292"/>
      <c r="C33" s="1293"/>
      <c r="D33" s="383" t="str">
        <f>CONCATENATE("(", GTLI_opt1_number_of_employees_renewal, " employees)")</f>
        <v>(300 employees)</v>
      </c>
      <c r="E33" s="405"/>
      <c r="F33" s="406"/>
      <c r="G33" s="386" t="str">
        <f>CONCATENATE("(", GTLI_opt1_number_of_employees_renewal, " employees)")</f>
        <v>(300 employees)</v>
      </c>
      <c r="H33" s="407"/>
      <c r="I33" s="406"/>
      <c r="J33" s="401" t="str">
        <f>CONCATENATE("(", GTLI_opt1_number_of_employees_renewal, " employees)")</f>
        <v>(300 employees)</v>
      </c>
      <c r="K33" s="408"/>
      <c r="L33" s="406"/>
      <c r="M33" s="390" t="str" cm="1">
        <f t="array" ref="M33">CONCATENATE("(", GTLI_number_of_employees_expiring, " employees)")</f>
        <v>(150 employees)</v>
      </c>
      <c r="N33" s="409"/>
      <c r="O33" s="224"/>
      <c r="P33" s="1279"/>
      <c r="Q33" s="1280"/>
      <c r="R33" s="1253"/>
      <c r="S33" s="1254"/>
      <c r="T33" s="1257"/>
      <c r="U33" s="1258"/>
    </row>
    <row r="34" spans="2:22" ht="25.35" customHeight="1">
      <c r="B34" s="1292" t="str">
        <f>Inputs!B61</f>
        <v>II. SI: 25 L</v>
      </c>
      <c r="C34" s="1293"/>
      <c r="D34" s="377" t="str">
        <f>Inputs!I61</f>
        <v>35,00,000</v>
      </c>
      <c r="E34" s="405" t="e">
        <f>D34/GTLI_opt2_number_of_employees_renewal</f>
        <v>#VALUE!</v>
      </c>
      <c r="F34" s="406"/>
      <c r="G34" s="378" t="str">
        <f>Inputs!J61</f>
        <v>30,00,000</v>
      </c>
      <c r="H34" s="407" t="e">
        <f>G34/GTLI_opt2_number_of_employees_renewal</f>
        <v>#VALUE!</v>
      </c>
      <c r="I34" s="406"/>
      <c r="J34" s="379" t="str">
        <f>Inputs!K61</f>
        <v>30,00,000</v>
      </c>
      <c r="K34" s="408" t="e">
        <f>J34/GTLI_opt2_number_of_employees_renewal</f>
        <v>#VALUE!</v>
      </c>
      <c r="L34" s="406"/>
      <c r="M34" s="380" t="s">
        <v>82</v>
      </c>
      <c r="N34" s="372" t="s">
        <v>82</v>
      </c>
      <c r="O34" s="224"/>
      <c r="P34" s="1277" t="str">
        <f>B34</f>
        <v>II. SI: 25 L</v>
      </c>
      <c r="Q34" s="1278"/>
      <c r="R34" s="1255">
        <f>Inputs!D61</f>
        <v>300</v>
      </c>
      <c r="S34" s="1256"/>
      <c r="T34" s="1243" t="s">
        <v>82</v>
      </c>
      <c r="U34" s="1244"/>
    </row>
    <row r="35" spans="2:22" ht="23.85" customHeight="1" thickBot="1">
      <c r="B35" s="1292"/>
      <c r="C35" s="1293"/>
      <c r="D35" s="396" t="str">
        <f>CONCATENATE("(", GTLI_opt1_number_of_employees_renewal, " employees)")</f>
        <v>(300 employees)</v>
      </c>
      <c r="E35" s="410"/>
      <c r="F35" s="411"/>
      <c r="G35" s="404" t="str">
        <f>CONCATENATE("(", GTLI_opt2_number_of_employees_renewal, " employees)")</f>
        <v>(300 employees)</v>
      </c>
      <c r="H35" s="412"/>
      <c r="I35" s="411"/>
      <c r="J35" s="402" t="str">
        <f>CONCATENATE("(", GTLI_opt2_number_of_employees_renewal, " employees)")</f>
        <v>(300 employees)</v>
      </c>
      <c r="K35" s="413"/>
      <c r="L35" s="406"/>
      <c r="M35" s="414"/>
      <c r="N35" s="415"/>
      <c r="O35" s="224"/>
      <c r="P35" s="1279"/>
      <c r="Q35" s="1280"/>
      <c r="R35" s="1257"/>
      <c r="S35" s="1258"/>
      <c r="T35" s="1245"/>
      <c r="U35" s="1246"/>
    </row>
    <row r="36" spans="2:22" ht="14.85" customHeight="1">
      <c r="B36" s="106"/>
      <c r="C36" s="106"/>
      <c r="D36" s="257"/>
      <c r="E36" s="257"/>
      <c r="F36" s="257"/>
      <c r="G36" s="257"/>
      <c r="H36" s="257"/>
      <c r="I36" s="257"/>
      <c r="J36" s="257"/>
      <c r="K36" s="257"/>
      <c r="L36" s="257"/>
      <c r="M36" s="257"/>
      <c r="N36" s="257"/>
      <c r="O36" s="224"/>
      <c r="P36" s="224"/>
      <c r="Q36" s="224"/>
    </row>
    <row r="40" spans="2:22">
      <c r="C40" s="220"/>
      <c r="E40" s="220"/>
      <c r="F40" s="220"/>
      <c r="G40" s="220"/>
    </row>
    <row r="41" spans="2:22">
      <c r="C41" s="205"/>
      <c r="D41" s="205"/>
      <c r="E41" s="205"/>
      <c r="F41" s="205"/>
      <c r="G41" s="205"/>
    </row>
    <row r="45" spans="2:22" ht="15.6">
      <c r="B45" s="221"/>
      <c r="C45" s="222"/>
      <c r="D45" s="209"/>
      <c r="E45" s="209"/>
      <c r="F45" s="209"/>
      <c r="G45" s="209"/>
      <c r="H45" s="209"/>
      <c r="I45" s="209"/>
      <c r="J45" s="209"/>
      <c r="K45" s="209"/>
      <c r="L45" s="209"/>
      <c r="M45" s="209"/>
      <c r="N45" s="209"/>
      <c r="O45" s="209"/>
      <c r="P45" s="209"/>
      <c r="Q45" s="209"/>
      <c r="R45" s="209"/>
      <c r="S45" s="206"/>
      <c r="T45" s="209"/>
      <c r="U45" s="206"/>
      <c r="V45" s="209"/>
    </row>
    <row r="46" spans="2:22" ht="15.6">
      <c r="B46" s="221"/>
      <c r="C46" s="207"/>
      <c r="D46" s="207"/>
      <c r="E46" s="207"/>
      <c r="F46" s="207"/>
      <c r="G46" s="207"/>
      <c r="H46" s="207"/>
      <c r="I46" s="207"/>
      <c r="J46" s="207"/>
      <c r="K46" s="207"/>
      <c r="L46" s="207"/>
      <c r="M46" s="207"/>
      <c r="N46" s="207"/>
      <c r="O46" s="207"/>
      <c r="P46" s="207"/>
      <c r="Q46" s="207"/>
      <c r="R46" s="207"/>
      <c r="S46" s="207"/>
      <c r="T46" s="207"/>
      <c r="U46" s="207"/>
      <c r="V46" s="207"/>
    </row>
    <row r="47" spans="2:22" ht="15.6">
      <c r="B47" s="221"/>
      <c r="C47" s="207"/>
      <c r="D47" s="207"/>
      <c r="E47" s="207"/>
      <c r="F47" s="207"/>
      <c r="G47" s="207"/>
      <c r="H47" s="207"/>
      <c r="I47" s="207"/>
      <c r="J47" s="207"/>
      <c r="K47" s="207"/>
      <c r="L47" s="207"/>
      <c r="M47" s="207"/>
      <c r="N47" s="207"/>
      <c r="O47" s="207"/>
      <c r="P47" s="207"/>
      <c r="Q47" s="207"/>
      <c r="R47" s="207"/>
      <c r="S47" s="207"/>
      <c r="T47" s="207"/>
      <c r="U47" s="207"/>
      <c r="V47" s="207"/>
    </row>
    <row r="48" spans="2:22" ht="15.6">
      <c r="B48" s="221"/>
    </row>
    <row r="49" spans="2:2" ht="15.6">
      <c r="B49" s="221"/>
    </row>
  </sheetData>
  <mergeCells count="75">
    <mergeCell ref="B34:C35"/>
    <mergeCell ref="B32:C33"/>
    <mergeCell ref="P34:Q35"/>
    <mergeCell ref="R34:S35"/>
    <mergeCell ref="T34:U35"/>
    <mergeCell ref="P32:Q33"/>
    <mergeCell ref="R32:S33"/>
    <mergeCell ref="T32:U33"/>
    <mergeCell ref="P24:Q25"/>
    <mergeCell ref="R24:S25"/>
    <mergeCell ref="T24:U25"/>
    <mergeCell ref="P30:Q31"/>
    <mergeCell ref="R30:S31"/>
    <mergeCell ref="T30:U31"/>
    <mergeCell ref="P22:Q23"/>
    <mergeCell ref="T22:U23"/>
    <mergeCell ref="T20:U21"/>
    <mergeCell ref="R22:S23"/>
    <mergeCell ref="R20:S21"/>
    <mergeCell ref="P20:Q21"/>
    <mergeCell ref="U6:U7"/>
    <mergeCell ref="T6:T7"/>
    <mergeCell ref="T8:U15"/>
    <mergeCell ref="B6:C7"/>
    <mergeCell ref="B14:C15"/>
    <mergeCell ref="B12:C13"/>
    <mergeCell ref="B10:C11"/>
    <mergeCell ref="B8:C9"/>
    <mergeCell ref="S14:S15"/>
    <mergeCell ref="S12:S13"/>
    <mergeCell ref="S10:S11"/>
    <mergeCell ref="S8:S9"/>
    <mergeCell ref="S6:S7"/>
    <mergeCell ref="B30:C31"/>
    <mergeCell ref="D30:E30"/>
    <mergeCell ref="G30:H30"/>
    <mergeCell ref="J30:K30"/>
    <mergeCell ref="M30:N30"/>
    <mergeCell ref="D28:N28"/>
    <mergeCell ref="D29:K29"/>
    <mergeCell ref="M29:N29"/>
    <mergeCell ref="B24:C25"/>
    <mergeCell ref="B20:C21"/>
    <mergeCell ref="D20:E20"/>
    <mergeCell ref="G20:H20"/>
    <mergeCell ref="J20:K20"/>
    <mergeCell ref="B22:C23"/>
    <mergeCell ref="M20:N20"/>
    <mergeCell ref="D18:N18"/>
    <mergeCell ref="D19:K19"/>
    <mergeCell ref="M19:N19"/>
    <mergeCell ref="R4:R5"/>
    <mergeCell ref="R14:R15"/>
    <mergeCell ref="R12:R13"/>
    <mergeCell ref="R10:R11"/>
    <mergeCell ref="R8:R9"/>
    <mergeCell ref="R6:R7"/>
    <mergeCell ref="P14:Q15"/>
    <mergeCell ref="P12:Q13"/>
    <mergeCell ref="P10:Q11"/>
    <mergeCell ref="P8:Q9"/>
    <mergeCell ref="P6:Q7"/>
    <mergeCell ref="B4:C5"/>
    <mergeCell ref="D4:E4"/>
    <mergeCell ref="G4:H4"/>
    <mergeCell ref="J4:K4"/>
    <mergeCell ref="M4:N4"/>
    <mergeCell ref="D2:N2"/>
    <mergeCell ref="P2:U2"/>
    <mergeCell ref="D3:K3"/>
    <mergeCell ref="M3:N3"/>
    <mergeCell ref="S4:S5"/>
    <mergeCell ref="T4:T5"/>
    <mergeCell ref="U4:U5"/>
    <mergeCell ref="P4:Q5"/>
  </mergeCells>
  <dataValidations disablePrompts="1" count="2">
    <dataValidation type="list" allowBlank="1" showInputMessage="1" showErrorMessage="1" sqref="L12:L15" xr:uid="{B527D909-D456-406D-89E7-63EFF914D86F}">
      <formula1>$C$47:$D$47</formula1>
    </dataValidation>
    <dataValidation type="list" allowBlank="1" showInputMessage="1" showErrorMessage="1" sqref="L10:L11" xr:uid="{2C433F96-1036-4460-8A73-1F00E440FF4D}">
      <formula1>$C$46:$E$46</formula1>
    </dataValidation>
  </dataValidations>
  <pageMargins left="0.7" right="0.7" top="0.75" bottom="0.75" header="0.3" footer="0.3"/>
  <pageSetup orientation="portrait"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37889" r:id="rId4" name="GHI">
              <controlPr defaultSize="0" print="0" autoFill="0" autoPict="0" macro="[0]!ExportGHITableToPPT">
                <anchor moveWithCells="1" sizeWithCells="1">
                  <from>
                    <xdr:col>22</xdr:col>
                    <xdr:colOff>22860</xdr:colOff>
                    <xdr:row>3</xdr:row>
                    <xdr:rowOff>0</xdr:rowOff>
                  </from>
                  <to>
                    <xdr:col>28</xdr:col>
                    <xdr:colOff>403860</xdr:colOff>
                    <xdr:row>14</xdr:row>
                    <xdr:rowOff>251460</xdr:rowOff>
                  </to>
                </anchor>
              </controlPr>
            </control>
          </mc:Choice>
        </mc:AlternateContent>
        <mc:AlternateContent xmlns:mc="http://schemas.openxmlformats.org/markup-compatibility/2006">
          <mc:Choice Requires="x14">
            <control shapeId="37890" r:id="rId5" name="GPA">
              <controlPr defaultSize="0" print="0" autoFill="0" autoPict="0" macro="[0]!ExportGPATableToPPT">
                <anchor moveWithCells="1" sizeWithCells="1">
                  <from>
                    <xdr:col>22</xdr:col>
                    <xdr:colOff>137160</xdr:colOff>
                    <xdr:row>18</xdr:row>
                    <xdr:rowOff>236220</xdr:rowOff>
                  </from>
                  <to>
                    <xdr:col>28</xdr:col>
                    <xdr:colOff>480060</xdr:colOff>
                    <xdr:row>25</xdr:row>
                    <xdr:rowOff>22860</xdr:rowOff>
                  </to>
                </anchor>
              </controlPr>
            </control>
          </mc:Choice>
        </mc:AlternateContent>
        <mc:AlternateContent xmlns:mc="http://schemas.openxmlformats.org/markup-compatibility/2006">
          <mc:Choice Requires="x14">
            <control shapeId="37891" r:id="rId6" name="GTLI">
              <controlPr defaultSize="0" print="0" autoFill="0" autoPict="0" macro="[0]!ExportGTLITableToPPT">
                <anchor moveWithCells="1" sizeWithCells="1">
                  <from>
                    <xdr:col>22</xdr:col>
                    <xdr:colOff>137160</xdr:colOff>
                    <xdr:row>29</xdr:row>
                    <xdr:rowOff>0</xdr:rowOff>
                  </from>
                  <to>
                    <xdr:col>28</xdr:col>
                    <xdr:colOff>480060</xdr:colOff>
                    <xdr:row>35</xdr:row>
                    <xdr:rowOff>30480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1F002-3D47-4444-BFEB-239CBD509537}">
  <sheetPr codeName="Sheet1"/>
  <dimension ref="A2:Z45"/>
  <sheetViews>
    <sheetView showGridLines="0" zoomScale="61" zoomScaleNormal="60" zoomScalePageLayoutView="65" workbookViewId="0">
      <selection activeCell="Q5" sqref="Q5:Z18"/>
    </sheetView>
  </sheetViews>
  <sheetFormatPr defaultColWidth="8.5546875" defaultRowHeight="13.8"/>
  <cols>
    <col min="1" max="1" width="5" style="224" customWidth="1"/>
    <col min="2" max="2" width="28.5546875" style="224" customWidth="1"/>
    <col min="3" max="3" width="25.44140625" style="224" hidden="1" customWidth="1"/>
    <col min="4" max="4" width="33.44140625" style="258" customWidth="1"/>
    <col min="5" max="5" width="1.44140625" style="257" customWidth="1"/>
    <col min="6" max="6" width="22.5546875" style="257" customWidth="1"/>
    <col min="7" max="7" width="1.44140625" style="257" customWidth="1"/>
    <col min="8" max="8" width="22.5546875" style="257" customWidth="1"/>
    <col min="9" max="9" width="1.44140625" style="257" customWidth="1"/>
    <col min="10" max="10" width="22.5546875" style="257" customWidth="1"/>
    <col min="11" max="11" width="1.44140625" style="257" customWidth="1"/>
    <col min="12" max="12" width="22.5546875" style="257" customWidth="1"/>
    <col min="13" max="13" width="8.5546875" style="224"/>
    <col min="14" max="14" width="19.44140625" style="224" customWidth="1"/>
    <col min="15" max="15" width="55.5546875" style="224" customWidth="1"/>
    <col min="16" max="16" width="8.5546875" style="224"/>
    <col min="17" max="17" width="25.44140625" style="224" hidden="1" customWidth="1"/>
    <col min="18" max="18" width="40.44140625" style="257" hidden="1" customWidth="1"/>
    <col min="19" max="19" width="2.44140625" style="257" hidden="1" customWidth="1"/>
    <col min="20" max="20" width="33.44140625" style="257" hidden="1" customWidth="1"/>
    <col min="21" max="21" width="2.44140625" style="257" hidden="1" customWidth="1"/>
    <col min="22" max="22" width="33.44140625" style="257" hidden="1" customWidth="1"/>
    <col min="23" max="23" width="2.44140625" style="257" hidden="1" customWidth="1"/>
    <col min="24" max="24" width="33.44140625" style="257" hidden="1" customWidth="1"/>
    <col min="25" max="25" width="2.44140625" style="257" hidden="1" customWidth="1"/>
    <col min="26" max="26" width="36.5546875" style="257" hidden="1" customWidth="1"/>
    <col min="27" max="16384" width="8.5546875" style="224"/>
  </cols>
  <sheetData>
    <row r="2" spans="1:26" ht="16.5" customHeight="1"/>
    <row r="3" spans="1:26" ht="33">
      <c r="B3" s="252" t="s">
        <v>115</v>
      </c>
      <c r="D3" s="259"/>
      <c r="E3" s="224"/>
    </row>
    <row r="4" spans="1:26" ht="24.75" customHeight="1">
      <c r="D4" s="259"/>
      <c r="E4" s="224"/>
      <c r="F4" s="260"/>
      <c r="G4" s="261"/>
      <c r="H4" s="262"/>
      <c r="I4" s="261"/>
      <c r="J4" s="263"/>
      <c r="K4" s="261"/>
      <c r="L4" s="264"/>
    </row>
    <row r="5" spans="1:26" ht="19.5" customHeight="1">
      <c r="B5" s="265"/>
      <c r="C5" s="257"/>
      <c r="F5" s="1298"/>
      <c r="G5" s="1298"/>
      <c r="H5" s="1298"/>
      <c r="I5" s="1298"/>
      <c r="J5" s="1298"/>
      <c r="L5" s="329" t="s">
        <v>25</v>
      </c>
      <c r="O5" s="224" t="s">
        <v>116</v>
      </c>
      <c r="Q5" s="257"/>
      <c r="Z5" s="267" t="str">
        <f>L5</f>
        <v>Incumbent Insurer</v>
      </c>
    </row>
    <row r="6" spans="1:26" ht="29.1" customHeight="1">
      <c r="A6" s="268" t="s">
        <v>117</v>
      </c>
      <c r="B6" s="313" t="s">
        <v>118</v>
      </c>
      <c r="C6" s="313" t="str">
        <f>SUBSTITUTE(B6," ","")</f>
        <v>Features</v>
      </c>
      <c r="D6" s="313" t="s">
        <v>119</v>
      </c>
      <c r="E6" s="269"/>
      <c r="F6" s="314" t="str">
        <f>Inputs!B14</f>
        <v>Manipal Cigna Standard Rater</v>
      </c>
      <c r="G6" s="261"/>
      <c r="H6" s="457" t="str">
        <f>Inputs!C14</f>
        <v>SBI General</v>
      </c>
      <c r="I6" s="261"/>
      <c r="J6" s="270" t="str">
        <f>Inputs!D14</f>
        <v>Manipal Cigna</v>
      </c>
      <c r="K6" s="261"/>
      <c r="L6" s="315" t="str">
        <f>Inputs!E14</f>
        <v>IFFCO Tokio</v>
      </c>
      <c r="O6" s="271" t="s">
        <v>120</v>
      </c>
      <c r="Q6" s="272" t="str">
        <f>B6</f>
        <v>Features</v>
      </c>
      <c r="R6" s="273" t="str">
        <f>D6</f>
        <v>Benefits</v>
      </c>
      <c r="S6" s="256"/>
      <c r="T6" s="274" t="str">
        <f>F6</f>
        <v>Manipal Cigna Standard Rater</v>
      </c>
      <c r="U6" s="274"/>
      <c r="V6" s="274" t="str">
        <f>H6</f>
        <v>SBI General</v>
      </c>
      <c r="W6" s="274"/>
      <c r="X6" s="274" t="str">
        <f>J6</f>
        <v>Manipal Cigna</v>
      </c>
      <c r="Y6" s="274"/>
      <c r="Z6" s="274" t="str">
        <f>L6</f>
        <v>IFFCO Tokio</v>
      </c>
    </row>
    <row r="7" spans="1:26" ht="50.1" customHeight="1">
      <c r="A7" s="257"/>
      <c r="B7" s="1297" t="s">
        <v>121</v>
      </c>
      <c r="C7" s="253"/>
      <c r="D7" s="254" t="s">
        <v>122</v>
      </c>
      <c r="E7" s="269"/>
      <c r="F7" s="316" t="s">
        <v>123</v>
      </c>
      <c r="G7" s="275"/>
      <c r="H7" s="318" t="s">
        <v>123</v>
      </c>
      <c r="I7" s="275"/>
      <c r="J7" s="317" t="s">
        <v>123</v>
      </c>
      <c r="K7" s="276"/>
      <c r="L7" s="277" t="s">
        <v>123</v>
      </c>
      <c r="O7" s="278" t="s">
        <v>124</v>
      </c>
      <c r="Q7" s="1294" t="str">
        <f>B7</f>
        <v>Family Definition</v>
      </c>
      <c r="R7" s="279" t="str">
        <f>D7</f>
        <v>Plan Type</v>
      </c>
      <c r="S7" s="258"/>
      <c r="T7" s="280" t="str">
        <f>F7</f>
        <v>Employee, Spouse, and Children</v>
      </c>
      <c r="U7" s="281"/>
      <c r="V7" s="282" t="str">
        <f>H7</f>
        <v>Employee, Spouse, and Children</v>
      </c>
      <c r="W7" s="281"/>
      <c r="X7" s="283" t="str">
        <f>J7</f>
        <v>Employee, Spouse, and Children</v>
      </c>
      <c r="Y7" s="281"/>
      <c r="Z7" s="284" t="str">
        <f>L7</f>
        <v>Employee, Spouse, and Children</v>
      </c>
    </row>
    <row r="8" spans="1:26" ht="29.1" customHeight="1">
      <c r="A8" s="257"/>
      <c r="B8" s="1297"/>
      <c r="C8" s="253" t="str">
        <f>SUBSTITUTE(B7," ","")</f>
        <v>FamilyDefinition</v>
      </c>
      <c r="D8" s="255" t="s">
        <v>125</v>
      </c>
      <c r="E8" s="269"/>
      <c r="F8" s="316" t="e">
        <f>INDEX('GHI DB'!$C$4:$BS$21,MATCH('Policy &amp; Technical Features - o'!F$6,'GHI DB'!$A$4:$A$21,0),MATCH('Policy &amp; Technical Features - o'!$D8,'GHI DB'!$C$3:$BS$3,0))</f>
        <v>#N/A</v>
      </c>
      <c r="G8" s="275"/>
      <c r="H8" s="318" t="e">
        <f>INDEX('GHI DB'!$C$4:$BS$21,MATCH('Policy &amp; Technical Features - o'!H$6,'GHI DB'!$A$4:$A$21,0),MATCH('Policy &amp; Technical Features - o'!$D8,'GHI DB'!$C$3:$BS$3,0))</f>
        <v>#N/A</v>
      </c>
      <c r="I8" s="275"/>
      <c r="J8" s="317">
        <f>INDEX('GHI DB'!$C$4:$BS$21,MATCH('Policy &amp; Technical Features - o'!J$6,'GHI DB'!$A$4:$A$21,0),MATCH('Policy &amp; Technical Features - o'!$D8,'GHI DB'!$C$3:$BS$3,0))</f>
        <v>2</v>
      </c>
      <c r="K8" s="275"/>
      <c r="L8" s="285">
        <f>INDEX('GHI DB'!$C$4:$BS$21,MATCH('Policy &amp; Technical Features - o'!L$6,'GHI DB'!$A$4:$A$21,0),MATCH('Policy &amp; Technical Features - o'!$D8,'GHI DB'!$C$3:$BS$3,0))</f>
        <v>2</v>
      </c>
      <c r="O8" s="278" t="s">
        <v>123</v>
      </c>
      <c r="Q8" s="1295"/>
      <c r="R8" s="279" t="str">
        <f t="shared" ref="R8:R18" si="0">D8</f>
        <v>Children - upto 25 yrs of age</v>
      </c>
      <c r="S8" s="258"/>
      <c r="T8" s="280" t="e">
        <f t="shared" ref="T8:T18" si="1">F8</f>
        <v>#N/A</v>
      </c>
      <c r="U8" s="281"/>
      <c r="V8" s="282" t="e">
        <f t="shared" ref="V8:V18" si="2">H8</f>
        <v>#N/A</v>
      </c>
      <c r="W8" s="281"/>
      <c r="X8" s="283">
        <f t="shared" ref="X8:X18" si="3">J8</f>
        <v>2</v>
      </c>
      <c r="Y8" s="281"/>
      <c r="Z8" s="284">
        <f t="shared" ref="Z8:Z18" si="4">L8</f>
        <v>2</v>
      </c>
    </row>
    <row r="9" spans="1:26" ht="29.1" customHeight="1">
      <c r="A9" s="257"/>
      <c r="B9" s="1297"/>
      <c r="C9" s="253" t="str">
        <f>SUBSTITUTE(B7," ","")</f>
        <v>FamilyDefinition</v>
      </c>
      <c r="D9" s="254" t="s">
        <v>126</v>
      </c>
      <c r="E9" s="269"/>
      <c r="F9" s="316" t="e">
        <f>INDEX('GHI DB'!$C$4:$BS$21,MATCH('Policy &amp; Technical Features - o'!F$6,'GHI DB'!$A$4:$A$21,0),MATCH('Policy &amp; Technical Features - o'!$D9,'GHI DB'!$C$3:$BS$3,0))</f>
        <v>#N/A</v>
      </c>
      <c r="G9" s="275"/>
      <c r="H9" s="318" t="e">
        <f>INDEX('GHI DB'!$C$4:$BS$21,MATCH('Policy &amp; Technical Features - o'!H$6,'GHI DB'!$A$4:$A$21,0),MATCH('Policy &amp; Technical Features - o'!$D9,'GHI DB'!$C$3:$BS$3,0))</f>
        <v>#N/A</v>
      </c>
      <c r="I9" s="275"/>
      <c r="J9" s="317" t="str">
        <f>INDEX('GHI DB'!$C$4:$BS$21,MATCH('Policy &amp; Technical Features - o'!J$6,'GHI DB'!$A$4:$A$21,0),MATCH('Policy &amp; Technical Features - o'!$D9,'GHI DB'!$C$3:$BS$3,0))</f>
        <v xml:space="preserve">✔ </v>
      </c>
      <c r="K9" s="275"/>
      <c r="L9" s="285" t="str">
        <f>INDEX('GHI DB'!$C$4:$BS$21,MATCH('Policy &amp; Technical Features - o'!L$6,'GHI DB'!$A$4:$A$21,0),MATCH('Policy &amp; Technical Features - o'!$D9,'GHI DB'!$C$3:$BS$3,0))</f>
        <v xml:space="preserve">✔ </v>
      </c>
      <c r="M9" s="455"/>
      <c r="O9" s="278" t="s">
        <v>127</v>
      </c>
      <c r="Q9" s="1296"/>
      <c r="R9" s="279" t="str">
        <f t="shared" si="0"/>
        <v>2 Parents/PIL - upto 80 yrs of age</v>
      </c>
      <c r="S9" s="258"/>
      <c r="T9" s="280" t="e">
        <f t="shared" si="1"/>
        <v>#N/A</v>
      </c>
      <c r="U9" s="281"/>
      <c r="V9" s="282" t="e">
        <f t="shared" si="2"/>
        <v>#N/A</v>
      </c>
      <c r="W9" s="281"/>
      <c r="X9" s="283" t="str">
        <f t="shared" si="3"/>
        <v xml:space="preserve">✔ </v>
      </c>
      <c r="Y9" s="281"/>
      <c r="Z9" s="284" t="str">
        <f t="shared" si="4"/>
        <v xml:space="preserve">✔ </v>
      </c>
    </row>
    <row r="10" spans="1:26" ht="41.4">
      <c r="A10" s="257"/>
      <c r="B10" s="253" t="s">
        <v>128</v>
      </c>
      <c r="C10" s="253" t="str">
        <f>SUBSTITUTE(B10," ","")</f>
        <v>RoomRentRestriction</v>
      </c>
      <c r="D10" s="254" t="s">
        <v>129</v>
      </c>
      <c r="E10" s="269"/>
      <c r="F10" s="316" t="e">
        <f>INDEX('GHI DB'!$C$4:$BS$21,MATCH('Policy &amp; Technical Features - o'!F$6,'GHI DB'!$A$4:$A$21,0),MATCH('Policy &amp; Technical Features - o'!$D10,'GHI DB'!$C$3:$BS$3,0))</f>
        <v>#N/A</v>
      </c>
      <c r="G10" s="275"/>
      <c r="H10" s="318" t="e">
        <f>INDEX('GHI DB'!$C$4:$BS$21,MATCH('Policy &amp; Technical Features - o'!H$6,'GHI DB'!$A$4:$A$21,0),MATCH('Policy &amp; Technical Features - o'!$D10,'GHI DB'!$C$3:$BS$3,0))</f>
        <v>#N/A</v>
      </c>
      <c r="I10" s="275"/>
      <c r="J10" s="317" t="e">
        <f>INDEX('GHI DB'!$C$4:$BS$21,MATCH('Policy &amp; Technical Features - o'!J$6,'GHI DB'!$A$4:$A$21,0),MATCH('Policy &amp; Technical Features - o'!$D10,'GHI DB'!$C$3:$BS$3,0))</f>
        <v>#N/A</v>
      </c>
      <c r="K10" s="275"/>
      <c r="L10" s="285" t="e">
        <f>INDEX('GHI DB'!$C$4:$BS$21,MATCH('Policy &amp; Technical Features - o'!L$6,'GHI DB'!$A$4:$A$21,0),MATCH('Policy &amp; Technical Features - o'!$D10,'GHI DB'!$C$3:$BS$3,0))</f>
        <v>#N/A</v>
      </c>
      <c r="Q10" s="286" t="str">
        <f>B10</f>
        <v>Room Rent Restriction</v>
      </c>
      <c r="R10" s="279" t="str">
        <f t="shared" si="0"/>
        <v>Normal -Single Pvt. AC
ICU - No Capping
(per day)</v>
      </c>
      <c r="S10" s="258"/>
      <c r="T10" s="280" t="e">
        <f t="shared" si="1"/>
        <v>#N/A</v>
      </c>
      <c r="U10" s="281"/>
      <c r="V10" s="282" t="e">
        <f t="shared" si="2"/>
        <v>#N/A</v>
      </c>
      <c r="W10" s="281"/>
      <c r="X10" s="283" t="e">
        <f t="shared" si="3"/>
        <v>#N/A</v>
      </c>
      <c r="Y10" s="281"/>
      <c r="Z10" s="284" t="e">
        <f t="shared" si="4"/>
        <v>#N/A</v>
      </c>
    </row>
    <row r="11" spans="1:26" ht="29.1" customHeight="1">
      <c r="A11" s="257"/>
      <c r="B11" s="253" t="s">
        <v>130</v>
      </c>
      <c r="C11" s="253" t="str">
        <f>SUBSTITUTE(B11," ","")</f>
        <v>MaternityCover</v>
      </c>
      <c r="D11" s="254" t="s">
        <v>131</v>
      </c>
      <c r="E11" s="269"/>
      <c r="F11" s="316" t="e">
        <f>INDEX('GHI DB'!$C$4:$BS$21,MATCH('Policy &amp; Technical Features - o'!F$6,'GHI DB'!$A$4:$A$21,0),MATCH('Policy &amp; Technical Features - o'!$D11,'GHI DB'!$C$3:$BS$3,0))</f>
        <v>#N/A</v>
      </c>
      <c r="G11" s="275"/>
      <c r="H11" s="318" t="e">
        <f>INDEX('GHI DB'!$C$4:$BS$21,MATCH('Policy &amp; Technical Features - o'!H$6,'GHI DB'!$A$4:$A$21,0),MATCH('Policy &amp; Technical Features - o'!$D11,'GHI DB'!$C$3:$BS$3,0))</f>
        <v>#N/A</v>
      </c>
      <c r="I11" s="275"/>
      <c r="J11" s="317" t="str">
        <f>INDEX('GHI DB'!$C$4:$BS$21,MATCH('Policy &amp; Technical Features - o'!J$6,'GHI DB'!$A$4:$A$21,0),MATCH('Policy &amp; Technical Features - o'!$D11,'GHI DB'!$C$3:$BS$3,0))</f>
        <v xml:space="preserve">✔ </v>
      </c>
      <c r="K11" s="275"/>
      <c r="L11" s="285" t="str">
        <f>INDEX('GHI DB'!$C$4:$BS$21,MATCH('Policy &amp; Technical Features - o'!L$6,'GHI DB'!$A$4:$A$21,0),MATCH('Policy &amp; Technical Features - o'!$D11,'GHI DB'!$C$3:$BS$3,0))</f>
        <v xml:space="preserve">✔ </v>
      </c>
      <c r="Q11" s="286" t="str">
        <f>B11</f>
        <v>Maternity Cover</v>
      </c>
      <c r="R11" s="279" t="str">
        <f t="shared" si="0"/>
        <v>Normal - Rs. 50k
C Section - Rs. 50K</v>
      </c>
      <c r="S11" s="258"/>
      <c r="T11" s="280" t="e">
        <f t="shared" si="1"/>
        <v>#N/A</v>
      </c>
      <c r="U11" s="281"/>
      <c r="V11" s="282" t="e">
        <f t="shared" si="2"/>
        <v>#N/A</v>
      </c>
      <c r="W11" s="281"/>
      <c r="X11" s="283" t="str">
        <f t="shared" si="3"/>
        <v xml:space="preserve">✔ </v>
      </c>
      <c r="Y11" s="281"/>
      <c r="Z11" s="284" t="str">
        <f t="shared" si="4"/>
        <v xml:space="preserve">✔ </v>
      </c>
    </row>
    <row r="12" spans="1:26" ht="29.1" customHeight="1">
      <c r="A12" s="257"/>
      <c r="B12" s="253" t="s">
        <v>132</v>
      </c>
      <c r="C12" s="253" t="str">
        <f>SUBSTITUTE(B12," ","")</f>
        <v>CoPay</v>
      </c>
      <c r="D12" s="254" t="s">
        <v>133</v>
      </c>
      <c r="E12" s="269"/>
      <c r="F12" s="316" t="e">
        <f>INDEX('GHI DB'!$C$4:$BS$21,MATCH('Policy &amp; Technical Features - o'!F$6,'GHI DB'!$A$4:$A$21,0),MATCH('Policy &amp; Technical Features - o'!$D12,'GHI DB'!$C$3:$BS$3,0))</f>
        <v>#N/A</v>
      </c>
      <c r="G12" s="275"/>
      <c r="H12" s="318" t="e">
        <f>INDEX('GHI DB'!$C$4:$BS$21,MATCH('Policy &amp; Technical Features - o'!H$6,'GHI DB'!$A$4:$A$21,0),MATCH('Policy &amp; Technical Features - o'!$D12,'GHI DB'!$C$3:$BS$3,0))</f>
        <v>#N/A</v>
      </c>
      <c r="I12" s="275"/>
      <c r="J12" s="317" t="str">
        <f>INDEX('GHI DB'!$C$4:$BS$21,MATCH('Policy &amp; Technical Features - o'!J$6,'GHI DB'!$A$4:$A$21,0),MATCH('Policy &amp; Technical Features - o'!$D12,'GHI DB'!$C$3:$BS$3,0))</f>
        <v xml:space="preserve">✔ </v>
      </c>
      <c r="K12" s="275"/>
      <c r="L12" s="285" t="str">
        <f>INDEX('GHI DB'!$C$4:$BS$21,MATCH('Policy &amp; Technical Features - o'!L$6,'GHI DB'!$A$4:$A$21,0),MATCH('Policy &amp; Technical Features - o'!$D12,'GHI DB'!$C$3:$BS$3,0))</f>
        <v xml:space="preserve">✔ </v>
      </c>
      <c r="Q12" s="286" t="str">
        <f>B12</f>
        <v>Co Pay</v>
      </c>
      <c r="R12" s="279" t="str">
        <f t="shared" si="0"/>
        <v>0% Co-Pay</v>
      </c>
      <c r="S12" s="258"/>
      <c r="T12" s="280" t="e">
        <f t="shared" si="1"/>
        <v>#N/A</v>
      </c>
      <c r="U12" s="281"/>
      <c r="V12" s="282" t="e">
        <f t="shared" si="2"/>
        <v>#N/A</v>
      </c>
      <c r="W12" s="281"/>
      <c r="X12" s="283" t="str">
        <f t="shared" si="3"/>
        <v xml:space="preserve">✔ </v>
      </c>
      <c r="Y12" s="281"/>
      <c r="Z12" s="284" t="str">
        <f t="shared" si="4"/>
        <v xml:space="preserve">✔ </v>
      </c>
    </row>
    <row r="13" spans="1:26" ht="29.1" customHeight="1">
      <c r="A13" s="257"/>
      <c r="B13" s="253" t="s">
        <v>134</v>
      </c>
      <c r="C13" s="253" t="str">
        <f t="shared" ref="C13:C18" si="5">SUBSTITUTE(B13," ","")</f>
        <v>PsychiatricIllness</v>
      </c>
      <c r="D13" s="254" t="s">
        <v>135</v>
      </c>
      <c r="E13" s="269"/>
      <c r="F13" s="316" t="e">
        <f>INDEX('GHI DB'!$C$4:$BS$21,MATCH('Policy &amp; Technical Features - o'!F$6,'GHI DB'!$A$4:$A$21,0),MATCH('Policy &amp; Technical Features - o'!$D13,'GHI DB'!$C$3:$BS$3,0))</f>
        <v>#N/A</v>
      </c>
      <c r="G13" s="275"/>
      <c r="H13" s="318" t="e">
        <f>INDEX('GHI DB'!$C$4:$BS$21,MATCH('Policy &amp; Technical Features - o'!H$6,'GHI DB'!$A$4:$A$21,0),MATCH('Policy &amp; Technical Features - o'!$D13,'GHI DB'!$C$3:$BS$3,0))</f>
        <v>#N/A</v>
      </c>
      <c r="I13" s="275"/>
      <c r="J13" s="317" t="str">
        <f>INDEX('GHI DB'!$C$4:$BS$21,MATCH('Policy &amp; Technical Features - o'!J$6,'GHI DB'!$A$4:$A$21,0),MATCH('Policy &amp; Technical Features - o'!$D13,'GHI DB'!$C$3:$BS$3,0))</f>
        <v xml:space="preserve">✔ </v>
      </c>
      <c r="K13" s="275"/>
      <c r="L13" s="285" t="str">
        <f>INDEX('GHI DB'!$C$4:$BS$21,MATCH('Policy &amp; Technical Features - o'!L$6,'GHI DB'!$A$4:$A$21,0),MATCH('Policy &amp; Technical Features - o'!$D13,'GHI DB'!$C$3:$BS$3,0))</f>
        <v xml:space="preserve">✔ </v>
      </c>
      <c r="Q13" s="286" t="str">
        <f t="shared" ref="Q13:Q18" si="6">B13</f>
        <v xml:space="preserve">Psychiatric Illness </v>
      </c>
      <c r="R13" s="279" t="str">
        <f t="shared" si="0"/>
        <v>Hospitalization &gt; 24 hours</v>
      </c>
      <c r="S13" s="258"/>
      <c r="T13" s="280" t="e">
        <f t="shared" si="1"/>
        <v>#N/A</v>
      </c>
      <c r="U13" s="281"/>
      <c r="V13" s="282" t="e">
        <f t="shared" si="2"/>
        <v>#N/A</v>
      </c>
      <c r="W13" s="281"/>
      <c r="X13" s="283" t="str">
        <f t="shared" si="3"/>
        <v xml:space="preserve">✔ </v>
      </c>
      <c r="Y13" s="281"/>
      <c r="Z13" s="284" t="str">
        <f t="shared" si="4"/>
        <v xml:space="preserve">✔ </v>
      </c>
    </row>
    <row r="14" spans="1:26" ht="29.1" customHeight="1">
      <c r="A14" s="257"/>
      <c r="B14" s="253" t="s">
        <v>136</v>
      </c>
      <c r="C14" s="253" t="str">
        <f t="shared" si="5"/>
        <v>PreandPostHospitalizationCoverage</v>
      </c>
      <c r="D14" s="254" t="s">
        <v>137</v>
      </c>
      <c r="E14" s="269"/>
      <c r="F14" s="316" t="e">
        <f>INDEX('GHI DB'!$C$4:$BS$21,MATCH('Policy &amp; Technical Features - o'!F$6,'GHI DB'!$A$4:$A$21,0),MATCH('Policy &amp; Technical Features - o'!$D14,'GHI DB'!$C$3:$BS$3,0))</f>
        <v>#N/A</v>
      </c>
      <c r="G14" s="275"/>
      <c r="H14" s="318" t="e">
        <f>INDEX('GHI DB'!$C$4:$BS$21,MATCH('Policy &amp; Technical Features - o'!H$6,'GHI DB'!$A$4:$A$21,0),MATCH('Policy &amp; Technical Features - o'!$D14,'GHI DB'!$C$3:$BS$3,0))</f>
        <v>#N/A</v>
      </c>
      <c r="I14" s="275"/>
      <c r="J14" s="317" t="e">
        <f>INDEX('GHI DB'!$C$4:$BS$21,MATCH('Policy &amp; Technical Features - o'!J$6,'GHI DB'!$A$4:$A$21,0),MATCH('Policy &amp; Technical Features - o'!$D14,'GHI DB'!$C$3:$BS$3,0))</f>
        <v>#N/A</v>
      </c>
      <c r="K14" s="275"/>
      <c r="L14" s="285" t="e">
        <f>INDEX('GHI DB'!$C$4:$BS$21,MATCH('Policy &amp; Technical Features - o'!L$6,'GHI DB'!$A$4:$A$21,0),MATCH('Policy &amp; Technical Features - o'!$D14,'GHI DB'!$C$3:$BS$3,0))</f>
        <v>#N/A</v>
      </c>
      <c r="Q14" s="286" t="str">
        <f t="shared" si="6"/>
        <v>Pre and Post Hospitalization Coverage</v>
      </c>
      <c r="R14" s="279" t="str">
        <f t="shared" si="0"/>
        <v>30/60 days
(For in-patient Hospitalization)</v>
      </c>
      <c r="S14" s="258"/>
      <c r="T14" s="280" t="e">
        <f t="shared" si="1"/>
        <v>#N/A</v>
      </c>
      <c r="U14" s="281"/>
      <c r="V14" s="282" t="e">
        <f t="shared" si="2"/>
        <v>#N/A</v>
      </c>
      <c r="W14" s="281"/>
      <c r="X14" s="283" t="e">
        <f t="shared" si="3"/>
        <v>#N/A</v>
      </c>
      <c r="Y14" s="281"/>
      <c r="Z14" s="284" t="e">
        <f t="shared" si="4"/>
        <v>#N/A</v>
      </c>
    </row>
    <row r="15" spans="1:26" ht="29.1" customHeight="1">
      <c r="A15" s="257"/>
      <c r="B15" s="253" t="s">
        <v>138</v>
      </c>
      <c r="C15" s="253" t="str">
        <f t="shared" si="5"/>
        <v>MidtermAdditionofDependents</v>
      </c>
      <c r="D15" s="254" t="s">
        <v>139</v>
      </c>
      <c r="E15" s="269"/>
      <c r="F15" s="316" t="e">
        <f>INDEX('GHI DB'!$C$4:$BS$21,MATCH('Policy &amp; Technical Features - o'!F$6,'GHI DB'!$A$4:$A$21,0),MATCH('Policy &amp; Technical Features - o'!$D15,'GHI DB'!$C$3:$BS$3,0))</f>
        <v>#N/A</v>
      </c>
      <c r="G15" s="275"/>
      <c r="H15" s="318" t="e">
        <f>INDEX('GHI DB'!$C$4:$BS$21,MATCH('Policy &amp; Technical Features - o'!H$6,'GHI DB'!$A$4:$A$21,0),MATCH('Policy &amp; Technical Features - o'!$D15,'GHI DB'!$C$3:$BS$3,0))</f>
        <v>#N/A</v>
      </c>
      <c r="I15" s="275"/>
      <c r="J15" s="317" t="str">
        <f>INDEX('GHI DB'!$C$4:$BS$21,MATCH('Policy &amp; Technical Features - o'!J$6,'GHI DB'!$A$4:$A$21,0),MATCH('Policy &amp; Technical Features - o'!$D15,'GHI DB'!$C$3:$BS$3,0))</f>
        <v>Not Covered</v>
      </c>
      <c r="K15" s="275"/>
      <c r="L15" s="285" t="str">
        <f>INDEX('GHI DB'!$C$4:$BS$21,MATCH('Policy &amp; Technical Features - o'!L$6,'GHI DB'!$A$4:$A$21,0),MATCH('Policy &amp; Technical Features - o'!$D15,'GHI DB'!$C$3:$BS$3,0))</f>
        <v xml:space="preserve">✔ </v>
      </c>
      <c r="Q15" s="286" t="str">
        <f t="shared" si="6"/>
        <v>Mid term Addition of Dependents</v>
      </c>
      <c r="R15" s="279" t="str">
        <f t="shared" si="0"/>
        <v>Hospitallization &gt; 24 hours in 
Govt Approved Hospitals</v>
      </c>
      <c r="S15" s="258"/>
      <c r="T15" s="280" t="e">
        <f t="shared" si="1"/>
        <v>#N/A</v>
      </c>
      <c r="U15" s="281"/>
      <c r="V15" s="282" t="e">
        <f t="shared" si="2"/>
        <v>#N/A</v>
      </c>
      <c r="W15" s="281"/>
      <c r="X15" s="283" t="str">
        <f t="shared" si="3"/>
        <v>Not Covered</v>
      </c>
      <c r="Y15" s="281"/>
      <c r="Z15" s="284" t="str">
        <f t="shared" si="4"/>
        <v xml:space="preserve">✔ </v>
      </c>
    </row>
    <row r="16" spans="1:26" ht="29.1" customHeight="1">
      <c r="A16" s="257"/>
      <c r="B16" s="253" t="s">
        <v>140</v>
      </c>
      <c r="C16" s="253" t="str">
        <f t="shared" si="5"/>
        <v>EmergencyAmbulance</v>
      </c>
      <c r="D16" s="254" t="s">
        <v>141</v>
      </c>
      <c r="E16" s="269"/>
      <c r="F16" s="316" t="e">
        <f>INDEX('GHI DB'!$C$4:$BS$21,MATCH('Policy &amp; Technical Features - o'!F$6,'GHI DB'!$A$4:$A$21,0),MATCH('Policy &amp; Technical Features - o'!$D16,'GHI DB'!$C$3:$BS$3,0))</f>
        <v>#N/A</v>
      </c>
      <c r="G16" s="275"/>
      <c r="H16" s="318" t="e">
        <f>INDEX('GHI DB'!$C$4:$BS$21,MATCH('Policy &amp; Technical Features - o'!H$6,'GHI DB'!$A$4:$A$21,0),MATCH('Policy &amp; Technical Features - o'!$D16,'GHI DB'!$C$3:$BS$3,0))</f>
        <v>#N/A</v>
      </c>
      <c r="I16" s="275"/>
      <c r="J16" s="317" t="str">
        <f>INDEX('GHI DB'!$C$4:$BS$21,MATCH('Policy &amp; Technical Features - o'!J$6,'GHI DB'!$A$4:$A$21,0),MATCH('Policy &amp; Technical Features - o'!$D16,'GHI DB'!$C$3:$BS$3,0))</f>
        <v>Upto Rs. 2.5k</v>
      </c>
      <c r="K16" s="275"/>
      <c r="L16" s="285" t="str">
        <f>INDEX('GHI DB'!$C$4:$BS$21,MATCH('Policy &amp; Technical Features - o'!L$6,'GHI DB'!$A$4:$A$21,0),MATCH('Policy &amp; Technical Features - o'!$D16,'GHI DB'!$C$3:$BS$3,0))</f>
        <v>Upto Rs. 1k</v>
      </c>
      <c r="Q16" s="286" t="str">
        <f t="shared" si="6"/>
        <v xml:space="preserve">Emergency Ambulance </v>
      </c>
      <c r="R16" s="279" t="str">
        <f t="shared" si="0"/>
        <v>Coverage per event</v>
      </c>
      <c r="S16" s="258"/>
      <c r="T16" s="280" t="e">
        <f t="shared" si="1"/>
        <v>#N/A</v>
      </c>
      <c r="U16" s="281"/>
      <c r="V16" s="282" t="e">
        <f t="shared" si="2"/>
        <v>#N/A</v>
      </c>
      <c r="W16" s="281"/>
      <c r="X16" s="283" t="str">
        <f t="shared" si="3"/>
        <v>Upto Rs. 2.5k</v>
      </c>
      <c r="Y16" s="281"/>
      <c r="Z16" s="284" t="str">
        <f t="shared" si="4"/>
        <v>Upto Rs. 1k</v>
      </c>
    </row>
    <row r="17" spans="1:26" ht="29.1" customHeight="1">
      <c r="A17" s="257"/>
      <c r="B17" s="253" t="s">
        <v>140</v>
      </c>
      <c r="C17" s="253" t="str">
        <f t="shared" si="5"/>
        <v>EmergencyAmbulance</v>
      </c>
      <c r="D17" s="254" t="s">
        <v>141</v>
      </c>
      <c r="E17" s="269"/>
      <c r="F17" s="316" t="e">
        <f>INDEX('GHI DB'!$C$4:$BS$21,MATCH('Policy &amp; Technical Features - o'!F$6,'GHI DB'!$A$4:$A$21,0),MATCH('Policy &amp; Technical Features - o'!$D17,'GHI DB'!$C$3:$BS$3,0))</f>
        <v>#N/A</v>
      </c>
      <c r="G17" s="275"/>
      <c r="H17" s="318" t="e">
        <f>INDEX('GHI DB'!$C$4:$BS$21,MATCH('Policy &amp; Technical Features - o'!H$6,'GHI DB'!$A$4:$A$21,0),MATCH('Policy &amp; Technical Features - o'!$D17,'GHI DB'!$C$3:$BS$3,0))</f>
        <v>#N/A</v>
      </c>
      <c r="I17" s="275"/>
      <c r="J17" s="317" t="str">
        <f>INDEX('GHI DB'!$C$4:$BS$21,MATCH('Policy &amp; Technical Features - o'!J$6,'GHI DB'!$A$4:$A$21,0),MATCH('Policy &amp; Technical Features - o'!$D17,'GHI DB'!$C$3:$BS$3,0))</f>
        <v>Upto Rs. 2.5k</v>
      </c>
      <c r="K17" s="275"/>
      <c r="L17" s="285" t="str">
        <f>INDEX('GHI DB'!$C$4:$BS$21,MATCH('Policy &amp; Technical Features - o'!L$6,'GHI DB'!$A$4:$A$21,0),MATCH('Policy &amp; Technical Features - o'!$D17,'GHI DB'!$C$3:$BS$3,0))</f>
        <v>Upto Rs. 1k</v>
      </c>
      <c r="Q17" s="286" t="str">
        <f t="shared" si="6"/>
        <v xml:space="preserve">Emergency Ambulance </v>
      </c>
      <c r="R17" s="279" t="str">
        <f t="shared" si="0"/>
        <v>Coverage per event</v>
      </c>
      <c r="S17" s="258"/>
      <c r="T17" s="280" t="e">
        <f t="shared" si="1"/>
        <v>#N/A</v>
      </c>
      <c r="U17" s="281"/>
      <c r="V17" s="282" t="e">
        <f t="shared" si="2"/>
        <v>#N/A</v>
      </c>
      <c r="W17" s="281"/>
      <c r="X17" s="283" t="str">
        <f t="shared" si="3"/>
        <v>Upto Rs. 2.5k</v>
      </c>
      <c r="Y17" s="281"/>
      <c r="Z17" s="284" t="str">
        <f t="shared" si="4"/>
        <v>Upto Rs. 1k</v>
      </c>
    </row>
    <row r="18" spans="1:26" ht="29.1" customHeight="1">
      <c r="A18" s="257"/>
      <c r="B18" s="253" t="s">
        <v>142</v>
      </c>
      <c r="C18" s="253" t="str">
        <f t="shared" si="5"/>
        <v>InpatientHospitalization</v>
      </c>
      <c r="D18" s="254" t="s">
        <v>139</v>
      </c>
      <c r="E18" s="269"/>
      <c r="F18" s="316" t="e">
        <f>INDEX('GHI DB'!$C$4:$BS$21,MATCH('Policy &amp; Technical Features - o'!F$6,'GHI DB'!$A$4:$A$21,0),MATCH('Policy &amp; Technical Features - o'!$D18,'GHI DB'!$C$3:$BS$3,0))</f>
        <v>#N/A</v>
      </c>
      <c r="G18" s="275"/>
      <c r="H18" s="318" t="e">
        <f>INDEX('GHI DB'!$C$4:$BS$21,MATCH('Policy &amp; Technical Features - o'!H$6,'GHI DB'!$A$4:$A$21,0),MATCH('Policy &amp; Technical Features - o'!$D18,'GHI DB'!$C$3:$BS$3,0))</f>
        <v>#N/A</v>
      </c>
      <c r="I18" s="275"/>
      <c r="J18" s="317" t="str">
        <f>INDEX('GHI DB'!$C$4:$BS$21,MATCH('Policy &amp; Technical Features - o'!J$6,'GHI DB'!$A$4:$A$21,0),MATCH('Policy &amp; Technical Features - o'!$D18,'GHI DB'!$C$3:$BS$3,0))</f>
        <v>Not Covered</v>
      </c>
      <c r="K18" s="275"/>
      <c r="L18" s="285" t="str">
        <f>INDEX('GHI DB'!$C$4:$BS$21,MATCH('Policy &amp; Technical Features - o'!L$6,'GHI DB'!$A$4:$A$21,0),MATCH('Policy &amp; Technical Features - o'!$D18,'GHI DB'!$C$3:$BS$3,0))</f>
        <v xml:space="preserve">✔ </v>
      </c>
      <c r="Q18" s="286" t="str">
        <f t="shared" si="6"/>
        <v>Inpatient Hospitalization</v>
      </c>
      <c r="R18" s="279" t="str">
        <f t="shared" si="0"/>
        <v>Hospitallization &gt; 24 hours in 
Govt Approved Hospitals</v>
      </c>
      <c r="S18" s="258"/>
      <c r="T18" s="280" t="e">
        <f t="shared" si="1"/>
        <v>#N/A</v>
      </c>
      <c r="U18" s="281"/>
      <c r="V18" s="282" t="e">
        <f t="shared" si="2"/>
        <v>#N/A</v>
      </c>
      <c r="W18" s="281"/>
      <c r="X18" s="283" t="str">
        <f t="shared" si="3"/>
        <v>Not Covered</v>
      </c>
      <c r="Y18" s="281"/>
      <c r="Z18" s="284" t="str">
        <f t="shared" si="4"/>
        <v xml:space="preserve">✔ </v>
      </c>
    </row>
    <row r="19" spans="1:26">
      <c r="D19" s="287"/>
      <c r="E19" s="288"/>
      <c r="F19" s="288"/>
      <c r="G19" s="288"/>
      <c r="H19" s="288"/>
      <c r="I19" s="288"/>
      <c r="J19" s="288"/>
      <c r="K19" s="288"/>
      <c r="L19" s="288"/>
    </row>
    <row r="20" spans="1:26">
      <c r="D20" s="287"/>
      <c r="E20" s="288"/>
      <c r="F20" s="288"/>
      <c r="G20" s="288"/>
      <c r="H20" s="288"/>
      <c r="I20" s="288"/>
      <c r="J20" s="288"/>
      <c r="K20" s="288"/>
      <c r="L20" s="288"/>
    </row>
    <row r="21" spans="1:26">
      <c r="D21" s="287"/>
      <c r="E21" s="288"/>
      <c r="F21" s="288"/>
      <c r="G21" s="288"/>
      <c r="H21" s="288"/>
      <c r="I21" s="288"/>
      <c r="J21" s="288"/>
      <c r="K21" s="288"/>
      <c r="L21" s="288"/>
    </row>
    <row r="24" spans="1:26" ht="33">
      <c r="B24" s="252" t="s">
        <v>143</v>
      </c>
    </row>
    <row r="25" spans="1:26" ht="14.85" customHeight="1">
      <c r="B25" s="289"/>
      <c r="C25" s="257"/>
      <c r="D25" s="289"/>
      <c r="E25" s="275"/>
      <c r="F25" s="290"/>
      <c r="G25" s="275"/>
      <c r="H25" s="291"/>
      <c r="I25" s="275"/>
      <c r="J25" s="292"/>
      <c r="K25" s="275"/>
      <c r="L25" s="293"/>
    </row>
    <row r="26" spans="1:26" ht="20.85" customHeight="1">
      <c r="B26" s="257"/>
      <c r="C26" s="257"/>
      <c r="L26" s="329" t="s">
        <v>25</v>
      </c>
      <c r="M26" s="257"/>
      <c r="Q26" s="257"/>
      <c r="Z26" s="267" t="str">
        <f t="shared" ref="Z26:Z41" si="7">L26</f>
        <v>Incumbent Insurer</v>
      </c>
    </row>
    <row r="27" spans="1:26" ht="28.35" customHeight="1">
      <c r="A27" s="294" t="s">
        <v>117</v>
      </c>
      <c r="B27" s="319" t="s">
        <v>118</v>
      </c>
      <c r="C27" s="328"/>
      <c r="D27" s="319" t="s">
        <v>144</v>
      </c>
      <c r="E27" s="275"/>
      <c r="F27" s="314" t="str">
        <f>Inputs!B14</f>
        <v>Manipal Cigna Standard Rater</v>
      </c>
      <c r="G27" s="275"/>
      <c r="H27" s="456" t="str">
        <f>Inputs!C14</f>
        <v>SBI General</v>
      </c>
      <c r="I27" s="275"/>
      <c r="J27" s="270" t="str">
        <f>Inputs!D14</f>
        <v>Manipal Cigna</v>
      </c>
      <c r="K27" s="275"/>
      <c r="L27" s="315" t="str">
        <f>Inputs!E14</f>
        <v>IFFCO Tokio</v>
      </c>
      <c r="M27" s="257"/>
      <c r="Q27" s="272" t="str">
        <f>B27</f>
        <v>Features</v>
      </c>
      <c r="R27" s="273" t="str">
        <f t="shared" ref="R27:R41" si="8">D27</f>
        <v>Parameter</v>
      </c>
      <c r="S27" s="256"/>
      <c r="T27" s="274" t="str">
        <f>F27</f>
        <v>Manipal Cigna Standard Rater</v>
      </c>
      <c r="U27" s="274"/>
      <c r="V27" s="274" t="str">
        <f>H27</f>
        <v>SBI General</v>
      </c>
      <c r="W27" s="274"/>
      <c r="X27" s="274" t="str">
        <f>J27</f>
        <v>Manipal Cigna</v>
      </c>
      <c r="Y27" s="274"/>
      <c r="Z27" s="274" t="str">
        <f t="shared" si="7"/>
        <v>IFFCO Tokio</v>
      </c>
    </row>
    <row r="28" spans="1:26" ht="27" customHeight="1">
      <c r="A28" s="257"/>
      <c r="B28" s="286" t="s">
        <v>145</v>
      </c>
      <c r="C28" s="1300" t="s">
        <v>145</v>
      </c>
      <c r="D28" s="253" t="s">
        <v>146</v>
      </c>
      <c r="E28" s="275"/>
      <c r="F28" s="316" t="e">
        <f>INDEX('Technical DB (Health)'!$C$3:$Q$20,MATCH(F$27,'Technical DB (Health)'!$A$3:$A$20,0),MATCH($D28,'Technical DB (Health)'!$C$2:$Q$2,0))</f>
        <v>#N/A</v>
      </c>
      <c r="G28" s="275"/>
      <c r="H28" s="318" t="e">
        <f>INDEX('Technical DB (Health)'!$C$3:$Q$20,MATCH(H$27,'Technical DB (Health)'!$A$3:$A$20,0),MATCH($D28,'Technical DB (Health)'!$C$2:$Q$2,0))</f>
        <v>#N/A</v>
      </c>
      <c r="I28" s="275"/>
      <c r="J28" s="317" t="str">
        <f>INDEX('Technical DB (Health)'!$C$3:$Q$20,MATCH(J$27,'Technical DB (Health)'!$A$3:$A$20,0),MATCH($D28,'Technical DB (Health)'!$C$2:$Q$2,0))</f>
        <v>2014</v>
      </c>
      <c r="K28" s="275"/>
      <c r="L28" s="299" t="str">
        <f>INDEX('Technical DB (Health)'!$C$3:$Q$20,MATCH(L$27,'Technical DB (Health)'!$A$3:$A$20,0),MATCH($D28,'Technical DB (Health)'!$C$2:$Q$2,0))</f>
        <v>2000</v>
      </c>
      <c r="M28" s="257"/>
      <c r="Q28" s="1299" t="str">
        <f>B28</f>
        <v>Background and Credibility</v>
      </c>
      <c r="R28" s="279" t="str">
        <f t="shared" si="8"/>
        <v>Founding Year</v>
      </c>
      <c r="S28" s="258"/>
      <c r="T28" s="280" t="e">
        <f t="shared" ref="T28:T41" si="9">F28</f>
        <v>#N/A</v>
      </c>
      <c r="U28" s="281"/>
      <c r="V28" s="282" t="e">
        <f t="shared" ref="V28:V41" si="10">H28</f>
        <v>#N/A</v>
      </c>
      <c r="W28" s="281"/>
      <c r="X28" s="283" t="str">
        <f t="shared" ref="X28:X41" si="11">J28</f>
        <v>2014</v>
      </c>
      <c r="Y28" s="281"/>
      <c r="Z28" s="284" t="str">
        <f t="shared" si="7"/>
        <v>2000</v>
      </c>
    </row>
    <row r="29" spans="1:26" ht="27" customHeight="1">
      <c r="A29" s="257"/>
      <c r="B29" s="286"/>
      <c r="C29" s="1300"/>
      <c r="D29" s="253" t="s">
        <v>147</v>
      </c>
      <c r="E29" s="275"/>
      <c r="F29" s="316" t="e">
        <f>INDEX('Technical DB (Health)'!$C$3:$Q$20,MATCH(F$27,'Technical DB (Health)'!$A$3:$A$20,0),MATCH($D29,'Technical DB (Health)'!$C$2:$Q$2,0))</f>
        <v>#N/A</v>
      </c>
      <c r="G29" s="275"/>
      <c r="H29" s="318" t="e">
        <f>INDEX('Technical DB (Health)'!$C$3:$Q$20,MATCH(H$27,'Technical DB (Health)'!$A$3:$A$20,0),MATCH($D29,'Technical DB (Health)'!$C$2:$Q$2,0))</f>
        <v>#N/A</v>
      </c>
      <c r="I29" s="275"/>
      <c r="J29" s="317" t="str">
        <f>INDEX('Technical DB (Health)'!$C$3:$Q$20,MATCH(J$27,'Technical DB (Health)'!$A$3:$A$20,0),MATCH($D29,'Technical DB (Health)'!$C$2:$Q$2,0))</f>
        <v>Manipal Group, Cigna Holdings</v>
      </c>
      <c r="K29" s="275"/>
      <c r="L29" s="299" t="str">
        <f>INDEX('Technical DB (Health)'!$C$3:$Q$20,MATCH(L$27,'Technical DB (Health)'!$A$3:$A$20,0),MATCH($D29,'Technical DB (Health)'!$C$2:$Q$2,0))</f>
        <v>IFFCO India, Tokio Marine Insurance (Japan)</v>
      </c>
      <c r="M29" s="257"/>
      <c r="Q29" s="1299"/>
      <c r="R29" s="279" t="str">
        <f t="shared" si="8"/>
        <v>Backed by</v>
      </c>
      <c r="S29" s="258"/>
      <c r="T29" s="296" t="e">
        <f t="shared" si="9"/>
        <v>#N/A</v>
      </c>
      <c r="U29" s="281"/>
      <c r="V29" s="297" t="e">
        <f t="shared" si="10"/>
        <v>#N/A</v>
      </c>
      <c r="W29" s="281"/>
      <c r="X29" s="298" t="str">
        <f t="shared" si="11"/>
        <v>Manipal Group, Cigna Holdings</v>
      </c>
      <c r="Y29" s="281"/>
      <c r="Z29" s="299" t="str">
        <f t="shared" si="7"/>
        <v>IFFCO India, Tokio Marine Insurance (Japan)</v>
      </c>
    </row>
    <row r="30" spans="1:26" ht="27" customHeight="1">
      <c r="A30" s="257"/>
      <c r="B30" s="1297" t="s">
        <v>148</v>
      </c>
      <c r="C30" s="1300" t="s">
        <v>148</v>
      </c>
      <c r="D30" s="253" t="s">
        <v>149</v>
      </c>
      <c r="E30" s="275"/>
      <c r="F30" s="484" t="e">
        <f>INDEX('Technical DB (Health)'!$C$3:$Q$20,MATCH(F$27,'Technical DB (Health)'!$A$3:$A$20,0),MATCH($D30,'Technical DB (Health)'!$C$2:$Q$2,0))</f>
        <v>#N/A</v>
      </c>
      <c r="G30" s="275"/>
      <c r="H30" s="485" t="e">
        <f>INDEX('Technical DB (Health)'!$C$3:$Q$20,MATCH(H$27,'Technical DB (Health)'!$A$3:$A$20,0),MATCH($D30,'Technical DB (Health)'!$C$2:$Q$2,0))</f>
        <v>#N/A</v>
      </c>
      <c r="I30" s="275"/>
      <c r="J30" s="486" t="e">
        <f>INDEX('Technical DB (Health)'!$C$3:$Q$20,MATCH(J$27,'Technical DB (Health)'!$A$3:$A$20,0),MATCH($D30,'Technical DB (Health)'!$C$2:$Q$2,0))</f>
        <v>#N/A</v>
      </c>
      <c r="K30" s="275"/>
      <c r="L30" s="303" t="e">
        <f>INDEX('Technical DB (Health)'!$C$3:$Q$20,MATCH(L$27,'Technical DB (Health)'!$A$3:$A$20,0),MATCH($D30,'Technical DB (Health)'!$C$2:$Q$2,0))</f>
        <v>#N/A</v>
      </c>
      <c r="M30" s="257"/>
      <c r="Q30" s="1299" t="str">
        <f>B30</f>
        <v xml:space="preserve">Market Presence	</v>
      </c>
      <c r="R30" s="279" t="str">
        <f t="shared" si="8"/>
        <v>GHI Book Size (INR Crores)</v>
      </c>
      <c r="S30" s="258"/>
      <c r="T30" s="300" t="e">
        <f t="shared" si="9"/>
        <v>#N/A</v>
      </c>
      <c r="U30" s="281"/>
      <c r="V30" s="301" t="e">
        <f t="shared" si="10"/>
        <v>#N/A</v>
      </c>
      <c r="W30" s="281"/>
      <c r="X30" s="302" t="e">
        <f t="shared" si="11"/>
        <v>#N/A</v>
      </c>
      <c r="Y30" s="281"/>
      <c r="Z30" s="303" t="e">
        <f t="shared" si="7"/>
        <v>#N/A</v>
      </c>
    </row>
    <row r="31" spans="1:26" ht="27" customHeight="1">
      <c r="A31" s="257"/>
      <c r="B31" s="1297"/>
      <c r="C31" s="1300"/>
      <c r="D31" s="253" t="s">
        <v>150</v>
      </c>
      <c r="E31" s="275"/>
      <c r="F31" s="320" t="e">
        <f>INDEX('Technical DB (Health)'!$C$3:$Q$20,MATCH(F$27,'Technical DB (Health)'!$A$3:$A$20,0),MATCH($D31,'Technical DB (Health)'!$C$2:$Q$2,0))</f>
        <v>#N/A</v>
      </c>
      <c r="G31" s="275"/>
      <c r="H31" s="322" t="e">
        <f>INDEX('Technical DB (Health)'!$C$3:$Q$20,MATCH(H$27,'Technical DB (Health)'!$A$3:$A$20,0),MATCH($D31,'Technical DB (Health)'!$C$2:$Q$2,0))</f>
        <v>#N/A</v>
      </c>
      <c r="I31" s="275"/>
      <c r="J31" s="324" t="e">
        <f>INDEX('Technical DB (Health)'!$C$3:$Q$20,MATCH(J$27,'Technical DB (Health)'!$A$3:$A$20,0),MATCH($D31,'Technical DB (Health)'!$C$2:$Q$2,0))</f>
        <v>#N/A</v>
      </c>
      <c r="K31" s="275"/>
      <c r="L31" s="326" t="e">
        <f>INDEX('Technical DB (Health)'!$C$3:$Q$20,MATCH(L$27,'Technical DB (Health)'!$A$3:$A$20,0),MATCH($D31,'Technical DB (Health)'!$C$2:$Q$2,0))</f>
        <v>#N/A</v>
      </c>
      <c r="M31" s="257"/>
      <c r="Q31" s="1299"/>
      <c r="R31" s="279" t="str">
        <f t="shared" si="8"/>
        <v>GHI Growth Rate</v>
      </c>
      <c r="S31" s="258"/>
      <c r="T31" s="304" t="e">
        <f t="shared" si="9"/>
        <v>#N/A</v>
      </c>
      <c r="U31" s="281"/>
      <c r="V31" s="305" t="e">
        <f t="shared" si="10"/>
        <v>#N/A</v>
      </c>
      <c r="W31" s="281"/>
      <c r="X31" s="306" t="e">
        <f t="shared" si="11"/>
        <v>#N/A</v>
      </c>
      <c r="Y31" s="281"/>
      <c r="Z31" s="307" t="e">
        <f t="shared" si="7"/>
        <v>#N/A</v>
      </c>
    </row>
    <row r="32" spans="1:26" ht="27" customHeight="1">
      <c r="A32" s="257"/>
      <c r="B32" s="253" t="s">
        <v>151</v>
      </c>
      <c r="C32" s="216" t="s">
        <v>151</v>
      </c>
      <c r="D32" s="253" t="s">
        <v>152</v>
      </c>
      <c r="E32" s="275"/>
      <c r="F32" s="316" t="e">
        <f>INDEX('Technical DB (Health)'!$C$3:$Q$20,MATCH(F$27,'Technical DB (Health)'!$A$3:$A$20,0),MATCH($D32,'Technical DB (Health)'!$C$2:$Q$2,0))</f>
        <v>#N/A</v>
      </c>
      <c r="G32" s="275"/>
      <c r="H32" s="318" t="e">
        <f>INDEX('Technical DB (Health)'!$C$3:$Q$20,MATCH(H$27,'Technical DB (Health)'!$A$3:$A$20,0),MATCH($D32,'Technical DB (Health)'!$C$2:$Q$2,0))</f>
        <v>#N/A</v>
      </c>
      <c r="I32" s="275"/>
      <c r="J32" s="317" t="e">
        <f>INDEX('Technical DB (Health)'!$C$3:$Q$20,MATCH(J$27,'Technical DB (Health)'!$A$3:$A$20,0),MATCH($D32,'Technical DB (Health)'!$C$2:$Q$2,0))</f>
        <v>#N/A</v>
      </c>
      <c r="K32" s="275"/>
      <c r="L32" s="299" t="e">
        <f>INDEX('Technical DB (Health)'!$C$3:$Q$20,MATCH(L$27,'Technical DB (Health)'!$A$3:$A$20,0),MATCH($D32,'Technical DB (Health)'!$C$2:$Q$2,0))</f>
        <v>#N/A</v>
      </c>
      <c r="M32" s="257"/>
      <c r="Q32" s="295" t="str">
        <f>B32</f>
        <v>Financial Health</v>
      </c>
      <c r="R32" s="279" t="str">
        <f t="shared" si="8"/>
        <v>Solvency Ratio (IRDAI recommended: &gt;1.5)</v>
      </c>
      <c r="S32" s="258"/>
      <c r="T32" s="308" t="e">
        <f t="shared" si="9"/>
        <v>#N/A</v>
      </c>
      <c r="U32" s="281"/>
      <c r="V32" s="309" t="e">
        <f>H32</f>
        <v>#N/A</v>
      </c>
      <c r="W32" s="281"/>
      <c r="X32" s="310" t="e">
        <f t="shared" si="11"/>
        <v>#N/A</v>
      </c>
      <c r="Y32" s="281"/>
      <c r="Z32" s="311" t="e">
        <f t="shared" si="7"/>
        <v>#N/A</v>
      </c>
    </row>
    <row r="33" spans="1:26" ht="27" customHeight="1">
      <c r="A33" s="257"/>
      <c r="B33" s="1297" t="s">
        <v>153</v>
      </c>
      <c r="C33" s="1300" t="s">
        <v>153</v>
      </c>
      <c r="D33" s="253" t="s">
        <v>154</v>
      </c>
      <c r="E33" s="275"/>
      <c r="F33" s="316" t="e">
        <f>INDEX('Technical DB (Health)'!$C$3:$Q$20,MATCH(F$27,'Technical DB (Health)'!$A$3:$A$20,0),MATCH($D33,'Technical DB (Health)'!$C$2:$Q$2,0))</f>
        <v>#N/A</v>
      </c>
      <c r="G33" s="275"/>
      <c r="H33" s="318" t="e">
        <f>INDEX('Technical DB (Health)'!$C$3:$Q$20,MATCH(H$27,'Technical DB (Health)'!$A$3:$A$20,0),MATCH($D33,'Technical DB (Health)'!$C$2:$Q$2,0))</f>
        <v>#N/A</v>
      </c>
      <c r="I33" s="275"/>
      <c r="J33" s="317" t="str">
        <f>INDEX('Technical DB (Health)'!$C$3:$Q$20,MATCH(J$27,'Technical DB (Health)'!$A$3:$A$20,0),MATCH($D33,'Technical DB (Health)'!$C$2:$Q$2,0))</f>
        <v>10 to 20 days</v>
      </c>
      <c r="K33" s="275"/>
      <c r="L33" s="299" t="str">
        <f>INDEX('Technical DB (Health)'!$C$3:$Q$20,MATCH(L$27,'Technical DB (Health)'!$A$3:$A$20,0),MATCH($D33,'Technical DB (Health)'!$C$2:$Q$2,0))</f>
        <v>10 to 20 days</v>
      </c>
      <c r="M33" s="257"/>
      <c r="Q33" s="1299" t="str">
        <f>B33</f>
        <v xml:space="preserve">Policy Administration	</v>
      </c>
      <c r="R33" s="279" t="str">
        <f t="shared" si="8"/>
        <v>Policy Issuance TAT</v>
      </c>
      <c r="S33" s="258"/>
      <c r="T33" s="296" t="e">
        <f t="shared" si="9"/>
        <v>#N/A</v>
      </c>
      <c r="U33" s="281"/>
      <c r="V33" s="297" t="e">
        <f t="shared" si="10"/>
        <v>#N/A</v>
      </c>
      <c r="W33" s="281"/>
      <c r="X33" s="298" t="str">
        <f t="shared" si="11"/>
        <v>10 to 20 days</v>
      </c>
      <c r="Y33" s="281"/>
      <c r="Z33" s="299" t="str">
        <f t="shared" si="7"/>
        <v>10 to 20 days</v>
      </c>
    </row>
    <row r="34" spans="1:26" ht="27" customHeight="1">
      <c r="A34" s="257"/>
      <c r="B34" s="1297"/>
      <c r="C34" s="1300"/>
      <c r="D34" s="253" t="s">
        <v>155</v>
      </c>
      <c r="E34" s="275"/>
      <c r="F34" s="316" t="e">
        <f>INDEX('Technical DB (Health)'!$C$3:$Q$20,MATCH(F$27,'Technical DB (Health)'!$A$3:$A$20,0),MATCH($D34,'Technical DB (Health)'!$C$2:$Q$2,0))</f>
        <v>#N/A</v>
      </c>
      <c r="G34" s="275"/>
      <c r="H34" s="318" t="e">
        <f>INDEX('Technical DB (Health)'!$C$3:$Q$20,MATCH(H$27,'Technical DB (Health)'!$A$3:$A$20,0),MATCH($D34,'Technical DB (Health)'!$C$2:$Q$2,0))</f>
        <v>#N/A</v>
      </c>
      <c r="I34" s="275"/>
      <c r="J34" s="317" t="str">
        <f>INDEX('Technical DB (Health)'!$C$3:$Q$20,MATCH(J$27,'Technical DB (Health)'!$A$3:$A$20,0),MATCH($D34,'Technical DB (Health)'!$C$2:$Q$2,0))</f>
        <v>3 to 5 days</v>
      </c>
      <c r="K34" s="275"/>
      <c r="L34" s="299" t="str">
        <f>INDEX('Technical DB (Health)'!$C$3:$Q$20,MATCH(L$27,'Technical DB (Health)'!$A$3:$A$20,0),MATCH($D34,'Technical DB (Health)'!$C$2:$Q$2,0))</f>
        <v>5 to 10 days</v>
      </c>
      <c r="M34" s="257"/>
      <c r="Q34" s="1299"/>
      <c r="R34" s="279" t="str">
        <f t="shared" si="8"/>
        <v>Endorsement TAT</v>
      </c>
      <c r="S34" s="258"/>
      <c r="T34" s="296" t="e">
        <f t="shared" si="9"/>
        <v>#N/A</v>
      </c>
      <c r="U34" s="281"/>
      <c r="V34" s="297" t="e">
        <f t="shared" si="10"/>
        <v>#N/A</v>
      </c>
      <c r="W34" s="281"/>
      <c r="X34" s="298" t="str">
        <f t="shared" si="11"/>
        <v>3 to 5 days</v>
      </c>
      <c r="Y34" s="281"/>
      <c r="Z34" s="299" t="str">
        <f t="shared" si="7"/>
        <v>5 to 10 days</v>
      </c>
    </row>
    <row r="35" spans="1:26" ht="27" customHeight="1">
      <c r="A35" s="257"/>
      <c r="B35" s="1297" t="s">
        <v>156</v>
      </c>
      <c r="C35" s="1300" t="s">
        <v>156</v>
      </c>
      <c r="D35" s="253" t="s">
        <v>157</v>
      </c>
      <c r="E35" s="275"/>
      <c r="F35" s="316" t="e">
        <f>INDEX('Technical DB (Health)'!$C$3:$Q$20,MATCH(F$27,'Technical DB (Health)'!$A$3:$A$20,0),MATCH($D35,'Technical DB (Health)'!$C$2:$Q$2,0))</f>
        <v>#N/A</v>
      </c>
      <c r="G35" s="275"/>
      <c r="H35" s="318" t="e">
        <f>INDEX('Technical DB (Health)'!$C$3:$Q$20,MATCH(H$27,'Technical DB (Health)'!$A$3:$A$20,0),MATCH($D35,'Technical DB (Health)'!$C$2:$Q$2,0))</f>
        <v>#N/A</v>
      </c>
      <c r="I35" s="275"/>
      <c r="J35" s="317" t="str">
        <f>INDEX('Technical DB (Health)'!$C$3:$Q$20,MATCH(J$27,'Technical DB (Health)'!$A$3:$A$20,0),MATCH($D35,'Technical DB (Health)'!$C$2:$Q$2,0))</f>
        <v>8,500+</v>
      </c>
      <c r="K35" s="275"/>
      <c r="L35" s="299" t="str">
        <f>INDEX('Technical DB (Health)'!$C$3:$Q$20,MATCH(L$27,'Technical DB (Health)'!$A$3:$A$20,0),MATCH($D35,'Technical DB (Health)'!$C$2:$Q$2,0))</f>
        <v>7,000+</v>
      </c>
      <c r="M35" s="257"/>
      <c r="Q35" s="1299" t="str">
        <f>B35</f>
        <v>Claims Summary</v>
      </c>
      <c r="R35" s="279" t="str">
        <f t="shared" si="8"/>
        <v>Cashless Network</v>
      </c>
      <c r="S35" s="258"/>
      <c r="T35" s="280" t="e">
        <f t="shared" si="9"/>
        <v>#N/A</v>
      </c>
      <c r="U35" s="281"/>
      <c r="V35" s="282" t="e">
        <f t="shared" si="10"/>
        <v>#N/A</v>
      </c>
      <c r="W35" s="281"/>
      <c r="X35" s="283" t="str">
        <f t="shared" si="11"/>
        <v>8,500+</v>
      </c>
      <c r="Y35" s="281"/>
      <c r="Z35" s="284" t="str">
        <f t="shared" si="7"/>
        <v>7,000+</v>
      </c>
    </row>
    <row r="36" spans="1:26" ht="27" customHeight="1">
      <c r="A36" s="257"/>
      <c r="B36" s="1297"/>
      <c r="C36" s="1300"/>
      <c r="D36" s="253" t="s">
        <v>158</v>
      </c>
      <c r="E36" s="275"/>
      <c r="F36" s="320" t="e">
        <f>INDEX('Technical DB (Health)'!$C$3:$Q$20,MATCH(F$27,'Technical DB (Health)'!$A$3:$A$20,0),MATCH($D36,'Technical DB (Health)'!$C$2:$Q$2,0))</f>
        <v>#N/A</v>
      </c>
      <c r="G36" s="275"/>
      <c r="H36" s="322" t="e">
        <f>INDEX('Technical DB (Health)'!$C$3:$Q$20,MATCH(H$27,'Technical DB (Health)'!$A$3:$A$20,0),MATCH($D36,'Technical DB (Health)'!$C$2:$Q$2,0))</f>
        <v>#N/A</v>
      </c>
      <c r="I36" s="275"/>
      <c r="J36" s="324">
        <f>INDEX('Technical DB (Health)'!$C$3:$Q$20,MATCH(J$27,'Technical DB (Health)'!$A$3:$A$20,0),MATCH($D36,'Technical DB (Health)'!$C$2:$Q$2,0))</f>
        <v>0.98</v>
      </c>
      <c r="K36" s="275"/>
      <c r="L36" s="326">
        <f>INDEX('Technical DB (Health)'!$C$3:$Q$20,MATCH(L$27,'Technical DB (Health)'!$A$3:$A$20,0),MATCH($D36,'Technical DB (Health)'!$C$2:$Q$2,0))</f>
        <v>0.98</v>
      </c>
      <c r="M36" s="257"/>
      <c r="Q36" s="1299"/>
      <c r="R36" s="279" t="str">
        <f t="shared" si="8"/>
        <v>Claim Settlement Ratio</v>
      </c>
      <c r="S36" s="258"/>
      <c r="T36" s="304" t="e">
        <f t="shared" si="9"/>
        <v>#N/A</v>
      </c>
      <c r="U36" s="281"/>
      <c r="V36" s="305" t="e">
        <f t="shared" si="10"/>
        <v>#N/A</v>
      </c>
      <c r="W36" s="281"/>
      <c r="X36" s="306">
        <f t="shared" si="11"/>
        <v>0.98</v>
      </c>
      <c r="Y36" s="281"/>
      <c r="Z36" s="312">
        <f t="shared" si="7"/>
        <v>0.98</v>
      </c>
    </row>
    <row r="37" spans="1:26" ht="27" customHeight="1">
      <c r="A37" s="257"/>
      <c r="B37" s="1297"/>
      <c r="C37" s="1300"/>
      <c r="D37" s="253" t="s">
        <v>159</v>
      </c>
      <c r="E37" s="275"/>
      <c r="F37" s="316" t="e">
        <f>INDEX('Technical DB (Health)'!$C$3:$Q$20,MATCH(F$27,'Technical DB (Health)'!$A$3:$A$20,0),MATCH($D37,'Technical DB (Health)'!$C$2:$Q$2,0))</f>
        <v>#N/A</v>
      </c>
      <c r="G37" s="275"/>
      <c r="H37" s="318" t="e">
        <f>INDEX('Technical DB (Health)'!$C$3:$Q$20,MATCH(H$27,'Technical DB (Health)'!$A$3:$A$20,0),MATCH($D37,'Technical DB (Health)'!$C$2:$Q$2,0))</f>
        <v>#N/A</v>
      </c>
      <c r="I37" s="275"/>
      <c r="J37" s="317" t="str">
        <f>INDEX('Technical DB (Health)'!$C$3:$Q$20,MATCH(J$27,'Technical DB (Health)'!$A$3:$A$20,0),MATCH($D37,'Technical DB (Health)'!$C$2:$Q$2,0))</f>
        <v>2 to 4 hours</v>
      </c>
      <c r="K37" s="275"/>
      <c r="L37" s="299" t="str">
        <f>INDEX('Technical DB (Health)'!$C$3:$Q$20,MATCH(L$27,'Technical DB (Health)'!$A$3:$A$20,0),MATCH($D37,'Technical DB (Health)'!$C$2:$Q$2,0))</f>
        <v>2 to 4 hours</v>
      </c>
      <c r="M37" s="257"/>
      <c r="Q37" s="1299"/>
      <c r="R37" s="279" t="str">
        <f t="shared" si="8"/>
        <v>Cashless TAT</v>
      </c>
      <c r="S37" s="258"/>
      <c r="T37" s="296" t="e">
        <f t="shared" si="9"/>
        <v>#N/A</v>
      </c>
      <c r="U37" s="281"/>
      <c r="V37" s="297" t="e">
        <f t="shared" si="10"/>
        <v>#N/A</v>
      </c>
      <c r="W37" s="281"/>
      <c r="X37" s="298" t="str">
        <f t="shared" si="11"/>
        <v>2 to 4 hours</v>
      </c>
      <c r="Y37" s="281"/>
      <c r="Z37" s="299" t="str">
        <f t="shared" si="7"/>
        <v>2 to 4 hours</v>
      </c>
    </row>
    <row r="38" spans="1:26" ht="27" customHeight="1">
      <c r="A38" s="257"/>
      <c r="B38" s="1297"/>
      <c r="C38" s="1300"/>
      <c r="D38" s="253" t="s">
        <v>160</v>
      </c>
      <c r="E38" s="275"/>
      <c r="F38" s="316" t="e">
        <f>INDEX('Technical DB (Health)'!$C$3:$Q$20,MATCH(F$27,'Technical DB (Health)'!$A$3:$A$20,0),MATCH($D38,'Technical DB (Health)'!$C$2:$Q$2,0))</f>
        <v>#N/A</v>
      </c>
      <c r="G38" s="275"/>
      <c r="H38" s="318" t="e">
        <f>INDEX('Technical DB (Health)'!$C$3:$Q$20,MATCH(H$27,'Technical DB (Health)'!$A$3:$A$20,0),MATCH($D38,'Technical DB (Health)'!$C$2:$Q$2,0))</f>
        <v>#N/A</v>
      </c>
      <c r="I38" s="275"/>
      <c r="J38" s="317" t="str">
        <f>INDEX('Technical DB (Health)'!$C$3:$Q$20,MATCH(J$27,'Technical DB (Health)'!$A$3:$A$20,0),MATCH($D38,'Technical DB (Health)'!$C$2:$Q$2,0))</f>
        <v>15 to 30 days</v>
      </c>
      <c r="K38" s="275"/>
      <c r="L38" s="299" t="str">
        <f>INDEX('Technical DB (Health)'!$C$3:$Q$20,MATCH(L$27,'Technical DB (Health)'!$A$3:$A$20,0),MATCH($D38,'Technical DB (Health)'!$C$2:$Q$2,0))</f>
        <v>15 to 30 days</v>
      </c>
      <c r="M38" s="257"/>
      <c r="N38" s="257"/>
      <c r="Q38" s="1299"/>
      <c r="R38" s="279" t="str">
        <f t="shared" si="8"/>
        <v>Reimbursement TAT</v>
      </c>
      <c r="S38" s="258"/>
      <c r="T38" s="296" t="e">
        <f t="shared" si="9"/>
        <v>#N/A</v>
      </c>
      <c r="U38" s="281"/>
      <c r="V38" s="297" t="e">
        <f t="shared" si="10"/>
        <v>#N/A</v>
      </c>
      <c r="W38" s="281"/>
      <c r="X38" s="298" t="str">
        <f t="shared" si="11"/>
        <v>15 to 30 days</v>
      </c>
      <c r="Y38" s="281"/>
      <c r="Z38" s="299" t="str">
        <f t="shared" si="7"/>
        <v>15 to 30 days</v>
      </c>
    </row>
    <row r="39" spans="1:26" ht="27" customHeight="1">
      <c r="A39" s="257"/>
      <c r="B39" s="1297"/>
      <c r="C39" s="1300"/>
      <c r="D39" s="253" t="s">
        <v>161</v>
      </c>
      <c r="E39" s="275"/>
      <c r="F39" s="321" t="e">
        <f>INDEX('Technical DB (Health)'!$C$3:$Q$20,MATCH(F$27,'Technical DB (Health)'!$A$3:$A$20,0),MATCH($D39,'Technical DB (Health)'!$C$2:$Q$2,0))</f>
        <v>#N/A</v>
      </c>
      <c r="G39" s="275"/>
      <c r="H39" s="323" t="e">
        <f>INDEX('Technical DB (Health)'!$C$3:$Q$20,MATCH(H$27,'Technical DB (Health)'!$A$3:$A$20,0),MATCH($D39,'Technical DB (Health)'!$C$2:$Q$2,0))</f>
        <v>#N/A</v>
      </c>
      <c r="I39" s="275"/>
      <c r="J39" s="325">
        <f>INDEX('Technical DB (Health)'!$C$3:$Q$20,MATCH(J$27,'Technical DB (Health)'!$A$3:$A$20,0),MATCH($D39,'Technical DB (Health)'!$C$2:$Q$2,0))</f>
        <v>0.999</v>
      </c>
      <c r="K39" s="275"/>
      <c r="L39" s="327">
        <f>INDEX('Technical DB (Health)'!$C$3:$Q$20,MATCH(L$27,'Technical DB (Health)'!$A$3:$A$20,0),MATCH($D39,'Technical DB (Health)'!$C$2:$Q$2,0))</f>
        <v>0.89890000000000003</v>
      </c>
      <c r="M39" s="257"/>
      <c r="Q39" s="1299"/>
      <c r="R39" s="279" t="str">
        <f t="shared" si="8"/>
        <v>% of claims settled in 3 months</v>
      </c>
      <c r="S39" s="258"/>
      <c r="T39" s="304" t="e">
        <f t="shared" si="9"/>
        <v>#N/A</v>
      </c>
      <c r="U39" s="281"/>
      <c r="V39" s="305" t="e">
        <f t="shared" si="10"/>
        <v>#N/A</v>
      </c>
      <c r="W39" s="281"/>
      <c r="X39" s="306">
        <f t="shared" si="11"/>
        <v>0.999</v>
      </c>
      <c r="Y39" s="281"/>
      <c r="Z39" s="307">
        <f t="shared" si="7"/>
        <v>0.89890000000000003</v>
      </c>
    </row>
    <row r="40" spans="1:26" ht="27" customHeight="1">
      <c r="A40" s="257"/>
      <c r="B40" s="1297"/>
      <c r="C40" s="1300"/>
      <c r="D40" s="253" t="s">
        <v>162</v>
      </c>
      <c r="E40" s="275"/>
      <c r="F40" s="316" t="e">
        <f>INDEX('Technical DB (Health)'!$C$3:$Q$20,MATCH(F$27,'Technical DB (Health)'!$A$3:$A$20,0),MATCH($D40,'Technical DB (Health)'!$C$2:$Q$2,0))</f>
        <v>#N/A</v>
      </c>
      <c r="G40" s="275"/>
      <c r="H40" s="318" t="e">
        <f>INDEX('Technical DB (Health)'!$C$3:$Q$20,MATCH(H$27,'Technical DB (Health)'!$A$3:$A$20,0),MATCH($D40,'Technical DB (Health)'!$C$2:$Q$2,0))</f>
        <v>#N/A</v>
      </c>
      <c r="I40" s="275"/>
      <c r="J40" s="317" t="str">
        <f>INDEX('Technical DB (Health)'!$C$3:$Q$20,MATCH(J$27,'Technical DB (Health)'!$A$3:$A$20,0),MATCH($D40,'Technical DB (Health)'!$C$2:$Q$2,0))</f>
        <v>Paperless</v>
      </c>
      <c r="K40" s="275"/>
      <c r="L40" s="299" t="str">
        <f>INDEX('Technical DB (Health)'!$C$3:$Q$20,MATCH(L$27,'Technical DB (Health)'!$A$3:$A$20,0),MATCH($D40,'Technical DB (Health)'!$C$2:$Q$2,0))</f>
        <v>Paper-based</v>
      </c>
      <c r="M40" s="257"/>
      <c r="Q40" s="1299"/>
      <c r="R40" s="279" t="str">
        <f t="shared" si="8"/>
        <v>Reimbursement Mode (Paperless/Paper)</v>
      </c>
      <c r="S40" s="258"/>
      <c r="T40" s="296" t="e">
        <f t="shared" si="9"/>
        <v>#N/A</v>
      </c>
      <c r="U40" s="281"/>
      <c r="V40" s="297" t="e">
        <f t="shared" si="10"/>
        <v>#N/A</v>
      </c>
      <c r="W40" s="281"/>
      <c r="X40" s="298" t="str">
        <f t="shared" si="11"/>
        <v>Paperless</v>
      </c>
      <c r="Y40" s="281"/>
      <c r="Z40" s="299" t="str">
        <f t="shared" si="7"/>
        <v>Paper-based</v>
      </c>
    </row>
    <row r="41" spans="1:26" s="257" customFormat="1" ht="27" customHeight="1">
      <c r="B41" s="1297"/>
      <c r="C41" s="1300"/>
      <c r="D41" s="253" t="s">
        <v>163</v>
      </c>
      <c r="E41" s="275"/>
      <c r="F41" s="316" t="e">
        <f>INDEX('Technical DB (Health)'!$C$3:$Q$20,MATCH(F$27,'Technical DB (Health)'!$A$3:$A$20,0),MATCH($D41,'Technical DB (Health)'!$C$2:$Q$2,0))</f>
        <v>#N/A</v>
      </c>
      <c r="G41" s="275"/>
      <c r="H41" s="318" t="e">
        <f>INDEX('Technical DB (Health)'!$C$3:$Q$20,MATCH(H$27,'Technical DB (Health)'!$A$3:$A$20,0),MATCH($D41,'Technical DB (Health)'!$C$2:$Q$2,0))</f>
        <v>#N/A</v>
      </c>
      <c r="I41" s="275"/>
      <c r="J41" s="317" t="str">
        <f>INDEX('Technical DB (Health)'!$C$3:$Q$20,MATCH(J$27,'Technical DB (Health)'!$A$3:$A$20,0),MATCH($D41,'Technical DB (Health)'!$C$2:$Q$2,0))</f>
        <v>In-house
External Option available</v>
      </c>
      <c r="K41" s="275"/>
      <c r="L41" s="299" t="str">
        <f>INDEX('Technical DB (Health)'!$C$3:$Q$20,MATCH(L$27,'Technical DB (Health)'!$A$3:$A$20,0),MATCH($D41,'Technical DB (Health)'!$C$2:$Q$2,0))</f>
        <v>In-house
External Option available</v>
      </c>
      <c r="Q41" s="1299"/>
      <c r="R41" s="279" t="str">
        <f t="shared" si="8"/>
        <v>TPA (in-house or External)</v>
      </c>
      <c r="S41" s="258"/>
      <c r="T41" s="296" t="e">
        <f t="shared" si="9"/>
        <v>#N/A</v>
      </c>
      <c r="U41" s="281"/>
      <c r="V41" s="297" t="e">
        <f t="shared" si="10"/>
        <v>#N/A</v>
      </c>
      <c r="W41" s="281"/>
      <c r="X41" s="298" t="str">
        <f t="shared" si="11"/>
        <v>In-house
External Option available</v>
      </c>
      <c r="Y41" s="281"/>
      <c r="Z41" s="299" t="str">
        <f t="shared" si="7"/>
        <v>In-house
External Option available</v>
      </c>
    </row>
    <row r="42" spans="1:26" s="257" customFormat="1">
      <c r="D42" s="258"/>
      <c r="T42" s="266"/>
      <c r="U42" s="266"/>
      <c r="V42" s="266"/>
      <c r="W42" s="266"/>
      <c r="X42" s="266"/>
      <c r="Y42" s="266"/>
      <c r="Z42" s="266"/>
    </row>
    <row r="44" spans="1:26">
      <c r="B44" s="204"/>
      <c r="C44" s="204"/>
      <c r="D44" s="204" t="str">
        <f>'High Level Quotes - Slide 1'!P2</f>
        <v>File Path of Proposal Deck</v>
      </c>
      <c r="E44" s="204"/>
      <c r="F44" s="204"/>
      <c r="G44" s="204"/>
    </row>
    <row r="45" spans="1:26">
      <c r="B45" s="205" t="str">
        <f>Inputs!B9</f>
        <v>C:\Users\shali\Downloads\ABCD\Healthysure Proposal Deck.pptx</v>
      </c>
      <c r="C45" s="205"/>
      <c r="D45" s="205"/>
      <c r="E45" s="205"/>
      <c r="F45" s="205"/>
      <c r="G45" s="205"/>
    </row>
  </sheetData>
  <mergeCells count="14">
    <mergeCell ref="Q7:Q9"/>
    <mergeCell ref="B7:B9"/>
    <mergeCell ref="B30:B31"/>
    <mergeCell ref="F5:J5"/>
    <mergeCell ref="Q35:Q41"/>
    <mergeCell ref="Q33:Q34"/>
    <mergeCell ref="Q30:Q31"/>
    <mergeCell ref="Q28:Q29"/>
    <mergeCell ref="B35:B41"/>
    <mergeCell ref="C28:C29"/>
    <mergeCell ref="C30:C31"/>
    <mergeCell ref="C33:C34"/>
    <mergeCell ref="C35:C41"/>
    <mergeCell ref="B33:B34"/>
  </mergeCells>
  <dataValidations count="3">
    <dataValidation type="list" allowBlank="1" showInputMessage="1" showErrorMessage="1" sqref="B10:B18 B6" xr:uid="{4618DD8A-255C-45A6-A90E-FF317B163E6D}">
      <formula1>features</formula1>
    </dataValidation>
    <dataValidation type="list" allowBlank="1" showInputMessage="1" showErrorMessage="1" sqref="A6 D8:D18" xr:uid="{B3F7E317-D735-49DA-9253-8108B12CEC89}">
      <formula1>INDIRECT($C6)</formula1>
    </dataValidation>
    <dataValidation type="list" allowBlank="1" showInputMessage="1" showErrorMessage="1" sqref="F7 H7 J7 L7" xr:uid="{0C6A92AA-D948-4C47-BE3F-52A249A1104B}">
      <formula1>$O$7:$O$9</formula1>
    </dataValidation>
  </dataValidations>
  <pageMargins left="0.7" right="0.7" top="0.75" bottom="0.75" header="0.3" footer="0.3"/>
  <pageSetup orientation="portrait"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25605" r:id="rId4" name="Technical">
              <controlPr defaultSize="0" print="0" autoFill="0" autoPict="0" macro="[0]!ExportTechnicalParametersToPPT">
                <anchor moveWithCells="1" sizeWithCells="1">
                  <from>
                    <xdr:col>14</xdr:col>
                    <xdr:colOff>106680</xdr:colOff>
                    <xdr:row>25</xdr:row>
                    <xdr:rowOff>190500</xdr:rowOff>
                  </from>
                  <to>
                    <xdr:col>15</xdr:col>
                    <xdr:colOff>22860</xdr:colOff>
                    <xdr:row>31</xdr:row>
                    <xdr:rowOff>45720</xdr:rowOff>
                  </to>
                </anchor>
              </controlPr>
            </control>
          </mc:Choice>
        </mc:AlternateContent>
        <mc:AlternateContent xmlns:mc="http://schemas.openxmlformats.org/markup-compatibility/2006">
          <mc:Choice Requires="x14">
            <control shapeId="25609" r:id="rId5" name="Policy">
              <controlPr defaultSize="0" print="0" autoFill="0" autoPict="0" macro="[0]!ExportPolicyFeaturesToPPT">
                <anchor moveWithCells="1" sizeWithCells="1">
                  <from>
                    <xdr:col>14</xdr:col>
                    <xdr:colOff>22860</xdr:colOff>
                    <xdr:row>9</xdr:row>
                    <xdr:rowOff>251460</xdr:rowOff>
                  </from>
                  <to>
                    <xdr:col>15</xdr:col>
                    <xdr:colOff>0</xdr:colOff>
                    <xdr:row>12</xdr:row>
                    <xdr:rowOff>68580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357E49EA-1CFD-475D-8F71-9E36591E48D1}">
          <x14:formula1>
            <xm:f>'Technical DB (Health)'!$A$3:$A$20</xm:f>
          </x14:formula1>
          <xm:sqref>E25 L27 J27 F27 H27</xm:sqref>
        </x14:dataValidation>
        <x14:dataValidation type="list" allowBlank="1" showInputMessage="1" showErrorMessage="1" xr:uid="{59A6E194-2FAC-4BD0-A4DA-3F57B130D60E}">
          <x14:formula1>
            <xm:f>'GHI DB'!$A$4:$A$21</xm:f>
          </x14:formula1>
          <xm:sqref>E3 L6 L4 H6 F6 J6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4852B-6CCC-4299-A793-18A8EE289AA7}">
  <sheetPr codeName="Sheet16"/>
  <dimension ref="A1:Z46"/>
  <sheetViews>
    <sheetView showGridLines="0" topLeftCell="A3" zoomScale="73" zoomScaleNormal="60" zoomScalePageLayoutView="65" workbookViewId="0">
      <selection activeCell="F27" activeCellId="1" sqref="F9 F27"/>
    </sheetView>
  </sheetViews>
  <sheetFormatPr defaultColWidth="8.5546875" defaultRowHeight="13.8"/>
  <cols>
    <col min="1" max="1" width="5" style="224" customWidth="1"/>
    <col min="2" max="2" width="28.5546875" style="224" customWidth="1"/>
    <col min="3" max="3" width="25.44140625" style="224" hidden="1" customWidth="1"/>
    <col min="4" max="4" width="33.44140625" style="258" customWidth="1"/>
    <col min="5" max="5" width="1.44140625" style="257" customWidth="1"/>
    <col min="6" max="6" width="22.5546875" style="257" customWidth="1"/>
    <col min="7" max="7" width="1.44140625" style="257" customWidth="1"/>
    <col min="8" max="8" width="22.5546875" style="257" customWidth="1"/>
    <col min="9" max="9" width="1.44140625" style="257" customWidth="1"/>
    <col min="10" max="10" width="22.5546875" style="257" customWidth="1"/>
    <col min="11" max="11" width="1.44140625" style="257" customWidth="1"/>
    <col min="12" max="12" width="22.5546875" style="257" customWidth="1"/>
    <col min="13" max="13" width="8.5546875" style="224"/>
    <col min="14" max="14" width="19.44140625" style="224" customWidth="1"/>
    <col min="15" max="15" width="55.5546875" style="224" customWidth="1"/>
    <col min="16" max="16" width="0" style="224" hidden="1" customWidth="1"/>
    <col min="17" max="17" width="25.44140625" style="224" hidden="1" customWidth="1"/>
    <col min="18" max="18" width="40.44140625" style="257" hidden="1" customWidth="1"/>
    <col min="19" max="19" width="2.44140625" style="257" hidden="1" customWidth="1"/>
    <col min="20" max="20" width="33.44140625" style="257" hidden="1" customWidth="1"/>
    <col min="21" max="21" width="2.44140625" style="257" hidden="1" customWidth="1"/>
    <col min="22" max="22" width="33.44140625" style="257" hidden="1" customWidth="1"/>
    <col min="23" max="23" width="2.44140625" style="257" hidden="1" customWidth="1"/>
    <col min="24" max="24" width="33.44140625" style="257" hidden="1" customWidth="1"/>
    <col min="25" max="25" width="2.44140625" style="257" hidden="1" customWidth="1"/>
    <col min="26" max="26" width="36.5546875" style="257" hidden="1" customWidth="1"/>
    <col min="27" max="27" width="0" style="224" hidden="1" customWidth="1"/>
    <col min="28" max="16384" width="8.5546875" style="224"/>
  </cols>
  <sheetData>
    <row r="1" spans="1:26">
      <c r="B1" s="204"/>
    </row>
    <row r="2" spans="1:26">
      <c r="B2" s="205" t="str">
        <f>Inputs!B9</f>
        <v>C:\Users\shali\Downloads\ABCD\Healthysure Proposal Deck.pptx</v>
      </c>
    </row>
    <row r="3" spans="1:26" ht="16.5" customHeight="1"/>
    <row r="4" spans="1:26" ht="33">
      <c r="B4" s="252" t="s">
        <v>115</v>
      </c>
      <c r="D4" s="259"/>
      <c r="E4" s="224"/>
    </row>
    <row r="5" spans="1:26" ht="24.75" customHeight="1">
      <c r="D5" s="259"/>
      <c r="E5" s="224"/>
      <c r="F5" s="260"/>
      <c r="G5" s="261"/>
      <c r="H5" s="262"/>
      <c r="I5" s="261"/>
      <c r="J5" s="263"/>
      <c r="K5" s="261"/>
      <c r="L5" s="264"/>
    </row>
    <row r="6" spans="1:26" ht="19.5" customHeight="1">
      <c r="B6" s="265"/>
      <c r="C6" s="257"/>
      <c r="F6" s="1298"/>
      <c r="G6" s="1298"/>
      <c r="H6" s="1298"/>
      <c r="I6" s="1298"/>
      <c r="J6" s="1298"/>
      <c r="L6" s="329" t="s">
        <v>25</v>
      </c>
      <c r="O6" s="224" t="s">
        <v>116</v>
      </c>
      <c r="Q6" s="257"/>
      <c r="Z6" s="267" t="str">
        <f>L6</f>
        <v>Incumbent Insurer</v>
      </c>
    </row>
    <row r="7" spans="1:26" ht="29.1" customHeight="1">
      <c r="A7" s="268" t="s">
        <v>117</v>
      </c>
      <c r="B7" s="313" t="s">
        <v>118</v>
      </c>
      <c r="C7" s="313" t="str">
        <f>SUBSTITUTE(B7," ","")</f>
        <v>Features</v>
      </c>
      <c r="D7" s="313" t="s">
        <v>119</v>
      </c>
      <c r="E7" s="269"/>
      <c r="F7" s="314" t="str">
        <f>Inputs!B14</f>
        <v>Manipal Cigna Standard Rater</v>
      </c>
      <c r="G7" s="261"/>
      <c r="H7" s="457" t="str">
        <f>Inputs!C14</f>
        <v>SBI General</v>
      </c>
      <c r="I7" s="261"/>
      <c r="J7" s="270" t="str">
        <f>Inputs!D14</f>
        <v>Manipal Cigna</v>
      </c>
      <c r="K7" s="261"/>
      <c r="L7" s="315" t="str">
        <f>Inputs!E14</f>
        <v>IFFCO Tokio</v>
      </c>
      <c r="O7" s="271" t="s">
        <v>120</v>
      </c>
      <c r="Q7" s="272" t="str">
        <f>B7</f>
        <v>Features</v>
      </c>
      <c r="R7" s="273" t="str">
        <f>D7</f>
        <v>Benefits</v>
      </c>
      <c r="S7" s="256"/>
      <c r="T7" s="274" t="str">
        <f>F7</f>
        <v>Manipal Cigna Standard Rater</v>
      </c>
      <c r="U7" s="274"/>
      <c r="V7" s="274" t="str">
        <f>H7</f>
        <v>SBI General</v>
      </c>
      <c r="W7" s="274"/>
      <c r="X7" s="274" t="str">
        <f>J7</f>
        <v>Manipal Cigna</v>
      </c>
      <c r="Y7" s="274"/>
      <c r="Z7" s="274" t="str">
        <f>L7</f>
        <v>IFFCO Tokio</v>
      </c>
    </row>
    <row r="8" spans="1:26" ht="50.1" customHeight="1">
      <c r="A8" s="257"/>
      <c r="B8" s="1297" t="s">
        <v>121</v>
      </c>
      <c r="C8" s="253"/>
      <c r="D8" s="254" t="s">
        <v>122</v>
      </c>
      <c r="E8" s="269"/>
      <c r="F8" s="316" t="s">
        <v>123</v>
      </c>
      <c r="G8" s="275"/>
      <c r="H8" s="318" t="s">
        <v>123</v>
      </c>
      <c r="I8" s="275"/>
      <c r="J8" s="317" t="s">
        <v>123</v>
      </c>
      <c r="K8" s="276"/>
      <c r="L8" s="277" t="s">
        <v>123</v>
      </c>
      <c r="O8" s="278" t="s">
        <v>124</v>
      </c>
      <c r="Q8" s="1294" t="str">
        <f>B8</f>
        <v>Family Definition</v>
      </c>
      <c r="R8" s="279" t="str">
        <f>D8</f>
        <v>Plan Type</v>
      </c>
      <c r="S8" s="258"/>
      <c r="T8" s="280" t="str">
        <f>F8</f>
        <v>Employee, Spouse, and Children</v>
      </c>
      <c r="U8" s="281"/>
      <c r="V8" s="282" t="str">
        <f>H8</f>
        <v>Employee, Spouse, and Children</v>
      </c>
      <c r="W8" s="281"/>
      <c r="X8" s="283" t="str">
        <f>J8</f>
        <v>Employee, Spouse, and Children</v>
      </c>
      <c r="Y8" s="281"/>
      <c r="Z8" s="284" t="str">
        <f>L8</f>
        <v>Employee, Spouse, and Children</v>
      </c>
    </row>
    <row r="9" spans="1:26" ht="29.1" customHeight="1">
      <c r="A9" s="257"/>
      <c r="B9" s="1297"/>
      <c r="C9" s="253" t="str">
        <f>SUBSTITUTE(B8," ","")</f>
        <v>FamilyDefinition</v>
      </c>
      <c r="D9" s="255" t="s">
        <v>125</v>
      </c>
      <c r="E9" s="269"/>
      <c r="F9" s="316">
        <f>VLOOKUP(D9,'GHI Features (Option 1)'!$E$15:$J$60,3,0)</f>
        <v>2</v>
      </c>
      <c r="G9" s="275"/>
      <c r="H9" s="318">
        <f>VLOOKUP(D9,'GHI Features (Option 1)'!$E$15:$J$60,4,0)</f>
        <v>4</v>
      </c>
      <c r="I9" s="275"/>
      <c r="J9" s="317">
        <f>VLOOKUP(D9,'GHI Features (Option 1)'!$E$15:$J$60,5,0)</f>
        <v>4</v>
      </c>
      <c r="K9" s="275"/>
      <c r="L9" s="285">
        <f>VLOOKUP(D9,'GHI Features (Option 1)'!$E$15:$J$60,6,0)</f>
        <v>4</v>
      </c>
      <c r="O9" s="278" t="s">
        <v>123</v>
      </c>
      <c r="Q9" s="1295"/>
      <c r="R9" s="279" t="str">
        <f t="shared" ref="R9:R19" si="0">D9</f>
        <v>Children - upto 25 yrs of age</v>
      </c>
      <c r="S9" s="258"/>
      <c r="T9" s="280">
        <f t="shared" ref="T9:T19" si="1">F9</f>
        <v>2</v>
      </c>
      <c r="U9" s="281"/>
      <c r="V9" s="282">
        <f t="shared" ref="V9:V19" si="2">H9</f>
        <v>4</v>
      </c>
      <c r="W9" s="281"/>
      <c r="X9" s="283">
        <f t="shared" ref="X9:X19" si="3">J9</f>
        <v>4</v>
      </c>
      <c r="Y9" s="281"/>
      <c r="Z9" s="284">
        <f t="shared" ref="Z9:Z19" si="4">L9</f>
        <v>4</v>
      </c>
    </row>
    <row r="10" spans="1:26" ht="29.1" customHeight="1">
      <c r="A10" s="257"/>
      <c r="B10" s="1297"/>
      <c r="C10" s="253" t="str">
        <f>SUBSTITUTE(B8," ","")</f>
        <v>FamilyDefinition</v>
      </c>
      <c r="D10" s="254" t="s">
        <v>126</v>
      </c>
      <c r="E10" s="269"/>
      <c r="F10" s="316" t="str">
        <f>VLOOKUP(D10,'GHI Features (Option 1)'!$E$15:$J$60,3,0)</f>
        <v xml:space="preserve">✔ </v>
      </c>
      <c r="G10" s="275"/>
      <c r="H10" s="318" t="str">
        <f>VLOOKUP(D10,'GHI Features (Option 1)'!$E$15:$J$60,4,0)</f>
        <v>✖</v>
      </c>
      <c r="I10" s="275"/>
      <c r="J10" s="317" t="str">
        <f>VLOOKUP(D10,'GHI Features (Option 1)'!$E$15:$J$60,5,0)</f>
        <v>✖</v>
      </c>
      <c r="K10" s="275"/>
      <c r="L10" s="285" t="str">
        <f>VLOOKUP(D10,'GHI Features (Option 1)'!$E$15:$J$60,6,0)</f>
        <v xml:space="preserve">✔ </v>
      </c>
      <c r="M10" s="455"/>
      <c r="O10" s="278" t="s">
        <v>127</v>
      </c>
      <c r="Q10" s="1296"/>
      <c r="R10" s="279" t="str">
        <f t="shared" si="0"/>
        <v>2 Parents/PIL - upto 80 yrs of age</v>
      </c>
      <c r="S10" s="258"/>
      <c r="T10" s="280" t="str">
        <f t="shared" si="1"/>
        <v xml:space="preserve">✔ </v>
      </c>
      <c r="U10" s="281"/>
      <c r="V10" s="282" t="str">
        <f t="shared" si="2"/>
        <v>✖</v>
      </c>
      <c r="W10" s="281"/>
      <c r="X10" s="283" t="str">
        <f t="shared" si="3"/>
        <v>✖</v>
      </c>
      <c r="Y10" s="281"/>
      <c r="Z10" s="284" t="str">
        <f t="shared" si="4"/>
        <v xml:space="preserve">✔ </v>
      </c>
    </row>
    <row r="11" spans="1:26" ht="27.6">
      <c r="A11" s="257"/>
      <c r="B11" s="253" t="s">
        <v>142</v>
      </c>
      <c r="C11" s="253" t="str">
        <f>SUBSTITUTE(B11," ","")</f>
        <v>InpatientHospitalization</v>
      </c>
      <c r="D11" s="254" t="str">
        <f>VLOOKUP(B11,'GHI Features (Option 1)'!$C$15:$J$60,3,0)</f>
        <v>Hospitalization &gt; 24 hours</v>
      </c>
      <c r="E11" s="269"/>
      <c r="F11" s="316" t="str">
        <f>VLOOKUP(D11,'GHI Features (Option 1)'!$E$15:$J$60,3,0)</f>
        <v xml:space="preserve">✔ </v>
      </c>
      <c r="G11" s="275"/>
      <c r="H11" s="318" t="str">
        <f>VLOOKUP(D11,'GHI Features (Option 1)'!$E$15:$J$60,4,0)</f>
        <v xml:space="preserve">✔ </v>
      </c>
      <c r="I11" s="275"/>
      <c r="J11" s="317" t="str">
        <f>VLOOKUP(D11,'GHI Features (Option 1)'!$E$15:$J$60,5,0)</f>
        <v xml:space="preserve">✔ </v>
      </c>
      <c r="K11" s="275"/>
      <c r="L11" s="285" t="str">
        <f>VLOOKUP(D11,'GHI Features (Option 1)'!$E$15:$J$60,6,0)</f>
        <v xml:space="preserve">✔ </v>
      </c>
      <c r="Q11" s="286" t="str">
        <f>B11</f>
        <v>Inpatient Hospitalization</v>
      </c>
      <c r="R11" s="279" t="str">
        <f t="shared" si="0"/>
        <v>Hospitalization &gt; 24 hours</v>
      </c>
      <c r="S11" s="258"/>
      <c r="T11" s="280" t="str">
        <f t="shared" si="1"/>
        <v xml:space="preserve">✔ </v>
      </c>
      <c r="U11" s="281"/>
      <c r="V11" s="282" t="str">
        <f t="shared" si="2"/>
        <v xml:space="preserve">✔ </v>
      </c>
      <c r="W11" s="281"/>
      <c r="X11" s="283" t="str">
        <f t="shared" si="3"/>
        <v xml:space="preserve">✔ </v>
      </c>
      <c r="Y11" s="281"/>
      <c r="Z11" s="284" t="str">
        <f t="shared" si="4"/>
        <v xml:space="preserve">✔ </v>
      </c>
    </row>
    <row r="12" spans="1:26" ht="29.1" customHeight="1">
      <c r="A12" s="257"/>
      <c r="B12" s="253" t="s">
        <v>164</v>
      </c>
      <c r="C12" s="253" t="str">
        <f>SUBSTITUTE(B12," ","")</f>
        <v>PreandPostNatalExpenses</v>
      </c>
      <c r="D12" s="254" t="str">
        <f>VLOOKUP(B12,'GHI Features (Option 1)'!$C$15:$J$60,3,0)</f>
        <v>Covered within maternity limit</v>
      </c>
      <c r="E12" s="269"/>
      <c r="F12" s="316" t="str">
        <f>VLOOKUP(D12,'GHI Features (Option 1)'!$E$15:$J$60,3,0)</f>
        <v>✖</v>
      </c>
      <c r="G12" s="275"/>
      <c r="H12" s="318" t="str">
        <f>VLOOKUP(D12,'GHI Features (Option 1)'!$E$15:$J$60,4,0)</f>
        <v>✖</v>
      </c>
      <c r="I12" s="275"/>
      <c r="J12" s="317" t="str">
        <f>VLOOKUP(D12,'GHI Features (Option 1)'!$E$15:$J$60,5,0)</f>
        <v xml:space="preserve">✔ </v>
      </c>
      <c r="K12" s="275"/>
      <c r="L12" s="285" t="str">
        <f>VLOOKUP(D12,'GHI Features (Option 1)'!$E$15:$J$60,6,0)</f>
        <v>✖</v>
      </c>
      <c r="Q12" s="286" t="str">
        <f>B12</f>
        <v>Pre and Post Natal Expenses</v>
      </c>
      <c r="R12" s="279" t="str">
        <f t="shared" si="0"/>
        <v>Covered within maternity limit</v>
      </c>
      <c r="S12" s="258"/>
      <c r="T12" s="280" t="str">
        <f t="shared" si="1"/>
        <v>✖</v>
      </c>
      <c r="U12" s="281"/>
      <c r="V12" s="282" t="str">
        <f t="shared" si="2"/>
        <v>✖</v>
      </c>
      <c r="W12" s="281"/>
      <c r="X12" s="283" t="str">
        <f t="shared" si="3"/>
        <v xml:space="preserve">✔ </v>
      </c>
      <c r="Y12" s="281"/>
      <c r="Z12" s="284" t="str">
        <f t="shared" si="4"/>
        <v>✖</v>
      </c>
    </row>
    <row r="13" spans="1:26" ht="29.1" customHeight="1">
      <c r="A13" s="257"/>
      <c r="B13" s="253" t="s">
        <v>165</v>
      </c>
      <c r="C13" s="253" t="str">
        <f>SUBSTITUTE(B13," ","")</f>
        <v>CorporateBuffer</v>
      </c>
      <c r="D13" s="254" t="str">
        <f>VLOOKUP(B13,'GHI Features (Option 1)'!$C$15:$J$60,3,0)</f>
        <v>Not Covered</v>
      </c>
      <c r="E13" s="269"/>
      <c r="F13" s="316" t="str">
        <f>VLOOKUP(D13,'GHI Features (Option 1)'!$E$15:$J$60,3,0)</f>
        <v>Not Covered</v>
      </c>
      <c r="G13" s="275"/>
      <c r="H13" s="318" t="str">
        <f>VLOOKUP(D13,'GHI Features (Option 1)'!$E$15:$J$60,4,0)</f>
        <v>Not Covered</v>
      </c>
      <c r="I13" s="275"/>
      <c r="J13" s="317" t="str">
        <f>VLOOKUP(D13,'GHI Features (Option 1)'!$E$15:$J$60,5,0)</f>
        <v>Not Covered</v>
      </c>
      <c r="K13" s="275"/>
      <c r="L13" s="285" t="str">
        <f>VLOOKUP(D13,'GHI Features (Option 1)'!$E$15:$J$60,6,0)</f>
        <v>Not Covered</v>
      </c>
      <c r="Q13" s="286" t="str">
        <f>B13</f>
        <v>Corporate Buffer</v>
      </c>
      <c r="R13" s="279" t="str">
        <f t="shared" si="0"/>
        <v>Not Covered</v>
      </c>
      <c r="S13" s="258"/>
      <c r="T13" s="280" t="str">
        <f t="shared" si="1"/>
        <v>Not Covered</v>
      </c>
      <c r="U13" s="281"/>
      <c r="V13" s="282" t="str">
        <f t="shared" si="2"/>
        <v>Not Covered</v>
      </c>
      <c r="W13" s="281"/>
      <c r="X13" s="283" t="str">
        <f t="shared" si="3"/>
        <v>Not Covered</v>
      </c>
      <c r="Y13" s="281"/>
      <c r="Z13" s="284" t="str">
        <f t="shared" si="4"/>
        <v>Not Covered</v>
      </c>
    </row>
    <row r="14" spans="1:26" ht="29.1" customHeight="1">
      <c r="A14" s="257"/>
      <c r="B14" s="253" t="s">
        <v>134</v>
      </c>
      <c r="C14" s="253" t="str">
        <f t="shared" ref="C14:C19" si="5">SUBSTITUTE(B14," ","")</f>
        <v>PsychiatricIllness</v>
      </c>
      <c r="D14" s="254" t="str">
        <f>VLOOKUP(B14,'GHI Features (Option 1)'!$C$15:$J$60,3,0)</f>
        <v>Hospitalization &gt; 24 hours</v>
      </c>
      <c r="E14" s="269"/>
      <c r="F14" s="316" t="str">
        <f>VLOOKUP(D14,'GHI Features (Option 1)'!$E$15:$J$60,3,0)</f>
        <v xml:space="preserve">✔ </v>
      </c>
      <c r="G14" s="275"/>
      <c r="H14" s="318" t="str">
        <f>VLOOKUP(D14,'GHI Features (Option 1)'!$E$15:$J$60,4,0)</f>
        <v xml:space="preserve">✔ </v>
      </c>
      <c r="I14" s="275"/>
      <c r="J14" s="317" t="str">
        <f>VLOOKUP(D14,'GHI Features (Option 1)'!$E$15:$J$60,5,0)</f>
        <v xml:space="preserve">✔ </v>
      </c>
      <c r="K14" s="275"/>
      <c r="L14" s="285" t="str">
        <f>VLOOKUP(D14,'GHI Features (Option 1)'!$E$15:$J$60,6,0)</f>
        <v xml:space="preserve">✔ </v>
      </c>
      <c r="Q14" s="286" t="str">
        <f t="shared" ref="Q14:Q19" si="6">B14</f>
        <v xml:space="preserve">Psychiatric Illness </v>
      </c>
      <c r="R14" s="279" t="str">
        <f t="shared" si="0"/>
        <v>Hospitalization &gt; 24 hours</v>
      </c>
      <c r="S14" s="258"/>
      <c r="T14" s="280" t="str">
        <f t="shared" si="1"/>
        <v xml:space="preserve">✔ </v>
      </c>
      <c r="U14" s="281"/>
      <c r="V14" s="282" t="str">
        <f t="shared" si="2"/>
        <v xml:space="preserve">✔ </v>
      </c>
      <c r="W14" s="281"/>
      <c r="X14" s="283" t="str">
        <f t="shared" si="3"/>
        <v xml:space="preserve">✔ </v>
      </c>
      <c r="Y14" s="281"/>
      <c r="Z14" s="284" t="str">
        <f t="shared" si="4"/>
        <v xml:space="preserve">✔ </v>
      </c>
    </row>
    <row r="15" spans="1:26" ht="29.1" customHeight="1">
      <c r="A15" s="257"/>
      <c r="B15" s="253" t="s">
        <v>136</v>
      </c>
      <c r="C15" s="253" t="str">
        <f t="shared" si="5"/>
        <v>PreandPostHospitalizationCoverage</v>
      </c>
      <c r="D15" s="254" t="str">
        <f>VLOOKUP(B15,'GHI Features (Option 1)'!$C$15:$J$60,3,0)</f>
        <v>Covered</v>
      </c>
      <c r="E15" s="269"/>
      <c r="F15" s="316" t="str">
        <f>VLOOKUP(D15,'GHI Features (Option 1)'!$E$15:$J$60,3,0)</f>
        <v>30/60 days</v>
      </c>
      <c r="G15" s="275"/>
      <c r="H15" s="318" t="str">
        <f>VLOOKUP(D15,'GHI Features (Option 1)'!$E$15:$J$60,4,0)</f>
        <v>60/90 Days</v>
      </c>
      <c r="I15" s="275"/>
      <c r="J15" s="317" t="str">
        <f>VLOOKUP(D15,'GHI Features (Option 1)'!$E$15:$J$60,5,0)</f>
        <v>60/90 Days</v>
      </c>
      <c r="K15" s="275"/>
      <c r="L15" s="285" t="str">
        <f>VLOOKUP(D15,'GHI Features (Option 1)'!$E$15:$J$60,6,0)</f>
        <v>30/60 days</v>
      </c>
      <c r="Q15" s="286" t="str">
        <f t="shared" si="6"/>
        <v>Pre and Post Hospitalization Coverage</v>
      </c>
      <c r="R15" s="279" t="str">
        <f t="shared" si="0"/>
        <v>Covered</v>
      </c>
      <c r="S15" s="258"/>
      <c r="T15" s="280" t="str">
        <f t="shared" si="1"/>
        <v>30/60 days</v>
      </c>
      <c r="U15" s="281"/>
      <c r="V15" s="282" t="str">
        <f t="shared" si="2"/>
        <v>60/90 Days</v>
      </c>
      <c r="W15" s="281"/>
      <c r="X15" s="283" t="str">
        <f t="shared" si="3"/>
        <v>60/90 Days</v>
      </c>
      <c r="Y15" s="281"/>
      <c r="Z15" s="284" t="str">
        <f t="shared" si="4"/>
        <v>30/60 days</v>
      </c>
    </row>
    <row r="16" spans="1:26" ht="29.1" customHeight="1">
      <c r="A16" s="257"/>
      <c r="B16" s="253" t="s">
        <v>130</v>
      </c>
      <c r="C16" s="253" t="str">
        <f t="shared" si="5"/>
        <v>MaternityCover</v>
      </c>
      <c r="D16" s="254" t="str">
        <f>VLOOKUP(B16,'GHI Features (Option 1)'!$C$15:$J$60,3,0)</f>
        <v>Normal - Rs. 50k
C Section - Rs. 50K</v>
      </c>
      <c r="E16" s="269"/>
      <c r="F16" s="316" t="str">
        <f>VLOOKUP(D16,'GHI Features (Option 1)'!$E$15:$J$60,3,0)</f>
        <v xml:space="preserve">✔ </v>
      </c>
      <c r="G16" s="275"/>
      <c r="H16" s="318" t="str">
        <f>VLOOKUP(D16,'GHI Features (Option 1)'!$E$15:$J$60,4,0)</f>
        <v>Optional -50k 
(with extra loading)</v>
      </c>
      <c r="I16" s="275"/>
      <c r="J16" s="317" t="str">
        <f>VLOOKUP(D16,'GHI Features (Option 1)'!$E$15:$J$60,5,0)</f>
        <v>Optional - 35K, 50K, 75K
(with extra loading)</v>
      </c>
      <c r="K16" s="275"/>
      <c r="L16" s="285" t="str">
        <f>VLOOKUP(D16,'GHI Features (Option 1)'!$E$15:$J$60,6,0)</f>
        <v xml:space="preserve">✔ </v>
      </c>
      <c r="Q16" s="286" t="str">
        <f t="shared" si="6"/>
        <v>Maternity Cover</v>
      </c>
      <c r="R16" s="279" t="str">
        <f t="shared" si="0"/>
        <v>Normal - Rs. 50k
C Section - Rs. 50K</v>
      </c>
      <c r="S16" s="258"/>
      <c r="T16" s="280" t="str">
        <f t="shared" si="1"/>
        <v xml:space="preserve">✔ </v>
      </c>
      <c r="U16" s="281"/>
      <c r="V16" s="282" t="str">
        <f t="shared" si="2"/>
        <v>Optional -50k 
(with extra loading)</v>
      </c>
      <c r="W16" s="281"/>
      <c r="X16" s="283" t="str">
        <f t="shared" si="3"/>
        <v>Optional - 35K, 50K, 75K
(with extra loading)</v>
      </c>
      <c r="Y16" s="281"/>
      <c r="Z16" s="284" t="str">
        <f t="shared" si="4"/>
        <v xml:space="preserve">✔ </v>
      </c>
    </row>
    <row r="17" spans="1:26" ht="29.1" customHeight="1">
      <c r="A17" s="257"/>
      <c r="B17" s="253" t="s">
        <v>140</v>
      </c>
      <c r="C17" s="253" t="str">
        <f t="shared" si="5"/>
        <v>EmergencyAmbulance</v>
      </c>
      <c r="D17" s="254" t="str">
        <f>VLOOKUP(B17,'GHI Features (Option 1)'!$C$15:$J$60,3,0)</f>
        <v xml:space="preserve">Within 25 min Pan-India </v>
      </c>
      <c r="E17" s="269"/>
      <c r="F17" s="316" t="str">
        <f>VLOOKUP(D17,'GHI Features (Option 1)'!$E$15:$J$60,3,0)</f>
        <v xml:space="preserve">✔ </v>
      </c>
      <c r="G17" s="275"/>
      <c r="H17" s="318" t="str">
        <f>VLOOKUP(D17,'GHI Features (Option 1)'!$E$15:$J$60,4,0)</f>
        <v xml:space="preserve">✔ </v>
      </c>
      <c r="I17" s="275"/>
      <c r="J17" s="317" t="str">
        <f>VLOOKUP(D17,'GHI Features (Option 1)'!$E$15:$J$60,5,0)</f>
        <v xml:space="preserve">✔ </v>
      </c>
      <c r="K17" s="275"/>
      <c r="L17" s="285" t="str">
        <f>VLOOKUP(D17,'GHI Features (Option 1)'!$E$15:$J$60,6,0)</f>
        <v xml:space="preserve">✔ </v>
      </c>
      <c r="Q17" s="286" t="str">
        <f t="shared" si="6"/>
        <v xml:space="preserve">Emergency Ambulance </v>
      </c>
      <c r="R17" s="279" t="str">
        <f t="shared" si="0"/>
        <v xml:space="preserve">Within 25 min Pan-India </v>
      </c>
      <c r="S17" s="258"/>
      <c r="T17" s="280" t="str">
        <f t="shared" si="1"/>
        <v xml:space="preserve">✔ </v>
      </c>
      <c r="U17" s="281"/>
      <c r="V17" s="282" t="str">
        <f t="shared" si="2"/>
        <v xml:space="preserve">✔ </v>
      </c>
      <c r="W17" s="281"/>
      <c r="X17" s="283" t="str">
        <f t="shared" si="3"/>
        <v xml:space="preserve">✔ </v>
      </c>
      <c r="Y17" s="281"/>
      <c r="Z17" s="284" t="str">
        <f t="shared" si="4"/>
        <v xml:space="preserve">✔ </v>
      </c>
    </row>
    <row r="18" spans="1:26" ht="29.1" customHeight="1">
      <c r="A18" s="257"/>
      <c r="B18" s="253" t="s">
        <v>132</v>
      </c>
      <c r="C18" s="253" t="str">
        <f t="shared" si="5"/>
        <v>CoPay</v>
      </c>
      <c r="D18" s="254" t="str">
        <f>VLOOKUP(B18,'GHI Features (Option 1)'!$C$15:$J$60,3,0)</f>
        <v>25% Co-Pay</v>
      </c>
      <c r="E18" s="269"/>
      <c r="F18" s="316" t="str">
        <f>VLOOKUP(D18,'GHI Features (Option 1)'!$E$15:$J$60,3,0)</f>
        <v>✖</v>
      </c>
      <c r="G18" s="275"/>
      <c r="H18" s="318" t="str">
        <f>VLOOKUP(D18,'GHI Features (Option 1)'!$E$15:$J$60,4,0)</f>
        <v>✖</v>
      </c>
      <c r="I18" s="275"/>
      <c r="J18" s="317" t="str">
        <f>VLOOKUP(D18,'GHI Features (Option 1)'!$E$15:$J$60,5,0)</f>
        <v xml:space="preserve">✔ </v>
      </c>
      <c r="K18" s="275"/>
      <c r="L18" s="285" t="str">
        <f>VLOOKUP(D18,'GHI Features (Option 1)'!$E$15:$J$60,6,0)</f>
        <v xml:space="preserve">✔ </v>
      </c>
      <c r="Q18" s="286" t="str">
        <f t="shared" si="6"/>
        <v>Co Pay</v>
      </c>
      <c r="R18" s="279" t="str">
        <f t="shared" si="0"/>
        <v>25% Co-Pay</v>
      </c>
      <c r="S18" s="258"/>
      <c r="T18" s="280" t="str">
        <f t="shared" si="1"/>
        <v>✖</v>
      </c>
      <c r="U18" s="281"/>
      <c r="V18" s="282" t="str">
        <f t="shared" si="2"/>
        <v>✖</v>
      </c>
      <c r="W18" s="281"/>
      <c r="X18" s="283" t="str">
        <f t="shared" si="3"/>
        <v xml:space="preserve">✔ </v>
      </c>
      <c r="Y18" s="281"/>
      <c r="Z18" s="284" t="str">
        <f t="shared" si="4"/>
        <v xml:space="preserve">✔ </v>
      </c>
    </row>
    <row r="19" spans="1:26" ht="29.1" customHeight="1">
      <c r="A19" s="257"/>
      <c r="B19" s="253" t="s">
        <v>136</v>
      </c>
      <c r="C19" s="253" t="str">
        <f t="shared" si="5"/>
        <v>PreandPostHospitalizationCoverage</v>
      </c>
      <c r="D19" s="254" t="str">
        <f>VLOOKUP(B19,'GHI Features (Option 1)'!$C$15:$J$60,3,0)</f>
        <v>Covered</v>
      </c>
      <c r="E19" s="269"/>
      <c r="F19" s="316" t="str">
        <f>VLOOKUP(D19,'GHI Features (Option 1)'!$E$15:$J$60,3,0)</f>
        <v>30/60 days</v>
      </c>
      <c r="G19" s="275"/>
      <c r="H19" s="318" t="str">
        <f>VLOOKUP(D19,'GHI Features (Option 1)'!$E$15:$J$60,4,0)</f>
        <v>60/90 Days</v>
      </c>
      <c r="I19" s="275"/>
      <c r="J19" s="317" t="str">
        <f>VLOOKUP(D19,'GHI Features (Option 1)'!$E$15:$J$60,5,0)</f>
        <v>60/90 Days</v>
      </c>
      <c r="K19" s="275"/>
      <c r="L19" s="285" t="str">
        <f>VLOOKUP(D19,'GHI Features (Option 1)'!$E$15:$J$60,6,0)</f>
        <v>30/60 days</v>
      </c>
      <c r="Q19" s="286" t="str">
        <f t="shared" si="6"/>
        <v>Pre and Post Hospitalization Coverage</v>
      </c>
      <c r="R19" s="279" t="str">
        <f t="shared" si="0"/>
        <v>Covered</v>
      </c>
      <c r="S19" s="258"/>
      <c r="T19" s="280" t="str">
        <f t="shared" si="1"/>
        <v>30/60 days</v>
      </c>
      <c r="U19" s="281"/>
      <c r="V19" s="282" t="str">
        <f t="shared" si="2"/>
        <v>60/90 Days</v>
      </c>
      <c r="W19" s="281"/>
      <c r="X19" s="283" t="str">
        <f t="shared" si="3"/>
        <v>60/90 Days</v>
      </c>
      <c r="Y19" s="281"/>
      <c r="Z19" s="284" t="str">
        <f t="shared" si="4"/>
        <v>30/60 days</v>
      </c>
    </row>
    <row r="20" spans="1:26">
      <c r="D20" s="287"/>
      <c r="E20" s="288"/>
      <c r="F20" s="288"/>
      <c r="G20" s="288"/>
      <c r="H20" s="288"/>
      <c r="I20" s="288"/>
      <c r="J20" s="288"/>
      <c r="K20" s="288"/>
      <c r="L20" s="288"/>
    </row>
    <row r="21" spans="1:26">
      <c r="D21" s="287"/>
      <c r="E21" s="288"/>
      <c r="F21" s="288"/>
      <c r="G21" s="288"/>
      <c r="H21" s="288"/>
      <c r="I21" s="288"/>
      <c r="J21" s="288"/>
      <c r="K21" s="288"/>
      <c r="L21" s="288"/>
    </row>
    <row r="22" spans="1:26">
      <c r="D22" s="287"/>
      <c r="E22" s="288"/>
      <c r="F22" s="288"/>
      <c r="G22" s="288"/>
      <c r="H22" s="288"/>
      <c r="I22" s="288"/>
      <c r="J22" s="288"/>
      <c r="K22" s="288"/>
      <c r="L22" s="288"/>
    </row>
    <row r="25" spans="1:26" ht="33">
      <c r="B25" s="252" t="s">
        <v>143</v>
      </c>
    </row>
    <row r="26" spans="1:26" ht="14.85" customHeight="1">
      <c r="B26" s="289"/>
      <c r="C26" s="257"/>
      <c r="D26" s="289"/>
      <c r="E26" s="275"/>
      <c r="F26" s="290"/>
      <c r="G26" s="275"/>
      <c r="H26" s="291"/>
      <c r="I26" s="275"/>
      <c r="J26" s="292"/>
      <c r="K26" s="275"/>
      <c r="L26" s="293"/>
    </row>
    <row r="27" spans="1:26" ht="20.85" customHeight="1">
      <c r="B27" s="257"/>
      <c r="C27" s="257"/>
      <c r="L27" s="329" t="s">
        <v>25</v>
      </c>
      <c r="M27" s="257"/>
      <c r="Q27" s="257"/>
      <c r="Z27" s="267" t="str">
        <f t="shared" ref="Z27:Z42" si="7">L27</f>
        <v>Incumbent Insurer</v>
      </c>
    </row>
    <row r="28" spans="1:26" ht="28.35" customHeight="1">
      <c r="A28" s="294" t="s">
        <v>117</v>
      </c>
      <c r="B28" s="319" t="s">
        <v>118</v>
      </c>
      <c r="C28" s="328"/>
      <c r="D28" s="319" t="s">
        <v>144</v>
      </c>
      <c r="E28" s="275"/>
      <c r="F28" s="314" t="str">
        <f>Inputs!B14</f>
        <v>Manipal Cigna Standard Rater</v>
      </c>
      <c r="G28" s="275"/>
      <c r="H28" s="456" t="str">
        <f>Inputs!C14</f>
        <v>SBI General</v>
      </c>
      <c r="I28" s="275"/>
      <c r="J28" s="270" t="str">
        <f>Inputs!D14</f>
        <v>Manipal Cigna</v>
      </c>
      <c r="K28" s="275"/>
      <c r="L28" s="315" t="str">
        <f>Inputs!E14</f>
        <v>IFFCO Tokio</v>
      </c>
      <c r="M28" s="257"/>
      <c r="Q28" s="272" t="str">
        <f>B28</f>
        <v>Features</v>
      </c>
      <c r="R28" s="273" t="str">
        <f t="shared" ref="R28:R42" si="8">D28</f>
        <v>Parameter</v>
      </c>
      <c r="S28" s="256"/>
      <c r="T28" s="274" t="str">
        <f>F28</f>
        <v>Manipal Cigna Standard Rater</v>
      </c>
      <c r="U28" s="274"/>
      <c r="V28" s="274" t="str">
        <f>H28</f>
        <v>SBI General</v>
      </c>
      <c r="W28" s="274"/>
      <c r="X28" s="274" t="str">
        <f>J28</f>
        <v>Manipal Cigna</v>
      </c>
      <c r="Y28" s="274"/>
      <c r="Z28" s="274" t="str">
        <f t="shared" si="7"/>
        <v>IFFCO Tokio</v>
      </c>
    </row>
    <row r="29" spans="1:26" ht="27" customHeight="1">
      <c r="A29" s="257"/>
      <c r="B29" s="286" t="s">
        <v>145</v>
      </c>
      <c r="C29" s="1300" t="s">
        <v>145</v>
      </c>
      <c r="D29" s="253" t="s">
        <v>146</v>
      </c>
      <c r="E29" s="275"/>
      <c r="F29" s="484" t="str">
        <f>'GHI Insurers'!F10</f>
        <v>2001</v>
      </c>
      <c r="G29" s="275"/>
      <c r="H29" s="485" t="str">
        <f>'GHI Insurers'!G10</f>
        <v>2001</v>
      </c>
      <c r="I29" s="275"/>
      <c r="J29" s="486" t="str">
        <f>'GHI Insurers'!H10</f>
        <v>2014</v>
      </c>
      <c r="K29" s="275"/>
      <c r="L29" s="303" t="str">
        <f>'GHI Insurers'!I10</f>
        <v>2000</v>
      </c>
      <c r="M29" s="257"/>
      <c r="Q29" s="1299" t="str">
        <f>B29</f>
        <v>Background and Credibility</v>
      </c>
      <c r="R29" s="279" t="str">
        <f t="shared" si="8"/>
        <v>Founding Year</v>
      </c>
      <c r="S29" s="258"/>
      <c r="T29" s="280" t="str">
        <f t="shared" ref="T29:T42" si="9">F29</f>
        <v>2001</v>
      </c>
      <c r="U29" s="281"/>
      <c r="V29" s="282" t="str">
        <f t="shared" ref="V29:V42" si="10">H29</f>
        <v>2001</v>
      </c>
      <c r="W29" s="281"/>
      <c r="X29" s="283" t="str">
        <f t="shared" ref="X29:X42" si="11">J29</f>
        <v>2014</v>
      </c>
      <c r="Y29" s="281"/>
      <c r="Z29" s="284" t="str">
        <f t="shared" si="7"/>
        <v>2000</v>
      </c>
    </row>
    <row r="30" spans="1:26" ht="59.25" customHeight="1">
      <c r="A30" s="257"/>
      <c r="B30" s="286"/>
      <c r="C30" s="1300"/>
      <c r="D30" s="253" t="s">
        <v>147</v>
      </c>
      <c r="E30" s="275"/>
      <c r="F30" s="484" t="str">
        <f>'GHI Insurers'!F11</f>
        <v>Bajaj Finserv and Allianz SE</v>
      </c>
      <c r="G30" s="275"/>
      <c r="H30" s="485" t="str">
        <f>'GHI Insurers'!G11</f>
        <v>ICICI Bank</v>
      </c>
      <c r="I30" s="275"/>
      <c r="J30" s="486" t="str">
        <f>'GHI Insurers'!H11</f>
        <v>Manipal Group, Cigna Holdings</v>
      </c>
      <c r="K30" s="275"/>
      <c r="L30" s="303" t="str">
        <f>'GHI Insurers'!I11</f>
        <v>IFFCO India, Tokio Marine Insurance (Japan)</v>
      </c>
      <c r="M30" s="257"/>
      <c r="Q30" s="1299"/>
      <c r="R30" s="279" t="str">
        <f t="shared" si="8"/>
        <v>Backed by</v>
      </c>
      <c r="S30" s="258"/>
      <c r="T30" s="296" t="str">
        <f t="shared" si="9"/>
        <v>Bajaj Finserv and Allianz SE</v>
      </c>
      <c r="U30" s="281"/>
      <c r="V30" s="297" t="str">
        <f t="shared" si="10"/>
        <v>ICICI Bank</v>
      </c>
      <c r="W30" s="281"/>
      <c r="X30" s="298" t="str">
        <f t="shared" si="11"/>
        <v>Manipal Group, Cigna Holdings</v>
      </c>
      <c r="Y30" s="281"/>
      <c r="Z30" s="299" t="str">
        <f t="shared" si="7"/>
        <v>IFFCO India, Tokio Marine Insurance (Japan)</v>
      </c>
    </row>
    <row r="31" spans="1:26" ht="27" customHeight="1">
      <c r="A31" s="257"/>
      <c r="B31" s="1297" t="s">
        <v>148</v>
      </c>
      <c r="C31" s="1300" t="s">
        <v>148</v>
      </c>
      <c r="D31" s="253" t="s">
        <v>149</v>
      </c>
      <c r="E31" s="275"/>
      <c r="F31" s="484" t="str">
        <f>'GHI Insurers'!F13</f>
        <v>₹ 3,260 Cr</v>
      </c>
      <c r="G31" s="275"/>
      <c r="H31" s="485" t="str">
        <f>'GHI Insurers'!G13</f>
        <v>₹ 5,394 Cr</v>
      </c>
      <c r="I31" s="275"/>
      <c r="J31" s="486" t="str">
        <f>'GHI Insurers'!H13</f>
        <v>₹ 924 Cr</v>
      </c>
      <c r="K31" s="275"/>
      <c r="L31" s="303" t="str">
        <f>'GHI Insurers'!I13</f>
        <v>₹ 531 Cr</v>
      </c>
      <c r="M31" s="257"/>
      <c r="Q31" s="1299" t="str">
        <f>B31</f>
        <v xml:space="preserve">Market Presence	</v>
      </c>
      <c r="R31" s="279" t="str">
        <f t="shared" si="8"/>
        <v>GHI Book Size (INR Crores)</v>
      </c>
      <c r="S31" s="258"/>
      <c r="T31" s="300" t="str">
        <f t="shared" si="9"/>
        <v>₹ 3,260 Cr</v>
      </c>
      <c r="U31" s="281"/>
      <c r="V31" s="301" t="str">
        <f t="shared" si="10"/>
        <v>₹ 5,394 Cr</v>
      </c>
      <c r="W31" s="281"/>
      <c r="X31" s="302" t="str">
        <f t="shared" si="11"/>
        <v>₹ 924 Cr</v>
      </c>
      <c r="Y31" s="281"/>
      <c r="Z31" s="303" t="str">
        <f t="shared" si="7"/>
        <v>₹ 531 Cr</v>
      </c>
    </row>
    <row r="32" spans="1:26" ht="27" customHeight="1">
      <c r="A32" s="257"/>
      <c r="B32" s="1297"/>
      <c r="C32" s="1300"/>
      <c r="D32" s="253" t="s">
        <v>150</v>
      </c>
      <c r="E32" s="275"/>
      <c r="F32" s="320">
        <f>'GHI Insurers'!F14</f>
        <v>0.17949999999999999</v>
      </c>
      <c r="G32" s="661"/>
      <c r="H32" s="322">
        <f>'GHI Insurers'!G14</f>
        <v>9.4799999999999995E-2</v>
      </c>
      <c r="I32" s="661"/>
      <c r="J32" s="324">
        <f>'GHI Insurers'!H14</f>
        <v>1.5100000000000001E-2</v>
      </c>
      <c r="K32" s="661"/>
      <c r="L32" s="326">
        <f>'GHI Insurers'!I14</f>
        <v>-0.36080000000000001</v>
      </c>
      <c r="M32" s="257"/>
      <c r="Q32" s="1299"/>
      <c r="R32" s="279" t="str">
        <f t="shared" si="8"/>
        <v>GHI Growth Rate</v>
      </c>
      <c r="S32" s="258"/>
      <c r="T32" s="304">
        <f t="shared" si="9"/>
        <v>0.17949999999999999</v>
      </c>
      <c r="U32" s="281"/>
      <c r="V32" s="305">
        <f t="shared" si="10"/>
        <v>9.4799999999999995E-2</v>
      </c>
      <c r="W32" s="281"/>
      <c r="X32" s="306">
        <f t="shared" si="11"/>
        <v>1.5100000000000001E-2</v>
      </c>
      <c r="Y32" s="281"/>
      <c r="Z32" s="307">
        <f t="shared" si="7"/>
        <v>-0.36080000000000001</v>
      </c>
    </row>
    <row r="33" spans="1:26" ht="27" customHeight="1">
      <c r="A33" s="257"/>
      <c r="B33" s="253" t="s">
        <v>151</v>
      </c>
      <c r="C33" s="216" t="s">
        <v>151</v>
      </c>
      <c r="D33" s="253" t="s">
        <v>152</v>
      </c>
      <c r="E33" s="275"/>
      <c r="F33" s="320" t="str">
        <f>'GHI Insurers'!F15</f>
        <v>3.52</v>
      </c>
      <c r="G33" s="661"/>
      <c r="H33" s="322" t="str">
        <f>'GHI Insurers'!G15</f>
        <v>2.70</v>
      </c>
      <c r="I33" s="661"/>
      <c r="J33" s="324" t="str">
        <f>'GHI Insurers'!H15</f>
        <v>1.91</v>
      </c>
      <c r="K33" s="661"/>
      <c r="L33" s="326" t="str">
        <f>'GHI Insurers'!I15</f>
        <v>1.86</v>
      </c>
      <c r="M33" s="257"/>
      <c r="Q33" s="295" t="str">
        <f>B33</f>
        <v>Financial Health</v>
      </c>
      <c r="R33" s="279" t="str">
        <f t="shared" si="8"/>
        <v>Solvency Ratio (IRDAI recommended: &gt;1.5)</v>
      </c>
      <c r="S33" s="258"/>
      <c r="T33" s="308" t="str">
        <f t="shared" si="9"/>
        <v>3.52</v>
      </c>
      <c r="U33" s="281"/>
      <c r="V33" s="309" t="str">
        <f>H33</f>
        <v>2.70</v>
      </c>
      <c r="W33" s="281"/>
      <c r="X33" s="310" t="str">
        <f t="shared" si="11"/>
        <v>1.91</v>
      </c>
      <c r="Y33" s="281"/>
      <c r="Z33" s="311" t="str">
        <f t="shared" si="7"/>
        <v>1.86</v>
      </c>
    </row>
    <row r="34" spans="1:26" ht="27" customHeight="1">
      <c r="A34" s="257"/>
      <c r="B34" s="1297" t="s">
        <v>153</v>
      </c>
      <c r="C34" s="1300" t="s">
        <v>153</v>
      </c>
      <c r="D34" s="253" t="s">
        <v>154</v>
      </c>
      <c r="E34" s="275"/>
      <c r="F34" s="484" t="str">
        <f>'GHI Insurers'!F17</f>
        <v>10 to 20 days</v>
      </c>
      <c r="G34" s="275"/>
      <c r="H34" s="485" t="str">
        <f>'GHI Insurers'!G17</f>
        <v>10 to 20 days</v>
      </c>
      <c r="I34" s="275"/>
      <c r="J34" s="667" t="str">
        <f>'GHI Insurers'!H17</f>
        <v>10 to 20 days</v>
      </c>
      <c r="K34" s="275"/>
      <c r="L34" s="312" t="str">
        <f>'GHI Insurers'!I17</f>
        <v>10 to 20 days</v>
      </c>
      <c r="M34" s="257"/>
      <c r="Q34" s="1299" t="str">
        <f>B34</f>
        <v xml:space="preserve">Policy Administration	</v>
      </c>
      <c r="R34" s="279" t="str">
        <f t="shared" si="8"/>
        <v>Policy Issuance TAT</v>
      </c>
      <c r="S34" s="258"/>
      <c r="T34" s="296" t="str">
        <f t="shared" si="9"/>
        <v>10 to 20 days</v>
      </c>
      <c r="U34" s="281"/>
      <c r="V34" s="297" t="str">
        <f t="shared" si="10"/>
        <v>10 to 20 days</v>
      </c>
      <c r="W34" s="281"/>
      <c r="X34" s="298" t="str">
        <f t="shared" si="11"/>
        <v>10 to 20 days</v>
      </c>
      <c r="Y34" s="281"/>
      <c r="Z34" s="299" t="str">
        <f t="shared" si="7"/>
        <v>10 to 20 days</v>
      </c>
    </row>
    <row r="35" spans="1:26" ht="27" customHeight="1">
      <c r="A35" s="257"/>
      <c r="B35" s="1297"/>
      <c r="C35" s="1300"/>
      <c r="D35" s="253" t="s">
        <v>155</v>
      </c>
      <c r="E35" s="275"/>
      <c r="F35" s="484" t="str">
        <f>'GHI Insurers'!F18</f>
        <v>1 to 3 days</v>
      </c>
      <c r="G35" s="275"/>
      <c r="H35" s="485" t="str">
        <f>'GHI Insurers'!G18</f>
        <v>1 to 3 days</v>
      </c>
      <c r="I35" s="275"/>
      <c r="J35" s="667" t="str">
        <f>'GHI Insurers'!H18</f>
        <v>3 to 5 days</v>
      </c>
      <c r="K35" s="275"/>
      <c r="L35" s="312" t="str">
        <f>'GHI Insurers'!I18</f>
        <v>5 to 10 days</v>
      </c>
      <c r="M35" s="257"/>
      <c r="Q35" s="1299"/>
      <c r="R35" s="279" t="str">
        <f t="shared" si="8"/>
        <v>Endorsement TAT</v>
      </c>
      <c r="S35" s="258"/>
      <c r="T35" s="296" t="str">
        <f t="shared" si="9"/>
        <v>1 to 3 days</v>
      </c>
      <c r="U35" s="281"/>
      <c r="V35" s="297" t="str">
        <f t="shared" si="10"/>
        <v>1 to 3 days</v>
      </c>
      <c r="W35" s="281"/>
      <c r="X35" s="298" t="str">
        <f t="shared" si="11"/>
        <v>3 to 5 days</v>
      </c>
      <c r="Y35" s="281"/>
      <c r="Z35" s="299" t="str">
        <f t="shared" si="7"/>
        <v>5 to 10 days</v>
      </c>
    </row>
    <row r="36" spans="1:26" ht="27" customHeight="1">
      <c r="A36" s="257"/>
      <c r="B36" s="1297" t="s">
        <v>156</v>
      </c>
      <c r="C36" s="1300" t="s">
        <v>156</v>
      </c>
      <c r="D36" s="253" t="s">
        <v>157</v>
      </c>
      <c r="E36" s="275"/>
      <c r="F36" s="484" t="str">
        <f>'GHI Insurers'!F20</f>
        <v>12000+</v>
      </c>
      <c r="G36" s="275"/>
      <c r="H36" s="485" t="str">
        <f>'GHI Insurers'!G20</f>
        <v>10,200+</v>
      </c>
      <c r="I36" s="275"/>
      <c r="J36" s="667" t="str">
        <f>'GHI Insurers'!H20</f>
        <v>8,500+</v>
      </c>
      <c r="K36" s="275"/>
      <c r="L36" s="312" t="str">
        <f>'GHI Insurers'!I20</f>
        <v>7,000+</v>
      </c>
      <c r="M36" s="257"/>
      <c r="Q36" s="1299" t="str">
        <f>B36</f>
        <v>Claims Summary</v>
      </c>
      <c r="R36" s="279" t="str">
        <f t="shared" si="8"/>
        <v>Cashless Network</v>
      </c>
      <c r="S36" s="258"/>
      <c r="T36" s="280" t="str">
        <f t="shared" si="9"/>
        <v>12000+</v>
      </c>
      <c r="U36" s="281"/>
      <c r="V36" s="282" t="str">
        <f t="shared" si="10"/>
        <v>10,200+</v>
      </c>
      <c r="W36" s="281"/>
      <c r="X36" s="283" t="str">
        <f t="shared" si="11"/>
        <v>8,500+</v>
      </c>
      <c r="Y36" s="281"/>
      <c r="Z36" s="284" t="str">
        <f t="shared" si="7"/>
        <v>7,000+</v>
      </c>
    </row>
    <row r="37" spans="1:26" ht="27" customHeight="1">
      <c r="A37" s="257"/>
      <c r="B37" s="1297"/>
      <c r="C37" s="1300"/>
      <c r="D37" s="253" t="s">
        <v>158</v>
      </c>
      <c r="E37" s="275"/>
      <c r="F37" s="320">
        <f>'GHI Insurers'!F21</f>
        <v>0.98</v>
      </c>
      <c r="G37" s="661"/>
      <c r="H37" s="322">
        <f>'GHI Insurers'!G21</f>
        <v>0.98</v>
      </c>
      <c r="I37" s="661"/>
      <c r="J37" s="324">
        <f>'GHI Insurers'!H21</f>
        <v>0.98</v>
      </c>
      <c r="K37" s="661"/>
      <c r="L37" s="326">
        <f>'GHI Insurers'!I21</f>
        <v>0.98</v>
      </c>
      <c r="M37" s="257"/>
      <c r="Q37" s="1299"/>
      <c r="R37" s="279" t="str">
        <f t="shared" si="8"/>
        <v>Claim Settlement Ratio</v>
      </c>
      <c r="S37" s="258"/>
      <c r="T37" s="304">
        <f t="shared" si="9"/>
        <v>0.98</v>
      </c>
      <c r="U37" s="281"/>
      <c r="V37" s="305">
        <f t="shared" si="10"/>
        <v>0.98</v>
      </c>
      <c r="W37" s="281"/>
      <c r="X37" s="306">
        <f t="shared" si="11"/>
        <v>0.98</v>
      </c>
      <c r="Y37" s="281"/>
      <c r="Z37" s="312">
        <f t="shared" si="7"/>
        <v>0.98</v>
      </c>
    </row>
    <row r="38" spans="1:26" ht="27" customHeight="1">
      <c r="A38" s="257"/>
      <c r="B38" s="1297"/>
      <c r="C38" s="1300"/>
      <c r="D38" s="253" t="s">
        <v>159</v>
      </c>
      <c r="E38" s="275"/>
      <c r="F38" s="484" t="str">
        <f>'GHI Insurers'!F22</f>
        <v>1 to 3 hours</v>
      </c>
      <c r="G38" s="275"/>
      <c r="H38" s="485" t="str">
        <f>'GHI Insurers'!G22</f>
        <v>1 to 3 hours</v>
      </c>
      <c r="I38" s="275"/>
      <c r="J38" s="667" t="str">
        <f>'GHI Insurers'!H22</f>
        <v>2 to 4 hours</v>
      </c>
      <c r="K38" s="275"/>
      <c r="L38" s="312" t="str">
        <f>'GHI Insurers'!I22</f>
        <v>2 to 4 hours</v>
      </c>
      <c r="M38" s="257"/>
      <c r="Q38" s="1299"/>
      <c r="R38" s="279" t="str">
        <f t="shared" si="8"/>
        <v>Cashless TAT</v>
      </c>
      <c r="S38" s="258"/>
      <c r="T38" s="296" t="str">
        <f t="shared" si="9"/>
        <v>1 to 3 hours</v>
      </c>
      <c r="U38" s="281"/>
      <c r="V38" s="297" t="str">
        <f t="shared" si="10"/>
        <v>1 to 3 hours</v>
      </c>
      <c r="W38" s="281"/>
      <c r="X38" s="298" t="str">
        <f t="shared" si="11"/>
        <v>2 to 4 hours</v>
      </c>
      <c r="Y38" s="281"/>
      <c r="Z38" s="299" t="str">
        <f t="shared" si="7"/>
        <v>2 to 4 hours</v>
      </c>
    </row>
    <row r="39" spans="1:26" ht="27" customHeight="1">
      <c r="A39" s="257"/>
      <c r="B39" s="1297"/>
      <c r="C39" s="1300"/>
      <c r="D39" s="253" t="s">
        <v>160</v>
      </c>
      <c r="E39" s="275"/>
      <c r="F39" s="484" t="str">
        <f>'GHI Insurers'!F23</f>
        <v>15 to 30 days</v>
      </c>
      <c r="G39" s="275"/>
      <c r="H39" s="485" t="str">
        <f>'GHI Insurers'!G23</f>
        <v>7 to 15 days</v>
      </c>
      <c r="I39" s="275"/>
      <c r="J39" s="667" t="str">
        <f>'GHI Insurers'!H23</f>
        <v>15 to 30 days</v>
      </c>
      <c r="K39" s="275"/>
      <c r="L39" s="312" t="str">
        <f>'GHI Insurers'!I23</f>
        <v>15 to 30 days</v>
      </c>
      <c r="M39" s="257"/>
      <c r="N39" s="257"/>
      <c r="Q39" s="1299"/>
      <c r="R39" s="279" t="str">
        <f t="shared" si="8"/>
        <v>Reimbursement TAT</v>
      </c>
      <c r="S39" s="258"/>
      <c r="T39" s="296" t="str">
        <f t="shared" si="9"/>
        <v>15 to 30 days</v>
      </c>
      <c r="U39" s="281"/>
      <c r="V39" s="297" t="str">
        <f t="shared" si="10"/>
        <v>7 to 15 days</v>
      </c>
      <c r="W39" s="281"/>
      <c r="X39" s="298" t="str">
        <f t="shared" si="11"/>
        <v>15 to 30 days</v>
      </c>
      <c r="Y39" s="281"/>
      <c r="Z39" s="299" t="str">
        <f t="shared" si="7"/>
        <v>15 to 30 days</v>
      </c>
    </row>
    <row r="40" spans="1:26" ht="27" customHeight="1">
      <c r="A40" s="257"/>
      <c r="B40" s="1297"/>
      <c r="C40" s="1300"/>
      <c r="D40" s="253" t="s">
        <v>161</v>
      </c>
      <c r="E40" s="275"/>
      <c r="F40" s="662">
        <f>'GHI Insurers'!F24</f>
        <v>0.996</v>
      </c>
      <c r="G40" s="663"/>
      <c r="H40" s="664">
        <f>'GHI Insurers'!G24</f>
        <v>1</v>
      </c>
      <c r="I40" s="663"/>
      <c r="J40" s="665">
        <f>'GHI Insurers'!H24</f>
        <v>0.999</v>
      </c>
      <c r="K40" s="663"/>
      <c r="L40" s="666">
        <f>'GHI Insurers'!I24</f>
        <v>0.89890000000000003</v>
      </c>
      <c r="M40" s="257"/>
      <c r="Q40" s="1299"/>
      <c r="R40" s="279" t="str">
        <f t="shared" si="8"/>
        <v>% of claims settled in 3 months</v>
      </c>
      <c r="S40" s="258"/>
      <c r="T40" s="304">
        <f t="shared" si="9"/>
        <v>0.996</v>
      </c>
      <c r="U40" s="281"/>
      <c r="V40" s="305">
        <f t="shared" si="10"/>
        <v>1</v>
      </c>
      <c r="W40" s="281"/>
      <c r="X40" s="306">
        <f t="shared" si="11"/>
        <v>0.999</v>
      </c>
      <c r="Y40" s="281"/>
      <c r="Z40" s="307">
        <f t="shared" si="7"/>
        <v>0.89890000000000003</v>
      </c>
    </row>
    <row r="41" spans="1:26" ht="27" customHeight="1">
      <c r="A41" s="257"/>
      <c r="B41" s="1297"/>
      <c r="C41" s="1300"/>
      <c r="D41" s="253" t="s">
        <v>162</v>
      </c>
      <c r="E41" s="275"/>
      <c r="F41" s="484" t="str">
        <f>'GHI Insurers'!F25</f>
        <v>Paperless</v>
      </c>
      <c r="G41" s="275"/>
      <c r="H41" s="485" t="str">
        <f>'GHI Insurers'!G25</f>
        <v>Paperless</v>
      </c>
      <c r="I41" s="275"/>
      <c r="J41" s="667" t="str">
        <f>'GHI Insurers'!H25</f>
        <v>Paperless</v>
      </c>
      <c r="K41" s="275"/>
      <c r="L41" s="312" t="str">
        <f>'GHI Insurers'!I25</f>
        <v>Paper-based</v>
      </c>
      <c r="M41" s="257"/>
      <c r="Q41" s="1299"/>
      <c r="R41" s="279" t="str">
        <f t="shared" si="8"/>
        <v>Reimbursement Mode (Paperless/Paper)</v>
      </c>
      <c r="S41" s="258"/>
      <c r="T41" s="296" t="str">
        <f t="shared" si="9"/>
        <v>Paperless</v>
      </c>
      <c r="U41" s="281"/>
      <c r="V41" s="297" t="str">
        <f t="shared" si="10"/>
        <v>Paperless</v>
      </c>
      <c r="W41" s="281"/>
      <c r="X41" s="298" t="str">
        <f t="shared" si="11"/>
        <v>Paperless</v>
      </c>
      <c r="Y41" s="281"/>
      <c r="Z41" s="299" t="str">
        <f t="shared" si="7"/>
        <v>Paper-based</v>
      </c>
    </row>
    <row r="42" spans="1:26" s="257" customFormat="1" ht="46.5" customHeight="1">
      <c r="B42" s="1297"/>
      <c r="C42" s="1300"/>
      <c r="D42" s="253" t="s">
        <v>163</v>
      </c>
      <c r="E42" s="275"/>
      <c r="F42" s="484" t="str">
        <f>'GHI Insurers'!F26</f>
        <v>In-house</v>
      </c>
      <c r="G42" s="275"/>
      <c r="H42" s="485" t="str">
        <f>'GHI Insurers'!G26</f>
        <v>In-house</v>
      </c>
      <c r="I42" s="275"/>
      <c r="J42" s="667" t="str">
        <f>'GHI Insurers'!H26</f>
        <v>In-house
External Option available</v>
      </c>
      <c r="K42" s="275"/>
      <c r="L42" s="312" t="str">
        <f>'GHI Insurers'!I26</f>
        <v>In-house
External Option available</v>
      </c>
      <c r="Q42" s="1299"/>
      <c r="R42" s="279" t="str">
        <f t="shared" si="8"/>
        <v>TPA (in-house or External)</v>
      </c>
      <c r="S42" s="258"/>
      <c r="T42" s="296" t="str">
        <f t="shared" si="9"/>
        <v>In-house</v>
      </c>
      <c r="U42" s="281"/>
      <c r="V42" s="297" t="str">
        <f t="shared" si="10"/>
        <v>In-house</v>
      </c>
      <c r="W42" s="281"/>
      <c r="X42" s="298" t="str">
        <f t="shared" si="11"/>
        <v>In-house
External Option available</v>
      </c>
      <c r="Y42" s="281"/>
      <c r="Z42" s="299" t="str">
        <f t="shared" si="7"/>
        <v>In-house
External Option available</v>
      </c>
    </row>
    <row r="43" spans="1:26" s="257" customFormat="1">
      <c r="D43" s="258"/>
      <c r="T43" s="266"/>
      <c r="U43" s="266"/>
      <c r="V43" s="266"/>
      <c r="W43" s="266"/>
      <c r="X43" s="266"/>
      <c r="Y43" s="266"/>
      <c r="Z43" s="266"/>
    </row>
    <row r="45" spans="1:26">
      <c r="C45" s="204"/>
      <c r="D45" s="204" t="str">
        <f>'High Level Quotes - Slide 1'!P2</f>
        <v>File Path of Proposal Deck</v>
      </c>
      <c r="E45" s="204"/>
      <c r="F45" s="204"/>
      <c r="G45" s="204"/>
    </row>
    <row r="46" spans="1:26">
      <c r="C46" s="205"/>
      <c r="D46" s="205"/>
      <c r="E46" s="205"/>
      <c r="F46" s="205"/>
      <c r="G46" s="205"/>
    </row>
  </sheetData>
  <mergeCells count="14">
    <mergeCell ref="B31:B32"/>
    <mergeCell ref="C31:C32"/>
    <mergeCell ref="Q31:Q32"/>
    <mergeCell ref="F6:J6"/>
    <mergeCell ref="B8:B10"/>
    <mergeCell ref="Q8:Q10"/>
    <mergeCell ref="C29:C30"/>
    <mergeCell ref="Q29:Q30"/>
    <mergeCell ref="B34:B35"/>
    <mergeCell ref="C34:C35"/>
    <mergeCell ref="Q34:Q35"/>
    <mergeCell ref="B36:B42"/>
    <mergeCell ref="C36:C42"/>
    <mergeCell ref="Q36:Q42"/>
  </mergeCells>
  <dataValidations count="4">
    <dataValidation type="list" allowBlank="1" showInputMessage="1" showErrorMessage="1" sqref="F8 L8 J8 H8" xr:uid="{206C39EB-FD48-44D4-9376-433F71FBF466}">
      <formula1>$O$8:$O$10</formula1>
    </dataValidation>
    <dataValidation type="list" allowBlank="1" showInputMessage="1" showErrorMessage="1" sqref="A7 D9:D10" xr:uid="{87C72B4B-7FD4-4B4F-8540-F12077BBD4A6}">
      <formula1>INDIRECT($C7)</formula1>
    </dataValidation>
    <dataValidation type="list" allowBlank="1" showInputMessage="1" showErrorMessage="1" sqref="B7" xr:uid="{7470B7D0-6732-482D-A265-90BDF7D69B21}">
      <formula1>features</formula1>
    </dataValidation>
    <dataValidation type="list" allowBlank="1" showInputMessage="1" showErrorMessage="1" sqref="B11:B19" xr:uid="{00E0A458-BED1-494B-A4B1-91C553A902D3}">
      <formula1>policy_features_custom</formula1>
    </dataValidation>
  </dataValidations>
  <pageMargins left="0.7" right="0.7" top="0.75" bottom="0.75" header="0.3" footer="0.3"/>
  <pageSetup orientation="portrait"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64513" r:id="rId4" name="Technical">
              <controlPr defaultSize="0" print="0" autoFill="0" autoPict="0" macro="[0]!ExportTechnicalParametersToPPT">
                <anchor moveWithCells="1" sizeWithCells="1">
                  <from>
                    <xdr:col>14</xdr:col>
                    <xdr:colOff>106680</xdr:colOff>
                    <xdr:row>26</xdr:row>
                    <xdr:rowOff>190500</xdr:rowOff>
                  </from>
                  <to>
                    <xdr:col>15</xdr:col>
                    <xdr:colOff>22860</xdr:colOff>
                    <xdr:row>32</xdr:row>
                    <xdr:rowOff>45720</xdr:rowOff>
                  </to>
                </anchor>
              </controlPr>
            </control>
          </mc:Choice>
        </mc:AlternateContent>
        <mc:AlternateContent xmlns:mc="http://schemas.openxmlformats.org/markup-compatibility/2006">
          <mc:Choice Requires="x14">
            <control shapeId="64514" r:id="rId5" name="Policy">
              <controlPr defaultSize="0" print="0" autoFill="0" autoPict="0" macro="[0]!ExportPolicyFeaturesToPPT">
                <anchor moveWithCells="1" sizeWithCells="1">
                  <from>
                    <xdr:col>14</xdr:col>
                    <xdr:colOff>22860</xdr:colOff>
                    <xdr:row>10</xdr:row>
                    <xdr:rowOff>251460</xdr:rowOff>
                  </from>
                  <to>
                    <xdr:col>15</xdr:col>
                    <xdr:colOff>0</xdr:colOff>
                    <xdr:row>13</xdr:row>
                    <xdr:rowOff>68580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751455A8-D868-44DE-9EDD-3F89D48CF92E}">
          <x14:formula1>
            <xm:f>'Technical DB (Health)'!$A$3:$A$20</xm:f>
          </x14:formula1>
          <xm:sqref>E26 L28 J28 F28 H28</xm:sqref>
        </x14:dataValidation>
        <x14:dataValidation type="list" allowBlank="1" showInputMessage="1" showErrorMessage="1" xr:uid="{EE28743F-A4B9-4962-8325-D461EA5AE5AB}">
          <x14:formula1>
            <xm:f>'GHI DB'!$A$4:$A$21</xm:f>
          </x14:formula1>
          <xm:sqref>E4 L7 L5 H7 F7 J7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D552-66F0-415F-886E-809EB0B15166}">
  <sheetPr codeName="Sheet17"/>
  <dimension ref="A1:J17"/>
  <sheetViews>
    <sheetView showGridLines="0" topLeftCell="B1" zoomScaleNormal="100" workbookViewId="0">
      <selection activeCell="B13" sqref="B13"/>
    </sheetView>
  </sheetViews>
  <sheetFormatPr defaultColWidth="8.5546875" defaultRowHeight="14.4"/>
  <cols>
    <col min="1" max="1" width="29.44140625" style="869" customWidth="1"/>
    <col min="2" max="2" width="72.5546875" style="869" bestFit="1" customWidth="1"/>
    <col min="3" max="16384" width="8.5546875" style="869"/>
  </cols>
  <sheetData>
    <row r="1" spans="1:10">
      <c r="A1" s="868" t="s">
        <v>166</v>
      </c>
    </row>
    <row r="2" spans="1:10">
      <c r="A2" s="868" t="s">
        <v>167</v>
      </c>
    </row>
    <row r="4" spans="1:10">
      <c r="A4" s="870" t="s">
        <v>168</v>
      </c>
      <c r="B4" s="871" t="s">
        <v>169</v>
      </c>
    </row>
    <row r="5" spans="1:10">
      <c r="A5" s="870" t="s">
        <v>170</v>
      </c>
      <c r="B5" s="871" t="s">
        <v>171</v>
      </c>
    </row>
    <row r="6" spans="1:10">
      <c r="A6" s="870" t="s">
        <v>172</v>
      </c>
      <c r="B6" s="871" t="s">
        <v>173</v>
      </c>
    </row>
    <row r="7" spans="1:10">
      <c r="A7" s="870" t="s">
        <v>174</v>
      </c>
      <c r="B7" s="871">
        <v>400009</v>
      </c>
    </row>
    <row r="8" spans="1:10">
      <c r="A8" s="870" t="s">
        <v>175</v>
      </c>
      <c r="B8" s="871" t="s">
        <v>176</v>
      </c>
      <c r="C8" s="1188"/>
      <c r="D8" s="1188"/>
      <c r="E8" s="1188"/>
      <c r="F8" s="1188"/>
      <c r="G8" s="1188"/>
      <c r="H8" s="1188"/>
      <c r="I8" s="1188"/>
      <c r="J8" s="1188"/>
    </row>
    <row r="9" spans="1:10">
      <c r="A9" s="870" t="s">
        <v>177</v>
      </c>
      <c r="B9" s="871" t="s">
        <v>176</v>
      </c>
    </row>
    <row r="10" spans="1:10">
      <c r="A10" s="870" t="s">
        <v>178</v>
      </c>
      <c r="B10" s="871" t="s">
        <v>176</v>
      </c>
    </row>
    <row r="11" spans="1:10">
      <c r="A11" s="870" t="s">
        <v>179</v>
      </c>
      <c r="B11" s="871" t="s">
        <v>176</v>
      </c>
    </row>
    <row r="12" spans="1:10">
      <c r="A12" s="870" t="s">
        <v>180</v>
      </c>
      <c r="B12" s="871" t="s">
        <v>181</v>
      </c>
    </row>
    <row r="17" spans="2:2">
      <c r="B17" s="867"/>
    </row>
  </sheetData>
  <mergeCells count="1">
    <mergeCell ref="C8:J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1000"/>
  <sheetViews>
    <sheetView zoomScale="86" workbookViewId="0">
      <selection activeCell="A15" sqref="A15"/>
    </sheetView>
  </sheetViews>
  <sheetFormatPr defaultColWidth="14.44140625" defaultRowHeight="15" customHeight="1"/>
  <cols>
    <col min="1" max="1" width="45.5546875" customWidth="1"/>
    <col min="2" max="2" width="45.44140625" customWidth="1"/>
    <col min="3" max="19" width="19.44140625" customWidth="1"/>
    <col min="20" max="26" width="8.5546875" customWidth="1"/>
  </cols>
  <sheetData>
    <row r="1" spans="1:26" ht="14.25" customHeight="1">
      <c r="A1" s="133" t="s">
        <v>118</v>
      </c>
      <c r="B1" s="4" t="s">
        <v>182</v>
      </c>
      <c r="C1" s="4" t="s">
        <v>183</v>
      </c>
      <c r="D1" s="4" t="s">
        <v>184</v>
      </c>
      <c r="E1" s="4" t="s">
        <v>185</v>
      </c>
      <c r="F1" s="20" t="s">
        <v>186</v>
      </c>
      <c r="G1" s="20" t="s">
        <v>187</v>
      </c>
      <c r="H1" s="20" t="s">
        <v>188</v>
      </c>
      <c r="I1" s="20" t="s">
        <v>72</v>
      </c>
      <c r="J1" s="20" t="s">
        <v>189</v>
      </c>
      <c r="K1" s="20" t="s">
        <v>190</v>
      </c>
      <c r="L1" s="20" t="s">
        <v>191</v>
      </c>
      <c r="M1" s="20" t="s">
        <v>192</v>
      </c>
      <c r="N1" s="20" t="s">
        <v>193</v>
      </c>
      <c r="O1" s="20" t="s">
        <v>194</v>
      </c>
      <c r="P1" s="20" t="s">
        <v>195</v>
      </c>
      <c r="Q1" s="20" t="s">
        <v>196</v>
      </c>
      <c r="R1" s="20" t="s">
        <v>197</v>
      </c>
      <c r="S1" s="20" t="s">
        <v>198</v>
      </c>
      <c r="T1" s="2"/>
      <c r="U1" s="2"/>
      <c r="V1" s="2"/>
      <c r="W1" s="2"/>
      <c r="X1" s="2"/>
      <c r="Y1" s="2"/>
      <c r="Z1" s="2"/>
    </row>
    <row r="2" spans="1:26" ht="14.25" customHeight="1">
      <c r="A2" s="1301" t="s">
        <v>121</v>
      </c>
      <c r="B2" s="5" t="s">
        <v>199</v>
      </c>
      <c r="C2" s="26" t="s">
        <v>200</v>
      </c>
      <c r="D2" s="26" t="s">
        <v>200</v>
      </c>
      <c r="E2" s="26" t="s">
        <v>200</v>
      </c>
      <c r="F2" s="26" t="s">
        <v>200</v>
      </c>
      <c r="G2" s="26" t="s">
        <v>200</v>
      </c>
      <c r="H2" s="26" t="s">
        <v>200</v>
      </c>
      <c r="I2" s="26" t="s">
        <v>200</v>
      </c>
      <c r="J2" s="26" t="s">
        <v>200</v>
      </c>
      <c r="K2" s="26" t="s">
        <v>200</v>
      </c>
      <c r="L2" s="26" t="s">
        <v>200</v>
      </c>
      <c r="M2" s="26" t="s">
        <v>200</v>
      </c>
      <c r="N2" s="26" t="s">
        <v>200</v>
      </c>
      <c r="O2" s="26" t="s">
        <v>200</v>
      </c>
      <c r="P2" s="26" t="s">
        <v>200</v>
      </c>
      <c r="Q2" s="26" t="s">
        <v>200</v>
      </c>
      <c r="R2" s="26" t="s">
        <v>200</v>
      </c>
      <c r="S2" s="26" t="s">
        <v>200</v>
      </c>
      <c r="T2" s="2"/>
      <c r="U2" s="2"/>
      <c r="V2" s="2"/>
      <c r="W2" s="2"/>
      <c r="X2" s="2"/>
      <c r="Y2" s="2"/>
      <c r="Z2" s="2"/>
    </row>
    <row r="3" spans="1:26" ht="14.25" customHeight="1">
      <c r="A3" s="1302"/>
      <c r="B3" s="5" t="s">
        <v>201</v>
      </c>
      <c r="C3" s="26" t="s">
        <v>200</v>
      </c>
      <c r="D3" s="26" t="s">
        <v>200</v>
      </c>
      <c r="E3" s="26" t="s">
        <v>200</v>
      </c>
      <c r="F3" s="26" t="s">
        <v>200</v>
      </c>
      <c r="G3" s="26" t="s">
        <v>200</v>
      </c>
      <c r="H3" s="26" t="s">
        <v>200</v>
      </c>
      <c r="I3" s="26" t="s">
        <v>200</v>
      </c>
      <c r="J3" s="26" t="s">
        <v>200</v>
      </c>
      <c r="K3" s="26" t="s">
        <v>200</v>
      </c>
      <c r="L3" s="26" t="s">
        <v>200</v>
      </c>
      <c r="M3" s="26" t="s">
        <v>200</v>
      </c>
      <c r="N3" s="26" t="s">
        <v>200</v>
      </c>
      <c r="O3" s="26" t="s">
        <v>200</v>
      </c>
      <c r="P3" s="26" t="s">
        <v>200</v>
      </c>
      <c r="Q3" s="26" t="s">
        <v>200</v>
      </c>
      <c r="R3" s="26" t="s">
        <v>200</v>
      </c>
      <c r="S3" s="26" t="s">
        <v>200</v>
      </c>
      <c r="T3" s="2"/>
      <c r="U3" s="2"/>
      <c r="V3" s="2"/>
      <c r="W3" s="2"/>
      <c r="X3" s="2"/>
      <c r="Y3" s="2"/>
      <c r="Z3" s="2"/>
    </row>
    <row r="4" spans="1:26" ht="14.25" customHeight="1">
      <c r="A4" s="1302"/>
      <c r="B4" s="5" t="s">
        <v>125</v>
      </c>
      <c r="C4" s="6">
        <v>6</v>
      </c>
      <c r="D4" s="6">
        <v>4</v>
      </c>
      <c r="E4" s="6">
        <v>3</v>
      </c>
      <c r="F4" s="6">
        <v>3</v>
      </c>
      <c r="G4" s="6">
        <v>2</v>
      </c>
      <c r="H4" s="6">
        <v>2</v>
      </c>
      <c r="I4" s="6">
        <v>2</v>
      </c>
      <c r="J4" s="6">
        <v>4</v>
      </c>
      <c r="K4" s="6">
        <v>2</v>
      </c>
      <c r="L4" s="6">
        <v>2</v>
      </c>
      <c r="M4" s="23"/>
      <c r="N4" s="6">
        <v>2</v>
      </c>
      <c r="O4" s="27"/>
      <c r="P4" s="6">
        <v>2</v>
      </c>
      <c r="Q4" s="6">
        <v>2</v>
      </c>
      <c r="R4" s="6">
        <v>2</v>
      </c>
      <c r="S4" s="6">
        <v>2</v>
      </c>
      <c r="T4" s="2"/>
      <c r="U4" s="2"/>
      <c r="V4" s="2"/>
      <c r="W4" s="2"/>
      <c r="X4" s="2"/>
      <c r="Y4" s="2"/>
      <c r="Z4" s="2"/>
    </row>
    <row r="5" spans="1:26" ht="14.25" customHeight="1">
      <c r="A5" s="1303"/>
      <c r="B5" s="5" t="s">
        <v>126</v>
      </c>
      <c r="C5" s="26" t="s">
        <v>200</v>
      </c>
      <c r="D5" s="26" t="s">
        <v>200</v>
      </c>
      <c r="E5" s="26" t="s">
        <v>200</v>
      </c>
      <c r="F5" s="26" t="s">
        <v>200</v>
      </c>
      <c r="G5" s="26" t="s">
        <v>200</v>
      </c>
      <c r="H5" s="26" t="s">
        <v>200</v>
      </c>
      <c r="I5" s="13" t="s">
        <v>202</v>
      </c>
      <c r="J5" s="26" t="s">
        <v>200</v>
      </c>
      <c r="K5" s="28" t="s">
        <v>203</v>
      </c>
      <c r="L5" s="13" t="s">
        <v>202</v>
      </c>
      <c r="M5" s="29"/>
      <c r="N5" s="26" t="s">
        <v>200</v>
      </c>
      <c r="O5" s="29"/>
      <c r="P5" s="26" t="s">
        <v>200</v>
      </c>
      <c r="Q5" s="26" t="s">
        <v>200</v>
      </c>
      <c r="R5" s="5" t="s">
        <v>204</v>
      </c>
      <c r="S5" s="5" t="s">
        <v>204</v>
      </c>
      <c r="T5" s="2"/>
      <c r="U5" s="2"/>
      <c r="V5" s="2"/>
      <c r="W5" s="2"/>
      <c r="X5" s="2"/>
      <c r="Y5" s="2"/>
      <c r="Z5" s="2"/>
    </row>
    <row r="6" spans="1:26" ht="14.25" customHeight="1">
      <c r="A6" s="15" t="s">
        <v>205</v>
      </c>
      <c r="B6" s="5" t="s">
        <v>206</v>
      </c>
      <c r="C6" s="26" t="s">
        <v>200</v>
      </c>
      <c r="D6" s="26" t="s">
        <v>200</v>
      </c>
      <c r="E6" s="26" t="s">
        <v>200</v>
      </c>
      <c r="F6" s="26" t="s">
        <v>200</v>
      </c>
      <c r="G6" s="26" t="s">
        <v>200</v>
      </c>
      <c r="H6" s="26" t="s">
        <v>200</v>
      </c>
      <c r="I6" s="26" t="s">
        <v>200</v>
      </c>
      <c r="J6" s="26" t="s">
        <v>200</v>
      </c>
      <c r="K6" s="26" t="s">
        <v>200</v>
      </c>
      <c r="L6" s="26" t="s">
        <v>200</v>
      </c>
      <c r="M6" s="26" t="s">
        <v>200</v>
      </c>
      <c r="N6" s="26" t="s">
        <v>200</v>
      </c>
      <c r="O6" s="26" t="s">
        <v>200</v>
      </c>
      <c r="P6" s="26" t="s">
        <v>200</v>
      </c>
      <c r="Q6" s="26" t="s">
        <v>200</v>
      </c>
      <c r="R6" s="26" t="s">
        <v>200</v>
      </c>
      <c r="S6" s="26" t="s">
        <v>200</v>
      </c>
      <c r="T6" s="2"/>
      <c r="U6" s="2"/>
      <c r="V6" s="2"/>
      <c r="W6" s="2"/>
      <c r="X6" s="2"/>
      <c r="Y6" s="2"/>
      <c r="Z6" s="2"/>
    </row>
    <row r="7" spans="1:26" ht="14.25" customHeight="1">
      <c r="A7" s="1301" t="s">
        <v>128</v>
      </c>
      <c r="B7" s="5" t="s">
        <v>207</v>
      </c>
      <c r="C7" s="26" t="s">
        <v>200</v>
      </c>
      <c r="D7" s="26" t="s">
        <v>200</v>
      </c>
      <c r="E7" s="13" t="s">
        <v>208</v>
      </c>
      <c r="F7" s="13" t="s">
        <v>209</v>
      </c>
      <c r="G7" s="13" t="s">
        <v>210</v>
      </c>
      <c r="H7" s="13" t="s">
        <v>210</v>
      </c>
      <c r="I7" s="13" t="s">
        <v>209</v>
      </c>
      <c r="J7" s="13" t="s">
        <v>209</v>
      </c>
      <c r="K7" s="13" t="s">
        <v>211</v>
      </c>
      <c r="L7" s="13" t="s">
        <v>211</v>
      </c>
      <c r="M7" s="30"/>
      <c r="N7" s="13" t="s">
        <v>209</v>
      </c>
      <c r="O7" s="26" t="s">
        <v>200</v>
      </c>
      <c r="P7" s="26" t="s">
        <v>200</v>
      </c>
      <c r="Q7" s="13" t="s">
        <v>209</v>
      </c>
      <c r="R7" s="13" t="s">
        <v>209</v>
      </c>
      <c r="S7" s="13" t="s">
        <v>209</v>
      </c>
      <c r="T7" s="2"/>
      <c r="U7" s="2"/>
      <c r="V7" s="2"/>
      <c r="W7" s="2"/>
      <c r="X7" s="2"/>
      <c r="Y7" s="2"/>
      <c r="Z7" s="2"/>
    </row>
    <row r="8" spans="1:26" ht="14.25" customHeight="1">
      <c r="A8" s="1303"/>
      <c r="B8" s="5" t="s">
        <v>212</v>
      </c>
      <c r="C8" s="26" t="s">
        <v>200</v>
      </c>
      <c r="D8" s="26" t="s">
        <v>200</v>
      </c>
      <c r="E8" s="26" t="s">
        <v>200</v>
      </c>
      <c r="F8" s="13" t="s">
        <v>213</v>
      </c>
      <c r="G8" s="13" t="s">
        <v>214</v>
      </c>
      <c r="H8" s="13" t="s">
        <v>214</v>
      </c>
      <c r="I8" s="13" t="s">
        <v>213</v>
      </c>
      <c r="J8" s="13" t="s">
        <v>213</v>
      </c>
      <c r="K8" s="13" t="s">
        <v>215</v>
      </c>
      <c r="L8" s="26" t="s">
        <v>200</v>
      </c>
      <c r="M8" s="30"/>
      <c r="N8" s="13" t="s">
        <v>213</v>
      </c>
      <c r="O8" s="26" t="s">
        <v>200</v>
      </c>
      <c r="P8" s="26" t="s">
        <v>200</v>
      </c>
      <c r="Q8" s="13" t="s">
        <v>213</v>
      </c>
      <c r="R8" s="13" t="s">
        <v>213</v>
      </c>
      <c r="S8" s="13" t="s">
        <v>213</v>
      </c>
      <c r="T8" s="2"/>
      <c r="U8" s="2"/>
      <c r="V8" s="2"/>
      <c r="W8" s="2"/>
      <c r="X8" s="2"/>
      <c r="Y8" s="2"/>
      <c r="Z8" s="2"/>
    </row>
    <row r="9" spans="1:26" ht="14.25" customHeight="1">
      <c r="A9" s="15" t="s">
        <v>132</v>
      </c>
      <c r="B9" s="5" t="s">
        <v>133</v>
      </c>
      <c r="C9" s="26" t="s">
        <v>200</v>
      </c>
      <c r="D9" s="26" t="s">
        <v>200</v>
      </c>
      <c r="E9" s="26" t="s">
        <v>200</v>
      </c>
      <c r="F9" s="26" t="s">
        <v>200</v>
      </c>
      <c r="G9" s="26" t="s">
        <v>200</v>
      </c>
      <c r="H9" s="26" t="s">
        <v>200</v>
      </c>
      <c r="I9" s="26" t="s">
        <v>200</v>
      </c>
      <c r="J9" s="26" t="s">
        <v>200</v>
      </c>
      <c r="K9" s="26" t="s">
        <v>200</v>
      </c>
      <c r="L9" s="26" t="s">
        <v>200</v>
      </c>
      <c r="M9" s="30"/>
      <c r="N9" s="26" t="s">
        <v>200</v>
      </c>
      <c r="O9" s="26" t="s">
        <v>200</v>
      </c>
      <c r="P9" s="26" t="s">
        <v>200</v>
      </c>
      <c r="Q9" s="26" t="s">
        <v>200</v>
      </c>
      <c r="R9" s="26" t="s">
        <v>200</v>
      </c>
      <c r="S9" s="26" t="s">
        <v>200</v>
      </c>
      <c r="T9" s="2"/>
      <c r="U9" s="2"/>
      <c r="V9" s="2"/>
      <c r="W9" s="2"/>
      <c r="X9" s="2"/>
      <c r="Y9" s="2"/>
      <c r="Z9" s="2"/>
    </row>
    <row r="10" spans="1:26" ht="14.25" customHeight="1">
      <c r="A10" s="1304" t="s">
        <v>165</v>
      </c>
      <c r="B10" s="5" t="s">
        <v>216</v>
      </c>
      <c r="C10" s="26" t="s">
        <v>200</v>
      </c>
      <c r="D10" s="26" t="s">
        <v>200</v>
      </c>
      <c r="E10" s="26" t="s">
        <v>200</v>
      </c>
      <c r="F10" s="26" t="s">
        <v>200</v>
      </c>
      <c r="G10" s="26" t="s">
        <v>200</v>
      </c>
      <c r="H10" s="26" t="s">
        <v>200</v>
      </c>
      <c r="I10" s="26" t="s">
        <v>200</v>
      </c>
      <c r="J10" s="26" t="s">
        <v>200</v>
      </c>
      <c r="K10" s="26" t="s">
        <v>200</v>
      </c>
      <c r="L10" s="26" t="s">
        <v>200</v>
      </c>
      <c r="M10" s="30"/>
      <c r="N10" s="26" t="s">
        <v>200</v>
      </c>
      <c r="O10" s="26" t="s">
        <v>200</v>
      </c>
      <c r="P10" s="26" t="s">
        <v>200</v>
      </c>
      <c r="Q10" s="26" t="s">
        <v>200</v>
      </c>
      <c r="R10" s="26" t="s">
        <v>200</v>
      </c>
      <c r="S10" s="26" t="s">
        <v>200</v>
      </c>
      <c r="T10" s="2"/>
      <c r="U10" s="2"/>
      <c r="V10" s="2"/>
      <c r="W10" s="2"/>
      <c r="X10" s="2"/>
      <c r="Y10" s="2"/>
      <c r="Z10" s="2"/>
    </row>
    <row r="11" spans="1:26" ht="14.25" customHeight="1">
      <c r="A11" s="1303"/>
      <c r="B11" s="5" t="s">
        <v>217</v>
      </c>
      <c r="C11" s="8" t="s">
        <v>218</v>
      </c>
      <c r="D11" s="13" t="s">
        <v>219</v>
      </c>
      <c r="E11" s="13" t="s">
        <v>219</v>
      </c>
      <c r="F11" s="8" t="s">
        <v>218</v>
      </c>
      <c r="G11" s="8" t="s">
        <v>218</v>
      </c>
      <c r="H11" s="8" t="s">
        <v>218</v>
      </c>
      <c r="I11" s="8" t="s">
        <v>218</v>
      </c>
      <c r="J11" s="8" t="s">
        <v>218</v>
      </c>
      <c r="K11" s="8" t="s">
        <v>218</v>
      </c>
      <c r="L11" s="8" t="s">
        <v>218</v>
      </c>
      <c r="M11" s="8" t="s">
        <v>218</v>
      </c>
      <c r="N11" s="8" t="s">
        <v>218</v>
      </c>
      <c r="O11" s="8" t="s">
        <v>218</v>
      </c>
      <c r="P11" s="8" t="s">
        <v>218</v>
      </c>
      <c r="Q11" s="8" t="s">
        <v>218</v>
      </c>
      <c r="R11" s="8" t="s">
        <v>218</v>
      </c>
      <c r="S11" s="8" t="s">
        <v>218</v>
      </c>
      <c r="T11" s="2"/>
      <c r="U11" s="2"/>
      <c r="V11" s="2"/>
      <c r="W11" s="2"/>
      <c r="X11" s="2"/>
      <c r="Y11" s="2"/>
      <c r="Z11" s="2"/>
    </row>
    <row r="12" spans="1:26" ht="14.25" customHeight="1">
      <c r="A12" s="16" t="s">
        <v>220</v>
      </c>
      <c r="B12" s="11" t="s">
        <v>221</v>
      </c>
      <c r="C12" s="26" t="s">
        <v>200</v>
      </c>
      <c r="D12" s="26" t="s">
        <v>200</v>
      </c>
      <c r="E12" s="26" t="s">
        <v>200</v>
      </c>
      <c r="F12" s="26" t="s">
        <v>200</v>
      </c>
      <c r="G12" s="26" t="s">
        <v>200</v>
      </c>
      <c r="H12" s="26" t="s">
        <v>200</v>
      </c>
      <c r="I12" s="26" t="s">
        <v>200</v>
      </c>
      <c r="J12" s="26" t="s">
        <v>200</v>
      </c>
      <c r="K12" s="26" t="s">
        <v>200</v>
      </c>
      <c r="L12" s="26" t="s">
        <v>200</v>
      </c>
      <c r="M12" s="26" t="s">
        <v>200</v>
      </c>
      <c r="N12" s="26" t="s">
        <v>200</v>
      </c>
      <c r="O12" s="26" t="s">
        <v>200</v>
      </c>
      <c r="P12" s="26" t="s">
        <v>200</v>
      </c>
      <c r="Q12" s="26" t="s">
        <v>200</v>
      </c>
      <c r="R12" s="26" t="s">
        <v>200</v>
      </c>
      <c r="S12" s="26" t="s">
        <v>200</v>
      </c>
      <c r="T12" s="2"/>
      <c r="U12" s="2"/>
      <c r="V12" s="2"/>
      <c r="W12" s="2"/>
      <c r="X12" s="2"/>
      <c r="Y12" s="2"/>
      <c r="Z12" s="2"/>
    </row>
    <row r="13" spans="1:26" ht="14.25" customHeight="1">
      <c r="A13" s="15" t="s">
        <v>222</v>
      </c>
      <c r="B13" s="9" t="s">
        <v>222</v>
      </c>
      <c r="C13" s="31" t="s">
        <v>200</v>
      </c>
      <c r="D13" s="31" t="s">
        <v>200</v>
      </c>
      <c r="E13" s="31" t="s">
        <v>200</v>
      </c>
      <c r="F13" s="26" t="s">
        <v>200</v>
      </c>
      <c r="G13" s="26" t="s">
        <v>200</v>
      </c>
      <c r="H13" s="26" t="s">
        <v>200</v>
      </c>
      <c r="I13" s="26" t="s">
        <v>200</v>
      </c>
      <c r="J13" s="26" t="s">
        <v>200</v>
      </c>
      <c r="K13" s="26" t="s">
        <v>200</v>
      </c>
      <c r="L13" s="26" t="s">
        <v>200</v>
      </c>
      <c r="M13" s="26" t="s">
        <v>200</v>
      </c>
      <c r="N13" s="26" t="s">
        <v>200</v>
      </c>
      <c r="O13" s="26" t="s">
        <v>200</v>
      </c>
      <c r="P13" s="26" t="s">
        <v>200</v>
      </c>
      <c r="Q13" s="26" t="s">
        <v>200</v>
      </c>
      <c r="R13" s="26" t="s">
        <v>200</v>
      </c>
      <c r="S13" s="26" t="s">
        <v>200</v>
      </c>
      <c r="T13" s="2"/>
      <c r="U13" s="2"/>
      <c r="V13" s="2"/>
      <c r="W13" s="2"/>
      <c r="X13" s="2"/>
      <c r="Y13" s="2"/>
      <c r="Z13" s="2"/>
    </row>
    <row r="14" spans="1:26" ht="14.25" customHeight="1">
      <c r="A14" s="16" t="s">
        <v>157</v>
      </c>
      <c r="B14" s="9" t="s">
        <v>223</v>
      </c>
      <c r="C14" s="10" t="s">
        <v>224</v>
      </c>
      <c r="D14" s="10" t="s">
        <v>225</v>
      </c>
      <c r="E14" s="19" t="s">
        <v>226</v>
      </c>
      <c r="F14" s="132" t="s">
        <v>227</v>
      </c>
      <c r="G14" s="132" t="s">
        <v>228</v>
      </c>
      <c r="H14" s="132" t="s">
        <v>229</v>
      </c>
      <c r="I14" s="132" t="s">
        <v>230</v>
      </c>
      <c r="J14" s="132" t="s">
        <v>229</v>
      </c>
      <c r="K14" s="132" t="s">
        <v>229</v>
      </c>
      <c r="L14" s="132" t="s">
        <v>224</v>
      </c>
      <c r="M14" s="132" t="s">
        <v>231</v>
      </c>
      <c r="N14" s="132" t="s">
        <v>229</v>
      </c>
      <c r="O14" s="25" t="s">
        <v>228</v>
      </c>
      <c r="P14" s="8" t="s">
        <v>232</v>
      </c>
      <c r="Q14" s="132" t="s">
        <v>229</v>
      </c>
      <c r="R14" s="132" t="s">
        <v>233</v>
      </c>
      <c r="S14" s="132" t="s">
        <v>224</v>
      </c>
      <c r="T14" s="2"/>
      <c r="U14" s="2"/>
      <c r="V14" s="2"/>
      <c r="W14" s="2"/>
      <c r="X14" s="2"/>
      <c r="Y14" s="2"/>
      <c r="Z14" s="2"/>
    </row>
    <row r="15" spans="1:26" ht="14.25" customHeight="1">
      <c r="A15" s="15" t="s">
        <v>234</v>
      </c>
      <c r="B15" s="11" t="s">
        <v>235</v>
      </c>
      <c r="C15" s="26" t="s">
        <v>200</v>
      </c>
      <c r="D15" s="26" t="s">
        <v>200</v>
      </c>
      <c r="E15" s="26" t="s">
        <v>200</v>
      </c>
      <c r="F15" s="26" t="s">
        <v>200</v>
      </c>
      <c r="G15" s="26" t="s">
        <v>200</v>
      </c>
      <c r="H15" s="26" t="s">
        <v>200</v>
      </c>
      <c r="I15" s="26" t="s">
        <v>200</v>
      </c>
      <c r="J15" s="26" t="s">
        <v>200</v>
      </c>
      <c r="K15" s="26" t="s">
        <v>200</v>
      </c>
      <c r="L15" s="26" t="s">
        <v>200</v>
      </c>
      <c r="M15" s="26" t="s">
        <v>200</v>
      </c>
      <c r="N15" s="26" t="s">
        <v>200</v>
      </c>
      <c r="O15" s="26" t="s">
        <v>200</v>
      </c>
      <c r="P15" s="26" t="s">
        <v>200</v>
      </c>
      <c r="Q15" s="26" t="s">
        <v>200</v>
      </c>
      <c r="R15" s="26" t="s">
        <v>200</v>
      </c>
      <c r="S15" s="26" t="s">
        <v>200</v>
      </c>
      <c r="T15" s="2"/>
      <c r="U15" s="2"/>
      <c r="V15" s="2"/>
      <c r="W15" s="2"/>
      <c r="X15" s="2"/>
      <c r="Y15" s="2"/>
      <c r="Z15" s="2"/>
    </row>
    <row r="16" spans="1:26" ht="14.25" customHeight="1">
      <c r="A16" s="15" t="s">
        <v>236</v>
      </c>
      <c r="B16" s="9" t="s">
        <v>236</v>
      </c>
      <c r="C16" s="11" t="s">
        <v>237</v>
      </c>
      <c r="D16" s="8" t="s">
        <v>238</v>
      </c>
      <c r="E16" s="11" t="s">
        <v>239</v>
      </c>
      <c r="F16" s="8" t="s">
        <v>238</v>
      </c>
      <c r="G16" s="11" t="s">
        <v>240</v>
      </c>
      <c r="H16" s="11" t="s">
        <v>240</v>
      </c>
      <c r="I16" s="11" t="s">
        <v>241</v>
      </c>
      <c r="J16" s="8" t="s">
        <v>238</v>
      </c>
      <c r="K16" s="8" t="s">
        <v>238</v>
      </c>
      <c r="L16" s="8" t="s">
        <v>238</v>
      </c>
      <c r="M16" s="8" t="s">
        <v>238</v>
      </c>
      <c r="N16" s="11" t="s">
        <v>240</v>
      </c>
      <c r="O16" s="8" t="s">
        <v>238</v>
      </c>
      <c r="P16" s="8" t="s">
        <v>238</v>
      </c>
      <c r="Q16" s="11" t="s">
        <v>242</v>
      </c>
      <c r="R16" s="8" t="s">
        <v>243</v>
      </c>
      <c r="S16" s="8" t="s">
        <v>240</v>
      </c>
      <c r="T16" s="2"/>
      <c r="U16" s="2"/>
      <c r="V16" s="2"/>
      <c r="W16" s="2"/>
      <c r="X16" s="2"/>
      <c r="Y16" s="2"/>
      <c r="Z16" s="2"/>
    </row>
    <row r="17" spans="1:26" ht="14.25" customHeight="1">
      <c r="A17" s="15" t="s">
        <v>142</v>
      </c>
      <c r="B17" s="5" t="s">
        <v>244</v>
      </c>
      <c r="C17" s="26" t="s">
        <v>200</v>
      </c>
      <c r="D17" s="26" t="s">
        <v>200</v>
      </c>
      <c r="E17" s="26" t="s">
        <v>200</v>
      </c>
      <c r="F17" s="26" t="s">
        <v>200</v>
      </c>
      <c r="G17" s="26" t="s">
        <v>200</v>
      </c>
      <c r="H17" s="26" t="s">
        <v>200</v>
      </c>
      <c r="I17" s="26" t="s">
        <v>200</v>
      </c>
      <c r="J17" s="26" t="s">
        <v>200</v>
      </c>
      <c r="K17" s="26" t="s">
        <v>200</v>
      </c>
      <c r="L17" s="26" t="s">
        <v>200</v>
      </c>
      <c r="M17" s="26" t="s">
        <v>200</v>
      </c>
      <c r="N17" s="26" t="s">
        <v>200</v>
      </c>
      <c r="O17" s="26" t="s">
        <v>200</v>
      </c>
      <c r="P17" s="26" t="s">
        <v>200</v>
      </c>
      <c r="Q17" s="26" t="s">
        <v>200</v>
      </c>
      <c r="R17" s="26" t="s">
        <v>200</v>
      </c>
      <c r="S17" s="26" t="s">
        <v>200</v>
      </c>
      <c r="T17" s="2"/>
      <c r="U17" s="2"/>
      <c r="V17" s="2"/>
      <c r="W17" s="2"/>
      <c r="X17" s="2"/>
      <c r="Y17" s="2"/>
      <c r="Z17" s="2"/>
    </row>
    <row r="18" spans="1:26" ht="14.25" customHeight="1">
      <c r="A18" s="15" t="s">
        <v>245</v>
      </c>
      <c r="B18" s="5" t="s">
        <v>246</v>
      </c>
      <c r="C18" s="11" t="s">
        <v>247</v>
      </c>
      <c r="D18" s="11" t="s">
        <v>247</v>
      </c>
      <c r="E18" s="11" t="s">
        <v>248</v>
      </c>
      <c r="F18" s="11" t="s">
        <v>248</v>
      </c>
      <c r="G18" s="11" t="s">
        <v>248</v>
      </c>
      <c r="H18" s="11" t="s">
        <v>249</v>
      </c>
      <c r="I18" s="11" t="s">
        <v>250</v>
      </c>
      <c r="J18" s="11" t="s">
        <v>251</v>
      </c>
      <c r="K18" s="11" t="s">
        <v>251</v>
      </c>
      <c r="L18" s="11" t="s">
        <v>247</v>
      </c>
      <c r="M18" s="11" t="s">
        <v>249</v>
      </c>
      <c r="N18" s="11" t="s">
        <v>252</v>
      </c>
      <c r="O18" s="11" t="s">
        <v>253</v>
      </c>
      <c r="P18" s="11" t="s">
        <v>247</v>
      </c>
      <c r="Q18" s="11" t="s">
        <v>249</v>
      </c>
      <c r="R18" s="11" t="s">
        <v>254</v>
      </c>
      <c r="S18" s="11" t="s">
        <v>247</v>
      </c>
      <c r="T18" s="2"/>
      <c r="U18" s="2"/>
      <c r="V18" s="2"/>
      <c r="W18" s="2"/>
      <c r="X18" s="2"/>
      <c r="Y18" s="2"/>
      <c r="Z18" s="2"/>
    </row>
    <row r="19" spans="1:26" ht="14.25" customHeight="1">
      <c r="A19" s="15" t="s">
        <v>255</v>
      </c>
      <c r="B19" s="5" t="s">
        <v>256</v>
      </c>
      <c r="C19" s="31" t="s">
        <v>200</v>
      </c>
      <c r="D19" s="31" t="s">
        <v>200</v>
      </c>
      <c r="E19" s="31" t="s">
        <v>200</v>
      </c>
      <c r="F19" s="31" t="s">
        <v>200</v>
      </c>
      <c r="G19" s="11" t="s">
        <v>257</v>
      </c>
      <c r="H19" s="31" t="s">
        <v>200</v>
      </c>
      <c r="I19" s="31" t="s">
        <v>200</v>
      </c>
      <c r="J19" s="31" t="s">
        <v>200</v>
      </c>
      <c r="K19" s="31" t="s">
        <v>200</v>
      </c>
      <c r="L19" s="31" t="s">
        <v>200</v>
      </c>
      <c r="M19" s="31" t="s">
        <v>200</v>
      </c>
      <c r="N19" s="31" t="s">
        <v>200</v>
      </c>
      <c r="O19" s="31" t="s">
        <v>200</v>
      </c>
      <c r="P19" s="11" t="s">
        <v>258</v>
      </c>
      <c r="Q19" s="31" t="s">
        <v>200</v>
      </c>
      <c r="R19" s="31" t="s">
        <v>200</v>
      </c>
      <c r="S19" s="31" t="s">
        <v>200</v>
      </c>
      <c r="T19" s="2"/>
      <c r="U19" s="2"/>
      <c r="V19" s="2"/>
      <c r="W19" s="2"/>
      <c r="X19" s="2"/>
      <c r="Y19" s="2"/>
      <c r="Z19" s="2"/>
    </row>
    <row r="20" spans="1:26" ht="14.25" customHeight="1">
      <c r="A20" s="15" t="s">
        <v>259</v>
      </c>
      <c r="B20" s="5" t="s">
        <v>244</v>
      </c>
      <c r="C20" s="31" t="s">
        <v>200</v>
      </c>
      <c r="D20" s="31" t="s">
        <v>200</v>
      </c>
      <c r="E20" s="31" t="s">
        <v>200</v>
      </c>
      <c r="F20" s="31" t="s">
        <v>200</v>
      </c>
      <c r="G20" s="31" t="s">
        <v>200</v>
      </c>
      <c r="H20" s="31" t="s">
        <v>200</v>
      </c>
      <c r="I20" s="31" t="s">
        <v>200</v>
      </c>
      <c r="J20" s="31" t="s">
        <v>200</v>
      </c>
      <c r="K20" s="31" t="s">
        <v>200</v>
      </c>
      <c r="L20" s="31" t="s">
        <v>200</v>
      </c>
      <c r="M20" s="31" t="s">
        <v>200</v>
      </c>
      <c r="N20" s="31" t="s">
        <v>200</v>
      </c>
      <c r="O20" s="31" t="s">
        <v>200</v>
      </c>
      <c r="P20" s="31" t="s">
        <v>200</v>
      </c>
      <c r="Q20" s="31" t="s">
        <v>200</v>
      </c>
      <c r="R20" s="31" t="s">
        <v>200</v>
      </c>
      <c r="S20" s="31" t="s">
        <v>200</v>
      </c>
      <c r="T20" s="2"/>
      <c r="U20" s="2"/>
      <c r="V20" s="2"/>
      <c r="W20" s="2"/>
      <c r="X20" s="2"/>
      <c r="Y20" s="2"/>
      <c r="Z20" s="2"/>
    </row>
    <row r="21" spans="1:26" ht="14.25" customHeight="1">
      <c r="A21" s="15" t="s">
        <v>260</v>
      </c>
      <c r="B21" s="11" t="s">
        <v>261</v>
      </c>
      <c r="C21" s="31" t="s">
        <v>200</v>
      </c>
      <c r="D21" s="28" t="s">
        <v>203</v>
      </c>
      <c r="E21" s="31" t="s">
        <v>200</v>
      </c>
      <c r="F21" s="31" t="s">
        <v>200</v>
      </c>
      <c r="G21" s="28" t="s">
        <v>203</v>
      </c>
      <c r="H21" s="28" t="s">
        <v>203</v>
      </c>
      <c r="I21" s="31" t="s">
        <v>200</v>
      </c>
      <c r="J21" s="28" t="s">
        <v>203</v>
      </c>
      <c r="K21" s="31" t="s">
        <v>200</v>
      </c>
      <c r="L21" s="28" t="s">
        <v>203</v>
      </c>
      <c r="M21" s="28" t="s">
        <v>203</v>
      </c>
      <c r="N21" s="28" t="s">
        <v>203</v>
      </c>
      <c r="O21" s="28" t="s">
        <v>203</v>
      </c>
      <c r="P21" s="28" t="s">
        <v>203</v>
      </c>
      <c r="Q21" s="28" t="s">
        <v>203</v>
      </c>
      <c r="R21" s="31" t="s">
        <v>200</v>
      </c>
      <c r="S21" s="31" t="s">
        <v>200</v>
      </c>
      <c r="T21" s="2"/>
      <c r="U21" s="2"/>
      <c r="V21" s="2"/>
      <c r="W21" s="2"/>
      <c r="X21" s="2"/>
      <c r="Y21" s="2"/>
      <c r="Z21" s="2"/>
    </row>
    <row r="22" spans="1:26" ht="28.5" customHeight="1">
      <c r="A22" s="16" t="s">
        <v>262</v>
      </c>
      <c r="B22" s="11" t="s">
        <v>137</v>
      </c>
      <c r="C22" s="31" t="s">
        <v>200</v>
      </c>
      <c r="D22" s="31" t="s">
        <v>200</v>
      </c>
      <c r="E22" s="31" t="s">
        <v>200</v>
      </c>
      <c r="F22" s="31" t="s">
        <v>200</v>
      </c>
      <c r="G22" s="31" t="s">
        <v>200</v>
      </c>
      <c r="H22" s="31" t="s">
        <v>200</v>
      </c>
      <c r="I22" s="31" t="s">
        <v>200</v>
      </c>
      <c r="J22" s="8" t="s">
        <v>263</v>
      </c>
      <c r="K22" s="31" t="s">
        <v>200</v>
      </c>
      <c r="L22" s="31" t="s">
        <v>200</v>
      </c>
      <c r="M22" s="31" t="s">
        <v>200</v>
      </c>
      <c r="N22" s="31" t="s">
        <v>200</v>
      </c>
      <c r="O22" s="31" t="s">
        <v>200</v>
      </c>
      <c r="P22" s="8" t="s">
        <v>264</v>
      </c>
      <c r="Q22" s="31" t="s">
        <v>200</v>
      </c>
      <c r="R22" s="31" t="s">
        <v>200</v>
      </c>
      <c r="S22" s="31" t="s">
        <v>200</v>
      </c>
      <c r="T22" s="2"/>
      <c r="U22" s="2"/>
      <c r="V22" s="2"/>
      <c r="W22" s="2"/>
      <c r="X22" s="2"/>
      <c r="Y22" s="2"/>
      <c r="Z22" s="2"/>
    </row>
    <row r="23" spans="1:26" ht="14.25" customHeight="1">
      <c r="A23" s="15" t="s">
        <v>265</v>
      </c>
      <c r="B23" s="11" t="s">
        <v>266</v>
      </c>
      <c r="C23" s="31" t="s">
        <v>200</v>
      </c>
      <c r="D23" s="31" t="s">
        <v>200</v>
      </c>
      <c r="E23" s="31" t="s">
        <v>200</v>
      </c>
      <c r="F23" s="31" t="s">
        <v>200</v>
      </c>
      <c r="G23" s="31" t="s">
        <v>200</v>
      </c>
      <c r="H23" s="31" t="s">
        <v>200</v>
      </c>
      <c r="I23" s="31" t="s">
        <v>200</v>
      </c>
      <c r="J23" s="31" t="s">
        <v>200</v>
      </c>
      <c r="K23" s="31" t="s">
        <v>200</v>
      </c>
      <c r="L23" s="31" t="s">
        <v>200</v>
      </c>
      <c r="M23" s="31" t="s">
        <v>200</v>
      </c>
      <c r="N23" s="31" t="s">
        <v>200</v>
      </c>
      <c r="O23" s="31" t="s">
        <v>200</v>
      </c>
      <c r="P23" s="31" t="s">
        <v>200</v>
      </c>
      <c r="Q23" s="31" t="s">
        <v>200</v>
      </c>
      <c r="R23" s="31" t="s">
        <v>200</v>
      </c>
      <c r="S23" s="31" t="s">
        <v>200</v>
      </c>
      <c r="T23" s="2"/>
      <c r="U23" s="2"/>
      <c r="V23" s="2"/>
      <c r="W23" s="2"/>
      <c r="X23" s="2"/>
      <c r="Y23" s="2"/>
      <c r="Z23" s="2"/>
    </row>
    <row r="24" spans="1:26" ht="14.25" customHeight="1">
      <c r="A24" s="131" t="s">
        <v>267</v>
      </c>
      <c r="B24" s="11" t="s">
        <v>268</v>
      </c>
      <c r="C24" s="31" t="s">
        <v>200</v>
      </c>
      <c r="D24" s="31" t="s">
        <v>200</v>
      </c>
      <c r="E24" s="31" t="s">
        <v>200</v>
      </c>
      <c r="F24" s="31" t="s">
        <v>200</v>
      </c>
      <c r="G24" s="31" t="s">
        <v>200</v>
      </c>
      <c r="H24" s="31" t="s">
        <v>200</v>
      </c>
      <c r="I24" s="31" t="s">
        <v>200</v>
      </c>
      <c r="J24" s="31" t="s">
        <v>200</v>
      </c>
      <c r="K24" s="31" t="s">
        <v>200</v>
      </c>
      <c r="L24" s="31" t="s">
        <v>200</v>
      </c>
      <c r="M24" s="31" t="s">
        <v>200</v>
      </c>
      <c r="N24" s="31" t="s">
        <v>200</v>
      </c>
      <c r="O24" s="31" t="s">
        <v>200</v>
      </c>
      <c r="P24" s="31" t="s">
        <v>200</v>
      </c>
      <c r="Q24" s="31" t="s">
        <v>200</v>
      </c>
      <c r="R24" s="31" t="s">
        <v>200</v>
      </c>
      <c r="S24" s="31" t="s">
        <v>200</v>
      </c>
      <c r="T24" s="2"/>
      <c r="U24" s="2"/>
      <c r="V24" s="2"/>
      <c r="W24" s="2"/>
      <c r="X24" s="2"/>
      <c r="Y24" s="2"/>
      <c r="Z24" s="2"/>
    </row>
    <row r="25" spans="1:26" ht="14.25" customHeight="1">
      <c r="A25" s="131" t="s">
        <v>269</v>
      </c>
      <c r="B25" s="11" t="s">
        <v>270</v>
      </c>
      <c r="C25" s="31" t="s">
        <v>200</v>
      </c>
      <c r="D25" s="31" t="s">
        <v>200</v>
      </c>
      <c r="E25" s="31" t="s">
        <v>200</v>
      </c>
      <c r="F25" s="31" t="s">
        <v>200</v>
      </c>
      <c r="G25" s="31" t="s">
        <v>200</v>
      </c>
      <c r="H25" s="31" t="s">
        <v>200</v>
      </c>
      <c r="I25" s="31" t="s">
        <v>200</v>
      </c>
      <c r="J25" s="31" t="s">
        <v>200</v>
      </c>
      <c r="K25" s="31" t="s">
        <v>200</v>
      </c>
      <c r="L25" s="31" t="s">
        <v>200</v>
      </c>
      <c r="M25" s="31" t="s">
        <v>200</v>
      </c>
      <c r="N25" s="31" t="s">
        <v>200</v>
      </c>
      <c r="O25" s="31" t="s">
        <v>200</v>
      </c>
      <c r="P25" s="31" t="s">
        <v>200</v>
      </c>
      <c r="Q25" s="31" t="s">
        <v>200</v>
      </c>
      <c r="R25" s="31" t="s">
        <v>200</v>
      </c>
      <c r="S25" s="31" t="s">
        <v>200</v>
      </c>
      <c r="T25" s="2"/>
      <c r="U25" s="2"/>
      <c r="V25" s="2"/>
      <c r="W25" s="2"/>
      <c r="X25" s="2"/>
      <c r="Y25" s="2"/>
      <c r="Z25" s="2"/>
    </row>
    <row r="26" spans="1:26" ht="14.25" customHeight="1">
      <c r="A26" s="131" t="s">
        <v>271</v>
      </c>
      <c r="B26" s="11" t="s">
        <v>272</v>
      </c>
      <c r="C26" s="28" t="s">
        <v>203</v>
      </c>
      <c r="D26" s="28" t="s">
        <v>203</v>
      </c>
      <c r="E26" s="28" t="s">
        <v>203</v>
      </c>
      <c r="F26" s="28" t="s">
        <v>203</v>
      </c>
      <c r="G26" s="28" t="s">
        <v>203</v>
      </c>
      <c r="H26" s="28" t="s">
        <v>203</v>
      </c>
      <c r="I26" s="28" t="s">
        <v>203</v>
      </c>
      <c r="J26" s="28" t="s">
        <v>203</v>
      </c>
      <c r="K26" s="28" t="s">
        <v>203</v>
      </c>
      <c r="L26" s="28" t="s">
        <v>203</v>
      </c>
      <c r="M26" s="28" t="s">
        <v>203</v>
      </c>
      <c r="N26" s="28" t="s">
        <v>203</v>
      </c>
      <c r="O26" s="28" t="s">
        <v>203</v>
      </c>
      <c r="P26" s="28" t="s">
        <v>203</v>
      </c>
      <c r="Q26" s="28" t="s">
        <v>203</v>
      </c>
      <c r="R26" s="28" t="s">
        <v>203</v>
      </c>
      <c r="S26" s="28" t="s">
        <v>203</v>
      </c>
      <c r="T26" s="2"/>
      <c r="U26" s="2"/>
      <c r="V26" s="2"/>
      <c r="W26" s="2"/>
      <c r="X26" s="2"/>
      <c r="Y26" s="2"/>
      <c r="Z26" s="2"/>
    </row>
    <row r="27" spans="1:26" ht="14.25" customHeight="1">
      <c r="A27" s="15" t="s">
        <v>130</v>
      </c>
      <c r="B27" s="11" t="s">
        <v>131</v>
      </c>
      <c r="C27" s="26" t="s">
        <v>200</v>
      </c>
      <c r="D27" s="26" t="s">
        <v>200</v>
      </c>
      <c r="E27" s="26" t="s">
        <v>200</v>
      </c>
      <c r="F27" s="26" t="s">
        <v>200</v>
      </c>
      <c r="G27" s="26" t="s">
        <v>200</v>
      </c>
      <c r="H27" s="26" t="s">
        <v>200</v>
      </c>
      <c r="I27" s="26" t="s">
        <v>200</v>
      </c>
      <c r="J27" s="26" t="s">
        <v>200</v>
      </c>
      <c r="K27" s="26" t="s">
        <v>200</v>
      </c>
      <c r="L27" s="26" t="s">
        <v>200</v>
      </c>
      <c r="M27" s="26" t="s">
        <v>200</v>
      </c>
      <c r="N27" s="26" t="s">
        <v>200</v>
      </c>
      <c r="O27" s="26" t="s">
        <v>200</v>
      </c>
      <c r="P27" s="26" t="s">
        <v>200</v>
      </c>
      <c r="Q27" s="26" t="s">
        <v>200</v>
      </c>
      <c r="R27" s="26" t="s">
        <v>200</v>
      </c>
      <c r="S27" s="26" t="s">
        <v>200</v>
      </c>
      <c r="T27" s="2"/>
      <c r="U27" s="2"/>
      <c r="V27" s="2"/>
      <c r="W27" s="2"/>
      <c r="X27" s="2"/>
      <c r="Y27" s="2"/>
      <c r="Z27" s="2"/>
    </row>
    <row r="28" spans="1:26" ht="14.25" customHeight="1">
      <c r="A28" s="15" t="s">
        <v>273</v>
      </c>
      <c r="B28" s="5" t="s">
        <v>274</v>
      </c>
      <c r="C28" s="26" t="s">
        <v>200</v>
      </c>
      <c r="D28" s="26" t="s">
        <v>200</v>
      </c>
      <c r="E28" s="26" t="s">
        <v>200</v>
      </c>
      <c r="F28" s="26" t="s">
        <v>200</v>
      </c>
      <c r="G28" s="26" t="s">
        <v>200</v>
      </c>
      <c r="H28" s="26" t="s">
        <v>200</v>
      </c>
      <c r="I28" s="26" t="s">
        <v>200</v>
      </c>
      <c r="J28" s="26" t="s">
        <v>200</v>
      </c>
      <c r="K28" s="26" t="s">
        <v>200</v>
      </c>
      <c r="L28" s="26" t="s">
        <v>200</v>
      </c>
      <c r="M28" s="26" t="s">
        <v>200</v>
      </c>
      <c r="N28" s="26" t="s">
        <v>200</v>
      </c>
      <c r="O28" s="26" t="s">
        <v>200</v>
      </c>
      <c r="P28" s="26" t="s">
        <v>200</v>
      </c>
      <c r="Q28" s="26" t="s">
        <v>200</v>
      </c>
      <c r="R28" s="26" t="s">
        <v>200</v>
      </c>
      <c r="S28" s="26" t="s">
        <v>200</v>
      </c>
      <c r="T28" s="2"/>
      <c r="U28" s="2"/>
      <c r="V28" s="2"/>
      <c r="W28" s="2"/>
      <c r="X28" s="2"/>
      <c r="Y28" s="2"/>
      <c r="Z28" s="2"/>
    </row>
    <row r="29" spans="1:26" ht="14.25" customHeight="1">
      <c r="A29" s="15" t="s">
        <v>164</v>
      </c>
      <c r="B29" s="11" t="s">
        <v>275</v>
      </c>
      <c r="C29" s="26" t="s">
        <v>200</v>
      </c>
      <c r="D29" s="28" t="s">
        <v>203</v>
      </c>
      <c r="E29" s="5" t="s">
        <v>276</v>
      </c>
      <c r="F29" s="5" t="s">
        <v>277</v>
      </c>
      <c r="G29" s="5" t="s">
        <v>276</v>
      </c>
      <c r="H29" s="5" t="s">
        <v>277</v>
      </c>
      <c r="I29" s="5" t="s">
        <v>277</v>
      </c>
      <c r="J29" s="5" t="s">
        <v>276</v>
      </c>
      <c r="K29" s="28" t="s">
        <v>203</v>
      </c>
      <c r="L29" s="5" t="s">
        <v>276</v>
      </c>
      <c r="M29" s="26" t="s">
        <v>200</v>
      </c>
      <c r="N29" s="5" t="s">
        <v>276</v>
      </c>
      <c r="O29" s="5" t="s">
        <v>276</v>
      </c>
      <c r="P29" s="5" t="s">
        <v>277</v>
      </c>
      <c r="Q29" s="5" t="s">
        <v>277</v>
      </c>
      <c r="R29" s="5" t="s">
        <v>276</v>
      </c>
      <c r="S29" s="26" t="s">
        <v>200</v>
      </c>
      <c r="T29" s="2"/>
      <c r="U29" s="2"/>
      <c r="V29" s="2"/>
      <c r="W29" s="2"/>
      <c r="X29" s="2"/>
      <c r="Y29" s="2"/>
      <c r="Z29" s="2"/>
    </row>
    <row r="30" spans="1:26" ht="14.25" customHeight="1">
      <c r="A30" s="15" t="s">
        <v>278</v>
      </c>
      <c r="B30" s="5" t="s">
        <v>274</v>
      </c>
      <c r="C30" s="31" t="s">
        <v>200</v>
      </c>
      <c r="D30" s="31" t="s">
        <v>200</v>
      </c>
      <c r="E30" s="31" t="s">
        <v>200</v>
      </c>
      <c r="F30" s="31" t="s">
        <v>200</v>
      </c>
      <c r="G30" s="31" t="s">
        <v>200</v>
      </c>
      <c r="H30" s="31" t="s">
        <v>200</v>
      </c>
      <c r="I30" s="31" t="s">
        <v>200</v>
      </c>
      <c r="J30" s="31" t="s">
        <v>200</v>
      </c>
      <c r="K30" s="31" t="s">
        <v>200</v>
      </c>
      <c r="L30" s="31" t="s">
        <v>200</v>
      </c>
      <c r="M30" s="31" t="s">
        <v>200</v>
      </c>
      <c r="N30" s="31" t="s">
        <v>200</v>
      </c>
      <c r="O30" s="31" t="s">
        <v>200</v>
      </c>
      <c r="P30" s="31" t="s">
        <v>200</v>
      </c>
      <c r="Q30" s="31" t="s">
        <v>200</v>
      </c>
      <c r="R30" s="31" t="s">
        <v>200</v>
      </c>
      <c r="S30" s="31" t="s">
        <v>200</v>
      </c>
      <c r="T30" s="2"/>
      <c r="U30" s="2"/>
      <c r="V30" s="2"/>
      <c r="W30" s="2"/>
      <c r="X30" s="2"/>
      <c r="Y30" s="2"/>
      <c r="Z30" s="2"/>
    </row>
    <row r="31" spans="1:26" ht="14.25" customHeight="1">
      <c r="A31" s="15" t="s">
        <v>279</v>
      </c>
      <c r="B31" s="5" t="s">
        <v>274</v>
      </c>
      <c r="C31" s="31" t="s">
        <v>200</v>
      </c>
      <c r="D31" s="31" t="s">
        <v>200</v>
      </c>
      <c r="E31" s="31" t="s">
        <v>200</v>
      </c>
      <c r="F31" s="31" t="s">
        <v>200</v>
      </c>
      <c r="G31" s="31" t="s">
        <v>200</v>
      </c>
      <c r="H31" s="31" t="s">
        <v>200</v>
      </c>
      <c r="I31" s="31" t="s">
        <v>200</v>
      </c>
      <c r="J31" s="31" t="s">
        <v>200</v>
      </c>
      <c r="K31" s="31" t="s">
        <v>200</v>
      </c>
      <c r="L31" s="31" t="s">
        <v>200</v>
      </c>
      <c r="M31" s="31" t="s">
        <v>200</v>
      </c>
      <c r="N31" s="31" t="s">
        <v>200</v>
      </c>
      <c r="O31" s="31" t="s">
        <v>200</v>
      </c>
      <c r="P31" s="31" t="s">
        <v>200</v>
      </c>
      <c r="Q31" s="31" t="s">
        <v>200</v>
      </c>
      <c r="R31" s="31" t="s">
        <v>200</v>
      </c>
      <c r="S31" s="31" t="s">
        <v>200</v>
      </c>
      <c r="T31" s="2"/>
      <c r="U31" s="2"/>
      <c r="V31" s="2"/>
      <c r="W31" s="2"/>
      <c r="X31" s="2"/>
      <c r="Y31" s="2"/>
      <c r="Z31" s="2"/>
    </row>
    <row r="32" spans="1:26" ht="14.25" customHeight="1">
      <c r="A32" s="15" t="s">
        <v>280</v>
      </c>
      <c r="B32" s="5" t="s">
        <v>274</v>
      </c>
      <c r="C32" s="31" t="s">
        <v>200</v>
      </c>
      <c r="D32" s="31" t="s">
        <v>200</v>
      </c>
      <c r="E32" s="31" t="s">
        <v>200</v>
      </c>
      <c r="F32" s="31" t="s">
        <v>200</v>
      </c>
      <c r="G32" s="31" t="s">
        <v>200</v>
      </c>
      <c r="H32" s="31" t="s">
        <v>200</v>
      </c>
      <c r="I32" s="31" t="s">
        <v>200</v>
      </c>
      <c r="J32" s="31" t="s">
        <v>200</v>
      </c>
      <c r="K32" s="31" t="s">
        <v>200</v>
      </c>
      <c r="L32" s="31" t="s">
        <v>200</v>
      </c>
      <c r="M32" s="31" t="s">
        <v>200</v>
      </c>
      <c r="N32" s="31" t="s">
        <v>200</v>
      </c>
      <c r="O32" s="31" t="s">
        <v>200</v>
      </c>
      <c r="P32" s="31" t="s">
        <v>200</v>
      </c>
      <c r="Q32" s="31" t="s">
        <v>200</v>
      </c>
      <c r="R32" s="31" t="s">
        <v>200</v>
      </c>
      <c r="S32" s="31" t="s">
        <v>200</v>
      </c>
      <c r="T32" s="2"/>
      <c r="U32" s="2"/>
      <c r="V32" s="2"/>
      <c r="W32" s="2"/>
      <c r="X32" s="2"/>
      <c r="Y32" s="2"/>
      <c r="Z32" s="2"/>
    </row>
    <row r="33" spans="1:26" ht="14.25" customHeight="1">
      <c r="A33" s="15" t="s">
        <v>140</v>
      </c>
      <c r="B33" s="9" t="s">
        <v>141</v>
      </c>
      <c r="C33" s="5" t="s">
        <v>281</v>
      </c>
      <c r="D33" s="5" t="s">
        <v>281</v>
      </c>
      <c r="E33" s="5" t="s">
        <v>282</v>
      </c>
      <c r="F33" s="5" t="s">
        <v>281</v>
      </c>
      <c r="G33" s="5" t="s">
        <v>283</v>
      </c>
      <c r="H33" s="5" t="s">
        <v>281</v>
      </c>
      <c r="I33" s="5" t="s">
        <v>284</v>
      </c>
      <c r="J33" s="5" t="s">
        <v>281</v>
      </c>
      <c r="K33" s="22" t="s">
        <v>285</v>
      </c>
      <c r="L33" s="5" t="s">
        <v>281</v>
      </c>
      <c r="M33" s="5" t="s">
        <v>281</v>
      </c>
      <c r="N33" s="5" t="s">
        <v>281</v>
      </c>
      <c r="O33" s="5" t="s">
        <v>281</v>
      </c>
      <c r="P33" s="5" t="s">
        <v>286</v>
      </c>
      <c r="Q33" s="5" t="s">
        <v>284</v>
      </c>
      <c r="R33" s="5" t="s">
        <v>284</v>
      </c>
      <c r="S33" s="5" t="s">
        <v>281</v>
      </c>
      <c r="T33" s="2"/>
      <c r="U33" s="2"/>
      <c r="V33" s="2"/>
      <c r="W33" s="2"/>
      <c r="X33" s="2"/>
      <c r="Y33" s="2"/>
      <c r="Z33" s="2"/>
    </row>
    <row r="34" spans="1:26" ht="14.25" customHeight="1">
      <c r="A34" s="15" t="s">
        <v>287</v>
      </c>
      <c r="B34" s="9" t="s">
        <v>141</v>
      </c>
      <c r="C34" s="18" t="s">
        <v>288</v>
      </c>
      <c r="D34" s="28" t="s">
        <v>203</v>
      </c>
      <c r="E34" s="18" t="s">
        <v>289</v>
      </c>
      <c r="F34" s="28" t="s">
        <v>203</v>
      </c>
      <c r="G34" s="28" t="s">
        <v>203</v>
      </c>
      <c r="H34" s="28" t="s">
        <v>203</v>
      </c>
      <c r="I34" s="28" t="s">
        <v>203</v>
      </c>
      <c r="J34" s="18" t="s">
        <v>288</v>
      </c>
      <c r="K34" s="28" t="s">
        <v>203</v>
      </c>
      <c r="L34" s="28" t="s">
        <v>203</v>
      </c>
      <c r="M34" s="28" t="s">
        <v>203</v>
      </c>
      <c r="N34" s="28" t="s">
        <v>203</v>
      </c>
      <c r="O34" s="28" t="s">
        <v>203</v>
      </c>
      <c r="P34" s="28" t="s">
        <v>203</v>
      </c>
      <c r="Q34" s="28" t="s">
        <v>203</v>
      </c>
      <c r="R34" s="28" t="s">
        <v>203</v>
      </c>
      <c r="S34" s="28" t="s">
        <v>203</v>
      </c>
      <c r="T34" s="2"/>
      <c r="U34" s="2"/>
      <c r="V34" s="2"/>
      <c r="W34" s="2"/>
      <c r="X34" s="2"/>
      <c r="Y34" s="2"/>
      <c r="Z34" s="2"/>
    </row>
    <row r="35" spans="1:26" ht="14.25" customHeight="1">
      <c r="A35" s="16" t="s">
        <v>290</v>
      </c>
      <c r="B35" s="17" t="s">
        <v>291</v>
      </c>
      <c r="C35" s="8" t="s">
        <v>292</v>
      </c>
      <c r="D35" s="8" t="s">
        <v>293</v>
      </c>
      <c r="E35" s="8" t="s">
        <v>292</v>
      </c>
      <c r="F35" s="8" t="s">
        <v>292</v>
      </c>
      <c r="G35" s="8" t="s">
        <v>292</v>
      </c>
      <c r="H35" s="8" t="s">
        <v>293</v>
      </c>
      <c r="I35" s="12" t="s">
        <v>294</v>
      </c>
      <c r="J35" s="8" t="s">
        <v>292</v>
      </c>
      <c r="K35" s="28" t="s">
        <v>203</v>
      </c>
      <c r="L35" s="28" t="s">
        <v>203</v>
      </c>
      <c r="M35" s="8" t="s">
        <v>292</v>
      </c>
      <c r="N35" s="28" t="s">
        <v>203</v>
      </c>
      <c r="O35" s="8" t="s">
        <v>295</v>
      </c>
      <c r="P35" s="12" t="s">
        <v>294</v>
      </c>
      <c r="Q35" s="12" t="s">
        <v>294</v>
      </c>
      <c r="R35" s="8" t="s">
        <v>293</v>
      </c>
      <c r="S35" s="8" t="s">
        <v>292</v>
      </c>
      <c r="T35" s="2"/>
      <c r="U35" s="2"/>
      <c r="V35" s="2"/>
      <c r="W35" s="2"/>
      <c r="X35" s="2"/>
      <c r="Y35" s="2"/>
      <c r="Z35" s="2"/>
    </row>
    <row r="36" spans="1:26" ht="14.25" customHeight="1">
      <c r="A36" s="15" t="s">
        <v>134</v>
      </c>
      <c r="B36" s="5" t="s">
        <v>244</v>
      </c>
      <c r="C36" s="8" t="s">
        <v>296</v>
      </c>
      <c r="D36" s="8" t="s">
        <v>293</v>
      </c>
      <c r="E36" s="18" t="s">
        <v>297</v>
      </c>
      <c r="F36" s="28" t="s">
        <v>203</v>
      </c>
      <c r="G36" s="8" t="s">
        <v>296</v>
      </c>
      <c r="H36" s="28" t="s">
        <v>203</v>
      </c>
      <c r="I36" s="31" t="s">
        <v>200</v>
      </c>
      <c r="J36" s="8" t="s">
        <v>296</v>
      </c>
      <c r="K36" s="28" t="s">
        <v>203</v>
      </c>
      <c r="L36" s="8" t="s">
        <v>298</v>
      </c>
      <c r="M36" s="28" t="s">
        <v>203</v>
      </c>
      <c r="N36" s="28" t="s">
        <v>203</v>
      </c>
      <c r="O36" s="28" t="s">
        <v>203</v>
      </c>
      <c r="P36" s="28" t="s">
        <v>203</v>
      </c>
      <c r="Q36" s="28" t="s">
        <v>203</v>
      </c>
      <c r="R36" s="8" t="s">
        <v>299</v>
      </c>
      <c r="S36" s="31" t="s">
        <v>200</v>
      </c>
      <c r="T36" s="2"/>
      <c r="U36" s="2"/>
      <c r="V36" s="2"/>
      <c r="W36" s="2"/>
      <c r="X36" s="2"/>
      <c r="Y36" s="2"/>
      <c r="Z36" s="2"/>
    </row>
    <row r="37" spans="1:26" ht="14.25" customHeight="1">
      <c r="A37" s="15" t="s">
        <v>300</v>
      </c>
      <c r="B37" s="11" t="s">
        <v>139</v>
      </c>
      <c r="C37" s="8" t="s">
        <v>301</v>
      </c>
      <c r="D37" s="28" t="s">
        <v>203</v>
      </c>
      <c r="E37" s="8" t="s">
        <v>301</v>
      </c>
      <c r="F37" s="8" t="s">
        <v>302</v>
      </c>
      <c r="G37" s="8" t="s">
        <v>301</v>
      </c>
      <c r="H37" s="8" t="s">
        <v>301</v>
      </c>
      <c r="I37" s="31" t="s">
        <v>200</v>
      </c>
      <c r="J37" s="28" t="s">
        <v>203</v>
      </c>
      <c r="K37" s="28" t="s">
        <v>203</v>
      </c>
      <c r="L37" s="8" t="s">
        <v>299</v>
      </c>
      <c r="M37" s="31" t="s">
        <v>200</v>
      </c>
      <c r="N37" s="8" t="s">
        <v>302</v>
      </c>
      <c r="O37" s="28" t="s">
        <v>203</v>
      </c>
      <c r="P37" s="8" t="s">
        <v>299</v>
      </c>
      <c r="Q37" s="28" t="s">
        <v>203</v>
      </c>
      <c r="R37" s="8" t="s">
        <v>303</v>
      </c>
      <c r="S37" s="8" t="s">
        <v>301</v>
      </c>
      <c r="T37" s="2"/>
      <c r="U37" s="2"/>
      <c r="V37" s="2"/>
      <c r="W37" s="2"/>
      <c r="X37" s="2"/>
      <c r="Y37" s="2"/>
      <c r="Z37" s="2"/>
    </row>
    <row r="38" spans="1:26" ht="14.25" customHeight="1">
      <c r="A38" s="15" t="s">
        <v>304</v>
      </c>
      <c r="B38" s="3" t="s">
        <v>305</v>
      </c>
      <c r="C38" s="31" t="s">
        <v>200</v>
      </c>
      <c r="D38" s="28" t="s">
        <v>203</v>
      </c>
      <c r="E38" s="31" t="s">
        <v>200</v>
      </c>
      <c r="F38" s="28" t="s">
        <v>203</v>
      </c>
      <c r="G38" s="28" t="s">
        <v>203</v>
      </c>
      <c r="H38" s="28" t="s">
        <v>203</v>
      </c>
      <c r="I38" s="31" t="s">
        <v>200</v>
      </c>
      <c r="J38" s="28" t="s">
        <v>203</v>
      </c>
      <c r="K38" s="28" t="s">
        <v>203</v>
      </c>
      <c r="L38" s="31" t="s">
        <v>200</v>
      </c>
      <c r="M38" s="28" t="s">
        <v>203</v>
      </c>
      <c r="N38" s="28" t="s">
        <v>203</v>
      </c>
      <c r="O38" s="28" t="s">
        <v>203</v>
      </c>
      <c r="P38" s="28" t="s">
        <v>203</v>
      </c>
      <c r="Q38" s="28" t="s">
        <v>203</v>
      </c>
      <c r="R38" s="28" t="s">
        <v>203</v>
      </c>
      <c r="S38" s="28" t="s">
        <v>203</v>
      </c>
      <c r="T38" s="2"/>
      <c r="U38" s="2"/>
      <c r="V38" s="2"/>
      <c r="W38" s="2"/>
      <c r="X38" s="2"/>
      <c r="Y38" s="2"/>
      <c r="Z38" s="2"/>
    </row>
    <row r="39" spans="1:26" ht="14.25" customHeight="1">
      <c r="A39" s="15" t="s">
        <v>306</v>
      </c>
      <c r="B39" s="11" t="s">
        <v>307</v>
      </c>
      <c r="C39" s="32" t="s">
        <v>203</v>
      </c>
      <c r="D39" s="8" t="s">
        <v>308</v>
      </c>
      <c r="E39" s="8" t="s">
        <v>309</v>
      </c>
      <c r="F39" s="8" t="s">
        <v>308</v>
      </c>
      <c r="G39" s="8" t="s">
        <v>308</v>
      </c>
      <c r="H39" s="8" t="s">
        <v>308</v>
      </c>
      <c r="I39" s="28" t="s">
        <v>203</v>
      </c>
      <c r="J39" s="8" t="s">
        <v>309</v>
      </c>
      <c r="K39" s="28" t="s">
        <v>203</v>
      </c>
      <c r="L39" s="8" t="s">
        <v>308</v>
      </c>
      <c r="M39" s="8" t="s">
        <v>310</v>
      </c>
      <c r="N39" s="8" t="s">
        <v>308</v>
      </c>
      <c r="O39" s="28" t="s">
        <v>203</v>
      </c>
      <c r="P39" s="12" t="s">
        <v>311</v>
      </c>
      <c r="Q39" s="12" t="s">
        <v>311</v>
      </c>
      <c r="R39" s="8" t="s">
        <v>308</v>
      </c>
      <c r="S39" s="28" t="s">
        <v>203</v>
      </c>
      <c r="T39" s="2"/>
      <c r="U39" s="2"/>
      <c r="V39" s="2"/>
      <c r="W39" s="2"/>
      <c r="X39" s="2"/>
      <c r="Y39" s="2"/>
      <c r="Z39" s="2"/>
    </row>
    <row r="40" spans="1:26" ht="14.25" customHeight="1">
      <c r="A40" s="15" t="s">
        <v>312</v>
      </c>
      <c r="B40" s="3" t="s">
        <v>312</v>
      </c>
      <c r="C40" s="31" t="s">
        <v>200</v>
      </c>
      <c r="D40" s="28" t="s">
        <v>203</v>
      </c>
      <c r="E40" s="31" t="s">
        <v>200</v>
      </c>
      <c r="F40" s="31" t="s">
        <v>200</v>
      </c>
      <c r="G40" s="31" t="s">
        <v>200</v>
      </c>
      <c r="H40" s="31" t="s">
        <v>200</v>
      </c>
      <c r="I40" s="28" t="s">
        <v>203</v>
      </c>
      <c r="J40" s="31" t="s">
        <v>200</v>
      </c>
      <c r="K40" s="28" t="s">
        <v>203</v>
      </c>
      <c r="L40" s="31" t="s">
        <v>200</v>
      </c>
      <c r="M40" s="31" t="s">
        <v>200</v>
      </c>
      <c r="N40" s="31" t="s">
        <v>200</v>
      </c>
      <c r="O40" s="28" t="s">
        <v>203</v>
      </c>
      <c r="P40" s="12" t="s">
        <v>311</v>
      </c>
      <c r="Q40" s="12" t="s">
        <v>311</v>
      </c>
      <c r="R40" s="31" t="s">
        <v>200</v>
      </c>
      <c r="S40" s="28" t="s">
        <v>203</v>
      </c>
      <c r="T40" s="2"/>
      <c r="U40" s="2"/>
      <c r="V40" s="2"/>
      <c r="W40" s="2"/>
      <c r="X40" s="2"/>
      <c r="Y40" s="2"/>
      <c r="Z40" s="2"/>
    </row>
    <row r="41" spans="1:26" ht="14.25" customHeight="1">
      <c r="A41" s="16" t="s">
        <v>313</v>
      </c>
      <c r="B41" s="11" t="s">
        <v>314</v>
      </c>
      <c r="C41" s="31" t="s">
        <v>200</v>
      </c>
      <c r="D41" s="31" t="s">
        <v>200</v>
      </c>
      <c r="E41" s="31" t="s">
        <v>200</v>
      </c>
      <c r="F41" s="31" t="s">
        <v>200</v>
      </c>
      <c r="G41" s="31" t="s">
        <v>200</v>
      </c>
      <c r="H41" s="31" t="s">
        <v>200</v>
      </c>
      <c r="I41" s="31" t="s">
        <v>200</v>
      </c>
      <c r="J41" s="31" t="s">
        <v>200</v>
      </c>
      <c r="K41" s="31" t="s">
        <v>200</v>
      </c>
      <c r="L41" s="31" t="s">
        <v>200</v>
      </c>
      <c r="M41" s="31" t="s">
        <v>200</v>
      </c>
      <c r="N41" s="31" t="s">
        <v>200</v>
      </c>
      <c r="O41" s="31" t="s">
        <v>200</v>
      </c>
      <c r="P41" s="31" t="s">
        <v>200</v>
      </c>
      <c r="Q41" s="31" t="s">
        <v>200</v>
      </c>
      <c r="R41" s="31" t="s">
        <v>200</v>
      </c>
      <c r="S41" s="31" t="s">
        <v>200</v>
      </c>
      <c r="T41" s="2"/>
      <c r="U41" s="2"/>
      <c r="V41" s="2"/>
      <c r="W41" s="2"/>
      <c r="X41" s="2"/>
      <c r="Y41" s="2"/>
      <c r="Z41" s="2"/>
    </row>
    <row r="42" spans="1:26" ht="14.25" customHeight="1">
      <c r="A42" s="16" t="s">
        <v>315</v>
      </c>
      <c r="B42" s="11" t="s">
        <v>316</v>
      </c>
      <c r="C42" s="31" t="s">
        <v>200</v>
      </c>
      <c r="D42" s="31" t="s">
        <v>200</v>
      </c>
      <c r="E42" s="31" t="s">
        <v>200</v>
      </c>
      <c r="F42" s="31" t="s">
        <v>200</v>
      </c>
      <c r="G42" s="31" t="s">
        <v>200</v>
      </c>
      <c r="H42" s="31" t="s">
        <v>200</v>
      </c>
      <c r="I42" s="31" t="s">
        <v>200</v>
      </c>
      <c r="J42" s="31" t="s">
        <v>200</v>
      </c>
      <c r="K42" s="31" t="s">
        <v>200</v>
      </c>
      <c r="L42" s="28" t="s">
        <v>203</v>
      </c>
      <c r="M42" s="28" t="s">
        <v>203</v>
      </c>
      <c r="N42" s="31" t="s">
        <v>200</v>
      </c>
      <c r="O42" s="28" t="s">
        <v>203</v>
      </c>
      <c r="P42" s="28" t="s">
        <v>203</v>
      </c>
      <c r="Q42" s="31" t="s">
        <v>200</v>
      </c>
      <c r="R42" s="28" t="s">
        <v>203</v>
      </c>
      <c r="S42" s="28" t="s">
        <v>203</v>
      </c>
      <c r="T42" s="2"/>
      <c r="U42" s="2"/>
      <c r="V42" s="2"/>
      <c r="W42" s="2"/>
      <c r="X42" s="2"/>
      <c r="Y42" s="2"/>
      <c r="Z42" s="2"/>
    </row>
    <row r="43" spans="1:26" ht="14.25" customHeight="1">
      <c r="A43" s="16" t="s">
        <v>317</v>
      </c>
      <c r="B43" s="11" t="s">
        <v>318</v>
      </c>
      <c r="C43" s="31" t="s">
        <v>200</v>
      </c>
      <c r="D43" s="31" t="s">
        <v>200</v>
      </c>
      <c r="E43" s="31" t="s">
        <v>200</v>
      </c>
      <c r="F43" s="31" t="s">
        <v>200</v>
      </c>
      <c r="G43" s="31" t="s">
        <v>200</v>
      </c>
      <c r="H43" s="31" t="s">
        <v>200</v>
      </c>
      <c r="I43" s="31" t="s">
        <v>200</v>
      </c>
      <c r="J43" s="31" t="s">
        <v>200</v>
      </c>
      <c r="K43" s="31" t="s">
        <v>200</v>
      </c>
      <c r="L43" s="31" t="s">
        <v>200</v>
      </c>
      <c r="M43" s="31" t="s">
        <v>200</v>
      </c>
      <c r="N43" s="31" t="s">
        <v>200</v>
      </c>
      <c r="O43" s="31" t="s">
        <v>200</v>
      </c>
      <c r="P43" s="31" t="s">
        <v>200</v>
      </c>
      <c r="Q43" s="31" t="s">
        <v>200</v>
      </c>
      <c r="R43" s="31" t="s">
        <v>200</v>
      </c>
      <c r="S43" s="31" t="s">
        <v>200</v>
      </c>
      <c r="T43" s="2"/>
      <c r="U43" s="2"/>
      <c r="V43" s="2"/>
      <c r="W43" s="2"/>
      <c r="X43" s="2"/>
      <c r="Y43" s="2"/>
      <c r="Z43" s="2"/>
    </row>
    <row r="44" spans="1:26" ht="14.25" customHeight="1">
      <c r="A44" s="16" t="s">
        <v>319</v>
      </c>
      <c r="B44" s="11" t="s">
        <v>320</v>
      </c>
      <c r="C44" s="31" t="s">
        <v>200</v>
      </c>
      <c r="D44" s="31" t="s">
        <v>200</v>
      </c>
      <c r="E44" s="31" t="s">
        <v>200</v>
      </c>
      <c r="F44" s="31" t="s">
        <v>200</v>
      </c>
      <c r="G44" s="31" t="s">
        <v>200</v>
      </c>
      <c r="H44" s="31" t="s">
        <v>200</v>
      </c>
      <c r="I44" s="31" t="s">
        <v>200</v>
      </c>
      <c r="J44" s="31" t="s">
        <v>200</v>
      </c>
      <c r="K44" s="31" t="s">
        <v>200</v>
      </c>
      <c r="L44" s="31" t="s">
        <v>200</v>
      </c>
      <c r="M44" s="31" t="s">
        <v>200</v>
      </c>
      <c r="N44" s="31" t="s">
        <v>200</v>
      </c>
      <c r="O44" s="31" t="s">
        <v>200</v>
      </c>
      <c r="P44" s="31" t="s">
        <v>200</v>
      </c>
      <c r="Q44" s="31" t="s">
        <v>200</v>
      </c>
      <c r="R44" s="31" t="s">
        <v>200</v>
      </c>
      <c r="S44" s="31" t="s">
        <v>200</v>
      </c>
      <c r="T44" s="2"/>
      <c r="U44" s="2"/>
      <c r="V44" s="2"/>
      <c r="W44" s="2"/>
      <c r="X44" s="2"/>
      <c r="Y44" s="2"/>
      <c r="Z44" s="2"/>
    </row>
    <row r="45" spans="1:26" ht="14.25" customHeight="1">
      <c r="A45" s="15" t="s">
        <v>321</v>
      </c>
      <c r="B45" s="5" t="s">
        <v>322</v>
      </c>
      <c r="C45" s="5" t="s">
        <v>323</v>
      </c>
      <c r="D45" s="5" t="s">
        <v>323</v>
      </c>
      <c r="E45" s="5" t="s">
        <v>323</v>
      </c>
      <c r="F45" s="5" t="s">
        <v>323</v>
      </c>
      <c r="G45" s="5" t="s">
        <v>323</v>
      </c>
      <c r="H45" s="5" t="s">
        <v>323</v>
      </c>
      <c r="I45" s="5" t="s">
        <v>323</v>
      </c>
      <c r="J45" s="5" t="s">
        <v>323</v>
      </c>
      <c r="K45" s="5" t="s">
        <v>323</v>
      </c>
      <c r="L45" s="5" t="s">
        <v>323</v>
      </c>
      <c r="M45" s="5" t="s">
        <v>323</v>
      </c>
      <c r="N45" s="5" t="s">
        <v>323</v>
      </c>
      <c r="O45" s="5" t="s">
        <v>323</v>
      </c>
      <c r="P45" s="5" t="s">
        <v>323</v>
      </c>
      <c r="Q45" s="5" t="s">
        <v>323</v>
      </c>
      <c r="R45" s="5" t="s">
        <v>323</v>
      </c>
      <c r="S45" s="5" t="s">
        <v>323</v>
      </c>
      <c r="T45" s="2"/>
      <c r="U45" s="2"/>
      <c r="V45" s="2"/>
      <c r="W45" s="2"/>
      <c r="X45" s="2"/>
      <c r="Y45" s="2"/>
      <c r="Z45" s="2"/>
    </row>
    <row r="46" spans="1:26" ht="14.25" customHeight="1">
      <c r="A46" s="16" t="s">
        <v>324</v>
      </c>
      <c r="B46" s="11" t="s">
        <v>325</v>
      </c>
      <c r="C46" s="31" t="s">
        <v>200</v>
      </c>
      <c r="D46" s="31" t="s">
        <v>200</v>
      </c>
      <c r="E46" s="31" t="s">
        <v>200</v>
      </c>
      <c r="F46" s="31" t="s">
        <v>200</v>
      </c>
      <c r="G46" s="31" t="s">
        <v>200</v>
      </c>
      <c r="H46" s="31" t="s">
        <v>200</v>
      </c>
      <c r="I46" s="31" t="s">
        <v>200</v>
      </c>
      <c r="J46" s="31" t="s">
        <v>200</v>
      </c>
      <c r="K46" s="31" t="s">
        <v>200</v>
      </c>
      <c r="L46" s="31" t="s">
        <v>200</v>
      </c>
      <c r="M46" s="31" t="s">
        <v>200</v>
      </c>
      <c r="N46" s="31" t="s">
        <v>200</v>
      </c>
      <c r="O46" s="31" t="s">
        <v>200</v>
      </c>
      <c r="P46" s="31" t="s">
        <v>200</v>
      </c>
      <c r="Q46" s="31" t="s">
        <v>200</v>
      </c>
      <c r="R46" s="31" t="s">
        <v>200</v>
      </c>
      <c r="S46" s="31" t="s">
        <v>200</v>
      </c>
      <c r="T46" s="2"/>
      <c r="U46" s="2"/>
      <c r="V46" s="2"/>
      <c r="W46" s="2"/>
      <c r="X46" s="2"/>
      <c r="Y46" s="2"/>
      <c r="Z46" s="2"/>
    </row>
    <row r="47" spans="1:26" ht="14.25" customHeight="1">
      <c r="A47" s="16" t="s">
        <v>326</v>
      </c>
      <c r="B47" s="11" t="s">
        <v>327</v>
      </c>
      <c r="C47" s="31" t="s">
        <v>200</v>
      </c>
      <c r="D47" s="31" t="s">
        <v>200</v>
      </c>
      <c r="E47" s="28" t="s">
        <v>203</v>
      </c>
      <c r="F47" s="31" t="s">
        <v>200</v>
      </c>
      <c r="G47" s="31" t="s">
        <v>200</v>
      </c>
      <c r="H47" s="28" t="s">
        <v>203</v>
      </c>
      <c r="I47" s="28" t="s">
        <v>203</v>
      </c>
      <c r="J47" s="31" t="s">
        <v>200</v>
      </c>
      <c r="K47" s="31" t="s">
        <v>200</v>
      </c>
      <c r="L47" s="31" t="s">
        <v>200</v>
      </c>
      <c r="M47" s="31" t="s">
        <v>200</v>
      </c>
      <c r="N47" s="31" t="s">
        <v>200</v>
      </c>
      <c r="O47" s="31" t="s">
        <v>200</v>
      </c>
      <c r="P47" s="31" t="s">
        <v>200</v>
      </c>
      <c r="Q47" s="31" t="s">
        <v>200</v>
      </c>
      <c r="R47" s="31" t="s">
        <v>200</v>
      </c>
      <c r="S47" s="31" t="s">
        <v>200</v>
      </c>
      <c r="T47" s="2"/>
      <c r="U47" s="2"/>
      <c r="V47" s="2"/>
      <c r="W47" s="2"/>
      <c r="X47" s="2"/>
      <c r="Y47" s="2"/>
      <c r="Z47" s="2"/>
    </row>
    <row r="48" spans="1:26" ht="14.25" customHeight="1">
      <c r="A48" s="16" t="s">
        <v>328</v>
      </c>
      <c r="B48" s="11" t="s">
        <v>329</v>
      </c>
      <c r="C48" s="31" t="s">
        <v>200</v>
      </c>
      <c r="D48" s="31" t="s">
        <v>200</v>
      </c>
      <c r="E48" s="28" t="s">
        <v>203</v>
      </c>
      <c r="F48" s="31" t="s">
        <v>200</v>
      </c>
      <c r="G48" s="21" t="s">
        <v>330</v>
      </c>
      <c r="H48" s="28" t="s">
        <v>203</v>
      </c>
      <c r="I48" s="31" t="s">
        <v>200</v>
      </c>
      <c r="J48" s="31" t="s">
        <v>200</v>
      </c>
      <c r="K48" s="21" t="s">
        <v>331</v>
      </c>
      <c r="L48" s="21" t="s">
        <v>332</v>
      </c>
      <c r="M48" s="28" t="s">
        <v>203</v>
      </c>
      <c r="N48" s="31" t="s">
        <v>200</v>
      </c>
      <c r="O48" s="21" t="s">
        <v>333</v>
      </c>
      <c r="P48" s="31" t="s">
        <v>200</v>
      </c>
      <c r="Q48" s="31" t="s">
        <v>200</v>
      </c>
      <c r="R48" s="28" t="s">
        <v>203</v>
      </c>
      <c r="S48" s="28" t="s">
        <v>203</v>
      </c>
      <c r="T48" s="2"/>
      <c r="U48" s="2"/>
      <c r="V48" s="2"/>
      <c r="W48" s="2"/>
      <c r="X48" s="2"/>
      <c r="Y48" s="2"/>
      <c r="Z48" s="2"/>
    </row>
    <row r="49" spans="1:26" ht="14.25" customHeight="1">
      <c r="A49" s="16" t="s">
        <v>334</v>
      </c>
      <c r="B49" s="11" t="s">
        <v>335</v>
      </c>
      <c r="C49" s="31" t="s">
        <v>200</v>
      </c>
      <c r="D49" s="31" t="s">
        <v>200</v>
      </c>
      <c r="E49" s="31" t="s">
        <v>200</v>
      </c>
      <c r="F49" s="31" t="s">
        <v>200</v>
      </c>
      <c r="G49" s="31" t="s">
        <v>200</v>
      </c>
      <c r="H49" s="31" t="s">
        <v>200</v>
      </c>
      <c r="I49" s="31" t="s">
        <v>200</v>
      </c>
      <c r="J49" s="31" t="s">
        <v>200</v>
      </c>
      <c r="K49" s="31" t="s">
        <v>200</v>
      </c>
      <c r="L49" s="31" t="s">
        <v>200</v>
      </c>
      <c r="M49" s="31" t="s">
        <v>200</v>
      </c>
      <c r="N49" s="31" t="s">
        <v>200</v>
      </c>
      <c r="O49" s="31" t="s">
        <v>200</v>
      </c>
      <c r="P49" s="31" t="s">
        <v>200</v>
      </c>
      <c r="Q49" s="31" t="s">
        <v>200</v>
      </c>
      <c r="R49" s="31" t="s">
        <v>200</v>
      </c>
      <c r="S49" s="31" t="s">
        <v>200</v>
      </c>
      <c r="T49" s="2"/>
      <c r="U49" s="2"/>
      <c r="V49" s="2"/>
      <c r="W49" s="2"/>
      <c r="X49" s="2"/>
      <c r="Y49" s="2"/>
      <c r="Z49" s="2"/>
    </row>
    <row r="50" spans="1:26" ht="14.25" customHeight="1">
      <c r="A50" s="33" t="s">
        <v>336</v>
      </c>
      <c r="B50" s="1"/>
      <c r="C50" s="1"/>
      <c r="D50" s="1"/>
      <c r="E50" s="1"/>
      <c r="F50" s="1"/>
      <c r="G50" s="1"/>
      <c r="H50" s="1"/>
      <c r="I50" s="1"/>
      <c r="J50" s="1"/>
      <c r="K50" s="1"/>
      <c r="L50" s="1"/>
      <c r="M50" s="1"/>
      <c r="N50" s="1"/>
      <c r="O50" s="1"/>
      <c r="P50" s="1"/>
      <c r="Q50" s="1"/>
      <c r="R50" s="1"/>
      <c r="S50" s="1"/>
      <c r="T50" s="2"/>
      <c r="U50" s="2"/>
      <c r="V50" s="2"/>
      <c r="W50" s="2"/>
      <c r="X50" s="2"/>
      <c r="Y50" s="2"/>
      <c r="Z50" s="2"/>
    </row>
    <row r="51" spans="1:26" ht="14.25" customHeight="1">
      <c r="A51" s="14"/>
      <c r="B51" s="2"/>
      <c r="C51" s="1"/>
      <c r="D51" s="1"/>
      <c r="E51" s="1"/>
      <c r="F51" s="1"/>
      <c r="G51" s="1"/>
      <c r="H51" s="1"/>
      <c r="I51" s="1"/>
      <c r="J51" s="1"/>
      <c r="K51" s="1"/>
      <c r="L51" s="1"/>
      <c r="M51" s="1"/>
      <c r="N51" s="1"/>
      <c r="O51" s="1"/>
      <c r="P51" s="1"/>
      <c r="Q51" s="1"/>
      <c r="R51" s="1"/>
      <c r="S51" s="1"/>
      <c r="T51" s="2"/>
      <c r="U51" s="2"/>
      <c r="V51" s="2"/>
      <c r="W51" s="2"/>
      <c r="X51" s="2"/>
      <c r="Y51" s="2"/>
      <c r="Z51" s="2"/>
    </row>
    <row r="52" spans="1:26" ht="14.25" customHeight="1">
      <c r="A52" s="14"/>
      <c r="B52" s="2"/>
      <c r="C52" s="1"/>
      <c r="D52" s="1"/>
      <c r="E52" s="1"/>
      <c r="F52" s="1"/>
      <c r="G52" s="1"/>
      <c r="H52" s="1"/>
      <c r="I52" s="1"/>
      <c r="J52" s="1"/>
      <c r="K52" s="1"/>
      <c r="L52" s="1"/>
      <c r="M52" s="1"/>
      <c r="N52" s="1"/>
      <c r="O52" s="1"/>
      <c r="P52" s="1"/>
      <c r="Q52" s="1"/>
      <c r="R52" s="1"/>
      <c r="S52" s="1"/>
      <c r="T52" s="2"/>
      <c r="U52" s="2"/>
      <c r="V52" s="2"/>
      <c r="W52" s="2"/>
      <c r="X52" s="2"/>
      <c r="Y52" s="2"/>
      <c r="Z52" s="2"/>
    </row>
    <row r="53" spans="1:26" ht="14.25" customHeight="1">
      <c r="A53" s="14"/>
      <c r="B53" s="2"/>
      <c r="C53" s="1"/>
      <c r="D53" s="1"/>
      <c r="E53" s="1"/>
      <c r="F53" s="1"/>
      <c r="G53" s="1"/>
      <c r="H53" s="1"/>
      <c r="I53" s="1"/>
      <c r="J53" s="1"/>
      <c r="K53" s="1"/>
      <c r="L53" s="1"/>
      <c r="M53" s="1"/>
      <c r="N53" s="1"/>
      <c r="O53" s="1"/>
      <c r="P53" s="1"/>
      <c r="Q53" s="1"/>
      <c r="R53" s="1"/>
      <c r="S53" s="1"/>
      <c r="T53" s="2"/>
      <c r="U53" s="2"/>
      <c r="V53" s="2"/>
      <c r="W53" s="2"/>
      <c r="X53" s="2"/>
      <c r="Y53" s="2"/>
      <c r="Z53" s="2"/>
    </row>
    <row r="54" spans="1:26" ht="14.25" customHeight="1">
      <c r="A54" s="14"/>
      <c r="B54" s="2"/>
      <c r="C54" s="1"/>
      <c r="D54" s="1"/>
      <c r="E54" s="1"/>
      <c r="F54" s="1"/>
      <c r="G54" s="1"/>
      <c r="H54" s="1"/>
      <c r="I54" s="1"/>
      <c r="J54" s="1"/>
      <c r="K54" s="1"/>
      <c r="L54" s="1"/>
      <c r="M54" s="1"/>
      <c r="N54" s="1"/>
      <c r="O54" s="1"/>
      <c r="P54" s="1"/>
      <c r="Q54" s="1"/>
      <c r="R54" s="1"/>
      <c r="S54" s="1"/>
      <c r="T54" s="2"/>
      <c r="U54" s="2"/>
      <c r="V54" s="2"/>
      <c r="W54" s="2"/>
      <c r="X54" s="2"/>
      <c r="Y54" s="2"/>
      <c r="Z54" s="2"/>
    </row>
    <row r="55" spans="1:26" ht="14.25" customHeight="1">
      <c r="A55" s="14"/>
      <c r="B55" s="2"/>
      <c r="C55" s="1"/>
      <c r="D55" s="1"/>
      <c r="E55" s="1"/>
      <c r="F55" s="1"/>
      <c r="G55" s="1"/>
      <c r="H55" s="1"/>
      <c r="I55" s="1"/>
      <c r="J55" s="1"/>
      <c r="K55" s="1"/>
      <c r="L55" s="1"/>
      <c r="M55" s="1"/>
      <c r="N55" s="1"/>
      <c r="O55" s="1"/>
      <c r="P55" s="1"/>
      <c r="Q55" s="1"/>
      <c r="R55" s="1"/>
      <c r="S55" s="1"/>
      <c r="T55" s="2"/>
      <c r="U55" s="2"/>
      <c r="V55" s="2"/>
      <c r="W55" s="2"/>
      <c r="X55" s="2"/>
      <c r="Y55" s="2"/>
      <c r="Z55" s="2"/>
    </row>
    <row r="56" spans="1:26" ht="14.25" customHeight="1">
      <c r="A56" s="14"/>
      <c r="B56" s="2"/>
      <c r="C56" s="1"/>
      <c r="D56" s="1"/>
      <c r="E56" s="1"/>
      <c r="F56" s="1"/>
      <c r="G56" s="1"/>
      <c r="H56" s="1"/>
      <c r="I56" s="1"/>
      <c r="J56" s="1"/>
      <c r="K56" s="1"/>
      <c r="L56" s="1"/>
      <c r="M56" s="1"/>
      <c r="N56" s="1"/>
      <c r="O56" s="1"/>
      <c r="P56" s="1"/>
      <c r="Q56" s="1"/>
      <c r="R56" s="1"/>
      <c r="S56" s="1"/>
      <c r="T56" s="2"/>
      <c r="U56" s="2"/>
      <c r="V56" s="2"/>
      <c r="W56" s="2"/>
      <c r="X56" s="2"/>
      <c r="Y56" s="2"/>
      <c r="Z56" s="2"/>
    </row>
    <row r="57" spans="1:26" ht="14.25" customHeight="1">
      <c r="A57" s="14"/>
      <c r="B57" s="2"/>
      <c r="C57" s="1"/>
      <c r="D57" s="1"/>
      <c r="E57" s="1"/>
      <c r="F57" s="1"/>
      <c r="G57" s="1"/>
      <c r="H57" s="1"/>
      <c r="I57" s="1"/>
      <c r="J57" s="1"/>
      <c r="K57" s="1"/>
      <c r="L57" s="1"/>
      <c r="M57" s="1"/>
      <c r="N57" s="1"/>
      <c r="O57" s="1"/>
      <c r="P57" s="1"/>
      <c r="Q57" s="1"/>
      <c r="R57" s="1"/>
      <c r="S57" s="1"/>
      <c r="T57" s="2"/>
      <c r="U57" s="2"/>
      <c r="V57" s="2"/>
      <c r="W57" s="2"/>
      <c r="X57" s="2"/>
      <c r="Y57" s="2"/>
      <c r="Z57" s="2"/>
    </row>
    <row r="58" spans="1:26" ht="14.25" customHeight="1">
      <c r="A58" s="14"/>
      <c r="B58" s="2"/>
      <c r="C58" s="1"/>
      <c r="D58" s="1"/>
      <c r="E58" s="1"/>
      <c r="F58" s="1"/>
      <c r="G58" s="1"/>
      <c r="H58" s="1"/>
      <c r="I58" s="1"/>
      <c r="J58" s="1"/>
      <c r="K58" s="1"/>
      <c r="L58" s="1"/>
      <c r="M58" s="1"/>
      <c r="N58" s="1"/>
      <c r="O58" s="1"/>
      <c r="P58" s="1"/>
      <c r="Q58" s="1"/>
      <c r="R58" s="1"/>
      <c r="S58" s="1"/>
      <c r="T58" s="2"/>
      <c r="U58" s="2"/>
      <c r="V58" s="2"/>
      <c r="W58" s="2"/>
      <c r="X58" s="2"/>
      <c r="Y58" s="2"/>
      <c r="Z58" s="2"/>
    </row>
    <row r="59" spans="1:26" ht="14.25" customHeight="1">
      <c r="A59" s="14"/>
      <c r="B59" s="2"/>
      <c r="C59" s="1"/>
      <c r="D59" s="1"/>
      <c r="E59" s="1"/>
      <c r="F59" s="1"/>
      <c r="G59" s="1"/>
      <c r="H59" s="1"/>
      <c r="I59" s="1"/>
      <c r="J59" s="1"/>
      <c r="K59" s="1"/>
      <c r="L59" s="1"/>
      <c r="M59" s="1"/>
      <c r="N59" s="1"/>
      <c r="O59" s="1"/>
      <c r="P59" s="1"/>
      <c r="Q59" s="1"/>
      <c r="R59" s="1"/>
      <c r="S59" s="1"/>
      <c r="T59" s="2"/>
      <c r="U59" s="2"/>
      <c r="V59" s="2"/>
      <c r="W59" s="2"/>
      <c r="X59" s="2"/>
      <c r="Y59" s="2"/>
      <c r="Z59" s="2"/>
    </row>
    <row r="60" spans="1:26" ht="14.25" customHeight="1">
      <c r="A60" s="14"/>
      <c r="B60" s="2"/>
      <c r="C60" s="1"/>
      <c r="D60" s="1"/>
      <c r="E60" s="1"/>
      <c r="F60" s="1"/>
      <c r="G60" s="1"/>
      <c r="H60" s="1"/>
      <c r="I60" s="1"/>
      <c r="J60" s="1"/>
      <c r="K60" s="1"/>
      <c r="L60" s="1"/>
      <c r="M60" s="1"/>
      <c r="N60" s="1"/>
      <c r="O60" s="1"/>
      <c r="P60" s="1"/>
      <c r="Q60" s="1"/>
      <c r="R60" s="1"/>
      <c r="S60" s="1"/>
      <c r="T60" s="2"/>
      <c r="U60" s="2"/>
      <c r="V60" s="2"/>
      <c r="W60" s="2"/>
      <c r="X60" s="2"/>
      <c r="Y60" s="2"/>
      <c r="Z60" s="2"/>
    </row>
    <row r="61" spans="1:26" ht="14.25" customHeight="1">
      <c r="A61" s="14"/>
      <c r="B61" s="2"/>
      <c r="C61" s="1"/>
      <c r="D61" s="1"/>
      <c r="E61" s="1"/>
      <c r="F61" s="1"/>
      <c r="G61" s="1"/>
      <c r="H61" s="1"/>
      <c r="I61" s="1"/>
      <c r="J61" s="1"/>
      <c r="K61" s="1"/>
      <c r="L61" s="1"/>
      <c r="M61" s="1"/>
      <c r="N61" s="1"/>
      <c r="O61" s="1"/>
      <c r="P61" s="1"/>
      <c r="Q61" s="1"/>
      <c r="R61" s="1"/>
      <c r="S61" s="1"/>
      <c r="T61" s="2"/>
      <c r="U61" s="2"/>
      <c r="V61" s="2"/>
      <c r="W61" s="2"/>
      <c r="X61" s="2"/>
      <c r="Y61" s="2"/>
      <c r="Z61" s="2"/>
    </row>
    <row r="62" spans="1:26" ht="14.25" customHeight="1">
      <c r="A62" s="14"/>
      <c r="B62" s="2"/>
      <c r="C62" s="1"/>
      <c r="D62" s="1"/>
      <c r="E62" s="1"/>
      <c r="F62" s="1"/>
      <c r="G62" s="1"/>
      <c r="H62" s="1"/>
      <c r="I62" s="1"/>
      <c r="J62" s="1"/>
      <c r="K62" s="1"/>
      <c r="L62" s="1"/>
      <c r="M62" s="1"/>
      <c r="N62" s="1"/>
      <c r="O62" s="1"/>
      <c r="P62" s="1"/>
      <c r="Q62" s="1"/>
      <c r="R62" s="1"/>
      <c r="S62" s="1"/>
      <c r="T62" s="2"/>
      <c r="U62" s="2"/>
      <c r="V62" s="2"/>
      <c r="W62" s="2"/>
      <c r="X62" s="2"/>
      <c r="Y62" s="2"/>
      <c r="Z62" s="2"/>
    </row>
    <row r="63" spans="1:26" ht="14.25" customHeight="1">
      <c r="A63" s="14"/>
      <c r="B63" s="2"/>
      <c r="C63" s="1"/>
      <c r="D63" s="1"/>
      <c r="E63" s="1"/>
      <c r="F63" s="1"/>
      <c r="G63" s="1"/>
      <c r="H63" s="1"/>
      <c r="I63" s="1"/>
      <c r="J63" s="1"/>
      <c r="K63" s="1"/>
      <c r="L63" s="1"/>
      <c r="M63" s="1"/>
      <c r="N63" s="1"/>
      <c r="O63" s="1"/>
      <c r="P63" s="1"/>
      <c r="Q63" s="1"/>
      <c r="R63" s="1"/>
      <c r="S63" s="1"/>
      <c r="T63" s="2"/>
      <c r="U63" s="2"/>
      <c r="V63" s="2"/>
      <c r="W63" s="2"/>
      <c r="X63" s="2"/>
      <c r="Y63" s="2"/>
      <c r="Z63" s="2"/>
    </row>
    <row r="64" spans="1:26" ht="14.25" customHeight="1">
      <c r="A64" s="14"/>
      <c r="B64" s="2"/>
      <c r="C64" s="1"/>
      <c r="D64" s="1"/>
      <c r="E64" s="1"/>
      <c r="F64" s="1"/>
      <c r="G64" s="1"/>
      <c r="H64" s="1"/>
      <c r="I64" s="1"/>
      <c r="J64" s="1"/>
      <c r="K64" s="1"/>
      <c r="L64" s="1"/>
      <c r="M64" s="1"/>
      <c r="N64" s="1"/>
      <c r="O64" s="1"/>
      <c r="P64" s="1"/>
      <c r="Q64" s="1"/>
      <c r="R64" s="1"/>
      <c r="S64" s="1"/>
      <c r="T64" s="2"/>
      <c r="U64" s="2"/>
      <c r="V64" s="2"/>
      <c r="W64" s="2"/>
      <c r="X64" s="2"/>
      <c r="Y64" s="2"/>
      <c r="Z64" s="2"/>
    </row>
    <row r="65" spans="1:26" ht="14.25" customHeight="1">
      <c r="A65" s="14"/>
      <c r="B65" s="2"/>
      <c r="C65" s="1"/>
      <c r="D65" s="1"/>
      <c r="E65" s="1"/>
      <c r="F65" s="1"/>
      <c r="G65" s="1"/>
      <c r="H65" s="1"/>
      <c r="I65" s="1"/>
      <c r="J65" s="1"/>
      <c r="K65" s="1"/>
      <c r="L65" s="1"/>
      <c r="M65" s="1"/>
      <c r="N65" s="1"/>
      <c r="O65" s="1"/>
      <c r="P65" s="1"/>
      <c r="Q65" s="1"/>
      <c r="R65" s="1"/>
      <c r="S65" s="1"/>
      <c r="T65" s="2"/>
      <c r="U65" s="2"/>
      <c r="V65" s="2"/>
      <c r="W65" s="2"/>
      <c r="X65" s="2"/>
      <c r="Y65" s="2"/>
      <c r="Z65" s="2"/>
    </row>
    <row r="66" spans="1:26" ht="14.25" customHeight="1">
      <c r="A66" s="14"/>
      <c r="B66" s="2"/>
      <c r="C66" s="1"/>
      <c r="D66" s="1"/>
      <c r="E66" s="1"/>
      <c r="F66" s="1"/>
      <c r="G66" s="1"/>
      <c r="H66" s="1"/>
      <c r="I66" s="1"/>
      <c r="J66" s="1"/>
      <c r="K66" s="1"/>
      <c r="L66" s="1"/>
      <c r="M66" s="1"/>
      <c r="N66" s="1"/>
      <c r="O66" s="1"/>
      <c r="P66" s="1"/>
      <c r="Q66" s="1"/>
      <c r="R66" s="1"/>
      <c r="S66" s="1"/>
      <c r="T66" s="2"/>
      <c r="U66" s="2"/>
      <c r="V66" s="2"/>
      <c r="W66" s="2"/>
      <c r="X66" s="2"/>
      <c r="Y66" s="2"/>
      <c r="Z66" s="2"/>
    </row>
    <row r="67" spans="1:26" ht="14.25" customHeight="1">
      <c r="A67" s="14"/>
      <c r="B67" s="2"/>
      <c r="C67" s="1"/>
      <c r="D67" s="1"/>
      <c r="E67" s="1"/>
      <c r="F67" s="1"/>
      <c r="G67" s="1"/>
      <c r="H67" s="1"/>
      <c r="I67" s="1"/>
      <c r="J67" s="1"/>
      <c r="K67" s="1"/>
      <c r="L67" s="1"/>
      <c r="M67" s="1"/>
      <c r="N67" s="1"/>
      <c r="O67" s="1"/>
      <c r="P67" s="1"/>
      <c r="Q67" s="1"/>
      <c r="R67" s="1"/>
      <c r="S67" s="1"/>
      <c r="T67" s="2"/>
      <c r="U67" s="2"/>
      <c r="V67" s="2"/>
      <c r="W67" s="2"/>
      <c r="X67" s="2"/>
      <c r="Y67" s="2"/>
      <c r="Z67" s="2"/>
    </row>
    <row r="68" spans="1:26" ht="14.25" customHeight="1">
      <c r="A68" s="14"/>
      <c r="B68" s="2"/>
      <c r="C68" s="1"/>
      <c r="D68" s="1"/>
      <c r="E68" s="1"/>
      <c r="F68" s="1"/>
      <c r="G68" s="1"/>
      <c r="H68" s="1"/>
      <c r="I68" s="1"/>
      <c r="J68" s="1"/>
      <c r="K68" s="1"/>
      <c r="L68" s="1"/>
      <c r="M68" s="1"/>
      <c r="N68" s="1"/>
      <c r="O68" s="1"/>
      <c r="P68" s="1"/>
      <c r="Q68" s="1"/>
      <c r="R68" s="1"/>
      <c r="S68" s="1"/>
      <c r="T68" s="2"/>
      <c r="U68" s="2"/>
      <c r="V68" s="2"/>
      <c r="W68" s="2"/>
      <c r="X68" s="2"/>
      <c r="Y68" s="2"/>
      <c r="Z68" s="2"/>
    </row>
    <row r="69" spans="1:26" ht="14.25" customHeight="1">
      <c r="A69" s="14"/>
      <c r="B69" s="2"/>
      <c r="C69" s="1"/>
      <c r="D69" s="1"/>
      <c r="E69" s="1"/>
      <c r="F69" s="1"/>
      <c r="G69" s="1"/>
      <c r="H69" s="1"/>
      <c r="I69" s="1"/>
      <c r="J69" s="1"/>
      <c r="K69" s="1"/>
      <c r="L69" s="1"/>
      <c r="M69" s="1"/>
      <c r="N69" s="1"/>
      <c r="O69" s="1"/>
      <c r="P69" s="1"/>
      <c r="Q69" s="1"/>
      <c r="R69" s="1"/>
      <c r="S69" s="1"/>
      <c r="T69" s="2"/>
      <c r="U69" s="2"/>
      <c r="V69" s="2"/>
      <c r="W69" s="2"/>
      <c r="X69" s="2"/>
      <c r="Y69" s="2"/>
      <c r="Z69" s="2"/>
    </row>
    <row r="70" spans="1:26" ht="14.25" customHeight="1">
      <c r="A70" s="14"/>
      <c r="B70" s="2"/>
      <c r="C70" s="1"/>
      <c r="D70" s="1"/>
      <c r="E70" s="1"/>
      <c r="F70" s="1"/>
      <c r="G70" s="1"/>
      <c r="H70" s="1"/>
      <c r="I70" s="1"/>
      <c r="J70" s="1"/>
      <c r="K70" s="1"/>
      <c r="L70" s="1"/>
      <c r="M70" s="1"/>
      <c r="N70" s="1"/>
      <c r="O70" s="1"/>
      <c r="P70" s="1"/>
      <c r="Q70" s="1"/>
      <c r="R70" s="1"/>
      <c r="S70" s="1"/>
      <c r="T70" s="2"/>
      <c r="U70" s="2"/>
      <c r="V70" s="2"/>
      <c r="W70" s="2"/>
      <c r="X70" s="2"/>
      <c r="Y70" s="2"/>
      <c r="Z70" s="2"/>
    </row>
    <row r="71" spans="1:26" ht="14.25" customHeight="1">
      <c r="A71" s="14"/>
      <c r="B71" s="2"/>
      <c r="C71" s="1"/>
      <c r="D71" s="1"/>
      <c r="E71" s="1"/>
      <c r="F71" s="1"/>
      <c r="G71" s="1"/>
      <c r="H71" s="1"/>
      <c r="I71" s="1"/>
      <c r="J71" s="1"/>
      <c r="K71" s="1"/>
      <c r="L71" s="1"/>
      <c r="M71" s="1"/>
      <c r="N71" s="1"/>
      <c r="O71" s="1"/>
      <c r="P71" s="1"/>
      <c r="Q71" s="1"/>
      <c r="R71" s="1"/>
      <c r="S71" s="1"/>
      <c r="T71" s="2"/>
      <c r="U71" s="2"/>
      <c r="V71" s="2"/>
      <c r="W71" s="2"/>
      <c r="X71" s="2"/>
      <c r="Y71" s="2"/>
      <c r="Z71" s="2"/>
    </row>
    <row r="72" spans="1:26" ht="14.25" customHeight="1">
      <c r="A72" s="14"/>
      <c r="B72" s="2"/>
      <c r="C72" s="1"/>
      <c r="D72" s="1"/>
      <c r="E72" s="1"/>
      <c r="F72" s="1"/>
      <c r="G72" s="1"/>
      <c r="H72" s="1"/>
      <c r="I72" s="1"/>
      <c r="J72" s="1"/>
      <c r="K72" s="1"/>
      <c r="L72" s="1"/>
      <c r="M72" s="1"/>
      <c r="N72" s="1"/>
      <c r="O72" s="1"/>
      <c r="P72" s="1"/>
      <c r="Q72" s="1"/>
      <c r="R72" s="1"/>
      <c r="S72" s="1"/>
      <c r="T72" s="2"/>
      <c r="U72" s="2"/>
      <c r="V72" s="2"/>
      <c r="W72" s="2"/>
      <c r="X72" s="2"/>
      <c r="Y72" s="2"/>
      <c r="Z72" s="2"/>
    </row>
    <row r="73" spans="1:26" ht="14.25" customHeight="1">
      <c r="A73" s="14"/>
      <c r="B73" s="2"/>
      <c r="C73" s="1"/>
      <c r="D73" s="1"/>
      <c r="E73" s="1"/>
      <c r="F73" s="1"/>
      <c r="G73" s="1"/>
      <c r="H73" s="1"/>
      <c r="I73" s="1"/>
      <c r="J73" s="1"/>
      <c r="K73" s="1"/>
      <c r="L73" s="1"/>
      <c r="M73" s="1"/>
      <c r="N73" s="1"/>
      <c r="O73" s="1"/>
      <c r="P73" s="1"/>
      <c r="Q73" s="1"/>
      <c r="R73" s="1"/>
      <c r="S73" s="1"/>
      <c r="T73" s="2"/>
      <c r="U73" s="2"/>
      <c r="V73" s="2"/>
      <c r="W73" s="2"/>
      <c r="X73" s="2"/>
      <c r="Y73" s="2"/>
      <c r="Z73" s="2"/>
    </row>
    <row r="74" spans="1:26" ht="14.25" customHeight="1">
      <c r="A74" s="14"/>
      <c r="B74" s="2"/>
      <c r="C74" s="1"/>
      <c r="D74" s="1"/>
      <c r="E74" s="1"/>
      <c r="F74" s="1"/>
      <c r="G74" s="1"/>
      <c r="H74" s="1"/>
      <c r="I74" s="1"/>
      <c r="J74" s="1"/>
      <c r="K74" s="1"/>
      <c r="L74" s="1"/>
      <c r="M74" s="1"/>
      <c r="N74" s="1"/>
      <c r="O74" s="1"/>
      <c r="P74" s="1"/>
      <c r="Q74" s="1"/>
      <c r="R74" s="1"/>
      <c r="S74" s="1"/>
      <c r="T74" s="2"/>
      <c r="U74" s="2"/>
      <c r="V74" s="2"/>
      <c r="W74" s="2"/>
      <c r="X74" s="2"/>
      <c r="Y74" s="2"/>
      <c r="Z74" s="2"/>
    </row>
    <row r="75" spans="1:26" ht="14.25" customHeight="1">
      <c r="A75" s="14"/>
      <c r="B75" s="2"/>
      <c r="C75" s="1"/>
      <c r="D75" s="1"/>
      <c r="E75" s="1"/>
      <c r="F75" s="1"/>
      <c r="G75" s="1"/>
      <c r="H75" s="1"/>
      <c r="I75" s="1"/>
      <c r="J75" s="1"/>
      <c r="K75" s="1"/>
      <c r="L75" s="1"/>
      <c r="M75" s="1"/>
      <c r="N75" s="1"/>
      <c r="O75" s="1"/>
      <c r="P75" s="1"/>
      <c r="Q75" s="1"/>
      <c r="R75" s="1"/>
      <c r="S75" s="1"/>
      <c r="T75" s="2"/>
      <c r="U75" s="2"/>
      <c r="V75" s="2"/>
      <c r="W75" s="2"/>
      <c r="X75" s="2"/>
      <c r="Y75" s="2"/>
      <c r="Z75" s="2"/>
    </row>
    <row r="76" spans="1:26" ht="14.25" customHeight="1">
      <c r="A76" s="14"/>
      <c r="B76" s="2"/>
      <c r="C76" s="1"/>
      <c r="D76" s="1"/>
      <c r="E76" s="1"/>
      <c r="F76" s="1"/>
      <c r="G76" s="1"/>
      <c r="H76" s="1"/>
      <c r="I76" s="1"/>
      <c r="J76" s="1"/>
      <c r="K76" s="1"/>
      <c r="L76" s="1"/>
      <c r="M76" s="1"/>
      <c r="N76" s="1"/>
      <c r="O76" s="1"/>
      <c r="P76" s="1"/>
      <c r="Q76" s="1"/>
      <c r="R76" s="1"/>
      <c r="S76" s="1"/>
      <c r="T76" s="2"/>
      <c r="U76" s="2"/>
      <c r="V76" s="2"/>
      <c r="W76" s="2"/>
      <c r="X76" s="2"/>
      <c r="Y76" s="2"/>
      <c r="Z76" s="2"/>
    </row>
    <row r="77" spans="1:26" ht="14.25" customHeight="1">
      <c r="A77" s="14"/>
      <c r="B77" s="2"/>
      <c r="C77" s="1"/>
      <c r="D77" s="1"/>
      <c r="E77" s="1"/>
      <c r="F77" s="1"/>
      <c r="G77" s="1"/>
      <c r="H77" s="1"/>
      <c r="I77" s="1"/>
      <c r="J77" s="1"/>
      <c r="K77" s="1"/>
      <c r="L77" s="1"/>
      <c r="M77" s="1"/>
      <c r="N77" s="1"/>
      <c r="O77" s="1"/>
      <c r="P77" s="1"/>
      <c r="Q77" s="1"/>
      <c r="R77" s="1"/>
      <c r="S77" s="1"/>
      <c r="T77" s="2"/>
      <c r="U77" s="2"/>
      <c r="V77" s="2"/>
      <c r="W77" s="2"/>
      <c r="X77" s="2"/>
      <c r="Y77" s="2"/>
      <c r="Z77" s="2"/>
    </row>
    <row r="78" spans="1:26" ht="14.25" customHeight="1">
      <c r="A78" s="14"/>
      <c r="B78" s="2"/>
      <c r="C78" s="1"/>
      <c r="D78" s="1"/>
      <c r="E78" s="1"/>
      <c r="F78" s="1"/>
      <c r="G78" s="1"/>
      <c r="H78" s="1"/>
      <c r="I78" s="1"/>
      <c r="J78" s="1"/>
      <c r="K78" s="1"/>
      <c r="L78" s="1"/>
      <c r="M78" s="1"/>
      <c r="N78" s="1"/>
      <c r="O78" s="1"/>
      <c r="P78" s="1"/>
      <c r="Q78" s="1"/>
      <c r="R78" s="1"/>
      <c r="S78" s="1"/>
      <c r="T78" s="2"/>
      <c r="U78" s="2"/>
      <c r="V78" s="2"/>
      <c r="W78" s="2"/>
      <c r="X78" s="2"/>
      <c r="Y78" s="2"/>
      <c r="Z78" s="2"/>
    </row>
    <row r="79" spans="1:26" ht="14.25" customHeight="1">
      <c r="A79" s="14"/>
      <c r="B79" s="2"/>
      <c r="C79" s="1"/>
      <c r="D79" s="1"/>
      <c r="E79" s="1"/>
      <c r="F79" s="1"/>
      <c r="G79" s="1"/>
      <c r="H79" s="1"/>
      <c r="I79" s="1"/>
      <c r="J79" s="1"/>
      <c r="K79" s="1"/>
      <c r="L79" s="1"/>
      <c r="M79" s="1"/>
      <c r="N79" s="1"/>
      <c r="O79" s="1"/>
      <c r="P79" s="1"/>
      <c r="Q79" s="1"/>
      <c r="R79" s="1"/>
      <c r="S79" s="1"/>
      <c r="T79" s="2"/>
      <c r="U79" s="2"/>
      <c r="V79" s="2"/>
      <c r="W79" s="2"/>
      <c r="X79" s="2"/>
      <c r="Y79" s="2"/>
      <c r="Z79" s="2"/>
    </row>
    <row r="80" spans="1:26" ht="14.25" customHeight="1">
      <c r="A80" s="14"/>
      <c r="B80" s="2"/>
      <c r="C80" s="1"/>
      <c r="D80" s="1"/>
      <c r="E80" s="1"/>
      <c r="F80" s="1"/>
      <c r="G80" s="1"/>
      <c r="H80" s="1"/>
      <c r="I80" s="1"/>
      <c r="J80" s="1"/>
      <c r="K80" s="1"/>
      <c r="L80" s="1"/>
      <c r="M80" s="1"/>
      <c r="N80" s="1"/>
      <c r="O80" s="1"/>
      <c r="P80" s="1"/>
      <c r="Q80" s="1"/>
      <c r="R80" s="1"/>
      <c r="S80" s="1"/>
      <c r="T80" s="2"/>
      <c r="U80" s="2"/>
      <c r="V80" s="2"/>
      <c r="W80" s="2"/>
      <c r="X80" s="2"/>
      <c r="Y80" s="2"/>
      <c r="Z80" s="2"/>
    </row>
    <row r="81" spans="1:26" ht="14.25" customHeight="1">
      <c r="A81" s="14"/>
      <c r="B81" s="2"/>
      <c r="C81" s="1"/>
      <c r="D81" s="1"/>
      <c r="E81" s="1"/>
      <c r="F81" s="1"/>
      <c r="G81" s="1"/>
      <c r="H81" s="1"/>
      <c r="I81" s="1"/>
      <c r="J81" s="1"/>
      <c r="K81" s="1"/>
      <c r="L81" s="1"/>
      <c r="M81" s="1"/>
      <c r="N81" s="1"/>
      <c r="O81" s="1"/>
      <c r="P81" s="1"/>
      <c r="Q81" s="1"/>
      <c r="R81" s="1"/>
      <c r="S81" s="1"/>
      <c r="T81" s="2"/>
      <c r="U81" s="2"/>
      <c r="V81" s="2"/>
      <c r="W81" s="2"/>
      <c r="X81" s="2"/>
      <c r="Y81" s="2"/>
      <c r="Z81" s="2"/>
    </row>
    <row r="82" spans="1:26" ht="14.25" customHeight="1">
      <c r="A82" s="14"/>
      <c r="B82" s="2"/>
      <c r="C82" s="1"/>
      <c r="D82" s="1"/>
      <c r="E82" s="1"/>
      <c r="F82" s="1"/>
      <c r="G82" s="1"/>
      <c r="H82" s="1"/>
      <c r="I82" s="1"/>
      <c r="J82" s="1"/>
      <c r="K82" s="1"/>
      <c r="L82" s="1"/>
      <c r="M82" s="1"/>
      <c r="N82" s="1"/>
      <c r="O82" s="1"/>
      <c r="P82" s="1"/>
      <c r="Q82" s="1"/>
      <c r="R82" s="1"/>
      <c r="S82" s="1"/>
      <c r="T82" s="2"/>
      <c r="U82" s="2"/>
      <c r="V82" s="2"/>
      <c r="W82" s="2"/>
      <c r="X82" s="2"/>
      <c r="Y82" s="2"/>
      <c r="Z82" s="2"/>
    </row>
    <row r="83" spans="1:26" ht="14.25" customHeight="1">
      <c r="A83" s="14"/>
      <c r="B83" s="2"/>
      <c r="C83" s="1"/>
      <c r="D83" s="1"/>
      <c r="E83" s="1"/>
      <c r="F83" s="1"/>
      <c r="G83" s="1"/>
      <c r="H83" s="1"/>
      <c r="I83" s="1"/>
      <c r="J83" s="1"/>
      <c r="K83" s="1"/>
      <c r="L83" s="1"/>
      <c r="M83" s="1"/>
      <c r="N83" s="1"/>
      <c r="O83" s="1"/>
      <c r="P83" s="1"/>
      <c r="Q83" s="1"/>
      <c r="R83" s="1"/>
      <c r="S83" s="1"/>
      <c r="T83" s="2"/>
      <c r="U83" s="2"/>
      <c r="V83" s="2"/>
      <c r="W83" s="2"/>
      <c r="X83" s="2"/>
      <c r="Y83" s="2"/>
      <c r="Z83" s="2"/>
    </row>
    <row r="84" spans="1:26" ht="14.25" customHeight="1">
      <c r="A84" s="14"/>
      <c r="B84" s="2"/>
      <c r="C84" s="1"/>
      <c r="D84" s="1"/>
      <c r="E84" s="1"/>
      <c r="F84" s="1"/>
      <c r="G84" s="1"/>
      <c r="H84" s="1"/>
      <c r="I84" s="1"/>
      <c r="J84" s="1"/>
      <c r="K84" s="1"/>
      <c r="L84" s="1"/>
      <c r="M84" s="1"/>
      <c r="N84" s="1"/>
      <c r="O84" s="1"/>
      <c r="P84" s="1"/>
      <c r="Q84" s="1"/>
      <c r="R84" s="1"/>
      <c r="S84" s="1"/>
      <c r="T84" s="2"/>
      <c r="U84" s="2"/>
      <c r="V84" s="2"/>
      <c r="W84" s="2"/>
      <c r="X84" s="2"/>
      <c r="Y84" s="2"/>
      <c r="Z84" s="2"/>
    </row>
    <row r="85" spans="1:26" ht="14.25" customHeight="1">
      <c r="A85" s="14"/>
      <c r="B85" s="2"/>
      <c r="C85" s="1"/>
      <c r="D85" s="1"/>
      <c r="E85" s="1"/>
      <c r="F85" s="1"/>
      <c r="G85" s="1"/>
      <c r="H85" s="1"/>
      <c r="I85" s="1"/>
      <c r="J85" s="1"/>
      <c r="K85" s="1"/>
      <c r="L85" s="1"/>
      <c r="M85" s="1"/>
      <c r="N85" s="1"/>
      <c r="O85" s="1"/>
      <c r="P85" s="1"/>
      <c r="Q85" s="1"/>
      <c r="R85" s="1"/>
      <c r="S85" s="1"/>
      <c r="T85" s="2"/>
      <c r="U85" s="2"/>
      <c r="V85" s="2"/>
      <c r="W85" s="2"/>
      <c r="X85" s="2"/>
      <c r="Y85" s="2"/>
      <c r="Z85" s="2"/>
    </row>
    <row r="86" spans="1:26" ht="14.25" customHeight="1">
      <c r="A86" s="14"/>
      <c r="B86" s="2"/>
      <c r="C86" s="1"/>
      <c r="D86" s="1"/>
      <c r="E86" s="1"/>
      <c r="F86" s="1"/>
      <c r="G86" s="1"/>
      <c r="H86" s="1"/>
      <c r="I86" s="1"/>
      <c r="J86" s="1"/>
      <c r="K86" s="1"/>
      <c r="L86" s="1"/>
      <c r="M86" s="1"/>
      <c r="N86" s="1"/>
      <c r="O86" s="1"/>
      <c r="P86" s="1"/>
      <c r="Q86" s="1"/>
      <c r="R86" s="1"/>
      <c r="S86" s="1"/>
      <c r="T86" s="2"/>
      <c r="U86" s="2"/>
      <c r="V86" s="2"/>
      <c r="W86" s="2"/>
      <c r="X86" s="2"/>
      <c r="Y86" s="2"/>
      <c r="Z86" s="2"/>
    </row>
    <row r="87" spans="1:26" ht="14.25" customHeight="1">
      <c r="A87" s="14"/>
      <c r="B87" s="2"/>
      <c r="C87" s="1"/>
      <c r="D87" s="1"/>
      <c r="E87" s="1"/>
      <c r="F87" s="1"/>
      <c r="G87" s="1"/>
      <c r="H87" s="1"/>
      <c r="I87" s="1"/>
      <c r="J87" s="1"/>
      <c r="K87" s="1"/>
      <c r="L87" s="1"/>
      <c r="M87" s="1"/>
      <c r="N87" s="1"/>
      <c r="O87" s="1"/>
      <c r="P87" s="1"/>
      <c r="Q87" s="1"/>
      <c r="R87" s="1"/>
      <c r="S87" s="1"/>
      <c r="T87" s="2"/>
      <c r="U87" s="2"/>
      <c r="V87" s="2"/>
      <c r="W87" s="2"/>
      <c r="X87" s="2"/>
      <c r="Y87" s="2"/>
      <c r="Z87" s="2"/>
    </row>
    <row r="88" spans="1:26" ht="14.25" customHeight="1">
      <c r="A88" s="14"/>
      <c r="B88" s="2"/>
      <c r="C88" s="1"/>
      <c r="D88" s="1"/>
      <c r="E88" s="1"/>
      <c r="F88" s="1"/>
      <c r="G88" s="1"/>
      <c r="H88" s="1"/>
      <c r="I88" s="1"/>
      <c r="J88" s="1"/>
      <c r="K88" s="1"/>
      <c r="L88" s="1"/>
      <c r="M88" s="1"/>
      <c r="N88" s="1"/>
      <c r="O88" s="1"/>
      <c r="P88" s="1"/>
      <c r="Q88" s="1"/>
      <c r="R88" s="1"/>
      <c r="S88" s="1"/>
      <c r="T88" s="2"/>
      <c r="U88" s="2"/>
      <c r="V88" s="2"/>
      <c r="W88" s="2"/>
      <c r="X88" s="2"/>
      <c r="Y88" s="2"/>
      <c r="Z88" s="2"/>
    </row>
    <row r="89" spans="1:26" ht="14.25" customHeight="1">
      <c r="A89" s="14"/>
      <c r="B89" s="2"/>
      <c r="C89" s="1"/>
      <c r="D89" s="1"/>
      <c r="E89" s="1"/>
      <c r="F89" s="1"/>
      <c r="G89" s="1"/>
      <c r="H89" s="1"/>
      <c r="I89" s="1"/>
      <c r="J89" s="1"/>
      <c r="K89" s="1"/>
      <c r="L89" s="1"/>
      <c r="M89" s="1"/>
      <c r="N89" s="1"/>
      <c r="O89" s="1"/>
      <c r="P89" s="1"/>
      <c r="Q89" s="1"/>
      <c r="R89" s="1"/>
      <c r="S89" s="1"/>
      <c r="T89" s="2"/>
      <c r="U89" s="2"/>
      <c r="V89" s="2"/>
      <c r="W89" s="2"/>
      <c r="X89" s="2"/>
      <c r="Y89" s="2"/>
      <c r="Z89" s="2"/>
    </row>
    <row r="90" spans="1:26" ht="14.25" customHeight="1">
      <c r="A90" s="14"/>
      <c r="B90" s="2"/>
      <c r="C90" s="1"/>
      <c r="D90" s="1"/>
      <c r="E90" s="1"/>
      <c r="F90" s="1"/>
      <c r="G90" s="1"/>
      <c r="H90" s="1"/>
      <c r="I90" s="1"/>
      <c r="J90" s="1"/>
      <c r="K90" s="1"/>
      <c r="L90" s="1"/>
      <c r="M90" s="1"/>
      <c r="N90" s="1"/>
      <c r="O90" s="1"/>
      <c r="P90" s="1"/>
      <c r="Q90" s="1"/>
      <c r="R90" s="1"/>
      <c r="S90" s="1"/>
      <c r="T90" s="2"/>
      <c r="U90" s="2"/>
      <c r="V90" s="2"/>
      <c r="W90" s="2"/>
      <c r="X90" s="2"/>
      <c r="Y90" s="2"/>
      <c r="Z90" s="2"/>
    </row>
    <row r="91" spans="1:26" ht="14.25" customHeight="1">
      <c r="A91" s="14"/>
      <c r="B91" s="2"/>
      <c r="C91" s="1"/>
      <c r="D91" s="1"/>
      <c r="E91" s="1"/>
      <c r="F91" s="1"/>
      <c r="G91" s="1"/>
      <c r="H91" s="1"/>
      <c r="I91" s="1"/>
      <c r="J91" s="1"/>
      <c r="K91" s="1"/>
      <c r="L91" s="1"/>
      <c r="M91" s="1"/>
      <c r="N91" s="1"/>
      <c r="O91" s="1"/>
      <c r="P91" s="1"/>
      <c r="Q91" s="1"/>
      <c r="R91" s="1"/>
      <c r="S91" s="1"/>
      <c r="T91" s="2"/>
      <c r="U91" s="2"/>
      <c r="V91" s="2"/>
      <c r="W91" s="2"/>
      <c r="X91" s="2"/>
      <c r="Y91" s="2"/>
      <c r="Z91" s="2"/>
    </row>
    <row r="92" spans="1:26" ht="14.25" customHeight="1">
      <c r="A92" s="14"/>
      <c r="B92" s="2"/>
      <c r="C92" s="1"/>
      <c r="D92" s="1"/>
      <c r="E92" s="1"/>
      <c r="F92" s="1"/>
      <c r="G92" s="1"/>
      <c r="H92" s="1"/>
      <c r="I92" s="1"/>
      <c r="J92" s="1"/>
      <c r="K92" s="1"/>
      <c r="L92" s="1"/>
      <c r="M92" s="1"/>
      <c r="N92" s="1"/>
      <c r="O92" s="1"/>
      <c r="P92" s="1"/>
      <c r="Q92" s="1"/>
      <c r="R92" s="1"/>
      <c r="S92" s="1"/>
      <c r="T92" s="2"/>
      <c r="U92" s="2"/>
      <c r="V92" s="2"/>
      <c r="W92" s="2"/>
      <c r="X92" s="2"/>
      <c r="Y92" s="2"/>
      <c r="Z92" s="2"/>
    </row>
    <row r="93" spans="1:26" ht="14.25" customHeight="1">
      <c r="A93" s="14"/>
      <c r="B93" s="2"/>
      <c r="C93" s="1"/>
      <c r="D93" s="1"/>
      <c r="E93" s="1"/>
      <c r="F93" s="1"/>
      <c r="G93" s="1"/>
      <c r="H93" s="1"/>
      <c r="I93" s="1"/>
      <c r="J93" s="1"/>
      <c r="K93" s="1"/>
      <c r="L93" s="1"/>
      <c r="M93" s="1"/>
      <c r="N93" s="1"/>
      <c r="O93" s="1"/>
      <c r="P93" s="1"/>
      <c r="Q93" s="1"/>
      <c r="R93" s="1"/>
      <c r="S93" s="1"/>
      <c r="T93" s="2"/>
      <c r="U93" s="2"/>
      <c r="V93" s="2"/>
      <c r="W93" s="2"/>
      <c r="X93" s="2"/>
      <c r="Y93" s="2"/>
      <c r="Z93" s="2"/>
    </row>
    <row r="94" spans="1:26" ht="14.25" customHeight="1">
      <c r="A94" s="14"/>
      <c r="B94" s="2"/>
      <c r="C94" s="1"/>
      <c r="D94" s="1"/>
      <c r="E94" s="1"/>
      <c r="F94" s="1"/>
      <c r="G94" s="1"/>
      <c r="H94" s="1"/>
      <c r="I94" s="1"/>
      <c r="J94" s="1"/>
      <c r="K94" s="1"/>
      <c r="L94" s="1"/>
      <c r="M94" s="1"/>
      <c r="N94" s="1"/>
      <c r="O94" s="1"/>
      <c r="P94" s="1"/>
      <c r="Q94" s="1"/>
      <c r="R94" s="1"/>
      <c r="S94" s="1"/>
      <c r="T94" s="2"/>
      <c r="U94" s="2"/>
      <c r="V94" s="2"/>
      <c r="W94" s="2"/>
      <c r="X94" s="2"/>
      <c r="Y94" s="2"/>
      <c r="Z94" s="2"/>
    </row>
    <row r="95" spans="1:26" ht="14.25" customHeight="1">
      <c r="A95" s="14"/>
      <c r="B95" s="2"/>
      <c r="C95" s="1"/>
      <c r="D95" s="1"/>
      <c r="E95" s="1"/>
      <c r="F95" s="1"/>
      <c r="G95" s="1"/>
      <c r="H95" s="1"/>
      <c r="I95" s="1"/>
      <c r="J95" s="1"/>
      <c r="K95" s="1"/>
      <c r="L95" s="1"/>
      <c r="M95" s="1"/>
      <c r="N95" s="1"/>
      <c r="O95" s="1"/>
      <c r="P95" s="1"/>
      <c r="Q95" s="1"/>
      <c r="R95" s="1"/>
      <c r="S95" s="1"/>
      <c r="T95" s="2"/>
      <c r="U95" s="2"/>
      <c r="V95" s="2"/>
      <c r="W95" s="2"/>
      <c r="X95" s="2"/>
      <c r="Y95" s="2"/>
      <c r="Z95" s="2"/>
    </row>
    <row r="96" spans="1:26" ht="14.25" customHeight="1">
      <c r="A96" s="14"/>
      <c r="B96" s="2"/>
      <c r="C96" s="1"/>
      <c r="D96" s="1"/>
      <c r="E96" s="1"/>
      <c r="F96" s="1"/>
      <c r="G96" s="1"/>
      <c r="H96" s="1"/>
      <c r="I96" s="1"/>
      <c r="J96" s="1"/>
      <c r="K96" s="1"/>
      <c r="L96" s="1"/>
      <c r="M96" s="1"/>
      <c r="N96" s="1"/>
      <c r="O96" s="1"/>
      <c r="P96" s="1"/>
      <c r="Q96" s="1"/>
      <c r="R96" s="1"/>
      <c r="S96" s="1"/>
      <c r="T96" s="2"/>
      <c r="U96" s="2"/>
      <c r="V96" s="2"/>
      <c r="W96" s="2"/>
      <c r="X96" s="2"/>
      <c r="Y96" s="2"/>
      <c r="Z96" s="2"/>
    </row>
    <row r="97" spans="1:26" ht="14.25" customHeight="1">
      <c r="A97" s="14"/>
      <c r="B97" s="2"/>
      <c r="C97" s="1"/>
      <c r="D97" s="1"/>
      <c r="E97" s="1"/>
      <c r="F97" s="1"/>
      <c r="G97" s="1"/>
      <c r="H97" s="1"/>
      <c r="I97" s="1"/>
      <c r="J97" s="1"/>
      <c r="K97" s="1"/>
      <c r="L97" s="1"/>
      <c r="M97" s="1"/>
      <c r="N97" s="1"/>
      <c r="O97" s="1"/>
      <c r="P97" s="1"/>
      <c r="Q97" s="1"/>
      <c r="R97" s="1"/>
      <c r="S97" s="1"/>
      <c r="T97" s="2"/>
      <c r="U97" s="2"/>
      <c r="V97" s="2"/>
      <c r="W97" s="2"/>
      <c r="X97" s="2"/>
      <c r="Y97" s="2"/>
      <c r="Z97" s="2"/>
    </row>
    <row r="98" spans="1:26" ht="14.25" customHeight="1">
      <c r="A98" s="14"/>
      <c r="B98" s="2"/>
      <c r="C98" s="1"/>
      <c r="D98" s="1"/>
      <c r="E98" s="1"/>
      <c r="F98" s="1"/>
      <c r="G98" s="1"/>
      <c r="H98" s="1"/>
      <c r="I98" s="1"/>
      <c r="J98" s="1"/>
      <c r="K98" s="1"/>
      <c r="L98" s="1"/>
      <c r="M98" s="1"/>
      <c r="N98" s="1"/>
      <c r="O98" s="1"/>
      <c r="P98" s="1"/>
      <c r="Q98" s="1"/>
      <c r="R98" s="1"/>
      <c r="S98" s="1"/>
      <c r="T98" s="2"/>
      <c r="U98" s="2"/>
      <c r="V98" s="2"/>
      <c r="W98" s="2"/>
      <c r="X98" s="2"/>
      <c r="Y98" s="2"/>
      <c r="Z98" s="2"/>
    </row>
    <row r="99" spans="1:26" ht="14.25" customHeight="1">
      <c r="A99" s="14"/>
      <c r="B99" s="2"/>
      <c r="C99" s="1"/>
      <c r="D99" s="1"/>
      <c r="E99" s="1"/>
      <c r="F99" s="1"/>
      <c r="G99" s="1"/>
      <c r="H99" s="1"/>
      <c r="I99" s="1"/>
      <c r="J99" s="1"/>
      <c r="K99" s="1"/>
      <c r="L99" s="1"/>
      <c r="M99" s="1"/>
      <c r="N99" s="1"/>
      <c r="O99" s="1"/>
      <c r="P99" s="1"/>
      <c r="Q99" s="1"/>
      <c r="R99" s="1"/>
      <c r="S99" s="1"/>
      <c r="T99" s="2"/>
      <c r="U99" s="2"/>
      <c r="V99" s="2"/>
      <c r="W99" s="2"/>
      <c r="X99" s="2"/>
      <c r="Y99" s="2"/>
      <c r="Z99" s="2"/>
    </row>
    <row r="100" spans="1:26" ht="14.25" customHeight="1">
      <c r="A100" s="14"/>
      <c r="B100" s="2"/>
      <c r="C100" s="1"/>
      <c r="D100" s="1"/>
      <c r="E100" s="1"/>
      <c r="F100" s="1"/>
      <c r="G100" s="1"/>
      <c r="H100" s="1"/>
      <c r="I100" s="1"/>
      <c r="J100" s="1"/>
      <c r="K100" s="1"/>
      <c r="L100" s="1"/>
      <c r="M100" s="1"/>
      <c r="N100" s="1"/>
      <c r="O100" s="1"/>
      <c r="P100" s="1"/>
      <c r="Q100" s="1"/>
      <c r="R100" s="1"/>
      <c r="S100" s="1"/>
      <c r="T100" s="2"/>
      <c r="U100" s="2"/>
      <c r="V100" s="2"/>
      <c r="W100" s="2"/>
      <c r="X100" s="2"/>
      <c r="Y100" s="2"/>
      <c r="Z100" s="2"/>
    </row>
    <row r="101" spans="1:26" ht="14.25" customHeight="1">
      <c r="A101" s="14"/>
      <c r="B101" s="2"/>
      <c r="C101" s="1"/>
      <c r="D101" s="1"/>
      <c r="E101" s="1"/>
      <c r="F101" s="1"/>
      <c r="G101" s="1"/>
      <c r="H101" s="1"/>
      <c r="I101" s="1"/>
      <c r="J101" s="1"/>
      <c r="K101" s="1"/>
      <c r="L101" s="1"/>
      <c r="M101" s="1"/>
      <c r="N101" s="1"/>
      <c r="O101" s="1"/>
      <c r="P101" s="1"/>
      <c r="Q101" s="1"/>
      <c r="R101" s="1"/>
      <c r="S101" s="1"/>
      <c r="T101" s="2"/>
      <c r="U101" s="2"/>
      <c r="V101" s="2"/>
      <c r="W101" s="2"/>
      <c r="X101" s="2"/>
      <c r="Y101" s="2"/>
      <c r="Z101" s="2"/>
    </row>
    <row r="102" spans="1:26" ht="14.25" customHeight="1">
      <c r="A102" s="14"/>
      <c r="B102" s="2"/>
      <c r="C102" s="1"/>
      <c r="D102" s="1"/>
      <c r="E102" s="1"/>
      <c r="F102" s="1"/>
      <c r="G102" s="1"/>
      <c r="H102" s="1"/>
      <c r="I102" s="1"/>
      <c r="J102" s="1"/>
      <c r="K102" s="1"/>
      <c r="L102" s="1"/>
      <c r="M102" s="1"/>
      <c r="N102" s="1"/>
      <c r="O102" s="1"/>
      <c r="P102" s="1"/>
      <c r="Q102" s="1"/>
      <c r="R102" s="1"/>
      <c r="S102" s="1"/>
      <c r="T102" s="2"/>
      <c r="U102" s="2"/>
      <c r="V102" s="2"/>
      <c r="W102" s="2"/>
      <c r="X102" s="2"/>
      <c r="Y102" s="2"/>
      <c r="Z102" s="2"/>
    </row>
    <row r="103" spans="1:26" ht="14.25" customHeight="1">
      <c r="A103" s="14"/>
      <c r="B103" s="2"/>
      <c r="C103" s="1"/>
      <c r="D103" s="1"/>
      <c r="E103" s="1"/>
      <c r="F103" s="1"/>
      <c r="G103" s="1"/>
      <c r="H103" s="1"/>
      <c r="I103" s="1"/>
      <c r="J103" s="1"/>
      <c r="K103" s="1"/>
      <c r="L103" s="1"/>
      <c r="M103" s="1"/>
      <c r="N103" s="1"/>
      <c r="O103" s="1"/>
      <c r="P103" s="1"/>
      <c r="Q103" s="1"/>
      <c r="R103" s="1"/>
      <c r="S103" s="1"/>
      <c r="T103" s="2"/>
      <c r="U103" s="2"/>
      <c r="V103" s="2"/>
      <c r="W103" s="2"/>
      <c r="X103" s="2"/>
      <c r="Y103" s="2"/>
      <c r="Z103" s="2"/>
    </row>
    <row r="104" spans="1:26" ht="14.25" customHeight="1">
      <c r="A104" s="14"/>
      <c r="B104" s="2"/>
      <c r="C104" s="1"/>
      <c r="D104" s="1"/>
      <c r="E104" s="1"/>
      <c r="F104" s="1"/>
      <c r="G104" s="1"/>
      <c r="H104" s="1"/>
      <c r="I104" s="1"/>
      <c r="J104" s="1"/>
      <c r="K104" s="1"/>
      <c r="L104" s="1"/>
      <c r="M104" s="1"/>
      <c r="N104" s="1"/>
      <c r="O104" s="1"/>
      <c r="P104" s="1"/>
      <c r="Q104" s="1"/>
      <c r="R104" s="1"/>
      <c r="S104" s="1"/>
      <c r="T104" s="2"/>
      <c r="U104" s="2"/>
      <c r="V104" s="2"/>
      <c r="W104" s="2"/>
      <c r="X104" s="2"/>
      <c r="Y104" s="2"/>
      <c r="Z104" s="2"/>
    </row>
    <row r="105" spans="1:26" ht="14.25" customHeight="1">
      <c r="A105" s="14"/>
      <c r="B105" s="2"/>
      <c r="C105" s="1"/>
      <c r="D105" s="1"/>
      <c r="E105" s="1"/>
      <c r="F105" s="1"/>
      <c r="G105" s="1"/>
      <c r="H105" s="1"/>
      <c r="I105" s="1"/>
      <c r="J105" s="1"/>
      <c r="K105" s="1"/>
      <c r="L105" s="1"/>
      <c r="M105" s="1"/>
      <c r="N105" s="1"/>
      <c r="O105" s="1"/>
      <c r="P105" s="1"/>
      <c r="Q105" s="1"/>
      <c r="R105" s="1"/>
      <c r="S105" s="1"/>
      <c r="T105" s="2"/>
      <c r="U105" s="2"/>
      <c r="V105" s="2"/>
      <c r="W105" s="2"/>
      <c r="X105" s="2"/>
      <c r="Y105" s="2"/>
      <c r="Z105" s="2"/>
    </row>
    <row r="106" spans="1:26" ht="14.25" customHeight="1">
      <c r="A106" s="14"/>
      <c r="B106" s="2"/>
      <c r="C106" s="1"/>
      <c r="D106" s="1"/>
      <c r="E106" s="1"/>
      <c r="F106" s="1"/>
      <c r="G106" s="1"/>
      <c r="H106" s="1"/>
      <c r="I106" s="1"/>
      <c r="J106" s="1"/>
      <c r="K106" s="1"/>
      <c r="L106" s="1"/>
      <c r="M106" s="1"/>
      <c r="N106" s="1"/>
      <c r="O106" s="1"/>
      <c r="P106" s="1"/>
      <c r="Q106" s="1"/>
      <c r="R106" s="1"/>
      <c r="S106" s="1"/>
      <c r="T106" s="2"/>
      <c r="U106" s="2"/>
      <c r="V106" s="2"/>
      <c r="W106" s="2"/>
      <c r="X106" s="2"/>
      <c r="Y106" s="2"/>
      <c r="Z106" s="2"/>
    </row>
    <row r="107" spans="1:26" ht="14.25" customHeight="1">
      <c r="A107" s="14"/>
      <c r="B107" s="2"/>
      <c r="C107" s="1"/>
      <c r="D107" s="1"/>
      <c r="E107" s="1"/>
      <c r="F107" s="1"/>
      <c r="G107" s="1"/>
      <c r="H107" s="1"/>
      <c r="I107" s="1"/>
      <c r="J107" s="1"/>
      <c r="K107" s="1"/>
      <c r="L107" s="1"/>
      <c r="M107" s="1"/>
      <c r="N107" s="1"/>
      <c r="O107" s="1"/>
      <c r="P107" s="1"/>
      <c r="Q107" s="1"/>
      <c r="R107" s="1"/>
      <c r="S107" s="1"/>
      <c r="T107" s="2"/>
      <c r="U107" s="2"/>
      <c r="V107" s="2"/>
      <c r="W107" s="2"/>
      <c r="X107" s="2"/>
      <c r="Y107" s="2"/>
      <c r="Z107" s="2"/>
    </row>
    <row r="108" spans="1:26" ht="14.25" customHeight="1">
      <c r="A108" s="14"/>
      <c r="B108" s="2"/>
      <c r="C108" s="1"/>
      <c r="D108" s="1"/>
      <c r="E108" s="1"/>
      <c r="F108" s="1"/>
      <c r="G108" s="1"/>
      <c r="H108" s="1"/>
      <c r="I108" s="1"/>
      <c r="J108" s="1"/>
      <c r="K108" s="1"/>
      <c r="L108" s="1"/>
      <c r="M108" s="1"/>
      <c r="N108" s="1"/>
      <c r="O108" s="1"/>
      <c r="P108" s="1"/>
      <c r="Q108" s="1"/>
      <c r="R108" s="1"/>
      <c r="S108" s="1"/>
      <c r="T108" s="2"/>
      <c r="U108" s="2"/>
      <c r="V108" s="2"/>
      <c r="W108" s="2"/>
      <c r="X108" s="2"/>
      <c r="Y108" s="2"/>
      <c r="Z108" s="2"/>
    </row>
    <row r="109" spans="1:26" ht="14.25" customHeight="1">
      <c r="A109" s="14"/>
      <c r="B109" s="2"/>
      <c r="C109" s="1"/>
      <c r="D109" s="1"/>
      <c r="E109" s="1"/>
      <c r="F109" s="1"/>
      <c r="G109" s="1"/>
      <c r="H109" s="1"/>
      <c r="I109" s="1"/>
      <c r="J109" s="1"/>
      <c r="K109" s="1"/>
      <c r="L109" s="1"/>
      <c r="M109" s="1"/>
      <c r="N109" s="1"/>
      <c r="O109" s="1"/>
      <c r="P109" s="1"/>
      <c r="Q109" s="1"/>
      <c r="R109" s="1"/>
      <c r="S109" s="1"/>
      <c r="T109" s="2"/>
      <c r="U109" s="2"/>
      <c r="V109" s="2"/>
      <c r="W109" s="2"/>
      <c r="X109" s="2"/>
      <c r="Y109" s="2"/>
      <c r="Z109" s="2"/>
    </row>
    <row r="110" spans="1:26" ht="14.25" customHeight="1">
      <c r="A110" s="14"/>
      <c r="B110" s="2"/>
      <c r="C110" s="1"/>
      <c r="D110" s="1"/>
      <c r="E110" s="1"/>
      <c r="F110" s="1"/>
      <c r="G110" s="1"/>
      <c r="H110" s="1"/>
      <c r="I110" s="1"/>
      <c r="J110" s="1"/>
      <c r="K110" s="1"/>
      <c r="L110" s="1"/>
      <c r="M110" s="1"/>
      <c r="N110" s="1"/>
      <c r="O110" s="1"/>
      <c r="P110" s="1"/>
      <c r="Q110" s="1"/>
      <c r="R110" s="1"/>
      <c r="S110" s="1"/>
      <c r="T110" s="2"/>
      <c r="U110" s="2"/>
      <c r="V110" s="2"/>
      <c r="W110" s="2"/>
      <c r="X110" s="2"/>
      <c r="Y110" s="2"/>
      <c r="Z110" s="2"/>
    </row>
    <row r="111" spans="1:26" ht="14.25" customHeight="1">
      <c r="A111" s="14"/>
      <c r="B111" s="2"/>
      <c r="C111" s="1"/>
      <c r="D111" s="1"/>
      <c r="E111" s="1"/>
      <c r="F111" s="1"/>
      <c r="G111" s="1"/>
      <c r="H111" s="1"/>
      <c r="I111" s="1"/>
      <c r="J111" s="1"/>
      <c r="K111" s="1"/>
      <c r="L111" s="1"/>
      <c r="M111" s="1"/>
      <c r="N111" s="1"/>
      <c r="O111" s="1"/>
      <c r="P111" s="1"/>
      <c r="Q111" s="1"/>
      <c r="R111" s="1"/>
      <c r="S111" s="1"/>
      <c r="T111" s="2"/>
      <c r="U111" s="2"/>
      <c r="V111" s="2"/>
      <c r="W111" s="2"/>
      <c r="X111" s="2"/>
      <c r="Y111" s="2"/>
      <c r="Z111" s="2"/>
    </row>
    <row r="112" spans="1:26" ht="14.25" customHeight="1">
      <c r="A112" s="14"/>
      <c r="B112" s="2"/>
      <c r="C112" s="1"/>
      <c r="D112" s="1"/>
      <c r="E112" s="1"/>
      <c r="F112" s="1"/>
      <c r="G112" s="1"/>
      <c r="H112" s="1"/>
      <c r="I112" s="1"/>
      <c r="J112" s="1"/>
      <c r="K112" s="1"/>
      <c r="L112" s="1"/>
      <c r="M112" s="1"/>
      <c r="N112" s="1"/>
      <c r="O112" s="1"/>
      <c r="P112" s="1"/>
      <c r="Q112" s="1"/>
      <c r="R112" s="1"/>
      <c r="S112" s="1"/>
      <c r="T112" s="2"/>
      <c r="U112" s="2"/>
      <c r="V112" s="2"/>
      <c r="W112" s="2"/>
      <c r="X112" s="2"/>
      <c r="Y112" s="2"/>
      <c r="Z112" s="2"/>
    </row>
    <row r="113" spans="1:26" ht="14.25" customHeight="1">
      <c r="A113" s="14"/>
      <c r="B113" s="2"/>
      <c r="C113" s="1"/>
      <c r="D113" s="1"/>
      <c r="E113" s="1"/>
      <c r="F113" s="1"/>
      <c r="G113" s="1"/>
      <c r="H113" s="1"/>
      <c r="I113" s="1"/>
      <c r="J113" s="1"/>
      <c r="K113" s="1"/>
      <c r="L113" s="1"/>
      <c r="M113" s="1"/>
      <c r="N113" s="1"/>
      <c r="O113" s="1"/>
      <c r="P113" s="1"/>
      <c r="Q113" s="1"/>
      <c r="R113" s="1"/>
      <c r="S113" s="1"/>
      <c r="T113" s="2"/>
      <c r="U113" s="2"/>
      <c r="V113" s="2"/>
      <c r="W113" s="2"/>
      <c r="X113" s="2"/>
      <c r="Y113" s="2"/>
      <c r="Z113" s="2"/>
    </row>
    <row r="114" spans="1:26" ht="14.25" customHeight="1">
      <c r="A114" s="14"/>
      <c r="B114" s="2"/>
      <c r="C114" s="1"/>
      <c r="D114" s="1"/>
      <c r="E114" s="1"/>
      <c r="F114" s="1"/>
      <c r="G114" s="1"/>
      <c r="H114" s="1"/>
      <c r="I114" s="1"/>
      <c r="J114" s="1"/>
      <c r="K114" s="1"/>
      <c r="L114" s="1"/>
      <c r="M114" s="1"/>
      <c r="N114" s="1"/>
      <c r="O114" s="1"/>
      <c r="P114" s="1"/>
      <c r="Q114" s="1"/>
      <c r="R114" s="1"/>
      <c r="S114" s="1"/>
      <c r="T114" s="2"/>
      <c r="U114" s="2"/>
      <c r="V114" s="2"/>
      <c r="W114" s="2"/>
      <c r="X114" s="2"/>
      <c r="Y114" s="2"/>
      <c r="Z114" s="2"/>
    </row>
    <row r="115" spans="1:26" ht="14.25" customHeight="1">
      <c r="A115" s="14"/>
      <c r="B115" s="2"/>
      <c r="C115" s="1"/>
      <c r="D115" s="1"/>
      <c r="E115" s="1"/>
      <c r="F115" s="1"/>
      <c r="G115" s="1"/>
      <c r="H115" s="1"/>
      <c r="I115" s="1"/>
      <c r="J115" s="1"/>
      <c r="K115" s="1"/>
      <c r="L115" s="1"/>
      <c r="M115" s="1"/>
      <c r="N115" s="1"/>
      <c r="O115" s="1"/>
      <c r="P115" s="1"/>
      <c r="Q115" s="1"/>
      <c r="R115" s="1"/>
      <c r="S115" s="1"/>
      <c r="T115" s="2"/>
      <c r="U115" s="2"/>
      <c r="V115" s="2"/>
      <c r="W115" s="2"/>
      <c r="X115" s="2"/>
      <c r="Y115" s="2"/>
      <c r="Z115" s="2"/>
    </row>
    <row r="116" spans="1:26" ht="14.25" customHeight="1">
      <c r="A116" s="14"/>
      <c r="B116" s="2"/>
      <c r="C116" s="1"/>
      <c r="D116" s="1"/>
      <c r="E116" s="1"/>
      <c r="F116" s="1"/>
      <c r="G116" s="1"/>
      <c r="H116" s="1"/>
      <c r="I116" s="1"/>
      <c r="J116" s="1"/>
      <c r="K116" s="1"/>
      <c r="L116" s="1"/>
      <c r="M116" s="1"/>
      <c r="N116" s="1"/>
      <c r="O116" s="1"/>
      <c r="P116" s="1"/>
      <c r="Q116" s="1"/>
      <c r="R116" s="1"/>
      <c r="S116" s="1"/>
      <c r="T116" s="2"/>
      <c r="U116" s="2"/>
      <c r="V116" s="2"/>
      <c r="W116" s="2"/>
      <c r="X116" s="2"/>
      <c r="Y116" s="2"/>
      <c r="Z116" s="2"/>
    </row>
    <row r="117" spans="1:26" ht="14.25" customHeight="1">
      <c r="A117" s="14"/>
      <c r="B117" s="2"/>
      <c r="C117" s="1"/>
      <c r="D117" s="1"/>
      <c r="E117" s="1"/>
      <c r="F117" s="1"/>
      <c r="G117" s="1"/>
      <c r="H117" s="1"/>
      <c r="I117" s="1"/>
      <c r="J117" s="1"/>
      <c r="K117" s="1"/>
      <c r="L117" s="1"/>
      <c r="M117" s="1"/>
      <c r="N117" s="1"/>
      <c r="O117" s="1"/>
      <c r="P117" s="1"/>
      <c r="Q117" s="1"/>
      <c r="R117" s="1"/>
      <c r="S117" s="1"/>
      <c r="T117" s="2"/>
      <c r="U117" s="2"/>
      <c r="V117" s="2"/>
      <c r="W117" s="2"/>
      <c r="X117" s="2"/>
      <c r="Y117" s="2"/>
      <c r="Z117" s="2"/>
    </row>
    <row r="118" spans="1:26" ht="14.25" customHeight="1">
      <c r="A118" s="14"/>
      <c r="B118" s="2"/>
      <c r="C118" s="1"/>
      <c r="D118" s="1"/>
      <c r="E118" s="1"/>
      <c r="F118" s="1"/>
      <c r="G118" s="1"/>
      <c r="H118" s="1"/>
      <c r="I118" s="1"/>
      <c r="J118" s="1"/>
      <c r="K118" s="1"/>
      <c r="L118" s="1"/>
      <c r="M118" s="1"/>
      <c r="N118" s="1"/>
      <c r="O118" s="1"/>
      <c r="P118" s="1"/>
      <c r="Q118" s="1"/>
      <c r="R118" s="1"/>
      <c r="S118" s="1"/>
      <c r="T118" s="2"/>
      <c r="U118" s="2"/>
      <c r="V118" s="2"/>
      <c r="W118" s="2"/>
      <c r="X118" s="2"/>
      <c r="Y118" s="2"/>
      <c r="Z118" s="2"/>
    </row>
    <row r="119" spans="1:26" ht="14.25" customHeight="1">
      <c r="A119" s="14"/>
      <c r="B119" s="2"/>
      <c r="C119" s="1"/>
      <c r="D119" s="1"/>
      <c r="E119" s="1"/>
      <c r="F119" s="1"/>
      <c r="G119" s="1"/>
      <c r="H119" s="1"/>
      <c r="I119" s="1"/>
      <c r="J119" s="1"/>
      <c r="K119" s="1"/>
      <c r="L119" s="1"/>
      <c r="M119" s="1"/>
      <c r="N119" s="1"/>
      <c r="O119" s="1"/>
      <c r="P119" s="1"/>
      <c r="Q119" s="1"/>
      <c r="R119" s="1"/>
      <c r="S119" s="1"/>
      <c r="T119" s="2"/>
      <c r="U119" s="2"/>
      <c r="V119" s="2"/>
      <c r="W119" s="2"/>
      <c r="X119" s="2"/>
      <c r="Y119" s="2"/>
      <c r="Z119" s="2"/>
    </row>
    <row r="120" spans="1:26" ht="14.25" customHeight="1">
      <c r="A120" s="14"/>
      <c r="B120" s="2"/>
      <c r="C120" s="1"/>
      <c r="D120" s="1"/>
      <c r="E120" s="1"/>
      <c r="F120" s="1"/>
      <c r="G120" s="1"/>
      <c r="H120" s="1"/>
      <c r="I120" s="1"/>
      <c r="J120" s="1"/>
      <c r="K120" s="1"/>
      <c r="L120" s="1"/>
      <c r="M120" s="1"/>
      <c r="N120" s="1"/>
      <c r="O120" s="1"/>
      <c r="P120" s="1"/>
      <c r="Q120" s="1"/>
      <c r="R120" s="1"/>
      <c r="S120" s="1"/>
      <c r="T120" s="2"/>
      <c r="U120" s="2"/>
      <c r="V120" s="2"/>
      <c r="W120" s="2"/>
      <c r="X120" s="2"/>
      <c r="Y120" s="2"/>
      <c r="Z120" s="2"/>
    </row>
    <row r="121" spans="1:26" ht="14.25" customHeight="1">
      <c r="A121" s="14"/>
      <c r="B121" s="2"/>
      <c r="C121" s="1"/>
      <c r="D121" s="1"/>
      <c r="E121" s="1"/>
      <c r="F121" s="1"/>
      <c r="G121" s="1"/>
      <c r="H121" s="1"/>
      <c r="I121" s="1"/>
      <c r="J121" s="1"/>
      <c r="K121" s="1"/>
      <c r="L121" s="1"/>
      <c r="M121" s="1"/>
      <c r="N121" s="1"/>
      <c r="O121" s="1"/>
      <c r="P121" s="1"/>
      <c r="Q121" s="1"/>
      <c r="R121" s="1"/>
      <c r="S121" s="1"/>
      <c r="T121" s="2"/>
      <c r="U121" s="2"/>
      <c r="V121" s="2"/>
      <c r="W121" s="2"/>
      <c r="X121" s="2"/>
      <c r="Y121" s="2"/>
      <c r="Z121" s="2"/>
    </row>
    <row r="122" spans="1:26" ht="14.25" customHeight="1">
      <c r="A122" s="14"/>
      <c r="B122" s="2"/>
      <c r="C122" s="1"/>
      <c r="D122" s="1"/>
      <c r="E122" s="1"/>
      <c r="F122" s="1"/>
      <c r="G122" s="1"/>
      <c r="H122" s="1"/>
      <c r="I122" s="1"/>
      <c r="J122" s="1"/>
      <c r="K122" s="1"/>
      <c r="L122" s="1"/>
      <c r="M122" s="1"/>
      <c r="N122" s="1"/>
      <c r="O122" s="1"/>
      <c r="P122" s="1"/>
      <c r="Q122" s="1"/>
      <c r="R122" s="1"/>
      <c r="S122" s="1"/>
      <c r="T122" s="2"/>
      <c r="U122" s="2"/>
      <c r="V122" s="2"/>
      <c r="W122" s="2"/>
      <c r="X122" s="2"/>
      <c r="Y122" s="2"/>
      <c r="Z122" s="2"/>
    </row>
    <row r="123" spans="1:26" ht="14.25" customHeight="1">
      <c r="A123" s="14"/>
      <c r="B123" s="2"/>
      <c r="C123" s="1"/>
      <c r="D123" s="1"/>
      <c r="E123" s="1"/>
      <c r="F123" s="1"/>
      <c r="G123" s="1"/>
      <c r="H123" s="1"/>
      <c r="I123" s="1"/>
      <c r="J123" s="1"/>
      <c r="K123" s="1"/>
      <c r="L123" s="1"/>
      <c r="M123" s="1"/>
      <c r="N123" s="1"/>
      <c r="O123" s="1"/>
      <c r="P123" s="1"/>
      <c r="Q123" s="1"/>
      <c r="R123" s="1"/>
      <c r="S123" s="1"/>
      <c r="T123" s="2"/>
      <c r="U123" s="2"/>
      <c r="V123" s="2"/>
      <c r="W123" s="2"/>
      <c r="X123" s="2"/>
      <c r="Y123" s="2"/>
      <c r="Z123" s="2"/>
    </row>
    <row r="124" spans="1:26" ht="14.25" customHeight="1">
      <c r="A124" s="14"/>
      <c r="B124" s="2"/>
      <c r="C124" s="1"/>
      <c r="D124" s="1"/>
      <c r="E124" s="1"/>
      <c r="F124" s="1"/>
      <c r="G124" s="1"/>
      <c r="H124" s="1"/>
      <c r="I124" s="1"/>
      <c r="J124" s="1"/>
      <c r="K124" s="1"/>
      <c r="L124" s="1"/>
      <c r="M124" s="1"/>
      <c r="N124" s="1"/>
      <c r="O124" s="1"/>
      <c r="P124" s="1"/>
      <c r="Q124" s="1"/>
      <c r="R124" s="1"/>
      <c r="S124" s="1"/>
      <c r="T124" s="2"/>
      <c r="U124" s="2"/>
      <c r="V124" s="2"/>
      <c r="W124" s="2"/>
      <c r="X124" s="2"/>
      <c r="Y124" s="2"/>
      <c r="Z124" s="2"/>
    </row>
    <row r="125" spans="1:26" ht="14.25" customHeight="1">
      <c r="A125" s="14"/>
      <c r="B125" s="2"/>
      <c r="C125" s="1"/>
      <c r="D125" s="1"/>
      <c r="E125" s="1"/>
      <c r="F125" s="1"/>
      <c r="G125" s="1"/>
      <c r="H125" s="1"/>
      <c r="I125" s="1"/>
      <c r="J125" s="1"/>
      <c r="K125" s="1"/>
      <c r="L125" s="1"/>
      <c r="M125" s="1"/>
      <c r="N125" s="1"/>
      <c r="O125" s="1"/>
      <c r="P125" s="1"/>
      <c r="Q125" s="1"/>
      <c r="R125" s="1"/>
      <c r="S125" s="1"/>
      <c r="T125" s="2"/>
      <c r="U125" s="2"/>
      <c r="V125" s="2"/>
      <c r="W125" s="2"/>
      <c r="X125" s="2"/>
      <c r="Y125" s="2"/>
      <c r="Z125" s="2"/>
    </row>
    <row r="126" spans="1:26" ht="14.25" customHeight="1">
      <c r="A126" s="14"/>
      <c r="B126" s="2"/>
      <c r="C126" s="1"/>
      <c r="D126" s="1"/>
      <c r="E126" s="1"/>
      <c r="F126" s="1"/>
      <c r="G126" s="1"/>
      <c r="H126" s="1"/>
      <c r="I126" s="1"/>
      <c r="J126" s="1"/>
      <c r="K126" s="1"/>
      <c r="L126" s="1"/>
      <c r="M126" s="1"/>
      <c r="N126" s="1"/>
      <c r="O126" s="1"/>
      <c r="P126" s="1"/>
      <c r="Q126" s="1"/>
      <c r="R126" s="1"/>
      <c r="S126" s="1"/>
      <c r="T126" s="2"/>
      <c r="U126" s="2"/>
      <c r="V126" s="2"/>
      <c r="W126" s="2"/>
      <c r="X126" s="2"/>
      <c r="Y126" s="2"/>
      <c r="Z126" s="2"/>
    </row>
    <row r="127" spans="1:26" ht="14.25" customHeight="1">
      <c r="A127" s="14"/>
      <c r="B127" s="2"/>
      <c r="C127" s="1"/>
      <c r="D127" s="1"/>
      <c r="E127" s="1"/>
      <c r="F127" s="1"/>
      <c r="G127" s="1"/>
      <c r="H127" s="1"/>
      <c r="I127" s="1"/>
      <c r="J127" s="1"/>
      <c r="K127" s="1"/>
      <c r="L127" s="1"/>
      <c r="M127" s="1"/>
      <c r="N127" s="1"/>
      <c r="O127" s="1"/>
      <c r="P127" s="1"/>
      <c r="Q127" s="1"/>
      <c r="R127" s="1"/>
      <c r="S127" s="1"/>
      <c r="T127" s="2"/>
      <c r="U127" s="2"/>
      <c r="V127" s="2"/>
      <c r="W127" s="2"/>
      <c r="X127" s="2"/>
      <c r="Y127" s="2"/>
      <c r="Z127" s="2"/>
    </row>
    <row r="128" spans="1:26" ht="14.25" customHeight="1">
      <c r="A128" s="14"/>
      <c r="B128" s="2"/>
      <c r="C128" s="1"/>
      <c r="D128" s="1"/>
      <c r="E128" s="1"/>
      <c r="F128" s="1"/>
      <c r="G128" s="1"/>
      <c r="H128" s="1"/>
      <c r="I128" s="1"/>
      <c r="J128" s="1"/>
      <c r="K128" s="1"/>
      <c r="L128" s="1"/>
      <c r="M128" s="1"/>
      <c r="N128" s="1"/>
      <c r="O128" s="1"/>
      <c r="P128" s="1"/>
      <c r="Q128" s="1"/>
      <c r="R128" s="1"/>
      <c r="S128" s="1"/>
      <c r="T128" s="2"/>
      <c r="U128" s="2"/>
      <c r="V128" s="2"/>
      <c r="W128" s="2"/>
      <c r="X128" s="2"/>
      <c r="Y128" s="2"/>
      <c r="Z128" s="2"/>
    </row>
    <row r="129" spans="1:26" ht="14.25" customHeight="1">
      <c r="A129" s="14"/>
      <c r="B129" s="2"/>
      <c r="C129" s="1"/>
      <c r="D129" s="1"/>
      <c r="E129" s="1"/>
      <c r="F129" s="1"/>
      <c r="G129" s="1"/>
      <c r="H129" s="1"/>
      <c r="I129" s="1"/>
      <c r="J129" s="1"/>
      <c r="K129" s="1"/>
      <c r="L129" s="1"/>
      <c r="M129" s="1"/>
      <c r="N129" s="1"/>
      <c r="O129" s="1"/>
      <c r="P129" s="1"/>
      <c r="Q129" s="1"/>
      <c r="R129" s="1"/>
      <c r="S129" s="1"/>
      <c r="T129" s="2"/>
      <c r="U129" s="2"/>
      <c r="V129" s="2"/>
      <c r="W129" s="2"/>
      <c r="X129" s="2"/>
      <c r="Y129" s="2"/>
      <c r="Z129" s="2"/>
    </row>
    <row r="130" spans="1:26" ht="14.25" customHeight="1">
      <c r="A130" s="14"/>
      <c r="B130" s="2"/>
      <c r="C130" s="1"/>
      <c r="D130" s="1"/>
      <c r="E130" s="1"/>
      <c r="F130" s="1"/>
      <c r="G130" s="1"/>
      <c r="H130" s="1"/>
      <c r="I130" s="1"/>
      <c r="J130" s="1"/>
      <c r="K130" s="1"/>
      <c r="L130" s="1"/>
      <c r="M130" s="1"/>
      <c r="N130" s="1"/>
      <c r="O130" s="1"/>
      <c r="P130" s="1"/>
      <c r="Q130" s="1"/>
      <c r="R130" s="1"/>
      <c r="S130" s="1"/>
      <c r="T130" s="2"/>
      <c r="U130" s="2"/>
      <c r="V130" s="2"/>
      <c r="W130" s="2"/>
      <c r="X130" s="2"/>
      <c r="Y130" s="2"/>
      <c r="Z130" s="2"/>
    </row>
    <row r="131" spans="1:26" ht="14.25" customHeight="1">
      <c r="A131" s="14"/>
      <c r="B131" s="2"/>
      <c r="C131" s="1"/>
      <c r="D131" s="1"/>
      <c r="E131" s="1"/>
      <c r="F131" s="1"/>
      <c r="G131" s="1"/>
      <c r="H131" s="1"/>
      <c r="I131" s="1"/>
      <c r="J131" s="1"/>
      <c r="K131" s="1"/>
      <c r="L131" s="1"/>
      <c r="M131" s="1"/>
      <c r="N131" s="1"/>
      <c r="O131" s="1"/>
      <c r="P131" s="1"/>
      <c r="Q131" s="1"/>
      <c r="R131" s="1"/>
      <c r="S131" s="1"/>
      <c r="T131" s="2"/>
      <c r="U131" s="2"/>
      <c r="V131" s="2"/>
      <c r="W131" s="2"/>
      <c r="X131" s="2"/>
      <c r="Y131" s="2"/>
      <c r="Z131" s="2"/>
    </row>
    <row r="132" spans="1:26" ht="14.25" customHeight="1">
      <c r="A132" s="14"/>
      <c r="B132" s="2"/>
      <c r="C132" s="1"/>
      <c r="D132" s="1"/>
      <c r="E132" s="1"/>
      <c r="F132" s="1"/>
      <c r="G132" s="1"/>
      <c r="H132" s="1"/>
      <c r="I132" s="1"/>
      <c r="J132" s="1"/>
      <c r="K132" s="1"/>
      <c r="L132" s="1"/>
      <c r="M132" s="1"/>
      <c r="N132" s="1"/>
      <c r="O132" s="1"/>
      <c r="P132" s="1"/>
      <c r="Q132" s="1"/>
      <c r="R132" s="1"/>
      <c r="S132" s="1"/>
      <c r="T132" s="2"/>
      <c r="U132" s="2"/>
      <c r="V132" s="2"/>
      <c r="W132" s="2"/>
      <c r="X132" s="2"/>
      <c r="Y132" s="2"/>
      <c r="Z132" s="2"/>
    </row>
    <row r="133" spans="1:26" ht="14.25" customHeight="1">
      <c r="A133" s="14"/>
      <c r="B133" s="2"/>
      <c r="C133" s="1"/>
      <c r="D133" s="1"/>
      <c r="E133" s="1"/>
      <c r="F133" s="1"/>
      <c r="G133" s="1"/>
      <c r="H133" s="1"/>
      <c r="I133" s="1"/>
      <c r="J133" s="1"/>
      <c r="K133" s="1"/>
      <c r="L133" s="1"/>
      <c r="M133" s="1"/>
      <c r="N133" s="1"/>
      <c r="O133" s="1"/>
      <c r="P133" s="1"/>
      <c r="Q133" s="1"/>
      <c r="R133" s="1"/>
      <c r="S133" s="1"/>
      <c r="T133" s="2"/>
      <c r="U133" s="2"/>
      <c r="V133" s="2"/>
      <c r="W133" s="2"/>
      <c r="X133" s="2"/>
      <c r="Y133" s="2"/>
      <c r="Z133" s="2"/>
    </row>
    <row r="134" spans="1:26" ht="14.25" customHeight="1">
      <c r="A134" s="14"/>
      <c r="B134" s="2"/>
      <c r="C134" s="1"/>
      <c r="D134" s="1"/>
      <c r="E134" s="1"/>
      <c r="F134" s="1"/>
      <c r="G134" s="1"/>
      <c r="H134" s="1"/>
      <c r="I134" s="1"/>
      <c r="J134" s="1"/>
      <c r="K134" s="1"/>
      <c r="L134" s="1"/>
      <c r="M134" s="1"/>
      <c r="N134" s="1"/>
      <c r="O134" s="1"/>
      <c r="P134" s="1"/>
      <c r="Q134" s="1"/>
      <c r="R134" s="1"/>
      <c r="S134" s="1"/>
      <c r="T134" s="2"/>
      <c r="U134" s="2"/>
      <c r="V134" s="2"/>
      <c r="W134" s="2"/>
      <c r="X134" s="2"/>
      <c r="Y134" s="2"/>
      <c r="Z134" s="2"/>
    </row>
    <row r="135" spans="1:26" ht="14.25" customHeight="1">
      <c r="A135" s="14"/>
      <c r="B135" s="2"/>
      <c r="C135" s="1"/>
      <c r="D135" s="1"/>
      <c r="E135" s="1"/>
      <c r="F135" s="1"/>
      <c r="G135" s="1"/>
      <c r="H135" s="1"/>
      <c r="I135" s="1"/>
      <c r="J135" s="1"/>
      <c r="K135" s="1"/>
      <c r="L135" s="1"/>
      <c r="M135" s="1"/>
      <c r="N135" s="1"/>
      <c r="O135" s="1"/>
      <c r="P135" s="1"/>
      <c r="Q135" s="1"/>
      <c r="R135" s="1"/>
      <c r="S135" s="1"/>
      <c r="T135" s="2"/>
      <c r="U135" s="2"/>
      <c r="V135" s="2"/>
      <c r="W135" s="2"/>
      <c r="X135" s="2"/>
      <c r="Y135" s="2"/>
      <c r="Z135" s="2"/>
    </row>
    <row r="136" spans="1:26" ht="14.25" customHeight="1">
      <c r="A136" s="14"/>
      <c r="B136" s="2"/>
      <c r="C136" s="1"/>
      <c r="D136" s="1"/>
      <c r="E136" s="1"/>
      <c r="F136" s="1"/>
      <c r="G136" s="1"/>
      <c r="H136" s="1"/>
      <c r="I136" s="1"/>
      <c r="J136" s="1"/>
      <c r="K136" s="1"/>
      <c r="L136" s="1"/>
      <c r="M136" s="1"/>
      <c r="N136" s="1"/>
      <c r="O136" s="1"/>
      <c r="P136" s="1"/>
      <c r="Q136" s="1"/>
      <c r="R136" s="1"/>
      <c r="S136" s="1"/>
      <c r="T136" s="2"/>
      <c r="U136" s="2"/>
      <c r="V136" s="2"/>
      <c r="W136" s="2"/>
      <c r="X136" s="2"/>
      <c r="Y136" s="2"/>
      <c r="Z136" s="2"/>
    </row>
    <row r="137" spans="1:26" ht="14.25" customHeight="1">
      <c r="A137" s="14"/>
      <c r="B137" s="2"/>
      <c r="C137" s="1"/>
      <c r="D137" s="1"/>
      <c r="E137" s="1"/>
      <c r="F137" s="1"/>
      <c r="G137" s="1"/>
      <c r="H137" s="1"/>
      <c r="I137" s="1"/>
      <c r="J137" s="1"/>
      <c r="K137" s="1"/>
      <c r="L137" s="1"/>
      <c r="M137" s="1"/>
      <c r="N137" s="1"/>
      <c r="O137" s="1"/>
      <c r="P137" s="1"/>
      <c r="Q137" s="1"/>
      <c r="R137" s="1"/>
      <c r="S137" s="1"/>
      <c r="T137" s="2"/>
      <c r="U137" s="2"/>
      <c r="V137" s="2"/>
      <c r="W137" s="2"/>
      <c r="X137" s="2"/>
      <c r="Y137" s="2"/>
      <c r="Z137" s="2"/>
    </row>
    <row r="138" spans="1:26" ht="14.25" customHeight="1">
      <c r="A138" s="14"/>
      <c r="B138" s="2"/>
      <c r="C138" s="1"/>
      <c r="D138" s="1"/>
      <c r="E138" s="1"/>
      <c r="F138" s="1"/>
      <c r="G138" s="1"/>
      <c r="H138" s="1"/>
      <c r="I138" s="1"/>
      <c r="J138" s="1"/>
      <c r="K138" s="1"/>
      <c r="L138" s="1"/>
      <c r="M138" s="1"/>
      <c r="N138" s="1"/>
      <c r="O138" s="1"/>
      <c r="P138" s="1"/>
      <c r="Q138" s="1"/>
      <c r="R138" s="1"/>
      <c r="S138" s="1"/>
      <c r="T138" s="2"/>
      <c r="U138" s="2"/>
      <c r="V138" s="2"/>
      <c r="W138" s="2"/>
      <c r="X138" s="2"/>
      <c r="Y138" s="2"/>
      <c r="Z138" s="2"/>
    </row>
    <row r="139" spans="1:26" ht="14.25" customHeight="1">
      <c r="A139" s="14"/>
      <c r="B139" s="2"/>
      <c r="C139" s="1"/>
      <c r="D139" s="1"/>
      <c r="E139" s="1"/>
      <c r="F139" s="1"/>
      <c r="G139" s="1"/>
      <c r="H139" s="1"/>
      <c r="I139" s="1"/>
      <c r="J139" s="1"/>
      <c r="K139" s="1"/>
      <c r="L139" s="1"/>
      <c r="M139" s="1"/>
      <c r="N139" s="1"/>
      <c r="O139" s="1"/>
      <c r="P139" s="1"/>
      <c r="Q139" s="1"/>
      <c r="R139" s="1"/>
      <c r="S139" s="1"/>
      <c r="T139" s="2"/>
      <c r="U139" s="2"/>
      <c r="V139" s="2"/>
      <c r="W139" s="2"/>
      <c r="X139" s="2"/>
      <c r="Y139" s="2"/>
      <c r="Z139" s="2"/>
    </row>
    <row r="140" spans="1:26" ht="14.25" customHeight="1">
      <c r="A140" s="14"/>
      <c r="B140" s="2"/>
      <c r="C140" s="1"/>
      <c r="D140" s="1"/>
      <c r="E140" s="1"/>
      <c r="F140" s="1"/>
      <c r="G140" s="1"/>
      <c r="H140" s="1"/>
      <c r="I140" s="1"/>
      <c r="J140" s="1"/>
      <c r="K140" s="1"/>
      <c r="L140" s="1"/>
      <c r="M140" s="1"/>
      <c r="N140" s="1"/>
      <c r="O140" s="1"/>
      <c r="P140" s="1"/>
      <c r="Q140" s="1"/>
      <c r="R140" s="1"/>
      <c r="S140" s="1"/>
      <c r="T140" s="2"/>
      <c r="U140" s="2"/>
      <c r="V140" s="2"/>
      <c r="W140" s="2"/>
      <c r="X140" s="2"/>
      <c r="Y140" s="2"/>
      <c r="Z140" s="2"/>
    </row>
    <row r="141" spans="1:26" ht="14.25" customHeight="1">
      <c r="A141" s="14"/>
      <c r="B141" s="2"/>
      <c r="C141" s="1"/>
      <c r="D141" s="1"/>
      <c r="E141" s="1"/>
      <c r="F141" s="1"/>
      <c r="G141" s="1"/>
      <c r="H141" s="1"/>
      <c r="I141" s="1"/>
      <c r="J141" s="1"/>
      <c r="K141" s="1"/>
      <c r="L141" s="1"/>
      <c r="M141" s="1"/>
      <c r="N141" s="1"/>
      <c r="O141" s="1"/>
      <c r="P141" s="1"/>
      <c r="Q141" s="1"/>
      <c r="R141" s="1"/>
      <c r="S141" s="1"/>
      <c r="T141" s="2"/>
      <c r="U141" s="2"/>
      <c r="V141" s="2"/>
      <c r="W141" s="2"/>
      <c r="X141" s="2"/>
      <c r="Y141" s="2"/>
      <c r="Z141" s="2"/>
    </row>
    <row r="142" spans="1:26" ht="14.25" customHeight="1">
      <c r="A142" s="14"/>
      <c r="B142" s="2"/>
      <c r="C142" s="1"/>
      <c r="D142" s="1"/>
      <c r="E142" s="1"/>
      <c r="F142" s="1"/>
      <c r="G142" s="1"/>
      <c r="H142" s="1"/>
      <c r="I142" s="1"/>
      <c r="J142" s="1"/>
      <c r="K142" s="1"/>
      <c r="L142" s="1"/>
      <c r="M142" s="1"/>
      <c r="N142" s="1"/>
      <c r="O142" s="1"/>
      <c r="P142" s="1"/>
      <c r="Q142" s="1"/>
      <c r="R142" s="1"/>
      <c r="S142" s="1"/>
      <c r="T142" s="2"/>
      <c r="U142" s="2"/>
      <c r="V142" s="2"/>
      <c r="W142" s="2"/>
      <c r="X142" s="2"/>
      <c r="Y142" s="2"/>
      <c r="Z142" s="2"/>
    </row>
    <row r="143" spans="1:26" ht="14.25" customHeight="1">
      <c r="A143" s="14"/>
      <c r="B143" s="2"/>
      <c r="C143" s="1"/>
      <c r="D143" s="1"/>
      <c r="E143" s="1"/>
      <c r="F143" s="1"/>
      <c r="G143" s="1"/>
      <c r="H143" s="1"/>
      <c r="I143" s="1"/>
      <c r="J143" s="1"/>
      <c r="K143" s="1"/>
      <c r="L143" s="1"/>
      <c r="M143" s="1"/>
      <c r="N143" s="1"/>
      <c r="O143" s="1"/>
      <c r="P143" s="1"/>
      <c r="Q143" s="1"/>
      <c r="R143" s="1"/>
      <c r="S143" s="1"/>
      <c r="T143" s="2"/>
      <c r="U143" s="2"/>
      <c r="V143" s="2"/>
      <c r="W143" s="2"/>
      <c r="X143" s="2"/>
      <c r="Y143" s="2"/>
      <c r="Z143" s="2"/>
    </row>
    <row r="144" spans="1:26" ht="14.25" customHeight="1">
      <c r="A144" s="14"/>
      <c r="B144" s="2"/>
      <c r="C144" s="1"/>
      <c r="D144" s="1"/>
      <c r="E144" s="1"/>
      <c r="F144" s="1"/>
      <c r="G144" s="1"/>
      <c r="H144" s="1"/>
      <c r="I144" s="1"/>
      <c r="J144" s="1"/>
      <c r="K144" s="1"/>
      <c r="L144" s="1"/>
      <c r="M144" s="1"/>
      <c r="N144" s="1"/>
      <c r="O144" s="1"/>
      <c r="P144" s="1"/>
      <c r="Q144" s="1"/>
      <c r="R144" s="1"/>
      <c r="S144" s="1"/>
      <c r="T144" s="2"/>
      <c r="U144" s="2"/>
      <c r="V144" s="2"/>
      <c r="W144" s="2"/>
      <c r="X144" s="2"/>
      <c r="Y144" s="2"/>
      <c r="Z144" s="2"/>
    </row>
    <row r="145" spans="1:26" ht="14.25" customHeight="1">
      <c r="A145" s="14"/>
      <c r="B145" s="2"/>
      <c r="C145" s="1"/>
      <c r="D145" s="1"/>
      <c r="E145" s="1"/>
      <c r="F145" s="1"/>
      <c r="G145" s="1"/>
      <c r="H145" s="1"/>
      <c r="I145" s="1"/>
      <c r="J145" s="1"/>
      <c r="K145" s="1"/>
      <c r="L145" s="1"/>
      <c r="M145" s="1"/>
      <c r="N145" s="1"/>
      <c r="O145" s="1"/>
      <c r="P145" s="1"/>
      <c r="Q145" s="1"/>
      <c r="R145" s="1"/>
      <c r="S145" s="1"/>
      <c r="T145" s="2"/>
      <c r="U145" s="2"/>
      <c r="V145" s="2"/>
      <c r="W145" s="2"/>
      <c r="X145" s="2"/>
      <c r="Y145" s="2"/>
      <c r="Z145" s="2"/>
    </row>
    <row r="146" spans="1:26" ht="14.25" customHeight="1">
      <c r="A146" s="14"/>
      <c r="B146" s="2"/>
      <c r="C146" s="1"/>
      <c r="D146" s="1"/>
      <c r="E146" s="1"/>
      <c r="F146" s="1"/>
      <c r="G146" s="1"/>
      <c r="H146" s="1"/>
      <c r="I146" s="1"/>
      <c r="J146" s="1"/>
      <c r="K146" s="1"/>
      <c r="L146" s="1"/>
      <c r="M146" s="1"/>
      <c r="N146" s="1"/>
      <c r="O146" s="1"/>
      <c r="P146" s="1"/>
      <c r="Q146" s="1"/>
      <c r="R146" s="1"/>
      <c r="S146" s="1"/>
      <c r="T146" s="2"/>
      <c r="U146" s="2"/>
      <c r="V146" s="2"/>
      <c r="W146" s="2"/>
      <c r="X146" s="2"/>
      <c r="Y146" s="2"/>
      <c r="Z146" s="2"/>
    </row>
    <row r="147" spans="1:26" ht="14.25" customHeight="1">
      <c r="A147" s="14"/>
      <c r="B147" s="2"/>
      <c r="C147" s="1"/>
      <c r="D147" s="1"/>
      <c r="E147" s="1"/>
      <c r="F147" s="1"/>
      <c r="G147" s="1"/>
      <c r="H147" s="1"/>
      <c r="I147" s="1"/>
      <c r="J147" s="1"/>
      <c r="K147" s="1"/>
      <c r="L147" s="1"/>
      <c r="M147" s="1"/>
      <c r="N147" s="1"/>
      <c r="O147" s="1"/>
      <c r="P147" s="1"/>
      <c r="Q147" s="1"/>
      <c r="R147" s="1"/>
      <c r="S147" s="1"/>
      <c r="T147" s="2"/>
      <c r="U147" s="2"/>
      <c r="V147" s="2"/>
      <c r="W147" s="2"/>
      <c r="X147" s="2"/>
      <c r="Y147" s="2"/>
      <c r="Z147" s="2"/>
    </row>
    <row r="148" spans="1:26" ht="14.25" customHeight="1">
      <c r="A148" s="14"/>
      <c r="B148" s="2"/>
      <c r="C148" s="1"/>
      <c r="D148" s="1"/>
      <c r="E148" s="1"/>
      <c r="F148" s="1"/>
      <c r="G148" s="1"/>
      <c r="H148" s="1"/>
      <c r="I148" s="1"/>
      <c r="J148" s="1"/>
      <c r="K148" s="1"/>
      <c r="L148" s="1"/>
      <c r="M148" s="1"/>
      <c r="N148" s="1"/>
      <c r="O148" s="1"/>
      <c r="P148" s="1"/>
      <c r="Q148" s="1"/>
      <c r="R148" s="1"/>
      <c r="S148" s="1"/>
      <c r="T148" s="2"/>
      <c r="U148" s="2"/>
      <c r="V148" s="2"/>
      <c r="W148" s="2"/>
      <c r="X148" s="2"/>
      <c r="Y148" s="2"/>
      <c r="Z148" s="2"/>
    </row>
    <row r="149" spans="1:26" ht="14.25" customHeight="1">
      <c r="A149" s="14"/>
      <c r="B149" s="2"/>
      <c r="C149" s="1"/>
      <c r="D149" s="1"/>
      <c r="E149" s="1"/>
      <c r="F149" s="1"/>
      <c r="G149" s="1"/>
      <c r="H149" s="1"/>
      <c r="I149" s="1"/>
      <c r="J149" s="1"/>
      <c r="K149" s="1"/>
      <c r="L149" s="1"/>
      <c r="M149" s="1"/>
      <c r="N149" s="1"/>
      <c r="O149" s="1"/>
      <c r="P149" s="1"/>
      <c r="Q149" s="1"/>
      <c r="R149" s="1"/>
      <c r="S149" s="1"/>
      <c r="T149" s="2"/>
      <c r="U149" s="2"/>
      <c r="V149" s="2"/>
      <c r="W149" s="2"/>
      <c r="X149" s="2"/>
      <c r="Y149" s="2"/>
      <c r="Z149" s="2"/>
    </row>
    <row r="150" spans="1:26" ht="14.25" customHeight="1">
      <c r="A150" s="14"/>
      <c r="B150" s="2"/>
      <c r="C150" s="1"/>
      <c r="D150" s="1"/>
      <c r="E150" s="1"/>
      <c r="F150" s="1"/>
      <c r="G150" s="1"/>
      <c r="H150" s="1"/>
      <c r="I150" s="1"/>
      <c r="J150" s="1"/>
      <c r="K150" s="1"/>
      <c r="L150" s="1"/>
      <c r="M150" s="1"/>
      <c r="N150" s="1"/>
      <c r="O150" s="1"/>
      <c r="P150" s="1"/>
      <c r="Q150" s="1"/>
      <c r="R150" s="1"/>
      <c r="S150" s="1"/>
      <c r="T150" s="2"/>
      <c r="U150" s="2"/>
      <c r="V150" s="2"/>
      <c r="W150" s="2"/>
      <c r="X150" s="2"/>
      <c r="Y150" s="2"/>
      <c r="Z150" s="2"/>
    </row>
    <row r="151" spans="1:26" ht="14.25" customHeight="1">
      <c r="A151" s="14"/>
      <c r="B151" s="2"/>
      <c r="C151" s="1"/>
      <c r="D151" s="1"/>
      <c r="E151" s="1"/>
      <c r="F151" s="1"/>
      <c r="G151" s="1"/>
      <c r="H151" s="1"/>
      <c r="I151" s="1"/>
      <c r="J151" s="1"/>
      <c r="K151" s="1"/>
      <c r="L151" s="1"/>
      <c r="M151" s="1"/>
      <c r="N151" s="1"/>
      <c r="O151" s="1"/>
      <c r="P151" s="1"/>
      <c r="Q151" s="1"/>
      <c r="R151" s="1"/>
      <c r="S151" s="1"/>
      <c r="T151" s="2"/>
      <c r="U151" s="2"/>
      <c r="V151" s="2"/>
      <c r="W151" s="2"/>
      <c r="X151" s="2"/>
      <c r="Y151" s="2"/>
      <c r="Z151" s="2"/>
    </row>
    <row r="152" spans="1:26" ht="14.25" customHeight="1">
      <c r="A152" s="14"/>
      <c r="B152" s="2"/>
      <c r="C152" s="1"/>
      <c r="D152" s="1"/>
      <c r="E152" s="1"/>
      <c r="F152" s="1"/>
      <c r="G152" s="1"/>
      <c r="H152" s="1"/>
      <c r="I152" s="1"/>
      <c r="J152" s="1"/>
      <c r="K152" s="1"/>
      <c r="L152" s="1"/>
      <c r="M152" s="1"/>
      <c r="N152" s="1"/>
      <c r="O152" s="1"/>
      <c r="P152" s="1"/>
      <c r="Q152" s="1"/>
      <c r="R152" s="1"/>
      <c r="S152" s="1"/>
      <c r="T152" s="2"/>
      <c r="U152" s="2"/>
      <c r="V152" s="2"/>
      <c r="W152" s="2"/>
      <c r="X152" s="2"/>
      <c r="Y152" s="2"/>
      <c r="Z152" s="2"/>
    </row>
    <row r="153" spans="1:26" ht="14.25" customHeight="1">
      <c r="A153" s="14"/>
      <c r="B153" s="2"/>
      <c r="C153" s="1"/>
      <c r="D153" s="1"/>
      <c r="E153" s="1"/>
      <c r="F153" s="1"/>
      <c r="G153" s="1"/>
      <c r="H153" s="1"/>
      <c r="I153" s="1"/>
      <c r="J153" s="1"/>
      <c r="K153" s="1"/>
      <c r="L153" s="1"/>
      <c r="M153" s="1"/>
      <c r="N153" s="1"/>
      <c r="O153" s="1"/>
      <c r="P153" s="1"/>
      <c r="Q153" s="1"/>
      <c r="R153" s="1"/>
      <c r="S153" s="1"/>
      <c r="T153" s="2"/>
      <c r="U153" s="2"/>
      <c r="V153" s="2"/>
      <c r="W153" s="2"/>
      <c r="X153" s="2"/>
      <c r="Y153" s="2"/>
      <c r="Z153" s="2"/>
    </row>
    <row r="154" spans="1:26" ht="14.25" customHeight="1">
      <c r="A154" s="14"/>
      <c r="B154" s="2"/>
      <c r="C154" s="1"/>
      <c r="D154" s="1"/>
      <c r="E154" s="1"/>
      <c r="F154" s="1"/>
      <c r="G154" s="1"/>
      <c r="H154" s="1"/>
      <c r="I154" s="1"/>
      <c r="J154" s="1"/>
      <c r="K154" s="1"/>
      <c r="L154" s="1"/>
      <c r="M154" s="1"/>
      <c r="N154" s="1"/>
      <c r="O154" s="1"/>
      <c r="P154" s="1"/>
      <c r="Q154" s="1"/>
      <c r="R154" s="1"/>
      <c r="S154" s="1"/>
      <c r="T154" s="2"/>
      <c r="U154" s="2"/>
      <c r="V154" s="2"/>
      <c r="W154" s="2"/>
      <c r="X154" s="2"/>
      <c r="Y154" s="2"/>
      <c r="Z154" s="2"/>
    </row>
    <row r="155" spans="1:26" ht="14.25" customHeight="1">
      <c r="A155" s="14"/>
      <c r="B155" s="2"/>
      <c r="C155" s="1"/>
      <c r="D155" s="1"/>
      <c r="E155" s="1"/>
      <c r="F155" s="1"/>
      <c r="G155" s="1"/>
      <c r="H155" s="1"/>
      <c r="I155" s="1"/>
      <c r="J155" s="1"/>
      <c r="K155" s="1"/>
      <c r="L155" s="1"/>
      <c r="M155" s="1"/>
      <c r="N155" s="1"/>
      <c r="O155" s="1"/>
      <c r="P155" s="1"/>
      <c r="Q155" s="1"/>
      <c r="R155" s="1"/>
      <c r="S155" s="1"/>
      <c r="T155" s="2"/>
      <c r="U155" s="2"/>
      <c r="V155" s="2"/>
      <c r="W155" s="2"/>
      <c r="X155" s="2"/>
      <c r="Y155" s="2"/>
      <c r="Z155" s="2"/>
    </row>
    <row r="156" spans="1:26" ht="14.25" customHeight="1">
      <c r="A156" s="14"/>
      <c r="B156" s="2"/>
      <c r="C156" s="1"/>
      <c r="D156" s="1"/>
      <c r="E156" s="1"/>
      <c r="F156" s="1"/>
      <c r="G156" s="1"/>
      <c r="H156" s="1"/>
      <c r="I156" s="1"/>
      <c r="J156" s="1"/>
      <c r="K156" s="1"/>
      <c r="L156" s="1"/>
      <c r="M156" s="1"/>
      <c r="N156" s="1"/>
      <c r="O156" s="1"/>
      <c r="P156" s="1"/>
      <c r="Q156" s="1"/>
      <c r="R156" s="1"/>
      <c r="S156" s="1"/>
      <c r="T156" s="2"/>
      <c r="U156" s="2"/>
      <c r="V156" s="2"/>
      <c r="W156" s="2"/>
      <c r="X156" s="2"/>
      <c r="Y156" s="2"/>
      <c r="Z156" s="2"/>
    </row>
    <row r="157" spans="1:26" ht="14.25" customHeight="1">
      <c r="A157" s="14"/>
      <c r="B157" s="2"/>
      <c r="C157" s="1"/>
      <c r="D157" s="1"/>
      <c r="E157" s="1"/>
      <c r="F157" s="1"/>
      <c r="G157" s="1"/>
      <c r="H157" s="1"/>
      <c r="I157" s="1"/>
      <c r="J157" s="1"/>
      <c r="K157" s="1"/>
      <c r="L157" s="1"/>
      <c r="M157" s="1"/>
      <c r="N157" s="1"/>
      <c r="O157" s="1"/>
      <c r="P157" s="1"/>
      <c r="Q157" s="1"/>
      <c r="R157" s="1"/>
      <c r="S157" s="1"/>
      <c r="T157" s="2"/>
      <c r="U157" s="2"/>
      <c r="V157" s="2"/>
      <c r="W157" s="2"/>
      <c r="X157" s="2"/>
      <c r="Y157" s="2"/>
      <c r="Z157" s="2"/>
    </row>
    <row r="158" spans="1:26" ht="14.25" customHeight="1">
      <c r="A158" s="14"/>
      <c r="B158" s="2"/>
      <c r="C158" s="1"/>
      <c r="D158" s="1"/>
      <c r="E158" s="1"/>
      <c r="F158" s="1"/>
      <c r="G158" s="1"/>
      <c r="H158" s="1"/>
      <c r="I158" s="1"/>
      <c r="J158" s="1"/>
      <c r="K158" s="1"/>
      <c r="L158" s="1"/>
      <c r="M158" s="1"/>
      <c r="N158" s="1"/>
      <c r="O158" s="1"/>
      <c r="P158" s="1"/>
      <c r="Q158" s="1"/>
      <c r="R158" s="1"/>
      <c r="S158" s="1"/>
      <c r="T158" s="2"/>
      <c r="U158" s="2"/>
      <c r="V158" s="2"/>
      <c r="W158" s="2"/>
      <c r="X158" s="2"/>
      <c r="Y158" s="2"/>
      <c r="Z158" s="2"/>
    </row>
    <row r="159" spans="1:26" ht="14.25" customHeight="1">
      <c r="A159" s="14"/>
      <c r="B159" s="2"/>
      <c r="C159" s="1"/>
      <c r="D159" s="1"/>
      <c r="E159" s="1"/>
      <c r="F159" s="1"/>
      <c r="G159" s="1"/>
      <c r="H159" s="1"/>
      <c r="I159" s="1"/>
      <c r="J159" s="1"/>
      <c r="K159" s="1"/>
      <c r="L159" s="1"/>
      <c r="M159" s="1"/>
      <c r="N159" s="1"/>
      <c r="O159" s="1"/>
      <c r="P159" s="1"/>
      <c r="Q159" s="1"/>
      <c r="R159" s="1"/>
      <c r="S159" s="1"/>
      <c r="T159" s="2"/>
      <c r="U159" s="2"/>
      <c r="V159" s="2"/>
      <c r="W159" s="2"/>
      <c r="X159" s="2"/>
      <c r="Y159" s="2"/>
      <c r="Z159" s="2"/>
    </row>
    <row r="160" spans="1:26" ht="14.25" customHeight="1">
      <c r="A160" s="14"/>
      <c r="B160" s="2"/>
      <c r="C160" s="1"/>
      <c r="D160" s="1"/>
      <c r="E160" s="1"/>
      <c r="F160" s="1"/>
      <c r="G160" s="1"/>
      <c r="H160" s="1"/>
      <c r="I160" s="1"/>
      <c r="J160" s="1"/>
      <c r="K160" s="1"/>
      <c r="L160" s="1"/>
      <c r="M160" s="1"/>
      <c r="N160" s="1"/>
      <c r="O160" s="1"/>
      <c r="P160" s="1"/>
      <c r="Q160" s="1"/>
      <c r="R160" s="1"/>
      <c r="S160" s="1"/>
      <c r="T160" s="2"/>
      <c r="U160" s="2"/>
      <c r="V160" s="2"/>
      <c r="W160" s="2"/>
      <c r="X160" s="2"/>
      <c r="Y160" s="2"/>
      <c r="Z160" s="2"/>
    </row>
    <row r="161" spans="1:26" ht="14.25" customHeight="1">
      <c r="A161" s="14"/>
      <c r="B161" s="2"/>
      <c r="C161" s="1"/>
      <c r="D161" s="1"/>
      <c r="E161" s="1"/>
      <c r="F161" s="1"/>
      <c r="G161" s="1"/>
      <c r="H161" s="1"/>
      <c r="I161" s="1"/>
      <c r="J161" s="1"/>
      <c r="K161" s="1"/>
      <c r="L161" s="1"/>
      <c r="M161" s="1"/>
      <c r="N161" s="1"/>
      <c r="O161" s="1"/>
      <c r="P161" s="1"/>
      <c r="Q161" s="1"/>
      <c r="R161" s="1"/>
      <c r="S161" s="1"/>
      <c r="T161" s="2"/>
      <c r="U161" s="2"/>
      <c r="V161" s="2"/>
      <c r="W161" s="2"/>
      <c r="X161" s="2"/>
      <c r="Y161" s="2"/>
      <c r="Z161" s="2"/>
    </row>
    <row r="162" spans="1:26" ht="14.25" customHeight="1">
      <c r="A162" s="14"/>
      <c r="B162" s="2"/>
      <c r="C162" s="1"/>
      <c r="D162" s="1"/>
      <c r="E162" s="1"/>
      <c r="F162" s="1"/>
      <c r="G162" s="1"/>
      <c r="H162" s="1"/>
      <c r="I162" s="1"/>
      <c r="J162" s="1"/>
      <c r="K162" s="1"/>
      <c r="L162" s="1"/>
      <c r="M162" s="1"/>
      <c r="N162" s="1"/>
      <c r="O162" s="1"/>
      <c r="P162" s="1"/>
      <c r="Q162" s="1"/>
      <c r="R162" s="1"/>
      <c r="S162" s="1"/>
      <c r="T162" s="2"/>
      <c r="U162" s="2"/>
      <c r="V162" s="2"/>
      <c r="W162" s="2"/>
      <c r="X162" s="2"/>
      <c r="Y162" s="2"/>
      <c r="Z162" s="2"/>
    </row>
    <row r="163" spans="1:26" ht="14.25" customHeight="1">
      <c r="A163" s="14"/>
      <c r="B163" s="2"/>
      <c r="C163" s="1"/>
      <c r="D163" s="1"/>
      <c r="E163" s="1"/>
      <c r="F163" s="1"/>
      <c r="G163" s="1"/>
      <c r="H163" s="1"/>
      <c r="I163" s="1"/>
      <c r="J163" s="1"/>
      <c r="K163" s="1"/>
      <c r="L163" s="1"/>
      <c r="M163" s="1"/>
      <c r="N163" s="1"/>
      <c r="O163" s="1"/>
      <c r="P163" s="1"/>
      <c r="Q163" s="1"/>
      <c r="R163" s="1"/>
      <c r="S163" s="1"/>
      <c r="T163" s="2"/>
      <c r="U163" s="2"/>
      <c r="V163" s="2"/>
      <c r="W163" s="2"/>
      <c r="X163" s="2"/>
      <c r="Y163" s="2"/>
      <c r="Z163" s="2"/>
    </row>
    <row r="164" spans="1:26" ht="14.25" customHeight="1">
      <c r="A164" s="14"/>
      <c r="B164" s="2"/>
      <c r="C164" s="1"/>
      <c r="D164" s="1"/>
      <c r="E164" s="1"/>
      <c r="F164" s="1"/>
      <c r="G164" s="1"/>
      <c r="H164" s="1"/>
      <c r="I164" s="1"/>
      <c r="J164" s="1"/>
      <c r="K164" s="1"/>
      <c r="L164" s="1"/>
      <c r="M164" s="1"/>
      <c r="N164" s="1"/>
      <c r="O164" s="1"/>
      <c r="P164" s="1"/>
      <c r="Q164" s="1"/>
      <c r="R164" s="1"/>
      <c r="S164" s="1"/>
      <c r="T164" s="2"/>
      <c r="U164" s="2"/>
      <c r="V164" s="2"/>
      <c r="W164" s="2"/>
      <c r="X164" s="2"/>
      <c r="Y164" s="2"/>
      <c r="Z164" s="2"/>
    </row>
    <row r="165" spans="1:26" ht="14.25" customHeight="1">
      <c r="A165" s="14"/>
      <c r="B165" s="2"/>
      <c r="C165" s="1"/>
      <c r="D165" s="1"/>
      <c r="E165" s="1"/>
      <c r="F165" s="1"/>
      <c r="G165" s="1"/>
      <c r="H165" s="1"/>
      <c r="I165" s="1"/>
      <c r="J165" s="1"/>
      <c r="K165" s="1"/>
      <c r="L165" s="1"/>
      <c r="M165" s="1"/>
      <c r="N165" s="1"/>
      <c r="O165" s="1"/>
      <c r="P165" s="1"/>
      <c r="Q165" s="1"/>
      <c r="R165" s="1"/>
      <c r="S165" s="1"/>
      <c r="T165" s="2"/>
      <c r="U165" s="2"/>
      <c r="V165" s="2"/>
      <c r="W165" s="2"/>
      <c r="X165" s="2"/>
      <c r="Y165" s="2"/>
      <c r="Z165" s="2"/>
    </row>
    <row r="166" spans="1:26" ht="14.25" customHeight="1">
      <c r="A166" s="14"/>
      <c r="B166" s="2"/>
      <c r="C166" s="1"/>
      <c r="D166" s="1"/>
      <c r="E166" s="1"/>
      <c r="F166" s="1"/>
      <c r="G166" s="1"/>
      <c r="H166" s="1"/>
      <c r="I166" s="1"/>
      <c r="J166" s="1"/>
      <c r="K166" s="1"/>
      <c r="L166" s="1"/>
      <c r="M166" s="1"/>
      <c r="N166" s="1"/>
      <c r="O166" s="1"/>
      <c r="P166" s="1"/>
      <c r="Q166" s="1"/>
      <c r="R166" s="1"/>
      <c r="S166" s="1"/>
      <c r="T166" s="2"/>
      <c r="U166" s="2"/>
      <c r="V166" s="2"/>
      <c r="W166" s="2"/>
      <c r="X166" s="2"/>
      <c r="Y166" s="2"/>
      <c r="Z166" s="2"/>
    </row>
    <row r="167" spans="1:26" ht="14.25" customHeight="1">
      <c r="A167" s="14"/>
      <c r="B167" s="2"/>
      <c r="C167" s="1"/>
      <c r="D167" s="1"/>
      <c r="E167" s="1"/>
      <c r="F167" s="1"/>
      <c r="G167" s="1"/>
      <c r="H167" s="1"/>
      <c r="I167" s="1"/>
      <c r="J167" s="1"/>
      <c r="K167" s="1"/>
      <c r="L167" s="1"/>
      <c r="M167" s="1"/>
      <c r="N167" s="1"/>
      <c r="O167" s="1"/>
      <c r="P167" s="1"/>
      <c r="Q167" s="1"/>
      <c r="R167" s="1"/>
      <c r="S167" s="1"/>
      <c r="T167" s="2"/>
      <c r="U167" s="2"/>
      <c r="V167" s="2"/>
      <c r="W167" s="2"/>
      <c r="X167" s="2"/>
      <c r="Y167" s="2"/>
      <c r="Z167" s="2"/>
    </row>
    <row r="168" spans="1:26" ht="14.25" customHeight="1">
      <c r="A168" s="14"/>
      <c r="B168" s="2"/>
      <c r="C168" s="1"/>
      <c r="D168" s="1"/>
      <c r="E168" s="1"/>
      <c r="F168" s="1"/>
      <c r="G168" s="1"/>
      <c r="H168" s="1"/>
      <c r="I168" s="1"/>
      <c r="J168" s="1"/>
      <c r="K168" s="1"/>
      <c r="L168" s="1"/>
      <c r="M168" s="1"/>
      <c r="N168" s="1"/>
      <c r="O168" s="1"/>
      <c r="P168" s="1"/>
      <c r="Q168" s="1"/>
      <c r="R168" s="1"/>
      <c r="S168" s="1"/>
      <c r="T168" s="2"/>
      <c r="U168" s="2"/>
      <c r="V168" s="2"/>
      <c r="W168" s="2"/>
      <c r="X168" s="2"/>
      <c r="Y168" s="2"/>
      <c r="Z168" s="2"/>
    </row>
    <row r="169" spans="1:26" ht="14.25" customHeight="1">
      <c r="A169" s="14"/>
      <c r="B169" s="2"/>
      <c r="C169" s="1"/>
      <c r="D169" s="1"/>
      <c r="E169" s="1"/>
      <c r="F169" s="1"/>
      <c r="G169" s="1"/>
      <c r="H169" s="1"/>
      <c r="I169" s="1"/>
      <c r="J169" s="1"/>
      <c r="K169" s="1"/>
      <c r="L169" s="1"/>
      <c r="M169" s="1"/>
      <c r="N169" s="1"/>
      <c r="O169" s="1"/>
      <c r="P169" s="1"/>
      <c r="Q169" s="1"/>
      <c r="R169" s="1"/>
      <c r="S169" s="1"/>
      <c r="T169" s="2"/>
      <c r="U169" s="2"/>
      <c r="V169" s="2"/>
      <c r="W169" s="2"/>
      <c r="X169" s="2"/>
      <c r="Y169" s="2"/>
      <c r="Z169" s="2"/>
    </row>
    <row r="170" spans="1:26" ht="14.25" customHeight="1">
      <c r="A170" s="14"/>
      <c r="B170" s="2"/>
      <c r="C170" s="1"/>
      <c r="D170" s="1"/>
      <c r="E170" s="1"/>
      <c r="F170" s="1"/>
      <c r="G170" s="1"/>
      <c r="H170" s="1"/>
      <c r="I170" s="1"/>
      <c r="J170" s="1"/>
      <c r="K170" s="1"/>
      <c r="L170" s="1"/>
      <c r="M170" s="1"/>
      <c r="N170" s="1"/>
      <c r="O170" s="1"/>
      <c r="P170" s="1"/>
      <c r="Q170" s="1"/>
      <c r="R170" s="1"/>
      <c r="S170" s="1"/>
      <c r="T170" s="2"/>
      <c r="U170" s="2"/>
      <c r="V170" s="2"/>
      <c r="W170" s="2"/>
      <c r="X170" s="2"/>
      <c r="Y170" s="2"/>
      <c r="Z170" s="2"/>
    </row>
    <row r="171" spans="1:26" ht="14.25" customHeight="1">
      <c r="A171" s="14"/>
      <c r="B171" s="2"/>
      <c r="C171" s="1"/>
      <c r="D171" s="1"/>
      <c r="E171" s="1"/>
      <c r="F171" s="1"/>
      <c r="G171" s="1"/>
      <c r="H171" s="1"/>
      <c r="I171" s="1"/>
      <c r="J171" s="1"/>
      <c r="K171" s="1"/>
      <c r="L171" s="1"/>
      <c r="M171" s="1"/>
      <c r="N171" s="1"/>
      <c r="O171" s="1"/>
      <c r="P171" s="1"/>
      <c r="Q171" s="1"/>
      <c r="R171" s="1"/>
      <c r="S171" s="1"/>
      <c r="T171" s="2"/>
      <c r="U171" s="2"/>
      <c r="V171" s="2"/>
      <c r="W171" s="2"/>
      <c r="X171" s="2"/>
      <c r="Y171" s="2"/>
      <c r="Z171" s="2"/>
    </row>
    <row r="172" spans="1:26" ht="14.25" customHeight="1">
      <c r="A172" s="14"/>
      <c r="B172" s="2"/>
      <c r="C172" s="1"/>
      <c r="D172" s="1"/>
      <c r="E172" s="1"/>
      <c r="F172" s="1"/>
      <c r="G172" s="1"/>
      <c r="H172" s="1"/>
      <c r="I172" s="1"/>
      <c r="J172" s="1"/>
      <c r="K172" s="1"/>
      <c r="L172" s="1"/>
      <c r="M172" s="1"/>
      <c r="N172" s="1"/>
      <c r="O172" s="1"/>
      <c r="P172" s="1"/>
      <c r="Q172" s="1"/>
      <c r="R172" s="1"/>
      <c r="S172" s="1"/>
      <c r="T172" s="2"/>
      <c r="U172" s="2"/>
      <c r="V172" s="2"/>
      <c r="W172" s="2"/>
      <c r="X172" s="2"/>
      <c r="Y172" s="2"/>
      <c r="Z172" s="2"/>
    </row>
    <row r="173" spans="1:26" ht="14.25" customHeight="1">
      <c r="A173" s="14"/>
      <c r="B173" s="2"/>
      <c r="C173" s="1"/>
      <c r="D173" s="1"/>
      <c r="E173" s="1"/>
      <c r="F173" s="1"/>
      <c r="G173" s="1"/>
      <c r="H173" s="1"/>
      <c r="I173" s="1"/>
      <c r="J173" s="1"/>
      <c r="K173" s="1"/>
      <c r="L173" s="1"/>
      <c r="M173" s="1"/>
      <c r="N173" s="1"/>
      <c r="O173" s="1"/>
      <c r="P173" s="1"/>
      <c r="Q173" s="1"/>
      <c r="R173" s="1"/>
      <c r="S173" s="1"/>
      <c r="T173" s="2"/>
      <c r="U173" s="2"/>
      <c r="V173" s="2"/>
      <c r="W173" s="2"/>
      <c r="X173" s="2"/>
      <c r="Y173" s="2"/>
      <c r="Z173" s="2"/>
    </row>
    <row r="174" spans="1:26" ht="14.25" customHeight="1">
      <c r="A174" s="14"/>
      <c r="B174" s="2"/>
      <c r="C174" s="1"/>
      <c r="D174" s="1"/>
      <c r="E174" s="1"/>
      <c r="F174" s="1"/>
      <c r="G174" s="1"/>
      <c r="H174" s="1"/>
      <c r="I174" s="1"/>
      <c r="J174" s="1"/>
      <c r="K174" s="1"/>
      <c r="L174" s="1"/>
      <c r="M174" s="1"/>
      <c r="N174" s="1"/>
      <c r="O174" s="1"/>
      <c r="P174" s="1"/>
      <c r="Q174" s="1"/>
      <c r="R174" s="1"/>
      <c r="S174" s="1"/>
      <c r="T174" s="2"/>
      <c r="U174" s="2"/>
      <c r="V174" s="2"/>
      <c r="W174" s="2"/>
      <c r="X174" s="2"/>
      <c r="Y174" s="2"/>
      <c r="Z174" s="2"/>
    </row>
    <row r="175" spans="1:26" ht="14.25" customHeight="1">
      <c r="A175" s="14"/>
      <c r="B175" s="2"/>
      <c r="C175" s="1"/>
      <c r="D175" s="1"/>
      <c r="E175" s="1"/>
      <c r="F175" s="1"/>
      <c r="G175" s="1"/>
      <c r="H175" s="1"/>
      <c r="I175" s="1"/>
      <c r="J175" s="1"/>
      <c r="K175" s="1"/>
      <c r="L175" s="1"/>
      <c r="M175" s="1"/>
      <c r="N175" s="1"/>
      <c r="O175" s="1"/>
      <c r="P175" s="1"/>
      <c r="Q175" s="1"/>
      <c r="R175" s="1"/>
      <c r="S175" s="1"/>
      <c r="T175" s="2"/>
      <c r="U175" s="2"/>
      <c r="V175" s="2"/>
      <c r="W175" s="2"/>
      <c r="X175" s="2"/>
      <c r="Y175" s="2"/>
      <c r="Z175" s="2"/>
    </row>
    <row r="176" spans="1:26" ht="14.25" customHeight="1">
      <c r="A176" s="14"/>
      <c r="B176" s="2"/>
      <c r="C176" s="1"/>
      <c r="D176" s="1"/>
      <c r="E176" s="1"/>
      <c r="F176" s="1"/>
      <c r="G176" s="1"/>
      <c r="H176" s="1"/>
      <c r="I176" s="1"/>
      <c r="J176" s="1"/>
      <c r="K176" s="1"/>
      <c r="L176" s="1"/>
      <c r="M176" s="1"/>
      <c r="N176" s="1"/>
      <c r="O176" s="1"/>
      <c r="P176" s="1"/>
      <c r="Q176" s="1"/>
      <c r="R176" s="1"/>
      <c r="S176" s="1"/>
      <c r="T176" s="2"/>
      <c r="U176" s="2"/>
      <c r="V176" s="2"/>
      <c r="W176" s="2"/>
      <c r="X176" s="2"/>
      <c r="Y176" s="2"/>
      <c r="Z176" s="2"/>
    </row>
    <row r="177" spans="1:26" ht="14.25" customHeight="1">
      <c r="A177" s="14"/>
      <c r="B177" s="2"/>
      <c r="C177" s="1"/>
      <c r="D177" s="1"/>
      <c r="E177" s="1"/>
      <c r="F177" s="1"/>
      <c r="G177" s="1"/>
      <c r="H177" s="1"/>
      <c r="I177" s="1"/>
      <c r="J177" s="1"/>
      <c r="K177" s="1"/>
      <c r="L177" s="1"/>
      <c r="M177" s="1"/>
      <c r="N177" s="1"/>
      <c r="O177" s="1"/>
      <c r="P177" s="1"/>
      <c r="Q177" s="1"/>
      <c r="R177" s="1"/>
      <c r="S177" s="1"/>
      <c r="T177" s="2"/>
      <c r="U177" s="2"/>
      <c r="V177" s="2"/>
      <c r="W177" s="2"/>
      <c r="X177" s="2"/>
      <c r="Y177" s="2"/>
      <c r="Z177" s="2"/>
    </row>
    <row r="178" spans="1:26" ht="14.25" customHeight="1">
      <c r="A178" s="14"/>
      <c r="B178" s="2"/>
      <c r="C178" s="1"/>
      <c r="D178" s="1"/>
      <c r="E178" s="1"/>
      <c r="F178" s="1"/>
      <c r="G178" s="1"/>
      <c r="H178" s="1"/>
      <c r="I178" s="1"/>
      <c r="J178" s="1"/>
      <c r="K178" s="1"/>
      <c r="L178" s="1"/>
      <c r="M178" s="1"/>
      <c r="N178" s="1"/>
      <c r="O178" s="1"/>
      <c r="P178" s="1"/>
      <c r="Q178" s="1"/>
      <c r="R178" s="1"/>
      <c r="S178" s="1"/>
      <c r="T178" s="2"/>
      <c r="U178" s="2"/>
      <c r="V178" s="2"/>
      <c r="W178" s="2"/>
      <c r="X178" s="2"/>
      <c r="Y178" s="2"/>
      <c r="Z178" s="2"/>
    </row>
    <row r="179" spans="1:26" ht="14.25" customHeight="1">
      <c r="A179" s="14"/>
      <c r="B179" s="2"/>
      <c r="C179" s="1"/>
      <c r="D179" s="1"/>
      <c r="E179" s="1"/>
      <c r="F179" s="1"/>
      <c r="G179" s="1"/>
      <c r="H179" s="1"/>
      <c r="I179" s="1"/>
      <c r="J179" s="1"/>
      <c r="K179" s="1"/>
      <c r="L179" s="1"/>
      <c r="M179" s="1"/>
      <c r="N179" s="1"/>
      <c r="O179" s="1"/>
      <c r="P179" s="1"/>
      <c r="Q179" s="1"/>
      <c r="R179" s="1"/>
      <c r="S179" s="1"/>
      <c r="T179" s="2"/>
      <c r="U179" s="2"/>
      <c r="V179" s="2"/>
      <c r="W179" s="2"/>
      <c r="X179" s="2"/>
      <c r="Y179" s="2"/>
      <c r="Z179" s="2"/>
    </row>
    <row r="180" spans="1:26" ht="14.25" customHeight="1">
      <c r="A180" s="14"/>
      <c r="B180" s="2"/>
      <c r="C180" s="1"/>
      <c r="D180" s="1"/>
      <c r="E180" s="1"/>
      <c r="F180" s="1"/>
      <c r="G180" s="1"/>
      <c r="H180" s="1"/>
      <c r="I180" s="1"/>
      <c r="J180" s="1"/>
      <c r="K180" s="1"/>
      <c r="L180" s="1"/>
      <c r="M180" s="1"/>
      <c r="N180" s="1"/>
      <c r="O180" s="1"/>
      <c r="P180" s="1"/>
      <c r="Q180" s="1"/>
      <c r="R180" s="1"/>
      <c r="S180" s="1"/>
      <c r="T180" s="2"/>
      <c r="U180" s="2"/>
      <c r="V180" s="2"/>
      <c r="W180" s="2"/>
      <c r="X180" s="2"/>
      <c r="Y180" s="2"/>
      <c r="Z180" s="2"/>
    </row>
    <row r="181" spans="1:26" ht="14.25" customHeight="1">
      <c r="A181" s="14"/>
      <c r="B181" s="2"/>
      <c r="C181" s="1"/>
      <c r="D181" s="1"/>
      <c r="E181" s="1"/>
      <c r="F181" s="1"/>
      <c r="G181" s="1"/>
      <c r="H181" s="1"/>
      <c r="I181" s="1"/>
      <c r="J181" s="1"/>
      <c r="K181" s="1"/>
      <c r="L181" s="1"/>
      <c r="M181" s="1"/>
      <c r="N181" s="1"/>
      <c r="O181" s="1"/>
      <c r="P181" s="1"/>
      <c r="Q181" s="1"/>
      <c r="R181" s="1"/>
      <c r="S181" s="1"/>
      <c r="T181" s="2"/>
      <c r="U181" s="2"/>
      <c r="V181" s="2"/>
      <c r="W181" s="2"/>
      <c r="X181" s="2"/>
      <c r="Y181" s="2"/>
      <c r="Z181" s="2"/>
    </row>
    <row r="182" spans="1:26" ht="14.25" customHeight="1">
      <c r="A182" s="14"/>
      <c r="B182" s="2"/>
      <c r="C182" s="1"/>
      <c r="D182" s="1"/>
      <c r="E182" s="1"/>
      <c r="F182" s="1"/>
      <c r="G182" s="1"/>
      <c r="H182" s="1"/>
      <c r="I182" s="1"/>
      <c r="J182" s="1"/>
      <c r="K182" s="1"/>
      <c r="L182" s="1"/>
      <c r="M182" s="1"/>
      <c r="N182" s="1"/>
      <c r="O182" s="1"/>
      <c r="P182" s="1"/>
      <c r="Q182" s="1"/>
      <c r="R182" s="1"/>
      <c r="S182" s="1"/>
      <c r="T182" s="2"/>
      <c r="U182" s="2"/>
      <c r="V182" s="2"/>
      <c r="W182" s="2"/>
      <c r="X182" s="2"/>
      <c r="Y182" s="2"/>
      <c r="Z182" s="2"/>
    </row>
    <row r="183" spans="1:26" ht="14.25" customHeight="1">
      <c r="A183" s="14"/>
      <c r="B183" s="2"/>
      <c r="C183" s="1"/>
      <c r="D183" s="1"/>
      <c r="E183" s="1"/>
      <c r="F183" s="1"/>
      <c r="G183" s="1"/>
      <c r="H183" s="1"/>
      <c r="I183" s="1"/>
      <c r="J183" s="1"/>
      <c r="K183" s="1"/>
      <c r="L183" s="1"/>
      <c r="M183" s="1"/>
      <c r="N183" s="1"/>
      <c r="O183" s="1"/>
      <c r="P183" s="1"/>
      <c r="Q183" s="1"/>
      <c r="R183" s="1"/>
      <c r="S183" s="1"/>
      <c r="T183" s="2"/>
      <c r="U183" s="2"/>
      <c r="V183" s="2"/>
      <c r="W183" s="2"/>
      <c r="X183" s="2"/>
      <c r="Y183" s="2"/>
      <c r="Z183" s="2"/>
    </row>
    <row r="184" spans="1:26" ht="14.25" customHeight="1">
      <c r="A184" s="14"/>
      <c r="B184" s="2"/>
      <c r="C184" s="1"/>
      <c r="D184" s="1"/>
      <c r="E184" s="1"/>
      <c r="F184" s="1"/>
      <c r="G184" s="1"/>
      <c r="H184" s="1"/>
      <c r="I184" s="1"/>
      <c r="J184" s="1"/>
      <c r="K184" s="1"/>
      <c r="L184" s="1"/>
      <c r="M184" s="1"/>
      <c r="N184" s="1"/>
      <c r="O184" s="1"/>
      <c r="P184" s="1"/>
      <c r="Q184" s="1"/>
      <c r="R184" s="1"/>
      <c r="S184" s="1"/>
      <c r="T184" s="2"/>
      <c r="U184" s="2"/>
      <c r="V184" s="2"/>
      <c r="W184" s="2"/>
      <c r="X184" s="2"/>
      <c r="Y184" s="2"/>
      <c r="Z184" s="2"/>
    </row>
    <row r="185" spans="1:26" ht="14.25" customHeight="1">
      <c r="A185" s="14"/>
      <c r="B185" s="2"/>
      <c r="C185" s="1"/>
      <c r="D185" s="1"/>
      <c r="E185" s="1"/>
      <c r="F185" s="1"/>
      <c r="G185" s="1"/>
      <c r="H185" s="1"/>
      <c r="I185" s="1"/>
      <c r="J185" s="1"/>
      <c r="K185" s="1"/>
      <c r="L185" s="1"/>
      <c r="M185" s="1"/>
      <c r="N185" s="1"/>
      <c r="O185" s="1"/>
      <c r="P185" s="1"/>
      <c r="Q185" s="1"/>
      <c r="R185" s="1"/>
      <c r="S185" s="1"/>
      <c r="T185" s="2"/>
      <c r="U185" s="2"/>
      <c r="V185" s="2"/>
      <c r="W185" s="2"/>
      <c r="X185" s="2"/>
      <c r="Y185" s="2"/>
      <c r="Z185" s="2"/>
    </row>
    <row r="186" spans="1:26" ht="14.25" customHeight="1">
      <c r="A186" s="14"/>
      <c r="B186" s="2"/>
      <c r="C186" s="1"/>
      <c r="D186" s="1"/>
      <c r="E186" s="1"/>
      <c r="F186" s="1"/>
      <c r="G186" s="1"/>
      <c r="H186" s="1"/>
      <c r="I186" s="1"/>
      <c r="J186" s="1"/>
      <c r="K186" s="1"/>
      <c r="L186" s="1"/>
      <c r="M186" s="1"/>
      <c r="N186" s="1"/>
      <c r="O186" s="1"/>
      <c r="P186" s="1"/>
      <c r="Q186" s="1"/>
      <c r="R186" s="1"/>
      <c r="S186" s="1"/>
      <c r="T186" s="2"/>
      <c r="U186" s="2"/>
      <c r="V186" s="2"/>
      <c r="W186" s="2"/>
      <c r="X186" s="2"/>
      <c r="Y186" s="2"/>
      <c r="Z186" s="2"/>
    </row>
    <row r="187" spans="1:26" ht="14.25" customHeight="1">
      <c r="A187" s="14"/>
      <c r="B187" s="2"/>
      <c r="C187" s="1"/>
      <c r="D187" s="1"/>
      <c r="E187" s="1"/>
      <c r="F187" s="1"/>
      <c r="G187" s="1"/>
      <c r="H187" s="1"/>
      <c r="I187" s="1"/>
      <c r="J187" s="1"/>
      <c r="K187" s="1"/>
      <c r="L187" s="1"/>
      <c r="M187" s="1"/>
      <c r="N187" s="1"/>
      <c r="O187" s="1"/>
      <c r="P187" s="1"/>
      <c r="Q187" s="1"/>
      <c r="R187" s="1"/>
      <c r="S187" s="1"/>
      <c r="T187" s="2"/>
      <c r="U187" s="2"/>
      <c r="V187" s="2"/>
      <c r="W187" s="2"/>
      <c r="X187" s="2"/>
      <c r="Y187" s="2"/>
      <c r="Z187" s="2"/>
    </row>
    <row r="188" spans="1:26" ht="14.25" customHeight="1">
      <c r="A188" s="14"/>
      <c r="B188" s="2"/>
      <c r="C188" s="1"/>
      <c r="D188" s="1"/>
      <c r="E188" s="1"/>
      <c r="F188" s="1"/>
      <c r="G188" s="1"/>
      <c r="H188" s="1"/>
      <c r="I188" s="1"/>
      <c r="J188" s="1"/>
      <c r="K188" s="1"/>
      <c r="L188" s="1"/>
      <c r="M188" s="1"/>
      <c r="N188" s="1"/>
      <c r="O188" s="1"/>
      <c r="P188" s="1"/>
      <c r="Q188" s="1"/>
      <c r="R188" s="1"/>
      <c r="S188" s="1"/>
      <c r="T188" s="2"/>
      <c r="U188" s="2"/>
      <c r="V188" s="2"/>
      <c r="W188" s="2"/>
      <c r="X188" s="2"/>
      <c r="Y188" s="2"/>
      <c r="Z188" s="2"/>
    </row>
    <row r="189" spans="1:26" ht="14.25" customHeight="1">
      <c r="A189" s="14"/>
      <c r="B189" s="2"/>
      <c r="C189" s="1"/>
      <c r="D189" s="1"/>
      <c r="E189" s="1"/>
      <c r="F189" s="1"/>
      <c r="G189" s="1"/>
      <c r="H189" s="1"/>
      <c r="I189" s="1"/>
      <c r="J189" s="1"/>
      <c r="K189" s="1"/>
      <c r="L189" s="1"/>
      <c r="M189" s="1"/>
      <c r="N189" s="1"/>
      <c r="O189" s="1"/>
      <c r="P189" s="1"/>
      <c r="Q189" s="1"/>
      <c r="R189" s="1"/>
      <c r="S189" s="1"/>
      <c r="T189" s="2"/>
      <c r="U189" s="2"/>
      <c r="V189" s="2"/>
      <c r="W189" s="2"/>
      <c r="X189" s="2"/>
      <c r="Y189" s="2"/>
      <c r="Z189" s="2"/>
    </row>
    <row r="190" spans="1:26" ht="14.25" customHeight="1">
      <c r="A190" s="14"/>
      <c r="B190" s="2"/>
      <c r="C190" s="1"/>
      <c r="D190" s="1"/>
      <c r="E190" s="1"/>
      <c r="F190" s="1"/>
      <c r="G190" s="1"/>
      <c r="H190" s="1"/>
      <c r="I190" s="1"/>
      <c r="J190" s="1"/>
      <c r="K190" s="1"/>
      <c r="L190" s="1"/>
      <c r="M190" s="1"/>
      <c r="N190" s="1"/>
      <c r="O190" s="1"/>
      <c r="P190" s="1"/>
      <c r="Q190" s="1"/>
      <c r="R190" s="1"/>
      <c r="S190" s="1"/>
      <c r="T190" s="2"/>
      <c r="U190" s="2"/>
      <c r="V190" s="2"/>
      <c r="W190" s="2"/>
      <c r="X190" s="2"/>
      <c r="Y190" s="2"/>
      <c r="Z190" s="2"/>
    </row>
    <row r="191" spans="1:26" ht="14.25" customHeight="1">
      <c r="A191" s="14"/>
      <c r="B191" s="2"/>
      <c r="C191" s="1"/>
      <c r="D191" s="1"/>
      <c r="E191" s="1"/>
      <c r="F191" s="1"/>
      <c r="G191" s="1"/>
      <c r="H191" s="1"/>
      <c r="I191" s="1"/>
      <c r="J191" s="1"/>
      <c r="K191" s="1"/>
      <c r="L191" s="1"/>
      <c r="M191" s="1"/>
      <c r="N191" s="1"/>
      <c r="O191" s="1"/>
      <c r="P191" s="1"/>
      <c r="Q191" s="1"/>
      <c r="R191" s="1"/>
      <c r="S191" s="1"/>
      <c r="T191" s="2"/>
      <c r="U191" s="2"/>
      <c r="V191" s="2"/>
      <c r="W191" s="2"/>
      <c r="X191" s="2"/>
      <c r="Y191" s="2"/>
      <c r="Z191" s="2"/>
    </row>
    <row r="192" spans="1:26" ht="14.25" customHeight="1">
      <c r="A192" s="14"/>
      <c r="B192" s="2"/>
      <c r="C192" s="1"/>
      <c r="D192" s="1"/>
      <c r="E192" s="1"/>
      <c r="F192" s="1"/>
      <c r="G192" s="1"/>
      <c r="H192" s="1"/>
      <c r="I192" s="1"/>
      <c r="J192" s="1"/>
      <c r="K192" s="1"/>
      <c r="L192" s="1"/>
      <c r="M192" s="1"/>
      <c r="N192" s="1"/>
      <c r="O192" s="1"/>
      <c r="P192" s="1"/>
      <c r="Q192" s="1"/>
      <c r="R192" s="1"/>
      <c r="S192" s="1"/>
      <c r="T192" s="2"/>
      <c r="U192" s="2"/>
      <c r="V192" s="2"/>
      <c r="W192" s="2"/>
      <c r="X192" s="2"/>
      <c r="Y192" s="2"/>
      <c r="Z192" s="2"/>
    </row>
    <row r="193" spans="1:26" ht="14.25" customHeight="1">
      <c r="A193" s="14"/>
      <c r="B193" s="2"/>
      <c r="C193" s="1"/>
      <c r="D193" s="1"/>
      <c r="E193" s="1"/>
      <c r="F193" s="1"/>
      <c r="G193" s="1"/>
      <c r="H193" s="1"/>
      <c r="I193" s="1"/>
      <c r="J193" s="1"/>
      <c r="K193" s="1"/>
      <c r="L193" s="1"/>
      <c r="M193" s="1"/>
      <c r="N193" s="1"/>
      <c r="O193" s="1"/>
      <c r="P193" s="1"/>
      <c r="Q193" s="1"/>
      <c r="R193" s="1"/>
      <c r="S193" s="1"/>
      <c r="T193" s="2"/>
      <c r="U193" s="2"/>
      <c r="V193" s="2"/>
      <c r="W193" s="2"/>
      <c r="X193" s="2"/>
      <c r="Y193" s="2"/>
      <c r="Z193" s="2"/>
    </row>
    <row r="194" spans="1:26" ht="14.25" customHeight="1">
      <c r="A194" s="14"/>
      <c r="B194" s="2"/>
      <c r="C194" s="1"/>
      <c r="D194" s="1"/>
      <c r="E194" s="1"/>
      <c r="F194" s="1"/>
      <c r="G194" s="1"/>
      <c r="H194" s="1"/>
      <c r="I194" s="1"/>
      <c r="J194" s="1"/>
      <c r="K194" s="1"/>
      <c r="L194" s="1"/>
      <c r="M194" s="1"/>
      <c r="N194" s="1"/>
      <c r="O194" s="1"/>
      <c r="P194" s="1"/>
      <c r="Q194" s="1"/>
      <c r="R194" s="1"/>
      <c r="S194" s="1"/>
      <c r="T194" s="2"/>
      <c r="U194" s="2"/>
      <c r="V194" s="2"/>
      <c r="W194" s="2"/>
      <c r="X194" s="2"/>
      <c r="Y194" s="2"/>
      <c r="Z194" s="2"/>
    </row>
    <row r="195" spans="1:26" ht="14.25" customHeight="1">
      <c r="A195" s="14"/>
      <c r="B195" s="2"/>
      <c r="C195" s="1"/>
      <c r="D195" s="1"/>
      <c r="E195" s="1"/>
      <c r="F195" s="1"/>
      <c r="G195" s="1"/>
      <c r="H195" s="1"/>
      <c r="I195" s="1"/>
      <c r="J195" s="1"/>
      <c r="K195" s="1"/>
      <c r="L195" s="1"/>
      <c r="M195" s="1"/>
      <c r="N195" s="1"/>
      <c r="O195" s="1"/>
      <c r="P195" s="1"/>
      <c r="Q195" s="1"/>
      <c r="R195" s="1"/>
      <c r="S195" s="1"/>
      <c r="T195" s="2"/>
      <c r="U195" s="2"/>
      <c r="V195" s="2"/>
      <c r="W195" s="2"/>
      <c r="X195" s="2"/>
      <c r="Y195" s="2"/>
      <c r="Z195" s="2"/>
    </row>
    <row r="196" spans="1:26" ht="14.25" customHeight="1">
      <c r="A196" s="14"/>
      <c r="B196" s="2"/>
      <c r="C196" s="1"/>
      <c r="D196" s="1"/>
      <c r="E196" s="1"/>
      <c r="F196" s="1"/>
      <c r="G196" s="1"/>
      <c r="H196" s="1"/>
      <c r="I196" s="1"/>
      <c r="J196" s="1"/>
      <c r="K196" s="1"/>
      <c r="L196" s="1"/>
      <c r="M196" s="1"/>
      <c r="N196" s="1"/>
      <c r="O196" s="1"/>
      <c r="P196" s="1"/>
      <c r="Q196" s="1"/>
      <c r="R196" s="1"/>
      <c r="S196" s="1"/>
      <c r="T196" s="2"/>
      <c r="U196" s="2"/>
      <c r="V196" s="2"/>
      <c r="W196" s="2"/>
      <c r="X196" s="2"/>
      <c r="Y196" s="2"/>
      <c r="Z196" s="2"/>
    </row>
    <row r="197" spans="1:26" ht="14.25" customHeight="1">
      <c r="A197" s="14"/>
      <c r="B197" s="2"/>
      <c r="C197" s="1"/>
      <c r="D197" s="1"/>
      <c r="E197" s="1"/>
      <c r="F197" s="1"/>
      <c r="G197" s="1"/>
      <c r="H197" s="1"/>
      <c r="I197" s="1"/>
      <c r="J197" s="1"/>
      <c r="K197" s="1"/>
      <c r="L197" s="1"/>
      <c r="M197" s="1"/>
      <c r="N197" s="1"/>
      <c r="O197" s="1"/>
      <c r="P197" s="1"/>
      <c r="Q197" s="1"/>
      <c r="R197" s="1"/>
      <c r="S197" s="1"/>
      <c r="T197" s="2"/>
      <c r="U197" s="2"/>
      <c r="V197" s="2"/>
      <c r="W197" s="2"/>
      <c r="X197" s="2"/>
      <c r="Y197" s="2"/>
      <c r="Z197" s="2"/>
    </row>
    <row r="198" spans="1:26" ht="14.25" customHeight="1">
      <c r="A198" s="14"/>
      <c r="B198" s="2"/>
      <c r="C198" s="1"/>
      <c r="D198" s="1"/>
      <c r="E198" s="1"/>
      <c r="F198" s="1"/>
      <c r="G198" s="1"/>
      <c r="H198" s="1"/>
      <c r="I198" s="1"/>
      <c r="J198" s="1"/>
      <c r="K198" s="1"/>
      <c r="L198" s="1"/>
      <c r="M198" s="1"/>
      <c r="N198" s="1"/>
      <c r="O198" s="1"/>
      <c r="P198" s="1"/>
      <c r="Q198" s="1"/>
      <c r="R198" s="1"/>
      <c r="S198" s="1"/>
      <c r="T198" s="2"/>
      <c r="U198" s="2"/>
      <c r="V198" s="2"/>
      <c r="W198" s="2"/>
      <c r="X198" s="2"/>
      <c r="Y198" s="2"/>
      <c r="Z198" s="2"/>
    </row>
    <row r="199" spans="1:26" ht="14.25" customHeight="1">
      <c r="A199" s="14"/>
      <c r="B199" s="2"/>
      <c r="C199" s="1"/>
      <c r="D199" s="1"/>
      <c r="E199" s="1"/>
      <c r="F199" s="1"/>
      <c r="G199" s="1"/>
      <c r="H199" s="1"/>
      <c r="I199" s="1"/>
      <c r="J199" s="1"/>
      <c r="K199" s="1"/>
      <c r="L199" s="1"/>
      <c r="M199" s="1"/>
      <c r="N199" s="1"/>
      <c r="O199" s="1"/>
      <c r="P199" s="1"/>
      <c r="Q199" s="1"/>
      <c r="R199" s="1"/>
      <c r="S199" s="1"/>
      <c r="T199" s="2"/>
      <c r="U199" s="2"/>
      <c r="V199" s="2"/>
      <c r="W199" s="2"/>
      <c r="X199" s="2"/>
      <c r="Y199" s="2"/>
      <c r="Z199" s="2"/>
    </row>
    <row r="200" spans="1:26" ht="14.25" customHeight="1">
      <c r="A200" s="14"/>
      <c r="B200" s="2"/>
      <c r="C200" s="1"/>
      <c r="D200" s="1"/>
      <c r="E200" s="1"/>
      <c r="F200" s="1"/>
      <c r="G200" s="1"/>
      <c r="H200" s="1"/>
      <c r="I200" s="1"/>
      <c r="J200" s="1"/>
      <c r="K200" s="1"/>
      <c r="L200" s="1"/>
      <c r="M200" s="1"/>
      <c r="N200" s="1"/>
      <c r="O200" s="1"/>
      <c r="P200" s="1"/>
      <c r="Q200" s="1"/>
      <c r="R200" s="1"/>
      <c r="S200" s="1"/>
      <c r="T200" s="2"/>
      <c r="U200" s="2"/>
      <c r="V200" s="2"/>
      <c r="W200" s="2"/>
      <c r="X200" s="2"/>
      <c r="Y200" s="2"/>
      <c r="Z200" s="2"/>
    </row>
    <row r="201" spans="1:26" ht="14.25" customHeight="1">
      <c r="A201" s="14"/>
      <c r="B201" s="2"/>
      <c r="C201" s="1"/>
      <c r="D201" s="1"/>
      <c r="E201" s="1"/>
      <c r="F201" s="1"/>
      <c r="G201" s="1"/>
      <c r="H201" s="1"/>
      <c r="I201" s="1"/>
      <c r="J201" s="1"/>
      <c r="K201" s="1"/>
      <c r="L201" s="1"/>
      <c r="M201" s="1"/>
      <c r="N201" s="1"/>
      <c r="O201" s="1"/>
      <c r="P201" s="1"/>
      <c r="Q201" s="1"/>
      <c r="R201" s="1"/>
      <c r="S201" s="1"/>
      <c r="T201" s="2"/>
      <c r="U201" s="2"/>
      <c r="V201" s="2"/>
      <c r="W201" s="2"/>
      <c r="X201" s="2"/>
      <c r="Y201" s="2"/>
      <c r="Z201" s="2"/>
    </row>
    <row r="202" spans="1:26" ht="14.25" customHeight="1">
      <c r="A202" s="14"/>
      <c r="B202" s="2"/>
      <c r="C202" s="1"/>
      <c r="D202" s="1"/>
      <c r="E202" s="1"/>
      <c r="F202" s="1"/>
      <c r="G202" s="1"/>
      <c r="H202" s="1"/>
      <c r="I202" s="1"/>
      <c r="J202" s="1"/>
      <c r="K202" s="1"/>
      <c r="L202" s="1"/>
      <c r="M202" s="1"/>
      <c r="N202" s="1"/>
      <c r="O202" s="1"/>
      <c r="P202" s="1"/>
      <c r="Q202" s="1"/>
      <c r="R202" s="1"/>
      <c r="S202" s="1"/>
      <c r="T202" s="2"/>
      <c r="U202" s="2"/>
      <c r="V202" s="2"/>
      <c r="W202" s="2"/>
      <c r="X202" s="2"/>
      <c r="Y202" s="2"/>
      <c r="Z202" s="2"/>
    </row>
    <row r="203" spans="1:26" ht="14.25" customHeight="1">
      <c r="A203" s="14"/>
      <c r="B203" s="2"/>
      <c r="C203" s="1"/>
      <c r="D203" s="1"/>
      <c r="E203" s="1"/>
      <c r="F203" s="1"/>
      <c r="G203" s="1"/>
      <c r="H203" s="1"/>
      <c r="I203" s="1"/>
      <c r="J203" s="1"/>
      <c r="K203" s="1"/>
      <c r="L203" s="1"/>
      <c r="M203" s="1"/>
      <c r="N203" s="1"/>
      <c r="O203" s="1"/>
      <c r="P203" s="1"/>
      <c r="Q203" s="1"/>
      <c r="R203" s="1"/>
      <c r="S203" s="1"/>
      <c r="T203" s="2"/>
      <c r="U203" s="2"/>
      <c r="V203" s="2"/>
      <c r="W203" s="2"/>
      <c r="X203" s="2"/>
      <c r="Y203" s="2"/>
      <c r="Z203" s="2"/>
    </row>
    <row r="204" spans="1:26" ht="14.25" customHeight="1">
      <c r="A204" s="14"/>
      <c r="B204" s="2"/>
      <c r="C204" s="1"/>
      <c r="D204" s="1"/>
      <c r="E204" s="1"/>
      <c r="F204" s="1"/>
      <c r="G204" s="1"/>
      <c r="H204" s="1"/>
      <c r="I204" s="1"/>
      <c r="J204" s="1"/>
      <c r="K204" s="1"/>
      <c r="L204" s="1"/>
      <c r="M204" s="1"/>
      <c r="N204" s="1"/>
      <c r="O204" s="1"/>
      <c r="P204" s="1"/>
      <c r="Q204" s="1"/>
      <c r="R204" s="1"/>
      <c r="S204" s="1"/>
      <c r="T204" s="2"/>
      <c r="U204" s="2"/>
      <c r="V204" s="2"/>
      <c r="W204" s="2"/>
      <c r="X204" s="2"/>
      <c r="Y204" s="2"/>
      <c r="Z204" s="2"/>
    </row>
    <row r="205" spans="1:26" ht="14.25" customHeight="1">
      <c r="A205" s="14"/>
      <c r="B205" s="2"/>
      <c r="C205" s="1"/>
      <c r="D205" s="1"/>
      <c r="E205" s="1"/>
      <c r="F205" s="1"/>
      <c r="G205" s="1"/>
      <c r="H205" s="1"/>
      <c r="I205" s="1"/>
      <c r="J205" s="1"/>
      <c r="K205" s="1"/>
      <c r="L205" s="1"/>
      <c r="M205" s="1"/>
      <c r="N205" s="1"/>
      <c r="O205" s="1"/>
      <c r="P205" s="1"/>
      <c r="Q205" s="1"/>
      <c r="R205" s="1"/>
      <c r="S205" s="1"/>
      <c r="T205" s="2"/>
      <c r="U205" s="2"/>
      <c r="V205" s="2"/>
      <c r="W205" s="2"/>
      <c r="X205" s="2"/>
      <c r="Y205" s="2"/>
      <c r="Z205" s="2"/>
    </row>
    <row r="206" spans="1:26" ht="14.25" customHeight="1">
      <c r="A206" s="14"/>
      <c r="B206" s="2"/>
      <c r="C206" s="1"/>
      <c r="D206" s="1"/>
      <c r="E206" s="1"/>
      <c r="F206" s="1"/>
      <c r="G206" s="1"/>
      <c r="H206" s="1"/>
      <c r="I206" s="1"/>
      <c r="J206" s="1"/>
      <c r="K206" s="1"/>
      <c r="L206" s="1"/>
      <c r="M206" s="1"/>
      <c r="N206" s="1"/>
      <c r="O206" s="1"/>
      <c r="P206" s="1"/>
      <c r="Q206" s="1"/>
      <c r="R206" s="1"/>
      <c r="S206" s="1"/>
      <c r="T206" s="2"/>
      <c r="U206" s="2"/>
      <c r="V206" s="2"/>
      <c r="W206" s="2"/>
      <c r="X206" s="2"/>
      <c r="Y206" s="2"/>
      <c r="Z206" s="2"/>
    </row>
    <row r="207" spans="1:26" ht="14.25" customHeight="1">
      <c r="A207" s="14"/>
      <c r="B207" s="2"/>
      <c r="C207" s="1"/>
      <c r="D207" s="1"/>
      <c r="E207" s="1"/>
      <c r="F207" s="1"/>
      <c r="G207" s="1"/>
      <c r="H207" s="1"/>
      <c r="I207" s="1"/>
      <c r="J207" s="1"/>
      <c r="K207" s="1"/>
      <c r="L207" s="1"/>
      <c r="M207" s="1"/>
      <c r="N207" s="1"/>
      <c r="O207" s="1"/>
      <c r="P207" s="1"/>
      <c r="Q207" s="1"/>
      <c r="R207" s="1"/>
      <c r="S207" s="1"/>
      <c r="T207" s="2"/>
      <c r="U207" s="2"/>
      <c r="V207" s="2"/>
      <c r="W207" s="2"/>
      <c r="X207" s="2"/>
      <c r="Y207" s="2"/>
      <c r="Z207" s="2"/>
    </row>
    <row r="208" spans="1:26" ht="14.25" customHeight="1">
      <c r="A208" s="14"/>
      <c r="B208" s="2"/>
      <c r="C208" s="1"/>
      <c r="D208" s="1"/>
      <c r="E208" s="1"/>
      <c r="F208" s="1"/>
      <c r="G208" s="1"/>
      <c r="H208" s="1"/>
      <c r="I208" s="1"/>
      <c r="J208" s="1"/>
      <c r="K208" s="1"/>
      <c r="L208" s="1"/>
      <c r="M208" s="1"/>
      <c r="N208" s="1"/>
      <c r="O208" s="1"/>
      <c r="P208" s="1"/>
      <c r="Q208" s="1"/>
      <c r="R208" s="1"/>
      <c r="S208" s="1"/>
      <c r="T208" s="2"/>
      <c r="U208" s="2"/>
      <c r="V208" s="2"/>
      <c r="W208" s="2"/>
      <c r="X208" s="2"/>
      <c r="Y208" s="2"/>
      <c r="Z208" s="2"/>
    </row>
    <row r="209" spans="1:26" ht="14.25" customHeight="1">
      <c r="A209" s="14"/>
      <c r="B209" s="2"/>
      <c r="C209" s="1"/>
      <c r="D209" s="1"/>
      <c r="E209" s="1"/>
      <c r="F209" s="1"/>
      <c r="G209" s="1"/>
      <c r="H209" s="1"/>
      <c r="I209" s="1"/>
      <c r="J209" s="1"/>
      <c r="K209" s="1"/>
      <c r="L209" s="1"/>
      <c r="M209" s="1"/>
      <c r="N209" s="1"/>
      <c r="O209" s="1"/>
      <c r="P209" s="1"/>
      <c r="Q209" s="1"/>
      <c r="R209" s="1"/>
      <c r="S209" s="1"/>
      <c r="T209" s="2"/>
      <c r="U209" s="2"/>
      <c r="V209" s="2"/>
      <c r="W209" s="2"/>
      <c r="X209" s="2"/>
      <c r="Y209" s="2"/>
      <c r="Z209" s="2"/>
    </row>
    <row r="210" spans="1:26" ht="14.25" customHeight="1">
      <c r="A210" s="14"/>
      <c r="B210" s="2"/>
      <c r="C210" s="1"/>
      <c r="D210" s="1"/>
      <c r="E210" s="1"/>
      <c r="F210" s="1"/>
      <c r="G210" s="1"/>
      <c r="H210" s="1"/>
      <c r="I210" s="1"/>
      <c r="J210" s="1"/>
      <c r="K210" s="1"/>
      <c r="L210" s="1"/>
      <c r="M210" s="1"/>
      <c r="N210" s="1"/>
      <c r="O210" s="1"/>
      <c r="P210" s="1"/>
      <c r="Q210" s="1"/>
      <c r="R210" s="1"/>
      <c r="S210" s="1"/>
      <c r="T210" s="2"/>
      <c r="U210" s="2"/>
      <c r="V210" s="2"/>
      <c r="W210" s="2"/>
      <c r="X210" s="2"/>
      <c r="Y210" s="2"/>
      <c r="Z210" s="2"/>
    </row>
    <row r="211" spans="1:26" ht="14.25" customHeight="1">
      <c r="A211" s="14"/>
      <c r="B211" s="2"/>
      <c r="C211" s="1"/>
      <c r="D211" s="1"/>
      <c r="E211" s="1"/>
      <c r="F211" s="1"/>
      <c r="G211" s="1"/>
      <c r="H211" s="1"/>
      <c r="I211" s="1"/>
      <c r="J211" s="1"/>
      <c r="K211" s="1"/>
      <c r="L211" s="1"/>
      <c r="M211" s="1"/>
      <c r="N211" s="1"/>
      <c r="O211" s="1"/>
      <c r="P211" s="1"/>
      <c r="Q211" s="1"/>
      <c r="R211" s="1"/>
      <c r="S211" s="1"/>
      <c r="T211" s="2"/>
      <c r="U211" s="2"/>
      <c r="V211" s="2"/>
      <c r="W211" s="2"/>
      <c r="X211" s="2"/>
      <c r="Y211" s="2"/>
      <c r="Z211" s="2"/>
    </row>
    <row r="212" spans="1:26" ht="14.25" customHeight="1">
      <c r="A212" s="14"/>
      <c r="B212" s="2"/>
      <c r="C212" s="1"/>
      <c r="D212" s="1"/>
      <c r="E212" s="1"/>
      <c r="F212" s="1"/>
      <c r="G212" s="1"/>
      <c r="H212" s="1"/>
      <c r="I212" s="1"/>
      <c r="J212" s="1"/>
      <c r="K212" s="1"/>
      <c r="L212" s="1"/>
      <c r="M212" s="1"/>
      <c r="N212" s="1"/>
      <c r="O212" s="1"/>
      <c r="P212" s="1"/>
      <c r="Q212" s="1"/>
      <c r="R212" s="1"/>
      <c r="S212" s="1"/>
      <c r="T212" s="2"/>
      <c r="U212" s="2"/>
      <c r="V212" s="2"/>
      <c r="W212" s="2"/>
      <c r="X212" s="2"/>
      <c r="Y212" s="2"/>
      <c r="Z212" s="2"/>
    </row>
    <row r="213" spans="1:26" ht="14.25" customHeight="1">
      <c r="A213" s="14"/>
      <c r="B213" s="2"/>
      <c r="C213" s="1"/>
      <c r="D213" s="1"/>
      <c r="E213" s="1"/>
      <c r="F213" s="1"/>
      <c r="G213" s="1"/>
      <c r="H213" s="1"/>
      <c r="I213" s="1"/>
      <c r="J213" s="1"/>
      <c r="K213" s="1"/>
      <c r="L213" s="1"/>
      <c r="M213" s="1"/>
      <c r="N213" s="1"/>
      <c r="O213" s="1"/>
      <c r="P213" s="1"/>
      <c r="Q213" s="1"/>
      <c r="R213" s="1"/>
      <c r="S213" s="1"/>
      <c r="T213" s="2"/>
      <c r="U213" s="2"/>
      <c r="V213" s="2"/>
      <c r="W213" s="2"/>
      <c r="X213" s="2"/>
      <c r="Y213" s="2"/>
      <c r="Z213" s="2"/>
    </row>
    <row r="214" spans="1:26" ht="14.25" customHeight="1">
      <c r="A214" s="14"/>
      <c r="B214" s="2"/>
      <c r="C214" s="1"/>
      <c r="D214" s="1"/>
      <c r="E214" s="1"/>
      <c r="F214" s="1"/>
      <c r="G214" s="1"/>
      <c r="H214" s="1"/>
      <c r="I214" s="1"/>
      <c r="J214" s="1"/>
      <c r="K214" s="1"/>
      <c r="L214" s="1"/>
      <c r="M214" s="1"/>
      <c r="N214" s="1"/>
      <c r="O214" s="1"/>
      <c r="P214" s="1"/>
      <c r="Q214" s="1"/>
      <c r="R214" s="1"/>
      <c r="S214" s="1"/>
      <c r="T214" s="2"/>
      <c r="U214" s="2"/>
      <c r="V214" s="2"/>
      <c r="W214" s="2"/>
      <c r="X214" s="2"/>
      <c r="Y214" s="2"/>
      <c r="Z214" s="2"/>
    </row>
    <row r="215" spans="1:26" ht="14.25" customHeight="1">
      <c r="A215" s="14"/>
      <c r="B215" s="2"/>
      <c r="C215" s="1"/>
      <c r="D215" s="1"/>
      <c r="E215" s="1"/>
      <c r="F215" s="1"/>
      <c r="G215" s="1"/>
      <c r="H215" s="1"/>
      <c r="I215" s="1"/>
      <c r="J215" s="1"/>
      <c r="K215" s="1"/>
      <c r="L215" s="1"/>
      <c r="M215" s="1"/>
      <c r="N215" s="1"/>
      <c r="O215" s="1"/>
      <c r="P215" s="1"/>
      <c r="Q215" s="1"/>
      <c r="R215" s="1"/>
      <c r="S215" s="1"/>
      <c r="T215" s="2"/>
      <c r="U215" s="2"/>
      <c r="V215" s="2"/>
      <c r="W215" s="2"/>
      <c r="X215" s="2"/>
      <c r="Y215" s="2"/>
      <c r="Z215" s="2"/>
    </row>
    <row r="216" spans="1:26" ht="14.25" customHeight="1">
      <c r="A216" s="14"/>
      <c r="B216" s="2"/>
      <c r="C216" s="1"/>
      <c r="D216" s="1"/>
      <c r="E216" s="1"/>
      <c r="F216" s="1"/>
      <c r="G216" s="1"/>
      <c r="H216" s="1"/>
      <c r="I216" s="1"/>
      <c r="J216" s="1"/>
      <c r="K216" s="1"/>
      <c r="L216" s="1"/>
      <c r="M216" s="1"/>
      <c r="N216" s="1"/>
      <c r="O216" s="1"/>
      <c r="P216" s="1"/>
      <c r="Q216" s="1"/>
      <c r="R216" s="1"/>
      <c r="S216" s="1"/>
      <c r="T216" s="2"/>
      <c r="U216" s="2"/>
      <c r="V216" s="2"/>
      <c r="W216" s="2"/>
      <c r="X216" s="2"/>
      <c r="Y216" s="2"/>
      <c r="Z216" s="2"/>
    </row>
    <row r="217" spans="1:26" ht="14.25" customHeight="1">
      <c r="A217" s="14"/>
      <c r="B217" s="2"/>
      <c r="C217" s="1"/>
      <c r="D217" s="1"/>
      <c r="E217" s="1"/>
      <c r="F217" s="1"/>
      <c r="G217" s="1"/>
      <c r="H217" s="1"/>
      <c r="I217" s="1"/>
      <c r="J217" s="1"/>
      <c r="K217" s="1"/>
      <c r="L217" s="1"/>
      <c r="M217" s="1"/>
      <c r="N217" s="1"/>
      <c r="O217" s="1"/>
      <c r="P217" s="1"/>
      <c r="Q217" s="1"/>
      <c r="R217" s="1"/>
      <c r="S217" s="1"/>
      <c r="T217" s="2"/>
      <c r="U217" s="2"/>
      <c r="V217" s="2"/>
      <c r="W217" s="2"/>
      <c r="X217" s="2"/>
      <c r="Y217" s="2"/>
      <c r="Z217" s="2"/>
    </row>
    <row r="218" spans="1:26" ht="14.25" customHeight="1">
      <c r="A218" s="14"/>
      <c r="B218" s="2"/>
      <c r="C218" s="1"/>
      <c r="D218" s="1"/>
      <c r="E218" s="1"/>
      <c r="F218" s="1"/>
      <c r="G218" s="1"/>
      <c r="H218" s="1"/>
      <c r="I218" s="1"/>
      <c r="J218" s="1"/>
      <c r="K218" s="1"/>
      <c r="L218" s="1"/>
      <c r="M218" s="1"/>
      <c r="N218" s="1"/>
      <c r="O218" s="1"/>
      <c r="P218" s="1"/>
      <c r="Q218" s="1"/>
      <c r="R218" s="1"/>
      <c r="S218" s="1"/>
      <c r="T218" s="2"/>
      <c r="U218" s="2"/>
      <c r="V218" s="2"/>
      <c r="W218" s="2"/>
      <c r="X218" s="2"/>
      <c r="Y218" s="2"/>
      <c r="Z218" s="2"/>
    </row>
    <row r="219" spans="1:26" ht="14.25" customHeight="1">
      <c r="A219" s="14"/>
      <c r="B219" s="2"/>
      <c r="C219" s="1"/>
      <c r="D219" s="1"/>
      <c r="E219" s="1"/>
      <c r="F219" s="1"/>
      <c r="G219" s="1"/>
      <c r="H219" s="1"/>
      <c r="I219" s="1"/>
      <c r="J219" s="1"/>
      <c r="K219" s="1"/>
      <c r="L219" s="1"/>
      <c r="M219" s="1"/>
      <c r="N219" s="1"/>
      <c r="O219" s="1"/>
      <c r="P219" s="1"/>
      <c r="Q219" s="1"/>
      <c r="R219" s="1"/>
      <c r="S219" s="1"/>
      <c r="T219" s="2"/>
      <c r="U219" s="2"/>
      <c r="V219" s="2"/>
      <c r="W219" s="2"/>
      <c r="X219" s="2"/>
      <c r="Y219" s="2"/>
      <c r="Z219" s="2"/>
    </row>
    <row r="220" spans="1:26" ht="14.25" customHeight="1">
      <c r="A220" s="14"/>
      <c r="B220" s="2"/>
      <c r="C220" s="1"/>
      <c r="D220" s="1"/>
      <c r="E220" s="1"/>
      <c r="F220" s="1"/>
      <c r="G220" s="1"/>
      <c r="H220" s="1"/>
      <c r="I220" s="1"/>
      <c r="J220" s="1"/>
      <c r="K220" s="1"/>
      <c r="L220" s="1"/>
      <c r="M220" s="1"/>
      <c r="N220" s="1"/>
      <c r="O220" s="1"/>
      <c r="P220" s="1"/>
      <c r="Q220" s="1"/>
      <c r="R220" s="1"/>
      <c r="S220" s="1"/>
      <c r="T220" s="2"/>
      <c r="U220" s="2"/>
      <c r="V220" s="2"/>
      <c r="W220" s="2"/>
      <c r="X220" s="2"/>
      <c r="Y220" s="2"/>
      <c r="Z220" s="2"/>
    </row>
    <row r="221" spans="1:26" ht="14.25" customHeight="1">
      <c r="A221" s="14"/>
      <c r="B221" s="2"/>
      <c r="C221" s="1"/>
      <c r="D221" s="1"/>
      <c r="E221" s="1"/>
      <c r="F221" s="1"/>
      <c r="G221" s="1"/>
      <c r="H221" s="1"/>
      <c r="I221" s="1"/>
      <c r="J221" s="1"/>
      <c r="K221" s="1"/>
      <c r="L221" s="1"/>
      <c r="M221" s="1"/>
      <c r="N221" s="1"/>
      <c r="O221" s="1"/>
      <c r="P221" s="1"/>
      <c r="Q221" s="1"/>
      <c r="R221" s="1"/>
      <c r="S221" s="1"/>
      <c r="T221" s="2"/>
      <c r="U221" s="2"/>
      <c r="V221" s="2"/>
      <c r="W221" s="2"/>
      <c r="X221" s="2"/>
      <c r="Y221" s="2"/>
      <c r="Z221" s="2"/>
    </row>
    <row r="222" spans="1:26" ht="14.25" customHeight="1">
      <c r="A222" s="14"/>
      <c r="B222" s="2"/>
      <c r="C222" s="1"/>
      <c r="D222" s="1"/>
      <c r="E222" s="1"/>
      <c r="F222" s="1"/>
      <c r="G222" s="1"/>
      <c r="H222" s="1"/>
      <c r="I222" s="1"/>
      <c r="J222" s="1"/>
      <c r="K222" s="1"/>
      <c r="L222" s="1"/>
      <c r="M222" s="1"/>
      <c r="N222" s="1"/>
      <c r="O222" s="1"/>
      <c r="P222" s="1"/>
      <c r="Q222" s="1"/>
      <c r="R222" s="1"/>
      <c r="S222" s="1"/>
      <c r="T222" s="2"/>
      <c r="U222" s="2"/>
      <c r="V222" s="2"/>
      <c r="W222" s="2"/>
      <c r="X222" s="2"/>
      <c r="Y222" s="2"/>
      <c r="Z222" s="2"/>
    </row>
    <row r="223" spans="1:26" ht="14.25" customHeight="1">
      <c r="A223" s="14"/>
      <c r="B223" s="2"/>
      <c r="C223" s="1"/>
      <c r="D223" s="1"/>
      <c r="E223" s="1"/>
      <c r="F223" s="1"/>
      <c r="G223" s="1"/>
      <c r="H223" s="1"/>
      <c r="I223" s="1"/>
      <c r="J223" s="1"/>
      <c r="K223" s="1"/>
      <c r="L223" s="1"/>
      <c r="M223" s="1"/>
      <c r="N223" s="1"/>
      <c r="O223" s="1"/>
      <c r="P223" s="1"/>
      <c r="Q223" s="1"/>
      <c r="R223" s="1"/>
      <c r="S223" s="1"/>
      <c r="T223" s="2"/>
      <c r="U223" s="2"/>
      <c r="V223" s="2"/>
      <c r="W223" s="2"/>
      <c r="X223" s="2"/>
      <c r="Y223" s="2"/>
      <c r="Z223" s="2"/>
    </row>
    <row r="224" spans="1:26" ht="14.25" customHeight="1">
      <c r="A224" s="14"/>
      <c r="B224" s="2"/>
      <c r="C224" s="1"/>
      <c r="D224" s="1"/>
      <c r="E224" s="1"/>
      <c r="F224" s="1"/>
      <c r="G224" s="1"/>
      <c r="H224" s="1"/>
      <c r="I224" s="1"/>
      <c r="J224" s="1"/>
      <c r="K224" s="1"/>
      <c r="L224" s="1"/>
      <c r="M224" s="1"/>
      <c r="N224" s="1"/>
      <c r="O224" s="1"/>
      <c r="P224" s="1"/>
      <c r="Q224" s="1"/>
      <c r="R224" s="1"/>
      <c r="S224" s="1"/>
      <c r="T224" s="2"/>
      <c r="U224" s="2"/>
      <c r="V224" s="2"/>
      <c r="W224" s="2"/>
      <c r="X224" s="2"/>
      <c r="Y224" s="2"/>
      <c r="Z224" s="2"/>
    </row>
    <row r="225" spans="1:26" ht="14.25" customHeight="1">
      <c r="A225" s="14"/>
      <c r="B225" s="2"/>
      <c r="C225" s="1"/>
      <c r="D225" s="1"/>
      <c r="E225" s="1"/>
      <c r="F225" s="1"/>
      <c r="G225" s="1"/>
      <c r="H225" s="1"/>
      <c r="I225" s="1"/>
      <c r="J225" s="1"/>
      <c r="K225" s="1"/>
      <c r="L225" s="1"/>
      <c r="M225" s="1"/>
      <c r="N225" s="1"/>
      <c r="O225" s="1"/>
      <c r="P225" s="1"/>
      <c r="Q225" s="1"/>
      <c r="R225" s="1"/>
      <c r="S225" s="1"/>
      <c r="T225" s="2"/>
      <c r="U225" s="2"/>
      <c r="V225" s="2"/>
      <c r="W225" s="2"/>
      <c r="X225" s="2"/>
      <c r="Y225" s="2"/>
      <c r="Z225" s="2"/>
    </row>
    <row r="226" spans="1:26" ht="14.25" customHeight="1">
      <c r="A226" s="14"/>
      <c r="B226" s="2"/>
      <c r="C226" s="1"/>
      <c r="D226" s="1"/>
      <c r="E226" s="1"/>
      <c r="F226" s="1"/>
      <c r="G226" s="1"/>
      <c r="H226" s="1"/>
      <c r="I226" s="1"/>
      <c r="J226" s="1"/>
      <c r="K226" s="1"/>
      <c r="L226" s="1"/>
      <c r="M226" s="1"/>
      <c r="N226" s="1"/>
      <c r="O226" s="1"/>
      <c r="P226" s="1"/>
      <c r="Q226" s="1"/>
      <c r="R226" s="1"/>
      <c r="S226" s="1"/>
      <c r="T226" s="2"/>
      <c r="U226" s="2"/>
      <c r="V226" s="2"/>
      <c r="W226" s="2"/>
      <c r="X226" s="2"/>
      <c r="Y226" s="2"/>
      <c r="Z226" s="2"/>
    </row>
    <row r="227" spans="1:26" ht="14.25" customHeight="1">
      <c r="A227" s="14"/>
      <c r="B227" s="2"/>
      <c r="C227" s="1"/>
      <c r="D227" s="1"/>
      <c r="E227" s="1"/>
      <c r="F227" s="1"/>
      <c r="G227" s="1"/>
      <c r="H227" s="1"/>
      <c r="I227" s="1"/>
      <c r="J227" s="1"/>
      <c r="K227" s="1"/>
      <c r="L227" s="1"/>
      <c r="M227" s="1"/>
      <c r="N227" s="1"/>
      <c r="O227" s="1"/>
      <c r="P227" s="1"/>
      <c r="Q227" s="1"/>
      <c r="R227" s="1"/>
      <c r="S227" s="1"/>
      <c r="T227" s="2"/>
      <c r="U227" s="2"/>
      <c r="V227" s="2"/>
      <c r="W227" s="2"/>
      <c r="X227" s="2"/>
      <c r="Y227" s="2"/>
      <c r="Z227" s="2"/>
    </row>
    <row r="228" spans="1:26" ht="14.25" customHeight="1">
      <c r="A228" s="14"/>
      <c r="B228" s="2"/>
      <c r="C228" s="1"/>
      <c r="D228" s="1"/>
      <c r="E228" s="1"/>
      <c r="F228" s="1"/>
      <c r="G228" s="1"/>
      <c r="H228" s="1"/>
      <c r="I228" s="1"/>
      <c r="J228" s="1"/>
      <c r="K228" s="1"/>
      <c r="L228" s="1"/>
      <c r="M228" s="1"/>
      <c r="N228" s="1"/>
      <c r="O228" s="1"/>
      <c r="P228" s="1"/>
      <c r="Q228" s="1"/>
      <c r="R228" s="1"/>
      <c r="S228" s="1"/>
      <c r="T228" s="2"/>
      <c r="U228" s="2"/>
      <c r="V228" s="2"/>
      <c r="W228" s="2"/>
      <c r="X228" s="2"/>
      <c r="Y228" s="2"/>
      <c r="Z228" s="2"/>
    </row>
    <row r="229" spans="1:26" ht="14.25" customHeight="1">
      <c r="A229" s="14"/>
      <c r="B229" s="2"/>
      <c r="C229" s="1"/>
      <c r="D229" s="1"/>
      <c r="E229" s="1"/>
      <c r="F229" s="1"/>
      <c r="G229" s="1"/>
      <c r="H229" s="1"/>
      <c r="I229" s="1"/>
      <c r="J229" s="1"/>
      <c r="K229" s="1"/>
      <c r="L229" s="1"/>
      <c r="M229" s="1"/>
      <c r="N229" s="1"/>
      <c r="O229" s="1"/>
      <c r="P229" s="1"/>
      <c r="Q229" s="1"/>
      <c r="R229" s="1"/>
      <c r="S229" s="1"/>
      <c r="T229" s="2"/>
      <c r="U229" s="2"/>
      <c r="V229" s="2"/>
      <c r="W229" s="2"/>
      <c r="X229" s="2"/>
      <c r="Y229" s="2"/>
      <c r="Z229" s="2"/>
    </row>
    <row r="230" spans="1:26" ht="14.25" customHeight="1">
      <c r="A230" s="14"/>
      <c r="B230" s="2"/>
      <c r="C230" s="1"/>
      <c r="D230" s="1"/>
      <c r="E230" s="1"/>
      <c r="F230" s="1"/>
      <c r="G230" s="1"/>
      <c r="H230" s="1"/>
      <c r="I230" s="1"/>
      <c r="J230" s="1"/>
      <c r="K230" s="1"/>
      <c r="L230" s="1"/>
      <c r="M230" s="1"/>
      <c r="N230" s="1"/>
      <c r="O230" s="1"/>
      <c r="P230" s="1"/>
      <c r="Q230" s="1"/>
      <c r="R230" s="1"/>
      <c r="S230" s="1"/>
      <c r="T230" s="2"/>
      <c r="U230" s="2"/>
      <c r="V230" s="2"/>
      <c r="W230" s="2"/>
      <c r="X230" s="2"/>
      <c r="Y230" s="2"/>
      <c r="Z230" s="2"/>
    </row>
    <row r="231" spans="1:26" ht="14.25" customHeight="1">
      <c r="A231" s="14"/>
      <c r="B231" s="2"/>
      <c r="C231" s="1"/>
      <c r="D231" s="1"/>
      <c r="E231" s="1"/>
      <c r="F231" s="1"/>
      <c r="G231" s="1"/>
      <c r="H231" s="1"/>
      <c r="I231" s="1"/>
      <c r="J231" s="1"/>
      <c r="K231" s="1"/>
      <c r="L231" s="1"/>
      <c r="M231" s="1"/>
      <c r="N231" s="1"/>
      <c r="O231" s="1"/>
      <c r="P231" s="1"/>
      <c r="Q231" s="1"/>
      <c r="R231" s="1"/>
      <c r="S231" s="1"/>
      <c r="T231" s="2"/>
      <c r="U231" s="2"/>
      <c r="V231" s="2"/>
      <c r="W231" s="2"/>
      <c r="X231" s="2"/>
      <c r="Y231" s="2"/>
      <c r="Z231" s="2"/>
    </row>
    <row r="232" spans="1:26" ht="14.25" customHeight="1">
      <c r="A232" s="14"/>
      <c r="B232" s="2"/>
      <c r="C232" s="1"/>
      <c r="D232" s="1"/>
      <c r="E232" s="1"/>
      <c r="F232" s="1"/>
      <c r="G232" s="1"/>
      <c r="H232" s="1"/>
      <c r="I232" s="1"/>
      <c r="J232" s="1"/>
      <c r="K232" s="1"/>
      <c r="L232" s="1"/>
      <c r="M232" s="1"/>
      <c r="N232" s="1"/>
      <c r="O232" s="1"/>
      <c r="P232" s="1"/>
      <c r="Q232" s="1"/>
      <c r="R232" s="1"/>
      <c r="S232" s="1"/>
      <c r="T232" s="2"/>
      <c r="U232" s="2"/>
      <c r="V232" s="2"/>
      <c r="W232" s="2"/>
      <c r="X232" s="2"/>
      <c r="Y232" s="2"/>
      <c r="Z232" s="2"/>
    </row>
    <row r="233" spans="1:26" ht="14.25" customHeight="1">
      <c r="A233" s="14"/>
      <c r="B233" s="2"/>
      <c r="C233" s="1"/>
      <c r="D233" s="1"/>
      <c r="E233" s="1"/>
      <c r="F233" s="1"/>
      <c r="G233" s="1"/>
      <c r="H233" s="1"/>
      <c r="I233" s="1"/>
      <c r="J233" s="1"/>
      <c r="K233" s="1"/>
      <c r="L233" s="1"/>
      <c r="M233" s="1"/>
      <c r="N233" s="1"/>
      <c r="O233" s="1"/>
      <c r="P233" s="1"/>
      <c r="Q233" s="1"/>
      <c r="R233" s="1"/>
      <c r="S233" s="1"/>
      <c r="T233" s="2"/>
      <c r="U233" s="2"/>
      <c r="V233" s="2"/>
      <c r="W233" s="2"/>
      <c r="X233" s="2"/>
      <c r="Y233" s="2"/>
      <c r="Z233" s="2"/>
    </row>
    <row r="234" spans="1:26" ht="14.25" customHeight="1">
      <c r="A234" s="14"/>
      <c r="B234" s="2"/>
      <c r="C234" s="1"/>
      <c r="D234" s="1"/>
      <c r="E234" s="1"/>
      <c r="F234" s="1"/>
      <c r="G234" s="1"/>
      <c r="H234" s="1"/>
      <c r="I234" s="1"/>
      <c r="J234" s="1"/>
      <c r="K234" s="1"/>
      <c r="L234" s="1"/>
      <c r="M234" s="1"/>
      <c r="N234" s="1"/>
      <c r="O234" s="1"/>
      <c r="P234" s="1"/>
      <c r="Q234" s="1"/>
      <c r="R234" s="1"/>
      <c r="S234" s="1"/>
      <c r="T234" s="2"/>
      <c r="U234" s="2"/>
      <c r="V234" s="2"/>
      <c r="W234" s="2"/>
      <c r="X234" s="2"/>
      <c r="Y234" s="2"/>
      <c r="Z234" s="2"/>
    </row>
    <row r="235" spans="1:26" ht="14.25" customHeight="1">
      <c r="A235" s="14"/>
      <c r="B235" s="2"/>
      <c r="C235" s="1"/>
      <c r="D235" s="1"/>
      <c r="E235" s="1"/>
      <c r="F235" s="1"/>
      <c r="G235" s="1"/>
      <c r="H235" s="1"/>
      <c r="I235" s="1"/>
      <c r="J235" s="1"/>
      <c r="K235" s="1"/>
      <c r="L235" s="1"/>
      <c r="M235" s="1"/>
      <c r="N235" s="1"/>
      <c r="O235" s="1"/>
      <c r="P235" s="1"/>
      <c r="Q235" s="1"/>
      <c r="R235" s="1"/>
      <c r="S235" s="1"/>
      <c r="T235" s="2"/>
      <c r="U235" s="2"/>
      <c r="V235" s="2"/>
      <c r="W235" s="2"/>
      <c r="X235" s="2"/>
      <c r="Y235" s="2"/>
      <c r="Z235" s="2"/>
    </row>
    <row r="236" spans="1:26" ht="14.25" customHeight="1">
      <c r="A236" s="14"/>
      <c r="B236" s="2"/>
      <c r="C236" s="1"/>
      <c r="D236" s="1"/>
      <c r="E236" s="1"/>
      <c r="F236" s="1"/>
      <c r="G236" s="1"/>
      <c r="H236" s="1"/>
      <c r="I236" s="1"/>
      <c r="J236" s="1"/>
      <c r="K236" s="1"/>
      <c r="L236" s="1"/>
      <c r="M236" s="1"/>
      <c r="N236" s="1"/>
      <c r="O236" s="1"/>
      <c r="P236" s="1"/>
      <c r="Q236" s="1"/>
      <c r="R236" s="1"/>
      <c r="S236" s="1"/>
      <c r="T236" s="2"/>
      <c r="U236" s="2"/>
      <c r="V236" s="2"/>
      <c r="W236" s="2"/>
      <c r="X236" s="2"/>
      <c r="Y236" s="2"/>
      <c r="Z236" s="2"/>
    </row>
    <row r="237" spans="1:26" ht="14.25" customHeight="1">
      <c r="A237" s="14"/>
      <c r="B237" s="2"/>
      <c r="C237" s="1"/>
      <c r="D237" s="1"/>
      <c r="E237" s="1"/>
      <c r="F237" s="1"/>
      <c r="G237" s="1"/>
      <c r="H237" s="1"/>
      <c r="I237" s="1"/>
      <c r="J237" s="1"/>
      <c r="K237" s="1"/>
      <c r="L237" s="1"/>
      <c r="M237" s="1"/>
      <c r="N237" s="1"/>
      <c r="O237" s="1"/>
      <c r="P237" s="1"/>
      <c r="Q237" s="1"/>
      <c r="R237" s="1"/>
      <c r="S237" s="1"/>
      <c r="T237" s="2"/>
      <c r="U237" s="2"/>
      <c r="V237" s="2"/>
      <c r="W237" s="2"/>
      <c r="X237" s="2"/>
      <c r="Y237" s="2"/>
      <c r="Z237" s="2"/>
    </row>
    <row r="238" spans="1:26" ht="14.25" customHeight="1">
      <c r="A238" s="14"/>
      <c r="B238" s="2"/>
      <c r="C238" s="1"/>
      <c r="D238" s="1"/>
      <c r="E238" s="1"/>
      <c r="F238" s="1"/>
      <c r="G238" s="1"/>
      <c r="H238" s="1"/>
      <c r="I238" s="1"/>
      <c r="J238" s="1"/>
      <c r="K238" s="1"/>
      <c r="L238" s="1"/>
      <c r="M238" s="1"/>
      <c r="N238" s="1"/>
      <c r="O238" s="1"/>
      <c r="P238" s="1"/>
      <c r="Q238" s="1"/>
      <c r="R238" s="1"/>
      <c r="S238" s="1"/>
      <c r="T238" s="2"/>
      <c r="U238" s="2"/>
      <c r="V238" s="2"/>
      <c r="W238" s="2"/>
      <c r="X238" s="2"/>
      <c r="Y238" s="2"/>
      <c r="Z238" s="2"/>
    </row>
    <row r="239" spans="1:26" ht="14.25" customHeight="1">
      <c r="A239" s="14"/>
      <c r="B239" s="2"/>
      <c r="C239" s="1"/>
      <c r="D239" s="1"/>
      <c r="E239" s="1"/>
      <c r="F239" s="1"/>
      <c r="G239" s="1"/>
      <c r="H239" s="1"/>
      <c r="I239" s="1"/>
      <c r="J239" s="1"/>
      <c r="K239" s="1"/>
      <c r="L239" s="1"/>
      <c r="M239" s="1"/>
      <c r="N239" s="1"/>
      <c r="O239" s="1"/>
      <c r="P239" s="1"/>
      <c r="Q239" s="1"/>
      <c r="R239" s="1"/>
      <c r="S239" s="1"/>
      <c r="T239" s="2"/>
      <c r="U239" s="2"/>
      <c r="V239" s="2"/>
      <c r="W239" s="2"/>
      <c r="X239" s="2"/>
      <c r="Y239" s="2"/>
      <c r="Z239" s="2"/>
    </row>
    <row r="240" spans="1:26" ht="14.25" customHeight="1">
      <c r="A240" s="14"/>
      <c r="B240" s="2"/>
      <c r="C240" s="1"/>
      <c r="D240" s="1"/>
      <c r="E240" s="1"/>
      <c r="F240" s="1"/>
      <c r="G240" s="1"/>
      <c r="H240" s="1"/>
      <c r="I240" s="1"/>
      <c r="J240" s="1"/>
      <c r="K240" s="1"/>
      <c r="L240" s="1"/>
      <c r="M240" s="1"/>
      <c r="N240" s="1"/>
      <c r="O240" s="1"/>
      <c r="P240" s="1"/>
      <c r="Q240" s="1"/>
      <c r="R240" s="1"/>
      <c r="S240" s="1"/>
      <c r="T240" s="2"/>
      <c r="U240" s="2"/>
      <c r="V240" s="2"/>
      <c r="W240" s="2"/>
      <c r="X240" s="2"/>
      <c r="Y240" s="2"/>
      <c r="Z240" s="2"/>
    </row>
    <row r="241" spans="1:26" ht="14.25" customHeight="1">
      <c r="A241" s="14"/>
      <c r="B241" s="2"/>
      <c r="C241" s="1"/>
      <c r="D241" s="1"/>
      <c r="E241" s="1"/>
      <c r="F241" s="1"/>
      <c r="G241" s="1"/>
      <c r="H241" s="1"/>
      <c r="I241" s="1"/>
      <c r="J241" s="1"/>
      <c r="K241" s="1"/>
      <c r="L241" s="1"/>
      <c r="M241" s="1"/>
      <c r="N241" s="1"/>
      <c r="O241" s="1"/>
      <c r="P241" s="1"/>
      <c r="Q241" s="1"/>
      <c r="R241" s="1"/>
      <c r="S241" s="1"/>
      <c r="T241" s="2"/>
      <c r="U241" s="2"/>
      <c r="V241" s="2"/>
      <c r="W241" s="2"/>
      <c r="X241" s="2"/>
      <c r="Y241" s="2"/>
      <c r="Z241" s="2"/>
    </row>
    <row r="242" spans="1:26" ht="14.25" customHeight="1">
      <c r="A242" s="14"/>
      <c r="B242" s="2"/>
      <c r="C242" s="1"/>
      <c r="D242" s="1"/>
      <c r="E242" s="1"/>
      <c r="F242" s="1"/>
      <c r="G242" s="1"/>
      <c r="H242" s="1"/>
      <c r="I242" s="1"/>
      <c r="J242" s="1"/>
      <c r="K242" s="1"/>
      <c r="L242" s="1"/>
      <c r="M242" s="1"/>
      <c r="N242" s="1"/>
      <c r="O242" s="1"/>
      <c r="P242" s="1"/>
      <c r="Q242" s="1"/>
      <c r="R242" s="1"/>
      <c r="S242" s="1"/>
      <c r="T242" s="2"/>
      <c r="U242" s="2"/>
      <c r="V242" s="2"/>
      <c r="W242" s="2"/>
      <c r="X242" s="2"/>
      <c r="Y242" s="2"/>
      <c r="Z242" s="2"/>
    </row>
    <row r="243" spans="1:26" ht="14.25" customHeight="1">
      <c r="A243" s="14"/>
      <c r="B243" s="2"/>
      <c r="C243" s="1"/>
      <c r="D243" s="1"/>
      <c r="E243" s="1"/>
      <c r="F243" s="1"/>
      <c r="G243" s="1"/>
      <c r="H243" s="1"/>
      <c r="I243" s="1"/>
      <c r="J243" s="1"/>
      <c r="K243" s="1"/>
      <c r="L243" s="1"/>
      <c r="M243" s="1"/>
      <c r="N243" s="1"/>
      <c r="O243" s="1"/>
      <c r="P243" s="1"/>
      <c r="Q243" s="1"/>
      <c r="R243" s="1"/>
      <c r="S243" s="1"/>
      <c r="T243" s="2"/>
      <c r="U243" s="2"/>
      <c r="V243" s="2"/>
      <c r="W243" s="2"/>
      <c r="X243" s="2"/>
      <c r="Y243" s="2"/>
      <c r="Z243" s="2"/>
    </row>
    <row r="244" spans="1:26" ht="14.25" customHeight="1">
      <c r="A244" s="14"/>
      <c r="B244" s="2"/>
      <c r="C244" s="1"/>
      <c r="D244" s="1"/>
      <c r="E244" s="1"/>
      <c r="F244" s="1"/>
      <c r="G244" s="1"/>
      <c r="H244" s="1"/>
      <c r="I244" s="1"/>
      <c r="J244" s="1"/>
      <c r="K244" s="1"/>
      <c r="L244" s="1"/>
      <c r="M244" s="1"/>
      <c r="N244" s="1"/>
      <c r="O244" s="1"/>
      <c r="P244" s="1"/>
      <c r="Q244" s="1"/>
      <c r="R244" s="1"/>
      <c r="S244" s="1"/>
      <c r="T244" s="2"/>
      <c r="U244" s="2"/>
      <c r="V244" s="2"/>
      <c r="W244" s="2"/>
      <c r="X244" s="2"/>
      <c r="Y244" s="2"/>
      <c r="Z244" s="2"/>
    </row>
    <row r="245" spans="1:26" ht="14.25" customHeight="1">
      <c r="A245" s="14"/>
      <c r="B245" s="2"/>
      <c r="C245" s="1"/>
      <c r="D245" s="1"/>
      <c r="E245" s="1"/>
      <c r="F245" s="1"/>
      <c r="G245" s="1"/>
      <c r="H245" s="1"/>
      <c r="I245" s="1"/>
      <c r="J245" s="1"/>
      <c r="K245" s="1"/>
      <c r="L245" s="1"/>
      <c r="M245" s="1"/>
      <c r="N245" s="1"/>
      <c r="O245" s="1"/>
      <c r="P245" s="1"/>
      <c r="Q245" s="1"/>
      <c r="R245" s="1"/>
      <c r="S245" s="1"/>
      <c r="T245" s="2"/>
      <c r="U245" s="2"/>
      <c r="V245" s="2"/>
      <c r="W245" s="2"/>
      <c r="X245" s="2"/>
      <c r="Y245" s="2"/>
      <c r="Z245" s="2"/>
    </row>
    <row r="246" spans="1:26" ht="14.25" customHeight="1">
      <c r="A246" s="14"/>
      <c r="B246" s="2"/>
      <c r="C246" s="1"/>
      <c r="D246" s="1"/>
      <c r="E246" s="1"/>
      <c r="F246" s="1"/>
      <c r="G246" s="1"/>
      <c r="H246" s="1"/>
      <c r="I246" s="1"/>
      <c r="J246" s="1"/>
      <c r="K246" s="1"/>
      <c r="L246" s="1"/>
      <c r="M246" s="1"/>
      <c r="N246" s="1"/>
      <c r="O246" s="1"/>
      <c r="P246" s="1"/>
      <c r="Q246" s="1"/>
      <c r="R246" s="1"/>
      <c r="S246" s="1"/>
      <c r="T246" s="2"/>
      <c r="U246" s="2"/>
      <c r="V246" s="2"/>
      <c r="W246" s="2"/>
      <c r="X246" s="2"/>
      <c r="Y246" s="2"/>
      <c r="Z246" s="2"/>
    </row>
    <row r="247" spans="1:26" ht="14.25" customHeight="1">
      <c r="A247" s="14"/>
      <c r="B247" s="2"/>
      <c r="C247" s="1"/>
      <c r="D247" s="1"/>
      <c r="E247" s="1"/>
      <c r="F247" s="1"/>
      <c r="G247" s="1"/>
      <c r="H247" s="1"/>
      <c r="I247" s="1"/>
      <c r="J247" s="1"/>
      <c r="K247" s="1"/>
      <c r="L247" s="1"/>
      <c r="M247" s="1"/>
      <c r="N247" s="1"/>
      <c r="O247" s="1"/>
      <c r="P247" s="1"/>
      <c r="Q247" s="1"/>
      <c r="R247" s="1"/>
      <c r="S247" s="1"/>
      <c r="T247" s="2"/>
      <c r="U247" s="2"/>
      <c r="V247" s="2"/>
      <c r="W247" s="2"/>
      <c r="X247" s="2"/>
      <c r="Y247" s="2"/>
      <c r="Z247" s="2"/>
    </row>
    <row r="248" spans="1:26" ht="14.25" customHeight="1">
      <c r="A248" s="14"/>
      <c r="B248" s="2"/>
      <c r="C248" s="1"/>
      <c r="D248" s="1"/>
      <c r="E248" s="1"/>
      <c r="F248" s="1"/>
      <c r="G248" s="1"/>
      <c r="H248" s="1"/>
      <c r="I248" s="1"/>
      <c r="J248" s="1"/>
      <c r="K248" s="1"/>
      <c r="L248" s="1"/>
      <c r="M248" s="1"/>
      <c r="N248" s="1"/>
      <c r="O248" s="1"/>
      <c r="P248" s="1"/>
      <c r="Q248" s="1"/>
      <c r="R248" s="1"/>
      <c r="S248" s="1"/>
      <c r="T248" s="2"/>
      <c r="U248" s="2"/>
      <c r="V248" s="2"/>
      <c r="W248" s="2"/>
      <c r="X248" s="2"/>
      <c r="Y248" s="2"/>
      <c r="Z248" s="2"/>
    </row>
    <row r="249" spans="1:26" ht="14.25" customHeight="1">
      <c r="A249" s="14"/>
      <c r="B249" s="2"/>
      <c r="C249" s="1"/>
      <c r="D249" s="1"/>
      <c r="E249" s="1"/>
      <c r="F249" s="1"/>
      <c r="G249" s="1"/>
      <c r="H249" s="1"/>
      <c r="I249" s="1"/>
      <c r="J249" s="1"/>
      <c r="K249" s="1"/>
      <c r="L249" s="1"/>
      <c r="M249" s="1"/>
      <c r="N249" s="1"/>
      <c r="O249" s="1"/>
      <c r="P249" s="1"/>
      <c r="Q249" s="1"/>
      <c r="R249" s="1"/>
      <c r="S249" s="1"/>
      <c r="T249" s="2"/>
      <c r="U249" s="2"/>
      <c r="V249" s="2"/>
      <c r="W249" s="2"/>
      <c r="X249" s="2"/>
      <c r="Y249" s="2"/>
      <c r="Z249" s="2"/>
    </row>
    <row r="250" spans="1:26" ht="14.25" customHeight="1">
      <c r="A250" s="14"/>
      <c r="B250" s="2"/>
      <c r="C250" s="1"/>
      <c r="D250" s="1"/>
      <c r="E250" s="1"/>
      <c r="F250" s="1"/>
      <c r="G250" s="1"/>
      <c r="H250" s="1"/>
      <c r="I250" s="1"/>
      <c r="J250" s="1"/>
      <c r="K250" s="1"/>
      <c r="L250" s="1"/>
      <c r="M250" s="1"/>
      <c r="N250" s="1"/>
      <c r="O250" s="1"/>
      <c r="P250" s="1"/>
      <c r="Q250" s="1"/>
      <c r="R250" s="1"/>
      <c r="S250" s="1"/>
      <c r="T250" s="2"/>
      <c r="U250" s="2"/>
      <c r="V250" s="2"/>
      <c r="W250" s="2"/>
      <c r="X250" s="2"/>
      <c r="Y250" s="2"/>
      <c r="Z250" s="2"/>
    </row>
    <row r="251" spans="1:26" ht="14.25" customHeight="1">
      <c r="A251" s="14"/>
      <c r="B251" s="2"/>
      <c r="C251" s="1"/>
      <c r="D251" s="1"/>
      <c r="E251" s="1"/>
      <c r="F251" s="1"/>
      <c r="G251" s="1"/>
      <c r="H251" s="1"/>
      <c r="I251" s="1"/>
      <c r="J251" s="1"/>
      <c r="K251" s="1"/>
      <c r="L251" s="1"/>
      <c r="M251" s="1"/>
      <c r="N251" s="1"/>
      <c r="O251" s="1"/>
      <c r="P251" s="1"/>
      <c r="Q251" s="1"/>
      <c r="R251" s="1"/>
      <c r="S251" s="1"/>
      <c r="T251" s="2"/>
      <c r="U251" s="2"/>
      <c r="V251" s="2"/>
      <c r="W251" s="2"/>
      <c r="X251" s="2"/>
      <c r="Y251" s="2"/>
      <c r="Z251" s="2"/>
    </row>
    <row r="252" spans="1:26" ht="14.25" customHeight="1">
      <c r="A252" s="14"/>
      <c r="B252" s="2"/>
      <c r="C252" s="1"/>
      <c r="D252" s="1"/>
      <c r="E252" s="1"/>
      <c r="F252" s="1"/>
      <c r="G252" s="1"/>
      <c r="H252" s="1"/>
      <c r="I252" s="1"/>
      <c r="J252" s="1"/>
      <c r="K252" s="1"/>
      <c r="L252" s="1"/>
      <c r="M252" s="1"/>
      <c r="N252" s="1"/>
      <c r="O252" s="1"/>
      <c r="P252" s="1"/>
      <c r="Q252" s="1"/>
      <c r="R252" s="1"/>
      <c r="S252" s="1"/>
      <c r="T252" s="2"/>
      <c r="U252" s="2"/>
      <c r="V252" s="2"/>
      <c r="W252" s="2"/>
      <c r="X252" s="2"/>
      <c r="Y252" s="2"/>
      <c r="Z252" s="2"/>
    </row>
    <row r="253" spans="1:26" ht="14.25" customHeight="1">
      <c r="A253" s="14"/>
      <c r="B253" s="2"/>
      <c r="C253" s="1"/>
      <c r="D253" s="1"/>
      <c r="E253" s="1"/>
      <c r="F253" s="1"/>
      <c r="G253" s="1"/>
      <c r="H253" s="1"/>
      <c r="I253" s="1"/>
      <c r="J253" s="1"/>
      <c r="K253" s="1"/>
      <c r="L253" s="1"/>
      <c r="M253" s="1"/>
      <c r="N253" s="1"/>
      <c r="O253" s="1"/>
      <c r="P253" s="1"/>
      <c r="Q253" s="1"/>
      <c r="R253" s="1"/>
      <c r="S253" s="1"/>
      <c r="T253" s="2"/>
      <c r="U253" s="2"/>
      <c r="V253" s="2"/>
      <c r="W253" s="2"/>
      <c r="X253" s="2"/>
      <c r="Y253" s="2"/>
      <c r="Z253" s="2"/>
    </row>
    <row r="254" spans="1:26" ht="14.25" customHeight="1">
      <c r="A254" s="14"/>
      <c r="B254" s="2"/>
      <c r="C254" s="1"/>
      <c r="D254" s="1"/>
      <c r="E254" s="1"/>
      <c r="F254" s="1"/>
      <c r="G254" s="1"/>
      <c r="H254" s="1"/>
      <c r="I254" s="1"/>
      <c r="J254" s="1"/>
      <c r="K254" s="1"/>
      <c r="L254" s="1"/>
      <c r="M254" s="1"/>
      <c r="N254" s="1"/>
      <c r="O254" s="1"/>
      <c r="P254" s="1"/>
      <c r="Q254" s="1"/>
      <c r="R254" s="1"/>
      <c r="S254" s="1"/>
      <c r="T254" s="2"/>
      <c r="U254" s="2"/>
      <c r="V254" s="2"/>
      <c r="W254" s="2"/>
      <c r="X254" s="2"/>
      <c r="Y254" s="2"/>
      <c r="Z254" s="2"/>
    </row>
    <row r="255" spans="1:26" ht="14.25" customHeight="1">
      <c r="A255" s="14"/>
      <c r="B255" s="2"/>
      <c r="C255" s="1"/>
      <c r="D255" s="1"/>
      <c r="E255" s="1"/>
      <c r="F255" s="1"/>
      <c r="G255" s="1"/>
      <c r="H255" s="1"/>
      <c r="I255" s="1"/>
      <c r="J255" s="1"/>
      <c r="K255" s="1"/>
      <c r="L255" s="1"/>
      <c r="M255" s="1"/>
      <c r="N255" s="1"/>
      <c r="O255" s="1"/>
      <c r="P255" s="1"/>
      <c r="Q255" s="1"/>
      <c r="R255" s="1"/>
      <c r="S255" s="1"/>
      <c r="T255" s="2"/>
      <c r="U255" s="2"/>
      <c r="V255" s="2"/>
      <c r="W255" s="2"/>
      <c r="X255" s="2"/>
      <c r="Y255" s="2"/>
      <c r="Z255" s="2"/>
    </row>
    <row r="256" spans="1:26" ht="14.25" customHeight="1">
      <c r="A256" s="14"/>
      <c r="B256" s="2"/>
      <c r="C256" s="1"/>
      <c r="D256" s="1"/>
      <c r="E256" s="1"/>
      <c r="F256" s="1"/>
      <c r="G256" s="1"/>
      <c r="H256" s="1"/>
      <c r="I256" s="1"/>
      <c r="J256" s="1"/>
      <c r="K256" s="1"/>
      <c r="L256" s="1"/>
      <c r="M256" s="1"/>
      <c r="N256" s="1"/>
      <c r="O256" s="1"/>
      <c r="P256" s="1"/>
      <c r="Q256" s="1"/>
      <c r="R256" s="1"/>
      <c r="S256" s="1"/>
      <c r="T256" s="2"/>
      <c r="U256" s="2"/>
      <c r="V256" s="2"/>
      <c r="W256" s="2"/>
      <c r="X256" s="2"/>
      <c r="Y256" s="2"/>
      <c r="Z256" s="2"/>
    </row>
    <row r="257" spans="1:26" ht="14.25" customHeight="1">
      <c r="A257" s="14"/>
      <c r="B257" s="2"/>
      <c r="C257" s="1"/>
      <c r="D257" s="1"/>
      <c r="E257" s="1"/>
      <c r="F257" s="1"/>
      <c r="G257" s="1"/>
      <c r="H257" s="1"/>
      <c r="I257" s="1"/>
      <c r="J257" s="1"/>
      <c r="K257" s="1"/>
      <c r="L257" s="1"/>
      <c r="M257" s="1"/>
      <c r="N257" s="1"/>
      <c r="O257" s="1"/>
      <c r="P257" s="1"/>
      <c r="Q257" s="1"/>
      <c r="R257" s="1"/>
      <c r="S257" s="1"/>
      <c r="T257" s="2"/>
      <c r="U257" s="2"/>
      <c r="V257" s="2"/>
      <c r="W257" s="2"/>
      <c r="X257" s="2"/>
      <c r="Y257" s="2"/>
      <c r="Z257" s="2"/>
    </row>
    <row r="258" spans="1:26" ht="14.25" customHeight="1">
      <c r="A258" s="14"/>
      <c r="B258" s="2"/>
      <c r="C258" s="1"/>
      <c r="D258" s="1"/>
      <c r="E258" s="1"/>
      <c r="F258" s="1"/>
      <c r="G258" s="1"/>
      <c r="H258" s="1"/>
      <c r="I258" s="1"/>
      <c r="J258" s="1"/>
      <c r="K258" s="1"/>
      <c r="L258" s="1"/>
      <c r="M258" s="1"/>
      <c r="N258" s="1"/>
      <c r="O258" s="1"/>
      <c r="P258" s="1"/>
      <c r="Q258" s="1"/>
      <c r="R258" s="1"/>
      <c r="S258" s="1"/>
      <c r="T258" s="2"/>
      <c r="U258" s="2"/>
      <c r="V258" s="2"/>
      <c r="W258" s="2"/>
      <c r="X258" s="2"/>
      <c r="Y258" s="2"/>
      <c r="Z258" s="2"/>
    </row>
    <row r="259" spans="1:26" ht="14.25" customHeight="1">
      <c r="A259" s="14"/>
      <c r="B259" s="2"/>
      <c r="C259" s="1"/>
      <c r="D259" s="1"/>
      <c r="E259" s="1"/>
      <c r="F259" s="1"/>
      <c r="G259" s="1"/>
      <c r="H259" s="1"/>
      <c r="I259" s="1"/>
      <c r="J259" s="1"/>
      <c r="K259" s="1"/>
      <c r="L259" s="1"/>
      <c r="M259" s="1"/>
      <c r="N259" s="1"/>
      <c r="O259" s="1"/>
      <c r="P259" s="1"/>
      <c r="Q259" s="1"/>
      <c r="R259" s="1"/>
      <c r="S259" s="1"/>
      <c r="T259" s="2"/>
      <c r="U259" s="2"/>
      <c r="V259" s="2"/>
      <c r="W259" s="2"/>
      <c r="X259" s="2"/>
      <c r="Y259" s="2"/>
      <c r="Z259" s="2"/>
    </row>
    <row r="260" spans="1:26" ht="14.25" customHeight="1">
      <c r="A260" s="14"/>
      <c r="B260" s="2"/>
      <c r="C260" s="1"/>
      <c r="D260" s="1"/>
      <c r="E260" s="1"/>
      <c r="F260" s="1"/>
      <c r="G260" s="1"/>
      <c r="H260" s="1"/>
      <c r="I260" s="1"/>
      <c r="J260" s="1"/>
      <c r="K260" s="1"/>
      <c r="L260" s="1"/>
      <c r="M260" s="1"/>
      <c r="N260" s="1"/>
      <c r="O260" s="1"/>
      <c r="P260" s="1"/>
      <c r="Q260" s="1"/>
      <c r="R260" s="1"/>
      <c r="S260" s="1"/>
      <c r="T260" s="2"/>
      <c r="U260" s="2"/>
      <c r="V260" s="2"/>
      <c r="W260" s="2"/>
      <c r="X260" s="2"/>
      <c r="Y260" s="2"/>
      <c r="Z260" s="2"/>
    </row>
    <row r="261" spans="1:26" ht="14.25" customHeight="1">
      <c r="A261" s="14"/>
      <c r="B261" s="2"/>
      <c r="C261" s="1"/>
      <c r="D261" s="1"/>
      <c r="E261" s="1"/>
      <c r="F261" s="1"/>
      <c r="G261" s="1"/>
      <c r="H261" s="1"/>
      <c r="I261" s="1"/>
      <c r="J261" s="1"/>
      <c r="K261" s="1"/>
      <c r="L261" s="1"/>
      <c r="M261" s="1"/>
      <c r="N261" s="1"/>
      <c r="O261" s="1"/>
      <c r="P261" s="1"/>
      <c r="Q261" s="1"/>
      <c r="R261" s="1"/>
      <c r="S261" s="1"/>
      <c r="T261" s="2"/>
      <c r="U261" s="2"/>
      <c r="V261" s="2"/>
      <c r="W261" s="2"/>
      <c r="X261" s="2"/>
      <c r="Y261" s="2"/>
      <c r="Z261" s="2"/>
    </row>
    <row r="262" spans="1:26" ht="14.25" customHeight="1">
      <c r="A262" s="14"/>
      <c r="B262" s="2"/>
      <c r="C262" s="1"/>
      <c r="D262" s="1"/>
      <c r="E262" s="1"/>
      <c r="F262" s="1"/>
      <c r="G262" s="1"/>
      <c r="H262" s="1"/>
      <c r="I262" s="1"/>
      <c r="J262" s="1"/>
      <c r="K262" s="1"/>
      <c r="L262" s="1"/>
      <c r="M262" s="1"/>
      <c r="N262" s="1"/>
      <c r="O262" s="1"/>
      <c r="P262" s="1"/>
      <c r="Q262" s="1"/>
      <c r="R262" s="1"/>
      <c r="S262" s="1"/>
      <c r="T262" s="2"/>
      <c r="U262" s="2"/>
      <c r="V262" s="2"/>
      <c r="W262" s="2"/>
      <c r="X262" s="2"/>
      <c r="Y262" s="2"/>
      <c r="Z262" s="2"/>
    </row>
    <row r="263" spans="1:26" ht="14.25" customHeight="1">
      <c r="A263" s="14"/>
      <c r="B263" s="2"/>
      <c r="C263" s="1"/>
      <c r="D263" s="1"/>
      <c r="E263" s="1"/>
      <c r="F263" s="1"/>
      <c r="G263" s="1"/>
      <c r="H263" s="1"/>
      <c r="I263" s="1"/>
      <c r="J263" s="1"/>
      <c r="K263" s="1"/>
      <c r="L263" s="1"/>
      <c r="M263" s="1"/>
      <c r="N263" s="1"/>
      <c r="O263" s="1"/>
      <c r="P263" s="1"/>
      <c r="Q263" s="1"/>
      <c r="R263" s="1"/>
      <c r="S263" s="1"/>
      <c r="T263" s="2"/>
      <c r="U263" s="2"/>
      <c r="V263" s="2"/>
      <c r="W263" s="2"/>
      <c r="X263" s="2"/>
      <c r="Y263" s="2"/>
      <c r="Z263" s="2"/>
    </row>
    <row r="264" spans="1:26" ht="14.25" customHeight="1">
      <c r="A264" s="14"/>
      <c r="B264" s="2"/>
      <c r="C264" s="1"/>
      <c r="D264" s="1"/>
      <c r="E264" s="1"/>
      <c r="F264" s="1"/>
      <c r="G264" s="1"/>
      <c r="H264" s="1"/>
      <c r="I264" s="1"/>
      <c r="J264" s="1"/>
      <c r="K264" s="1"/>
      <c r="L264" s="1"/>
      <c r="M264" s="1"/>
      <c r="N264" s="1"/>
      <c r="O264" s="1"/>
      <c r="P264" s="1"/>
      <c r="Q264" s="1"/>
      <c r="R264" s="1"/>
      <c r="S264" s="1"/>
      <c r="T264" s="2"/>
      <c r="U264" s="2"/>
      <c r="V264" s="2"/>
      <c r="W264" s="2"/>
      <c r="X264" s="2"/>
      <c r="Y264" s="2"/>
      <c r="Z264" s="2"/>
    </row>
    <row r="265" spans="1:26" ht="14.25" customHeight="1">
      <c r="A265" s="14"/>
      <c r="B265" s="2"/>
      <c r="C265" s="1"/>
      <c r="D265" s="1"/>
      <c r="E265" s="1"/>
      <c r="F265" s="1"/>
      <c r="G265" s="1"/>
      <c r="H265" s="1"/>
      <c r="I265" s="1"/>
      <c r="J265" s="1"/>
      <c r="K265" s="1"/>
      <c r="L265" s="1"/>
      <c r="M265" s="1"/>
      <c r="N265" s="1"/>
      <c r="O265" s="1"/>
      <c r="P265" s="1"/>
      <c r="Q265" s="1"/>
      <c r="R265" s="1"/>
      <c r="S265" s="1"/>
      <c r="T265" s="2"/>
      <c r="U265" s="2"/>
      <c r="V265" s="2"/>
      <c r="W265" s="2"/>
      <c r="X265" s="2"/>
      <c r="Y265" s="2"/>
      <c r="Z265" s="2"/>
    </row>
    <row r="266" spans="1:26" ht="14.25" customHeight="1">
      <c r="A266" s="14"/>
      <c r="B266" s="2"/>
      <c r="C266" s="1"/>
      <c r="D266" s="1"/>
      <c r="E266" s="1"/>
      <c r="F266" s="1"/>
      <c r="G266" s="1"/>
      <c r="H266" s="1"/>
      <c r="I266" s="1"/>
      <c r="J266" s="1"/>
      <c r="K266" s="1"/>
      <c r="L266" s="1"/>
      <c r="M266" s="1"/>
      <c r="N266" s="1"/>
      <c r="O266" s="1"/>
      <c r="P266" s="1"/>
      <c r="Q266" s="1"/>
      <c r="R266" s="1"/>
      <c r="S266" s="1"/>
      <c r="T266" s="2"/>
      <c r="U266" s="2"/>
      <c r="V266" s="2"/>
      <c r="W266" s="2"/>
      <c r="X266" s="2"/>
      <c r="Y266" s="2"/>
      <c r="Z266" s="2"/>
    </row>
    <row r="267" spans="1:26" ht="14.25" customHeight="1">
      <c r="A267" s="14"/>
      <c r="B267" s="2"/>
      <c r="C267" s="1"/>
      <c r="D267" s="1"/>
      <c r="E267" s="1"/>
      <c r="F267" s="1"/>
      <c r="G267" s="1"/>
      <c r="H267" s="1"/>
      <c r="I267" s="1"/>
      <c r="J267" s="1"/>
      <c r="K267" s="1"/>
      <c r="L267" s="1"/>
      <c r="M267" s="1"/>
      <c r="N267" s="1"/>
      <c r="O267" s="1"/>
      <c r="P267" s="1"/>
      <c r="Q267" s="1"/>
      <c r="R267" s="1"/>
      <c r="S267" s="1"/>
      <c r="T267" s="2"/>
      <c r="U267" s="2"/>
      <c r="V267" s="2"/>
      <c r="W267" s="2"/>
      <c r="X267" s="2"/>
      <c r="Y267" s="2"/>
      <c r="Z267" s="2"/>
    </row>
    <row r="268" spans="1:26" ht="14.25" customHeight="1">
      <c r="A268" s="14"/>
      <c r="B268" s="2"/>
      <c r="C268" s="1"/>
      <c r="D268" s="1"/>
      <c r="E268" s="1"/>
      <c r="F268" s="1"/>
      <c r="G268" s="1"/>
      <c r="H268" s="1"/>
      <c r="I268" s="1"/>
      <c r="J268" s="1"/>
      <c r="K268" s="1"/>
      <c r="L268" s="1"/>
      <c r="M268" s="1"/>
      <c r="N268" s="1"/>
      <c r="O268" s="1"/>
      <c r="P268" s="1"/>
      <c r="Q268" s="1"/>
      <c r="R268" s="1"/>
      <c r="S268" s="1"/>
      <c r="T268" s="2"/>
      <c r="U268" s="2"/>
      <c r="V268" s="2"/>
      <c r="W268" s="2"/>
      <c r="X268" s="2"/>
      <c r="Y268" s="2"/>
      <c r="Z268" s="2"/>
    </row>
    <row r="269" spans="1:26" ht="14.25" customHeight="1">
      <c r="A269" s="14"/>
      <c r="B269" s="2"/>
      <c r="C269" s="1"/>
      <c r="D269" s="1"/>
      <c r="E269" s="1"/>
      <c r="F269" s="1"/>
      <c r="G269" s="1"/>
      <c r="H269" s="1"/>
      <c r="I269" s="1"/>
      <c r="J269" s="1"/>
      <c r="K269" s="1"/>
      <c r="L269" s="1"/>
      <c r="M269" s="1"/>
      <c r="N269" s="1"/>
      <c r="O269" s="1"/>
      <c r="P269" s="1"/>
      <c r="Q269" s="1"/>
      <c r="R269" s="1"/>
      <c r="S269" s="1"/>
      <c r="T269" s="2"/>
      <c r="U269" s="2"/>
      <c r="V269" s="2"/>
      <c r="W269" s="2"/>
      <c r="X269" s="2"/>
      <c r="Y269" s="2"/>
      <c r="Z269" s="2"/>
    </row>
    <row r="270" spans="1:26" ht="14.25" customHeight="1">
      <c r="A270" s="14"/>
      <c r="B270" s="2"/>
      <c r="C270" s="1"/>
      <c r="D270" s="1"/>
      <c r="E270" s="1"/>
      <c r="F270" s="1"/>
      <c r="G270" s="1"/>
      <c r="H270" s="1"/>
      <c r="I270" s="1"/>
      <c r="J270" s="1"/>
      <c r="K270" s="1"/>
      <c r="L270" s="1"/>
      <c r="M270" s="1"/>
      <c r="N270" s="1"/>
      <c r="O270" s="1"/>
      <c r="P270" s="1"/>
      <c r="Q270" s="1"/>
      <c r="R270" s="1"/>
      <c r="S270" s="1"/>
      <c r="T270" s="2"/>
      <c r="U270" s="2"/>
      <c r="V270" s="2"/>
      <c r="W270" s="2"/>
      <c r="X270" s="2"/>
      <c r="Y270" s="2"/>
      <c r="Z270" s="2"/>
    </row>
    <row r="271" spans="1:26" ht="14.25" customHeight="1">
      <c r="A271" s="14"/>
      <c r="B271" s="2"/>
      <c r="C271" s="1"/>
      <c r="D271" s="1"/>
      <c r="E271" s="1"/>
      <c r="F271" s="1"/>
      <c r="G271" s="1"/>
      <c r="H271" s="1"/>
      <c r="I271" s="1"/>
      <c r="J271" s="1"/>
      <c r="K271" s="1"/>
      <c r="L271" s="1"/>
      <c r="M271" s="1"/>
      <c r="N271" s="1"/>
      <c r="O271" s="1"/>
      <c r="P271" s="1"/>
      <c r="Q271" s="1"/>
      <c r="R271" s="1"/>
      <c r="S271" s="1"/>
      <c r="T271" s="2"/>
      <c r="U271" s="2"/>
      <c r="V271" s="2"/>
      <c r="W271" s="2"/>
      <c r="X271" s="2"/>
      <c r="Y271" s="2"/>
      <c r="Z271" s="2"/>
    </row>
    <row r="272" spans="1:26" ht="14.25" customHeight="1">
      <c r="A272" s="14"/>
      <c r="B272" s="2"/>
      <c r="C272" s="1"/>
      <c r="D272" s="1"/>
      <c r="E272" s="1"/>
      <c r="F272" s="1"/>
      <c r="G272" s="1"/>
      <c r="H272" s="1"/>
      <c r="I272" s="1"/>
      <c r="J272" s="1"/>
      <c r="K272" s="1"/>
      <c r="L272" s="1"/>
      <c r="M272" s="1"/>
      <c r="N272" s="1"/>
      <c r="O272" s="1"/>
      <c r="P272" s="1"/>
      <c r="Q272" s="1"/>
      <c r="R272" s="1"/>
      <c r="S272" s="1"/>
      <c r="T272" s="2"/>
      <c r="U272" s="2"/>
      <c r="V272" s="2"/>
      <c r="W272" s="2"/>
      <c r="X272" s="2"/>
      <c r="Y272" s="2"/>
      <c r="Z272" s="2"/>
    </row>
    <row r="273" spans="1:26" ht="14.25" customHeight="1">
      <c r="A273" s="14"/>
      <c r="B273" s="2"/>
      <c r="C273" s="1"/>
      <c r="D273" s="1"/>
      <c r="E273" s="1"/>
      <c r="F273" s="1"/>
      <c r="G273" s="1"/>
      <c r="H273" s="1"/>
      <c r="I273" s="1"/>
      <c r="J273" s="1"/>
      <c r="K273" s="1"/>
      <c r="L273" s="1"/>
      <c r="M273" s="1"/>
      <c r="N273" s="1"/>
      <c r="O273" s="1"/>
      <c r="P273" s="1"/>
      <c r="Q273" s="1"/>
      <c r="R273" s="1"/>
      <c r="S273" s="1"/>
      <c r="T273" s="2"/>
      <c r="U273" s="2"/>
      <c r="V273" s="2"/>
      <c r="W273" s="2"/>
      <c r="X273" s="2"/>
      <c r="Y273" s="2"/>
      <c r="Z273" s="2"/>
    </row>
    <row r="274" spans="1:26" ht="14.25" customHeight="1">
      <c r="A274" s="14"/>
      <c r="B274" s="2"/>
      <c r="C274" s="1"/>
      <c r="D274" s="1"/>
      <c r="E274" s="1"/>
      <c r="F274" s="1"/>
      <c r="G274" s="1"/>
      <c r="H274" s="1"/>
      <c r="I274" s="1"/>
      <c r="J274" s="1"/>
      <c r="K274" s="1"/>
      <c r="L274" s="1"/>
      <c r="M274" s="1"/>
      <c r="N274" s="1"/>
      <c r="O274" s="1"/>
      <c r="P274" s="1"/>
      <c r="Q274" s="1"/>
      <c r="R274" s="1"/>
      <c r="S274" s="1"/>
      <c r="T274" s="2"/>
      <c r="U274" s="2"/>
      <c r="V274" s="2"/>
      <c r="W274" s="2"/>
      <c r="X274" s="2"/>
      <c r="Y274" s="2"/>
      <c r="Z274" s="2"/>
    </row>
    <row r="275" spans="1:26" ht="14.25" customHeight="1">
      <c r="A275" s="14"/>
      <c r="B275" s="2"/>
      <c r="C275" s="1"/>
      <c r="D275" s="1"/>
      <c r="E275" s="1"/>
      <c r="F275" s="1"/>
      <c r="G275" s="1"/>
      <c r="H275" s="1"/>
      <c r="I275" s="1"/>
      <c r="J275" s="1"/>
      <c r="K275" s="1"/>
      <c r="L275" s="1"/>
      <c r="M275" s="1"/>
      <c r="N275" s="1"/>
      <c r="O275" s="1"/>
      <c r="P275" s="1"/>
      <c r="Q275" s="1"/>
      <c r="R275" s="1"/>
      <c r="S275" s="1"/>
      <c r="T275" s="2"/>
      <c r="U275" s="2"/>
      <c r="V275" s="2"/>
      <c r="W275" s="2"/>
      <c r="X275" s="2"/>
      <c r="Y275" s="2"/>
      <c r="Z275" s="2"/>
    </row>
    <row r="276" spans="1:26" ht="14.25" customHeight="1">
      <c r="A276" s="14"/>
      <c r="B276" s="2"/>
      <c r="C276" s="1"/>
      <c r="D276" s="1"/>
      <c r="E276" s="1"/>
      <c r="F276" s="1"/>
      <c r="G276" s="1"/>
      <c r="H276" s="1"/>
      <c r="I276" s="1"/>
      <c r="J276" s="1"/>
      <c r="K276" s="1"/>
      <c r="L276" s="1"/>
      <c r="M276" s="1"/>
      <c r="N276" s="1"/>
      <c r="O276" s="1"/>
      <c r="P276" s="1"/>
      <c r="Q276" s="1"/>
      <c r="R276" s="1"/>
      <c r="S276" s="1"/>
      <c r="T276" s="2"/>
      <c r="U276" s="2"/>
      <c r="V276" s="2"/>
      <c r="W276" s="2"/>
      <c r="X276" s="2"/>
      <c r="Y276" s="2"/>
      <c r="Z276" s="2"/>
    </row>
    <row r="277" spans="1:26" ht="14.25" customHeight="1">
      <c r="A277" s="14"/>
      <c r="B277" s="2"/>
      <c r="C277" s="1"/>
      <c r="D277" s="1"/>
      <c r="E277" s="1"/>
      <c r="F277" s="1"/>
      <c r="G277" s="1"/>
      <c r="H277" s="1"/>
      <c r="I277" s="1"/>
      <c r="J277" s="1"/>
      <c r="K277" s="1"/>
      <c r="L277" s="1"/>
      <c r="M277" s="1"/>
      <c r="N277" s="1"/>
      <c r="O277" s="1"/>
      <c r="P277" s="1"/>
      <c r="Q277" s="1"/>
      <c r="R277" s="1"/>
      <c r="S277" s="1"/>
      <c r="T277" s="2"/>
      <c r="U277" s="2"/>
      <c r="V277" s="2"/>
      <c r="W277" s="2"/>
      <c r="X277" s="2"/>
      <c r="Y277" s="2"/>
      <c r="Z277" s="2"/>
    </row>
    <row r="278" spans="1:26" ht="14.25" customHeight="1">
      <c r="A278" s="14"/>
      <c r="B278" s="2"/>
      <c r="C278" s="1"/>
      <c r="D278" s="1"/>
      <c r="E278" s="1"/>
      <c r="F278" s="1"/>
      <c r="G278" s="1"/>
      <c r="H278" s="1"/>
      <c r="I278" s="1"/>
      <c r="J278" s="1"/>
      <c r="K278" s="1"/>
      <c r="L278" s="1"/>
      <c r="M278" s="1"/>
      <c r="N278" s="1"/>
      <c r="O278" s="1"/>
      <c r="P278" s="1"/>
      <c r="Q278" s="1"/>
      <c r="R278" s="1"/>
      <c r="S278" s="1"/>
      <c r="T278" s="2"/>
      <c r="U278" s="2"/>
      <c r="V278" s="2"/>
      <c r="W278" s="2"/>
      <c r="X278" s="2"/>
      <c r="Y278" s="2"/>
      <c r="Z278" s="2"/>
    </row>
    <row r="279" spans="1:26" ht="14.25" customHeight="1">
      <c r="A279" s="14"/>
      <c r="B279" s="2"/>
      <c r="C279" s="1"/>
      <c r="D279" s="1"/>
      <c r="E279" s="1"/>
      <c r="F279" s="1"/>
      <c r="G279" s="1"/>
      <c r="H279" s="1"/>
      <c r="I279" s="1"/>
      <c r="J279" s="1"/>
      <c r="K279" s="1"/>
      <c r="L279" s="1"/>
      <c r="M279" s="1"/>
      <c r="N279" s="1"/>
      <c r="O279" s="1"/>
      <c r="P279" s="1"/>
      <c r="Q279" s="1"/>
      <c r="R279" s="1"/>
      <c r="S279" s="1"/>
      <c r="T279" s="2"/>
      <c r="U279" s="2"/>
      <c r="V279" s="2"/>
      <c r="W279" s="2"/>
      <c r="X279" s="2"/>
      <c r="Y279" s="2"/>
      <c r="Z279" s="2"/>
    </row>
    <row r="280" spans="1:26" ht="14.25" customHeight="1">
      <c r="A280" s="14"/>
      <c r="B280" s="2"/>
      <c r="C280" s="1"/>
      <c r="D280" s="1"/>
      <c r="E280" s="1"/>
      <c r="F280" s="1"/>
      <c r="G280" s="1"/>
      <c r="H280" s="1"/>
      <c r="I280" s="1"/>
      <c r="J280" s="1"/>
      <c r="K280" s="1"/>
      <c r="L280" s="1"/>
      <c r="M280" s="1"/>
      <c r="N280" s="1"/>
      <c r="O280" s="1"/>
      <c r="P280" s="1"/>
      <c r="Q280" s="1"/>
      <c r="R280" s="1"/>
      <c r="S280" s="1"/>
      <c r="T280" s="2"/>
      <c r="U280" s="2"/>
      <c r="V280" s="2"/>
      <c r="W280" s="2"/>
      <c r="X280" s="2"/>
      <c r="Y280" s="2"/>
      <c r="Z280" s="2"/>
    </row>
    <row r="281" spans="1:26" ht="14.25" customHeight="1">
      <c r="A281" s="14"/>
      <c r="B281" s="2"/>
      <c r="C281" s="1"/>
      <c r="D281" s="1"/>
      <c r="E281" s="1"/>
      <c r="F281" s="1"/>
      <c r="G281" s="1"/>
      <c r="H281" s="1"/>
      <c r="I281" s="1"/>
      <c r="J281" s="1"/>
      <c r="K281" s="1"/>
      <c r="L281" s="1"/>
      <c r="M281" s="1"/>
      <c r="N281" s="1"/>
      <c r="O281" s="1"/>
      <c r="P281" s="1"/>
      <c r="Q281" s="1"/>
      <c r="R281" s="1"/>
      <c r="S281" s="1"/>
      <c r="T281" s="2"/>
      <c r="U281" s="2"/>
      <c r="V281" s="2"/>
      <c r="W281" s="2"/>
      <c r="X281" s="2"/>
      <c r="Y281" s="2"/>
      <c r="Z281" s="2"/>
    </row>
    <row r="282" spans="1:26" ht="14.25" customHeight="1">
      <c r="A282" s="14"/>
      <c r="B282" s="2"/>
      <c r="C282" s="1"/>
      <c r="D282" s="1"/>
      <c r="E282" s="1"/>
      <c r="F282" s="1"/>
      <c r="G282" s="1"/>
      <c r="H282" s="1"/>
      <c r="I282" s="1"/>
      <c r="J282" s="1"/>
      <c r="K282" s="1"/>
      <c r="L282" s="1"/>
      <c r="M282" s="1"/>
      <c r="N282" s="1"/>
      <c r="O282" s="1"/>
      <c r="P282" s="1"/>
      <c r="Q282" s="1"/>
      <c r="R282" s="1"/>
      <c r="S282" s="1"/>
      <c r="T282" s="2"/>
      <c r="U282" s="2"/>
      <c r="V282" s="2"/>
      <c r="W282" s="2"/>
      <c r="X282" s="2"/>
      <c r="Y282" s="2"/>
      <c r="Z282" s="2"/>
    </row>
    <row r="283" spans="1:26" ht="14.25" customHeight="1">
      <c r="A283" s="14"/>
      <c r="B283" s="2"/>
      <c r="C283" s="1"/>
      <c r="D283" s="1"/>
      <c r="E283" s="1"/>
      <c r="F283" s="1"/>
      <c r="G283" s="1"/>
      <c r="H283" s="1"/>
      <c r="I283" s="1"/>
      <c r="J283" s="1"/>
      <c r="K283" s="1"/>
      <c r="L283" s="1"/>
      <c r="M283" s="1"/>
      <c r="N283" s="1"/>
      <c r="O283" s="1"/>
      <c r="P283" s="1"/>
      <c r="Q283" s="1"/>
      <c r="R283" s="1"/>
      <c r="S283" s="1"/>
      <c r="T283" s="2"/>
      <c r="U283" s="2"/>
      <c r="V283" s="2"/>
      <c r="W283" s="2"/>
      <c r="X283" s="2"/>
      <c r="Y283" s="2"/>
      <c r="Z283" s="2"/>
    </row>
    <row r="284" spans="1:26" ht="14.25" customHeight="1">
      <c r="A284" s="14"/>
      <c r="B284" s="2"/>
      <c r="C284" s="1"/>
      <c r="D284" s="1"/>
      <c r="E284" s="1"/>
      <c r="F284" s="1"/>
      <c r="G284" s="1"/>
      <c r="H284" s="1"/>
      <c r="I284" s="1"/>
      <c r="J284" s="1"/>
      <c r="K284" s="1"/>
      <c r="L284" s="1"/>
      <c r="M284" s="1"/>
      <c r="N284" s="1"/>
      <c r="O284" s="1"/>
      <c r="P284" s="1"/>
      <c r="Q284" s="1"/>
      <c r="R284" s="1"/>
      <c r="S284" s="1"/>
      <c r="T284" s="2"/>
      <c r="U284" s="2"/>
      <c r="V284" s="2"/>
      <c r="W284" s="2"/>
      <c r="X284" s="2"/>
      <c r="Y284" s="2"/>
      <c r="Z284" s="2"/>
    </row>
    <row r="285" spans="1:26" ht="14.25" customHeight="1">
      <c r="A285" s="14"/>
      <c r="B285" s="2"/>
      <c r="C285" s="1"/>
      <c r="D285" s="1"/>
      <c r="E285" s="1"/>
      <c r="F285" s="1"/>
      <c r="G285" s="1"/>
      <c r="H285" s="1"/>
      <c r="I285" s="1"/>
      <c r="J285" s="1"/>
      <c r="K285" s="1"/>
      <c r="L285" s="1"/>
      <c r="M285" s="1"/>
      <c r="N285" s="1"/>
      <c r="O285" s="1"/>
      <c r="P285" s="1"/>
      <c r="Q285" s="1"/>
      <c r="R285" s="1"/>
      <c r="S285" s="1"/>
      <c r="T285" s="2"/>
      <c r="U285" s="2"/>
      <c r="V285" s="2"/>
      <c r="W285" s="2"/>
      <c r="X285" s="2"/>
      <c r="Y285" s="2"/>
      <c r="Z285" s="2"/>
    </row>
    <row r="286" spans="1:26" ht="14.25" customHeight="1">
      <c r="A286" s="14"/>
      <c r="B286" s="2"/>
      <c r="C286" s="1"/>
      <c r="D286" s="1"/>
      <c r="E286" s="1"/>
      <c r="F286" s="1"/>
      <c r="G286" s="1"/>
      <c r="H286" s="1"/>
      <c r="I286" s="1"/>
      <c r="J286" s="1"/>
      <c r="K286" s="1"/>
      <c r="L286" s="1"/>
      <c r="M286" s="1"/>
      <c r="N286" s="1"/>
      <c r="O286" s="1"/>
      <c r="P286" s="1"/>
      <c r="Q286" s="1"/>
      <c r="R286" s="1"/>
      <c r="S286" s="1"/>
      <c r="T286" s="2"/>
      <c r="U286" s="2"/>
      <c r="V286" s="2"/>
      <c r="W286" s="2"/>
      <c r="X286" s="2"/>
      <c r="Y286" s="2"/>
      <c r="Z286" s="2"/>
    </row>
    <row r="287" spans="1:26" ht="14.25" customHeight="1">
      <c r="A287" s="14"/>
      <c r="B287" s="2"/>
      <c r="C287" s="1"/>
      <c r="D287" s="1"/>
      <c r="E287" s="1"/>
      <c r="F287" s="1"/>
      <c r="G287" s="1"/>
      <c r="H287" s="1"/>
      <c r="I287" s="1"/>
      <c r="J287" s="1"/>
      <c r="K287" s="1"/>
      <c r="L287" s="1"/>
      <c r="M287" s="1"/>
      <c r="N287" s="1"/>
      <c r="O287" s="1"/>
      <c r="P287" s="1"/>
      <c r="Q287" s="1"/>
      <c r="R287" s="1"/>
      <c r="S287" s="1"/>
      <c r="T287" s="2"/>
      <c r="U287" s="2"/>
      <c r="V287" s="2"/>
      <c r="W287" s="2"/>
      <c r="X287" s="2"/>
      <c r="Y287" s="2"/>
      <c r="Z287" s="2"/>
    </row>
    <row r="288" spans="1:26" ht="14.25" customHeight="1">
      <c r="A288" s="14"/>
      <c r="B288" s="2"/>
      <c r="C288" s="1"/>
      <c r="D288" s="1"/>
      <c r="E288" s="1"/>
      <c r="F288" s="1"/>
      <c r="G288" s="1"/>
      <c r="H288" s="1"/>
      <c r="I288" s="1"/>
      <c r="J288" s="1"/>
      <c r="K288" s="1"/>
      <c r="L288" s="1"/>
      <c r="M288" s="1"/>
      <c r="N288" s="1"/>
      <c r="O288" s="1"/>
      <c r="P288" s="1"/>
      <c r="Q288" s="1"/>
      <c r="R288" s="1"/>
      <c r="S288" s="1"/>
      <c r="T288" s="2"/>
      <c r="U288" s="2"/>
      <c r="V288" s="2"/>
      <c r="W288" s="2"/>
      <c r="X288" s="2"/>
      <c r="Y288" s="2"/>
      <c r="Z288" s="2"/>
    </row>
    <row r="289" spans="1:26" ht="14.25" customHeight="1">
      <c r="A289" s="14"/>
      <c r="B289" s="2"/>
      <c r="C289" s="1"/>
      <c r="D289" s="1"/>
      <c r="E289" s="1"/>
      <c r="F289" s="1"/>
      <c r="G289" s="1"/>
      <c r="H289" s="1"/>
      <c r="I289" s="1"/>
      <c r="J289" s="1"/>
      <c r="K289" s="1"/>
      <c r="L289" s="1"/>
      <c r="M289" s="1"/>
      <c r="N289" s="1"/>
      <c r="O289" s="1"/>
      <c r="P289" s="1"/>
      <c r="Q289" s="1"/>
      <c r="R289" s="1"/>
      <c r="S289" s="1"/>
      <c r="T289" s="2"/>
      <c r="U289" s="2"/>
      <c r="V289" s="2"/>
      <c r="W289" s="2"/>
      <c r="X289" s="2"/>
      <c r="Y289" s="2"/>
      <c r="Z289" s="2"/>
    </row>
    <row r="290" spans="1:26" ht="14.25" customHeight="1">
      <c r="A290" s="14"/>
      <c r="B290" s="2"/>
      <c r="C290" s="1"/>
      <c r="D290" s="1"/>
      <c r="E290" s="1"/>
      <c r="F290" s="1"/>
      <c r="G290" s="1"/>
      <c r="H290" s="1"/>
      <c r="I290" s="1"/>
      <c r="J290" s="1"/>
      <c r="K290" s="1"/>
      <c r="L290" s="1"/>
      <c r="M290" s="1"/>
      <c r="N290" s="1"/>
      <c r="O290" s="1"/>
      <c r="P290" s="1"/>
      <c r="Q290" s="1"/>
      <c r="R290" s="1"/>
      <c r="S290" s="1"/>
      <c r="T290" s="2"/>
      <c r="U290" s="2"/>
      <c r="V290" s="2"/>
      <c r="W290" s="2"/>
      <c r="X290" s="2"/>
      <c r="Y290" s="2"/>
      <c r="Z290" s="2"/>
    </row>
    <row r="291" spans="1:26" ht="14.25" customHeight="1">
      <c r="A291" s="14"/>
      <c r="B291" s="2"/>
      <c r="C291" s="1"/>
      <c r="D291" s="1"/>
      <c r="E291" s="1"/>
      <c r="F291" s="1"/>
      <c r="G291" s="1"/>
      <c r="H291" s="1"/>
      <c r="I291" s="1"/>
      <c r="J291" s="1"/>
      <c r="K291" s="1"/>
      <c r="L291" s="1"/>
      <c r="M291" s="1"/>
      <c r="N291" s="1"/>
      <c r="O291" s="1"/>
      <c r="P291" s="1"/>
      <c r="Q291" s="1"/>
      <c r="R291" s="1"/>
      <c r="S291" s="1"/>
      <c r="T291" s="2"/>
      <c r="U291" s="2"/>
      <c r="V291" s="2"/>
      <c r="W291" s="2"/>
      <c r="X291" s="2"/>
      <c r="Y291" s="2"/>
      <c r="Z291" s="2"/>
    </row>
    <row r="292" spans="1:26" ht="14.25" customHeight="1">
      <c r="A292" s="14"/>
      <c r="B292" s="2"/>
      <c r="C292" s="1"/>
      <c r="D292" s="1"/>
      <c r="E292" s="1"/>
      <c r="F292" s="1"/>
      <c r="G292" s="1"/>
      <c r="H292" s="1"/>
      <c r="I292" s="1"/>
      <c r="J292" s="1"/>
      <c r="K292" s="1"/>
      <c r="L292" s="1"/>
      <c r="M292" s="1"/>
      <c r="N292" s="1"/>
      <c r="O292" s="1"/>
      <c r="P292" s="1"/>
      <c r="Q292" s="1"/>
      <c r="R292" s="1"/>
      <c r="S292" s="1"/>
      <c r="T292" s="2"/>
      <c r="U292" s="2"/>
      <c r="V292" s="2"/>
      <c r="W292" s="2"/>
      <c r="X292" s="2"/>
      <c r="Y292" s="2"/>
      <c r="Z292" s="2"/>
    </row>
    <row r="293" spans="1:26" ht="14.25" customHeight="1">
      <c r="A293" s="14"/>
      <c r="B293" s="2"/>
      <c r="C293" s="1"/>
      <c r="D293" s="1"/>
      <c r="E293" s="1"/>
      <c r="F293" s="1"/>
      <c r="G293" s="1"/>
      <c r="H293" s="1"/>
      <c r="I293" s="1"/>
      <c r="J293" s="1"/>
      <c r="K293" s="1"/>
      <c r="L293" s="1"/>
      <c r="M293" s="1"/>
      <c r="N293" s="1"/>
      <c r="O293" s="1"/>
      <c r="P293" s="1"/>
      <c r="Q293" s="1"/>
      <c r="R293" s="1"/>
      <c r="S293" s="1"/>
      <c r="T293" s="2"/>
      <c r="U293" s="2"/>
      <c r="V293" s="2"/>
      <c r="W293" s="2"/>
      <c r="X293" s="2"/>
      <c r="Y293" s="2"/>
      <c r="Z293" s="2"/>
    </row>
    <row r="294" spans="1:26" ht="14.25" customHeight="1">
      <c r="A294" s="14"/>
      <c r="B294" s="2"/>
      <c r="C294" s="1"/>
      <c r="D294" s="1"/>
      <c r="E294" s="1"/>
      <c r="F294" s="1"/>
      <c r="G294" s="1"/>
      <c r="H294" s="1"/>
      <c r="I294" s="1"/>
      <c r="J294" s="1"/>
      <c r="K294" s="1"/>
      <c r="L294" s="1"/>
      <c r="M294" s="1"/>
      <c r="N294" s="1"/>
      <c r="O294" s="1"/>
      <c r="P294" s="1"/>
      <c r="Q294" s="1"/>
      <c r="R294" s="1"/>
      <c r="S294" s="1"/>
      <c r="T294" s="2"/>
      <c r="U294" s="2"/>
      <c r="V294" s="2"/>
      <c r="W294" s="2"/>
      <c r="X294" s="2"/>
      <c r="Y294" s="2"/>
      <c r="Z294" s="2"/>
    </row>
    <row r="295" spans="1:26" ht="14.25" customHeight="1">
      <c r="A295" s="14"/>
      <c r="B295" s="2"/>
      <c r="C295" s="1"/>
      <c r="D295" s="1"/>
      <c r="E295" s="1"/>
      <c r="F295" s="1"/>
      <c r="G295" s="1"/>
      <c r="H295" s="1"/>
      <c r="I295" s="1"/>
      <c r="J295" s="1"/>
      <c r="K295" s="1"/>
      <c r="L295" s="1"/>
      <c r="M295" s="1"/>
      <c r="N295" s="1"/>
      <c r="O295" s="1"/>
      <c r="P295" s="1"/>
      <c r="Q295" s="1"/>
      <c r="R295" s="1"/>
      <c r="S295" s="1"/>
      <c r="T295" s="2"/>
      <c r="U295" s="2"/>
      <c r="V295" s="2"/>
      <c r="W295" s="2"/>
      <c r="X295" s="2"/>
      <c r="Y295" s="2"/>
      <c r="Z295" s="2"/>
    </row>
    <row r="296" spans="1:26" ht="14.25" customHeight="1">
      <c r="A296" s="14"/>
      <c r="B296" s="2"/>
      <c r="C296" s="1"/>
      <c r="D296" s="1"/>
      <c r="E296" s="1"/>
      <c r="F296" s="1"/>
      <c r="G296" s="1"/>
      <c r="H296" s="1"/>
      <c r="I296" s="1"/>
      <c r="J296" s="1"/>
      <c r="K296" s="1"/>
      <c r="L296" s="1"/>
      <c r="M296" s="1"/>
      <c r="N296" s="1"/>
      <c r="O296" s="1"/>
      <c r="P296" s="1"/>
      <c r="Q296" s="1"/>
      <c r="R296" s="1"/>
      <c r="S296" s="1"/>
      <c r="T296" s="2"/>
      <c r="U296" s="2"/>
      <c r="V296" s="2"/>
      <c r="W296" s="2"/>
      <c r="X296" s="2"/>
      <c r="Y296" s="2"/>
      <c r="Z296" s="2"/>
    </row>
    <row r="297" spans="1:26" ht="14.25" customHeight="1">
      <c r="A297" s="14"/>
      <c r="B297" s="2"/>
      <c r="C297" s="1"/>
      <c r="D297" s="1"/>
      <c r="E297" s="1"/>
      <c r="F297" s="1"/>
      <c r="G297" s="1"/>
      <c r="H297" s="1"/>
      <c r="I297" s="1"/>
      <c r="J297" s="1"/>
      <c r="K297" s="1"/>
      <c r="L297" s="1"/>
      <c r="M297" s="1"/>
      <c r="N297" s="1"/>
      <c r="O297" s="1"/>
      <c r="P297" s="1"/>
      <c r="Q297" s="1"/>
      <c r="R297" s="1"/>
      <c r="S297" s="1"/>
      <c r="T297" s="2"/>
      <c r="U297" s="2"/>
      <c r="V297" s="2"/>
      <c r="W297" s="2"/>
      <c r="X297" s="2"/>
      <c r="Y297" s="2"/>
      <c r="Z297" s="2"/>
    </row>
    <row r="298" spans="1:26" ht="14.25" customHeight="1">
      <c r="A298" s="14"/>
      <c r="B298" s="2"/>
      <c r="C298" s="1"/>
      <c r="D298" s="1"/>
      <c r="E298" s="1"/>
      <c r="F298" s="1"/>
      <c r="G298" s="1"/>
      <c r="H298" s="1"/>
      <c r="I298" s="1"/>
      <c r="J298" s="1"/>
      <c r="K298" s="1"/>
      <c r="L298" s="1"/>
      <c r="M298" s="1"/>
      <c r="N298" s="1"/>
      <c r="O298" s="1"/>
      <c r="P298" s="1"/>
      <c r="Q298" s="1"/>
      <c r="R298" s="1"/>
      <c r="S298" s="1"/>
      <c r="T298" s="2"/>
      <c r="U298" s="2"/>
      <c r="V298" s="2"/>
      <c r="W298" s="2"/>
      <c r="X298" s="2"/>
      <c r="Y298" s="2"/>
      <c r="Z298" s="2"/>
    </row>
    <row r="299" spans="1:26" ht="14.25" customHeight="1">
      <c r="A299" s="14"/>
      <c r="B299" s="2"/>
      <c r="C299" s="1"/>
      <c r="D299" s="1"/>
      <c r="E299" s="1"/>
      <c r="F299" s="1"/>
      <c r="G299" s="1"/>
      <c r="H299" s="1"/>
      <c r="I299" s="1"/>
      <c r="J299" s="1"/>
      <c r="K299" s="1"/>
      <c r="L299" s="1"/>
      <c r="M299" s="1"/>
      <c r="N299" s="1"/>
      <c r="O299" s="1"/>
      <c r="P299" s="1"/>
      <c r="Q299" s="1"/>
      <c r="R299" s="1"/>
      <c r="S299" s="1"/>
      <c r="T299" s="2"/>
      <c r="U299" s="2"/>
      <c r="V299" s="2"/>
      <c r="W299" s="2"/>
      <c r="X299" s="2"/>
      <c r="Y299" s="2"/>
      <c r="Z299" s="2"/>
    </row>
    <row r="300" spans="1:26" ht="14.25" customHeight="1">
      <c r="A300" s="14"/>
      <c r="B300" s="2"/>
      <c r="C300" s="1"/>
      <c r="D300" s="1"/>
      <c r="E300" s="1"/>
      <c r="F300" s="1"/>
      <c r="G300" s="1"/>
      <c r="H300" s="1"/>
      <c r="I300" s="1"/>
      <c r="J300" s="1"/>
      <c r="K300" s="1"/>
      <c r="L300" s="1"/>
      <c r="M300" s="1"/>
      <c r="N300" s="1"/>
      <c r="O300" s="1"/>
      <c r="P300" s="1"/>
      <c r="Q300" s="1"/>
      <c r="R300" s="1"/>
      <c r="S300" s="1"/>
      <c r="T300" s="2"/>
      <c r="U300" s="2"/>
      <c r="V300" s="2"/>
      <c r="W300" s="2"/>
      <c r="X300" s="2"/>
      <c r="Y300" s="2"/>
      <c r="Z300" s="2"/>
    </row>
    <row r="301" spans="1:26" ht="14.25" customHeight="1">
      <c r="A301" s="14"/>
      <c r="B301" s="2"/>
      <c r="C301" s="1"/>
      <c r="D301" s="1"/>
      <c r="E301" s="1"/>
      <c r="F301" s="1"/>
      <c r="G301" s="1"/>
      <c r="H301" s="1"/>
      <c r="I301" s="1"/>
      <c r="J301" s="1"/>
      <c r="K301" s="1"/>
      <c r="L301" s="1"/>
      <c r="M301" s="1"/>
      <c r="N301" s="1"/>
      <c r="O301" s="1"/>
      <c r="P301" s="1"/>
      <c r="Q301" s="1"/>
      <c r="R301" s="1"/>
      <c r="S301" s="1"/>
      <c r="T301" s="2"/>
      <c r="U301" s="2"/>
      <c r="V301" s="2"/>
      <c r="W301" s="2"/>
      <c r="X301" s="2"/>
      <c r="Y301" s="2"/>
      <c r="Z301" s="2"/>
    </row>
    <row r="302" spans="1:26" ht="14.25" customHeight="1">
      <c r="A302" s="14"/>
      <c r="B302" s="2"/>
      <c r="C302" s="1"/>
      <c r="D302" s="1"/>
      <c r="E302" s="1"/>
      <c r="F302" s="1"/>
      <c r="G302" s="1"/>
      <c r="H302" s="1"/>
      <c r="I302" s="1"/>
      <c r="J302" s="1"/>
      <c r="K302" s="1"/>
      <c r="L302" s="1"/>
      <c r="M302" s="1"/>
      <c r="N302" s="1"/>
      <c r="O302" s="1"/>
      <c r="P302" s="1"/>
      <c r="Q302" s="1"/>
      <c r="R302" s="1"/>
      <c r="S302" s="1"/>
      <c r="T302" s="2"/>
      <c r="U302" s="2"/>
      <c r="V302" s="2"/>
      <c r="W302" s="2"/>
      <c r="X302" s="2"/>
      <c r="Y302" s="2"/>
      <c r="Z302" s="2"/>
    </row>
    <row r="303" spans="1:26" ht="14.25" customHeight="1">
      <c r="A303" s="14"/>
      <c r="B303" s="2"/>
      <c r="C303" s="1"/>
      <c r="D303" s="1"/>
      <c r="E303" s="1"/>
      <c r="F303" s="1"/>
      <c r="G303" s="1"/>
      <c r="H303" s="1"/>
      <c r="I303" s="1"/>
      <c r="J303" s="1"/>
      <c r="K303" s="1"/>
      <c r="L303" s="1"/>
      <c r="M303" s="1"/>
      <c r="N303" s="1"/>
      <c r="O303" s="1"/>
      <c r="P303" s="1"/>
      <c r="Q303" s="1"/>
      <c r="R303" s="1"/>
      <c r="S303" s="1"/>
      <c r="T303" s="2"/>
      <c r="U303" s="2"/>
      <c r="V303" s="2"/>
      <c r="W303" s="2"/>
      <c r="X303" s="2"/>
      <c r="Y303" s="2"/>
      <c r="Z303" s="2"/>
    </row>
    <row r="304" spans="1:26" ht="14.25" customHeight="1">
      <c r="A304" s="14"/>
      <c r="B304" s="2"/>
      <c r="C304" s="1"/>
      <c r="D304" s="1"/>
      <c r="E304" s="1"/>
      <c r="F304" s="1"/>
      <c r="G304" s="1"/>
      <c r="H304" s="1"/>
      <c r="I304" s="1"/>
      <c r="J304" s="1"/>
      <c r="K304" s="1"/>
      <c r="L304" s="1"/>
      <c r="M304" s="1"/>
      <c r="N304" s="1"/>
      <c r="O304" s="1"/>
      <c r="P304" s="1"/>
      <c r="Q304" s="1"/>
      <c r="R304" s="1"/>
      <c r="S304" s="1"/>
      <c r="T304" s="2"/>
      <c r="U304" s="2"/>
      <c r="V304" s="2"/>
      <c r="W304" s="2"/>
      <c r="X304" s="2"/>
      <c r="Y304" s="2"/>
      <c r="Z304" s="2"/>
    </row>
    <row r="305" spans="1:26" ht="14.25" customHeight="1">
      <c r="A305" s="14"/>
      <c r="B305" s="2"/>
      <c r="C305" s="1"/>
      <c r="D305" s="1"/>
      <c r="E305" s="1"/>
      <c r="F305" s="1"/>
      <c r="G305" s="1"/>
      <c r="H305" s="1"/>
      <c r="I305" s="1"/>
      <c r="J305" s="1"/>
      <c r="K305" s="1"/>
      <c r="L305" s="1"/>
      <c r="M305" s="1"/>
      <c r="N305" s="1"/>
      <c r="O305" s="1"/>
      <c r="P305" s="1"/>
      <c r="Q305" s="1"/>
      <c r="R305" s="1"/>
      <c r="S305" s="1"/>
      <c r="T305" s="2"/>
      <c r="U305" s="2"/>
      <c r="V305" s="2"/>
      <c r="W305" s="2"/>
      <c r="X305" s="2"/>
      <c r="Y305" s="2"/>
      <c r="Z305" s="2"/>
    </row>
    <row r="306" spans="1:26" ht="14.25" customHeight="1">
      <c r="A306" s="14"/>
      <c r="B306" s="2"/>
      <c r="C306" s="1"/>
      <c r="D306" s="1"/>
      <c r="E306" s="1"/>
      <c r="F306" s="1"/>
      <c r="G306" s="1"/>
      <c r="H306" s="1"/>
      <c r="I306" s="1"/>
      <c r="J306" s="1"/>
      <c r="K306" s="1"/>
      <c r="L306" s="1"/>
      <c r="M306" s="1"/>
      <c r="N306" s="1"/>
      <c r="O306" s="1"/>
      <c r="P306" s="1"/>
      <c r="Q306" s="1"/>
      <c r="R306" s="1"/>
      <c r="S306" s="1"/>
      <c r="T306" s="2"/>
      <c r="U306" s="2"/>
      <c r="V306" s="2"/>
      <c r="W306" s="2"/>
      <c r="X306" s="2"/>
      <c r="Y306" s="2"/>
      <c r="Z306" s="2"/>
    </row>
    <row r="307" spans="1:26" ht="14.25" customHeight="1">
      <c r="A307" s="14"/>
      <c r="B307" s="2"/>
      <c r="C307" s="1"/>
      <c r="D307" s="1"/>
      <c r="E307" s="1"/>
      <c r="F307" s="1"/>
      <c r="G307" s="1"/>
      <c r="H307" s="1"/>
      <c r="I307" s="1"/>
      <c r="J307" s="1"/>
      <c r="K307" s="1"/>
      <c r="L307" s="1"/>
      <c r="M307" s="1"/>
      <c r="N307" s="1"/>
      <c r="O307" s="1"/>
      <c r="P307" s="1"/>
      <c r="Q307" s="1"/>
      <c r="R307" s="1"/>
      <c r="S307" s="1"/>
      <c r="T307" s="2"/>
      <c r="U307" s="2"/>
      <c r="V307" s="2"/>
      <c r="W307" s="2"/>
      <c r="X307" s="2"/>
      <c r="Y307" s="2"/>
      <c r="Z307" s="2"/>
    </row>
    <row r="308" spans="1:26" ht="14.25" customHeight="1">
      <c r="A308" s="14"/>
      <c r="B308" s="2"/>
      <c r="C308" s="1"/>
      <c r="D308" s="1"/>
      <c r="E308" s="1"/>
      <c r="F308" s="1"/>
      <c r="G308" s="1"/>
      <c r="H308" s="1"/>
      <c r="I308" s="1"/>
      <c r="J308" s="1"/>
      <c r="K308" s="1"/>
      <c r="L308" s="1"/>
      <c r="M308" s="1"/>
      <c r="N308" s="1"/>
      <c r="O308" s="1"/>
      <c r="P308" s="1"/>
      <c r="Q308" s="1"/>
      <c r="R308" s="1"/>
      <c r="S308" s="1"/>
      <c r="T308" s="2"/>
      <c r="U308" s="2"/>
      <c r="V308" s="2"/>
      <c r="W308" s="2"/>
      <c r="X308" s="2"/>
      <c r="Y308" s="2"/>
      <c r="Z308" s="2"/>
    </row>
    <row r="309" spans="1:26" ht="14.25" customHeight="1">
      <c r="A309" s="14"/>
      <c r="B309" s="2"/>
      <c r="C309" s="1"/>
      <c r="D309" s="1"/>
      <c r="E309" s="1"/>
      <c r="F309" s="1"/>
      <c r="G309" s="1"/>
      <c r="H309" s="1"/>
      <c r="I309" s="1"/>
      <c r="J309" s="1"/>
      <c r="K309" s="1"/>
      <c r="L309" s="1"/>
      <c r="M309" s="1"/>
      <c r="N309" s="1"/>
      <c r="O309" s="1"/>
      <c r="P309" s="1"/>
      <c r="Q309" s="1"/>
      <c r="R309" s="1"/>
      <c r="S309" s="1"/>
      <c r="T309" s="2"/>
      <c r="U309" s="2"/>
      <c r="V309" s="2"/>
      <c r="W309" s="2"/>
      <c r="X309" s="2"/>
      <c r="Y309" s="2"/>
      <c r="Z309" s="2"/>
    </row>
    <row r="310" spans="1:26" ht="14.25" customHeight="1">
      <c r="A310" s="14"/>
      <c r="B310" s="2"/>
      <c r="C310" s="1"/>
      <c r="D310" s="1"/>
      <c r="E310" s="1"/>
      <c r="F310" s="1"/>
      <c r="G310" s="1"/>
      <c r="H310" s="1"/>
      <c r="I310" s="1"/>
      <c r="J310" s="1"/>
      <c r="K310" s="1"/>
      <c r="L310" s="1"/>
      <c r="M310" s="1"/>
      <c r="N310" s="1"/>
      <c r="O310" s="1"/>
      <c r="P310" s="1"/>
      <c r="Q310" s="1"/>
      <c r="R310" s="1"/>
      <c r="S310" s="1"/>
      <c r="T310" s="2"/>
      <c r="U310" s="2"/>
      <c r="V310" s="2"/>
      <c r="W310" s="2"/>
      <c r="X310" s="2"/>
      <c r="Y310" s="2"/>
      <c r="Z310" s="2"/>
    </row>
    <row r="311" spans="1:26" ht="14.25" customHeight="1">
      <c r="A311" s="14"/>
      <c r="B311" s="2"/>
      <c r="C311" s="1"/>
      <c r="D311" s="1"/>
      <c r="E311" s="1"/>
      <c r="F311" s="1"/>
      <c r="G311" s="1"/>
      <c r="H311" s="1"/>
      <c r="I311" s="1"/>
      <c r="J311" s="1"/>
      <c r="K311" s="1"/>
      <c r="L311" s="1"/>
      <c r="M311" s="1"/>
      <c r="N311" s="1"/>
      <c r="O311" s="1"/>
      <c r="P311" s="1"/>
      <c r="Q311" s="1"/>
      <c r="R311" s="1"/>
      <c r="S311" s="1"/>
      <c r="T311" s="2"/>
      <c r="U311" s="2"/>
      <c r="V311" s="2"/>
      <c r="W311" s="2"/>
      <c r="X311" s="2"/>
      <c r="Y311" s="2"/>
      <c r="Z311" s="2"/>
    </row>
    <row r="312" spans="1:26" ht="14.25" customHeight="1">
      <c r="A312" s="14"/>
      <c r="B312" s="2"/>
      <c r="C312" s="1"/>
      <c r="D312" s="1"/>
      <c r="E312" s="1"/>
      <c r="F312" s="1"/>
      <c r="G312" s="1"/>
      <c r="H312" s="1"/>
      <c r="I312" s="1"/>
      <c r="J312" s="1"/>
      <c r="K312" s="1"/>
      <c r="L312" s="1"/>
      <c r="M312" s="1"/>
      <c r="N312" s="1"/>
      <c r="O312" s="1"/>
      <c r="P312" s="1"/>
      <c r="Q312" s="1"/>
      <c r="R312" s="1"/>
      <c r="S312" s="1"/>
      <c r="T312" s="2"/>
      <c r="U312" s="2"/>
      <c r="V312" s="2"/>
      <c r="W312" s="2"/>
      <c r="X312" s="2"/>
      <c r="Y312" s="2"/>
      <c r="Z312" s="2"/>
    </row>
    <row r="313" spans="1:26" ht="14.25" customHeight="1">
      <c r="A313" s="14"/>
      <c r="B313" s="2"/>
      <c r="C313" s="1"/>
      <c r="D313" s="1"/>
      <c r="E313" s="1"/>
      <c r="F313" s="1"/>
      <c r="G313" s="1"/>
      <c r="H313" s="1"/>
      <c r="I313" s="1"/>
      <c r="J313" s="1"/>
      <c r="K313" s="1"/>
      <c r="L313" s="1"/>
      <c r="M313" s="1"/>
      <c r="N313" s="1"/>
      <c r="O313" s="1"/>
      <c r="P313" s="1"/>
      <c r="Q313" s="1"/>
      <c r="R313" s="1"/>
      <c r="S313" s="1"/>
      <c r="T313" s="2"/>
      <c r="U313" s="2"/>
      <c r="V313" s="2"/>
      <c r="W313" s="2"/>
      <c r="X313" s="2"/>
      <c r="Y313" s="2"/>
      <c r="Z313" s="2"/>
    </row>
    <row r="314" spans="1:26" ht="14.25" customHeight="1">
      <c r="A314" s="14"/>
      <c r="B314" s="2"/>
      <c r="C314" s="1"/>
      <c r="D314" s="1"/>
      <c r="E314" s="1"/>
      <c r="F314" s="1"/>
      <c r="G314" s="1"/>
      <c r="H314" s="1"/>
      <c r="I314" s="1"/>
      <c r="J314" s="1"/>
      <c r="K314" s="1"/>
      <c r="L314" s="1"/>
      <c r="M314" s="1"/>
      <c r="N314" s="1"/>
      <c r="O314" s="1"/>
      <c r="P314" s="1"/>
      <c r="Q314" s="1"/>
      <c r="R314" s="1"/>
      <c r="S314" s="1"/>
      <c r="T314" s="2"/>
      <c r="U314" s="2"/>
      <c r="V314" s="2"/>
      <c r="W314" s="2"/>
      <c r="X314" s="2"/>
      <c r="Y314" s="2"/>
      <c r="Z314" s="2"/>
    </row>
    <row r="315" spans="1:26" ht="14.25" customHeight="1">
      <c r="A315" s="14"/>
      <c r="B315" s="2"/>
      <c r="C315" s="1"/>
      <c r="D315" s="1"/>
      <c r="E315" s="1"/>
      <c r="F315" s="1"/>
      <c r="G315" s="1"/>
      <c r="H315" s="1"/>
      <c r="I315" s="1"/>
      <c r="J315" s="1"/>
      <c r="K315" s="1"/>
      <c r="L315" s="1"/>
      <c r="M315" s="1"/>
      <c r="N315" s="1"/>
      <c r="O315" s="1"/>
      <c r="P315" s="1"/>
      <c r="Q315" s="1"/>
      <c r="R315" s="1"/>
      <c r="S315" s="1"/>
      <c r="T315" s="2"/>
      <c r="U315" s="2"/>
      <c r="V315" s="2"/>
      <c r="W315" s="2"/>
      <c r="X315" s="2"/>
      <c r="Y315" s="2"/>
      <c r="Z315" s="2"/>
    </row>
    <row r="316" spans="1:26" ht="14.25" customHeight="1">
      <c r="A316" s="14"/>
      <c r="B316" s="2"/>
      <c r="C316" s="1"/>
      <c r="D316" s="1"/>
      <c r="E316" s="1"/>
      <c r="F316" s="1"/>
      <c r="G316" s="1"/>
      <c r="H316" s="1"/>
      <c r="I316" s="1"/>
      <c r="J316" s="1"/>
      <c r="K316" s="1"/>
      <c r="L316" s="1"/>
      <c r="M316" s="1"/>
      <c r="N316" s="1"/>
      <c r="O316" s="1"/>
      <c r="P316" s="1"/>
      <c r="Q316" s="1"/>
      <c r="R316" s="1"/>
      <c r="S316" s="1"/>
      <c r="T316" s="2"/>
      <c r="U316" s="2"/>
      <c r="V316" s="2"/>
      <c r="W316" s="2"/>
      <c r="X316" s="2"/>
      <c r="Y316" s="2"/>
      <c r="Z316" s="2"/>
    </row>
    <row r="317" spans="1:26" ht="14.25" customHeight="1">
      <c r="A317" s="14"/>
      <c r="B317" s="2"/>
      <c r="C317" s="1"/>
      <c r="D317" s="1"/>
      <c r="E317" s="1"/>
      <c r="F317" s="1"/>
      <c r="G317" s="1"/>
      <c r="H317" s="1"/>
      <c r="I317" s="1"/>
      <c r="J317" s="1"/>
      <c r="K317" s="1"/>
      <c r="L317" s="1"/>
      <c r="M317" s="1"/>
      <c r="N317" s="1"/>
      <c r="O317" s="1"/>
      <c r="P317" s="1"/>
      <c r="Q317" s="1"/>
      <c r="R317" s="1"/>
      <c r="S317" s="1"/>
      <c r="T317" s="2"/>
      <c r="U317" s="2"/>
      <c r="V317" s="2"/>
      <c r="W317" s="2"/>
      <c r="X317" s="2"/>
      <c r="Y317" s="2"/>
      <c r="Z317" s="2"/>
    </row>
    <row r="318" spans="1:26" ht="14.25" customHeight="1">
      <c r="A318" s="14"/>
      <c r="B318" s="2"/>
      <c r="C318" s="1"/>
      <c r="D318" s="1"/>
      <c r="E318" s="1"/>
      <c r="F318" s="1"/>
      <c r="G318" s="1"/>
      <c r="H318" s="1"/>
      <c r="I318" s="1"/>
      <c r="J318" s="1"/>
      <c r="K318" s="1"/>
      <c r="L318" s="1"/>
      <c r="M318" s="1"/>
      <c r="N318" s="1"/>
      <c r="O318" s="1"/>
      <c r="P318" s="1"/>
      <c r="Q318" s="1"/>
      <c r="R318" s="1"/>
      <c r="S318" s="1"/>
      <c r="T318" s="2"/>
      <c r="U318" s="2"/>
      <c r="V318" s="2"/>
      <c r="W318" s="2"/>
      <c r="X318" s="2"/>
      <c r="Y318" s="2"/>
      <c r="Z318" s="2"/>
    </row>
    <row r="319" spans="1:26" ht="14.25" customHeight="1">
      <c r="A319" s="14"/>
      <c r="B319" s="2"/>
      <c r="C319" s="1"/>
      <c r="D319" s="1"/>
      <c r="E319" s="1"/>
      <c r="F319" s="1"/>
      <c r="G319" s="1"/>
      <c r="H319" s="1"/>
      <c r="I319" s="1"/>
      <c r="J319" s="1"/>
      <c r="K319" s="1"/>
      <c r="L319" s="1"/>
      <c r="M319" s="1"/>
      <c r="N319" s="1"/>
      <c r="O319" s="1"/>
      <c r="P319" s="1"/>
      <c r="Q319" s="1"/>
      <c r="R319" s="1"/>
      <c r="S319" s="1"/>
      <c r="T319" s="2"/>
      <c r="U319" s="2"/>
      <c r="V319" s="2"/>
      <c r="W319" s="2"/>
      <c r="X319" s="2"/>
      <c r="Y319" s="2"/>
      <c r="Z319" s="2"/>
    </row>
    <row r="320" spans="1:26" ht="14.25" customHeight="1">
      <c r="A320" s="14"/>
      <c r="B320" s="2"/>
      <c r="C320" s="1"/>
      <c r="D320" s="1"/>
      <c r="E320" s="1"/>
      <c r="F320" s="1"/>
      <c r="G320" s="1"/>
      <c r="H320" s="1"/>
      <c r="I320" s="1"/>
      <c r="J320" s="1"/>
      <c r="K320" s="1"/>
      <c r="L320" s="1"/>
      <c r="M320" s="1"/>
      <c r="N320" s="1"/>
      <c r="O320" s="1"/>
      <c r="P320" s="1"/>
      <c r="Q320" s="1"/>
      <c r="R320" s="1"/>
      <c r="S320" s="1"/>
      <c r="T320" s="2"/>
      <c r="U320" s="2"/>
      <c r="V320" s="2"/>
      <c r="W320" s="2"/>
      <c r="X320" s="2"/>
      <c r="Y320" s="2"/>
      <c r="Z320" s="2"/>
    </row>
    <row r="321" spans="1:26" ht="14.25" customHeight="1">
      <c r="A321" s="14"/>
      <c r="B321" s="2"/>
      <c r="C321" s="1"/>
      <c r="D321" s="1"/>
      <c r="E321" s="1"/>
      <c r="F321" s="1"/>
      <c r="G321" s="1"/>
      <c r="H321" s="1"/>
      <c r="I321" s="1"/>
      <c r="J321" s="1"/>
      <c r="K321" s="1"/>
      <c r="L321" s="1"/>
      <c r="M321" s="1"/>
      <c r="N321" s="1"/>
      <c r="O321" s="1"/>
      <c r="P321" s="1"/>
      <c r="Q321" s="1"/>
      <c r="R321" s="1"/>
      <c r="S321" s="1"/>
      <c r="T321" s="2"/>
      <c r="U321" s="2"/>
      <c r="V321" s="2"/>
      <c r="W321" s="2"/>
      <c r="X321" s="2"/>
      <c r="Y321" s="2"/>
      <c r="Z321" s="2"/>
    </row>
    <row r="322" spans="1:26" ht="14.25" customHeight="1">
      <c r="A322" s="14"/>
      <c r="B322" s="2"/>
      <c r="C322" s="1"/>
      <c r="D322" s="1"/>
      <c r="E322" s="1"/>
      <c r="F322" s="1"/>
      <c r="G322" s="1"/>
      <c r="H322" s="1"/>
      <c r="I322" s="1"/>
      <c r="J322" s="1"/>
      <c r="K322" s="1"/>
      <c r="L322" s="1"/>
      <c r="M322" s="1"/>
      <c r="N322" s="1"/>
      <c r="O322" s="1"/>
      <c r="P322" s="1"/>
      <c r="Q322" s="1"/>
      <c r="R322" s="1"/>
      <c r="S322" s="1"/>
      <c r="T322" s="2"/>
      <c r="U322" s="2"/>
      <c r="V322" s="2"/>
      <c r="W322" s="2"/>
      <c r="X322" s="2"/>
      <c r="Y322" s="2"/>
      <c r="Z322" s="2"/>
    </row>
    <row r="323" spans="1:26" ht="14.25" customHeight="1">
      <c r="A323" s="14"/>
      <c r="B323" s="2"/>
      <c r="C323" s="1"/>
      <c r="D323" s="1"/>
      <c r="E323" s="1"/>
      <c r="F323" s="1"/>
      <c r="G323" s="1"/>
      <c r="H323" s="1"/>
      <c r="I323" s="1"/>
      <c r="J323" s="1"/>
      <c r="K323" s="1"/>
      <c r="L323" s="1"/>
      <c r="M323" s="1"/>
      <c r="N323" s="1"/>
      <c r="O323" s="1"/>
      <c r="P323" s="1"/>
      <c r="Q323" s="1"/>
      <c r="R323" s="1"/>
      <c r="S323" s="1"/>
      <c r="T323" s="2"/>
      <c r="U323" s="2"/>
      <c r="V323" s="2"/>
      <c r="W323" s="2"/>
      <c r="X323" s="2"/>
      <c r="Y323" s="2"/>
      <c r="Z323" s="2"/>
    </row>
    <row r="324" spans="1:26" ht="14.25" customHeight="1">
      <c r="A324" s="14"/>
      <c r="B324" s="2"/>
      <c r="C324" s="1"/>
      <c r="D324" s="1"/>
      <c r="E324" s="1"/>
      <c r="F324" s="1"/>
      <c r="G324" s="1"/>
      <c r="H324" s="1"/>
      <c r="I324" s="1"/>
      <c r="J324" s="1"/>
      <c r="K324" s="1"/>
      <c r="L324" s="1"/>
      <c r="M324" s="1"/>
      <c r="N324" s="1"/>
      <c r="O324" s="1"/>
      <c r="P324" s="1"/>
      <c r="Q324" s="1"/>
      <c r="R324" s="1"/>
      <c r="S324" s="1"/>
      <c r="T324" s="2"/>
      <c r="U324" s="2"/>
      <c r="V324" s="2"/>
      <c r="W324" s="2"/>
      <c r="X324" s="2"/>
      <c r="Y324" s="2"/>
      <c r="Z324" s="2"/>
    </row>
    <row r="325" spans="1:26" ht="14.25" customHeight="1">
      <c r="A325" s="14"/>
      <c r="B325" s="2"/>
      <c r="C325" s="1"/>
      <c r="D325" s="1"/>
      <c r="E325" s="1"/>
      <c r="F325" s="1"/>
      <c r="G325" s="1"/>
      <c r="H325" s="1"/>
      <c r="I325" s="1"/>
      <c r="J325" s="1"/>
      <c r="K325" s="1"/>
      <c r="L325" s="1"/>
      <c r="M325" s="1"/>
      <c r="N325" s="1"/>
      <c r="O325" s="1"/>
      <c r="P325" s="1"/>
      <c r="Q325" s="1"/>
      <c r="R325" s="1"/>
      <c r="S325" s="1"/>
      <c r="T325" s="2"/>
      <c r="U325" s="2"/>
      <c r="V325" s="2"/>
      <c r="W325" s="2"/>
      <c r="X325" s="2"/>
      <c r="Y325" s="2"/>
      <c r="Z325" s="2"/>
    </row>
    <row r="326" spans="1:26" ht="14.25" customHeight="1">
      <c r="A326" s="14"/>
      <c r="B326" s="2"/>
      <c r="C326" s="1"/>
      <c r="D326" s="1"/>
      <c r="E326" s="1"/>
      <c r="F326" s="1"/>
      <c r="G326" s="1"/>
      <c r="H326" s="1"/>
      <c r="I326" s="1"/>
      <c r="J326" s="1"/>
      <c r="K326" s="1"/>
      <c r="L326" s="1"/>
      <c r="M326" s="1"/>
      <c r="N326" s="1"/>
      <c r="O326" s="1"/>
      <c r="P326" s="1"/>
      <c r="Q326" s="1"/>
      <c r="R326" s="1"/>
      <c r="S326" s="1"/>
      <c r="T326" s="2"/>
      <c r="U326" s="2"/>
      <c r="V326" s="2"/>
      <c r="W326" s="2"/>
      <c r="X326" s="2"/>
      <c r="Y326" s="2"/>
      <c r="Z326" s="2"/>
    </row>
    <row r="327" spans="1:26" ht="14.25" customHeight="1">
      <c r="A327" s="14"/>
      <c r="B327" s="2"/>
      <c r="C327" s="1"/>
      <c r="D327" s="1"/>
      <c r="E327" s="1"/>
      <c r="F327" s="1"/>
      <c r="G327" s="1"/>
      <c r="H327" s="1"/>
      <c r="I327" s="1"/>
      <c r="J327" s="1"/>
      <c r="K327" s="1"/>
      <c r="L327" s="1"/>
      <c r="M327" s="1"/>
      <c r="N327" s="1"/>
      <c r="O327" s="1"/>
      <c r="P327" s="1"/>
      <c r="Q327" s="1"/>
      <c r="R327" s="1"/>
      <c r="S327" s="1"/>
      <c r="T327" s="2"/>
      <c r="U327" s="2"/>
      <c r="V327" s="2"/>
      <c r="W327" s="2"/>
      <c r="X327" s="2"/>
      <c r="Y327" s="2"/>
      <c r="Z327" s="2"/>
    </row>
    <row r="328" spans="1:26" ht="14.25" customHeight="1">
      <c r="A328" s="14"/>
      <c r="B328" s="2"/>
      <c r="C328" s="1"/>
      <c r="D328" s="1"/>
      <c r="E328" s="1"/>
      <c r="F328" s="1"/>
      <c r="G328" s="1"/>
      <c r="H328" s="1"/>
      <c r="I328" s="1"/>
      <c r="J328" s="1"/>
      <c r="K328" s="1"/>
      <c r="L328" s="1"/>
      <c r="M328" s="1"/>
      <c r="N328" s="1"/>
      <c r="O328" s="1"/>
      <c r="P328" s="1"/>
      <c r="Q328" s="1"/>
      <c r="R328" s="1"/>
      <c r="S328" s="1"/>
      <c r="T328" s="2"/>
      <c r="U328" s="2"/>
      <c r="V328" s="2"/>
      <c r="W328" s="2"/>
      <c r="X328" s="2"/>
      <c r="Y328" s="2"/>
      <c r="Z328" s="2"/>
    </row>
    <row r="329" spans="1:26" ht="14.25" customHeight="1">
      <c r="A329" s="14"/>
      <c r="B329" s="2"/>
      <c r="C329" s="1"/>
      <c r="D329" s="1"/>
      <c r="E329" s="1"/>
      <c r="F329" s="1"/>
      <c r="G329" s="1"/>
      <c r="H329" s="1"/>
      <c r="I329" s="1"/>
      <c r="J329" s="1"/>
      <c r="K329" s="1"/>
      <c r="L329" s="1"/>
      <c r="M329" s="1"/>
      <c r="N329" s="1"/>
      <c r="O329" s="1"/>
      <c r="P329" s="1"/>
      <c r="Q329" s="1"/>
      <c r="R329" s="1"/>
      <c r="S329" s="1"/>
      <c r="T329" s="2"/>
      <c r="U329" s="2"/>
      <c r="V329" s="2"/>
      <c r="W329" s="2"/>
      <c r="X329" s="2"/>
      <c r="Y329" s="2"/>
      <c r="Z329" s="2"/>
    </row>
    <row r="330" spans="1:26" ht="14.25" customHeight="1">
      <c r="A330" s="14"/>
      <c r="B330" s="2"/>
      <c r="C330" s="1"/>
      <c r="D330" s="1"/>
      <c r="E330" s="1"/>
      <c r="F330" s="1"/>
      <c r="G330" s="1"/>
      <c r="H330" s="1"/>
      <c r="I330" s="1"/>
      <c r="J330" s="1"/>
      <c r="K330" s="1"/>
      <c r="L330" s="1"/>
      <c r="M330" s="1"/>
      <c r="N330" s="1"/>
      <c r="O330" s="1"/>
      <c r="P330" s="1"/>
      <c r="Q330" s="1"/>
      <c r="R330" s="1"/>
      <c r="S330" s="1"/>
      <c r="T330" s="2"/>
      <c r="U330" s="2"/>
      <c r="V330" s="2"/>
      <c r="W330" s="2"/>
      <c r="X330" s="2"/>
      <c r="Y330" s="2"/>
      <c r="Z330" s="2"/>
    </row>
    <row r="331" spans="1:26" ht="14.25" customHeight="1">
      <c r="A331" s="14"/>
      <c r="B331" s="2"/>
      <c r="C331" s="1"/>
      <c r="D331" s="1"/>
      <c r="E331" s="1"/>
      <c r="F331" s="1"/>
      <c r="G331" s="1"/>
      <c r="H331" s="1"/>
      <c r="I331" s="1"/>
      <c r="J331" s="1"/>
      <c r="K331" s="1"/>
      <c r="L331" s="1"/>
      <c r="M331" s="1"/>
      <c r="N331" s="1"/>
      <c r="O331" s="1"/>
      <c r="P331" s="1"/>
      <c r="Q331" s="1"/>
      <c r="R331" s="1"/>
      <c r="S331" s="1"/>
      <c r="T331" s="2"/>
      <c r="U331" s="2"/>
      <c r="V331" s="2"/>
      <c r="W331" s="2"/>
      <c r="X331" s="2"/>
      <c r="Y331" s="2"/>
      <c r="Z331" s="2"/>
    </row>
    <row r="332" spans="1:26" ht="14.25" customHeight="1">
      <c r="A332" s="14"/>
      <c r="B332" s="2"/>
      <c r="C332" s="1"/>
      <c r="D332" s="1"/>
      <c r="E332" s="1"/>
      <c r="F332" s="1"/>
      <c r="G332" s="1"/>
      <c r="H332" s="1"/>
      <c r="I332" s="1"/>
      <c r="J332" s="1"/>
      <c r="K332" s="1"/>
      <c r="L332" s="1"/>
      <c r="M332" s="1"/>
      <c r="N332" s="1"/>
      <c r="O332" s="1"/>
      <c r="P332" s="1"/>
      <c r="Q332" s="1"/>
      <c r="R332" s="1"/>
      <c r="S332" s="1"/>
      <c r="T332" s="2"/>
      <c r="U332" s="2"/>
      <c r="V332" s="2"/>
      <c r="W332" s="2"/>
      <c r="X332" s="2"/>
      <c r="Y332" s="2"/>
      <c r="Z332" s="2"/>
    </row>
    <row r="333" spans="1:26" ht="14.25" customHeight="1">
      <c r="A333" s="14"/>
      <c r="B333" s="2"/>
      <c r="C333" s="1"/>
      <c r="D333" s="1"/>
      <c r="E333" s="1"/>
      <c r="F333" s="1"/>
      <c r="G333" s="1"/>
      <c r="H333" s="1"/>
      <c r="I333" s="1"/>
      <c r="J333" s="1"/>
      <c r="K333" s="1"/>
      <c r="L333" s="1"/>
      <c r="M333" s="1"/>
      <c r="N333" s="1"/>
      <c r="O333" s="1"/>
      <c r="P333" s="1"/>
      <c r="Q333" s="1"/>
      <c r="R333" s="1"/>
      <c r="S333" s="1"/>
      <c r="T333" s="2"/>
      <c r="U333" s="2"/>
      <c r="V333" s="2"/>
      <c r="W333" s="2"/>
      <c r="X333" s="2"/>
      <c r="Y333" s="2"/>
      <c r="Z333" s="2"/>
    </row>
    <row r="334" spans="1:26" ht="14.25" customHeight="1">
      <c r="A334" s="14"/>
      <c r="B334" s="2"/>
      <c r="C334" s="1"/>
      <c r="D334" s="1"/>
      <c r="E334" s="1"/>
      <c r="F334" s="1"/>
      <c r="G334" s="1"/>
      <c r="H334" s="1"/>
      <c r="I334" s="1"/>
      <c r="J334" s="1"/>
      <c r="K334" s="1"/>
      <c r="L334" s="1"/>
      <c r="M334" s="1"/>
      <c r="N334" s="1"/>
      <c r="O334" s="1"/>
      <c r="P334" s="1"/>
      <c r="Q334" s="1"/>
      <c r="R334" s="1"/>
      <c r="S334" s="1"/>
      <c r="T334" s="2"/>
      <c r="U334" s="2"/>
      <c r="V334" s="2"/>
      <c r="W334" s="2"/>
      <c r="X334" s="2"/>
      <c r="Y334" s="2"/>
      <c r="Z334" s="2"/>
    </row>
    <row r="335" spans="1:26" ht="14.25" customHeight="1">
      <c r="A335" s="14"/>
      <c r="B335" s="2"/>
      <c r="C335" s="1"/>
      <c r="D335" s="1"/>
      <c r="E335" s="1"/>
      <c r="F335" s="1"/>
      <c r="G335" s="1"/>
      <c r="H335" s="1"/>
      <c r="I335" s="1"/>
      <c r="J335" s="1"/>
      <c r="K335" s="1"/>
      <c r="L335" s="1"/>
      <c r="M335" s="1"/>
      <c r="N335" s="1"/>
      <c r="O335" s="1"/>
      <c r="P335" s="1"/>
      <c r="Q335" s="1"/>
      <c r="R335" s="1"/>
      <c r="S335" s="1"/>
      <c r="T335" s="2"/>
      <c r="U335" s="2"/>
      <c r="V335" s="2"/>
      <c r="W335" s="2"/>
      <c r="X335" s="2"/>
      <c r="Y335" s="2"/>
      <c r="Z335" s="2"/>
    </row>
    <row r="336" spans="1:26" ht="14.25" customHeight="1">
      <c r="A336" s="14"/>
      <c r="B336" s="2"/>
      <c r="C336" s="1"/>
      <c r="D336" s="1"/>
      <c r="E336" s="1"/>
      <c r="F336" s="1"/>
      <c r="G336" s="1"/>
      <c r="H336" s="1"/>
      <c r="I336" s="1"/>
      <c r="J336" s="1"/>
      <c r="K336" s="1"/>
      <c r="L336" s="1"/>
      <c r="M336" s="1"/>
      <c r="N336" s="1"/>
      <c r="O336" s="1"/>
      <c r="P336" s="1"/>
      <c r="Q336" s="1"/>
      <c r="R336" s="1"/>
      <c r="S336" s="1"/>
      <c r="T336" s="2"/>
      <c r="U336" s="2"/>
      <c r="V336" s="2"/>
      <c r="W336" s="2"/>
      <c r="X336" s="2"/>
      <c r="Y336" s="2"/>
      <c r="Z336" s="2"/>
    </row>
    <row r="337" spans="1:26" ht="14.25" customHeight="1">
      <c r="A337" s="14"/>
      <c r="B337" s="2"/>
      <c r="C337" s="1"/>
      <c r="D337" s="1"/>
      <c r="E337" s="1"/>
      <c r="F337" s="1"/>
      <c r="G337" s="1"/>
      <c r="H337" s="1"/>
      <c r="I337" s="1"/>
      <c r="J337" s="1"/>
      <c r="K337" s="1"/>
      <c r="L337" s="1"/>
      <c r="M337" s="1"/>
      <c r="N337" s="1"/>
      <c r="O337" s="1"/>
      <c r="P337" s="1"/>
      <c r="Q337" s="1"/>
      <c r="R337" s="1"/>
      <c r="S337" s="1"/>
      <c r="T337" s="2"/>
      <c r="U337" s="2"/>
      <c r="V337" s="2"/>
      <c r="W337" s="2"/>
      <c r="X337" s="2"/>
      <c r="Y337" s="2"/>
      <c r="Z337" s="2"/>
    </row>
    <row r="338" spans="1:26" ht="14.25" customHeight="1">
      <c r="A338" s="14"/>
      <c r="B338" s="2"/>
      <c r="C338" s="1"/>
      <c r="D338" s="1"/>
      <c r="E338" s="1"/>
      <c r="F338" s="1"/>
      <c r="G338" s="1"/>
      <c r="H338" s="1"/>
      <c r="I338" s="1"/>
      <c r="J338" s="1"/>
      <c r="K338" s="1"/>
      <c r="L338" s="1"/>
      <c r="M338" s="1"/>
      <c r="N338" s="1"/>
      <c r="O338" s="1"/>
      <c r="P338" s="1"/>
      <c r="Q338" s="1"/>
      <c r="R338" s="1"/>
      <c r="S338" s="1"/>
      <c r="T338" s="2"/>
      <c r="U338" s="2"/>
      <c r="V338" s="2"/>
      <c r="W338" s="2"/>
      <c r="X338" s="2"/>
      <c r="Y338" s="2"/>
      <c r="Z338" s="2"/>
    </row>
    <row r="339" spans="1:26" ht="14.25" customHeight="1">
      <c r="A339" s="14"/>
      <c r="B339" s="2"/>
      <c r="C339" s="1"/>
      <c r="D339" s="1"/>
      <c r="E339" s="1"/>
      <c r="F339" s="1"/>
      <c r="G339" s="1"/>
      <c r="H339" s="1"/>
      <c r="I339" s="1"/>
      <c r="J339" s="1"/>
      <c r="K339" s="1"/>
      <c r="L339" s="1"/>
      <c r="M339" s="1"/>
      <c r="N339" s="1"/>
      <c r="O339" s="1"/>
      <c r="P339" s="1"/>
      <c r="Q339" s="1"/>
      <c r="R339" s="1"/>
      <c r="S339" s="1"/>
      <c r="T339" s="2"/>
      <c r="U339" s="2"/>
      <c r="V339" s="2"/>
      <c r="W339" s="2"/>
      <c r="X339" s="2"/>
      <c r="Y339" s="2"/>
      <c r="Z339" s="2"/>
    </row>
    <row r="340" spans="1:26" ht="14.25" customHeight="1">
      <c r="A340" s="14"/>
      <c r="B340" s="2"/>
      <c r="C340" s="1"/>
      <c r="D340" s="1"/>
      <c r="E340" s="1"/>
      <c r="F340" s="1"/>
      <c r="G340" s="1"/>
      <c r="H340" s="1"/>
      <c r="I340" s="1"/>
      <c r="J340" s="1"/>
      <c r="K340" s="1"/>
      <c r="L340" s="1"/>
      <c r="M340" s="1"/>
      <c r="N340" s="1"/>
      <c r="O340" s="1"/>
      <c r="P340" s="1"/>
      <c r="Q340" s="1"/>
      <c r="R340" s="1"/>
      <c r="S340" s="1"/>
      <c r="T340" s="2"/>
      <c r="U340" s="2"/>
      <c r="V340" s="2"/>
      <c r="W340" s="2"/>
      <c r="X340" s="2"/>
      <c r="Y340" s="2"/>
      <c r="Z340" s="2"/>
    </row>
    <row r="341" spans="1:26" ht="14.25" customHeight="1">
      <c r="A341" s="14"/>
      <c r="B341" s="2"/>
      <c r="C341" s="1"/>
      <c r="D341" s="1"/>
      <c r="E341" s="1"/>
      <c r="F341" s="1"/>
      <c r="G341" s="1"/>
      <c r="H341" s="1"/>
      <c r="I341" s="1"/>
      <c r="J341" s="1"/>
      <c r="K341" s="1"/>
      <c r="L341" s="1"/>
      <c r="M341" s="1"/>
      <c r="N341" s="1"/>
      <c r="O341" s="1"/>
      <c r="P341" s="1"/>
      <c r="Q341" s="1"/>
      <c r="R341" s="1"/>
      <c r="S341" s="1"/>
      <c r="T341" s="2"/>
      <c r="U341" s="2"/>
      <c r="V341" s="2"/>
      <c r="W341" s="2"/>
      <c r="X341" s="2"/>
      <c r="Y341" s="2"/>
      <c r="Z341" s="2"/>
    </row>
    <row r="342" spans="1:26" ht="14.25" customHeight="1">
      <c r="A342" s="14"/>
      <c r="B342" s="2"/>
      <c r="C342" s="1"/>
      <c r="D342" s="1"/>
      <c r="E342" s="1"/>
      <c r="F342" s="1"/>
      <c r="G342" s="1"/>
      <c r="H342" s="1"/>
      <c r="I342" s="1"/>
      <c r="J342" s="1"/>
      <c r="K342" s="1"/>
      <c r="L342" s="1"/>
      <c r="M342" s="1"/>
      <c r="N342" s="1"/>
      <c r="O342" s="1"/>
      <c r="P342" s="1"/>
      <c r="Q342" s="1"/>
      <c r="R342" s="1"/>
      <c r="S342" s="1"/>
      <c r="T342" s="2"/>
      <c r="U342" s="2"/>
      <c r="V342" s="2"/>
      <c r="W342" s="2"/>
      <c r="X342" s="2"/>
      <c r="Y342" s="2"/>
      <c r="Z342" s="2"/>
    </row>
    <row r="343" spans="1:26" ht="14.25" customHeight="1">
      <c r="A343" s="14"/>
      <c r="B343" s="2"/>
      <c r="C343" s="1"/>
      <c r="D343" s="1"/>
      <c r="E343" s="1"/>
      <c r="F343" s="1"/>
      <c r="G343" s="1"/>
      <c r="H343" s="1"/>
      <c r="I343" s="1"/>
      <c r="J343" s="1"/>
      <c r="K343" s="1"/>
      <c r="L343" s="1"/>
      <c r="M343" s="1"/>
      <c r="N343" s="1"/>
      <c r="O343" s="1"/>
      <c r="P343" s="1"/>
      <c r="Q343" s="1"/>
      <c r="R343" s="1"/>
      <c r="S343" s="1"/>
      <c r="T343" s="2"/>
      <c r="U343" s="2"/>
      <c r="V343" s="2"/>
      <c r="W343" s="2"/>
      <c r="X343" s="2"/>
      <c r="Y343" s="2"/>
      <c r="Z343" s="2"/>
    </row>
    <row r="344" spans="1:26" ht="14.25" customHeight="1">
      <c r="A344" s="14"/>
      <c r="B344" s="2"/>
      <c r="C344" s="1"/>
      <c r="D344" s="1"/>
      <c r="E344" s="1"/>
      <c r="F344" s="1"/>
      <c r="G344" s="1"/>
      <c r="H344" s="1"/>
      <c r="I344" s="1"/>
      <c r="J344" s="1"/>
      <c r="K344" s="1"/>
      <c r="L344" s="1"/>
      <c r="M344" s="1"/>
      <c r="N344" s="1"/>
      <c r="O344" s="1"/>
      <c r="P344" s="1"/>
      <c r="Q344" s="1"/>
      <c r="R344" s="1"/>
      <c r="S344" s="1"/>
      <c r="T344" s="2"/>
      <c r="U344" s="2"/>
      <c r="V344" s="2"/>
      <c r="W344" s="2"/>
      <c r="X344" s="2"/>
      <c r="Y344" s="2"/>
      <c r="Z344" s="2"/>
    </row>
    <row r="345" spans="1:26" ht="14.25" customHeight="1">
      <c r="A345" s="14"/>
      <c r="B345" s="2"/>
      <c r="C345" s="1"/>
      <c r="D345" s="1"/>
      <c r="E345" s="1"/>
      <c r="F345" s="1"/>
      <c r="G345" s="1"/>
      <c r="H345" s="1"/>
      <c r="I345" s="1"/>
      <c r="J345" s="1"/>
      <c r="K345" s="1"/>
      <c r="L345" s="1"/>
      <c r="M345" s="1"/>
      <c r="N345" s="1"/>
      <c r="O345" s="1"/>
      <c r="P345" s="1"/>
      <c r="Q345" s="1"/>
      <c r="R345" s="1"/>
      <c r="S345" s="1"/>
      <c r="T345" s="2"/>
      <c r="U345" s="2"/>
      <c r="V345" s="2"/>
      <c r="W345" s="2"/>
      <c r="X345" s="2"/>
      <c r="Y345" s="2"/>
      <c r="Z345" s="2"/>
    </row>
    <row r="346" spans="1:26" ht="14.25" customHeight="1">
      <c r="A346" s="14"/>
      <c r="B346" s="2"/>
      <c r="C346" s="1"/>
      <c r="D346" s="1"/>
      <c r="E346" s="1"/>
      <c r="F346" s="1"/>
      <c r="G346" s="1"/>
      <c r="H346" s="1"/>
      <c r="I346" s="1"/>
      <c r="J346" s="1"/>
      <c r="K346" s="1"/>
      <c r="L346" s="1"/>
      <c r="M346" s="1"/>
      <c r="N346" s="1"/>
      <c r="O346" s="1"/>
      <c r="P346" s="1"/>
      <c r="Q346" s="1"/>
      <c r="R346" s="1"/>
      <c r="S346" s="1"/>
      <c r="T346" s="2"/>
      <c r="U346" s="2"/>
      <c r="V346" s="2"/>
      <c r="W346" s="2"/>
      <c r="X346" s="2"/>
      <c r="Y346" s="2"/>
      <c r="Z346" s="2"/>
    </row>
    <row r="347" spans="1:26" ht="14.25" customHeight="1">
      <c r="A347" s="14"/>
      <c r="B347" s="2"/>
      <c r="C347" s="1"/>
      <c r="D347" s="1"/>
      <c r="E347" s="1"/>
      <c r="F347" s="1"/>
      <c r="G347" s="1"/>
      <c r="H347" s="1"/>
      <c r="I347" s="1"/>
      <c r="J347" s="1"/>
      <c r="K347" s="1"/>
      <c r="L347" s="1"/>
      <c r="M347" s="1"/>
      <c r="N347" s="1"/>
      <c r="O347" s="1"/>
      <c r="P347" s="1"/>
      <c r="Q347" s="1"/>
      <c r="R347" s="1"/>
      <c r="S347" s="1"/>
      <c r="T347" s="2"/>
      <c r="U347" s="2"/>
      <c r="V347" s="2"/>
      <c r="W347" s="2"/>
      <c r="X347" s="2"/>
      <c r="Y347" s="2"/>
      <c r="Z347" s="2"/>
    </row>
    <row r="348" spans="1:26" ht="14.25" customHeight="1">
      <c r="A348" s="14"/>
      <c r="B348" s="2"/>
      <c r="C348" s="1"/>
      <c r="D348" s="1"/>
      <c r="E348" s="1"/>
      <c r="F348" s="1"/>
      <c r="G348" s="1"/>
      <c r="H348" s="1"/>
      <c r="I348" s="1"/>
      <c r="J348" s="1"/>
      <c r="K348" s="1"/>
      <c r="L348" s="1"/>
      <c r="M348" s="1"/>
      <c r="N348" s="1"/>
      <c r="O348" s="1"/>
      <c r="P348" s="1"/>
      <c r="Q348" s="1"/>
      <c r="R348" s="1"/>
      <c r="S348" s="1"/>
      <c r="T348" s="2"/>
      <c r="U348" s="2"/>
      <c r="V348" s="2"/>
      <c r="W348" s="2"/>
      <c r="X348" s="2"/>
      <c r="Y348" s="2"/>
      <c r="Z348" s="2"/>
    </row>
    <row r="349" spans="1:26" ht="14.25" customHeight="1">
      <c r="A349" s="14"/>
      <c r="B349" s="2"/>
      <c r="C349" s="1"/>
      <c r="D349" s="1"/>
      <c r="E349" s="1"/>
      <c r="F349" s="1"/>
      <c r="G349" s="1"/>
      <c r="H349" s="1"/>
      <c r="I349" s="1"/>
      <c r="J349" s="1"/>
      <c r="K349" s="1"/>
      <c r="L349" s="1"/>
      <c r="M349" s="1"/>
      <c r="N349" s="1"/>
      <c r="O349" s="1"/>
      <c r="P349" s="1"/>
      <c r="Q349" s="1"/>
      <c r="R349" s="1"/>
      <c r="S349" s="1"/>
      <c r="T349" s="2"/>
      <c r="U349" s="2"/>
      <c r="V349" s="2"/>
      <c r="W349" s="2"/>
      <c r="X349" s="2"/>
      <c r="Y349" s="2"/>
      <c r="Z349" s="2"/>
    </row>
    <row r="350" spans="1:26" ht="14.25" customHeight="1">
      <c r="A350" s="14"/>
      <c r="B350" s="2"/>
      <c r="C350" s="1"/>
      <c r="D350" s="1"/>
      <c r="E350" s="1"/>
      <c r="F350" s="1"/>
      <c r="G350" s="1"/>
      <c r="H350" s="1"/>
      <c r="I350" s="1"/>
      <c r="J350" s="1"/>
      <c r="K350" s="1"/>
      <c r="L350" s="1"/>
      <c r="M350" s="1"/>
      <c r="N350" s="1"/>
      <c r="O350" s="1"/>
      <c r="P350" s="1"/>
      <c r="Q350" s="1"/>
      <c r="R350" s="1"/>
      <c r="S350" s="1"/>
      <c r="T350" s="2"/>
      <c r="U350" s="2"/>
      <c r="V350" s="2"/>
      <c r="W350" s="2"/>
      <c r="X350" s="2"/>
      <c r="Y350" s="2"/>
      <c r="Z350" s="2"/>
    </row>
    <row r="351" spans="1:26" ht="14.25" customHeight="1">
      <c r="A351" s="14"/>
      <c r="B351" s="2"/>
      <c r="C351" s="1"/>
      <c r="D351" s="1"/>
      <c r="E351" s="1"/>
      <c r="F351" s="1"/>
      <c r="G351" s="1"/>
      <c r="H351" s="1"/>
      <c r="I351" s="1"/>
      <c r="J351" s="1"/>
      <c r="K351" s="1"/>
      <c r="L351" s="1"/>
      <c r="M351" s="1"/>
      <c r="N351" s="1"/>
      <c r="O351" s="1"/>
      <c r="P351" s="1"/>
      <c r="Q351" s="1"/>
      <c r="R351" s="1"/>
      <c r="S351" s="1"/>
      <c r="T351" s="2"/>
      <c r="U351" s="2"/>
      <c r="V351" s="2"/>
      <c r="W351" s="2"/>
      <c r="X351" s="2"/>
      <c r="Y351" s="2"/>
      <c r="Z351" s="2"/>
    </row>
    <row r="352" spans="1:26" ht="14.25" customHeight="1">
      <c r="A352" s="14"/>
      <c r="B352" s="2"/>
      <c r="C352" s="1"/>
      <c r="D352" s="1"/>
      <c r="E352" s="1"/>
      <c r="F352" s="1"/>
      <c r="G352" s="1"/>
      <c r="H352" s="1"/>
      <c r="I352" s="1"/>
      <c r="J352" s="1"/>
      <c r="K352" s="1"/>
      <c r="L352" s="1"/>
      <c r="M352" s="1"/>
      <c r="N352" s="1"/>
      <c r="O352" s="1"/>
      <c r="P352" s="1"/>
      <c r="Q352" s="1"/>
      <c r="R352" s="1"/>
      <c r="S352" s="1"/>
      <c r="T352" s="2"/>
      <c r="U352" s="2"/>
      <c r="V352" s="2"/>
      <c r="W352" s="2"/>
      <c r="X352" s="2"/>
      <c r="Y352" s="2"/>
      <c r="Z352" s="2"/>
    </row>
    <row r="353" spans="1:26" ht="14.25" customHeight="1">
      <c r="A353" s="14"/>
      <c r="B353" s="2"/>
      <c r="C353" s="1"/>
      <c r="D353" s="1"/>
      <c r="E353" s="1"/>
      <c r="F353" s="1"/>
      <c r="G353" s="1"/>
      <c r="H353" s="1"/>
      <c r="I353" s="1"/>
      <c r="J353" s="1"/>
      <c r="K353" s="1"/>
      <c r="L353" s="1"/>
      <c r="M353" s="1"/>
      <c r="N353" s="1"/>
      <c r="O353" s="1"/>
      <c r="P353" s="1"/>
      <c r="Q353" s="1"/>
      <c r="R353" s="1"/>
      <c r="S353" s="1"/>
      <c r="T353" s="2"/>
      <c r="U353" s="2"/>
      <c r="V353" s="2"/>
      <c r="W353" s="2"/>
      <c r="X353" s="2"/>
      <c r="Y353" s="2"/>
      <c r="Z353" s="2"/>
    </row>
    <row r="354" spans="1:26" ht="14.25" customHeight="1">
      <c r="A354" s="14"/>
      <c r="B354" s="2"/>
      <c r="C354" s="1"/>
      <c r="D354" s="1"/>
      <c r="E354" s="1"/>
      <c r="F354" s="1"/>
      <c r="G354" s="1"/>
      <c r="H354" s="1"/>
      <c r="I354" s="1"/>
      <c r="J354" s="1"/>
      <c r="K354" s="1"/>
      <c r="L354" s="1"/>
      <c r="M354" s="1"/>
      <c r="N354" s="1"/>
      <c r="O354" s="1"/>
      <c r="P354" s="1"/>
      <c r="Q354" s="1"/>
      <c r="R354" s="1"/>
      <c r="S354" s="1"/>
      <c r="T354" s="2"/>
      <c r="U354" s="2"/>
      <c r="V354" s="2"/>
      <c r="W354" s="2"/>
      <c r="X354" s="2"/>
      <c r="Y354" s="2"/>
      <c r="Z354" s="2"/>
    </row>
    <row r="355" spans="1:26" ht="14.25" customHeight="1">
      <c r="A355" s="14"/>
      <c r="B355" s="2"/>
      <c r="C355" s="1"/>
      <c r="D355" s="1"/>
      <c r="E355" s="1"/>
      <c r="F355" s="1"/>
      <c r="G355" s="1"/>
      <c r="H355" s="1"/>
      <c r="I355" s="1"/>
      <c r="J355" s="1"/>
      <c r="K355" s="1"/>
      <c r="L355" s="1"/>
      <c r="M355" s="1"/>
      <c r="N355" s="1"/>
      <c r="O355" s="1"/>
      <c r="P355" s="1"/>
      <c r="Q355" s="1"/>
      <c r="R355" s="1"/>
      <c r="S355" s="1"/>
      <c r="T355" s="2"/>
      <c r="U355" s="2"/>
      <c r="V355" s="2"/>
      <c r="W355" s="2"/>
      <c r="X355" s="2"/>
      <c r="Y355" s="2"/>
      <c r="Z355" s="2"/>
    </row>
    <row r="356" spans="1:26" ht="14.25" customHeight="1">
      <c r="A356" s="14"/>
      <c r="B356" s="2"/>
      <c r="C356" s="1"/>
      <c r="D356" s="1"/>
      <c r="E356" s="1"/>
      <c r="F356" s="1"/>
      <c r="G356" s="1"/>
      <c r="H356" s="1"/>
      <c r="I356" s="1"/>
      <c r="J356" s="1"/>
      <c r="K356" s="1"/>
      <c r="L356" s="1"/>
      <c r="M356" s="1"/>
      <c r="N356" s="1"/>
      <c r="O356" s="1"/>
      <c r="P356" s="1"/>
      <c r="Q356" s="1"/>
      <c r="R356" s="1"/>
      <c r="S356" s="1"/>
      <c r="T356" s="2"/>
      <c r="U356" s="2"/>
      <c r="V356" s="2"/>
      <c r="W356" s="2"/>
      <c r="X356" s="2"/>
      <c r="Y356" s="2"/>
      <c r="Z356" s="2"/>
    </row>
    <row r="357" spans="1:26" ht="14.25" customHeight="1">
      <c r="A357" s="14"/>
      <c r="B357" s="2"/>
      <c r="C357" s="1"/>
      <c r="D357" s="1"/>
      <c r="E357" s="1"/>
      <c r="F357" s="1"/>
      <c r="G357" s="1"/>
      <c r="H357" s="1"/>
      <c r="I357" s="1"/>
      <c r="J357" s="1"/>
      <c r="K357" s="1"/>
      <c r="L357" s="1"/>
      <c r="M357" s="1"/>
      <c r="N357" s="1"/>
      <c r="O357" s="1"/>
      <c r="P357" s="1"/>
      <c r="Q357" s="1"/>
      <c r="R357" s="1"/>
      <c r="S357" s="1"/>
      <c r="T357" s="2"/>
      <c r="U357" s="2"/>
      <c r="V357" s="2"/>
      <c r="W357" s="2"/>
      <c r="X357" s="2"/>
      <c r="Y357" s="2"/>
      <c r="Z357" s="2"/>
    </row>
    <row r="358" spans="1:26" ht="14.25" customHeight="1">
      <c r="A358" s="14"/>
      <c r="B358" s="2"/>
      <c r="C358" s="1"/>
      <c r="D358" s="1"/>
      <c r="E358" s="1"/>
      <c r="F358" s="1"/>
      <c r="G358" s="1"/>
      <c r="H358" s="1"/>
      <c r="I358" s="1"/>
      <c r="J358" s="1"/>
      <c r="K358" s="1"/>
      <c r="L358" s="1"/>
      <c r="M358" s="1"/>
      <c r="N358" s="1"/>
      <c r="O358" s="1"/>
      <c r="P358" s="1"/>
      <c r="Q358" s="1"/>
      <c r="R358" s="1"/>
      <c r="S358" s="1"/>
      <c r="T358" s="2"/>
      <c r="U358" s="2"/>
      <c r="V358" s="2"/>
      <c r="W358" s="2"/>
      <c r="X358" s="2"/>
      <c r="Y358" s="2"/>
      <c r="Z358" s="2"/>
    </row>
    <row r="359" spans="1:26" ht="14.25" customHeight="1">
      <c r="A359" s="14"/>
      <c r="B359" s="2"/>
      <c r="C359" s="1"/>
      <c r="D359" s="1"/>
      <c r="E359" s="1"/>
      <c r="F359" s="1"/>
      <c r="G359" s="1"/>
      <c r="H359" s="1"/>
      <c r="I359" s="1"/>
      <c r="J359" s="1"/>
      <c r="K359" s="1"/>
      <c r="L359" s="1"/>
      <c r="M359" s="1"/>
      <c r="N359" s="1"/>
      <c r="O359" s="1"/>
      <c r="P359" s="1"/>
      <c r="Q359" s="1"/>
      <c r="R359" s="1"/>
      <c r="S359" s="1"/>
      <c r="T359" s="2"/>
      <c r="U359" s="2"/>
      <c r="V359" s="2"/>
      <c r="W359" s="2"/>
      <c r="X359" s="2"/>
      <c r="Y359" s="2"/>
      <c r="Z359" s="2"/>
    </row>
    <row r="360" spans="1:26" ht="14.25" customHeight="1">
      <c r="A360" s="14"/>
      <c r="B360" s="2"/>
      <c r="C360" s="1"/>
      <c r="D360" s="1"/>
      <c r="E360" s="1"/>
      <c r="F360" s="1"/>
      <c r="G360" s="1"/>
      <c r="H360" s="1"/>
      <c r="I360" s="1"/>
      <c r="J360" s="1"/>
      <c r="K360" s="1"/>
      <c r="L360" s="1"/>
      <c r="M360" s="1"/>
      <c r="N360" s="1"/>
      <c r="O360" s="1"/>
      <c r="P360" s="1"/>
      <c r="Q360" s="1"/>
      <c r="R360" s="1"/>
      <c r="S360" s="1"/>
      <c r="T360" s="2"/>
      <c r="U360" s="2"/>
      <c r="V360" s="2"/>
      <c r="W360" s="2"/>
      <c r="X360" s="2"/>
      <c r="Y360" s="2"/>
      <c r="Z360" s="2"/>
    </row>
    <row r="361" spans="1:26" ht="14.25" customHeight="1">
      <c r="A361" s="14"/>
      <c r="B361" s="2"/>
      <c r="C361" s="1"/>
      <c r="D361" s="1"/>
      <c r="E361" s="1"/>
      <c r="F361" s="1"/>
      <c r="G361" s="1"/>
      <c r="H361" s="1"/>
      <c r="I361" s="1"/>
      <c r="J361" s="1"/>
      <c r="K361" s="1"/>
      <c r="L361" s="1"/>
      <c r="M361" s="1"/>
      <c r="N361" s="1"/>
      <c r="O361" s="1"/>
      <c r="P361" s="1"/>
      <c r="Q361" s="1"/>
      <c r="R361" s="1"/>
      <c r="S361" s="1"/>
      <c r="T361" s="2"/>
      <c r="U361" s="2"/>
      <c r="V361" s="2"/>
      <c r="W361" s="2"/>
      <c r="X361" s="2"/>
      <c r="Y361" s="2"/>
      <c r="Z361" s="2"/>
    </row>
    <row r="362" spans="1:26" ht="14.25" customHeight="1">
      <c r="A362" s="14"/>
      <c r="B362" s="2"/>
      <c r="C362" s="1"/>
      <c r="D362" s="1"/>
      <c r="E362" s="1"/>
      <c r="F362" s="1"/>
      <c r="G362" s="1"/>
      <c r="H362" s="1"/>
      <c r="I362" s="1"/>
      <c r="J362" s="1"/>
      <c r="K362" s="1"/>
      <c r="L362" s="1"/>
      <c r="M362" s="1"/>
      <c r="N362" s="1"/>
      <c r="O362" s="1"/>
      <c r="P362" s="1"/>
      <c r="Q362" s="1"/>
      <c r="R362" s="1"/>
      <c r="S362" s="1"/>
      <c r="T362" s="2"/>
      <c r="U362" s="2"/>
      <c r="V362" s="2"/>
      <c r="W362" s="2"/>
      <c r="X362" s="2"/>
      <c r="Y362" s="2"/>
      <c r="Z362" s="2"/>
    </row>
    <row r="363" spans="1:26" ht="14.25" customHeight="1">
      <c r="A363" s="14"/>
      <c r="B363" s="2"/>
      <c r="C363" s="1"/>
      <c r="D363" s="1"/>
      <c r="E363" s="1"/>
      <c r="F363" s="1"/>
      <c r="G363" s="1"/>
      <c r="H363" s="1"/>
      <c r="I363" s="1"/>
      <c r="J363" s="1"/>
      <c r="K363" s="1"/>
      <c r="L363" s="1"/>
      <c r="M363" s="1"/>
      <c r="N363" s="1"/>
      <c r="O363" s="1"/>
      <c r="P363" s="1"/>
      <c r="Q363" s="1"/>
      <c r="R363" s="1"/>
      <c r="S363" s="1"/>
      <c r="T363" s="2"/>
      <c r="U363" s="2"/>
      <c r="V363" s="2"/>
      <c r="W363" s="2"/>
      <c r="X363" s="2"/>
      <c r="Y363" s="2"/>
      <c r="Z363" s="2"/>
    </row>
    <row r="364" spans="1:26" ht="14.25" customHeight="1">
      <c r="A364" s="14"/>
      <c r="B364" s="2"/>
      <c r="C364" s="1"/>
      <c r="D364" s="1"/>
      <c r="E364" s="1"/>
      <c r="F364" s="1"/>
      <c r="G364" s="1"/>
      <c r="H364" s="1"/>
      <c r="I364" s="1"/>
      <c r="J364" s="1"/>
      <c r="K364" s="1"/>
      <c r="L364" s="1"/>
      <c r="M364" s="1"/>
      <c r="N364" s="1"/>
      <c r="O364" s="1"/>
      <c r="P364" s="1"/>
      <c r="Q364" s="1"/>
      <c r="R364" s="1"/>
      <c r="S364" s="1"/>
      <c r="T364" s="2"/>
      <c r="U364" s="2"/>
      <c r="V364" s="2"/>
      <c r="W364" s="2"/>
      <c r="X364" s="2"/>
      <c r="Y364" s="2"/>
      <c r="Z364" s="2"/>
    </row>
    <row r="365" spans="1:26" ht="14.25" customHeight="1">
      <c r="A365" s="14"/>
      <c r="B365" s="2"/>
      <c r="C365" s="1"/>
      <c r="D365" s="1"/>
      <c r="E365" s="1"/>
      <c r="F365" s="1"/>
      <c r="G365" s="1"/>
      <c r="H365" s="1"/>
      <c r="I365" s="1"/>
      <c r="J365" s="1"/>
      <c r="K365" s="1"/>
      <c r="L365" s="1"/>
      <c r="M365" s="1"/>
      <c r="N365" s="1"/>
      <c r="O365" s="1"/>
      <c r="P365" s="1"/>
      <c r="Q365" s="1"/>
      <c r="R365" s="1"/>
      <c r="S365" s="1"/>
      <c r="T365" s="2"/>
      <c r="U365" s="2"/>
      <c r="V365" s="2"/>
      <c r="W365" s="2"/>
      <c r="X365" s="2"/>
      <c r="Y365" s="2"/>
      <c r="Z365" s="2"/>
    </row>
    <row r="366" spans="1:26" ht="14.25" customHeight="1">
      <c r="A366" s="14"/>
      <c r="B366" s="2"/>
      <c r="C366" s="1"/>
      <c r="D366" s="1"/>
      <c r="E366" s="1"/>
      <c r="F366" s="1"/>
      <c r="G366" s="1"/>
      <c r="H366" s="1"/>
      <c r="I366" s="1"/>
      <c r="J366" s="1"/>
      <c r="K366" s="1"/>
      <c r="L366" s="1"/>
      <c r="M366" s="1"/>
      <c r="N366" s="1"/>
      <c r="O366" s="1"/>
      <c r="P366" s="1"/>
      <c r="Q366" s="1"/>
      <c r="R366" s="1"/>
      <c r="S366" s="1"/>
      <c r="T366" s="2"/>
      <c r="U366" s="2"/>
      <c r="V366" s="2"/>
      <c r="W366" s="2"/>
      <c r="X366" s="2"/>
      <c r="Y366" s="2"/>
      <c r="Z366" s="2"/>
    </row>
    <row r="367" spans="1:26" ht="14.25" customHeight="1">
      <c r="A367" s="14"/>
      <c r="B367" s="2"/>
      <c r="C367" s="1"/>
      <c r="D367" s="1"/>
      <c r="E367" s="1"/>
      <c r="F367" s="1"/>
      <c r="G367" s="1"/>
      <c r="H367" s="1"/>
      <c r="I367" s="1"/>
      <c r="J367" s="1"/>
      <c r="K367" s="1"/>
      <c r="L367" s="1"/>
      <c r="M367" s="1"/>
      <c r="N367" s="1"/>
      <c r="O367" s="1"/>
      <c r="P367" s="1"/>
      <c r="Q367" s="1"/>
      <c r="R367" s="1"/>
      <c r="S367" s="1"/>
      <c r="T367" s="2"/>
      <c r="U367" s="2"/>
      <c r="V367" s="2"/>
      <c r="W367" s="2"/>
      <c r="X367" s="2"/>
      <c r="Y367" s="2"/>
      <c r="Z367" s="2"/>
    </row>
    <row r="368" spans="1:26" ht="14.25" customHeight="1">
      <c r="A368" s="14"/>
      <c r="B368" s="2"/>
      <c r="C368" s="1"/>
      <c r="D368" s="1"/>
      <c r="E368" s="1"/>
      <c r="F368" s="1"/>
      <c r="G368" s="1"/>
      <c r="H368" s="1"/>
      <c r="I368" s="1"/>
      <c r="J368" s="1"/>
      <c r="K368" s="1"/>
      <c r="L368" s="1"/>
      <c r="M368" s="1"/>
      <c r="N368" s="1"/>
      <c r="O368" s="1"/>
      <c r="P368" s="1"/>
      <c r="Q368" s="1"/>
      <c r="R368" s="1"/>
      <c r="S368" s="1"/>
      <c r="T368" s="2"/>
      <c r="U368" s="2"/>
      <c r="V368" s="2"/>
      <c r="W368" s="2"/>
      <c r="X368" s="2"/>
      <c r="Y368" s="2"/>
      <c r="Z368" s="2"/>
    </row>
    <row r="369" spans="1:26" ht="14.25" customHeight="1">
      <c r="A369" s="14"/>
      <c r="B369" s="2"/>
      <c r="C369" s="1"/>
      <c r="D369" s="1"/>
      <c r="E369" s="1"/>
      <c r="F369" s="1"/>
      <c r="G369" s="1"/>
      <c r="H369" s="1"/>
      <c r="I369" s="1"/>
      <c r="J369" s="1"/>
      <c r="K369" s="1"/>
      <c r="L369" s="1"/>
      <c r="M369" s="1"/>
      <c r="N369" s="1"/>
      <c r="O369" s="1"/>
      <c r="P369" s="1"/>
      <c r="Q369" s="1"/>
      <c r="R369" s="1"/>
      <c r="S369" s="1"/>
      <c r="T369" s="2"/>
      <c r="U369" s="2"/>
      <c r="V369" s="2"/>
      <c r="W369" s="2"/>
      <c r="X369" s="2"/>
      <c r="Y369" s="2"/>
      <c r="Z369" s="2"/>
    </row>
    <row r="370" spans="1:26" ht="14.25" customHeight="1">
      <c r="A370" s="14"/>
      <c r="B370" s="2"/>
      <c r="C370" s="1"/>
      <c r="D370" s="1"/>
      <c r="E370" s="1"/>
      <c r="F370" s="1"/>
      <c r="G370" s="1"/>
      <c r="H370" s="1"/>
      <c r="I370" s="1"/>
      <c r="J370" s="1"/>
      <c r="K370" s="1"/>
      <c r="L370" s="1"/>
      <c r="M370" s="1"/>
      <c r="N370" s="1"/>
      <c r="O370" s="1"/>
      <c r="P370" s="1"/>
      <c r="Q370" s="1"/>
      <c r="R370" s="1"/>
      <c r="S370" s="1"/>
      <c r="T370" s="2"/>
      <c r="U370" s="2"/>
      <c r="V370" s="2"/>
      <c r="W370" s="2"/>
      <c r="X370" s="2"/>
      <c r="Y370" s="2"/>
      <c r="Z370" s="2"/>
    </row>
    <row r="371" spans="1:26" ht="14.25" customHeight="1">
      <c r="A371" s="14"/>
      <c r="B371" s="2"/>
      <c r="C371" s="1"/>
      <c r="D371" s="1"/>
      <c r="E371" s="1"/>
      <c r="F371" s="1"/>
      <c r="G371" s="1"/>
      <c r="H371" s="1"/>
      <c r="I371" s="1"/>
      <c r="J371" s="1"/>
      <c r="K371" s="1"/>
      <c r="L371" s="1"/>
      <c r="M371" s="1"/>
      <c r="N371" s="1"/>
      <c r="O371" s="1"/>
      <c r="P371" s="1"/>
      <c r="Q371" s="1"/>
      <c r="R371" s="1"/>
      <c r="S371" s="1"/>
      <c r="T371" s="2"/>
      <c r="U371" s="2"/>
      <c r="V371" s="2"/>
      <c r="W371" s="2"/>
      <c r="X371" s="2"/>
      <c r="Y371" s="2"/>
      <c r="Z371" s="2"/>
    </row>
    <row r="372" spans="1:26" ht="14.25" customHeight="1">
      <c r="A372" s="14"/>
      <c r="B372" s="2"/>
      <c r="C372" s="1"/>
      <c r="D372" s="1"/>
      <c r="E372" s="1"/>
      <c r="F372" s="1"/>
      <c r="G372" s="1"/>
      <c r="H372" s="1"/>
      <c r="I372" s="1"/>
      <c r="J372" s="1"/>
      <c r="K372" s="1"/>
      <c r="L372" s="1"/>
      <c r="M372" s="1"/>
      <c r="N372" s="1"/>
      <c r="O372" s="1"/>
      <c r="P372" s="1"/>
      <c r="Q372" s="1"/>
      <c r="R372" s="1"/>
      <c r="S372" s="1"/>
      <c r="T372" s="2"/>
      <c r="U372" s="2"/>
      <c r="V372" s="2"/>
      <c r="W372" s="2"/>
      <c r="X372" s="2"/>
      <c r="Y372" s="2"/>
      <c r="Z372" s="2"/>
    </row>
    <row r="373" spans="1:26" ht="14.25" customHeight="1">
      <c r="A373" s="14"/>
      <c r="B373" s="2"/>
      <c r="C373" s="1"/>
      <c r="D373" s="1"/>
      <c r="E373" s="1"/>
      <c r="F373" s="1"/>
      <c r="G373" s="1"/>
      <c r="H373" s="1"/>
      <c r="I373" s="1"/>
      <c r="J373" s="1"/>
      <c r="K373" s="1"/>
      <c r="L373" s="1"/>
      <c r="M373" s="1"/>
      <c r="N373" s="1"/>
      <c r="O373" s="1"/>
      <c r="P373" s="1"/>
      <c r="Q373" s="1"/>
      <c r="R373" s="1"/>
      <c r="S373" s="1"/>
      <c r="T373" s="2"/>
      <c r="U373" s="2"/>
      <c r="V373" s="2"/>
      <c r="W373" s="2"/>
      <c r="X373" s="2"/>
      <c r="Y373" s="2"/>
      <c r="Z373" s="2"/>
    </row>
    <row r="374" spans="1:26" ht="14.25" customHeight="1">
      <c r="A374" s="14"/>
      <c r="B374" s="2"/>
      <c r="C374" s="1"/>
      <c r="D374" s="1"/>
      <c r="E374" s="1"/>
      <c r="F374" s="1"/>
      <c r="G374" s="1"/>
      <c r="H374" s="1"/>
      <c r="I374" s="1"/>
      <c r="J374" s="1"/>
      <c r="K374" s="1"/>
      <c r="L374" s="1"/>
      <c r="M374" s="1"/>
      <c r="N374" s="1"/>
      <c r="O374" s="1"/>
      <c r="P374" s="1"/>
      <c r="Q374" s="1"/>
      <c r="R374" s="1"/>
      <c r="S374" s="1"/>
      <c r="T374" s="2"/>
      <c r="U374" s="2"/>
      <c r="V374" s="2"/>
      <c r="W374" s="2"/>
      <c r="X374" s="2"/>
      <c r="Y374" s="2"/>
      <c r="Z374" s="2"/>
    </row>
    <row r="375" spans="1:26" ht="14.25" customHeight="1">
      <c r="A375" s="14"/>
      <c r="B375" s="2"/>
      <c r="C375" s="1"/>
      <c r="D375" s="1"/>
      <c r="E375" s="1"/>
      <c r="F375" s="1"/>
      <c r="G375" s="1"/>
      <c r="H375" s="1"/>
      <c r="I375" s="1"/>
      <c r="J375" s="1"/>
      <c r="K375" s="1"/>
      <c r="L375" s="1"/>
      <c r="M375" s="1"/>
      <c r="N375" s="1"/>
      <c r="O375" s="1"/>
      <c r="P375" s="1"/>
      <c r="Q375" s="1"/>
      <c r="R375" s="1"/>
      <c r="S375" s="1"/>
      <c r="T375" s="2"/>
      <c r="U375" s="2"/>
      <c r="V375" s="2"/>
      <c r="W375" s="2"/>
      <c r="X375" s="2"/>
      <c r="Y375" s="2"/>
      <c r="Z375" s="2"/>
    </row>
    <row r="376" spans="1:26" ht="14.25" customHeight="1">
      <c r="A376" s="14"/>
      <c r="B376" s="2"/>
      <c r="C376" s="1"/>
      <c r="D376" s="1"/>
      <c r="E376" s="1"/>
      <c r="F376" s="1"/>
      <c r="G376" s="1"/>
      <c r="H376" s="1"/>
      <c r="I376" s="1"/>
      <c r="J376" s="1"/>
      <c r="K376" s="1"/>
      <c r="L376" s="1"/>
      <c r="M376" s="1"/>
      <c r="N376" s="1"/>
      <c r="O376" s="1"/>
      <c r="P376" s="1"/>
      <c r="Q376" s="1"/>
      <c r="R376" s="1"/>
      <c r="S376" s="1"/>
      <c r="T376" s="2"/>
      <c r="U376" s="2"/>
      <c r="V376" s="2"/>
      <c r="W376" s="2"/>
      <c r="X376" s="2"/>
      <c r="Y376" s="2"/>
      <c r="Z376" s="2"/>
    </row>
    <row r="377" spans="1:26" ht="14.25" customHeight="1">
      <c r="A377" s="14"/>
      <c r="B377" s="2"/>
      <c r="C377" s="1"/>
      <c r="D377" s="1"/>
      <c r="E377" s="1"/>
      <c r="F377" s="1"/>
      <c r="G377" s="1"/>
      <c r="H377" s="1"/>
      <c r="I377" s="1"/>
      <c r="J377" s="1"/>
      <c r="K377" s="1"/>
      <c r="L377" s="1"/>
      <c r="M377" s="1"/>
      <c r="N377" s="1"/>
      <c r="O377" s="1"/>
      <c r="P377" s="1"/>
      <c r="Q377" s="1"/>
      <c r="R377" s="1"/>
      <c r="S377" s="1"/>
      <c r="T377" s="2"/>
      <c r="U377" s="2"/>
      <c r="V377" s="2"/>
      <c r="W377" s="2"/>
      <c r="X377" s="2"/>
      <c r="Y377" s="2"/>
      <c r="Z377" s="2"/>
    </row>
    <row r="378" spans="1:26" ht="14.25" customHeight="1">
      <c r="A378" s="14"/>
      <c r="B378" s="2"/>
      <c r="C378" s="1"/>
      <c r="D378" s="1"/>
      <c r="E378" s="1"/>
      <c r="F378" s="1"/>
      <c r="G378" s="1"/>
      <c r="H378" s="1"/>
      <c r="I378" s="1"/>
      <c r="J378" s="1"/>
      <c r="K378" s="1"/>
      <c r="L378" s="1"/>
      <c r="M378" s="1"/>
      <c r="N378" s="1"/>
      <c r="O378" s="1"/>
      <c r="P378" s="1"/>
      <c r="Q378" s="1"/>
      <c r="R378" s="1"/>
      <c r="S378" s="1"/>
      <c r="T378" s="2"/>
      <c r="U378" s="2"/>
      <c r="V378" s="2"/>
      <c r="W378" s="2"/>
      <c r="X378" s="2"/>
      <c r="Y378" s="2"/>
      <c r="Z378" s="2"/>
    </row>
    <row r="379" spans="1:26" ht="14.25" customHeight="1">
      <c r="A379" s="14"/>
      <c r="B379" s="2"/>
      <c r="C379" s="1"/>
      <c r="D379" s="1"/>
      <c r="E379" s="1"/>
      <c r="F379" s="1"/>
      <c r="G379" s="1"/>
      <c r="H379" s="1"/>
      <c r="I379" s="1"/>
      <c r="J379" s="1"/>
      <c r="K379" s="1"/>
      <c r="L379" s="1"/>
      <c r="M379" s="1"/>
      <c r="N379" s="1"/>
      <c r="O379" s="1"/>
      <c r="P379" s="1"/>
      <c r="Q379" s="1"/>
      <c r="R379" s="1"/>
      <c r="S379" s="1"/>
      <c r="T379" s="2"/>
      <c r="U379" s="2"/>
      <c r="V379" s="2"/>
      <c r="W379" s="2"/>
      <c r="X379" s="2"/>
      <c r="Y379" s="2"/>
      <c r="Z379" s="2"/>
    </row>
    <row r="380" spans="1:26" ht="14.25" customHeight="1">
      <c r="A380" s="14"/>
      <c r="B380" s="2"/>
      <c r="C380" s="1"/>
      <c r="D380" s="1"/>
      <c r="E380" s="1"/>
      <c r="F380" s="1"/>
      <c r="G380" s="1"/>
      <c r="H380" s="1"/>
      <c r="I380" s="1"/>
      <c r="J380" s="1"/>
      <c r="K380" s="1"/>
      <c r="L380" s="1"/>
      <c r="M380" s="1"/>
      <c r="N380" s="1"/>
      <c r="O380" s="1"/>
      <c r="P380" s="1"/>
      <c r="Q380" s="1"/>
      <c r="R380" s="1"/>
      <c r="S380" s="1"/>
      <c r="T380" s="2"/>
      <c r="U380" s="2"/>
      <c r="V380" s="2"/>
      <c r="W380" s="2"/>
      <c r="X380" s="2"/>
      <c r="Y380" s="2"/>
      <c r="Z380" s="2"/>
    </row>
    <row r="381" spans="1:26" ht="14.25" customHeight="1">
      <c r="A381" s="14"/>
      <c r="B381" s="2"/>
      <c r="C381" s="1"/>
      <c r="D381" s="1"/>
      <c r="E381" s="1"/>
      <c r="F381" s="1"/>
      <c r="G381" s="1"/>
      <c r="H381" s="1"/>
      <c r="I381" s="1"/>
      <c r="J381" s="1"/>
      <c r="K381" s="1"/>
      <c r="L381" s="1"/>
      <c r="M381" s="1"/>
      <c r="N381" s="1"/>
      <c r="O381" s="1"/>
      <c r="P381" s="1"/>
      <c r="Q381" s="1"/>
      <c r="R381" s="1"/>
      <c r="S381" s="1"/>
      <c r="T381" s="2"/>
      <c r="U381" s="2"/>
      <c r="V381" s="2"/>
      <c r="W381" s="2"/>
      <c r="X381" s="2"/>
      <c r="Y381" s="2"/>
      <c r="Z381" s="2"/>
    </row>
    <row r="382" spans="1:26" ht="14.25" customHeight="1">
      <c r="A382" s="14"/>
      <c r="B382" s="2"/>
      <c r="C382" s="1"/>
      <c r="D382" s="1"/>
      <c r="E382" s="1"/>
      <c r="F382" s="1"/>
      <c r="G382" s="1"/>
      <c r="H382" s="1"/>
      <c r="I382" s="1"/>
      <c r="J382" s="1"/>
      <c r="K382" s="1"/>
      <c r="L382" s="1"/>
      <c r="M382" s="1"/>
      <c r="N382" s="1"/>
      <c r="O382" s="1"/>
      <c r="P382" s="1"/>
      <c r="Q382" s="1"/>
      <c r="R382" s="1"/>
      <c r="S382" s="1"/>
      <c r="T382" s="2"/>
      <c r="U382" s="2"/>
      <c r="V382" s="2"/>
      <c r="W382" s="2"/>
      <c r="X382" s="2"/>
      <c r="Y382" s="2"/>
      <c r="Z382" s="2"/>
    </row>
    <row r="383" spans="1:26" ht="14.25" customHeight="1">
      <c r="A383" s="14"/>
      <c r="B383" s="2"/>
      <c r="C383" s="1"/>
      <c r="D383" s="1"/>
      <c r="E383" s="1"/>
      <c r="F383" s="1"/>
      <c r="G383" s="1"/>
      <c r="H383" s="1"/>
      <c r="I383" s="1"/>
      <c r="J383" s="1"/>
      <c r="K383" s="1"/>
      <c r="L383" s="1"/>
      <c r="M383" s="1"/>
      <c r="N383" s="1"/>
      <c r="O383" s="1"/>
      <c r="P383" s="1"/>
      <c r="Q383" s="1"/>
      <c r="R383" s="1"/>
      <c r="S383" s="1"/>
      <c r="T383" s="2"/>
      <c r="U383" s="2"/>
      <c r="V383" s="2"/>
      <c r="W383" s="2"/>
      <c r="X383" s="2"/>
      <c r="Y383" s="2"/>
      <c r="Z383" s="2"/>
    </row>
    <row r="384" spans="1:26" ht="14.25" customHeight="1">
      <c r="A384" s="14"/>
      <c r="B384" s="2"/>
      <c r="C384" s="1"/>
      <c r="D384" s="1"/>
      <c r="E384" s="1"/>
      <c r="F384" s="1"/>
      <c r="G384" s="1"/>
      <c r="H384" s="1"/>
      <c r="I384" s="1"/>
      <c r="J384" s="1"/>
      <c r="K384" s="1"/>
      <c r="L384" s="1"/>
      <c r="M384" s="1"/>
      <c r="N384" s="1"/>
      <c r="O384" s="1"/>
      <c r="P384" s="1"/>
      <c r="Q384" s="1"/>
      <c r="R384" s="1"/>
      <c r="S384" s="1"/>
      <c r="T384" s="2"/>
      <c r="U384" s="2"/>
      <c r="V384" s="2"/>
      <c r="W384" s="2"/>
      <c r="X384" s="2"/>
      <c r="Y384" s="2"/>
      <c r="Z384" s="2"/>
    </row>
    <row r="385" spans="1:26" ht="14.25" customHeight="1">
      <c r="A385" s="14"/>
      <c r="B385" s="2"/>
      <c r="C385" s="1"/>
      <c r="D385" s="1"/>
      <c r="E385" s="1"/>
      <c r="F385" s="1"/>
      <c r="G385" s="1"/>
      <c r="H385" s="1"/>
      <c r="I385" s="1"/>
      <c r="J385" s="1"/>
      <c r="K385" s="1"/>
      <c r="L385" s="1"/>
      <c r="M385" s="1"/>
      <c r="N385" s="1"/>
      <c r="O385" s="1"/>
      <c r="P385" s="1"/>
      <c r="Q385" s="1"/>
      <c r="R385" s="1"/>
      <c r="S385" s="1"/>
      <c r="T385" s="2"/>
      <c r="U385" s="2"/>
      <c r="V385" s="2"/>
      <c r="W385" s="2"/>
      <c r="X385" s="2"/>
      <c r="Y385" s="2"/>
      <c r="Z385" s="2"/>
    </row>
    <row r="386" spans="1:26" ht="14.25" customHeight="1">
      <c r="A386" s="14"/>
      <c r="B386" s="2"/>
      <c r="C386" s="1"/>
      <c r="D386" s="1"/>
      <c r="E386" s="1"/>
      <c r="F386" s="1"/>
      <c r="G386" s="1"/>
      <c r="H386" s="1"/>
      <c r="I386" s="1"/>
      <c r="J386" s="1"/>
      <c r="K386" s="1"/>
      <c r="L386" s="1"/>
      <c r="M386" s="1"/>
      <c r="N386" s="1"/>
      <c r="O386" s="1"/>
      <c r="P386" s="1"/>
      <c r="Q386" s="1"/>
      <c r="R386" s="1"/>
      <c r="S386" s="1"/>
      <c r="T386" s="2"/>
      <c r="U386" s="2"/>
      <c r="V386" s="2"/>
      <c r="W386" s="2"/>
      <c r="X386" s="2"/>
      <c r="Y386" s="2"/>
      <c r="Z386" s="2"/>
    </row>
    <row r="387" spans="1:26" ht="14.25" customHeight="1">
      <c r="A387" s="14"/>
      <c r="B387" s="2"/>
      <c r="C387" s="1"/>
      <c r="D387" s="1"/>
      <c r="E387" s="1"/>
      <c r="F387" s="1"/>
      <c r="G387" s="1"/>
      <c r="H387" s="1"/>
      <c r="I387" s="1"/>
      <c r="J387" s="1"/>
      <c r="K387" s="1"/>
      <c r="L387" s="1"/>
      <c r="M387" s="1"/>
      <c r="N387" s="1"/>
      <c r="O387" s="1"/>
      <c r="P387" s="1"/>
      <c r="Q387" s="1"/>
      <c r="R387" s="1"/>
      <c r="S387" s="1"/>
      <c r="T387" s="2"/>
      <c r="U387" s="2"/>
      <c r="V387" s="2"/>
      <c r="W387" s="2"/>
      <c r="X387" s="2"/>
      <c r="Y387" s="2"/>
      <c r="Z387" s="2"/>
    </row>
    <row r="388" spans="1:26" ht="14.25" customHeight="1">
      <c r="A388" s="14"/>
      <c r="B388" s="2"/>
      <c r="C388" s="1"/>
      <c r="D388" s="1"/>
      <c r="E388" s="1"/>
      <c r="F388" s="1"/>
      <c r="G388" s="1"/>
      <c r="H388" s="1"/>
      <c r="I388" s="1"/>
      <c r="J388" s="1"/>
      <c r="K388" s="1"/>
      <c r="L388" s="1"/>
      <c r="M388" s="1"/>
      <c r="N388" s="1"/>
      <c r="O388" s="1"/>
      <c r="P388" s="1"/>
      <c r="Q388" s="1"/>
      <c r="R388" s="1"/>
      <c r="S388" s="1"/>
      <c r="T388" s="2"/>
      <c r="U388" s="2"/>
      <c r="V388" s="2"/>
      <c r="W388" s="2"/>
      <c r="X388" s="2"/>
      <c r="Y388" s="2"/>
      <c r="Z388" s="2"/>
    </row>
    <row r="389" spans="1:26" ht="14.25" customHeight="1">
      <c r="A389" s="14"/>
      <c r="B389" s="2"/>
      <c r="C389" s="1"/>
      <c r="D389" s="1"/>
      <c r="E389" s="1"/>
      <c r="F389" s="1"/>
      <c r="G389" s="1"/>
      <c r="H389" s="1"/>
      <c r="I389" s="1"/>
      <c r="J389" s="1"/>
      <c r="K389" s="1"/>
      <c r="L389" s="1"/>
      <c r="M389" s="1"/>
      <c r="N389" s="1"/>
      <c r="O389" s="1"/>
      <c r="P389" s="1"/>
      <c r="Q389" s="1"/>
      <c r="R389" s="1"/>
      <c r="S389" s="1"/>
      <c r="T389" s="2"/>
      <c r="U389" s="2"/>
      <c r="V389" s="2"/>
      <c r="W389" s="2"/>
      <c r="X389" s="2"/>
      <c r="Y389" s="2"/>
      <c r="Z389" s="2"/>
    </row>
    <row r="390" spans="1:26" ht="14.25" customHeight="1">
      <c r="A390" s="14"/>
      <c r="B390" s="2"/>
      <c r="C390" s="1"/>
      <c r="D390" s="1"/>
      <c r="E390" s="1"/>
      <c r="F390" s="1"/>
      <c r="G390" s="1"/>
      <c r="H390" s="1"/>
      <c r="I390" s="1"/>
      <c r="J390" s="1"/>
      <c r="K390" s="1"/>
      <c r="L390" s="1"/>
      <c r="M390" s="1"/>
      <c r="N390" s="1"/>
      <c r="O390" s="1"/>
      <c r="P390" s="1"/>
      <c r="Q390" s="1"/>
      <c r="R390" s="1"/>
      <c r="S390" s="1"/>
      <c r="T390" s="2"/>
      <c r="U390" s="2"/>
      <c r="V390" s="2"/>
      <c r="W390" s="2"/>
      <c r="X390" s="2"/>
      <c r="Y390" s="2"/>
      <c r="Z390" s="2"/>
    </row>
    <row r="391" spans="1:26" ht="14.25" customHeight="1">
      <c r="A391" s="14"/>
      <c r="B391" s="2"/>
      <c r="C391" s="1"/>
      <c r="D391" s="1"/>
      <c r="E391" s="1"/>
      <c r="F391" s="1"/>
      <c r="G391" s="1"/>
      <c r="H391" s="1"/>
      <c r="I391" s="1"/>
      <c r="J391" s="1"/>
      <c r="K391" s="1"/>
      <c r="L391" s="1"/>
      <c r="M391" s="1"/>
      <c r="N391" s="1"/>
      <c r="O391" s="1"/>
      <c r="P391" s="1"/>
      <c r="Q391" s="1"/>
      <c r="R391" s="1"/>
      <c r="S391" s="1"/>
      <c r="T391" s="2"/>
      <c r="U391" s="2"/>
      <c r="V391" s="2"/>
      <c r="W391" s="2"/>
      <c r="X391" s="2"/>
      <c r="Y391" s="2"/>
      <c r="Z391" s="2"/>
    </row>
    <row r="392" spans="1:26" ht="14.25" customHeight="1">
      <c r="A392" s="14"/>
      <c r="B392" s="2"/>
      <c r="C392" s="1"/>
      <c r="D392" s="1"/>
      <c r="E392" s="1"/>
      <c r="F392" s="1"/>
      <c r="G392" s="1"/>
      <c r="H392" s="1"/>
      <c r="I392" s="1"/>
      <c r="J392" s="1"/>
      <c r="K392" s="1"/>
      <c r="L392" s="1"/>
      <c r="M392" s="1"/>
      <c r="N392" s="1"/>
      <c r="O392" s="1"/>
      <c r="P392" s="1"/>
      <c r="Q392" s="1"/>
      <c r="R392" s="1"/>
      <c r="S392" s="1"/>
      <c r="T392" s="2"/>
      <c r="U392" s="2"/>
      <c r="V392" s="2"/>
      <c r="W392" s="2"/>
      <c r="X392" s="2"/>
      <c r="Y392" s="2"/>
      <c r="Z392" s="2"/>
    </row>
    <row r="393" spans="1:26" ht="14.25" customHeight="1">
      <c r="A393" s="14"/>
      <c r="B393" s="2"/>
      <c r="C393" s="1"/>
      <c r="D393" s="1"/>
      <c r="E393" s="1"/>
      <c r="F393" s="1"/>
      <c r="G393" s="1"/>
      <c r="H393" s="1"/>
      <c r="I393" s="1"/>
      <c r="J393" s="1"/>
      <c r="K393" s="1"/>
      <c r="L393" s="1"/>
      <c r="M393" s="1"/>
      <c r="N393" s="1"/>
      <c r="O393" s="1"/>
      <c r="P393" s="1"/>
      <c r="Q393" s="1"/>
      <c r="R393" s="1"/>
      <c r="S393" s="1"/>
      <c r="T393" s="2"/>
      <c r="U393" s="2"/>
      <c r="V393" s="2"/>
      <c r="W393" s="2"/>
      <c r="X393" s="2"/>
      <c r="Y393" s="2"/>
      <c r="Z393" s="2"/>
    </row>
    <row r="394" spans="1:26" ht="14.25" customHeight="1">
      <c r="A394" s="14"/>
      <c r="B394" s="2"/>
      <c r="C394" s="1"/>
      <c r="D394" s="1"/>
      <c r="E394" s="1"/>
      <c r="F394" s="1"/>
      <c r="G394" s="1"/>
      <c r="H394" s="1"/>
      <c r="I394" s="1"/>
      <c r="J394" s="1"/>
      <c r="K394" s="1"/>
      <c r="L394" s="1"/>
      <c r="M394" s="1"/>
      <c r="N394" s="1"/>
      <c r="O394" s="1"/>
      <c r="P394" s="1"/>
      <c r="Q394" s="1"/>
      <c r="R394" s="1"/>
      <c r="S394" s="1"/>
      <c r="T394" s="2"/>
      <c r="U394" s="2"/>
      <c r="V394" s="2"/>
      <c r="W394" s="2"/>
      <c r="X394" s="2"/>
      <c r="Y394" s="2"/>
      <c r="Z394" s="2"/>
    </row>
    <row r="395" spans="1:26" ht="14.25" customHeight="1">
      <c r="A395" s="14"/>
      <c r="B395" s="2"/>
      <c r="C395" s="1"/>
      <c r="D395" s="1"/>
      <c r="E395" s="1"/>
      <c r="F395" s="1"/>
      <c r="G395" s="1"/>
      <c r="H395" s="1"/>
      <c r="I395" s="1"/>
      <c r="J395" s="1"/>
      <c r="K395" s="1"/>
      <c r="L395" s="1"/>
      <c r="M395" s="1"/>
      <c r="N395" s="1"/>
      <c r="O395" s="1"/>
      <c r="P395" s="1"/>
      <c r="Q395" s="1"/>
      <c r="R395" s="1"/>
      <c r="S395" s="1"/>
      <c r="T395" s="2"/>
      <c r="U395" s="2"/>
      <c r="V395" s="2"/>
      <c r="W395" s="2"/>
      <c r="X395" s="2"/>
      <c r="Y395" s="2"/>
      <c r="Z395" s="2"/>
    </row>
    <row r="396" spans="1:26" ht="14.25" customHeight="1">
      <c r="A396" s="14"/>
      <c r="B396" s="2"/>
      <c r="C396" s="1"/>
      <c r="D396" s="1"/>
      <c r="E396" s="1"/>
      <c r="F396" s="1"/>
      <c r="G396" s="1"/>
      <c r="H396" s="1"/>
      <c r="I396" s="1"/>
      <c r="J396" s="1"/>
      <c r="K396" s="1"/>
      <c r="L396" s="1"/>
      <c r="M396" s="1"/>
      <c r="N396" s="1"/>
      <c r="O396" s="1"/>
      <c r="P396" s="1"/>
      <c r="Q396" s="1"/>
      <c r="R396" s="1"/>
      <c r="S396" s="1"/>
      <c r="T396" s="2"/>
      <c r="U396" s="2"/>
      <c r="V396" s="2"/>
      <c r="W396" s="2"/>
      <c r="X396" s="2"/>
      <c r="Y396" s="2"/>
      <c r="Z396" s="2"/>
    </row>
    <row r="397" spans="1:26" ht="14.25" customHeight="1">
      <c r="A397" s="14"/>
      <c r="B397" s="2"/>
      <c r="C397" s="1"/>
      <c r="D397" s="1"/>
      <c r="E397" s="1"/>
      <c r="F397" s="1"/>
      <c r="G397" s="1"/>
      <c r="H397" s="1"/>
      <c r="I397" s="1"/>
      <c r="J397" s="1"/>
      <c r="K397" s="1"/>
      <c r="L397" s="1"/>
      <c r="M397" s="1"/>
      <c r="N397" s="1"/>
      <c r="O397" s="1"/>
      <c r="P397" s="1"/>
      <c r="Q397" s="1"/>
      <c r="R397" s="1"/>
      <c r="S397" s="1"/>
      <c r="T397" s="2"/>
      <c r="U397" s="2"/>
      <c r="V397" s="2"/>
      <c r="W397" s="2"/>
      <c r="X397" s="2"/>
      <c r="Y397" s="2"/>
      <c r="Z397" s="2"/>
    </row>
    <row r="398" spans="1:26" ht="14.25" customHeight="1">
      <c r="A398" s="14"/>
      <c r="B398" s="2"/>
      <c r="C398" s="1"/>
      <c r="D398" s="1"/>
      <c r="E398" s="1"/>
      <c r="F398" s="1"/>
      <c r="G398" s="1"/>
      <c r="H398" s="1"/>
      <c r="I398" s="1"/>
      <c r="J398" s="1"/>
      <c r="K398" s="1"/>
      <c r="L398" s="1"/>
      <c r="M398" s="1"/>
      <c r="N398" s="1"/>
      <c r="O398" s="1"/>
      <c r="P398" s="1"/>
      <c r="Q398" s="1"/>
      <c r="R398" s="1"/>
      <c r="S398" s="1"/>
      <c r="T398" s="2"/>
      <c r="U398" s="2"/>
      <c r="V398" s="2"/>
      <c r="W398" s="2"/>
      <c r="X398" s="2"/>
      <c r="Y398" s="2"/>
      <c r="Z398" s="2"/>
    </row>
    <row r="399" spans="1:26" ht="14.25" customHeight="1">
      <c r="A399" s="14"/>
      <c r="B399" s="2"/>
      <c r="C399" s="1"/>
      <c r="D399" s="1"/>
      <c r="E399" s="1"/>
      <c r="F399" s="1"/>
      <c r="G399" s="1"/>
      <c r="H399" s="1"/>
      <c r="I399" s="1"/>
      <c r="J399" s="1"/>
      <c r="K399" s="1"/>
      <c r="L399" s="1"/>
      <c r="M399" s="1"/>
      <c r="N399" s="1"/>
      <c r="O399" s="1"/>
      <c r="P399" s="1"/>
      <c r="Q399" s="1"/>
      <c r="R399" s="1"/>
      <c r="S399" s="1"/>
      <c r="T399" s="2"/>
      <c r="U399" s="2"/>
      <c r="V399" s="2"/>
      <c r="W399" s="2"/>
      <c r="X399" s="2"/>
      <c r="Y399" s="2"/>
      <c r="Z399" s="2"/>
    </row>
    <row r="400" spans="1:26" ht="14.25" customHeight="1">
      <c r="A400" s="14"/>
      <c r="B400" s="2"/>
      <c r="C400" s="1"/>
      <c r="D400" s="1"/>
      <c r="E400" s="1"/>
      <c r="F400" s="1"/>
      <c r="G400" s="1"/>
      <c r="H400" s="1"/>
      <c r="I400" s="1"/>
      <c r="J400" s="1"/>
      <c r="K400" s="1"/>
      <c r="L400" s="1"/>
      <c r="M400" s="1"/>
      <c r="N400" s="1"/>
      <c r="O400" s="1"/>
      <c r="P400" s="1"/>
      <c r="Q400" s="1"/>
      <c r="R400" s="1"/>
      <c r="S400" s="1"/>
      <c r="T400" s="2"/>
      <c r="U400" s="2"/>
      <c r="V400" s="2"/>
      <c r="W400" s="2"/>
      <c r="X400" s="2"/>
      <c r="Y400" s="2"/>
      <c r="Z400" s="2"/>
    </row>
    <row r="401" spans="1:26" ht="14.25" customHeight="1">
      <c r="A401" s="14"/>
      <c r="B401" s="2"/>
      <c r="C401" s="1"/>
      <c r="D401" s="1"/>
      <c r="E401" s="1"/>
      <c r="F401" s="1"/>
      <c r="G401" s="1"/>
      <c r="H401" s="1"/>
      <c r="I401" s="1"/>
      <c r="J401" s="1"/>
      <c r="K401" s="1"/>
      <c r="L401" s="1"/>
      <c r="M401" s="1"/>
      <c r="N401" s="1"/>
      <c r="O401" s="1"/>
      <c r="P401" s="1"/>
      <c r="Q401" s="1"/>
      <c r="R401" s="1"/>
      <c r="S401" s="1"/>
      <c r="T401" s="2"/>
      <c r="U401" s="2"/>
      <c r="V401" s="2"/>
      <c r="W401" s="2"/>
      <c r="X401" s="2"/>
      <c r="Y401" s="2"/>
      <c r="Z401" s="2"/>
    </row>
    <row r="402" spans="1:26" ht="14.25" customHeight="1">
      <c r="A402" s="14"/>
      <c r="B402" s="2"/>
      <c r="C402" s="1"/>
      <c r="D402" s="1"/>
      <c r="E402" s="1"/>
      <c r="F402" s="1"/>
      <c r="G402" s="1"/>
      <c r="H402" s="1"/>
      <c r="I402" s="1"/>
      <c r="J402" s="1"/>
      <c r="K402" s="1"/>
      <c r="L402" s="1"/>
      <c r="M402" s="1"/>
      <c r="N402" s="1"/>
      <c r="O402" s="1"/>
      <c r="P402" s="1"/>
      <c r="Q402" s="1"/>
      <c r="R402" s="1"/>
      <c r="S402" s="1"/>
      <c r="T402" s="2"/>
      <c r="U402" s="2"/>
      <c r="V402" s="2"/>
      <c r="W402" s="2"/>
      <c r="X402" s="2"/>
      <c r="Y402" s="2"/>
      <c r="Z402" s="2"/>
    </row>
    <row r="403" spans="1:26" ht="14.25" customHeight="1">
      <c r="A403" s="14"/>
      <c r="B403" s="2"/>
      <c r="C403" s="1"/>
      <c r="D403" s="1"/>
      <c r="E403" s="1"/>
      <c r="F403" s="1"/>
      <c r="G403" s="1"/>
      <c r="H403" s="1"/>
      <c r="I403" s="1"/>
      <c r="J403" s="1"/>
      <c r="K403" s="1"/>
      <c r="L403" s="1"/>
      <c r="M403" s="1"/>
      <c r="N403" s="1"/>
      <c r="O403" s="1"/>
      <c r="P403" s="1"/>
      <c r="Q403" s="1"/>
      <c r="R403" s="1"/>
      <c r="S403" s="1"/>
      <c r="T403" s="2"/>
      <c r="U403" s="2"/>
      <c r="V403" s="2"/>
      <c r="W403" s="2"/>
      <c r="X403" s="2"/>
      <c r="Y403" s="2"/>
      <c r="Z403" s="2"/>
    </row>
    <row r="404" spans="1:26" ht="14.25" customHeight="1">
      <c r="A404" s="14"/>
      <c r="B404" s="2"/>
      <c r="C404" s="1"/>
      <c r="D404" s="1"/>
      <c r="E404" s="1"/>
      <c r="F404" s="1"/>
      <c r="G404" s="1"/>
      <c r="H404" s="1"/>
      <c r="I404" s="1"/>
      <c r="J404" s="1"/>
      <c r="K404" s="1"/>
      <c r="L404" s="1"/>
      <c r="M404" s="1"/>
      <c r="N404" s="1"/>
      <c r="O404" s="1"/>
      <c r="P404" s="1"/>
      <c r="Q404" s="1"/>
      <c r="R404" s="1"/>
      <c r="S404" s="1"/>
      <c r="T404" s="2"/>
      <c r="U404" s="2"/>
      <c r="V404" s="2"/>
      <c r="W404" s="2"/>
      <c r="X404" s="2"/>
      <c r="Y404" s="2"/>
      <c r="Z404" s="2"/>
    </row>
    <row r="405" spans="1:26" ht="14.25" customHeight="1">
      <c r="A405" s="14"/>
      <c r="B405" s="2"/>
      <c r="C405" s="1"/>
      <c r="D405" s="1"/>
      <c r="E405" s="1"/>
      <c r="F405" s="1"/>
      <c r="G405" s="1"/>
      <c r="H405" s="1"/>
      <c r="I405" s="1"/>
      <c r="J405" s="1"/>
      <c r="K405" s="1"/>
      <c r="L405" s="1"/>
      <c r="M405" s="1"/>
      <c r="N405" s="1"/>
      <c r="O405" s="1"/>
      <c r="P405" s="1"/>
      <c r="Q405" s="1"/>
      <c r="R405" s="1"/>
      <c r="S405" s="1"/>
      <c r="T405" s="2"/>
      <c r="U405" s="2"/>
      <c r="V405" s="2"/>
      <c r="W405" s="2"/>
      <c r="X405" s="2"/>
      <c r="Y405" s="2"/>
      <c r="Z405" s="2"/>
    </row>
    <row r="406" spans="1:26" ht="14.25" customHeight="1">
      <c r="A406" s="14"/>
      <c r="B406" s="2"/>
      <c r="C406" s="1"/>
      <c r="D406" s="1"/>
      <c r="E406" s="1"/>
      <c r="F406" s="1"/>
      <c r="G406" s="1"/>
      <c r="H406" s="1"/>
      <c r="I406" s="1"/>
      <c r="J406" s="1"/>
      <c r="K406" s="1"/>
      <c r="L406" s="1"/>
      <c r="M406" s="1"/>
      <c r="N406" s="1"/>
      <c r="O406" s="1"/>
      <c r="P406" s="1"/>
      <c r="Q406" s="1"/>
      <c r="R406" s="1"/>
      <c r="S406" s="1"/>
      <c r="T406" s="2"/>
      <c r="U406" s="2"/>
      <c r="V406" s="2"/>
      <c r="W406" s="2"/>
      <c r="X406" s="2"/>
      <c r="Y406" s="2"/>
      <c r="Z406" s="2"/>
    </row>
    <row r="407" spans="1:26" ht="14.25" customHeight="1">
      <c r="A407" s="14"/>
      <c r="B407" s="2"/>
      <c r="C407" s="1"/>
      <c r="D407" s="1"/>
      <c r="E407" s="1"/>
      <c r="F407" s="1"/>
      <c r="G407" s="1"/>
      <c r="H407" s="1"/>
      <c r="I407" s="1"/>
      <c r="J407" s="1"/>
      <c r="K407" s="1"/>
      <c r="L407" s="1"/>
      <c r="M407" s="1"/>
      <c r="N407" s="1"/>
      <c r="O407" s="1"/>
      <c r="P407" s="1"/>
      <c r="Q407" s="1"/>
      <c r="R407" s="1"/>
      <c r="S407" s="1"/>
      <c r="T407" s="2"/>
      <c r="U407" s="2"/>
      <c r="V407" s="2"/>
      <c r="W407" s="2"/>
      <c r="X407" s="2"/>
      <c r="Y407" s="2"/>
      <c r="Z407" s="2"/>
    </row>
    <row r="408" spans="1:26" ht="14.25" customHeight="1">
      <c r="A408" s="14"/>
      <c r="B408" s="2"/>
      <c r="C408" s="1"/>
      <c r="D408" s="1"/>
      <c r="E408" s="1"/>
      <c r="F408" s="1"/>
      <c r="G408" s="1"/>
      <c r="H408" s="1"/>
      <c r="I408" s="1"/>
      <c r="J408" s="1"/>
      <c r="K408" s="1"/>
      <c r="L408" s="1"/>
      <c r="M408" s="1"/>
      <c r="N408" s="1"/>
      <c r="O408" s="1"/>
      <c r="P408" s="1"/>
      <c r="Q408" s="1"/>
      <c r="R408" s="1"/>
      <c r="S408" s="1"/>
      <c r="T408" s="2"/>
      <c r="U408" s="2"/>
      <c r="V408" s="2"/>
      <c r="W408" s="2"/>
      <c r="X408" s="2"/>
      <c r="Y408" s="2"/>
      <c r="Z408" s="2"/>
    </row>
    <row r="409" spans="1:26" ht="14.25" customHeight="1">
      <c r="A409" s="14"/>
      <c r="B409" s="2"/>
      <c r="C409" s="1"/>
      <c r="D409" s="1"/>
      <c r="E409" s="1"/>
      <c r="F409" s="1"/>
      <c r="G409" s="1"/>
      <c r="H409" s="1"/>
      <c r="I409" s="1"/>
      <c r="J409" s="1"/>
      <c r="K409" s="1"/>
      <c r="L409" s="1"/>
      <c r="M409" s="1"/>
      <c r="N409" s="1"/>
      <c r="O409" s="1"/>
      <c r="P409" s="1"/>
      <c r="Q409" s="1"/>
      <c r="R409" s="1"/>
      <c r="S409" s="1"/>
      <c r="T409" s="2"/>
      <c r="U409" s="2"/>
      <c r="V409" s="2"/>
      <c r="W409" s="2"/>
      <c r="X409" s="2"/>
      <c r="Y409" s="2"/>
      <c r="Z409" s="2"/>
    </row>
    <row r="410" spans="1:26" ht="14.25" customHeight="1">
      <c r="A410" s="14"/>
      <c r="B410" s="2"/>
      <c r="C410" s="1"/>
      <c r="D410" s="1"/>
      <c r="E410" s="1"/>
      <c r="F410" s="1"/>
      <c r="G410" s="1"/>
      <c r="H410" s="1"/>
      <c r="I410" s="1"/>
      <c r="J410" s="1"/>
      <c r="K410" s="1"/>
      <c r="L410" s="1"/>
      <c r="M410" s="1"/>
      <c r="N410" s="1"/>
      <c r="O410" s="1"/>
      <c r="P410" s="1"/>
      <c r="Q410" s="1"/>
      <c r="R410" s="1"/>
      <c r="S410" s="1"/>
      <c r="T410" s="2"/>
      <c r="U410" s="2"/>
      <c r="V410" s="2"/>
      <c r="W410" s="2"/>
      <c r="X410" s="2"/>
      <c r="Y410" s="2"/>
      <c r="Z410" s="2"/>
    </row>
    <row r="411" spans="1:26" ht="14.25" customHeight="1">
      <c r="A411" s="14"/>
      <c r="B411" s="2"/>
      <c r="C411" s="1"/>
      <c r="D411" s="1"/>
      <c r="E411" s="1"/>
      <c r="F411" s="1"/>
      <c r="G411" s="1"/>
      <c r="H411" s="1"/>
      <c r="I411" s="1"/>
      <c r="J411" s="1"/>
      <c r="K411" s="1"/>
      <c r="L411" s="1"/>
      <c r="M411" s="1"/>
      <c r="N411" s="1"/>
      <c r="O411" s="1"/>
      <c r="P411" s="1"/>
      <c r="Q411" s="1"/>
      <c r="R411" s="1"/>
      <c r="S411" s="1"/>
      <c r="T411" s="2"/>
      <c r="U411" s="2"/>
      <c r="V411" s="2"/>
      <c r="W411" s="2"/>
      <c r="X411" s="2"/>
      <c r="Y411" s="2"/>
      <c r="Z411" s="2"/>
    </row>
    <row r="412" spans="1:26" ht="14.25" customHeight="1">
      <c r="A412" s="14"/>
      <c r="B412" s="2"/>
      <c r="C412" s="1"/>
      <c r="D412" s="1"/>
      <c r="E412" s="1"/>
      <c r="F412" s="1"/>
      <c r="G412" s="1"/>
      <c r="H412" s="1"/>
      <c r="I412" s="1"/>
      <c r="J412" s="1"/>
      <c r="K412" s="1"/>
      <c r="L412" s="1"/>
      <c r="M412" s="1"/>
      <c r="N412" s="1"/>
      <c r="O412" s="1"/>
      <c r="P412" s="1"/>
      <c r="Q412" s="1"/>
      <c r="R412" s="1"/>
      <c r="S412" s="1"/>
      <c r="T412" s="2"/>
      <c r="U412" s="2"/>
      <c r="V412" s="2"/>
      <c r="W412" s="2"/>
      <c r="X412" s="2"/>
      <c r="Y412" s="2"/>
      <c r="Z412" s="2"/>
    </row>
    <row r="413" spans="1:26" ht="14.25" customHeight="1">
      <c r="A413" s="14"/>
      <c r="B413" s="2"/>
      <c r="C413" s="1"/>
      <c r="D413" s="1"/>
      <c r="E413" s="1"/>
      <c r="F413" s="1"/>
      <c r="G413" s="1"/>
      <c r="H413" s="1"/>
      <c r="I413" s="1"/>
      <c r="J413" s="1"/>
      <c r="K413" s="1"/>
      <c r="L413" s="1"/>
      <c r="M413" s="1"/>
      <c r="N413" s="1"/>
      <c r="O413" s="1"/>
      <c r="P413" s="1"/>
      <c r="Q413" s="1"/>
      <c r="R413" s="1"/>
      <c r="S413" s="1"/>
      <c r="T413" s="2"/>
      <c r="U413" s="2"/>
      <c r="V413" s="2"/>
      <c r="W413" s="2"/>
      <c r="X413" s="2"/>
      <c r="Y413" s="2"/>
      <c r="Z413" s="2"/>
    </row>
    <row r="414" spans="1:26" ht="14.25" customHeight="1">
      <c r="A414" s="14"/>
      <c r="B414" s="2"/>
      <c r="C414" s="1"/>
      <c r="D414" s="1"/>
      <c r="E414" s="1"/>
      <c r="F414" s="1"/>
      <c r="G414" s="1"/>
      <c r="H414" s="1"/>
      <c r="I414" s="1"/>
      <c r="J414" s="1"/>
      <c r="K414" s="1"/>
      <c r="L414" s="1"/>
      <c r="M414" s="1"/>
      <c r="N414" s="1"/>
      <c r="O414" s="1"/>
      <c r="P414" s="1"/>
      <c r="Q414" s="1"/>
      <c r="R414" s="1"/>
      <c r="S414" s="1"/>
      <c r="T414" s="2"/>
      <c r="U414" s="2"/>
      <c r="V414" s="2"/>
      <c r="W414" s="2"/>
      <c r="X414" s="2"/>
      <c r="Y414" s="2"/>
      <c r="Z414" s="2"/>
    </row>
    <row r="415" spans="1:26" ht="14.25" customHeight="1">
      <c r="A415" s="14"/>
      <c r="B415" s="2"/>
      <c r="C415" s="1"/>
      <c r="D415" s="1"/>
      <c r="E415" s="1"/>
      <c r="F415" s="1"/>
      <c r="G415" s="1"/>
      <c r="H415" s="1"/>
      <c r="I415" s="1"/>
      <c r="J415" s="1"/>
      <c r="K415" s="1"/>
      <c r="L415" s="1"/>
      <c r="M415" s="1"/>
      <c r="N415" s="1"/>
      <c r="O415" s="1"/>
      <c r="P415" s="1"/>
      <c r="Q415" s="1"/>
      <c r="R415" s="1"/>
      <c r="S415" s="1"/>
      <c r="T415" s="2"/>
      <c r="U415" s="2"/>
      <c r="V415" s="2"/>
      <c r="W415" s="2"/>
      <c r="X415" s="2"/>
      <c r="Y415" s="2"/>
      <c r="Z415" s="2"/>
    </row>
    <row r="416" spans="1:26" ht="14.25" customHeight="1">
      <c r="A416" s="14"/>
      <c r="B416" s="2"/>
      <c r="C416" s="1"/>
      <c r="D416" s="1"/>
      <c r="E416" s="1"/>
      <c r="F416" s="1"/>
      <c r="G416" s="1"/>
      <c r="H416" s="1"/>
      <c r="I416" s="1"/>
      <c r="J416" s="1"/>
      <c r="K416" s="1"/>
      <c r="L416" s="1"/>
      <c r="M416" s="1"/>
      <c r="N416" s="1"/>
      <c r="O416" s="1"/>
      <c r="P416" s="1"/>
      <c r="Q416" s="1"/>
      <c r="R416" s="1"/>
      <c r="S416" s="1"/>
      <c r="T416" s="2"/>
      <c r="U416" s="2"/>
      <c r="V416" s="2"/>
      <c r="W416" s="2"/>
      <c r="X416" s="2"/>
      <c r="Y416" s="2"/>
      <c r="Z416" s="2"/>
    </row>
    <row r="417" spans="1:26" ht="14.25" customHeight="1">
      <c r="A417" s="14"/>
      <c r="B417" s="2"/>
      <c r="C417" s="1"/>
      <c r="D417" s="1"/>
      <c r="E417" s="1"/>
      <c r="F417" s="1"/>
      <c r="G417" s="1"/>
      <c r="H417" s="1"/>
      <c r="I417" s="1"/>
      <c r="J417" s="1"/>
      <c r="K417" s="1"/>
      <c r="L417" s="1"/>
      <c r="M417" s="1"/>
      <c r="N417" s="1"/>
      <c r="O417" s="1"/>
      <c r="P417" s="1"/>
      <c r="Q417" s="1"/>
      <c r="R417" s="1"/>
      <c r="S417" s="1"/>
      <c r="T417" s="2"/>
      <c r="U417" s="2"/>
      <c r="V417" s="2"/>
      <c r="W417" s="2"/>
      <c r="X417" s="2"/>
      <c r="Y417" s="2"/>
      <c r="Z417" s="2"/>
    </row>
    <row r="418" spans="1:26" ht="14.25" customHeight="1">
      <c r="A418" s="14"/>
      <c r="B418" s="2"/>
      <c r="C418" s="1"/>
      <c r="D418" s="1"/>
      <c r="E418" s="1"/>
      <c r="F418" s="1"/>
      <c r="G418" s="1"/>
      <c r="H418" s="1"/>
      <c r="I418" s="1"/>
      <c r="J418" s="1"/>
      <c r="K418" s="1"/>
      <c r="L418" s="1"/>
      <c r="M418" s="1"/>
      <c r="N418" s="1"/>
      <c r="O418" s="1"/>
      <c r="P418" s="1"/>
      <c r="Q418" s="1"/>
      <c r="R418" s="1"/>
      <c r="S418" s="1"/>
      <c r="T418" s="2"/>
      <c r="U418" s="2"/>
      <c r="V418" s="2"/>
      <c r="W418" s="2"/>
      <c r="X418" s="2"/>
      <c r="Y418" s="2"/>
      <c r="Z418" s="2"/>
    </row>
    <row r="419" spans="1:26" ht="14.25" customHeight="1">
      <c r="A419" s="14"/>
      <c r="B419" s="2"/>
      <c r="C419" s="1"/>
      <c r="D419" s="1"/>
      <c r="E419" s="1"/>
      <c r="F419" s="1"/>
      <c r="G419" s="1"/>
      <c r="H419" s="1"/>
      <c r="I419" s="1"/>
      <c r="J419" s="1"/>
      <c r="K419" s="1"/>
      <c r="L419" s="1"/>
      <c r="M419" s="1"/>
      <c r="N419" s="1"/>
      <c r="O419" s="1"/>
      <c r="P419" s="1"/>
      <c r="Q419" s="1"/>
      <c r="R419" s="1"/>
      <c r="S419" s="1"/>
      <c r="T419" s="2"/>
      <c r="U419" s="2"/>
      <c r="V419" s="2"/>
      <c r="W419" s="2"/>
      <c r="X419" s="2"/>
      <c r="Y419" s="2"/>
      <c r="Z419" s="2"/>
    </row>
    <row r="420" spans="1:26" ht="14.25" customHeight="1">
      <c r="A420" s="14"/>
      <c r="B420" s="2"/>
      <c r="C420" s="1"/>
      <c r="D420" s="1"/>
      <c r="E420" s="1"/>
      <c r="F420" s="1"/>
      <c r="G420" s="1"/>
      <c r="H420" s="1"/>
      <c r="I420" s="1"/>
      <c r="J420" s="1"/>
      <c r="K420" s="1"/>
      <c r="L420" s="1"/>
      <c r="M420" s="1"/>
      <c r="N420" s="1"/>
      <c r="O420" s="1"/>
      <c r="P420" s="1"/>
      <c r="Q420" s="1"/>
      <c r="R420" s="1"/>
      <c r="S420" s="1"/>
      <c r="T420" s="2"/>
      <c r="U420" s="2"/>
      <c r="V420" s="2"/>
      <c r="W420" s="2"/>
      <c r="X420" s="2"/>
      <c r="Y420" s="2"/>
      <c r="Z420" s="2"/>
    </row>
    <row r="421" spans="1:26" ht="14.25" customHeight="1">
      <c r="A421" s="14"/>
      <c r="B421" s="2"/>
      <c r="C421" s="1"/>
      <c r="D421" s="1"/>
      <c r="E421" s="1"/>
      <c r="F421" s="1"/>
      <c r="G421" s="1"/>
      <c r="H421" s="1"/>
      <c r="I421" s="1"/>
      <c r="J421" s="1"/>
      <c r="K421" s="1"/>
      <c r="L421" s="1"/>
      <c r="M421" s="1"/>
      <c r="N421" s="1"/>
      <c r="O421" s="1"/>
      <c r="P421" s="1"/>
      <c r="Q421" s="1"/>
      <c r="R421" s="1"/>
      <c r="S421" s="1"/>
      <c r="T421" s="2"/>
      <c r="U421" s="2"/>
      <c r="V421" s="2"/>
      <c r="W421" s="2"/>
      <c r="X421" s="2"/>
      <c r="Y421" s="2"/>
      <c r="Z421" s="2"/>
    </row>
    <row r="422" spans="1:26" ht="14.25" customHeight="1">
      <c r="A422" s="14"/>
      <c r="B422" s="2"/>
      <c r="C422" s="1"/>
      <c r="D422" s="1"/>
      <c r="E422" s="1"/>
      <c r="F422" s="1"/>
      <c r="G422" s="1"/>
      <c r="H422" s="1"/>
      <c r="I422" s="1"/>
      <c r="J422" s="1"/>
      <c r="K422" s="1"/>
      <c r="L422" s="1"/>
      <c r="M422" s="1"/>
      <c r="N422" s="1"/>
      <c r="O422" s="1"/>
      <c r="P422" s="1"/>
      <c r="Q422" s="1"/>
      <c r="R422" s="1"/>
      <c r="S422" s="1"/>
      <c r="T422" s="2"/>
      <c r="U422" s="2"/>
      <c r="V422" s="2"/>
      <c r="W422" s="2"/>
      <c r="X422" s="2"/>
      <c r="Y422" s="2"/>
      <c r="Z422" s="2"/>
    </row>
    <row r="423" spans="1:26" ht="14.25" customHeight="1">
      <c r="A423" s="14"/>
      <c r="B423" s="2"/>
      <c r="C423" s="1"/>
      <c r="D423" s="1"/>
      <c r="E423" s="1"/>
      <c r="F423" s="1"/>
      <c r="G423" s="1"/>
      <c r="H423" s="1"/>
      <c r="I423" s="1"/>
      <c r="J423" s="1"/>
      <c r="K423" s="1"/>
      <c r="L423" s="1"/>
      <c r="M423" s="1"/>
      <c r="N423" s="1"/>
      <c r="O423" s="1"/>
      <c r="P423" s="1"/>
      <c r="Q423" s="1"/>
      <c r="R423" s="1"/>
      <c r="S423" s="1"/>
      <c r="T423" s="2"/>
      <c r="U423" s="2"/>
      <c r="V423" s="2"/>
      <c r="W423" s="2"/>
      <c r="X423" s="2"/>
      <c r="Y423" s="2"/>
      <c r="Z423" s="2"/>
    </row>
    <row r="424" spans="1:26" ht="14.25" customHeight="1">
      <c r="A424" s="14"/>
      <c r="B424" s="2"/>
      <c r="C424" s="1"/>
      <c r="D424" s="1"/>
      <c r="E424" s="1"/>
      <c r="F424" s="1"/>
      <c r="G424" s="1"/>
      <c r="H424" s="1"/>
      <c r="I424" s="1"/>
      <c r="J424" s="1"/>
      <c r="K424" s="1"/>
      <c r="L424" s="1"/>
      <c r="M424" s="1"/>
      <c r="N424" s="1"/>
      <c r="O424" s="1"/>
      <c r="P424" s="1"/>
      <c r="Q424" s="1"/>
      <c r="R424" s="1"/>
      <c r="S424" s="1"/>
      <c r="T424" s="2"/>
      <c r="U424" s="2"/>
      <c r="V424" s="2"/>
      <c r="W424" s="2"/>
      <c r="X424" s="2"/>
      <c r="Y424" s="2"/>
      <c r="Z424" s="2"/>
    </row>
    <row r="425" spans="1:26" ht="14.25" customHeight="1">
      <c r="A425" s="14"/>
      <c r="B425" s="2"/>
      <c r="C425" s="1"/>
      <c r="D425" s="1"/>
      <c r="E425" s="1"/>
      <c r="F425" s="1"/>
      <c r="G425" s="1"/>
      <c r="H425" s="1"/>
      <c r="I425" s="1"/>
      <c r="J425" s="1"/>
      <c r="K425" s="1"/>
      <c r="L425" s="1"/>
      <c r="M425" s="1"/>
      <c r="N425" s="1"/>
      <c r="O425" s="1"/>
      <c r="P425" s="1"/>
      <c r="Q425" s="1"/>
      <c r="R425" s="1"/>
      <c r="S425" s="1"/>
      <c r="T425" s="2"/>
      <c r="U425" s="2"/>
      <c r="V425" s="2"/>
      <c r="W425" s="2"/>
      <c r="X425" s="2"/>
      <c r="Y425" s="2"/>
      <c r="Z425" s="2"/>
    </row>
    <row r="426" spans="1:26" ht="14.25" customHeight="1">
      <c r="A426" s="14"/>
      <c r="B426" s="2"/>
      <c r="C426" s="1"/>
      <c r="D426" s="1"/>
      <c r="E426" s="1"/>
      <c r="F426" s="1"/>
      <c r="G426" s="1"/>
      <c r="H426" s="1"/>
      <c r="I426" s="1"/>
      <c r="J426" s="1"/>
      <c r="K426" s="1"/>
      <c r="L426" s="1"/>
      <c r="M426" s="1"/>
      <c r="N426" s="1"/>
      <c r="O426" s="1"/>
      <c r="P426" s="1"/>
      <c r="Q426" s="1"/>
      <c r="R426" s="1"/>
      <c r="S426" s="1"/>
      <c r="T426" s="2"/>
      <c r="U426" s="2"/>
      <c r="V426" s="2"/>
      <c r="W426" s="2"/>
      <c r="X426" s="2"/>
      <c r="Y426" s="2"/>
      <c r="Z426" s="2"/>
    </row>
    <row r="427" spans="1:26" ht="14.25" customHeight="1">
      <c r="A427" s="14"/>
      <c r="B427" s="2"/>
      <c r="C427" s="1"/>
      <c r="D427" s="1"/>
      <c r="E427" s="1"/>
      <c r="F427" s="1"/>
      <c r="G427" s="1"/>
      <c r="H427" s="1"/>
      <c r="I427" s="1"/>
      <c r="J427" s="1"/>
      <c r="K427" s="1"/>
      <c r="L427" s="1"/>
      <c r="M427" s="1"/>
      <c r="N427" s="1"/>
      <c r="O427" s="1"/>
      <c r="P427" s="1"/>
      <c r="Q427" s="1"/>
      <c r="R427" s="1"/>
      <c r="S427" s="1"/>
      <c r="T427" s="2"/>
      <c r="U427" s="2"/>
      <c r="V427" s="2"/>
      <c r="W427" s="2"/>
      <c r="X427" s="2"/>
      <c r="Y427" s="2"/>
      <c r="Z427" s="2"/>
    </row>
    <row r="428" spans="1:26" ht="14.25" customHeight="1">
      <c r="A428" s="14"/>
      <c r="B428" s="2"/>
      <c r="C428" s="1"/>
      <c r="D428" s="1"/>
      <c r="E428" s="1"/>
      <c r="F428" s="1"/>
      <c r="G428" s="1"/>
      <c r="H428" s="1"/>
      <c r="I428" s="1"/>
      <c r="J428" s="1"/>
      <c r="K428" s="1"/>
      <c r="L428" s="1"/>
      <c r="M428" s="1"/>
      <c r="N428" s="1"/>
      <c r="O428" s="1"/>
      <c r="P428" s="1"/>
      <c r="Q428" s="1"/>
      <c r="R428" s="1"/>
      <c r="S428" s="1"/>
      <c r="T428" s="2"/>
      <c r="U428" s="2"/>
      <c r="V428" s="2"/>
      <c r="W428" s="2"/>
      <c r="X428" s="2"/>
      <c r="Y428" s="2"/>
      <c r="Z428" s="2"/>
    </row>
    <row r="429" spans="1:26" ht="14.25" customHeight="1">
      <c r="A429" s="14"/>
      <c r="B429" s="2"/>
      <c r="C429" s="1"/>
      <c r="D429" s="1"/>
      <c r="E429" s="1"/>
      <c r="F429" s="1"/>
      <c r="G429" s="1"/>
      <c r="H429" s="1"/>
      <c r="I429" s="1"/>
      <c r="J429" s="1"/>
      <c r="K429" s="1"/>
      <c r="L429" s="1"/>
      <c r="M429" s="1"/>
      <c r="N429" s="1"/>
      <c r="O429" s="1"/>
      <c r="P429" s="1"/>
      <c r="Q429" s="1"/>
      <c r="R429" s="1"/>
      <c r="S429" s="1"/>
      <c r="T429" s="2"/>
      <c r="U429" s="2"/>
      <c r="V429" s="2"/>
      <c r="W429" s="2"/>
      <c r="X429" s="2"/>
      <c r="Y429" s="2"/>
      <c r="Z429" s="2"/>
    </row>
    <row r="430" spans="1:26" ht="14.25" customHeight="1">
      <c r="A430" s="14"/>
      <c r="B430" s="2"/>
      <c r="C430" s="1"/>
      <c r="D430" s="1"/>
      <c r="E430" s="1"/>
      <c r="F430" s="1"/>
      <c r="G430" s="1"/>
      <c r="H430" s="1"/>
      <c r="I430" s="1"/>
      <c r="J430" s="1"/>
      <c r="K430" s="1"/>
      <c r="L430" s="1"/>
      <c r="M430" s="1"/>
      <c r="N430" s="1"/>
      <c r="O430" s="1"/>
      <c r="P430" s="1"/>
      <c r="Q430" s="1"/>
      <c r="R430" s="1"/>
      <c r="S430" s="1"/>
      <c r="T430" s="2"/>
      <c r="U430" s="2"/>
      <c r="V430" s="2"/>
      <c r="W430" s="2"/>
      <c r="X430" s="2"/>
      <c r="Y430" s="2"/>
      <c r="Z430" s="2"/>
    </row>
    <row r="431" spans="1:26" ht="14.25" customHeight="1">
      <c r="A431" s="14"/>
      <c r="B431" s="2"/>
      <c r="C431" s="1"/>
      <c r="D431" s="1"/>
      <c r="E431" s="1"/>
      <c r="F431" s="1"/>
      <c r="G431" s="1"/>
      <c r="H431" s="1"/>
      <c r="I431" s="1"/>
      <c r="J431" s="1"/>
      <c r="K431" s="1"/>
      <c r="L431" s="1"/>
      <c r="M431" s="1"/>
      <c r="N431" s="1"/>
      <c r="O431" s="1"/>
      <c r="P431" s="1"/>
      <c r="Q431" s="1"/>
      <c r="R431" s="1"/>
      <c r="S431" s="1"/>
      <c r="T431" s="2"/>
      <c r="U431" s="2"/>
      <c r="V431" s="2"/>
      <c r="W431" s="2"/>
      <c r="X431" s="2"/>
      <c r="Y431" s="2"/>
      <c r="Z431" s="2"/>
    </row>
    <row r="432" spans="1:26" ht="14.25" customHeight="1">
      <c r="A432" s="14"/>
      <c r="B432" s="2"/>
      <c r="C432" s="1"/>
      <c r="D432" s="1"/>
      <c r="E432" s="1"/>
      <c r="F432" s="1"/>
      <c r="G432" s="1"/>
      <c r="H432" s="1"/>
      <c r="I432" s="1"/>
      <c r="J432" s="1"/>
      <c r="K432" s="1"/>
      <c r="L432" s="1"/>
      <c r="M432" s="1"/>
      <c r="N432" s="1"/>
      <c r="O432" s="1"/>
      <c r="P432" s="1"/>
      <c r="Q432" s="1"/>
      <c r="R432" s="1"/>
      <c r="S432" s="1"/>
      <c r="T432" s="2"/>
      <c r="U432" s="2"/>
      <c r="V432" s="2"/>
      <c r="W432" s="2"/>
      <c r="X432" s="2"/>
      <c r="Y432" s="2"/>
      <c r="Z432" s="2"/>
    </row>
    <row r="433" spans="1:26" ht="14.25" customHeight="1">
      <c r="A433" s="14"/>
      <c r="B433" s="2"/>
      <c r="C433" s="1"/>
      <c r="D433" s="1"/>
      <c r="E433" s="1"/>
      <c r="F433" s="1"/>
      <c r="G433" s="1"/>
      <c r="H433" s="1"/>
      <c r="I433" s="1"/>
      <c r="J433" s="1"/>
      <c r="K433" s="1"/>
      <c r="L433" s="1"/>
      <c r="M433" s="1"/>
      <c r="N433" s="1"/>
      <c r="O433" s="1"/>
      <c r="P433" s="1"/>
      <c r="Q433" s="1"/>
      <c r="R433" s="1"/>
      <c r="S433" s="1"/>
      <c r="T433" s="2"/>
      <c r="U433" s="2"/>
      <c r="V433" s="2"/>
      <c r="W433" s="2"/>
      <c r="X433" s="2"/>
      <c r="Y433" s="2"/>
      <c r="Z433" s="2"/>
    </row>
    <row r="434" spans="1:26" ht="14.25" customHeight="1">
      <c r="A434" s="14"/>
      <c r="B434" s="2"/>
      <c r="C434" s="1"/>
      <c r="D434" s="1"/>
      <c r="E434" s="1"/>
      <c r="F434" s="1"/>
      <c r="G434" s="1"/>
      <c r="H434" s="1"/>
      <c r="I434" s="1"/>
      <c r="J434" s="1"/>
      <c r="K434" s="1"/>
      <c r="L434" s="1"/>
      <c r="M434" s="1"/>
      <c r="N434" s="1"/>
      <c r="O434" s="1"/>
      <c r="P434" s="1"/>
      <c r="Q434" s="1"/>
      <c r="R434" s="1"/>
      <c r="S434" s="1"/>
      <c r="T434" s="2"/>
      <c r="U434" s="2"/>
      <c r="V434" s="2"/>
      <c r="W434" s="2"/>
      <c r="X434" s="2"/>
      <c r="Y434" s="2"/>
      <c r="Z434" s="2"/>
    </row>
    <row r="435" spans="1:26" ht="14.25" customHeight="1">
      <c r="A435" s="14"/>
      <c r="B435" s="2"/>
      <c r="C435" s="1"/>
      <c r="D435" s="1"/>
      <c r="E435" s="1"/>
      <c r="F435" s="1"/>
      <c r="G435" s="1"/>
      <c r="H435" s="1"/>
      <c r="I435" s="1"/>
      <c r="J435" s="1"/>
      <c r="K435" s="1"/>
      <c r="L435" s="1"/>
      <c r="M435" s="1"/>
      <c r="N435" s="1"/>
      <c r="O435" s="1"/>
      <c r="P435" s="1"/>
      <c r="Q435" s="1"/>
      <c r="R435" s="1"/>
      <c r="S435" s="1"/>
      <c r="T435" s="2"/>
      <c r="U435" s="2"/>
      <c r="V435" s="2"/>
      <c r="W435" s="2"/>
      <c r="X435" s="2"/>
      <c r="Y435" s="2"/>
      <c r="Z435" s="2"/>
    </row>
    <row r="436" spans="1:26" ht="14.25" customHeight="1">
      <c r="A436" s="14"/>
      <c r="B436" s="2"/>
      <c r="C436" s="1"/>
      <c r="D436" s="1"/>
      <c r="E436" s="1"/>
      <c r="F436" s="1"/>
      <c r="G436" s="1"/>
      <c r="H436" s="1"/>
      <c r="I436" s="1"/>
      <c r="J436" s="1"/>
      <c r="K436" s="1"/>
      <c r="L436" s="1"/>
      <c r="M436" s="1"/>
      <c r="N436" s="1"/>
      <c r="O436" s="1"/>
      <c r="P436" s="1"/>
      <c r="Q436" s="1"/>
      <c r="R436" s="1"/>
      <c r="S436" s="1"/>
      <c r="T436" s="2"/>
      <c r="U436" s="2"/>
      <c r="V436" s="2"/>
      <c r="W436" s="2"/>
      <c r="X436" s="2"/>
      <c r="Y436" s="2"/>
      <c r="Z436" s="2"/>
    </row>
    <row r="437" spans="1:26" ht="14.25" customHeight="1">
      <c r="A437" s="14"/>
      <c r="B437" s="2"/>
      <c r="C437" s="1"/>
      <c r="D437" s="1"/>
      <c r="E437" s="1"/>
      <c r="F437" s="1"/>
      <c r="G437" s="1"/>
      <c r="H437" s="1"/>
      <c r="I437" s="1"/>
      <c r="J437" s="1"/>
      <c r="K437" s="1"/>
      <c r="L437" s="1"/>
      <c r="M437" s="1"/>
      <c r="N437" s="1"/>
      <c r="O437" s="1"/>
      <c r="P437" s="1"/>
      <c r="Q437" s="1"/>
      <c r="R437" s="1"/>
      <c r="S437" s="1"/>
      <c r="T437" s="2"/>
      <c r="U437" s="2"/>
      <c r="V437" s="2"/>
      <c r="W437" s="2"/>
      <c r="X437" s="2"/>
      <c r="Y437" s="2"/>
      <c r="Z437" s="2"/>
    </row>
    <row r="438" spans="1:26" ht="14.25" customHeight="1">
      <c r="A438" s="14"/>
      <c r="B438" s="2"/>
      <c r="C438" s="1"/>
      <c r="D438" s="1"/>
      <c r="E438" s="1"/>
      <c r="F438" s="1"/>
      <c r="G438" s="1"/>
      <c r="H438" s="1"/>
      <c r="I438" s="1"/>
      <c r="J438" s="1"/>
      <c r="K438" s="1"/>
      <c r="L438" s="1"/>
      <c r="M438" s="1"/>
      <c r="N438" s="1"/>
      <c r="O438" s="1"/>
      <c r="P438" s="1"/>
      <c r="Q438" s="1"/>
      <c r="R438" s="1"/>
      <c r="S438" s="1"/>
      <c r="T438" s="2"/>
      <c r="U438" s="2"/>
      <c r="V438" s="2"/>
      <c r="W438" s="2"/>
      <c r="X438" s="2"/>
      <c r="Y438" s="2"/>
      <c r="Z438" s="2"/>
    </row>
    <row r="439" spans="1:26" ht="14.25" customHeight="1">
      <c r="A439" s="14"/>
      <c r="B439" s="2"/>
      <c r="C439" s="1"/>
      <c r="D439" s="1"/>
      <c r="E439" s="1"/>
      <c r="F439" s="1"/>
      <c r="G439" s="1"/>
      <c r="H439" s="1"/>
      <c r="I439" s="1"/>
      <c r="J439" s="1"/>
      <c r="K439" s="1"/>
      <c r="L439" s="1"/>
      <c r="M439" s="1"/>
      <c r="N439" s="1"/>
      <c r="O439" s="1"/>
      <c r="P439" s="1"/>
      <c r="Q439" s="1"/>
      <c r="R439" s="1"/>
      <c r="S439" s="1"/>
      <c r="T439" s="2"/>
      <c r="U439" s="2"/>
      <c r="V439" s="2"/>
      <c r="W439" s="2"/>
      <c r="X439" s="2"/>
      <c r="Y439" s="2"/>
      <c r="Z439" s="2"/>
    </row>
    <row r="440" spans="1:26" ht="14.25" customHeight="1">
      <c r="A440" s="14"/>
      <c r="B440" s="2"/>
      <c r="C440" s="1"/>
      <c r="D440" s="1"/>
      <c r="E440" s="1"/>
      <c r="F440" s="1"/>
      <c r="G440" s="1"/>
      <c r="H440" s="1"/>
      <c r="I440" s="1"/>
      <c r="J440" s="1"/>
      <c r="K440" s="1"/>
      <c r="L440" s="1"/>
      <c r="M440" s="1"/>
      <c r="N440" s="1"/>
      <c r="O440" s="1"/>
      <c r="P440" s="1"/>
      <c r="Q440" s="1"/>
      <c r="R440" s="1"/>
      <c r="S440" s="1"/>
      <c r="T440" s="2"/>
      <c r="U440" s="2"/>
      <c r="V440" s="2"/>
      <c r="W440" s="2"/>
      <c r="X440" s="2"/>
      <c r="Y440" s="2"/>
      <c r="Z440" s="2"/>
    </row>
    <row r="441" spans="1:26" ht="14.25" customHeight="1">
      <c r="A441" s="14"/>
      <c r="B441" s="2"/>
      <c r="C441" s="1"/>
      <c r="D441" s="1"/>
      <c r="E441" s="1"/>
      <c r="F441" s="1"/>
      <c r="G441" s="1"/>
      <c r="H441" s="1"/>
      <c r="I441" s="1"/>
      <c r="J441" s="1"/>
      <c r="K441" s="1"/>
      <c r="L441" s="1"/>
      <c r="M441" s="1"/>
      <c r="N441" s="1"/>
      <c r="O441" s="1"/>
      <c r="P441" s="1"/>
      <c r="Q441" s="1"/>
      <c r="R441" s="1"/>
      <c r="S441" s="1"/>
      <c r="T441" s="2"/>
      <c r="U441" s="2"/>
      <c r="V441" s="2"/>
      <c r="W441" s="2"/>
      <c r="X441" s="2"/>
      <c r="Y441" s="2"/>
      <c r="Z441" s="2"/>
    </row>
    <row r="442" spans="1:26" ht="14.25" customHeight="1">
      <c r="A442" s="14"/>
      <c r="B442" s="2"/>
      <c r="C442" s="1"/>
      <c r="D442" s="1"/>
      <c r="E442" s="1"/>
      <c r="F442" s="1"/>
      <c r="G442" s="1"/>
      <c r="H442" s="1"/>
      <c r="I442" s="1"/>
      <c r="J442" s="1"/>
      <c r="K442" s="1"/>
      <c r="L442" s="1"/>
      <c r="M442" s="1"/>
      <c r="N442" s="1"/>
      <c r="O442" s="1"/>
      <c r="P442" s="1"/>
      <c r="Q442" s="1"/>
      <c r="R442" s="1"/>
      <c r="S442" s="1"/>
      <c r="T442" s="2"/>
      <c r="U442" s="2"/>
      <c r="V442" s="2"/>
      <c r="W442" s="2"/>
      <c r="X442" s="2"/>
      <c r="Y442" s="2"/>
      <c r="Z442" s="2"/>
    </row>
    <row r="443" spans="1:26" ht="14.25" customHeight="1">
      <c r="A443" s="14"/>
      <c r="B443" s="2"/>
      <c r="C443" s="1"/>
      <c r="D443" s="1"/>
      <c r="E443" s="1"/>
      <c r="F443" s="1"/>
      <c r="G443" s="1"/>
      <c r="H443" s="1"/>
      <c r="I443" s="1"/>
      <c r="J443" s="1"/>
      <c r="K443" s="1"/>
      <c r="L443" s="1"/>
      <c r="M443" s="1"/>
      <c r="N443" s="1"/>
      <c r="O443" s="1"/>
      <c r="P443" s="1"/>
      <c r="Q443" s="1"/>
      <c r="R443" s="1"/>
      <c r="S443" s="1"/>
      <c r="T443" s="2"/>
      <c r="U443" s="2"/>
      <c r="V443" s="2"/>
      <c r="W443" s="2"/>
      <c r="X443" s="2"/>
      <c r="Y443" s="2"/>
      <c r="Z443" s="2"/>
    </row>
    <row r="444" spans="1:26" ht="14.25" customHeight="1">
      <c r="A444" s="14"/>
      <c r="B444" s="2"/>
      <c r="C444" s="1"/>
      <c r="D444" s="1"/>
      <c r="E444" s="1"/>
      <c r="F444" s="1"/>
      <c r="G444" s="1"/>
      <c r="H444" s="1"/>
      <c r="I444" s="1"/>
      <c r="J444" s="1"/>
      <c r="K444" s="1"/>
      <c r="L444" s="1"/>
      <c r="M444" s="1"/>
      <c r="N444" s="1"/>
      <c r="O444" s="1"/>
      <c r="P444" s="1"/>
      <c r="Q444" s="1"/>
      <c r="R444" s="1"/>
      <c r="S444" s="1"/>
      <c r="T444" s="2"/>
      <c r="U444" s="2"/>
      <c r="V444" s="2"/>
      <c r="W444" s="2"/>
      <c r="X444" s="2"/>
      <c r="Y444" s="2"/>
      <c r="Z444" s="2"/>
    </row>
    <row r="445" spans="1:26" ht="14.25" customHeight="1">
      <c r="A445" s="14"/>
      <c r="B445" s="2"/>
      <c r="C445" s="1"/>
      <c r="D445" s="1"/>
      <c r="E445" s="1"/>
      <c r="F445" s="1"/>
      <c r="G445" s="1"/>
      <c r="H445" s="1"/>
      <c r="I445" s="1"/>
      <c r="J445" s="1"/>
      <c r="K445" s="1"/>
      <c r="L445" s="1"/>
      <c r="M445" s="1"/>
      <c r="N445" s="1"/>
      <c r="O445" s="1"/>
      <c r="P445" s="1"/>
      <c r="Q445" s="1"/>
      <c r="R445" s="1"/>
      <c r="S445" s="1"/>
      <c r="T445" s="2"/>
      <c r="U445" s="2"/>
      <c r="V445" s="2"/>
      <c r="W445" s="2"/>
      <c r="X445" s="2"/>
      <c r="Y445" s="2"/>
      <c r="Z445" s="2"/>
    </row>
    <row r="446" spans="1:26" ht="14.25" customHeight="1">
      <c r="A446" s="14"/>
      <c r="B446" s="2"/>
      <c r="C446" s="1"/>
      <c r="D446" s="1"/>
      <c r="E446" s="1"/>
      <c r="F446" s="1"/>
      <c r="G446" s="1"/>
      <c r="H446" s="1"/>
      <c r="I446" s="1"/>
      <c r="J446" s="1"/>
      <c r="K446" s="1"/>
      <c r="L446" s="1"/>
      <c r="M446" s="1"/>
      <c r="N446" s="1"/>
      <c r="O446" s="1"/>
      <c r="P446" s="1"/>
      <c r="Q446" s="1"/>
      <c r="R446" s="1"/>
      <c r="S446" s="1"/>
      <c r="T446" s="2"/>
      <c r="U446" s="2"/>
      <c r="V446" s="2"/>
      <c r="W446" s="2"/>
      <c r="X446" s="2"/>
      <c r="Y446" s="2"/>
      <c r="Z446" s="2"/>
    </row>
    <row r="447" spans="1:26" ht="14.25" customHeight="1">
      <c r="A447" s="14"/>
      <c r="B447" s="2"/>
      <c r="C447" s="1"/>
      <c r="D447" s="1"/>
      <c r="E447" s="1"/>
      <c r="F447" s="1"/>
      <c r="G447" s="1"/>
      <c r="H447" s="1"/>
      <c r="I447" s="1"/>
      <c r="J447" s="1"/>
      <c r="K447" s="1"/>
      <c r="L447" s="1"/>
      <c r="M447" s="1"/>
      <c r="N447" s="1"/>
      <c r="O447" s="1"/>
      <c r="P447" s="1"/>
      <c r="Q447" s="1"/>
      <c r="R447" s="1"/>
      <c r="S447" s="1"/>
      <c r="T447" s="2"/>
      <c r="U447" s="2"/>
      <c r="V447" s="2"/>
      <c r="W447" s="2"/>
      <c r="X447" s="2"/>
      <c r="Y447" s="2"/>
      <c r="Z447" s="2"/>
    </row>
    <row r="448" spans="1:26" ht="14.25" customHeight="1">
      <c r="A448" s="14"/>
      <c r="B448" s="2"/>
      <c r="C448" s="1"/>
      <c r="D448" s="1"/>
      <c r="E448" s="1"/>
      <c r="F448" s="1"/>
      <c r="G448" s="1"/>
      <c r="H448" s="1"/>
      <c r="I448" s="1"/>
      <c r="J448" s="1"/>
      <c r="K448" s="1"/>
      <c r="L448" s="1"/>
      <c r="M448" s="1"/>
      <c r="N448" s="1"/>
      <c r="O448" s="1"/>
      <c r="P448" s="1"/>
      <c r="Q448" s="1"/>
      <c r="R448" s="1"/>
      <c r="S448" s="1"/>
      <c r="T448" s="2"/>
      <c r="U448" s="2"/>
      <c r="V448" s="2"/>
      <c r="W448" s="2"/>
      <c r="X448" s="2"/>
      <c r="Y448" s="2"/>
      <c r="Z448" s="2"/>
    </row>
    <row r="449" spans="1:26" ht="14.25" customHeight="1">
      <c r="A449" s="14"/>
      <c r="B449" s="2"/>
      <c r="C449" s="1"/>
      <c r="D449" s="1"/>
      <c r="E449" s="1"/>
      <c r="F449" s="1"/>
      <c r="G449" s="1"/>
      <c r="H449" s="1"/>
      <c r="I449" s="1"/>
      <c r="J449" s="1"/>
      <c r="K449" s="1"/>
      <c r="L449" s="1"/>
      <c r="M449" s="1"/>
      <c r="N449" s="1"/>
      <c r="O449" s="1"/>
      <c r="P449" s="1"/>
      <c r="Q449" s="1"/>
      <c r="R449" s="1"/>
      <c r="S449" s="1"/>
      <c r="T449" s="2"/>
      <c r="U449" s="2"/>
      <c r="V449" s="2"/>
      <c r="W449" s="2"/>
      <c r="X449" s="2"/>
      <c r="Y449" s="2"/>
      <c r="Z449" s="2"/>
    </row>
    <row r="450" spans="1:26" ht="14.25" customHeight="1">
      <c r="A450" s="14"/>
      <c r="B450" s="2"/>
      <c r="C450" s="1"/>
      <c r="D450" s="1"/>
      <c r="E450" s="1"/>
      <c r="F450" s="1"/>
      <c r="G450" s="1"/>
      <c r="H450" s="1"/>
      <c r="I450" s="1"/>
      <c r="J450" s="1"/>
      <c r="K450" s="1"/>
      <c r="L450" s="1"/>
      <c r="M450" s="1"/>
      <c r="N450" s="1"/>
      <c r="O450" s="1"/>
      <c r="P450" s="1"/>
      <c r="Q450" s="1"/>
      <c r="R450" s="1"/>
      <c r="S450" s="1"/>
      <c r="T450" s="2"/>
      <c r="U450" s="2"/>
      <c r="V450" s="2"/>
      <c r="W450" s="2"/>
      <c r="X450" s="2"/>
      <c r="Y450" s="2"/>
      <c r="Z450" s="2"/>
    </row>
    <row r="451" spans="1:26" ht="14.25" customHeight="1">
      <c r="A451" s="14"/>
      <c r="B451" s="2"/>
      <c r="C451" s="1"/>
      <c r="D451" s="1"/>
      <c r="E451" s="1"/>
      <c r="F451" s="1"/>
      <c r="G451" s="1"/>
      <c r="H451" s="1"/>
      <c r="I451" s="1"/>
      <c r="J451" s="1"/>
      <c r="K451" s="1"/>
      <c r="L451" s="1"/>
      <c r="M451" s="1"/>
      <c r="N451" s="1"/>
      <c r="O451" s="1"/>
      <c r="P451" s="1"/>
      <c r="Q451" s="1"/>
      <c r="R451" s="1"/>
      <c r="S451" s="1"/>
      <c r="T451" s="2"/>
      <c r="U451" s="2"/>
      <c r="V451" s="2"/>
      <c r="W451" s="2"/>
      <c r="X451" s="2"/>
      <c r="Y451" s="2"/>
      <c r="Z451" s="2"/>
    </row>
    <row r="452" spans="1:26" ht="14.25" customHeight="1">
      <c r="A452" s="14"/>
      <c r="B452" s="2"/>
      <c r="C452" s="1"/>
      <c r="D452" s="1"/>
      <c r="E452" s="1"/>
      <c r="F452" s="1"/>
      <c r="G452" s="1"/>
      <c r="H452" s="1"/>
      <c r="I452" s="1"/>
      <c r="J452" s="1"/>
      <c r="K452" s="1"/>
      <c r="L452" s="1"/>
      <c r="M452" s="1"/>
      <c r="N452" s="1"/>
      <c r="O452" s="1"/>
      <c r="P452" s="1"/>
      <c r="Q452" s="1"/>
      <c r="R452" s="1"/>
      <c r="S452" s="1"/>
      <c r="T452" s="2"/>
      <c r="U452" s="2"/>
      <c r="V452" s="2"/>
      <c r="W452" s="2"/>
      <c r="X452" s="2"/>
      <c r="Y452" s="2"/>
      <c r="Z452" s="2"/>
    </row>
    <row r="453" spans="1:26" ht="14.25" customHeight="1">
      <c r="A453" s="14"/>
      <c r="B453" s="2"/>
      <c r="C453" s="1"/>
      <c r="D453" s="1"/>
      <c r="E453" s="1"/>
      <c r="F453" s="1"/>
      <c r="G453" s="1"/>
      <c r="H453" s="1"/>
      <c r="I453" s="1"/>
      <c r="J453" s="1"/>
      <c r="K453" s="1"/>
      <c r="L453" s="1"/>
      <c r="M453" s="1"/>
      <c r="N453" s="1"/>
      <c r="O453" s="1"/>
      <c r="P453" s="1"/>
      <c r="Q453" s="1"/>
      <c r="R453" s="1"/>
      <c r="S453" s="1"/>
      <c r="T453" s="2"/>
      <c r="U453" s="2"/>
      <c r="V453" s="2"/>
      <c r="W453" s="2"/>
      <c r="X453" s="2"/>
      <c r="Y453" s="2"/>
      <c r="Z453" s="2"/>
    </row>
    <row r="454" spans="1:26" ht="14.25" customHeight="1">
      <c r="A454" s="14"/>
      <c r="B454" s="2"/>
      <c r="C454" s="1"/>
      <c r="D454" s="1"/>
      <c r="E454" s="1"/>
      <c r="F454" s="1"/>
      <c r="G454" s="1"/>
      <c r="H454" s="1"/>
      <c r="I454" s="1"/>
      <c r="J454" s="1"/>
      <c r="K454" s="1"/>
      <c r="L454" s="1"/>
      <c r="M454" s="1"/>
      <c r="N454" s="1"/>
      <c r="O454" s="1"/>
      <c r="P454" s="1"/>
      <c r="Q454" s="1"/>
      <c r="R454" s="1"/>
      <c r="S454" s="1"/>
      <c r="T454" s="2"/>
      <c r="U454" s="2"/>
      <c r="V454" s="2"/>
      <c r="W454" s="2"/>
      <c r="X454" s="2"/>
      <c r="Y454" s="2"/>
      <c r="Z454" s="2"/>
    </row>
    <row r="455" spans="1:26" ht="14.25" customHeight="1">
      <c r="A455" s="14"/>
      <c r="B455" s="2"/>
      <c r="C455" s="1"/>
      <c r="D455" s="1"/>
      <c r="E455" s="1"/>
      <c r="F455" s="1"/>
      <c r="G455" s="1"/>
      <c r="H455" s="1"/>
      <c r="I455" s="1"/>
      <c r="J455" s="1"/>
      <c r="K455" s="1"/>
      <c r="L455" s="1"/>
      <c r="M455" s="1"/>
      <c r="N455" s="1"/>
      <c r="O455" s="1"/>
      <c r="P455" s="1"/>
      <c r="Q455" s="1"/>
      <c r="R455" s="1"/>
      <c r="S455" s="1"/>
      <c r="T455" s="2"/>
      <c r="U455" s="2"/>
      <c r="V455" s="2"/>
      <c r="W455" s="2"/>
      <c r="X455" s="2"/>
      <c r="Y455" s="2"/>
      <c r="Z455" s="2"/>
    </row>
    <row r="456" spans="1:26" ht="14.25" customHeight="1">
      <c r="A456" s="14"/>
      <c r="B456" s="2"/>
      <c r="C456" s="1"/>
      <c r="D456" s="1"/>
      <c r="E456" s="1"/>
      <c r="F456" s="1"/>
      <c r="G456" s="1"/>
      <c r="H456" s="1"/>
      <c r="I456" s="1"/>
      <c r="J456" s="1"/>
      <c r="K456" s="1"/>
      <c r="L456" s="1"/>
      <c r="M456" s="1"/>
      <c r="N456" s="1"/>
      <c r="O456" s="1"/>
      <c r="P456" s="1"/>
      <c r="Q456" s="1"/>
      <c r="R456" s="1"/>
      <c r="S456" s="1"/>
      <c r="T456" s="2"/>
      <c r="U456" s="2"/>
      <c r="V456" s="2"/>
      <c r="W456" s="2"/>
      <c r="X456" s="2"/>
      <c r="Y456" s="2"/>
      <c r="Z456" s="2"/>
    </row>
    <row r="457" spans="1:26" ht="14.25" customHeight="1">
      <c r="A457" s="14"/>
      <c r="B457" s="2"/>
      <c r="C457" s="1"/>
      <c r="D457" s="1"/>
      <c r="E457" s="1"/>
      <c r="F457" s="1"/>
      <c r="G457" s="1"/>
      <c r="H457" s="1"/>
      <c r="I457" s="1"/>
      <c r="J457" s="1"/>
      <c r="K457" s="1"/>
      <c r="L457" s="1"/>
      <c r="M457" s="1"/>
      <c r="N457" s="1"/>
      <c r="O457" s="1"/>
      <c r="P457" s="1"/>
      <c r="Q457" s="1"/>
      <c r="R457" s="1"/>
      <c r="S457" s="1"/>
      <c r="T457" s="2"/>
      <c r="U457" s="2"/>
      <c r="V457" s="2"/>
      <c r="W457" s="2"/>
      <c r="X457" s="2"/>
      <c r="Y457" s="2"/>
      <c r="Z457" s="2"/>
    </row>
    <row r="458" spans="1:26" ht="14.25" customHeight="1">
      <c r="A458" s="14"/>
      <c r="B458" s="2"/>
      <c r="C458" s="1"/>
      <c r="D458" s="1"/>
      <c r="E458" s="1"/>
      <c r="F458" s="1"/>
      <c r="G458" s="1"/>
      <c r="H458" s="1"/>
      <c r="I458" s="1"/>
      <c r="J458" s="1"/>
      <c r="K458" s="1"/>
      <c r="L458" s="1"/>
      <c r="M458" s="1"/>
      <c r="N458" s="1"/>
      <c r="O458" s="1"/>
      <c r="P458" s="1"/>
      <c r="Q458" s="1"/>
      <c r="R458" s="1"/>
      <c r="S458" s="1"/>
      <c r="T458" s="2"/>
      <c r="U458" s="2"/>
      <c r="V458" s="2"/>
      <c r="W458" s="2"/>
      <c r="X458" s="2"/>
      <c r="Y458" s="2"/>
      <c r="Z458" s="2"/>
    </row>
    <row r="459" spans="1:26" ht="14.25" customHeight="1">
      <c r="A459" s="14"/>
      <c r="B459" s="2"/>
      <c r="C459" s="1"/>
      <c r="D459" s="1"/>
      <c r="E459" s="1"/>
      <c r="F459" s="1"/>
      <c r="G459" s="1"/>
      <c r="H459" s="1"/>
      <c r="I459" s="1"/>
      <c r="J459" s="1"/>
      <c r="K459" s="1"/>
      <c r="L459" s="1"/>
      <c r="M459" s="1"/>
      <c r="N459" s="1"/>
      <c r="O459" s="1"/>
      <c r="P459" s="1"/>
      <c r="Q459" s="1"/>
      <c r="R459" s="1"/>
      <c r="S459" s="1"/>
      <c r="T459" s="2"/>
      <c r="U459" s="2"/>
      <c r="V459" s="2"/>
      <c r="W459" s="2"/>
      <c r="X459" s="2"/>
      <c r="Y459" s="2"/>
      <c r="Z459" s="2"/>
    </row>
    <row r="460" spans="1:26" ht="14.25" customHeight="1">
      <c r="A460" s="14"/>
      <c r="B460" s="2"/>
      <c r="C460" s="1"/>
      <c r="D460" s="1"/>
      <c r="E460" s="1"/>
      <c r="F460" s="1"/>
      <c r="G460" s="1"/>
      <c r="H460" s="1"/>
      <c r="I460" s="1"/>
      <c r="J460" s="1"/>
      <c r="K460" s="1"/>
      <c r="L460" s="1"/>
      <c r="M460" s="1"/>
      <c r="N460" s="1"/>
      <c r="O460" s="1"/>
      <c r="P460" s="1"/>
      <c r="Q460" s="1"/>
      <c r="R460" s="1"/>
      <c r="S460" s="1"/>
      <c r="T460" s="2"/>
      <c r="U460" s="2"/>
      <c r="V460" s="2"/>
      <c r="W460" s="2"/>
      <c r="X460" s="2"/>
      <c r="Y460" s="2"/>
      <c r="Z460" s="2"/>
    </row>
    <row r="461" spans="1:26" ht="14.25" customHeight="1">
      <c r="A461" s="14"/>
      <c r="B461" s="2"/>
      <c r="C461" s="1"/>
      <c r="D461" s="1"/>
      <c r="E461" s="1"/>
      <c r="F461" s="1"/>
      <c r="G461" s="1"/>
      <c r="H461" s="1"/>
      <c r="I461" s="1"/>
      <c r="J461" s="1"/>
      <c r="K461" s="1"/>
      <c r="L461" s="1"/>
      <c r="M461" s="1"/>
      <c r="N461" s="1"/>
      <c r="O461" s="1"/>
      <c r="P461" s="1"/>
      <c r="Q461" s="1"/>
      <c r="R461" s="1"/>
      <c r="S461" s="1"/>
      <c r="T461" s="2"/>
      <c r="U461" s="2"/>
      <c r="V461" s="2"/>
      <c r="W461" s="2"/>
      <c r="X461" s="2"/>
      <c r="Y461" s="2"/>
      <c r="Z461" s="2"/>
    </row>
    <row r="462" spans="1:26" ht="14.25" customHeight="1">
      <c r="A462" s="14"/>
      <c r="B462" s="2"/>
      <c r="C462" s="1"/>
      <c r="D462" s="1"/>
      <c r="E462" s="1"/>
      <c r="F462" s="1"/>
      <c r="G462" s="1"/>
      <c r="H462" s="1"/>
      <c r="I462" s="1"/>
      <c r="J462" s="1"/>
      <c r="K462" s="1"/>
      <c r="L462" s="1"/>
      <c r="M462" s="1"/>
      <c r="N462" s="1"/>
      <c r="O462" s="1"/>
      <c r="P462" s="1"/>
      <c r="Q462" s="1"/>
      <c r="R462" s="1"/>
      <c r="S462" s="1"/>
      <c r="T462" s="2"/>
      <c r="U462" s="2"/>
      <c r="V462" s="2"/>
      <c r="W462" s="2"/>
      <c r="X462" s="2"/>
      <c r="Y462" s="2"/>
      <c r="Z462" s="2"/>
    </row>
    <row r="463" spans="1:26" ht="14.25" customHeight="1">
      <c r="A463" s="14"/>
      <c r="B463" s="2"/>
      <c r="C463" s="1"/>
      <c r="D463" s="1"/>
      <c r="E463" s="1"/>
      <c r="F463" s="1"/>
      <c r="G463" s="1"/>
      <c r="H463" s="1"/>
      <c r="I463" s="1"/>
      <c r="J463" s="1"/>
      <c r="K463" s="1"/>
      <c r="L463" s="1"/>
      <c r="M463" s="1"/>
      <c r="N463" s="1"/>
      <c r="O463" s="1"/>
      <c r="P463" s="1"/>
      <c r="Q463" s="1"/>
      <c r="R463" s="1"/>
      <c r="S463" s="1"/>
      <c r="T463" s="2"/>
      <c r="U463" s="2"/>
      <c r="V463" s="2"/>
      <c r="W463" s="2"/>
      <c r="X463" s="2"/>
      <c r="Y463" s="2"/>
      <c r="Z463" s="2"/>
    </row>
    <row r="464" spans="1:26" ht="14.25" customHeight="1">
      <c r="A464" s="14"/>
      <c r="B464" s="2"/>
      <c r="C464" s="1"/>
      <c r="D464" s="1"/>
      <c r="E464" s="1"/>
      <c r="F464" s="1"/>
      <c r="G464" s="1"/>
      <c r="H464" s="1"/>
      <c r="I464" s="1"/>
      <c r="J464" s="1"/>
      <c r="K464" s="1"/>
      <c r="L464" s="1"/>
      <c r="M464" s="1"/>
      <c r="N464" s="1"/>
      <c r="O464" s="1"/>
      <c r="P464" s="1"/>
      <c r="Q464" s="1"/>
      <c r="R464" s="1"/>
      <c r="S464" s="1"/>
      <c r="T464" s="2"/>
      <c r="U464" s="2"/>
      <c r="V464" s="2"/>
      <c r="W464" s="2"/>
      <c r="X464" s="2"/>
      <c r="Y464" s="2"/>
      <c r="Z464" s="2"/>
    </row>
    <row r="465" spans="1:26" ht="14.25" customHeight="1">
      <c r="A465" s="14"/>
      <c r="B465" s="2"/>
      <c r="C465" s="1"/>
      <c r="D465" s="1"/>
      <c r="E465" s="1"/>
      <c r="F465" s="1"/>
      <c r="G465" s="1"/>
      <c r="H465" s="1"/>
      <c r="I465" s="1"/>
      <c r="J465" s="1"/>
      <c r="K465" s="1"/>
      <c r="L465" s="1"/>
      <c r="M465" s="1"/>
      <c r="N465" s="1"/>
      <c r="O465" s="1"/>
      <c r="P465" s="1"/>
      <c r="Q465" s="1"/>
      <c r="R465" s="1"/>
      <c r="S465" s="1"/>
      <c r="T465" s="2"/>
      <c r="U465" s="2"/>
      <c r="V465" s="2"/>
      <c r="W465" s="2"/>
      <c r="X465" s="2"/>
      <c r="Y465" s="2"/>
      <c r="Z465" s="2"/>
    </row>
    <row r="466" spans="1:26" ht="14.25" customHeight="1">
      <c r="A466" s="14"/>
      <c r="B466" s="2"/>
      <c r="C466" s="1"/>
      <c r="D466" s="1"/>
      <c r="E466" s="1"/>
      <c r="F466" s="1"/>
      <c r="G466" s="1"/>
      <c r="H466" s="1"/>
      <c r="I466" s="1"/>
      <c r="J466" s="1"/>
      <c r="K466" s="1"/>
      <c r="L466" s="1"/>
      <c r="M466" s="1"/>
      <c r="N466" s="1"/>
      <c r="O466" s="1"/>
      <c r="P466" s="1"/>
      <c r="Q466" s="1"/>
      <c r="R466" s="1"/>
      <c r="S466" s="1"/>
      <c r="T466" s="2"/>
      <c r="U466" s="2"/>
      <c r="V466" s="2"/>
      <c r="W466" s="2"/>
      <c r="X466" s="2"/>
      <c r="Y466" s="2"/>
      <c r="Z466" s="2"/>
    </row>
    <row r="467" spans="1:26" ht="14.25" customHeight="1">
      <c r="A467" s="14"/>
      <c r="B467" s="2"/>
      <c r="C467" s="1"/>
      <c r="D467" s="1"/>
      <c r="E467" s="1"/>
      <c r="F467" s="1"/>
      <c r="G467" s="1"/>
      <c r="H467" s="1"/>
      <c r="I467" s="1"/>
      <c r="J467" s="1"/>
      <c r="K467" s="1"/>
      <c r="L467" s="1"/>
      <c r="M467" s="1"/>
      <c r="N467" s="1"/>
      <c r="O467" s="1"/>
      <c r="P467" s="1"/>
      <c r="Q467" s="1"/>
      <c r="R467" s="1"/>
      <c r="S467" s="1"/>
      <c r="T467" s="2"/>
      <c r="U467" s="2"/>
      <c r="V467" s="2"/>
      <c r="W467" s="2"/>
      <c r="X467" s="2"/>
      <c r="Y467" s="2"/>
      <c r="Z467" s="2"/>
    </row>
    <row r="468" spans="1:26" ht="14.25" customHeight="1">
      <c r="A468" s="14"/>
      <c r="B468" s="2"/>
      <c r="C468" s="1"/>
      <c r="D468" s="1"/>
      <c r="E468" s="1"/>
      <c r="F468" s="1"/>
      <c r="G468" s="1"/>
      <c r="H468" s="1"/>
      <c r="I468" s="1"/>
      <c r="J468" s="1"/>
      <c r="K468" s="1"/>
      <c r="L468" s="1"/>
      <c r="M468" s="1"/>
      <c r="N468" s="1"/>
      <c r="O468" s="1"/>
      <c r="P468" s="1"/>
      <c r="Q468" s="1"/>
      <c r="R468" s="1"/>
      <c r="S468" s="1"/>
      <c r="T468" s="2"/>
      <c r="U468" s="2"/>
      <c r="V468" s="2"/>
      <c r="W468" s="2"/>
      <c r="X468" s="2"/>
      <c r="Y468" s="2"/>
      <c r="Z468" s="2"/>
    </row>
    <row r="469" spans="1:26" ht="14.25" customHeight="1">
      <c r="A469" s="14"/>
      <c r="B469" s="2"/>
      <c r="C469" s="1"/>
      <c r="D469" s="1"/>
      <c r="E469" s="1"/>
      <c r="F469" s="1"/>
      <c r="G469" s="1"/>
      <c r="H469" s="1"/>
      <c r="I469" s="1"/>
      <c r="J469" s="1"/>
      <c r="K469" s="1"/>
      <c r="L469" s="1"/>
      <c r="M469" s="1"/>
      <c r="N469" s="1"/>
      <c r="O469" s="1"/>
      <c r="P469" s="1"/>
      <c r="Q469" s="1"/>
      <c r="R469" s="1"/>
      <c r="S469" s="1"/>
      <c r="T469" s="2"/>
      <c r="U469" s="2"/>
      <c r="V469" s="2"/>
      <c r="W469" s="2"/>
      <c r="X469" s="2"/>
      <c r="Y469" s="2"/>
      <c r="Z469" s="2"/>
    </row>
    <row r="470" spans="1:26" ht="14.25" customHeight="1">
      <c r="A470" s="14"/>
      <c r="B470" s="2"/>
      <c r="C470" s="1"/>
      <c r="D470" s="1"/>
      <c r="E470" s="1"/>
      <c r="F470" s="1"/>
      <c r="G470" s="1"/>
      <c r="H470" s="1"/>
      <c r="I470" s="1"/>
      <c r="J470" s="1"/>
      <c r="K470" s="1"/>
      <c r="L470" s="1"/>
      <c r="M470" s="1"/>
      <c r="N470" s="1"/>
      <c r="O470" s="1"/>
      <c r="P470" s="1"/>
      <c r="Q470" s="1"/>
      <c r="R470" s="1"/>
      <c r="S470" s="1"/>
      <c r="T470" s="2"/>
      <c r="U470" s="2"/>
      <c r="V470" s="2"/>
      <c r="W470" s="2"/>
      <c r="X470" s="2"/>
      <c r="Y470" s="2"/>
      <c r="Z470" s="2"/>
    </row>
    <row r="471" spans="1:26" ht="14.25" customHeight="1">
      <c r="A471" s="14"/>
      <c r="B471" s="2"/>
      <c r="C471" s="1"/>
      <c r="D471" s="1"/>
      <c r="E471" s="1"/>
      <c r="F471" s="1"/>
      <c r="G471" s="1"/>
      <c r="H471" s="1"/>
      <c r="I471" s="1"/>
      <c r="J471" s="1"/>
      <c r="K471" s="1"/>
      <c r="L471" s="1"/>
      <c r="M471" s="1"/>
      <c r="N471" s="1"/>
      <c r="O471" s="1"/>
      <c r="P471" s="1"/>
      <c r="Q471" s="1"/>
      <c r="R471" s="1"/>
      <c r="S471" s="1"/>
      <c r="T471" s="2"/>
      <c r="U471" s="2"/>
      <c r="V471" s="2"/>
      <c r="W471" s="2"/>
      <c r="X471" s="2"/>
      <c r="Y471" s="2"/>
      <c r="Z471" s="2"/>
    </row>
    <row r="472" spans="1:26" ht="14.25" customHeight="1">
      <c r="A472" s="14"/>
      <c r="B472" s="2"/>
      <c r="C472" s="1"/>
      <c r="D472" s="1"/>
      <c r="E472" s="1"/>
      <c r="F472" s="1"/>
      <c r="G472" s="1"/>
      <c r="H472" s="1"/>
      <c r="I472" s="1"/>
      <c r="J472" s="1"/>
      <c r="K472" s="1"/>
      <c r="L472" s="1"/>
      <c r="M472" s="1"/>
      <c r="N472" s="1"/>
      <c r="O472" s="1"/>
      <c r="P472" s="1"/>
      <c r="Q472" s="1"/>
      <c r="R472" s="1"/>
      <c r="S472" s="1"/>
      <c r="T472" s="2"/>
      <c r="U472" s="2"/>
      <c r="V472" s="2"/>
      <c r="W472" s="2"/>
      <c r="X472" s="2"/>
      <c r="Y472" s="2"/>
      <c r="Z472" s="2"/>
    </row>
    <row r="473" spans="1:26" ht="14.25" customHeight="1">
      <c r="A473" s="14"/>
      <c r="B473" s="2"/>
      <c r="C473" s="1"/>
      <c r="D473" s="1"/>
      <c r="E473" s="1"/>
      <c r="F473" s="1"/>
      <c r="G473" s="1"/>
      <c r="H473" s="1"/>
      <c r="I473" s="1"/>
      <c r="J473" s="1"/>
      <c r="K473" s="1"/>
      <c r="L473" s="1"/>
      <c r="M473" s="1"/>
      <c r="N473" s="1"/>
      <c r="O473" s="1"/>
      <c r="P473" s="1"/>
      <c r="Q473" s="1"/>
      <c r="R473" s="1"/>
      <c r="S473" s="1"/>
      <c r="T473" s="2"/>
      <c r="U473" s="2"/>
      <c r="V473" s="2"/>
      <c r="W473" s="2"/>
      <c r="X473" s="2"/>
      <c r="Y473" s="2"/>
      <c r="Z473" s="2"/>
    </row>
    <row r="474" spans="1:26" ht="14.25" customHeight="1">
      <c r="A474" s="14"/>
      <c r="B474" s="2"/>
      <c r="C474" s="1"/>
      <c r="D474" s="1"/>
      <c r="E474" s="1"/>
      <c r="F474" s="1"/>
      <c r="G474" s="1"/>
      <c r="H474" s="1"/>
      <c r="I474" s="1"/>
      <c r="J474" s="1"/>
      <c r="K474" s="1"/>
      <c r="L474" s="1"/>
      <c r="M474" s="1"/>
      <c r="N474" s="1"/>
      <c r="O474" s="1"/>
      <c r="P474" s="1"/>
      <c r="Q474" s="1"/>
      <c r="R474" s="1"/>
      <c r="S474" s="1"/>
      <c r="T474" s="2"/>
      <c r="U474" s="2"/>
      <c r="V474" s="2"/>
      <c r="W474" s="2"/>
      <c r="X474" s="2"/>
      <c r="Y474" s="2"/>
      <c r="Z474" s="2"/>
    </row>
    <row r="475" spans="1:26" ht="14.25" customHeight="1">
      <c r="A475" s="14"/>
      <c r="B475" s="2"/>
      <c r="C475" s="1"/>
      <c r="D475" s="1"/>
      <c r="E475" s="1"/>
      <c r="F475" s="1"/>
      <c r="G475" s="1"/>
      <c r="H475" s="1"/>
      <c r="I475" s="1"/>
      <c r="J475" s="1"/>
      <c r="K475" s="1"/>
      <c r="L475" s="1"/>
      <c r="M475" s="1"/>
      <c r="N475" s="1"/>
      <c r="O475" s="1"/>
      <c r="P475" s="1"/>
      <c r="Q475" s="1"/>
      <c r="R475" s="1"/>
      <c r="S475" s="1"/>
      <c r="T475" s="2"/>
      <c r="U475" s="2"/>
      <c r="V475" s="2"/>
      <c r="W475" s="2"/>
      <c r="X475" s="2"/>
      <c r="Y475" s="2"/>
      <c r="Z475" s="2"/>
    </row>
    <row r="476" spans="1:26" ht="14.25" customHeight="1">
      <c r="A476" s="14"/>
      <c r="B476" s="2"/>
      <c r="C476" s="1"/>
      <c r="D476" s="1"/>
      <c r="E476" s="1"/>
      <c r="F476" s="1"/>
      <c r="G476" s="1"/>
      <c r="H476" s="1"/>
      <c r="I476" s="1"/>
      <c r="J476" s="1"/>
      <c r="K476" s="1"/>
      <c r="L476" s="1"/>
      <c r="M476" s="1"/>
      <c r="N476" s="1"/>
      <c r="O476" s="1"/>
      <c r="P476" s="1"/>
      <c r="Q476" s="1"/>
      <c r="R476" s="1"/>
      <c r="S476" s="1"/>
      <c r="T476" s="2"/>
      <c r="U476" s="2"/>
      <c r="V476" s="2"/>
      <c r="W476" s="2"/>
      <c r="X476" s="2"/>
      <c r="Y476" s="2"/>
      <c r="Z476" s="2"/>
    </row>
    <row r="477" spans="1:26" ht="14.25" customHeight="1">
      <c r="A477" s="14"/>
      <c r="B477" s="2"/>
      <c r="C477" s="1"/>
      <c r="D477" s="1"/>
      <c r="E477" s="1"/>
      <c r="F477" s="1"/>
      <c r="G477" s="1"/>
      <c r="H477" s="1"/>
      <c r="I477" s="1"/>
      <c r="J477" s="1"/>
      <c r="K477" s="1"/>
      <c r="L477" s="1"/>
      <c r="M477" s="1"/>
      <c r="N477" s="1"/>
      <c r="O477" s="1"/>
      <c r="P477" s="1"/>
      <c r="Q477" s="1"/>
      <c r="R477" s="1"/>
      <c r="S477" s="1"/>
      <c r="T477" s="2"/>
      <c r="U477" s="2"/>
      <c r="V477" s="2"/>
      <c r="W477" s="2"/>
      <c r="X477" s="2"/>
      <c r="Y477" s="2"/>
      <c r="Z477" s="2"/>
    </row>
    <row r="478" spans="1:26" ht="14.25" customHeight="1">
      <c r="A478" s="14"/>
      <c r="B478" s="2"/>
      <c r="C478" s="1"/>
      <c r="D478" s="1"/>
      <c r="E478" s="1"/>
      <c r="F478" s="1"/>
      <c r="G478" s="1"/>
      <c r="H478" s="1"/>
      <c r="I478" s="1"/>
      <c r="J478" s="1"/>
      <c r="K478" s="1"/>
      <c r="L478" s="1"/>
      <c r="M478" s="1"/>
      <c r="N478" s="1"/>
      <c r="O478" s="1"/>
      <c r="P478" s="1"/>
      <c r="Q478" s="1"/>
      <c r="R478" s="1"/>
      <c r="S478" s="1"/>
      <c r="T478" s="2"/>
      <c r="U478" s="2"/>
      <c r="V478" s="2"/>
      <c r="W478" s="2"/>
      <c r="X478" s="2"/>
      <c r="Y478" s="2"/>
      <c r="Z478" s="2"/>
    </row>
    <row r="479" spans="1:26" ht="14.25" customHeight="1">
      <c r="A479" s="14"/>
      <c r="B479" s="2"/>
      <c r="C479" s="1"/>
      <c r="D479" s="1"/>
      <c r="E479" s="1"/>
      <c r="F479" s="1"/>
      <c r="G479" s="1"/>
      <c r="H479" s="1"/>
      <c r="I479" s="1"/>
      <c r="J479" s="1"/>
      <c r="K479" s="1"/>
      <c r="L479" s="1"/>
      <c r="M479" s="1"/>
      <c r="N479" s="1"/>
      <c r="O479" s="1"/>
      <c r="P479" s="1"/>
      <c r="Q479" s="1"/>
      <c r="R479" s="1"/>
      <c r="S479" s="1"/>
      <c r="T479" s="2"/>
      <c r="U479" s="2"/>
      <c r="V479" s="2"/>
      <c r="W479" s="2"/>
      <c r="X479" s="2"/>
      <c r="Y479" s="2"/>
      <c r="Z479" s="2"/>
    </row>
    <row r="480" spans="1:26" ht="14.25" customHeight="1">
      <c r="A480" s="14"/>
      <c r="B480" s="2"/>
      <c r="C480" s="1"/>
      <c r="D480" s="1"/>
      <c r="E480" s="1"/>
      <c r="F480" s="1"/>
      <c r="G480" s="1"/>
      <c r="H480" s="1"/>
      <c r="I480" s="1"/>
      <c r="J480" s="1"/>
      <c r="K480" s="1"/>
      <c r="L480" s="1"/>
      <c r="M480" s="1"/>
      <c r="N480" s="1"/>
      <c r="O480" s="1"/>
      <c r="P480" s="1"/>
      <c r="Q480" s="1"/>
      <c r="R480" s="1"/>
      <c r="S480" s="1"/>
      <c r="T480" s="2"/>
      <c r="U480" s="2"/>
      <c r="V480" s="2"/>
      <c r="W480" s="2"/>
      <c r="X480" s="2"/>
      <c r="Y480" s="2"/>
      <c r="Z480" s="2"/>
    </row>
    <row r="481" spans="1:26" ht="14.25" customHeight="1">
      <c r="A481" s="14"/>
      <c r="B481" s="2"/>
      <c r="C481" s="1"/>
      <c r="D481" s="1"/>
      <c r="E481" s="1"/>
      <c r="F481" s="1"/>
      <c r="G481" s="1"/>
      <c r="H481" s="1"/>
      <c r="I481" s="1"/>
      <c r="J481" s="1"/>
      <c r="K481" s="1"/>
      <c r="L481" s="1"/>
      <c r="M481" s="1"/>
      <c r="N481" s="1"/>
      <c r="O481" s="1"/>
      <c r="P481" s="1"/>
      <c r="Q481" s="1"/>
      <c r="R481" s="1"/>
      <c r="S481" s="1"/>
      <c r="T481" s="2"/>
      <c r="U481" s="2"/>
      <c r="V481" s="2"/>
      <c r="W481" s="2"/>
      <c r="X481" s="2"/>
      <c r="Y481" s="2"/>
      <c r="Z481" s="2"/>
    </row>
    <row r="482" spans="1:26" ht="14.25" customHeight="1">
      <c r="A482" s="14"/>
      <c r="B482" s="2"/>
      <c r="C482" s="1"/>
      <c r="D482" s="1"/>
      <c r="E482" s="1"/>
      <c r="F482" s="1"/>
      <c r="G482" s="1"/>
      <c r="H482" s="1"/>
      <c r="I482" s="1"/>
      <c r="J482" s="1"/>
      <c r="K482" s="1"/>
      <c r="L482" s="1"/>
      <c r="M482" s="1"/>
      <c r="N482" s="1"/>
      <c r="O482" s="1"/>
      <c r="P482" s="1"/>
      <c r="Q482" s="1"/>
      <c r="R482" s="1"/>
      <c r="S482" s="1"/>
      <c r="T482" s="2"/>
      <c r="U482" s="2"/>
      <c r="V482" s="2"/>
      <c r="W482" s="2"/>
      <c r="X482" s="2"/>
      <c r="Y482" s="2"/>
      <c r="Z482" s="2"/>
    </row>
    <row r="483" spans="1:26" ht="14.25" customHeight="1">
      <c r="A483" s="14"/>
      <c r="B483" s="2"/>
      <c r="C483" s="1"/>
      <c r="D483" s="1"/>
      <c r="E483" s="1"/>
      <c r="F483" s="1"/>
      <c r="G483" s="1"/>
      <c r="H483" s="1"/>
      <c r="I483" s="1"/>
      <c r="J483" s="1"/>
      <c r="K483" s="1"/>
      <c r="L483" s="1"/>
      <c r="M483" s="1"/>
      <c r="N483" s="1"/>
      <c r="O483" s="1"/>
      <c r="P483" s="1"/>
      <c r="Q483" s="1"/>
      <c r="R483" s="1"/>
      <c r="S483" s="1"/>
      <c r="T483" s="2"/>
      <c r="U483" s="2"/>
      <c r="V483" s="2"/>
      <c r="W483" s="2"/>
      <c r="X483" s="2"/>
      <c r="Y483" s="2"/>
      <c r="Z483" s="2"/>
    </row>
    <row r="484" spans="1:26" ht="14.25" customHeight="1">
      <c r="A484" s="14"/>
      <c r="B484" s="2"/>
      <c r="C484" s="1"/>
      <c r="D484" s="1"/>
      <c r="E484" s="1"/>
      <c r="F484" s="1"/>
      <c r="G484" s="1"/>
      <c r="H484" s="1"/>
      <c r="I484" s="1"/>
      <c r="J484" s="1"/>
      <c r="K484" s="1"/>
      <c r="L484" s="1"/>
      <c r="M484" s="1"/>
      <c r="N484" s="1"/>
      <c r="O484" s="1"/>
      <c r="P484" s="1"/>
      <c r="Q484" s="1"/>
      <c r="R484" s="1"/>
      <c r="S484" s="1"/>
      <c r="T484" s="2"/>
      <c r="U484" s="2"/>
      <c r="V484" s="2"/>
      <c r="W484" s="2"/>
      <c r="X484" s="2"/>
      <c r="Y484" s="2"/>
      <c r="Z484" s="2"/>
    </row>
    <row r="485" spans="1:26" ht="14.25" customHeight="1">
      <c r="A485" s="14"/>
      <c r="B485" s="2"/>
      <c r="C485" s="1"/>
      <c r="D485" s="1"/>
      <c r="E485" s="1"/>
      <c r="F485" s="1"/>
      <c r="G485" s="1"/>
      <c r="H485" s="1"/>
      <c r="I485" s="1"/>
      <c r="J485" s="1"/>
      <c r="K485" s="1"/>
      <c r="L485" s="1"/>
      <c r="M485" s="1"/>
      <c r="N485" s="1"/>
      <c r="O485" s="1"/>
      <c r="P485" s="1"/>
      <c r="Q485" s="1"/>
      <c r="R485" s="1"/>
      <c r="S485" s="1"/>
      <c r="T485" s="2"/>
      <c r="U485" s="2"/>
      <c r="V485" s="2"/>
      <c r="W485" s="2"/>
      <c r="X485" s="2"/>
      <c r="Y485" s="2"/>
      <c r="Z485" s="2"/>
    </row>
    <row r="486" spans="1:26" ht="14.25" customHeight="1">
      <c r="A486" s="14"/>
      <c r="B486" s="2"/>
      <c r="C486" s="1"/>
      <c r="D486" s="1"/>
      <c r="E486" s="1"/>
      <c r="F486" s="1"/>
      <c r="G486" s="1"/>
      <c r="H486" s="1"/>
      <c r="I486" s="1"/>
      <c r="J486" s="1"/>
      <c r="K486" s="1"/>
      <c r="L486" s="1"/>
      <c r="M486" s="1"/>
      <c r="N486" s="1"/>
      <c r="O486" s="1"/>
      <c r="P486" s="1"/>
      <c r="Q486" s="1"/>
      <c r="R486" s="1"/>
      <c r="S486" s="1"/>
      <c r="T486" s="2"/>
      <c r="U486" s="2"/>
      <c r="V486" s="2"/>
      <c r="W486" s="2"/>
      <c r="X486" s="2"/>
      <c r="Y486" s="2"/>
      <c r="Z486" s="2"/>
    </row>
    <row r="487" spans="1:26" ht="14.25" customHeight="1">
      <c r="A487" s="14"/>
      <c r="B487" s="2"/>
      <c r="C487" s="1"/>
      <c r="D487" s="1"/>
      <c r="E487" s="1"/>
      <c r="F487" s="1"/>
      <c r="G487" s="1"/>
      <c r="H487" s="1"/>
      <c r="I487" s="1"/>
      <c r="J487" s="1"/>
      <c r="K487" s="1"/>
      <c r="L487" s="1"/>
      <c r="M487" s="1"/>
      <c r="N487" s="1"/>
      <c r="O487" s="1"/>
      <c r="P487" s="1"/>
      <c r="Q487" s="1"/>
      <c r="R487" s="1"/>
      <c r="S487" s="1"/>
      <c r="T487" s="2"/>
      <c r="U487" s="2"/>
      <c r="V487" s="2"/>
      <c r="W487" s="2"/>
      <c r="X487" s="2"/>
      <c r="Y487" s="2"/>
      <c r="Z487" s="2"/>
    </row>
    <row r="488" spans="1:26" ht="14.25" customHeight="1">
      <c r="A488" s="14"/>
      <c r="B488" s="2"/>
      <c r="C488" s="1"/>
      <c r="D488" s="1"/>
      <c r="E488" s="1"/>
      <c r="F488" s="1"/>
      <c r="G488" s="1"/>
      <c r="H488" s="1"/>
      <c r="I488" s="1"/>
      <c r="J488" s="1"/>
      <c r="K488" s="1"/>
      <c r="L488" s="1"/>
      <c r="M488" s="1"/>
      <c r="N488" s="1"/>
      <c r="O488" s="1"/>
      <c r="P488" s="1"/>
      <c r="Q488" s="1"/>
      <c r="R488" s="1"/>
      <c r="S488" s="1"/>
      <c r="T488" s="2"/>
      <c r="U488" s="2"/>
      <c r="V488" s="2"/>
      <c r="W488" s="2"/>
      <c r="X488" s="2"/>
      <c r="Y488" s="2"/>
      <c r="Z488" s="2"/>
    </row>
    <row r="489" spans="1:26" ht="14.25" customHeight="1">
      <c r="A489" s="14"/>
      <c r="B489" s="2"/>
      <c r="C489" s="1"/>
      <c r="D489" s="1"/>
      <c r="E489" s="1"/>
      <c r="F489" s="1"/>
      <c r="G489" s="1"/>
      <c r="H489" s="1"/>
      <c r="I489" s="1"/>
      <c r="J489" s="1"/>
      <c r="K489" s="1"/>
      <c r="L489" s="1"/>
      <c r="M489" s="1"/>
      <c r="N489" s="1"/>
      <c r="O489" s="1"/>
      <c r="P489" s="1"/>
      <c r="Q489" s="1"/>
      <c r="R489" s="1"/>
      <c r="S489" s="1"/>
      <c r="T489" s="2"/>
      <c r="U489" s="2"/>
      <c r="V489" s="2"/>
      <c r="W489" s="2"/>
      <c r="X489" s="2"/>
      <c r="Y489" s="2"/>
      <c r="Z489" s="2"/>
    </row>
    <row r="490" spans="1:26" ht="14.25" customHeight="1">
      <c r="A490" s="14"/>
      <c r="B490" s="2"/>
      <c r="C490" s="1"/>
      <c r="D490" s="1"/>
      <c r="E490" s="1"/>
      <c r="F490" s="1"/>
      <c r="G490" s="1"/>
      <c r="H490" s="1"/>
      <c r="I490" s="1"/>
      <c r="J490" s="1"/>
      <c r="K490" s="1"/>
      <c r="L490" s="1"/>
      <c r="M490" s="1"/>
      <c r="N490" s="1"/>
      <c r="O490" s="1"/>
      <c r="P490" s="1"/>
      <c r="Q490" s="1"/>
      <c r="R490" s="1"/>
      <c r="S490" s="1"/>
      <c r="T490" s="2"/>
      <c r="U490" s="2"/>
      <c r="V490" s="2"/>
      <c r="W490" s="2"/>
      <c r="X490" s="2"/>
      <c r="Y490" s="2"/>
      <c r="Z490" s="2"/>
    </row>
    <row r="491" spans="1:26" ht="14.25" customHeight="1">
      <c r="A491" s="14"/>
      <c r="B491" s="2"/>
      <c r="C491" s="1"/>
      <c r="D491" s="1"/>
      <c r="E491" s="1"/>
      <c r="F491" s="1"/>
      <c r="G491" s="1"/>
      <c r="H491" s="1"/>
      <c r="I491" s="1"/>
      <c r="J491" s="1"/>
      <c r="K491" s="1"/>
      <c r="L491" s="1"/>
      <c r="M491" s="1"/>
      <c r="N491" s="1"/>
      <c r="O491" s="1"/>
      <c r="P491" s="1"/>
      <c r="Q491" s="1"/>
      <c r="R491" s="1"/>
      <c r="S491" s="1"/>
      <c r="T491" s="2"/>
      <c r="U491" s="2"/>
      <c r="V491" s="2"/>
      <c r="W491" s="2"/>
      <c r="X491" s="2"/>
      <c r="Y491" s="2"/>
      <c r="Z491" s="2"/>
    </row>
    <row r="492" spans="1:26" ht="14.25" customHeight="1">
      <c r="A492" s="14"/>
      <c r="B492" s="2"/>
      <c r="C492" s="1"/>
      <c r="D492" s="1"/>
      <c r="E492" s="1"/>
      <c r="F492" s="1"/>
      <c r="G492" s="1"/>
      <c r="H492" s="1"/>
      <c r="I492" s="1"/>
      <c r="J492" s="1"/>
      <c r="K492" s="1"/>
      <c r="L492" s="1"/>
      <c r="M492" s="1"/>
      <c r="N492" s="1"/>
      <c r="O492" s="1"/>
      <c r="P492" s="1"/>
      <c r="Q492" s="1"/>
      <c r="R492" s="1"/>
      <c r="S492" s="1"/>
      <c r="T492" s="2"/>
      <c r="U492" s="2"/>
      <c r="V492" s="2"/>
      <c r="W492" s="2"/>
      <c r="X492" s="2"/>
      <c r="Y492" s="2"/>
      <c r="Z492" s="2"/>
    </row>
    <row r="493" spans="1:26" ht="14.25" customHeight="1">
      <c r="A493" s="14"/>
      <c r="B493" s="2"/>
      <c r="C493" s="1"/>
      <c r="D493" s="1"/>
      <c r="E493" s="1"/>
      <c r="F493" s="1"/>
      <c r="G493" s="1"/>
      <c r="H493" s="1"/>
      <c r="I493" s="1"/>
      <c r="J493" s="1"/>
      <c r="K493" s="1"/>
      <c r="L493" s="1"/>
      <c r="M493" s="1"/>
      <c r="N493" s="1"/>
      <c r="O493" s="1"/>
      <c r="P493" s="1"/>
      <c r="Q493" s="1"/>
      <c r="R493" s="1"/>
      <c r="S493" s="1"/>
      <c r="T493" s="2"/>
      <c r="U493" s="2"/>
      <c r="V493" s="2"/>
      <c r="W493" s="2"/>
      <c r="X493" s="2"/>
      <c r="Y493" s="2"/>
      <c r="Z493" s="2"/>
    </row>
    <row r="494" spans="1:26" ht="14.25" customHeight="1">
      <c r="A494" s="14"/>
      <c r="B494" s="2"/>
      <c r="C494" s="1"/>
      <c r="D494" s="1"/>
      <c r="E494" s="1"/>
      <c r="F494" s="1"/>
      <c r="G494" s="1"/>
      <c r="H494" s="1"/>
      <c r="I494" s="1"/>
      <c r="J494" s="1"/>
      <c r="K494" s="1"/>
      <c r="L494" s="1"/>
      <c r="M494" s="1"/>
      <c r="N494" s="1"/>
      <c r="O494" s="1"/>
      <c r="P494" s="1"/>
      <c r="Q494" s="1"/>
      <c r="R494" s="1"/>
      <c r="S494" s="1"/>
      <c r="T494" s="2"/>
      <c r="U494" s="2"/>
      <c r="V494" s="2"/>
      <c r="W494" s="2"/>
      <c r="X494" s="2"/>
      <c r="Y494" s="2"/>
      <c r="Z494" s="2"/>
    </row>
    <row r="495" spans="1:26" ht="14.25" customHeight="1">
      <c r="A495" s="14"/>
      <c r="B495" s="2"/>
      <c r="C495" s="1"/>
      <c r="D495" s="1"/>
      <c r="E495" s="1"/>
      <c r="F495" s="1"/>
      <c r="G495" s="1"/>
      <c r="H495" s="1"/>
      <c r="I495" s="1"/>
      <c r="J495" s="1"/>
      <c r="K495" s="1"/>
      <c r="L495" s="1"/>
      <c r="M495" s="1"/>
      <c r="N495" s="1"/>
      <c r="O495" s="1"/>
      <c r="P495" s="1"/>
      <c r="Q495" s="1"/>
      <c r="R495" s="1"/>
      <c r="S495" s="1"/>
      <c r="T495" s="2"/>
      <c r="U495" s="2"/>
      <c r="V495" s="2"/>
      <c r="W495" s="2"/>
      <c r="X495" s="2"/>
      <c r="Y495" s="2"/>
      <c r="Z495" s="2"/>
    </row>
    <row r="496" spans="1:26" ht="14.25" customHeight="1">
      <c r="A496" s="14"/>
      <c r="B496" s="2"/>
      <c r="C496" s="1"/>
      <c r="D496" s="1"/>
      <c r="E496" s="1"/>
      <c r="F496" s="1"/>
      <c r="G496" s="1"/>
      <c r="H496" s="1"/>
      <c r="I496" s="1"/>
      <c r="J496" s="1"/>
      <c r="K496" s="1"/>
      <c r="L496" s="1"/>
      <c r="M496" s="1"/>
      <c r="N496" s="1"/>
      <c r="O496" s="1"/>
      <c r="P496" s="1"/>
      <c r="Q496" s="1"/>
      <c r="R496" s="1"/>
      <c r="S496" s="1"/>
      <c r="T496" s="2"/>
      <c r="U496" s="2"/>
      <c r="V496" s="2"/>
      <c r="W496" s="2"/>
      <c r="X496" s="2"/>
      <c r="Y496" s="2"/>
      <c r="Z496" s="2"/>
    </row>
    <row r="497" spans="1:26" ht="14.25" customHeight="1">
      <c r="A497" s="14"/>
      <c r="B497" s="2"/>
      <c r="C497" s="1"/>
      <c r="D497" s="1"/>
      <c r="E497" s="1"/>
      <c r="F497" s="1"/>
      <c r="G497" s="1"/>
      <c r="H497" s="1"/>
      <c r="I497" s="1"/>
      <c r="J497" s="1"/>
      <c r="K497" s="1"/>
      <c r="L497" s="1"/>
      <c r="M497" s="1"/>
      <c r="N497" s="1"/>
      <c r="O497" s="1"/>
      <c r="P497" s="1"/>
      <c r="Q497" s="1"/>
      <c r="R497" s="1"/>
      <c r="S497" s="1"/>
      <c r="T497" s="2"/>
      <c r="U497" s="2"/>
      <c r="V497" s="2"/>
      <c r="W497" s="2"/>
      <c r="X497" s="2"/>
      <c r="Y497" s="2"/>
      <c r="Z497" s="2"/>
    </row>
    <row r="498" spans="1:26" ht="14.25" customHeight="1">
      <c r="A498" s="14"/>
      <c r="B498" s="2"/>
      <c r="C498" s="1"/>
      <c r="D498" s="1"/>
      <c r="E498" s="1"/>
      <c r="F498" s="1"/>
      <c r="G498" s="1"/>
      <c r="H498" s="1"/>
      <c r="I498" s="1"/>
      <c r="J498" s="1"/>
      <c r="K498" s="1"/>
      <c r="L498" s="1"/>
      <c r="M498" s="1"/>
      <c r="N498" s="1"/>
      <c r="O498" s="1"/>
      <c r="P498" s="1"/>
      <c r="Q498" s="1"/>
      <c r="R498" s="1"/>
      <c r="S498" s="1"/>
      <c r="T498" s="2"/>
      <c r="U498" s="2"/>
      <c r="V498" s="2"/>
      <c r="W498" s="2"/>
      <c r="X498" s="2"/>
      <c r="Y498" s="2"/>
      <c r="Z498" s="2"/>
    </row>
    <row r="499" spans="1:26" ht="14.25" customHeight="1">
      <c r="A499" s="14"/>
      <c r="B499" s="2"/>
      <c r="C499" s="1"/>
      <c r="D499" s="1"/>
      <c r="E499" s="1"/>
      <c r="F499" s="1"/>
      <c r="G499" s="1"/>
      <c r="H499" s="1"/>
      <c r="I499" s="1"/>
      <c r="J499" s="1"/>
      <c r="K499" s="1"/>
      <c r="L499" s="1"/>
      <c r="M499" s="1"/>
      <c r="N499" s="1"/>
      <c r="O499" s="1"/>
      <c r="P499" s="1"/>
      <c r="Q499" s="1"/>
      <c r="R499" s="1"/>
      <c r="S499" s="1"/>
      <c r="T499" s="2"/>
      <c r="U499" s="2"/>
      <c r="V499" s="2"/>
      <c r="W499" s="2"/>
      <c r="X499" s="2"/>
      <c r="Y499" s="2"/>
      <c r="Z499" s="2"/>
    </row>
    <row r="500" spans="1:26" ht="14.25" customHeight="1">
      <c r="A500" s="14"/>
      <c r="B500" s="2"/>
      <c r="C500" s="1"/>
      <c r="D500" s="1"/>
      <c r="E500" s="1"/>
      <c r="F500" s="1"/>
      <c r="G500" s="1"/>
      <c r="H500" s="1"/>
      <c r="I500" s="1"/>
      <c r="J500" s="1"/>
      <c r="K500" s="1"/>
      <c r="L500" s="1"/>
      <c r="M500" s="1"/>
      <c r="N500" s="1"/>
      <c r="O500" s="1"/>
      <c r="P500" s="1"/>
      <c r="Q500" s="1"/>
      <c r="R500" s="1"/>
      <c r="S500" s="1"/>
      <c r="T500" s="2"/>
      <c r="U500" s="2"/>
      <c r="V500" s="2"/>
      <c r="W500" s="2"/>
      <c r="X500" s="2"/>
      <c r="Y500" s="2"/>
      <c r="Z500" s="2"/>
    </row>
    <row r="501" spans="1:26" ht="14.25" customHeight="1">
      <c r="A501" s="14"/>
      <c r="B501" s="2"/>
      <c r="C501" s="1"/>
      <c r="D501" s="1"/>
      <c r="E501" s="1"/>
      <c r="F501" s="1"/>
      <c r="G501" s="1"/>
      <c r="H501" s="1"/>
      <c r="I501" s="1"/>
      <c r="J501" s="1"/>
      <c r="K501" s="1"/>
      <c r="L501" s="1"/>
      <c r="M501" s="1"/>
      <c r="N501" s="1"/>
      <c r="O501" s="1"/>
      <c r="P501" s="1"/>
      <c r="Q501" s="1"/>
      <c r="R501" s="1"/>
      <c r="S501" s="1"/>
      <c r="T501" s="2"/>
      <c r="U501" s="2"/>
      <c r="V501" s="2"/>
      <c r="W501" s="2"/>
      <c r="X501" s="2"/>
      <c r="Y501" s="2"/>
      <c r="Z501" s="2"/>
    </row>
    <row r="502" spans="1:26" ht="14.25" customHeight="1">
      <c r="A502" s="14"/>
      <c r="B502" s="2"/>
      <c r="C502" s="1"/>
      <c r="D502" s="1"/>
      <c r="E502" s="1"/>
      <c r="F502" s="1"/>
      <c r="G502" s="1"/>
      <c r="H502" s="1"/>
      <c r="I502" s="1"/>
      <c r="J502" s="1"/>
      <c r="K502" s="1"/>
      <c r="L502" s="1"/>
      <c r="M502" s="1"/>
      <c r="N502" s="1"/>
      <c r="O502" s="1"/>
      <c r="P502" s="1"/>
      <c r="Q502" s="1"/>
      <c r="R502" s="1"/>
      <c r="S502" s="1"/>
      <c r="T502" s="2"/>
      <c r="U502" s="2"/>
      <c r="V502" s="2"/>
      <c r="W502" s="2"/>
      <c r="X502" s="2"/>
      <c r="Y502" s="2"/>
      <c r="Z502" s="2"/>
    </row>
    <row r="503" spans="1:26" ht="14.25" customHeight="1">
      <c r="A503" s="14"/>
      <c r="B503" s="2"/>
      <c r="C503" s="1"/>
      <c r="D503" s="1"/>
      <c r="E503" s="1"/>
      <c r="F503" s="1"/>
      <c r="G503" s="1"/>
      <c r="H503" s="1"/>
      <c r="I503" s="1"/>
      <c r="J503" s="1"/>
      <c r="K503" s="1"/>
      <c r="L503" s="1"/>
      <c r="M503" s="1"/>
      <c r="N503" s="1"/>
      <c r="O503" s="1"/>
      <c r="P503" s="1"/>
      <c r="Q503" s="1"/>
      <c r="R503" s="1"/>
      <c r="S503" s="1"/>
      <c r="T503" s="2"/>
      <c r="U503" s="2"/>
      <c r="V503" s="2"/>
      <c r="W503" s="2"/>
      <c r="X503" s="2"/>
      <c r="Y503" s="2"/>
      <c r="Z503" s="2"/>
    </row>
    <row r="504" spans="1:26" ht="14.25" customHeight="1">
      <c r="A504" s="14"/>
      <c r="B504" s="2"/>
      <c r="C504" s="1"/>
      <c r="D504" s="1"/>
      <c r="E504" s="1"/>
      <c r="F504" s="1"/>
      <c r="G504" s="1"/>
      <c r="H504" s="1"/>
      <c r="I504" s="1"/>
      <c r="J504" s="1"/>
      <c r="K504" s="1"/>
      <c r="L504" s="1"/>
      <c r="M504" s="1"/>
      <c r="N504" s="1"/>
      <c r="O504" s="1"/>
      <c r="P504" s="1"/>
      <c r="Q504" s="1"/>
      <c r="R504" s="1"/>
      <c r="S504" s="1"/>
      <c r="T504" s="2"/>
      <c r="U504" s="2"/>
      <c r="V504" s="2"/>
      <c r="W504" s="2"/>
      <c r="X504" s="2"/>
      <c r="Y504" s="2"/>
      <c r="Z504" s="2"/>
    </row>
    <row r="505" spans="1:26" ht="14.25" customHeight="1">
      <c r="A505" s="14"/>
      <c r="B505" s="2"/>
      <c r="C505" s="1"/>
      <c r="D505" s="1"/>
      <c r="E505" s="1"/>
      <c r="F505" s="1"/>
      <c r="G505" s="1"/>
      <c r="H505" s="1"/>
      <c r="I505" s="1"/>
      <c r="J505" s="1"/>
      <c r="K505" s="1"/>
      <c r="L505" s="1"/>
      <c r="M505" s="1"/>
      <c r="N505" s="1"/>
      <c r="O505" s="1"/>
      <c r="P505" s="1"/>
      <c r="Q505" s="1"/>
      <c r="R505" s="1"/>
      <c r="S505" s="1"/>
      <c r="T505" s="2"/>
      <c r="U505" s="2"/>
      <c r="V505" s="2"/>
      <c r="W505" s="2"/>
      <c r="X505" s="2"/>
      <c r="Y505" s="2"/>
      <c r="Z505" s="2"/>
    </row>
    <row r="506" spans="1:26" ht="14.25" customHeight="1">
      <c r="A506" s="14"/>
      <c r="B506" s="2"/>
      <c r="C506" s="1"/>
      <c r="D506" s="1"/>
      <c r="E506" s="1"/>
      <c r="F506" s="1"/>
      <c r="G506" s="1"/>
      <c r="H506" s="1"/>
      <c r="I506" s="1"/>
      <c r="J506" s="1"/>
      <c r="K506" s="1"/>
      <c r="L506" s="1"/>
      <c r="M506" s="1"/>
      <c r="N506" s="1"/>
      <c r="O506" s="1"/>
      <c r="P506" s="1"/>
      <c r="Q506" s="1"/>
      <c r="R506" s="1"/>
      <c r="S506" s="1"/>
      <c r="T506" s="2"/>
      <c r="U506" s="2"/>
      <c r="V506" s="2"/>
      <c r="W506" s="2"/>
      <c r="X506" s="2"/>
      <c r="Y506" s="2"/>
      <c r="Z506" s="2"/>
    </row>
    <row r="507" spans="1:26" ht="14.25" customHeight="1">
      <c r="A507" s="14"/>
      <c r="B507" s="2"/>
      <c r="C507" s="1"/>
      <c r="D507" s="1"/>
      <c r="E507" s="1"/>
      <c r="F507" s="1"/>
      <c r="G507" s="1"/>
      <c r="H507" s="1"/>
      <c r="I507" s="1"/>
      <c r="J507" s="1"/>
      <c r="K507" s="1"/>
      <c r="L507" s="1"/>
      <c r="M507" s="1"/>
      <c r="N507" s="1"/>
      <c r="O507" s="1"/>
      <c r="P507" s="1"/>
      <c r="Q507" s="1"/>
      <c r="R507" s="1"/>
      <c r="S507" s="1"/>
      <c r="T507" s="2"/>
      <c r="U507" s="2"/>
      <c r="V507" s="2"/>
      <c r="W507" s="2"/>
      <c r="X507" s="2"/>
      <c r="Y507" s="2"/>
      <c r="Z507" s="2"/>
    </row>
    <row r="508" spans="1:26" ht="14.25" customHeight="1">
      <c r="A508" s="14"/>
      <c r="B508" s="2"/>
      <c r="C508" s="1"/>
      <c r="D508" s="1"/>
      <c r="E508" s="1"/>
      <c r="F508" s="1"/>
      <c r="G508" s="1"/>
      <c r="H508" s="1"/>
      <c r="I508" s="1"/>
      <c r="J508" s="1"/>
      <c r="K508" s="1"/>
      <c r="L508" s="1"/>
      <c r="M508" s="1"/>
      <c r="N508" s="1"/>
      <c r="O508" s="1"/>
      <c r="P508" s="1"/>
      <c r="Q508" s="1"/>
      <c r="R508" s="1"/>
      <c r="S508" s="1"/>
      <c r="T508" s="2"/>
      <c r="U508" s="2"/>
      <c r="V508" s="2"/>
      <c r="W508" s="2"/>
      <c r="X508" s="2"/>
      <c r="Y508" s="2"/>
      <c r="Z508" s="2"/>
    </row>
    <row r="509" spans="1:26" ht="14.25" customHeight="1">
      <c r="A509" s="14"/>
      <c r="B509" s="2"/>
      <c r="C509" s="1"/>
      <c r="D509" s="1"/>
      <c r="E509" s="1"/>
      <c r="F509" s="1"/>
      <c r="G509" s="1"/>
      <c r="H509" s="1"/>
      <c r="I509" s="1"/>
      <c r="J509" s="1"/>
      <c r="K509" s="1"/>
      <c r="L509" s="1"/>
      <c r="M509" s="1"/>
      <c r="N509" s="1"/>
      <c r="O509" s="1"/>
      <c r="P509" s="1"/>
      <c r="Q509" s="1"/>
      <c r="R509" s="1"/>
      <c r="S509" s="1"/>
      <c r="T509" s="2"/>
      <c r="U509" s="2"/>
      <c r="V509" s="2"/>
      <c r="W509" s="2"/>
      <c r="X509" s="2"/>
      <c r="Y509" s="2"/>
      <c r="Z509" s="2"/>
    </row>
    <row r="510" spans="1:26" ht="14.25" customHeight="1">
      <c r="A510" s="14"/>
      <c r="B510" s="2"/>
      <c r="C510" s="1"/>
      <c r="D510" s="1"/>
      <c r="E510" s="1"/>
      <c r="F510" s="1"/>
      <c r="G510" s="1"/>
      <c r="H510" s="1"/>
      <c r="I510" s="1"/>
      <c r="J510" s="1"/>
      <c r="K510" s="1"/>
      <c r="L510" s="1"/>
      <c r="M510" s="1"/>
      <c r="N510" s="1"/>
      <c r="O510" s="1"/>
      <c r="P510" s="1"/>
      <c r="Q510" s="1"/>
      <c r="R510" s="1"/>
      <c r="S510" s="1"/>
      <c r="T510" s="2"/>
      <c r="U510" s="2"/>
      <c r="V510" s="2"/>
      <c r="W510" s="2"/>
      <c r="X510" s="2"/>
      <c r="Y510" s="2"/>
      <c r="Z510" s="2"/>
    </row>
    <row r="511" spans="1:26" ht="14.25" customHeight="1">
      <c r="A511" s="14"/>
      <c r="B511" s="2"/>
      <c r="C511" s="1"/>
      <c r="D511" s="1"/>
      <c r="E511" s="1"/>
      <c r="F511" s="1"/>
      <c r="G511" s="1"/>
      <c r="H511" s="1"/>
      <c r="I511" s="1"/>
      <c r="J511" s="1"/>
      <c r="K511" s="1"/>
      <c r="L511" s="1"/>
      <c r="M511" s="1"/>
      <c r="N511" s="1"/>
      <c r="O511" s="1"/>
      <c r="P511" s="1"/>
      <c r="Q511" s="1"/>
      <c r="R511" s="1"/>
      <c r="S511" s="1"/>
      <c r="T511" s="2"/>
      <c r="U511" s="2"/>
      <c r="V511" s="2"/>
      <c r="W511" s="2"/>
      <c r="X511" s="2"/>
      <c r="Y511" s="2"/>
      <c r="Z511" s="2"/>
    </row>
    <row r="512" spans="1:26" ht="14.25" customHeight="1">
      <c r="A512" s="14"/>
      <c r="B512" s="2"/>
      <c r="C512" s="1"/>
      <c r="D512" s="1"/>
      <c r="E512" s="1"/>
      <c r="F512" s="1"/>
      <c r="G512" s="1"/>
      <c r="H512" s="1"/>
      <c r="I512" s="1"/>
      <c r="J512" s="1"/>
      <c r="K512" s="1"/>
      <c r="L512" s="1"/>
      <c r="M512" s="1"/>
      <c r="N512" s="1"/>
      <c r="O512" s="1"/>
      <c r="P512" s="1"/>
      <c r="Q512" s="1"/>
      <c r="R512" s="1"/>
      <c r="S512" s="1"/>
      <c r="T512" s="2"/>
      <c r="U512" s="2"/>
      <c r="V512" s="2"/>
      <c r="W512" s="2"/>
      <c r="X512" s="2"/>
      <c r="Y512" s="2"/>
      <c r="Z512" s="2"/>
    </row>
    <row r="513" spans="1:26" ht="14.25" customHeight="1">
      <c r="A513" s="14"/>
      <c r="B513" s="2"/>
      <c r="C513" s="1"/>
      <c r="D513" s="1"/>
      <c r="E513" s="1"/>
      <c r="F513" s="1"/>
      <c r="G513" s="1"/>
      <c r="H513" s="1"/>
      <c r="I513" s="1"/>
      <c r="J513" s="1"/>
      <c r="K513" s="1"/>
      <c r="L513" s="1"/>
      <c r="M513" s="1"/>
      <c r="N513" s="1"/>
      <c r="O513" s="1"/>
      <c r="P513" s="1"/>
      <c r="Q513" s="1"/>
      <c r="R513" s="1"/>
      <c r="S513" s="1"/>
      <c r="T513" s="2"/>
      <c r="U513" s="2"/>
      <c r="V513" s="2"/>
      <c r="W513" s="2"/>
      <c r="X513" s="2"/>
      <c r="Y513" s="2"/>
      <c r="Z513" s="2"/>
    </row>
    <row r="514" spans="1:26" ht="14.25" customHeight="1">
      <c r="A514" s="14"/>
      <c r="B514" s="2"/>
      <c r="C514" s="1"/>
      <c r="D514" s="1"/>
      <c r="E514" s="1"/>
      <c r="F514" s="1"/>
      <c r="G514" s="1"/>
      <c r="H514" s="1"/>
      <c r="I514" s="1"/>
      <c r="J514" s="1"/>
      <c r="K514" s="1"/>
      <c r="L514" s="1"/>
      <c r="M514" s="1"/>
      <c r="N514" s="1"/>
      <c r="O514" s="1"/>
      <c r="P514" s="1"/>
      <c r="Q514" s="1"/>
      <c r="R514" s="1"/>
      <c r="S514" s="1"/>
      <c r="T514" s="2"/>
      <c r="U514" s="2"/>
      <c r="V514" s="2"/>
      <c r="W514" s="2"/>
      <c r="X514" s="2"/>
      <c r="Y514" s="2"/>
      <c r="Z514" s="2"/>
    </row>
    <row r="515" spans="1:26" ht="14.25" customHeight="1">
      <c r="A515" s="14"/>
      <c r="B515" s="2"/>
      <c r="C515" s="1"/>
      <c r="D515" s="1"/>
      <c r="E515" s="1"/>
      <c r="F515" s="1"/>
      <c r="G515" s="1"/>
      <c r="H515" s="1"/>
      <c r="I515" s="1"/>
      <c r="J515" s="1"/>
      <c r="K515" s="1"/>
      <c r="L515" s="1"/>
      <c r="M515" s="1"/>
      <c r="N515" s="1"/>
      <c r="O515" s="1"/>
      <c r="P515" s="1"/>
      <c r="Q515" s="1"/>
      <c r="R515" s="1"/>
      <c r="S515" s="1"/>
      <c r="T515" s="2"/>
      <c r="U515" s="2"/>
      <c r="V515" s="2"/>
      <c r="W515" s="2"/>
      <c r="X515" s="2"/>
      <c r="Y515" s="2"/>
      <c r="Z515" s="2"/>
    </row>
    <row r="516" spans="1:26" ht="14.25" customHeight="1">
      <c r="A516" s="14"/>
      <c r="B516" s="2"/>
      <c r="C516" s="1"/>
      <c r="D516" s="1"/>
      <c r="E516" s="1"/>
      <c r="F516" s="1"/>
      <c r="G516" s="1"/>
      <c r="H516" s="1"/>
      <c r="I516" s="1"/>
      <c r="J516" s="1"/>
      <c r="K516" s="1"/>
      <c r="L516" s="1"/>
      <c r="M516" s="1"/>
      <c r="N516" s="1"/>
      <c r="O516" s="1"/>
      <c r="P516" s="1"/>
      <c r="Q516" s="1"/>
      <c r="R516" s="1"/>
      <c r="S516" s="1"/>
      <c r="T516" s="2"/>
      <c r="U516" s="2"/>
      <c r="V516" s="2"/>
      <c r="W516" s="2"/>
      <c r="X516" s="2"/>
      <c r="Y516" s="2"/>
      <c r="Z516" s="2"/>
    </row>
    <row r="517" spans="1:26" ht="14.25" customHeight="1">
      <c r="A517" s="14"/>
      <c r="B517" s="2"/>
      <c r="C517" s="1"/>
      <c r="D517" s="1"/>
      <c r="E517" s="1"/>
      <c r="F517" s="1"/>
      <c r="G517" s="1"/>
      <c r="H517" s="1"/>
      <c r="I517" s="1"/>
      <c r="J517" s="1"/>
      <c r="K517" s="1"/>
      <c r="L517" s="1"/>
      <c r="M517" s="1"/>
      <c r="N517" s="1"/>
      <c r="O517" s="1"/>
      <c r="P517" s="1"/>
      <c r="Q517" s="1"/>
      <c r="R517" s="1"/>
      <c r="S517" s="1"/>
      <c r="T517" s="2"/>
      <c r="U517" s="2"/>
      <c r="V517" s="2"/>
      <c r="W517" s="2"/>
      <c r="X517" s="2"/>
      <c r="Y517" s="2"/>
      <c r="Z517" s="2"/>
    </row>
    <row r="518" spans="1:26" ht="14.25" customHeight="1">
      <c r="A518" s="14"/>
      <c r="B518" s="2"/>
      <c r="C518" s="1"/>
      <c r="D518" s="1"/>
      <c r="E518" s="1"/>
      <c r="F518" s="1"/>
      <c r="G518" s="1"/>
      <c r="H518" s="1"/>
      <c r="I518" s="1"/>
      <c r="J518" s="1"/>
      <c r="K518" s="1"/>
      <c r="L518" s="1"/>
      <c r="M518" s="1"/>
      <c r="N518" s="1"/>
      <c r="O518" s="1"/>
      <c r="P518" s="1"/>
      <c r="Q518" s="1"/>
      <c r="R518" s="1"/>
      <c r="S518" s="1"/>
      <c r="T518" s="2"/>
      <c r="U518" s="2"/>
      <c r="V518" s="2"/>
      <c r="W518" s="2"/>
      <c r="X518" s="2"/>
      <c r="Y518" s="2"/>
      <c r="Z518" s="2"/>
    </row>
    <row r="519" spans="1:26" ht="14.25" customHeight="1">
      <c r="A519" s="14"/>
      <c r="B519" s="2"/>
      <c r="C519" s="1"/>
      <c r="D519" s="1"/>
      <c r="E519" s="1"/>
      <c r="F519" s="1"/>
      <c r="G519" s="1"/>
      <c r="H519" s="1"/>
      <c r="I519" s="1"/>
      <c r="J519" s="1"/>
      <c r="K519" s="1"/>
      <c r="L519" s="1"/>
      <c r="M519" s="1"/>
      <c r="N519" s="1"/>
      <c r="O519" s="1"/>
      <c r="P519" s="1"/>
      <c r="Q519" s="1"/>
      <c r="R519" s="1"/>
      <c r="S519" s="1"/>
      <c r="T519" s="2"/>
      <c r="U519" s="2"/>
      <c r="V519" s="2"/>
      <c r="W519" s="2"/>
      <c r="X519" s="2"/>
      <c r="Y519" s="2"/>
      <c r="Z519" s="2"/>
    </row>
    <row r="520" spans="1:26" ht="14.25" customHeight="1">
      <c r="A520" s="14"/>
      <c r="B520" s="2"/>
      <c r="C520" s="1"/>
      <c r="D520" s="1"/>
      <c r="E520" s="1"/>
      <c r="F520" s="1"/>
      <c r="G520" s="1"/>
      <c r="H520" s="1"/>
      <c r="I520" s="1"/>
      <c r="J520" s="1"/>
      <c r="K520" s="1"/>
      <c r="L520" s="1"/>
      <c r="M520" s="1"/>
      <c r="N520" s="1"/>
      <c r="O520" s="1"/>
      <c r="P520" s="1"/>
      <c r="Q520" s="1"/>
      <c r="R520" s="1"/>
      <c r="S520" s="1"/>
      <c r="T520" s="2"/>
      <c r="U520" s="2"/>
      <c r="V520" s="2"/>
      <c r="W520" s="2"/>
      <c r="X520" s="2"/>
      <c r="Y520" s="2"/>
      <c r="Z520" s="2"/>
    </row>
    <row r="521" spans="1:26" ht="14.25" customHeight="1">
      <c r="A521" s="14"/>
      <c r="B521" s="2"/>
      <c r="C521" s="1"/>
      <c r="D521" s="1"/>
      <c r="E521" s="1"/>
      <c r="F521" s="1"/>
      <c r="G521" s="1"/>
      <c r="H521" s="1"/>
      <c r="I521" s="1"/>
      <c r="J521" s="1"/>
      <c r="K521" s="1"/>
      <c r="L521" s="1"/>
      <c r="M521" s="1"/>
      <c r="N521" s="1"/>
      <c r="O521" s="1"/>
      <c r="P521" s="1"/>
      <c r="Q521" s="1"/>
      <c r="R521" s="1"/>
      <c r="S521" s="1"/>
      <c r="T521" s="2"/>
      <c r="U521" s="2"/>
      <c r="V521" s="2"/>
      <c r="W521" s="2"/>
      <c r="X521" s="2"/>
      <c r="Y521" s="2"/>
      <c r="Z521" s="2"/>
    </row>
    <row r="522" spans="1:26" ht="14.25" customHeight="1">
      <c r="A522" s="14"/>
      <c r="B522" s="2"/>
      <c r="C522" s="1"/>
      <c r="D522" s="1"/>
      <c r="E522" s="1"/>
      <c r="F522" s="1"/>
      <c r="G522" s="1"/>
      <c r="H522" s="1"/>
      <c r="I522" s="1"/>
      <c r="J522" s="1"/>
      <c r="K522" s="1"/>
      <c r="L522" s="1"/>
      <c r="M522" s="1"/>
      <c r="N522" s="1"/>
      <c r="O522" s="1"/>
      <c r="P522" s="1"/>
      <c r="Q522" s="1"/>
      <c r="R522" s="1"/>
      <c r="S522" s="1"/>
      <c r="T522" s="2"/>
      <c r="U522" s="2"/>
      <c r="V522" s="2"/>
      <c r="W522" s="2"/>
      <c r="X522" s="2"/>
      <c r="Y522" s="2"/>
      <c r="Z522" s="2"/>
    </row>
    <row r="523" spans="1:26" ht="14.25" customHeight="1">
      <c r="A523" s="14"/>
      <c r="B523" s="2"/>
      <c r="C523" s="1"/>
      <c r="D523" s="1"/>
      <c r="E523" s="1"/>
      <c r="F523" s="1"/>
      <c r="G523" s="1"/>
      <c r="H523" s="1"/>
      <c r="I523" s="1"/>
      <c r="J523" s="1"/>
      <c r="K523" s="1"/>
      <c r="L523" s="1"/>
      <c r="M523" s="1"/>
      <c r="N523" s="1"/>
      <c r="O523" s="1"/>
      <c r="P523" s="1"/>
      <c r="Q523" s="1"/>
      <c r="R523" s="1"/>
      <c r="S523" s="1"/>
      <c r="T523" s="2"/>
      <c r="U523" s="2"/>
      <c r="V523" s="2"/>
      <c r="W523" s="2"/>
      <c r="X523" s="2"/>
      <c r="Y523" s="2"/>
      <c r="Z523" s="2"/>
    </row>
    <row r="524" spans="1:26" ht="14.25" customHeight="1">
      <c r="A524" s="14"/>
      <c r="B524" s="2"/>
      <c r="C524" s="1"/>
      <c r="D524" s="1"/>
      <c r="E524" s="1"/>
      <c r="F524" s="1"/>
      <c r="G524" s="1"/>
      <c r="H524" s="1"/>
      <c r="I524" s="1"/>
      <c r="J524" s="1"/>
      <c r="K524" s="1"/>
      <c r="L524" s="1"/>
      <c r="M524" s="1"/>
      <c r="N524" s="1"/>
      <c r="O524" s="1"/>
      <c r="P524" s="1"/>
      <c r="Q524" s="1"/>
      <c r="R524" s="1"/>
      <c r="S524" s="1"/>
      <c r="T524" s="2"/>
      <c r="U524" s="2"/>
      <c r="V524" s="2"/>
      <c r="W524" s="2"/>
      <c r="X524" s="2"/>
      <c r="Y524" s="2"/>
      <c r="Z524" s="2"/>
    </row>
    <row r="525" spans="1:26" ht="14.25" customHeight="1">
      <c r="A525" s="14"/>
      <c r="B525" s="2"/>
      <c r="C525" s="1"/>
      <c r="D525" s="1"/>
      <c r="E525" s="1"/>
      <c r="F525" s="1"/>
      <c r="G525" s="1"/>
      <c r="H525" s="1"/>
      <c r="I525" s="1"/>
      <c r="J525" s="1"/>
      <c r="K525" s="1"/>
      <c r="L525" s="1"/>
      <c r="M525" s="1"/>
      <c r="N525" s="1"/>
      <c r="O525" s="1"/>
      <c r="P525" s="1"/>
      <c r="Q525" s="1"/>
      <c r="R525" s="1"/>
      <c r="S525" s="1"/>
      <c r="T525" s="2"/>
      <c r="U525" s="2"/>
      <c r="V525" s="2"/>
      <c r="W525" s="2"/>
      <c r="X525" s="2"/>
      <c r="Y525" s="2"/>
      <c r="Z525" s="2"/>
    </row>
    <row r="526" spans="1:26" ht="14.25" customHeight="1">
      <c r="A526" s="14"/>
      <c r="B526" s="2"/>
      <c r="C526" s="1"/>
      <c r="D526" s="1"/>
      <c r="E526" s="1"/>
      <c r="F526" s="1"/>
      <c r="G526" s="1"/>
      <c r="H526" s="1"/>
      <c r="I526" s="1"/>
      <c r="J526" s="1"/>
      <c r="K526" s="1"/>
      <c r="L526" s="1"/>
      <c r="M526" s="1"/>
      <c r="N526" s="1"/>
      <c r="O526" s="1"/>
      <c r="P526" s="1"/>
      <c r="Q526" s="1"/>
      <c r="R526" s="1"/>
      <c r="S526" s="1"/>
      <c r="T526" s="2"/>
      <c r="U526" s="2"/>
      <c r="V526" s="2"/>
      <c r="W526" s="2"/>
      <c r="X526" s="2"/>
      <c r="Y526" s="2"/>
      <c r="Z526" s="2"/>
    </row>
    <row r="527" spans="1:26" ht="14.25" customHeight="1">
      <c r="A527" s="14"/>
      <c r="B527" s="2"/>
      <c r="C527" s="1"/>
      <c r="D527" s="1"/>
      <c r="E527" s="1"/>
      <c r="F527" s="1"/>
      <c r="G527" s="1"/>
      <c r="H527" s="1"/>
      <c r="I527" s="1"/>
      <c r="J527" s="1"/>
      <c r="K527" s="1"/>
      <c r="L527" s="1"/>
      <c r="M527" s="1"/>
      <c r="N527" s="1"/>
      <c r="O527" s="1"/>
      <c r="P527" s="1"/>
      <c r="Q527" s="1"/>
      <c r="R527" s="1"/>
      <c r="S527" s="1"/>
      <c r="T527" s="2"/>
      <c r="U527" s="2"/>
      <c r="V527" s="2"/>
      <c r="W527" s="2"/>
      <c r="X527" s="2"/>
      <c r="Y527" s="2"/>
      <c r="Z527" s="2"/>
    </row>
    <row r="528" spans="1:26" ht="14.25" customHeight="1">
      <c r="A528" s="14"/>
      <c r="B528" s="2"/>
      <c r="C528" s="1"/>
      <c r="D528" s="1"/>
      <c r="E528" s="1"/>
      <c r="F528" s="1"/>
      <c r="G528" s="1"/>
      <c r="H528" s="1"/>
      <c r="I528" s="1"/>
      <c r="J528" s="1"/>
      <c r="K528" s="1"/>
      <c r="L528" s="1"/>
      <c r="M528" s="1"/>
      <c r="N528" s="1"/>
      <c r="O528" s="1"/>
      <c r="P528" s="1"/>
      <c r="Q528" s="1"/>
      <c r="R528" s="1"/>
      <c r="S528" s="1"/>
      <c r="T528" s="2"/>
      <c r="U528" s="2"/>
      <c r="V528" s="2"/>
      <c r="W528" s="2"/>
      <c r="X528" s="2"/>
      <c r="Y528" s="2"/>
      <c r="Z528" s="2"/>
    </row>
    <row r="529" spans="1:26" ht="14.25" customHeight="1">
      <c r="A529" s="14"/>
      <c r="B529" s="2"/>
      <c r="C529" s="1"/>
      <c r="D529" s="1"/>
      <c r="E529" s="1"/>
      <c r="F529" s="1"/>
      <c r="G529" s="1"/>
      <c r="H529" s="1"/>
      <c r="I529" s="1"/>
      <c r="J529" s="1"/>
      <c r="K529" s="1"/>
      <c r="L529" s="1"/>
      <c r="M529" s="1"/>
      <c r="N529" s="1"/>
      <c r="O529" s="1"/>
      <c r="P529" s="1"/>
      <c r="Q529" s="1"/>
      <c r="R529" s="1"/>
      <c r="S529" s="1"/>
      <c r="T529" s="2"/>
      <c r="U529" s="2"/>
      <c r="V529" s="2"/>
      <c r="W529" s="2"/>
      <c r="X529" s="2"/>
      <c r="Y529" s="2"/>
      <c r="Z529" s="2"/>
    </row>
    <row r="530" spans="1:26" ht="14.25" customHeight="1">
      <c r="A530" s="14"/>
      <c r="B530" s="2"/>
      <c r="C530" s="1"/>
      <c r="D530" s="1"/>
      <c r="E530" s="1"/>
      <c r="F530" s="1"/>
      <c r="G530" s="1"/>
      <c r="H530" s="1"/>
      <c r="I530" s="1"/>
      <c r="J530" s="1"/>
      <c r="K530" s="1"/>
      <c r="L530" s="1"/>
      <c r="M530" s="1"/>
      <c r="N530" s="1"/>
      <c r="O530" s="1"/>
      <c r="P530" s="1"/>
      <c r="Q530" s="1"/>
      <c r="R530" s="1"/>
      <c r="S530" s="1"/>
      <c r="T530" s="2"/>
      <c r="U530" s="2"/>
      <c r="V530" s="2"/>
      <c r="W530" s="2"/>
      <c r="X530" s="2"/>
      <c r="Y530" s="2"/>
      <c r="Z530" s="2"/>
    </row>
    <row r="531" spans="1:26" ht="14.25" customHeight="1">
      <c r="A531" s="14"/>
      <c r="B531" s="2"/>
      <c r="C531" s="1"/>
      <c r="D531" s="1"/>
      <c r="E531" s="1"/>
      <c r="F531" s="1"/>
      <c r="G531" s="1"/>
      <c r="H531" s="1"/>
      <c r="I531" s="1"/>
      <c r="J531" s="1"/>
      <c r="K531" s="1"/>
      <c r="L531" s="1"/>
      <c r="M531" s="1"/>
      <c r="N531" s="1"/>
      <c r="O531" s="1"/>
      <c r="P531" s="1"/>
      <c r="Q531" s="1"/>
      <c r="R531" s="1"/>
      <c r="S531" s="1"/>
      <c r="T531" s="2"/>
      <c r="U531" s="2"/>
      <c r="V531" s="2"/>
      <c r="W531" s="2"/>
      <c r="X531" s="2"/>
      <c r="Y531" s="2"/>
      <c r="Z531" s="2"/>
    </row>
    <row r="532" spans="1:26" ht="14.25" customHeight="1">
      <c r="A532" s="14"/>
      <c r="B532" s="2"/>
      <c r="C532" s="1"/>
      <c r="D532" s="1"/>
      <c r="E532" s="1"/>
      <c r="F532" s="1"/>
      <c r="G532" s="1"/>
      <c r="H532" s="1"/>
      <c r="I532" s="1"/>
      <c r="J532" s="1"/>
      <c r="K532" s="1"/>
      <c r="L532" s="1"/>
      <c r="M532" s="1"/>
      <c r="N532" s="1"/>
      <c r="O532" s="1"/>
      <c r="P532" s="1"/>
      <c r="Q532" s="1"/>
      <c r="R532" s="1"/>
      <c r="S532" s="1"/>
      <c r="T532" s="2"/>
      <c r="U532" s="2"/>
      <c r="V532" s="2"/>
      <c r="W532" s="2"/>
      <c r="X532" s="2"/>
      <c r="Y532" s="2"/>
      <c r="Z532" s="2"/>
    </row>
    <row r="533" spans="1:26" ht="14.25" customHeight="1">
      <c r="A533" s="14"/>
      <c r="B533" s="2"/>
      <c r="C533" s="1"/>
      <c r="D533" s="1"/>
      <c r="E533" s="1"/>
      <c r="F533" s="1"/>
      <c r="G533" s="1"/>
      <c r="H533" s="1"/>
      <c r="I533" s="1"/>
      <c r="J533" s="1"/>
      <c r="K533" s="1"/>
      <c r="L533" s="1"/>
      <c r="M533" s="1"/>
      <c r="N533" s="1"/>
      <c r="O533" s="1"/>
      <c r="P533" s="1"/>
      <c r="Q533" s="1"/>
      <c r="R533" s="1"/>
      <c r="S533" s="1"/>
      <c r="T533" s="2"/>
      <c r="U533" s="2"/>
      <c r="V533" s="2"/>
      <c r="W533" s="2"/>
      <c r="X533" s="2"/>
      <c r="Y533" s="2"/>
      <c r="Z533" s="2"/>
    </row>
    <row r="534" spans="1:26" ht="14.25" customHeight="1">
      <c r="A534" s="14"/>
      <c r="B534" s="2"/>
      <c r="C534" s="1"/>
      <c r="D534" s="1"/>
      <c r="E534" s="1"/>
      <c r="F534" s="1"/>
      <c r="G534" s="1"/>
      <c r="H534" s="1"/>
      <c r="I534" s="1"/>
      <c r="J534" s="1"/>
      <c r="K534" s="1"/>
      <c r="L534" s="1"/>
      <c r="M534" s="1"/>
      <c r="N534" s="1"/>
      <c r="O534" s="1"/>
      <c r="P534" s="1"/>
      <c r="Q534" s="1"/>
      <c r="R534" s="1"/>
      <c r="S534" s="1"/>
      <c r="T534" s="2"/>
      <c r="U534" s="2"/>
      <c r="V534" s="2"/>
      <c r="W534" s="2"/>
      <c r="X534" s="2"/>
      <c r="Y534" s="2"/>
      <c r="Z534" s="2"/>
    </row>
    <row r="535" spans="1:26" ht="14.25" customHeight="1">
      <c r="A535" s="14"/>
      <c r="B535" s="2"/>
      <c r="C535" s="1"/>
      <c r="D535" s="1"/>
      <c r="E535" s="1"/>
      <c r="F535" s="1"/>
      <c r="G535" s="1"/>
      <c r="H535" s="1"/>
      <c r="I535" s="1"/>
      <c r="J535" s="1"/>
      <c r="K535" s="1"/>
      <c r="L535" s="1"/>
      <c r="M535" s="1"/>
      <c r="N535" s="1"/>
      <c r="O535" s="1"/>
      <c r="P535" s="1"/>
      <c r="Q535" s="1"/>
      <c r="R535" s="1"/>
      <c r="S535" s="1"/>
      <c r="T535" s="2"/>
      <c r="U535" s="2"/>
      <c r="V535" s="2"/>
      <c r="W535" s="2"/>
      <c r="X535" s="2"/>
      <c r="Y535" s="2"/>
      <c r="Z535" s="2"/>
    </row>
    <row r="536" spans="1:26" ht="14.25" customHeight="1">
      <c r="A536" s="14"/>
      <c r="B536" s="2"/>
      <c r="C536" s="1"/>
      <c r="D536" s="1"/>
      <c r="E536" s="1"/>
      <c r="F536" s="1"/>
      <c r="G536" s="1"/>
      <c r="H536" s="1"/>
      <c r="I536" s="1"/>
      <c r="J536" s="1"/>
      <c r="K536" s="1"/>
      <c r="L536" s="1"/>
      <c r="M536" s="1"/>
      <c r="N536" s="1"/>
      <c r="O536" s="1"/>
      <c r="P536" s="1"/>
      <c r="Q536" s="1"/>
      <c r="R536" s="1"/>
      <c r="S536" s="1"/>
      <c r="T536" s="2"/>
      <c r="U536" s="2"/>
      <c r="V536" s="2"/>
      <c r="W536" s="2"/>
      <c r="X536" s="2"/>
      <c r="Y536" s="2"/>
      <c r="Z536" s="2"/>
    </row>
    <row r="537" spans="1:26" ht="14.25" customHeight="1">
      <c r="A537" s="14"/>
      <c r="B537" s="2"/>
      <c r="C537" s="1"/>
      <c r="D537" s="1"/>
      <c r="E537" s="1"/>
      <c r="F537" s="1"/>
      <c r="G537" s="1"/>
      <c r="H537" s="1"/>
      <c r="I537" s="1"/>
      <c r="J537" s="1"/>
      <c r="K537" s="1"/>
      <c r="L537" s="1"/>
      <c r="M537" s="1"/>
      <c r="N537" s="1"/>
      <c r="O537" s="1"/>
      <c r="P537" s="1"/>
      <c r="Q537" s="1"/>
      <c r="R537" s="1"/>
      <c r="S537" s="1"/>
      <c r="T537" s="2"/>
      <c r="U537" s="2"/>
      <c r="V537" s="2"/>
      <c r="W537" s="2"/>
      <c r="X537" s="2"/>
      <c r="Y537" s="2"/>
      <c r="Z537" s="2"/>
    </row>
    <row r="538" spans="1:26" ht="14.25" customHeight="1">
      <c r="A538" s="14"/>
      <c r="B538" s="2"/>
      <c r="C538" s="1"/>
      <c r="D538" s="1"/>
      <c r="E538" s="1"/>
      <c r="F538" s="1"/>
      <c r="G538" s="1"/>
      <c r="H538" s="1"/>
      <c r="I538" s="1"/>
      <c r="J538" s="1"/>
      <c r="K538" s="1"/>
      <c r="L538" s="1"/>
      <c r="M538" s="1"/>
      <c r="N538" s="1"/>
      <c r="O538" s="1"/>
      <c r="P538" s="1"/>
      <c r="Q538" s="1"/>
      <c r="R538" s="1"/>
      <c r="S538" s="1"/>
      <c r="T538" s="2"/>
      <c r="U538" s="2"/>
      <c r="V538" s="2"/>
      <c r="W538" s="2"/>
      <c r="X538" s="2"/>
      <c r="Y538" s="2"/>
      <c r="Z538" s="2"/>
    </row>
    <row r="539" spans="1:26" ht="14.25" customHeight="1">
      <c r="A539" s="14"/>
      <c r="B539" s="2"/>
      <c r="C539" s="1"/>
      <c r="D539" s="1"/>
      <c r="E539" s="1"/>
      <c r="F539" s="1"/>
      <c r="G539" s="1"/>
      <c r="H539" s="1"/>
      <c r="I539" s="1"/>
      <c r="J539" s="1"/>
      <c r="K539" s="1"/>
      <c r="L539" s="1"/>
      <c r="M539" s="1"/>
      <c r="N539" s="1"/>
      <c r="O539" s="1"/>
      <c r="P539" s="1"/>
      <c r="Q539" s="1"/>
      <c r="R539" s="1"/>
      <c r="S539" s="1"/>
      <c r="T539" s="2"/>
      <c r="U539" s="2"/>
      <c r="V539" s="2"/>
      <c r="W539" s="2"/>
      <c r="X539" s="2"/>
      <c r="Y539" s="2"/>
      <c r="Z539" s="2"/>
    </row>
    <row r="540" spans="1:26" ht="14.25" customHeight="1">
      <c r="A540" s="14"/>
      <c r="B540" s="2"/>
      <c r="C540" s="1"/>
      <c r="D540" s="1"/>
      <c r="E540" s="1"/>
      <c r="F540" s="1"/>
      <c r="G540" s="1"/>
      <c r="H540" s="1"/>
      <c r="I540" s="1"/>
      <c r="J540" s="1"/>
      <c r="K540" s="1"/>
      <c r="L540" s="1"/>
      <c r="M540" s="1"/>
      <c r="N540" s="1"/>
      <c r="O540" s="1"/>
      <c r="P540" s="1"/>
      <c r="Q540" s="1"/>
      <c r="R540" s="1"/>
      <c r="S540" s="1"/>
      <c r="T540" s="2"/>
      <c r="U540" s="2"/>
      <c r="V540" s="2"/>
      <c r="W540" s="2"/>
      <c r="X540" s="2"/>
      <c r="Y540" s="2"/>
      <c r="Z540" s="2"/>
    </row>
    <row r="541" spans="1:26" ht="14.25" customHeight="1">
      <c r="A541" s="14"/>
      <c r="B541" s="2"/>
      <c r="C541" s="1"/>
      <c r="D541" s="1"/>
      <c r="E541" s="1"/>
      <c r="F541" s="1"/>
      <c r="G541" s="1"/>
      <c r="H541" s="1"/>
      <c r="I541" s="1"/>
      <c r="J541" s="1"/>
      <c r="K541" s="1"/>
      <c r="L541" s="1"/>
      <c r="M541" s="1"/>
      <c r="N541" s="1"/>
      <c r="O541" s="1"/>
      <c r="P541" s="1"/>
      <c r="Q541" s="1"/>
      <c r="R541" s="1"/>
      <c r="S541" s="1"/>
      <c r="T541" s="2"/>
      <c r="U541" s="2"/>
      <c r="V541" s="2"/>
      <c r="W541" s="2"/>
      <c r="X541" s="2"/>
      <c r="Y541" s="2"/>
      <c r="Z541" s="2"/>
    </row>
    <row r="542" spans="1:26" ht="14.25" customHeight="1">
      <c r="A542" s="14"/>
      <c r="B542" s="2"/>
      <c r="C542" s="1"/>
      <c r="D542" s="1"/>
      <c r="E542" s="1"/>
      <c r="F542" s="1"/>
      <c r="G542" s="1"/>
      <c r="H542" s="1"/>
      <c r="I542" s="1"/>
      <c r="J542" s="1"/>
      <c r="K542" s="1"/>
      <c r="L542" s="1"/>
      <c r="M542" s="1"/>
      <c r="N542" s="1"/>
      <c r="O542" s="1"/>
      <c r="P542" s="1"/>
      <c r="Q542" s="1"/>
      <c r="R542" s="1"/>
      <c r="S542" s="1"/>
      <c r="T542" s="2"/>
      <c r="U542" s="2"/>
      <c r="V542" s="2"/>
      <c r="W542" s="2"/>
      <c r="X542" s="2"/>
      <c r="Y542" s="2"/>
      <c r="Z542" s="2"/>
    </row>
    <row r="543" spans="1:26" ht="14.25" customHeight="1">
      <c r="A543" s="14"/>
      <c r="B543" s="2"/>
      <c r="C543" s="1"/>
      <c r="D543" s="1"/>
      <c r="E543" s="1"/>
      <c r="F543" s="1"/>
      <c r="G543" s="1"/>
      <c r="H543" s="1"/>
      <c r="I543" s="1"/>
      <c r="J543" s="1"/>
      <c r="K543" s="1"/>
      <c r="L543" s="1"/>
      <c r="M543" s="1"/>
      <c r="N543" s="1"/>
      <c r="O543" s="1"/>
      <c r="P543" s="1"/>
      <c r="Q543" s="1"/>
      <c r="R543" s="1"/>
      <c r="S543" s="1"/>
      <c r="T543" s="2"/>
      <c r="U543" s="2"/>
      <c r="V543" s="2"/>
      <c r="W543" s="2"/>
      <c r="X543" s="2"/>
      <c r="Y543" s="2"/>
      <c r="Z543" s="2"/>
    </row>
    <row r="544" spans="1:26" ht="14.25" customHeight="1">
      <c r="A544" s="14"/>
      <c r="B544" s="2"/>
      <c r="C544" s="1"/>
      <c r="D544" s="1"/>
      <c r="E544" s="1"/>
      <c r="F544" s="1"/>
      <c r="G544" s="1"/>
      <c r="H544" s="1"/>
      <c r="I544" s="1"/>
      <c r="J544" s="1"/>
      <c r="K544" s="1"/>
      <c r="L544" s="1"/>
      <c r="M544" s="1"/>
      <c r="N544" s="1"/>
      <c r="O544" s="1"/>
      <c r="P544" s="1"/>
      <c r="Q544" s="1"/>
      <c r="R544" s="1"/>
      <c r="S544" s="1"/>
      <c r="T544" s="2"/>
      <c r="U544" s="2"/>
      <c r="V544" s="2"/>
      <c r="W544" s="2"/>
      <c r="X544" s="2"/>
      <c r="Y544" s="2"/>
      <c r="Z544" s="2"/>
    </row>
    <row r="545" spans="1:26" ht="14.25" customHeight="1">
      <c r="A545" s="14"/>
      <c r="B545" s="2"/>
      <c r="C545" s="1"/>
      <c r="D545" s="1"/>
      <c r="E545" s="1"/>
      <c r="F545" s="1"/>
      <c r="G545" s="1"/>
      <c r="H545" s="1"/>
      <c r="I545" s="1"/>
      <c r="J545" s="1"/>
      <c r="K545" s="1"/>
      <c r="L545" s="1"/>
      <c r="M545" s="1"/>
      <c r="N545" s="1"/>
      <c r="O545" s="1"/>
      <c r="P545" s="1"/>
      <c r="Q545" s="1"/>
      <c r="R545" s="1"/>
      <c r="S545" s="1"/>
      <c r="T545" s="2"/>
      <c r="U545" s="2"/>
      <c r="V545" s="2"/>
      <c r="W545" s="2"/>
      <c r="X545" s="2"/>
      <c r="Y545" s="2"/>
      <c r="Z545" s="2"/>
    </row>
    <row r="546" spans="1:26" ht="14.25" customHeight="1">
      <c r="A546" s="14"/>
      <c r="B546" s="2"/>
      <c r="C546" s="1"/>
      <c r="D546" s="1"/>
      <c r="E546" s="1"/>
      <c r="F546" s="1"/>
      <c r="G546" s="1"/>
      <c r="H546" s="1"/>
      <c r="I546" s="1"/>
      <c r="J546" s="1"/>
      <c r="K546" s="1"/>
      <c r="L546" s="1"/>
      <c r="M546" s="1"/>
      <c r="N546" s="1"/>
      <c r="O546" s="1"/>
      <c r="P546" s="1"/>
      <c r="Q546" s="1"/>
      <c r="R546" s="1"/>
      <c r="S546" s="1"/>
      <c r="T546" s="2"/>
      <c r="U546" s="2"/>
      <c r="V546" s="2"/>
      <c r="W546" s="2"/>
      <c r="X546" s="2"/>
      <c r="Y546" s="2"/>
      <c r="Z546" s="2"/>
    </row>
    <row r="547" spans="1:26" ht="14.25" customHeight="1">
      <c r="A547" s="14"/>
      <c r="B547" s="2"/>
      <c r="C547" s="1"/>
      <c r="D547" s="1"/>
      <c r="E547" s="1"/>
      <c r="F547" s="1"/>
      <c r="G547" s="1"/>
      <c r="H547" s="1"/>
      <c r="I547" s="1"/>
      <c r="J547" s="1"/>
      <c r="K547" s="1"/>
      <c r="L547" s="1"/>
      <c r="M547" s="1"/>
      <c r="N547" s="1"/>
      <c r="O547" s="1"/>
      <c r="P547" s="1"/>
      <c r="Q547" s="1"/>
      <c r="R547" s="1"/>
      <c r="S547" s="1"/>
      <c r="T547" s="2"/>
      <c r="U547" s="2"/>
      <c r="V547" s="2"/>
      <c r="W547" s="2"/>
      <c r="X547" s="2"/>
      <c r="Y547" s="2"/>
      <c r="Z547" s="2"/>
    </row>
    <row r="548" spans="1:26" ht="14.25" customHeight="1">
      <c r="A548" s="14"/>
      <c r="B548" s="2"/>
      <c r="C548" s="1"/>
      <c r="D548" s="1"/>
      <c r="E548" s="1"/>
      <c r="F548" s="1"/>
      <c r="G548" s="1"/>
      <c r="H548" s="1"/>
      <c r="I548" s="1"/>
      <c r="J548" s="1"/>
      <c r="K548" s="1"/>
      <c r="L548" s="1"/>
      <c r="M548" s="1"/>
      <c r="N548" s="1"/>
      <c r="O548" s="1"/>
      <c r="P548" s="1"/>
      <c r="Q548" s="1"/>
      <c r="R548" s="1"/>
      <c r="S548" s="1"/>
      <c r="T548" s="2"/>
      <c r="U548" s="2"/>
      <c r="V548" s="2"/>
      <c r="W548" s="2"/>
      <c r="X548" s="2"/>
      <c r="Y548" s="2"/>
      <c r="Z548" s="2"/>
    </row>
    <row r="549" spans="1:26" ht="14.25" customHeight="1">
      <c r="A549" s="14"/>
      <c r="B549" s="2"/>
      <c r="C549" s="1"/>
      <c r="D549" s="1"/>
      <c r="E549" s="1"/>
      <c r="F549" s="1"/>
      <c r="G549" s="1"/>
      <c r="H549" s="1"/>
      <c r="I549" s="1"/>
      <c r="J549" s="1"/>
      <c r="K549" s="1"/>
      <c r="L549" s="1"/>
      <c r="M549" s="1"/>
      <c r="N549" s="1"/>
      <c r="O549" s="1"/>
      <c r="P549" s="1"/>
      <c r="Q549" s="1"/>
      <c r="R549" s="1"/>
      <c r="S549" s="1"/>
      <c r="T549" s="2"/>
      <c r="U549" s="2"/>
      <c r="V549" s="2"/>
      <c r="W549" s="2"/>
      <c r="X549" s="2"/>
      <c r="Y549" s="2"/>
      <c r="Z549" s="2"/>
    </row>
    <row r="550" spans="1:26" ht="14.25" customHeight="1">
      <c r="A550" s="14"/>
      <c r="B550" s="2"/>
      <c r="C550" s="1"/>
      <c r="D550" s="1"/>
      <c r="E550" s="1"/>
      <c r="F550" s="1"/>
      <c r="G550" s="1"/>
      <c r="H550" s="1"/>
      <c r="I550" s="1"/>
      <c r="J550" s="1"/>
      <c r="K550" s="1"/>
      <c r="L550" s="1"/>
      <c r="M550" s="1"/>
      <c r="N550" s="1"/>
      <c r="O550" s="1"/>
      <c r="P550" s="1"/>
      <c r="Q550" s="1"/>
      <c r="R550" s="1"/>
      <c r="S550" s="1"/>
      <c r="T550" s="2"/>
      <c r="U550" s="2"/>
      <c r="V550" s="2"/>
      <c r="W550" s="2"/>
      <c r="X550" s="2"/>
      <c r="Y550" s="2"/>
      <c r="Z550" s="2"/>
    </row>
    <row r="551" spans="1:26" ht="14.25" customHeight="1">
      <c r="A551" s="14"/>
      <c r="B551" s="2"/>
      <c r="C551" s="1"/>
      <c r="D551" s="1"/>
      <c r="E551" s="1"/>
      <c r="F551" s="1"/>
      <c r="G551" s="1"/>
      <c r="H551" s="1"/>
      <c r="I551" s="1"/>
      <c r="J551" s="1"/>
      <c r="K551" s="1"/>
      <c r="L551" s="1"/>
      <c r="M551" s="1"/>
      <c r="N551" s="1"/>
      <c r="O551" s="1"/>
      <c r="P551" s="1"/>
      <c r="Q551" s="1"/>
      <c r="R551" s="1"/>
      <c r="S551" s="1"/>
      <c r="T551" s="2"/>
      <c r="U551" s="2"/>
      <c r="V551" s="2"/>
      <c r="W551" s="2"/>
      <c r="X551" s="2"/>
      <c r="Y551" s="2"/>
      <c r="Z551" s="2"/>
    </row>
    <row r="552" spans="1:26" ht="14.25" customHeight="1">
      <c r="A552" s="14"/>
      <c r="B552" s="2"/>
      <c r="C552" s="1"/>
      <c r="D552" s="1"/>
      <c r="E552" s="1"/>
      <c r="F552" s="1"/>
      <c r="G552" s="1"/>
      <c r="H552" s="1"/>
      <c r="I552" s="1"/>
      <c r="J552" s="1"/>
      <c r="K552" s="1"/>
      <c r="L552" s="1"/>
      <c r="M552" s="1"/>
      <c r="N552" s="1"/>
      <c r="O552" s="1"/>
      <c r="P552" s="1"/>
      <c r="Q552" s="1"/>
      <c r="R552" s="1"/>
      <c r="S552" s="1"/>
      <c r="T552" s="2"/>
      <c r="U552" s="2"/>
      <c r="V552" s="2"/>
      <c r="W552" s="2"/>
      <c r="X552" s="2"/>
      <c r="Y552" s="2"/>
      <c r="Z552" s="2"/>
    </row>
    <row r="553" spans="1:26" ht="14.25" customHeight="1">
      <c r="A553" s="14"/>
      <c r="B553" s="2"/>
      <c r="C553" s="1"/>
      <c r="D553" s="1"/>
      <c r="E553" s="1"/>
      <c r="F553" s="1"/>
      <c r="G553" s="1"/>
      <c r="H553" s="1"/>
      <c r="I553" s="1"/>
      <c r="J553" s="1"/>
      <c r="K553" s="1"/>
      <c r="L553" s="1"/>
      <c r="M553" s="1"/>
      <c r="N553" s="1"/>
      <c r="O553" s="1"/>
      <c r="P553" s="1"/>
      <c r="Q553" s="1"/>
      <c r="R553" s="1"/>
      <c r="S553" s="1"/>
      <c r="T553" s="2"/>
      <c r="U553" s="2"/>
      <c r="V553" s="2"/>
      <c r="W553" s="2"/>
      <c r="X553" s="2"/>
      <c r="Y553" s="2"/>
      <c r="Z553" s="2"/>
    </row>
    <row r="554" spans="1:26" ht="14.25" customHeight="1">
      <c r="A554" s="14"/>
      <c r="B554" s="2"/>
      <c r="C554" s="1"/>
      <c r="D554" s="1"/>
      <c r="E554" s="1"/>
      <c r="F554" s="1"/>
      <c r="G554" s="1"/>
      <c r="H554" s="1"/>
      <c r="I554" s="1"/>
      <c r="J554" s="1"/>
      <c r="K554" s="1"/>
      <c r="L554" s="1"/>
      <c r="M554" s="1"/>
      <c r="N554" s="1"/>
      <c r="O554" s="1"/>
      <c r="P554" s="1"/>
      <c r="Q554" s="1"/>
      <c r="R554" s="1"/>
      <c r="S554" s="1"/>
      <c r="T554" s="2"/>
      <c r="U554" s="2"/>
      <c r="V554" s="2"/>
      <c r="W554" s="2"/>
      <c r="X554" s="2"/>
      <c r="Y554" s="2"/>
      <c r="Z554" s="2"/>
    </row>
    <row r="555" spans="1:26" ht="14.25" customHeight="1">
      <c r="A555" s="14"/>
      <c r="B555" s="2"/>
      <c r="C555" s="1"/>
      <c r="D555" s="1"/>
      <c r="E555" s="1"/>
      <c r="F555" s="1"/>
      <c r="G555" s="1"/>
      <c r="H555" s="1"/>
      <c r="I555" s="1"/>
      <c r="J555" s="1"/>
      <c r="K555" s="1"/>
      <c r="L555" s="1"/>
      <c r="M555" s="1"/>
      <c r="N555" s="1"/>
      <c r="O555" s="1"/>
      <c r="P555" s="1"/>
      <c r="Q555" s="1"/>
      <c r="R555" s="1"/>
      <c r="S555" s="1"/>
      <c r="T555" s="2"/>
      <c r="U555" s="2"/>
      <c r="V555" s="2"/>
      <c r="W555" s="2"/>
      <c r="X555" s="2"/>
      <c r="Y555" s="2"/>
      <c r="Z555" s="2"/>
    </row>
    <row r="556" spans="1:26" ht="14.25" customHeight="1">
      <c r="A556" s="14"/>
      <c r="B556" s="2"/>
      <c r="C556" s="1"/>
      <c r="D556" s="1"/>
      <c r="E556" s="1"/>
      <c r="F556" s="1"/>
      <c r="G556" s="1"/>
      <c r="H556" s="1"/>
      <c r="I556" s="1"/>
      <c r="J556" s="1"/>
      <c r="K556" s="1"/>
      <c r="L556" s="1"/>
      <c r="M556" s="1"/>
      <c r="N556" s="1"/>
      <c r="O556" s="1"/>
      <c r="P556" s="1"/>
      <c r="Q556" s="1"/>
      <c r="R556" s="1"/>
      <c r="S556" s="1"/>
      <c r="T556" s="2"/>
      <c r="U556" s="2"/>
      <c r="V556" s="2"/>
      <c r="W556" s="2"/>
      <c r="X556" s="2"/>
      <c r="Y556" s="2"/>
      <c r="Z556" s="2"/>
    </row>
    <row r="557" spans="1:26" ht="14.25" customHeight="1">
      <c r="A557" s="14"/>
      <c r="B557" s="2"/>
      <c r="C557" s="1"/>
      <c r="D557" s="1"/>
      <c r="E557" s="1"/>
      <c r="F557" s="1"/>
      <c r="G557" s="1"/>
      <c r="H557" s="1"/>
      <c r="I557" s="1"/>
      <c r="J557" s="1"/>
      <c r="K557" s="1"/>
      <c r="L557" s="1"/>
      <c r="M557" s="1"/>
      <c r="N557" s="1"/>
      <c r="O557" s="1"/>
      <c r="P557" s="1"/>
      <c r="Q557" s="1"/>
      <c r="R557" s="1"/>
      <c r="S557" s="1"/>
      <c r="T557" s="2"/>
      <c r="U557" s="2"/>
      <c r="V557" s="2"/>
      <c r="W557" s="2"/>
      <c r="X557" s="2"/>
      <c r="Y557" s="2"/>
      <c r="Z557" s="2"/>
    </row>
    <row r="558" spans="1:26" ht="14.25" customHeight="1">
      <c r="A558" s="14"/>
      <c r="B558" s="2"/>
      <c r="C558" s="1"/>
      <c r="D558" s="1"/>
      <c r="E558" s="1"/>
      <c r="F558" s="1"/>
      <c r="G558" s="1"/>
      <c r="H558" s="1"/>
      <c r="I558" s="1"/>
      <c r="J558" s="1"/>
      <c r="K558" s="1"/>
      <c r="L558" s="1"/>
      <c r="M558" s="1"/>
      <c r="N558" s="1"/>
      <c r="O558" s="1"/>
      <c r="P558" s="1"/>
      <c r="Q558" s="1"/>
      <c r="R558" s="1"/>
      <c r="S558" s="1"/>
      <c r="T558" s="2"/>
      <c r="U558" s="2"/>
      <c r="V558" s="2"/>
      <c r="W558" s="2"/>
      <c r="X558" s="2"/>
      <c r="Y558" s="2"/>
      <c r="Z558" s="2"/>
    </row>
    <row r="559" spans="1:26" ht="14.25" customHeight="1">
      <c r="A559" s="14"/>
      <c r="B559" s="2"/>
      <c r="C559" s="1"/>
      <c r="D559" s="1"/>
      <c r="E559" s="1"/>
      <c r="F559" s="1"/>
      <c r="G559" s="1"/>
      <c r="H559" s="1"/>
      <c r="I559" s="1"/>
      <c r="J559" s="1"/>
      <c r="K559" s="1"/>
      <c r="L559" s="1"/>
      <c r="M559" s="1"/>
      <c r="N559" s="1"/>
      <c r="O559" s="1"/>
      <c r="P559" s="1"/>
      <c r="Q559" s="1"/>
      <c r="R559" s="1"/>
      <c r="S559" s="1"/>
      <c r="T559" s="2"/>
      <c r="U559" s="2"/>
      <c r="V559" s="2"/>
      <c r="W559" s="2"/>
      <c r="X559" s="2"/>
      <c r="Y559" s="2"/>
      <c r="Z559" s="2"/>
    </row>
    <row r="560" spans="1:26" ht="14.25" customHeight="1">
      <c r="A560" s="14"/>
      <c r="B560" s="2"/>
      <c r="C560" s="1"/>
      <c r="D560" s="1"/>
      <c r="E560" s="1"/>
      <c r="F560" s="1"/>
      <c r="G560" s="1"/>
      <c r="H560" s="1"/>
      <c r="I560" s="1"/>
      <c r="J560" s="1"/>
      <c r="K560" s="1"/>
      <c r="L560" s="1"/>
      <c r="M560" s="1"/>
      <c r="N560" s="1"/>
      <c r="O560" s="1"/>
      <c r="P560" s="1"/>
      <c r="Q560" s="1"/>
      <c r="R560" s="1"/>
      <c r="S560" s="1"/>
      <c r="T560" s="2"/>
      <c r="U560" s="2"/>
      <c r="V560" s="2"/>
      <c r="W560" s="2"/>
      <c r="X560" s="2"/>
      <c r="Y560" s="2"/>
      <c r="Z560" s="2"/>
    </row>
    <row r="561" spans="1:26" ht="14.25" customHeight="1">
      <c r="A561" s="14"/>
      <c r="B561" s="2"/>
      <c r="C561" s="1"/>
      <c r="D561" s="1"/>
      <c r="E561" s="1"/>
      <c r="F561" s="1"/>
      <c r="G561" s="1"/>
      <c r="H561" s="1"/>
      <c r="I561" s="1"/>
      <c r="J561" s="1"/>
      <c r="K561" s="1"/>
      <c r="L561" s="1"/>
      <c r="M561" s="1"/>
      <c r="N561" s="1"/>
      <c r="O561" s="1"/>
      <c r="P561" s="1"/>
      <c r="Q561" s="1"/>
      <c r="R561" s="1"/>
      <c r="S561" s="1"/>
      <c r="T561" s="2"/>
      <c r="U561" s="2"/>
      <c r="V561" s="2"/>
      <c r="W561" s="2"/>
      <c r="X561" s="2"/>
      <c r="Y561" s="2"/>
      <c r="Z561" s="2"/>
    </row>
    <row r="562" spans="1:26" ht="14.25" customHeight="1">
      <c r="A562" s="14"/>
      <c r="B562" s="2"/>
      <c r="C562" s="1"/>
      <c r="D562" s="1"/>
      <c r="E562" s="1"/>
      <c r="F562" s="1"/>
      <c r="G562" s="1"/>
      <c r="H562" s="1"/>
      <c r="I562" s="1"/>
      <c r="J562" s="1"/>
      <c r="K562" s="1"/>
      <c r="L562" s="1"/>
      <c r="M562" s="1"/>
      <c r="N562" s="1"/>
      <c r="O562" s="1"/>
      <c r="P562" s="1"/>
      <c r="Q562" s="1"/>
      <c r="R562" s="1"/>
      <c r="S562" s="1"/>
      <c r="T562" s="2"/>
      <c r="U562" s="2"/>
      <c r="V562" s="2"/>
      <c r="W562" s="2"/>
      <c r="X562" s="2"/>
      <c r="Y562" s="2"/>
      <c r="Z562" s="2"/>
    </row>
    <row r="563" spans="1:26" ht="14.25" customHeight="1">
      <c r="A563" s="14"/>
      <c r="B563" s="2"/>
      <c r="C563" s="1"/>
      <c r="D563" s="1"/>
      <c r="E563" s="1"/>
      <c r="F563" s="1"/>
      <c r="G563" s="1"/>
      <c r="H563" s="1"/>
      <c r="I563" s="1"/>
      <c r="J563" s="1"/>
      <c r="K563" s="1"/>
      <c r="L563" s="1"/>
      <c r="M563" s="1"/>
      <c r="N563" s="1"/>
      <c r="O563" s="1"/>
      <c r="P563" s="1"/>
      <c r="Q563" s="1"/>
      <c r="R563" s="1"/>
      <c r="S563" s="1"/>
      <c r="T563" s="2"/>
      <c r="U563" s="2"/>
      <c r="V563" s="2"/>
      <c r="W563" s="2"/>
      <c r="X563" s="2"/>
      <c r="Y563" s="2"/>
      <c r="Z563" s="2"/>
    </row>
    <row r="564" spans="1:26" ht="14.25" customHeight="1">
      <c r="A564" s="14"/>
      <c r="B564" s="2"/>
      <c r="C564" s="1"/>
      <c r="D564" s="1"/>
      <c r="E564" s="1"/>
      <c r="F564" s="1"/>
      <c r="G564" s="1"/>
      <c r="H564" s="1"/>
      <c r="I564" s="1"/>
      <c r="J564" s="1"/>
      <c r="K564" s="1"/>
      <c r="L564" s="1"/>
      <c r="M564" s="1"/>
      <c r="N564" s="1"/>
      <c r="O564" s="1"/>
      <c r="P564" s="1"/>
      <c r="Q564" s="1"/>
      <c r="R564" s="1"/>
      <c r="S564" s="1"/>
      <c r="T564" s="2"/>
      <c r="U564" s="2"/>
      <c r="V564" s="2"/>
      <c r="W564" s="2"/>
      <c r="X564" s="2"/>
      <c r="Y564" s="2"/>
      <c r="Z564" s="2"/>
    </row>
    <row r="565" spans="1:26" ht="14.25" customHeight="1">
      <c r="A565" s="14"/>
      <c r="B565" s="2"/>
      <c r="C565" s="1"/>
      <c r="D565" s="1"/>
      <c r="E565" s="1"/>
      <c r="F565" s="1"/>
      <c r="G565" s="1"/>
      <c r="H565" s="1"/>
      <c r="I565" s="1"/>
      <c r="J565" s="1"/>
      <c r="K565" s="1"/>
      <c r="L565" s="1"/>
      <c r="M565" s="1"/>
      <c r="N565" s="1"/>
      <c r="O565" s="1"/>
      <c r="P565" s="1"/>
      <c r="Q565" s="1"/>
      <c r="R565" s="1"/>
      <c r="S565" s="1"/>
      <c r="T565" s="2"/>
      <c r="U565" s="2"/>
      <c r="V565" s="2"/>
      <c r="W565" s="2"/>
      <c r="X565" s="2"/>
      <c r="Y565" s="2"/>
      <c r="Z565" s="2"/>
    </row>
    <row r="566" spans="1:26" ht="14.25" customHeight="1">
      <c r="A566" s="14"/>
      <c r="B566" s="2"/>
      <c r="C566" s="1"/>
      <c r="D566" s="1"/>
      <c r="E566" s="1"/>
      <c r="F566" s="1"/>
      <c r="G566" s="1"/>
      <c r="H566" s="1"/>
      <c r="I566" s="1"/>
      <c r="J566" s="1"/>
      <c r="K566" s="1"/>
      <c r="L566" s="1"/>
      <c r="M566" s="1"/>
      <c r="N566" s="1"/>
      <c r="O566" s="1"/>
      <c r="P566" s="1"/>
      <c r="Q566" s="1"/>
      <c r="R566" s="1"/>
      <c r="S566" s="1"/>
      <c r="T566" s="2"/>
      <c r="U566" s="2"/>
      <c r="V566" s="2"/>
      <c r="W566" s="2"/>
      <c r="X566" s="2"/>
      <c r="Y566" s="2"/>
      <c r="Z566" s="2"/>
    </row>
    <row r="567" spans="1:26" ht="14.25" customHeight="1">
      <c r="A567" s="14"/>
      <c r="B567" s="2"/>
      <c r="C567" s="1"/>
      <c r="D567" s="1"/>
      <c r="E567" s="1"/>
      <c r="F567" s="1"/>
      <c r="G567" s="1"/>
      <c r="H567" s="1"/>
      <c r="I567" s="1"/>
      <c r="J567" s="1"/>
      <c r="K567" s="1"/>
      <c r="L567" s="1"/>
      <c r="M567" s="1"/>
      <c r="N567" s="1"/>
      <c r="O567" s="1"/>
      <c r="P567" s="1"/>
      <c r="Q567" s="1"/>
      <c r="R567" s="1"/>
      <c r="S567" s="1"/>
      <c r="T567" s="2"/>
      <c r="U567" s="2"/>
      <c r="V567" s="2"/>
      <c r="W567" s="2"/>
      <c r="X567" s="2"/>
      <c r="Y567" s="2"/>
      <c r="Z567" s="2"/>
    </row>
    <row r="568" spans="1:26" ht="14.25" customHeight="1">
      <c r="A568" s="14"/>
      <c r="B568" s="2"/>
      <c r="C568" s="1"/>
      <c r="D568" s="1"/>
      <c r="E568" s="1"/>
      <c r="F568" s="1"/>
      <c r="G568" s="1"/>
      <c r="H568" s="1"/>
      <c r="I568" s="1"/>
      <c r="J568" s="1"/>
      <c r="K568" s="1"/>
      <c r="L568" s="1"/>
      <c r="M568" s="1"/>
      <c r="N568" s="1"/>
      <c r="O568" s="1"/>
      <c r="P568" s="1"/>
      <c r="Q568" s="1"/>
      <c r="R568" s="1"/>
      <c r="S568" s="1"/>
      <c r="T568" s="2"/>
      <c r="U568" s="2"/>
      <c r="V568" s="2"/>
      <c r="W568" s="2"/>
      <c r="X568" s="2"/>
      <c r="Y568" s="2"/>
      <c r="Z568" s="2"/>
    </row>
    <row r="569" spans="1:26" ht="14.25" customHeight="1">
      <c r="A569" s="14"/>
      <c r="B569" s="2"/>
      <c r="C569" s="1"/>
      <c r="D569" s="1"/>
      <c r="E569" s="1"/>
      <c r="F569" s="1"/>
      <c r="G569" s="1"/>
      <c r="H569" s="1"/>
      <c r="I569" s="1"/>
      <c r="J569" s="1"/>
      <c r="K569" s="1"/>
      <c r="L569" s="1"/>
      <c r="M569" s="1"/>
      <c r="N569" s="1"/>
      <c r="O569" s="1"/>
      <c r="P569" s="1"/>
      <c r="Q569" s="1"/>
      <c r="R569" s="1"/>
      <c r="S569" s="1"/>
      <c r="T569" s="2"/>
      <c r="U569" s="2"/>
      <c r="V569" s="2"/>
      <c r="W569" s="2"/>
      <c r="X569" s="2"/>
      <c r="Y569" s="2"/>
      <c r="Z569" s="2"/>
    </row>
    <row r="570" spans="1:26" ht="14.25" customHeight="1">
      <c r="A570" s="14"/>
      <c r="B570" s="2"/>
      <c r="C570" s="1"/>
      <c r="D570" s="1"/>
      <c r="E570" s="1"/>
      <c r="F570" s="1"/>
      <c r="G570" s="1"/>
      <c r="H570" s="1"/>
      <c r="I570" s="1"/>
      <c r="J570" s="1"/>
      <c r="K570" s="1"/>
      <c r="L570" s="1"/>
      <c r="M570" s="1"/>
      <c r="N570" s="1"/>
      <c r="O570" s="1"/>
      <c r="P570" s="1"/>
      <c r="Q570" s="1"/>
      <c r="R570" s="1"/>
      <c r="S570" s="1"/>
      <c r="T570" s="2"/>
      <c r="U570" s="2"/>
      <c r="V570" s="2"/>
      <c r="W570" s="2"/>
      <c r="X570" s="2"/>
      <c r="Y570" s="2"/>
      <c r="Z570" s="2"/>
    </row>
    <row r="571" spans="1:26" ht="14.25" customHeight="1">
      <c r="A571" s="14"/>
      <c r="B571" s="2"/>
      <c r="C571" s="1"/>
      <c r="D571" s="1"/>
      <c r="E571" s="1"/>
      <c r="F571" s="1"/>
      <c r="G571" s="1"/>
      <c r="H571" s="1"/>
      <c r="I571" s="1"/>
      <c r="J571" s="1"/>
      <c r="K571" s="1"/>
      <c r="L571" s="1"/>
      <c r="M571" s="1"/>
      <c r="N571" s="1"/>
      <c r="O571" s="1"/>
      <c r="P571" s="1"/>
      <c r="Q571" s="1"/>
      <c r="R571" s="1"/>
      <c r="S571" s="1"/>
      <c r="T571" s="2"/>
      <c r="U571" s="2"/>
      <c r="V571" s="2"/>
      <c r="W571" s="2"/>
      <c r="X571" s="2"/>
      <c r="Y571" s="2"/>
      <c r="Z571" s="2"/>
    </row>
    <row r="572" spans="1:26" ht="14.25" customHeight="1">
      <c r="A572" s="14"/>
      <c r="B572" s="2"/>
      <c r="C572" s="1"/>
      <c r="D572" s="1"/>
      <c r="E572" s="1"/>
      <c r="F572" s="1"/>
      <c r="G572" s="1"/>
      <c r="H572" s="1"/>
      <c r="I572" s="1"/>
      <c r="J572" s="1"/>
      <c r="K572" s="1"/>
      <c r="L572" s="1"/>
      <c r="M572" s="1"/>
      <c r="N572" s="1"/>
      <c r="O572" s="1"/>
      <c r="P572" s="1"/>
      <c r="Q572" s="1"/>
      <c r="R572" s="1"/>
      <c r="S572" s="1"/>
      <c r="T572" s="2"/>
      <c r="U572" s="2"/>
      <c r="V572" s="2"/>
      <c r="W572" s="2"/>
      <c r="X572" s="2"/>
      <c r="Y572" s="2"/>
      <c r="Z572" s="2"/>
    </row>
    <row r="573" spans="1:26" ht="14.25" customHeight="1">
      <c r="A573" s="14"/>
      <c r="B573" s="2"/>
      <c r="C573" s="1"/>
      <c r="D573" s="1"/>
      <c r="E573" s="1"/>
      <c r="F573" s="1"/>
      <c r="G573" s="1"/>
      <c r="H573" s="1"/>
      <c r="I573" s="1"/>
      <c r="J573" s="1"/>
      <c r="K573" s="1"/>
      <c r="L573" s="1"/>
      <c r="M573" s="1"/>
      <c r="N573" s="1"/>
      <c r="O573" s="1"/>
      <c r="P573" s="1"/>
      <c r="Q573" s="1"/>
      <c r="R573" s="1"/>
      <c r="S573" s="1"/>
      <c r="T573" s="2"/>
      <c r="U573" s="2"/>
      <c r="V573" s="2"/>
      <c r="W573" s="2"/>
      <c r="X573" s="2"/>
      <c r="Y573" s="2"/>
      <c r="Z573" s="2"/>
    </row>
    <row r="574" spans="1:26" ht="14.25" customHeight="1">
      <c r="A574" s="14"/>
      <c r="B574" s="2"/>
      <c r="C574" s="1"/>
      <c r="D574" s="1"/>
      <c r="E574" s="1"/>
      <c r="F574" s="1"/>
      <c r="G574" s="1"/>
      <c r="H574" s="1"/>
      <c r="I574" s="1"/>
      <c r="J574" s="1"/>
      <c r="K574" s="1"/>
      <c r="L574" s="1"/>
      <c r="M574" s="1"/>
      <c r="N574" s="1"/>
      <c r="O574" s="1"/>
      <c r="P574" s="1"/>
      <c r="Q574" s="1"/>
      <c r="R574" s="1"/>
      <c r="S574" s="1"/>
      <c r="T574" s="2"/>
      <c r="U574" s="2"/>
      <c r="V574" s="2"/>
      <c r="W574" s="2"/>
      <c r="X574" s="2"/>
      <c r="Y574" s="2"/>
      <c r="Z574" s="2"/>
    </row>
    <row r="575" spans="1:26" ht="14.25" customHeight="1">
      <c r="A575" s="14"/>
      <c r="B575" s="2"/>
      <c r="C575" s="1"/>
      <c r="D575" s="1"/>
      <c r="E575" s="1"/>
      <c r="F575" s="1"/>
      <c r="G575" s="1"/>
      <c r="H575" s="1"/>
      <c r="I575" s="1"/>
      <c r="J575" s="1"/>
      <c r="K575" s="1"/>
      <c r="L575" s="1"/>
      <c r="M575" s="1"/>
      <c r="N575" s="1"/>
      <c r="O575" s="1"/>
      <c r="P575" s="1"/>
      <c r="Q575" s="1"/>
      <c r="R575" s="1"/>
      <c r="S575" s="1"/>
      <c r="T575" s="2"/>
      <c r="U575" s="2"/>
      <c r="V575" s="2"/>
      <c r="W575" s="2"/>
      <c r="X575" s="2"/>
      <c r="Y575" s="2"/>
      <c r="Z575" s="2"/>
    </row>
    <row r="576" spans="1:26" ht="14.25" customHeight="1">
      <c r="A576" s="14"/>
      <c r="B576" s="2"/>
      <c r="C576" s="1"/>
      <c r="D576" s="1"/>
      <c r="E576" s="1"/>
      <c r="F576" s="1"/>
      <c r="G576" s="1"/>
      <c r="H576" s="1"/>
      <c r="I576" s="1"/>
      <c r="J576" s="1"/>
      <c r="K576" s="1"/>
      <c r="L576" s="1"/>
      <c r="M576" s="1"/>
      <c r="N576" s="1"/>
      <c r="O576" s="1"/>
      <c r="P576" s="1"/>
      <c r="Q576" s="1"/>
      <c r="R576" s="1"/>
      <c r="S576" s="1"/>
      <c r="T576" s="2"/>
      <c r="U576" s="2"/>
      <c r="V576" s="2"/>
      <c r="W576" s="2"/>
      <c r="X576" s="2"/>
      <c r="Y576" s="2"/>
      <c r="Z576" s="2"/>
    </row>
    <row r="577" spans="1:26" ht="14.25" customHeight="1">
      <c r="A577" s="14"/>
      <c r="B577" s="2"/>
      <c r="C577" s="1"/>
      <c r="D577" s="1"/>
      <c r="E577" s="1"/>
      <c r="F577" s="1"/>
      <c r="G577" s="1"/>
      <c r="H577" s="1"/>
      <c r="I577" s="1"/>
      <c r="J577" s="1"/>
      <c r="K577" s="1"/>
      <c r="L577" s="1"/>
      <c r="M577" s="1"/>
      <c r="N577" s="1"/>
      <c r="O577" s="1"/>
      <c r="P577" s="1"/>
      <c r="Q577" s="1"/>
      <c r="R577" s="1"/>
      <c r="S577" s="1"/>
      <c r="T577" s="2"/>
      <c r="U577" s="2"/>
      <c r="V577" s="2"/>
      <c r="W577" s="2"/>
      <c r="X577" s="2"/>
      <c r="Y577" s="2"/>
      <c r="Z577" s="2"/>
    </row>
    <row r="578" spans="1:26" ht="14.25" customHeight="1">
      <c r="A578" s="14"/>
      <c r="B578" s="2"/>
      <c r="C578" s="1"/>
      <c r="D578" s="1"/>
      <c r="E578" s="1"/>
      <c r="F578" s="1"/>
      <c r="G578" s="1"/>
      <c r="H578" s="1"/>
      <c r="I578" s="1"/>
      <c r="J578" s="1"/>
      <c r="K578" s="1"/>
      <c r="L578" s="1"/>
      <c r="M578" s="1"/>
      <c r="N578" s="1"/>
      <c r="O578" s="1"/>
      <c r="P578" s="1"/>
      <c r="Q578" s="1"/>
      <c r="R578" s="1"/>
      <c r="S578" s="1"/>
      <c r="T578" s="2"/>
      <c r="U578" s="2"/>
      <c r="V578" s="2"/>
      <c r="W578" s="2"/>
      <c r="X578" s="2"/>
      <c r="Y578" s="2"/>
      <c r="Z578" s="2"/>
    </row>
    <row r="579" spans="1:26" ht="14.25" customHeight="1">
      <c r="A579" s="14"/>
      <c r="B579" s="2"/>
      <c r="C579" s="1"/>
      <c r="D579" s="1"/>
      <c r="E579" s="1"/>
      <c r="F579" s="1"/>
      <c r="G579" s="1"/>
      <c r="H579" s="1"/>
      <c r="I579" s="1"/>
      <c r="J579" s="1"/>
      <c r="K579" s="1"/>
      <c r="L579" s="1"/>
      <c r="M579" s="1"/>
      <c r="N579" s="1"/>
      <c r="O579" s="1"/>
      <c r="P579" s="1"/>
      <c r="Q579" s="1"/>
      <c r="R579" s="1"/>
      <c r="S579" s="1"/>
      <c r="T579" s="2"/>
      <c r="U579" s="2"/>
      <c r="V579" s="2"/>
      <c r="W579" s="2"/>
      <c r="X579" s="2"/>
      <c r="Y579" s="2"/>
      <c r="Z579" s="2"/>
    </row>
    <row r="580" spans="1:26" ht="14.25" customHeight="1">
      <c r="A580" s="14"/>
      <c r="B580" s="2"/>
      <c r="C580" s="1"/>
      <c r="D580" s="1"/>
      <c r="E580" s="1"/>
      <c r="F580" s="1"/>
      <c r="G580" s="1"/>
      <c r="H580" s="1"/>
      <c r="I580" s="1"/>
      <c r="J580" s="1"/>
      <c r="K580" s="1"/>
      <c r="L580" s="1"/>
      <c r="M580" s="1"/>
      <c r="N580" s="1"/>
      <c r="O580" s="1"/>
      <c r="P580" s="1"/>
      <c r="Q580" s="1"/>
      <c r="R580" s="1"/>
      <c r="S580" s="1"/>
      <c r="T580" s="2"/>
      <c r="U580" s="2"/>
      <c r="V580" s="2"/>
      <c r="W580" s="2"/>
      <c r="X580" s="2"/>
      <c r="Y580" s="2"/>
      <c r="Z580" s="2"/>
    </row>
    <row r="581" spans="1:26" ht="14.25" customHeight="1">
      <c r="A581" s="14"/>
      <c r="B581" s="2"/>
      <c r="C581" s="1"/>
      <c r="D581" s="1"/>
      <c r="E581" s="1"/>
      <c r="F581" s="1"/>
      <c r="G581" s="1"/>
      <c r="H581" s="1"/>
      <c r="I581" s="1"/>
      <c r="J581" s="1"/>
      <c r="K581" s="1"/>
      <c r="L581" s="1"/>
      <c r="M581" s="1"/>
      <c r="N581" s="1"/>
      <c r="O581" s="1"/>
      <c r="P581" s="1"/>
      <c r="Q581" s="1"/>
      <c r="R581" s="1"/>
      <c r="S581" s="1"/>
      <c r="T581" s="2"/>
      <c r="U581" s="2"/>
      <c r="V581" s="2"/>
      <c r="W581" s="2"/>
      <c r="X581" s="2"/>
      <c r="Y581" s="2"/>
      <c r="Z581" s="2"/>
    </row>
    <row r="582" spans="1:26" ht="14.25" customHeight="1">
      <c r="A582" s="14"/>
      <c r="B582" s="2"/>
      <c r="C582" s="1"/>
      <c r="D582" s="1"/>
      <c r="E582" s="1"/>
      <c r="F582" s="1"/>
      <c r="G582" s="1"/>
      <c r="H582" s="1"/>
      <c r="I582" s="1"/>
      <c r="J582" s="1"/>
      <c r="K582" s="1"/>
      <c r="L582" s="1"/>
      <c r="M582" s="1"/>
      <c r="N582" s="1"/>
      <c r="O582" s="1"/>
      <c r="P582" s="1"/>
      <c r="Q582" s="1"/>
      <c r="R582" s="1"/>
      <c r="S582" s="1"/>
      <c r="T582" s="2"/>
      <c r="U582" s="2"/>
      <c r="V582" s="2"/>
      <c r="W582" s="2"/>
      <c r="X582" s="2"/>
      <c r="Y582" s="2"/>
      <c r="Z582" s="2"/>
    </row>
    <row r="583" spans="1:26" ht="14.25" customHeight="1">
      <c r="A583" s="14"/>
      <c r="B583" s="2"/>
      <c r="C583" s="1"/>
      <c r="D583" s="1"/>
      <c r="E583" s="1"/>
      <c r="F583" s="1"/>
      <c r="G583" s="1"/>
      <c r="H583" s="1"/>
      <c r="I583" s="1"/>
      <c r="J583" s="1"/>
      <c r="K583" s="1"/>
      <c r="L583" s="1"/>
      <c r="M583" s="1"/>
      <c r="N583" s="1"/>
      <c r="O583" s="1"/>
      <c r="P583" s="1"/>
      <c r="Q583" s="1"/>
      <c r="R583" s="1"/>
      <c r="S583" s="1"/>
      <c r="T583" s="2"/>
      <c r="U583" s="2"/>
      <c r="V583" s="2"/>
      <c r="W583" s="2"/>
      <c r="X583" s="2"/>
      <c r="Y583" s="2"/>
      <c r="Z583" s="2"/>
    </row>
    <row r="584" spans="1:26" ht="14.25" customHeight="1">
      <c r="A584" s="14"/>
      <c r="B584" s="2"/>
      <c r="C584" s="1"/>
      <c r="D584" s="1"/>
      <c r="E584" s="1"/>
      <c r="F584" s="1"/>
      <c r="G584" s="1"/>
      <c r="H584" s="1"/>
      <c r="I584" s="1"/>
      <c r="J584" s="1"/>
      <c r="K584" s="1"/>
      <c r="L584" s="1"/>
      <c r="M584" s="1"/>
      <c r="N584" s="1"/>
      <c r="O584" s="1"/>
      <c r="P584" s="1"/>
      <c r="Q584" s="1"/>
      <c r="R584" s="1"/>
      <c r="S584" s="1"/>
      <c r="T584" s="2"/>
      <c r="U584" s="2"/>
      <c r="V584" s="2"/>
      <c r="W584" s="2"/>
      <c r="X584" s="2"/>
      <c r="Y584" s="2"/>
      <c r="Z584" s="2"/>
    </row>
    <row r="585" spans="1:26" ht="14.25" customHeight="1">
      <c r="A585" s="14"/>
      <c r="B585" s="2"/>
      <c r="C585" s="1"/>
      <c r="D585" s="1"/>
      <c r="E585" s="1"/>
      <c r="F585" s="1"/>
      <c r="G585" s="1"/>
      <c r="H585" s="1"/>
      <c r="I585" s="1"/>
      <c r="J585" s="1"/>
      <c r="K585" s="1"/>
      <c r="L585" s="1"/>
      <c r="M585" s="1"/>
      <c r="N585" s="1"/>
      <c r="O585" s="1"/>
      <c r="P585" s="1"/>
      <c r="Q585" s="1"/>
      <c r="R585" s="1"/>
      <c r="S585" s="1"/>
      <c r="T585" s="2"/>
      <c r="U585" s="2"/>
      <c r="V585" s="2"/>
      <c r="W585" s="2"/>
      <c r="X585" s="2"/>
      <c r="Y585" s="2"/>
      <c r="Z585" s="2"/>
    </row>
    <row r="586" spans="1:26" ht="14.25" customHeight="1">
      <c r="A586" s="14"/>
      <c r="B586" s="2"/>
      <c r="C586" s="1"/>
      <c r="D586" s="1"/>
      <c r="E586" s="1"/>
      <c r="F586" s="1"/>
      <c r="G586" s="1"/>
      <c r="H586" s="1"/>
      <c r="I586" s="1"/>
      <c r="J586" s="1"/>
      <c r="K586" s="1"/>
      <c r="L586" s="1"/>
      <c r="M586" s="1"/>
      <c r="N586" s="1"/>
      <c r="O586" s="1"/>
      <c r="P586" s="1"/>
      <c r="Q586" s="1"/>
      <c r="R586" s="1"/>
      <c r="S586" s="1"/>
      <c r="T586" s="2"/>
      <c r="U586" s="2"/>
      <c r="V586" s="2"/>
      <c r="W586" s="2"/>
      <c r="X586" s="2"/>
      <c r="Y586" s="2"/>
      <c r="Z586" s="2"/>
    </row>
    <row r="587" spans="1:26" ht="14.25" customHeight="1">
      <c r="A587" s="14"/>
      <c r="B587" s="2"/>
      <c r="C587" s="1"/>
      <c r="D587" s="1"/>
      <c r="E587" s="1"/>
      <c r="F587" s="1"/>
      <c r="G587" s="1"/>
      <c r="H587" s="1"/>
      <c r="I587" s="1"/>
      <c r="J587" s="1"/>
      <c r="K587" s="1"/>
      <c r="L587" s="1"/>
      <c r="M587" s="1"/>
      <c r="N587" s="1"/>
      <c r="O587" s="1"/>
      <c r="P587" s="1"/>
      <c r="Q587" s="1"/>
      <c r="R587" s="1"/>
      <c r="S587" s="1"/>
      <c r="T587" s="2"/>
      <c r="U587" s="2"/>
      <c r="V587" s="2"/>
      <c r="W587" s="2"/>
      <c r="X587" s="2"/>
      <c r="Y587" s="2"/>
      <c r="Z587" s="2"/>
    </row>
    <row r="588" spans="1:26" ht="14.25" customHeight="1">
      <c r="A588" s="14"/>
      <c r="B588" s="2"/>
      <c r="C588" s="1"/>
      <c r="D588" s="1"/>
      <c r="E588" s="1"/>
      <c r="F588" s="1"/>
      <c r="G588" s="1"/>
      <c r="H588" s="1"/>
      <c r="I588" s="1"/>
      <c r="J588" s="1"/>
      <c r="K588" s="1"/>
      <c r="L588" s="1"/>
      <c r="M588" s="1"/>
      <c r="N588" s="1"/>
      <c r="O588" s="1"/>
      <c r="P588" s="1"/>
      <c r="Q588" s="1"/>
      <c r="R588" s="1"/>
      <c r="S588" s="1"/>
      <c r="T588" s="2"/>
      <c r="U588" s="2"/>
      <c r="V588" s="2"/>
      <c r="W588" s="2"/>
      <c r="X588" s="2"/>
      <c r="Y588" s="2"/>
      <c r="Z588" s="2"/>
    </row>
    <row r="589" spans="1:26" ht="14.25" customHeight="1">
      <c r="A589" s="14"/>
      <c r="B589" s="2"/>
      <c r="C589" s="1"/>
      <c r="D589" s="1"/>
      <c r="E589" s="1"/>
      <c r="F589" s="1"/>
      <c r="G589" s="1"/>
      <c r="H589" s="1"/>
      <c r="I589" s="1"/>
      <c r="J589" s="1"/>
      <c r="K589" s="1"/>
      <c r="L589" s="1"/>
      <c r="M589" s="1"/>
      <c r="N589" s="1"/>
      <c r="O589" s="1"/>
      <c r="P589" s="1"/>
      <c r="Q589" s="1"/>
      <c r="R589" s="1"/>
      <c r="S589" s="1"/>
      <c r="T589" s="2"/>
      <c r="U589" s="2"/>
      <c r="V589" s="2"/>
      <c r="W589" s="2"/>
      <c r="X589" s="2"/>
      <c r="Y589" s="2"/>
      <c r="Z589" s="2"/>
    </row>
    <row r="590" spans="1:26" ht="14.25" customHeight="1">
      <c r="A590" s="14"/>
      <c r="B590" s="2"/>
      <c r="C590" s="1"/>
      <c r="D590" s="1"/>
      <c r="E590" s="1"/>
      <c r="F590" s="1"/>
      <c r="G590" s="1"/>
      <c r="H590" s="1"/>
      <c r="I590" s="1"/>
      <c r="J590" s="1"/>
      <c r="K590" s="1"/>
      <c r="L590" s="1"/>
      <c r="M590" s="1"/>
      <c r="N590" s="1"/>
      <c r="O590" s="1"/>
      <c r="P590" s="1"/>
      <c r="Q590" s="1"/>
      <c r="R590" s="1"/>
      <c r="S590" s="1"/>
      <c r="T590" s="2"/>
      <c r="U590" s="2"/>
      <c r="V590" s="2"/>
      <c r="W590" s="2"/>
      <c r="X590" s="2"/>
      <c r="Y590" s="2"/>
      <c r="Z590" s="2"/>
    </row>
    <row r="591" spans="1:26" ht="14.25" customHeight="1">
      <c r="A591" s="14"/>
      <c r="B591" s="2"/>
      <c r="C591" s="1"/>
      <c r="D591" s="1"/>
      <c r="E591" s="1"/>
      <c r="F591" s="1"/>
      <c r="G591" s="1"/>
      <c r="H591" s="1"/>
      <c r="I591" s="1"/>
      <c r="J591" s="1"/>
      <c r="K591" s="1"/>
      <c r="L591" s="1"/>
      <c r="M591" s="1"/>
      <c r="N591" s="1"/>
      <c r="O591" s="1"/>
      <c r="P591" s="1"/>
      <c r="Q591" s="1"/>
      <c r="R591" s="1"/>
      <c r="S591" s="1"/>
      <c r="T591" s="2"/>
      <c r="U591" s="2"/>
      <c r="V591" s="2"/>
      <c r="W591" s="2"/>
      <c r="X591" s="2"/>
      <c r="Y591" s="2"/>
      <c r="Z591" s="2"/>
    </row>
    <row r="592" spans="1:26" ht="14.25" customHeight="1">
      <c r="A592" s="14"/>
      <c r="B592" s="2"/>
      <c r="C592" s="1"/>
      <c r="D592" s="1"/>
      <c r="E592" s="1"/>
      <c r="F592" s="1"/>
      <c r="G592" s="1"/>
      <c r="H592" s="1"/>
      <c r="I592" s="1"/>
      <c r="J592" s="1"/>
      <c r="K592" s="1"/>
      <c r="L592" s="1"/>
      <c r="M592" s="1"/>
      <c r="N592" s="1"/>
      <c r="O592" s="1"/>
      <c r="P592" s="1"/>
      <c r="Q592" s="1"/>
      <c r="R592" s="1"/>
      <c r="S592" s="1"/>
      <c r="T592" s="2"/>
      <c r="U592" s="2"/>
      <c r="V592" s="2"/>
      <c r="W592" s="2"/>
      <c r="X592" s="2"/>
      <c r="Y592" s="2"/>
      <c r="Z592" s="2"/>
    </row>
    <row r="593" spans="1:26" ht="14.25" customHeight="1">
      <c r="A593" s="14"/>
      <c r="B593" s="2"/>
      <c r="C593" s="1"/>
      <c r="D593" s="1"/>
      <c r="E593" s="1"/>
      <c r="F593" s="1"/>
      <c r="G593" s="1"/>
      <c r="H593" s="1"/>
      <c r="I593" s="1"/>
      <c r="J593" s="1"/>
      <c r="K593" s="1"/>
      <c r="L593" s="1"/>
      <c r="M593" s="1"/>
      <c r="N593" s="1"/>
      <c r="O593" s="1"/>
      <c r="P593" s="1"/>
      <c r="Q593" s="1"/>
      <c r="R593" s="1"/>
      <c r="S593" s="1"/>
      <c r="T593" s="2"/>
      <c r="U593" s="2"/>
      <c r="V593" s="2"/>
      <c r="W593" s="2"/>
      <c r="X593" s="2"/>
      <c r="Y593" s="2"/>
      <c r="Z593" s="2"/>
    </row>
    <row r="594" spans="1:26" ht="14.25" customHeight="1">
      <c r="A594" s="14"/>
      <c r="B594" s="2"/>
      <c r="C594" s="1"/>
      <c r="D594" s="1"/>
      <c r="E594" s="1"/>
      <c r="F594" s="1"/>
      <c r="G594" s="1"/>
      <c r="H594" s="1"/>
      <c r="I594" s="1"/>
      <c r="J594" s="1"/>
      <c r="K594" s="1"/>
      <c r="L594" s="1"/>
      <c r="M594" s="1"/>
      <c r="N594" s="1"/>
      <c r="O594" s="1"/>
      <c r="P594" s="1"/>
      <c r="Q594" s="1"/>
      <c r="R594" s="1"/>
      <c r="S594" s="1"/>
      <c r="T594" s="2"/>
      <c r="U594" s="2"/>
      <c r="V594" s="2"/>
      <c r="W594" s="2"/>
      <c r="X594" s="2"/>
      <c r="Y594" s="2"/>
      <c r="Z594" s="2"/>
    </row>
    <row r="595" spans="1:26" ht="14.25" customHeight="1">
      <c r="A595" s="14"/>
      <c r="B595" s="2"/>
      <c r="C595" s="1"/>
      <c r="D595" s="1"/>
      <c r="E595" s="1"/>
      <c r="F595" s="1"/>
      <c r="G595" s="1"/>
      <c r="H595" s="1"/>
      <c r="I595" s="1"/>
      <c r="J595" s="1"/>
      <c r="K595" s="1"/>
      <c r="L595" s="1"/>
      <c r="M595" s="1"/>
      <c r="N595" s="1"/>
      <c r="O595" s="1"/>
      <c r="P595" s="1"/>
      <c r="Q595" s="1"/>
      <c r="R595" s="1"/>
      <c r="S595" s="1"/>
      <c r="T595" s="2"/>
      <c r="U595" s="2"/>
      <c r="V595" s="2"/>
      <c r="W595" s="2"/>
      <c r="X595" s="2"/>
      <c r="Y595" s="2"/>
      <c r="Z595" s="2"/>
    </row>
    <row r="596" spans="1:26" ht="14.25" customHeight="1">
      <c r="A596" s="14"/>
      <c r="B596" s="2"/>
      <c r="C596" s="1"/>
      <c r="D596" s="1"/>
      <c r="E596" s="1"/>
      <c r="F596" s="1"/>
      <c r="G596" s="1"/>
      <c r="H596" s="1"/>
      <c r="I596" s="1"/>
      <c r="J596" s="1"/>
      <c r="K596" s="1"/>
      <c r="L596" s="1"/>
      <c r="M596" s="1"/>
      <c r="N596" s="1"/>
      <c r="O596" s="1"/>
      <c r="P596" s="1"/>
      <c r="Q596" s="1"/>
      <c r="R596" s="1"/>
      <c r="S596" s="1"/>
      <c r="T596" s="2"/>
      <c r="U596" s="2"/>
      <c r="V596" s="2"/>
      <c r="W596" s="2"/>
      <c r="X596" s="2"/>
      <c r="Y596" s="2"/>
      <c r="Z596" s="2"/>
    </row>
    <row r="597" spans="1:26" ht="14.25" customHeight="1">
      <c r="A597" s="14"/>
      <c r="B597" s="2"/>
      <c r="C597" s="1"/>
      <c r="D597" s="1"/>
      <c r="E597" s="1"/>
      <c r="F597" s="1"/>
      <c r="G597" s="1"/>
      <c r="H597" s="1"/>
      <c r="I597" s="1"/>
      <c r="J597" s="1"/>
      <c r="K597" s="1"/>
      <c r="L597" s="1"/>
      <c r="M597" s="1"/>
      <c r="N597" s="1"/>
      <c r="O597" s="1"/>
      <c r="P597" s="1"/>
      <c r="Q597" s="1"/>
      <c r="R597" s="1"/>
      <c r="S597" s="1"/>
      <c r="T597" s="2"/>
      <c r="U597" s="2"/>
      <c r="V597" s="2"/>
      <c r="W597" s="2"/>
      <c r="X597" s="2"/>
      <c r="Y597" s="2"/>
      <c r="Z597" s="2"/>
    </row>
    <row r="598" spans="1:26" ht="14.25" customHeight="1">
      <c r="A598" s="14"/>
      <c r="B598" s="2"/>
      <c r="C598" s="1"/>
      <c r="D598" s="1"/>
      <c r="E598" s="1"/>
      <c r="F598" s="1"/>
      <c r="G598" s="1"/>
      <c r="H598" s="1"/>
      <c r="I598" s="1"/>
      <c r="J598" s="1"/>
      <c r="K598" s="1"/>
      <c r="L598" s="1"/>
      <c r="M598" s="1"/>
      <c r="N598" s="1"/>
      <c r="O598" s="1"/>
      <c r="P598" s="1"/>
      <c r="Q598" s="1"/>
      <c r="R598" s="1"/>
      <c r="S598" s="1"/>
      <c r="T598" s="2"/>
      <c r="U598" s="2"/>
      <c r="V598" s="2"/>
      <c r="W598" s="2"/>
      <c r="X598" s="2"/>
      <c r="Y598" s="2"/>
      <c r="Z598" s="2"/>
    </row>
    <row r="599" spans="1:26" ht="14.25" customHeight="1">
      <c r="A599" s="14"/>
      <c r="B599" s="2"/>
      <c r="C599" s="1"/>
      <c r="D599" s="1"/>
      <c r="E599" s="1"/>
      <c r="F599" s="1"/>
      <c r="G599" s="1"/>
      <c r="H599" s="1"/>
      <c r="I599" s="1"/>
      <c r="J599" s="1"/>
      <c r="K599" s="1"/>
      <c r="L599" s="1"/>
      <c r="M599" s="1"/>
      <c r="N599" s="1"/>
      <c r="O599" s="1"/>
      <c r="P599" s="1"/>
      <c r="Q599" s="1"/>
      <c r="R599" s="1"/>
      <c r="S599" s="1"/>
      <c r="T599" s="2"/>
      <c r="U599" s="2"/>
      <c r="V599" s="2"/>
      <c r="W599" s="2"/>
      <c r="X599" s="2"/>
      <c r="Y599" s="2"/>
      <c r="Z599" s="2"/>
    </row>
    <row r="600" spans="1:26" ht="14.25" customHeight="1">
      <c r="A600" s="14"/>
      <c r="B600" s="2"/>
      <c r="C600" s="1"/>
      <c r="D600" s="1"/>
      <c r="E600" s="1"/>
      <c r="F600" s="1"/>
      <c r="G600" s="1"/>
      <c r="H600" s="1"/>
      <c r="I600" s="1"/>
      <c r="J600" s="1"/>
      <c r="K600" s="1"/>
      <c r="L600" s="1"/>
      <c r="M600" s="1"/>
      <c r="N600" s="1"/>
      <c r="O600" s="1"/>
      <c r="P600" s="1"/>
      <c r="Q600" s="1"/>
      <c r="R600" s="1"/>
      <c r="S600" s="1"/>
      <c r="T600" s="2"/>
      <c r="U600" s="2"/>
      <c r="V600" s="2"/>
      <c r="W600" s="2"/>
      <c r="X600" s="2"/>
      <c r="Y600" s="2"/>
      <c r="Z600" s="2"/>
    </row>
    <row r="601" spans="1:26" ht="14.25" customHeight="1">
      <c r="A601" s="14"/>
      <c r="B601" s="2"/>
      <c r="C601" s="1"/>
      <c r="D601" s="1"/>
      <c r="E601" s="1"/>
      <c r="F601" s="1"/>
      <c r="G601" s="1"/>
      <c r="H601" s="1"/>
      <c r="I601" s="1"/>
      <c r="J601" s="1"/>
      <c r="K601" s="1"/>
      <c r="L601" s="1"/>
      <c r="M601" s="1"/>
      <c r="N601" s="1"/>
      <c r="O601" s="1"/>
      <c r="P601" s="1"/>
      <c r="Q601" s="1"/>
      <c r="R601" s="1"/>
      <c r="S601" s="1"/>
      <c r="T601" s="2"/>
      <c r="U601" s="2"/>
      <c r="V601" s="2"/>
      <c r="W601" s="2"/>
      <c r="X601" s="2"/>
      <c r="Y601" s="2"/>
      <c r="Z601" s="2"/>
    </row>
    <row r="602" spans="1:26" ht="14.25" customHeight="1">
      <c r="A602" s="14"/>
      <c r="B602" s="2"/>
      <c r="C602" s="1"/>
      <c r="D602" s="1"/>
      <c r="E602" s="1"/>
      <c r="F602" s="1"/>
      <c r="G602" s="1"/>
      <c r="H602" s="1"/>
      <c r="I602" s="1"/>
      <c r="J602" s="1"/>
      <c r="K602" s="1"/>
      <c r="L602" s="1"/>
      <c r="M602" s="1"/>
      <c r="N602" s="1"/>
      <c r="O602" s="1"/>
      <c r="P602" s="1"/>
      <c r="Q602" s="1"/>
      <c r="R602" s="1"/>
      <c r="S602" s="1"/>
      <c r="T602" s="2"/>
      <c r="U602" s="2"/>
      <c r="V602" s="2"/>
      <c r="W602" s="2"/>
      <c r="X602" s="2"/>
      <c r="Y602" s="2"/>
      <c r="Z602" s="2"/>
    </row>
    <row r="603" spans="1:26" ht="14.25" customHeight="1">
      <c r="A603" s="14"/>
      <c r="B603" s="2"/>
      <c r="C603" s="1"/>
      <c r="D603" s="1"/>
      <c r="E603" s="1"/>
      <c r="F603" s="1"/>
      <c r="G603" s="1"/>
      <c r="H603" s="1"/>
      <c r="I603" s="1"/>
      <c r="J603" s="1"/>
      <c r="K603" s="1"/>
      <c r="L603" s="1"/>
      <c r="M603" s="1"/>
      <c r="N603" s="1"/>
      <c r="O603" s="1"/>
      <c r="P603" s="1"/>
      <c r="Q603" s="1"/>
      <c r="R603" s="1"/>
      <c r="S603" s="1"/>
      <c r="T603" s="2"/>
      <c r="U603" s="2"/>
      <c r="V603" s="2"/>
      <c r="W603" s="2"/>
      <c r="X603" s="2"/>
      <c r="Y603" s="2"/>
      <c r="Z603" s="2"/>
    </row>
    <row r="604" spans="1:26" ht="14.25" customHeight="1">
      <c r="A604" s="14"/>
      <c r="B604" s="2"/>
      <c r="C604" s="1"/>
      <c r="D604" s="1"/>
      <c r="E604" s="1"/>
      <c r="F604" s="1"/>
      <c r="G604" s="1"/>
      <c r="H604" s="1"/>
      <c r="I604" s="1"/>
      <c r="J604" s="1"/>
      <c r="K604" s="1"/>
      <c r="L604" s="1"/>
      <c r="M604" s="1"/>
      <c r="N604" s="1"/>
      <c r="O604" s="1"/>
      <c r="P604" s="1"/>
      <c r="Q604" s="1"/>
      <c r="R604" s="1"/>
      <c r="S604" s="1"/>
      <c r="T604" s="2"/>
      <c r="U604" s="2"/>
      <c r="V604" s="2"/>
      <c r="W604" s="2"/>
      <c r="X604" s="2"/>
      <c r="Y604" s="2"/>
      <c r="Z604" s="2"/>
    </row>
    <row r="605" spans="1:26" ht="14.25" customHeight="1">
      <c r="A605" s="14"/>
      <c r="B605" s="2"/>
      <c r="C605" s="1"/>
      <c r="D605" s="1"/>
      <c r="E605" s="1"/>
      <c r="F605" s="1"/>
      <c r="G605" s="1"/>
      <c r="H605" s="1"/>
      <c r="I605" s="1"/>
      <c r="J605" s="1"/>
      <c r="K605" s="1"/>
      <c r="L605" s="1"/>
      <c r="M605" s="1"/>
      <c r="N605" s="1"/>
      <c r="O605" s="1"/>
      <c r="P605" s="1"/>
      <c r="Q605" s="1"/>
      <c r="R605" s="1"/>
      <c r="S605" s="1"/>
      <c r="T605" s="2"/>
      <c r="U605" s="2"/>
      <c r="V605" s="2"/>
      <c r="W605" s="2"/>
      <c r="X605" s="2"/>
      <c r="Y605" s="2"/>
      <c r="Z605" s="2"/>
    </row>
    <row r="606" spans="1:26" ht="14.25" customHeight="1">
      <c r="A606" s="14"/>
      <c r="B606" s="2"/>
      <c r="C606" s="1"/>
      <c r="D606" s="1"/>
      <c r="E606" s="1"/>
      <c r="F606" s="1"/>
      <c r="G606" s="1"/>
      <c r="H606" s="1"/>
      <c r="I606" s="1"/>
      <c r="J606" s="1"/>
      <c r="K606" s="1"/>
      <c r="L606" s="1"/>
      <c r="M606" s="1"/>
      <c r="N606" s="1"/>
      <c r="O606" s="1"/>
      <c r="P606" s="1"/>
      <c r="Q606" s="1"/>
      <c r="R606" s="1"/>
      <c r="S606" s="1"/>
      <c r="T606" s="2"/>
      <c r="U606" s="2"/>
      <c r="V606" s="2"/>
      <c r="W606" s="2"/>
      <c r="X606" s="2"/>
      <c r="Y606" s="2"/>
      <c r="Z606" s="2"/>
    </row>
    <row r="607" spans="1:26" ht="14.25" customHeight="1">
      <c r="A607" s="14"/>
      <c r="B607" s="2"/>
      <c r="C607" s="1"/>
      <c r="D607" s="1"/>
      <c r="E607" s="1"/>
      <c r="F607" s="1"/>
      <c r="G607" s="1"/>
      <c r="H607" s="1"/>
      <c r="I607" s="1"/>
      <c r="J607" s="1"/>
      <c r="K607" s="1"/>
      <c r="L607" s="1"/>
      <c r="M607" s="1"/>
      <c r="N607" s="1"/>
      <c r="O607" s="1"/>
      <c r="P607" s="1"/>
      <c r="Q607" s="1"/>
      <c r="R607" s="1"/>
      <c r="S607" s="1"/>
      <c r="T607" s="2"/>
      <c r="U607" s="2"/>
      <c r="V607" s="2"/>
      <c r="W607" s="2"/>
      <c r="X607" s="2"/>
      <c r="Y607" s="2"/>
      <c r="Z607" s="2"/>
    </row>
    <row r="608" spans="1:26" ht="14.25" customHeight="1">
      <c r="A608" s="14"/>
      <c r="B608" s="2"/>
      <c r="C608" s="1"/>
      <c r="D608" s="1"/>
      <c r="E608" s="1"/>
      <c r="F608" s="1"/>
      <c r="G608" s="1"/>
      <c r="H608" s="1"/>
      <c r="I608" s="1"/>
      <c r="J608" s="1"/>
      <c r="K608" s="1"/>
      <c r="L608" s="1"/>
      <c r="M608" s="1"/>
      <c r="N608" s="1"/>
      <c r="O608" s="1"/>
      <c r="P608" s="1"/>
      <c r="Q608" s="1"/>
      <c r="R608" s="1"/>
      <c r="S608" s="1"/>
      <c r="T608" s="2"/>
      <c r="U608" s="2"/>
      <c r="V608" s="2"/>
      <c r="W608" s="2"/>
      <c r="X608" s="2"/>
      <c r="Y608" s="2"/>
      <c r="Z608" s="2"/>
    </row>
    <row r="609" spans="1:26" ht="14.25" customHeight="1">
      <c r="A609" s="14"/>
      <c r="B609" s="2"/>
      <c r="C609" s="1"/>
      <c r="D609" s="1"/>
      <c r="E609" s="1"/>
      <c r="F609" s="1"/>
      <c r="G609" s="1"/>
      <c r="H609" s="1"/>
      <c r="I609" s="1"/>
      <c r="J609" s="1"/>
      <c r="K609" s="1"/>
      <c r="L609" s="1"/>
      <c r="M609" s="1"/>
      <c r="N609" s="1"/>
      <c r="O609" s="1"/>
      <c r="P609" s="1"/>
      <c r="Q609" s="1"/>
      <c r="R609" s="1"/>
      <c r="S609" s="1"/>
      <c r="T609" s="2"/>
      <c r="U609" s="2"/>
      <c r="V609" s="2"/>
      <c r="W609" s="2"/>
      <c r="X609" s="2"/>
      <c r="Y609" s="2"/>
      <c r="Z609" s="2"/>
    </row>
    <row r="610" spans="1:26" ht="14.25" customHeight="1">
      <c r="A610" s="14"/>
      <c r="B610" s="2"/>
      <c r="C610" s="1"/>
      <c r="D610" s="1"/>
      <c r="E610" s="1"/>
      <c r="F610" s="1"/>
      <c r="G610" s="1"/>
      <c r="H610" s="1"/>
      <c r="I610" s="1"/>
      <c r="J610" s="1"/>
      <c r="K610" s="1"/>
      <c r="L610" s="1"/>
      <c r="M610" s="1"/>
      <c r="N610" s="1"/>
      <c r="O610" s="1"/>
      <c r="P610" s="1"/>
      <c r="Q610" s="1"/>
      <c r="R610" s="1"/>
      <c r="S610" s="1"/>
      <c r="T610" s="2"/>
      <c r="U610" s="2"/>
      <c r="V610" s="2"/>
      <c r="W610" s="2"/>
      <c r="X610" s="2"/>
      <c r="Y610" s="2"/>
      <c r="Z610" s="2"/>
    </row>
    <row r="611" spans="1:26" ht="14.25" customHeight="1">
      <c r="A611" s="14"/>
      <c r="B611" s="2"/>
      <c r="C611" s="1"/>
      <c r="D611" s="1"/>
      <c r="E611" s="1"/>
      <c r="F611" s="1"/>
      <c r="G611" s="1"/>
      <c r="H611" s="1"/>
      <c r="I611" s="1"/>
      <c r="J611" s="1"/>
      <c r="K611" s="1"/>
      <c r="L611" s="1"/>
      <c r="M611" s="1"/>
      <c r="N611" s="1"/>
      <c r="O611" s="1"/>
      <c r="P611" s="1"/>
      <c r="Q611" s="1"/>
      <c r="R611" s="1"/>
      <c r="S611" s="1"/>
      <c r="T611" s="2"/>
      <c r="U611" s="2"/>
      <c r="V611" s="2"/>
      <c r="W611" s="2"/>
      <c r="X611" s="2"/>
      <c r="Y611" s="2"/>
      <c r="Z611" s="2"/>
    </row>
    <row r="612" spans="1:26" ht="14.25" customHeight="1">
      <c r="A612" s="14"/>
      <c r="B612" s="2"/>
      <c r="C612" s="1"/>
      <c r="D612" s="1"/>
      <c r="E612" s="1"/>
      <c r="F612" s="1"/>
      <c r="G612" s="1"/>
      <c r="H612" s="1"/>
      <c r="I612" s="1"/>
      <c r="J612" s="1"/>
      <c r="K612" s="1"/>
      <c r="L612" s="1"/>
      <c r="M612" s="1"/>
      <c r="N612" s="1"/>
      <c r="O612" s="1"/>
      <c r="P612" s="1"/>
      <c r="Q612" s="1"/>
      <c r="R612" s="1"/>
      <c r="S612" s="1"/>
      <c r="T612" s="2"/>
      <c r="U612" s="2"/>
      <c r="V612" s="2"/>
      <c r="W612" s="2"/>
      <c r="X612" s="2"/>
      <c r="Y612" s="2"/>
      <c r="Z612" s="2"/>
    </row>
    <row r="613" spans="1:26" ht="14.25" customHeight="1">
      <c r="A613" s="14"/>
      <c r="B613" s="2"/>
      <c r="C613" s="1"/>
      <c r="D613" s="1"/>
      <c r="E613" s="1"/>
      <c r="F613" s="1"/>
      <c r="G613" s="1"/>
      <c r="H613" s="1"/>
      <c r="I613" s="1"/>
      <c r="J613" s="1"/>
      <c r="K613" s="1"/>
      <c r="L613" s="1"/>
      <c r="M613" s="1"/>
      <c r="N613" s="1"/>
      <c r="O613" s="1"/>
      <c r="P613" s="1"/>
      <c r="Q613" s="1"/>
      <c r="R613" s="1"/>
      <c r="S613" s="1"/>
      <c r="T613" s="2"/>
      <c r="U613" s="2"/>
      <c r="V613" s="2"/>
      <c r="W613" s="2"/>
      <c r="X613" s="2"/>
      <c r="Y613" s="2"/>
      <c r="Z613" s="2"/>
    </row>
    <row r="614" spans="1:26" ht="14.25" customHeight="1">
      <c r="A614" s="14"/>
      <c r="B614" s="2"/>
      <c r="C614" s="1"/>
      <c r="D614" s="1"/>
      <c r="E614" s="1"/>
      <c r="F614" s="1"/>
      <c r="G614" s="1"/>
      <c r="H614" s="1"/>
      <c r="I614" s="1"/>
      <c r="J614" s="1"/>
      <c r="K614" s="1"/>
      <c r="L614" s="1"/>
      <c r="M614" s="1"/>
      <c r="N614" s="1"/>
      <c r="O614" s="1"/>
      <c r="P614" s="1"/>
      <c r="Q614" s="1"/>
      <c r="R614" s="1"/>
      <c r="S614" s="1"/>
      <c r="T614" s="2"/>
      <c r="U614" s="2"/>
      <c r="V614" s="2"/>
      <c r="W614" s="2"/>
      <c r="X614" s="2"/>
      <c r="Y614" s="2"/>
      <c r="Z614" s="2"/>
    </row>
    <row r="615" spans="1:26" ht="14.25" customHeight="1">
      <c r="A615" s="14"/>
      <c r="B615" s="2"/>
      <c r="C615" s="1"/>
      <c r="D615" s="1"/>
      <c r="E615" s="1"/>
      <c r="F615" s="1"/>
      <c r="G615" s="1"/>
      <c r="H615" s="1"/>
      <c r="I615" s="1"/>
      <c r="J615" s="1"/>
      <c r="K615" s="1"/>
      <c r="L615" s="1"/>
      <c r="M615" s="1"/>
      <c r="N615" s="1"/>
      <c r="O615" s="1"/>
      <c r="P615" s="1"/>
      <c r="Q615" s="1"/>
      <c r="R615" s="1"/>
      <c r="S615" s="1"/>
      <c r="T615" s="2"/>
      <c r="U615" s="2"/>
      <c r="V615" s="2"/>
      <c r="W615" s="2"/>
      <c r="X615" s="2"/>
      <c r="Y615" s="2"/>
      <c r="Z615" s="2"/>
    </row>
    <row r="616" spans="1:26" ht="14.25" customHeight="1">
      <c r="A616" s="14"/>
      <c r="B616" s="2"/>
      <c r="C616" s="1"/>
      <c r="D616" s="1"/>
      <c r="E616" s="1"/>
      <c r="F616" s="1"/>
      <c r="G616" s="1"/>
      <c r="H616" s="1"/>
      <c r="I616" s="1"/>
      <c r="J616" s="1"/>
      <c r="K616" s="1"/>
      <c r="L616" s="1"/>
      <c r="M616" s="1"/>
      <c r="N616" s="1"/>
      <c r="O616" s="1"/>
      <c r="P616" s="1"/>
      <c r="Q616" s="1"/>
      <c r="R616" s="1"/>
      <c r="S616" s="1"/>
      <c r="T616" s="2"/>
      <c r="U616" s="2"/>
      <c r="V616" s="2"/>
      <c r="W616" s="2"/>
      <c r="X616" s="2"/>
      <c r="Y616" s="2"/>
      <c r="Z616" s="2"/>
    </row>
    <row r="617" spans="1:26" ht="14.25" customHeight="1">
      <c r="A617" s="14"/>
      <c r="B617" s="2"/>
      <c r="C617" s="1"/>
      <c r="D617" s="1"/>
      <c r="E617" s="1"/>
      <c r="F617" s="1"/>
      <c r="G617" s="1"/>
      <c r="H617" s="1"/>
      <c r="I617" s="1"/>
      <c r="J617" s="1"/>
      <c r="K617" s="1"/>
      <c r="L617" s="1"/>
      <c r="M617" s="1"/>
      <c r="N617" s="1"/>
      <c r="O617" s="1"/>
      <c r="P617" s="1"/>
      <c r="Q617" s="1"/>
      <c r="R617" s="1"/>
      <c r="S617" s="1"/>
      <c r="T617" s="2"/>
      <c r="U617" s="2"/>
      <c r="V617" s="2"/>
      <c r="W617" s="2"/>
      <c r="X617" s="2"/>
      <c r="Y617" s="2"/>
      <c r="Z617" s="2"/>
    </row>
    <row r="618" spans="1:26" ht="14.25" customHeight="1">
      <c r="A618" s="14"/>
      <c r="B618" s="2"/>
      <c r="C618" s="1"/>
      <c r="D618" s="1"/>
      <c r="E618" s="1"/>
      <c r="F618" s="1"/>
      <c r="G618" s="1"/>
      <c r="H618" s="1"/>
      <c r="I618" s="1"/>
      <c r="J618" s="1"/>
      <c r="K618" s="1"/>
      <c r="L618" s="1"/>
      <c r="M618" s="1"/>
      <c r="N618" s="1"/>
      <c r="O618" s="1"/>
      <c r="P618" s="1"/>
      <c r="Q618" s="1"/>
      <c r="R618" s="1"/>
      <c r="S618" s="1"/>
      <c r="T618" s="2"/>
      <c r="U618" s="2"/>
      <c r="V618" s="2"/>
      <c r="W618" s="2"/>
      <c r="X618" s="2"/>
      <c r="Y618" s="2"/>
      <c r="Z618" s="2"/>
    </row>
    <row r="619" spans="1:26" ht="14.25" customHeight="1">
      <c r="A619" s="14"/>
      <c r="B619" s="2"/>
      <c r="C619" s="1"/>
      <c r="D619" s="1"/>
      <c r="E619" s="1"/>
      <c r="F619" s="1"/>
      <c r="G619" s="1"/>
      <c r="H619" s="1"/>
      <c r="I619" s="1"/>
      <c r="J619" s="1"/>
      <c r="K619" s="1"/>
      <c r="L619" s="1"/>
      <c r="M619" s="1"/>
      <c r="N619" s="1"/>
      <c r="O619" s="1"/>
      <c r="P619" s="1"/>
      <c r="Q619" s="1"/>
      <c r="R619" s="1"/>
      <c r="S619" s="1"/>
      <c r="T619" s="2"/>
      <c r="U619" s="2"/>
      <c r="V619" s="2"/>
      <c r="W619" s="2"/>
      <c r="X619" s="2"/>
      <c r="Y619" s="2"/>
      <c r="Z619" s="2"/>
    </row>
    <row r="620" spans="1:26" ht="14.25" customHeight="1">
      <c r="A620" s="14"/>
      <c r="B620" s="2"/>
      <c r="C620" s="1"/>
      <c r="D620" s="1"/>
      <c r="E620" s="1"/>
      <c r="F620" s="1"/>
      <c r="G620" s="1"/>
      <c r="H620" s="1"/>
      <c r="I620" s="1"/>
      <c r="J620" s="1"/>
      <c r="K620" s="1"/>
      <c r="L620" s="1"/>
      <c r="M620" s="1"/>
      <c r="N620" s="1"/>
      <c r="O620" s="1"/>
      <c r="P620" s="1"/>
      <c r="Q620" s="1"/>
      <c r="R620" s="1"/>
      <c r="S620" s="1"/>
      <c r="T620" s="2"/>
      <c r="U620" s="2"/>
      <c r="V620" s="2"/>
      <c r="W620" s="2"/>
      <c r="X620" s="2"/>
      <c r="Y620" s="2"/>
      <c r="Z620" s="2"/>
    </row>
    <row r="621" spans="1:26" ht="14.25" customHeight="1">
      <c r="A621" s="14"/>
      <c r="B621" s="2"/>
      <c r="C621" s="1"/>
      <c r="D621" s="1"/>
      <c r="E621" s="1"/>
      <c r="F621" s="1"/>
      <c r="G621" s="1"/>
      <c r="H621" s="1"/>
      <c r="I621" s="1"/>
      <c r="J621" s="1"/>
      <c r="K621" s="1"/>
      <c r="L621" s="1"/>
      <c r="M621" s="1"/>
      <c r="N621" s="1"/>
      <c r="O621" s="1"/>
      <c r="P621" s="1"/>
      <c r="Q621" s="1"/>
      <c r="R621" s="1"/>
      <c r="S621" s="1"/>
      <c r="T621" s="2"/>
      <c r="U621" s="2"/>
      <c r="V621" s="2"/>
      <c r="W621" s="2"/>
      <c r="X621" s="2"/>
      <c r="Y621" s="2"/>
      <c r="Z621" s="2"/>
    </row>
    <row r="622" spans="1:26" ht="14.25" customHeight="1">
      <c r="A622" s="14"/>
      <c r="B622" s="2"/>
      <c r="C622" s="1"/>
      <c r="D622" s="1"/>
      <c r="E622" s="1"/>
      <c r="F622" s="1"/>
      <c r="G622" s="1"/>
      <c r="H622" s="1"/>
      <c r="I622" s="1"/>
      <c r="J622" s="1"/>
      <c r="K622" s="1"/>
      <c r="L622" s="1"/>
      <c r="M622" s="1"/>
      <c r="N622" s="1"/>
      <c r="O622" s="1"/>
      <c r="P622" s="1"/>
      <c r="Q622" s="1"/>
      <c r="R622" s="1"/>
      <c r="S622" s="1"/>
      <c r="T622" s="2"/>
      <c r="U622" s="2"/>
      <c r="V622" s="2"/>
      <c r="W622" s="2"/>
      <c r="X622" s="2"/>
      <c r="Y622" s="2"/>
      <c r="Z622" s="2"/>
    </row>
    <row r="623" spans="1:26" ht="14.25" customHeight="1">
      <c r="A623" s="14"/>
      <c r="B623" s="2"/>
      <c r="C623" s="1"/>
      <c r="D623" s="1"/>
      <c r="E623" s="1"/>
      <c r="F623" s="1"/>
      <c r="G623" s="1"/>
      <c r="H623" s="1"/>
      <c r="I623" s="1"/>
      <c r="J623" s="1"/>
      <c r="K623" s="1"/>
      <c r="L623" s="1"/>
      <c r="M623" s="1"/>
      <c r="N623" s="1"/>
      <c r="O623" s="1"/>
      <c r="P623" s="1"/>
      <c r="Q623" s="1"/>
      <c r="R623" s="1"/>
      <c r="S623" s="1"/>
      <c r="T623" s="2"/>
      <c r="U623" s="2"/>
      <c r="V623" s="2"/>
      <c r="W623" s="2"/>
      <c r="X623" s="2"/>
      <c r="Y623" s="2"/>
      <c r="Z623" s="2"/>
    </row>
    <row r="624" spans="1:26" ht="14.25" customHeight="1">
      <c r="A624" s="14"/>
      <c r="B624" s="2"/>
      <c r="C624" s="1"/>
      <c r="D624" s="1"/>
      <c r="E624" s="1"/>
      <c r="F624" s="1"/>
      <c r="G624" s="1"/>
      <c r="H624" s="1"/>
      <c r="I624" s="1"/>
      <c r="J624" s="1"/>
      <c r="K624" s="1"/>
      <c r="L624" s="1"/>
      <c r="M624" s="1"/>
      <c r="N624" s="1"/>
      <c r="O624" s="1"/>
      <c r="P624" s="1"/>
      <c r="Q624" s="1"/>
      <c r="R624" s="1"/>
      <c r="S624" s="1"/>
      <c r="T624" s="2"/>
      <c r="U624" s="2"/>
      <c r="V624" s="2"/>
      <c r="W624" s="2"/>
      <c r="X624" s="2"/>
      <c r="Y624" s="2"/>
      <c r="Z624" s="2"/>
    </row>
    <row r="625" spans="1:26" ht="14.25" customHeight="1">
      <c r="A625" s="14"/>
      <c r="B625" s="2"/>
      <c r="C625" s="1"/>
      <c r="D625" s="1"/>
      <c r="E625" s="1"/>
      <c r="F625" s="1"/>
      <c r="G625" s="1"/>
      <c r="H625" s="1"/>
      <c r="I625" s="1"/>
      <c r="J625" s="1"/>
      <c r="K625" s="1"/>
      <c r="L625" s="1"/>
      <c r="M625" s="1"/>
      <c r="N625" s="1"/>
      <c r="O625" s="1"/>
      <c r="P625" s="1"/>
      <c r="Q625" s="1"/>
      <c r="R625" s="1"/>
      <c r="S625" s="1"/>
      <c r="T625" s="2"/>
      <c r="U625" s="2"/>
      <c r="V625" s="2"/>
      <c r="W625" s="2"/>
      <c r="X625" s="2"/>
      <c r="Y625" s="2"/>
      <c r="Z625" s="2"/>
    </row>
    <row r="626" spans="1:26" ht="14.25" customHeight="1">
      <c r="A626" s="14"/>
      <c r="B626" s="2"/>
      <c r="C626" s="1"/>
      <c r="D626" s="1"/>
      <c r="E626" s="1"/>
      <c r="F626" s="1"/>
      <c r="G626" s="1"/>
      <c r="H626" s="1"/>
      <c r="I626" s="1"/>
      <c r="J626" s="1"/>
      <c r="K626" s="1"/>
      <c r="L626" s="1"/>
      <c r="M626" s="1"/>
      <c r="N626" s="1"/>
      <c r="O626" s="1"/>
      <c r="P626" s="1"/>
      <c r="Q626" s="1"/>
      <c r="R626" s="1"/>
      <c r="S626" s="1"/>
      <c r="T626" s="2"/>
      <c r="U626" s="2"/>
      <c r="V626" s="2"/>
      <c r="W626" s="2"/>
      <c r="X626" s="2"/>
      <c r="Y626" s="2"/>
      <c r="Z626" s="2"/>
    </row>
    <row r="627" spans="1:26" ht="14.25" customHeight="1">
      <c r="A627" s="14"/>
      <c r="B627" s="2"/>
      <c r="C627" s="1"/>
      <c r="D627" s="1"/>
      <c r="E627" s="1"/>
      <c r="F627" s="1"/>
      <c r="G627" s="1"/>
      <c r="H627" s="1"/>
      <c r="I627" s="1"/>
      <c r="J627" s="1"/>
      <c r="K627" s="1"/>
      <c r="L627" s="1"/>
      <c r="M627" s="1"/>
      <c r="N627" s="1"/>
      <c r="O627" s="1"/>
      <c r="P627" s="1"/>
      <c r="Q627" s="1"/>
      <c r="R627" s="1"/>
      <c r="S627" s="1"/>
      <c r="T627" s="2"/>
      <c r="U627" s="2"/>
      <c r="V627" s="2"/>
      <c r="W627" s="2"/>
      <c r="X627" s="2"/>
      <c r="Y627" s="2"/>
      <c r="Z627" s="2"/>
    </row>
    <row r="628" spans="1:26" ht="14.25" customHeight="1">
      <c r="A628" s="14"/>
      <c r="B628" s="2"/>
      <c r="C628" s="1"/>
      <c r="D628" s="1"/>
      <c r="E628" s="1"/>
      <c r="F628" s="1"/>
      <c r="G628" s="1"/>
      <c r="H628" s="1"/>
      <c r="I628" s="1"/>
      <c r="J628" s="1"/>
      <c r="K628" s="1"/>
      <c r="L628" s="1"/>
      <c r="M628" s="1"/>
      <c r="N628" s="1"/>
      <c r="O628" s="1"/>
      <c r="P628" s="1"/>
      <c r="Q628" s="1"/>
      <c r="R628" s="1"/>
      <c r="S628" s="1"/>
      <c r="T628" s="2"/>
      <c r="U628" s="2"/>
      <c r="V628" s="2"/>
      <c r="W628" s="2"/>
      <c r="X628" s="2"/>
      <c r="Y628" s="2"/>
      <c r="Z628" s="2"/>
    </row>
    <row r="629" spans="1:26" ht="14.25" customHeight="1">
      <c r="A629" s="14"/>
      <c r="B629" s="2"/>
      <c r="C629" s="1"/>
      <c r="D629" s="1"/>
      <c r="E629" s="1"/>
      <c r="F629" s="1"/>
      <c r="G629" s="1"/>
      <c r="H629" s="1"/>
      <c r="I629" s="1"/>
      <c r="J629" s="1"/>
      <c r="K629" s="1"/>
      <c r="L629" s="1"/>
      <c r="M629" s="1"/>
      <c r="N629" s="1"/>
      <c r="O629" s="1"/>
      <c r="P629" s="1"/>
      <c r="Q629" s="1"/>
      <c r="R629" s="1"/>
      <c r="S629" s="1"/>
      <c r="T629" s="2"/>
      <c r="U629" s="2"/>
      <c r="V629" s="2"/>
      <c r="W629" s="2"/>
      <c r="X629" s="2"/>
      <c r="Y629" s="2"/>
      <c r="Z629" s="2"/>
    </row>
    <row r="630" spans="1:26" ht="14.25" customHeight="1">
      <c r="A630" s="14"/>
      <c r="B630" s="2"/>
      <c r="C630" s="1"/>
      <c r="D630" s="1"/>
      <c r="E630" s="1"/>
      <c r="F630" s="1"/>
      <c r="G630" s="1"/>
      <c r="H630" s="1"/>
      <c r="I630" s="1"/>
      <c r="J630" s="1"/>
      <c r="K630" s="1"/>
      <c r="L630" s="1"/>
      <c r="M630" s="1"/>
      <c r="N630" s="1"/>
      <c r="O630" s="1"/>
      <c r="P630" s="1"/>
      <c r="Q630" s="1"/>
      <c r="R630" s="1"/>
      <c r="S630" s="1"/>
      <c r="T630" s="2"/>
      <c r="U630" s="2"/>
      <c r="V630" s="2"/>
      <c r="W630" s="2"/>
      <c r="X630" s="2"/>
      <c r="Y630" s="2"/>
      <c r="Z630" s="2"/>
    </row>
    <row r="631" spans="1:26" ht="14.25" customHeight="1">
      <c r="A631" s="14"/>
      <c r="B631" s="2"/>
      <c r="C631" s="1"/>
      <c r="D631" s="1"/>
      <c r="E631" s="1"/>
      <c r="F631" s="1"/>
      <c r="G631" s="1"/>
      <c r="H631" s="1"/>
      <c r="I631" s="1"/>
      <c r="J631" s="1"/>
      <c r="K631" s="1"/>
      <c r="L631" s="1"/>
      <c r="M631" s="1"/>
      <c r="N631" s="1"/>
      <c r="O631" s="1"/>
      <c r="P631" s="1"/>
      <c r="Q631" s="1"/>
      <c r="R631" s="1"/>
      <c r="S631" s="1"/>
      <c r="T631" s="2"/>
      <c r="U631" s="2"/>
      <c r="V631" s="2"/>
      <c r="W631" s="2"/>
      <c r="X631" s="2"/>
      <c r="Y631" s="2"/>
      <c r="Z631" s="2"/>
    </row>
    <row r="632" spans="1:26" ht="14.25" customHeight="1">
      <c r="A632" s="14"/>
      <c r="B632" s="2"/>
      <c r="C632" s="1"/>
      <c r="D632" s="1"/>
      <c r="E632" s="1"/>
      <c r="F632" s="1"/>
      <c r="G632" s="1"/>
      <c r="H632" s="1"/>
      <c r="I632" s="1"/>
      <c r="J632" s="1"/>
      <c r="K632" s="1"/>
      <c r="L632" s="1"/>
      <c r="M632" s="1"/>
      <c r="N632" s="1"/>
      <c r="O632" s="1"/>
      <c r="P632" s="1"/>
      <c r="Q632" s="1"/>
      <c r="R632" s="1"/>
      <c r="S632" s="1"/>
      <c r="T632" s="2"/>
      <c r="U632" s="2"/>
      <c r="V632" s="2"/>
      <c r="W632" s="2"/>
      <c r="X632" s="2"/>
      <c r="Y632" s="2"/>
      <c r="Z632" s="2"/>
    </row>
    <row r="633" spans="1:26" ht="14.25" customHeight="1">
      <c r="A633" s="14"/>
      <c r="B633" s="2"/>
      <c r="C633" s="1"/>
      <c r="D633" s="1"/>
      <c r="E633" s="1"/>
      <c r="F633" s="1"/>
      <c r="G633" s="1"/>
      <c r="H633" s="1"/>
      <c r="I633" s="1"/>
      <c r="J633" s="1"/>
      <c r="K633" s="1"/>
      <c r="L633" s="1"/>
      <c r="M633" s="1"/>
      <c r="N633" s="1"/>
      <c r="O633" s="1"/>
      <c r="P633" s="1"/>
      <c r="Q633" s="1"/>
      <c r="R633" s="1"/>
      <c r="S633" s="1"/>
      <c r="T633" s="2"/>
      <c r="U633" s="2"/>
      <c r="V633" s="2"/>
      <c r="W633" s="2"/>
      <c r="X633" s="2"/>
      <c r="Y633" s="2"/>
      <c r="Z633" s="2"/>
    </row>
    <row r="634" spans="1:26" ht="14.25" customHeight="1">
      <c r="A634" s="14"/>
      <c r="B634" s="2"/>
      <c r="C634" s="1"/>
      <c r="D634" s="1"/>
      <c r="E634" s="1"/>
      <c r="F634" s="1"/>
      <c r="G634" s="1"/>
      <c r="H634" s="1"/>
      <c r="I634" s="1"/>
      <c r="J634" s="1"/>
      <c r="K634" s="1"/>
      <c r="L634" s="1"/>
      <c r="M634" s="1"/>
      <c r="N634" s="1"/>
      <c r="O634" s="1"/>
      <c r="P634" s="1"/>
      <c r="Q634" s="1"/>
      <c r="R634" s="1"/>
      <c r="S634" s="1"/>
      <c r="T634" s="2"/>
      <c r="U634" s="2"/>
      <c r="V634" s="2"/>
      <c r="W634" s="2"/>
      <c r="X634" s="2"/>
      <c r="Y634" s="2"/>
      <c r="Z634" s="2"/>
    </row>
    <row r="635" spans="1:26" ht="14.25" customHeight="1">
      <c r="A635" s="14"/>
      <c r="B635" s="2"/>
      <c r="C635" s="1"/>
      <c r="D635" s="1"/>
      <c r="E635" s="1"/>
      <c r="F635" s="1"/>
      <c r="G635" s="1"/>
      <c r="H635" s="1"/>
      <c r="I635" s="1"/>
      <c r="J635" s="1"/>
      <c r="K635" s="1"/>
      <c r="L635" s="1"/>
      <c r="M635" s="1"/>
      <c r="N635" s="1"/>
      <c r="O635" s="1"/>
      <c r="P635" s="1"/>
      <c r="Q635" s="1"/>
      <c r="R635" s="1"/>
      <c r="S635" s="1"/>
      <c r="T635" s="2"/>
      <c r="U635" s="2"/>
      <c r="V635" s="2"/>
      <c r="W635" s="2"/>
      <c r="X635" s="2"/>
      <c r="Y635" s="2"/>
      <c r="Z635" s="2"/>
    </row>
    <row r="636" spans="1:26" ht="14.25" customHeight="1">
      <c r="A636" s="14"/>
      <c r="B636" s="2"/>
      <c r="C636" s="1"/>
      <c r="D636" s="1"/>
      <c r="E636" s="1"/>
      <c r="F636" s="1"/>
      <c r="G636" s="1"/>
      <c r="H636" s="1"/>
      <c r="I636" s="1"/>
      <c r="J636" s="1"/>
      <c r="K636" s="1"/>
      <c r="L636" s="1"/>
      <c r="M636" s="1"/>
      <c r="N636" s="1"/>
      <c r="O636" s="1"/>
      <c r="P636" s="1"/>
      <c r="Q636" s="1"/>
      <c r="R636" s="1"/>
      <c r="S636" s="1"/>
      <c r="T636" s="2"/>
      <c r="U636" s="2"/>
      <c r="V636" s="2"/>
      <c r="W636" s="2"/>
      <c r="X636" s="2"/>
      <c r="Y636" s="2"/>
      <c r="Z636" s="2"/>
    </row>
    <row r="637" spans="1:26" ht="14.25" customHeight="1">
      <c r="A637" s="14"/>
      <c r="B637" s="2"/>
      <c r="C637" s="1"/>
      <c r="D637" s="1"/>
      <c r="E637" s="1"/>
      <c r="F637" s="1"/>
      <c r="G637" s="1"/>
      <c r="H637" s="1"/>
      <c r="I637" s="1"/>
      <c r="J637" s="1"/>
      <c r="K637" s="1"/>
      <c r="L637" s="1"/>
      <c r="M637" s="1"/>
      <c r="N637" s="1"/>
      <c r="O637" s="1"/>
      <c r="P637" s="1"/>
      <c r="Q637" s="1"/>
      <c r="R637" s="1"/>
      <c r="S637" s="1"/>
      <c r="T637" s="2"/>
      <c r="U637" s="2"/>
      <c r="V637" s="2"/>
      <c r="W637" s="2"/>
      <c r="X637" s="2"/>
      <c r="Y637" s="2"/>
      <c r="Z637" s="2"/>
    </row>
    <row r="638" spans="1:26" ht="14.25" customHeight="1">
      <c r="A638" s="14"/>
      <c r="B638" s="2"/>
      <c r="C638" s="1"/>
      <c r="D638" s="1"/>
      <c r="E638" s="1"/>
      <c r="F638" s="1"/>
      <c r="G638" s="1"/>
      <c r="H638" s="1"/>
      <c r="I638" s="1"/>
      <c r="J638" s="1"/>
      <c r="K638" s="1"/>
      <c r="L638" s="1"/>
      <c r="M638" s="1"/>
      <c r="N638" s="1"/>
      <c r="O638" s="1"/>
      <c r="P638" s="1"/>
      <c r="Q638" s="1"/>
      <c r="R638" s="1"/>
      <c r="S638" s="1"/>
      <c r="T638" s="2"/>
      <c r="U638" s="2"/>
      <c r="V638" s="2"/>
      <c r="W638" s="2"/>
      <c r="X638" s="2"/>
      <c r="Y638" s="2"/>
      <c r="Z638" s="2"/>
    </row>
    <row r="639" spans="1:26" ht="14.25" customHeight="1">
      <c r="A639" s="14"/>
      <c r="B639" s="2"/>
      <c r="C639" s="1"/>
      <c r="D639" s="1"/>
      <c r="E639" s="1"/>
      <c r="F639" s="1"/>
      <c r="G639" s="1"/>
      <c r="H639" s="1"/>
      <c r="I639" s="1"/>
      <c r="J639" s="1"/>
      <c r="K639" s="1"/>
      <c r="L639" s="1"/>
      <c r="M639" s="1"/>
      <c r="N639" s="1"/>
      <c r="O639" s="1"/>
      <c r="P639" s="1"/>
      <c r="Q639" s="1"/>
      <c r="R639" s="1"/>
      <c r="S639" s="1"/>
      <c r="T639" s="2"/>
      <c r="U639" s="2"/>
      <c r="V639" s="2"/>
      <c r="W639" s="2"/>
      <c r="X639" s="2"/>
      <c r="Y639" s="2"/>
      <c r="Z639" s="2"/>
    </row>
    <row r="640" spans="1:26" ht="14.25" customHeight="1">
      <c r="A640" s="14"/>
      <c r="B640" s="2"/>
      <c r="C640" s="1"/>
      <c r="D640" s="1"/>
      <c r="E640" s="1"/>
      <c r="F640" s="1"/>
      <c r="G640" s="1"/>
      <c r="H640" s="1"/>
      <c r="I640" s="1"/>
      <c r="J640" s="1"/>
      <c r="K640" s="1"/>
      <c r="L640" s="1"/>
      <c r="M640" s="1"/>
      <c r="N640" s="1"/>
      <c r="O640" s="1"/>
      <c r="P640" s="1"/>
      <c r="Q640" s="1"/>
      <c r="R640" s="1"/>
      <c r="S640" s="1"/>
      <c r="T640" s="2"/>
      <c r="U640" s="2"/>
      <c r="V640" s="2"/>
      <c r="W640" s="2"/>
      <c r="X640" s="2"/>
      <c r="Y640" s="2"/>
      <c r="Z640" s="2"/>
    </row>
    <row r="641" spans="1:26" ht="14.25" customHeight="1">
      <c r="A641" s="14"/>
      <c r="B641" s="2"/>
      <c r="C641" s="1"/>
      <c r="D641" s="1"/>
      <c r="E641" s="1"/>
      <c r="F641" s="1"/>
      <c r="G641" s="1"/>
      <c r="H641" s="1"/>
      <c r="I641" s="1"/>
      <c r="J641" s="1"/>
      <c r="K641" s="1"/>
      <c r="L641" s="1"/>
      <c r="M641" s="1"/>
      <c r="N641" s="1"/>
      <c r="O641" s="1"/>
      <c r="P641" s="1"/>
      <c r="Q641" s="1"/>
      <c r="R641" s="1"/>
      <c r="S641" s="1"/>
      <c r="T641" s="2"/>
      <c r="U641" s="2"/>
      <c r="V641" s="2"/>
      <c r="W641" s="2"/>
      <c r="X641" s="2"/>
      <c r="Y641" s="2"/>
      <c r="Z641" s="2"/>
    </row>
    <row r="642" spans="1:26" ht="14.25" customHeight="1">
      <c r="A642" s="14"/>
      <c r="B642" s="2"/>
      <c r="C642" s="1"/>
      <c r="D642" s="1"/>
      <c r="E642" s="1"/>
      <c r="F642" s="1"/>
      <c r="G642" s="1"/>
      <c r="H642" s="1"/>
      <c r="I642" s="1"/>
      <c r="J642" s="1"/>
      <c r="K642" s="1"/>
      <c r="L642" s="1"/>
      <c r="M642" s="1"/>
      <c r="N642" s="1"/>
      <c r="O642" s="1"/>
      <c r="P642" s="1"/>
      <c r="Q642" s="1"/>
      <c r="R642" s="1"/>
      <c r="S642" s="1"/>
      <c r="T642" s="2"/>
      <c r="U642" s="2"/>
      <c r="V642" s="2"/>
      <c r="W642" s="2"/>
      <c r="X642" s="2"/>
      <c r="Y642" s="2"/>
      <c r="Z642" s="2"/>
    </row>
    <row r="643" spans="1:26" ht="14.25" customHeight="1">
      <c r="A643" s="14"/>
      <c r="B643" s="2"/>
      <c r="C643" s="1"/>
      <c r="D643" s="1"/>
      <c r="E643" s="1"/>
      <c r="F643" s="1"/>
      <c r="G643" s="1"/>
      <c r="H643" s="1"/>
      <c r="I643" s="1"/>
      <c r="J643" s="1"/>
      <c r="K643" s="1"/>
      <c r="L643" s="1"/>
      <c r="M643" s="1"/>
      <c r="N643" s="1"/>
      <c r="O643" s="1"/>
      <c r="P643" s="1"/>
      <c r="Q643" s="1"/>
      <c r="R643" s="1"/>
      <c r="S643" s="1"/>
      <c r="T643" s="2"/>
      <c r="U643" s="2"/>
      <c r="V643" s="2"/>
      <c r="W643" s="2"/>
      <c r="X643" s="2"/>
      <c r="Y643" s="2"/>
      <c r="Z643" s="2"/>
    </row>
    <row r="644" spans="1:26" ht="14.25" customHeight="1">
      <c r="A644" s="14"/>
      <c r="B644" s="2"/>
      <c r="C644" s="1"/>
      <c r="D644" s="1"/>
      <c r="E644" s="1"/>
      <c r="F644" s="1"/>
      <c r="G644" s="1"/>
      <c r="H644" s="1"/>
      <c r="I644" s="1"/>
      <c r="J644" s="1"/>
      <c r="K644" s="1"/>
      <c r="L644" s="1"/>
      <c r="M644" s="1"/>
      <c r="N644" s="1"/>
      <c r="O644" s="1"/>
      <c r="P644" s="1"/>
      <c r="Q644" s="1"/>
      <c r="R644" s="1"/>
      <c r="S644" s="1"/>
      <c r="T644" s="2"/>
      <c r="U644" s="2"/>
      <c r="V644" s="2"/>
      <c r="W644" s="2"/>
      <c r="X644" s="2"/>
      <c r="Y644" s="2"/>
      <c r="Z644" s="2"/>
    </row>
    <row r="645" spans="1:26" ht="14.25" customHeight="1">
      <c r="A645" s="14"/>
      <c r="B645" s="2"/>
      <c r="C645" s="1"/>
      <c r="D645" s="1"/>
      <c r="E645" s="1"/>
      <c r="F645" s="1"/>
      <c r="G645" s="1"/>
      <c r="H645" s="1"/>
      <c r="I645" s="1"/>
      <c r="J645" s="1"/>
      <c r="K645" s="1"/>
      <c r="L645" s="1"/>
      <c r="M645" s="1"/>
      <c r="N645" s="1"/>
      <c r="O645" s="1"/>
      <c r="P645" s="1"/>
      <c r="Q645" s="1"/>
      <c r="R645" s="1"/>
      <c r="S645" s="1"/>
      <c r="T645" s="2"/>
      <c r="U645" s="2"/>
      <c r="V645" s="2"/>
      <c r="W645" s="2"/>
      <c r="X645" s="2"/>
      <c r="Y645" s="2"/>
      <c r="Z645" s="2"/>
    </row>
    <row r="646" spans="1:26" ht="14.25" customHeight="1">
      <c r="A646" s="14"/>
      <c r="B646" s="2"/>
      <c r="C646" s="1"/>
      <c r="D646" s="1"/>
      <c r="E646" s="1"/>
      <c r="F646" s="1"/>
      <c r="G646" s="1"/>
      <c r="H646" s="1"/>
      <c r="I646" s="1"/>
      <c r="J646" s="1"/>
      <c r="K646" s="1"/>
      <c r="L646" s="1"/>
      <c r="M646" s="1"/>
      <c r="N646" s="1"/>
      <c r="O646" s="1"/>
      <c r="P646" s="1"/>
      <c r="Q646" s="1"/>
      <c r="R646" s="1"/>
      <c r="S646" s="1"/>
      <c r="T646" s="2"/>
      <c r="U646" s="2"/>
      <c r="V646" s="2"/>
      <c r="W646" s="2"/>
      <c r="X646" s="2"/>
      <c r="Y646" s="2"/>
      <c r="Z646" s="2"/>
    </row>
    <row r="647" spans="1:26" ht="14.25" customHeight="1">
      <c r="A647" s="14"/>
      <c r="B647" s="2"/>
      <c r="C647" s="1"/>
      <c r="D647" s="1"/>
      <c r="E647" s="1"/>
      <c r="F647" s="1"/>
      <c r="G647" s="1"/>
      <c r="H647" s="1"/>
      <c r="I647" s="1"/>
      <c r="J647" s="1"/>
      <c r="K647" s="1"/>
      <c r="L647" s="1"/>
      <c r="M647" s="1"/>
      <c r="N647" s="1"/>
      <c r="O647" s="1"/>
      <c r="P647" s="1"/>
      <c r="Q647" s="1"/>
      <c r="R647" s="1"/>
      <c r="S647" s="1"/>
      <c r="T647" s="2"/>
      <c r="U647" s="2"/>
      <c r="V647" s="2"/>
      <c r="W647" s="2"/>
      <c r="X647" s="2"/>
      <c r="Y647" s="2"/>
      <c r="Z647" s="2"/>
    </row>
    <row r="648" spans="1:26" ht="14.25" customHeight="1">
      <c r="A648" s="14"/>
      <c r="B648" s="2"/>
      <c r="C648" s="1"/>
      <c r="D648" s="1"/>
      <c r="E648" s="1"/>
      <c r="F648" s="1"/>
      <c r="G648" s="1"/>
      <c r="H648" s="1"/>
      <c r="I648" s="1"/>
      <c r="J648" s="1"/>
      <c r="K648" s="1"/>
      <c r="L648" s="1"/>
      <c r="M648" s="1"/>
      <c r="N648" s="1"/>
      <c r="O648" s="1"/>
      <c r="P648" s="1"/>
      <c r="Q648" s="1"/>
      <c r="R648" s="1"/>
      <c r="S648" s="1"/>
      <c r="T648" s="2"/>
      <c r="U648" s="2"/>
      <c r="V648" s="2"/>
      <c r="W648" s="2"/>
      <c r="X648" s="2"/>
      <c r="Y648" s="2"/>
      <c r="Z648" s="2"/>
    </row>
    <row r="649" spans="1:26" ht="14.25" customHeight="1">
      <c r="A649" s="14"/>
      <c r="B649" s="2"/>
      <c r="C649" s="1"/>
      <c r="D649" s="1"/>
      <c r="E649" s="1"/>
      <c r="F649" s="1"/>
      <c r="G649" s="1"/>
      <c r="H649" s="1"/>
      <c r="I649" s="1"/>
      <c r="J649" s="1"/>
      <c r="K649" s="1"/>
      <c r="L649" s="1"/>
      <c r="M649" s="1"/>
      <c r="N649" s="1"/>
      <c r="O649" s="1"/>
      <c r="P649" s="1"/>
      <c r="Q649" s="1"/>
      <c r="R649" s="1"/>
      <c r="S649" s="1"/>
      <c r="T649" s="2"/>
      <c r="U649" s="2"/>
      <c r="V649" s="2"/>
      <c r="W649" s="2"/>
      <c r="X649" s="2"/>
      <c r="Y649" s="2"/>
      <c r="Z649" s="2"/>
    </row>
    <row r="650" spans="1:26" ht="14.25" customHeight="1">
      <c r="A650" s="14"/>
      <c r="B650" s="2"/>
      <c r="C650" s="1"/>
      <c r="D650" s="1"/>
      <c r="E650" s="1"/>
      <c r="F650" s="1"/>
      <c r="G650" s="1"/>
      <c r="H650" s="1"/>
      <c r="I650" s="1"/>
      <c r="J650" s="1"/>
      <c r="K650" s="1"/>
      <c r="L650" s="1"/>
      <c r="M650" s="1"/>
      <c r="N650" s="1"/>
      <c r="O650" s="1"/>
      <c r="P650" s="1"/>
      <c r="Q650" s="1"/>
      <c r="R650" s="1"/>
      <c r="S650" s="1"/>
      <c r="T650" s="2"/>
      <c r="U650" s="2"/>
      <c r="V650" s="2"/>
      <c r="W650" s="2"/>
      <c r="X650" s="2"/>
      <c r="Y650" s="2"/>
      <c r="Z650" s="2"/>
    </row>
    <row r="651" spans="1:26" ht="14.25" customHeight="1">
      <c r="A651" s="14"/>
      <c r="B651" s="2"/>
      <c r="C651" s="1"/>
      <c r="D651" s="1"/>
      <c r="E651" s="1"/>
      <c r="F651" s="1"/>
      <c r="G651" s="1"/>
      <c r="H651" s="1"/>
      <c r="I651" s="1"/>
      <c r="J651" s="1"/>
      <c r="K651" s="1"/>
      <c r="L651" s="1"/>
      <c r="M651" s="1"/>
      <c r="N651" s="1"/>
      <c r="O651" s="1"/>
      <c r="P651" s="1"/>
      <c r="Q651" s="1"/>
      <c r="R651" s="1"/>
      <c r="S651" s="1"/>
      <c r="T651" s="2"/>
      <c r="U651" s="2"/>
      <c r="V651" s="2"/>
      <c r="W651" s="2"/>
      <c r="X651" s="2"/>
      <c r="Y651" s="2"/>
      <c r="Z651" s="2"/>
    </row>
    <row r="652" spans="1:26" ht="14.25" customHeight="1">
      <c r="A652" s="14"/>
      <c r="B652" s="2"/>
      <c r="C652" s="1"/>
      <c r="D652" s="1"/>
      <c r="E652" s="1"/>
      <c r="F652" s="1"/>
      <c r="G652" s="1"/>
      <c r="H652" s="1"/>
      <c r="I652" s="1"/>
      <c r="J652" s="1"/>
      <c r="K652" s="1"/>
      <c r="L652" s="1"/>
      <c r="M652" s="1"/>
      <c r="N652" s="1"/>
      <c r="O652" s="1"/>
      <c r="P652" s="1"/>
      <c r="Q652" s="1"/>
      <c r="R652" s="1"/>
      <c r="S652" s="1"/>
      <c r="T652" s="2"/>
      <c r="U652" s="2"/>
      <c r="V652" s="2"/>
      <c r="W652" s="2"/>
      <c r="X652" s="2"/>
      <c r="Y652" s="2"/>
      <c r="Z652" s="2"/>
    </row>
    <row r="653" spans="1:26" ht="14.25" customHeight="1">
      <c r="A653" s="14"/>
      <c r="B653" s="2"/>
      <c r="C653" s="1"/>
      <c r="D653" s="1"/>
      <c r="E653" s="1"/>
      <c r="F653" s="1"/>
      <c r="G653" s="1"/>
      <c r="H653" s="1"/>
      <c r="I653" s="1"/>
      <c r="J653" s="1"/>
      <c r="K653" s="1"/>
      <c r="L653" s="1"/>
      <c r="M653" s="1"/>
      <c r="N653" s="1"/>
      <c r="O653" s="1"/>
      <c r="P653" s="1"/>
      <c r="Q653" s="1"/>
      <c r="R653" s="1"/>
      <c r="S653" s="1"/>
      <c r="T653" s="2"/>
      <c r="U653" s="2"/>
      <c r="V653" s="2"/>
      <c r="W653" s="2"/>
      <c r="X653" s="2"/>
      <c r="Y653" s="2"/>
      <c r="Z653" s="2"/>
    </row>
    <row r="654" spans="1:26" ht="14.25" customHeight="1">
      <c r="A654" s="14"/>
      <c r="B654" s="2"/>
      <c r="C654" s="1"/>
      <c r="D654" s="1"/>
      <c r="E654" s="1"/>
      <c r="F654" s="1"/>
      <c r="G654" s="1"/>
      <c r="H654" s="1"/>
      <c r="I654" s="1"/>
      <c r="J654" s="1"/>
      <c r="K654" s="1"/>
      <c r="L654" s="1"/>
      <c r="M654" s="1"/>
      <c r="N654" s="1"/>
      <c r="O654" s="1"/>
      <c r="P654" s="1"/>
      <c r="Q654" s="1"/>
      <c r="R654" s="1"/>
      <c r="S654" s="1"/>
      <c r="T654" s="2"/>
      <c r="U654" s="2"/>
      <c r="V654" s="2"/>
      <c r="W654" s="2"/>
      <c r="X654" s="2"/>
      <c r="Y654" s="2"/>
      <c r="Z654" s="2"/>
    </row>
    <row r="655" spans="1:26" ht="14.25" customHeight="1">
      <c r="A655" s="14"/>
      <c r="B655" s="2"/>
      <c r="C655" s="1"/>
      <c r="D655" s="1"/>
      <c r="E655" s="1"/>
      <c r="F655" s="1"/>
      <c r="G655" s="1"/>
      <c r="H655" s="1"/>
      <c r="I655" s="1"/>
      <c r="J655" s="1"/>
      <c r="K655" s="1"/>
      <c r="L655" s="1"/>
      <c r="M655" s="1"/>
      <c r="N655" s="1"/>
      <c r="O655" s="1"/>
      <c r="P655" s="1"/>
      <c r="Q655" s="1"/>
      <c r="R655" s="1"/>
      <c r="S655" s="1"/>
      <c r="T655" s="2"/>
      <c r="U655" s="2"/>
      <c r="V655" s="2"/>
      <c r="W655" s="2"/>
      <c r="X655" s="2"/>
      <c r="Y655" s="2"/>
      <c r="Z655" s="2"/>
    </row>
    <row r="656" spans="1:26" ht="14.25" customHeight="1">
      <c r="A656" s="14"/>
      <c r="B656" s="2"/>
      <c r="C656" s="1"/>
      <c r="D656" s="1"/>
      <c r="E656" s="1"/>
      <c r="F656" s="1"/>
      <c r="G656" s="1"/>
      <c r="H656" s="1"/>
      <c r="I656" s="1"/>
      <c r="J656" s="1"/>
      <c r="K656" s="1"/>
      <c r="L656" s="1"/>
      <c r="M656" s="1"/>
      <c r="N656" s="1"/>
      <c r="O656" s="1"/>
      <c r="P656" s="1"/>
      <c r="Q656" s="1"/>
      <c r="R656" s="1"/>
      <c r="S656" s="1"/>
      <c r="T656" s="2"/>
      <c r="U656" s="2"/>
      <c r="V656" s="2"/>
      <c r="W656" s="2"/>
      <c r="X656" s="2"/>
      <c r="Y656" s="2"/>
      <c r="Z656" s="2"/>
    </row>
    <row r="657" spans="1:26" ht="14.25" customHeight="1">
      <c r="A657" s="14"/>
      <c r="B657" s="2"/>
      <c r="C657" s="1"/>
      <c r="D657" s="1"/>
      <c r="E657" s="1"/>
      <c r="F657" s="1"/>
      <c r="G657" s="1"/>
      <c r="H657" s="1"/>
      <c r="I657" s="1"/>
      <c r="J657" s="1"/>
      <c r="K657" s="1"/>
      <c r="L657" s="1"/>
      <c r="M657" s="1"/>
      <c r="N657" s="1"/>
      <c r="O657" s="1"/>
      <c r="P657" s="1"/>
      <c r="Q657" s="1"/>
      <c r="R657" s="1"/>
      <c r="S657" s="1"/>
      <c r="T657" s="2"/>
      <c r="U657" s="2"/>
      <c r="V657" s="2"/>
      <c r="W657" s="2"/>
      <c r="X657" s="2"/>
      <c r="Y657" s="2"/>
      <c r="Z657" s="2"/>
    </row>
    <row r="658" spans="1:26" ht="14.25" customHeight="1">
      <c r="A658" s="14"/>
      <c r="B658" s="2"/>
      <c r="C658" s="1"/>
      <c r="D658" s="1"/>
      <c r="E658" s="1"/>
      <c r="F658" s="1"/>
      <c r="G658" s="1"/>
      <c r="H658" s="1"/>
      <c r="I658" s="1"/>
      <c r="J658" s="1"/>
      <c r="K658" s="1"/>
      <c r="L658" s="1"/>
      <c r="M658" s="1"/>
      <c r="N658" s="1"/>
      <c r="O658" s="1"/>
      <c r="P658" s="1"/>
      <c r="Q658" s="1"/>
      <c r="R658" s="1"/>
      <c r="S658" s="1"/>
      <c r="T658" s="2"/>
      <c r="U658" s="2"/>
      <c r="V658" s="2"/>
      <c r="W658" s="2"/>
      <c r="X658" s="2"/>
      <c r="Y658" s="2"/>
      <c r="Z658" s="2"/>
    </row>
    <row r="659" spans="1:26" ht="14.25" customHeight="1">
      <c r="A659" s="14"/>
      <c r="B659" s="2"/>
      <c r="C659" s="1"/>
      <c r="D659" s="1"/>
      <c r="E659" s="1"/>
      <c r="F659" s="1"/>
      <c r="G659" s="1"/>
      <c r="H659" s="1"/>
      <c r="I659" s="1"/>
      <c r="J659" s="1"/>
      <c r="K659" s="1"/>
      <c r="L659" s="1"/>
      <c r="M659" s="1"/>
      <c r="N659" s="1"/>
      <c r="O659" s="1"/>
      <c r="P659" s="1"/>
      <c r="Q659" s="1"/>
      <c r="R659" s="1"/>
      <c r="S659" s="1"/>
      <c r="T659" s="2"/>
      <c r="U659" s="2"/>
      <c r="V659" s="2"/>
      <c r="W659" s="2"/>
      <c r="X659" s="2"/>
      <c r="Y659" s="2"/>
      <c r="Z659" s="2"/>
    </row>
    <row r="660" spans="1:26" ht="14.25" customHeight="1">
      <c r="A660" s="14"/>
      <c r="B660" s="2"/>
      <c r="C660" s="1"/>
      <c r="D660" s="1"/>
      <c r="E660" s="1"/>
      <c r="F660" s="1"/>
      <c r="G660" s="1"/>
      <c r="H660" s="1"/>
      <c r="I660" s="1"/>
      <c r="J660" s="1"/>
      <c r="K660" s="1"/>
      <c r="L660" s="1"/>
      <c r="M660" s="1"/>
      <c r="N660" s="1"/>
      <c r="O660" s="1"/>
      <c r="P660" s="1"/>
      <c r="Q660" s="1"/>
      <c r="R660" s="1"/>
      <c r="S660" s="1"/>
      <c r="T660" s="2"/>
      <c r="U660" s="2"/>
      <c r="V660" s="2"/>
      <c r="W660" s="2"/>
      <c r="X660" s="2"/>
      <c r="Y660" s="2"/>
      <c r="Z660" s="2"/>
    </row>
    <row r="661" spans="1:26" ht="14.25" customHeight="1">
      <c r="A661" s="14"/>
      <c r="B661" s="2"/>
      <c r="C661" s="1"/>
      <c r="D661" s="1"/>
      <c r="E661" s="1"/>
      <c r="F661" s="1"/>
      <c r="G661" s="1"/>
      <c r="H661" s="1"/>
      <c r="I661" s="1"/>
      <c r="J661" s="1"/>
      <c r="K661" s="1"/>
      <c r="L661" s="1"/>
      <c r="M661" s="1"/>
      <c r="N661" s="1"/>
      <c r="O661" s="1"/>
      <c r="P661" s="1"/>
      <c r="Q661" s="1"/>
      <c r="R661" s="1"/>
      <c r="S661" s="1"/>
      <c r="T661" s="2"/>
      <c r="U661" s="2"/>
      <c r="V661" s="2"/>
      <c r="W661" s="2"/>
      <c r="X661" s="2"/>
      <c r="Y661" s="2"/>
      <c r="Z661" s="2"/>
    </row>
    <row r="662" spans="1:26" ht="14.25" customHeight="1">
      <c r="A662" s="14"/>
      <c r="B662" s="2"/>
      <c r="C662" s="1"/>
      <c r="D662" s="1"/>
      <c r="E662" s="1"/>
      <c r="F662" s="1"/>
      <c r="G662" s="1"/>
      <c r="H662" s="1"/>
      <c r="I662" s="1"/>
      <c r="J662" s="1"/>
      <c r="K662" s="1"/>
      <c r="L662" s="1"/>
      <c r="M662" s="1"/>
      <c r="N662" s="1"/>
      <c r="O662" s="1"/>
      <c r="P662" s="1"/>
      <c r="Q662" s="1"/>
      <c r="R662" s="1"/>
      <c r="S662" s="1"/>
      <c r="T662" s="2"/>
      <c r="U662" s="2"/>
      <c r="V662" s="2"/>
      <c r="W662" s="2"/>
      <c r="X662" s="2"/>
      <c r="Y662" s="2"/>
      <c r="Z662" s="2"/>
    </row>
    <row r="663" spans="1:26" ht="14.25" customHeight="1">
      <c r="A663" s="14"/>
      <c r="B663" s="2"/>
      <c r="C663" s="1"/>
      <c r="D663" s="1"/>
      <c r="E663" s="1"/>
      <c r="F663" s="1"/>
      <c r="G663" s="1"/>
      <c r="H663" s="1"/>
      <c r="I663" s="1"/>
      <c r="J663" s="1"/>
      <c r="K663" s="1"/>
      <c r="L663" s="1"/>
      <c r="M663" s="1"/>
      <c r="N663" s="1"/>
      <c r="O663" s="1"/>
      <c r="P663" s="1"/>
      <c r="Q663" s="1"/>
      <c r="R663" s="1"/>
      <c r="S663" s="1"/>
      <c r="T663" s="2"/>
      <c r="U663" s="2"/>
      <c r="V663" s="2"/>
      <c r="W663" s="2"/>
      <c r="X663" s="2"/>
      <c r="Y663" s="2"/>
      <c r="Z663" s="2"/>
    </row>
    <row r="664" spans="1:26" ht="14.25" customHeight="1">
      <c r="A664" s="14"/>
      <c r="B664" s="2"/>
      <c r="C664" s="1"/>
      <c r="D664" s="1"/>
      <c r="E664" s="1"/>
      <c r="F664" s="1"/>
      <c r="G664" s="1"/>
      <c r="H664" s="1"/>
      <c r="I664" s="1"/>
      <c r="J664" s="1"/>
      <c r="K664" s="1"/>
      <c r="L664" s="1"/>
      <c r="M664" s="1"/>
      <c r="N664" s="1"/>
      <c r="O664" s="1"/>
      <c r="P664" s="1"/>
      <c r="Q664" s="1"/>
      <c r="R664" s="1"/>
      <c r="S664" s="1"/>
      <c r="T664" s="2"/>
      <c r="U664" s="2"/>
      <c r="V664" s="2"/>
      <c r="W664" s="2"/>
      <c r="X664" s="2"/>
      <c r="Y664" s="2"/>
      <c r="Z664" s="2"/>
    </row>
    <row r="665" spans="1:26" ht="14.25" customHeight="1">
      <c r="A665" s="14"/>
      <c r="B665" s="2"/>
      <c r="C665" s="1"/>
      <c r="D665" s="1"/>
      <c r="E665" s="1"/>
      <c r="F665" s="1"/>
      <c r="G665" s="1"/>
      <c r="H665" s="1"/>
      <c r="I665" s="1"/>
      <c r="J665" s="1"/>
      <c r="K665" s="1"/>
      <c r="L665" s="1"/>
      <c r="M665" s="1"/>
      <c r="N665" s="1"/>
      <c r="O665" s="1"/>
      <c r="P665" s="1"/>
      <c r="Q665" s="1"/>
      <c r="R665" s="1"/>
      <c r="S665" s="1"/>
      <c r="T665" s="2"/>
      <c r="U665" s="2"/>
      <c r="V665" s="2"/>
      <c r="W665" s="2"/>
      <c r="X665" s="2"/>
      <c r="Y665" s="2"/>
      <c r="Z665" s="2"/>
    </row>
    <row r="666" spans="1:26" ht="14.25" customHeight="1">
      <c r="A666" s="14"/>
      <c r="B666" s="2"/>
      <c r="C666" s="1"/>
      <c r="D666" s="1"/>
      <c r="E666" s="1"/>
      <c r="F666" s="1"/>
      <c r="G666" s="1"/>
      <c r="H666" s="1"/>
      <c r="I666" s="1"/>
      <c r="J666" s="1"/>
      <c r="K666" s="1"/>
      <c r="L666" s="1"/>
      <c r="M666" s="1"/>
      <c r="N666" s="1"/>
      <c r="O666" s="1"/>
      <c r="P666" s="1"/>
      <c r="Q666" s="1"/>
      <c r="R666" s="1"/>
      <c r="S666" s="1"/>
      <c r="T666" s="2"/>
      <c r="U666" s="2"/>
      <c r="V666" s="2"/>
      <c r="W666" s="2"/>
      <c r="X666" s="2"/>
      <c r="Y666" s="2"/>
      <c r="Z666" s="2"/>
    </row>
    <row r="667" spans="1:26" ht="14.25" customHeight="1">
      <c r="A667" s="14"/>
      <c r="B667" s="2"/>
      <c r="C667" s="1"/>
      <c r="D667" s="1"/>
      <c r="E667" s="1"/>
      <c r="F667" s="1"/>
      <c r="G667" s="1"/>
      <c r="H667" s="1"/>
      <c r="I667" s="1"/>
      <c r="J667" s="1"/>
      <c r="K667" s="1"/>
      <c r="L667" s="1"/>
      <c r="M667" s="1"/>
      <c r="N667" s="1"/>
      <c r="O667" s="1"/>
      <c r="P667" s="1"/>
      <c r="Q667" s="1"/>
      <c r="R667" s="1"/>
      <c r="S667" s="1"/>
      <c r="T667" s="2"/>
      <c r="U667" s="2"/>
      <c r="V667" s="2"/>
      <c r="W667" s="2"/>
      <c r="X667" s="2"/>
      <c r="Y667" s="2"/>
      <c r="Z667" s="2"/>
    </row>
    <row r="668" spans="1:26" ht="14.25" customHeight="1">
      <c r="A668" s="14"/>
      <c r="B668" s="2"/>
      <c r="C668" s="1"/>
      <c r="D668" s="1"/>
      <c r="E668" s="1"/>
      <c r="F668" s="1"/>
      <c r="G668" s="1"/>
      <c r="H668" s="1"/>
      <c r="I668" s="1"/>
      <c r="J668" s="1"/>
      <c r="K668" s="1"/>
      <c r="L668" s="1"/>
      <c r="M668" s="1"/>
      <c r="N668" s="1"/>
      <c r="O668" s="1"/>
      <c r="P668" s="1"/>
      <c r="Q668" s="1"/>
      <c r="R668" s="1"/>
      <c r="S668" s="1"/>
      <c r="T668" s="2"/>
      <c r="U668" s="2"/>
      <c r="V668" s="2"/>
      <c r="W668" s="2"/>
      <c r="X668" s="2"/>
      <c r="Y668" s="2"/>
      <c r="Z668" s="2"/>
    </row>
    <row r="669" spans="1:26" ht="14.25" customHeight="1">
      <c r="A669" s="14"/>
      <c r="B669" s="2"/>
      <c r="C669" s="1"/>
      <c r="D669" s="1"/>
      <c r="E669" s="1"/>
      <c r="F669" s="1"/>
      <c r="G669" s="1"/>
      <c r="H669" s="1"/>
      <c r="I669" s="1"/>
      <c r="J669" s="1"/>
      <c r="K669" s="1"/>
      <c r="L669" s="1"/>
      <c r="M669" s="1"/>
      <c r="N669" s="1"/>
      <c r="O669" s="1"/>
      <c r="P669" s="1"/>
      <c r="Q669" s="1"/>
      <c r="R669" s="1"/>
      <c r="S669" s="1"/>
      <c r="T669" s="2"/>
      <c r="U669" s="2"/>
      <c r="V669" s="2"/>
      <c r="W669" s="2"/>
      <c r="X669" s="2"/>
      <c r="Y669" s="2"/>
      <c r="Z669" s="2"/>
    </row>
    <row r="670" spans="1:26" ht="14.25" customHeight="1">
      <c r="A670" s="14"/>
      <c r="B670" s="2"/>
      <c r="C670" s="1"/>
      <c r="D670" s="1"/>
      <c r="E670" s="1"/>
      <c r="F670" s="1"/>
      <c r="G670" s="1"/>
      <c r="H670" s="1"/>
      <c r="I670" s="1"/>
      <c r="J670" s="1"/>
      <c r="K670" s="1"/>
      <c r="L670" s="1"/>
      <c r="M670" s="1"/>
      <c r="N670" s="1"/>
      <c r="O670" s="1"/>
      <c r="P670" s="1"/>
      <c r="Q670" s="1"/>
      <c r="R670" s="1"/>
      <c r="S670" s="1"/>
      <c r="T670" s="2"/>
      <c r="U670" s="2"/>
      <c r="V670" s="2"/>
      <c r="W670" s="2"/>
      <c r="X670" s="2"/>
      <c r="Y670" s="2"/>
      <c r="Z670" s="2"/>
    </row>
    <row r="671" spans="1:26" ht="14.25" customHeight="1">
      <c r="A671" s="14"/>
      <c r="B671" s="2"/>
      <c r="C671" s="1"/>
      <c r="D671" s="1"/>
      <c r="E671" s="1"/>
      <c r="F671" s="1"/>
      <c r="G671" s="1"/>
      <c r="H671" s="1"/>
      <c r="I671" s="1"/>
      <c r="J671" s="1"/>
      <c r="K671" s="1"/>
      <c r="L671" s="1"/>
      <c r="M671" s="1"/>
      <c r="N671" s="1"/>
      <c r="O671" s="1"/>
      <c r="P671" s="1"/>
      <c r="Q671" s="1"/>
      <c r="R671" s="1"/>
      <c r="S671" s="1"/>
      <c r="T671" s="2"/>
      <c r="U671" s="2"/>
      <c r="V671" s="2"/>
      <c r="W671" s="2"/>
      <c r="X671" s="2"/>
      <c r="Y671" s="2"/>
      <c r="Z671" s="2"/>
    </row>
    <row r="672" spans="1:26" ht="14.25" customHeight="1">
      <c r="A672" s="14"/>
      <c r="B672" s="2"/>
      <c r="C672" s="1"/>
      <c r="D672" s="1"/>
      <c r="E672" s="1"/>
      <c r="F672" s="1"/>
      <c r="G672" s="1"/>
      <c r="H672" s="1"/>
      <c r="I672" s="1"/>
      <c r="J672" s="1"/>
      <c r="K672" s="1"/>
      <c r="L672" s="1"/>
      <c r="M672" s="1"/>
      <c r="N672" s="1"/>
      <c r="O672" s="1"/>
      <c r="P672" s="1"/>
      <c r="Q672" s="1"/>
      <c r="R672" s="1"/>
      <c r="S672" s="1"/>
      <c r="T672" s="2"/>
      <c r="U672" s="2"/>
      <c r="V672" s="2"/>
      <c r="W672" s="2"/>
      <c r="X672" s="2"/>
      <c r="Y672" s="2"/>
      <c r="Z672" s="2"/>
    </row>
    <row r="673" spans="1:26" ht="14.25" customHeight="1">
      <c r="A673" s="14"/>
      <c r="B673" s="2"/>
      <c r="C673" s="1"/>
      <c r="D673" s="1"/>
      <c r="E673" s="1"/>
      <c r="F673" s="1"/>
      <c r="G673" s="1"/>
      <c r="H673" s="1"/>
      <c r="I673" s="1"/>
      <c r="J673" s="1"/>
      <c r="K673" s="1"/>
      <c r="L673" s="1"/>
      <c r="M673" s="1"/>
      <c r="N673" s="1"/>
      <c r="O673" s="1"/>
      <c r="P673" s="1"/>
      <c r="Q673" s="1"/>
      <c r="R673" s="1"/>
      <c r="S673" s="1"/>
      <c r="T673" s="2"/>
      <c r="U673" s="2"/>
      <c r="V673" s="2"/>
      <c r="W673" s="2"/>
      <c r="X673" s="2"/>
      <c r="Y673" s="2"/>
      <c r="Z673" s="2"/>
    </row>
    <row r="674" spans="1:26" ht="14.25" customHeight="1">
      <c r="A674" s="14"/>
      <c r="B674" s="2"/>
      <c r="C674" s="1"/>
      <c r="D674" s="1"/>
      <c r="E674" s="1"/>
      <c r="F674" s="1"/>
      <c r="G674" s="1"/>
      <c r="H674" s="1"/>
      <c r="I674" s="1"/>
      <c r="J674" s="1"/>
      <c r="K674" s="1"/>
      <c r="L674" s="1"/>
      <c r="M674" s="1"/>
      <c r="N674" s="1"/>
      <c r="O674" s="1"/>
      <c r="P674" s="1"/>
      <c r="Q674" s="1"/>
      <c r="R674" s="1"/>
      <c r="S674" s="1"/>
      <c r="T674" s="2"/>
      <c r="U674" s="2"/>
      <c r="V674" s="2"/>
      <c r="W674" s="2"/>
      <c r="X674" s="2"/>
      <c r="Y674" s="2"/>
      <c r="Z674" s="2"/>
    </row>
    <row r="675" spans="1:26" ht="14.25" customHeight="1">
      <c r="A675" s="14"/>
      <c r="B675" s="2"/>
      <c r="C675" s="1"/>
      <c r="D675" s="1"/>
      <c r="E675" s="1"/>
      <c r="F675" s="1"/>
      <c r="G675" s="1"/>
      <c r="H675" s="1"/>
      <c r="I675" s="1"/>
      <c r="J675" s="1"/>
      <c r="K675" s="1"/>
      <c r="L675" s="1"/>
      <c r="M675" s="1"/>
      <c r="N675" s="1"/>
      <c r="O675" s="1"/>
      <c r="P675" s="1"/>
      <c r="Q675" s="1"/>
      <c r="R675" s="1"/>
      <c r="S675" s="1"/>
      <c r="T675" s="2"/>
      <c r="U675" s="2"/>
      <c r="V675" s="2"/>
      <c r="W675" s="2"/>
      <c r="X675" s="2"/>
      <c r="Y675" s="2"/>
      <c r="Z675" s="2"/>
    </row>
    <row r="676" spans="1:26" ht="14.25" customHeight="1">
      <c r="A676" s="14"/>
      <c r="B676" s="2"/>
      <c r="C676" s="1"/>
      <c r="D676" s="1"/>
      <c r="E676" s="1"/>
      <c r="F676" s="1"/>
      <c r="G676" s="1"/>
      <c r="H676" s="1"/>
      <c r="I676" s="1"/>
      <c r="J676" s="1"/>
      <c r="K676" s="1"/>
      <c r="L676" s="1"/>
      <c r="M676" s="1"/>
      <c r="N676" s="1"/>
      <c r="O676" s="1"/>
      <c r="P676" s="1"/>
      <c r="Q676" s="1"/>
      <c r="R676" s="1"/>
      <c r="S676" s="1"/>
      <c r="T676" s="2"/>
      <c r="U676" s="2"/>
      <c r="V676" s="2"/>
      <c r="W676" s="2"/>
      <c r="X676" s="2"/>
      <c r="Y676" s="2"/>
      <c r="Z676" s="2"/>
    </row>
    <row r="677" spans="1:26" ht="14.25" customHeight="1">
      <c r="A677" s="14"/>
      <c r="B677" s="2"/>
      <c r="C677" s="1"/>
      <c r="D677" s="1"/>
      <c r="E677" s="1"/>
      <c r="F677" s="1"/>
      <c r="G677" s="1"/>
      <c r="H677" s="1"/>
      <c r="I677" s="1"/>
      <c r="J677" s="1"/>
      <c r="K677" s="1"/>
      <c r="L677" s="1"/>
      <c r="M677" s="1"/>
      <c r="N677" s="1"/>
      <c r="O677" s="1"/>
      <c r="P677" s="1"/>
      <c r="Q677" s="1"/>
      <c r="R677" s="1"/>
      <c r="S677" s="1"/>
      <c r="T677" s="2"/>
      <c r="U677" s="2"/>
      <c r="V677" s="2"/>
      <c r="W677" s="2"/>
      <c r="X677" s="2"/>
      <c r="Y677" s="2"/>
      <c r="Z677" s="2"/>
    </row>
    <row r="678" spans="1:26" ht="14.25" customHeight="1">
      <c r="A678" s="14"/>
      <c r="B678" s="2"/>
      <c r="C678" s="1"/>
      <c r="D678" s="1"/>
      <c r="E678" s="1"/>
      <c r="F678" s="1"/>
      <c r="G678" s="1"/>
      <c r="H678" s="1"/>
      <c r="I678" s="1"/>
      <c r="J678" s="1"/>
      <c r="K678" s="1"/>
      <c r="L678" s="1"/>
      <c r="M678" s="1"/>
      <c r="N678" s="1"/>
      <c r="O678" s="1"/>
      <c r="P678" s="1"/>
      <c r="Q678" s="1"/>
      <c r="R678" s="1"/>
      <c r="S678" s="1"/>
      <c r="T678" s="2"/>
      <c r="U678" s="2"/>
      <c r="V678" s="2"/>
      <c r="W678" s="2"/>
      <c r="X678" s="2"/>
      <c r="Y678" s="2"/>
      <c r="Z678" s="2"/>
    </row>
    <row r="679" spans="1:26" ht="14.25" customHeight="1">
      <c r="A679" s="14"/>
      <c r="B679" s="2"/>
      <c r="C679" s="1"/>
      <c r="D679" s="1"/>
      <c r="E679" s="1"/>
      <c r="F679" s="1"/>
      <c r="G679" s="1"/>
      <c r="H679" s="1"/>
      <c r="I679" s="1"/>
      <c r="J679" s="1"/>
      <c r="K679" s="1"/>
      <c r="L679" s="1"/>
      <c r="M679" s="1"/>
      <c r="N679" s="1"/>
      <c r="O679" s="1"/>
      <c r="P679" s="1"/>
      <c r="Q679" s="1"/>
      <c r="R679" s="1"/>
      <c r="S679" s="1"/>
      <c r="T679" s="2"/>
      <c r="U679" s="2"/>
      <c r="V679" s="2"/>
      <c r="W679" s="2"/>
      <c r="X679" s="2"/>
      <c r="Y679" s="2"/>
      <c r="Z679" s="2"/>
    </row>
    <row r="680" spans="1:26" ht="14.25" customHeight="1">
      <c r="A680" s="14"/>
      <c r="B680" s="2"/>
      <c r="C680" s="1"/>
      <c r="D680" s="1"/>
      <c r="E680" s="1"/>
      <c r="F680" s="1"/>
      <c r="G680" s="1"/>
      <c r="H680" s="1"/>
      <c r="I680" s="1"/>
      <c r="J680" s="1"/>
      <c r="K680" s="1"/>
      <c r="L680" s="1"/>
      <c r="M680" s="1"/>
      <c r="N680" s="1"/>
      <c r="O680" s="1"/>
      <c r="P680" s="1"/>
      <c r="Q680" s="1"/>
      <c r="R680" s="1"/>
      <c r="S680" s="1"/>
      <c r="T680" s="2"/>
      <c r="U680" s="2"/>
      <c r="V680" s="2"/>
      <c r="W680" s="2"/>
      <c r="X680" s="2"/>
      <c r="Y680" s="2"/>
      <c r="Z680" s="2"/>
    </row>
    <row r="681" spans="1:26" ht="14.25" customHeight="1">
      <c r="A681" s="14"/>
      <c r="B681" s="2"/>
      <c r="C681" s="1"/>
      <c r="D681" s="1"/>
      <c r="E681" s="1"/>
      <c r="F681" s="1"/>
      <c r="G681" s="1"/>
      <c r="H681" s="1"/>
      <c r="I681" s="1"/>
      <c r="J681" s="1"/>
      <c r="K681" s="1"/>
      <c r="L681" s="1"/>
      <c r="M681" s="1"/>
      <c r="N681" s="1"/>
      <c r="O681" s="1"/>
      <c r="P681" s="1"/>
      <c r="Q681" s="1"/>
      <c r="R681" s="1"/>
      <c r="S681" s="1"/>
      <c r="T681" s="2"/>
      <c r="U681" s="2"/>
      <c r="V681" s="2"/>
      <c r="W681" s="2"/>
      <c r="X681" s="2"/>
      <c r="Y681" s="2"/>
      <c r="Z681" s="2"/>
    </row>
    <row r="682" spans="1:26" ht="14.25" customHeight="1">
      <c r="A682" s="14"/>
      <c r="B682" s="2"/>
      <c r="C682" s="1"/>
      <c r="D682" s="1"/>
      <c r="E682" s="1"/>
      <c r="F682" s="1"/>
      <c r="G682" s="1"/>
      <c r="H682" s="1"/>
      <c r="I682" s="1"/>
      <c r="J682" s="1"/>
      <c r="K682" s="1"/>
      <c r="L682" s="1"/>
      <c r="M682" s="1"/>
      <c r="N682" s="1"/>
      <c r="O682" s="1"/>
      <c r="P682" s="1"/>
      <c r="Q682" s="1"/>
      <c r="R682" s="1"/>
      <c r="S682" s="1"/>
      <c r="T682" s="2"/>
      <c r="U682" s="2"/>
      <c r="V682" s="2"/>
      <c r="W682" s="2"/>
      <c r="X682" s="2"/>
      <c r="Y682" s="2"/>
      <c r="Z682" s="2"/>
    </row>
    <row r="683" spans="1:26" ht="14.25" customHeight="1">
      <c r="A683" s="14"/>
      <c r="B683" s="2"/>
      <c r="C683" s="1"/>
      <c r="D683" s="1"/>
      <c r="E683" s="1"/>
      <c r="F683" s="1"/>
      <c r="G683" s="1"/>
      <c r="H683" s="1"/>
      <c r="I683" s="1"/>
      <c r="J683" s="1"/>
      <c r="K683" s="1"/>
      <c r="L683" s="1"/>
      <c r="M683" s="1"/>
      <c r="N683" s="1"/>
      <c r="O683" s="1"/>
      <c r="P683" s="1"/>
      <c r="Q683" s="1"/>
      <c r="R683" s="1"/>
      <c r="S683" s="1"/>
      <c r="T683" s="2"/>
      <c r="U683" s="2"/>
      <c r="V683" s="2"/>
      <c r="W683" s="2"/>
      <c r="X683" s="2"/>
      <c r="Y683" s="2"/>
      <c r="Z683" s="2"/>
    </row>
    <row r="684" spans="1:26" ht="14.25" customHeight="1">
      <c r="A684" s="14"/>
      <c r="B684" s="2"/>
      <c r="C684" s="1"/>
      <c r="D684" s="1"/>
      <c r="E684" s="1"/>
      <c r="F684" s="1"/>
      <c r="G684" s="1"/>
      <c r="H684" s="1"/>
      <c r="I684" s="1"/>
      <c r="J684" s="1"/>
      <c r="K684" s="1"/>
      <c r="L684" s="1"/>
      <c r="M684" s="1"/>
      <c r="N684" s="1"/>
      <c r="O684" s="1"/>
      <c r="P684" s="1"/>
      <c r="Q684" s="1"/>
      <c r="R684" s="1"/>
      <c r="S684" s="1"/>
      <c r="T684" s="2"/>
      <c r="U684" s="2"/>
      <c r="V684" s="2"/>
      <c r="W684" s="2"/>
      <c r="X684" s="2"/>
      <c r="Y684" s="2"/>
      <c r="Z684" s="2"/>
    </row>
    <row r="685" spans="1:26" ht="14.25" customHeight="1">
      <c r="A685" s="14"/>
      <c r="B685" s="2"/>
      <c r="C685" s="1"/>
      <c r="D685" s="1"/>
      <c r="E685" s="1"/>
      <c r="F685" s="1"/>
      <c r="G685" s="1"/>
      <c r="H685" s="1"/>
      <c r="I685" s="1"/>
      <c r="J685" s="1"/>
      <c r="K685" s="1"/>
      <c r="L685" s="1"/>
      <c r="M685" s="1"/>
      <c r="N685" s="1"/>
      <c r="O685" s="1"/>
      <c r="P685" s="1"/>
      <c r="Q685" s="1"/>
      <c r="R685" s="1"/>
      <c r="S685" s="1"/>
      <c r="T685" s="2"/>
      <c r="U685" s="2"/>
      <c r="V685" s="2"/>
      <c r="W685" s="2"/>
      <c r="X685" s="2"/>
      <c r="Y685" s="2"/>
      <c r="Z685" s="2"/>
    </row>
    <row r="686" spans="1:26" ht="14.25" customHeight="1">
      <c r="A686" s="14"/>
      <c r="B686" s="2"/>
      <c r="C686" s="1"/>
      <c r="D686" s="1"/>
      <c r="E686" s="1"/>
      <c r="F686" s="1"/>
      <c r="G686" s="1"/>
      <c r="H686" s="1"/>
      <c r="I686" s="1"/>
      <c r="J686" s="1"/>
      <c r="K686" s="1"/>
      <c r="L686" s="1"/>
      <c r="M686" s="1"/>
      <c r="N686" s="1"/>
      <c r="O686" s="1"/>
      <c r="P686" s="1"/>
      <c r="Q686" s="1"/>
      <c r="R686" s="1"/>
      <c r="S686" s="1"/>
      <c r="T686" s="2"/>
      <c r="U686" s="2"/>
      <c r="V686" s="2"/>
      <c r="W686" s="2"/>
      <c r="X686" s="2"/>
      <c r="Y686" s="2"/>
      <c r="Z686" s="2"/>
    </row>
    <row r="687" spans="1:26" ht="14.25" customHeight="1">
      <c r="A687" s="14"/>
      <c r="B687" s="2"/>
      <c r="C687" s="1"/>
      <c r="D687" s="1"/>
      <c r="E687" s="1"/>
      <c r="F687" s="1"/>
      <c r="G687" s="1"/>
      <c r="H687" s="1"/>
      <c r="I687" s="1"/>
      <c r="J687" s="1"/>
      <c r="K687" s="1"/>
      <c r="L687" s="1"/>
      <c r="M687" s="1"/>
      <c r="N687" s="1"/>
      <c r="O687" s="1"/>
      <c r="P687" s="1"/>
      <c r="Q687" s="1"/>
      <c r="R687" s="1"/>
      <c r="S687" s="1"/>
      <c r="T687" s="2"/>
      <c r="U687" s="2"/>
      <c r="V687" s="2"/>
      <c r="W687" s="2"/>
      <c r="X687" s="2"/>
      <c r="Y687" s="2"/>
      <c r="Z687" s="2"/>
    </row>
    <row r="688" spans="1:26" ht="14.25" customHeight="1">
      <c r="A688" s="14"/>
      <c r="B688" s="2"/>
      <c r="C688" s="1"/>
      <c r="D688" s="1"/>
      <c r="E688" s="1"/>
      <c r="F688" s="1"/>
      <c r="G688" s="1"/>
      <c r="H688" s="1"/>
      <c r="I688" s="1"/>
      <c r="J688" s="1"/>
      <c r="K688" s="1"/>
      <c r="L688" s="1"/>
      <c r="M688" s="1"/>
      <c r="N688" s="1"/>
      <c r="O688" s="1"/>
      <c r="P688" s="1"/>
      <c r="Q688" s="1"/>
      <c r="R688" s="1"/>
      <c r="S688" s="1"/>
      <c r="T688" s="2"/>
      <c r="U688" s="2"/>
      <c r="V688" s="2"/>
      <c r="W688" s="2"/>
      <c r="X688" s="2"/>
      <c r="Y688" s="2"/>
      <c r="Z688" s="2"/>
    </row>
    <row r="689" spans="1:26" ht="14.25" customHeight="1">
      <c r="A689" s="14"/>
      <c r="B689" s="2"/>
      <c r="C689" s="1"/>
      <c r="D689" s="1"/>
      <c r="E689" s="1"/>
      <c r="F689" s="1"/>
      <c r="G689" s="1"/>
      <c r="H689" s="1"/>
      <c r="I689" s="1"/>
      <c r="J689" s="1"/>
      <c r="K689" s="1"/>
      <c r="L689" s="1"/>
      <c r="M689" s="1"/>
      <c r="N689" s="1"/>
      <c r="O689" s="1"/>
      <c r="P689" s="1"/>
      <c r="Q689" s="1"/>
      <c r="R689" s="1"/>
      <c r="S689" s="1"/>
      <c r="T689" s="2"/>
      <c r="U689" s="2"/>
      <c r="V689" s="2"/>
      <c r="W689" s="2"/>
      <c r="X689" s="2"/>
      <c r="Y689" s="2"/>
      <c r="Z689" s="2"/>
    </row>
    <row r="690" spans="1:26" ht="14.25" customHeight="1">
      <c r="A690" s="14"/>
      <c r="B690" s="2"/>
      <c r="C690" s="1"/>
      <c r="D690" s="1"/>
      <c r="E690" s="1"/>
      <c r="F690" s="1"/>
      <c r="G690" s="1"/>
      <c r="H690" s="1"/>
      <c r="I690" s="1"/>
      <c r="J690" s="1"/>
      <c r="K690" s="1"/>
      <c r="L690" s="1"/>
      <c r="M690" s="1"/>
      <c r="N690" s="1"/>
      <c r="O690" s="1"/>
      <c r="P690" s="1"/>
      <c r="Q690" s="1"/>
      <c r="R690" s="1"/>
      <c r="S690" s="1"/>
      <c r="T690" s="2"/>
      <c r="U690" s="2"/>
      <c r="V690" s="2"/>
      <c r="W690" s="2"/>
      <c r="X690" s="2"/>
      <c r="Y690" s="2"/>
      <c r="Z690" s="2"/>
    </row>
    <row r="691" spans="1:26" ht="14.25" customHeight="1">
      <c r="A691" s="14"/>
      <c r="B691" s="2"/>
      <c r="C691" s="1"/>
      <c r="D691" s="1"/>
      <c r="E691" s="1"/>
      <c r="F691" s="1"/>
      <c r="G691" s="1"/>
      <c r="H691" s="1"/>
      <c r="I691" s="1"/>
      <c r="J691" s="1"/>
      <c r="K691" s="1"/>
      <c r="L691" s="1"/>
      <c r="M691" s="1"/>
      <c r="N691" s="1"/>
      <c r="O691" s="1"/>
      <c r="P691" s="1"/>
      <c r="Q691" s="1"/>
      <c r="R691" s="1"/>
      <c r="S691" s="1"/>
      <c r="T691" s="2"/>
      <c r="U691" s="2"/>
      <c r="V691" s="2"/>
      <c r="W691" s="2"/>
      <c r="X691" s="2"/>
      <c r="Y691" s="2"/>
      <c r="Z691" s="2"/>
    </row>
    <row r="692" spans="1:26" ht="14.25" customHeight="1">
      <c r="A692" s="14"/>
      <c r="B692" s="2"/>
      <c r="C692" s="1"/>
      <c r="D692" s="1"/>
      <c r="E692" s="1"/>
      <c r="F692" s="1"/>
      <c r="G692" s="1"/>
      <c r="H692" s="1"/>
      <c r="I692" s="1"/>
      <c r="J692" s="1"/>
      <c r="K692" s="1"/>
      <c r="L692" s="1"/>
      <c r="M692" s="1"/>
      <c r="N692" s="1"/>
      <c r="O692" s="1"/>
      <c r="P692" s="1"/>
      <c r="Q692" s="1"/>
      <c r="R692" s="1"/>
      <c r="S692" s="1"/>
      <c r="T692" s="2"/>
      <c r="U692" s="2"/>
      <c r="V692" s="2"/>
      <c r="W692" s="2"/>
      <c r="X692" s="2"/>
      <c r="Y692" s="2"/>
      <c r="Z692" s="2"/>
    </row>
    <row r="693" spans="1:26" ht="14.25" customHeight="1">
      <c r="A693" s="14"/>
      <c r="B693" s="2"/>
      <c r="C693" s="1"/>
      <c r="D693" s="1"/>
      <c r="E693" s="1"/>
      <c r="F693" s="1"/>
      <c r="G693" s="1"/>
      <c r="H693" s="1"/>
      <c r="I693" s="1"/>
      <c r="J693" s="1"/>
      <c r="K693" s="1"/>
      <c r="L693" s="1"/>
      <c r="M693" s="1"/>
      <c r="N693" s="1"/>
      <c r="O693" s="1"/>
      <c r="P693" s="1"/>
      <c r="Q693" s="1"/>
      <c r="R693" s="1"/>
      <c r="S693" s="1"/>
      <c r="T693" s="2"/>
      <c r="U693" s="2"/>
      <c r="V693" s="2"/>
      <c r="W693" s="2"/>
      <c r="X693" s="2"/>
      <c r="Y693" s="2"/>
      <c r="Z693" s="2"/>
    </row>
    <row r="694" spans="1:26" ht="14.25" customHeight="1">
      <c r="A694" s="14"/>
      <c r="B694" s="2"/>
      <c r="C694" s="1"/>
      <c r="D694" s="1"/>
      <c r="E694" s="1"/>
      <c r="F694" s="1"/>
      <c r="G694" s="1"/>
      <c r="H694" s="1"/>
      <c r="I694" s="1"/>
      <c r="J694" s="1"/>
      <c r="K694" s="1"/>
      <c r="L694" s="1"/>
      <c r="M694" s="1"/>
      <c r="N694" s="1"/>
      <c r="O694" s="1"/>
      <c r="P694" s="1"/>
      <c r="Q694" s="1"/>
      <c r="R694" s="1"/>
      <c r="S694" s="1"/>
      <c r="T694" s="2"/>
      <c r="U694" s="2"/>
      <c r="V694" s="2"/>
      <c r="W694" s="2"/>
      <c r="X694" s="2"/>
      <c r="Y694" s="2"/>
      <c r="Z694" s="2"/>
    </row>
    <row r="695" spans="1:26" ht="14.25" customHeight="1">
      <c r="A695" s="14"/>
      <c r="B695" s="2"/>
      <c r="C695" s="1"/>
      <c r="D695" s="1"/>
      <c r="E695" s="1"/>
      <c r="F695" s="1"/>
      <c r="G695" s="1"/>
      <c r="H695" s="1"/>
      <c r="I695" s="1"/>
      <c r="J695" s="1"/>
      <c r="K695" s="1"/>
      <c r="L695" s="1"/>
      <c r="M695" s="1"/>
      <c r="N695" s="1"/>
      <c r="O695" s="1"/>
      <c r="P695" s="1"/>
      <c r="Q695" s="1"/>
      <c r="R695" s="1"/>
      <c r="S695" s="1"/>
      <c r="T695" s="2"/>
      <c r="U695" s="2"/>
      <c r="V695" s="2"/>
      <c r="W695" s="2"/>
      <c r="X695" s="2"/>
      <c r="Y695" s="2"/>
      <c r="Z695" s="2"/>
    </row>
    <row r="696" spans="1:26" ht="14.25" customHeight="1">
      <c r="A696" s="14"/>
      <c r="B696" s="2"/>
      <c r="C696" s="1"/>
      <c r="D696" s="1"/>
      <c r="E696" s="1"/>
      <c r="F696" s="1"/>
      <c r="G696" s="1"/>
      <c r="H696" s="1"/>
      <c r="I696" s="1"/>
      <c r="J696" s="1"/>
      <c r="K696" s="1"/>
      <c r="L696" s="1"/>
      <c r="M696" s="1"/>
      <c r="N696" s="1"/>
      <c r="O696" s="1"/>
      <c r="P696" s="1"/>
      <c r="Q696" s="1"/>
      <c r="R696" s="1"/>
      <c r="S696" s="1"/>
      <c r="T696" s="2"/>
      <c r="U696" s="2"/>
      <c r="V696" s="2"/>
      <c r="W696" s="2"/>
      <c r="X696" s="2"/>
      <c r="Y696" s="2"/>
      <c r="Z696" s="2"/>
    </row>
    <row r="697" spans="1:26" ht="14.25" customHeight="1">
      <c r="A697" s="14"/>
      <c r="B697" s="2"/>
      <c r="C697" s="1"/>
      <c r="D697" s="1"/>
      <c r="E697" s="1"/>
      <c r="F697" s="1"/>
      <c r="G697" s="1"/>
      <c r="H697" s="1"/>
      <c r="I697" s="1"/>
      <c r="J697" s="1"/>
      <c r="K697" s="1"/>
      <c r="L697" s="1"/>
      <c r="M697" s="1"/>
      <c r="N697" s="1"/>
      <c r="O697" s="1"/>
      <c r="P697" s="1"/>
      <c r="Q697" s="1"/>
      <c r="R697" s="1"/>
      <c r="S697" s="1"/>
      <c r="T697" s="2"/>
      <c r="U697" s="2"/>
      <c r="V697" s="2"/>
      <c r="W697" s="2"/>
      <c r="X697" s="2"/>
      <c r="Y697" s="2"/>
      <c r="Z697" s="2"/>
    </row>
    <row r="698" spans="1:26" ht="14.25" customHeight="1">
      <c r="A698" s="14"/>
      <c r="B698" s="2"/>
      <c r="C698" s="1"/>
      <c r="D698" s="1"/>
      <c r="E698" s="1"/>
      <c r="F698" s="1"/>
      <c r="G698" s="1"/>
      <c r="H698" s="1"/>
      <c r="I698" s="1"/>
      <c r="J698" s="1"/>
      <c r="K698" s="1"/>
      <c r="L698" s="1"/>
      <c r="M698" s="1"/>
      <c r="N698" s="1"/>
      <c r="O698" s="1"/>
      <c r="P698" s="1"/>
      <c r="Q698" s="1"/>
      <c r="R698" s="1"/>
      <c r="S698" s="1"/>
      <c r="T698" s="2"/>
      <c r="U698" s="2"/>
      <c r="V698" s="2"/>
      <c r="W698" s="2"/>
      <c r="X698" s="2"/>
      <c r="Y698" s="2"/>
      <c r="Z698" s="2"/>
    </row>
    <row r="699" spans="1:26" ht="14.25" customHeight="1">
      <c r="A699" s="14"/>
      <c r="B699" s="2"/>
      <c r="C699" s="1"/>
      <c r="D699" s="1"/>
      <c r="E699" s="1"/>
      <c r="F699" s="1"/>
      <c r="G699" s="1"/>
      <c r="H699" s="1"/>
      <c r="I699" s="1"/>
      <c r="J699" s="1"/>
      <c r="K699" s="1"/>
      <c r="L699" s="1"/>
      <c r="M699" s="1"/>
      <c r="N699" s="1"/>
      <c r="O699" s="1"/>
      <c r="P699" s="1"/>
      <c r="Q699" s="1"/>
      <c r="R699" s="1"/>
      <c r="S699" s="1"/>
      <c r="T699" s="2"/>
      <c r="U699" s="2"/>
      <c r="V699" s="2"/>
      <c r="W699" s="2"/>
      <c r="X699" s="2"/>
      <c r="Y699" s="2"/>
      <c r="Z699" s="2"/>
    </row>
    <row r="700" spans="1:26" ht="14.25" customHeight="1">
      <c r="A700" s="14"/>
      <c r="B700" s="2"/>
      <c r="C700" s="1"/>
      <c r="D700" s="1"/>
      <c r="E700" s="1"/>
      <c r="F700" s="1"/>
      <c r="G700" s="1"/>
      <c r="H700" s="1"/>
      <c r="I700" s="1"/>
      <c r="J700" s="1"/>
      <c r="K700" s="1"/>
      <c r="L700" s="1"/>
      <c r="M700" s="1"/>
      <c r="N700" s="1"/>
      <c r="O700" s="1"/>
      <c r="P700" s="1"/>
      <c r="Q700" s="1"/>
      <c r="R700" s="1"/>
      <c r="S700" s="1"/>
      <c r="T700" s="2"/>
      <c r="U700" s="2"/>
      <c r="V700" s="2"/>
      <c r="W700" s="2"/>
      <c r="X700" s="2"/>
      <c r="Y700" s="2"/>
      <c r="Z700" s="2"/>
    </row>
    <row r="701" spans="1:26" ht="14.25" customHeight="1">
      <c r="A701" s="14"/>
      <c r="B701" s="2"/>
      <c r="C701" s="1"/>
      <c r="D701" s="1"/>
      <c r="E701" s="1"/>
      <c r="F701" s="1"/>
      <c r="G701" s="1"/>
      <c r="H701" s="1"/>
      <c r="I701" s="1"/>
      <c r="J701" s="1"/>
      <c r="K701" s="1"/>
      <c r="L701" s="1"/>
      <c r="M701" s="1"/>
      <c r="N701" s="1"/>
      <c r="O701" s="1"/>
      <c r="P701" s="1"/>
      <c r="Q701" s="1"/>
      <c r="R701" s="1"/>
      <c r="S701" s="1"/>
      <c r="T701" s="2"/>
      <c r="U701" s="2"/>
      <c r="V701" s="2"/>
      <c r="W701" s="2"/>
      <c r="X701" s="2"/>
      <c r="Y701" s="2"/>
      <c r="Z701" s="2"/>
    </row>
    <row r="702" spans="1:26" ht="14.25" customHeight="1">
      <c r="A702" s="14"/>
      <c r="B702" s="2"/>
      <c r="C702" s="1"/>
      <c r="D702" s="1"/>
      <c r="E702" s="1"/>
      <c r="F702" s="1"/>
      <c r="G702" s="1"/>
      <c r="H702" s="1"/>
      <c r="I702" s="1"/>
      <c r="J702" s="1"/>
      <c r="K702" s="1"/>
      <c r="L702" s="1"/>
      <c r="M702" s="1"/>
      <c r="N702" s="1"/>
      <c r="O702" s="1"/>
      <c r="P702" s="1"/>
      <c r="Q702" s="1"/>
      <c r="R702" s="1"/>
      <c r="S702" s="1"/>
      <c r="T702" s="2"/>
      <c r="U702" s="2"/>
      <c r="V702" s="2"/>
      <c r="W702" s="2"/>
      <c r="X702" s="2"/>
      <c r="Y702" s="2"/>
      <c r="Z702" s="2"/>
    </row>
    <row r="703" spans="1:26" ht="14.25" customHeight="1">
      <c r="A703" s="14"/>
      <c r="B703" s="2"/>
      <c r="C703" s="1"/>
      <c r="D703" s="1"/>
      <c r="E703" s="1"/>
      <c r="F703" s="1"/>
      <c r="G703" s="1"/>
      <c r="H703" s="1"/>
      <c r="I703" s="1"/>
      <c r="J703" s="1"/>
      <c r="K703" s="1"/>
      <c r="L703" s="1"/>
      <c r="M703" s="1"/>
      <c r="N703" s="1"/>
      <c r="O703" s="1"/>
      <c r="P703" s="1"/>
      <c r="Q703" s="1"/>
      <c r="R703" s="1"/>
      <c r="S703" s="1"/>
      <c r="T703" s="2"/>
      <c r="U703" s="2"/>
      <c r="V703" s="2"/>
      <c r="W703" s="2"/>
      <c r="X703" s="2"/>
      <c r="Y703" s="2"/>
      <c r="Z703" s="2"/>
    </row>
    <row r="704" spans="1:26" ht="14.25" customHeight="1">
      <c r="A704" s="14"/>
      <c r="B704" s="2"/>
      <c r="C704" s="1"/>
      <c r="D704" s="1"/>
      <c r="E704" s="1"/>
      <c r="F704" s="1"/>
      <c r="G704" s="1"/>
      <c r="H704" s="1"/>
      <c r="I704" s="1"/>
      <c r="J704" s="1"/>
      <c r="K704" s="1"/>
      <c r="L704" s="1"/>
      <c r="M704" s="1"/>
      <c r="N704" s="1"/>
      <c r="O704" s="1"/>
      <c r="P704" s="1"/>
      <c r="Q704" s="1"/>
      <c r="R704" s="1"/>
      <c r="S704" s="1"/>
      <c r="T704" s="2"/>
      <c r="U704" s="2"/>
      <c r="V704" s="2"/>
      <c r="W704" s="2"/>
      <c r="X704" s="2"/>
      <c r="Y704" s="2"/>
      <c r="Z704" s="2"/>
    </row>
    <row r="705" spans="1:26" ht="14.25" customHeight="1">
      <c r="A705" s="14"/>
      <c r="B705" s="2"/>
      <c r="C705" s="1"/>
      <c r="D705" s="1"/>
      <c r="E705" s="1"/>
      <c r="F705" s="1"/>
      <c r="G705" s="1"/>
      <c r="H705" s="1"/>
      <c r="I705" s="1"/>
      <c r="J705" s="1"/>
      <c r="K705" s="1"/>
      <c r="L705" s="1"/>
      <c r="M705" s="1"/>
      <c r="N705" s="1"/>
      <c r="O705" s="1"/>
      <c r="P705" s="1"/>
      <c r="Q705" s="1"/>
      <c r="R705" s="1"/>
      <c r="S705" s="1"/>
      <c r="T705" s="2"/>
      <c r="U705" s="2"/>
      <c r="V705" s="2"/>
      <c r="W705" s="2"/>
      <c r="X705" s="2"/>
      <c r="Y705" s="2"/>
      <c r="Z705" s="2"/>
    </row>
    <row r="706" spans="1:26" ht="14.25" customHeight="1">
      <c r="A706" s="14"/>
      <c r="B706" s="2"/>
      <c r="C706" s="1"/>
      <c r="D706" s="1"/>
      <c r="E706" s="1"/>
      <c r="F706" s="1"/>
      <c r="G706" s="1"/>
      <c r="H706" s="1"/>
      <c r="I706" s="1"/>
      <c r="J706" s="1"/>
      <c r="K706" s="1"/>
      <c r="L706" s="1"/>
      <c r="M706" s="1"/>
      <c r="N706" s="1"/>
      <c r="O706" s="1"/>
      <c r="P706" s="1"/>
      <c r="Q706" s="1"/>
      <c r="R706" s="1"/>
      <c r="S706" s="1"/>
      <c r="T706" s="2"/>
      <c r="U706" s="2"/>
      <c r="V706" s="2"/>
      <c r="W706" s="2"/>
      <c r="X706" s="2"/>
      <c r="Y706" s="2"/>
      <c r="Z706" s="2"/>
    </row>
    <row r="707" spans="1:26" ht="14.25" customHeight="1">
      <c r="A707" s="14"/>
      <c r="B707" s="2"/>
      <c r="C707" s="1"/>
      <c r="D707" s="1"/>
      <c r="E707" s="1"/>
      <c r="F707" s="1"/>
      <c r="G707" s="1"/>
      <c r="H707" s="1"/>
      <c r="I707" s="1"/>
      <c r="J707" s="1"/>
      <c r="K707" s="1"/>
      <c r="L707" s="1"/>
      <c r="M707" s="1"/>
      <c r="N707" s="1"/>
      <c r="O707" s="1"/>
      <c r="P707" s="1"/>
      <c r="Q707" s="1"/>
      <c r="R707" s="1"/>
      <c r="S707" s="1"/>
      <c r="T707" s="2"/>
      <c r="U707" s="2"/>
      <c r="V707" s="2"/>
      <c r="W707" s="2"/>
      <c r="X707" s="2"/>
      <c r="Y707" s="2"/>
      <c r="Z707" s="2"/>
    </row>
    <row r="708" spans="1:26" ht="14.25" customHeight="1">
      <c r="A708" s="14"/>
      <c r="B708" s="2"/>
      <c r="C708" s="1"/>
      <c r="D708" s="1"/>
      <c r="E708" s="1"/>
      <c r="F708" s="1"/>
      <c r="G708" s="1"/>
      <c r="H708" s="1"/>
      <c r="I708" s="1"/>
      <c r="J708" s="1"/>
      <c r="K708" s="1"/>
      <c r="L708" s="1"/>
      <c r="M708" s="1"/>
      <c r="N708" s="1"/>
      <c r="O708" s="1"/>
      <c r="P708" s="1"/>
      <c r="Q708" s="1"/>
      <c r="R708" s="1"/>
      <c r="S708" s="1"/>
      <c r="T708" s="2"/>
      <c r="U708" s="2"/>
      <c r="V708" s="2"/>
      <c r="W708" s="2"/>
      <c r="X708" s="2"/>
      <c r="Y708" s="2"/>
      <c r="Z708" s="2"/>
    </row>
    <row r="709" spans="1:26" ht="14.25" customHeight="1">
      <c r="A709" s="14"/>
      <c r="B709" s="2"/>
      <c r="C709" s="1"/>
      <c r="D709" s="1"/>
      <c r="E709" s="1"/>
      <c r="F709" s="1"/>
      <c r="G709" s="1"/>
      <c r="H709" s="1"/>
      <c r="I709" s="1"/>
      <c r="J709" s="1"/>
      <c r="K709" s="1"/>
      <c r="L709" s="1"/>
      <c r="M709" s="1"/>
      <c r="N709" s="1"/>
      <c r="O709" s="1"/>
      <c r="P709" s="1"/>
      <c r="Q709" s="1"/>
      <c r="R709" s="1"/>
      <c r="S709" s="1"/>
      <c r="T709" s="2"/>
      <c r="U709" s="2"/>
      <c r="V709" s="2"/>
      <c r="W709" s="2"/>
      <c r="X709" s="2"/>
      <c r="Y709" s="2"/>
      <c r="Z709" s="2"/>
    </row>
    <row r="710" spans="1:26" ht="14.25" customHeight="1">
      <c r="A710" s="14"/>
      <c r="B710" s="2"/>
      <c r="C710" s="1"/>
      <c r="D710" s="1"/>
      <c r="E710" s="1"/>
      <c r="F710" s="1"/>
      <c r="G710" s="1"/>
      <c r="H710" s="1"/>
      <c r="I710" s="1"/>
      <c r="J710" s="1"/>
      <c r="K710" s="1"/>
      <c r="L710" s="1"/>
      <c r="M710" s="1"/>
      <c r="N710" s="1"/>
      <c r="O710" s="1"/>
      <c r="P710" s="1"/>
      <c r="Q710" s="1"/>
      <c r="R710" s="1"/>
      <c r="S710" s="1"/>
      <c r="T710" s="2"/>
      <c r="U710" s="2"/>
      <c r="V710" s="2"/>
      <c r="W710" s="2"/>
      <c r="X710" s="2"/>
      <c r="Y710" s="2"/>
      <c r="Z710" s="2"/>
    </row>
    <row r="711" spans="1:26" ht="14.25" customHeight="1">
      <c r="A711" s="14"/>
      <c r="B711" s="2"/>
      <c r="C711" s="1"/>
      <c r="D711" s="1"/>
      <c r="E711" s="1"/>
      <c r="F711" s="1"/>
      <c r="G711" s="1"/>
      <c r="H711" s="1"/>
      <c r="I711" s="1"/>
      <c r="J711" s="1"/>
      <c r="K711" s="1"/>
      <c r="L711" s="1"/>
      <c r="M711" s="1"/>
      <c r="N711" s="1"/>
      <c r="O711" s="1"/>
      <c r="P711" s="1"/>
      <c r="Q711" s="1"/>
      <c r="R711" s="1"/>
      <c r="S711" s="1"/>
      <c r="T711" s="2"/>
      <c r="U711" s="2"/>
      <c r="V711" s="2"/>
      <c r="W711" s="2"/>
      <c r="X711" s="2"/>
      <c r="Y711" s="2"/>
      <c r="Z711" s="2"/>
    </row>
    <row r="712" spans="1:26" ht="14.25" customHeight="1">
      <c r="A712" s="14"/>
      <c r="B712" s="2"/>
      <c r="C712" s="1"/>
      <c r="D712" s="1"/>
      <c r="E712" s="1"/>
      <c r="F712" s="1"/>
      <c r="G712" s="1"/>
      <c r="H712" s="1"/>
      <c r="I712" s="1"/>
      <c r="J712" s="1"/>
      <c r="K712" s="1"/>
      <c r="L712" s="1"/>
      <c r="M712" s="1"/>
      <c r="N712" s="1"/>
      <c r="O712" s="1"/>
      <c r="P712" s="1"/>
      <c r="Q712" s="1"/>
      <c r="R712" s="1"/>
      <c r="S712" s="1"/>
      <c r="T712" s="2"/>
      <c r="U712" s="2"/>
      <c r="V712" s="2"/>
      <c r="W712" s="2"/>
      <c r="X712" s="2"/>
      <c r="Y712" s="2"/>
      <c r="Z712" s="2"/>
    </row>
    <row r="713" spans="1:26" ht="14.25" customHeight="1">
      <c r="A713" s="14"/>
      <c r="B713" s="2"/>
      <c r="C713" s="1"/>
      <c r="D713" s="1"/>
      <c r="E713" s="1"/>
      <c r="F713" s="1"/>
      <c r="G713" s="1"/>
      <c r="H713" s="1"/>
      <c r="I713" s="1"/>
      <c r="J713" s="1"/>
      <c r="K713" s="1"/>
      <c r="L713" s="1"/>
      <c r="M713" s="1"/>
      <c r="N713" s="1"/>
      <c r="O713" s="1"/>
      <c r="P713" s="1"/>
      <c r="Q713" s="1"/>
      <c r="R713" s="1"/>
      <c r="S713" s="1"/>
      <c r="T713" s="2"/>
      <c r="U713" s="2"/>
      <c r="V713" s="2"/>
      <c r="W713" s="2"/>
      <c r="X713" s="2"/>
      <c r="Y713" s="2"/>
      <c r="Z713" s="2"/>
    </row>
    <row r="714" spans="1:26" ht="14.25" customHeight="1">
      <c r="A714" s="14"/>
      <c r="B714" s="2"/>
      <c r="C714" s="1"/>
      <c r="D714" s="1"/>
      <c r="E714" s="1"/>
      <c r="F714" s="1"/>
      <c r="G714" s="1"/>
      <c r="H714" s="1"/>
      <c r="I714" s="1"/>
      <c r="J714" s="1"/>
      <c r="K714" s="1"/>
      <c r="L714" s="1"/>
      <c r="M714" s="1"/>
      <c r="N714" s="1"/>
      <c r="O714" s="1"/>
      <c r="P714" s="1"/>
      <c r="Q714" s="1"/>
      <c r="R714" s="1"/>
      <c r="S714" s="1"/>
      <c r="T714" s="2"/>
      <c r="U714" s="2"/>
      <c r="V714" s="2"/>
      <c r="W714" s="2"/>
      <c r="X714" s="2"/>
      <c r="Y714" s="2"/>
      <c r="Z714" s="2"/>
    </row>
    <row r="715" spans="1:26" ht="14.25" customHeight="1">
      <c r="A715" s="14"/>
      <c r="B715" s="2"/>
      <c r="C715" s="1"/>
      <c r="D715" s="1"/>
      <c r="E715" s="1"/>
      <c r="F715" s="1"/>
      <c r="G715" s="1"/>
      <c r="H715" s="1"/>
      <c r="I715" s="1"/>
      <c r="J715" s="1"/>
      <c r="K715" s="1"/>
      <c r="L715" s="1"/>
      <c r="M715" s="1"/>
      <c r="N715" s="1"/>
      <c r="O715" s="1"/>
      <c r="P715" s="1"/>
      <c r="Q715" s="1"/>
      <c r="R715" s="1"/>
      <c r="S715" s="1"/>
      <c r="T715" s="2"/>
      <c r="U715" s="2"/>
      <c r="V715" s="2"/>
      <c r="W715" s="2"/>
      <c r="X715" s="2"/>
      <c r="Y715" s="2"/>
      <c r="Z715" s="2"/>
    </row>
    <row r="716" spans="1:26" ht="14.25" customHeight="1">
      <c r="A716" s="14"/>
      <c r="B716" s="2"/>
      <c r="C716" s="1"/>
      <c r="D716" s="1"/>
      <c r="E716" s="1"/>
      <c r="F716" s="1"/>
      <c r="G716" s="1"/>
      <c r="H716" s="1"/>
      <c r="I716" s="1"/>
      <c r="J716" s="1"/>
      <c r="K716" s="1"/>
      <c r="L716" s="1"/>
      <c r="M716" s="1"/>
      <c r="N716" s="1"/>
      <c r="O716" s="1"/>
      <c r="P716" s="1"/>
      <c r="Q716" s="1"/>
      <c r="R716" s="1"/>
      <c r="S716" s="1"/>
      <c r="T716" s="2"/>
      <c r="U716" s="2"/>
      <c r="V716" s="2"/>
      <c r="W716" s="2"/>
      <c r="X716" s="2"/>
      <c r="Y716" s="2"/>
      <c r="Z716" s="2"/>
    </row>
    <row r="717" spans="1:26" ht="14.25" customHeight="1">
      <c r="A717" s="14"/>
      <c r="B717" s="2"/>
      <c r="C717" s="1"/>
      <c r="D717" s="1"/>
      <c r="E717" s="1"/>
      <c r="F717" s="1"/>
      <c r="G717" s="1"/>
      <c r="H717" s="1"/>
      <c r="I717" s="1"/>
      <c r="J717" s="1"/>
      <c r="K717" s="1"/>
      <c r="L717" s="1"/>
      <c r="M717" s="1"/>
      <c r="N717" s="1"/>
      <c r="O717" s="1"/>
      <c r="P717" s="1"/>
      <c r="Q717" s="1"/>
      <c r="R717" s="1"/>
      <c r="S717" s="1"/>
      <c r="T717" s="2"/>
      <c r="U717" s="2"/>
      <c r="V717" s="2"/>
      <c r="W717" s="2"/>
      <c r="X717" s="2"/>
      <c r="Y717" s="2"/>
      <c r="Z717" s="2"/>
    </row>
    <row r="718" spans="1:26" ht="14.25" customHeight="1">
      <c r="A718" s="14"/>
      <c r="B718" s="2"/>
      <c r="C718" s="1"/>
      <c r="D718" s="1"/>
      <c r="E718" s="1"/>
      <c r="F718" s="1"/>
      <c r="G718" s="1"/>
      <c r="H718" s="1"/>
      <c r="I718" s="1"/>
      <c r="J718" s="1"/>
      <c r="K718" s="1"/>
      <c r="L718" s="1"/>
      <c r="M718" s="1"/>
      <c r="N718" s="1"/>
      <c r="O718" s="1"/>
      <c r="P718" s="1"/>
      <c r="Q718" s="1"/>
      <c r="R718" s="1"/>
      <c r="S718" s="1"/>
      <c r="T718" s="2"/>
      <c r="U718" s="2"/>
      <c r="V718" s="2"/>
      <c r="W718" s="2"/>
      <c r="X718" s="2"/>
      <c r="Y718" s="2"/>
      <c r="Z718" s="2"/>
    </row>
    <row r="719" spans="1:26" ht="14.25" customHeight="1">
      <c r="A719" s="14"/>
      <c r="B719" s="2"/>
      <c r="C719" s="1"/>
      <c r="D719" s="1"/>
      <c r="E719" s="1"/>
      <c r="F719" s="1"/>
      <c r="G719" s="1"/>
      <c r="H719" s="1"/>
      <c r="I719" s="1"/>
      <c r="J719" s="1"/>
      <c r="K719" s="1"/>
      <c r="L719" s="1"/>
      <c r="M719" s="1"/>
      <c r="N719" s="1"/>
      <c r="O719" s="1"/>
      <c r="P719" s="1"/>
      <c r="Q719" s="1"/>
      <c r="R719" s="1"/>
      <c r="S719" s="1"/>
      <c r="T719" s="2"/>
      <c r="U719" s="2"/>
      <c r="V719" s="2"/>
      <c r="W719" s="2"/>
      <c r="X719" s="2"/>
      <c r="Y719" s="2"/>
      <c r="Z719" s="2"/>
    </row>
    <row r="720" spans="1:26" ht="14.25" customHeight="1">
      <c r="A720" s="14"/>
      <c r="B720" s="2"/>
      <c r="C720" s="1"/>
      <c r="D720" s="1"/>
      <c r="E720" s="1"/>
      <c r="F720" s="1"/>
      <c r="G720" s="1"/>
      <c r="H720" s="1"/>
      <c r="I720" s="1"/>
      <c r="J720" s="1"/>
      <c r="K720" s="1"/>
      <c r="L720" s="1"/>
      <c r="M720" s="1"/>
      <c r="N720" s="1"/>
      <c r="O720" s="1"/>
      <c r="P720" s="1"/>
      <c r="Q720" s="1"/>
      <c r="R720" s="1"/>
      <c r="S720" s="1"/>
      <c r="T720" s="2"/>
      <c r="U720" s="2"/>
      <c r="V720" s="2"/>
      <c r="W720" s="2"/>
      <c r="X720" s="2"/>
      <c r="Y720" s="2"/>
      <c r="Z720" s="2"/>
    </row>
    <row r="721" spans="1:26" ht="14.25" customHeight="1">
      <c r="A721" s="14"/>
      <c r="B721" s="2"/>
      <c r="C721" s="1"/>
      <c r="D721" s="1"/>
      <c r="E721" s="1"/>
      <c r="F721" s="1"/>
      <c r="G721" s="1"/>
      <c r="H721" s="1"/>
      <c r="I721" s="1"/>
      <c r="J721" s="1"/>
      <c r="K721" s="1"/>
      <c r="L721" s="1"/>
      <c r="M721" s="1"/>
      <c r="N721" s="1"/>
      <c r="O721" s="1"/>
      <c r="P721" s="1"/>
      <c r="Q721" s="1"/>
      <c r="R721" s="1"/>
      <c r="S721" s="1"/>
      <c r="T721" s="2"/>
      <c r="U721" s="2"/>
      <c r="V721" s="2"/>
      <c r="W721" s="2"/>
      <c r="X721" s="2"/>
      <c r="Y721" s="2"/>
      <c r="Z721" s="2"/>
    </row>
    <row r="722" spans="1:26" ht="14.25" customHeight="1">
      <c r="A722" s="14"/>
      <c r="B722" s="2"/>
      <c r="C722" s="1"/>
      <c r="D722" s="1"/>
      <c r="E722" s="1"/>
      <c r="F722" s="1"/>
      <c r="G722" s="1"/>
      <c r="H722" s="1"/>
      <c r="I722" s="1"/>
      <c r="J722" s="1"/>
      <c r="K722" s="1"/>
      <c r="L722" s="1"/>
      <c r="M722" s="1"/>
      <c r="N722" s="1"/>
      <c r="O722" s="1"/>
      <c r="P722" s="1"/>
      <c r="Q722" s="1"/>
      <c r="R722" s="1"/>
      <c r="S722" s="1"/>
      <c r="T722" s="2"/>
      <c r="U722" s="2"/>
      <c r="V722" s="2"/>
      <c r="W722" s="2"/>
      <c r="X722" s="2"/>
      <c r="Y722" s="2"/>
      <c r="Z722" s="2"/>
    </row>
    <row r="723" spans="1:26" ht="14.25" customHeight="1">
      <c r="A723" s="14"/>
      <c r="B723" s="2"/>
      <c r="C723" s="1"/>
      <c r="D723" s="1"/>
      <c r="E723" s="1"/>
      <c r="F723" s="1"/>
      <c r="G723" s="1"/>
      <c r="H723" s="1"/>
      <c r="I723" s="1"/>
      <c r="J723" s="1"/>
      <c r="K723" s="1"/>
      <c r="L723" s="1"/>
      <c r="M723" s="1"/>
      <c r="N723" s="1"/>
      <c r="O723" s="1"/>
      <c r="P723" s="1"/>
      <c r="Q723" s="1"/>
      <c r="R723" s="1"/>
      <c r="S723" s="1"/>
      <c r="T723" s="2"/>
      <c r="U723" s="2"/>
      <c r="V723" s="2"/>
      <c r="W723" s="2"/>
      <c r="X723" s="2"/>
      <c r="Y723" s="2"/>
      <c r="Z723" s="2"/>
    </row>
    <row r="724" spans="1:26" ht="14.25" customHeight="1">
      <c r="A724" s="14"/>
      <c r="B724" s="2"/>
      <c r="C724" s="1"/>
      <c r="D724" s="1"/>
      <c r="E724" s="1"/>
      <c r="F724" s="1"/>
      <c r="G724" s="1"/>
      <c r="H724" s="1"/>
      <c r="I724" s="1"/>
      <c r="J724" s="1"/>
      <c r="K724" s="1"/>
      <c r="L724" s="1"/>
      <c r="M724" s="1"/>
      <c r="N724" s="1"/>
      <c r="O724" s="1"/>
      <c r="P724" s="1"/>
      <c r="Q724" s="1"/>
      <c r="R724" s="1"/>
      <c r="S724" s="1"/>
      <c r="T724" s="2"/>
      <c r="U724" s="2"/>
      <c r="V724" s="2"/>
      <c r="W724" s="2"/>
      <c r="X724" s="2"/>
      <c r="Y724" s="2"/>
      <c r="Z724" s="2"/>
    </row>
    <row r="725" spans="1:26" ht="14.25" customHeight="1">
      <c r="A725" s="14"/>
      <c r="B725" s="2"/>
      <c r="C725" s="1"/>
      <c r="D725" s="1"/>
      <c r="E725" s="1"/>
      <c r="F725" s="1"/>
      <c r="G725" s="1"/>
      <c r="H725" s="1"/>
      <c r="I725" s="1"/>
      <c r="J725" s="1"/>
      <c r="K725" s="1"/>
      <c r="L725" s="1"/>
      <c r="M725" s="1"/>
      <c r="N725" s="1"/>
      <c r="O725" s="1"/>
      <c r="P725" s="1"/>
      <c r="Q725" s="1"/>
      <c r="R725" s="1"/>
      <c r="S725" s="1"/>
      <c r="T725" s="2"/>
      <c r="U725" s="2"/>
      <c r="V725" s="2"/>
      <c r="W725" s="2"/>
      <c r="X725" s="2"/>
      <c r="Y725" s="2"/>
      <c r="Z725" s="2"/>
    </row>
    <row r="726" spans="1:26" ht="14.25" customHeight="1">
      <c r="A726" s="14"/>
      <c r="B726" s="2"/>
      <c r="C726" s="1"/>
      <c r="D726" s="1"/>
      <c r="E726" s="1"/>
      <c r="F726" s="1"/>
      <c r="G726" s="1"/>
      <c r="H726" s="1"/>
      <c r="I726" s="1"/>
      <c r="J726" s="1"/>
      <c r="K726" s="1"/>
      <c r="L726" s="1"/>
      <c r="M726" s="1"/>
      <c r="N726" s="1"/>
      <c r="O726" s="1"/>
      <c r="P726" s="1"/>
      <c r="Q726" s="1"/>
      <c r="R726" s="1"/>
      <c r="S726" s="1"/>
      <c r="T726" s="2"/>
      <c r="U726" s="2"/>
      <c r="V726" s="2"/>
      <c r="W726" s="2"/>
      <c r="X726" s="2"/>
      <c r="Y726" s="2"/>
      <c r="Z726" s="2"/>
    </row>
    <row r="727" spans="1:26" ht="14.25" customHeight="1">
      <c r="A727" s="14"/>
      <c r="B727" s="2"/>
      <c r="C727" s="1"/>
      <c r="D727" s="1"/>
      <c r="E727" s="1"/>
      <c r="F727" s="1"/>
      <c r="G727" s="1"/>
      <c r="H727" s="1"/>
      <c r="I727" s="1"/>
      <c r="J727" s="1"/>
      <c r="K727" s="1"/>
      <c r="L727" s="1"/>
      <c r="M727" s="1"/>
      <c r="N727" s="1"/>
      <c r="O727" s="1"/>
      <c r="P727" s="1"/>
      <c r="Q727" s="1"/>
      <c r="R727" s="1"/>
      <c r="S727" s="1"/>
      <c r="T727" s="2"/>
      <c r="U727" s="2"/>
      <c r="V727" s="2"/>
      <c r="W727" s="2"/>
      <c r="X727" s="2"/>
      <c r="Y727" s="2"/>
      <c r="Z727" s="2"/>
    </row>
    <row r="728" spans="1:26" ht="14.25" customHeight="1">
      <c r="A728" s="14"/>
      <c r="B728" s="2"/>
      <c r="C728" s="1"/>
      <c r="D728" s="1"/>
      <c r="E728" s="1"/>
      <c r="F728" s="1"/>
      <c r="G728" s="1"/>
      <c r="H728" s="1"/>
      <c r="I728" s="1"/>
      <c r="J728" s="1"/>
      <c r="K728" s="1"/>
      <c r="L728" s="1"/>
      <c r="M728" s="1"/>
      <c r="N728" s="1"/>
      <c r="O728" s="1"/>
      <c r="P728" s="1"/>
      <c r="Q728" s="1"/>
      <c r="R728" s="1"/>
      <c r="S728" s="1"/>
      <c r="T728" s="2"/>
      <c r="U728" s="2"/>
      <c r="V728" s="2"/>
      <c r="W728" s="2"/>
      <c r="X728" s="2"/>
      <c r="Y728" s="2"/>
      <c r="Z728" s="2"/>
    </row>
    <row r="729" spans="1:26" ht="14.25" customHeight="1">
      <c r="A729" s="14"/>
      <c r="B729" s="2"/>
      <c r="C729" s="1"/>
      <c r="D729" s="1"/>
      <c r="E729" s="1"/>
      <c r="F729" s="1"/>
      <c r="G729" s="1"/>
      <c r="H729" s="1"/>
      <c r="I729" s="1"/>
      <c r="J729" s="1"/>
      <c r="K729" s="1"/>
      <c r="L729" s="1"/>
      <c r="M729" s="1"/>
      <c r="N729" s="1"/>
      <c r="O729" s="1"/>
      <c r="P729" s="1"/>
      <c r="Q729" s="1"/>
      <c r="R729" s="1"/>
      <c r="S729" s="1"/>
      <c r="T729" s="2"/>
      <c r="U729" s="2"/>
      <c r="V729" s="2"/>
      <c r="W729" s="2"/>
      <c r="X729" s="2"/>
      <c r="Y729" s="2"/>
      <c r="Z729" s="2"/>
    </row>
    <row r="730" spans="1:26" ht="14.25" customHeight="1">
      <c r="A730" s="14"/>
      <c r="B730" s="2"/>
      <c r="C730" s="1"/>
      <c r="D730" s="1"/>
      <c r="E730" s="1"/>
      <c r="F730" s="1"/>
      <c r="G730" s="1"/>
      <c r="H730" s="1"/>
      <c r="I730" s="1"/>
      <c r="J730" s="1"/>
      <c r="K730" s="1"/>
      <c r="L730" s="1"/>
      <c r="M730" s="1"/>
      <c r="N730" s="1"/>
      <c r="O730" s="1"/>
      <c r="P730" s="1"/>
      <c r="Q730" s="1"/>
      <c r="R730" s="1"/>
      <c r="S730" s="1"/>
      <c r="T730" s="2"/>
      <c r="U730" s="2"/>
      <c r="V730" s="2"/>
      <c r="W730" s="2"/>
      <c r="X730" s="2"/>
      <c r="Y730" s="2"/>
      <c r="Z730" s="2"/>
    </row>
    <row r="731" spans="1:26" ht="14.25" customHeight="1">
      <c r="A731" s="14"/>
      <c r="B731" s="2"/>
      <c r="C731" s="1"/>
      <c r="D731" s="1"/>
      <c r="E731" s="1"/>
      <c r="F731" s="1"/>
      <c r="G731" s="1"/>
      <c r="H731" s="1"/>
      <c r="I731" s="1"/>
      <c r="J731" s="1"/>
      <c r="K731" s="1"/>
      <c r="L731" s="1"/>
      <c r="M731" s="1"/>
      <c r="N731" s="1"/>
      <c r="O731" s="1"/>
      <c r="P731" s="1"/>
      <c r="Q731" s="1"/>
      <c r="R731" s="1"/>
      <c r="S731" s="1"/>
      <c r="T731" s="2"/>
      <c r="U731" s="2"/>
      <c r="V731" s="2"/>
      <c r="W731" s="2"/>
      <c r="X731" s="2"/>
      <c r="Y731" s="2"/>
      <c r="Z731" s="2"/>
    </row>
    <row r="732" spans="1:26" ht="14.25" customHeight="1">
      <c r="A732" s="14"/>
      <c r="B732" s="2"/>
      <c r="C732" s="1"/>
      <c r="D732" s="1"/>
      <c r="E732" s="1"/>
      <c r="F732" s="1"/>
      <c r="G732" s="1"/>
      <c r="H732" s="1"/>
      <c r="I732" s="1"/>
      <c r="J732" s="1"/>
      <c r="K732" s="1"/>
      <c r="L732" s="1"/>
      <c r="M732" s="1"/>
      <c r="N732" s="1"/>
      <c r="O732" s="1"/>
      <c r="P732" s="1"/>
      <c r="Q732" s="1"/>
      <c r="R732" s="1"/>
      <c r="S732" s="1"/>
      <c r="T732" s="2"/>
      <c r="U732" s="2"/>
      <c r="V732" s="2"/>
      <c r="W732" s="2"/>
      <c r="X732" s="2"/>
      <c r="Y732" s="2"/>
      <c r="Z732" s="2"/>
    </row>
    <row r="733" spans="1:26" ht="14.25" customHeight="1">
      <c r="A733" s="14"/>
      <c r="B733" s="2"/>
      <c r="C733" s="1"/>
      <c r="D733" s="1"/>
      <c r="E733" s="1"/>
      <c r="F733" s="1"/>
      <c r="G733" s="1"/>
      <c r="H733" s="1"/>
      <c r="I733" s="1"/>
      <c r="J733" s="1"/>
      <c r="K733" s="1"/>
      <c r="L733" s="1"/>
      <c r="M733" s="1"/>
      <c r="N733" s="1"/>
      <c r="O733" s="1"/>
      <c r="P733" s="1"/>
      <c r="Q733" s="1"/>
      <c r="R733" s="1"/>
      <c r="S733" s="1"/>
      <c r="T733" s="2"/>
      <c r="U733" s="2"/>
      <c r="V733" s="2"/>
      <c r="W733" s="2"/>
      <c r="X733" s="2"/>
      <c r="Y733" s="2"/>
      <c r="Z733" s="2"/>
    </row>
    <row r="734" spans="1:26" ht="14.25" customHeight="1">
      <c r="A734" s="14"/>
      <c r="B734" s="2"/>
      <c r="C734" s="1"/>
      <c r="D734" s="1"/>
      <c r="E734" s="1"/>
      <c r="F734" s="1"/>
      <c r="G734" s="1"/>
      <c r="H734" s="1"/>
      <c r="I734" s="1"/>
      <c r="J734" s="1"/>
      <c r="K734" s="1"/>
      <c r="L734" s="1"/>
      <c r="M734" s="1"/>
      <c r="N734" s="1"/>
      <c r="O734" s="1"/>
      <c r="P734" s="1"/>
      <c r="Q734" s="1"/>
      <c r="R734" s="1"/>
      <c r="S734" s="1"/>
      <c r="T734" s="2"/>
      <c r="U734" s="2"/>
      <c r="V734" s="2"/>
      <c r="W734" s="2"/>
      <c r="X734" s="2"/>
      <c r="Y734" s="2"/>
      <c r="Z734" s="2"/>
    </row>
    <row r="735" spans="1:26" ht="14.25" customHeight="1">
      <c r="A735" s="14"/>
      <c r="B735" s="2"/>
      <c r="C735" s="1"/>
      <c r="D735" s="1"/>
      <c r="E735" s="1"/>
      <c r="F735" s="1"/>
      <c r="G735" s="1"/>
      <c r="H735" s="1"/>
      <c r="I735" s="1"/>
      <c r="J735" s="1"/>
      <c r="K735" s="1"/>
      <c r="L735" s="1"/>
      <c r="M735" s="1"/>
      <c r="N735" s="1"/>
      <c r="O735" s="1"/>
      <c r="P735" s="1"/>
      <c r="Q735" s="1"/>
      <c r="R735" s="1"/>
      <c r="S735" s="1"/>
      <c r="T735" s="2"/>
      <c r="U735" s="2"/>
      <c r="V735" s="2"/>
      <c r="W735" s="2"/>
      <c r="X735" s="2"/>
      <c r="Y735" s="2"/>
      <c r="Z735" s="2"/>
    </row>
    <row r="736" spans="1:26" ht="14.25" customHeight="1">
      <c r="A736" s="14"/>
      <c r="B736" s="2"/>
      <c r="C736" s="1"/>
      <c r="D736" s="1"/>
      <c r="E736" s="1"/>
      <c r="F736" s="1"/>
      <c r="G736" s="1"/>
      <c r="H736" s="1"/>
      <c r="I736" s="1"/>
      <c r="J736" s="1"/>
      <c r="K736" s="1"/>
      <c r="L736" s="1"/>
      <c r="M736" s="1"/>
      <c r="N736" s="1"/>
      <c r="O736" s="1"/>
      <c r="P736" s="1"/>
      <c r="Q736" s="1"/>
      <c r="R736" s="1"/>
      <c r="S736" s="1"/>
      <c r="T736" s="2"/>
      <c r="U736" s="2"/>
      <c r="V736" s="2"/>
      <c r="W736" s="2"/>
      <c r="X736" s="2"/>
      <c r="Y736" s="2"/>
      <c r="Z736" s="2"/>
    </row>
    <row r="737" spans="1:26" ht="14.25" customHeight="1">
      <c r="A737" s="14"/>
      <c r="B737" s="2"/>
      <c r="C737" s="1"/>
      <c r="D737" s="1"/>
      <c r="E737" s="1"/>
      <c r="F737" s="1"/>
      <c r="G737" s="1"/>
      <c r="H737" s="1"/>
      <c r="I737" s="1"/>
      <c r="J737" s="1"/>
      <c r="K737" s="1"/>
      <c r="L737" s="1"/>
      <c r="M737" s="1"/>
      <c r="N737" s="1"/>
      <c r="O737" s="1"/>
      <c r="P737" s="1"/>
      <c r="Q737" s="1"/>
      <c r="R737" s="1"/>
      <c r="S737" s="1"/>
      <c r="T737" s="2"/>
      <c r="U737" s="2"/>
      <c r="V737" s="2"/>
      <c r="W737" s="2"/>
      <c r="X737" s="2"/>
      <c r="Y737" s="2"/>
      <c r="Z737" s="2"/>
    </row>
    <row r="738" spans="1:26" ht="14.25" customHeight="1">
      <c r="A738" s="14"/>
      <c r="B738" s="2"/>
      <c r="C738" s="1"/>
      <c r="D738" s="1"/>
      <c r="E738" s="1"/>
      <c r="F738" s="1"/>
      <c r="G738" s="1"/>
      <c r="H738" s="1"/>
      <c r="I738" s="1"/>
      <c r="J738" s="1"/>
      <c r="K738" s="1"/>
      <c r="L738" s="1"/>
      <c r="M738" s="1"/>
      <c r="N738" s="1"/>
      <c r="O738" s="1"/>
      <c r="P738" s="1"/>
      <c r="Q738" s="1"/>
      <c r="R738" s="1"/>
      <c r="S738" s="1"/>
      <c r="T738" s="2"/>
      <c r="U738" s="2"/>
      <c r="V738" s="2"/>
      <c r="W738" s="2"/>
      <c r="X738" s="2"/>
      <c r="Y738" s="2"/>
      <c r="Z738" s="2"/>
    </row>
    <row r="739" spans="1:26" ht="14.25" customHeight="1">
      <c r="A739" s="14"/>
      <c r="B739" s="2"/>
      <c r="C739" s="1"/>
      <c r="D739" s="1"/>
      <c r="E739" s="1"/>
      <c r="F739" s="1"/>
      <c r="G739" s="1"/>
      <c r="H739" s="1"/>
      <c r="I739" s="1"/>
      <c r="J739" s="1"/>
      <c r="K739" s="1"/>
      <c r="L739" s="1"/>
      <c r="M739" s="1"/>
      <c r="N739" s="1"/>
      <c r="O739" s="1"/>
      <c r="P739" s="1"/>
      <c r="Q739" s="1"/>
      <c r="R739" s="1"/>
      <c r="S739" s="1"/>
      <c r="T739" s="2"/>
      <c r="U739" s="2"/>
      <c r="V739" s="2"/>
      <c r="W739" s="2"/>
      <c r="X739" s="2"/>
      <c r="Y739" s="2"/>
      <c r="Z739" s="2"/>
    </row>
    <row r="740" spans="1:26" ht="14.25" customHeight="1">
      <c r="A740" s="14"/>
      <c r="B740" s="2"/>
      <c r="C740" s="1"/>
      <c r="D740" s="1"/>
      <c r="E740" s="1"/>
      <c r="F740" s="1"/>
      <c r="G740" s="1"/>
      <c r="H740" s="1"/>
      <c r="I740" s="1"/>
      <c r="J740" s="1"/>
      <c r="K740" s="1"/>
      <c r="L740" s="1"/>
      <c r="M740" s="1"/>
      <c r="N740" s="1"/>
      <c r="O740" s="1"/>
      <c r="P740" s="1"/>
      <c r="Q740" s="1"/>
      <c r="R740" s="1"/>
      <c r="S740" s="1"/>
      <c r="T740" s="2"/>
      <c r="U740" s="2"/>
      <c r="V740" s="2"/>
      <c r="W740" s="2"/>
      <c r="X740" s="2"/>
      <c r="Y740" s="2"/>
      <c r="Z740" s="2"/>
    </row>
    <row r="741" spans="1:26" ht="14.25" customHeight="1">
      <c r="A741" s="14"/>
      <c r="B741" s="2"/>
      <c r="C741" s="1"/>
      <c r="D741" s="1"/>
      <c r="E741" s="1"/>
      <c r="F741" s="1"/>
      <c r="G741" s="1"/>
      <c r="H741" s="1"/>
      <c r="I741" s="1"/>
      <c r="J741" s="1"/>
      <c r="K741" s="1"/>
      <c r="L741" s="1"/>
      <c r="M741" s="1"/>
      <c r="N741" s="1"/>
      <c r="O741" s="1"/>
      <c r="P741" s="1"/>
      <c r="Q741" s="1"/>
      <c r="R741" s="1"/>
      <c r="S741" s="1"/>
      <c r="T741" s="2"/>
      <c r="U741" s="2"/>
      <c r="V741" s="2"/>
      <c r="W741" s="2"/>
      <c r="X741" s="2"/>
      <c r="Y741" s="2"/>
      <c r="Z741" s="2"/>
    </row>
    <row r="742" spans="1:26" ht="14.25" customHeight="1">
      <c r="A742" s="14"/>
      <c r="B742" s="2"/>
      <c r="C742" s="1"/>
      <c r="D742" s="1"/>
      <c r="E742" s="1"/>
      <c r="F742" s="1"/>
      <c r="G742" s="1"/>
      <c r="H742" s="1"/>
      <c r="I742" s="1"/>
      <c r="J742" s="1"/>
      <c r="K742" s="1"/>
      <c r="L742" s="1"/>
      <c r="M742" s="1"/>
      <c r="N742" s="1"/>
      <c r="O742" s="1"/>
      <c r="P742" s="1"/>
      <c r="Q742" s="1"/>
      <c r="R742" s="1"/>
      <c r="S742" s="1"/>
      <c r="T742" s="2"/>
      <c r="U742" s="2"/>
      <c r="V742" s="2"/>
      <c r="W742" s="2"/>
      <c r="X742" s="2"/>
      <c r="Y742" s="2"/>
      <c r="Z742" s="2"/>
    </row>
    <row r="743" spans="1:26" ht="14.25" customHeight="1">
      <c r="A743" s="14"/>
      <c r="B743" s="2"/>
      <c r="C743" s="1"/>
      <c r="D743" s="1"/>
      <c r="E743" s="1"/>
      <c r="F743" s="1"/>
      <c r="G743" s="1"/>
      <c r="H743" s="1"/>
      <c r="I743" s="1"/>
      <c r="J743" s="1"/>
      <c r="K743" s="1"/>
      <c r="L743" s="1"/>
      <c r="M743" s="1"/>
      <c r="N743" s="1"/>
      <c r="O743" s="1"/>
      <c r="P743" s="1"/>
      <c r="Q743" s="1"/>
      <c r="R743" s="1"/>
      <c r="S743" s="1"/>
      <c r="T743" s="2"/>
      <c r="U743" s="2"/>
      <c r="V743" s="2"/>
      <c r="W743" s="2"/>
      <c r="X743" s="2"/>
      <c r="Y743" s="2"/>
      <c r="Z743" s="2"/>
    </row>
    <row r="744" spans="1:26" ht="14.25" customHeight="1">
      <c r="A744" s="14"/>
      <c r="B744" s="2"/>
      <c r="C744" s="1"/>
      <c r="D744" s="1"/>
      <c r="E744" s="1"/>
      <c r="F744" s="1"/>
      <c r="G744" s="1"/>
      <c r="H744" s="1"/>
      <c r="I744" s="1"/>
      <c r="J744" s="1"/>
      <c r="K744" s="1"/>
      <c r="L744" s="1"/>
      <c r="M744" s="1"/>
      <c r="N744" s="1"/>
      <c r="O744" s="1"/>
      <c r="P744" s="1"/>
      <c r="Q744" s="1"/>
      <c r="R744" s="1"/>
      <c r="S744" s="1"/>
      <c r="T744" s="2"/>
      <c r="U744" s="2"/>
      <c r="V744" s="2"/>
      <c r="W744" s="2"/>
      <c r="X744" s="2"/>
      <c r="Y744" s="2"/>
      <c r="Z744" s="2"/>
    </row>
    <row r="745" spans="1:26" ht="14.25" customHeight="1">
      <c r="A745" s="14"/>
      <c r="B745" s="2"/>
      <c r="C745" s="1"/>
      <c r="D745" s="1"/>
      <c r="E745" s="1"/>
      <c r="F745" s="1"/>
      <c r="G745" s="1"/>
      <c r="H745" s="1"/>
      <c r="I745" s="1"/>
      <c r="J745" s="1"/>
      <c r="K745" s="1"/>
      <c r="L745" s="1"/>
      <c r="M745" s="1"/>
      <c r="N745" s="1"/>
      <c r="O745" s="1"/>
      <c r="P745" s="1"/>
      <c r="Q745" s="1"/>
      <c r="R745" s="1"/>
      <c r="S745" s="1"/>
      <c r="T745" s="2"/>
      <c r="U745" s="2"/>
      <c r="V745" s="2"/>
      <c r="W745" s="2"/>
      <c r="X745" s="2"/>
      <c r="Y745" s="2"/>
      <c r="Z745" s="2"/>
    </row>
    <row r="746" spans="1:26" ht="14.25" customHeight="1">
      <c r="A746" s="14"/>
      <c r="B746" s="2"/>
      <c r="C746" s="1"/>
      <c r="D746" s="1"/>
      <c r="E746" s="1"/>
      <c r="F746" s="1"/>
      <c r="G746" s="1"/>
      <c r="H746" s="1"/>
      <c r="I746" s="1"/>
      <c r="J746" s="1"/>
      <c r="K746" s="1"/>
      <c r="L746" s="1"/>
      <c r="M746" s="1"/>
      <c r="N746" s="1"/>
      <c r="O746" s="1"/>
      <c r="P746" s="1"/>
      <c r="Q746" s="1"/>
      <c r="R746" s="1"/>
      <c r="S746" s="1"/>
      <c r="T746" s="2"/>
      <c r="U746" s="2"/>
      <c r="V746" s="2"/>
      <c r="W746" s="2"/>
      <c r="X746" s="2"/>
      <c r="Y746" s="2"/>
      <c r="Z746" s="2"/>
    </row>
    <row r="747" spans="1:26" ht="14.25" customHeight="1">
      <c r="A747" s="14"/>
      <c r="B747" s="2"/>
      <c r="C747" s="1"/>
      <c r="D747" s="1"/>
      <c r="E747" s="1"/>
      <c r="F747" s="1"/>
      <c r="G747" s="1"/>
      <c r="H747" s="1"/>
      <c r="I747" s="1"/>
      <c r="J747" s="1"/>
      <c r="K747" s="1"/>
      <c r="L747" s="1"/>
      <c r="M747" s="1"/>
      <c r="N747" s="1"/>
      <c r="O747" s="1"/>
      <c r="P747" s="1"/>
      <c r="Q747" s="1"/>
      <c r="R747" s="1"/>
      <c r="S747" s="1"/>
      <c r="T747" s="2"/>
      <c r="U747" s="2"/>
      <c r="V747" s="2"/>
      <c r="W747" s="2"/>
      <c r="X747" s="2"/>
      <c r="Y747" s="2"/>
      <c r="Z747" s="2"/>
    </row>
    <row r="748" spans="1:26" ht="14.25" customHeight="1">
      <c r="A748" s="14"/>
      <c r="B748" s="2"/>
      <c r="C748" s="1"/>
      <c r="D748" s="1"/>
      <c r="E748" s="1"/>
      <c r="F748" s="1"/>
      <c r="G748" s="1"/>
      <c r="H748" s="1"/>
      <c r="I748" s="1"/>
      <c r="J748" s="1"/>
      <c r="K748" s="1"/>
      <c r="L748" s="1"/>
      <c r="M748" s="1"/>
      <c r="N748" s="1"/>
      <c r="O748" s="1"/>
      <c r="P748" s="1"/>
      <c r="Q748" s="1"/>
      <c r="R748" s="1"/>
      <c r="S748" s="1"/>
      <c r="T748" s="2"/>
      <c r="U748" s="2"/>
      <c r="V748" s="2"/>
      <c r="W748" s="2"/>
      <c r="X748" s="2"/>
      <c r="Y748" s="2"/>
      <c r="Z748" s="2"/>
    </row>
    <row r="749" spans="1:26" ht="14.25" customHeight="1">
      <c r="A749" s="14"/>
      <c r="B749" s="2"/>
      <c r="C749" s="1"/>
      <c r="D749" s="1"/>
      <c r="E749" s="1"/>
      <c r="F749" s="1"/>
      <c r="G749" s="1"/>
      <c r="H749" s="1"/>
      <c r="I749" s="1"/>
      <c r="J749" s="1"/>
      <c r="K749" s="1"/>
      <c r="L749" s="1"/>
      <c r="M749" s="1"/>
      <c r="N749" s="1"/>
      <c r="O749" s="1"/>
      <c r="P749" s="1"/>
      <c r="Q749" s="1"/>
      <c r="R749" s="1"/>
      <c r="S749" s="1"/>
      <c r="T749" s="2"/>
      <c r="U749" s="2"/>
      <c r="V749" s="2"/>
      <c r="W749" s="2"/>
      <c r="X749" s="2"/>
      <c r="Y749" s="2"/>
      <c r="Z749" s="2"/>
    </row>
    <row r="750" spans="1:26" ht="14.25" customHeight="1">
      <c r="A750" s="14"/>
      <c r="B750" s="2"/>
      <c r="C750" s="1"/>
      <c r="D750" s="1"/>
      <c r="E750" s="1"/>
      <c r="F750" s="1"/>
      <c r="G750" s="1"/>
      <c r="H750" s="1"/>
      <c r="I750" s="1"/>
      <c r="J750" s="1"/>
      <c r="K750" s="1"/>
      <c r="L750" s="1"/>
      <c r="M750" s="1"/>
      <c r="N750" s="1"/>
      <c r="O750" s="1"/>
      <c r="P750" s="1"/>
      <c r="Q750" s="1"/>
      <c r="R750" s="1"/>
      <c r="S750" s="1"/>
      <c r="T750" s="2"/>
      <c r="U750" s="2"/>
      <c r="V750" s="2"/>
      <c r="W750" s="2"/>
      <c r="X750" s="2"/>
      <c r="Y750" s="2"/>
      <c r="Z750" s="2"/>
    </row>
    <row r="751" spans="1:26" ht="14.25" customHeight="1">
      <c r="A751" s="14"/>
      <c r="B751" s="2"/>
      <c r="C751" s="1"/>
      <c r="D751" s="1"/>
      <c r="E751" s="1"/>
      <c r="F751" s="1"/>
      <c r="G751" s="1"/>
      <c r="H751" s="1"/>
      <c r="I751" s="1"/>
      <c r="J751" s="1"/>
      <c r="K751" s="1"/>
      <c r="L751" s="1"/>
      <c r="M751" s="1"/>
      <c r="N751" s="1"/>
      <c r="O751" s="1"/>
      <c r="P751" s="1"/>
      <c r="Q751" s="1"/>
      <c r="R751" s="1"/>
      <c r="S751" s="1"/>
      <c r="T751" s="2"/>
      <c r="U751" s="2"/>
      <c r="V751" s="2"/>
      <c r="W751" s="2"/>
      <c r="X751" s="2"/>
      <c r="Y751" s="2"/>
      <c r="Z751" s="2"/>
    </row>
    <row r="752" spans="1:26" ht="14.25" customHeight="1">
      <c r="A752" s="14"/>
      <c r="B752" s="2"/>
      <c r="C752" s="1"/>
      <c r="D752" s="1"/>
      <c r="E752" s="1"/>
      <c r="F752" s="1"/>
      <c r="G752" s="1"/>
      <c r="H752" s="1"/>
      <c r="I752" s="1"/>
      <c r="J752" s="1"/>
      <c r="K752" s="1"/>
      <c r="L752" s="1"/>
      <c r="M752" s="1"/>
      <c r="N752" s="1"/>
      <c r="O752" s="1"/>
      <c r="P752" s="1"/>
      <c r="Q752" s="1"/>
      <c r="R752" s="1"/>
      <c r="S752" s="1"/>
      <c r="T752" s="2"/>
      <c r="U752" s="2"/>
      <c r="V752" s="2"/>
      <c r="W752" s="2"/>
      <c r="X752" s="2"/>
      <c r="Y752" s="2"/>
      <c r="Z752" s="2"/>
    </row>
    <row r="753" spans="1:26" ht="14.25" customHeight="1">
      <c r="A753" s="14"/>
      <c r="B753" s="2"/>
      <c r="C753" s="1"/>
      <c r="D753" s="1"/>
      <c r="E753" s="1"/>
      <c r="F753" s="1"/>
      <c r="G753" s="1"/>
      <c r="H753" s="1"/>
      <c r="I753" s="1"/>
      <c r="J753" s="1"/>
      <c r="K753" s="1"/>
      <c r="L753" s="1"/>
      <c r="M753" s="1"/>
      <c r="N753" s="1"/>
      <c r="O753" s="1"/>
      <c r="P753" s="1"/>
      <c r="Q753" s="1"/>
      <c r="R753" s="1"/>
      <c r="S753" s="1"/>
      <c r="T753" s="2"/>
      <c r="U753" s="2"/>
      <c r="V753" s="2"/>
      <c r="W753" s="2"/>
      <c r="X753" s="2"/>
      <c r="Y753" s="2"/>
      <c r="Z753" s="2"/>
    </row>
    <row r="754" spans="1:26" ht="14.25" customHeight="1">
      <c r="A754" s="14"/>
      <c r="B754" s="2"/>
      <c r="C754" s="1"/>
      <c r="D754" s="1"/>
      <c r="E754" s="1"/>
      <c r="F754" s="1"/>
      <c r="G754" s="1"/>
      <c r="H754" s="1"/>
      <c r="I754" s="1"/>
      <c r="J754" s="1"/>
      <c r="K754" s="1"/>
      <c r="L754" s="1"/>
      <c r="M754" s="1"/>
      <c r="N754" s="1"/>
      <c r="O754" s="1"/>
      <c r="P754" s="1"/>
      <c r="Q754" s="1"/>
      <c r="R754" s="1"/>
      <c r="S754" s="1"/>
      <c r="T754" s="2"/>
      <c r="U754" s="2"/>
      <c r="V754" s="2"/>
      <c r="W754" s="2"/>
      <c r="X754" s="2"/>
      <c r="Y754" s="2"/>
      <c r="Z754" s="2"/>
    </row>
    <row r="755" spans="1:26" ht="14.25" customHeight="1">
      <c r="A755" s="14"/>
      <c r="B755" s="2"/>
      <c r="C755" s="1"/>
      <c r="D755" s="1"/>
      <c r="E755" s="1"/>
      <c r="F755" s="1"/>
      <c r="G755" s="1"/>
      <c r="H755" s="1"/>
      <c r="I755" s="1"/>
      <c r="J755" s="1"/>
      <c r="K755" s="1"/>
      <c r="L755" s="1"/>
      <c r="M755" s="1"/>
      <c r="N755" s="1"/>
      <c r="O755" s="1"/>
      <c r="P755" s="1"/>
      <c r="Q755" s="1"/>
      <c r="R755" s="1"/>
      <c r="S755" s="1"/>
      <c r="T755" s="2"/>
      <c r="U755" s="2"/>
      <c r="V755" s="2"/>
      <c r="W755" s="2"/>
      <c r="X755" s="2"/>
      <c r="Y755" s="2"/>
      <c r="Z755" s="2"/>
    </row>
    <row r="756" spans="1:26" ht="14.25" customHeight="1">
      <c r="A756" s="14"/>
      <c r="B756" s="2"/>
      <c r="C756" s="1"/>
      <c r="D756" s="1"/>
      <c r="E756" s="1"/>
      <c r="F756" s="1"/>
      <c r="G756" s="1"/>
      <c r="H756" s="1"/>
      <c r="I756" s="1"/>
      <c r="J756" s="1"/>
      <c r="K756" s="1"/>
      <c r="L756" s="1"/>
      <c r="M756" s="1"/>
      <c r="N756" s="1"/>
      <c r="O756" s="1"/>
      <c r="P756" s="1"/>
      <c r="Q756" s="1"/>
      <c r="R756" s="1"/>
      <c r="S756" s="1"/>
      <c r="T756" s="2"/>
      <c r="U756" s="2"/>
      <c r="V756" s="2"/>
      <c r="W756" s="2"/>
      <c r="X756" s="2"/>
      <c r="Y756" s="2"/>
      <c r="Z756" s="2"/>
    </row>
    <row r="757" spans="1:26" ht="14.25" customHeight="1">
      <c r="A757" s="14"/>
      <c r="B757" s="2"/>
      <c r="C757" s="1"/>
      <c r="D757" s="1"/>
      <c r="E757" s="1"/>
      <c r="F757" s="1"/>
      <c r="G757" s="1"/>
      <c r="H757" s="1"/>
      <c r="I757" s="1"/>
      <c r="J757" s="1"/>
      <c r="K757" s="1"/>
      <c r="L757" s="1"/>
      <c r="M757" s="1"/>
      <c r="N757" s="1"/>
      <c r="O757" s="1"/>
      <c r="P757" s="1"/>
      <c r="Q757" s="1"/>
      <c r="R757" s="1"/>
      <c r="S757" s="1"/>
      <c r="T757" s="2"/>
      <c r="U757" s="2"/>
      <c r="V757" s="2"/>
      <c r="W757" s="2"/>
      <c r="X757" s="2"/>
      <c r="Y757" s="2"/>
      <c r="Z757" s="2"/>
    </row>
    <row r="758" spans="1:26" ht="14.25" customHeight="1">
      <c r="A758" s="14"/>
      <c r="B758" s="2"/>
      <c r="C758" s="1"/>
      <c r="D758" s="1"/>
      <c r="E758" s="1"/>
      <c r="F758" s="1"/>
      <c r="G758" s="1"/>
      <c r="H758" s="1"/>
      <c r="I758" s="1"/>
      <c r="J758" s="1"/>
      <c r="K758" s="1"/>
      <c r="L758" s="1"/>
      <c r="M758" s="1"/>
      <c r="N758" s="1"/>
      <c r="O758" s="1"/>
      <c r="P758" s="1"/>
      <c r="Q758" s="1"/>
      <c r="R758" s="1"/>
      <c r="S758" s="1"/>
      <c r="T758" s="2"/>
      <c r="U758" s="2"/>
      <c r="V758" s="2"/>
      <c r="W758" s="2"/>
      <c r="X758" s="2"/>
      <c r="Y758" s="2"/>
      <c r="Z758" s="2"/>
    </row>
    <row r="759" spans="1:26" ht="14.25" customHeight="1">
      <c r="A759" s="14"/>
      <c r="B759" s="2"/>
      <c r="C759" s="1"/>
      <c r="D759" s="1"/>
      <c r="E759" s="1"/>
      <c r="F759" s="1"/>
      <c r="G759" s="1"/>
      <c r="H759" s="1"/>
      <c r="I759" s="1"/>
      <c r="J759" s="1"/>
      <c r="K759" s="1"/>
      <c r="L759" s="1"/>
      <c r="M759" s="1"/>
      <c r="N759" s="1"/>
      <c r="O759" s="1"/>
      <c r="P759" s="1"/>
      <c r="Q759" s="1"/>
      <c r="R759" s="1"/>
      <c r="S759" s="1"/>
      <c r="T759" s="2"/>
      <c r="U759" s="2"/>
      <c r="V759" s="2"/>
      <c r="W759" s="2"/>
      <c r="X759" s="2"/>
      <c r="Y759" s="2"/>
      <c r="Z759" s="2"/>
    </row>
    <row r="760" spans="1:26" ht="14.25" customHeight="1">
      <c r="A760" s="14"/>
      <c r="B760" s="2"/>
      <c r="C760" s="1"/>
      <c r="D760" s="1"/>
      <c r="E760" s="1"/>
      <c r="F760" s="1"/>
      <c r="G760" s="1"/>
      <c r="H760" s="1"/>
      <c r="I760" s="1"/>
      <c r="J760" s="1"/>
      <c r="K760" s="1"/>
      <c r="L760" s="1"/>
      <c r="M760" s="1"/>
      <c r="N760" s="1"/>
      <c r="O760" s="1"/>
      <c r="P760" s="1"/>
      <c r="Q760" s="1"/>
      <c r="R760" s="1"/>
      <c r="S760" s="1"/>
      <c r="T760" s="2"/>
      <c r="U760" s="2"/>
      <c r="V760" s="2"/>
      <c r="W760" s="2"/>
      <c r="X760" s="2"/>
      <c r="Y760" s="2"/>
      <c r="Z760" s="2"/>
    </row>
    <row r="761" spans="1:26" ht="14.25" customHeight="1">
      <c r="A761" s="14"/>
      <c r="B761" s="2"/>
      <c r="C761" s="1"/>
      <c r="D761" s="1"/>
      <c r="E761" s="1"/>
      <c r="F761" s="1"/>
      <c r="G761" s="1"/>
      <c r="H761" s="1"/>
      <c r="I761" s="1"/>
      <c r="J761" s="1"/>
      <c r="K761" s="1"/>
      <c r="L761" s="1"/>
      <c r="M761" s="1"/>
      <c r="N761" s="1"/>
      <c r="O761" s="1"/>
      <c r="P761" s="1"/>
      <c r="Q761" s="1"/>
      <c r="R761" s="1"/>
      <c r="S761" s="1"/>
      <c r="T761" s="2"/>
      <c r="U761" s="2"/>
      <c r="V761" s="2"/>
      <c r="W761" s="2"/>
      <c r="X761" s="2"/>
      <c r="Y761" s="2"/>
      <c r="Z761" s="2"/>
    </row>
    <row r="762" spans="1:26" ht="14.25" customHeight="1">
      <c r="A762" s="14"/>
      <c r="B762" s="2"/>
      <c r="C762" s="1"/>
      <c r="D762" s="1"/>
      <c r="E762" s="1"/>
      <c r="F762" s="1"/>
      <c r="G762" s="1"/>
      <c r="H762" s="1"/>
      <c r="I762" s="1"/>
      <c r="J762" s="1"/>
      <c r="K762" s="1"/>
      <c r="L762" s="1"/>
      <c r="M762" s="1"/>
      <c r="N762" s="1"/>
      <c r="O762" s="1"/>
      <c r="P762" s="1"/>
      <c r="Q762" s="1"/>
      <c r="R762" s="1"/>
      <c r="S762" s="1"/>
      <c r="T762" s="2"/>
      <c r="U762" s="2"/>
      <c r="V762" s="2"/>
      <c r="W762" s="2"/>
      <c r="X762" s="2"/>
      <c r="Y762" s="2"/>
      <c r="Z762" s="2"/>
    </row>
    <row r="763" spans="1:26" ht="14.25" customHeight="1">
      <c r="A763" s="14"/>
      <c r="B763" s="2"/>
      <c r="C763" s="1"/>
      <c r="D763" s="1"/>
      <c r="E763" s="1"/>
      <c r="F763" s="1"/>
      <c r="G763" s="1"/>
      <c r="H763" s="1"/>
      <c r="I763" s="1"/>
      <c r="J763" s="1"/>
      <c r="K763" s="1"/>
      <c r="L763" s="1"/>
      <c r="M763" s="1"/>
      <c r="N763" s="1"/>
      <c r="O763" s="1"/>
      <c r="P763" s="1"/>
      <c r="Q763" s="1"/>
      <c r="R763" s="1"/>
      <c r="S763" s="1"/>
      <c r="T763" s="2"/>
      <c r="U763" s="2"/>
      <c r="V763" s="2"/>
      <c r="W763" s="2"/>
      <c r="X763" s="2"/>
      <c r="Y763" s="2"/>
      <c r="Z763" s="2"/>
    </row>
    <row r="764" spans="1:26" ht="14.25" customHeight="1">
      <c r="A764" s="14"/>
      <c r="B764" s="2"/>
      <c r="C764" s="1"/>
      <c r="D764" s="1"/>
      <c r="E764" s="1"/>
      <c r="F764" s="1"/>
      <c r="G764" s="1"/>
      <c r="H764" s="1"/>
      <c r="I764" s="1"/>
      <c r="J764" s="1"/>
      <c r="K764" s="1"/>
      <c r="L764" s="1"/>
      <c r="M764" s="1"/>
      <c r="N764" s="1"/>
      <c r="O764" s="1"/>
      <c r="P764" s="1"/>
      <c r="Q764" s="1"/>
      <c r="R764" s="1"/>
      <c r="S764" s="1"/>
      <c r="T764" s="2"/>
      <c r="U764" s="2"/>
      <c r="V764" s="2"/>
      <c r="W764" s="2"/>
      <c r="X764" s="2"/>
      <c r="Y764" s="2"/>
      <c r="Z764" s="2"/>
    </row>
    <row r="765" spans="1:26" ht="14.25" customHeight="1">
      <c r="A765" s="14"/>
      <c r="B765" s="2"/>
      <c r="C765" s="1"/>
      <c r="D765" s="1"/>
      <c r="E765" s="1"/>
      <c r="F765" s="1"/>
      <c r="G765" s="1"/>
      <c r="H765" s="1"/>
      <c r="I765" s="1"/>
      <c r="J765" s="1"/>
      <c r="K765" s="1"/>
      <c r="L765" s="1"/>
      <c r="M765" s="1"/>
      <c r="N765" s="1"/>
      <c r="O765" s="1"/>
      <c r="P765" s="1"/>
      <c r="Q765" s="1"/>
      <c r="R765" s="1"/>
      <c r="S765" s="1"/>
      <c r="T765" s="2"/>
      <c r="U765" s="2"/>
      <c r="V765" s="2"/>
      <c r="W765" s="2"/>
      <c r="X765" s="2"/>
      <c r="Y765" s="2"/>
      <c r="Z765" s="2"/>
    </row>
    <row r="766" spans="1:26" ht="14.25" customHeight="1">
      <c r="A766" s="14"/>
      <c r="B766" s="2"/>
      <c r="C766" s="1"/>
      <c r="D766" s="1"/>
      <c r="E766" s="1"/>
      <c r="F766" s="1"/>
      <c r="G766" s="1"/>
      <c r="H766" s="1"/>
      <c r="I766" s="1"/>
      <c r="J766" s="1"/>
      <c r="K766" s="1"/>
      <c r="L766" s="1"/>
      <c r="M766" s="1"/>
      <c r="N766" s="1"/>
      <c r="O766" s="1"/>
      <c r="P766" s="1"/>
      <c r="Q766" s="1"/>
      <c r="R766" s="1"/>
      <c r="S766" s="1"/>
      <c r="T766" s="2"/>
      <c r="U766" s="2"/>
      <c r="V766" s="2"/>
      <c r="W766" s="2"/>
      <c r="X766" s="2"/>
      <c r="Y766" s="2"/>
      <c r="Z766" s="2"/>
    </row>
    <row r="767" spans="1:26" ht="14.25" customHeight="1">
      <c r="A767" s="14"/>
      <c r="B767" s="2"/>
      <c r="C767" s="1"/>
      <c r="D767" s="1"/>
      <c r="E767" s="1"/>
      <c r="F767" s="1"/>
      <c r="G767" s="1"/>
      <c r="H767" s="1"/>
      <c r="I767" s="1"/>
      <c r="J767" s="1"/>
      <c r="K767" s="1"/>
      <c r="L767" s="1"/>
      <c r="M767" s="1"/>
      <c r="N767" s="1"/>
      <c r="O767" s="1"/>
      <c r="P767" s="1"/>
      <c r="Q767" s="1"/>
      <c r="R767" s="1"/>
      <c r="S767" s="1"/>
      <c r="T767" s="2"/>
      <c r="U767" s="2"/>
      <c r="V767" s="2"/>
      <c r="W767" s="2"/>
      <c r="X767" s="2"/>
      <c r="Y767" s="2"/>
      <c r="Z767" s="2"/>
    </row>
    <row r="768" spans="1:26" ht="14.25" customHeight="1">
      <c r="A768" s="14"/>
      <c r="B768" s="2"/>
      <c r="C768" s="1"/>
      <c r="D768" s="1"/>
      <c r="E768" s="1"/>
      <c r="F768" s="1"/>
      <c r="G768" s="1"/>
      <c r="H768" s="1"/>
      <c r="I768" s="1"/>
      <c r="J768" s="1"/>
      <c r="K768" s="1"/>
      <c r="L768" s="1"/>
      <c r="M768" s="1"/>
      <c r="N768" s="1"/>
      <c r="O768" s="1"/>
      <c r="P768" s="1"/>
      <c r="Q768" s="1"/>
      <c r="R768" s="1"/>
      <c r="S768" s="1"/>
      <c r="T768" s="2"/>
      <c r="U768" s="2"/>
      <c r="V768" s="2"/>
      <c r="W768" s="2"/>
      <c r="X768" s="2"/>
      <c r="Y768" s="2"/>
      <c r="Z768" s="2"/>
    </row>
    <row r="769" spans="1:26" ht="14.25" customHeight="1">
      <c r="A769" s="14"/>
      <c r="B769" s="2"/>
      <c r="C769" s="1"/>
      <c r="D769" s="1"/>
      <c r="E769" s="1"/>
      <c r="F769" s="1"/>
      <c r="G769" s="1"/>
      <c r="H769" s="1"/>
      <c r="I769" s="1"/>
      <c r="J769" s="1"/>
      <c r="K769" s="1"/>
      <c r="L769" s="1"/>
      <c r="M769" s="1"/>
      <c r="N769" s="1"/>
      <c r="O769" s="1"/>
      <c r="P769" s="1"/>
      <c r="Q769" s="1"/>
      <c r="R769" s="1"/>
      <c r="S769" s="1"/>
      <c r="T769" s="2"/>
      <c r="U769" s="2"/>
      <c r="V769" s="2"/>
      <c r="W769" s="2"/>
      <c r="X769" s="2"/>
      <c r="Y769" s="2"/>
      <c r="Z769" s="2"/>
    </row>
    <row r="770" spans="1:26" ht="14.25" customHeight="1">
      <c r="A770" s="14"/>
      <c r="B770" s="2"/>
      <c r="C770" s="1"/>
      <c r="D770" s="1"/>
      <c r="E770" s="1"/>
      <c r="F770" s="1"/>
      <c r="G770" s="1"/>
      <c r="H770" s="1"/>
      <c r="I770" s="1"/>
      <c r="J770" s="1"/>
      <c r="K770" s="1"/>
      <c r="L770" s="1"/>
      <c r="M770" s="1"/>
      <c r="N770" s="1"/>
      <c r="O770" s="1"/>
      <c r="P770" s="1"/>
      <c r="Q770" s="1"/>
      <c r="R770" s="1"/>
      <c r="S770" s="1"/>
      <c r="T770" s="2"/>
      <c r="U770" s="2"/>
      <c r="V770" s="2"/>
      <c r="W770" s="2"/>
      <c r="X770" s="2"/>
      <c r="Y770" s="2"/>
      <c r="Z770" s="2"/>
    </row>
    <row r="771" spans="1:26" ht="14.25" customHeight="1">
      <c r="A771" s="14"/>
      <c r="B771" s="2"/>
      <c r="C771" s="1"/>
      <c r="D771" s="1"/>
      <c r="E771" s="1"/>
      <c r="F771" s="1"/>
      <c r="G771" s="1"/>
      <c r="H771" s="1"/>
      <c r="I771" s="1"/>
      <c r="J771" s="1"/>
      <c r="K771" s="1"/>
      <c r="L771" s="1"/>
      <c r="M771" s="1"/>
      <c r="N771" s="1"/>
      <c r="O771" s="1"/>
      <c r="P771" s="1"/>
      <c r="Q771" s="1"/>
      <c r="R771" s="1"/>
      <c r="S771" s="1"/>
      <c r="T771" s="2"/>
      <c r="U771" s="2"/>
      <c r="V771" s="2"/>
      <c r="W771" s="2"/>
      <c r="X771" s="2"/>
      <c r="Y771" s="2"/>
      <c r="Z771" s="2"/>
    </row>
    <row r="772" spans="1:26" ht="14.25" customHeight="1">
      <c r="A772" s="14"/>
      <c r="B772" s="2"/>
      <c r="C772" s="1"/>
      <c r="D772" s="1"/>
      <c r="E772" s="1"/>
      <c r="F772" s="1"/>
      <c r="G772" s="1"/>
      <c r="H772" s="1"/>
      <c r="I772" s="1"/>
      <c r="J772" s="1"/>
      <c r="K772" s="1"/>
      <c r="L772" s="1"/>
      <c r="M772" s="1"/>
      <c r="N772" s="1"/>
      <c r="O772" s="1"/>
      <c r="P772" s="1"/>
      <c r="Q772" s="1"/>
      <c r="R772" s="1"/>
      <c r="S772" s="1"/>
      <c r="T772" s="2"/>
      <c r="U772" s="2"/>
      <c r="V772" s="2"/>
      <c r="W772" s="2"/>
      <c r="X772" s="2"/>
      <c r="Y772" s="2"/>
      <c r="Z772" s="2"/>
    </row>
    <row r="773" spans="1:26" ht="14.25" customHeight="1">
      <c r="A773" s="14"/>
      <c r="B773" s="2"/>
      <c r="C773" s="1"/>
      <c r="D773" s="1"/>
      <c r="E773" s="1"/>
      <c r="F773" s="1"/>
      <c r="G773" s="1"/>
      <c r="H773" s="1"/>
      <c r="I773" s="1"/>
      <c r="J773" s="1"/>
      <c r="K773" s="1"/>
      <c r="L773" s="1"/>
      <c r="M773" s="1"/>
      <c r="N773" s="1"/>
      <c r="O773" s="1"/>
      <c r="P773" s="1"/>
      <c r="Q773" s="1"/>
      <c r="R773" s="1"/>
      <c r="S773" s="1"/>
      <c r="T773" s="2"/>
      <c r="U773" s="2"/>
      <c r="V773" s="2"/>
      <c r="W773" s="2"/>
      <c r="X773" s="2"/>
      <c r="Y773" s="2"/>
      <c r="Z773" s="2"/>
    </row>
    <row r="774" spans="1:26" ht="14.25" customHeight="1">
      <c r="A774" s="14"/>
      <c r="B774" s="2"/>
      <c r="C774" s="1"/>
      <c r="D774" s="1"/>
      <c r="E774" s="1"/>
      <c r="F774" s="1"/>
      <c r="G774" s="1"/>
      <c r="H774" s="1"/>
      <c r="I774" s="1"/>
      <c r="J774" s="1"/>
      <c r="K774" s="1"/>
      <c r="L774" s="1"/>
      <c r="M774" s="1"/>
      <c r="N774" s="1"/>
      <c r="O774" s="1"/>
      <c r="P774" s="1"/>
      <c r="Q774" s="1"/>
      <c r="R774" s="1"/>
      <c r="S774" s="1"/>
      <c r="T774" s="2"/>
      <c r="U774" s="2"/>
      <c r="V774" s="2"/>
      <c r="W774" s="2"/>
      <c r="X774" s="2"/>
      <c r="Y774" s="2"/>
      <c r="Z774" s="2"/>
    </row>
    <row r="775" spans="1:26" ht="14.25" customHeight="1">
      <c r="A775" s="14"/>
      <c r="B775" s="2"/>
      <c r="C775" s="1"/>
      <c r="D775" s="1"/>
      <c r="E775" s="1"/>
      <c r="F775" s="1"/>
      <c r="G775" s="1"/>
      <c r="H775" s="1"/>
      <c r="I775" s="1"/>
      <c r="J775" s="1"/>
      <c r="K775" s="1"/>
      <c r="L775" s="1"/>
      <c r="M775" s="1"/>
      <c r="N775" s="1"/>
      <c r="O775" s="1"/>
      <c r="P775" s="1"/>
      <c r="Q775" s="1"/>
      <c r="R775" s="1"/>
      <c r="S775" s="1"/>
      <c r="T775" s="2"/>
      <c r="U775" s="2"/>
      <c r="V775" s="2"/>
      <c r="W775" s="2"/>
      <c r="X775" s="2"/>
      <c r="Y775" s="2"/>
      <c r="Z775" s="2"/>
    </row>
    <row r="776" spans="1:26" ht="14.25" customHeight="1">
      <c r="A776" s="14"/>
      <c r="B776" s="2"/>
      <c r="C776" s="1"/>
      <c r="D776" s="1"/>
      <c r="E776" s="1"/>
      <c r="F776" s="1"/>
      <c r="G776" s="1"/>
      <c r="H776" s="1"/>
      <c r="I776" s="1"/>
      <c r="J776" s="1"/>
      <c r="K776" s="1"/>
      <c r="L776" s="1"/>
      <c r="M776" s="1"/>
      <c r="N776" s="1"/>
      <c r="O776" s="1"/>
      <c r="P776" s="1"/>
      <c r="Q776" s="1"/>
      <c r="R776" s="1"/>
      <c r="S776" s="1"/>
      <c r="T776" s="2"/>
      <c r="U776" s="2"/>
      <c r="V776" s="2"/>
      <c r="W776" s="2"/>
      <c r="X776" s="2"/>
      <c r="Y776" s="2"/>
      <c r="Z776" s="2"/>
    </row>
    <row r="777" spans="1:26" ht="14.25" customHeight="1">
      <c r="A777" s="14"/>
      <c r="B777" s="2"/>
      <c r="C777" s="1"/>
      <c r="D777" s="1"/>
      <c r="E777" s="1"/>
      <c r="F777" s="1"/>
      <c r="G777" s="1"/>
      <c r="H777" s="1"/>
      <c r="I777" s="1"/>
      <c r="J777" s="1"/>
      <c r="K777" s="1"/>
      <c r="L777" s="1"/>
      <c r="M777" s="1"/>
      <c r="N777" s="1"/>
      <c r="O777" s="1"/>
      <c r="P777" s="1"/>
      <c r="Q777" s="1"/>
      <c r="R777" s="1"/>
      <c r="S777" s="1"/>
      <c r="T777" s="2"/>
      <c r="U777" s="2"/>
      <c r="V777" s="2"/>
      <c r="W777" s="2"/>
      <c r="X777" s="2"/>
      <c r="Y777" s="2"/>
      <c r="Z777" s="2"/>
    </row>
    <row r="778" spans="1:26" ht="14.25" customHeight="1">
      <c r="A778" s="14"/>
      <c r="B778" s="2"/>
      <c r="C778" s="1"/>
      <c r="D778" s="1"/>
      <c r="E778" s="1"/>
      <c r="F778" s="1"/>
      <c r="G778" s="1"/>
      <c r="H778" s="1"/>
      <c r="I778" s="1"/>
      <c r="J778" s="1"/>
      <c r="K778" s="1"/>
      <c r="L778" s="1"/>
      <c r="M778" s="1"/>
      <c r="N778" s="1"/>
      <c r="O778" s="1"/>
      <c r="P778" s="1"/>
      <c r="Q778" s="1"/>
      <c r="R778" s="1"/>
      <c r="S778" s="1"/>
      <c r="T778" s="2"/>
      <c r="U778" s="2"/>
      <c r="V778" s="2"/>
      <c r="W778" s="2"/>
      <c r="X778" s="2"/>
      <c r="Y778" s="2"/>
      <c r="Z778" s="2"/>
    </row>
    <row r="779" spans="1:26" ht="14.25" customHeight="1">
      <c r="A779" s="14"/>
      <c r="B779" s="2"/>
      <c r="C779" s="1"/>
      <c r="D779" s="1"/>
      <c r="E779" s="1"/>
      <c r="F779" s="1"/>
      <c r="G779" s="1"/>
      <c r="H779" s="1"/>
      <c r="I779" s="1"/>
      <c r="J779" s="1"/>
      <c r="K779" s="1"/>
      <c r="L779" s="1"/>
      <c r="M779" s="1"/>
      <c r="N779" s="1"/>
      <c r="O779" s="1"/>
      <c r="P779" s="1"/>
      <c r="Q779" s="1"/>
      <c r="R779" s="1"/>
      <c r="S779" s="1"/>
      <c r="T779" s="2"/>
      <c r="U779" s="2"/>
      <c r="V779" s="2"/>
      <c r="W779" s="2"/>
      <c r="X779" s="2"/>
      <c r="Y779" s="2"/>
      <c r="Z779" s="2"/>
    </row>
    <row r="780" spans="1:26" ht="14.25" customHeight="1">
      <c r="A780" s="14"/>
      <c r="B780" s="2"/>
      <c r="C780" s="1"/>
      <c r="D780" s="1"/>
      <c r="E780" s="1"/>
      <c r="F780" s="1"/>
      <c r="G780" s="1"/>
      <c r="H780" s="1"/>
      <c r="I780" s="1"/>
      <c r="J780" s="1"/>
      <c r="K780" s="1"/>
      <c r="L780" s="1"/>
      <c r="M780" s="1"/>
      <c r="N780" s="1"/>
      <c r="O780" s="1"/>
      <c r="P780" s="1"/>
      <c r="Q780" s="1"/>
      <c r="R780" s="1"/>
      <c r="S780" s="1"/>
      <c r="T780" s="2"/>
      <c r="U780" s="2"/>
      <c r="V780" s="2"/>
      <c r="W780" s="2"/>
      <c r="X780" s="2"/>
      <c r="Y780" s="2"/>
      <c r="Z780" s="2"/>
    </row>
    <row r="781" spans="1:26" ht="14.25" customHeight="1">
      <c r="A781" s="14"/>
      <c r="B781" s="2"/>
      <c r="C781" s="1"/>
      <c r="D781" s="1"/>
      <c r="E781" s="1"/>
      <c r="F781" s="1"/>
      <c r="G781" s="1"/>
      <c r="H781" s="1"/>
      <c r="I781" s="1"/>
      <c r="J781" s="1"/>
      <c r="K781" s="1"/>
      <c r="L781" s="1"/>
      <c r="M781" s="1"/>
      <c r="N781" s="1"/>
      <c r="O781" s="1"/>
      <c r="P781" s="1"/>
      <c r="Q781" s="1"/>
      <c r="R781" s="1"/>
      <c r="S781" s="1"/>
      <c r="T781" s="2"/>
      <c r="U781" s="2"/>
      <c r="V781" s="2"/>
      <c r="W781" s="2"/>
      <c r="X781" s="2"/>
      <c r="Y781" s="2"/>
      <c r="Z781" s="2"/>
    </row>
    <row r="782" spans="1:26" ht="14.25" customHeight="1">
      <c r="A782" s="14"/>
      <c r="B782" s="2"/>
      <c r="C782" s="1"/>
      <c r="D782" s="1"/>
      <c r="E782" s="1"/>
      <c r="F782" s="1"/>
      <c r="G782" s="1"/>
      <c r="H782" s="1"/>
      <c r="I782" s="1"/>
      <c r="J782" s="1"/>
      <c r="K782" s="1"/>
      <c r="L782" s="1"/>
      <c r="M782" s="1"/>
      <c r="N782" s="1"/>
      <c r="O782" s="1"/>
      <c r="P782" s="1"/>
      <c r="Q782" s="1"/>
      <c r="R782" s="1"/>
      <c r="S782" s="1"/>
      <c r="T782" s="2"/>
      <c r="U782" s="2"/>
      <c r="V782" s="2"/>
      <c r="W782" s="2"/>
      <c r="X782" s="2"/>
      <c r="Y782" s="2"/>
      <c r="Z782" s="2"/>
    </row>
    <row r="783" spans="1:26" ht="14.25" customHeight="1">
      <c r="A783" s="14"/>
      <c r="B783" s="2"/>
      <c r="C783" s="1"/>
      <c r="D783" s="1"/>
      <c r="E783" s="1"/>
      <c r="F783" s="1"/>
      <c r="G783" s="1"/>
      <c r="H783" s="1"/>
      <c r="I783" s="1"/>
      <c r="J783" s="1"/>
      <c r="K783" s="1"/>
      <c r="L783" s="1"/>
      <c r="M783" s="1"/>
      <c r="N783" s="1"/>
      <c r="O783" s="1"/>
      <c r="P783" s="1"/>
      <c r="Q783" s="1"/>
      <c r="R783" s="1"/>
      <c r="S783" s="1"/>
      <c r="T783" s="2"/>
      <c r="U783" s="2"/>
      <c r="V783" s="2"/>
      <c r="W783" s="2"/>
      <c r="X783" s="2"/>
      <c r="Y783" s="2"/>
      <c r="Z783" s="2"/>
    </row>
    <row r="784" spans="1:26" ht="14.25" customHeight="1">
      <c r="A784" s="14"/>
      <c r="B784" s="2"/>
      <c r="C784" s="1"/>
      <c r="D784" s="1"/>
      <c r="E784" s="1"/>
      <c r="F784" s="1"/>
      <c r="G784" s="1"/>
      <c r="H784" s="1"/>
      <c r="I784" s="1"/>
      <c r="J784" s="1"/>
      <c r="K784" s="1"/>
      <c r="L784" s="1"/>
      <c r="M784" s="1"/>
      <c r="N784" s="1"/>
      <c r="O784" s="1"/>
      <c r="P784" s="1"/>
      <c r="Q784" s="1"/>
      <c r="R784" s="1"/>
      <c r="S784" s="1"/>
      <c r="T784" s="2"/>
      <c r="U784" s="2"/>
      <c r="V784" s="2"/>
      <c r="W784" s="2"/>
      <c r="X784" s="2"/>
      <c r="Y784" s="2"/>
      <c r="Z784" s="2"/>
    </row>
    <row r="785" spans="1:26" ht="14.25" customHeight="1">
      <c r="A785" s="14"/>
      <c r="B785" s="2"/>
      <c r="C785" s="1"/>
      <c r="D785" s="1"/>
      <c r="E785" s="1"/>
      <c r="F785" s="1"/>
      <c r="G785" s="1"/>
      <c r="H785" s="1"/>
      <c r="I785" s="1"/>
      <c r="J785" s="1"/>
      <c r="K785" s="1"/>
      <c r="L785" s="1"/>
      <c r="M785" s="1"/>
      <c r="N785" s="1"/>
      <c r="O785" s="1"/>
      <c r="P785" s="1"/>
      <c r="Q785" s="1"/>
      <c r="R785" s="1"/>
      <c r="S785" s="1"/>
      <c r="T785" s="2"/>
      <c r="U785" s="2"/>
      <c r="V785" s="2"/>
      <c r="W785" s="2"/>
      <c r="X785" s="2"/>
      <c r="Y785" s="2"/>
      <c r="Z785" s="2"/>
    </row>
    <row r="786" spans="1:26" ht="14.25" customHeight="1">
      <c r="A786" s="14"/>
      <c r="B786" s="2"/>
      <c r="C786" s="1"/>
      <c r="D786" s="1"/>
      <c r="E786" s="1"/>
      <c r="F786" s="1"/>
      <c r="G786" s="1"/>
      <c r="H786" s="1"/>
      <c r="I786" s="1"/>
      <c r="J786" s="1"/>
      <c r="K786" s="1"/>
      <c r="L786" s="1"/>
      <c r="M786" s="1"/>
      <c r="N786" s="1"/>
      <c r="O786" s="1"/>
      <c r="P786" s="1"/>
      <c r="Q786" s="1"/>
      <c r="R786" s="1"/>
      <c r="S786" s="1"/>
      <c r="T786" s="2"/>
      <c r="U786" s="2"/>
      <c r="V786" s="2"/>
      <c r="W786" s="2"/>
      <c r="X786" s="2"/>
      <c r="Y786" s="2"/>
      <c r="Z786" s="2"/>
    </row>
    <row r="787" spans="1:26" ht="14.25" customHeight="1">
      <c r="A787" s="14"/>
      <c r="B787" s="2"/>
      <c r="C787" s="1"/>
      <c r="D787" s="1"/>
      <c r="E787" s="1"/>
      <c r="F787" s="1"/>
      <c r="G787" s="1"/>
      <c r="H787" s="1"/>
      <c r="I787" s="1"/>
      <c r="J787" s="1"/>
      <c r="K787" s="1"/>
      <c r="L787" s="1"/>
      <c r="M787" s="1"/>
      <c r="N787" s="1"/>
      <c r="O787" s="1"/>
      <c r="P787" s="1"/>
      <c r="Q787" s="1"/>
      <c r="R787" s="1"/>
      <c r="S787" s="1"/>
      <c r="T787" s="2"/>
      <c r="U787" s="2"/>
      <c r="V787" s="2"/>
      <c r="W787" s="2"/>
      <c r="X787" s="2"/>
      <c r="Y787" s="2"/>
      <c r="Z787" s="2"/>
    </row>
    <row r="788" spans="1:26" ht="14.25" customHeight="1">
      <c r="A788" s="14"/>
      <c r="B788" s="2"/>
      <c r="C788" s="1"/>
      <c r="D788" s="1"/>
      <c r="E788" s="1"/>
      <c r="F788" s="1"/>
      <c r="G788" s="1"/>
      <c r="H788" s="1"/>
      <c r="I788" s="1"/>
      <c r="J788" s="1"/>
      <c r="K788" s="1"/>
      <c r="L788" s="1"/>
      <c r="M788" s="1"/>
      <c r="N788" s="1"/>
      <c r="O788" s="1"/>
      <c r="P788" s="1"/>
      <c r="Q788" s="1"/>
      <c r="R788" s="1"/>
      <c r="S788" s="1"/>
      <c r="T788" s="2"/>
      <c r="U788" s="2"/>
      <c r="V788" s="2"/>
      <c r="W788" s="2"/>
      <c r="X788" s="2"/>
      <c r="Y788" s="2"/>
      <c r="Z788" s="2"/>
    </row>
    <row r="789" spans="1:26" ht="14.25" customHeight="1">
      <c r="A789" s="14"/>
      <c r="B789" s="2"/>
      <c r="C789" s="1"/>
      <c r="D789" s="1"/>
      <c r="E789" s="1"/>
      <c r="F789" s="1"/>
      <c r="G789" s="1"/>
      <c r="H789" s="1"/>
      <c r="I789" s="1"/>
      <c r="J789" s="1"/>
      <c r="K789" s="1"/>
      <c r="L789" s="1"/>
      <c r="M789" s="1"/>
      <c r="N789" s="1"/>
      <c r="O789" s="1"/>
      <c r="P789" s="1"/>
      <c r="Q789" s="1"/>
      <c r="R789" s="1"/>
      <c r="S789" s="1"/>
      <c r="T789" s="2"/>
      <c r="U789" s="2"/>
      <c r="V789" s="2"/>
      <c r="W789" s="2"/>
      <c r="X789" s="2"/>
      <c r="Y789" s="2"/>
      <c r="Z789" s="2"/>
    </row>
    <row r="790" spans="1:26" ht="14.25" customHeight="1">
      <c r="A790" s="14"/>
      <c r="B790" s="2"/>
      <c r="C790" s="1"/>
      <c r="D790" s="1"/>
      <c r="E790" s="1"/>
      <c r="F790" s="1"/>
      <c r="G790" s="1"/>
      <c r="H790" s="1"/>
      <c r="I790" s="1"/>
      <c r="J790" s="1"/>
      <c r="K790" s="1"/>
      <c r="L790" s="1"/>
      <c r="M790" s="1"/>
      <c r="N790" s="1"/>
      <c r="O790" s="1"/>
      <c r="P790" s="1"/>
      <c r="Q790" s="1"/>
      <c r="R790" s="1"/>
      <c r="S790" s="1"/>
      <c r="T790" s="2"/>
      <c r="U790" s="2"/>
      <c r="V790" s="2"/>
      <c r="W790" s="2"/>
      <c r="X790" s="2"/>
      <c r="Y790" s="2"/>
      <c r="Z790" s="2"/>
    </row>
    <row r="791" spans="1:26" ht="14.25" customHeight="1">
      <c r="A791" s="14"/>
      <c r="B791" s="2"/>
      <c r="C791" s="1"/>
      <c r="D791" s="1"/>
      <c r="E791" s="1"/>
      <c r="F791" s="1"/>
      <c r="G791" s="1"/>
      <c r="H791" s="1"/>
      <c r="I791" s="1"/>
      <c r="J791" s="1"/>
      <c r="K791" s="1"/>
      <c r="L791" s="1"/>
      <c r="M791" s="1"/>
      <c r="N791" s="1"/>
      <c r="O791" s="1"/>
      <c r="P791" s="1"/>
      <c r="Q791" s="1"/>
      <c r="R791" s="1"/>
      <c r="S791" s="1"/>
      <c r="T791" s="2"/>
      <c r="U791" s="2"/>
      <c r="V791" s="2"/>
      <c r="W791" s="2"/>
      <c r="X791" s="2"/>
      <c r="Y791" s="2"/>
      <c r="Z791" s="2"/>
    </row>
    <row r="792" spans="1:26" ht="14.25" customHeight="1">
      <c r="A792" s="14"/>
      <c r="B792" s="2"/>
      <c r="C792" s="1"/>
      <c r="D792" s="1"/>
      <c r="E792" s="1"/>
      <c r="F792" s="1"/>
      <c r="G792" s="1"/>
      <c r="H792" s="1"/>
      <c r="I792" s="1"/>
      <c r="J792" s="1"/>
      <c r="K792" s="1"/>
      <c r="L792" s="1"/>
      <c r="M792" s="1"/>
      <c r="N792" s="1"/>
      <c r="O792" s="1"/>
      <c r="P792" s="1"/>
      <c r="Q792" s="1"/>
      <c r="R792" s="1"/>
      <c r="S792" s="1"/>
      <c r="T792" s="2"/>
      <c r="U792" s="2"/>
      <c r="V792" s="2"/>
      <c r="W792" s="2"/>
      <c r="X792" s="2"/>
      <c r="Y792" s="2"/>
      <c r="Z792" s="2"/>
    </row>
    <row r="793" spans="1:26" ht="14.25" customHeight="1">
      <c r="A793" s="14"/>
      <c r="B793" s="2"/>
      <c r="C793" s="1"/>
      <c r="D793" s="1"/>
      <c r="E793" s="1"/>
      <c r="F793" s="1"/>
      <c r="G793" s="1"/>
      <c r="H793" s="1"/>
      <c r="I793" s="1"/>
      <c r="J793" s="1"/>
      <c r="K793" s="1"/>
      <c r="L793" s="1"/>
      <c r="M793" s="1"/>
      <c r="N793" s="1"/>
      <c r="O793" s="1"/>
      <c r="P793" s="1"/>
      <c r="Q793" s="1"/>
      <c r="R793" s="1"/>
      <c r="S793" s="1"/>
      <c r="T793" s="2"/>
      <c r="U793" s="2"/>
      <c r="V793" s="2"/>
      <c r="W793" s="2"/>
      <c r="X793" s="2"/>
      <c r="Y793" s="2"/>
      <c r="Z793" s="2"/>
    </row>
    <row r="794" spans="1:26" ht="14.25" customHeight="1">
      <c r="A794" s="14"/>
      <c r="B794" s="2"/>
      <c r="C794" s="1"/>
      <c r="D794" s="1"/>
      <c r="E794" s="1"/>
      <c r="F794" s="1"/>
      <c r="G794" s="1"/>
      <c r="H794" s="1"/>
      <c r="I794" s="1"/>
      <c r="J794" s="1"/>
      <c r="K794" s="1"/>
      <c r="L794" s="1"/>
      <c r="M794" s="1"/>
      <c r="N794" s="1"/>
      <c r="O794" s="1"/>
      <c r="P794" s="1"/>
      <c r="Q794" s="1"/>
      <c r="R794" s="1"/>
      <c r="S794" s="1"/>
      <c r="T794" s="2"/>
      <c r="U794" s="2"/>
      <c r="V794" s="2"/>
      <c r="W794" s="2"/>
      <c r="X794" s="2"/>
      <c r="Y794" s="2"/>
      <c r="Z794" s="2"/>
    </row>
    <row r="795" spans="1:26" ht="14.25" customHeight="1">
      <c r="A795" s="14"/>
      <c r="B795" s="2"/>
      <c r="C795" s="1"/>
      <c r="D795" s="1"/>
      <c r="E795" s="1"/>
      <c r="F795" s="1"/>
      <c r="G795" s="1"/>
      <c r="H795" s="1"/>
      <c r="I795" s="1"/>
      <c r="J795" s="1"/>
      <c r="K795" s="1"/>
      <c r="L795" s="1"/>
      <c r="M795" s="1"/>
      <c r="N795" s="1"/>
      <c r="O795" s="1"/>
      <c r="P795" s="1"/>
      <c r="Q795" s="1"/>
      <c r="R795" s="1"/>
      <c r="S795" s="1"/>
      <c r="T795" s="2"/>
      <c r="U795" s="2"/>
      <c r="V795" s="2"/>
      <c r="W795" s="2"/>
      <c r="X795" s="2"/>
      <c r="Y795" s="2"/>
      <c r="Z795" s="2"/>
    </row>
    <row r="796" spans="1:26" ht="14.25" customHeight="1">
      <c r="A796" s="14"/>
      <c r="B796" s="2"/>
      <c r="C796" s="1"/>
      <c r="D796" s="1"/>
      <c r="E796" s="1"/>
      <c r="F796" s="1"/>
      <c r="G796" s="1"/>
      <c r="H796" s="1"/>
      <c r="I796" s="1"/>
      <c r="J796" s="1"/>
      <c r="K796" s="1"/>
      <c r="L796" s="1"/>
      <c r="M796" s="1"/>
      <c r="N796" s="1"/>
      <c r="O796" s="1"/>
      <c r="P796" s="1"/>
      <c r="Q796" s="1"/>
      <c r="R796" s="1"/>
      <c r="S796" s="1"/>
      <c r="T796" s="2"/>
      <c r="U796" s="2"/>
      <c r="V796" s="2"/>
      <c r="W796" s="2"/>
      <c r="X796" s="2"/>
      <c r="Y796" s="2"/>
      <c r="Z796" s="2"/>
    </row>
    <row r="797" spans="1:26" ht="14.25" customHeight="1">
      <c r="A797" s="14"/>
      <c r="B797" s="2"/>
      <c r="C797" s="1"/>
      <c r="D797" s="1"/>
      <c r="E797" s="1"/>
      <c r="F797" s="1"/>
      <c r="G797" s="1"/>
      <c r="H797" s="1"/>
      <c r="I797" s="1"/>
      <c r="J797" s="1"/>
      <c r="K797" s="1"/>
      <c r="L797" s="1"/>
      <c r="M797" s="1"/>
      <c r="N797" s="1"/>
      <c r="O797" s="1"/>
      <c r="P797" s="1"/>
      <c r="Q797" s="1"/>
      <c r="R797" s="1"/>
      <c r="S797" s="1"/>
      <c r="T797" s="2"/>
      <c r="U797" s="2"/>
      <c r="V797" s="2"/>
      <c r="W797" s="2"/>
      <c r="X797" s="2"/>
      <c r="Y797" s="2"/>
      <c r="Z797" s="2"/>
    </row>
    <row r="798" spans="1:26" ht="14.25" customHeight="1">
      <c r="A798" s="14"/>
      <c r="B798" s="2"/>
      <c r="C798" s="1"/>
      <c r="D798" s="1"/>
      <c r="E798" s="1"/>
      <c r="F798" s="1"/>
      <c r="G798" s="1"/>
      <c r="H798" s="1"/>
      <c r="I798" s="1"/>
      <c r="J798" s="1"/>
      <c r="K798" s="1"/>
      <c r="L798" s="1"/>
      <c r="M798" s="1"/>
      <c r="N798" s="1"/>
      <c r="O798" s="1"/>
      <c r="P798" s="1"/>
      <c r="Q798" s="1"/>
      <c r="R798" s="1"/>
      <c r="S798" s="1"/>
      <c r="T798" s="2"/>
      <c r="U798" s="2"/>
      <c r="V798" s="2"/>
      <c r="W798" s="2"/>
      <c r="X798" s="2"/>
      <c r="Y798" s="2"/>
      <c r="Z798" s="2"/>
    </row>
    <row r="799" spans="1:26" ht="14.25" customHeight="1">
      <c r="A799" s="14"/>
      <c r="B799" s="2"/>
      <c r="C799" s="1"/>
      <c r="D799" s="1"/>
      <c r="E799" s="1"/>
      <c r="F799" s="1"/>
      <c r="G799" s="1"/>
      <c r="H799" s="1"/>
      <c r="I799" s="1"/>
      <c r="J799" s="1"/>
      <c r="K799" s="1"/>
      <c r="L799" s="1"/>
      <c r="M799" s="1"/>
      <c r="N799" s="1"/>
      <c r="O799" s="1"/>
      <c r="P799" s="1"/>
      <c r="Q799" s="1"/>
      <c r="R799" s="1"/>
      <c r="S799" s="1"/>
      <c r="T799" s="2"/>
      <c r="U799" s="2"/>
      <c r="V799" s="2"/>
      <c r="W799" s="2"/>
      <c r="X799" s="2"/>
      <c r="Y799" s="2"/>
      <c r="Z799" s="2"/>
    </row>
    <row r="800" spans="1:26" ht="14.25" customHeight="1">
      <c r="A800" s="14"/>
      <c r="B800" s="2"/>
      <c r="C800" s="1"/>
      <c r="D800" s="1"/>
      <c r="E800" s="1"/>
      <c r="F800" s="1"/>
      <c r="G800" s="1"/>
      <c r="H800" s="1"/>
      <c r="I800" s="1"/>
      <c r="J800" s="1"/>
      <c r="K800" s="1"/>
      <c r="L800" s="1"/>
      <c r="M800" s="1"/>
      <c r="N800" s="1"/>
      <c r="O800" s="1"/>
      <c r="P800" s="1"/>
      <c r="Q800" s="1"/>
      <c r="R800" s="1"/>
      <c r="S800" s="1"/>
      <c r="T800" s="2"/>
      <c r="U800" s="2"/>
      <c r="V800" s="2"/>
      <c r="W800" s="2"/>
      <c r="X800" s="2"/>
      <c r="Y800" s="2"/>
      <c r="Z800" s="2"/>
    </row>
    <row r="801" spans="1:26" ht="14.25" customHeight="1">
      <c r="A801" s="14"/>
      <c r="B801" s="2"/>
      <c r="C801" s="1"/>
      <c r="D801" s="1"/>
      <c r="E801" s="1"/>
      <c r="F801" s="1"/>
      <c r="G801" s="1"/>
      <c r="H801" s="1"/>
      <c r="I801" s="1"/>
      <c r="J801" s="1"/>
      <c r="K801" s="1"/>
      <c r="L801" s="1"/>
      <c r="M801" s="1"/>
      <c r="N801" s="1"/>
      <c r="O801" s="1"/>
      <c r="P801" s="1"/>
      <c r="Q801" s="1"/>
      <c r="R801" s="1"/>
      <c r="S801" s="1"/>
      <c r="T801" s="2"/>
      <c r="U801" s="2"/>
      <c r="V801" s="2"/>
      <c r="W801" s="2"/>
      <c r="X801" s="2"/>
      <c r="Y801" s="2"/>
      <c r="Z801" s="2"/>
    </row>
    <row r="802" spans="1:26" ht="14.25" customHeight="1">
      <c r="A802" s="14"/>
      <c r="B802" s="2"/>
      <c r="C802" s="1"/>
      <c r="D802" s="1"/>
      <c r="E802" s="1"/>
      <c r="F802" s="1"/>
      <c r="G802" s="1"/>
      <c r="H802" s="1"/>
      <c r="I802" s="1"/>
      <c r="J802" s="1"/>
      <c r="K802" s="1"/>
      <c r="L802" s="1"/>
      <c r="M802" s="1"/>
      <c r="N802" s="1"/>
      <c r="O802" s="1"/>
      <c r="P802" s="1"/>
      <c r="Q802" s="1"/>
      <c r="R802" s="1"/>
      <c r="S802" s="1"/>
      <c r="T802" s="2"/>
      <c r="U802" s="2"/>
      <c r="V802" s="2"/>
      <c r="W802" s="2"/>
      <c r="X802" s="2"/>
      <c r="Y802" s="2"/>
      <c r="Z802" s="2"/>
    </row>
    <row r="803" spans="1:26" ht="14.25" customHeight="1">
      <c r="A803" s="14"/>
      <c r="B803" s="2"/>
      <c r="C803" s="1"/>
      <c r="D803" s="1"/>
      <c r="E803" s="1"/>
      <c r="F803" s="1"/>
      <c r="G803" s="1"/>
      <c r="H803" s="1"/>
      <c r="I803" s="1"/>
      <c r="J803" s="1"/>
      <c r="K803" s="1"/>
      <c r="L803" s="1"/>
      <c r="M803" s="1"/>
      <c r="N803" s="1"/>
      <c r="O803" s="1"/>
      <c r="P803" s="1"/>
      <c r="Q803" s="1"/>
      <c r="R803" s="1"/>
      <c r="S803" s="1"/>
      <c r="T803" s="2"/>
      <c r="U803" s="2"/>
      <c r="V803" s="2"/>
      <c r="W803" s="2"/>
      <c r="X803" s="2"/>
      <c r="Y803" s="2"/>
      <c r="Z803" s="2"/>
    </row>
    <row r="804" spans="1:26" ht="14.25" customHeight="1">
      <c r="A804" s="14"/>
      <c r="B804" s="2"/>
      <c r="C804" s="1"/>
      <c r="D804" s="1"/>
      <c r="E804" s="1"/>
      <c r="F804" s="1"/>
      <c r="G804" s="1"/>
      <c r="H804" s="1"/>
      <c r="I804" s="1"/>
      <c r="J804" s="1"/>
      <c r="K804" s="1"/>
      <c r="L804" s="1"/>
      <c r="M804" s="1"/>
      <c r="N804" s="1"/>
      <c r="O804" s="1"/>
      <c r="P804" s="1"/>
      <c r="Q804" s="1"/>
      <c r="R804" s="1"/>
      <c r="S804" s="1"/>
      <c r="T804" s="2"/>
      <c r="U804" s="2"/>
      <c r="V804" s="2"/>
      <c r="W804" s="2"/>
      <c r="X804" s="2"/>
      <c r="Y804" s="2"/>
      <c r="Z804" s="2"/>
    </row>
    <row r="805" spans="1:26" ht="14.25" customHeight="1">
      <c r="A805" s="14"/>
      <c r="B805" s="2"/>
      <c r="C805" s="1"/>
      <c r="D805" s="1"/>
      <c r="E805" s="1"/>
      <c r="F805" s="1"/>
      <c r="G805" s="1"/>
      <c r="H805" s="1"/>
      <c r="I805" s="1"/>
      <c r="J805" s="1"/>
      <c r="K805" s="1"/>
      <c r="L805" s="1"/>
      <c r="M805" s="1"/>
      <c r="N805" s="1"/>
      <c r="O805" s="1"/>
      <c r="P805" s="1"/>
      <c r="Q805" s="1"/>
      <c r="R805" s="1"/>
      <c r="S805" s="1"/>
      <c r="T805" s="2"/>
      <c r="U805" s="2"/>
      <c r="V805" s="2"/>
      <c r="W805" s="2"/>
      <c r="X805" s="2"/>
      <c r="Y805" s="2"/>
      <c r="Z805" s="2"/>
    </row>
    <row r="806" spans="1:26" ht="14.25" customHeight="1">
      <c r="A806" s="14"/>
      <c r="B806" s="2"/>
      <c r="C806" s="1"/>
      <c r="D806" s="1"/>
      <c r="E806" s="1"/>
      <c r="F806" s="1"/>
      <c r="G806" s="1"/>
      <c r="H806" s="1"/>
      <c r="I806" s="1"/>
      <c r="J806" s="1"/>
      <c r="K806" s="1"/>
      <c r="L806" s="1"/>
      <c r="M806" s="1"/>
      <c r="N806" s="1"/>
      <c r="O806" s="1"/>
      <c r="P806" s="1"/>
      <c r="Q806" s="1"/>
      <c r="R806" s="1"/>
      <c r="S806" s="1"/>
      <c r="T806" s="2"/>
      <c r="U806" s="2"/>
      <c r="V806" s="2"/>
      <c r="W806" s="2"/>
      <c r="X806" s="2"/>
      <c r="Y806" s="2"/>
      <c r="Z806" s="2"/>
    </row>
    <row r="807" spans="1:26" ht="14.25" customHeight="1">
      <c r="A807" s="14"/>
      <c r="B807" s="2"/>
      <c r="C807" s="1"/>
      <c r="D807" s="1"/>
      <c r="E807" s="1"/>
      <c r="F807" s="1"/>
      <c r="G807" s="1"/>
      <c r="H807" s="1"/>
      <c r="I807" s="1"/>
      <c r="J807" s="1"/>
      <c r="K807" s="1"/>
      <c r="L807" s="1"/>
      <c r="M807" s="1"/>
      <c r="N807" s="1"/>
      <c r="O807" s="1"/>
      <c r="P807" s="1"/>
      <c r="Q807" s="1"/>
      <c r="R807" s="1"/>
      <c r="S807" s="1"/>
      <c r="T807" s="2"/>
      <c r="U807" s="2"/>
      <c r="V807" s="2"/>
      <c r="W807" s="2"/>
      <c r="X807" s="2"/>
      <c r="Y807" s="2"/>
      <c r="Z807" s="2"/>
    </row>
    <row r="808" spans="1:26" ht="14.25" customHeight="1">
      <c r="A808" s="14"/>
      <c r="B808" s="2"/>
      <c r="C808" s="1"/>
      <c r="D808" s="1"/>
      <c r="E808" s="1"/>
      <c r="F808" s="1"/>
      <c r="G808" s="1"/>
      <c r="H808" s="1"/>
      <c r="I808" s="1"/>
      <c r="J808" s="1"/>
      <c r="K808" s="1"/>
      <c r="L808" s="1"/>
      <c r="M808" s="1"/>
      <c r="N808" s="1"/>
      <c r="O808" s="1"/>
      <c r="P808" s="1"/>
      <c r="Q808" s="1"/>
      <c r="R808" s="1"/>
      <c r="S808" s="1"/>
      <c r="T808" s="2"/>
      <c r="U808" s="2"/>
      <c r="V808" s="2"/>
      <c r="W808" s="2"/>
      <c r="X808" s="2"/>
      <c r="Y808" s="2"/>
      <c r="Z808" s="2"/>
    </row>
    <row r="809" spans="1:26" ht="14.25" customHeight="1">
      <c r="A809" s="14"/>
      <c r="B809" s="2"/>
      <c r="C809" s="1"/>
      <c r="D809" s="1"/>
      <c r="E809" s="1"/>
      <c r="F809" s="1"/>
      <c r="G809" s="1"/>
      <c r="H809" s="1"/>
      <c r="I809" s="1"/>
      <c r="J809" s="1"/>
      <c r="K809" s="1"/>
      <c r="L809" s="1"/>
      <c r="M809" s="1"/>
      <c r="N809" s="1"/>
      <c r="O809" s="1"/>
      <c r="P809" s="1"/>
      <c r="Q809" s="1"/>
      <c r="R809" s="1"/>
      <c r="S809" s="1"/>
      <c r="T809" s="2"/>
      <c r="U809" s="2"/>
      <c r="V809" s="2"/>
      <c r="W809" s="2"/>
      <c r="X809" s="2"/>
      <c r="Y809" s="2"/>
      <c r="Z809" s="2"/>
    </row>
    <row r="810" spans="1:26" ht="14.25" customHeight="1">
      <c r="A810" s="14"/>
      <c r="B810" s="2"/>
      <c r="C810" s="1"/>
      <c r="D810" s="1"/>
      <c r="E810" s="1"/>
      <c r="F810" s="1"/>
      <c r="G810" s="1"/>
      <c r="H810" s="1"/>
      <c r="I810" s="1"/>
      <c r="J810" s="1"/>
      <c r="K810" s="1"/>
      <c r="L810" s="1"/>
      <c r="M810" s="1"/>
      <c r="N810" s="1"/>
      <c r="O810" s="1"/>
      <c r="P810" s="1"/>
      <c r="Q810" s="1"/>
      <c r="R810" s="1"/>
      <c r="S810" s="1"/>
      <c r="T810" s="2"/>
      <c r="U810" s="2"/>
      <c r="V810" s="2"/>
      <c r="W810" s="2"/>
      <c r="X810" s="2"/>
      <c r="Y810" s="2"/>
      <c r="Z810" s="2"/>
    </row>
    <row r="811" spans="1:26" ht="14.25" customHeight="1">
      <c r="A811" s="14"/>
      <c r="B811" s="2"/>
      <c r="C811" s="1"/>
      <c r="D811" s="1"/>
      <c r="E811" s="1"/>
      <c r="F811" s="1"/>
      <c r="G811" s="1"/>
      <c r="H811" s="1"/>
      <c r="I811" s="1"/>
      <c r="J811" s="1"/>
      <c r="K811" s="1"/>
      <c r="L811" s="1"/>
      <c r="M811" s="1"/>
      <c r="N811" s="1"/>
      <c r="O811" s="1"/>
      <c r="P811" s="1"/>
      <c r="Q811" s="1"/>
      <c r="R811" s="1"/>
      <c r="S811" s="1"/>
      <c r="T811" s="2"/>
      <c r="U811" s="2"/>
      <c r="V811" s="2"/>
      <c r="W811" s="2"/>
      <c r="X811" s="2"/>
      <c r="Y811" s="2"/>
      <c r="Z811" s="2"/>
    </row>
    <row r="812" spans="1:26" ht="14.25" customHeight="1">
      <c r="A812" s="14"/>
      <c r="B812" s="2"/>
      <c r="C812" s="1"/>
      <c r="D812" s="1"/>
      <c r="E812" s="1"/>
      <c r="F812" s="1"/>
      <c r="G812" s="1"/>
      <c r="H812" s="1"/>
      <c r="I812" s="1"/>
      <c r="J812" s="1"/>
      <c r="K812" s="1"/>
      <c r="L812" s="1"/>
      <c r="M812" s="1"/>
      <c r="N812" s="1"/>
      <c r="O812" s="1"/>
      <c r="P812" s="1"/>
      <c r="Q812" s="1"/>
      <c r="R812" s="1"/>
      <c r="S812" s="1"/>
      <c r="T812" s="2"/>
      <c r="U812" s="2"/>
      <c r="V812" s="2"/>
      <c r="W812" s="2"/>
      <c r="X812" s="2"/>
      <c r="Y812" s="2"/>
      <c r="Z812" s="2"/>
    </row>
    <row r="813" spans="1:26" ht="14.25" customHeight="1">
      <c r="A813" s="14"/>
      <c r="B813" s="2"/>
      <c r="C813" s="1"/>
      <c r="D813" s="1"/>
      <c r="E813" s="1"/>
      <c r="F813" s="1"/>
      <c r="G813" s="1"/>
      <c r="H813" s="1"/>
      <c r="I813" s="1"/>
      <c r="J813" s="1"/>
      <c r="K813" s="1"/>
      <c r="L813" s="1"/>
      <c r="M813" s="1"/>
      <c r="N813" s="1"/>
      <c r="O813" s="1"/>
      <c r="P813" s="1"/>
      <c r="Q813" s="1"/>
      <c r="R813" s="1"/>
      <c r="S813" s="1"/>
      <c r="T813" s="2"/>
      <c r="U813" s="2"/>
      <c r="V813" s="2"/>
      <c r="W813" s="2"/>
      <c r="X813" s="2"/>
      <c r="Y813" s="2"/>
      <c r="Z813" s="2"/>
    </row>
    <row r="814" spans="1:26" ht="14.25" customHeight="1">
      <c r="A814" s="14"/>
      <c r="B814" s="2"/>
      <c r="C814" s="1"/>
      <c r="D814" s="1"/>
      <c r="E814" s="1"/>
      <c r="F814" s="1"/>
      <c r="G814" s="1"/>
      <c r="H814" s="1"/>
      <c r="I814" s="1"/>
      <c r="J814" s="1"/>
      <c r="K814" s="1"/>
      <c r="L814" s="1"/>
      <c r="M814" s="1"/>
      <c r="N814" s="1"/>
      <c r="O814" s="1"/>
      <c r="P814" s="1"/>
      <c r="Q814" s="1"/>
      <c r="R814" s="1"/>
      <c r="S814" s="1"/>
      <c r="T814" s="2"/>
      <c r="U814" s="2"/>
      <c r="V814" s="2"/>
      <c r="W814" s="2"/>
      <c r="X814" s="2"/>
      <c r="Y814" s="2"/>
      <c r="Z814" s="2"/>
    </row>
    <row r="815" spans="1:26" ht="14.25" customHeight="1">
      <c r="A815" s="14"/>
      <c r="B815" s="2"/>
      <c r="C815" s="1"/>
      <c r="D815" s="1"/>
      <c r="E815" s="1"/>
      <c r="F815" s="1"/>
      <c r="G815" s="1"/>
      <c r="H815" s="1"/>
      <c r="I815" s="1"/>
      <c r="J815" s="1"/>
      <c r="K815" s="1"/>
      <c r="L815" s="1"/>
      <c r="M815" s="1"/>
      <c r="N815" s="1"/>
      <c r="O815" s="1"/>
      <c r="P815" s="1"/>
      <c r="Q815" s="1"/>
      <c r="R815" s="1"/>
      <c r="S815" s="1"/>
      <c r="T815" s="2"/>
      <c r="U815" s="2"/>
      <c r="V815" s="2"/>
      <c r="W815" s="2"/>
      <c r="X815" s="2"/>
      <c r="Y815" s="2"/>
      <c r="Z815" s="2"/>
    </row>
    <row r="816" spans="1:26" ht="14.25" customHeight="1">
      <c r="A816" s="14"/>
      <c r="B816" s="2"/>
      <c r="C816" s="1"/>
      <c r="D816" s="1"/>
      <c r="E816" s="1"/>
      <c r="F816" s="1"/>
      <c r="G816" s="1"/>
      <c r="H816" s="1"/>
      <c r="I816" s="1"/>
      <c r="J816" s="1"/>
      <c r="K816" s="1"/>
      <c r="L816" s="1"/>
      <c r="M816" s="1"/>
      <c r="N816" s="1"/>
      <c r="O816" s="1"/>
      <c r="P816" s="1"/>
      <c r="Q816" s="1"/>
      <c r="R816" s="1"/>
      <c r="S816" s="1"/>
      <c r="T816" s="2"/>
      <c r="U816" s="2"/>
      <c r="V816" s="2"/>
      <c r="W816" s="2"/>
      <c r="X816" s="2"/>
      <c r="Y816" s="2"/>
      <c r="Z816" s="2"/>
    </row>
    <row r="817" spans="1:26" ht="14.25" customHeight="1">
      <c r="A817" s="14"/>
      <c r="B817" s="2"/>
      <c r="C817" s="1"/>
      <c r="D817" s="1"/>
      <c r="E817" s="1"/>
      <c r="F817" s="1"/>
      <c r="G817" s="1"/>
      <c r="H817" s="1"/>
      <c r="I817" s="1"/>
      <c r="J817" s="1"/>
      <c r="K817" s="1"/>
      <c r="L817" s="1"/>
      <c r="M817" s="1"/>
      <c r="N817" s="1"/>
      <c r="O817" s="1"/>
      <c r="P817" s="1"/>
      <c r="Q817" s="1"/>
      <c r="R817" s="1"/>
      <c r="S817" s="1"/>
      <c r="T817" s="2"/>
      <c r="U817" s="2"/>
      <c r="V817" s="2"/>
      <c r="W817" s="2"/>
      <c r="X817" s="2"/>
      <c r="Y817" s="2"/>
      <c r="Z817" s="2"/>
    </row>
    <row r="818" spans="1:26" ht="14.25" customHeight="1">
      <c r="A818" s="14"/>
      <c r="B818" s="2"/>
      <c r="C818" s="1"/>
      <c r="D818" s="1"/>
      <c r="E818" s="1"/>
      <c r="F818" s="1"/>
      <c r="G818" s="1"/>
      <c r="H818" s="1"/>
      <c r="I818" s="1"/>
      <c r="J818" s="1"/>
      <c r="K818" s="1"/>
      <c r="L818" s="1"/>
      <c r="M818" s="1"/>
      <c r="N818" s="1"/>
      <c r="O818" s="1"/>
      <c r="P818" s="1"/>
      <c r="Q818" s="1"/>
      <c r="R818" s="1"/>
      <c r="S818" s="1"/>
      <c r="T818" s="2"/>
      <c r="U818" s="2"/>
      <c r="V818" s="2"/>
      <c r="W818" s="2"/>
      <c r="X818" s="2"/>
      <c r="Y818" s="2"/>
      <c r="Z818" s="2"/>
    </row>
    <row r="819" spans="1:26" ht="14.25" customHeight="1">
      <c r="A819" s="14"/>
      <c r="B819" s="2"/>
      <c r="C819" s="1"/>
      <c r="D819" s="1"/>
      <c r="E819" s="1"/>
      <c r="F819" s="1"/>
      <c r="G819" s="1"/>
      <c r="H819" s="1"/>
      <c r="I819" s="1"/>
      <c r="J819" s="1"/>
      <c r="K819" s="1"/>
      <c r="L819" s="1"/>
      <c r="M819" s="1"/>
      <c r="N819" s="1"/>
      <c r="O819" s="1"/>
      <c r="P819" s="1"/>
      <c r="Q819" s="1"/>
      <c r="R819" s="1"/>
      <c r="S819" s="1"/>
      <c r="T819" s="2"/>
      <c r="U819" s="2"/>
      <c r="V819" s="2"/>
      <c r="W819" s="2"/>
      <c r="X819" s="2"/>
      <c r="Y819" s="2"/>
      <c r="Z819" s="2"/>
    </row>
    <row r="820" spans="1:26" ht="14.25" customHeight="1">
      <c r="A820" s="14"/>
      <c r="B820" s="2"/>
      <c r="C820" s="1"/>
      <c r="D820" s="1"/>
      <c r="E820" s="1"/>
      <c r="F820" s="1"/>
      <c r="G820" s="1"/>
      <c r="H820" s="1"/>
      <c r="I820" s="1"/>
      <c r="J820" s="1"/>
      <c r="K820" s="1"/>
      <c r="L820" s="1"/>
      <c r="M820" s="1"/>
      <c r="N820" s="1"/>
      <c r="O820" s="1"/>
      <c r="P820" s="1"/>
      <c r="Q820" s="1"/>
      <c r="R820" s="1"/>
      <c r="S820" s="1"/>
      <c r="T820" s="2"/>
      <c r="U820" s="2"/>
      <c r="V820" s="2"/>
      <c r="W820" s="2"/>
      <c r="X820" s="2"/>
      <c r="Y820" s="2"/>
      <c r="Z820" s="2"/>
    </row>
    <row r="821" spans="1:26" ht="14.25" customHeight="1">
      <c r="A821" s="14"/>
      <c r="B821" s="2"/>
      <c r="C821" s="1"/>
      <c r="D821" s="1"/>
      <c r="E821" s="1"/>
      <c r="F821" s="1"/>
      <c r="G821" s="1"/>
      <c r="H821" s="1"/>
      <c r="I821" s="1"/>
      <c r="J821" s="1"/>
      <c r="K821" s="1"/>
      <c r="L821" s="1"/>
      <c r="M821" s="1"/>
      <c r="N821" s="1"/>
      <c r="O821" s="1"/>
      <c r="P821" s="1"/>
      <c r="Q821" s="1"/>
      <c r="R821" s="1"/>
      <c r="S821" s="1"/>
      <c r="T821" s="2"/>
      <c r="U821" s="2"/>
      <c r="V821" s="2"/>
      <c r="W821" s="2"/>
      <c r="X821" s="2"/>
      <c r="Y821" s="2"/>
      <c r="Z821" s="2"/>
    </row>
    <row r="822" spans="1:26" ht="14.25" customHeight="1">
      <c r="A822" s="14"/>
      <c r="B822" s="2"/>
      <c r="C822" s="1"/>
      <c r="D822" s="1"/>
      <c r="E822" s="1"/>
      <c r="F822" s="1"/>
      <c r="G822" s="1"/>
      <c r="H822" s="1"/>
      <c r="I822" s="1"/>
      <c r="J822" s="1"/>
      <c r="K822" s="1"/>
      <c r="L822" s="1"/>
      <c r="M822" s="1"/>
      <c r="N822" s="1"/>
      <c r="O822" s="1"/>
      <c r="P822" s="1"/>
      <c r="Q822" s="1"/>
      <c r="R822" s="1"/>
      <c r="S822" s="1"/>
      <c r="T822" s="2"/>
      <c r="U822" s="2"/>
      <c r="V822" s="2"/>
      <c r="W822" s="2"/>
      <c r="X822" s="2"/>
      <c r="Y822" s="2"/>
      <c r="Z822" s="2"/>
    </row>
    <row r="823" spans="1:26" ht="14.25" customHeight="1">
      <c r="A823" s="14"/>
      <c r="B823" s="2"/>
      <c r="C823" s="1"/>
      <c r="D823" s="1"/>
      <c r="E823" s="1"/>
      <c r="F823" s="1"/>
      <c r="G823" s="1"/>
      <c r="H823" s="1"/>
      <c r="I823" s="1"/>
      <c r="J823" s="1"/>
      <c r="K823" s="1"/>
      <c r="L823" s="1"/>
      <c r="M823" s="1"/>
      <c r="N823" s="1"/>
      <c r="O823" s="1"/>
      <c r="P823" s="1"/>
      <c r="Q823" s="1"/>
      <c r="R823" s="1"/>
      <c r="S823" s="1"/>
      <c r="T823" s="2"/>
      <c r="U823" s="2"/>
      <c r="V823" s="2"/>
      <c r="W823" s="2"/>
      <c r="X823" s="2"/>
      <c r="Y823" s="2"/>
      <c r="Z823" s="2"/>
    </row>
    <row r="824" spans="1:26" ht="14.25" customHeight="1">
      <c r="A824" s="14"/>
      <c r="B824" s="2"/>
      <c r="C824" s="1"/>
      <c r="D824" s="1"/>
      <c r="E824" s="1"/>
      <c r="F824" s="1"/>
      <c r="G824" s="1"/>
      <c r="H824" s="1"/>
      <c r="I824" s="1"/>
      <c r="J824" s="1"/>
      <c r="K824" s="1"/>
      <c r="L824" s="1"/>
      <c r="M824" s="1"/>
      <c r="N824" s="1"/>
      <c r="O824" s="1"/>
      <c r="P824" s="1"/>
      <c r="Q824" s="1"/>
      <c r="R824" s="1"/>
      <c r="S824" s="1"/>
      <c r="T824" s="2"/>
      <c r="U824" s="2"/>
      <c r="V824" s="2"/>
      <c r="W824" s="2"/>
      <c r="X824" s="2"/>
      <c r="Y824" s="2"/>
      <c r="Z824" s="2"/>
    </row>
    <row r="825" spans="1:26" ht="14.25" customHeight="1">
      <c r="A825" s="14"/>
      <c r="B825" s="2"/>
      <c r="C825" s="1"/>
      <c r="D825" s="1"/>
      <c r="E825" s="1"/>
      <c r="F825" s="1"/>
      <c r="G825" s="1"/>
      <c r="H825" s="1"/>
      <c r="I825" s="1"/>
      <c r="J825" s="1"/>
      <c r="K825" s="1"/>
      <c r="L825" s="1"/>
      <c r="M825" s="1"/>
      <c r="N825" s="1"/>
      <c r="O825" s="1"/>
      <c r="P825" s="1"/>
      <c r="Q825" s="1"/>
      <c r="R825" s="1"/>
      <c r="S825" s="1"/>
      <c r="T825" s="2"/>
      <c r="U825" s="2"/>
      <c r="V825" s="2"/>
      <c r="W825" s="2"/>
      <c r="X825" s="2"/>
      <c r="Y825" s="2"/>
      <c r="Z825" s="2"/>
    </row>
    <row r="826" spans="1:26" ht="14.25" customHeight="1">
      <c r="A826" s="14"/>
      <c r="B826" s="2"/>
      <c r="C826" s="1"/>
      <c r="D826" s="1"/>
      <c r="E826" s="1"/>
      <c r="F826" s="1"/>
      <c r="G826" s="1"/>
      <c r="H826" s="1"/>
      <c r="I826" s="1"/>
      <c r="J826" s="1"/>
      <c r="K826" s="1"/>
      <c r="L826" s="1"/>
      <c r="M826" s="1"/>
      <c r="N826" s="1"/>
      <c r="O826" s="1"/>
      <c r="P826" s="1"/>
      <c r="Q826" s="1"/>
      <c r="R826" s="1"/>
      <c r="S826" s="1"/>
      <c r="T826" s="2"/>
      <c r="U826" s="2"/>
      <c r="V826" s="2"/>
      <c r="W826" s="2"/>
      <c r="X826" s="2"/>
      <c r="Y826" s="2"/>
      <c r="Z826" s="2"/>
    </row>
    <row r="827" spans="1:26" ht="14.25" customHeight="1">
      <c r="A827" s="14"/>
      <c r="B827" s="2"/>
      <c r="C827" s="1"/>
      <c r="D827" s="1"/>
      <c r="E827" s="1"/>
      <c r="F827" s="1"/>
      <c r="G827" s="1"/>
      <c r="H827" s="1"/>
      <c r="I827" s="1"/>
      <c r="J827" s="1"/>
      <c r="K827" s="1"/>
      <c r="L827" s="1"/>
      <c r="M827" s="1"/>
      <c r="N827" s="1"/>
      <c r="O827" s="1"/>
      <c r="P827" s="1"/>
      <c r="Q827" s="1"/>
      <c r="R827" s="1"/>
      <c r="S827" s="1"/>
      <c r="T827" s="2"/>
      <c r="U827" s="2"/>
      <c r="V827" s="2"/>
      <c r="W827" s="2"/>
      <c r="X827" s="2"/>
      <c r="Y827" s="2"/>
      <c r="Z827" s="2"/>
    </row>
    <row r="828" spans="1:26" ht="14.25" customHeight="1">
      <c r="A828" s="14"/>
      <c r="B828" s="2"/>
      <c r="C828" s="1"/>
      <c r="D828" s="1"/>
      <c r="E828" s="1"/>
      <c r="F828" s="1"/>
      <c r="G828" s="1"/>
      <c r="H828" s="1"/>
      <c r="I828" s="1"/>
      <c r="J828" s="1"/>
      <c r="K828" s="1"/>
      <c r="L828" s="1"/>
      <c r="M828" s="1"/>
      <c r="N828" s="1"/>
      <c r="O828" s="1"/>
      <c r="P828" s="1"/>
      <c r="Q828" s="1"/>
      <c r="R828" s="1"/>
      <c r="S828" s="1"/>
      <c r="T828" s="2"/>
      <c r="U828" s="2"/>
      <c r="V828" s="2"/>
      <c r="W828" s="2"/>
      <c r="X828" s="2"/>
      <c r="Y828" s="2"/>
      <c r="Z828" s="2"/>
    </row>
    <row r="829" spans="1:26" ht="14.25" customHeight="1">
      <c r="A829" s="14"/>
      <c r="B829" s="2"/>
      <c r="C829" s="1"/>
      <c r="D829" s="1"/>
      <c r="E829" s="1"/>
      <c r="F829" s="1"/>
      <c r="G829" s="1"/>
      <c r="H829" s="1"/>
      <c r="I829" s="1"/>
      <c r="J829" s="1"/>
      <c r="K829" s="1"/>
      <c r="L829" s="1"/>
      <c r="M829" s="1"/>
      <c r="N829" s="1"/>
      <c r="O829" s="1"/>
      <c r="P829" s="1"/>
      <c r="Q829" s="1"/>
      <c r="R829" s="1"/>
      <c r="S829" s="1"/>
      <c r="T829" s="2"/>
      <c r="U829" s="2"/>
      <c r="V829" s="2"/>
      <c r="W829" s="2"/>
      <c r="X829" s="2"/>
      <c r="Y829" s="2"/>
      <c r="Z829" s="2"/>
    </row>
    <row r="830" spans="1:26" ht="14.25" customHeight="1">
      <c r="A830" s="14"/>
      <c r="B830" s="2"/>
      <c r="C830" s="1"/>
      <c r="D830" s="1"/>
      <c r="E830" s="1"/>
      <c r="F830" s="1"/>
      <c r="G830" s="1"/>
      <c r="H830" s="1"/>
      <c r="I830" s="1"/>
      <c r="J830" s="1"/>
      <c r="K830" s="1"/>
      <c r="L830" s="1"/>
      <c r="M830" s="1"/>
      <c r="N830" s="1"/>
      <c r="O830" s="1"/>
      <c r="P830" s="1"/>
      <c r="Q830" s="1"/>
      <c r="R830" s="1"/>
      <c r="S830" s="1"/>
      <c r="T830" s="2"/>
      <c r="U830" s="2"/>
      <c r="V830" s="2"/>
      <c r="W830" s="2"/>
      <c r="X830" s="2"/>
      <c r="Y830" s="2"/>
      <c r="Z830" s="2"/>
    </row>
    <row r="831" spans="1:26" ht="14.25" customHeight="1">
      <c r="A831" s="14"/>
      <c r="B831" s="2"/>
      <c r="C831" s="1"/>
      <c r="D831" s="1"/>
      <c r="E831" s="1"/>
      <c r="F831" s="1"/>
      <c r="G831" s="1"/>
      <c r="H831" s="1"/>
      <c r="I831" s="1"/>
      <c r="J831" s="1"/>
      <c r="K831" s="1"/>
      <c r="L831" s="1"/>
      <c r="M831" s="1"/>
      <c r="N831" s="1"/>
      <c r="O831" s="1"/>
      <c r="P831" s="1"/>
      <c r="Q831" s="1"/>
      <c r="R831" s="1"/>
      <c r="S831" s="1"/>
      <c r="T831" s="2"/>
      <c r="U831" s="2"/>
      <c r="V831" s="2"/>
      <c r="W831" s="2"/>
      <c r="X831" s="2"/>
      <c r="Y831" s="2"/>
      <c r="Z831" s="2"/>
    </row>
    <row r="832" spans="1:26" ht="14.25" customHeight="1">
      <c r="A832" s="14"/>
      <c r="B832" s="2"/>
      <c r="C832" s="1"/>
      <c r="D832" s="1"/>
      <c r="E832" s="1"/>
      <c r="F832" s="1"/>
      <c r="G832" s="1"/>
      <c r="H832" s="1"/>
      <c r="I832" s="1"/>
      <c r="J832" s="1"/>
      <c r="K832" s="1"/>
      <c r="L832" s="1"/>
      <c r="M832" s="1"/>
      <c r="N832" s="1"/>
      <c r="O832" s="1"/>
      <c r="P832" s="1"/>
      <c r="Q832" s="1"/>
      <c r="R832" s="1"/>
      <c r="S832" s="1"/>
      <c r="T832" s="2"/>
      <c r="U832" s="2"/>
      <c r="V832" s="2"/>
      <c r="W832" s="2"/>
      <c r="X832" s="2"/>
      <c r="Y832" s="2"/>
      <c r="Z832" s="2"/>
    </row>
    <row r="833" spans="1:26" ht="14.25" customHeight="1">
      <c r="A833" s="14"/>
      <c r="B833" s="2"/>
      <c r="C833" s="1"/>
      <c r="D833" s="1"/>
      <c r="E833" s="1"/>
      <c r="F833" s="1"/>
      <c r="G833" s="1"/>
      <c r="H833" s="1"/>
      <c r="I833" s="1"/>
      <c r="J833" s="1"/>
      <c r="K833" s="1"/>
      <c r="L833" s="1"/>
      <c r="M833" s="1"/>
      <c r="N833" s="1"/>
      <c r="O833" s="1"/>
      <c r="P833" s="1"/>
      <c r="Q833" s="1"/>
      <c r="R833" s="1"/>
      <c r="S833" s="1"/>
      <c r="T833" s="2"/>
      <c r="U833" s="2"/>
      <c r="V833" s="2"/>
      <c r="W833" s="2"/>
      <c r="X833" s="2"/>
      <c r="Y833" s="2"/>
      <c r="Z833" s="2"/>
    </row>
    <row r="834" spans="1:26" ht="14.25" customHeight="1">
      <c r="A834" s="14"/>
      <c r="B834" s="2"/>
      <c r="C834" s="1"/>
      <c r="D834" s="1"/>
      <c r="E834" s="1"/>
      <c r="F834" s="1"/>
      <c r="G834" s="1"/>
      <c r="H834" s="1"/>
      <c r="I834" s="1"/>
      <c r="J834" s="1"/>
      <c r="K834" s="1"/>
      <c r="L834" s="1"/>
      <c r="M834" s="1"/>
      <c r="N834" s="1"/>
      <c r="O834" s="1"/>
      <c r="P834" s="1"/>
      <c r="Q834" s="1"/>
      <c r="R834" s="1"/>
      <c r="S834" s="1"/>
      <c r="T834" s="2"/>
      <c r="U834" s="2"/>
      <c r="V834" s="2"/>
      <c r="W834" s="2"/>
      <c r="X834" s="2"/>
      <c r="Y834" s="2"/>
      <c r="Z834" s="2"/>
    </row>
    <row r="835" spans="1:26" ht="14.25" customHeight="1">
      <c r="A835" s="14"/>
      <c r="B835" s="2"/>
      <c r="C835" s="1"/>
      <c r="D835" s="1"/>
      <c r="E835" s="1"/>
      <c r="F835" s="1"/>
      <c r="G835" s="1"/>
      <c r="H835" s="1"/>
      <c r="I835" s="1"/>
      <c r="J835" s="1"/>
      <c r="K835" s="1"/>
      <c r="L835" s="1"/>
      <c r="M835" s="1"/>
      <c r="N835" s="1"/>
      <c r="O835" s="1"/>
      <c r="P835" s="1"/>
      <c r="Q835" s="1"/>
      <c r="R835" s="1"/>
      <c r="S835" s="1"/>
      <c r="T835" s="2"/>
      <c r="U835" s="2"/>
      <c r="V835" s="2"/>
      <c r="W835" s="2"/>
      <c r="X835" s="2"/>
      <c r="Y835" s="2"/>
      <c r="Z835" s="2"/>
    </row>
    <row r="836" spans="1:26" ht="14.25" customHeight="1">
      <c r="A836" s="14"/>
      <c r="B836" s="2"/>
      <c r="C836" s="1"/>
      <c r="D836" s="1"/>
      <c r="E836" s="1"/>
      <c r="F836" s="1"/>
      <c r="G836" s="1"/>
      <c r="H836" s="1"/>
      <c r="I836" s="1"/>
      <c r="J836" s="1"/>
      <c r="K836" s="1"/>
      <c r="L836" s="1"/>
      <c r="M836" s="1"/>
      <c r="N836" s="1"/>
      <c r="O836" s="1"/>
      <c r="P836" s="1"/>
      <c r="Q836" s="1"/>
      <c r="R836" s="1"/>
      <c r="S836" s="1"/>
      <c r="T836" s="2"/>
      <c r="U836" s="2"/>
      <c r="V836" s="2"/>
      <c r="W836" s="2"/>
      <c r="X836" s="2"/>
      <c r="Y836" s="2"/>
      <c r="Z836" s="2"/>
    </row>
    <row r="837" spans="1:26" ht="14.25" customHeight="1">
      <c r="A837" s="14"/>
      <c r="B837" s="2"/>
      <c r="C837" s="1"/>
      <c r="D837" s="1"/>
      <c r="E837" s="1"/>
      <c r="F837" s="1"/>
      <c r="G837" s="1"/>
      <c r="H837" s="1"/>
      <c r="I837" s="1"/>
      <c r="J837" s="1"/>
      <c r="K837" s="1"/>
      <c r="L837" s="1"/>
      <c r="M837" s="1"/>
      <c r="N837" s="1"/>
      <c r="O837" s="1"/>
      <c r="P837" s="1"/>
      <c r="Q837" s="1"/>
      <c r="R837" s="1"/>
      <c r="S837" s="1"/>
      <c r="T837" s="2"/>
      <c r="U837" s="2"/>
      <c r="V837" s="2"/>
      <c r="W837" s="2"/>
      <c r="X837" s="2"/>
      <c r="Y837" s="2"/>
      <c r="Z837" s="2"/>
    </row>
    <row r="838" spans="1:26" ht="14.25" customHeight="1">
      <c r="A838" s="14"/>
      <c r="B838" s="2"/>
      <c r="C838" s="1"/>
      <c r="D838" s="1"/>
      <c r="E838" s="1"/>
      <c r="F838" s="1"/>
      <c r="G838" s="1"/>
      <c r="H838" s="1"/>
      <c r="I838" s="1"/>
      <c r="J838" s="1"/>
      <c r="K838" s="1"/>
      <c r="L838" s="1"/>
      <c r="M838" s="1"/>
      <c r="N838" s="1"/>
      <c r="O838" s="1"/>
      <c r="P838" s="1"/>
      <c r="Q838" s="1"/>
      <c r="R838" s="1"/>
      <c r="S838" s="1"/>
      <c r="T838" s="2"/>
      <c r="U838" s="2"/>
      <c r="V838" s="2"/>
      <c r="W838" s="2"/>
      <c r="X838" s="2"/>
      <c r="Y838" s="2"/>
      <c r="Z838" s="2"/>
    </row>
    <row r="839" spans="1:26" ht="14.25" customHeight="1">
      <c r="A839" s="14"/>
      <c r="B839" s="2"/>
      <c r="C839" s="1"/>
      <c r="D839" s="1"/>
      <c r="E839" s="1"/>
      <c r="F839" s="1"/>
      <c r="G839" s="1"/>
      <c r="H839" s="1"/>
      <c r="I839" s="1"/>
      <c r="J839" s="1"/>
      <c r="K839" s="1"/>
      <c r="L839" s="1"/>
      <c r="M839" s="1"/>
      <c r="N839" s="1"/>
      <c r="O839" s="1"/>
      <c r="P839" s="1"/>
      <c r="Q839" s="1"/>
      <c r="R839" s="1"/>
      <c r="S839" s="1"/>
      <c r="T839" s="2"/>
      <c r="U839" s="2"/>
      <c r="V839" s="2"/>
      <c r="W839" s="2"/>
      <c r="X839" s="2"/>
      <c r="Y839" s="2"/>
      <c r="Z839" s="2"/>
    </row>
    <row r="840" spans="1:26" ht="14.25" customHeight="1">
      <c r="A840" s="14"/>
      <c r="B840" s="2"/>
      <c r="C840" s="1"/>
      <c r="D840" s="1"/>
      <c r="E840" s="1"/>
      <c r="F840" s="1"/>
      <c r="G840" s="1"/>
      <c r="H840" s="1"/>
      <c r="I840" s="1"/>
      <c r="J840" s="1"/>
      <c r="K840" s="1"/>
      <c r="L840" s="1"/>
      <c r="M840" s="1"/>
      <c r="N840" s="1"/>
      <c r="O840" s="1"/>
      <c r="P840" s="1"/>
      <c r="Q840" s="1"/>
      <c r="R840" s="1"/>
      <c r="S840" s="1"/>
      <c r="T840" s="2"/>
      <c r="U840" s="2"/>
      <c r="V840" s="2"/>
      <c r="W840" s="2"/>
      <c r="X840" s="2"/>
      <c r="Y840" s="2"/>
      <c r="Z840" s="2"/>
    </row>
    <row r="841" spans="1:26" ht="14.25" customHeight="1">
      <c r="A841" s="14"/>
      <c r="B841" s="2"/>
      <c r="C841" s="1"/>
      <c r="D841" s="1"/>
      <c r="E841" s="1"/>
      <c r="F841" s="1"/>
      <c r="G841" s="1"/>
      <c r="H841" s="1"/>
      <c r="I841" s="1"/>
      <c r="J841" s="1"/>
      <c r="K841" s="1"/>
      <c r="L841" s="1"/>
      <c r="M841" s="1"/>
      <c r="N841" s="1"/>
      <c r="O841" s="1"/>
      <c r="P841" s="1"/>
      <c r="Q841" s="1"/>
      <c r="R841" s="1"/>
      <c r="S841" s="1"/>
      <c r="T841" s="2"/>
      <c r="U841" s="2"/>
      <c r="V841" s="2"/>
      <c r="W841" s="2"/>
      <c r="X841" s="2"/>
      <c r="Y841" s="2"/>
      <c r="Z841" s="2"/>
    </row>
    <row r="842" spans="1:26" ht="14.25" customHeight="1">
      <c r="A842" s="14"/>
      <c r="B842" s="2"/>
      <c r="C842" s="1"/>
      <c r="D842" s="1"/>
      <c r="E842" s="1"/>
      <c r="F842" s="1"/>
      <c r="G842" s="1"/>
      <c r="H842" s="1"/>
      <c r="I842" s="1"/>
      <c r="J842" s="1"/>
      <c r="K842" s="1"/>
      <c r="L842" s="1"/>
      <c r="M842" s="1"/>
      <c r="N842" s="1"/>
      <c r="O842" s="1"/>
      <c r="P842" s="1"/>
      <c r="Q842" s="1"/>
      <c r="R842" s="1"/>
      <c r="S842" s="1"/>
      <c r="T842" s="2"/>
      <c r="U842" s="2"/>
      <c r="V842" s="2"/>
      <c r="W842" s="2"/>
      <c r="X842" s="2"/>
      <c r="Y842" s="2"/>
      <c r="Z842" s="2"/>
    </row>
    <row r="843" spans="1:26" ht="14.25" customHeight="1">
      <c r="A843" s="14"/>
      <c r="B843" s="2"/>
      <c r="C843" s="1"/>
      <c r="D843" s="1"/>
      <c r="E843" s="1"/>
      <c r="F843" s="1"/>
      <c r="G843" s="1"/>
      <c r="H843" s="1"/>
      <c r="I843" s="1"/>
      <c r="J843" s="1"/>
      <c r="K843" s="1"/>
      <c r="L843" s="1"/>
      <c r="M843" s="1"/>
      <c r="N843" s="1"/>
      <c r="O843" s="1"/>
      <c r="P843" s="1"/>
      <c r="Q843" s="1"/>
      <c r="R843" s="1"/>
      <c r="S843" s="1"/>
      <c r="T843" s="2"/>
      <c r="U843" s="2"/>
      <c r="V843" s="2"/>
      <c r="W843" s="2"/>
      <c r="X843" s="2"/>
      <c r="Y843" s="2"/>
      <c r="Z843" s="2"/>
    </row>
    <row r="844" spans="1:26" ht="14.25" customHeight="1">
      <c r="A844" s="14"/>
      <c r="B844" s="2"/>
      <c r="C844" s="1"/>
      <c r="D844" s="1"/>
      <c r="E844" s="1"/>
      <c r="F844" s="1"/>
      <c r="G844" s="1"/>
      <c r="H844" s="1"/>
      <c r="I844" s="1"/>
      <c r="J844" s="1"/>
      <c r="K844" s="1"/>
      <c r="L844" s="1"/>
      <c r="M844" s="1"/>
      <c r="N844" s="1"/>
      <c r="O844" s="1"/>
      <c r="P844" s="1"/>
      <c r="Q844" s="1"/>
      <c r="R844" s="1"/>
      <c r="S844" s="1"/>
      <c r="T844" s="2"/>
      <c r="U844" s="2"/>
      <c r="V844" s="2"/>
      <c r="W844" s="2"/>
      <c r="X844" s="2"/>
      <c r="Y844" s="2"/>
      <c r="Z844" s="2"/>
    </row>
    <row r="845" spans="1:26" ht="14.25" customHeight="1">
      <c r="A845" s="14"/>
      <c r="B845" s="2"/>
      <c r="C845" s="1"/>
      <c r="D845" s="1"/>
      <c r="E845" s="1"/>
      <c r="F845" s="1"/>
      <c r="G845" s="1"/>
      <c r="H845" s="1"/>
      <c r="I845" s="1"/>
      <c r="J845" s="1"/>
      <c r="K845" s="1"/>
      <c r="L845" s="1"/>
      <c r="M845" s="1"/>
      <c r="N845" s="1"/>
      <c r="O845" s="1"/>
      <c r="P845" s="1"/>
      <c r="Q845" s="1"/>
      <c r="R845" s="1"/>
      <c r="S845" s="1"/>
      <c r="T845" s="2"/>
      <c r="U845" s="2"/>
      <c r="V845" s="2"/>
      <c r="W845" s="2"/>
      <c r="X845" s="2"/>
      <c r="Y845" s="2"/>
      <c r="Z845" s="2"/>
    </row>
    <row r="846" spans="1:26" ht="14.25" customHeight="1">
      <c r="A846" s="14"/>
      <c r="B846" s="2"/>
      <c r="C846" s="1"/>
      <c r="D846" s="1"/>
      <c r="E846" s="1"/>
      <c r="F846" s="1"/>
      <c r="G846" s="1"/>
      <c r="H846" s="1"/>
      <c r="I846" s="1"/>
      <c r="J846" s="1"/>
      <c r="K846" s="1"/>
      <c r="L846" s="1"/>
      <c r="M846" s="1"/>
      <c r="N846" s="1"/>
      <c r="O846" s="1"/>
      <c r="P846" s="1"/>
      <c r="Q846" s="1"/>
      <c r="R846" s="1"/>
      <c r="S846" s="1"/>
      <c r="T846" s="2"/>
      <c r="U846" s="2"/>
      <c r="V846" s="2"/>
      <c r="W846" s="2"/>
      <c r="X846" s="2"/>
      <c r="Y846" s="2"/>
      <c r="Z846" s="2"/>
    </row>
    <row r="847" spans="1:26" ht="14.25" customHeight="1">
      <c r="A847" s="14"/>
      <c r="B847" s="2"/>
      <c r="C847" s="1"/>
      <c r="D847" s="1"/>
      <c r="E847" s="1"/>
      <c r="F847" s="1"/>
      <c r="G847" s="1"/>
      <c r="H847" s="1"/>
      <c r="I847" s="1"/>
      <c r="J847" s="1"/>
      <c r="K847" s="1"/>
      <c r="L847" s="1"/>
      <c r="M847" s="1"/>
      <c r="N847" s="1"/>
      <c r="O847" s="1"/>
      <c r="P847" s="1"/>
      <c r="Q847" s="1"/>
      <c r="R847" s="1"/>
      <c r="S847" s="1"/>
      <c r="T847" s="2"/>
      <c r="U847" s="2"/>
      <c r="V847" s="2"/>
      <c r="W847" s="2"/>
      <c r="X847" s="2"/>
      <c r="Y847" s="2"/>
      <c r="Z847" s="2"/>
    </row>
    <row r="848" spans="1:26" ht="14.25" customHeight="1">
      <c r="A848" s="14"/>
      <c r="B848" s="2"/>
      <c r="C848" s="1"/>
      <c r="D848" s="1"/>
      <c r="E848" s="1"/>
      <c r="F848" s="1"/>
      <c r="G848" s="1"/>
      <c r="H848" s="1"/>
      <c r="I848" s="1"/>
      <c r="J848" s="1"/>
      <c r="K848" s="1"/>
      <c r="L848" s="1"/>
      <c r="M848" s="1"/>
      <c r="N848" s="1"/>
      <c r="O848" s="1"/>
      <c r="P848" s="1"/>
      <c r="Q848" s="1"/>
      <c r="R848" s="1"/>
      <c r="S848" s="1"/>
      <c r="T848" s="2"/>
      <c r="U848" s="2"/>
      <c r="V848" s="2"/>
      <c r="W848" s="2"/>
      <c r="X848" s="2"/>
      <c r="Y848" s="2"/>
      <c r="Z848" s="2"/>
    </row>
    <row r="849" spans="1:26" ht="14.25" customHeight="1">
      <c r="A849" s="14"/>
      <c r="B849" s="2"/>
      <c r="C849" s="1"/>
      <c r="D849" s="1"/>
      <c r="E849" s="1"/>
      <c r="F849" s="1"/>
      <c r="G849" s="1"/>
      <c r="H849" s="1"/>
      <c r="I849" s="1"/>
      <c r="J849" s="1"/>
      <c r="K849" s="1"/>
      <c r="L849" s="1"/>
      <c r="M849" s="1"/>
      <c r="N849" s="1"/>
      <c r="O849" s="1"/>
      <c r="P849" s="1"/>
      <c r="Q849" s="1"/>
      <c r="R849" s="1"/>
      <c r="S849" s="1"/>
      <c r="T849" s="2"/>
      <c r="U849" s="2"/>
      <c r="V849" s="2"/>
      <c r="W849" s="2"/>
      <c r="X849" s="2"/>
      <c r="Y849" s="2"/>
      <c r="Z849" s="2"/>
    </row>
    <row r="850" spans="1:26" ht="14.25" customHeight="1">
      <c r="A850" s="14"/>
      <c r="B850" s="2"/>
      <c r="C850" s="1"/>
      <c r="D850" s="1"/>
      <c r="E850" s="1"/>
      <c r="F850" s="1"/>
      <c r="G850" s="1"/>
      <c r="H850" s="1"/>
      <c r="I850" s="1"/>
      <c r="J850" s="1"/>
      <c r="K850" s="1"/>
      <c r="L850" s="1"/>
      <c r="M850" s="1"/>
      <c r="N850" s="1"/>
      <c r="O850" s="1"/>
      <c r="P850" s="1"/>
      <c r="Q850" s="1"/>
      <c r="R850" s="1"/>
      <c r="S850" s="1"/>
      <c r="T850" s="2"/>
      <c r="U850" s="2"/>
      <c r="V850" s="2"/>
      <c r="W850" s="2"/>
      <c r="X850" s="2"/>
      <c r="Y850" s="2"/>
      <c r="Z850" s="2"/>
    </row>
    <row r="851" spans="1:26" ht="14.25" customHeight="1">
      <c r="A851" s="14"/>
      <c r="B851" s="2"/>
      <c r="C851" s="1"/>
      <c r="D851" s="1"/>
      <c r="E851" s="1"/>
      <c r="F851" s="1"/>
      <c r="G851" s="1"/>
      <c r="H851" s="1"/>
      <c r="I851" s="1"/>
      <c r="J851" s="1"/>
      <c r="K851" s="1"/>
      <c r="L851" s="1"/>
      <c r="M851" s="1"/>
      <c r="N851" s="1"/>
      <c r="O851" s="1"/>
      <c r="P851" s="1"/>
      <c r="Q851" s="1"/>
      <c r="R851" s="1"/>
      <c r="S851" s="1"/>
      <c r="T851" s="2"/>
      <c r="U851" s="2"/>
      <c r="V851" s="2"/>
      <c r="W851" s="2"/>
      <c r="X851" s="2"/>
      <c r="Y851" s="2"/>
      <c r="Z851" s="2"/>
    </row>
    <row r="852" spans="1:26" ht="14.25" customHeight="1">
      <c r="A852" s="14"/>
      <c r="B852" s="2"/>
      <c r="C852" s="1"/>
      <c r="D852" s="1"/>
      <c r="E852" s="1"/>
      <c r="F852" s="1"/>
      <c r="G852" s="1"/>
      <c r="H852" s="1"/>
      <c r="I852" s="1"/>
      <c r="J852" s="1"/>
      <c r="K852" s="1"/>
      <c r="L852" s="1"/>
      <c r="M852" s="1"/>
      <c r="N852" s="1"/>
      <c r="O852" s="1"/>
      <c r="P852" s="1"/>
      <c r="Q852" s="1"/>
      <c r="R852" s="1"/>
      <c r="S852" s="1"/>
      <c r="T852" s="2"/>
      <c r="U852" s="2"/>
      <c r="V852" s="2"/>
      <c r="W852" s="2"/>
      <c r="X852" s="2"/>
      <c r="Y852" s="2"/>
      <c r="Z852" s="2"/>
    </row>
    <row r="853" spans="1:26" ht="14.25" customHeight="1">
      <c r="A853" s="14"/>
      <c r="B853" s="2"/>
      <c r="C853" s="1"/>
      <c r="D853" s="1"/>
      <c r="E853" s="1"/>
      <c r="F853" s="1"/>
      <c r="G853" s="1"/>
      <c r="H853" s="1"/>
      <c r="I853" s="1"/>
      <c r="J853" s="1"/>
      <c r="K853" s="1"/>
      <c r="L853" s="1"/>
      <c r="M853" s="1"/>
      <c r="N853" s="1"/>
      <c r="O853" s="1"/>
      <c r="P853" s="1"/>
      <c r="Q853" s="1"/>
      <c r="R853" s="1"/>
      <c r="S853" s="1"/>
      <c r="T853" s="2"/>
      <c r="U853" s="2"/>
      <c r="V853" s="2"/>
      <c r="W853" s="2"/>
      <c r="X853" s="2"/>
      <c r="Y853" s="2"/>
      <c r="Z853" s="2"/>
    </row>
    <row r="854" spans="1:26" ht="14.25" customHeight="1">
      <c r="A854" s="14"/>
      <c r="B854" s="2"/>
      <c r="C854" s="1"/>
      <c r="D854" s="1"/>
      <c r="E854" s="1"/>
      <c r="F854" s="1"/>
      <c r="G854" s="1"/>
      <c r="H854" s="1"/>
      <c r="I854" s="1"/>
      <c r="J854" s="1"/>
      <c r="K854" s="1"/>
      <c r="L854" s="1"/>
      <c r="M854" s="1"/>
      <c r="N854" s="1"/>
      <c r="O854" s="1"/>
      <c r="P854" s="1"/>
      <c r="Q854" s="1"/>
      <c r="R854" s="1"/>
      <c r="S854" s="1"/>
      <c r="T854" s="2"/>
      <c r="U854" s="2"/>
      <c r="V854" s="2"/>
      <c r="W854" s="2"/>
      <c r="X854" s="2"/>
      <c r="Y854" s="2"/>
      <c r="Z854" s="2"/>
    </row>
    <row r="855" spans="1:26" ht="14.25" customHeight="1">
      <c r="A855" s="14"/>
      <c r="B855" s="2"/>
      <c r="C855" s="1"/>
      <c r="D855" s="1"/>
      <c r="E855" s="1"/>
      <c r="F855" s="1"/>
      <c r="G855" s="1"/>
      <c r="H855" s="1"/>
      <c r="I855" s="1"/>
      <c r="J855" s="1"/>
      <c r="K855" s="1"/>
      <c r="L855" s="1"/>
      <c r="M855" s="1"/>
      <c r="N855" s="1"/>
      <c r="O855" s="1"/>
      <c r="P855" s="1"/>
      <c r="Q855" s="1"/>
      <c r="R855" s="1"/>
      <c r="S855" s="1"/>
      <c r="T855" s="2"/>
      <c r="U855" s="2"/>
      <c r="V855" s="2"/>
      <c r="W855" s="2"/>
      <c r="X855" s="2"/>
      <c r="Y855" s="2"/>
      <c r="Z855" s="2"/>
    </row>
    <row r="856" spans="1:26" ht="14.25" customHeight="1">
      <c r="A856" s="14"/>
      <c r="B856" s="2"/>
      <c r="C856" s="1"/>
      <c r="D856" s="1"/>
      <c r="E856" s="1"/>
      <c r="F856" s="1"/>
      <c r="G856" s="1"/>
      <c r="H856" s="1"/>
      <c r="I856" s="1"/>
      <c r="J856" s="1"/>
      <c r="K856" s="1"/>
      <c r="L856" s="1"/>
      <c r="M856" s="1"/>
      <c r="N856" s="1"/>
      <c r="O856" s="1"/>
      <c r="P856" s="1"/>
      <c r="Q856" s="1"/>
      <c r="R856" s="1"/>
      <c r="S856" s="1"/>
      <c r="T856" s="2"/>
      <c r="U856" s="2"/>
      <c r="V856" s="2"/>
      <c r="W856" s="2"/>
      <c r="X856" s="2"/>
      <c r="Y856" s="2"/>
      <c r="Z856" s="2"/>
    </row>
    <row r="857" spans="1:26" ht="14.25" customHeight="1">
      <c r="A857" s="14"/>
      <c r="B857" s="2"/>
      <c r="C857" s="1"/>
      <c r="D857" s="1"/>
      <c r="E857" s="1"/>
      <c r="F857" s="1"/>
      <c r="G857" s="1"/>
      <c r="H857" s="1"/>
      <c r="I857" s="1"/>
      <c r="J857" s="1"/>
      <c r="K857" s="1"/>
      <c r="L857" s="1"/>
      <c r="M857" s="1"/>
      <c r="N857" s="1"/>
      <c r="O857" s="1"/>
      <c r="P857" s="1"/>
      <c r="Q857" s="1"/>
      <c r="R857" s="1"/>
      <c r="S857" s="1"/>
      <c r="T857" s="2"/>
      <c r="U857" s="2"/>
      <c r="V857" s="2"/>
      <c r="W857" s="2"/>
      <c r="X857" s="2"/>
      <c r="Y857" s="2"/>
      <c r="Z857" s="2"/>
    </row>
    <row r="858" spans="1:26" ht="14.25" customHeight="1">
      <c r="A858" s="14"/>
      <c r="B858" s="2"/>
      <c r="C858" s="1"/>
      <c r="D858" s="1"/>
      <c r="E858" s="1"/>
      <c r="F858" s="1"/>
      <c r="G858" s="1"/>
      <c r="H858" s="1"/>
      <c r="I858" s="1"/>
      <c r="J858" s="1"/>
      <c r="K858" s="1"/>
      <c r="L858" s="1"/>
      <c r="M858" s="1"/>
      <c r="N858" s="1"/>
      <c r="O858" s="1"/>
      <c r="P858" s="1"/>
      <c r="Q858" s="1"/>
      <c r="R858" s="1"/>
      <c r="S858" s="1"/>
      <c r="T858" s="2"/>
      <c r="U858" s="2"/>
      <c r="V858" s="2"/>
      <c r="W858" s="2"/>
      <c r="X858" s="2"/>
      <c r="Y858" s="2"/>
      <c r="Z858" s="2"/>
    </row>
    <row r="859" spans="1:26" ht="14.25" customHeight="1">
      <c r="A859" s="14"/>
      <c r="B859" s="2"/>
      <c r="C859" s="1"/>
      <c r="D859" s="1"/>
      <c r="E859" s="1"/>
      <c r="F859" s="1"/>
      <c r="G859" s="1"/>
      <c r="H859" s="1"/>
      <c r="I859" s="1"/>
      <c r="J859" s="1"/>
      <c r="K859" s="1"/>
      <c r="L859" s="1"/>
      <c r="M859" s="1"/>
      <c r="N859" s="1"/>
      <c r="O859" s="1"/>
      <c r="P859" s="1"/>
      <c r="Q859" s="1"/>
      <c r="R859" s="1"/>
      <c r="S859" s="1"/>
      <c r="T859" s="2"/>
      <c r="U859" s="2"/>
      <c r="V859" s="2"/>
      <c r="W859" s="2"/>
      <c r="X859" s="2"/>
      <c r="Y859" s="2"/>
      <c r="Z859" s="2"/>
    </row>
    <row r="860" spans="1:26" ht="14.25" customHeight="1">
      <c r="A860" s="14"/>
      <c r="B860" s="2"/>
      <c r="C860" s="1"/>
      <c r="D860" s="1"/>
      <c r="E860" s="1"/>
      <c r="F860" s="1"/>
      <c r="G860" s="1"/>
      <c r="H860" s="1"/>
      <c r="I860" s="1"/>
      <c r="J860" s="1"/>
      <c r="K860" s="1"/>
      <c r="L860" s="1"/>
      <c r="M860" s="1"/>
      <c r="N860" s="1"/>
      <c r="O860" s="1"/>
      <c r="P860" s="1"/>
      <c r="Q860" s="1"/>
      <c r="R860" s="1"/>
      <c r="S860" s="1"/>
      <c r="T860" s="2"/>
      <c r="U860" s="2"/>
      <c r="V860" s="2"/>
      <c r="W860" s="2"/>
      <c r="X860" s="2"/>
      <c r="Y860" s="2"/>
      <c r="Z860" s="2"/>
    </row>
    <row r="861" spans="1:26" ht="14.25" customHeight="1">
      <c r="A861" s="14"/>
      <c r="B861" s="2"/>
      <c r="C861" s="1"/>
      <c r="D861" s="1"/>
      <c r="E861" s="1"/>
      <c r="F861" s="1"/>
      <c r="G861" s="1"/>
      <c r="H861" s="1"/>
      <c r="I861" s="1"/>
      <c r="J861" s="1"/>
      <c r="K861" s="1"/>
      <c r="L861" s="1"/>
      <c r="M861" s="1"/>
      <c r="N861" s="1"/>
      <c r="O861" s="1"/>
      <c r="P861" s="1"/>
      <c r="Q861" s="1"/>
      <c r="R861" s="1"/>
      <c r="S861" s="1"/>
      <c r="T861" s="2"/>
      <c r="U861" s="2"/>
      <c r="V861" s="2"/>
      <c r="W861" s="2"/>
      <c r="X861" s="2"/>
      <c r="Y861" s="2"/>
      <c r="Z861" s="2"/>
    </row>
    <row r="862" spans="1:26" ht="14.25" customHeight="1">
      <c r="A862" s="14"/>
      <c r="B862" s="2"/>
      <c r="C862" s="1"/>
      <c r="D862" s="1"/>
      <c r="E862" s="1"/>
      <c r="F862" s="1"/>
      <c r="G862" s="1"/>
      <c r="H862" s="1"/>
      <c r="I862" s="1"/>
      <c r="J862" s="1"/>
      <c r="K862" s="1"/>
      <c r="L862" s="1"/>
      <c r="M862" s="1"/>
      <c r="N862" s="1"/>
      <c r="O862" s="1"/>
      <c r="P862" s="1"/>
      <c r="Q862" s="1"/>
      <c r="R862" s="1"/>
      <c r="S862" s="1"/>
      <c r="T862" s="2"/>
      <c r="U862" s="2"/>
      <c r="V862" s="2"/>
      <c r="W862" s="2"/>
      <c r="X862" s="2"/>
      <c r="Y862" s="2"/>
      <c r="Z862" s="2"/>
    </row>
    <row r="863" spans="1:26" ht="14.25" customHeight="1">
      <c r="A863" s="14"/>
      <c r="B863" s="2"/>
      <c r="C863" s="1"/>
      <c r="D863" s="1"/>
      <c r="E863" s="1"/>
      <c r="F863" s="1"/>
      <c r="G863" s="1"/>
      <c r="H863" s="1"/>
      <c r="I863" s="1"/>
      <c r="J863" s="1"/>
      <c r="K863" s="1"/>
      <c r="L863" s="1"/>
      <c r="M863" s="1"/>
      <c r="N863" s="1"/>
      <c r="O863" s="1"/>
      <c r="P863" s="1"/>
      <c r="Q863" s="1"/>
      <c r="R863" s="1"/>
      <c r="S863" s="1"/>
      <c r="T863" s="2"/>
      <c r="U863" s="2"/>
      <c r="V863" s="2"/>
      <c r="W863" s="2"/>
      <c r="X863" s="2"/>
      <c r="Y863" s="2"/>
      <c r="Z863" s="2"/>
    </row>
    <row r="864" spans="1:26" ht="14.25" customHeight="1">
      <c r="A864" s="14"/>
      <c r="B864" s="2"/>
      <c r="C864" s="1"/>
      <c r="D864" s="1"/>
      <c r="E864" s="1"/>
      <c r="F864" s="1"/>
      <c r="G864" s="1"/>
      <c r="H864" s="1"/>
      <c r="I864" s="1"/>
      <c r="J864" s="1"/>
      <c r="K864" s="1"/>
      <c r="L864" s="1"/>
      <c r="M864" s="1"/>
      <c r="N864" s="1"/>
      <c r="O864" s="1"/>
      <c r="P864" s="1"/>
      <c r="Q864" s="1"/>
      <c r="R864" s="1"/>
      <c r="S864" s="1"/>
      <c r="T864" s="2"/>
      <c r="U864" s="2"/>
      <c r="V864" s="2"/>
      <c r="W864" s="2"/>
      <c r="X864" s="2"/>
      <c r="Y864" s="2"/>
      <c r="Z864" s="2"/>
    </row>
    <row r="865" spans="1:26" ht="14.25" customHeight="1">
      <c r="A865" s="14"/>
      <c r="B865" s="2"/>
      <c r="C865" s="1"/>
      <c r="D865" s="1"/>
      <c r="E865" s="1"/>
      <c r="F865" s="1"/>
      <c r="G865" s="1"/>
      <c r="H865" s="1"/>
      <c r="I865" s="1"/>
      <c r="J865" s="1"/>
      <c r="K865" s="1"/>
      <c r="L865" s="1"/>
      <c r="M865" s="1"/>
      <c r="N865" s="1"/>
      <c r="O865" s="1"/>
      <c r="P865" s="1"/>
      <c r="Q865" s="1"/>
      <c r="R865" s="1"/>
      <c r="S865" s="1"/>
      <c r="T865" s="2"/>
      <c r="U865" s="2"/>
      <c r="V865" s="2"/>
      <c r="W865" s="2"/>
      <c r="X865" s="2"/>
      <c r="Y865" s="2"/>
      <c r="Z865" s="2"/>
    </row>
    <row r="866" spans="1:26" ht="14.25" customHeight="1">
      <c r="A866" s="14"/>
      <c r="B866" s="2"/>
      <c r="C866" s="1"/>
      <c r="D866" s="1"/>
      <c r="E866" s="1"/>
      <c r="F866" s="1"/>
      <c r="G866" s="1"/>
      <c r="H866" s="1"/>
      <c r="I866" s="1"/>
      <c r="J866" s="1"/>
      <c r="K866" s="1"/>
      <c r="L866" s="1"/>
      <c r="M866" s="1"/>
      <c r="N866" s="1"/>
      <c r="O866" s="1"/>
      <c r="P866" s="1"/>
      <c r="Q866" s="1"/>
      <c r="R866" s="1"/>
      <c r="S866" s="1"/>
      <c r="T866" s="2"/>
      <c r="U866" s="2"/>
      <c r="V866" s="2"/>
      <c r="W866" s="2"/>
      <c r="X866" s="2"/>
      <c r="Y866" s="2"/>
      <c r="Z866" s="2"/>
    </row>
    <row r="867" spans="1:26" ht="14.25" customHeight="1">
      <c r="A867" s="14"/>
      <c r="B867" s="2"/>
      <c r="C867" s="1"/>
      <c r="D867" s="1"/>
      <c r="E867" s="1"/>
      <c r="F867" s="1"/>
      <c r="G867" s="1"/>
      <c r="H867" s="1"/>
      <c r="I867" s="1"/>
      <c r="J867" s="1"/>
      <c r="K867" s="1"/>
      <c r="L867" s="1"/>
      <c r="M867" s="1"/>
      <c r="N867" s="1"/>
      <c r="O867" s="1"/>
      <c r="P867" s="1"/>
      <c r="Q867" s="1"/>
      <c r="R867" s="1"/>
      <c r="S867" s="1"/>
      <c r="T867" s="2"/>
      <c r="U867" s="2"/>
      <c r="V867" s="2"/>
      <c r="W867" s="2"/>
      <c r="X867" s="2"/>
      <c r="Y867" s="2"/>
      <c r="Z867" s="2"/>
    </row>
    <row r="868" spans="1:26" ht="14.25" customHeight="1">
      <c r="A868" s="14"/>
      <c r="B868" s="2"/>
      <c r="C868" s="1"/>
      <c r="D868" s="1"/>
      <c r="E868" s="1"/>
      <c r="F868" s="1"/>
      <c r="G868" s="1"/>
      <c r="H868" s="1"/>
      <c r="I868" s="1"/>
      <c r="J868" s="1"/>
      <c r="K868" s="1"/>
      <c r="L868" s="1"/>
      <c r="M868" s="1"/>
      <c r="N868" s="1"/>
      <c r="O868" s="1"/>
      <c r="P868" s="1"/>
      <c r="Q868" s="1"/>
      <c r="R868" s="1"/>
      <c r="S868" s="1"/>
      <c r="T868" s="2"/>
      <c r="U868" s="2"/>
      <c r="V868" s="2"/>
      <c r="W868" s="2"/>
      <c r="X868" s="2"/>
      <c r="Y868" s="2"/>
      <c r="Z868" s="2"/>
    </row>
    <row r="869" spans="1:26" ht="14.25" customHeight="1">
      <c r="A869" s="14"/>
      <c r="B869" s="2"/>
      <c r="C869" s="1"/>
      <c r="D869" s="1"/>
      <c r="E869" s="1"/>
      <c r="F869" s="1"/>
      <c r="G869" s="1"/>
      <c r="H869" s="1"/>
      <c r="I869" s="1"/>
      <c r="J869" s="1"/>
      <c r="K869" s="1"/>
      <c r="L869" s="1"/>
      <c r="M869" s="1"/>
      <c r="N869" s="1"/>
      <c r="O869" s="1"/>
      <c r="P869" s="1"/>
      <c r="Q869" s="1"/>
      <c r="R869" s="1"/>
      <c r="S869" s="1"/>
      <c r="T869" s="2"/>
      <c r="U869" s="2"/>
      <c r="V869" s="2"/>
      <c r="W869" s="2"/>
      <c r="X869" s="2"/>
      <c r="Y869" s="2"/>
      <c r="Z869" s="2"/>
    </row>
    <row r="870" spans="1:26" ht="14.25" customHeight="1">
      <c r="A870" s="14"/>
      <c r="B870" s="2"/>
      <c r="C870" s="1"/>
      <c r="D870" s="1"/>
      <c r="E870" s="1"/>
      <c r="F870" s="1"/>
      <c r="G870" s="1"/>
      <c r="H870" s="1"/>
      <c r="I870" s="1"/>
      <c r="J870" s="1"/>
      <c r="K870" s="1"/>
      <c r="L870" s="1"/>
      <c r="M870" s="1"/>
      <c r="N870" s="1"/>
      <c r="O870" s="1"/>
      <c r="P870" s="1"/>
      <c r="Q870" s="1"/>
      <c r="R870" s="1"/>
      <c r="S870" s="1"/>
      <c r="T870" s="2"/>
      <c r="U870" s="2"/>
      <c r="V870" s="2"/>
      <c r="W870" s="2"/>
      <c r="X870" s="2"/>
      <c r="Y870" s="2"/>
      <c r="Z870" s="2"/>
    </row>
    <row r="871" spans="1:26" ht="14.25" customHeight="1">
      <c r="A871" s="14"/>
      <c r="B871" s="2"/>
      <c r="C871" s="1"/>
      <c r="D871" s="1"/>
      <c r="E871" s="1"/>
      <c r="F871" s="1"/>
      <c r="G871" s="1"/>
      <c r="H871" s="1"/>
      <c r="I871" s="1"/>
      <c r="J871" s="1"/>
      <c r="K871" s="1"/>
      <c r="L871" s="1"/>
      <c r="M871" s="1"/>
      <c r="N871" s="1"/>
      <c r="O871" s="1"/>
      <c r="P871" s="1"/>
      <c r="Q871" s="1"/>
      <c r="R871" s="1"/>
      <c r="S871" s="1"/>
      <c r="T871" s="2"/>
      <c r="U871" s="2"/>
      <c r="V871" s="2"/>
      <c r="W871" s="2"/>
      <c r="X871" s="2"/>
      <c r="Y871" s="2"/>
      <c r="Z871" s="2"/>
    </row>
    <row r="872" spans="1:26" ht="14.25" customHeight="1">
      <c r="A872" s="14"/>
      <c r="B872" s="2"/>
      <c r="C872" s="1"/>
      <c r="D872" s="1"/>
      <c r="E872" s="1"/>
      <c r="F872" s="1"/>
      <c r="G872" s="1"/>
      <c r="H872" s="1"/>
      <c r="I872" s="1"/>
      <c r="J872" s="1"/>
      <c r="K872" s="1"/>
      <c r="L872" s="1"/>
      <c r="M872" s="1"/>
      <c r="N872" s="1"/>
      <c r="O872" s="1"/>
      <c r="P872" s="1"/>
      <c r="Q872" s="1"/>
      <c r="R872" s="1"/>
      <c r="S872" s="1"/>
      <c r="T872" s="2"/>
      <c r="U872" s="2"/>
      <c r="V872" s="2"/>
      <c r="W872" s="2"/>
      <c r="X872" s="2"/>
      <c r="Y872" s="2"/>
      <c r="Z872" s="2"/>
    </row>
    <row r="873" spans="1:26" ht="14.25" customHeight="1">
      <c r="A873" s="14"/>
      <c r="B873" s="2"/>
      <c r="C873" s="1"/>
      <c r="D873" s="1"/>
      <c r="E873" s="1"/>
      <c r="F873" s="1"/>
      <c r="G873" s="1"/>
      <c r="H873" s="1"/>
      <c r="I873" s="1"/>
      <c r="J873" s="1"/>
      <c r="K873" s="1"/>
      <c r="L873" s="1"/>
      <c r="M873" s="1"/>
      <c r="N873" s="1"/>
      <c r="O873" s="1"/>
      <c r="P873" s="1"/>
      <c r="Q873" s="1"/>
      <c r="R873" s="1"/>
      <c r="S873" s="1"/>
      <c r="T873" s="2"/>
      <c r="U873" s="2"/>
      <c r="V873" s="2"/>
      <c r="W873" s="2"/>
      <c r="X873" s="2"/>
      <c r="Y873" s="2"/>
      <c r="Z873" s="2"/>
    </row>
    <row r="874" spans="1:26" ht="14.25" customHeight="1">
      <c r="A874" s="14"/>
      <c r="B874" s="2"/>
      <c r="C874" s="1"/>
      <c r="D874" s="1"/>
      <c r="E874" s="1"/>
      <c r="F874" s="1"/>
      <c r="G874" s="1"/>
      <c r="H874" s="1"/>
      <c r="I874" s="1"/>
      <c r="J874" s="1"/>
      <c r="K874" s="1"/>
      <c r="L874" s="1"/>
      <c r="M874" s="1"/>
      <c r="N874" s="1"/>
      <c r="O874" s="1"/>
      <c r="P874" s="1"/>
      <c r="Q874" s="1"/>
      <c r="R874" s="1"/>
      <c r="S874" s="1"/>
      <c r="T874" s="2"/>
      <c r="U874" s="2"/>
      <c r="V874" s="2"/>
      <c r="W874" s="2"/>
      <c r="X874" s="2"/>
      <c r="Y874" s="2"/>
      <c r="Z874" s="2"/>
    </row>
    <row r="875" spans="1:26" ht="14.25" customHeight="1">
      <c r="A875" s="14"/>
      <c r="B875" s="2"/>
      <c r="C875" s="1"/>
      <c r="D875" s="1"/>
      <c r="E875" s="1"/>
      <c r="F875" s="1"/>
      <c r="G875" s="1"/>
      <c r="H875" s="1"/>
      <c r="I875" s="1"/>
      <c r="J875" s="1"/>
      <c r="K875" s="1"/>
      <c r="L875" s="1"/>
      <c r="M875" s="1"/>
      <c r="N875" s="1"/>
      <c r="O875" s="1"/>
      <c r="P875" s="1"/>
      <c r="Q875" s="1"/>
      <c r="R875" s="1"/>
      <c r="S875" s="1"/>
      <c r="T875" s="2"/>
      <c r="U875" s="2"/>
      <c r="V875" s="2"/>
      <c r="W875" s="2"/>
      <c r="X875" s="2"/>
      <c r="Y875" s="2"/>
      <c r="Z875" s="2"/>
    </row>
    <row r="876" spans="1:26" ht="14.25" customHeight="1">
      <c r="A876" s="14"/>
      <c r="B876" s="2"/>
      <c r="C876" s="1"/>
      <c r="D876" s="1"/>
      <c r="E876" s="1"/>
      <c r="F876" s="1"/>
      <c r="G876" s="1"/>
      <c r="H876" s="1"/>
      <c r="I876" s="1"/>
      <c r="J876" s="1"/>
      <c r="K876" s="1"/>
      <c r="L876" s="1"/>
      <c r="M876" s="1"/>
      <c r="N876" s="1"/>
      <c r="O876" s="1"/>
      <c r="P876" s="1"/>
      <c r="Q876" s="1"/>
      <c r="R876" s="1"/>
      <c r="S876" s="1"/>
      <c r="T876" s="2"/>
      <c r="U876" s="2"/>
      <c r="V876" s="2"/>
      <c r="W876" s="2"/>
      <c r="X876" s="2"/>
      <c r="Y876" s="2"/>
      <c r="Z876" s="2"/>
    </row>
    <row r="877" spans="1:26" ht="14.25" customHeight="1">
      <c r="A877" s="14"/>
      <c r="B877" s="2"/>
      <c r="C877" s="1"/>
      <c r="D877" s="1"/>
      <c r="E877" s="1"/>
      <c r="F877" s="1"/>
      <c r="G877" s="1"/>
      <c r="H877" s="1"/>
      <c r="I877" s="1"/>
      <c r="J877" s="1"/>
      <c r="K877" s="1"/>
      <c r="L877" s="1"/>
      <c r="M877" s="1"/>
      <c r="N877" s="1"/>
      <c r="O877" s="1"/>
      <c r="P877" s="1"/>
      <c r="Q877" s="1"/>
      <c r="R877" s="1"/>
      <c r="S877" s="1"/>
      <c r="T877" s="2"/>
      <c r="U877" s="2"/>
      <c r="V877" s="2"/>
      <c r="W877" s="2"/>
      <c r="X877" s="2"/>
      <c r="Y877" s="2"/>
      <c r="Z877" s="2"/>
    </row>
    <row r="878" spans="1:26" ht="14.25" customHeight="1">
      <c r="A878" s="14"/>
      <c r="B878" s="2"/>
      <c r="C878" s="1"/>
      <c r="D878" s="1"/>
      <c r="E878" s="1"/>
      <c r="F878" s="1"/>
      <c r="G878" s="1"/>
      <c r="H878" s="1"/>
      <c r="I878" s="1"/>
      <c r="J878" s="1"/>
      <c r="K878" s="1"/>
      <c r="L878" s="1"/>
      <c r="M878" s="1"/>
      <c r="N878" s="1"/>
      <c r="O878" s="1"/>
      <c r="P878" s="1"/>
      <c r="Q878" s="1"/>
      <c r="R878" s="1"/>
      <c r="S878" s="1"/>
      <c r="T878" s="2"/>
      <c r="U878" s="2"/>
      <c r="V878" s="2"/>
      <c r="W878" s="2"/>
      <c r="X878" s="2"/>
      <c r="Y878" s="2"/>
      <c r="Z878" s="2"/>
    </row>
    <row r="879" spans="1:26" ht="14.25" customHeight="1">
      <c r="A879" s="14"/>
      <c r="B879" s="2"/>
      <c r="C879" s="1"/>
      <c r="D879" s="1"/>
      <c r="E879" s="1"/>
      <c r="F879" s="1"/>
      <c r="G879" s="1"/>
      <c r="H879" s="1"/>
      <c r="I879" s="1"/>
      <c r="J879" s="1"/>
      <c r="K879" s="1"/>
      <c r="L879" s="1"/>
      <c r="M879" s="1"/>
      <c r="N879" s="1"/>
      <c r="O879" s="1"/>
      <c r="P879" s="1"/>
      <c r="Q879" s="1"/>
      <c r="R879" s="1"/>
      <c r="S879" s="1"/>
      <c r="T879" s="2"/>
      <c r="U879" s="2"/>
      <c r="V879" s="2"/>
      <c r="W879" s="2"/>
      <c r="X879" s="2"/>
      <c r="Y879" s="2"/>
      <c r="Z879" s="2"/>
    </row>
    <row r="880" spans="1:26" ht="14.25" customHeight="1">
      <c r="A880" s="14"/>
      <c r="B880" s="2"/>
      <c r="C880" s="1"/>
      <c r="D880" s="1"/>
      <c r="E880" s="1"/>
      <c r="F880" s="1"/>
      <c r="G880" s="1"/>
      <c r="H880" s="1"/>
      <c r="I880" s="1"/>
      <c r="J880" s="1"/>
      <c r="K880" s="1"/>
      <c r="L880" s="1"/>
      <c r="M880" s="1"/>
      <c r="N880" s="1"/>
      <c r="O880" s="1"/>
      <c r="P880" s="1"/>
      <c r="Q880" s="1"/>
      <c r="R880" s="1"/>
      <c r="S880" s="1"/>
      <c r="T880" s="2"/>
      <c r="U880" s="2"/>
      <c r="V880" s="2"/>
      <c r="W880" s="2"/>
      <c r="X880" s="2"/>
      <c r="Y880" s="2"/>
      <c r="Z880" s="2"/>
    </row>
    <row r="881" spans="1:26" ht="14.25" customHeight="1">
      <c r="A881" s="14"/>
      <c r="B881" s="2"/>
      <c r="C881" s="1"/>
      <c r="D881" s="1"/>
      <c r="E881" s="1"/>
      <c r="F881" s="1"/>
      <c r="G881" s="1"/>
      <c r="H881" s="1"/>
      <c r="I881" s="1"/>
      <c r="J881" s="1"/>
      <c r="K881" s="1"/>
      <c r="L881" s="1"/>
      <c r="M881" s="1"/>
      <c r="N881" s="1"/>
      <c r="O881" s="1"/>
      <c r="P881" s="1"/>
      <c r="Q881" s="1"/>
      <c r="R881" s="1"/>
      <c r="S881" s="1"/>
      <c r="T881" s="2"/>
      <c r="U881" s="2"/>
      <c r="V881" s="2"/>
      <c r="W881" s="2"/>
      <c r="X881" s="2"/>
      <c r="Y881" s="2"/>
      <c r="Z881" s="2"/>
    </row>
    <row r="882" spans="1:26" ht="14.25" customHeight="1">
      <c r="A882" s="14"/>
      <c r="B882" s="2"/>
      <c r="C882" s="1"/>
      <c r="D882" s="1"/>
      <c r="E882" s="1"/>
      <c r="F882" s="1"/>
      <c r="G882" s="1"/>
      <c r="H882" s="1"/>
      <c r="I882" s="1"/>
      <c r="J882" s="1"/>
      <c r="K882" s="1"/>
      <c r="L882" s="1"/>
      <c r="M882" s="1"/>
      <c r="N882" s="1"/>
      <c r="O882" s="1"/>
      <c r="P882" s="1"/>
      <c r="Q882" s="1"/>
      <c r="R882" s="1"/>
      <c r="S882" s="1"/>
      <c r="T882" s="2"/>
      <c r="U882" s="2"/>
      <c r="V882" s="2"/>
      <c r="W882" s="2"/>
      <c r="X882" s="2"/>
      <c r="Y882" s="2"/>
      <c r="Z882" s="2"/>
    </row>
    <row r="883" spans="1:26" ht="14.25" customHeight="1">
      <c r="A883" s="14"/>
      <c r="B883" s="2"/>
      <c r="C883" s="1"/>
      <c r="D883" s="1"/>
      <c r="E883" s="1"/>
      <c r="F883" s="1"/>
      <c r="G883" s="1"/>
      <c r="H883" s="1"/>
      <c r="I883" s="1"/>
      <c r="J883" s="1"/>
      <c r="K883" s="1"/>
      <c r="L883" s="1"/>
      <c r="M883" s="1"/>
      <c r="N883" s="1"/>
      <c r="O883" s="1"/>
      <c r="P883" s="1"/>
      <c r="Q883" s="1"/>
      <c r="R883" s="1"/>
      <c r="S883" s="1"/>
      <c r="T883" s="2"/>
      <c r="U883" s="2"/>
      <c r="V883" s="2"/>
      <c r="W883" s="2"/>
      <c r="X883" s="2"/>
      <c r="Y883" s="2"/>
      <c r="Z883" s="2"/>
    </row>
    <row r="884" spans="1:26" ht="14.25" customHeight="1">
      <c r="A884" s="14"/>
      <c r="B884" s="2"/>
      <c r="C884" s="1"/>
      <c r="D884" s="1"/>
      <c r="E884" s="1"/>
      <c r="F884" s="1"/>
      <c r="G884" s="1"/>
      <c r="H884" s="1"/>
      <c r="I884" s="1"/>
      <c r="J884" s="1"/>
      <c r="K884" s="1"/>
      <c r="L884" s="1"/>
      <c r="M884" s="1"/>
      <c r="N884" s="1"/>
      <c r="O884" s="1"/>
      <c r="P884" s="1"/>
      <c r="Q884" s="1"/>
      <c r="R884" s="1"/>
      <c r="S884" s="1"/>
      <c r="T884" s="2"/>
      <c r="U884" s="2"/>
      <c r="V884" s="2"/>
      <c r="W884" s="2"/>
      <c r="X884" s="2"/>
      <c r="Y884" s="2"/>
      <c r="Z884" s="2"/>
    </row>
    <row r="885" spans="1:26" ht="14.25" customHeight="1">
      <c r="A885" s="14"/>
      <c r="B885" s="2"/>
      <c r="C885" s="1"/>
      <c r="D885" s="1"/>
      <c r="E885" s="1"/>
      <c r="F885" s="1"/>
      <c r="G885" s="1"/>
      <c r="H885" s="1"/>
      <c r="I885" s="1"/>
      <c r="J885" s="1"/>
      <c r="K885" s="1"/>
      <c r="L885" s="1"/>
      <c r="M885" s="1"/>
      <c r="N885" s="1"/>
      <c r="O885" s="1"/>
      <c r="P885" s="1"/>
      <c r="Q885" s="1"/>
      <c r="R885" s="1"/>
      <c r="S885" s="1"/>
      <c r="T885" s="2"/>
      <c r="U885" s="2"/>
      <c r="V885" s="2"/>
      <c r="W885" s="2"/>
      <c r="X885" s="2"/>
      <c r="Y885" s="2"/>
      <c r="Z885" s="2"/>
    </row>
    <row r="886" spans="1:26" ht="14.25" customHeight="1">
      <c r="A886" s="14"/>
      <c r="B886" s="2"/>
      <c r="C886" s="1"/>
      <c r="D886" s="1"/>
      <c r="E886" s="1"/>
      <c r="F886" s="1"/>
      <c r="G886" s="1"/>
      <c r="H886" s="1"/>
      <c r="I886" s="1"/>
      <c r="J886" s="1"/>
      <c r="K886" s="1"/>
      <c r="L886" s="1"/>
      <c r="M886" s="1"/>
      <c r="N886" s="1"/>
      <c r="O886" s="1"/>
      <c r="P886" s="1"/>
      <c r="Q886" s="1"/>
      <c r="R886" s="1"/>
      <c r="S886" s="1"/>
      <c r="T886" s="2"/>
      <c r="U886" s="2"/>
      <c r="V886" s="2"/>
      <c r="W886" s="2"/>
      <c r="X886" s="2"/>
      <c r="Y886" s="2"/>
      <c r="Z886" s="2"/>
    </row>
    <row r="887" spans="1:26" ht="14.25" customHeight="1">
      <c r="A887" s="14"/>
      <c r="B887" s="2"/>
      <c r="C887" s="1"/>
      <c r="D887" s="1"/>
      <c r="E887" s="1"/>
      <c r="F887" s="1"/>
      <c r="G887" s="1"/>
      <c r="H887" s="1"/>
      <c r="I887" s="1"/>
      <c r="J887" s="1"/>
      <c r="K887" s="1"/>
      <c r="L887" s="1"/>
      <c r="M887" s="1"/>
      <c r="N887" s="1"/>
      <c r="O887" s="1"/>
      <c r="P887" s="1"/>
      <c r="Q887" s="1"/>
      <c r="R887" s="1"/>
      <c r="S887" s="1"/>
      <c r="T887" s="2"/>
      <c r="U887" s="2"/>
      <c r="V887" s="2"/>
      <c r="W887" s="2"/>
      <c r="X887" s="2"/>
      <c r="Y887" s="2"/>
      <c r="Z887" s="2"/>
    </row>
    <row r="888" spans="1:26" ht="14.25" customHeight="1">
      <c r="A888" s="14"/>
      <c r="B888" s="2"/>
      <c r="C888" s="1"/>
      <c r="D888" s="1"/>
      <c r="E888" s="1"/>
      <c r="F888" s="1"/>
      <c r="G888" s="1"/>
      <c r="H888" s="1"/>
      <c r="I888" s="1"/>
      <c r="J888" s="1"/>
      <c r="K888" s="1"/>
      <c r="L888" s="1"/>
      <c r="M888" s="1"/>
      <c r="N888" s="1"/>
      <c r="O888" s="1"/>
      <c r="P888" s="1"/>
      <c r="Q888" s="1"/>
      <c r="R888" s="1"/>
      <c r="S888" s="1"/>
      <c r="T888" s="2"/>
      <c r="U888" s="2"/>
      <c r="V888" s="2"/>
      <c r="W888" s="2"/>
      <c r="X888" s="2"/>
      <c r="Y888" s="2"/>
      <c r="Z888" s="2"/>
    </row>
    <row r="889" spans="1:26" ht="14.25" customHeight="1">
      <c r="A889" s="14"/>
      <c r="B889" s="2"/>
      <c r="C889" s="1"/>
      <c r="D889" s="1"/>
      <c r="E889" s="1"/>
      <c r="F889" s="1"/>
      <c r="G889" s="1"/>
      <c r="H889" s="1"/>
      <c r="I889" s="1"/>
      <c r="J889" s="1"/>
      <c r="K889" s="1"/>
      <c r="L889" s="1"/>
      <c r="M889" s="1"/>
      <c r="N889" s="1"/>
      <c r="O889" s="1"/>
      <c r="P889" s="1"/>
      <c r="Q889" s="1"/>
      <c r="R889" s="1"/>
      <c r="S889" s="1"/>
      <c r="T889" s="2"/>
      <c r="U889" s="2"/>
      <c r="V889" s="2"/>
      <c r="W889" s="2"/>
      <c r="X889" s="2"/>
      <c r="Y889" s="2"/>
      <c r="Z889" s="2"/>
    </row>
    <row r="890" spans="1:26" ht="14.25" customHeight="1">
      <c r="A890" s="14"/>
      <c r="B890" s="2"/>
      <c r="C890" s="1"/>
      <c r="D890" s="1"/>
      <c r="E890" s="1"/>
      <c r="F890" s="1"/>
      <c r="G890" s="1"/>
      <c r="H890" s="1"/>
      <c r="I890" s="1"/>
      <c r="J890" s="1"/>
      <c r="K890" s="1"/>
      <c r="L890" s="1"/>
      <c r="M890" s="1"/>
      <c r="N890" s="1"/>
      <c r="O890" s="1"/>
      <c r="P890" s="1"/>
      <c r="Q890" s="1"/>
      <c r="R890" s="1"/>
      <c r="S890" s="1"/>
      <c r="T890" s="2"/>
      <c r="U890" s="2"/>
      <c r="V890" s="2"/>
      <c r="W890" s="2"/>
      <c r="X890" s="2"/>
      <c r="Y890" s="2"/>
      <c r="Z890" s="2"/>
    </row>
    <row r="891" spans="1:26" ht="14.25" customHeight="1">
      <c r="A891" s="14"/>
      <c r="B891" s="2"/>
      <c r="C891" s="1"/>
      <c r="D891" s="1"/>
      <c r="E891" s="1"/>
      <c r="F891" s="1"/>
      <c r="G891" s="1"/>
      <c r="H891" s="1"/>
      <c r="I891" s="1"/>
      <c r="J891" s="1"/>
      <c r="K891" s="1"/>
      <c r="L891" s="1"/>
      <c r="M891" s="1"/>
      <c r="N891" s="1"/>
      <c r="O891" s="1"/>
      <c r="P891" s="1"/>
      <c r="Q891" s="1"/>
      <c r="R891" s="1"/>
      <c r="S891" s="1"/>
      <c r="T891" s="2"/>
      <c r="U891" s="2"/>
      <c r="V891" s="2"/>
      <c r="W891" s="2"/>
      <c r="X891" s="2"/>
      <c r="Y891" s="2"/>
      <c r="Z891" s="2"/>
    </row>
    <row r="892" spans="1:26" ht="14.25" customHeight="1">
      <c r="A892" s="14"/>
      <c r="B892" s="2"/>
      <c r="C892" s="1"/>
      <c r="D892" s="1"/>
      <c r="E892" s="1"/>
      <c r="F892" s="1"/>
      <c r="G892" s="1"/>
      <c r="H892" s="1"/>
      <c r="I892" s="1"/>
      <c r="J892" s="1"/>
      <c r="K892" s="1"/>
      <c r="L892" s="1"/>
      <c r="M892" s="1"/>
      <c r="N892" s="1"/>
      <c r="O892" s="1"/>
      <c r="P892" s="1"/>
      <c r="Q892" s="1"/>
      <c r="R892" s="1"/>
      <c r="S892" s="1"/>
      <c r="T892" s="2"/>
      <c r="U892" s="2"/>
      <c r="V892" s="2"/>
      <c r="W892" s="2"/>
      <c r="X892" s="2"/>
      <c r="Y892" s="2"/>
      <c r="Z892" s="2"/>
    </row>
    <row r="893" spans="1:26" ht="14.25" customHeight="1">
      <c r="A893" s="14"/>
      <c r="B893" s="2"/>
      <c r="C893" s="1"/>
      <c r="D893" s="1"/>
      <c r="E893" s="1"/>
      <c r="F893" s="1"/>
      <c r="G893" s="1"/>
      <c r="H893" s="1"/>
      <c r="I893" s="1"/>
      <c r="J893" s="1"/>
      <c r="K893" s="1"/>
      <c r="L893" s="1"/>
      <c r="M893" s="1"/>
      <c r="N893" s="1"/>
      <c r="O893" s="1"/>
      <c r="P893" s="1"/>
      <c r="Q893" s="1"/>
      <c r="R893" s="1"/>
      <c r="S893" s="1"/>
      <c r="T893" s="2"/>
      <c r="U893" s="2"/>
      <c r="V893" s="2"/>
      <c r="W893" s="2"/>
      <c r="X893" s="2"/>
      <c r="Y893" s="2"/>
      <c r="Z893" s="2"/>
    </row>
    <row r="894" spans="1:26" ht="14.25" customHeight="1">
      <c r="A894" s="14"/>
      <c r="B894" s="2"/>
      <c r="C894" s="1"/>
      <c r="D894" s="1"/>
      <c r="E894" s="1"/>
      <c r="F894" s="1"/>
      <c r="G894" s="1"/>
      <c r="H894" s="1"/>
      <c r="I894" s="1"/>
      <c r="J894" s="1"/>
      <c r="K894" s="1"/>
      <c r="L894" s="1"/>
      <c r="M894" s="1"/>
      <c r="N894" s="1"/>
      <c r="O894" s="1"/>
      <c r="P894" s="1"/>
      <c r="Q894" s="1"/>
      <c r="R894" s="1"/>
      <c r="S894" s="1"/>
      <c r="T894" s="2"/>
      <c r="U894" s="2"/>
      <c r="V894" s="2"/>
      <c r="W894" s="2"/>
      <c r="X894" s="2"/>
      <c r="Y894" s="2"/>
      <c r="Z894" s="2"/>
    </row>
    <row r="895" spans="1:26" ht="14.25" customHeight="1">
      <c r="A895" s="14"/>
      <c r="B895" s="2"/>
      <c r="C895" s="1"/>
      <c r="D895" s="1"/>
      <c r="E895" s="1"/>
      <c r="F895" s="1"/>
      <c r="G895" s="1"/>
      <c r="H895" s="1"/>
      <c r="I895" s="1"/>
      <c r="J895" s="1"/>
      <c r="K895" s="1"/>
      <c r="L895" s="1"/>
      <c r="M895" s="1"/>
      <c r="N895" s="1"/>
      <c r="O895" s="1"/>
      <c r="P895" s="1"/>
      <c r="Q895" s="1"/>
      <c r="R895" s="1"/>
      <c r="S895" s="1"/>
      <c r="T895" s="2"/>
      <c r="U895" s="2"/>
      <c r="V895" s="2"/>
      <c r="W895" s="2"/>
      <c r="X895" s="2"/>
      <c r="Y895" s="2"/>
      <c r="Z895" s="2"/>
    </row>
    <row r="896" spans="1:26" ht="14.25" customHeight="1">
      <c r="A896" s="14"/>
      <c r="B896" s="2"/>
      <c r="C896" s="1"/>
      <c r="D896" s="1"/>
      <c r="E896" s="1"/>
      <c r="F896" s="1"/>
      <c r="G896" s="1"/>
      <c r="H896" s="1"/>
      <c r="I896" s="1"/>
      <c r="J896" s="1"/>
      <c r="K896" s="1"/>
      <c r="L896" s="1"/>
      <c r="M896" s="1"/>
      <c r="N896" s="1"/>
      <c r="O896" s="1"/>
      <c r="P896" s="1"/>
      <c r="Q896" s="1"/>
      <c r="R896" s="1"/>
      <c r="S896" s="1"/>
      <c r="T896" s="2"/>
      <c r="U896" s="2"/>
      <c r="V896" s="2"/>
      <c r="W896" s="2"/>
      <c r="X896" s="2"/>
      <c r="Y896" s="2"/>
      <c r="Z896" s="2"/>
    </row>
    <row r="897" spans="1:26" ht="14.25" customHeight="1">
      <c r="A897" s="14"/>
      <c r="B897" s="2"/>
      <c r="C897" s="1"/>
      <c r="D897" s="1"/>
      <c r="E897" s="1"/>
      <c r="F897" s="1"/>
      <c r="G897" s="1"/>
      <c r="H897" s="1"/>
      <c r="I897" s="1"/>
      <c r="J897" s="1"/>
      <c r="K897" s="1"/>
      <c r="L897" s="1"/>
      <c r="M897" s="1"/>
      <c r="N897" s="1"/>
      <c r="O897" s="1"/>
      <c r="P897" s="1"/>
      <c r="Q897" s="1"/>
      <c r="R897" s="1"/>
      <c r="S897" s="1"/>
      <c r="T897" s="2"/>
      <c r="U897" s="2"/>
      <c r="V897" s="2"/>
      <c r="W897" s="2"/>
      <c r="X897" s="2"/>
      <c r="Y897" s="2"/>
      <c r="Z897" s="2"/>
    </row>
    <row r="898" spans="1:26" ht="14.25" customHeight="1">
      <c r="A898" s="14"/>
      <c r="B898" s="2"/>
      <c r="C898" s="1"/>
      <c r="D898" s="1"/>
      <c r="E898" s="1"/>
      <c r="F898" s="1"/>
      <c r="G898" s="1"/>
      <c r="H898" s="1"/>
      <c r="I898" s="1"/>
      <c r="J898" s="1"/>
      <c r="K898" s="1"/>
      <c r="L898" s="1"/>
      <c r="M898" s="1"/>
      <c r="N898" s="1"/>
      <c r="O898" s="1"/>
      <c r="P898" s="1"/>
      <c r="Q898" s="1"/>
      <c r="R898" s="1"/>
      <c r="S898" s="1"/>
      <c r="T898" s="2"/>
      <c r="U898" s="2"/>
      <c r="V898" s="2"/>
      <c r="W898" s="2"/>
      <c r="X898" s="2"/>
      <c r="Y898" s="2"/>
      <c r="Z898" s="2"/>
    </row>
    <row r="899" spans="1:26" ht="14.25" customHeight="1">
      <c r="A899" s="14"/>
      <c r="B899" s="2"/>
      <c r="C899" s="1"/>
      <c r="D899" s="1"/>
      <c r="E899" s="1"/>
      <c r="F899" s="1"/>
      <c r="G899" s="1"/>
      <c r="H899" s="1"/>
      <c r="I899" s="1"/>
      <c r="J899" s="1"/>
      <c r="K899" s="1"/>
      <c r="L899" s="1"/>
      <c r="M899" s="1"/>
      <c r="N899" s="1"/>
      <c r="O899" s="1"/>
      <c r="P899" s="1"/>
      <c r="Q899" s="1"/>
      <c r="R899" s="1"/>
      <c r="S899" s="1"/>
      <c r="T899" s="2"/>
      <c r="U899" s="2"/>
      <c r="V899" s="2"/>
      <c r="W899" s="2"/>
      <c r="X899" s="2"/>
      <c r="Y899" s="2"/>
      <c r="Z899" s="2"/>
    </row>
    <row r="900" spans="1:26" ht="14.25" customHeight="1">
      <c r="A900" s="14"/>
      <c r="B900" s="2"/>
      <c r="C900" s="1"/>
      <c r="D900" s="1"/>
      <c r="E900" s="1"/>
      <c r="F900" s="1"/>
      <c r="G900" s="1"/>
      <c r="H900" s="1"/>
      <c r="I900" s="1"/>
      <c r="J900" s="1"/>
      <c r="K900" s="1"/>
      <c r="L900" s="1"/>
      <c r="M900" s="1"/>
      <c r="N900" s="1"/>
      <c r="O900" s="1"/>
      <c r="P900" s="1"/>
      <c r="Q900" s="1"/>
      <c r="R900" s="1"/>
      <c r="S900" s="1"/>
      <c r="T900" s="2"/>
      <c r="U900" s="2"/>
      <c r="V900" s="2"/>
      <c r="W900" s="2"/>
      <c r="X900" s="2"/>
      <c r="Y900" s="2"/>
      <c r="Z900" s="2"/>
    </row>
    <row r="901" spans="1:26" ht="14.25" customHeight="1">
      <c r="A901" s="14"/>
      <c r="B901" s="2"/>
      <c r="C901" s="1"/>
      <c r="D901" s="1"/>
      <c r="E901" s="1"/>
      <c r="F901" s="1"/>
      <c r="G901" s="1"/>
      <c r="H901" s="1"/>
      <c r="I901" s="1"/>
      <c r="J901" s="1"/>
      <c r="K901" s="1"/>
      <c r="L901" s="1"/>
      <c r="M901" s="1"/>
      <c r="N901" s="1"/>
      <c r="O901" s="1"/>
      <c r="P901" s="1"/>
      <c r="Q901" s="1"/>
      <c r="R901" s="1"/>
      <c r="S901" s="1"/>
      <c r="T901" s="2"/>
      <c r="U901" s="2"/>
      <c r="V901" s="2"/>
      <c r="W901" s="2"/>
      <c r="X901" s="2"/>
      <c r="Y901" s="2"/>
      <c r="Z901" s="2"/>
    </row>
    <row r="902" spans="1:26" ht="14.25" customHeight="1">
      <c r="A902" s="14"/>
      <c r="B902" s="2"/>
      <c r="C902" s="1"/>
      <c r="D902" s="1"/>
      <c r="E902" s="1"/>
      <c r="F902" s="1"/>
      <c r="G902" s="1"/>
      <c r="H902" s="1"/>
      <c r="I902" s="1"/>
      <c r="J902" s="1"/>
      <c r="K902" s="1"/>
      <c r="L902" s="1"/>
      <c r="M902" s="1"/>
      <c r="N902" s="1"/>
      <c r="O902" s="1"/>
      <c r="P902" s="1"/>
      <c r="Q902" s="1"/>
      <c r="R902" s="1"/>
      <c r="S902" s="1"/>
      <c r="T902" s="2"/>
      <c r="U902" s="2"/>
      <c r="V902" s="2"/>
      <c r="W902" s="2"/>
      <c r="X902" s="2"/>
      <c r="Y902" s="2"/>
      <c r="Z902" s="2"/>
    </row>
    <row r="903" spans="1:26" ht="14.25" customHeight="1">
      <c r="A903" s="14"/>
      <c r="B903" s="2"/>
      <c r="C903" s="1"/>
      <c r="D903" s="1"/>
      <c r="E903" s="1"/>
      <c r="F903" s="1"/>
      <c r="G903" s="1"/>
      <c r="H903" s="1"/>
      <c r="I903" s="1"/>
      <c r="J903" s="1"/>
      <c r="K903" s="1"/>
      <c r="L903" s="1"/>
      <c r="M903" s="1"/>
      <c r="N903" s="1"/>
      <c r="O903" s="1"/>
      <c r="P903" s="1"/>
      <c r="Q903" s="1"/>
      <c r="R903" s="1"/>
      <c r="S903" s="1"/>
      <c r="T903" s="2"/>
      <c r="U903" s="2"/>
      <c r="V903" s="2"/>
      <c r="W903" s="2"/>
      <c r="X903" s="2"/>
      <c r="Y903" s="2"/>
      <c r="Z903" s="2"/>
    </row>
    <row r="904" spans="1:26" ht="14.25" customHeight="1">
      <c r="A904" s="14"/>
      <c r="B904" s="2"/>
      <c r="C904" s="1"/>
      <c r="D904" s="1"/>
      <c r="E904" s="1"/>
      <c r="F904" s="1"/>
      <c r="G904" s="1"/>
      <c r="H904" s="1"/>
      <c r="I904" s="1"/>
      <c r="J904" s="1"/>
      <c r="K904" s="1"/>
      <c r="L904" s="1"/>
      <c r="M904" s="1"/>
      <c r="N904" s="1"/>
      <c r="O904" s="1"/>
      <c r="P904" s="1"/>
      <c r="Q904" s="1"/>
      <c r="R904" s="1"/>
      <c r="S904" s="1"/>
      <c r="T904" s="2"/>
      <c r="U904" s="2"/>
      <c r="V904" s="2"/>
      <c r="W904" s="2"/>
      <c r="X904" s="2"/>
      <c r="Y904" s="2"/>
      <c r="Z904" s="2"/>
    </row>
    <row r="905" spans="1:26" ht="14.25" customHeight="1">
      <c r="A905" s="14"/>
      <c r="B905" s="2"/>
      <c r="C905" s="1"/>
      <c r="D905" s="1"/>
      <c r="E905" s="1"/>
      <c r="F905" s="1"/>
      <c r="G905" s="1"/>
      <c r="H905" s="1"/>
      <c r="I905" s="1"/>
      <c r="J905" s="1"/>
      <c r="K905" s="1"/>
      <c r="L905" s="1"/>
      <c r="M905" s="1"/>
      <c r="N905" s="1"/>
      <c r="O905" s="1"/>
      <c r="P905" s="1"/>
      <c r="Q905" s="1"/>
      <c r="R905" s="1"/>
      <c r="S905" s="1"/>
      <c r="T905" s="2"/>
      <c r="U905" s="2"/>
      <c r="V905" s="2"/>
      <c r="W905" s="2"/>
      <c r="X905" s="2"/>
      <c r="Y905" s="2"/>
      <c r="Z905" s="2"/>
    </row>
    <row r="906" spans="1:26" ht="14.25" customHeight="1">
      <c r="A906" s="14"/>
      <c r="B906" s="2"/>
      <c r="C906" s="1"/>
      <c r="D906" s="1"/>
      <c r="E906" s="1"/>
      <c r="F906" s="1"/>
      <c r="G906" s="1"/>
      <c r="H906" s="1"/>
      <c r="I906" s="1"/>
      <c r="J906" s="1"/>
      <c r="K906" s="1"/>
      <c r="L906" s="1"/>
      <c r="M906" s="1"/>
      <c r="N906" s="1"/>
      <c r="O906" s="1"/>
      <c r="P906" s="1"/>
      <c r="Q906" s="1"/>
      <c r="R906" s="1"/>
      <c r="S906" s="1"/>
      <c r="T906" s="2"/>
      <c r="U906" s="2"/>
      <c r="V906" s="2"/>
      <c r="W906" s="2"/>
      <c r="X906" s="2"/>
      <c r="Y906" s="2"/>
      <c r="Z906" s="2"/>
    </row>
    <row r="907" spans="1:26" ht="14.25" customHeight="1">
      <c r="A907" s="14"/>
      <c r="B907" s="2"/>
      <c r="C907" s="1"/>
      <c r="D907" s="1"/>
      <c r="E907" s="1"/>
      <c r="F907" s="1"/>
      <c r="G907" s="1"/>
      <c r="H907" s="1"/>
      <c r="I907" s="1"/>
      <c r="J907" s="1"/>
      <c r="K907" s="1"/>
      <c r="L907" s="1"/>
      <c r="M907" s="1"/>
      <c r="N907" s="1"/>
      <c r="O907" s="1"/>
      <c r="P907" s="1"/>
      <c r="Q907" s="1"/>
      <c r="R907" s="1"/>
      <c r="S907" s="1"/>
      <c r="T907" s="2"/>
      <c r="U907" s="2"/>
      <c r="V907" s="2"/>
      <c r="W907" s="2"/>
      <c r="X907" s="2"/>
      <c r="Y907" s="2"/>
      <c r="Z907" s="2"/>
    </row>
    <row r="908" spans="1:26" ht="14.25" customHeight="1">
      <c r="A908" s="14"/>
      <c r="B908" s="2"/>
      <c r="C908" s="1"/>
      <c r="D908" s="1"/>
      <c r="E908" s="1"/>
      <c r="F908" s="1"/>
      <c r="G908" s="1"/>
      <c r="H908" s="1"/>
      <c r="I908" s="1"/>
      <c r="J908" s="1"/>
      <c r="K908" s="1"/>
      <c r="L908" s="1"/>
      <c r="M908" s="1"/>
      <c r="N908" s="1"/>
      <c r="O908" s="1"/>
      <c r="P908" s="1"/>
      <c r="Q908" s="1"/>
      <c r="R908" s="1"/>
      <c r="S908" s="1"/>
      <c r="T908" s="2"/>
      <c r="U908" s="2"/>
      <c r="V908" s="2"/>
      <c r="W908" s="2"/>
      <c r="X908" s="2"/>
      <c r="Y908" s="2"/>
      <c r="Z908" s="2"/>
    </row>
    <row r="909" spans="1:26" ht="14.25" customHeight="1">
      <c r="A909" s="14"/>
      <c r="B909" s="2"/>
      <c r="C909" s="1"/>
      <c r="D909" s="1"/>
      <c r="E909" s="1"/>
      <c r="F909" s="1"/>
      <c r="G909" s="1"/>
      <c r="H909" s="1"/>
      <c r="I909" s="1"/>
      <c r="J909" s="1"/>
      <c r="K909" s="1"/>
      <c r="L909" s="1"/>
      <c r="M909" s="1"/>
      <c r="N909" s="1"/>
      <c r="O909" s="1"/>
      <c r="P909" s="1"/>
      <c r="Q909" s="1"/>
      <c r="R909" s="1"/>
      <c r="S909" s="1"/>
      <c r="T909" s="2"/>
      <c r="U909" s="2"/>
      <c r="V909" s="2"/>
      <c r="W909" s="2"/>
      <c r="X909" s="2"/>
      <c r="Y909" s="2"/>
      <c r="Z909" s="2"/>
    </row>
    <row r="910" spans="1:26" ht="14.25" customHeight="1">
      <c r="A910" s="14"/>
      <c r="B910" s="2"/>
      <c r="C910" s="1"/>
      <c r="D910" s="1"/>
      <c r="E910" s="1"/>
      <c r="F910" s="1"/>
      <c r="G910" s="1"/>
      <c r="H910" s="1"/>
      <c r="I910" s="1"/>
      <c r="J910" s="1"/>
      <c r="K910" s="1"/>
      <c r="L910" s="1"/>
      <c r="M910" s="1"/>
      <c r="N910" s="1"/>
      <c r="O910" s="1"/>
      <c r="P910" s="1"/>
      <c r="Q910" s="1"/>
      <c r="R910" s="1"/>
      <c r="S910" s="1"/>
      <c r="T910" s="2"/>
      <c r="U910" s="2"/>
      <c r="V910" s="2"/>
      <c r="W910" s="2"/>
      <c r="X910" s="2"/>
      <c r="Y910" s="2"/>
      <c r="Z910" s="2"/>
    </row>
    <row r="911" spans="1:26" ht="14.25" customHeight="1">
      <c r="A911" s="14"/>
      <c r="B911" s="2"/>
      <c r="C911" s="1"/>
      <c r="D911" s="1"/>
      <c r="E911" s="1"/>
      <c r="F911" s="1"/>
      <c r="G911" s="1"/>
      <c r="H911" s="1"/>
      <c r="I911" s="1"/>
      <c r="J911" s="1"/>
      <c r="K911" s="1"/>
      <c r="L911" s="1"/>
      <c r="M911" s="1"/>
      <c r="N911" s="1"/>
      <c r="O911" s="1"/>
      <c r="P911" s="1"/>
      <c r="Q911" s="1"/>
      <c r="R911" s="1"/>
      <c r="S911" s="1"/>
      <c r="T911" s="2"/>
      <c r="U911" s="2"/>
      <c r="V911" s="2"/>
      <c r="W911" s="2"/>
      <c r="X911" s="2"/>
      <c r="Y911" s="2"/>
      <c r="Z911" s="2"/>
    </row>
    <row r="912" spans="1:26" ht="14.25" customHeight="1">
      <c r="A912" s="14"/>
      <c r="B912" s="2"/>
      <c r="C912" s="1"/>
      <c r="D912" s="1"/>
      <c r="E912" s="1"/>
      <c r="F912" s="1"/>
      <c r="G912" s="1"/>
      <c r="H912" s="1"/>
      <c r="I912" s="1"/>
      <c r="J912" s="1"/>
      <c r="K912" s="1"/>
      <c r="L912" s="1"/>
      <c r="M912" s="1"/>
      <c r="N912" s="1"/>
      <c r="O912" s="1"/>
      <c r="P912" s="1"/>
      <c r="Q912" s="1"/>
      <c r="R912" s="1"/>
      <c r="S912" s="1"/>
      <c r="T912" s="2"/>
      <c r="U912" s="2"/>
      <c r="V912" s="2"/>
      <c r="W912" s="2"/>
      <c r="X912" s="2"/>
      <c r="Y912" s="2"/>
      <c r="Z912" s="2"/>
    </row>
    <row r="913" spans="1:26" ht="14.25" customHeight="1">
      <c r="A913" s="14"/>
      <c r="B913" s="2"/>
      <c r="C913" s="1"/>
      <c r="D913" s="1"/>
      <c r="E913" s="1"/>
      <c r="F913" s="1"/>
      <c r="G913" s="1"/>
      <c r="H913" s="1"/>
      <c r="I913" s="1"/>
      <c r="J913" s="1"/>
      <c r="K913" s="1"/>
      <c r="L913" s="1"/>
      <c r="M913" s="1"/>
      <c r="N913" s="1"/>
      <c r="O913" s="1"/>
      <c r="P913" s="1"/>
      <c r="Q913" s="1"/>
      <c r="R913" s="1"/>
      <c r="S913" s="1"/>
      <c r="T913" s="2"/>
      <c r="U913" s="2"/>
      <c r="V913" s="2"/>
      <c r="W913" s="2"/>
      <c r="X913" s="2"/>
      <c r="Y913" s="2"/>
      <c r="Z913" s="2"/>
    </row>
    <row r="914" spans="1:26" ht="14.25" customHeight="1">
      <c r="A914" s="14"/>
      <c r="B914" s="2"/>
      <c r="C914" s="1"/>
      <c r="D914" s="1"/>
      <c r="E914" s="1"/>
      <c r="F914" s="1"/>
      <c r="G914" s="1"/>
      <c r="H914" s="1"/>
      <c r="I914" s="1"/>
      <c r="J914" s="1"/>
      <c r="K914" s="1"/>
      <c r="L914" s="1"/>
      <c r="M914" s="1"/>
      <c r="N914" s="1"/>
      <c r="O914" s="1"/>
      <c r="P914" s="1"/>
      <c r="Q914" s="1"/>
      <c r="R914" s="1"/>
      <c r="S914" s="1"/>
      <c r="T914" s="2"/>
      <c r="U914" s="2"/>
      <c r="V914" s="2"/>
      <c r="W914" s="2"/>
      <c r="X914" s="2"/>
      <c r="Y914" s="2"/>
      <c r="Z914" s="2"/>
    </row>
    <row r="915" spans="1:26" ht="14.25" customHeight="1">
      <c r="A915" s="14"/>
      <c r="B915" s="2"/>
      <c r="C915" s="1"/>
      <c r="D915" s="1"/>
      <c r="E915" s="1"/>
      <c r="F915" s="1"/>
      <c r="G915" s="1"/>
      <c r="H915" s="1"/>
      <c r="I915" s="1"/>
      <c r="J915" s="1"/>
      <c r="K915" s="1"/>
      <c r="L915" s="1"/>
      <c r="M915" s="1"/>
      <c r="N915" s="1"/>
      <c r="O915" s="1"/>
      <c r="P915" s="1"/>
      <c r="Q915" s="1"/>
      <c r="R915" s="1"/>
      <c r="S915" s="1"/>
      <c r="T915" s="2"/>
      <c r="U915" s="2"/>
      <c r="V915" s="2"/>
      <c r="W915" s="2"/>
      <c r="X915" s="2"/>
      <c r="Y915" s="2"/>
      <c r="Z915" s="2"/>
    </row>
    <row r="916" spans="1:26" ht="14.25" customHeight="1">
      <c r="A916" s="14"/>
      <c r="B916" s="2"/>
      <c r="C916" s="1"/>
      <c r="D916" s="1"/>
      <c r="E916" s="1"/>
      <c r="F916" s="1"/>
      <c r="G916" s="1"/>
      <c r="H916" s="1"/>
      <c r="I916" s="1"/>
      <c r="J916" s="1"/>
      <c r="K916" s="1"/>
      <c r="L916" s="1"/>
      <c r="M916" s="1"/>
      <c r="N916" s="1"/>
      <c r="O916" s="1"/>
      <c r="P916" s="1"/>
      <c r="Q916" s="1"/>
      <c r="R916" s="1"/>
      <c r="S916" s="1"/>
      <c r="T916" s="2"/>
      <c r="U916" s="2"/>
      <c r="V916" s="2"/>
      <c r="W916" s="2"/>
      <c r="X916" s="2"/>
      <c r="Y916" s="2"/>
      <c r="Z916" s="2"/>
    </row>
    <row r="917" spans="1:26" ht="14.25" customHeight="1">
      <c r="A917" s="14"/>
      <c r="B917" s="2"/>
      <c r="C917" s="1"/>
      <c r="D917" s="1"/>
      <c r="E917" s="1"/>
      <c r="F917" s="1"/>
      <c r="G917" s="1"/>
      <c r="H917" s="1"/>
      <c r="I917" s="1"/>
      <c r="J917" s="1"/>
      <c r="K917" s="1"/>
      <c r="L917" s="1"/>
      <c r="M917" s="1"/>
      <c r="N917" s="1"/>
      <c r="O917" s="1"/>
      <c r="P917" s="1"/>
      <c r="Q917" s="1"/>
      <c r="R917" s="1"/>
      <c r="S917" s="1"/>
      <c r="T917" s="2"/>
      <c r="U917" s="2"/>
      <c r="V917" s="2"/>
      <c r="W917" s="2"/>
      <c r="X917" s="2"/>
      <c r="Y917" s="2"/>
      <c r="Z917" s="2"/>
    </row>
    <row r="918" spans="1:26" ht="14.25" customHeight="1">
      <c r="A918" s="14"/>
      <c r="B918" s="2"/>
      <c r="C918" s="1"/>
      <c r="D918" s="1"/>
      <c r="E918" s="1"/>
      <c r="F918" s="1"/>
      <c r="G918" s="1"/>
      <c r="H918" s="1"/>
      <c r="I918" s="1"/>
      <c r="J918" s="1"/>
      <c r="K918" s="1"/>
      <c r="L918" s="1"/>
      <c r="M918" s="1"/>
      <c r="N918" s="1"/>
      <c r="O918" s="1"/>
      <c r="P918" s="1"/>
      <c r="Q918" s="1"/>
      <c r="R918" s="1"/>
      <c r="S918" s="1"/>
      <c r="T918" s="2"/>
      <c r="U918" s="2"/>
      <c r="V918" s="2"/>
      <c r="W918" s="2"/>
      <c r="X918" s="2"/>
      <c r="Y918" s="2"/>
      <c r="Z918" s="2"/>
    </row>
    <row r="919" spans="1:26" ht="14.25" customHeight="1">
      <c r="A919" s="14"/>
      <c r="B919" s="2"/>
      <c r="C919" s="1"/>
      <c r="D919" s="1"/>
      <c r="E919" s="1"/>
      <c r="F919" s="1"/>
      <c r="G919" s="1"/>
      <c r="H919" s="1"/>
      <c r="I919" s="1"/>
      <c r="J919" s="1"/>
      <c r="K919" s="1"/>
      <c r="L919" s="1"/>
      <c r="M919" s="1"/>
      <c r="N919" s="1"/>
      <c r="O919" s="1"/>
      <c r="P919" s="1"/>
      <c r="Q919" s="1"/>
      <c r="R919" s="1"/>
      <c r="S919" s="1"/>
      <c r="T919" s="2"/>
      <c r="U919" s="2"/>
      <c r="V919" s="2"/>
      <c r="W919" s="2"/>
      <c r="X919" s="2"/>
      <c r="Y919" s="2"/>
      <c r="Z919" s="2"/>
    </row>
    <row r="920" spans="1:26" ht="14.25" customHeight="1">
      <c r="A920" s="14"/>
      <c r="B920" s="2"/>
      <c r="C920" s="1"/>
      <c r="D920" s="1"/>
      <c r="E920" s="1"/>
      <c r="F920" s="1"/>
      <c r="G920" s="1"/>
      <c r="H920" s="1"/>
      <c r="I920" s="1"/>
      <c r="J920" s="1"/>
      <c r="K920" s="1"/>
      <c r="L920" s="1"/>
      <c r="M920" s="1"/>
      <c r="N920" s="1"/>
      <c r="O920" s="1"/>
      <c r="P920" s="1"/>
      <c r="Q920" s="1"/>
      <c r="R920" s="1"/>
      <c r="S920" s="1"/>
      <c r="T920" s="2"/>
      <c r="U920" s="2"/>
      <c r="V920" s="2"/>
      <c r="W920" s="2"/>
      <c r="X920" s="2"/>
      <c r="Y920" s="2"/>
      <c r="Z920" s="2"/>
    </row>
    <row r="921" spans="1:26" ht="14.25" customHeight="1">
      <c r="A921" s="14"/>
      <c r="B921" s="2"/>
      <c r="C921" s="1"/>
      <c r="D921" s="1"/>
      <c r="E921" s="1"/>
      <c r="F921" s="1"/>
      <c r="G921" s="1"/>
      <c r="H921" s="1"/>
      <c r="I921" s="1"/>
      <c r="J921" s="1"/>
      <c r="K921" s="1"/>
      <c r="L921" s="1"/>
      <c r="M921" s="1"/>
      <c r="N921" s="1"/>
      <c r="O921" s="1"/>
      <c r="P921" s="1"/>
      <c r="Q921" s="1"/>
      <c r="R921" s="1"/>
      <c r="S921" s="1"/>
      <c r="T921" s="2"/>
      <c r="U921" s="2"/>
      <c r="V921" s="2"/>
      <c r="W921" s="2"/>
      <c r="X921" s="2"/>
      <c r="Y921" s="2"/>
      <c r="Z921" s="2"/>
    </row>
    <row r="922" spans="1:26" ht="14.25" customHeight="1">
      <c r="A922" s="14"/>
      <c r="B922" s="2"/>
      <c r="C922" s="1"/>
      <c r="D922" s="1"/>
      <c r="E922" s="1"/>
      <c r="F922" s="1"/>
      <c r="G922" s="1"/>
      <c r="H922" s="1"/>
      <c r="I922" s="1"/>
      <c r="J922" s="1"/>
      <c r="K922" s="1"/>
      <c r="L922" s="1"/>
      <c r="M922" s="1"/>
      <c r="N922" s="1"/>
      <c r="O922" s="1"/>
      <c r="P922" s="1"/>
      <c r="Q922" s="1"/>
      <c r="R922" s="1"/>
      <c r="S922" s="1"/>
      <c r="T922" s="2"/>
      <c r="U922" s="2"/>
      <c r="V922" s="2"/>
      <c r="W922" s="2"/>
      <c r="X922" s="2"/>
      <c r="Y922" s="2"/>
      <c r="Z922" s="2"/>
    </row>
    <row r="923" spans="1:26" ht="14.25" customHeight="1">
      <c r="A923" s="14"/>
      <c r="B923" s="2"/>
      <c r="C923" s="1"/>
      <c r="D923" s="1"/>
      <c r="E923" s="1"/>
      <c r="F923" s="1"/>
      <c r="G923" s="1"/>
      <c r="H923" s="1"/>
      <c r="I923" s="1"/>
      <c r="J923" s="1"/>
      <c r="K923" s="1"/>
      <c r="L923" s="1"/>
      <c r="M923" s="1"/>
      <c r="N923" s="1"/>
      <c r="O923" s="1"/>
      <c r="P923" s="1"/>
      <c r="Q923" s="1"/>
      <c r="R923" s="1"/>
      <c r="S923" s="1"/>
      <c r="T923" s="2"/>
      <c r="U923" s="2"/>
      <c r="V923" s="2"/>
      <c r="W923" s="2"/>
      <c r="X923" s="2"/>
      <c r="Y923" s="2"/>
      <c r="Z923" s="2"/>
    </row>
    <row r="924" spans="1:26" ht="14.25" customHeight="1">
      <c r="A924" s="14"/>
      <c r="B924" s="2"/>
      <c r="C924" s="1"/>
      <c r="D924" s="1"/>
      <c r="E924" s="1"/>
      <c r="F924" s="1"/>
      <c r="G924" s="1"/>
      <c r="H924" s="1"/>
      <c r="I924" s="1"/>
      <c r="J924" s="1"/>
      <c r="K924" s="1"/>
      <c r="L924" s="1"/>
      <c r="M924" s="1"/>
      <c r="N924" s="1"/>
      <c r="O924" s="1"/>
      <c r="P924" s="1"/>
      <c r="Q924" s="1"/>
      <c r="R924" s="1"/>
      <c r="S924" s="1"/>
      <c r="T924" s="2"/>
      <c r="U924" s="2"/>
      <c r="V924" s="2"/>
      <c r="W924" s="2"/>
      <c r="X924" s="2"/>
      <c r="Y924" s="2"/>
      <c r="Z924" s="2"/>
    </row>
    <row r="925" spans="1:26" ht="14.25" customHeight="1">
      <c r="A925" s="14"/>
      <c r="B925" s="2"/>
      <c r="C925" s="1"/>
      <c r="D925" s="1"/>
      <c r="E925" s="1"/>
      <c r="F925" s="1"/>
      <c r="G925" s="1"/>
      <c r="H925" s="1"/>
      <c r="I925" s="1"/>
      <c r="J925" s="1"/>
      <c r="K925" s="1"/>
      <c r="L925" s="1"/>
      <c r="M925" s="1"/>
      <c r="N925" s="1"/>
      <c r="O925" s="1"/>
      <c r="P925" s="1"/>
      <c r="Q925" s="1"/>
      <c r="R925" s="1"/>
      <c r="S925" s="1"/>
      <c r="T925" s="2"/>
      <c r="U925" s="2"/>
      <c r="V925" s="2"/>
      <c r="W925" s="2"/>
      <c r="X925" s="2"/>
      <c r="Y925" s="2"/>
      <c r="Z925" s="2"/>
    </row>
    <row r="926" spans="1:26" ht="14.25" customHeight="1">
      <c r="A926" s="14"/>
      <c r="B926" s="2"/>
      <c r="C926" s="1"/>
      <c r="D926" s="1"/>
      <c r="E926" s="1"/>
      <c r="F926" s="1"/>
      <c r="G926" s="1"/>
      <c r="H926" s="1"/>
      <c r="I926" s="1"/>
      <c r="J926" s="1"/>
      <c r="K926" s="1"/>
      <c r="L926" s="1"/>
      <c r="M926" s="1"/>
      <c r="N926" s="1"/>
      <c r="O926" s="1"/>
      <c r="P926" s="1"/>
      <c r="Q926" s="1"/>
      <c r="R926" s="1"/>
      <c r="S926" s="1"/>
      <c r="T926" s="2"/>
      <c r="U926" s="2"/>
      <c r="V926" s="2"/>
      <c r="W926" s="2"/>
      <c r="X926" s="2"/>
      <c r="Y926" s="2"/>
      <c r="Z926" s="2"/>
    </row>
    <row r="927" spans="1:26" ht="14.25" customHeight="1">
      <c r="A927" s="14"/>
      <c r="B927" s="2"/>
      <c r="C927" s="1"/>
      <c r="D927" s="1"/>
      <c r="E927" s="1"/>
      <c r="F927" s="1"/>
      <c r="G927" s="1"/>
      <c r="H927" s="1"/>
      <c r="I927" s="1"/>
      <c r="J927" s="1"/>
      <c r="K927" s="1"/>
      <c r="L927" s="1"/>
      <c r="M927" s="1"/>
      <c r="N927" s="1"/>
      <c r="O927" s="1"/>
      <c r="P927" s="1"/>
      <c r="Q927" s="1"/>
      <c r="R927" s="1"/>
      <c r="S927" s="1"/>
      <c r="T927" s="2"/>
      <c r="U927" s="2"/>
      <c r="V927" s="2"/>
      <c r="W927" s="2"/>
      <c r="X927" s="2"/>
      <c r="Y927" s="2"/>
      <c r="Z927" s="2"/>
    </row>
    <row r="928" spans="1:26" ht="14.25" customHeight="1">
      <c r="A928" s="14"/>
      <c r="B928" s="2"/>
      <c r="C928" s="1"/>
      <c r="D928" s="1"/>
      <c r="E928" s="1"/>
      <c r="F928" s="1"/>
      <c r="G928" s="1"/>
      <c r="H928" s="1"/>
      <c r="I928" s="1"/>
      <c r="J928" s="1"/>
      <c r="K928" s="1"/>
      <c r="L928" s="1"/>
      <c r="M928" s="1"/>
      <c r="N928" s="1"/>
      <c r="O928" s="1"/>
      <c r="P928" s="1"/>
      <c r="Q928" s="1"/>
      <c r="R928" s="1"/>
      <c r="S928" s="1"/>
      <c r="T928" s="2"/>
      <c r="U928" s="2"/>
      <c r="V928" s="2"/>
      <c r="W928" s="2"/>
      <c r="X928" s="2"/>
      <c r="Y928" s="2"/>
      <c r="Z928" s="2"/>
    </row>
    <row r="929" spans="1:26" ht="14.25" customHeight="1">
      <c r="A929" s="14"/>
      <c r="B929" s="2"/>
      <c r="C929" s="1"/>
      <c r="D929" s="1"/>
      <c r="E929" s="1"/>
      <c r="F929" s="1"/>
      <c r="G929" s="1"/>
      <c r="H929" s="1"/>
      <c r="I929" s="1"/>
      <c r="J929" s="1"/>
      <c r="K929" s="1"/>
      <c r="L929" s="1"/>
      <c r="M929" s="1"/>
      <c r="N929" s="1"/>
      <c r="O929" s="1"/>
      <c r="P929" s="1"/>
      <c r="Q929" s="1"/>
      <c r="R929" s="1"/>
      <c r="S929" s="1"/>
      <c r="T929" s="2"/>
      <c r="U929" s="2"/>
      <c r="V929" s="2"/>
      <c r="W929" s="2"/>
      <c r="X929" s="2"/>
      <c r="Y929" s="2"/>
      <c r="Z929" s="2"/>
    </row>
    <row r="930" spans="1:26" ht="14.25" customHeight="1">
      <c r="A930" s="14"/>
      <c r="B930" s="2"/>
      <c r="C930" s="1"/>
      <c r="D930" s="1"/>
      <c r="E930" s="1"/>
      <c r="F930" s="1"/>
      <c r="G930" s="1"/>
      <c r="H930" s="1"/>
      <c r="I930" s="1"/>
      <c r="J930" s="1"/>
      <c r="K930" s="1"/>
      <c r="L930" s="1"/>
      <c r="M930" s="1"/>
      <c r="N930" s="1"/>
      <c r="O930" s="1"/>
      <c r="P930" s="1"/>
      <c r="Q930" s="1"/>
      <c r="R930" s="1"/>
      <c r="S930" s="1"/>
      <c r="T930" s="2"/>
      <c r="U930" s="2"/>
      <c r="V930" s="2"/>
      <c r="W930" s="2"/>
      <c r="X930" s="2"/>
      <c r="Y930" s="2"/>
      <c r="Z930" s="2"/>
    </row>
    <row r="931" spans="1:26" ht="14.25" customHeight="1">
      <c r="A931" s="14"/>
      <c r="B931" s="2"/>
      <c r="C931" s="1"/>
      <c r="D931" s="1"/>
      <c r="E931" s="1"/>
      <c r="F931" s="1"/>
      <c r="G931" s="1"/>
      <c r="H931" s="1"/>
      <c r="I931" s="1"/>
      <c r="J931" s="1"/>
      <c r="K931" s="1"/>
      <c r="L931" s="1"/>
      <c r="M931" s="1"/>
      <c r="N931" s="1"/>
      <c r="O931" s="1"/>
      <c r="P931" s="1"/>
      <c r="Q931" s="1"/>
      <c r="R931" s="1"/>
      <c r="S931" s="1"/>
      <c r="T931" s="2"/>
      <c r="U931" s="2"/>
      <c r="V931" s="2"/>
      <c r="W931" s="2"/>
      <c r="X931" s="2"/>
      <c r="Y931" s="2"/>
      <c r="Z931" s="2"/>
    </row>
    <row r="932" spans="1:26" ht="14.25" customHeight="1">
      <c r="A932" s="14"/>
      <c r="B932" s="2"/>
      <c r="C932" s="1"/>
      <c r="D932" s="1"/>
      <c r="E932" s="1"/>
      <c r="F932" s="1"/>
      <c r="G932" s="1"/>
      <c r="H932" s="1"/>
      <c r="I932" s="1"/>
      <c r="J932" s="1"/>
      <c r="K932" s="1"/>
      <c r="L932" s="1"/>
      <c r="M932" s="1"/>
      <c r="N932" s="1"/>
      <c r="O932" s="1"/>
      <c r="P932" s="1"/>
      <c r="Q932" s="1"/>
      <c r="R932" s="1"/>
      <c r="S932" s="1"/>
      <c r="T932" s="2"/>
      <c r="U932" s="2"/>
      <c r="V932" s="2"/>
      <c r="W932" s="2"/>
      <c r="X932" s="2"/>
      <c r="Y932" s="2"/>
      <c r="Z932" s="2"/>
    </row>
    <row r="933" spans="1:26" ht="14.25" customHeight="1">
      <c r="A933" s="14"/>
      <c r="B933" s="2"/>
      <c r="C933" s="1"/>
      <c r="D933" s="1"/>
      <c r="E933" s="1"/>
      <c r="F933" s="1"/>
      <c r="G933" s="1"/>
      <c r="H933" s="1"/>
      <c r="I933" s="1"/>
      <c r="J933" s="1"/>
      <c r="K933" s="1"/>
      <c r="L933" s="1"/>
      <c r="M933" s="1"/>
      <c r="N933" s="1"/>
      <c r="O933" s="1"/>
      <c r="P933" s="1"/>
      <c r="Q933" s="1"/>
      <c r="R933" s="1"/>
      <c r="S933" s="1"/>
      <c r="T933" s="2"/>
      <c r="U933" s="2"/>
      <c r="V933" s="2"/>
      <c r="W933" s="2"/>
      <c r="X933" s="2"/>
      <c r="Y933" s="2"/>
      <c r="Z933" s="2"/>
    </row>
    <row r="934" spans="1:26" ht="14.25" customHeight="1">
      <c r="A934" s="14"/>
      <c r="B934" s="2"/>
      <c r="C934" s="1"/>
      <c r="D934" s="1"/>
      <c r="E934" s="1"/>
      <c r="F934" s="1"/>
      <c r="G934" s="1"/>
      <c r="H934" s="1"/>
      <c r="I934" s="1"/>
      <c r="J934" s="1"/>
      <c r="K934" s="1"/>
      <c r="L934" s="1"/>
      <c r="M934" s="1"/>
      <c r="N934" s="1"/>
      <c r="O934" s="1"/>
      <c r="P934" s="1"/>
      <c r="Q934" s="1"/>
      <c r="R934" s="1"/>
      <c r="S934" s="1"/>
      <c r="T934" s="2"/>
      <c r="U934" s="2"/>
      <c r="V934" s="2"/>
      <c r="W934" s="2"/>
      <c r="X934" s="2"/>
      <c r="Y934" s="2"/>
      <c r="Z934" s="2"/>
    </row>
    <row r="935" spans="1:26" ht="14.25" customHeight="1">
      <c r="A935" s="14"/>
      <c r="B935" s="2"/>
      <c r="C935" s="1"/>
      <c r="D935" s="1"/>
      <c r="E935" s="1"/>
      <c r="F935" s="1"/>
      <c r="G935" s="1"/>
      <c r="H935" s="1"/>
      <c r="I935" s="1"/>
      <c r="J935" s="1"/>
      <c r="K935" s="1"/>
      <c r="L935" s="1"/>
      <c r="M935" s="1"/>
      <c r="N935" s="1"/>
      <c r="O935" s="1"/>
      <c r="P935" s="1"/>
      <c r="Q935" s="1"/>
      <c r="R935" s="1"/>
      <c r="S935" s="1"/>
      <c r="T935" s="2"/>
      <c r="U935" s="2"/>
      <c r="V935" s="2"/>
      <c r="W935" s="2"/>
      <c r="X935" s="2"/>
      <c r="Y935" s="2"/>
      <c r="Z935" s="2"/>
    </row>
    <row r="936" spans="1:26" ht="14.25" customHeight="1">
      <c r="A936" s="14"/>
      <c r="B936" s="2"/>
      <c r="C936" s="1"/>
      <c r="D936" s="1"/>
      <c r="E936" s="1"/>
      <c r="F936" s="1"/>
      <c r="G936" s="1"/>
      <c r="H936" s="1"/>
      <c r="I936" s="1"/>
      <c r="J936" s="1"/>
      <c r="K936" s="1"/>
      <c r="L936" s="1"/>
      <c r="M936" s="1"/>
      <c r="N936" s="1"/>
      <c r="O936" s="1"/>
      <c r="P936" s="1"/>
      <c r="Q936" s="1"/>
      <c r="R936" s="1"/>
      <c r="S936" s="1"/>
      <c r="T936" s="2"/>
      <c r="U936" s="2"/>
      <c r="V936" s="2"/>
      <c r="W936" s="2"/>
      <c r="X936" s="2"/>
      <c r="Y936" s="2"/>
      <c r="Z936" s="2"/>
    </row>
    <row r="937" spans="1:26" ht="14.25" customHeight="1">
      <c r="A937" s="14"/>
      <c r="B937" s="2"/>
      <c r="C937" s="1"/>
      <c r="D937" s="1"/>
      <c r="E937" s="1"/>
      <c r="F937" s="1"/>
      <c r="G937" s="1"/>
      <c r="H937" s="1"/>
      <c r="I937" s="1"/>
      <c r="J937" s="1"/>
      <c r="K937" s="1"/>
      <c r="L937" s="1"/>
      <c r="M937" s="1"/>
      <c r="N937" s="1"/>
      <c r="O937" s="1"/>
      <c r="P937" s="1"/>
      <c r="Q937" s="1"/>
      <c r="R937" s="1"/>
      <c r="S937" s="1"/>
      <c r="T937" s="2"/>
      <c r="U937" s="2"/>
      <c r="V937" s="2"/>
      <c r="W937" s="2"/>
      <c r="X937" s="2"/>
      <c r="Y937" s="2"/>
      <c r="Z937" s="2"/>
    </row>
    <row r="938" spans="1:26" ht="14.25" customHeight="1">
      <c r="A938" s="14"/>
      <c r="B938" s="2"/>
      <c r="C938" s="1"/>
      <c r="D938" s="1"/>
      <c r="E938" s="1"/>
      <c r="F938" s="1"/>
      <c r="G938" s="1"/>
      <c r="H938" s="1"/>
      <c r="I938" s="1"/>
      <c r="J938" s="1"/>
      <c r="K938" s="1"/>
      <c r="L938" s="1"/>
      <c r="M938" s="1"/>
      <c r="N938" s="1"/>
      <c r="O938" s="1"/>
      <c r="P938" s="1"/>
      <c r="Q938" s="1"/>
      <c r="R938" s="1"/>
      <c r="S938" s="1"/>
      <c r="T938" s="2"/>
      <c r="U938" s="2"/>
      <c r="V938" s="2"/>
      <c r="W938" s="2"/>
      <c r="X938" s="2"/>
      <c r="Y938" s="2"/>
      <c r="Z938" s="2"/>
    </row>
    <row r="939" spans="1:26" ht="14.25" customHeight="1">
      <c r="A939" s="14"/>
      <c r="B939" s="2"/>
      <c r="C939" s="1"/>
      <c r="D939" s="1"/>
      <c r="E939" s="1"/>
      <c r="F939" s="1"/>
      <c r="G939" s="1"/>
      <c r="H939" s="1"/>
      <c r="I939" s="1"/>
      <c r="J939" s="1"/>
      <c r="K939" s="1"/>
      <c r="L939" s="1"/>
      <c r="M939" s="1"/>
      <c r="N939" s="1"/>
      <c r="O939" s="1"/>
      <c r="P939" s="1"/>
      <c r="Q939" s="1"/>
      <c r="R939" s="1"/>
      <c r="S939" s="1"/>
      <c r="T939" s="2"/>
      <c r="U939" s="2"/>
      <c r="V939" s="2"/>
      <c r="W939" s="2"/>
      <c r="X939" s="2"/>
      <c r="Y939" s="2"/>
      <c r="Z939" s="2"/>
    </row>
    <row r="940" spans="1:26" ht="14.25" customHeight="1">
      <c r="A940" s="14"/>
      <c r="B940" s="2"/>
      <c r="C940" s="1"/>
      <c r="D940" s="1"/>
      <c r="E940" s="1"/>
      <c r="F940" s="1"/>
      <c r="G940" s="1"/>
      <c r="H940" s="1"/>
      <c r="I940" s="1"/>
      <c r="J940" s="1"/>
      <c r="K940" s="1"/>
      <c r="L940" s="1"/>
      <c r="M940" s="1"/>
      <c r="N940" s="1"/>
      <c r="O940" s="1"/>
      <c r="P940" s="1"/>
      <c r="Q940" s="1"/>
      <c r="R940" s="1"/>
      <c r="S940" s="1"/>
      <c r="T940" s="2"/>
      <c r="U940" s="2"/>
      <c r="V940" s="2"/>
      <c r="W940" s="2"/>
      <c r="X940" s="2"/>
      <c r="Y940" s="2"/>
      <c r="Z940" s="2"/>
    </row>
    <row r="941" spans="1:26" ht="14.25" customHeight="1">
      <c r="A941" s="14"/>
      <c r="B941" s="2"/>
      <c r="C941" s="1"/>
      <c r="D941" s="1"/>
      <c r="E941" s="1"/>
      <c r="F941" s="1"/>
      <c r="G941" s="1"/>
      <c r="H941" s="1"/>
      <c r="I941" s="1"/>
      <c r="J941" s="1"/>
      <c r="K941" s="1"/>
      <c r="L941" s="1"/>
      <c r="M941" s="1"/>
      <c r="N941" s="1"/>
      <c r="O941" s="1"/>
      <c r="P941" s="1"/>
      <c r="Q941" s="1"/>
      <c r="R941" s="1"/>
      <c r="S941" s="1"/>
      <c r="T941" s="2"/>
      <c r="U941" s="2"/>
      <c r="V941" s="2"/>
      <c r="W941" s="2"/>
      <c r="X941" s="2"/>
      <c r="Y941" s="2"/>
      <c r="Z941" s="2"/>
    </row>
    <row r="942" spans="1:26" ht="14.25" customHeight="1">
      <c r="A942" s="14"/>
      <c r="B942" s="2"/>
      <c r="C942" s="1"/>
      <c r="D942" s="1"/>
      <c r="E942" s="1"/>
      <c r="F942" s="1"/>
      <c r="G942" s="1"/>
      <c r="H942" s="1"/>
      <c r="I942" s="1"/>
      <c r="J942" s="1"/>
      <c r="K942" s="1"/>
      <c r="L942" s="1"/>
      <c r="M942" s="1"/>
      <c r="N942" s="1"/>
      <c r="O942" s="1"/>
      <c r="P942" s="1"/>
      <c r="Q942" s="1"/>
      <c r="R942" s="1"/>
      <c r="S942" s="1"/>
      <c r="T942" s="2"/>
      <c r="U942" s="2"/>
      <c r="V942" s="2"/>
      <c r="W942" s="2"/>
      <c r="X942" s="2"/>
      <c r="Y942" s="2"/>
      <c r="Z942" s="2"/>
    </row>
    <row r="943" spans="1:26" ht="14.25" customHeight="1">
      <c r="A943" s="14"/>
      <c r="B943" s="2"/>
      <c r="C943" s="1"/>
      <c r="D943" s="1"/>
      <c r="E943" s="1"/>
      <c r="F943" s="1"/>
      <c r="G943" s="1"/>
      <c r="H943" s="1"/>
      <c r="I943" s="1"/>
      <c r="J943" s="1"/>
      <c r="K943" s="1"/>
      <c r="L943" s="1"/>
      <c r="M943" s="1"/>
      <c r="N943" s="1"/>
      <c r="O943" s="1"/>
      <c r="P943" s="1"/>
      <c r="Q943" s="1"/>
      <c r="R943" s="1"/>
      <c r="S943" s="1"/>
      <c r="T943" s="2"/>
      <c r="U943" s="2"/>
      <c r="V943" s="2"/>
      <c r="W943" s="2"/>
      <c r="X943" s="2"/>
      <c r="Y943" s="2"/>
      <c r="Z943" s="2"/>
    </row>
    <row r="944" spans="1:26" ht="14.25" customHeight="1">
      <c r="A944" s="14"/>
      <c r="B944" s="2"/>
      <c r="C944" s="1"/>
      <c r="D944" s="1"/>
      <c r="E944" s="1"/>
      <c r="F944" s="1"/>
      <c r="G944" s="1"/>
      <c r="H944" s="1"/>
      <c r="I944" s="1"/>
      <c r="J944" s="1"/>
      <c r="K944" s="1"/>
      <c r="L944" s="1"/>
      <c r="M944" s="1"/>
      <c r="N944" s="1"/>
      <c r="O944" s="1"/>
      <c r="P944" s="1"/>
      <c r="Q944" s="1"/>
      <c r="R944" s="1"/>
      <c r="S944" s="1"/>
      <c r="T944" s="2"/>
      <c r="U944" s="2"/>
      <c r="V944" s="2"/>
      <c r="W944" s="2"/>
      <c r="X944" s="2"/>
      <c r="Y944" s="2"/>
      <c r="Z944" s="2"/>
    </row>
    <row r="945" spans="1:26" ht="14.25" customHeight="1">
      <c r="A945" s="14"/>
      <c r="B945" s="2"/>
      <c r="C945" s="1"/>
      <c r="D945" s="1"/>
      <c r="E945" s="1"/>
      <c r="F945" s="1"/>
      <c r="G945" s="1"/>
      <c r="H945" s="1"/>
      <c r="I945" s="1"/>
      <c r="J945" s="1"/>
      <c r="K945" s="1"/>
      <c r="L945" s="1"/>
      <c r="M945" s="1"/>
      <c r="N945" s="1"/>
      <c r="O945" s="1"/>
      <c r="P945" s="1"/>
      <c r="Q945" s="1"/>
      <c r="R945" s="1"/>
      <c r="S945" s="1"/>
      <c r="T945" s="2"/>
      <c r="U945" s="2"/>
      <c r="V945" s="2"/>
      <c r="W945" s="2"/>
      <c r="X945" s="2"/>
      <c r="Y945" s="2"/>
      <c r="Z945" s="2"/>
    </row>
    <row r="946" spans="1:26" ht="14.25" customHeight="1">
      <c r="A946" s="14"/>
      <c r="B946" s="2"/>
      <c r="C946" s="1"/>
      <c r="D946" s="1"/>
      <c r="E946" s="1"/>
      <c r="F946" s="1"/>
      <c r="G946" s="1"/>
      <c r="H946" s="1"/>
      <c r="I946" s="1"/>
      <c r="J946" s="1"/>
      <c r="K946" s="1"/>
      <c r="L946" s="1"/>
      <c r="M946" s="1"/>
      <c r="N946" s="1"/>
      <c r="O946" s="1"/>
      <c r="P946" s="1"/>
      <c r="Q946" s="1"/>
      <c r="R946" s="1"/>
      <c r="S946" s="1"/>
      <c r="T946" s="2"/>
      <c r="U946" s="2"/>
      <c r="V946" s="2"/>
      <c r="W946" s="2"/>
      <c r="X946" s="2"/>
      <c r="Y946" s="2"/>
      <c r="Z946" s="2"/>
    </row>
    <row r="947" spans="1:26" ht="14.25" customHeight="1">
      <c r="A947" s="14"/>
      <c r="B947" s="2"/>
      <c r="C947" s="1"/>
      <c r="D947" s="1"/>
      <c r="E947" s="1"/>
      <c r="F947" s="1"/>
      <c r="G947" s="1"/>
      <c r="H947" s="1"/>
      <c r="I947" s="1"/>
      <c r="J947" s="1"/>
      <c r="K947" s="1"/>
      <c r="L947" s="1"/>
      <c r="M947" s="1"/>
      <c r="N947" s="1"/>
      <c r="O947" s="1"/>
      <c r="P947" s="1"/>
      <c r="Q947" s="1"/>
      <c r="R947" s="1"/>
      <c r="S947" s="1"/>
      <c r="T947" s="2"/>
      <c r="U947" s="2"/>
      <c r="V947" s="2"/>
      <c r="W947" s="2"/>
      <c r="X947" s="2"/>
      <c r="Y947" s="2"/>
      <c r="Z947" s="2"/>
    </row>
    <row r="948" spans="1:26" ht="14.25" customHeight="1">
      <c r="A948" s="14"/>
      <c r="B948" s="2"/>
      <c r="C948" s="1"/>
      <c r="D948" s="1"/>
      <c r="E948" s="1"/>
      <c r="F948" s="1"/>
      <c r="G948" s="1"/>
      <c r="H948" s="1"/>
      <c r="I948" s="1"/>
      <c r="J948" s="1"/>
      <c r="K948" s="1"/>
      <c r="L948" s="1"/>
      <c r="M948" s="1"/>
      <c r="N948" s="1"/>
      <c r="O948" s="1"/>
      <c r="P948" s="1"/>
      <c r="Q948" s="1"/>
      <c r="R948" s="1"/>
      <c r="S948" s="1"/>
      <c r="T948" s="2"/>
      <c r="U948" s="2"/>
      <c r="V948" s="2"/>
      <c r="W948" s="2"/>
      <c r="X948" s="2"/>
      <c r="Y948" s="2"/>
      <c r="Z948" s="2"/>
    </row>
    <row r="949" spans="1:26" ht="14.25" customHeight="1">
      <c r="A949" s="14"/>
      <c r="B949" s="2"/>
      <c r="C949" s="1"/>
      <c r="D949" s="1"/>
      <c r="E949" s="1"/>
      <c r="F949" s="1"/>
      <c r="G949" s="1"/>
      <c r="H949" s="1"/>
      <c r="I949" s="1"/>
      <c r="J949" s="1"/>
      <c r="K949" s="1"/>
      <c r="L949" s="1"/>
      <c r="M949" s="1"/>
      <c r="N949" s="1"/>
      <c r="O949" s="1"/>
      <c r="P949" s="1"/>
      <c r="Q949" s="1"/>
      <c r="R949" s="1"/>
      <c r="S949" s="1"/>
      <c r="T949" s="2"/>
      <c r="U949" s="2"/>
      <c r="V949" s="2"/>
      <c r="W949" s="2"/>
      <c r="X949" s="2"/>
      <c r="Y949" s="2"/>
      <c r="Z949" s="2"/>
    </row>
    <row r="950" spans="1:26" ht="14.25" customHeight="1">
      <c r="A950" s="14"/>
      <c r="B950" s="2"/>
      <c r="C950" s="1"/>
      <c r="D950" s="1"/>
      <c r="E950" s="1"/>
      <c r="F950" s="1"/>
      <c r="G950" s="1"/>
      <c r="H950" s="1"/>
      <c r="I950" s="1"/>
      <c r="J950" s="1"/>
      <c r="K950" s="1"/>
      <c r="L950" s="1"/>
      <c r="M950" s="1"/>
      <c r="N950" s="1"/>
      <c r="O950" s="1"/>
      <c r="P950" s="1"/>
      <c r="Q950" s="1"/>
      <c r="R950" s="1"/>
      <c r="S950" s="1"/>
      <c r="T950" s="2"/>
      <c r="U950" s="2"/>
      <c r="V950" s="2"/>
      <c r="W950" s="2"/>
      <c r="X950" s="2"/>
      <c r="Y950" s="2"/>
      <c r="Z950" s="2"/>
    </row>
    <row r="951" spans="1:26" ht="14.25" customHeight="1">
      <c r="A951" s="14"/>
      <c r="B951" s="2"/>
      <c r="C951" s="1"/>
      <c r="D951" s="1"/>
      <c r="E951" s="1"/>
      <c r="F951" s="1"/>
      <c r="G951" s="1"/>
      <c r="H951" s="1"/>
      <c r="I951" s="1"/>
      <c r="J951" s="1"/>
      <c r="K951" s="1"/>
      <c r="L951" s="1"/>
      <c r="M951" s="1"/>
      <c r="N951" s="1"/>
      <c r="O951" s="1"/>
      <c r="P951" s="1"/>
      <c r="Q951" s="1"/>
      <c r="R951" s="1"/>
      <c r="S951" s="1"/>
      <c r="T951" s="2"/>
      <c r="U951" s="2"/>
      <c r="V951" s="2"/>
      <c r="W951" s="2"/>
      <c r="X951" s="2"/>
      <c r="Y951" s="2"/>
      <c r="Z951" s="2"/>
    </row>
    <row r="952" spans="1:26" ht="14.25" customHeight="1">
      <c r="A952" s="14"/>
      <c r="B952" s="2"/>
      <c r="C952" s="1"/>
      <c r="D952" s="1"/>
      <c r="E952" s="1"/>
      <c r="F952" s="1"/>
      <c r="G952" s="1"/>
      <c r="H952" s="1"/>
      <c r="I952" s="1"/>
      <c r="J952" s="1"/>
      <c r="K952" s="1"/>
      <c r="L952" s="1"/>
      <c r="M952" s="1"/>
      <c r="N952" s="1"/>
      <c r="O952" s="1"/>
      <c r="P952" s="1"/>
      <c r="Q952" s="1"/>
      <c r="R952" s="1"/>
      <c r="S952" s="1"/>
      <c r="T952" s="2"/>
      <c r="U952" s="2"/>
      <c r="V952" s="2"/>
      <c r="W952" s="2"/>
      <c r="X952" s="2"/>
      <c r="Y952" s="2"/>
      <c r="Z952" s="2"/>
    </row>
    <row r="953" spans="1:26" ht="14.25" customHeight="1">
      <c r="A953" s="14"/>
      <c r="B953" s="2"/>
      <c r="C953" s="1"/>
      <c r="D953" s="1"/>
      <c r="E953" s="1"/>
      <c r="F953" s="1"/>
      <c r="G953" s="1"/>
      <c r="H953" s="1"/>
      <c r="I953" s="1"/>
      <c r="J953" s="1"/>
      <c r="K953" s="1"/>
      <c r="L953" s="1"/>
      <c r="M953" s="1"/>
      <c r="N953" s="1"/>
      <c r="O953" s="1"/>
      <c r="P953" s="1"/>
      <c r="Q953" s="1"/>
      <c r="R953" s="1"/>
      <c r="S953" s="1"/>
      <c r="T953" s="2"/>
      <c r="U953" s="2"/>
      <c r="V953" s="2"/>
      <c r="W953" s="2"/>
      <c r="X953" s="2"/>
      <c r="Y953" s="2"/>
      <c r="Z953" s="2"/>
    </row>
    <row r="954" spans="1:26" ht="14.25" customHeight="1">
      <c r="A954" s="14"/>
      <c r="B954" s="2"/>
      <c r="C954" s="1"/>
      <c r="D954" s="1"/>
      <c r="E954" s="1"/>
      <c r="F954" s="1"/>
      <c r="G954" s="1"/>
      <c r="H954" s="1"/>
      <c r="I954" s="1"/>
      <c r="J954" s="1"/>
      <c r="K954" s="1"/>
      <c r="L954" s="1"/>
      <c r="M954" s="1"/>
      <c r="N954" s="1"/>
      <c r="O954" s="1"/>
      <c r="P954" s="1"/>
      <c r="Q954" s="1"/>
      <c r="R954" s="1"/>
      <c r="S954" s="1"/>
      <c r="T954" s="2"/>
      <c r="U954" s="2"/>
      <c r="V954" s="2"/>
      <c r="W954" s="2"/>
      <c r="X954" s="2"/>
      <c r="Y954" s="2"/>
      <c r="Z954" s="2"/>
    </row>
    <row r="955" spans="1:26" ht="14.25" customHeight="1">
      <c r="A955" s="14"/>
      <c r="B955" s="2"/>
      <c r="C955" s="1"/>
      <c r="D955" s="1"/>
      <c r="E955" s="1"/>
      <c r="F955" s="1"/>
      <c r="G955" s="1"/>
      <c r="H955" s="1"/>
      <c r="I955" s="1"/>
      <c r="J955" s="1"/>
      <c r="K955" s="1"/>
      <c r="L955" s="1"/>
      <c r="M955" s="1"/>
      <c r="N955" s="1"/>
      <c r="O955" s="1"/>
      <c r="P955" s="1"/>
      <c r="Q955" s="1"/>
      <c r="R955" s="1"/>
      <c r="S955" s="1"/>
      <c r="T955" s="2"/>
      <c r="U955" s="2"/>
      <c r="V955" s="2"/>
      <c r="W955" s="2"/>
      <c r="X955" s="2"/>
      <c r="Y955" s="2"/>
      <c r="Z955" s="2"/>
    </row>
    <row r="956" spans="1:26" ht="14.25" customHeight="1">
      <c r="A956" s="14"/>
      <c r="B956" s="2"/>
      <c r="C956" s="1"/>
      <c r="D956" s="1"/>
      <c r="E956" s="1"/>
      <c r="F956" s="1"/>
      <c r="G956" s="1"/>
      <c r="H956" s="1"/>
      <c r="I956" s="1"/>
      <c r="J956" s="1"/>
      <c r="K956" s="1"/>
      <c r="L956" s="1"/>
      <c r="M956" s="1"/>
      <c r="N956" s="1"/>
      <c r="O956" s="1"/>
      <c r="P956" s="1"/>
      <c r="Q956" s="1"/>
      <c r="R956" s="1"/>
      <c r="S956" s="1"/>
      <c r="T956" s="2"/>
      <c r="U956" s="2"/>
      <c r="V956" s="2"/>
      <c r="W956" s="2"/>
      <c r="X956" s="2"/>
      <c r="Y956" s="2"/>
      <c r="Z956" s="2"/>
    </row>
    <row r="957" spans="1:26" ht="14.25" customHeight="1">
      <c r="A957" s="14"/>
      <c r="B957" s="2"/>
      <c r="C957" s="1"/>
      <c r="D957" s="1"/>
      <c r="E957" s="1"/>
      <c r="F957" s="1"/>
      <c r="G957" s="1"/>
      <c r="H957" s="1"/>
      <c r="I957" s="1"/>
      <c r="J957" s="1"/>
      <c r="K957" s="1"/>
      <c r="L957" s="1"/>
      <c r="M957" s="1"/>
      <c r="N957" s="1"/>
      <c r="O957" s="1"/>
      <c r="P957" s="1"/>
      <c r="Q957" s="1"/>
      <c r="R957" s="1"/>
      <c r="S957" s="1"/>
      <c r="T957" s="2"/>
      <c r="U957" s="2"/>
      <c r="V957" s="2"/>
      <c r="W957" s="2"/>
      <c r="X957" s="2"/>
      <c r="Y957" s="2"/>
      <c r="Z957" s="2"/>
    </row>
    <row r="958" spans="1:26" ht="14.25" customHeight="1">
      <c r="A958" s="14"/>
      <c r="B958" s="2"/>
      <c r="C958" s="1"/>
      <c r="D958" s="1"/>
      <c r="E958" s="1"/>
      <c r="F958" s="1"/>
      <c r="G958" s="1"/>
      <c r="H958" s="1"/>
      <c r="I958" s="1"/>
      <c r="J958" s="1"/>
      <c r="K958" s="1"/>
      <c r="L958" s="1"/>
      <c r="M958" s="1"/>
      <c r="N958" s="1"/>
      <c r="O958" s="1"/>
      <c r="P958" s="1"/>
      <c r="Q958" s="1"/>
      <c r="R958" s="1"/>
      <c r="S958" s="1"/>
      <c r="T958" s="2"/>
      <c r="U958" s="2"/>
      <c r="V958" s="2"/>
      <c r="W958" s="2"/>
      <c r="X958" s="2"/>
      <c r="Y958" s="2"/>
      <c r="Z958" s="2"/>
    </row>
    <row r="959" spans="1:26" ht="14.25" customHeight="1">
      <c r="A959" s="14"/>
      <c r="B959" s="2"/>
      <c r="C959" s="1"/>
      <c r="D959" s="1"/>
      <c r="E959" s="1"/>
      <c r="F959" s="1"/>
      <c r="G959" s="1"/>
      <c r="H959" s="1"/>
      <c r="I959" s="1"/>
      <c r="J959" s="1"/>
      <c r="K959" s="1"/>
      <c r="L959" s="1"/>
      <c r="M959" s="1"/>
      <c r="N959" s="1"/>
      <c r="O959" s="1"/>
      <c r="P959" s="1"/>
      <c r="Q959" s="1"/>
      <c r="R959" s="1"/>
      <c r="S959" s="1"/>
      <c r="T959" s="2"/>
      <c r="U959" s="2"/>
      <c r="V959" s="2"/>
      <c r="W959" s="2"/>
      <c r="X959" s="2"/>
      <c r="Y959" s="2"/>
      <c r="Z959" s="2"/>
    </row>
    <row r="960" spans="1:26" ht="14.25" customHeight="1">
      <c r="A960" s="14"/>
      <c r="B960" s="2"/>
      <c r="C960" s="1"/>
      <c r="D960" s="1"/>
      <c r="E960" s="1"/>
      <c r="F960" s="1"/>
      <c r="G960" s="1"/>
      <c r="H960" s="1"/>
      <c r="I960" s="1"/>
      <c r="J960" s="1"/>
      <c r="K960" s="1"/>
      <c r="L960" s="1"/>
      <c r="M960" s="1"/>
      <c r="N960" s="1"/>
      <c r="O960" s="1"/>
      <c r="P960" s="1"/>
      <c r="Q960" s="1"/>
      <c r="R960" s="1"/>
      <c r="S960" s="1"/>
      <c r="T960" s="2"/>
      <c r="U960" s="2"/>
      <c r="V960" s="2"/>
      <c r="W960" s="2"/>
      <c r="X960" s="2"/>
      <c r="Y960" s="2"/>
      <c r="Z960" s="2"/>
    </row>
    <row r="961" spans="1:26" ht="14.25" customHeight="1">
      <c r="A961" s="14"/>
      <c r="B961" s="2"/>
      <c r="C961" s="1"/>
      <c r="D961" s="1"/>
      <c r="E961" s="1"/>
      <c r="F961" s="1"/>
      <c r="G961" s="1"/>
      <c r="H961" s="1"/>
      <c r="I961" s="1"/>
      <c r="J961" s="1"/>
      <c r="K961" s="1"/>
      <c r="L961" s="1"/>
      <c r="M961" s="1"/>
      <c r="N961" s="1"/>
      <c r="O961" s="1"/>
      <c r="P961" s="1"/>
      <c r="Q961" s="1"/>
      <c r="R961" s="1"/>
      <c r="S961" s="1"/>
      <c r="T961" s="2"/>
      <c r="U961" s="2"/>
      <c r="V961" s="2"/>
      <c r="W961" s="2"/>
      <c r="X961" s="2"/>
      <c r="Y961" s="2"/>
      <c r="Z961" s="2"/>
    </row>
    <row r="962" spans="1:26" ht="14.25" customHeight="1">
      <c r="A962" s="14"/>
      <c r="B962" s="2"/>
      <c r="C962" s="1"/>
      <c r="D962" s="1"/>
      <c r="E962" s="1"/>
      <c r="F962" s="1"/>
      <c r="G962" s="1"/>
      <c r="H962" s="1"/>
      <c r="I962" s="1"/>
      <c r="J962" s="1"/>
      <c r="K962" s="1"/>
      <c r="L962" s="1"/>
      <c r="M962" s="1"/>
      <c r="N962" s="1"/>
      <c r="O962" s="1"/>
      <c r="P962" s="1"/>
      <c r="Q962" s="1"/>
      <c r="R962" s="1"/>
      <c r="S962" s="1"/>
      <c r="T962" s="2"/>
      <c r="U962" s="2"/>
      <c r="V962" s="2"/>
      <c r="W962" s="2"/>
      <c r="X962" s="2"/>
      <c r="Y962" s="2"/>
      <c r="Z962" s="2"/>
    </row>
    <row r="963" spans="1:26" ht="14.25" customHeight="1">
      <c r="A963" s="14"/>
      <c r="B963" s="2"/>
      <c r="C963" s="1"/>
      <c r="D963" s="1"/>
      <c r="E963" s="1"/>
      <c r="F963" s="1"/>
      <c r="G963" s="1"/>
      <c r="H963" s="1"/>
      <c r="I963" s="1"/>
      <c r="J963" s="1"/>
      <c r="K963" s="1"/>
      <c r="L963" s="1"/>
      <c r="M963" s="1"/>
      <c r="N963" s="1"/>
      <c r="O963" s="1"/>
      <c r="P963" s="1"/>
      <c r="Q963" s="1"/>
      <c r="R963" s="1"/>
      <c r="S963" s="1"/>
      <c r="T963" s="2"/>
      <c r="U963" s="2"/>
      <c r="V963" s="2"/>
      <c r="W963" s="2"/>
      <c r="X963" s="2"/>
      <c r="Y963" s="2"/>
      <c r="Z963" s="2"/>
    </row>
    <row r="964" spans="1:26" ht="14.25" customHeight="1">
      <c r="A964" s="14"/>
      <c r="B964" s="2"/>
      <c r="C964" s="1"/>
      <c r="D964" s="1"/>
      <c r="E964" s="1"/>
      <c r="F964" s="1"/>
      <c r="G964" s="1"/>
      <c r="H964" s="1"/>
      <c r="I964" s="1"/>
      <c r="J964" s="1"/>
      <c r="K964" s="1"/>
      <c r="L964" s="1"/>
      <c r="M964" s="1"/>
      <c r="N964" s="1"/>
      <c r="O964" s="1"/>
      <c r="P964" s="1"/>
      <c r="Q964" s="1"/>
      <c r="R964" s="1"/>
      <c r="S964" s="1"/>
      <c r="T964" s="2"/>
      <c r="U964" s="2"/>
      <c r="V964" s="2"/>
      <c r="W964" s="2"/>
      <c r="X964" s="2"/>
      <c r="Y964" s="2"/>
      <c r="Z964" s="2"/>
    </row>
    <row r="965" spans="1:26" ht="14.25" customHeight="1">
      <c r="A965" s="14"/>
      <c r="B965" s="2"/>
      <c r="C965" s="1"/>
      <c r="D965" s="1"/>
      <c r="E965" s="1"/>
      <c r="F965" s="1"/>
      <c r="G965" s="1"/>
      <c r="H965" s="1"/>
      <c r="I965" s="1"/>
      <c r="J965" s="1"/>
      <c r="K965" s="1"/>
      <c r="L965" s="1"/>
      <c r="M965" s="1"/>
      <c r="N965" s="1"/>
      <c r="O965" s="1"/>
      <c r="P965" s="1"/>
      <c r="Q965" s="1"/>
      <c r="R965" s="1"/>
      <c r="S965" s="1"/>
      <c r="T965" s="2"/>
      <c r="U965" s="2"/>
      <c r="V965" s="2"/>
      <c r="W965" s="2"/>
      <c r="X965" s="2"/>
      <c r="Y965" s="2"/>
      <c r="Z965" s="2"/>
    </row>
    <row r="966" spans="1:26" ht="14.25" customHeight="1">
      <c r="A966" s="14"/>
      <c r="B966" s="2"/>
      <c r="C966" s="1"/>
      <c r="D966" s="1"/>
      <c r="E966" s="1"/>
      <c r="F966" s="1"/>
      <c r="G966" s="1"/>
      <c r="H966" s="1"/>
      <c r="I966" s="1"/>
      <c r="J966" s="1"/>
      <c r="K966" s="1"/>
      <c r="L966" s="1"/>
      <c r="M966" s="1"/>
      <c r="N966" s="1"/>
      <c r="O966" s="1"/>
      <c r="P966" s="1"/>
      <c r="Q966" s="1"/>
      <c r="R966" s="1"/>
      <c r="S966" s="1"/>
      <c r="T966" s="2"/>
      <c r="U966" s="2"/>
      <c r="V966" s="2"/>
      <c r="W966" s="2"/>
      <c r="X966" s="2"/>
      <c r="Y966" s="2"/>
      <c r="Z966" s="2"/>
    </row>
    <row r="967" spans="1:26" ht="14.25" customHeight="1">
      <c r="A967" s="14"/>
      <c r="B967" s="2"/>
      <c r="C967" s="1"/>
      <c r="D967" s="1"/>
      <c r="E967" s="1"/>
      <c r="F967" s="1"/>
      <c r="G967" s="1"/>
      <c r="H967" s="1"/>
      <c r="I967" s="1"/>
      <c r="J967" s="1"/>
      <c r="K967" s="1"/>
      <c r="L967" s="1"/>
      <c r="M967" s="1"/>
      <c r="N967" s="1"/>
      <c r="O967" s="1"/>
      <c r="P967" s="1"/>
      <c r="Q967" s="1"/>
      <c r="R967" s="1"/>
      <c r="S967" s="1"/>
      <c r="T967" s="2"/>
      <c r="U967" s="2"/>
      <c r="V967" s="2"/>
      <c r="W967" s="2"/>
      <c r="X967" s="2"/>
      <c r="Y967" s="2"/>
      <c r="Z967" s="2"/>
    </row>
    <row r="968" spans="1:26" ht="14.25" customHeight="1">
      <c r="A968" s="14"/>
      <c r="B968" s="2"/>
      <c r="C968" s="1"/>
      <c r="D968" s="1"/>
      <c r="E968" s="1"/>
      <c r="F968" s="1"/>
      <c r="G968" s="1"/>
      <c r="H968" s="1"/>
      <c r="I968" s="1"/>
      <c r="J968" s="1"/>
      <c r="K968" s="1"/>
      <c r="L968" s="1"/>
      <c r="M968" s="1"/>
      <c r="N968" s="1"/>
      <c r="O968" s="1"/>
      <c r="P968" s="1"/>
      <c r="Q968" s="1"/>
      <c r="R968" s="1"/>
      <c r="S968" s="1"/>
      <c r="T968" s="2"/>
      <c r="U968" s="2"/>
      <c r="V968" s="2"/>
      <c r="W968" s="2"/>
      <c r="X968" s="2"/>
      <c r="Y968" s="2"/>
      <c r="Z968" s="2"/>
    </row>
    <row r="969" spans="1:26" ht="14.25" customHeight="1">
      <c r="A969" s="14"/>
      <c r="B969" s="2"/>
      <c r="C969" s="1"/>
      <c r="D969" s="1"/>
      <c r="E969" s="1"/>
      <c r="F969" s="1"/>
      <c r="G969" s="1"/>
      <c r="H969" s="1"/>
      <c r="I969" s="1"/>
      <c r="J969" s="1"/>
      <c r="K969" s="1"/>
      <c r="L969" s="1"/>
      <c r="M969" s="1"/>
      <c r="N969" s="1"/>
      <c r="O969" s="1"/>
      <c r="P969" s="1"/>
      <c r="Q969" s="1"/>
      <c r="R969" s="1"/>
      <c r="S969" s="1"/>
      <c r="T969" s="2"/>
      <c r="U969" s="2"/>
      <c r="V969" s="2"/>
      <c r="W969" s="2"/>
      <c r="X969" s="2"/>
      <c r="Y969" s="2"/>
      <c r="Z969" s="2"/>
    </row>
    <row r="970" spans="1:26" ht="14.25" customHeight="1">
      <c r="A970" s="14"/>
      <c r="B970" s="2"/>
      <c r="C970" s="1"/>
      <c r="D970" s="1"/>
      <c r="E970" s="1"/>
      <c r="F970" s="1"/>
      <c r="G970" s="1"/>
      <c r="H970" s="1"/>
      <c r="I970" s="1"/>
      <c r="J970" s="1"/>
      <c r="K970" s="1"/>
      <c r="L970" s="1"/>
      <c r="M970" s="1"/>
      <c r="N970" s="1"/>
      <c r="O970" s="1"/>
      <c r="P970" s="1"/>
      <c r="Q970" s="1"/>
      <c r="R970" s="1"/>
      <c r="S970" s="1"/>
      <c r="T970" s="2"/>
      <c r="U970" s="2"/>
      <c r="V970" s="2"/>
      <c r="W970" s="2"/>
      <c r="X970" s="2"/>
      <c r="Y970" s="2"/>
      <c r="Z970" s="2"/>
    </row>
    <row r="971" spans="1:26" ht="14.25" customHeight="1">
      <c r="A971" s="14"/>
      <c r="B971" s="2"/>
      <c r="C971" s="1"/>
      <c r="D971" s="1"/>
      <c r="E971" s="1"/>
      <c r="F971" s="1"/>
      <c r="G971" s="1"/>
      <c r="H971" s="1"/>
      <c r="I971" s="1"/>
      <c r="J971" s="1"/>
      <c r="K971" s="1"/>
      <c r="L971" s="1"/>
      <c r="M971" s="1"/>
      <c r="N971" s="1"/>
      <c r="O971" s="1"/>
      <c r="P971" s="1"/>
      <c r="Q971" s="1"/>
      <c r="R971" s="1"/>
      <c r="S971" s="1"/>
      <c r="T971" s="2"/>
      <c r="U971" s="2"/>
      <c r="V971" s="2"/>
      <c r="W971" s="2"/>
      <c r="X971" s="2"/>
      <c r="Y971" s="2"/>
      <c r="Z971" s="2"/>
    </row>
    <row r="972" spans="1:26" ht="14.25" customHeight="1">
      <c r="A972" s="14"/>
      <c r="B972" s="2"/>
      <c r="C972" s="1"/>
      <c r="D972" s="1"/>
      <c r="E972" s="1"/>
      <c r="F972" s="1"/>
      <c r="G972" s="1"/>
      <c r="H972" s="1"/>
      <c r="I972" s="1"/>
      <c r="J972" s="1"/>
      <c r="K972" s="1"/>
      <c r="L972" s="1"/>
      <c r="M972" s="1"/>
      <c r="N972" s="1"/>
      <c r="O972" s="1"/>
      <c r="P972" s="1"/>
      <c r="Q972" s="1"/>
      <c r="R972" s="1"/>
      <c r="S972" s="1"/>
      <c r="T972" s="2"/>
      <c r="U972" s="2"/>
      <c r="V972" s="2"/>
      <c r="W972" s="2"/>
      <c r="X972" s="2"/>
      <c r="Y972" s="2"/>
      <c r="Z972" s="2"/>
    </row>
    <row r="973" spans="1:26" ht="14.25" customHeight="1">
      <c r="A973" s="14"/>
      <c r="B973" s="2"/>
      <c r="C973" s="1"/>
      <c r="D973" s="1"/>
      <c r="E973" s="1"/>
      <c r="F973" s="1"/>
      <c r="G973" s="1"/>
      <c r="H973" s="1"/>
      <c r="I973" s="1"/>
      <c r="J973" s="1"/>
      <c r="K973" s="1"/>
      <c r="L973" s="1"/>
      <c r="M973" s="1"/>
      <c r="N973" s="1"/>
      <c r="O973" s="1"/>
      <c r="P973" s="1"/>
      <c r="Q973" s="1"/>
      <c r="R973" s="1"/>
      <c r="S973" s="1"/>
      <c r="T973" s="2"/>
      <c r="U973" s="2"/>
      <c r="V973" s="2"/>
      <c r="W973" s="2"/>
      <c r="X973" s="2"/>
      <c r="Y973" s="2"/>
      <c r="Z973" s="2"/>
    </row>
    <row r="974" spans="1:26" ht="14.25" customHeight="1">
      <c r="A974" s="14"/>
      <c r="B974" s="2"/>
      <c r="C974" s="1"/>
      <c r="D974" s="1"/>
      <c r="E974" s="1"/>
      <c r="F974" s="1"/>
      <c r="G974" s="1"/>
      <c r="H974" s="1"/>
      <c r="I974" s="1"/>
      <c r="J974" s="1"/>
      <c r="K974" s="1"/>
      <c r="L974" s="1"/>
      <c r="M974" s="1"/>
      <c r="N974" s="1"/>
      <c r="O974" s="1"/>
      <c r="P974" s="1"/>
      <c r="Q974" s="1"/>
      <c r="R974" s="1"/>
      <c r="S974" s="1"/>
      <c r="T974" s="2"/>
      <c r="U974" s="2"/>
      <c r="V974" s="2"/>
      <c r="W974" s="2"/>
      <c r="X974" s="2"/>
      <c r="Y974" s="2"/>
      <c r="Z974" s="2"/>
    </row>
    <row r="975" spans="1:26" ht="14.25" customHeight="1">
      <c r="A975" s="14"/>
      <c r="B975" s="2"/>
      <c r="C975" s="1"/>
      <c r="D975" s="1"/>
      <c r="E975" s="1"/>
      <c r="F975" s="1"/>
      <c r="G975" s="1"/>
      <c r="H975" s="1"/>
      <c r="I975" s="1"/>
      <c r="J975" s="1"/>
      <c r="K975" s="1"/>
      <c r="L975" s="1"/>
      <c r="M975" s="1"/>
      <c r="N975" s="1"/>
      <c r="O975" s="1"/>
      <c r="P975" s="1"/>
      <c r="Q975" s="1"/>
      <c r="R975" s="1"/>
      <c r="S975" s="1"/>
      <c r="T975" s="2"/>
      <c r="U975" s="2"/>
      <c r="V975" s="2"/>
      <c r="W975" s="2"/>
      <c r="X975" s="2"/>
      <c r="Y975" s="2"/>
      <c r="Z975" s="2"/>
    </row>
    <row r="976" spans="1:26" ht="14.25" customHeight="1">
      <c r="A976" s="14"/>
      <c r="B976" s="2"/>
      <c r="C976" s="1"/>
      <c r="D976" s="1"/>
      <c r="E976" s="1"/>
      <c r="F976" s="1"/>
      <c r="G976" s="1"/>
      <c r="H976" s="1"/>
      <c r="I976" s="1"/>
      <c r="J976" s="1"/>
      <c r="K976" s="1"/>
      <c r="L976" s="1"/>
      <c r="M976" s="1"/>
      <c r="N976" s="1"/>
      <c r="O976" s="1"/>
      <c r="P976" s="1"/>
      <c r="Q976" s="1"/>
      <c r="R976" s="1"/>
      <c r="S976" s="1"/>
      <c r="T976" s="2"/>
      <c r="U976" s="2"/>
      <c r="V976" s="2"/>
      <c r="W976" s="2"/>
      <c r="X976" s="2"/>
      <c r="Y976" s="2"/>
      <c r="Z976" s="2"/>
    </row>
    <row r="977" spans="1:26" ht="14.25" customHeight="1">
      <c r="A977" s="14"/>
      <c r="B977" s="2"/>
      <c r="C977" s="1"/>
      <c r="D977" s="1"/>
      <c r="E977" s="1"/>
      <c r="F977" s="1"/>
      <c r="G977" s="1"/>
      <c r="H977" s="1"/>
      <c r="I977" s="1"/>
      <c r="J977" s="1"/>
      <c r="K977" s="1"/>
      <c r="L977" s="1"/>
      <c r="M977" s="1"/>
      <c r="N977" s="1"/>
      <c r="O977" s="1"/>
      <c r="P977" s="1"/>
      <c r="Q977" s="1"/>
      <c r="R977" s="1"/>
      <c r="S977" s="1"/>
      <c r="T977" s="2"/>
      <c r="U977" s="2"/>
      <c r="V977" s="2"/>
      <c r="W977" s="2"/>
      <c r="X977" s="2"/>
      <c r="Y977" s="2"/>
      <c r="Z977" s="2"/>
    </row>
    <row r="978" spans="1:26" ht="14.25" customHeight="1">
      <c r="A978" s="14"/>
      <c r="B978" s="2"/>
      <c r="C978" s="1"/>
      <c r="D978" s="1"/>
      <c r="E978" s="1"/>
      <c r="F978" s="1"/>
      <c r="G978" s="1"/>
      <c r="H978" s="1"/>
      <c r="I978" s="1"/>
      <c r="J978" s="1"/>
      <c r="K978" s="1"/>
      <c r="L978" s="1"/>
      <c r="M978" s="1"/>
      <c r="N978" s="1"/>
      <c r="O978" s="1"/>
      <c r="P978" s="1"/>
      <c r="Q978" s="1"/>
      <c r="R978" s="1"/>
      <c r="S978" s="1"/>
      <c r="T978" s="2"/>
      <c r="U978" s="2"/>
      <c r="V978" s="2"/>
      <c r="W978" s="2"/>
      <c r="X978" s="2"/>
      <c r="Y978" s="2"/>
      <c r="Z978" s="2"/>
    </row>
    <row r="979" spans="1:26" ht="14.25" customHeight="1">
      <c r="A979" s="14"/>
      <c r="B979" s="2"/>
      <c r="C979" s="1"/>
      <c r="D979" s="1"/>
      <c r="E979" s="1"/>
      <c r="F979" s="1"/>
      <c r="G979" s="1"/>
      <c r="H979" s="1"/>
      <c r="I979" s="1"/>
      <c r="J979" s="1"/>
      <c r="K979" s="1"/>
      <c r="L979" s="1"/>
      <c r="M979" s="1"/>
      <c r="N979" s="1"/>
      <c r="O979" s="1"/>
      <c r="P979" s="1"/>
      <c r="Q979" s="1"/>
      <c r="R979" s="1"/>
      <c r="S979" s="1"/>
      <c r="T979" s="2"/>
      <c r="U979" s="2"/>
      <c r="V979" s="2"/>
      <c r="W979" s="2"/>
      <c r="X979" s="2"/>
      <c r="Y979" s="2"/>
      <c r="Z979" s="2"/>
    </row>
    <row r="980" spans="1:26" ht="14.25" customHeight="1">
      <c r="A980" s="14"/>
      <c r="B980" s="2"/>
      <c r="C980" s="1"/>
      <c r="D980" s="1"/>
      <c r="E980" s="1"/>
      <c r="F980" s="1"/>
      <c r="G980" s="1"/>
      <c r="H980" s="1"/>
      <c r="I980" s="1"/>
      <c r="J980" s="1"/>
      <c r="K980" s="1"/>
      <c r="L980" s="1"/>
      <c r="M980" s="1"/>
      <c r="N980" s="1"/>
      <c r="O980" s="1"/>
      <c r="P980" s="1"/>
      <c r="Q980" s="1"/>
      <c r="R980" s="1"/>
      <c r="S980" s="1"/>
      <c r="T980" s="2"/>
      <c r="U980" s="2"/>
      <c r="V980" s="2"/>
      <c r="W980" s="2"/>
      <c r="X980" s="2"/>
      <c r="Y980" s="2"/>
      <c r="Z980" s="2"/>
    </row>
    <row r="981" spans="1:26" ht="14.25" customHeight="1">
      <c r="A981" s="14"/>
      <c r="B981" s="2"/>
      <c r="C981" s="1"/>
      <c r="D981" s="1"/>
      <c r="E981" s="1"/>
      <c r="F981" s="1"/>
      <c r="G981" s="1"/>
      <c r="H981" s="1"/>
      <c r="I981" s="1"/>
      <c r="J981" s="1"/>
      <c r="K981" s="1"/>
      <c r="L981" s="1"/>
      <c r="M981" s="1"/>
      <c r="N981" s="1"/>
      <c r="O981" s="1"/>
      <c r="P981" s="1"/>
      <c r="Q981" s="1"/>
      <c r="R981" s="1"/>
      <c r="S981" s="1"/>
      <c r="T981" s="2"/>
      <c r="U981" s="2"/>
      <c r="V981" s="2"/>
      <c r="W981" s="2"/>
      <c r="X981" s="2"/>
      <c r="Y981" s="2"/>
      <c r="Z981" s="2"/>
    </row>
    <row r="982" spans="1:26" ht="14.25" customHeight="1">
      <c r="A982" s="14"/>
      <c r="B982" s="2"/>
      <c r="C982" s="1"/>
      <c r="D982" s="1"/>
      <c r="E982" s="1"/>
      <c r="F982" s="1"/>
      <c r="G982" s="1"/>
      <c r="H982" s="1"/>
      <c r="I982" s="1"/>
      <c r="J982" s="1"/>
      <c r="K982" s="1"/>
      <c r="L982" s="1"/>
      <c r="M982" s="1"/>
      <c r="N982" s="1"/>
      <c r="O982" s="1"/>
      <c r="P982" s="1"/>
      <c r="Q982" s="1"/>
      <c r="R982" s="1"/>
      <c r="S982" s="1"/>
      <c r="T982" s="2"/>
      <c r="U982" s="2"/>
      <c r="V982" s="2"/>
      <c r="W982" s="2"/>
      <c r="X982" s="2"/>
      <c r="Y982" s="2"/>
      <c r="Z982" s="2"/>
    </row>
    <row r="983" spans="1:26" ht="14.25" customHeight="1">
      <c r="A983" s="14"/>
      <c r="B983" s="2"/>
      <c r="C983" s="1"/>
      <c r="D983" s="1"/>
      <c r="E983" s="1"/>
      <c r="F983" s="1"/>
      <c r="G983" s="1"/>
      <c r="H983" s="1"/>
      <c r="I983" s="1"/>
      <c r="J983" s="1"/>
      <c r="K983" s="1"/>
      <c r="L983" s="1"/>
      <c r="M983" s="1"/>
      <c r="N983" s="1"/>
      <c r="O983" s="1"/>
      <c r="P983" s="1"/>
      <c r="Q983" s="1"/>
      <c r="R983" s="1"/>
      <c r="S983" s="1"/>
      <c r="T983" s="2"/>
      <c r="U983" s="2"/>
      <c r="V983" s="2"/>
      <c r="W983" s="2"/>
      <c r="X983" s="2"/>
      <c r="Y983" s="2"/>
      <c r="Z983" s="2"/>
    </row>
    <row r="984" spans="1:26" ht="14.25" customHeight="1">
      <c r="A984" s="14"/>
      <c r="B984" s="2"/>
      <c r="C984" s="1"/>
      <c r="D984" s="1"/>
      <c r="E984" s="1"/>
      <c r="F984" s="1"/>
      <c r="G984" s="1"/>
      <c r="H984" s="1"/>
      <c r="I984" s="1"/>
      <c r="J984" s="1"/>
      <c r="K984" s="1"/>
      <c r="L984" s="1"/>
      <c r="M984" s="1"/>
      <c r="N984" s="1"/>
      <c r="O984" s="1"/>
      <c r="P984" s="1"/>
      <c r="Q984" s="1"/>
      <c r="R984" s="1"/>
      <c r="S984" s="1"/>
      <c r="T984" s="2"/>
      <c r="U984" s="2"/>
      <c r="V984" s="2"/>
      <c r="W984" s="2"/>
      <c r="X984" s="2"/>
      <c r="Y984" s="2"/>
      <c r="Z984" s="2"/>
    </row>
    <row r="985" spans="1:26" ht="14.25" customHeight="1">
      <c r="A985" s="14"/>
      <c r="B985" s="2"/>
      <c r="C985" s="1"/>
      <c r="D985" s="1"/>
      <c r="E985" s="1"/>
      <c r="F985" s="1"/>
      <c r="G985" s="1"/>
      <c r="H985" s="1"/>
      <c r="I985" s="1"/>
      <c r="J985" s="1"/>
      <c r="K985" s="1"/>
      <c r="L985" s="1"/>
      <c r="M985" s="1"/>
      <c r="N985" s="1"/>
      <c r="O985" s="1"/>
      <c r="P985" s="1"/>
      <c r="Q985" s="1"/>
      <c r="R985" s="1"/>
      <c r="S985" s="1"/>
      <c r="T985" s="2"/>
      <c r="U985" s="2"/>
      <c r="V985" s="2"/>
      <c r="W985" s="2"/>
      <c r="X985" s="2"/>
      <c r="Y985" s="2"/>
      <c r="Z985" s="2"/>
    </row>
    <row r="986" spans="1:26" ht="14.25" customHeight="1">
      <c r="A986" s="14"/>
      <c r="B986" s="2"/>
      <c r="C986" s="1"/>
      <c r="D986" s="1"/>
      <c r="E986" s="1"/>
      <c r="F986" s="1"/>
      <c r="G986" s="1"/>
      <c r="H986" s="1"/>
      <c r="I986" s="1"/>
      <c r="J986" s="1"/>
      <c r="K986" s="1"/>
      <c r="L986" s="1"/>
      <c r="M986" s="1"/>
      <c r="N986" s="1"/>
      <c r="O986" s="1"/>
      <c r="P986" s="1"/>
      <c r="Q986" s="1"/>
      <c r="R986" s="1"/>
      <c r="S986" s="1"/>
      <c r="T986" s="2"/>
      <c r="U986" s="2"/>
      <c r="V986" s="2"/>
      <c r="W986" s="2"/>
      <c r="X986" s="2"/>
      <c r="Y986" s="2"/>
      <c r="Z986" s="2"/>
    </row>
    <row r="987" spans="1:26" ht="14.25" customHeight="1">
      <c r="A987" s="14"/>
      <c r="B987" s="2"/>
      <c r="C987" s="1"/>
      <c r="D987" s="1"/>
      <c r="E987" s="1"/>
      <c r="F987" s="1"/>
      <c r="G987" s="1"/>
      <c r="H987" s="1"/>
      <c r="I987" s="1"/>
      <c r="J987" s="1"/>
      <c r="K987" s="1"/>
      <c r="L987" s="1"/>
      <c r="M987" s="1"/>
      <c r="N987" s="1"/>
      <c r="O987" s="1"/>
      <c r="P987" s="1"/>
      <c r="Q987" s="1"/>
      <c r="R987" s="1"/>
      <c r="S987" s="1"/>
      <c r="T987" s="2"/>
      <c r="U987" s="2"/>
      <c r="V987" s="2"/>
      <c r="W987" s="2"/>
      <c r="X987" s="2"/>
      <c r="Y987" s="2"/>
      <c r="Z987" s="2"/>
    </row>
    <row r="988" spans="1:26" ht="14.25" customHeight="1">
      <c r="A988" s="14"/>
      <c r="B988" s="2"/>
      <c r="C988" s="1"/>
      <c r="D988" s="1"/>
      <c r="E988" s="1"/>
      <c r="F988" s="1"/>
      <c r="G988" s="1"/>
      <c r="H988" s="1"/>
      <c r="I988" s="1"/>
      <c r="J988" s="1"/>
      <c r="K988" s="1"/>
      <c r="L988" s="1"/>
      <c r="M988" s="1"/>
      <c r="N988" s="1"/>
      <c r="O988" s="1"/>
      <c r="P988" s="1"/>
      <c r="Q988" s="1"/>
      <c r="R988" s="1"/>
      <c r="S988" s="1"/>
      <c r="T988" s="2"/>
      <c r="U988" s="2"/>
      <c r="V988" s="2"/>
      <c r="W988" s="2"/>
      <c r="X988" s="2"/>
      <c r="Y988" s="2"/>
      <c r="Z988" s="2"/>
    </row>
    <row r="989" spans="1:26" ht="14.25" customHeight="1">
      <c r="A989" s="14"/>
      <c r="B989" s="2"/>
      <c r="C989" s="1"/>
      <c r="D989" s="1"/>
      <c r="E989" s="1"/>
      <c r="F989" s="1"/>
      <c r="G989" s="1"/>
      <c r="H989" s="1"/>
      <c r="I989" s="1"/>
      <c r="J989" s="1"/>
      <c r="K989" s="1"/>
      <c r="L989" s="1"/>
      <c r="M989" s="1"/>
      <c r="N989" s="1"/>
      <c r="O989" s="1"/>
      <c r="P989" s="1"/>
      <c r="Q989" s="1"/>
      <c r="R989" s="1"/>
      <c r="S989" s="1"/>
      <c r="T989" s="2"/>
      <c r="U989" s="2"/>
      <c r="V989" s="2"/>
      <c r="W989" s="2"/>
      <c r="X989" s="2"/>
      <c r="Y989" s="2"/>
      <c r="Z989" s="2"/>
    </row>
    <row r="990" spans="1:26" ht="14.25" customHeight="1">
      <c r="A990" s="14"/>
      <c r="B990" s="2"/>
      <c r="C990" s="1"/>
      <c r="D990" s="1"/>
      <c r="E990" s="1"/>
      <c r="F990" s="1"/>
      <c r="G990" s="1"/>
      <c r="H990" s="1"/>
      <c r="I990" s="1"/>
      <c r="J990" s="1"/>
      <c r="K990" s="1"/>
      <c r="L990" s="1"/>
      <c r="M990" s="1"/>
      <c r="N990" s="1"/>
      <c r="O990" s="1"/>
      <c r="P990" s="1"/>
      <c r="Q990" s="1"/>
      <c r="R990" s="1"/>
      <c r="S990" s="1"/>
      <c r="T990" s="2"/>
      <c r="U990" s="2"/>
      <c r="V990" s="2"/>
      <c r="W990" s="2"/>
      <c r="X990" s="2"/>
      <c r="Y990" s="2"/>
      <c r="Z990" s="2"/>
    </row>
    <row r="991" spans="1:26" ht="14.25" customHeight="1">
      <c r="A991" s="14"/>
      <c r="B991" s="2"/>
      <c r="C991" s="1"/>
      <c r="D991" s="1"/>
      <c r="E991" s="1"/>
      <c r="F991" s="1"/>
      <c r="G991" s="1"/>
      <c r="H991" s="1"/>
      <c r="I991" s="1"/>
      <c r="J991" s="1"/>
      <c r="K991" s="1"/>
      <c r="L991" s="1"/>
      <c r="M991" s="1"/>
      <c r="N991" s="1"/>
      <c r="O991" s="1"/>
      <c r="P991" s="1"/>
      <c r="Q991" s="1"/>
      <c r="R991" s="1"/>
      <c r="S991" s="1"/>
      <c r="T991" s="2"/>
      <c r="U991" s="2"/>
      <c r="V991" s="2"/>
      <c r="W991" s="2"/>
      <c r="X991" s="2"/>
      <c r="Y991" s="2"/>
      <c r="Z991" s="2"/>
    </row>
    <row r="992" spans="1:26" ht="14.25" customHeight="1">
      <c r="A992" s="14"/>
      <c r="B992" s="2"/>
      <c r="C992" s="1"/>
      <c r="D992" s="1"/>
      <c r="E992" s="1"/>
      <c r="F992" s="1"/>
      <c r="G992" s="1"/>
      <c r="H992" s="1"/>
      <c r="I992" s="1"/>
      <c r="J992" s="1"/>
      <c r="K992" s="1"/>
      <c r="L992" s="1"/>
      <c r="M992" s="1"/>
      <c r="N992" s="1"/>
      <c r="O992" s="1"/>
      <c r="P992" s="1"/>
      <c r="Q992" s="1"/>
      <c r="R992" s="1"/>
      <c r="S992" s="1"/>
      <c r="T992" s="2"/>
      <c r="U992" s="2"/>
      <c r="V992" s="2"/>
      <c r="W992" s="2"/>
      <c r="X992" s="2"/>
      <c r="Y992" s="2"/>
      <c r="Z992" s="2"/>
    </row>
    <row r="993" spans="1:26" ht="14.25" customHeight="1">
      <c r="A993" s="14"/>
      <c r="B993" s="2"/>
      <c r="C993" s="1"/>
      <c r="D993" s="1"/>
      <c r="E993" s="1"/>
      <c r="F993" s="1"/>
      <c r="G993" s="1"/>
      <c r="H993" s="1"/>
      <c r="I993" s="1"/>
      <c r="J993" s="1"/>
      <c r="K993" s="1"/>
      <c r="L993" s="1"/>
      <c r="M993" s="1"/>
      <c r="N993" s="1"/>
      <c r="O993" s="1"/>
      <c r="P993" s="1"/>
      <c r="Q993" s="1"/>
      <c r="R993" s="1"/>
      <c r="S993" s="1"/>
      <c r="T993" s="2"/>
      <c r="U993" s="2"/>
      <c r="V993" s="2"/>
      <c r="W993" s="2"/>
      <c r="X993" s="2"/>
      <c r="Y993" s="2"/>
      <c r="Z993" s="2"/>
    </row>
    <row r="994" spans="1:26" ht="14.25" customHeight="1">
      <c r="A994" s="14"/>
      <c r="B994" s="2"/>
      <c r="C994" s="1"/>
      <c r="D994" s="1"/>
      <c r="E994" s="1"/>
      <c r="F994" s="1"/>
      <c r="G994" s="1"/>
      <c r="H994" s="1"/>
      <c r="I994" s="1"/>
      <c r="J994" s="1"/>
      <c r="K994" s="1"/>
      <c r="L994" s="1"/>
      <c r="M994" s="1"/>
      <c r="N994" s="1"/>
      <c r="O994" s="1"/>
      <c r="P994" s="1"/>
      <c r="Q994" s="1"/>
      <c r="R994" s="1"/>
      <c r="S994" s="1"/>
      <c r="T994" s="2"/>
      <c r="U994" s="2"/>
      <c r="V994" s="2"/>
      <c r="W994" s="2"/>
      <c r="X994" s="2"/>
      <c r="Y994" s="2"/>
      <c r="Z994" s="2"/>
    </row>
    <row r="995" spans="1:26" ht="14.25" customHeight="1">
      <c r="A995" s="14"/>
      <c r="B995" s="2"/>
      <c r="C995" s="1"/>
      <c r="D995" s="1"/>
      <c r="E995" s="1"/>
      <c r="F995" s="1"/>
      <c r="G995" s="1"/>
      <c r="H995" s="1"/>
      <c r="I995" s="1"/>
      <c r="J995" s="1"/>
      <c r="K995" s="1"/>
      <c r="L995" s="1"/>
      <c r="M995" s="1"/>
      <c r="N995" s="1"/>
      <c r="O995" s="1"/>
      <c r="P995" s="1"/>
      <c r="Q995" s="1"/>
      <c r="R995" s="1"/>
      <c r="S995" s="1"/>
      <c r="T995" s="2"/>
      <c r="U995" s="2"/>
      <c r="V995" s="2"/>
      <c r="W995" s="2"/>
      <c r="X995" s="2"/>
      <c r="Y995" s="2"/>
      <c r="Z995" s="2"/>
    </row>
    <row r="996" spans="1:26" ht="14.25" customHeight="1">
      <c r="A996" s="14"/>
      <c r="B996" s="2"/>
      <c r="C996" s="1"/>
      <c r="D996" s="1"/>
      <c r="E996" s="1"/>
      <c r="F996" s="1"/>
      <c r="G996" s="1"/>
      <c r="H996" s="1"/>
      <c r="I996" s="1"/>
      <c r="J996" s="1"/>
      <c r="K996" s="1"/>
      <c r="L996" s="1"/>
      <c r="M996" s="1"/>
      <c r="N996" s="1"/>
      <c r="O996" s="1"/>
      <c r="P996" s="1"/>
      <c r="Q996" s="1"/>
      <c r="R996" s="1"/>
      <c r="S996" s="1"/>
      <c r="T996" s="2"/>
      <c r="U996" s="2"/>
      <c r="V996" s="2"/>
      <c r="W996" s="2"/>
      <c r="X996" s="2"/>
      <c r="Y996" s="2"/>
      <c r="Z996" s="2"/>
    </row>
    <row r="997" spans="1:26" ht="14.25" customHeight="1">
      <c r="A997" s="14"/>
      <c r="B997" s="2"/>
      <c r="C997" s="1"/>
      <c r="D997" s="1"/>
      <c r="E997" s="1"/>
      <c r="F997" s="1"/>
      <c r="G997" s="1"/>
      <c r="H997" s="1"/>
      <c r="I997" s="1"/>
      <c r="J997" s="1"/>
      <c r="K997" s="1"/>
      <c r="L997" s="1"/>
      <c r="M997" s="1"/>
      <c r="N997" s="1"/>
      <c r="O997" s="1"/>
      <c r="P997" s="1"/>
      <c r="Q997" s="1"/>
      <c r="R997" s="1"/>
      <c r="S997" s="1"/>
      <c r="T997" s="2"/>
      <c r="U997" s="2"/>
      <c r="V997" s="2"/>
      <c r="W997" s="2"/>
      <c r="X997" s="2"/>
      <c r="Y997" s="2"/>
      <c r="Z997" s="2"/>
    </row>
    <row r="998" spans="1:26" ht="14.25" customHeight="1">
      <c r="A998" s="14"/>
      <c r="B998" s="2"/>
      <c r="C998" s="1"/>
      <c r="D998" s="1"/>
      <c r="E998" s="1"/>
      <c r="F998" s="1"/>
      <c r="G998" s="1"/>
      <c r="H998" s="1"/>
      <c r="I998" s="1"/>
      <c r="J998" s="1"/>
      <c r="K998" s="1"/>
      <c r="L998" s="1"/>
      <c r="M998" s="1"/>
      <c r="N998" s="1"/>
      <c r="O998" s="1"/>
      <c r="P998" s="1"/>
      <c r="Q998" s="1"/>
      <c r="R998" s="1"/>
      <c r="S998" s="1"/>
      <c r="T998" s="2"/>
      <c r="U998" s="2"/>
      <c r="V998" s="2"/>
      <c r="W998" s="2"/>
      <c r="X998" s="2"/>
      <c r="Y998" s="2"/>
      <c r="Z998" s="2"/>
    </row>
    <row r="999" spans="1:26" ht="14.25" customHeight="1">
      <c r="A999" s="14"/>
      <c r="B999" s="2"/>
      <c r="C999" s="1"/>
      <c r="D999" s="1"/>
      <c r="E999" s="1"/>
      <c r="F999" s="1"/>
      <c r="G999" s="1"/>
      <c r="H999" s="1"/>
      <c r="I999" s="1"/>
      <c r="J999" s="1"/>
      <c r="K999" s="1"/>
      <c r="L999" s="1"/>
      <c r="M999" s="1"/>
      <c r="N999" s="1"/>
      <c r="O999" s="1"/>
      <c r="P999" s="1"/>
      <c r="Q999" s="1"/>
      <c r="R999" s="1"/>
      <c r="S999" s="1"/>
      <c r="T999" s="2"/>
      <c r="U999" s="2"/>
      <c r="V999" s="2"/>
      <c r="W999" s="2"/>
      <c r="X999" s="2"/>
      <c r="Y999" s="2"/>
      <c r="Z999" s="2"/>
    </row>
    <row r="1000" spans="1:26" ht="14.25" customHeight="1">
      <c r="A1000" s="14"/>
      <c r="B1000" s="2"/>
      <c r="C1000" s="1"/>
      <c r="D1000" s="1"/>
      <c r="E1000" s="1"/>
      <c r="F1000" s="1"/>
      <c r="G1000" s="1"/>
      <c r="H1000" s="1"/>
      <c r="I1000" s="1"/>
      <c r="J1000" s="1"/>
      <c r="K1000" s="1"/>
      <c r="L1000" s="1"/>
      <c r="M1000" s="1"/>
      <c r="N1000" s="1"/>
      <c r="O1000" s="1"/>
      <c r="P1000" s="1"/>
      <c r="Q1000" s="1"/>
      <c r="R1000" s="1"/>
      <c r="S1000" s="1"/>
      <c r="T1000" s="2"/>
      <c r="U1000" s="2"/>
      <c r="V1000" s="2"/>
      <c r="W1000" s="2"/>
      <c r="X1000" s="2"/>
      <c r="Y1000" s="2"/>
      <c r="Z1000" s="2"/>
    </row>
  </sheetData>
  <mergeCells count="3">
    <mergeCell ref="A2:A5"/>
    <mergeCell ref="A7:A8"/>
    <mergeCell ref="A10:A11"/>
  </mergeCells>
  <hyperlinks>
    <hyperlink ref="C14" r:id="rId1" xr:uid="{00000000-0004-0000-0200-000000000000}"/>
    <hyperlink ref="D14" r:id="rId2" xr:uid="{00000000-0004-0000-0200-000001000000}"/>
    <hyperlink ref="E14" r:id="rId3" xr:uid="{00000000-0004-0000-0200-000002000000}"/>
    <hyperlink ref="F14" r:id="rId4" xr:uid="{00000000-0004-0000-0200-000003000000}"/>
    <hyperlink ref="G14" r:id="rId5" xr:uid="{00000000-0004-0000-0200-000004000000}"/>
    <hyperlink ref="H14" r:id="rId6" xr:uid="{00000000-0004-0000-0200-000005000000}"/>
    <hyperlink ref="I14" r:id="rId7" xr:uid="{00000000-0004-0000-0200-000006000000}"/>
    <hyperlink ref="J14" r:id="rId8" xr:uid="{00000000-0004-0000-0200-000007000000}"/>
    <hyperlink ref="K14" r:id="rId9" xr:uid="{00000000-0004-0000-0200-000008000000}"/>
    <hyperlink ref="L14" r:id="rId10" xr:uid="{00000000-0004-0000-0200-000009000000}"/>
    <hyperlink ref="M14" r:id="rId11" xr:uid="{00000000-0004-0000-0200-00000A000000}"/>
    <hyperlink ref="N14" r:id="rId12" xr:uid="{00000000-0004-0000-0200-00000B000000}"/>
    <hyperlink ref="O14" r:id="rId13" xr:uid="{00000000-0004-0000-0200-00000C000000}"/>
    <hyperlink ref="Q14" r:id="rId14" xr:uid="{00000000-0004-0000-0200-00000D000000}"/>
    <hyperlink ref="R14" r:id="rId15" xr:uid="{00000000-0004-0000-0200-00000E000000}"/>
    <hyperlink ref="S14" r:id="rId16" xr:uid="{00000000-0004-0000-0200-00000F000000}"/>
  </hyperlinks>
  <pageMargins left="0.7" right="0.7" top="0.75" bottom="0.75" header="0" footer="0"/>
  <pageSetup orientation="landscape" r:id="rId17"/>
  <legacyDrawing r:id="rId18"/>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'BackUp Data'!$B$4:$B$7</xm:f>
          </x14:formula1>
          <xm:sqref>B7</xm:sqref>
        </x14:dataValidation>
        <x14:dataValidation type="list" allowBlank="1" showErrorMessage="1" xr:uid="{00000000-0002-0000-0200-000001000000}">
          <x14:formula1>
            <xm:f>'BackUp Data'!$D$4:$D$6</xm:f>
          </x14:formula1>
          <xm:sqref>B8</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Y991"/>
  <sheetViews>
    <sheetView showGridLines="0" zoomScaleNormal="100" workbookViewId="0">
      <pane xSplit="6" ySplit="14" topLeftCell="G15" activePane="bottomRight" state="frozen"/>
      <selection pane="topRight" activeCell="G1" sqref="G1"/>
      <selection pane="bottomLeft" activeCell="A15" sqref="A15"/>
      <selection pane="bottomRight" activeCell="G8" sqref="G8"/>
    </sheetView>
  </sheetViews>
  <sheetFormatPr defaultColWidth="14.44140625" defaultRowHeight="12.6"/>
  <cols>
    <col min="1" max="1" width="2.21875" style="882" customWidth="1"/>
    <col min="2" max="2" width="32.33203125" style="882" customWidth="1"/>
    <col min="3" max="3" width="33.6640625" style="882" customWidth="1"/>
    <col min="4" max="4" width="37.44140625" style="882" hidden="1" customWidth="1"/>
    <col min="5" max="5" width="32.6640625" style="883" customWidth="1"/>
    <col min="6" max="6" width="1" style="883" customWidth="1"/>
    <col min="7" max="10" width="32.88671875" style="882" customWidth="1"/>
    <col min="11" max="11" width="20.6640625" style="882" customWidth="1"/>
    <col min="12" max="17" width="8.5546875" style="882" hidden="1" customWidth="1"/>
    <col min="18" max="25" width="8.5546875" style="882" customWidth="1"/>
    <col min="26" max="16384" width="14.44140625" style="882"/>
  </cols>
  <sheetData>
    <row r="1" spans="1:25" ht="13.2" thickBot="1">
      <c r="A1" s="881" t="s">
        <v>102</v>
      </c>
    </row>
    <row r="2" spans="1:25" ht="13.2" thickBot="1">
      <c r="A2" s="884">
        <f>Inputs!B2</f>
        <v>45177</v>
      </c>
      <c r="B2" s="885"/>
      <c r="C2" s="1314" t="s">
        <v>0</v>
      </c>
      <c r="D2" s="1315"/>
      <c r="E2" s="1315"/>
      <c r="F2" s="1316"/>
      <c r="G2" s="1316"/>
      <c r="H2" s="1316"/>
      <c r="I2" s="1316"/>
      <c r="J2" s="1317"/>
      <c r="K2" s="886"/>
      <c r="L2" s="886"/>
      <c r="M2" s="886"/>
      <c r="N2" s="886"/>
      <c r="O2" s="886"/>
      <c r="P2" s="886"/>
      <c r="Q2" s="886"/>
      <c r="R2" s="886"/>
      <c r="S2" s="886"/>
      <c r="T2" s="886"/>
      <c r="U2" s="886"/>
      <c r="V2" s="886"/>
      <c r="W2" s="886"/>
      <c r="X2" s="886"/>
      <c r="Y2" s="886"/>
    </row>
    <row r="3" spans="1:25">
      <c r="A3" s="951"/>
      <c r="B3" s="885"/>
      <c r="C3" s="1324" t="s">
        <v>337</v>
      </c>
      <c r="D3" s="1325"/>
      <c r="E3" s="1326"/>
      <c r="F3" s="887"/>
      <c r="G3" s="1318" t="str">
        <f>'Company Info'!B4</f>
        <v>ABC</v>
      </c>
      <c r="H3" s="1319"/>
      <c r="I3" s="1319"/>
      <c r="J3" s="1320"/>
      <c r="K3" s="954"/>
      <c r="L3" s="886"/>
      <c r="M3" s="886"/>
      <c r="N3" s="886"/>
      <c r="O3" s="886"/>
      <c r="P3" s="886"/>
      <c r="Q3" s="886"/>
      <c r="R3" s="886"/>
      <c r="S3" s="886"/>
      <c r="T3" s="886"/>
      <c r="U3" s="886"/>
      <c r="V3" s="886"/>
      <c r="W3" s="886"/>
      <c r="X3" s="886"/>
      <c r="Y3" s="886"/>
    </row>
    <row r="4" spans="1:25">
      <c r="B4" s="885"/>
      <c r="C4" s="1305" t="s">
        <v>338</v>
      </c>
      <c r="D4" s="1306"/>
      <c r="E4" s="1307"/>
      <c r="F4" s="887"/>
      <c r="G4" s="1321" t="s">
        <v>339</v>
      </c>
      <c r="H4" s="1322"/>
      <c r="I4" s="1322"/>
      <c r="J4" s="1323"/>
      <c r="K4" s="954" t="s">
        <v>340</v>
      </c>
      <c r="L4" s="886"/>
      <c r="M4" s="886"/>
      <c r="N4" s="886"/>
      <c r="O4" s="886"/>
      <c r="P4" s="886"/>
      <c r="Q4" s="886"/>
      <c r="R4" s="886"/>
      <c r="S4" s="886"/>
      <c r="T4" s="886"/>
      <c r="U4" s="886"/>
      <c r="V4" s="886"/>
      <c r="W4" s="886"/>
      <c r="X4" s="886"/>
      <c r="Y4" s="886"/>
    </row>
    <row r="5" spans="1:25" ht="13.2" thickBot="1">
      <c r="B5" s="885"/>
      <c r="C5" s="1308" t="s">
        <v>341</v>
      </c>
      <c r="D5" s="1309"/>
      <c r="E5" s="1310"/>
      <c r="F5" s="887"/>
      <c r="G5" s="1327" t="s">
        <v>342</v>
      </c>
      <c r="H5" s="1328"/>
      <c r="I5" s="1328"/>
      <c r="J5" s="1329"/>
      <c r="K5" s="954" t="s">
        <v>340</v>
      </c>
      <c r="L5" s="886"/>
      <c r="M5" s="886"/>
      <c r="N5" s="886"/>
      <c r="O5" s="886"/>
      <c r="P5" s="886"/>
      <c r="Q5" s="886"/>
      <c r="R5" s="886"/>
      <c r="S5" s="886"/>
      <c r="T5" s="886"/>
      <c r="U5" s="886"/>
      <c r="V5" s="886"/>
      <c r="W5" s="886"/>
      <c r="X5" s="886"/>
      <c r="Y5" s="886"/>
    </row>
    <row r="6" spans="1:25" ht="13.2" thickBot="1">
      <c r="B6" s="885"/>
      <c r="C6" s="888"/>
      <c r="D6" s="888"/>
      <c r="E6" s="888"/>
      <c r="F6" s="888"/>
      <c r="G6" s="889"/>
      <c r="H6" s="889"/>
      <c r="I6" s="889"/>
      <c r="J6" s="889"/>
      <c r="K6" s="886"/>
      <c r="L6" s="886"/>
      <c r="M6" s="886"/>
      <c r="N6" s="886"/>
      <c r="O6" s="886"/>
      <c r="P6" s="886"/>
      <c r="Q6" s="886"/>
      <c r="R6" s="886"/>
      <c r="S6" s="886"/>
      <c r="T6" s="886"/>
      <c r="U6" s="886"/>
      <c r="V6" s="886"/>
      <c r="W6" s="886"/>
      <c r="X6" s="886"/>
      <c r="Y6" s="886"/>
    </row>
    <row r="7" spans="1:25" ht="13.2" thickBot="1">
      <c r="B7" s="885"/>
      <c r="C7" s="1336"/>
      <c r="D7" s="1336"/>
      <c r="E7" s="1336"/>
      <c r="F7" s="887"/>
      <c r="G7" s="1332" t="s">
        <v>67</v>
      </c>
      <c r="H7" s="1333"/>
      <c r="I7" s="1334"/>
      <c r="J7" s="955" t="s">
        <v>68</v>
      </c>
      <c r="K7" s="886"/>
      <c r="L7" s="886"/>
      <c r="M7" s="886"/>
      <c r="N7" s="886"/>
      <c r="O7" s="886"/>
      <c r="P7" s="886"/>
      <c r="Q7" s="886"/>
      <c r="R7" s="886"/>
      <c r="S7" s="886"/>
      <c r="T7" s="886"/>
      <c r="U7" s="886"/>
      <c r="V7" s="886"/>
      <c r="W7" s="886"/>
      <c r="X7" s="886"/>
      <c r="Y7" s="886"/>
    </row>
    <row r="8" spans="1:25" ht="13.2" thickBot="1">
      <c r="B8" s="885"/>
      <c r="C8" s="891"/>
      <c r="D8" s="892"/>
      <c r="E8" s="891"/>
      <c r="F8" s="891"/>
      <c r="G8" s="893" t="s">
        <v>343</v>
      </c>
      <c r="H8" s="956" t="s">
        <v>344</v>
      </c>
      <c r="I8" s="895" t="s">
        <v>345</v>
      </c>
      <c r="J8" s="896" t="s">
        <v>346</v>
      </c>
      <c r="L8" s="897"/>
      <c r="M8" s="897"/>
      <c r="N8" s="886"/>
      <c r="O8" s="886"/>
      <c r="P8" s="886"/>
      <c r="Q8" s="886"/>
      <c r="R8" s="886"/>
      <c r="S8" s="886"/>
      <c r="T8" s="886"/>
      <c r="U8" s="886"/>
      <c r="V8" s="886"/>
      <c r="W8" s="886"/>
      <c r="X8" s="886"/>
      <c r="Y8" s="886"/>
    </row>
    <row r="9" spans="1:25" ht="13.2" thickBot="1">
      <c r="B9" s="885"/>
      <c r="C9" s="1311" t="s">
        <v>347</v>
      </c>
      <c r="D9" s="1312"/>
      <c r="E9" s="1312"/>
      <c r="F9" s="1312"/>
      <c r="G9" s="1312"/>
      <c r="H9" s="1312"/>
      <c r="I9" s="1312"/>
      <c r="J9" s="1313"/>
      <c r="K9" s="957"/>
      <c r="L9" s="886"/>
      <c r="M9" s="886"/>
      <c r="N9" s="886"/>
      <c r="O9" s="886"/>
      <c r="P9" s="886"/>
      <c r="Q9" s="886"/>
      <c r="R9" s="886"/>
      <c r="S9" s="886"/>
      <c r="T9" s="886"/>
      <c r="U9" s="886"/>
      <c r="V9" s="886"/>
      <c r="W9" s="886"/>
      <c r="X9" s="886"/>
      <c r="Y9" s="886"/>
    </row>
    <row r="10" spans="1:25">
      <c r="B10" s="898"/>
      <c r="C10" s="899" t="s">
        <v>348</v>
      </c>
      <c r="D10" s="900"/>
      <c r="E10" s="958" t="s">
        <v>349</v>
      </c>
      <c r="F10" s="887"/>
      <c r="G10" s="899" t="s">
        <v>350</v>
      </c>
      <c r="H10" s="899" t="s">
        <v>350</v>
      </c>
      <c r="I10" s="899" t="s">
        <v>350</v>
      </c>
      <c r="J10" s="901" t="s">
        <v>350</v>
      </c>
      <c r="K10" s="959" t="s">
        <v>340</v>
      </c>
      <c r="L10" s="886"/>
      <c r="M10" s="886"/>
      <c r="N10" s="886"/>
      <c r="O10" s="886"/>
      <c r="P10" s="886"/>
      <c r="Q10" s="886"/>
      <c r="R10" s="886"/>
      <c r="S10" s="886"/>
      <c r="T10" s="886"/>
      <c r="U10" s="886"/>
      <c r="V10" s="886"/>
      <c r="W10" s="886"/>
      <c r="X10" s="886"/>
      <c r="Y10" s="886"/>
    </row>
    <row r="11" spans="1:25">
      <c r="B11" s="898"/>
      <c r="C11" s="902" t="s">
        <v>351</v>
      </c>
      <c r="D11" s="903"/>
      <c r="E11" s="904" t="s">
        <v>349</v>
      </c>
      <c r="F11" s="887"/>
      <c r="G11" s="904">
        <v>629670</v>
      </c>
      <c r="H11" s="904">
        <v>700000</v>
      </c>
      <c r="I11" s="960">
        <v>750000</v>
      </c>
      <c r="J11" s="905" t="str">
        <f>Inputs!L25</f>
        <v>3,13,559</v>
      </c>
      <c r="K11" s="959" t="s">
        <v>340</v>
      </c>
      <c r="L11" s="886"/>
      <c r="M11" s="886"/>
      <c r="N11" s="886"/>
      <c r="O11" s="886"/>
      <c r="P11" s="886"/>
      <c r="Q11" s="886"/>
      <c r="R11" s="886"/>
      <c r="S11" s="886"/>
      <c r="T11" s="886"/>
      <c r="U11" s="886"/>
      <c r="V11" s="886"/>
      <c r="W11" s="886"/>
      <c r="X11" s="886"/>
      <c r="Y11" s="886"/>
    </row>
    <row r="12" spans="1:25">
      <c r="B12" s="898"/>
      <c r="C12" s="906" t="s">
        <v>352</v>
      </c>
      <c r="D12" s="907"/>
      <c r="E12" s="908" t="s">
        <v>353</v>
      </c>
      <c r="F12" s="887"/>
      <c r="G12" s="908">
        <v>60</v>
      </c>
      <c r="H12" s="908">
        <v>60</v>
      </c>
      <c r="I12" s="961">
        <v>60</v>
      </c>
      <c r="J12" s="909">
        <f>Inputs!G25</f>
        <v>30</v>
      </c>
      <c r="K12" s="959" t="s">
        <v>340</v>
      </c>
      <c r="L12" s="886"/>
      <c r="M12" s="886"/>
      <c r="N12" s="886"/>
      <c r="O12" s="886"/>
      <c r="P12" s="886"/>
      <c r="Q12" s="886"/>
      <c r="R12" s="886"/>
      <c r="S12" s="886"/>
      <c r="T12" s="886"/>
      <c r="U12" s="886"/>
      <c r="V12" s="886"/>
      <c r="W12" s="886"/>
      <c r="X12" s="886"/>
      <c r="Y12" s="886"/>
    </row>
    <row r="13" spans="1:25" ht="13.2" thickBot="1">
      <c r="B13" s="898"/>
      <c r="C13" s="912" t="s">
        <v>354</v>
      </c>
      <c r="D13" s="913"/>
      <c r="E13" s="962" t="s">
        <v>349</v>
      </c>
      <c r="F13" s="887"/>
      <c r="G13" s="962">
        <f>G11/G12</f>
        <v>10494.5</v>
      </c>
      <c r="H13" s="962">
        <f>H11/H12</f>
        <v>11666.666666666666</v>
      </c>
      <c r="I13" s="963">
        <f>I11/I12</f>
        <v>12500</v>
      </c>
      <c r="J13" s="964">
        <f>J11/J12</f>
        <v>10451.966666666667</v>
      </c>
      <c r="K13" s="959"/>
      <c r="L13" s="886"/>
      <c r="M13" s="886"/>
      <c r="N13" s="886"/>
      <c r="O13" s="886"/>
      <c r="P13" s="886"/>
      <c r="Q13" s="886"/>
      <c r="R13" s="886"/>
      <c r="S13" s="886"/>
      <c r="T13" s="886"/>
      <c r="U13" s="886"/>
      <c r="V13" s="886"/>
      <c r="W13" s="886"/>
      <c r="X13" s="886"/>
      <c r="Y13" s="886"/>
    </row>
    <row r="14" spans="1:25" ht="13.2" thickBot="1">
      <c r="B14" s="898"/>
      <c r="C14" s="1337" t="s">
        <v>355</v>
      </c>
      <c r="D14" s="1338"/>
      <c r="E14" s="1338"/>
      <c r="F14" s="1338"/>
      <c r="G14" s="1338"/>
      <c r="H14" s="1338"/>
      <c r="I14" s="1338"/>
      <c r="J14" s="1339"/>
      <c r="L14" s="916"/>
      <c r="M14" s="916"/>
      <c r="N14" s="916"/>
      <c r="O14" s="916"/>
      <c r="P14" s="916"/>
      <c r="Q14" s="916"/>
      <c r="R14" s="916"/>
      <c r="S14" s="886"/>
      <c r="T14" s="886"/>
      <c r="U14" s="886"/>
      <c r="V14" s="886"/>
      <c r="W14" s="886"/>
      <c r="X14" s="886"/>
      <c r="Y14" s="886"/>
    </row>
    <row r="15" spans="1:25">
      <c r="B15" s="1340" t="s">
        <v>356</v>
      </c>
      <c r="C15" s="1343" t="s">
        <v>121</v>
      </c>
      <c r="D15" s="918" t="str">
        <f>SUBSTITUTE($C$15," ","")</f>
        <v>FamilyDefinition</v>
      </c>
      <c r="E15" s="965" t="s">
        <v>199</v>
      </c>
      <c r="F15" s="887"/>
      <c r="G15" s="928" t="str">
        <f>INDEX('GHI DB'!$A$3:$BS$27,MATCH('GHI Features (Option 1)'!G$8,'GHI DB'!$A$3:$A$27,0),MATCH('GHI Features (Option 1)'!$E15,'GHI DB'!$A$3:$BS$3,0))</f>
        <v xml:space="preserve">✔ </v>
      </c>
      <c r="H15" s="966" t="str">
        <f>INDEX('GHI DB'!$A$3:$BS$27,MATCH('GHI Features (Option 1)'!H$8,'GHI DB'!$A$3:$A$27,0),MATCH('GHI Features (Option 1)'!$E15,'GHI DB'!$A$3:$BS$3,0))</f>
        <v xml:space="preserve">✔ </v>
      </c>
      <c r="I15" s="930" t="str">
        <f>INDEX('GHI DB'!$A$3:$BS$27,MATCH('GHI Features (Option 1)'!I$8,'GHI DB'!$A$3:$A$27,0),MATCH('GHI Features (Option 1)'!$E15,'GHI DB'!$A$3:$BS$3,0))</f>
        <v xml:space="preserve">✔ </v>
      </c>
      <c r="J15" s="931" t="str">
        <f>INDEX('GHI DB'!$A$3:$BS$27,MATCH('GHI Features (Option 1)'!J$8,'GHI DB'!$A$3:$A$27,0),MATCH('GHI Features (Option 1)'!$E15,'GHI DB'!$A$3:$BS$3,0))</f>
        <v xml:space="preserve">✔ </v>
      </c>
      <c r="K15" s="967"/>
      <c r="L15" s="886"/>
      <c r="M15" s="886"/>
      <c r="N15" s="886"/>
      <c r="O15" s="886"/>
      <c r="P15" s="886"/>
      <c r="Q15" s="886"/>
      <c r="R15" s="886"/>
      <c r="S15" s="886"/>
      <c r="T15" s="886"/>
      <c r="U15" s="886"/>
      <c r="V15" s="886"/>
      <c r="W15" s="886"/>
      <c r="X15" s="886"/>
      <c r="Y15" s="886"/>
    </row>
    <row r="16" spans="1:25">
      <c r="B16" s="1341"/>
      <c r="C16" s="1344"/>
      <c r="D16" s="918" t="str">
        <f>SUBSTITUTE($C$15," ","")</f>
        <v>FamilyDefinition</v>
      </c>
      <c r="E16" s="968" t="s">
        <v>201</v>
      </c>
      <c r="F16" s="887"/>
      <c r="G16" s="969" t="str">
        <f>INDEX('GHI DB'!$A$3:$BS$27,MATCH('GHI Features (Option 1)'!G$8,'GHI DB'!$A$3:$A$27,0),MATCH('GHI Features (Option 1)'!$E16,'GHI DB'!$A$3:$BS$3,0))</f>
        <v xml:space="preserve">✔ </v>
      </c>
      <c r="H16" s="970" t="str">
        <f>INDEX('GHI DB'!$A$3:$BS$27,MATCH('GHI Features (Option 1)'!H$8,'GHI DB'!$A$3:$A$27,0),MATCH('GHI Features (Option 1)'!$E16,'GHI DB'!$A$3:$BS$3,0))</f>
        <v xml:space="preserve">✔ </v>
      </c>
      <c r="I16" s="971" t="str">
        <f>INDEX('GHI DB'!$A$3:$BS$27,MATCH('GHI Features (Option 1)'!I$8,'GHI DB'!$A$3:$A$27,0),MATCH('GHI Features (Option 1)'!$E16,'GHI DB'!$A$3:$BS$3,0))</f>
        <v xml:space="preserve">✔ </v>
      </c>
      <c r="J16" s="972" t="str">
        <f>INDEX('GHI DB'!$A$3:$BS$27,MATCH('GHI Features (Option 1)'!J$8,'GHI DB'!$A$3:$A$27,0),MATCH('GHI Features (Option 1)'!$E16,'GHI DB'!$A$3:$BS$3,0))</f>
        <v xml:space="preserve">✔ </v>
      </c>
      <c r="K16" s="923"/>
      <c r="L16" s="886"/>
      <c r="M16" s="886"/>
      <c r="N16" s="886"/>
      <c r="O16" s="886"/>
      <c r="P16" s="886"/>
      <c r="Q16" s="886"/>
      <c r="R16" s="886"/>
      <c r="S16" s="886"/>
      <c r="T16" s="886"/>
      <c r="U16" s="886"/>
      <c r="V16" s="886"/>
      <c r="W16" s="886"/>
      <c r="X16" s="886"/>
      <c r="Y16" s="886"/>
    </row>
    <row r="17" spans="1:25">
      <c r="B17" s="1341"/>
      <c r="C17" s="1344"/>
      <c r="D17" s="918" t="str">
        <f>SUBSTITUTE($C$15," ","")</f>
        <v>FamilyDefinition</v>
      </c>
      <c r="E17" s="968" t="s">
        <v>125</v>
      </c>
      <c r="F17" s="887"/>
      <c r="G17" s="969">
        <f>INDEX('GHI DB'!$A$3:$BS$27,MATCH('GHI Features (Option 1)'!G$8,'GHI DB'!$A$3:$A$27,0),MATCH('GHI Features (Option 1)'!$E17,'GHI DB'!$A$3:$BS$3,0))</f>
        <v>2</v>
      </c>
      <c r="H17" s="970">
        <f>INDEX('GHI DB'!$A$3:$BS$27,MATCH('GHI Features (Option 1)'!H$8,'GHI DB'!$A$3:$A$27,0),MATCH('GHI Features (Option 1)'!$E17,'GHI DB'!$A$3:$BS$3,0))</f>
        <v>4</v>
      </c>
      <c r="I17" s="971">
        <f>INDEX('GHI DB'!$A$3:$BS$27,MATCH('GHI Features (Option 1)'!I$8,'GHI DB'!$A$3:$A$27,0),MATCH('GHI Features (Option 1)'!$E17,'GHI DB'!$A$3:$BS$3,0))</f>
        <v>4</v>
      </c>
      <c r="J17" s="972">
        <f>INDEX('GHI DB'!$A$3:$BS$27,MATCH('GHI Features (Option 1)'!J$8,'GHI DB'!$A$3:$A$27,0),MATCH('GHI Features (Option 1)'!$E17,'GHI DB'!$A$3:$BS$3,0))</f>
        <v>4</v>
      </c>
      <c r="K17" s="973"/>
      <c r="L17" s="886"/>
      <c r="M17" s="886"/>
      <c r="N17" s="886"/>
      <c r="O17" s="886"/>
      <c r="P17" s="886"/>
      <c r="Q17" s="886"/>
      <c r="R17" s="886"/>
      <c r="S17" s="886"/>
      <c r="T17" s="886"/>
      <c r="U17" s="886"/>
      <c r="V17" s="886"/>
      <c r="W17" s="886"/>
      <c r="X17" s="886"/>
      <c r="Y17" s="886"/>
    </row>
    <row r="18" spans="1:25" ht="13.2" thickBot="1">
      <c r="B18" s="1342"/>
      <c r="C18" s="1345"/>
      <c r="D18" s="918" t="str">
        <f>SUBSTITUTE($C$15," ","")</f>
        <v>FamilyDefinition</v>
      </c>
      <c r="E18" s="974" t="s">
        <v>126</v>
      </c>
      <c r="F18" s="887"/>
      <c r="G18" s="975" t="str">
        <f>INDEX('GHI DB'!$A$3:$BS$27,MATCH('GHI Features (Option 1)'!G$8,'GHI DB'!$A$3:$A$27,0),MATCH('GHI Features (Option 1)'!$E18,'GHI DB'!$A$3:$BS$3,0))</f>
        <v xml:space="preserve">✔ </v>
      </c>
      <c r="H18" s="976" t="str">
        <f>INDEX('GHI DB'!$A$3:$BS$27,MATCH('GHI Features (Option 1)'!H$8,'GHI DB'!$A$3:$A$27,0),MATCH('GHI Features (Option 1)'!$E18,'GHI DB'!$A$3:$BS$3,0))</f>
        <v>✖</v>
      </c>
      <c r="I18" s="977" t="str">
        <f>INDEX('GHI DB'!$A$3:$BS$27,MATCH('GHI Features (Option 1)'!I$8,'GHI DB'!$A$3:$A$27,0),MATCH('GHI Features (Option 1)'!$E18,'GHI DB'!$A$3:$BS$3,0))</f>
        <v>✖</v>
      </c>
      <c r="J18" s="978" t="str">
        <f>INDEX('GHI DB'!$A$3:$BS$27,MATCH('GHI Features (Option 1)'!J$8,'GHI DB'!$A$3:$A$27,0),MATCH('GHI Features (Option 1)'!$E18,'GHI DB'!$A$3:$BS$3,0))</f>
        <v xml:space="preserve">✔ </v>
      </c>
      <c r="K18" s="923"/>
      <c r="L18" s="886"/>
      <c r="M18" s="886"/>
      <c r="N18" s="886"/>
      <c r="O18" s="886" t="s">
        <v>357</v>
      </c>
      <c r="P18" s="886"/>
      <c r="Q18" s="886"/>
      <c r="R18" s="886"/>
      <c r="S18" s="886"/>
      <c r="T18" s="886"/>
      <c r="U18" s="886"/>
      <c r="V18" s="886"/>
      <c r="W18" s="886"/>
      <c r="X18" s="886"/>
      <c r="Y18" s="886"/>
    </row>
    <row r="19" spans="1:25" ht="4.2" customHeight="1" thickBot="1">
      <c r="A19" s="923"/>
      <c r="B19" s="923"/>
      <c r="C19" s="923"/>
      <c r="D19" s="923"/>
      <c r="E19" s="923"/>
      <c r="F19" s="887"/>
      <c r="G19" s="979"/>
      <c r="H19" s="979"/>
      <c r="I19" s="979"/>
      <c r="J19" s="979"/>
      <c r="K19" s="923"/>
      <c r="L19" s="886"/>
      <c r="M19" s="886"/>
      <c r="N19" s="886"/>
      <c r="O19" s="886"/>
      <c r="P19" s="886"/>
      <c r="Q19" s="886"/>
      <c r="R19" s="886"/>
      <c r="S19" s="886"/>
      <c r="T19" s="886"/>
      <c r="U19" s="886"/>
      <c r="V19" s="886"/>
      <c r="W19" s="886"/>
      <c r="X19" s="886"/>
      <c r="Y19" s="886"/>
    </row>
    <row r="20" spans="1:25">
      <c r="B20" s="1346" t="s">
        <v>358</v>
      </c>
      <c r="C20" s="980" t="s">
        <v>359</v>
      </c>
      <c r="D20" s="927" t="str">
        <f>SUBSTITUTE(C20," ","")</f>
        <v>TypeofCover</v>
      </c>
      <c r="E20" s="965" t="s">
        <v>360</v>
      </c>
      <c r="F20" s="887"/>
      <c r="G20" s="928" t="str">
        <f>INDEX('GHI DB'!$A$3:$BS$27,MATCH('GHI Features (Option 1)'!G$8,'GHI DB'!$A$3:$A$27,0),MATCH('GHI Features (Option 1)'!$E20,'GHI DB'!$A$3:$BS$3,0))</f>
        <v xml:space="preserve">✔ </v>
      </c>
      <c r="H20" s="966" t="str">
        <f>INDEX('GHI DB'!$A$3:$BS$27,MATCH('GHI Features (Option 1)'!H$8,'GHI DB'!$A$3:$A$27,0),MATCH('GHI Features (Option 1)'!$E20,'GHI DB'!$A$3:$BS$3,0))</f>
        <v>✖</v>
      </c>
      <c r="I20" s="930" t="str">
        <f>INDEX('GHI DB'!$A$3:$BS$27,MATCH('GHI Features (Option 1)'!I$8,'GHI DB'!$A$3:$A$27,0),MATCH('GHI Features (Option 1)'!$E20,'GHI DB'!$A$3:$BS$3,0))</f>
        <v xml:space="preserve">✔ </v>
      </c>
      <c r="J20" s="931" t="str">
        <f>INDEX('GHI DB'!$A$3:$BS$27,MATCH('GHI Features (Option 1)'!J$8,'GHI DB'!$A$3:$A$27,0),MATCH('GHI Features (Option 1)'!$E20,'GHI DB'!$A$3:$BS$3,0))</f>
        <v xml:space="preserve">✔ </v>
      </c>
      <c r="L20" s="886"/>
      <c r="M20" s="886"/>
      <c r="N20" s="886"/>
      <c r="O20" s="886"/>
      <c r="P20" s="886"/>
      <c r="Q20" s="886"/>
      <c r="R20" s="886"/>
      <c r="S20" s="886"/>
      <c r="T20" s="886"/>
      <c r="U20" s="886"/>
      <c r="V20" s="886"/>
      <c r="W20" s="886"/>
      <c r="X20" s="886"/>
      <c r="Y20" s="886"/>
    </row>
    <row r="21" spans="1:25" ht="88.2">
      <c r="B21" s="1347"/>
      <c r="C21" s="981" t="s">
        <v>128</v>
      </c>
      <c r="D21" s="927" t="str">
        <f t="shared" ref="D21:D60" si="0">SUBSTITUTE(C21," ","")</f>
        <v>RoomRentRestriction</v>
      </c>
      <c r="E21" s="968" t="s">
        <v>361</v>
      </c>
      <c r="F21" s="887"/>
      <c r="G21" s="969" t="str">
        <f>INDEX('GHI DB'!$A$3:$BS$27,MATCH('GHI Features (Option 1)'!G$8,'GHI DB'!$A$3:$A$27,0),MATCH('GHI Features (Option 1)'!$E21,'GHI DB'!$A$3:$BS$3,0))</f>
        <v xml:space="preserve">✔ </v>
      </c>
      <c r="H21" s="970" t="str">
        <f>INDEX('GHI DB'!$A$3:$BS$27,MATCH('GHI Features (Option 1)'!H$8,'GHI DB'!$A$3:$A$27,0),MATCH('GHI Features (Option 1)'!$E21,'GHI DB'!$A$3:$BS$3,0))</f>
        <v>For SI 1 lac - Rs. 2,000 for Normal, 
Rs. 4,000 for ICU
For SI 2/3 lac - Rs. 5,000 for Normal, 
Rs. 10,000 for ICU</v>
      </c>
      <c r="I21" s="971" t="str">
        <f>INDEX('GHI DB'!$A$3:$BS$27,MATCH('GHI Features (Option 1)'!I$8,'GHI DB'!$A$3:$A$27,0),MATCH('GHI Features (Option 1)'!$E21,'GHI DB'!$A$3:$BS$3,0))</f>
        <v>For SI 1 lac - Rs. 2,000 for Normal, 
Rs. 4,000 for ICU
For SI 2 lac/ 3 lac - Rs. 5,000 for Normal, 
Rs. 10,000 for ICU
For SI 5 lac - Single Private AC,
No Limit for ICU</v>
      </c>
      <c r="J21" s="972" t="str">
        <f>INDEX('GHI DB'!$A$3:$BS$27,MATCH('GHI Features (Option 1)'!J$8,'GHI DB'!$A$3:$A$27,0),MATCH('GHI Features (Option 1)'!$E21,'GHI DB'!$A$3:$BS$3,0))</f>
        <v xml:space="preserve">✔ </v>
      </c>
      <c r="K21" s="954" t="s">
        <v>362</v>
      </c>
      <c r="L21" s="886"/>
      <c r="M21" s="886"/>
      <c r="N21" s="886"/>
      <c r="O21" s="886"/>
      <c r="P21" s="886"/>
      <c r="Q21" s="886"/>
      <c r="R21" s="886"/>
      <c r="S21" s="886"/>
      <c r="T21" s="886"/>
      <c r="U21" s="886"/>
      <c r="V21" s="886"/>
      <c r="W21" s="886"/>
      <c r="X21" s="886"/>
      <c r="Y21" s="886"/>
    </row>
    <row r="22" spans="1:25">
      <c r="B22" s="1347"/>
      <c r="C22" s="981" t="s">
        <v>132</v>
      </c>
      <c r="D22" s="927" t="str">
        <f t="shared" si="0"/>
        <v>CoPay</v>
      </c>
      <c r="E22" s="968" t="s">
        <v>363</v>
      </c>
      <c r="F22" s="887"/>
      <c r="G22" s="969" t="str">
        <f>INDEX('GHI DB'!$A$3:$BS$27,MATCH('GHI Features (Option 1)'!G$8,'GHI DB'!$A$3:$A$27,0),MATCH('GHI Features (Option 1)'!$E22,'GHI DB'!$A$3:$BS$3,0))</f>
        <v>✖</v>
      </c>
      <c r="H22" s="970" t="str">
        <f>INDEX('GHI DB'!$A$3:$BS$27,MATCH('GHI Features (Option 1)'!H$8,'GHI DB'!$A$3:$A$27,0),MATCH('GHI Features (Option 1)'!$E22,'GHI DB'!$A$3:$BS$3,0))</f>
        <v>✖</v>
      </c>
      <c r="I22" s="971" t="str">
        <f>INDEX('GHI DB'!$A$3:$BS$27,MATCH('GHI Features (Option 1)'!I$8,'GHI DB'!$A$3:$A$27,0),MATCH('GHI Features (Option 1)'!$E22,'GHI DB'!$A$3:$BS$3,0))</f>
        <v xml:space="preserve">✔ </v>
      </c>
      <c r="J22" s="972" t="str">
        <f>INDEX('GHI DB'!$A$3:$BS$27,MATCH('GHI Features (Option 1)'!J$8,'GHI DB'!$A$3:$A$27,0),MATCH('GHI Features (Option 1)'!$E22,'GHI DB'!$A$3:$BS$3,0))</f>
        <v xml:space="preserve">✔ </v>
      </c>
      <c r="L22" s="886"/>
      <c r="M22" s="886"/>
      <c r="N22" s="886"/>
      <c r="O22" s="886"/>
      <c r="P22" s="886"/>
      <c r="Q22" s="886"/>
      <c r="R22" s="886"/>
      <c r="S22" s="886"/>
      <c r="T22" s="886"/>
      <c r="U22" s="886"/>
      <c r="V22" s="886"/>
      <c r="W22" s="886"/>
      <c r="X22" s="886"/>
      <c r="Y22" s="886"/>
    </row>
    <row r="23" spans="1:25" ht="13.2" thickBot="1">
      <c r="B23" s="1347"/>
      <c r="C23" s="982" t="s">
        <v>165</v>
      </c>
      <c r="D23" s="927" t="str">
        <f t="shared" si="0"/>
        <v>CorporateBuffer</v>
      </c>
      <c r="E23" s="968" t="s">
        <v>364</v>
      </c>
      <c r="F23" s="887"/>
      <c r="G23" s="975" t="str">
        <f>INDEX('GHI DB'!$A$3:$BS$27,MATCH('GHI Features (Option 1)'!G$8,'GHI DB'!$A$3:$A$27,0),MATCH('GHI Features (Option 1)'!$E23,'GHI DB'!$A$3:$BS$3,0))</f>
        <v>Not Covered</v>
      </c>
      <c r="H23" s="976" t="str">
        <f>INDEX('GHI DB'!$A$3:$BS$27,MATCH('GHI Features (Option 1)'!H$8,'GHI DB'!$A$3:$A$27,0),MATCH('GHI Features (Option 1)'!$E23,'GHI DB'!$A$3:$BS$3,0))</f>
        <v>Not Covered</v>
      </c>
      <c r="I23" s="977" t="str">
        <f>INDEX('GHI DB'!$A$3:$BS$27,MATCH('GHI Features (Option 1)'!I$8,'GHI DB'!$A$3:$A$27,0),MATCH('GHI Features (Option 1)'!$E23,'GHI DB'!$A$3:$BS$3,0))</f>
        <v>Not Covered</v>
      </c>
      <c r="J23" s="978" t="str">
        <f>INDEX('GHI DB'!$A$3:$BS$27,MATCH('GHI Features (Option 1)'!J$8,'GHI DB'!$A$3:$A$27,0),MATCH('GHI Features (Option 1)'!$E23,'GHI DB'!$A$3:$BS$3,0))</f>
        <v>Not Covered</v>
      </c>
      <c r="L23" s="886"/>
      <c r="M23" s="886"/>
      <c r="N23" s="886"/>
      <c r="O23" s="886"/>
      <c r="P23" s="886"/>
      <c r="Q23" s="886"/>
      <c r="R23" s="886"/>
      <c r="S23" s="886"/>
      <c r="T23" s="886"/>
      <c r="U23" s="886"/>
      <c r="V23" s="886"/>
      <c r="W23" s="886"/>
      <c r="X23" s="886"/>
      <c r="Y23" s="886"/>
    </row>
    <row r="24" spans="1:25" ht="4.2" customHeight="1" thickBot="1">
      <c r="A24" s="923"/>
      <c r="B24" s="923"/>
      <c r="C24" s="923"/>
      <c r="D24" s="923"/>
      <c r="E24" s="923"/>
      <c r="F24" s="887"/>
      <c r="G24" s="979"/>
      <c r="H24" s="979"/>
      <c r="I24" s="979"/>
      <c r="J24" s="979"/>
      <c r="K24" s="923"/>
      <c r="L24" s="886"/>
      <c r="M24" s="886"/>
      <c r="N24" s="886"/>
      <c r="O24" s="886"/>
      <c r="P24" s="886"/>
      <c r="Q24" s="886"/>
      <c r="R24" s="886"/>
      <c r="S24" s="886"/>
      <c r="T24" s="886"/>
      <c r="U24" s="886"/>
      <c r="V24" s="886"/>
      <c r="W24" s="886"/>
      <c r="X24" s="886"/>
      <c r="Y24" s="886"/>
    </row>
    <row r="25" spans="1:25">
      <c r="B25" s="1346" t="s">
        <v>365</v>
      </c>
      <c r="C25" s="983" t="s">
        <v>142</v>
      </c>
      <c r="D25" s="927" t="str">
        <f t="shared" si="0"/>
        <v>InpatientHospitalization</v>
      </c>
      <c r="E25" s="965" t="s">
        <v>135</v>
      </c>
      <c r="F25" s="887"/>
      <c r="G25" s="928" t="str">
        <f>INDEX('GHI DB'!$A$3:$BS$27,MATCH('GHI Features (Option 1)'!G$8,'GHI DB'!$A$3:$A$27,0),MATCH('GHI Features (Option 1)'!$E25,'GHI DB'!$A$3:$BS$3,0))</f>
        <v xml:space="preserve">✔ </v>
      </c>
      <c r="H25" s="966" t="str">
        <f>INDEX('GHI DB'!$A$3:$BS$27,MATCH('GHI Features (Option 1)'!H$8,'GHI DB'!$A$3:$A$27,0),MATCH('GHI Features (Option 1)'!$E25,'GHI DB'!$A$3:$BS$3,0))</f>
        <v xml:space="preserve">✔ </v>
      </c>
      <c r="I25" s="930" t="str">
        <f>INDEX('GHI DB'!$A$3:$BS$27,MATCH('GHI Features (Option 1)'!I$8,'GHI DB'!$A$3:$A$27,0),MATCH('GHI Features (Option 1)'!$E25,'GHI DB'!$A$3:$BS$3,0))</f>
        <v xml:space="preserve">✔ </v>
      </c>
      <c r="J25" s="931" t="str">
        <f>INDEX('GHI DB'!$A$3:$BS$27,MATCH('GHI Features (Option 1)'!J$8,'GHI DB'!$A$3:$A$27,0),MATCH('GHI Features (Option 1)'!$E25,'GHI DB'!$A$3:$BS$3,0))</f>
        <v xml:space="preserve">✔ </v>
      </c>
      <c r="K25" s="984"/>
      <c r="L25" s="886"/>
      <c r="M25" s="886"/>
      <c r="N25" s="886"/>
      <c r="O25" s="886"/>
      <c r="P25" s="886"/>
      <c r="Q25" s="886"/>
      <c r="R25" s="886"/>
      <c r="S25" s="886"/>
      <c r="T25" s="886"/>
      <c r="U25" s="886"/>
      <c r="V25" s="886"/>
      <c r="W25" s="886"/>
      <c r="X25" s="886"/>
      <c r="Y25" s="886"/>
    </row>
    <row r="26" spans="1:25" ht="25.2">
      <c r="B26" s="1347"/>
      <c r="C26" s="985" t="s">
        <v>245</v>
      </c>
      <c r="D26" s="927" t="str">
        <f t="shared" si="0"/>
        <v>DayCareTreatments</v>
      </c>
      <c r="E26" s="968" t="s">
        <v>366</v>
      </c>
      <c r="F26" s="887"/>
      <c r="G26" s="969" t="str">
        <f>INDEX('GHI DB'!$A$3:$BS$27,MATCH('GHI Features (Option 1)'!G$8,'GHI DB'!$A$3:$A$27,0),MATCH('GHI Features (Option 1)'!$E26,'GHI DB'!$A$3:$BS$3,0))</f>
        <v>✔ 
(Listed Procedures Only)</v>
      </c>
      <c r="H26" s="970" t="str">
        <f>INDEX('GHI DB'!$A$3:$BS$27,MATCH('GHI Features (Option 1)'!H$8,'GHI DB'!$A$3:$A$27,0),MATCH('GHI Features (Option 1)'!$E26,'GHI DB'!$A$3:$BS$3,0))</f>
        <v>✔ 
(Listed Procedures Only)</v>
      </c>
      <c r="I26" s="971" t="str">
        <f>INDEX('GHI DB'!$A$3:$BS$27,MATCH('GHI Features (Option 1)'!I$8,'GHI DB'!$A$3:$A$27,0),MATCH('GHI Features (Option 1)'!$E26,'GHI DB'!$A$3:$BS$3,0))</f>
        <v>✔ 
(Listed Procedures Only)</v>
      </c>
      <c r="J26" s="972" t="str">
        <f>INDEX('GHI DB'!$A$3:$BS$27,MATCH('GHI Features (Option 1)'!J$8,'GHI DB'!$A$3:$A$27,0),MATCH('GHI Features (Option 1)'!$E26,'GHI DB'!$A$3:$BS$3,0))</f>
        <v>✔ 
(Listed Procedures Only)</v>
      </c>
      <c r="K26" s="889"/>
      <c r="L26" s="886"/>
      <c r="M26" s="886"/>
      <c r="N26" s="886"/>
      <c r="O26" s="886"/>
      <c r="P26" s="886"/>
      <c r="Q26" s="886"/>
      <c r="R26" s="886"/>
      <c r="S26" s="886"/>
      <c r="T26" s="886"/>
      <c r="U26" s="886"/>
      <c r="V26" s="886"/>
      <c r="W26" s="886"/>
      <c r="X26" s="886"/>
      <c r="Y26" s="886"/>
    </row>
    <row r="27" spans="1:25">
      <c r="B27" s="1347"/>
      <c r="C27" s="985" t="s">
        <v>255</v>
      </c>
      <c r="D27" s="927" t="str">
        <f t="shared" si="0"/>
        <v>DiseaseCapping</v>
      </c>
      <c r="E27" s="968" t="s">
        <v>256</v>
      </c>
      <c r="F27" s="887"/>
      <c r="G27" s="969" t="str">
        <f>INDEX('GHI DB'!$A$3:$BS$27,MATCH('GHI Features (Option 1)'!G$8,'GHI DB'!$A$3:$A$27,0),MATCH('GHI Features (Option 1)'!$E27,'GHI DB'!$A$3:$BS$3,0))</f>
        <v xml:space="preserve">✔ </v>
      </c>
      <c r="H27" s="970" t="str">
        <f>INDEX('GHI DB'!$A$3:$BS$27,MATCH('GHI Features (Option 1)'!H$8,'GHI DB'!$A$3:$A$27,0),MATCH('GHI Features (Option 1)'!$E27,'GHI DB'!$A$3:$BS$3,0))</f>
        <v xml:space="preserve">✔ </v>
      </c>
      <c r="I27" s="971" t="str">
        <f>INDEX('GHI DB'!$A$3:$BS$27,MATCH('GHI Features (Option 1)'!I$8,'GHI DB'!$A$3:$A$27,0),MATCH('GHI Features (Option 1)'!$E27,'GHI DB'!$A$3:$BS$3,0))</f>
        <v xml:space="preserve">✔ </v>
      </c>
      <c r="J27" s="972" t="str">
        <f>INDEX('GHI DB'!$A$3:$BS$27,MATCH('GHI Features (Option 1)'!J$8,'GHI DB'!$A$3:$A$27,0),MATCH('GHI Features (Option 1)'!$E27,'GHI DB'!$A$3:$BS$3,0))</f>
        <v xml:space="preserve">✔ </v>
      </c>
      <c r="K27" s="886"/>
      <c r="L27" s="886"/>
      <c r="M27" s="886"/>
      <c r="N27" s="886"/>
      <c r="O27" s="886"/>
      <c r="P27" s="886"/>
      <c r="Q27" s="886"/>
      <c r="R27" s="886"/>
      <c r="S27" s="886"/>
      <c r="T27" s="886"/>
      <c r="U27" s="886"/>
      <c r="V27" s="886"/>
      <c r="W27" s="886"/>
      <c r="X27" s="886"/>
      <c r="Y27" s="886"/>
    </row>
    <row r="28" spans="1:25">
      <c r="B28" s="1347"/>
      <c r="C28" s="985" t="s">
        <v>367</v>
      </c>
      <c r="D28" s="927" t="str">
        <f t="shared" si="0"/>
        <v>COVID19Coverage</v>
      </c>
      <c r="E28" s="968" t="s">
        <v>135</v>
      </c>
      <c r="F28" s="887"/>
      <c r="G28" s="969" t="str">
        <f>INDEX('GHI DB'!$A$3:$BS$27,MATCH('GHI Features (Option 1)'!G$8,'GHI DB'!$A$3:$A$27,0),MATCH('GHI Features (Option 1)'!$E28,'GHI DB'!$A$3:$BS$3,0))</f>
        <v xml:space="preserve">✔ </v>
      </c>
      <c r="H28" s="970" t="str">
        <f>INDEX('GHI DB'!$A$3:$BS$27,MATCH('GHI Features (Option 1)'!H$8,'GHI DB'!$A$3:$A$27,0),MATCH('GHI Features (Option 1)'!$E28,'GHI DB'!$A$3:$BS$3,0))</f>
        <v xml:space="preserve">✔ </v>
      </c>
      <c r="I28" s="971" t="str">
        <f>INDEX('GHI DB'!$A$3:$BS$27,MATCH('GHI Features (Option 1)'!I$8,'GHI DB'!$A$3:$A$27,0),MATCH('GHI Features (Option 1)'!$E28,'GHI DB'!$A$3:$BS$3,0))</f>
        <v xml:space="preserve">✔ </v>
      </c>
      <c r="J28" s="972" t="str">
        <f>INDEX('GHI DB'!$A$3:$BS$27,MATCH('GHI Features (Option 1)'!J$8,'GHI DB'!$A$3:$A$27,0),MATCH('GHI Features (Option 1)'!$E28,'GHI DB'!$A$3:$BS$3,0))</f>
        <v xml:space="preserve">✔ </v>
      </c>
      <c r="K28" s="886"/>
      <c r="L28" s="886"/>
      <c r="M28" s="886"/>
      <c r="N28" s="886"/>
      <c r="O28" s="886"/>
      <c r="P28" s="886"/>
      <c r="Q28" s="886"/>
      <c r="R28" s="886"/>
      <c r="S28" s="886"/>
      <c r="T28" s="886"/>
      <c r="U28" s="886"/>
      <c r="V28" s="886"/>
      <c r="W28" s="886"/>
      <c r="X28" s="886"/>
      <c r="Y28" s="886"/>
    </row>
    <row r="29" spans="1:25" ht="38.4" thickBot="1">
      <c r="B29" s="1348"/>
      <c r="C29" s="986" t="s">
        <v>260</v>
      </c>
      <c r="D29" s="927" t="str">
        <f t="shared" si="0"/>
        <v>DomicillaryHospitalization</v>
      </c>
      <c r="E29" s="974" t="s">
        <v>261</v>
      </c>
      <c r="F29" s="887"/>
      <c r="G29" s="975" t="str">
        <f>INDEX('GHI DB'!$A$3:$BS$27,MATCH('GHI Features (Option 1)'!G$8,'GHI DB'!$A$3:$A$27,0),MATCH('GHI Features (Option 1)'!$E29,'GHI DB'!$A$3:$BS$3,0))</f>
        <v>✖</v>
      </c>
      <c r="H29" s="976" t="str">
        <f>INDEX('GHI DB'!$A$3:$BS$27,MATCH('GHI Features (Option 1)'!H$8,'GHI DB'!$A$3:$A$27,0),MATCH('GHI Features (Option 1)'!$E29,'GHI DB'!$A$3:$BS$3,0))</f>
        <v>✖</v>
      </c>
      <c r="I29" s="977" t="str">
        <f>INDEX('GHI DB'!$A$3:$BS$27,MATCH('GHI Features (Option 1)'!I$8,'GHI DB'!$A$3:$A$27,0),MATCH('GHI Features (Option 1)'!$E29,'GHI DB'!$A$3:$BS$3,0))</f>
        <v>✖</v>
      </c>
      <c r="J29" s="978" t="str">
        <f>INDEX('GHI DB'!$A$3:$BS$27,MATCH('GHI Features (Option 1)'!J$8,'GHI DB'!$A$3:$A$27,0),MATCH('GHI Features (Option 1)'!$E29,'GHI DB'!$A$3:$BS$3,0))</f>
        <v xml:space="preserve">✔ </v>
      </c>
      <c r="K29" s="886"/>
      <c r="L29" s="886"/>
      <c r="M29" s="886"/>
      <c r="N29" s="886"/>
      <c r="O29" s="886"/>
      <c r="P29" s="886"/>
      <c r="Q29" s="886"/>
      <c r="R29" s="886"/>
      <c r="S29" s="886"/>
      <c r="T29" s="886"/>
      <c r="U29" s="886"/>
      <c r="V29" s="886"/>
      <c r="W29" s="886"/>
      <c r="X29" s="886"/>
      <c r="Y29" s="886"/>
    </row>
    <row r="30" spans="1:25" ht="4.2" customHeight="1" thickBot="1">
      <c r="A30" s="923"/>
      <c r="B30" s="923"/>
      <c r="C30" s="923"/>
      <c r="D30" s="923"/>
      <c r="E30" s="923"/>
      <c r="F30" s="887"/>
      <c r="G30" s="979"/>
      <c r="H30" s="979"/>
      <c r="I30" s="979"/>
      <c r="J30" s="979"/>
      <c r="K30" s="923"/>
      <c r="L30" s="886"/>
      <c r="M30" s="886"/>
      <c r="N30" s="886"/>
      <c r="O30" s="886"/>
      <c r="P30" s="886"/>
      <c r="Q30" s="886"/>
      <c r="R30" s="886"/>
      <c r="S30" s="886"/>
      <c r="T30" s="886"/>
      <c r="U30" s="886"/>
      <c r="V30" s="886"/>
      <c r="W30" s="886"/>
      <c r="X30" s="886"/>
      <c r="Y30" s="886"/>
    </row>
    <row r="31" spans="1:25" ht="38.4" thickBot="1">
      <c r="B31" s="987" t="s">
        <v>368</v>
      </c>
      <c r="C31" s="917" t="s">
        <v>136</v>
      </c>
      <c r="D31" s="927" t="str">
        <f t="shared" si="0"/>
        <v>PreandPostHospitalizationCoverage</v>
      </c>
      <c r="E31" s="988" t="s">
        <v>369</v>
      </c>
      <c r="F31" s="887"/>
      <c r="G31" s="989" t="str">
        <f>INDEX('GHI DB'!$A$3:$BS$27,MATCH('GHI Features (Option 1)'!G$8,'GHI DB'!$A$3:$A$27,0),MATCH('GHI Features (Option 1)'!$E31,'GHI DB'!$A$3:$BS$3,0))</f>
        <v>30/60 days</v>
      </c>
      <c r="H31" s="990" t="str">
        <f>INDEX('GHI DB'!$A$3:$BS$27,MATCH('GHI Features (Option 1)'!H$8,'GHI DB'!$A$3:$A$27,0),MATCH('GHI Features (Option 1)'!$E31,'GHI DB'!$A$3:$BS$3,0))</f>
        <v>60/90 Days</v>
      </c>
      <c r="I31" s="991" t="str">
        <f>INDEX('GHI DB'!$A$3:$BS$27,MATCH('GHI Features (Option 1)'!I$8,'GHI DB'!$A$3:$A$27,0),MATCH('GHI Features (Option 1)'!$E31,'GHI DB'!$A$3:$BS$3,0))</f>
        <v>60/90 Days</v>
      </c>
      <c r="J31" s="992" t="str">
        <f>INDEX('GHI DB'!$A$3:$BS$27,MATCH('GHI Features (Option 1)'!J$8,'GHI DB'!$A$3:$A$27,0),MATCH('GHI Features (Option 1)'!$E31,'GHI DB'!$A$3:$BS$3,0))</f>
        <v>30/60 days</v>
      </c>
      <c r="K31" s="886"/>
      <c r="L31" s="886"/>
      <c r="M31" s="886"/>
      <c r="N31" s="886"/>
      <c r="O31" s="886"/>
      <c r="P31" s="886"/>
      <c r="Q31" s="886"/>
      <c r="R31" s="886"/>
      <c r="S31" s="886"/>
      <c r="T31" s="886"/>
      <c r="U31" s="886"/>
      <c r="V31" s="886"/>
      <c r="W31" s="886"/>
      <c r="X31" s="886"/>
      <c r="Y31" s="886"/>
    </row>
    <row r="32" spans="1:25" ht="4.2" customHeight="1" thickBot="1">
      <c r="A32" s="923"/>
      <c r="B32" s="923"/>
      <c r="C32" s="923"/>
      <c r="D32" s="923"/>
      <c r="E32" s="923"/>
      <c r="F32" s="887"/>
      <c r="G32" s="979"/>
      <c r="H32" s="979"/>
      <c r="I32" s="979"/>
      <c r="J32" s="979"/>
      <c r="K32" s="923"/>
      <c r="L32" s="886"/>
      <c r="M32" s="886"/>
      <c r="N32" s="886"/>
      <c r="O32" s="886"/>
      <c r="P32" s="886"/>
      <c r="Q32" s="886"/>
      <c r="R32" s="886"/>
      <c r="S32" s="886"/>
      <c r="T32" s="886"/>
      <c r="U32" s="886"/>
      <c r="V32" s="886"/>
      <c r="W32" s="886"/>
      <c r="X32" s="886"/>
      <c r="Y32" s="886"/>
    </row>
    <row r="33" spans="1:25" ht="25.2">
      <c r="B33" s="1330" t="s">
        <v>370</v>
      </c>
      <c r="C33" s="983" t="s">
        <v>130</v>
      </c>
      <c r="D33" s="927" t="str">
        <f t="shared" si="0"/>
        <v>MaternityCover</v>
      </c>
      <c r="E33" s="965" t="s">
        <v>131</v>
      </c>
      <c r="F33" s="887"/>
      <c r="G33" s="928" t="str">
        <f>INDEX('GHI DB'!$A$3:$BS$27,MATCH('GHI Features (Option 1)'!G$8,'GHI DB'!$A$3:$A$27,0),MATCH('GHI Features (Option 1)'!$E33,'GHI DB'!$A$3:$BS$3,0))</f>
        <v xml:space="preserve">✔ </v>
      </c>
      <c r="H33" s="966" t="str">
        <f>INDEX('GHI DB'!$A$3:$BS$27,MATCH('GHI Features (Option 1)'!H$8,'GHI DB'!$A$3:$A$27,0),MATCH('GHI Features (Option 1)'!$E33,'GHI DB'!$A$3:$BS$3,0))</f>
        <v>Optional -50k 
(with extra loading)</v>
      </c>
      <c r="I33" s="930" t="str">
        <f>INDEX('GHI DB'!$A$3:$BS$27,MATCH('GHI Features (Option 1)'!I$8,'GHI DB'!$A$3:$A$27,0),MATCH('GHI Features (Option 1)'!$E33,'GHI DB'!$A$3:$BS$3,0))</f>
        <v>Optional - 35K, 50K, 75K
(with extra loading)</v>
      </c>
      <c r="J33" s="931" t="str">
        <f>INDEX('GHI DB'!$A$3:$BS$27,MATCH('GHI Features (Option 1)'!J$8,'GHI DB'!$A$3:$A$27,0),MATCH('GHI Features (Option 1)'!$E33,'GHI DB'!$A$3:$BS$3,0))</f>
        <v xml:space="preserve">✔ </v>
      </c>
      <c r="K33" s="886"/>
      <c r="L33" s="886"/>
      <c r="M33" s="886"/>
      <c r="N33" s="886"/>
      <c r="O33" s="886"/>
      <c r="P33" s="886"/>
      <c r="Q33" s="886"/>
      <c r="R33" s="886"/>
      <c r="S33" s="886"/>
      <c r="T33" s="886"/>
      <c r="U33" s="886"/>
      <c r="V33" s="886"/>
      <c r="W33" s="886"/>
      <c r="X33" s="886"/>
      <c r="Y33" s="886"/>
    </row>
    <row r="34" spans="1:25">
      <c r="B34" s="1331"/>
      <c r="C34" s="985" t="s">
        <v>273</v>
      </c>
      <c r="D34" s="927" t="str">
        <f t="shared" si="0"/>
        <v>MaternityWaitingPeriod</v>
      </c>
      <c r="E34" s="968" t="s">
        <v>371</v>
      </c>
      <c r="F34" s="887"/>
      <c r="G34" s="969" t="str">
        <f>INDEX('GHI DB'!$A$3:$BS$27,MATCH('GHI Features (Option 1)'!G$8,'GHI DB'!$A$3:$A$27,0),MATCH('GHI Features (Option 1)'!$E34,'GHI DB'!$A$3:$BS$3,0))</f>
        <v>Not Applicable</v>
      </c>
      <c r="H34" s="970" t="str">
        <f>INDEX('GHI DB'!$A$3:$BS$27,MATCH('GHI Features (Option 1)'!H$8,'GHI DB'!$A$3:$A$27,0),MATCH('GHI Features (Option 1)'!$E34,'GHI DB'!$A$3:$BS$3,0))</f>
        <v>Not Applicable</v>
      </c>
      <c r="I34" s="971" t="str">
        <f>INDEX('GHI DB'!$A$3:$BS$27,MATCH('GHI Features (Option 1)'!I$8,'GHI DB'!$A$3:$A$27,0),MATCH('GHI Features (Option 1)'!$E34,'GHI DB'!$A$3:$BS$3,0))</f>
        <v>Not Applicable</v>
      </c>
      <c r="J34" s="972" t="str">
        <f>INDEX('GHI DB'!$A$3:$BS$27,MATCH('GHI Features (Option 1)'!J$8,'GHI DB'!$A$3:$A$27,0),MATCH('GHI Features (Option 1)'!$E34,'GHI DB'!$A$3:$BS$3,0))</f>
        <v>Not Applicable</v>
      </c>
      <c r="K34" s="886"/>
      <c r="L34" s="886"/>
      <c r="M34" s="886"/>
      <c r="N34" s="886"/>
      <c r="O34" s="886"/>
      <c r="P34" s="886"/>
      <c r="Q34" s="886"/>
      <c r="R34" s="886"/>
      <c r="S34" s="886"/>
      <c r="T34" s="886"/>
      <c r="U34" s="886"/>
      <c r="V34" s="886"/>
      <c r="W34" s="886"/>
      <c r="X34" s="886"/>
      <c r="Y34" s="886"/>
    </row>
    <row r="35" spans="1:25" ht="30" customHeight="1" thickBot="1">
      <c r="B35" s="1335"/>
      <c r="C35" s="986" t="s">
        <v>164</v>
      </c>
      <c r="D35" s="927" t="str">
        <f t="shared" si="0"/>
        <v>PreandPostNatalExpenses</v>
      </c>
      <c r="E35" s="974" t="s">
        <v>275</v>
      </c>
      <c r="F35" s="887"/>
      <c r="G35" s="975" t="str">
        <f>INDEX('GHI DB'!$A$3:$BS$27,MATCH('GHI Features (Option 1)'!G$8,'GHI DB'!$A$3:$A$27,0),MATCH('GHI Features (Option 1)'!$E35,'GHI DB'!$A$3:$BS$3,0))</f>
        <v>✖</v>
      </c>
      <c r="H35" s="976" t="str">
        <f>INDEX('GHI DB'!$A$3:$BS$27,MATCH('GHI Features (Option 1)'!H$8,'GHI DB'!$A$3:$A$27,0),MATCH('GHI Features (Option 1)'!$E35,'GHI DB'!$A$3:$BS$3,0))</f>
        <v>✖</v>
      </c>
      <c r="I35" s="977" t="str">
        <f>INDEX('GHI DB'!$A$3:$BS$27,MATCH('GHI Features (Option 1)'!I$8,'GHI DB'!$A$3:$A$27,0),MATCH('GHI Features (Option 1)'!$E35,'GHI DB'!$A$3:$BS$3,0))</f>
        <v xml:space="preserve">✔ </v>
      </c>
      <c r="J35" s="978" t="str">
        <f>INDEX('GHI DB'!$A$3:$BS$27,MATCH('GHI Features (Option 1)'!J$8,'GHI DB'!$A$3:$A$27,0),MATCH('GHI Features (Option 1)'!$E35,'GHI DB'!$A$3:$BS$3,0))</f>
        <v>✖</v>
      </c>
      <c r="K35" s="886"/>
      <c r="L35" s="886"/>
      <c r="M35" s="886"/>
      <c r="N35" s="886"/>
      <c r="O35" s="886"/>
      <c r="P35" s="886"/>
      <c r="Q35" s="886"/>
      <c r="R35" s="886"/>
      <c r="S35" s="886"/>
      <c r="T35" s="886"/>
      <c r="U35" s="886"/>
      <c r="V35" s="886"/>
      <c r="W35" s="886"/>
      <c r="X35" s="886"/>
      <c r="Y35" s="886"/>
    </row>
    <row r="36" spans="1:25" ht="4.2" customHeight="1" thickBot="1">
      <c r="A36" s="923"/>
      <c r="B36" s="923"/>
      <c r="C36" s="923"/>
      <c r="D36" s="923"/>
      <c r="E36" s="923"/>
      <c r="F36" s="887"/>
      <c r="G36" s="979"/>
      <c r="H36" s="979"/>
      <c r="I36" s="979"/>
      <c r="J36" s="979"/>
      <c r="K36" s="923"/>
      <c r="L36" s="886"/>
      <c r="M36" s="886"/>
      <c r="N36" s="886"/>
      <c r="O36" s="886"/>
      <c r="P36" s="886"/>
      <c r="Q36" s="886"/>
      <c r="R36" s="886"/>
      <c r="S36" s="886"/>
      <c r="T36" s="886"/>
      <c r="U36" s="886"/>
      <c r="V36" s="886"/>
      <c r="W36" s="886"/>
      <c r="X36" s="886"/>
      <c r="Y36" s="886"/>
    </row>
    <row r="37" spans="1:25">
      <c r="B37" s="1330" t="s">
        <v>372</v>
      </c>
      <c r="C37" s="983" t="s">
        <v>278</v>
      </c>
      <c r="D37" s="927" t="str">
        <f t="shared" si="0"/>
        <v>InitialWaitingPeriod</v>
      </c>
      <c r="E37" s="965" t="s">
        <v>373</v>
      </c>
      <c r="F37" s="887"/>
      <c r="G37" s="993" t="str">
        <f>INDEX('GHI DB'!$A$3:$BS$27,MATCH('GHI Features (Option 1)'!G$8,'GHI DB'!$A$3:$A$27,0),MATCH('GHI Features (Option 1)'!$E37,'GHI DB'!$A$3:$BS$3,0))</f>
        <v xml:space="preserve">✔ </v>
      </c>
      <c r="H37" s="994" t="str">
        <f>INDEX('GHI DB'!$A$3:$BS$27,MATCH('GHI Features (Option 1)'!H$8,'GHI DB'!$A$3:$A$27,0),MATCH('GHI Features (Option 1)'!$E37,'GHI DB'!$A$3:$BS$3,0))</f>
        <v>✖</v>
      </c>
      <c r="I37" s="995" t="str">
        <f>INDEX('GHI DB'!$A$3:$BS$27,MATCH('GHI Features (Option 1)'!I$8,'GHI DB'!$A$3:$A$27,0),MATCH('GHI Features (Option 1)'!$E37,'GHI DB'!$A$3:$BS$3,0))</f>
        <v xml:space="preserve">✔ </v>
      </c>
      <c r="J37" s="996" t="str">
        <f>INDEX('GHI DB'!$A$3:$BS$27,MATCH('GHI Features (Option 1)'!J$8,'GHI DB'!$A$3:$A$27,0),MATCH('GHI Features (Option 1)'!$E37,'GHI DB'!$A$3:$BS$3,0))</f>
        <v xml:space="preserve">✔ </v>
      </c>
      <c r="K37" s="886"/>
      <c r="L37" s="886"/>
      <c r="M37" s="886"/>
      <c r="N37" s="886"/>
      <c r="O37" s="886"/>
      <c r="P37" s="886"/>
      <c r="Q37" s="886"/>
      <c r="R37" s="886"/>
      <c r="S37" s="886"/>
      <c r="T37" s="886"/>
      <c r="U37" s="886"/>
      <c r="V37" s="886"/>
      <c r="W37" s="886"/>
      <c r="X37" s="886"/>
      <c r="Y37" s="886"/>
    </row>
    <row r="38" spans="1:25">
      <c r="B38" s="1331"/>
      <c r="C38" s="985" t="s">
        <v>279</v>
      </c>
      <c r="D38" s="927" t="str">
        <f t="shared" si="0"/>
        <v>SpecificDiseasesWaitingPeriod</v>
      </c>
      <c r="E38" s="968" t="s">
        <v>374</v>
      </c>
      <c r="F38" s="887"/>
      <c r="G38" s="969" t="str">
        <f>INDEX('GHI DB'!$A$3:$BS$27,MATCH('GHI Features (Option 1)'!G$8,'GHI DB'!$A$3:$A$27,0),MATCH('GHI Features (Option 1)'!$E38,'GHI DB'!$A$3:$BS$3,0))</f>
        <v xml:space="preserve">✔ </v>
      </c>
      <c r="H38" s="970" t="str">
        <f>INDEX('GHI DB'!$A$3:$BS$27,MATCH('GHI Features (Option 1)'!H$8,'GHI DB'!$A$3:$A$27,0),MATCH('GHI Features (Option 1)'!$E38,'GHI DB'!$A$3:$BS$3,0))</f>
        <v>Nil</v>
      </c>
      <c r="I38" s="971" t="str">
        <f>INDEX('GHI DB'!$A$3:$BS$27,MATCH('GHI Features (Option 1)'!I$8,'GHI DB'!$A$3:$A$27,0),MATCH('GHI Features (Option 1)'!$E38,'GHI DB'!$A$3:$BS$3,0))</f>
        <v xml:space="preserve">✔ </v>
      </c>
      <c r="J38" s="972" t="str">
        <f>INDEX('GHI DB'!$A$3:$BS$27,MATCH('GHI Features (Option 1)'!J$8,'GHI DB'!$A$3:$A$27,0),MATCH('GHI Features (Option 1)'!$E38,'GHI DB'!$A$3:$BS$3,0))</f>
        <v xml:space="preserve">✔ </v>
      </c>
      <c r="K38" s="886"/>
      <c r="L38" s="886"/>
      <c r="M38" s="886"/>
      <c r="N38" s="886"/>
      <c r="O38" s="886"/>
      <c r="P38" s="886"/>
      <c r="Q38" s="886"/>
      <c r="R38" s="886"/>
      <c r="S38" s="886"/>
      <c r="T38" s="886"/>
      <c r="U38" s="886"/>
      <c r="V38" s="886"/>
      <c r="W38" s="886"/>
      <c r="X38" s="886"/>
      <c r="Y38" s="886"/>
    </row>
    <row r="39" spans="1:25" ht="13.2" thickBot="1">
      <c r="B39" s="1335"/>
      <c r="C39" s="986" t="s">
        <v>375</v>
      </c>
      <c r="D39" s="927" t="str">
        <f t="shared" si="0"/>
        <v>PreExistingDiseasesWaitingPeriod</v>
      </c>
      <c r="E39" s="974" t="s">
        <v>376</v>
      </c>
      <c r="F39" s="887"/>
      <c r="G39" s="975" t="str">
        <f>INDEX('GHI DB'!$A$3:$BS$27,MATCH('GHI Features (Option 1)'!G$8,'GHI DB'!$A$3:$A$27,0),MATCH('GHI Features (Option 1)'!$E39,'GHI DB'!$A$3:$BS$3,0))</f>
        <v xml:space="preserve">✔ </v>
      </c>
      <c r="H39" s="976" t="str">
        <f>INDEX('GHI DB'!$A$3:$BS$27,MATCH('GHI Features (Option 1)'!H$8,'GHI DB'!$A$3:$A$27,0),MATCH('GHI Features (Option 1)'!$E39,'GHI DB'!$A$3:$BS$3,0))</f>
        <v>Nil</v>
      </c>
      <c r="I39" s="977" t="str">
        <f>INDEX('GHI DB'!$A$3:$BS$27,MATCH('GHI Features (Option 1)'!I$8,'GHI DB'!$A$3:$A$27,0),MATCH('GHI Features (Option 1)'!$E39,'GHI DB'!$A$3:$BS$3,0))</f>
        <v xml:space="preserve">✔ </v>
      </c>
      <c r="J39" s="978" t="str">
        <f>INDEX('GHI DB'!$A$3:$BS$27,MATCH('GHI Features (Option 1)'!J$8,'GHI DB'!$A$3:$A$27,0),MATCH('GHI Features (Option 1)'!$E39,'GHI DB'!$A$3:$BS$3,0))</f>
        <v xml:space="preserve">✔ </v>
      </c>
      <c r="K39" s="886"/>
      <c r="L39" s="886"/>
      <c r="M39" s="886"/>
      <c r="N39" s="886"/>
      <c r="O39" s="886"/>
      <c r="P39" s="886"/>
      <c r="Q39" s="886"/>
      <c r="R39" s="886"/>
      <c r="S39" s="886"/>
      <c r="T39" s="886"/>
      <c r="U39" s="886"/>
      <c r="V39" s="886"/>
      <c r="W39" s="886"/>
      <c r="X39" s="886"/>
      <c r="Y39" s="886"/>
    </row>
    <row r="40" spans="1:25" ht="4.2" customHeight="1" thickBot="1">
      <c r="A40" s="923"/>
      <c r="B40" s="923"/>
      <c r="C40" s="923"/>
      <c r="D40" s="923"/>
      <c r="E40" s="923"/>
      <c r="F40" s="887"/>
      <c r="G40" s="979"/>
      <c r="H40" s="979"/>
      <c r="I40" s="979"/>
      <c r="J40" s="979"/>
      <c r="K40" s="923"/>
      <c r="L40" s="886"/>
      <c r="M40" s="886"/>
      <c r="N40" s="886"/>
      <c r="O40" s="886"/>
      <c r="P40" s="886"/>
      <c r="Q40" s="886"/>
      <c r="R40" s="886"/>
      <c r="S40" s="886"/>
      <c r="T40" s="886"/>
      <c r="U40" s="886"/>
      <c r="V40" s="886"/>
      <c r="W40" s="886"/>
      <c r="X40" s="886"/>
      <c r="Y40" s="886"/>
    </row>
    <row r="41" spans="1:25">
      <c r="B41" s="1330" t="s">
        <v>377</v>
      </c>
      <c r="C41" s="983" t="s">
        <v>378</v>
      </c>
      <c r="D41" s="927" t="str">
        <f t="shared" si="0"/>
        <v>RoadAmbulance</v>
      </c>
      <c r="E41" s="997" t="s">
        <v>141</v>
      </c>
      <c r="F41" s="887"/>
      <c r="G41" s="993" t="str">
        <f>INDEX('GHI DB'!$A$3:$BS$27,MATCH('GHI Features (Option 1)'!G$8,'GHI DB'!$A$3:$A$27,0),MATCH('GHI Features (Option 1)'!$E41,'GHI DB'!$A$3:$BS$3,0))</f>
        <v>Upto Actuals</v>
      </c>
      <c r="H41" s="994" t="str">
        <f>INDEX('GHI DB'!$A$3:$BS$27,MATCH('GHI Features (Option 1)'!H$8,'GHI DB'!$A$3:$A$27,0),MATCH('GHI Features (Option 1)'!$E41,'GHI DB'!$A$3:$BS$3,0))</f>
        <v>Upto Rs. 2.5k</v>
      </c>
      <c r="I41" s="995" t="str">
        <f>INDEX('GHI DB'!$A$3:$BS$27,MATCH('GHI Features (Option 1)'!I$8,'GHI DB'!$A$3:$A$27,0),MATCH('GHI Features (Option 1)'!$E41,'GHI DB'!$A$3:$BS$3,0))</f>
        <v>Upto Rs. 2.5k</v>
      </c>
      <c r="J41" s="996" t="str">
        <f>INDEX('GHI DB'!$A$3:$BS$27,MATCH('GHI Features (Option 1)'!J$8,'GHI DB'!$A$3:$A$27,0),MATCH('GHI Features (Option 1)'!$E41,'GHI DB'!$A$3:$BS$3,0))</f>
        <v>Upto Rs. 2k</v>
      </c>
      <c r="K41" s="886" t="s">
        <v>379</v>
      </c>
      <c r="L41" s="886"/>
      <c r="M41" s="886"/>
      <c r="N41" s="886"/>
      <c r="O41" s="886"/>
      <c r="P41" s="886"/>
      <c r="Q41" s="886"/>
      <c r="R41" s="886"/>
      <c r="S41" s="886"/>
      <c r="T41" s="886"/>
      <c r="U41" s="886"/>
      <c r="V41" s="886"/>
      <c r="W41" s="886"/>
      <c r="X41" s="886"/>
      <c r="Y41" s="886"/>
    </row>
    <row r="42" spans="1:25" ht="13.2" thickBot="1">
      <c r="B42" s="1335"/>
      <c r="C42" s="986" t="s">
        <v>380</v>
      </c>
      <c r="D42" s="927" t="str">
        <f t="shared" si="0"/>
        <v>AirAmbulance</v>
      </c>
      <c r="E42" s="998" t="s">
        <v>381</v>
      </c>
      <c r="F42" s="887"/>
      <c r="G42" s="975" t="str">
        <f>INDEX('GHI DB'!$A$3:$BS$27,MATCH('GHI Features (Option 1)'!G$8,'GHI DB'!$A$3:$A$27,0),MATCH('GHI Features (Option 1)'!$E42,'GHI DB'!$A$3:$BS$3,0))</f>
        <v>Upto Rs. 100k</v>
      </c>
      <c r="H42" s="976" t="str">
        <f>INDEX('GHI DB'!$A$3:$BS$27,MATCH('GHI Features (Option 1)'!H$8,'GHI DB'!$A$3:$A$27,0),MATCH('GHI Features (Option 1)'!$E42,'GHI DB'!$A$3:$BS$3,0))</f>
        <v>✖</v>
      </c>
      <c r="I42" s="977" t="str">
        <f>INDEX('GHI DB'!$A$3:$BS$27,MATCH('GHI Features (Option 1)'!I$8,'GHI DB'!$A$3:$A$27,0),MATCH('GHI Features (Option 1)'!$E42,'GHI DB'!$A$3:$BS$3,0))</f>
        <v>✖</v>
      </c>
      <c r="J42" s="978" t="str">
        <f>INDEX('GHI DB'!$A$3:$BS$27,MATCH('GHI Features (Option 1)'!J$8,'GHI DB'!$A$3:$A$27,0),MATCH('GHI Features (Option 1)'!$E42,'GHI DB'!$A$3:$BS$3,0))</f>
        <v>✖</v>
      </c>
      <c r="K42" s="886" t="s">
        <v>379</v>
      </c>
      <c r="L42" s="886"/>
      <c r="M42" s="886"/>
      <c r="N42" s="886"/>
      <c r="O42" s="886"/>
      <c r="P42" s="886"/>
      <c r="Q42" s="886"/>
      <c r="R42" s="886"/>
      <c r="S42" s="886"/>
      <c r="T42" s="886"/>
      <c r="U42" s="886"/>
      <c r="V42" s="886"/>
      <c r="W42" s="886"/>
      <c r="X42" s="886"/>
      <c r="Y42" s="886"/>
    </row>
    <row r="43" spans="1:25" ht="4.2" customHeight="1" thickBot="1">
      <c r="A43" s="923"/>
      <c r="B43" s="923"/>
      <c r="C43" s="923"/>
      <c r="D43" s="923"/>
      <c r="E43" s="923"/>
      <c r="F43" s="887"/>
      <c r="G43" s="979"/>
      <c r="H43" s="979"/>
      <c r="I43" s="979"/>
      <c r="J43" s="979"/>
      <c r="K43" s="923"/>
      <c r="L43" s="886"/>
      <c r="M43" s="886"/>
      <c r="N43" s="886"/>
      <c r="O43" s="886"/>
      <c r="P43" s="886"/>
      <c r="Q43" s="886"/>
      <c r="R43" s="886"/>
      <c r="S43" s="886"/>
      <c r="T43" s="886"/>
      <c r="U43" s="886"/>
      <c r="V43" s="886"/>
      <c r="W43" s="886"/>
      <c r="X43" s="886"/>
      <c r="Y43" s="886"/>
    </row>
    <row r="44" spans="1:25" ht="25.2">
      <c r="B44" s="1330" t="s">
        <v>382</v>
      </c>
      <c r="C44" s="983" t="s">
        <v>383</v>
      </c>
      <c r="D44" s="927" t="str">
        <f t="shared" si="0"/>
        <v>ModernTreatmentsandRoboticSurgeries</v>
      </c>
      <c r="E44" s="999" t="s">
        <v>291</v>
      </c>
      <c r="F44" s="887"/>
      <c r="G44" s="993" t="str">
        <f>INDEX('GHI DB'!$A$3:$BS$27,MATCH('GHI Features (Option 1)'!G$8,'GHI DB'!$A$3:$A$27,0),MATCH('GHI Features (Option 1)'!$E44,'GHI DB'!$A$3:$BS$3,0))</f>
        <v>50% Co-Pay</v>
      </c>
      <c r="H44" s="994" t="str">
        <f>INDEX('GHI DB'!$A$3:$BS$27,MATCH('GHI Features (Option 1)'!H$8,'GHI DB'!$A$3:$A$27,0),MATCH('GHI Features (Option 1)'!$E44,'GHI DB'!$A$3:$BS$3,0))</f>
        <v>50% Co-Pay</v>
      </c>
      <c r="I44" s="995" t="str">
        <f>INDEX('GHI DB'!$A$3:$BS$27,MATCH('GHI Features (Option 1)'!I$8,'GHI DB'!$A$3:$A$27,0),MATCH('GHI Features (Option 1)'!$E44,'GHI DB'!$A$3:$BS$3,0))</f>
        <v>50% Co-Pay</v>
      </c>
      <c r="J44" s="996" t="str">
        <f>INDEX('GHI DB'!$A$3:$BS$27,MATCH('GHI Features (Option 1)'!J$8,'GHI DB'!$A$3:$A$27,0),MATCH('GHI Features (Option 1)'!$E44,'GHI DB'!$A$3:$BS$3,0))</f>
        <v>50% Co-Pay</v>
      </c>
      <c r="K44" s="886"/>
      <c r="L44" s="886"/>
      <c r="M44" s="886"/>
      <c r="N44" s="886"/>
      <c r="O44" s="886"/>
      <c r="P44" s="886"/>
      <c r="Q44" s="886"/>
      <c r="R44" s="886"/>
      <c r="S44" s="886"/>
      <c r="T44" s="886"/>
      <c r="U44" s="886"/>
      <c r="V44" s="886"/>
      <c r="W44" s="886"/>
      <c r="X44" s="886"/>
      <c r="Y44" s="886"/>
    </row>
    <row r="45" spans="1:25">
      <c r="B45" s="1331"/>
      <c r="C45" s="985" t="s">
        <v>134</v>
      </c>
      <c r="D45" s="927" t="str">
        <f t="shared" si="0"/>
        <v>PsychiatricIllness</v>
      </c>
      <c r="E45" s="968" t="s">
        <v>135</v>
      </c>
      <c r="F45" s="887"/>
      <c r="G45" s="969" t="str">
        <f>INDEX('GHI DB'!$A$3:$BS$27,MATCH('GHI Features (Option 1)'!G$8,'GHI DB'!$A$3:$A$27,0),MATCH('GHI Features (Option 1)'!$E45,'GHI DB'!$A$3:$BS$3,0))</f>
        <v xml:space="preserve">✔ </v>
      </c>
      <c r="H45" s="970" t="str">
        <f>INDEX('GHI DB'!$A$3:$BS$27,MATCH('GHI Features (Option 1)'!H$8,'GHI DB'!$A$3:$A$27,0),MATCH('GHI Features (Option 1)'!$E45,'GHI DB'!$A$3:$BS$3,0))</f>
        <v xml:space="preserve">✔ </v>
      </c>
      <c r="I45" s="971" t="str">
        <f>INDEX('GHI DB'!$A$3:$BS$27,MATCH('GHI Features (Option 1)'!I$8,'GHI DB'!$A$3:$A$27,0),MATCH('GHI Features (Option 1)'!$E45,'GHI DB'!$A$3:$BS$3,0))</f>
        <v xml:space="preserve">✔ </v>
      </c>
      <c r="J45" s="972" t="str">
        <f>INDEX('GHI DB'!$A$3:$BS$27,MATCH('GHI Features (Option 1)'!J$8,'GHI DB'!$A$3:$A$27,0),MATCH('GHI Features (Option 1)'!$E45,'GHI DB'!$A$3:$BS$3,0))</f>
        <v xml:space="preserve">✔ </v>
      </c>
      <c r="K45" s="886" t="s">
        <v>379</v>
      </c>
      <c r="L45" s="886"/>
      <c r="M45" s="886"/>
      <c r="N45" s="886"/>
      <c r="O45" s="886"/>
      <c r="P45" s="886"/>
      <c r="Q45" s="886"/>
      <c r="R45" s="886"/>
      <c r="S45" s="886"/>
      <c r="T45" s="886"/>
      <c r="U45" s="886"/>
      <c r="V45" s="886"/>
      <c r="W45" s="886"/>
      <c r="X45" s="886"/>
      <c r="Y45" s="886"/>
    </row>
    <row r="46" spans="1:25" ht="25.2">
      <c r="B46" s="1331"/>
      <c r="C46" s="985" t="s">
        <v>300</v>
      </c>
      <c r="D46" s="927" t="str">
        <f t="shared" si="0"/>
        <v>AYUSHTreatments</v>
      </c>
      <c r="E46" s="968" t="s">
        <v>139</v>
      </c>
      <c r="F46" s="887"/>
      <c r="G46" s="969" t="str">
        <f>INDEX('GHI DB'!$A$3:$BS$27,MATCH('GHI Features (Option 1)'!G$8,'GHI DB'!$A$3:$A$27,0),MATCH('GHI Features (Option 1)'!$E46,'GHI DB'!$A$3:$BS$3,0))</f>
        <v>Not Covered</v>
      </c>
      <c r="H46" s="970" t="str">
        <f>INDEX('GHI DB'!$A$3:$BS$27,MATCH('GHI Features (Option 1)'!H$8,'GHI DB'!$A$3:$A$27,0),MATCH('GHI Features (Option 1)'!$E46,'GHI DB'!$A$3:$BS$3,0))</f>
        <v>Not Covered</v>
      </c>
      <c r="I46" s="971" t="str">
        <f>INDEX('GHI DB'!$A$3:$BS$27,MATCH('GHI Features (Option 1)'!I$8,'GHI DB'!$A$3:$A$27,0),MATCH('GHI Features (Option 1)'!$E46,'GHI DB'!$A$3:$BS$3,0))</f>
        <v>Not Covered</v>
      </c>
      <c r="J46" s="972" t="str">
        <f>INDEX('GHI DB'!$A$3:$BS$27,MATCH('GHI Features (Option 1)'!J$8,'GHI DB'!$A$3:$A$27,0),MATCH('GHI Features (Option 1)'!$E46,'GHI DB'!$A$3:$BS$3,0))</f>
        <v>Upto 25% of SI</v>
      </c>
      <c r="K46" s="886" t="s">
        <v>379</v>
      </c>
      <c r="L46" s="886"/>
      <c r="M46" s="886"/>
      <c r="N46" s="886"/>
      <c r="O46" s="886"/>
      <c r="P46" s="886"/>
      <c r="Q46" s="886"/>
      <c r="R46" s="886"/>
      <c r="S46" s="886"/>
      <c r="T46" s="886"/>
      <c r="U46" s="886"/>
      <c r="V46" s="886"/>
      <c r="W46" s="886"/>
      <c r="X46" s="886"/>
      <c r="Y46" s="886"/>
    </row>
    <row r="47" spans="1:25">
      <c r="B47" s="1331"/>
      <c r="C47" s="985" t="s">
        <v>304</v>
      </c>
      <c r="D47" s="927" t="str">
        <f t="shared" si="0"/>
        <v>OrganDonorExpenses</v>
      </c>
      <c r="E47" s="968" t="s">
        <v>305</v>
      </c>
      <c r="F47" s="887"/>
      <c r="G47" s="969" t="str">
        <f>INDEX('GHI DB'!$A$3:$BS$27,MATCH('GHI Features (Option 1)'!G$8,'GHI DB'!$A$3:$A$27,0),MATCH('GHI Features (Option 1)'!$E47,'GHI DB'!$A$3:$BS$3,0))</f>
        <v>Not Covered</v>
      </c>
      <c r="H47" s="970" t="str">
        <f>INDEX('GHI DB'!$A$3:$BS$27,MATCH('GHI Features (Option 1)'!H$8,'GHI DB'!$A$3:$A$27,0),MATCH('GHI Features (Option 1)'!$E47,'GHI DB'!$A$3:$BS$3,0))</f>
        <v xml:space="preserve">✔ </v>
      </c>
      <c r="I47" s="971" t="str">
        <f>INDEX('GHI DB'!$A$3:$BS$27,MATCH('GHI Features (Option 1)'!I$8,'GHI DB'!$A$3:$A$27,0),MATCH('GHI Features (Option 1)'!$E47,'GHI DB'!$A$3:$BS$3,0))</f>
        <v xml:space="preserve">✔ </v>
      </c>
      <c r="J47" s="972" t="str">
        <f>INDEX('GHI DB'!$A$3:$BS$27,MATCH('GHI Features (Option 1)'!J$8,'GHI DB'!$A$3:$A$27,0),MATCH('GHI Features (Option 1)'!$E47,'GHI DB'!$A$3:$BS$3,0))</f>
        <v>✖</v>
      </c>
      <c r="K47" s="886" t="s">
        <v>379</v>
      </c>
      <c r="L47" s="886"/>
      <c r="M47" s="886"/>
      <c r="N47" s="886"/>
      <c r="O47" s="886"/>
      <c r="P47" s="886"/>
      <c r="Q47" s="886"/>
      <c r="R47" s="886"/>
      <c r="S47" s="886"/>
      <c r="T47" s="886"/>
      <c r="U47" s="886"/>
      <c r="V47" s="886"/>
      <c r="W47" s="886"/>
      <c r="X47" s="886"/>
      <c r="Y47" s="886"/>
    </row>
    <row r="48" spans="1:25">
      <c r="B48" s="1331"/>
      <c r="C48" s="985" t="s">
        <v>306</v>
      </c>
      <c r="D48" s="927" t="str">
        <f t="shared" si="0"/>
        <v>LasikEyeSurgery</v>
      </c>
      <c r="E48" s="968" t="s">
        <v>307</v>
      </c>
      <c r="F48" s="887"/>
      <c r="G48" s="969" t="str">
        <f>INDEX('GHI DB'!$A$3:$BS$27,MATCH('GHI Features (Option 1)'!G$8,'GHI DB'!$A$3:$A$27,0),MATCH('GHI Features (Option 1)'!$E48,'GHI DB'!$A$3:$BS$3,0))</f>
        <v>✖</v>
      </c>
      <c r="H48" s="970" t="str">
        <f>INDEX('GHI DB'!$A$3:$BS$27,MATCH('GHI Features (Option 1)'!H$8,'GHI DB'!$A$3:$A$27,0),MATCH('GHI Features (Option 1)'!$E48,'GHI DB'!$A$3:$BS$3,0))</f>
        <v>If eye power +/- 6.5</v>
      </c>
      <c r="I48" s="971" t="str">
        <f>INDEX('GHI DB'!$A$3:$BS$27,MATCH('GHI Features (Option 1)'!I$8,'GHI DB'!$A$3:$A$27,0),MATCH('GHI Features (Option 1)'!$E48,'GHI DB'!$A$3:$BS$3,0))</f>
        <v>If eye power +/- 6.5</v>
      </c>
      <c r="J48" s="972" t="str">
        <f>INDEX('GHI DB'!$A$3:$BS$27,MATCH('GHI Features (Option 1)'!J$8,'GHI DB'!$A$3:$A$27,0),MATCH('GHI Features (Option 1)'!$E48,'GHI DB'!$A$3:$BS$3,0))</f>
        <v>If eye power +/- 5</v>
      </c>
      <c r="K48" s="886" t="s">
        <v>379</v>
      </c>
      <c r="L48" s="886"/>
      <c r="M48" s="886"/>
      <c r="N48" s="886"/>
      <c r="O48" s="886"/>
      <c r="P48" s="886"/>
      <c r="Q48" s="886"/>
      <c r="R48" s="886"/>
      <c r="S48" s="886"/>
      <c r="T48" s="886"/>
      <c r="U48" s="886"/>
      <c r="V48" s="886"/>
      <c r="W48" s="886"/>
      <c r="X48" s="886"/>
      <c r="Y48" s="886"/>
    </row>
    <row r="49" spans="1:25" ht="13.2" thickBot="1">
      <c r="B49" s="1335"/>
      <c r="C49" s="986" t="s">
        <v>312</v>
      </c>
      <c r="D49" s="927" t="str">
        <f t="shared" si="0"/>
        <v>Terrorism</v>
      </c>
      <c r="E49" s="974" t="s">
        <v>312</v>
      </c>
      <c r="F49" s="887"/>
      <c r="G49" s="975" t="str">
        <f>INDEX('GHI DB'!$A$3:$BS$27,MATCH('GHI Features (Option 1)'!G$8,'GHI DB'!$A$3:$A$27,0),MATCH('GHI Features (Option 1)'!$E49,'GHI DB'!$A$3:$BS$3,0))</f>
        <v xml:space="preserve">✔ </v>
      </c>
      <c r="H49" s="976" t="str">
        <f>INDEX('GHI DB'!$A$3:$BS$27,MATCH('GHI Features (Option 1)'!H$8,'GHI DB'!$A$3:$A$27,0),MATCH('GHI Features (Option 1)'!$E49,'GHI DB'!$A$3:$BS$3,0))</f>
        <v xml:space="preserve">✔ </v>
      </c>
      <c r="I49" s="977" t="str">
        <f>INDEX('GHI DB'!$A$3:$BS$27,MATCH('GHI Features (Option 1)'!I$8,'GHI DB'!$A$3:$A$27,0),MATCH('GHI Features (Option 1)'!$E49,'GHI DB'!$A$3:$BS$3,0))</f>
        <v xml:space="preserve">✔ </v>
      </c>
      <c r="J49" s="978" t="str">
        <f>INDEX('GHI DB'!$A$3:$BS$27,MATCH('GHI Features (Option 1)'!J$8,'GHI DB'!$A$3:$A$27,0),MATCH('GHI Features (Option 1)'!$E49,'GHI DB'!$A$3:$BS$3,0))</f>
        <v>✖</v>
      </c>
      <c r="K49" s="886" t="s">
        <v>379</v>
      </c>
      <c r="L49" s="886"/>
      <c r="M49" s="886"/>
      <c r="N49" s="886"/>
      <c r="O49" s="886"/>
      <c r="P49" s="886"/>
      <c r="Q49" s="886"/>
      <c r="R49" s="886"/>
      <c r="S49" s="886"/>
      <c r="T49" s="886"/>
      <c r="U49" s="886"/>
      <c r="V49" s="886"/>
      <c r="W49" s="886"/>
      <c r="X49" s="886"/>
      <c r="Y49" s="886"/>
    </row>
    <row r="50" spans="1:25" ht="4.2" customHeight="1" thickBot="1">
      <c r="A50" s="923"/>
      <c r="B50" s="923"/>
      <c r="C50" s="923"/>
      <c r="D50" s="923"/>
      <c r="E50" s="923"/>
      <c r="F50" s="887"/>
      <c r="G50" s="979"/>
      <c r="H50" s="979"/>
      <c r="I50" s="979"/>
      <c r="J50" s="979"/>
      <c r="K50" s="923"/>
      <c r="L50" s="886"/>
      <c r="M50" s="886"/>
      <c r="N50" s="886"/>
      <c r="O50" s="886"/>
      <c r="P50" s="886"/>
      <c r="Q50" s="886"/>
      <c r="R50" s="886"/>
      <c r="S50" s="886"/>
      <c r="T50" s="886"/>
      <c r="U50" s="886"/>
      <c r="V50" s="886"/>
      <c r="W50" s="886"/>
      <c r="X50" s="886"/>
      <c r="Y50" s="886"/>
    </row>
    <row r="51" spans="1:25">
      <c r="B51" s="1330" t="s">
        <v>384</v>
      </c>
      <c r="C51" s="983" t="s">
        <v>385</v>
      </c>
      <c r="D51" s="927" t="str">
        <f t="shared" si="0"/>
        <v>AdditionsandDeletions</v>
      </c>
      <c r="E51" s="965" t="s">
        <v>314</v>
      </c>
      <c r="F51" s="887"/>
      <c r="G51" s="993" t="str">
        <f>INDEX('GHI DB'!$A$3:$BS$27,MATCH('GHI Features (Option 1)'!G$8,'GHI DB'!$A$3:$A$27,0),MATCH('GHI Features (Option 1)'!$E51,'GHI DB'!$A$3:$BS$3,0))</f>
        <v xml:space="preserve">✔ </v>
      </c>
      <c r="H51" s="994" t="str">
        <f>INDEX('GHI DB'!$A$3:$BS$27,MATCH('GHI Features (Option 1)'!H$8,'GHI DB'!$A$3:$A$27,0),MATCH('GHI Features (Option 1)'!$E51,'GHI DB'!$A$3:$BS$3,0))</f>
        <v xml:space="preserve">✔ </v>
      </c>
      <c r="I51" s="995" t="str">
        <f>INDEX('GHI DB'!$A$3:$BS$27,MATCH('GHI Features (Option 1)'!I$8,'GHI DB'!$A$3:$A$27,0),MATCH('GHI Features (Option 1)'!$E51,'GHI DB'!$A$3:$BS$3,0))</f>
        <v xml:space="preserve">✔ </v>
      </c>
      <c r="J51" s="996" t="str">
        <f>INDEX('GHI DB'!$A$3:$BS$27,MATCH('GHI Features (Option 1)'!J$8,'GHI DB'!$A$3:$A$27,0),MATCH('GHI Features (Option 1)'!$E51,'GHI DB'!$A$3:$BS$3,0))</f>
        <v xml:space="preserve">✔ </v>
      </c>
      <c r="K51" s="886"/>
      <c r="L51" s="886"/>
      <c r="M51" s="886"/>
      <c r="N51" s="886"/>
      <c r="O51" s="886"/>
      <c r="P51" s="886"/>
      <c r="Q51" s="886"/>
      <c r="R51" s="886"/>
      <c r="S51" s="886"/>
      <c r="T51" s="886"/>
      <c r="U51" s="886"/>
      <c r="V51" s="886"/>
      <c r="W51" s="886"/>
      <c r="X51" s="886"/>
      <c r="Y51" s="886"/>
    </row>
    <row r="52" spans="1:25" ht="25.8" thickBot="1">
      <c r="B52" s="1331"/>
      <c r="C52" s="985" t="s">
        <v>315</v>
      </c>
      <c r="D52" s="927" t="str">
        <f t="shared" si="0"/>
        <v>MidtermIncreaseinSumInsured</v>
      </c>
      <c r="E52" s="968" t="s">
        <v>386</v>
      </c>
      <c r="F52" s="887"/>
      <c r="G52" s="975" t="str">
        <f>INDEX('GHI DB'!$A$3:$BS$27,MATCH('GHI Features (Option 1)'!G$8,'GHI DB'!$A$3:$A$27,0),MATCH('GHI Features (Option 1)'!$E52,'GHI DB'!$A$3:$BS$3,0))</f>
        <v xml:space="preserve">✔ </v>
      </c>
      <c r="H52" s="976" t="str">
        <f>INDEX('GHI DB'!$A$3:$BS$27,MATCH('GHI Features (Option 1)'!H$8,'GHI DB'!$A$3:$A$27,0),MATCH('GHI Features (Option 1)'!$E52,'GHI DB'!$A$3:$BS$3,0))</f>
        <v>✖</v>
      </c>
      <c r="I52" s="977" t="str">
        <f>INDEX('GHI DB'!$A$3:$BS$27,MATCH('GHI Features (Option 1)'!I$8,'GHI DB'!$A$3:$A$27,0),MATCH('GHI Features (Option 1)'!$E52,'GHI DB'!$A$3:$BS$3,0))</f>
        <v>✖</v>
      </c>
      <c r="J52" s="978" t="str">
        <f>INDEX('GHI DB'!$A$3:$BS$27,MATCH('GHI Features (Option 1)'!J$8,'GHI DB'!$A$3:$A$27,0),MATCH('GHI Features (Option 1)'!$E52,'GHI DB'!$A$3:$BS$3,0))</f>
        <v xml:space="preserve">✔ </v>
      </c>
      <c r="K52" s="886"/>
      <c r="L52" s="886"/>
      <c r="M52" s="886"/>
      <c r="N52" s="886"/>
      <c r="O52" s="886"/>
      <c r="P52" s="886"/>
      <c r="Q52" s="886"/>
      <c r="R52" s="886"/>
      <c r="S52" s="886"/>
      <c r="T52" s="886"/>
      <c r="U52" s="886"/>
      <c r="V52" s="886"/>
      <c r="W52" s="886"/>
      <c r="X52" s="886"/>
      <c r="Y52" s="886"/>
    </row>
    <row r="53" spans="1:25" ht="4.2" customHeight="1" thickBot="1">
      <c r="A53" s="923"/>
      <c r="B53" s="923"/>
      <c r="C53" s="923"/>
      <c r="D53" s="923"/>
      <c r="E53" s="923"/>
      <c r="F53" s="887"/>
      <c r="G53" s="979"/>
      <c r="H53" s="979"/>
      <c r="I53" s="979"/>
      <c r="J53" s="979"/>
      <c r="K53" s="923"/>
      <c r="L53" s="886"/>
      <c r="M53" s="886"/>
      <c r="N53" s="886"/>
      <c r="O53" s="886"/>
      <c r="P53" s="886"/>
      <c r="Q53" s="886"/>
      <c r="R53" s="886"/>
      <c r="S53" s="886"/>
      <c r="T53" s="886"/>
      <c r="U53" s="886"/>
      <c r="V53" s="886"/>
      <c r="W53" s="886"/>
      <c r="X53" s="886"/>
      <c r="Y53" s="886"/>
    </row>
    <row r="54" spans="1:25" ht="25.2">
      <c r="B54" s="1330" t="s">
        <v>387</v>
      </c>
      <c r="C54" s="1000" t="s">
        <v>220</v>
      </c>
      <c r="D54" s="927" t="str">
        <f t="shared" si="0"/>
        <v>UpgradeOption</v>
      </c>
      <c r="E54" s="1001" t="s">
        <v>221</v>
      </c>
      <c r="F54" s="887"/>
      <c r="G54" s="993" t="str">
        <f>INDEX('GHI DB'!$A$3:$BS$27,MATCH('GHI Features (Option 1)'!G$8,'GHI DB'!$A$3:$A$27,0),MATCH('GHI Features (Option 1)'!$E54,'GHI DB'!$A$3:$BS$3,0))</f>
        <v xml:space="preserve">✔ </v>
      </c>
      <c r="H54" s="994" t="str">
        <f>INDEX('GHI DB'!$A$3:$BS$27,MATCH('GHI Features (Option 1)'!H$8,'GHI DB'!$A$3:$A$27,0),MATCH('GHI Features (Option 1)'!$E54,'GHI DB'!$A$3:$BS$3,0))</f>
        <v>✖</v>
      </c>
      <c r="I54" s="995" t="str">
        <f>INDEX('GHI DB'!$A$3:$BS$27,MATCH('GHI Features (Option 1)'!I$8,'GHI DB'!$A$3:$A$27,0),MATCH('GHI Features (Option 1)'!$E54,'GHI DB'!$A$3:$BS$3,0))</f>
        <v xml:space="preserve">✔ </v>
      </c>
      <c r="J54" s="996" t="str">
        <f>INDEX('GHI DB'!$A$3:$BS$27,MATCH('GHI Features (Option 1)'!J$8,'GHI DB'!$A$3:$A$27,0),MATCH('GHI Features (Option 1)'!$E54,'GHI DB'!$A$3:$BS$3,0))</f>
        <v xml:space="preserve">✔ </v>
      </c>
      <c r="K54" s="886"/>
      <c r="L54" s="886"/>
      <c r="M54" s="886"/>
      <c r="N54" s="886"/>
      <c r="O54" s="886"/>
      <c r="P54" s="886"/>
      <c r="Q54" s="886"/>
      <c r="R54" s="886"/>
      <c r="S54" s="886"/>
      <c r="T54" s="886"/>
      <c r="U54" s="886"/>
      <c r="V54" s="886"/>
      <c r="W54" s="886"/>
      <c r="X54" s="886"/>
      <c r="Y54" s="886"/>
    </row>
    <row r="55" spans="1:25">
      <c r="B55" s="1331"/>
      <c r="C55" s="1002" t="s">
        <v>265</v>
      </c>
      <c r="D55" s="927" t="str">
        <f t="shared" si="0"/>
        <v>DoctorTeleconsultations</v>
      </c>
      <c r="E55" s="968" t="s">
        <v>266</v>
      </c>
      <c r="F55" s="887"/>
      <c r="G55" s="969" t="str">
        <f>INDEX('GHI DB'!$A$3:$BS$27,MATCH('GHI Features (Option 1)'!G$8,'GHI DB'!$A$3:$A$27,0),MATCH('GHI Features (Option 1)'!$E55,'GHI DB'!$A$3:$BS$3,0))</f>
        <v xml:space="preserve">✔ </v>
      </c>
      <c r="H55" s="970" t="str">
        <f>INDEX('GHI DB'!$A$3:$BS$27,MATCH('GHI Features (Option 1)'!H$8,'GHI DB'!$A$3:$A$27,0),MATCH('GHI Features (Option 1)'!$E55,'GHI DB'!$A$3:$BS$3,0))</f>
        <v>✖</v>
      </c>
      <c r="I55" s="971" t="str">
        <f>INDEX('GHI DB'!$A$3:$BS$27,MATCH('GHI Features (Option 1)'!I$8,'GHI DB'!$A$3:$A$27,0),MATCH('GHI Features (Option 1)'!$E55,'GHI DB'!$A$3:$BS$3,0))</f>
        <v xml:space="preserve">✔ </v>
      </c>
      <c r="J55" s="972" t="str">
        <f>INDEX('GHI DB'!$A$3:$BS$27,MATCH('GHI Features (Option 1)'!J$8,'GHI DB'!$A$3:$A$27,0),MATCH('GHI Features (Option 1)'!$E55,'GHI DB'!$A$3:$BS$3,0))</f>
        <v xml:space="preserve">✔ </v>
      </c>
      <c r="K55" s="886"/>
      <c r="L55" s="886"/>
      <c r="M55" s="886"/>
      <c r="N55" s="886"/>
      <c r="O55" s="886"/>
      <c r="P55" s="886"/>
      <c r="Q55" s="886"/>
      <c r="R55" s="886"/>
      <c r="S55" s="886"/>
      <c r="T55" s="886"/>
      <c r="U55" s="886"/>
      <c r="V55" s="886"/>
      <c r="W55" s="886"/>
      <c r="X55" s="886"/>
      <c r="Y55" s="886"/>
    </row>
    <row r="56" spans="1:25" ht="25.2">
      <c r="B56" s="1331"/>
      <c r="C56" s="1002" t="s">
        <v>388</v>
      </c>
      <c r="D56" s="927"/>
      <c r="E56" s="968" t="s">
        <v>389</v>
      </c>
      <c r="F56" s="887"/>
      <c r="G56" s="969" t="str">
        <f>INDEX('GHI DB'!$A$3:$BS$27,MATCH('GHI Features (Option 1)'!G$8,'GHI DB'!$A$3:$A$27,0),MATCH('GHI Features (Option 1)'!$E56,'GHI DB'!$A$3:$BS$3,0))</f>
        <v xml:space="preserve">✔ </v>
      </c>
      <c r="H56" s="970" t="str">
        <f>INDEX('GHI DB'!$A$3:$BS$27,MATCH('GHI Features (Option 1)'!H$8,'GHI DB'!$A$3:$A$27,0),MATCH('GHI Features (Option 1)'!$E56,'GHI DB'!$A$3:$BS$3,0))</f>
        <v xml:space="preserve">✔ </v>
      </c>
      <c r="I56" s="971" t="str">
        <f>INDEX('GHI DB'!$A$3:$BS$27,MATCH('GHI Features (Option 1)'!I$8,'GHI DB'!$A$3:$A$27,0),MATCH('GHI Features (Option 1)'!$E56,'GHI DB'!$A$3:$BS$3,0))</f>
        <v xml:space="preserve">✔ </v>
      </c>
      <c r="J56" s="972" t="str">
        <f>INDEX('GHI DB'!$A$3:$BS$27,MATCH('GHI Features (Option 1)'!J$8,'GHI DB'!$A$3:$A$27,0),MATCH('GHI Features (Option 1)'!$E56,'GHI DB'!$A$3:$BS$3,0))</f>
        <v xml:space="preserve">✔ </v>
      </c>
      <c r="K56" s="886"/>
      <c r="L56" s="886"/>
      <c r="M56" s="886"/>
      <c r="N56" s="886"/>
      <c r="O56" s="886"/>
      <c r="P56" s="886"/>
      <c r="Q56" s="886"/>
      <c r="R56" s="886"/>
      <c r="S56" s="886"/>
      <c r="T56" s="886"/>
      <c r="U56" s="886"/>
      <c r="V56" s="886"/>
      <c r="W56" s="886"/>
      <c r="X56" s="886"/>
      <c r="Y56" s="886"/>
    </row>
    <row r="57" spans="1:25">
      <c r="B57" s="1331"/>
      <c r="C57" s="1002" t="s">
        <v>140</v>
      </c>
      <c r="D57" s="927"/>
      <c r="E57" s="968" t="s">
        <v>390</v>
      </c>
      <c r="F57" s="887"/>
      <c r="G57" s="969" t="str">
        <f>INDEX('GHI DB'!$A$3:$BS$27,MATCH('GHI Features (Option 1)'!G$8,'GHI DB'!$A$3:$A$27,0),MATCH('GHI Features (Option 1)'!$E57,'GHI DB'!$A$3:$BS$3,0))</f>
        <v xml:space="preserve">✔ </v>
      </c>
      <c r="H57" s="970" t="str">
        <f>INDEX('GHI DB'!$A$3:$BS$27,MATCH('GHI Features (Option 1)'!H$8,'GHI DB'!$A$3:$A$27,0),MATCH('GHI Features (Option 1)'!$E57,'GHI DB'!$A$3:$BS$3,0))</f>
        <v xml:space="preserve">✔ </v>
      </c>
      <c r="I57" s="971" t="str">
        <f>INDEX('GHI DB'!$A$3:$BS$27,MATCH('GHI Features (Option 1)'!I$8,'GHI DB'!$A$3:$A$27,0),MATCH('GHI Features (Option 1)'!$E57,'GHI DB'!$A$3:$BS$3,0))</f>
        <v xml:space="preserve">✔ </v>
      </c>
      <c r="J57" s="972" t="str">
        <f>INDEX('GHI DB'!$A$3:$BS$27,MATCH('GHI Features (Option 1)'!J$8,'GHI DB'!$A$3:$A$27,0),MATCH('GHI Features (Option 1)'!$E57,'GHI DB'!$A$3:$BS$3,0))</f>
        <v xml:space="preserve">✔ </v>
      </c>
      <c r="K57" s="886"/>
      <c r="L57" s="886"/>
      <c r="M57" s="886"/>
      <c r="N57" s="886"/>
      <c r="O57" s="886"/>
      <c r="P57" s="886"/>
      <c r="Q57" s="886"/>
      <c r="R57" s="886"/>
      <c r="S57" s="886"/>
      <c r="T57" s="886"/>
      <c r="U57" s="886"/>
      <c r="V57" s="886"/>
      <c r="W57" s="886"/>
      <c r="X57" s="886"/>
      <c r="Y57" s="886"/>
    </row>
    <row r="58" spans="1:25">
      <c r="B58" s="1331"/>
      <c r="C58" s="1002" t="s">
        <v>391</v>
      </c>
      <c r="D58" s="927" t="str">
        <f t="shared" si="0"/>
        <v>HealthCheckups</v>
      </c>
      <c r="E58" s="968" t="s">
        <v>268</v>
      </c>
      <c r="F58" s="887"/>
      <c r="G58" s="969" t="str">
        <f>INDEX('GHI DB'!$A$3:$BS$27,MATCH('GHI Features (Option 1)'!G$8,'GHI DB'!$A$3:$A$27,0),MATCH('GHI Features (Option 1)'!$E58,'GHI DB'!$A$3:$BS$3,0))</f>
        <v xml:space="preserve">✔ </v>
      </c>
      <c r="H58" s="970" t="str">
        <f>INDEX('GHI DB'!$A$3:$BS$27,MATCH('GHI Features (Option 1)'!H$8,'GHI DB'!$A$3:$A$27,0),MATCH('GHI Features (Option 1)'!$E58,'GHI DB'!$A$3:$BS$3,0))</f>
        <v xml:space="preserve">✔ </v>
      </c>
      <c r="I58" s="971" t="str">
        <f>INDEX('GHI DB'!$A$3:$BS$27,MATCH('GHI Features (Option 1)'!I$8,'GHI DB'!$A$3:$A$27,0),MATCH('GHI Features (Option 1)'!$E58,'GHI DB'!$A$3:$BS$3,0))</f>
        <v xml:space="preserve">✔ </v>
      </c>
      <c r="J58" s="972" t="str">
        <f>INDEX('GHI DB'!$A$3:$BS$27,MATCH('GHI Features (Option 1)'!J$8,'GHI DB'!$A$3:$A$27,0),MATCH('GHI Features (Option 1)'!$E58,'GHI DB'!$A$3:$BS$3,0))</f>
        <v xml:space="preserve">✔ </v>
      </c>
      <c r="K58" s="886"/>
      <c r="L58" s="886"/>
      <c r="M58" s="886"/>
      <c r="N58" s="886"/>
      <c r="O58" s="886"/>
      <c r="P58" s="886"/>
      <c r="Q58" s="886"/>
      <c r="R58" s="886"/>
      <c r="S58" s="886"/>
      <c r="T58" s="886"/>
      <c r="U58" s="886"/>
      <c r="V58" s="886"/>
      <c r="W58" s="886"/>
      <c r="X58" s="886"/>
      <c r="Y58" s="886"/>
    </row>
    <row r="59" spans="1:25">
      <c r="B59" s="1331"/>
      <c r="C59" s="1002" t="s">
        <v>392</v>
      </c>
      <c r="D59" s="927"/>
      <c r="E59" s="968" t="s">
        <v>393</v>
      </c>
      <c r="F59" s="887"/>
      <c r="G59" s="969" t="str">
        <f>INDEX('GHI DB'!$A$3:$BS$27,MATCH('GHI Features (Option 1)'!G$8,'GHI DB'!$A$3:$A$27,0),MATCH('GHI Features (Option 1)'!$E59,'GHI DB'!$A$3:$BS$3,0))</f>
        <v xml:space="preserve">✔ </v>
      </c>
      <c r="H59" s="970" t="str">
        <f>INDEX('GHI DB'!$A$3:$BS$27,MATCH('GHI Features (Option 1)'!H$8,'GHI DB'!$A$3:$A$27,0),MATCH('GHI Features (Option 1)'!$E59,'GHI DB'!$A$3:$BS$3,0))</f>
        <v xml:space="preserve">✔ </v>
      </c>
      <c r="I59" s="971" t="str">
        <f>INDEX('GHI DB'!$A$3:$BS$27,MATCH('GHI Features (Option 1)'!I$8,'GHI DB'!$A$3:$A$27,0),MATCH('GHI Features (Option 1)'!$E59,'GHI DB'!$A$3:$BS$3,0))</f>
        <v xml:space="preserve">✔ </v>
      </c>
      <c r="J59" s="972" t="str">
        <f>INDEX('GHI DB'!$A$3:$BS$27,MATCH('GHI Features (Option 1)'!J$8,'GHI DB'!$A$3:$A$27,0),MATCH('GHI Features (Option 1)'!$E59,'GHI DB'!$A$3:$BS$3,0))</f>
        <v xml:space="preserve">✔ </v>
      </c>
      <c r="K59" s="886"/>
      <c r="L59" s="886"/>
      <c r="M59" s="886"/>
      <c r="N59" s="886"/>
      <c r="O59" s="886"/>
      <c r="P59" s="886"/>
      <c r="Q59" s="886"/>
      <c r="R59" s="886"/>
      <c r="S59" s="886"/>
      <c r="T59" s="886"/>
      <c r="U59" s="886"/>
      <c r="V59" s="886"/>
      <c r="W59" s="886"/>
      <c r="X59" s="886"/>
      <c r="Y59" s="886"/>
    </row>
    <row r="60" spans="1:25" ht="13.2" thickBot="1">
      <c r="B60" s="1331"/>
      <c r="C60" s="1002" t="s">
        <v>269</v>
      </c>
      <c r="D60" s="927" t="str">
        <f t="shared" si="0"/>
        <v>MedicinesDelivery</v>
      </c>
      <c r="E60" s="968" t="s">
        <v>270</v>
      </c>
      <c r="F60" s="887"/>
      <c r="G60" s="975" t="str">
        <f>INDEX('GHI DB'!$A$3:$BS$27,MATCH('GHI Features (Option 1)'!G$8,'GHI DB'!$A$3:$A$27,0),MATCH('GHI Features (Option 1)'!$E60,'GHI DB'!$A$3:$BS$3,0))</f>
        <v xml:space="preserve">✔ </v>
      </c>
      <c r="H60" s="976" t="str">
        <f>INDEX('GHI DB'!$A$3:$BS$27,MATCH('GHI Features (Option 1)'!H$8,'GHI DB'!$A$3:$A$27,0),MATCH('GHI Features (Option 1)'!$E60,'GHI DB'!$A$3:$BS$3,0))</f>
        <v xml:space="preserve">✔ </v>
      </c>
      <c r="I60" s="977" t="str">
        <f>INDEX('GHI DB'!$A$3:$BS$27,MATCH('GHI Features (Option 1)'!I$8,'GHI DB'!$A$3:$A$27,0),MATCH('GHI Features (Option 1)'!$E60,'GHI DB'!$A$3:$BS$3,0))</f>
        <v xml:space="preserve">✔ </v>
      </c>
      <c r="J60" s="978" t="str">
        <f>INDEX('GHI DB'!$A$3:$BS$27,MATCH('GHI Features (Option 1)'!J$8,'GHI DB'!$A$3:$A$27,0),MATCH('GHI Features (Option 1)'!$E60,'GHI DB'!$A$3:$BS$3,0))</f>
        <v xml:space="preserve">✔ </v>
      </c>
      <c r="K60" s="886"/>
      <c r="L60" s="886"/>
      <c r="M60" s="886"/>
      <c r="N60" s="886"/>
      <c r="O60" s="886"/>
      <c r="P60" s="886"/>
      <c r="Q60" s="886"/>
      <c r="R60" s="886"/>
      <c r="S60" s="886"/>
      <c r="T60" s="886"/>
      <c r="U60" s="886"/>
      <c r="V60" s="886"/>
      <c r="W60" s="886"/>
      <c r="X60" s="886"/>
      <c r="Y60" s="886"/>
    </row>
    <row r="61" spans="1:25">
      <c r="D61" s="941"/>
      <c r="E61" s="943"/>
      <c r="F61" s="887"/>
      <c r="G61" s="886"/>
      <c r="H61" s="886"/>
      <c r="I61" s="886"/>
      <c r="J61" s="886"/>
      <c r="K61" s="886"/>
      <c r="L61" s="886"/>
      <c r="M61" s="886"/>
      <c r="N61" s="886"/>
      <c r="O61" s="886"/>
      <c r="P61" s="886"/>
      <c r="Q61" s="886"/>
      <c r="R61" s="886"/>
      <c r="S61" s="886"/>
      <c r="T61" s="886"/>
      <c r="U61" s="886"/>
      <c r="V61" s="886"/>
      <c r="W61" s="886"/>
      <c r="X61" s="886"/>
      <c r="Y61" s="886"/>
    </row>
    <row r="62" spans="1:25">
      <c r="B62" s="941" t="s">
        <v>336</v>
      </c>
      <c r="C62" s="942"/>
      <c r="D62" s="942"/>
      <c r="E62" s="943"/>
      <c r="F62" s="887"/>
      <c r="G62" s="886"/>
      <c r="H62" s="886"/>
      <c r="I62" s="886"/>
      <c r="J62" s="886"/>
      <c r="K62" s="886"/>
      <c r="L62" s="886"/>
      <c r="M62" s="886"/>
      <c r="N62" s="886"/>
      <c r="O62" s="886"/>
      <c r="P62" s="886"/>
      <c r="Q62" s="886"/>
      <c r="R62" s="886"/>
      <c r="S62" s="886"/>
      <c r="T62" s="886"/>
      <c r="U62" s="886"/>
      <c r="V62" s="886"/>
      <c r="W62" s="886"/>
      <c r="X62" s="886"/>
      <c r="Y62" s="886"/>
    </row>
    <row r="63" spans="1:25">
      <c r="C63" s="942"/>
      <c r="D63" s="942"/>
      <c r="E63" s="943"/>
      <c r="F63" s="887"/>
      <c r="G63" s="886"/>
      <c r="H63" s="886"/>
      <c r="I63" s="886"/>
      <c r="J63" s="886"/>
      <c r="K63" s="886"/>
      <c r="L63" s="886"/>
      <c r="M63" s="886"/>
      <c r="N63" s="886"/>
      <c r="O63" s="886"/>
      <c r="P63" s="886"/>
      <c r="Q63" s="886"/>
      <c r="R63" s="886"/>
      <c r="S63" s="886"/>
      <c r="T63" s="886"/>
      <c r="U63" s="886"/>
      <c r="V63" s="886"/>
      <c r="W63" s="886"/>
      <c r="X63" s="886"/>
      <c r="Y63" s="886"/>
    </row>
    <row r="64" spans="1:25">
      <c r="C64" s="942"/>
      <c r="D64" s="942"/>
      <c r="E64" s="943"/>
      <c r="F64" s="887"/>
      <c r="G64" s="886"/>
      <c r="H64" s="886"/>
      <c r="I64" s="886"/>
      <c r="J64" s="886"/>
      <c r="K64" s="886"/>
      <c r="L64" s="886"/>
      <c r="M64" s="886"/>
      <c r="N64" s="886"/>
      <c r="O64" s="886"/>
      <c r="P64" s="886"/>
      <c r="Q64" s="886"/>
      <c r="R64" s="886"/>
      <c r="S64" s="886"/>
      <c r="T64" s="886"/>
      <c r="U64" s="886"/>
      <c r="V64" s="886"/>
      <c r="W64" s="886"/>
      <c r="X64" s="886"/>
      <c r="Y64" s="886"/>
    </row>
    <row r="65" spans="3:25">
      <c r="C65" s="942"/>
      <c r="D65" s="942"/>
      <c r="E65" s="943"/>
      <c r="F65" s="887"/>
      <c r="G65" s="886"/>
      <c r="H65" s="886"/>
      <c r="I65" s="886"/>
      <c r="J65" s="886"/>
      <c r="K65" s="886"/>
      <c r="L65" s="886"/>
      <c r="M65" s="886"/>
      <c r="N65" s="886"/>
      <c r="O65" s="886"/>
      <c r="P65" s="886"/>
      <c r="Q65" s="886"/>
      <c r="R65" s="886"/>
      <c r="S65" s="886"/>
      <c r="T65" s="886"/>
      <c r="U65" s="886"/>
      <c r="V65" s="886"/>
      <c r="W65" s="886"/>
      <c r="X65" s="886"/>
      <c r="Y65" s="886"/>
    </row>
    <row r="66" spans="3:25">
      <c r="C66" s="942"/>
      <c r="D66" s="942"/>
      <c r="E66" s="943"/>
      <c r="F66" s="887"/>
      <c r="G66" s="886"/>
      <c r="H66" s="886"/>
      <c r="I66" s="886"/>
      <c r="J66" s="886"/>
      <c r="K66" s="886"/>
      <c r="L66" s="886"/>
      <c r="M66" s="886"/>
      <c r="N66" s="886"/>
      <c r="O66" s="886"/>
      <c r="P66" s="886"/>
      <c r="Q66" s="886"/>
      <c r="R66" s="886"/>
      <c r="S66" s="886"/>
      <c r="T66" s="886"/>
      <c r="U66" s="886"/>
      <c r="V66" s="886"/>
      <c r="W66" s="886"/>
      <c r="X66" s="886"/>
      <c r="Y66" s="886"/>
    </row>
    <row r="67" spans="3:25">
      <c r="C67" s="942"/>
      <c r="D67" s="942"/>
      <c r="E67" s="943"/>
      <c r="F67" s="887"/>
      <c r="G67" s="886"/>
      <c r="H67" s="886"/>
      <c r="I67" s="886"/>
      <c r="J67" s="886"/>
      <c r="K67" s="886"/>
      <c r="L67" s="886"/>
      <c r="M67" s="886"/>
      <c r="N67" s="886"/>
      <c r="O67" s="886"/>
      <c r="P67" s="886"/>
      <c r="Q67" s="886"/>
      <c r="R67" s="886"/>
      <c r="S67" s="886"/>
      <c r="T67" s="886"/>
      <c r="U67" s="886"/>
      <c r="V67" s="886"/>
      <c r="W67" s="886"/>
      <c r="X67" s="886"/>
      <c r="Y67" s="886"/>
    </row>
    <row r="68" spans="3:25">
      <c r="C68" s="942"/>
      <c r="D68" s="942"/>
      <c r="E68" s="943"/>
      <c r="F68" s="887"/>
      <c r="G68" s="886"/>
      <c r="H68" s="886"/>
      <c r="I68" s="886"/>
      <c r="J68" s="886"/>
      <c r="K68" s="886"/>
      <c r="L68" s="886"/>
      <c r="M68" s="886"/>
      <c r="N68" s="886"/>
      <c r="O68" s="886"/>
      <c r="P68" s="886"/>
      <c r="Q68" s="886"/>
      <c r="R68" s="886"/>
      <c r="S68" s="886"/>
      <c r="T68" s="886"/>
      <c r="U68" s="886"/>
      <c r="V68" s="886"/>
      <c r="W68" s="886"/>
      <c r="X68" s="886"/>
      <c r="Y68" s="886"/>
    </row>
    <row r="69" spans="3:25">
      <c r="C69" s="942"/>
      <c r="D69" s="942"/>
      <c r="E69" s="943"/>
      <c r="F69" s="887"/>
      <c r="G69" s="886"/>
      <c r="H69" s="886"/>
      <c r="I69" s="886"/>
      <c r="J69" s="886"/>
      <c r="K69" s="886"/>
      <c r="L69" s="886"/>
      <c r="M69" s="886"/>
      <c r="N69" s="886"/>
      <c r="O69" s="886"/>
      <c r="P69" s="886"/>
      <c r="Q69" s="886"/>
      <c r="R69" s="886"/>
      <c r="S69" s="886"/>
      <c r="T69" s="886"/>
      <c r="U69" s="886"/>
      <c r="V69" s="886"/>
      <c r="W69" s="886"/>
      <c r="X69" s="886"/>
      <c r="Y69" s="886"/>
    </row>
    <row r="70" spans="3:25">
      <c r="C70" s="942"/>
      <c r="D70" s="942"/>
      <c r="E70" s="943"/>
      <c r="F70" s="943"/>
      <c r="G70" s="886"/>
      <c r="H70" s="886"/>
      <c r="I70" s="886"/>
      <c r="J70" s="886"/>
      <c r="K70" s="886"/>
      <c r="L70" s="886"/>
      <c r="M70" s="886"/>
      <c r="N70" s="886"/>
      <c r="O70" s="886"/>
      <c r="P70" s="886"/>
      <c r="Q70" s="886"/>
      <c r="R70" s="886"/>
      <c r="S70" s="886"/>
      <c r="T70" s="886"/>
      <c r="U70" s="886"/>
      <c r="V70" s="886"/>
      <c r="W70" s="886"/>
      <c r="X70" s="886"/>
      <c r="Y70" s="886"/>
    </row>
    <row r="71" spans="3:25">
      <c r="C71" s="942"/>
      <c r="D71" s="942"/>
      <c r="E71" s="943"/>
      <c r="F71" s="943"/>
      <c r="G71" s="886"/>
      <c r="H71" s="886"/>
      <c r="I71" s="886"/>
      <c r="J71" s="886"/>
      <c r="K71" s="886"/>
      <c r="L71" s="886"/>
      <c r="M71" s="886"/>
      <c r="N71" s="886"/>
      <c r="O71" s="886"/>
      <c r="P71" s="886"/>
      <c r="Q71" s="886"/>
      <c r="R71" s="886"/>
      <c r="S71" s="886"/>
      <c r="T71" s="886"/>
      <c r="U71" s="886"/>
      <c r="V71" s="886"/>
      <c r="W71" s="886"/>
      <c r="X71" s="886"/>
      <c r="Y71" s="886"/>
    </row>
    <row r="72" spans="3:25">
      <c r="C72" s="942"/>
      <c r="D72" s="942"/>
      <c r="E72" s="943"/>
      <c r="F72" s="943"/>
      <c r="G72" s="886"/>
      <c r="H72" s="886"/>
      <c r="I72" s="886"/>
      <c r="J72" s="886"/>
      <c r="K72" s="886"/>
      <c r="L72" s="886"/>
      <c r="M72" s="886"/>
      <c r="N72" s="886"/>
      <c r="O72" s="886"/>
      <c r="P72" s="886"/>
      <c r="Q72" s="886"/>
      <c r="R72" s="886"/>
      <c r="S72" s="886"/>
      <c r="T72" s="886"/>
      <c r="U72" s="886"/>
      <c r="V72" s="886"/>
      <c r="W72" s="886"/>
      <c r="X72" s="886"/>
      <c r="Y72" s="886"/>
    </row>
    <row r="73" spans="3:25">
      <c r="C73" s="942"/>
      <c r="D73" s="942"/>
      <c r="E73" s="943"/>
      <c r="F73" s="943"/>
      <c r="G73" s="886"/>
      <c r="H73" s="886"/>
      <c r="I73" s="886"/>
      <c r="J73" s="886"/>
      <c r="K73" s="886"/>
      <c r="L73" s="886"/>
      <c r="M73" s="886"/>
      <c r="N73" s="886"/>
      <c r="O73" s="886"/>
      <c r="P73" s="886"/>
      <c r="Q73" s="886"/>
      <c r="R73" s="886"/>
      <c r="S73" s="886"/>
      <c r="T73" s="886"/>
      <c r="U73" s="886"/>
      <c r="V73" s="886"/>
      <c r="W73" s="886"/>
      <c r="X73" s="886"/>
      <c r="Y73" s="886"/>
    </row>
    <row r="74" spans="3:25">
      <c r="C74" s="942"/>
      <c r="D74" s="942"/>
      <c r="E74" s="943"/>
      <c r="F74" s="943"/>
      <c r="G74" s="886"/>
      <c r="H74" s="886"/>
      <c r="I74" s="886"/>
      <c r="J74" s="886"/>
      <c r="K74" s="886"/>
      <c r="L74" s="886"/>
      <c r="M74" s="886"/>
      <c r="N74" s="886"/>
      <c r="O74" s="886"/>
      <c r="P74" s="886"/>
      <c r="Q74" s="886"/>
      <c r="R74" s="886"/>
      <c r="S74" s="886"/>
      <c r="T74" s="886"/>
      <c r="U74" s="886"/>
      <c r="V74" s="886"/>
      <c r="W74" s="886"/>
      <c r="X74" s="886"/>
      <c r="Y74" s="886"/>
    </row>
    <row r="75" spans="3:25">
      <c r="C75" s="942"/>
      <c r="D75" s="942"/>
      <c r="E75" s="943"/>
      <c r="F75" s="943"/>
      <c r="G75" s="886"/>
      <c r="H75" s="886"/>
      <c r="I75" s="886"/>
      <c r="J75" s="886"/>
      <c r="K75" s="886"/>
      <c r="L75" s="886"/>
      <c r="M75" s="886"/>
      <c r="N75" s="886"/>
      <c r="O75" s="886"/>
      <c r="P75" s="886"/>
      <c r="Q75" s="886"/>
      <c r="R75" s="886"/>
      <c r="S75" s="886"/>
      <c r="T75" s="886"/>
      <c r="U75" s="886"/>
      <c r="V75" s="886"/>
      <c r="W75" s="886"/>
      <c r="X75" s="886"/>
      <c r="Y75" s="886"/>
    </row>
    <row r="76" spans="3:25">
      <c r="C76" s="942"/>
      <c r="D76" s="942"/>
      <c r="E76" s="943"/>
      <c r="F76" s="943"/>
      <c r="G76" s="886"/>
      <c r="H76" s="886"/>
      <c r="I76" s="886"/>
      <c r="J76" s="886"/>
      <c r="K76" s="886"/>
      <c r="L76" s="886"/>
      <c r="M76" s="886"/>
      <c r="N76" s="886"/>
      <c r="O76" s="886"/>
      <c r="P76" s="886"/>
      <c r="Q76" s="886"/>
      <c r="R76" s="886"/>
      <c r="S76" s="886"/>
      <c r="T76" s="886"/>
      <c r="U76" s="886"/>
      <c r="V76" s="886"/>
      <c r="W76" s="886"/>
      <c r="X76" s="886"/>
      <c r="Y76" s="886"/>
    </row>
    <row r="77" spans="3:25">
      <c r="C77" s="942"/>
      <c r="D77" s="942"/>
      <c r="E77" s="943"/>
      <c r="F77" s="943"/>
      <c r="G77" s="886"/>
      <c r="H77" s="886"/>
      <c r="I77" s="886"/>
      <c r="J77" s="886"/>
      <c r="K77" s="886"/>
      <c r="L77" s="886"/>
      <c r="M77" s="886"/>
      <c r="N77" s="886"/>
      <c r="O77" s="886"/>
      <c r="P77" s="886"/>
      <c r="Q77" s="886"/>
      <c r="R77" s="886"/>
      <c r="S77" s="886"/>
      <c r="T77" s="886"/>
      <c r="U77" s="886"/>
      <c r="V77" s="886"/>
      <c r="W77" s="886"/>
      <c r="X77" s="886"/>
      <c r="Y77" s="886"/>
    </row>
    <row r="78" spans="3:25">
      <c r="C78" s="942"/>
      <c r="D78" s="942"/>
      <c r="E78" s="943"/>
      <c r="F78" s="943"/>
      <c r="G78" s="886"/>
      <c r="H78" s="886"/>
      <c r="I78" s="886"/>
      <c r="J78" s="886"/>
      <c r="K78" s="886"/>
      <c r="L78" s="886"/>
      <c r="M78" s="886"/>
      <c r="N78" s="886"/>
      <c r="O78" s="886"/>
      <c r="P78" s="886"/>
      <c r="Q78" s="886"/>
      <c r="R78" s="886"/>
      <c r="S78" s="886"/>
      <c r="T78" s="886"/>
      <c r="U78" s="886"/>
      <c r="V78" s="886"/>
      <c r="W78" s="886"/>
      <c r="X78" s="886"/>
      <c r="Y78" s="886"/>
    </row>
    <row r="79" spans="3:25">
      <c r="C79" s="942"/>
      <c r="D79" s="942"/>
      <c r="E79" s="943"/>
      <c r="F79" s="943"/>
      <c r="G79" s="886"/>
      <c r="H79" s="886"/>
      <c r="I79" s="886"/>
      <c r="J79" s="886"/>
      <c r="K79" s="886"/>
      <c r="L79" s="886"/>
      <c r="M79" s="886"/>
      <c r="N79" s="886"/>
      <c r="O79" s="886"/>
      <c r="P79" s="886"/>
      <c r="Q79" s="886"/>
      <c r="R79" s="886"/>
      <c r="S79" s="886"/>
      <c r="T79" s="886"/>
      <c r="U79" s="886"/>
      <c r="V79" s="886"/>
      <c r="W79" s="886"/>
      <c r="X79" s="886"/>
      <c r="Y79" s="886"/>
    </row>
    <row r="80" spans="3:25">
      <c r="C80" s="942"/>
      <c r="D80" s="942"/>
      <c r="E80" s="943"/>
      <c r="F80" s="943"/>
      <c r="G80" s="886"/>
      <c r="H80" s="886"/>
      <c r="I80" s="886"/>
      <c r="J80" s="886"/>
      <c r="K80" s="886"/>
      <c r="L80" s="886"/>
      <c r="M80" s="886"/>
      <c r="N80" s="886"/>
      <c r="O80" s="886"/>
      <c r="P80" s="886"/>
      <c r="Q80" s="886"/>
      <c r="R80" s="886"/>
      <c r="S80" s="886"/>
      <c r="T80" s="886"/>
      <c r="U80" s="886"/>
      <c r="V80" s="886"/>
      <c r="W80" s="886"/>
      <c r="X80" s="886"/>
      <c r="Y80" s="886"/>
    </row>
    <row r="81" spans="3:25">
      <c r="C81" s="942"/>
      <c r="D81" s="942"/>
      <c r="E81" s="943"/>
      <c r="F81" s="943"/>
      <c r="G81" s="886"/>
      <c r="H81" s="886"/>
      <c r="I81" s="886"/>
      <c r="J81" s="886"/>
      <c r="K81" s="886"/>
      <c r="L81" s="886"/>
      <c r="M81" s="886"/>
      <c r="N81" s="886"/>
      <c r="O81" s="886"/>
      <c r="P81" s="886"/>
      <c r="Q81" s="886"/>
      <c r="R81" s="886"/>
      <c r="S81" s="886"/>
      <c r="T81" s="886"/>
      <c r="U81" s="886"/>
      <c r="V81" s="886"/>
      <c r="W81" s="886"/>
      <c r="X81" s="886"/>
      <c r="Y81" s="886"/>
    </row>
    <row r="82" spans="3:25">
      <c r="C82" s="942"/>
      <c r="D82" s="942"/>
      <c r="E82" s="943"/>
      <c r="F82" s="943"/>
      <c r="G82" s="886"/>
      <c r="H82" s="886"/>
      <c r="I82" s="886"/>
      <c r="J82" s="886"/>
      <c r="K82" s="886"/>
      <c r="L82" s="886"/>
      <c r="M82" s="886"/>
      <c r="N82" s="886"/>
      <c r="O82" s="886"/>
      <c r="P82" s="886"/>
      <c r="Q82" s="886"/>
      <c r="R82" s="886"/>
      <c r="S82" s="886"/>
      <c r="T82" s="886"/>
      <c r="U82" s="886"/>
      <c r="V82" s="886"/>
      <c r="W82" s="886"/>
      <c r="X82" s="886"/>
      <c r="Y82" s="886"/>
    </row>
    <row r="83" spans="3:25">
      <c r="C83" s="942"/>
      <c r="D83" s="942"/>
      <c r="E83" s="943"/>
      <c r="F83" s="943"/>
      <c r="G83" s="886"/>
      <c r="H83" s="886"/>
      <c r="I83" s="886"/>
      <c r="J83" s="886"/>
      <c r="K83" s="886"/>
      <c r="L83" s="886"/>
      <c r="M83" s="886"/>
      <c r="N83" s="886"/>
      <c r="O83" s="886"/>
      <c r="P83" s="886"/>
      <c r="Q83" s="886"/>
      <c r="R83" s="886"/>
      <c r="S83" s="886"/>
      <c r="T83" s="886"/>
      <c r="U83" s="886"/>
      <c r="V83" s="886"/>
      <c r="W83" s="886"/>
      <c r="X83" s="886"/>
      <c r="Y83" s="886"/>
    </row>
    <row r="84" spans="3:25">
      <c r="C84" s="942"/>
      <c r="D84" s="942"/>
      <c r="E84" s="943"/>
      <c r="F84" s="943"/>
      <c r="G84" s="886"/>
      <c r="H84" s="886"/>
      <c r="I84" s="886"/>
      <c r="J84" s="886"/>
      <c r="K84" s="886"/>
      <c r="L84" s="886"/>
      <c r="M84" s="886"/>
      <c r="N84" s="886"/>
      <c r="O84" s="886"/>
      <c r="P84" s="886"/>
      <c r="Q84" s="886"/>
      <c r="R84" s="886"/>
      <c r="S84" s="886"/>
      <c r="T84" s="886"/>
      <c r="U84" s="886"/>
      <c r="V84" s="886"/>
      <c r="W84" s="886"/>
      <c r="X84" s="886"/>
      <c r="Y84" s="886"/>
    </row>
    <row r="85" spans="3:25">
      <c r="C85" s="942"/>
      <c r="D85" s="942"/>
      <c r="E85" s="943"/>
      <c r="F85" s="943"/>
      <c r="G85" s="886"/>
      <c r="H85" s="886"/>
      <c r="I85" s="886"/>
      <c r="J85" s="886"/>
      <c r="K85" s="886"/>
      <c r="L85" s="886"/>
      <c r="M85" s="886"/>
      <c r="N85" s="886"/>
      <c r="O85" s="886"/>
      <c r="P85" s="886"/>
      <c r="Q85" s="886"/>
      <c r="R85" s="886"/>
      <c r="S85" s="886"/>
      <c r="T85" s="886"/>
      <c r="U85" s="886"/>
      <c r="V85" s="886"/>
      <c r="W85" s="886"/>
      <c r="X85" s="886"/>
      <c r="Y85" s="886"/>
    </row>
    <row r="86" spans="3:25">
      <c r="C86" s="942"/>
      <c r="D86" s="942"/>
      <c r="E86" s="943"/>
      <c r="F86" s="943"/>
      <c r="G86" s="886"/>
      <c r="H86" s="886"/>
      <c r="I86" s="886"/>
      <c r="J86" s="886"/>
      <c r="K86" s="886"/>
      <c r="L86" s="886"/>
      <c r="M86" s="886"/>
      <c r="N86" s="886"/>
      <c r="O86" s="886"/>
      <c r="P86" s="886"/>
      <c r="Q86" s="886"/>
      <c r="R86" s="886"/>
      <c r="S86" s="886"/>
      <c r="T86" s="886"/>
      <c r="U86" s="886"/>
      <c r="V86" s="886"/>
      <c r="W86" s="886"/>
      <c r="X86" s="886"/>
      <c r="Y86" s="886"/>
    </row>
    <row r="87" spans="3:25">
      <c r="C87" s="942"/>
      <c r="D87" s="942"/>
      <c r="E87" s="944"/>
      <c r="F87" s="944"/>
      <c r="G87" s="886"/>
      <c r="H87" s="886"/>
      <c r="I87" s="886"/>
      <c r="J87" s="886"/>
      <c r="K87" s="886"/>
      <c r="L87" s="886"/>
      <c r="M87" s="886"/>
      <c r="N87" s="886"/>
      <c r="O87" s="886"/>
      <c r="P87" s="886"/>
      <c r="Q87" s="886"/>
      <c r="R87" s="886"/>
      <c r="S87" s="886"/>
      <c r="T87" s="886"/>
      <c r="U87" s="886"/>
      <c r="V87" s="886"/>
      <c r="W87" s="886"/>
      <c r="X87" s="886"/>
      <c r="Y87" s="886"/>
    </row>
    <row r="88" spans="3:25">
      <c r="C88" s="942"/>
      <c r="D88" s="942"/>
      <c r="E88" s="944"/>
      <c r="F88" s="944"/>
      <c r="G88" s="886"/>
      <c r="H88" s="886"/>
      <c r="I88" s="886"/>
      <c r="J88" s="886"/>
      <c r="K88" s="886"/>
      <c r="L88" s="886"/>
      <c r="M88" s="886"/>
      <c r="N88" s="886"/>
      <c r="O88" s="886"/>
      <c r="P88" s="886"/>
      <c r="Q88" s="886"/>
      <c r="R88" s="886"/>
      <c r="S88" s="886"/>
      <c r="T88" s="886"/>
      <c r="U88" s="886"/>
      <c r="V88" s="886"/>
      <c r="W88" s="886"/>
      <c r="X88" s="886"/>
      <c r="Y88" s="886"/>
    </row>
    <row r="89" spans="3:25">
      <c r="C89" s="942"/>
      <c r="D89" s="942"/>
      <c r="E89" s="944"/>
      <c r="F89" s="944"/>
      <c r="G89" s="886"/>
      <c r="H89" s="886"/>
      <c r="I89" s="886"/>
      <c r="J89" s="886"/>
      <c r="K89" s="886"/>
      <c r="L89" s="886"/>
      <c r="M89" s="886"/>
      <c r="N89" s="886"/>
      <c r="O89" s="886"/>
      <c r="P89" s="886"/>
      <c r="Q89" s="886"/>
      <c r="R89" s="886"/>
      <c r="S89" s="886"/>
      <c r="T89" s="886"/>
      <c r="U89" s="886"/>
      <c r="V89" s="886"/>
      <c r="W89" s="886"/>
      <c r="X89" s="886"/>
      <c r="Y89" s="886"/>
    </row>
    <row r="90" spans="3:25">
      <c r="C90" s="942"/>
      <c r="D90" s="942"/>
      <c r="E90" s="944"/>
      <c r="F90" s="944"/>
      <c r="G90" s="886"/>
      <c r="H90" s="886"/>
      <c r="I90" s="886"/>
      <c r="J90" s="886"/>
      <c r="K90" s="886"/>
      <c r="L90" s="886"/>
      <c r="M90" s="886"/>
      <c r="N90" s="886"/>
      <c r="O90" s="886"/>
      <c r="P90" s="886"/>
      <c r="Q90" s="886"/>
      <c r="R90" s="886"/>
      <c r="S90" s="886"/>
      <c r="T90" s="886"/>
      <c r="U90" s="886"/>
      <c r="V90" s="886"/>
      <c r="W90" s="886"/>
      <c r="X90" s="886"/>
      <c r="Y90" s="886"/>
    </row>
    <row r="91" spans="3:25">
      <c r="C91" s="942"/>
      <c r="D91" s="942"/>
      <c r="G91" s="886"/>
      <c r="H91" s="886"/>
      <c r="I91" s="886"/>
      <c r="J91" s="886"/>
      <c r="K91" s="886"/>
      <c r="L91" s="886"/>
      <c r="M91" s="886"/>
      <c r="N91" s="886"/>
      <c r="O91" s="886"/>
      <c r="P91" s="886"/>
      <c r="Q91" s="886"/>
      <c r="R91" s="886"/>
      <c r="S91" s="886"/>
      <c r="T91" s="886"/>
      <c r="U91" s="886"/>
      <c r="V91" s="886"/>
      <c r="W91" s="886"/>
      <c r="X91" s="886"/>
      <c r="Y91" s="886"/>
    </row>
    <row r="92" spans="3:25">
      <c r="C92" s="942"/>
      <c r="D92" s="942"/>
      <c r="E92" s="944"/>
      <c r="F92" s="944"/>
      <c r="G92" s="886"/>
      <c r="H92" s="886"/>
      <c r="I92" s="886"/>
      <c r="J92" s="886"/>
      <c r="K92" s="886"/>
      <c r="L92" s="886"/>
      <c r="M92" s="886"/>
      <c r="N92" s="886"/>
      <c r="O92" s="886"/>
      <c r="P92" s="886"/>
      <c r="Q92" s="886"/>
      <c r="R92" s="886"/>
      <c r="S92" s="886"/>
      <c r="T92" s="886"/>
      <c r="U92" s="886"/>
      <c r="V92" s="886"/>
      <c r="W92" s="886"/>
      <c r="X92" s="886"/>
      <c r="Y92" s="886"/>
    </row>
    <row r="93" spans="3:25">
      <c r="C93" s="942"/>
      <c r="D93" s="942"/>
      <c r="G93" s="886"/>
      <c r="H93" s="886"/>
      <c r="I93" s="886"/>
      <c r="J93" s="886"/>
      <c r="K93" s="886"/>
      <c r="L93" s="886"/>
      <c r="M93" s="886"/>
      <c r="N93" s="886"/>
      <c r="O93" s="886"/>
      <c r="P93" s="886"/>
      <c r="Q93" s="886"/>
      <c r="R93" s="886"/>
      <c r="S93" s="886"/>
      <c r="T93" s="886"/>
      <c r="U93" s="886"/>
      <c r="V93" s="886"/>
      <c r="W93" s="886"/>
      <c r="X93" s="886"/>
      <c r="Y93" s="886"/>
    </row>
    <row r="94" spans="3:25">
      <c r="C94" s="942"/>
      <c r="D94" s="942"/>
      <c r="G94" s="886"/>
      <c r="H94" s="886"/>
      <c r="I94" s="886"/>
      <c r="J94" s="886"/>
      <c r="K94" s="886"/>
      <c r="L94" s="886"/>
      <c r="M94" s="886"/>
      <c r="N94" s="886"/>
      <c r="O94" s="886"/>
      <c r="P94" s="886"/>
      <c r="Q94" s="886"/>
      <c r="R94" s="886"/>
      <c r="S94" s="886"/>
      <c r="T94" s="886"/>
      <c r="U94" s="886"/>
      <c r="V94" s="886"/>
      <c r="W94" s="886"/>
      <c r="X94" s="886"/>
      <c r="Y94" s="886"/>
    </row>
    <row r="95" spans="3:25">
      <c r="C95" s="942"/>
      <c r="D95" s="942"/>
      <c r="E95" s="944"/>
      <c r="F95" s="944"/>
      <c r="G95" s="886"/>
      <c r="H95" s="886"/>
      <c r="I95" s="886"/>
      <c r="J95" s="886"/>
      <c r="K95" s="886"/>
      <c r="L95" s="886"/>
      <c r="M95" s="886"/>
      <c r="N95" s="886"/>
      <c r="O95" s="886"/>
      <c r="P95" s="886"/>
      <c r="Q95" s="886"/>
      <c r="R95" s="886"/>
      <c r="S95" s="886"/>
      <c r="T95" s="886"/>
      <c r="U95" s="886"/>
      <c r="V95" s="886"/>
      <c r="W95" s="886"/>
      <c r="X95" s="886"/>
      <c r="Y95" s="886"/>
    </row>
    <row r="96" spans="3:25">
      <c r="C96" s="942"/>
      <c r="D96" s="942"/>
      <c r="G96" s="886"/>
      <c r="H96" s="886"/>
      <c r="I96" s="886"/>
      <c r="J96" s="886"/>
      <c r="K96" s="886"/>
      <c r="L96" s="886"/>
      <c r="M96" s="886"/>
      <c r="N96" s="886"/>
      <c r="O96" s="886"/>
      <c r="P96" s="886"/>
      <c r="Q96" s="886"/>
      <c r="R96" s="886"/>
      <c r="S96" s="886"/>
      <c r="T96" s="886"/>
      <c r="U96" s="886"/>
      <c r="V96" s="886"/>
      <c r="W96" s="886"/>
      <c r="X96" s="886"/>
      <c r="Y96" s="886"/>
    </row>
    <row r="97" spans="3:25">
      <c r="C97" s="942"/>
      <c r="D97" s="942"/>
      <c r="E97" s="944"/>
      <c r="F97" s="944"/>
      <c r="G97" s="886"/>
      <c r="H97" s="886"/>
      <c r="I97" s="886"/>
      <c r="J97" s="886"/>
      <c r="K97" s="886"/>
      <c r="L97" s="886"/>
      <c r="M97" s="886"/>
      <c r="N97" s="886"/>
      <c r="O97" s="886"/>
      <c r="P97" s="886"/>
      <c r="Q97" s="886"/>
      <c r="R97" s="886"/>
      <c r="S97" s="886"/>
      <c r="T97" s="886"/>
      <c r="U97" s="886"/>
      <c r="V97" s="886"/>
      <c r="W97" s="886"/>
      <c r="X97" s="886"/>
      <c r="Y97" s="886"/>
    </row>
    <row r="98" spans="3:25">
      <c r="C98" s="942"/>
      <c r="D98" s="942"/>
      <c r="E98" s="944"/>
      <c r="F98" s="944"/>
      <c r="G98" s="886"/>
      <c r="H98" s="886"/>
      <c r="I98" s="886"/>
      <c r="J98" s="886"/>
      <c r="K98" s="886"/>
      <c r="L98" s="886"/>
      <c r="M98" s="886"/>
      <c r="N98" s="886"/>
      <c r="O98" s="886"/>
      <c r="P98" s="886"/>
      <c r="Q98" s="886"/>
      <c r="R98" s="886"/>
      <c r="S98" s="886"/>
      <c r="T98" s="886"/>
      <c r="U98" s="886"/>
      <c r="V98" s="886"/>
      <c r="W98" s="886"/>
      <c r="X98" s="886"/>
      <c r="Y98" s="886"/>
    </row>
    <row r="99" spans="3:25">
      <c r="C99" s="942"/>
      <c r="D99" s="942"/>
      <c r="E99" s="944"/>
      <c r="F99" s="944"/>
      <c r="G99" s="886"/>
      <c r="H99" s="886"/>
      <c r="I99" s="886"/>
      <c r="J99" s="886"/>
      <c r="K99" s="886"/>
      <c r="L99" s="886"/>
      <c r="M99" s="886"/>
      <c r="N99" s="886"/>
      <c r="O99" s="886"/>
      <c r="P99" s="886"/>
      <c r="Q99" s="886"/>
      <c r="R99" s="886"/>
      <c r="S99" s="886"/>
      <c r="T99" s="886"/>
      <c r="U99" s="886"/>
      <c r="V99" s="886"/>
      <c r="W99" s="886"/>
      <c r="X99" s="886"/>
      <c r="Y99" s="886"/>
    </row>
    <row r="100" spans="3:25">
      <c r="C100" s="942"/>
      <c r="D100" s="942"/>
      <c r="E100" s="944"/>
      <c r="F100" s="944"/>
      <c r="G100" s="886"/>
      <c r="H100" s="886"/>
      <c r="I100" s="886"/>
      <c r="J100" s="886"/>
      <c r="K100" s="886"/>
      <c r="L100" s="886"/>
      <c r="M100" s="886"/>
      <c r="N100" s="886"/>
      <c r="O100" s="886"/>
      <c r="P100" s="886"/>
      <c r="Q100" s="886"/>
      <c r="R100" s="886"/>
      <c r="S100" s="886"/>
      <c r="T100" s="886"/>
      <c r="U100" s="886"/>
      <c r="V100" s="886"/>
      <c r="W100" s="886"/>
      <c r="X100" s="886"/>
      <c r="Y100" s="886"/>
    </row>
    <row r="101" spans="3:25">
      <c r="C101" s="942"/>
      <c r="D101" s="942"/>
      <c r="E101" s="944"/>
      <c r="F101" s="944"/>
      <c r="G101" s="886"/>
      <c r="H101" s="886"/>
      <c r="I101" s="886"/>
      <c r="J101" s="886"/>
      <c r="K101" s="886"/>
      <c r="L101" s="886"/>
      <c r="M101" s="886"/>
      <c r="N101" s="886"/>
      <c r="O101" s="886"/>
      <c r="P101" s="886"/>
      <c r="Q101" s="886"/>
      <c r="R101" s="886"/>
      <c r="S101" s="886"/>
      <c r="T101" s="886"/>
      <c r="U101" s="886"/>
      <c r="V101" s="886"/>
      <c r="W101" s="886"/>
      <c r="X101" s="886"/>
      <c r="Y101" s="886"/>
    </row>
    <row r="102" spans="3:25">
      <c r="C102" s="942"/>
      <c r="D102" s="942"/>
      <c r="E102" s="944"/>
      <c r="F102" s="944"/>
      <c r="G102" s="886"/>
      <c r="H102" s="886"/>
      <c r="I102" s="886"/>
      <c r="J102" s="886"/>
      <c r="K102" s="886"/>
      <c r="L102" s="886"/>
      <c r="M102" s="886"/>
      <c r="N102" s="886"/>
      <c r="O102" s="886"/>
      <c r="P102" s="886"/>
      <c r="Q102" s="886"/>
      <c r="R102" s="886"/>
      <c r="S102" s="886"/>
      <c r="T102" s="886"/>
      <c r="U102" s="886"/>
      <c r="V102" s="886"/>
      <c r="W102" s="886"/>
      <c r="X102" s="886"/>
      <c r="Y102" s="886"/>
    </row>
    <row r="103" spans="3:25">
      <c r="C103" s="942"/>
      <c r="D103" s="942"/>
      <c r="E103" s="944"/>
      <c r="F103" s="944"/>
      <c r="G103" s="886"/>
      <c r="H103" s="886"/>
      <c r="I103" s="886"/>
      <c r="J103" s="886"/>
      <c r="K103" s="886"/>
      <c r="L103" s="886"/>
      <c r="M103" s="886"/>
      <c r="N103" s="886"/>
      <c r="O103" s="886"/>
      <c r="P103" s="886"/>
      <c r="Q103" s="886"/>
      <c r="R103" s="886"/>
      <c r="S103" s="886"/>
      <c r="T103" s="886"/>
      <c r="U103" s="886"/>
      <c r="V103" s="886"/>
      <c r="W103" s="886"/>
      <c r="X103" s="886"/>
      <c r="Y103" s="886"/>
    </row>
    <row r="104" spans="3:25">
      <c r="C104" s="942"/>
      <c r="D104" s="942"/>
      <c r="E104" s="944"/>
      <c r="F104" s="944"/>
      <c r="G104" s="886"/>
      <c r="H104" s="886"/>
      <c r="I104" s="886"/>
      <c r="J104" s="886"/>
      <c r="K104" s="886"/>
      <c r="L104" s="886"/>
      <c r="M104" s="886"/>
      <c r="N104" s="886"/>
      <c r="O104" s="886"/>
      <c r="P104" s="886"/>
      <c r="Q104" s="886"/>
      <c r="R104" s="886"/>
      <c r="S104" s="886"/>
      <c r="T104" s="886"/>
      <c r="U104" s="886"/>
      <c r="V104" s="886"/>
      <c r="W104" s="886"/>
      <c r="X104" s="886"/>
      <c r="Y104" s="886"/>
    </row>
    <row r="105" spans="3:25">
      <c r="C105" s="942"/>
      <c r="D105" s="942"/>
      <c r="G105" s="886"/>
      <c r="H105" s="886"/>
      <c r="I105" s="886"/>
      <c r="J105" s="886"/>
      <c r="K105" s="886"/>
      <c r="L105" s="886"/>
      <c r="M105" s="886"/>
      <c r="N105" s="886"/>
      <c r="O105" s="886"/>
      <c r="P105" s="886"/>
      <c r="Q105" s="886"/>
      <c r="R105" s="886"/>
      <c r="S105" s="886"/>
      <c r="T105" s="886"/>
      <c r="U105" s="886"/>
      <c r="V105" s="886"/>
      <c r="W105" s="886"/>
      <c r="X105" s="886"/>
      <c r="Y105" s="886"/>
    </row>
    <row r="106" spans="3:25">
      <c r="C106" s="942"/>
      <c r="D106" s="942"/>
      <c r="E106" s="944"/>
      <c r="F106" s="944"/>
      <c r="G106" s="886"/>
      <c r="H106" s="886"/>
      <c r="I106" s="886"/>
      <c r="J106" s="886"/>
      <c r="K106" s="886"/>
      <c r="L106" s="886"/>
      <c r="M106" s="886"/>
      <c r="N106" s="886"/>
      <c r="O106" s="886"/>
      <c r="P106" s="886"/>
      <c r="Q106" s="886"/>
      <c r="R106" s="886"/>
      <c r="S106" s="886"/>
      <c r="T106" s="886"/>
      <c r="U106" s="886"/>
      <c r="V106" s="886"/>
      <c r="W106" s="886"/>
      <c r="X106" s="886"/>
      <c r="Y106" s="886"/>
    </row>
    <row r="107" spans="3:25">
      <c r="C107" s="942"/>
      <c r="D107" s="942"/>
      <c r="G107" s="886"/>
      <c r="H107" s="886"/>
      <c r="I107" s="886"/>
      <c r="J107" s="886"/>
      <c r="K107" s="886"/>
      <c r="L107" s="886"/>
      <c r="M107" s="886"/>
      <c r="N107" s="886"/>
      <c r="O107" s="886"/>
      <c r="P107" s="886"/>
      <c r="Q107" s="886"/>
      <c r="R107" s="886"/>
      <c r="S107" s="886"/>
      <c r="T107" s="886"/>
      <c r="U107" s="886"/>
      <c r="V107" s="886"/>
      <c r="W107" s="886"/>
      <c r="X107" s="886"/>
      <c r="Y107" s="886"/>
    </row>
    <row r="108" spans="3:25">
      <c r="C108" s="942"/>
      <c r="D108" s="942"/>
      <c r="E108" s="944"/>
      <c r="F108" s="944"/>
      <c r="G108" s="886"/>
      <c r="H108" s="886"/>
      <c r="I108" s="886"/>
      <c r="J108" s="886"/>
      <c r="K108" s="886"/>
      <c r="L108" s="886"/>
      <c r="M108" s="886"/>
      <c r="N108" s="886"/>
      <c r="O108" s="886"/>
      <c r="P108" s="886"/>
      <c r="Q108" s="886"/>
      <c r="R108" s="886"/>
      <c r="S108" s="886"/>
      <c r="T108" s="886"/>
      <c r="U108" s="886"/>
      <c r="V108" s="886"/>
      <c r="W108" s="886"/>
      <c r="X108" s="886"/>
      <c r="Y108" s="886"/>
    </row>
    <row r="109" spans="3:25">
      <c r="C109" s="942"/>
      <c r="D109" s="942"/>
      <c r="E109" s="944"/>
      <c r="F109" s="944"/>
      <c r="G109" s="886"/>
      <c r="H109" s="886"/>
      <c r="I109" s="886"/>
      <c r="J109" s="886"/>
      <c r="K109" s="886"/>
      <c r="L109" s="886"/>
      <c r="M109" s="886"/>
      <c r="N109" s="886"/>
      <c r="O109" s="886"/>
      <c r="P109" s="886"/>
      <c r="Q109" s="886"/>
      <c r="R109" s="886"/>
      <c r="S109" s="886"/>
      <c r="T109" s="886"/>
      <c r="U109" s="886"/>
      <c r="V109" s="886"/>
      <c r="W109" s="886"/>
      <c r="X109" s="886"/>
      <c r="Y109" s="886"/>
    </row>
    <row r="110" spans="3:25">
      <c r="C110" s="942"/>
      <c r="D110" s="942"/>
      <c r="E110" s="944"/>
      <c r="F110" s="944"/>
      <c r="H110" s="886"/>
      <c r="I110" s="886"/>
      <c r="J110" s="886"/>
      <c r="K110" s="886"/>
      <c r="L110" s="886"/>
      <c r="M110" s="886"/>
      <c r="N110" s="886"/>
      <c r="O110" s="886"/>
      <c r="P110" s="886"/>
      <c r="Q110" s="886"/>
      <c r="R110" s="886"/>
      <c r="S110" s="886"/>
      <c r="T110" s="886"/>
      <c r="U110" s="886"/>
      <c r="V110" s="886"/>
      <c r="W110" s="886"/>
      <c r="X110" s="886"/>
      <c r="Y110" s="886"/>
    </row>
    <row r="111" spans="3:25">
      <c r="C111" s="942"/>
      <c r="D111" s="942"/>
      <c r="H111" s="944"/>
      <c r="I111" s="886"/>
      <c r="J111" s="886"/>
      <c r="K111" s="886"/>
      <c r="L111" s="886"/>
      <c r="M111" s="886"/>
      <c r="N111" s="886"/>
      <c r="O111" s="886"/>
      <c r="P111" s="886"/>
      <c r="Q111" s="886"/>
      <c r="R111" s="886"/>
      <c r="S111" s="886"/>
      <c r="T111" s="886"/>
      <c r="U111" s="886"/>
      <c r="V111" s="886"/>
      <c r="W111" s="886"/>
      <c r="X111" s="886"/>
      <c r="Y111" s="886"/>
    </row>
    <row r="112" spans="3:25">
      <c r="C112" s="942"/>
      <c r="D112" s="942"/>
      <c r="H112" s="944"/>
      <c r="I112" s="886"/>
      <c r="J112" s="886"/>
      <c r="K112" s="886"/>
      <c r="L112" s="886"/>
      <c r="M112" s="886"/>
      <c r="N112" s="886"/>
      <c r="O112" s="886"/>
      <c r="P112" s="886"/>
      <c r="Q112" s="886"/>
      <c r="R112" s="886"/>
      <c r="S112" s="886"/>
      <c r="T112" s="886"/>
      <c r="U112" s="886"/>
      <c r="V112" s="886"/>
      <c r="W112" s="886"/>
      <c r="X112" s="886"/>
      <c r="Y112" s="886"/>
    </row>
    <row r="113" spans="3:25">
      <c r="C113" s="942"/>
      <c r="D113" s="942"/>
      <c r="H113" s="944"/>
      <c r="I113" s="886"/>
      <c r="J113" s="886"/>
      <c r="K113" s="886"/>
      <c r="L113" s="886"/>
      <c r="M113" s="886"/>
      <c r="N113" s="886"/>
      <c r="O113" s="886"/>
      <c r="P113" s="886"/>
      <c r="Q113" s="886"/>
      <c r="R113" s="886"/>
      <c r="S113" s="886"/>
      <c r="T113" s="886"/>
      <c r="U113" s="886"/>
      <c r="V113" s="886"/>
      <c r="W113" s="886"/>
      <c r="X113" s="886"/>
      <c r="Y113" s="886"/>
    </row>
    <row r="114" spans="3:25">
      <c r="C114" s="942"/>
      <c r="D114" s="942"/>
      <c r="H114" s="883"/>
      <c r="I114" s="886"/>
      <c r="J114" s="886"/>
      <c r="K114" s="886"/>
      <c r="L114" s="886"/>
      <c r="M114" s="886"/>
      <c r="N114" s="886"/>
      <c r="O114" s="886"/>
      <c r="P114" s="886"/>
      <c r="Q114" s="886"/>
      <c r="R114" s="886"/>
      <c r="S114" s="886"/>
      <c r="T114" s="886"/>
      <c r="U114" s="886"/>
      <c r="V114" s="886"/>
      <c r="W114" s="886"/>
      <c r="X114" s="886"/>
      <c r="Y114" s="886"/>
    </row>
    <row r="115" spans="3:25">
      <c r="C115" s="942"/>
      <c r="D115" s="942"/>
      <c r="H115" s="944"/>
      <c r="I115" s="886"/>
      <c r="J115" s="886"/>
      <c r="K115" s="886"/>
      <c r="L115" s="886"/>
      <c r="M115" s="886"/>
      <c r="N115" s="886"/>
      <c r="O115" s="886"/>
      <c r="P115" s="886"/>
      <c r="Q115" s="886"/>
      <c r="R115" s="886"/>
      <c r="S115" s="886"/>
      <c r="T115" s="886"/>
      <c r="U115" s="886"/>
      <c r="V115" s="886"/>
      <c r="W115" s="886"/>
      <c r="X115" s="886"/>
      <c r="Y115" s="886"/>
    </row>
    <row r="116" spans="3:25">
      <c r="C116" s="942"/>
      <c r="D116" s="942"/>
      <c r="H116" s="944"/>
      <c r="I116" s="886"/>
      <c r="J116" s="886"/>
      <c r="K116" s="886"/>
      <c r="L116" s="886"/>
      <c r="M116" s="886"/>
      <c r="N116" s="886"/>
      <c r="O116" s="886"/>
      <c r="P116" s="886"/>
      <c r="Q116" s="886"/>
      <c r="R116" s="886"/>
      <c r="S116" s="886"/>
      <c r="T116" s="886"/>
      <c r="U116" s="886"/>
      <c r="V116" s="886"/>
      <c r="W116" s="886"/>
      <c r="X116" s="886"/>
      <c r="Y116" s="886"/>
    </row>
    <row r="117" spans="3:25">
      <c r="C117" s="942"/>
      <c r="D117" s="942"/>
      <c r="H117" s="883"/>
      <c r="I117" s="886"/>
      <c r="J117" s="886"/>
      <c r="K117" s="886"/>
      <c r="L117" s="886"/>
      <c r="M117" s="886"/>
      <c r="N117" s="886"/>
      <c r="O117" s="886"/>
      <c r="P117" s="886"/>
      <c r="Q117" s="886"/>
      <c r="R117" s="886"/>
      <c r="S117" s="886"/>
      <c r="T117" s="886"/>
      <c r="U117" s="886"/>
      <c r="V117" s="886"/>
      <c r="W117" s="886"/>
      <c r="X117" s="886"/>
      <c r="Y117" s="886"/>
    </row>
    <row r="118" spans="3:25">
      <c r="C118" s="942"/>
      <c r="D118" s="942"/>
      <c r="H118" s="944"/>
      <c r="I118" s="886"/>
      <c r="J118" s="886"/>
      <c r="K118" s="886"/>
      <c r="L118" s="886"/>
      <c r="M118" s="886"/>
      <c r="N118" s="886"/>
      <c r="O118" s="886"/>
      <c r="P118" s="886"/>
      <c r="Q118" s="886"/>
      <c r="R118" s="886"/>
      <c r="S118" s="886"/>
      <c r="T118" s="886"/>
      <c r="U118" s="886"/>
      <c r="V118" s="886"/>
      <c r="W118" s="886"/>
      <c r="X118" s="886"/>
      <c r="Y118" s="886"/>
    </row>
    <row r="119" spans="3:25">
      <c r="C119" s="942"/>
      <c r="D119" s="942"/>
      <c r="H119" s="944"/>
      <c r="I119" s="886"/>
      <c r="J119" s="886"/>
      <c r="K119" s="886"/>
      <c r="L119" s="886"/>
      <c r="M119" s="886"/>
      <c r="N119" s="886"/>
      <c r="O119" s="886"/>
      <c r="P119" s="886"/>
      <c r="Q119" s="886"/>
      <c r="R119" s="886"/>
      <c r="S119" s="886"/>
      <c r="T119" s="886"/>
      <c r="U119" s="886"/>
      <c r="V119" s="886"/>
      <c r="W119" s="886"/>
      <c r="X119" s="886"/>
      <c r="Y119" s="886"/>
    </row>
    <row r="120" spans="3:25">
      <c r="C120" s="942"/>
      <c r="D120" s="942"/>
      <c r="H120" s="944"/>
      <c r="I120" s="886"/>
      <c r="J120" s="886"/>
      <c r="K120" s="886"/>
      <c r="L120" s="886"/>
      <c r="M120" s="886"/>
      <c r="N120" s="886"/>
      <c r="O120" s="886"/>
      <c r="P120" s="886"/>
      <c r="Q120" s="886"/>
      <c r="R120" s="886"/>
      <c r="S120" s="886"/>
      <c r="T120" s="886"/>
      <c r="U120" s="886"/>
      <c r="V120" s="886"/>
      <c r="W120" s="886"/>
      <c r="X120" s="886"/>
      <c r="Y120" s="886"/>
    </row>
    <row r="121" spans="3:25">
      <c r="C121" s="942"/>
      <c r="D121" s="942"/>
      <c r="H121" s="944"/>
      <c r="I121" s="886"/>
      <c r="J121" s="886"/>
      <c r="K121" s="886"/>
      <c r="L121" s="886"/>
      <c r="M121" s="886"/>
      <c r="N121" s="886"/>
      <c r="O121" s="886"/>
      <c r="P121" s="886"/>
      <c r="Q121" s="886"/>
      <c r="R121" s="886"/>
      <c r="S121" s="886"/>
      <c r="T121" s="886"/>
      <c r="U121" s="886"/>
      <c r="V121" s="886"/>
      <c r="W121" s="886"/>
      <c r="X121" s="886"/>
      <c r="Y121" s="886"/>
    </row>
    <row r="122" spans="3:25">
      <c r="C122" s="942"/>
      <c r="D122" s="942"/>
      <c r="H122" s="944"/>
      <c r="I122" s="886"/>
      <c r="J122" s="886"/>
      <c r="K122" s="886"/>
      <c r="L122" s="886"/>
      <c r="M122" s="886"/>
      <c r="N122" s="886"/>
      <c r="O122" s="886"/>
      <c r="P122" s="886"/>
      <c r="Q122" s="886"/>
      <c r="R122" s="886"/>
      <c r="S122" s="886"/>
      <c r="T122" s="886"/>
      <c r="U122" s="886"/>
      <c r="V122" s="886"/>
      <c r="W122" s="886"/>
      <c r="X122" s="886"/>
      <c r="Y122" s="886"/>
    </row>
    <row r="123" spans="3:25">
      <c r="C123" s="942"/>
      <c r="D123" s="942"/>
      <c r="H123" s="944"/>
      <c r="I123" s="886"/>
      <c r="J123" s="886"/>
      <c r="K123" s="886"/>
      <c r="L123" s="886"/>
      <c r="M123" s="886"/>
      <c r="N123" s="886"/>
      <c r="O123" s="886"/>
      <c r="P123" s="886"/>
      <c r="Q123" s="886"/>
      <c r="R123" s="886"/>
      <c r="S123" s="886"/>
      <c r="T123" s="886"/>
      <c r="U123" s="886"/>
      <c r="V123" s="886"/>
      <c r="W123" s="886"/>
      <c r="X123" s="886"/>
      <c r="Y123" s="886"/>
    </row>
    <row r="124" spans="3:25">
      <c r="C124" s="942"/>
      <c r="D124" s="942"/>
      <c r="H124" s="944"/>
      <c r="I124" s="886"/>
      <c r="J124" s="886"/>
      <c r="K124" s="886"/>
      <c r="L124" s="886"/>
      <c r="M124" s="886"/>
      <c r="N124" s="886"/>
      <c r="O124" s="886"/>
      <c r="P124" s="886"/>
      <c r="Q124" s="886"/>
      <c r="R124" s="886"/>
      <c r="S124" s="886"/>
      <c r="T124" s="886"/>
      <c r="U124" s="886"/>
      <c r="V124" s="886"/>
      <c r="W124" s="886"/>
      <c r="X124" s="886"/>
      <c r="Y124" s="886"/>
    </row>
    <row r="125" spans="3:25">
      <c r="C125" s="942"/>
      <c r="D125" s="942"/>
      <c r="H125" s="944"/>
      <c r="I125" s="886"/>
      <c r="J125" s="886"/>
      <c r="K125" s="886"/>
      <c r="L125" s="886"/>
      <c r="M125" s="886"/>
      <c r="N125" s="886"/>
      <c r="O125" s="886"/>
      <c r="P125" s="886"/>
      <c r="Q125" s="886"/>
      <c r="R125" s="886"/>
      <c r="S125" s="886"/>
      <c r="T125" s="886"/>
      <c r="U125" s="886"/>
      <c r="V125" s="886"/>
      <c r="W125" s="886"/>
      <c r="X125" s="886"/>
      <c r="Y125" s="886"/>
    </row>
    <row r="126" spans="3:25">
      <c r="C126" s="942"/>
      <c r="D126" s="942"/>
      <c r="H126" s="883"/>
      <c r="I126" s="886"/>
      <c r="J126" s="886"/>
      <c r="K126" s="886"/>
      <c r="L126" s="886"/>
      <c r="M126" s="886"/>
      <c r="N126" s="886"/>
      <c r="O126" s="886"/>
      <c r="P126" s="886"/>
      <c r="Q126" s="886"/>
      <c r="R126" s="886"/>
      <c r="S126" s="886"/>
      <c r="T126" s="886"/>
      <c r="U126" s="886"/>
      <c r="V126" s="886"/>
      <c r="W126" s="886"/>
      <c r="X126" s="886"/>
      <c r="Y126" s="886"/>
    </row>
    <row r="127" spans="3:25">
      <c r="C127" s="942"/>
      <c r="D127" s="942"/>
      <c r="H127" s="944"/>
      <c r="I127" s="886"/>
      <c r="J127" s="886"/>
      <c r="K127" s="886"/>
      <c r="L127" s="886"/>
      <c r="M127" s="886"/>
      <c r="N127" s="886"/>
      <c r="O127" s="886"/>
      <c r="P127" s="886"/>
      <c r="Q127" s="886"/>
      <c r="R127" s="886"/>
      <c r="S127" s="886"/>
      <c r="T127" s="886"/>
      <c r="U127" s="886"/>
      <c r="V127" s="886"/>
      <c r="W127" s="886"/>
      <c r="X127" s="886"/>
      <c r="Y127" s="886"/>
    </row>
    <row r="128" spans="3:25">
      <c r="C128" s="942"/>
      <c r="D128" s="942"/>
      <c r="H128" s="883"/>
      <c r="I128" s="886"/>
      <c r="J128" s="886"/>
      <c r="K128" s="886"/>
      <c r="L128" s="886"/>
      <c r="M128" s="886"/>
      <c r="N128" s="886"/>
      <c r="O128" s="886"/>
      <c r="P128" s="886"/>
      <c r="Q128" s="886"/>
      <c r="R128" s="886"/>
      <c r="S128" s="886"/>
      <c r="T128" s="886"/>
      <c r="U128" s="886"/>
      <c r="V128" s="886"/>
      <c r="W128" s="886"/>
      <c r="X128" s="886"/>
      <c r="Y128" s="886"/>
    </row>
    <row r="129" spans="3:25">
      <c r="C129" s="942"/>
      <c r="D129" s="942"/>
      <c r="H129" s="944"/>
      <c r="I129" s="886"/>
      <c r="J129" s="886"/>
      <c r="K129" s="886"/>
      <c r="L129" s="886"/>
      <c r="M129" s="886"/>
      <c r="N129" s="886"/>
      <c r="O129" s="886"/>
      <c r="P129" s="886"/>
      <c r="Q129" s="886"/>
      <c r="R129" s="886"/>
      <c r="S129" s="886"/>
      <c r="T129" s="886"/>
      <c r="U129" s="886"/>
      <c r="V129" s="886"/>
      <c r="W129" s="886"/>
      <c r="X129" s="886"/>
      <c r="Y129" s="886"/>
    </row>
    <row r="130" spans="3:25">
      <c r="C130" s="942"/>
      <c r="D130" s="942"/>
      <c r="H130" s="944"/>
      <c r="I130" s="886"/>
      <c r="J130" s="886"/>
      <c r="K130" s="886"/>
      <c r="L130" s="886"/>
      <c r="M130" s="886"/>
      <c r="N130" s="886"/>
      <c r="O130" s="886"/>
      <c r="P130" s="886"/>
      <c r="Q130" s="886"/>
      <c r="R130" s="886"/>
      <c r="S130" s="886"/>
      <c r="T130" s="886"/>
      <c r="U130" s="886"/>
      <c r="V130" s="886"/>
      <c r="W130" s="886"/>
      <c r="X130" s="886"/>
      <c r="Y130" s="886"/>
    </row>
    <row r="131" spans="3:25">
      <c r="C131" s="942"/>
      <c r="D131" s="942"/>
      <c r="H131" s="944"/>
      <c r="I131" s="886"/>
      <c r="J131" s="886"/>
      <c r="K131" s="886"/>
      <c r="L131" s="886"/>
      <c r="M131" s="886"/>
      <c r="N131" s="886"/>
      <c r="O131" s="886"/>
      <c r="P131" s="886"/>
      <c r="Q131" s="886"/>
      <c r="R131" s="886"/>
      <c r="S131" s="886"/>
      <c r="T131" s="886"/>
      <c r="U131" s="886"/>
      <c r="V131" s="886"/>
      <c r="W131" s="886"/>
      <c r="X131" s="886"/>
      <c r="Y131" s="886"/>
    </row>
    <row r="132" spans="3:25">
      <c r="C132" s="942"/>
      <c r="D132" s="942"/>
      <c r="H132" s="883"/>
      <c r="I132" s="886"/>
      <c r="J132" s="886"/>
      <c r="K132" s="886"/>
      <c r="L132" s="886"/>
      <c r="M132" s="886"/>
      <c r="N132" s="886"/>
      <c r="O132" s="886"/>
      <c r="P132" s="886"/>
      <c r="Q132" s="886"/>
      <c r="R132" s="886"/>
      <c r="S132" s="886"/>
      <c r="T132" s="886"/>
      <c r="U132" s="886"/>
      <c r="V132" s="886"/>
      <c r="W132" s="886"/>
      <c r="X132" s="886"/>
      <c r="Y132" s="886"/>
    </row>
    <row r="133" spans="3:25">
      <c r="C133" s="942"/>
      <c r="D133" s="942"/>
      <c r="H133" s="944"/>
      <c r="I133" s="886"/>
      <c r="J133" s="886"/>
      <c r="K133" s="886"/>
      <c r="L133" s="886"/>
      <c r="M133" s="886"/>
      <c r="N133" s="886"/>
      <c r="O133" s="886"/>
      <c r="P133" s="886"/>
      <c r="Q133" s="886"/>
      <c r="R133" s="886"/>
      <c r="S133" s="886"/>
      <c r="T133" s="886"/>
      <c r="U133" s="886"/>
      <c r="V133" s="886"/>
      <c r="W133" s="886"/>
      <c r="X133" s="886"/>
      <c r="Y133" s="886"/>
    </row>
    <row r="134" spans="3:25">
      <c r="C134" s="942"/>
      <c r="D134" s="942"/>
      <c r="H134" s="883"/>
      <c r="I134" s="886"/>
      <c r="J134" s="886"/>
      <c r="K134" s="886"/>
      <c r="L134" s="886"/>
      <c r="M134" s="886"/>
      <c r="N134" s="886"/>
      <c r="O134" s="886"/>
      <c r="P134" s="886"/>
      <c r="Q134" s="886"/>
      <c r="R134" s="886"/>
      <c r="S134" s="886"/>
      <c r="T134" s="886"/>
      <c r="U134" s="886"/>
      <c r="V134" s="886"/>
      <c r="W134" s="886"/>
      <c r="X134" s="886"/>
      <c r="Y134" s="886"/>
    </row>
    <row r="135" spans="3:25">
      <c r="C135" s="942"/>
      <c r="D135" s="942"/>
      <c r="H135" s="944"/>
      <c r="I135" s="886"/>
      <c r="J135" s="886"/>
      <c r="K135" s="886"/>
      <c r="L135" s="886"/>
      <c r="M135" s="886"/>
      <c r="N135" s="886"/>
      <c r="O135" s="886"/>
      <c r="P135" s="886"/>
      <c r="Q135" s="886"/>
      <c r="R135" s="886"/>
      <c r="S135" s="886"/>
      <c r="T135" s="886"/>
      <c r="U135" s="886"/>
      <c r="V135" s="886"/>
      <c r="W135" s="886"/>
      <c r="X135" s="886"/>
      <c r="Y135" s="886"/>
    </row>
    <row r="136" spans="3:25">
      <c r="C136" s="942"/>
      <c r="D136" s="942"/>
      <c r="H136" s="883"/>
      <c r="I136" s="886"/>
      <c r="J136" s="886"/>
      <c r="K136" s="886"/>
      <c r="L136" s="886"/>
      <c r="M136" s="886"/>
      <c r="N136" s="886"/>
      <c r="O136" s="886"/>
      <c r="P136" s="886"/>
      <c r="Q136" s="886"/>
      <c r="R136" s="886"/>
      <c r="S136" s="886"/>
      <c r="T136" s="886"/>
      <c r="U136" s="886"/>
      <c r="V136" s="886"/>
      <c r="W136" s="886"/>
      <c r="X136" s="886"/>
      <c r="Y136" s="886"/>
    </row>
    <row r="137" spans="3:25">
      <c r="C137" s="942"/>
      <c r="D137" s="942"/>
      <c r="H137" s="944"/>
      <c r="I137" s="886"/>
      <c r="J137" s="886"/>
      <c r="K137" s="886"/>
      <c r="L137" s="886"/>
      <c r="M137" s="886"/>
      <c r="N137" s="886"/>
      <c r="O137" s="886"/>
      <c r="P137" s="886"/>
      <c r="Q137" s="886"/>
      <c r="R137" s="886"/>
      <c r="S137" s="886"/>
      <c r="T137" s="886"/>
      <c r="U137" s="886"/>
      <c r="V137" s="886"/>
      <c r="W137" s="886"/>
      <c r="X137" s="886"/>
      <c r="Y137" s="886"/>
    </row>
    <row r="138" spans="3:25">
      <c r="C138" s="942"/>
      <c r="D138" s="942"/>
      <c r="H138" s="883"/>
      <c r="I138" s="886"/>
      <c r="J138" s="886"/>
      <c r="K138" s="886"/>
      <c r="L138" s="886"/>
      <c r="M138" s="886"/>
      <c r="N138" s="886"/>
      <c r="O138" s="886"/>
      <c r="P138" s="886"/>
      <c r="Q138" s="886"/>
      <c r="R138" s="886"/>
      <c r="S138" s="886"/>
      <c r="T138" s="886"/>
      <c r="U138" s="886"/>
      <c r="V138" s="886"/>
      <c r="W138" s="886"/>
      <c r="X138" s="886"/>
      <c r="Y138" s="886"/>
    </row>
    <row r="139" spans="3:25">
      <c r="C139" s="942"/>
      <c r="D139" s="942"/>
      <c r="H139" s="944"/>
      <c r="I139" s="886"/>
      <c r="J139" s="886"/>
      <c r="K139" s="886"/>
      <c r="L139" s="886"/>
      <c r="M139" s="886"/>
      <c r="N139" s="886"/>
      <c r="O139" s="886"/>
      <c r="P139" s="886"/>
      <c r="Q139" s="886"/>
      <c r="R139" s="886"/>
      <c r="S139" s="886"/>
      <c r="T139" s="886"/>
      <c r="U139" s="886"/>
      <c r="V139" s="886"/>
      <c r="W139" s="886"/>
      <c r="X139" s="886"/>
      <c r="Y139" s="886"/>
    </row>
    <row r="140" spans="3:25">
      <c r="C140" s="942"/>
      <c r="D140" s="942"/>
      <c r="H140" s="883"/>
      <c r="I140" s="886"/>
      <c r="J140" s="886"/>
      <c r="K140" s="886"/>
      <c r="L140" s="886"/>
      <c r="M140" s="886"/>
      <c r="N140" s="886"/>
      <c r="O140" s="886"/>
      <c r="P140" s="886"/>
      <c r="Q140" s="886"/>
      <c r="R140" s="886"/>
      <c r="S140" s="886"/>
      <c r="T140" s="886"/>
      <c r="U140" s="886"/>
      <c r="V140" s="886"/>
      <c r="W140" s="886"/>
      <c r="X140" s="886"/>
      <c r="Y140" s="886"/>
    </row>
    <row r="141" spans="3:25">
      <c r="C141" s="942"/>
      <c r="D141" s="942"/>
      <c r="H141" s="944"/>
      <c r="I141" s="886"/>
      <c r="J141" s="886"/>
      <c r="K141" s="886"/>
      <c r="L141" s="886"/>
      <c r="M141" s="886"/>
      <c r="N141" s="886"/>
      <c r="O141" s="886"/>
      <c r="P141" s="886"/>
      <c r="Q141" s="886"/>
      <c r="R141" s="886"/>
      <c r="S141" s="886"/>
      <c r="T141" s="886"/>
      <c r="U141" s="886"/>
      <c r="V141" s="886"/>
      <c r="W141" s="886"/>
      <c r="X141" s="886"/>
      <c r="Y141" s="886"/>
    </row>
    <row r="142" spans="3:25">
      <c r="C142" s="942"/>
      <c r="D142" s="942"/>
      <c r="H142" s="944"/>
      <c r="I142" s="886"/>
      <c r="J142" s="886"/>
      <c r="K142" s="886"/>
      <c r="L142" s="886"/>
      <c r="M142" s="886"/>
      <c r="N142" s="886"/>
      <c r="O142" s="886"/>
      <c r="P142" s="886"/>
      <c r="Q142" s="886"/>
      <c r="R142" s="886"/>
      <c r="S142" s="886"/>
      <c r="T142" s="886"/>
      <c r="U142" s="886"/>
      <c r="V142" s="886"/>
      <c r="W142" s="886"/>
      <c r="X142" s="886"/>
      <c r="Y142" s="886"/>
    </row>
    <row r="143" spans="3:25">
      <c r="C143" s="942"/>
      <c r="D143" s="942"/>
      <c r="E143" s="945" t="s">
        <v>394</v>
      </c>
      <c r="F143" s="945"/>
      <c r="I143" s="886"/>
      <c r="J143" s="886"/>
      <c r="K143" s="886"/>
      <c r="L143" s="886"/>
      <c r="M143" s="886"/>
      <c r="N143" s="886"/>
      <c r="O143" s="886"/>
      <c r="P143" s="886"/>
      <c r="Q143" s="886"/>
      <c r="R143" s="886"/>
      <c r="S143" s="886"/>
      <c r="T143" s="886"/>
      <c r="U143" s="886"/>
      <c r="V143" s="886"/>
      <c r="W143" s="886"/>
      <c r="X143" s="886"/>
      <c r="Y143" s="886"/>
    </row>
    <row r="144" spans="3:25">
      <c r="C144" s="942"/>
      <c r="D144" s="942"/>
      <c r="E144" s="945" t="s">
        <v>395</v>
      </c>
      <c r="F144" s="945"/>
      <c r="I144" s="886"/>
      <c r="J144" s="886"/>
      <c r="K144" s="886"/>
      <c r="L144" s="886"/>
      <c r="M144" s="886"/>
      <c r="N144" s="886"/>
      <c r="O144" s="886"/>
      <c r="P144" s="886"/>
      <c r="Q144" s="886"/>
      <c r="R144" s="886"/>
      <c r="S144" s="886"/>
      <c r="T144" s="886"/>
      <c r="U144" s="886"/>
      <c r="V144" s="886"/>
      <c r="W144" s="886"/>
      <c r="X144" s="886"/>
      <c r="Y144" s="886"/>
    </row>
    <row r="145" spans="3:25">
      <c r="C145" s="942"/>
      <c r="D145" s="942"/>
      <c r="E145" s="943"/>
      <c r="F145" s="943"/>
      <c r="G145" s="886"/>
      <c r="H145" s="886"/>
      <c r="I145" s="886"/>
      <c r="J145" s="886"/>
      <c r="K145" s="886"/>
      <c r="L145" s="886"/>
      <c r="M145" s="886"/>
      <c r="N145" s="886"/>
      <c r="O145" s="886"/>
      <c r="P145" s="886"/>
      <c r="Q145" s="886"/>
      <c r="R145" s="886"/>
      <c r="S145" s="886"/>
      <c r="T145" s="886"/>
      <c r="U145" s="886"/>
      <c r="V145" s="886"/>
      <c r="W145" s="886"/>
      <c r="X145" s="886"/>
      <c r="Y145" s="886"/>
    </row>
    <row r="146" spans="3:25">
      <c r="C146" s="942"/>
      <c r="D146" s="942"/>
      <c r="E146" s="943"/>
      <c r="F146" s="943"/>
      <c r="G146" s="886"/>
      <c r="H146" s="886"/>
      <c r="I146" s="886"/>
      <c r="J146" s="886"/>
      <c r="K146" s="886"/>
      <c r="L146" s="886"/>
      <c r="M146" s="886"/>
      <c r="N146" s="886"/>
      <c r="O146" s="886"/>
      <c r="P146" s="886"/>
      <c r="Q146" s="886"/>
      <c r="R146" s="886"/>
      <c r="S146" s="886"/>
      <c r="T146" s="886"/>
      <c r="U146" s="886"/>
      <c r="V146" s="886"/>
      <c r="W146" s="886"/>
      <c r="X146" s="886"/>
      <c r="Y146" s="886"/>
    </row>
    <row r="147" spans="3:25">
      <c r="C147" s="942"/>
      <c r="D147" s="942"/>
      <c r="E147" s="943"/>
      <c r="F147" s="943"/>
      <c r="G147" s="886"/>
      <c r="H147" s="886"/>
      <c r="I147" s="886"/>
      <c r="J147" s="886"/>
      <c r="K147" s="886"/>
      <c r="L147" s="886"/>
      <c r="M147" s="886"/>
      <c r="N147" s="886"/>
      <c r="O147" s="886"/>
      <c r="P147" s="886"/>
      <c r="Q147" s="886"/>
      <c r="R147" s="886"/>
      <c r="S147" s="886"/>
      <c r="T147" s="886"/>
      <c r="U147" s="886"/>
      <c r="V147" s="886"/>
      <c r="W147" s="886"/>
      <c r="X147" s="886"/>
      <c r="Y147" s="886"/>
    </row>
    <row r="148" spans="3:25">
      <c r="C148" s="942"/>
      <c r="D148" s="942"/>
      <c r="E148" s="943"/>
      <c r="F148" s="943"/>
      <c r="G148" s="886"/>
      <c r="H148" s="886"/>
      <c r="I148" s="886"/>
      <c r="J148" s="886"/>
      <c r="K148" s="886"/>
      <c r="L148" s="886"/>
      <c r="M148" s="886"/>
      <c r="N148" s="886"/>
      <c r="O148" s="886"/>
      <c r="P148" s="886"/>
      <c r="Q148" s="886"/>
      <c r="R148" s="886"/>
      <c r="S148" s="886"/>
      <c r="T148" s="886"/>
      <c r="U148" s="886"/>
      <c r="V148" s="886"/>
      <c r="W148" s="886"/>
      <c r="X148" s="886"/>
      <c r="Y148" s="886"/>
    </row>
    <row r="149" spans="3:25">
      <c r="C149" s="942"/>
      <c r="D149" s="942"/>
      <c r="E149" s="943"/>
      <c r="F149" s="943"/>
      <c r="G149" s="886"/>
      <c r="H149" s="886"/>
      <c r="I149" s="886"/>
      <c r="J149" s="886"/>
      <c r="K149" s="886"/>
      <c r="L149" s="886"/>
      <c r="M149" s="886"/>
      <c r="N149" s="886"/>
      <c r="O149" s="886"/>
      <c r="P149" s="886"/>
      <c r="Q149" s="886"/>
      <c r="R149" s="886"/>
      <c r="S149" s="886"/>
      <c r="T149" s="886"/>
      <c r="U149" s="886"/>
      <c r="V149" s="886"/>
      <c r="W149" s="886"/>
      <c r="X149" s="886"/>
      <c r="Y149" s="886"/>
    </row>
    <row r="150" spans="3:25">
      <c r="C150" s="942"/>
      <c r="D150" s="942"/>
      <c r="E150" s="943"/>
      <c r="F150" s="943"/>
      <c r="G150" s="886"/>
      <c r="H150" s="886"/>
      <c r="I150" s="886"/>
      <c r="J150" s="886"/>
      <c r="K150" s="886"/>
      <c r="L150" s="886"/>
      <c r="M150" s="886"/>
      <c r="N150" s="886"/>
      <c r="O150" s="886"/>
      <c r="P150" s="886"/>
      <c r="Q150" s="886"/>
      <c r="R150" s="886"/>
      <c r="S150" s="886"/>
      <c r="T150" s="886"/>
      <c r="U150" s="886"/>
      <c r="V150" s="886"/>
      <c r="W150" s="886"/>
      <c r="X150" s="886"/>
      <c r="Y150" s="886"/>
    </row>
    <row r="151" spans="3:25">
      <c r="C151" s="942"/>
      <c r="D151" s="942"/>
      <c r="E151" s="943"/>
      <c r="F151" s="943"/>
      <c r="G151" s="886"/>
      <c r="H151" s="886"/>
      <c r="I151" s="886"/>
      <c r="J151" s="886"/>
      <c r="K151" s="886"/>
      <c r="L151" s="886"/>
      <c r="M151" s="886"/>
      <c r="N151" s="886"/>
      <c r="O151" s="886"/>
      <c r="P151" s="886"/>
      <c r="Q151" s="886"/>
      <c r="R151" s="886"/>
      <c r="S151" s="886"/>
      <c r="T151" s="886"/>
      <c r="U151" s="886"/>
      <c r="V151" s="886"/>
      <c r="W151" s="886"/>
      <c r="X151" s="886"/>
      <c r="Y151" s="886"/>
    </row>
    <row r="152" spans="3:25">
      <c r="C152" s="942"/>
      <c r="D152" s="942"/>
      <c r="E152" s="943"/>
      <c r="F152" s="943"/>
      <c r="G152" s="886"/>
      <c r="H152" s="886"/>
      <c r="I152" s="886"/>
      <c r="J152" s="886"/>
      <c r="K152" s="886"/>
      <c r="L152" s="886"/>
      <c r="M152" s="886"/>
      <c r="N152" s="886"/>
      <c r="O152" s="886"/>
      <c r="P152" s="886"/>
      <c r="Q152" s="886"/>
      <c r="R152" s="886"/>
      <c r="S152" s="886"/>
      <c r="T152" s="886"/>
      <c r="U152" s="886"/>
      <c r="V152" s="886"/>
      <c r="W152" s="886"/>
      <c r="X152" s="886"/>
      <c r="Y152" s="886"/>
    </row>
    <row r="153" spans="3:25">
      <c r="C153" s="942"/>
      <c r="D153" s="942"/>
      <c r="E153" s="943"/>
      <c r="F153" s="943"/>
      <c r="G153" s="886"/>
      <c r="H153" s="886"/>
      <c r="I153" s="886"/>
      <c r="J153" s="886"/>
      <c r="K153" s="886"/>
      <c r="L153" s="886"/>
      <c r="M153" s="886"/>
      <c r="N153" s="886"/>
      <c r="O153" s="886"/>
      <c r="P153" s="886"/>
      <c r="Q153" s="886"/>
      <c r="R153" s="886"/>
      <c r="S153" s="886"/>
      <c r="T153" s="886"/>
      <c r="U153" s="886"/>
      <c r="V153" s="886"/>
      <c r="W153" s="886"/>
      <c r="X153" s="886"/>
      <c r="Y153" s="886"/>
    </row>
    <row r="154" spans="3:25">
      <c r="C154" s="942"/>
      <c r="D154" s="942"/>
      <c r="E154" s="943"/>
      <c r="F154" s="943"/>
      <c r="G154" s="886"/>
      <c r="H154" s="886"/>
      <c r="I154" s="886"/>
      <c r="J154" s="886"/>
      <c r="K154" s="886"/>
      <c r="L154" s="886"/>
      <c r="M154" s="886"/>
      <c r="N154" s="886"/>
      <c r="O154" s="886"/>
      <c r="P154" s="886"/>
      <c r="Q154" s="886"/>
      <c r="R154" s="886"/>
      <c r="S154" s="886"/>
      <c r="T154" s="886"/>
      <c r="U154" s="886"/>
      <c r="V154" s="886"/>
      <c r="W154" s="886"/>
      <c r="X154" s="886"/>
      <c r="Y154" s="886"/>
    </row>
    <row r="155" spans="3:25">
      <c r="C155" s="942"/>
      <c r="D155" s="942"/>
      <c r="E155" s="943"/>
      <c r="F155" s="943"/>
      <c r="G155" s="886"/>
      <c r="H155" s="886"/>
      <c r="I155" s="886"/>
      <c r="J155" s="886"/>
      <c r="K155" s="886"/>
      <c r="L155" s="886"/>
      <c r="M155" s="886"/>
      <c r="N155" s="886"/>
      <c r="O155" s="886"/>
      <c r="P155" s="886"/>
      <c r="Q155" s="886"/>
      <c r="R155" s="886"/>
      <c r="S155" s="886"/>
      <c r="T155" s="886"/>
      <c r="U155" s="886"/>
      <c r="V155" s="886"/>
      <c r="W155" s="886"/>
      <c r="X155" s="886"/>
      <c r="Y155" s="886"/>
    </row>
    <row r="156" spans="3:25">
      <c r="C156" s="942"/>
      <c r="D156" s="942"/>
      <c r="E156" s="943"/>
      <c r="F156" s="943"/>
      <c r="G156" s="886"/>
      <c r="H156" s="886"/>
      <c r="I156" s="886"/>
      <c r="J156" s="886"/>
      <c r="K156" s="886"/>
      <c r="L156" s="886"/>
      <c r="M156" s="886"/>
      <c r="N156" s="886"/>
      <c r="O156" s="886"/>
      <c r="P156" s="886"/>
      <c r="Q156" s="886"/>
      <c r="R156" s="886"/>
      <c r="S156" s="886"/>
      <c r="T156" s="886"/>
      <c r="U156" s="886"/>
      <c r="V156" s="886"/>
      <c r="W156" s="886"/>
      <c r="X156" s="886"/>
      <c r="Y156" s="886"/>
    </row>
    <row r="157" spans="3:25">
      <c r="C157" s="942"/>
      <c r="D157" s="942"/>
      <c r="E157" s="943"/>
      <c r="F157" s="943"/>
      <c r="G157" s="886"/>
      <c r="H157" s="886"/>
      <c r="I157" s="886"/>
      <c r="J157" s="886"/>
      <c r="K157" s="886"/>
      <c r="L157" s="886"/>
      <c r="M157" s="886"/>
      <c r="N157" s="886"/>
      <c r="O157" s="886"/>
      <c r="P157" s="886"/>
      <c r="Q157" s="886"/>
      <c r="R157" s="886"/>
      <c r="S157" s="886"/>
      <c r="T157" s="886"/>
      <c r="U157" s="886"/>
      <c r="V157" s="886"/>
      <c r="W157" s="886"/>
      <c r="X157" s="886"/>
      <c r="Y157" s="886"/>
    </row>
    <row r="158" spans="3:25">
      <c r="C158" s="942"/>
      <c r="D158" s="942"/>
      <c r="E158" s="943"/>
      <c r="F158" s="943"/>
      <c r="G158" s="886"/>
      <c r="H158" s="886"/>
      <c r="I158" s="886"/>
      <c r="J158" s="886"/>
      <c r="K158" s="886"/>
      <c r="L158" s="886"/>
      <c r="M158" s="886"/>
      <c r="N158" s="886"/>
      <c r="O158" s="886"/>
      <c r="P158" s="886"/>
      <c r="Q158" s="886"/>
      <c r="R158" s="886"/>
      <c r="S158" s="886"/>
      <c r="T158" s="886"/>
      <c r="U158" s="886"/>
      <c r="V158" s="886"/>
      <c r="W158" s="886"/>
      <c r="X158" s="886"/>
      <c r="Y158" s="886"/>
    </row>
    <row r="159" spans="3:25">
      <c r="C159" s="942"/>
      <c r="D159" s="942"/>
      <c r="E159" s="943"/>
      <c r="F159" s="943"/>
      <c r="G159" s="886"/>
      <c r="H159" s="886"/>
      <c r="I159" s="886"/>
      <c r="J159" s="886"/>
      <c r="K159" s="886"/>
      <c r="L159" s="886"/>
      <c r="M159" s="886"/>
      <c r="N159" s="886"/>
      <c r="O159" s="886"/>
      <c r="P159" s="886"/>
      <c r="Q159" s="886"/>
      <c r="R159" s="886"/>
      <c r="S159" s="886"/>
      <c r="T159" s="886"/>
      <c r="U159" s="886"/>
      <c r="V159" s="886"/>
      <c r="W159" s="886"/>
      <c r="X159" s="886"/>
      <c r="Y159" s="886"/>
    </row>
    <row r="160" spans="3:25">
      <c r="C160" s="942"/>
      <c r="D160" s="942"/>
      <c r="E160" s="943"/>
      <c r="F160" s="943"/>
      <c r="G160" s="886"/>
      <c r="H160" s="886"/>
      <c r="I160" s="886"/>
      <c r="J160" s="886"/>
      <c r="K160" s="886"/>
      <c r="L160" s="886"/>
      <c r="M160" s="886"/>
      <c r="N160" s="886"/>
      <c r="O160" s="886"/>
      <c r="P160" s="886"/>
      <c r="Q160" s="886"/>
      <c r="R160" s="886"/>
      <c r="S160" s="886"/>
      <c r="T160" s="886"/>
      <c r="U160" s="886"/>
      <c r="V160" s="886"/>
      <c r="W160" s="886"/>
      <c r="X160" s="886"/>
      <c r="Y160" s="886"/>
    </row>
    <row r="161" spans="3:25">
      <c r="C161" s="942"/>
      <c r="D161" s="942"/>
      <c r="E161" s="943"/>
      <c r="F161" s="943"/>
      <c r="G161" s="886"/>
      <c r="H161" s="886"/>
      <c r="I161" s="886"/>
      <c r="J161" s="886"/>
      <c r="K161" s="886"/>
      <c r="L161" s="886"/>
      <c r="M161" s="886"/>
      <c r="N161" s="886"/>
      <c r="O161" s="886"/>
      <c r="P161" s="886"/>
      <c r="Q161" s="886"/>
      <c r="R161" s="886"/>
      <c r="S161" s="886"/>
      <c r="T161" s="886"/>
      <c r="U161" s="886"/>
      <c r="V161" s="886"/>
      <c r="W161" s="886"/>
      <c r="X161" s="886"/>
      <c r="Y161" s="886"/>
    </row>
    <row r="162" spans="3:25">
      <c r="C162" s="942"/>
      <c r="D162" s="942"/>
      <c r="E162" s="943"/>
      <c r="F162" s="943"/>
      <c r="G162" s="886"/>
      <c r="H162" s="886"/>
      <c r="I162" s="886"/>
      <c r="J162" s="886"/>
      <c r="K162" s="886"/>
      <c r="L162" s="886"/>
      <c r="M162" s="886"/>
      <c r="N162" s="886"/>
      <c r="O162" s="886"/>
      <c r="P162" s="886"/>
      <c r="Q162" s="886"/>
      <c r="R162" s="886"/>
      <c r="S162" s="886"/>
      <c r="T162" s="886"/>
      <c r="U162" s="886"/>
      <c r="V162" s="886"/>
      <c r="W162" s="886"/>
      <c r="X162" s="886"/>
      <c r="Y162" s="886"/>
    </row>
    <row r="163" spans="3:25">
      <c r="C163" s="942"/>
      <c r="D163" s="942"/>
      <c r="E163" s="943"/>
      <c r="F163" s="943"/>
      <c r="G163" s="886"/>
      <c r="H163" s="886"/>
      <c r="I163" s="886"/>
      <c r="J163" s="886"/>
      <c r="K163" s="886"/>
      <c r="L163" s="886"/>
      <c r="M163" s="886"/>
      <c r="N163" s="886"/>
      <c r="O163" s="886"/>
      <c r="P163" s="886"/>
      <c r="Q163" s="886"/>
      <c r="R163" s="886"/>
      <c r="S163" s="886"/>
      <c r="T163" s="886"/>
      <c r="U163" s="886"/>
      <c r="V163" s="886"/>
      <c r="W163" s="886"/>
      <c r="X163" s="886"/>
      <c r="Y163" s="886"/>
    </row>
    <row r="164" spans="3:25">
      <c r="C164" s="942"/>
      <c r="D164" s="942"/>
      <c r="E164" s="943"/>
      <c r="F164" s="943"/>
      <c r="G164" s="886"/>
      <c r="H164" s="886"/>
      <c r="I164" s="886"/>
      <c r="J164" s="886"/>
      <c r="K164" s="886"/>
      <c r="L164" s="886"/>
      <c r="M164" s="886"/>
      <c r="N164" s="886"/>
      <c r="O164" s="886"/>
      <c r="P164" s="886"/>
      <c r="Q164" s="886"/>
      <c r="R164" s="886"/>
      <c r="S164" s="886"/>
      <c r="T164" s="886"/>
      <c r="U164" s="886"/>
      <c r="V164" s="886"/>
      <c r="W164" s="886"/>
      <c r="X164" s="886"/>
      <c r="Y164" s="886"/>
    </row>
    <row r="165" spans="3:25">
      <c r="C165" s="942"/>
      <c r="D165" s="942"/>
      <c r="E165" s="943"/>
      <c r="F165" s="943"/>
      <c r="G165" s="886"/>
      <c r="H165" s="886"/>
      <c r="I165" s="886"/>
      <c r="J165" s="886"/>
      <c r="K165" s="886"/>
      <c r="L165" s="886"/>
      <c r="M165" s="886"/>
      <c r="N165" s="886"/>
      <c r="O165" s="886"/>
      <c r="P165" s="886"/>
      <c r="Q165" s="886"/>
      <c r="R165" s="886"/>
      <c r="S165" s="886"/>
      <c r="T165" s="886"/>
      <c r="U165" s="886"/>
      <c r="V165" s="886"/>
      <c r="W165" s="886"/>
      <c r="X165" s="886"/>
      <c r="Y165" s="886"/>
    </row>
    <row r="166" spans="3:25">
      <c r="C166" s="942"/>
      <c r="D166" s="942"/>
      <c r="E166" s="943"/>
      <c r="F166" s="943"/>
      <c r="G166" s="886"/>
      <c r="H166" s="886"/>
      <c r="I166" s="886"/>
      <c r="J166" s="886"/>
      <c r="K166" s="886"/>
      <c r="L166" s="886"/>
      <c r="M166" s="886"/>
      <c r="N166" s="886"/>
      <c r="O166" s="886"/>
      <c r="P166" s="886"/>
      <c r="Q166" s="886"/>
      <c r="R166" s="886"/>
      <c r="S166" s="886"/>
      <c r="T166" s="886"/>
      <c r="U166" s="886"/>
      <c r="V166" s="886"/>
      <c r="W166" s="886"/>
      <c r="X166" s="886"/>
      <c r="Y166" s="886"/>
    </row>
    <row r="167" spans="3:25">
      <c r="C167" s="942"/>
      <c r="D167" s="942"/>
      <c r="E167" s="943"/>
      <c r="F167" s="943"/>
      <c r="G167" s="886"/>
      <c r="H167" s="886"/>
      <c r="I167" s="886"/>
      <c r="J167" s="886"/>
      <c r="K167" s="886"/>
      <c r="L167" s="886"/>
      <c r="M167" s="886"/>
      <c r="N167" s="886"/>
      <c r="O167" s="886"/>
      <c r="P167" s="886"/>
      <c r="Q167" s="886"/>
      <c r="R167" s="886"/>
      <c r="S167" s="886"/>
      <c r="T167" s="886"/>
      <c r="U167" s="886"/>
      <c r="V167" s="886"/>
      <c r="W167" s="886"/>
      <c r="X167" s="886"/>
      <c r="Y167" s="886"/>
    </row>
    <row r="168" spans="3:25">
      <c r="C168" s="942"/>
      <c r="D168" s="942"/>
      <c r="E168" s="943"/>
      <c r="F168" s="943"/>
      <c r="G168" s="886"/>
      <c r="H168" s="886"/>
      <c r="I168" s="886"/>
      <c r="J168" s="886"/>
      <c r="K168" s="886"/>
      <c r="L168" s="886"/>
      <c r="M168" s="886"/>
      <c r="N168" s="886"/>
      <c r="O168" s="886"/>
      <c r="P168" s="886"/>
      <c r="Q168" s="886"/>
      <c r="R168" s="886"/>
      <c r="S168" s="886"/>
      <c r="T168" s="886"/>
      <c r="U168" s="886"/>
      <c r="V168" s="886"/>
      <c r="W168" s="886"/>
      <c r="X168" s="886"/>
      <c r="Y168" s="886"/>
    </row>
    <row r="169" spans="3:25">
      <c r="C169" s="942"/>
      <c r="D169" s="942"/>
      <c r="E169" s="943"/>
      <c r="F169" s="943"/>
      <c r="G169" s="886"/>
      <c r="H169" s="886"/>
      <c r="I169" s="886"/>
      <c r="J169" s="886"/>
      <c r="K169" s="886"/>
      <c r="L169" s="886"/>
      <c r="M169" s="886"/>
      <c r="N169" s="886"/>
      <c r="O169" s="886"/>
      <c r="P169" s="886"/>
      <c r="Q169" s="886"/>
      <c r="R169" s="886"/>
      <c r="S169" s="886"/>
      <c r="T169" s="886"/>
      <c r="U169" s="886"/>
      <c r="V169" s="886"/>
      <c r="W169" s="886"/>
      <c r="X169" s="886"/>
      <c r="Y169" s="886"/>
    </row>
    <row r="170" spans="3:25">
      <c r="C170" s="942"/>
      <c r="D170" s="942"/>
      <c r="E170" s="943"/>
      <c r="F170" s="943"/>
      <c r="G170" s="886"/>
      <c r="H170" s="886"/>
      <c r="I170" s="886"/>
      <c r="J170" s="886"/>
      <c r="K170" s="886"/>
      <c r="L170" s="886"/>
      <c r="M170" s="886"/>
      <c r="N170" s="886"/>
      <c r="O170" s="886"/>
      <c r="P170" s="886"/>
      <c r="Q170" s="886"/>
      <c r="R170" s="886"/>
      <c r="S170" s="886"/>
      <c r="T170" s="886"/>
      <c r="U170" s="886"/>
      <c r="V170" s="886"/>
      <c r="W170" s="886"/>
      <c r="X170" s="886"/>
      <c r="Y170" s="886"/>
    </row>
    <row r="171" spans="3:25">
      <c r="C171" s="942"/>
      <c r="D171" s="942"/>
      <c r="E171" s="943"/>
      <c r="F171" s="943"/>
      <c r="G171" s="886"/>
      <c r="H171" s="886"/>
      <c r="I171" s="886"/>
      <c r="J171" s="886"/>
      <c r="K171" s="886"/>
      <c r="L171" s="886"/>
      <c r="M171" s="886"/>
      <c r="N171" s="886"/>
      <c r="O171" s="886"/>
      <c r="P171" s="886"/>
      <c r="Q171" s="886"/>
      <c r="R171" s="886"/>
      <c r="S171" s="886"/>
      <c r="T171" s="886"/>
      <c r="U171" s="886"/>
      <c r="V171" s="886"/>
      <c r="W171" s="886"/>
      <c r="X171" s="886"/>
      <c r="Y171" s="886"/>
    </row>
    <row r="172" spans="3:25">
      <c r="C172" s="942"/>
      <c r="D172" s="942"/>
      <c r="E172" s="943"/>
      <c r="F172" s="943"/>
      <c r="G172" s="886"/>
      <c r="H172" s="886"/>
      <c r="I172" s="886"/>
      <c r="J172" s="886"/>
      <c r="K172" s="886"/>
      <c r="L172" s="886"/>
      <c r="M172" s="886"/>
      <c r="N172" s="886"/>
      <c r="O172" s="886"/>
      <c r="P172" s="886"/>
      <c r="Q172" s="886"/>
      <c r="R172" s="886"/>
      <c r="S172" s="886"/>
      <c r="T172" s="886"/>
      <c r="U172" s="886"/>
      <c r="V172" s="886"/>
      <c r="W172" s="886"/>
      <c r="X172" s="886"/>
      <c r="Y172" s="886"/>
    </row>
    <row r="173" spans="3:25">
      <c r="C173" s="942"/>
      <c r="D173" s="942"/>
      <c r="E173" s="943"/>
      <c r="F173" s="943"/>
      <c r="G173" s="886"/>
      <c r="H173" s="886"/>
      <c r="I173" s="886"/>
      <c r="J173" s="886"/>
      <c r="K173" s="886"/>
      <c r="L173" s="886"/>
      <c r="M173" s="886"/>
      <c r="N173" s="886"/>
      <c r="O173" s="886"/>
      <c r="P173" s="886"/>
      <c r="Q173" s="886"/>
      <c r="R173" s="886"/>
      <c r="S173" s="886"/>
      <c r="T173" s="886"/>
      <c r="U173" s="886"/>
      <c r="V173" s="886"/>
      <c r="W173" s="886"/>
      <c r="X173" s="886"/>
      <c r="Y173" s="886"/>
    </row>
    <row r="174" spans="3:25">
      <c r="C174" s="942"/>
      <c r="D174" s="942"/>
      <c r="E174" s="943"/>
      <c r="F174" s="943"/>
      <c r="G174" s="886"/>
      <c r="H174" s="886"/>
      <c r="I174" s="886"/>
      <c r="J174" s="886"/>
      <c r="K174" s="886"/>
      <c r="L174" s="886"/>
      <c r="M174" s="886"/>
      <c r="N174" s="886"/>
      <c r="O174" s="886"/>
      <c r="P174" s="886"/>
      <c r="Q174" s="886"/>
      <c r="R174" s="886"/>
      <c r="S174" s="886"/>
      <c r="T174" s="886"/>
      <c r="U174" s="886"/>
      <c r="V174" s="886"/>
      <c r="W174" s="886"/>
      <c r="X174" s="886"/>
      <c r="Y174" s="886"/>
    </row>
    <row r="175" spans="3:25">
      <c r="C175" s="942"/>
      <c r="D175" s="942"/>
      <c r="E175" s="943"/>
      <c r="F175" s="943"/>
      <c r="G175" s="886"/>
      <c r="H175" s="886"/>
      <c r="I175" s="886"/>
      <c r="J175" s="886"/>
      <c r="K175" s="886"/>
      <c r="L175" s="886"/>
      <c r="M175" s="886"/>
      <c r="N175" s="886"/>
      <c r="O175" s="886"/>
      <c r="P175" s="886"/>
      <c r="Q175" s="886"/>
      <c r="R175" s="886"/>
      <c r="S175" s="886"/>
      <c r="T175" s="886"/>
      <c r="U175" s="886"/>
      <c r="V175" s="886"/>
      <c r="W175" s="886"/>
      <c r="X175" s="886"/>
      <c r="Y175" s="886"/>
    </row>
    <row r="176" spans="3:25">
      <c r="C176" s="942"/>
      <c r="D176" s="942"/>
      <c r="E176" s="943"/>
      <c r="F176" s="943"/>
      <c r="G176" s="886"/>
      <c r="H176" s="886"/>
      <c r="I176" s="886"/>
      <c r="J176" s="886"/>
      <c r="K176" s="886"/>
      <c r="L176" s="886"/>
      <c r="M176" s="886"/>
      <c r="N176" s="886"/>
      <c r="O176" s="886"/>
      <c r="P176" s="886"/>
      <c r="Q176" s="886"/>
      <c r="R176" s="886"/>
      <c r="S176" s="886"/>
      <c r="T176" s="886"/>
      <c r="U176" s="886"/>
      <c r="V176" s="886"/>
      <c r="W176" s="886"/>
      <c r="X176" s="886"/>
      <c r="Y176" s="886"/>
    </row>
    <row r="177" spans="3:25">
      <c r="C177" s="942"/>
      <c r="D177" s="942"/>
      <c r="E177" s="943"/>
      <c r="F177" s="943"/>
      <c r="G177" s="886"/>
      <c r="H177" s="886"/>
      <c r="I177" s="886"/>
      <c r="J177" s="886"/>
      <c r="K177" s="886"/>
      <c r="L177" s="886"/>
      <c r="M177" s="886"/>
      <c r="N177" s="886"/>
      <c r="O177" s="886"/>
      <c r="P177" s="886"/>
      <c r="Q177" s="886"/>
      <c r="R177" s="886"/>
      <c r="S177" s="886"/>
      <c r="T177" s="886"/>
      <c r="U177" s="886"/>
      <c r="V177" s="886"/>
      <c r="W177" s="886"/>
      <c r="X177" s="886"/>
      <c r="Y177" s="886"/>
    </row>
    <row r="178" spans="3:25">
      <c r="C178" s="942"/>
      <c r="D178" s="942"/>
      <c r="E178" s="943"/>
      <c r="F178" s="943"/>
      <c r="G178" s="886"/>
      <c r="H178" s="886"/>
      <c r="I178" s="886"/>
      <c r="J178" s="886"/>
      <c r="K178" s="886"/>
      <c r="L178" s="886"/>
      <c r="M178" s="886"/>
      <c r="N178" s="886"/>
      <c r="O178" s="886"/>
      <c r="P178" s="886"/>
      <c r="Q178" s="886"/>
      <c r="R178" s="886"/>
      <c r="S178" s="886"/>
      <c r="T178" s="886"/>
      <c r="U178" s="886"/>
      <c r="V178" s="886"/>
      <c r="W178" s="886"/>
      <c r="X178" s="886"/>
      <c r="Y178" s="886"/>
    </row>
    <row r="179" spans="3:25">
      <c r="C179" s="942"/>
      <c r="D179" s="942"/>
      <c r="E179" s="943"/>
      <c r="F179" s="943"/>
      <c r="G179" s="886"/>
      <c r="H179" s="886"/>
      <c r="I179" s="886"/>
      <c r="J179" s="886"/>
      <c r="K179" s="886"/>
      <c r="L179" s="886"/>
      <c r="M179" s="886"/>
      <c r="N179" s="886"/>
      <c r="O179" s="886"/>
      <c r="P179" s="886"/>
      <c r="Q179" s="886"/>
      <c r="R179" s="886"/>
      <c r="S179" s="886"/>
      <c r="T179" s="886"/>
      <c r="U179" s="886"/>
      <c r="V179" s="886"/>
      <c r="W179" s="886"/>
      <c r="X179" s="886"/>
      <c r="Y179" s="886"/>
    </row>
    <row r="180" spans="3:25">
      <c r="C180" s="942"/>
      <c r="D180" s="942"/>
      <c r="E180" s="943"/>
      <c r="F180" s="943"/>
      <c r="G180" s="886"/>
      <c r="H180" s="886"/>
      <c r="I180" s="886"/>
      <c r="J180" s="886"/>
      <c r="K180" s="886"/>
      <c r="L180" s="886"/>
      <c r="M180" s="886"/>
      <c r="N180" s="886"/>
      <c r="O180" s="886"/>
      <c r="P180" s="886"/>
      <c r="Q180" s="886"/>
      <c r="R180" s="886"/>
      <c r="S180" s="886"/>
      <c r="T180" s="886"/>
      <c r="U180" s="886"/>
      <c r="V180" s="886"/>
      <c r="W180" s="886"/>
      <c r="X180" s="886"/>
      <c r="Y180" s="886"/>
    </row>
    <row r="181" spans="3:25">
      <c r="C181" s="942"/>
      <c r="D181" s="942"/>
      <c r="E181" s="943"/>
      <c r="F181" s="943"/>
      <c r="G181" s="886"/>
      <c r="H181" s="886"/>
      <c r="I181" s="886"/>
      <c r="J181" s="886"/>
      <c r="K181" s="886"/>
      <c r="L181" s="886"/>
      <c r="M181" s="886"/>
      <c r="N181" s="886"/>
      <c r="O181" s="886"/>
      <c r="P181" s="886"/>
      <c r="Q181" s="886"/>
      <c r="R181" s="886"/>
      <c r="S181" s="886"/>
      <c r="T181" s="886"/>
      <c r="U181" s="886"/>
      <c r="V181" s="886"/>
      <c r="W181" s="886"/>
      <c r="X181" s="886"/>
      <c r="Y181" s="886"/>
    </row>
    <row r="182" spans="3:25">
      <c r="C182" s="942"/>
      <c r="D182" s="942"/>
      <c r="E182" s="943"/>
      <c r="F182" s="943"/>
      <c r="G182" s="886"/>
      <c r="H182" s="886"/>
      <c r="I182" s="886"/>
      <c r="J182" s="886"/>
      <c r="K182" s="886"/>
      <c r="L182" s="886"/>
      <c r="M182" s="886"/>
      <c r="N182" s="886"/>
      <c r="O182" s="886"/>
      <c r="P182" s="886"/>
      <c r="Q182" s="886"/>
      <c r="R182" s="886"/>
      <c r="S182" s="886"/>
      <c r="T182" s="886"/>
      <c r="U182" s="886"/>
      <c r="V182" s="886"/>
      <c r="W182" s="886"/>
      <c r="X182" s="886"/>
      <c r="Y182" s="886"/>
    </row>
    <row r="183" spans="3:25">
      <c r="C183" s="942"/>
      <c r="D183" s="942"/>
      <c r="E183" s="943"/>
      <c r="F183" s="943"/>
      <c r="G183" s="886"/>
      <c r="H183" s="886"/>
      <c r="I183" s="886"/>
      <c r="J183" s="886"/>
      <c r="K183" s="886"/>
      <c r="L183" s="886"/>
      <c r="M183" s="886"/>
      <c r="N183" s="886"/>
      <c r="O183" s="886"/>
      <c r="P183" s="886"/>
      <c r="Q183" s="886"/>
      <c r="R183" s="886"/>
      <c r="S183" s="886"/>
      <c r="T183" s="886"/>
      <c r="U183" s="886"/>
      <c r="V183" s="886"/>
      <c r="W183" s="886"/>
      <c r="X183" s="886"/>
      <c r="Y183" s="886"/>
    </row>
    <row r="184" spans="3:25">
      <c r="C184" s="942"/>
      <c r="D184" s="942"/>
      <c r="E184" s="943"/>
      <c r="F184" s="943"/>
      <c r="G184" s="886"/>
      <c r="H184" s="886"/>
      <c r="I184" s="886"/>
      <c r="J184" s="886"/>
      <c r="K184" s="886"/>
      <c r="L184" s="886"/>
      <c r="M184" s="886"/>
      <c r="N184" s="886"/>
      <c r="O184" s="886"/>
      <c r="P184" s="886"/>
      <c r="Q184" s="886"/>
      <c r="R184" s="886"/>
      <c r="S184" s="886"/>
      <c r="T184" s="886"/>
      <c r="U184" s="886"/>
      <c r="V184" s="886"/>
      <c r="W184" s="886"/>
      <c r="X184" s="886"/>
      <c r="Y184" s="886"/>
    </row>
    <row r="185" spans="3:25">
      <c r="C185" s="942"/>
      <c r="D185" s="942"/>
      <c r="E185" s="943"/>
      <c r="F185" s="943"/>
      <c r="G185" s="886"/>
      <c r="H185" s="886"/>
      <c r="I185" s="886"/>
      <c r="J185" s="886"/>
      <c r="K185" s="886"/>
      <c r="L185" s="886"/>
      <c r="M185" s="886"/>
      <c r="N185" s="886"/>
      <c r="O185" s="886"/>
      <c r="P185" s="886"/>
      <c r="Q185" s="886"/>
      <c r="R185" s="886"/>
      <c r="S185" s="886"/>
      <c r="T185" s="886"/>
      <c r="U185" s="886"/>
      <c r="V185" s="886"/>
      <c r="W185" s="886"/>
      <c r="X185" s="886"/>
      <c r="Y185" s="886"/>
    </row>
    <row r="186" spans="3:25">
      <c r="C186" s="942"/>
      <c r="D186" s="942"/>
      <c r="E186" s="943"/>
      <c r="F186" s="943"/>
      <c r="G186" s="886"/>
      <c r="H186" s="886"/>
      <c r="I186" s="886"/>
      <c r="J186" s="886"/>
      <c r="K186" s="886"/>
      <c r="L186" s="886"/>
      <c r="M186" s="886"/>
      <c r="N186" s="886"/>
      <c r="O186" s="886"/>
      <c r="P186" s="886"/>
      <c r="Q186" s="886"/>
      <c r="R186" s="886"/>
      <c r="S186" s="886"/>
      <c r="T186" s="886"/>
      <c r="U186" s="886"/>
      <c r="V186" s="886"/>
      <c r="W186" s="886"/>
      <c r="X186" s="886"/>
      <c r="Y186" s="886"/>
    </row>
    <row r="187" spans="3:25">
      <c r="C187" s="942"/>
      <c r="D187" s="942"/>
      <c r="E187" s="943"/>
      <c r="F187" s="943"/>
      <c r="G187" s="886"/>
      <c r="H187" s="886"/>
      <c r="I187" s="886"/>
      <c r="J187" s="886"/>
      <c r="K187" s="886"/>
      <c r="L187" s="886"/>
      <c r="M187" s="886"/>
      <c r="N187" s="886"/>
      <c r="O187" s="886"/>
      <c r="P187" s="886"/>
      <c r="Q187" s="886"/>
      <c r="R187" s="886"/>
      <c r="S187" s="886"/>
      <c r="T187" s="886"/>
      <c r="U187" s="886"/>
      <c r="V187" s="886"/>
      <c r="W187" s="886"/>
      <c r="X187" s="886"/>
      <c r="Y187" s="886"/>
    </row>
    <row r="188" spans="3:25">
      <c r="C188" s="942"/>
      <c r="D188" s="942"/>
      <c r="E188" s="943"/>
      <c r="F188" s="943"/>
      <c r="G188" s="886"/>
      <c r="H188" s="886"/>
      <c r="I188" s="886"/>
      <c r="J188" s="886"/>
      <c r="K188" s="886"/>
      <c r="L188" s="886"/>
      <c r="M188" s="886"/>
      <c r="N188" s="886"/>
      <c r="O188" s="886"/>
      <c r="P188" s="886"/>
      <c r="Q188" s="886"/>
      <c r="R188" s="886"/>
      <c r="S188" s="886"/>
      <c r="T188" s="886"/>
      <c r="U188" s="886"/>
      <c r="V188" s="886"/>
      <c r="W188" s="886"/>
      <c r="X188" s="886"/>
      <c r="Y188" s="886"/>
    </row>
    <row r="189" spans="3:25">
      <c r="C189" s="942"/>
      <c r="D189" s="942"/>
      <c r="E189" s="943"/>
      <c r="F189" s="943"/>
      <c r="G189" s="886"/>
      <c r="H189" s="886"/>
      <c r="I189" s="886"/>
      <c r="J189" s="886"/>
      <c r="K189" s="886"/>
      <c r="L189" s="886"/>
      <c r="M189" s="886"/>
      <c r="N189" s="886"/>
      <c r="O189" s="886"/>
      <c r="P189" s="886"/>
      <c r="Q189" s="886"/>
      <c r="R189" s="886"/>
      <c r="S189" s="886"/>
      <c r="T189" s="886"/>
      <c r="U189" s="886"/>
      <c r="V189" s="886"/>
      <c r="W189" s="886"/>
      <c r="X189" s="886"/>
      <c r="Y189" s="886"/>
    </row>
    <row r="190" spans="3:25">
      <c r="C190" s="942"/>
      <c r="D190" s="942"/>
      <c r="E190" s="943"/>
      <c r="F190" s="943"/>
      <c r="G190" s="886"/>
      <c r="H190" s="886"/>
      <c r="I190" s="886"/>
      <c r="J190" s="886"/>
      <c r="K190" s="886"/>
      <c r="L190" s="886"/>
      <c r="M190" s="886"/>
      <c r="N190" s="886"/>
      <c r="O190" s="886"/>
      <c r="P190" s="886"/>
      <c r="Q190" s="886"/>
      <c r="R190" s="886"/>
      <c r="S190" s="886"/>
      <c r="T190" s="886"/>
      <c r="U190" s="886"/>
      <c r="V190" s="886"/>
      <c r="W190" s="886"/>
      <c r="X190" s="886"/>
      <c r="Y190" s="886"/>
    </row>
    <row r="191" spans="3:25">
      <c r="C191" s="942"/>
      <c r="D191" s="942"/>
      <c r="E191" s="943"/>
      <c r="F191" s="943"/>
      <c r="G191" s="886"/>
      <c r="H191" s="886"/>
      <c r="I191" s="886"/>
      <c r="J191" s="886"/>
      <c r="K191" s="886"/>
      <c r="L191" s="886"/>
      <c r="M191" s="886"/>
      <c r="N191" s="886"/>
      <c r="O191" s="886"/>
      <c r="P191" s="886"/>
      <c r="Q191" s="886"/>
      <c r="R191" s="886"/>
      <c r="S191" s="886"/>
      <c r="T191" s="886"/>
      <c r="U191" s="886"/>
      <c r="V191" s="886"/>
      <c r="W191" s="886"/>
      <c r="X191" s="886"/>
      <c r="Y191" s="886"/>
    </row>
    <row r="192" spans="3:25">
      <c r="C192" s="942"/>
      <c r="D192" s="942"/>
      <c r="E192" s="943"/>
      <c r="F192" s="943"/>
      <c r="G192" s="886"/>
      <c r="H192" s="886"/>
      <c r="I192" s="886"/>
      <c r="J192" s="886"/>
      <c r="K192" s="886"/>
      <c r="L192" s="886"/>
      <c r="M192" s="886"/>
      <c r="N192" s="886"/>
      <c r="O192" s="886"/>
      <c r="P192" s="886"/>
      <c r="Q192" s="886"/>
      <c r="R192" s="886"/>
      <c r="S192" s="886"/>
      <c r="T192" s="886"/>
      <c r="U192" s="886"/>
      <c r="V192" s="886"/>
      <c r="W192" s="886"/>
      <c r="X192" s="886"/>
      <c r="Y192" s="886"/>
    </row>
    <row r="193" spans="3:25">
      <c r="C193" s="942"/>
      <c r="D193" s="942"/>
      <c r="E193" s="943"/>
      <c r="F193" s="943"/>
      <c r="G193" s="886"/>
      <c r="H193" s="886"/>
      <c r="I193" s="886"/>
      <c r="J193" s="886"/>
      <c r="K193" s="886"/>
      <c r="L193" s="886"/>
      <c r="M193" s="886"/>
      <c r="N193" s="886"/>
      <c r="O193" s="886"/>
      <c r="P193" s="886"/>
      <c r="Q193" s="886"/>
      <c r="R193" s="886"/>
      <c r="S193" s="886"/>
      <c r="T193" s="886"/>
      <c r="U193" s="886"/>
      <c r="V193" s="886"/>
      <c r="W193" s="886"/>
      <c r="X193" s="886"/>
      <c r="Y193" s="886"/>
    </row>
    <row r="194" spans="3:25">
      <c r="C194" s="942"/>
      <c r="D194" s="942"/>
      <c r="E194" s="943"/>
      <c r="F194" s="943"/>
      <c r="G194" s="886"/>
      <c r="H194" s="886"/>
      <c r="I194" s="886"/>
      <c r="J194" s="886"/>
      <c r="K194" s="886"/>
      <c r="L194" s="886"/>
      <c r="M194" s="886"/>
      <c r="N194" s="886"/>
      <c r="O194" s="886"/>
      <c r="P194" s="886"/>
      <c r="Q194" s="886"/>
      <c r="R194" s="886"/>
      <c r="S194" s="886"/>
      <c r="T194" s="886"/>
      <c r="U194" s="886"/>
      <c r="V194" s="886"/>
      <c r="W194" s="886"/>
      <c r="X194" s="886"/>
      <c r="Y194" s="886"/>
    </row>
    <row r="195" spans="3:25">
      <c r="C195" s="942"/>
      <c r="D195" s="942"/>
      <c r="E195" s="943"/>
      <c r="F195" s="943"/>
      <c r="G195" s="886"/>
      <c r="H195" s="886"/>
      <c r="I195" s="886"/>
      <c r="J195" s="886"/>
      <c r="K195" s="886"/>
      <c r="L195" s="886"/>
      <c r="M195" s="886"/>
      <c r="N195" s="886"/>
      <c r="O195" s="886"/>
      <c r="P195" s="886"/>
      <c r="Q195" s="886"/>
      <c r="R195" s="886"/>
      <c r="S195" s="886"/>
      <c r="T195" s="886"/>
      <c r="U195" s="886"/>
      <c r="V195" s="886"/>
      <c r="W195" s="886"/>
      <c r="X195" s="886"/>
      <c r="Y195" s="886"/>
    </row>
    <row r="196" spans="3:25">
      <c r="C196" s="942"/>
      <c r="D196" s="942"/>
      <c r="E196" s="943"/>
      <c r="F196" s="943"/>
      <c r="G196" s="886"/>
      <c r="H196" s="886"/>
      <c r="I196" s="886"/>
      <c r="J196" s="886"/>
      <c r="K196" s="886"/>
      <c r="L196" s="886"/>
      <c r="M196" s="886"/>
      <c r="N196" s="886"/>
      <c r="O196" s="886"/>
      <c r="P196" s="886"/>
      <c r="Q196" s="886"/>
      <c r="R196" s="886"/>
      <c r="S196" s="886"/>
      <c r="T196" s="886"/>
      <c r="U196" s="886"/>
      <c r="V196" s="886"/>
      <c r="W196" s="886"/>
      <c r="X196" s="886"/>
      <c r="Y196" s="886"/>
    </row>
    <row r="197" spans="3:25">
      <c r="C197" s="942"/>
      <c r="D197" s="942"/>
      <c r="E197" s="943"/>
      <c r="F197" s="943"/>
      <c r="G197" s="886"/>
      <c r="H197" s="886"/>
      <c r="I197" s="886"/>
      <c r="J197" s="886"/>
      <c r="K197" s="886"/>
      <c r="L197" s="886"/>
      <c r="M197" s="886"/>
      <c r="N197" s="886"/>
      <c r="O197" s="886"/>
      <c r="P197" s="886"/>
      <c r="Q197" s="886"/>
      <c r="R197" s="886"/>
      <c r="S197" s="886"/>
      <c r="T197" s="886"/>
      <c r="U197" s="886"/>
      <c r="V197" s="886"/>
      <c r="W197" s="886"/>
      <c r="X197" s="886"/>
      <c r="Y197" s="886"/>
    </row>
    <row r="198" spans="3:25">
      <c r="C198" s="942"/>
      <c r="D198" s="942"/>
      <c r="E198" s="943"/>
      <c r="F198" s="943"/>
      <c r="G198" s="886"/>
      <c r="H198" s="886"/>
      <c r="I198" s="886"/>
      <c r="J198" s="886"/>
      <c r="K198" s="886"/>
      <c r="L198" s="886"/>
      <c r="M198" s="886"/>
      <c r="N198" s="886"/>
      <c r="O198" s="886"/>
      <c r="P198" s="886"/>
      <c r="Q198" s="886"/>
      <c r="R198" s="886"/>
      <c r="S198" s="886"/>
      <c r="T198" s="886"/>
      <c r="U198" s="886"/>
      <c r="V198" s="886"/>
      <c r="W198" s="886"/>
      <c r="X198" s="886"/>
      <c r="Y198" s="886"/>
    </row>
    <row r="199" spans="3:25">
      <c r="C199" s="942"/>
      <c r="D199" s="942"/>
      <c r="E199" s="943"/>
      <c r="F199" s="943"/>
      <c r="G199" s="886"/>
      <c r="H199" s="886"/>
      <c r="I199" s="886"/>
      <c r="J199" s="886"/>
      <c r="K199" s="886"/>
      <c r="L199" s="886"/>
      <c r="M199" s="886"/>
      <c r="N199" s="886"/>
      <c r="O199" s="886"/>
      <c r="P199" s="886"/>
      <c r="Q199" s="886"/>
      <c r="R199" s="886"/>
      <c r="S199" s="886"/>
      <c r="T199" s="886"/>
      <c r="U199" s="886"/>
      <c r="V199" s="886"/>
      <c r="W199" s="886"/>
      <c r="X199" s="886"/>
      <c r="Y199" s="886"/>
    </row>
    <row r="200" spans="3:25">
      <c r="C200" s="942"/>
      <c r="D200" s="942"/>
      <c r="E200" s="943"/>
      <c r="F200" s="943"/>
      <c r="G200" s="886"/>
      <c r="H200" s="886"/>
      <c r="I200" s="886"/>
      <c r="J200" s="886"/>
      <c r="K200" s="886"/>
      <c r="L200" s="886"/>
      <c r="M200" s="886"/>
      <c r="N200" s="886"/>
      <c r="O200" s="886"/>
      <c r="P200" s="886"/>
      <c r="Q200" s="886"/>
      <c r="R200" s="886"/>
      <c r="S200" s="886"/>
      <c r="T200" s="886"/>
      <c r="U200" s="886"/>
      <c r="V200" s="886"/>
      <c r="W200" s="886"/>
      <c r="X200" s="886"/>
      <c r="Y200" s="886"/>
    </row>
    <row r="201" spans="3:25">
      <c r="C201" s="942"/>
      <c r="D201" s="942"/>
      <c r="E201" s="943"/>
      <c r="F201" s="943"/>
      <c r="G201" s="886"/>
      <c r="H201" s="886"/>
      <c r="I201" s="886"/>
      <c r="J201" s="886"/>
      <c r="K201" s="886"/>
      <c r="L201" s="886"/>
      <c r="M201" s="886"/>
      <c r="N201" s="886"/>
      <c r="O201" s="886"/>
      <c r="P201" s="886"/>
      <c r="Q201" s="886"/>
      <c r="R201" s="886"/>
      <c r="S201" s="886"/>
      <c r="T201" s="886"/>
      <c r="U201" s="886"/>
      <c r="V201" s="886"/>
      <c r="W201" s="886"/>
      <c r="X201" s="886"/>
      <c r="Y201" s="886"/>
    </row>
    <row r="202" spans="3:25">
      <c r="C202" s="942"/>
      <c r="D202" s="942"/>
      <c r="E202" s="943"/>
      <c r="F202" s="943"/>
      <c r="G202" s="886"/>
      <c r="H202" s="886"/>
      <c r="I202" s="886"/>
      <c r="J202" s="886"/>
      <c r="K202" s="886"/>
      <c r="L202" s="886"/>
      <c r="M202" s="886"/>
      <c r="N202" s="886"/>
      <c r="O202" s="886"/>
      <c r="P202" s="886"/>
      <c r="Q202" s="886"/>
      <c r="R202" s="886"/>
      <c r="S202" s="886"/>
      <c r="T202" s="886"/>
      <c r="U202" s="886"/>
      <c r="V202" s="886"/>
      <c r="W202" s="886"/>
      <c r="X202" s="886"/>
      <c r="Y202" s="886"/>
    </row>
    <row r="203" spans="3:25">
      <c r="C203" s="942"/>
      <c r="D203" s="942"/>
      <c r="E203" s="943"/>
      <c r="F203" s="943"/>
      <c r="G203" s="886"/>
      <c r="H203" s="886"/>
      <c r="I203" s="886"/>
      <c r="J203" s="886"/>
      <c r="K203" s="886"/>
      <c r="L203" s="886"/>
      <c r="M203" s="886"/>
      <c r="N203" s="886"/>
      <c r="O203" s="886"/>
      <c r="P203" s="886"/>
      <c r="Q203" s="886"/>
      <c r="R203" s="886"/>
      <c r="S203" s="886"/>
      <c r="T203" s="886"/>
      <c r="U203" s="886"/>
      <c r="V203" s="886"/>
      <c r="W203" s="886"/>
      <c r="X203" s="886"/>
      <c r="Y203" s="886"/>
    </row>
    <row r="204" spans="3:25">
      <c r="C204" s="942"/>
      <c r="D204" s="942"/>
      <c r="E204" s="943"/>
      <c r="F204" s="943"/>
      <c r="G204" s="886"/>
      <c r="H204" s="886"/>
      <c r="I204" s="886"/>
      <c r="J204" s="886"/>
      <c r="K204" s="886"/>
      <c r="L204" s="886"/>
      <c r="M204" s="886"/>
      <c r="N204" s="886"/>
      <c r="O204" s="886"/>
      <c r="P204" s="886"/>
      <c r="Q204" s="886"/>
      <c r="R204" s="886"/>
      <c r="S204" s="886"/>
      <c r="T204" s="886"/>
      <c r="U204" s="886"/>
      <c r="V204" s="886"/>
      <c r="W204" s="886"/>
      <c r="X204" s="886"/>
      <c r="Y204" s="886"/>
    </row>
    <row r="205" spans="3:25">
      <c r="C205" s="942"/>
      <c r="D205" s="942"/>
      <c r="E205" s="943"/>
      <c r="F205" s="943"/>
      <c r="G205" s="886"/>
      <c r="H205" s="886"/>
      <c r="I205" s="886"/>
      <c r="J205" s="886"/>
      <c r="K205" s="886"/>
      <c r="L205" s="886"/>
      <c r="M205" s="886"/>
      <c r="N205" s="886"/>
      <c r="O205" s="886"/>
      <c r="P205" s="886"/>
      <c r="Q205" s="886"/>
      <c r="R205" s="886"/>
      <c r="S205" s="886"/>
      <c r="T205" s="886"/>
      <c r="U205" s="886"/>
      <c r="V205" s="886"/>
      <c r="W205" s="886"/>
      <c r="X205" s="886"/>
      <c r="Y205" s="886"/>
    </row>
    <row r="206" spans="3:25">
      <c r="C206" s="942"/>
      <c r="D206" s="942"/>
      <c r="E206" s="943"/>
      <c r="F206" s="943"/>
      <c r="G206" s="886"/>
      <c r="H206" s="886"/>
      <c r="I206" s="886"/>
      <c r="J206" s="886"/>
      <c r="K206" s="886"/>
      <c r="L206" s="886"/>
      <c r="M206" s="886"/>
      <c r="N206" s="886"/>
      <c r="O206" s="886"/>
      <c r="P206" s="886"/>
      <c r="Q206" s="886"/>
      <c r="R206" s="886"/>
      <c r="S206" s="886"/>
      <c r="T206" s="886"/>
      <c r="U206" s="886"/>
      <c r="V206" s="886"/>
      <c r="W206" s="886"/>
      <c r="X206" s="886"/>
      <c r="Y206" s="886"/>
    </row>
    <row r="207" spans="3:25">
      <c r="C207" s="942"/>
      <c r="D207" s="942"/>
      <c r="E207" s="943"/>
      <c r="F207" s="943"/>
      <c r="G207" s="886"/>
      <c r="H207" s="886"/>
      <c r="I207" s="886"/>
      <c r="J207" s="886"/>
      <c r="K207" s="886"/>
      <c r="L207" s="886"/>
      <c r="M207" s="886"/>
      <c r="N207" s="886"/>
      <c r="O207" s="886"/>
      <c r="P207" s="886"/>
      <c r="Q207" s="886"/>
      <c r="R207" s="886"/>
      <c r="S207" s="886"/>
      <c r="T207" s="886"/>
      <c r="U207" s="886"/>
      <c r="V207" s="886"/>
      <c r="W207" s="886"/>
      <c r="X207" s="886"/>
      <c r="Y207" s="886"/>
    </row>
    <row r="208" spans="3:25">
      <c r="C208" s="942"/>
      <c r="D208" s="942"/>
      <c r="E208" s="943"/>
      <c r="F208" s="943"/>
      <c r="G208" s="886"/>
      <c r="H208" s="886"/>
      <c r="I208" s="886"/>
      <c r="J208" s="886"/>
      <c r="K208" s="886"/>
      <c r="L208" s="886"/>
      <c r="M208" s="886"/>
      <c r="N208" s="886"/>
      <c r="O208" s="886"/>
      <c r="P208" s="886"/>
      <c r="Q208" s="886"/>
      <c r="R208" s="886"/>
      <c r="S208" s="886"/>
      <c r="T208" s="886"/>
      <c r="U208" s="886"/>
      <c r="V208" s="886"/>
      <c r="W208" s="886"/>
      <c r="X208" s="886"/>
      <c r="Y208" s="886"/>
    </row>
    <row r="209" spans="3:25">
      <c r="C209" s="942"/>
      <c r="D209" s="942"/>
      <c r="E209" s="943"/>
      <c r="F209" s="943"/>
      <c r="G209" s="886"/>
      <c r="H209" s="886"/>
      <c r="I209" s="886"/>
      <c r="J209" s="886"/>
      <c r="K209" s="886"/>
      <c r="L209" s="886"/>
      <c r="M209" s="886"/>
      <c r="N209" s="886"/>
      <c r="O209" s="886"/>
      <c r="P209" s="886"/>
      <c r="Q209" s="886"/>
      <c r="R209" s="886"/>
      <c r="S209" s="886"/>
      <c r="T209" s="886"/>
      <c r="U209" s="886"/>
      <c r="V209" s="886"/>
      <c r="W209" s="886"/>
      <c r="X209" s="886"/>
      <c r="Y209" s="886"/>
    </row>
    <row r="210" spans="3:25">
      <c r="C210" s="942"/>
      <c r="D210" s="942"/>
      <c r="E210" s="943"/>
      <c r="F210" s="943"/>
      <c r="G210" s="886"/>
      <c r="H210" s="886"/>
      <c r="I210" s="886"/>
      <c r="J210" s="886"/>
      <c r="K210" s="886"/>
      <c r="L210" s="886"/>
      <c r="M210" s="886"/>
      <c r="N210" s="886"/>
      <c r="O210" s="886"/>
      <c r="P210" s="886"/>
      <c r="Q210" s="886"/>
      <c r="R210" s="886"/>
      <c r="S210" s="886"/>
      <c r="T210" s="886"/>
      <c r="U210" s="886"/>
      <c r="V210" s="886"/>
      <c r="W210" s="886"/>
      <c r="X210" s="886"/>
      <c r="Y210" s="886"/>
    </row>
    <row r="211" spans="3:25">
      <c r="C211" s="942"/>
      <c r="D211" s="942"/>
      <c r="E211" s="943"/>
      <c r="F211" s="943"/>
      <c r="G211" s="886"/>
      <c r="H211" s="886"/>
      <c r="I211" s="886"/>
      <c r="J211" s="886"/>
      <c r="K211" s="886"/>
      <c r="L211" s="886"/>
      <c r="M211" s="886"/>
      <c r="N211" s="886"/>
      <c r="O211" s="886"/>
      <c r="P211" s="886"/>
      <c r="Q211" s="886"/>
      <c r="R211" s="886"/>
      <c r="S211" s="886"/>
      <c r="T211" s="886"/>
      <c r="U211" s="886"/>
      <c r="V211" s="886"/>
      <c r="W211" s="886"/>
      <c r="X211" s="886"/>
      <c r="Y211" s="886"/>
    </row>
    <row r="212" spans="3:25">
      <c r="C212" s="942"/>
      <c r="D212" s="942"/>
      <c r="E212" s="943"/>
      <c r="F212" s="943"/>
      <c r="G212" s="886"/>
      <c r="H212" s="886"/>
      <c r="I212" s="886"/>
      <c r="J212" s="886"/>
      <c r="K212" s="886"/>
      <c r="L212" s="886"/>
      <c r="M212" s="886"/>
      <c r="N212" s="886"/>
      <c r="O212" s="886"/>
      <c r="P212" s="886"/>
      <c r="Q212" s="886"/>
      <c r="R212" s="886"/>
      <c r="S212" s="886"/>
      <c r="T212" s="886"/>
      <c r="U212" s="886"/>
      <c r="V212" s="886"/>
      <c r="W212" s="886"/>
      <c r="X212" s="886"/>
      <c r="Y212" s="886"/>
    </row>
    <row r="213" spans="3:25">
      <c r="C213" s="942"/>
      <c r="D213" s="942"/>
      <c r="E213" s="943"/>
      <c r="F213" s="943"/>
      <c r="G213" s="886"/>
      <c r="H213" s="886"/>
      <c r="I213" s="886"/>
      <c r="J213" s="886"/>
      <c r="K213" s="886"/>
      <c r="L213" s="886"/>
      <c r="M213" s="886"/>
      <c r="N213" s="886"/>
      <c r="O213" s="886"/>
      <c r="P213" s="886"/>
      <c r="Q213" s="886"/>
      <c r="R213" s="886"/>
      <c r="S213" s="886"/>
      <c r="T213" s="886"/>
      <c r="U213" s="886"/>
      <c r="V213" s="886"/>
      <c r="W213" s="886"/>
      <c r="X213" s="886"/>
      <c r="Y213" s="886"/>
    </row>
    <row r="214" spans="3:25">
      <c r="C214" s="942"/>
      <c r="D214" s="942"/>
      <c r="E214" s="943"/>
      <c r="F214" s="943"/>
      <c r="G214" s="886"/>
      <c r="H214" s="886"/>
      <c r="I214" s="886"/>
      <c r="J214" s="886"/>
      <c r="K214" s="886"/>
      <c r="L214" s="886"/>
      <c r="M214" s="886"/>
      <c r="N214" s="886"/>
      <c r="O214" s="886"/>
      <c r="P214" s="886"/>
      <c r="Q214" s="886"/>
      <c r="R214" s="886"/>
      <c r="S214" s="886"/>
      <c r="T214" s="886"/>
      <c r="U214" s="886"/>
      <c r="V214" s="886"/>
      <c r="W214" s="886"/>
      <c r="X214" s="886"/>
      <c r="Y214" s="886"/>
    </row>
    <row r="215" spans="3:25">
      <c r="C215" s="942"/>
      <c r="D215" s="942"/>
      <c r="E215" s="943"/>
      <c r="F215" s="943"/>
      <c r="G215" s="886"/>
      <c r="H215" s="886"/>
      <c r="I215" s="886"/>
      <c r="J215" s="886"/>
      <c r="K215" s="886"/>
      <c r="L215" s="886"/>
      <c r="M215" s="886"/>
      <c r="N215" s="886"/>
      <c r="O215" s="886"/>
      <c r="P215" s="886"/>
      <c r="Q215" s="886"/>
      <c r="R215" s="886"/>
      <c r="S215" s="886"/>
      <c r="T215" s="886"/>
      <c r="U215" s="886"/>
      <c r="V215" s="886"/>
      <c r="W215" s="886"/>
      <c r="X215" s="886"/>
      <c r="Y215" s="886"/>
    </row>
    <row r="216" spans="3:25">
      <c r="C216" s="942"/>
      <c r="D216" s="942"/>
      <c r="E216" s="943"/>
      <c r="F216" s="943"/>
      <c r="G216" s="886"/>
      <c r="H216" s="886"/>
      <c r="I216" s="886"/>
      <c r="J216" s="886"/>
      <c r="K216" s="886"/>
      <c r="L216" s="886"/>
      <c r="M216" s="886"/>
      <c r="N216" s="886"/>
      <c r="O216" s="886"/>
      <c r="P216" s="886"/>
      <c r="Q216" s="886"/>
      <c r="R216" s="886"/>
      <c r="S216" s="886"/>
      <c r="T216" s="886"/>
      <c r="U216" s="886"/>
      <c r="V216" s="886"/>
      <c r="W216" s="886"/>
      <c r="X216" s="886"/>
      <c r="Y216" s="886"/>
    </row>
    <row r="217" spans="3:25">
      <c r="C217" s="942"/>
      <c r="D217" s="942"/>
      <c r="E217" s="943"/>
      <c r="F217" s="943"/>
      <c r="G217" s="886"/>
      <c r="H217" s="886"/>
      <c r="I217" s="886"/>
      <c r="J217" s="886"/>
      <c r="K217" s="886"/>
      <c r="L217" s="886"/>
      <c r="M217" s="886"/>
      <c r="N217" s="886"/>
      <c r="O217" s="886"/>
      <c r="P217" s="886"/>
      <c r="Q217" s="886"/>
      <c r="R217" s="886"/>
      <c r="S217" s="886"/>
      <c r="T217" s="886"/>
      <c r="U217" s="886"/>
      <c r="V217" s="886"/>
      <c r="W217" s="886"/>
      <c r="X217" s="886"/>
      <c r="Y217" s="886"/>
    </row>
    <row r="218" spans="3:25">
      <c r="C218" s="942"/>
      <c r="D218" s="942"/>
      <c r="E218" s="943"/>
      <c r="F218" s="943"/>
      <c r="G218" s="886"/>
      <c r="H218" s="886"/>
      <c r="I218" s="886"/>
      <c r="J218" s="886"/>
      <c r="K218" s="886"/>
      <c r="L218" s="886"/>
      <c r="M218" s="886"/>
      <c r="N218" s="886"/>
      <c r="O218" s="886"/>
      <c r="P218" s="886"/>
      <c r="Q218" s="886"/>
      <c r="R218" s="886"/>
      <c r="S218" s="886"/>
      <c r="T218" s="886"/>
      <c r="U218" s="886"/>
      <c r="V218" s="886"/>
      <c r="W218" s="886"/>
      <c r="X218" s="886"/>
      <c r="Y218" s="886"/>
    </row>
    <row r="219" spans="3:25">
      <c r="C219" s="942"/>
      <c r="D219" s="942"/>
      <c r="E219" s="943"/>
      <c r="F219" s="943"/>
      <c r="G219" s="886"/>
      <c r="H219" s="886"/>
      <c r="I219" s="886"/>
      <c r="J219" s="886"/>
      <c r="K219" s="886"/>
      <c r="L219" s="886"/>
      <c r="M219" s="886"/>
      <c r="N219" s="886"/>
      <c r="O219" s="886"/>
      <c r="P219" s="886"/>
      <c r="Q219" s="886"/>
      <c r="R219" s="886"/>
      <c r="S219" s="886"/>
      <c r="T219" s="886"/>
      <c r="U219" s="886"/>
      <c r="V219" s="886"/>
      <c r="W219" s="886"/>
      <c r="X219" s="886"/>
      <c r="Y219" s="886"/>
    </row>
    <row r="220" spans="3:25">
      <c r="C220" s="942"/>
      <c r="D220" s="942"/>
      <c r="E220" s="943"/>
      <c r="F220" s="943"/>
      <c r="G220" s="886"/>
      <c r="H220" s="886"/>
      <c r="I220" s="886"/>
      <c r="J220" s="886"/>
      <c r="K220" s="886"/>
      <c r="L220" s="886"/>
      <c r="M220" s="886"/>
      <c r="N220" s="886"/>
      <c r="O220" s="886"/>
      <c r="P220" s="886"/>
      <c r="Q220" s="886"/>
      <c r="R220" s="886"/>
      <c r="S220" s="886"/>
      <c r="T220" s="886"/>
      <c r="U220" s="886"/>
      <c r="V220" s="886"/>
      <c r="W220" s="886"/>
      <c r="X220" s="886"/>
      <c r="Y220" s="886"/>
    </row>
    <row r="221" spans="3:25">
      <c r="C221" s="942"/>
      <c r="D221" s="942"/>
      <c r="E221" s="943"/>
      <c r="F221" s="943"/>
      <c r="G221" s="886"/>
      <c r="H221" s="886"/>
      <c r="I221" s="886"/>
      <c r="J221" s="886"/>
      <c r="K221" s="886"/>
      <c r="L221" s="886"/>
      <c r="M221" s="886"/>
      <c r="N221" s="886"/>
      <c r="O221" s="886"/>
      <c r="P221" s="886"/>
      <c r="Q221" s="886"/>
      <c r="R221" s="886"/>
      <c r="S221" s="886"/>
      <c r="T221" s="886"/>
      <c r="U221" s="886"/>
      <c r="V221" s="886"/>
      <c r="W221" s="886"/>
      <c r="X221" s="886"/>
      <c r="Y221" s="886"/>
    </row>
    <row r="222" spans="3:25">
      <c r="C222" s="942"/>
      <c r="D222" s="942"/>
      <c r="E222" s="943"/>
      <c r="F222" s="943"/>
      <c r="G222" s="886"/>
      <c r="H222" s="886"/>
      <c r="I222" s="886"/>
      <c r="J222" s="886"/>
      <c r="K222" s="886"/>
      <c r="L222" s="886"/>
      <c r="M222" s="886"/>
      <c r="N222" s="886"/>
      <c r="O222" s="886"/>
      <c r="P222" s="886"/>
      <c r="Q222" s="886"/>
      <c r="R222" s="886"/>
      <c r="S222" s="886"/>
      <c r="T222" s="886"/>
      <c r="U222" s="886"/>
      <c r="V222" s="886"/>
      <c r="W222" s="886"/>
      <c r="X222" s="886"/>
      <c r="Y222" s="886"/>
    </row>
    <row r="223" spans="3:25">
      <c r="C223" s="942"/>
      <c r="D223" s="942"/>
      <c r="E223" s="943"/>
      <c r="F223" s="943"/>
      <c r="G223" s="886"/>
      <c r="H223" s="886"/>
      <c r="I223" s="886"/>
      <c r="J223" s="886"/>
      <c r="K223" s="886"/>
      <c r="L223" s="886"/>
      <c r="M223" s="886"/>
      <c r="N223" s="886"/>
      <c r="O223" s="886"/>
      <c r="P223" s="886"/>
      <c r="Q223" s="886"/>
      <c r="R223" s="886"/>
      <c r="S223" s="886"/>
      <c r="T223" s="886"/>
      <c r="U223" s="886"/>
      <c r="V223" s="886"/>
      <c r="W223" s="886"/>
      <c r="X223" s="886"/>
      <c r="Y223" s="886"/>
    </row>
    <row r="224" spans="3:25">
      <c r="C224" s="942"/>
      <c r="D224" s="942"/>
      <c r="E224" s="943"/>
      <c r="F224" s="943"/>
      <c r="G224" s="886"/>
      <c r="H224" s="886"/>
      <c r="I224" s="886"/>
      <c r="J224" s="886"/>
      <c r="K224" s="886"/>
      <c r="L224" s="886"/>
      <c r="M224" s="886"/>
      <c r="N224" s="886"/>
      <c r="O224" s="886"/>
      <c r="P224" s="886"/>
      <c r="Q224" s="886"/>
      <c r="R224" s="886"/>
      <c r="S224" s="886"/>
      <c r="T224" s="886"/>
      <c r="U224" s="886"/>
      <c r="V224" s="886"/>
      <c r="W224" s="886"/>
      <c r="X224" s="886"/>
      <c r="Y224" s="886"/>
    </row>
    <row r="225" spans="3:25">
      <c r="C225" s="942"/>
      <c r="D225" s="942"/>
      <c r="E225" s="943"/>
      <c r="F225" s="943"/>
      <c r="G225" s="886"/>
      <c r="H225" s="886"/>
      <c r="I225" s="886"/>
      <c r="J225" s="886"/>
      <c r="K225" s="886"/>
      <c r="L225" s="886"/>
      <c r="M225" s="886"/>
      <c r="N225" s="886"/>
      <c r="O225" s="886"/>
      <c r="P225" s="886"/>
      <c r="Q225" s="886"/>
      <c r="R225" s="886"/>
      <c r="S225" s="886"/>
      <c r="T225" s="886"/>
      <c r="U225" s="886"/>
      <c r="V225" s="886"/>
      <c r="W225" s="886"/>
      <c r="X225" s="886"/>
      <c r="Y225" s="886"/>
    </row>
    <row r="226" spans="3:25">
      <c r="C226" s="942"/>
      <c r="D226" s="942"/>
      <c r="E226" s="943"/>
      <c r="F226" s="943"/>
      <c r="G226" s="886"/>
      <c r="H226" s="886"/>
      <c r="I226" s="886"/>
      <c r="J226" s="886"/>
      <c r="K226" s="886"/>
      <c r="L226" s="886"/>
      <c r="M226" s="886"/>
      <c r="N226" s="886"/>
      <c r="O226" s="886"/>
      <c r="P226" s="886"/>
      <c r="Q226" s="886"/>
      <c r="R226" s="886"/>
      <c r="S226" s="886"/>
      <c r="T226" s="886"/>
      <c r="U226" s="886"/>
      <c r="V226" s="886"/>
      <c r="W226" s="886"/>
      <c r="X226" s="886"/>
      <c r="Y226" s="886"/>
    </row>
    <row r="227" spans="3:25">
      <c r="C227" s="942"/>
      <c r="D227" s="942"/>
      <c r="E227" s="943"/>
      <c r="F227" s="943"/>
      <c r="G227" s="886"/>
      <c r="H227" s="886"/>
      <c r="I227" s="886"/>
      <c r="J227" s="886"/>
      <c r="K227" s="886"/>
      <c r="L227" s="886"/>
      <c r="M227" s="886"/>
      <c r="N227" s="886"/>
      <c r="O227" s="886"/>
      <c r="P227" s="886"/>
      <c r="Q227" s="886"/>
      <c r="R227" s="886"/>
      <c r="S227" s="886"/>
      <c r="T227" s="886"/>
      <c r="U227" s="886"/>
      <c r="V227" s="886"/>
      <c r="W227" s="886"/>
      <c r="X227" s="886"/>
      <c r="Y227" s="886"/>
    </row>
    <row r="228" spans="3:25">
      <c r="C228" s="942"/>
      <c r="D228" s="942"/>
      <c r="E228" s="943"/>
      <c r="F228" s="943"/>
      <c r="G228" s="886"/>
      <c r="H228" s="886"/>
      <c r="I228" s="886"/>
      <c r="J228" s="886"/>
      <c r="K228" s="886"/>
      <c r="L228" s="886"/>
      <c r="M228" s="886"/>
      <c r="N228" s="886"/>
      <c r="O228" s="886"/>
      <c r="P228" s="886"/>
      <c r="Q228" s="886"/>
      <c r="R228" s="886"/>
      <c r="S228" s="886"/>
      <c r="T228" s="886"/>
      <c r="U228" s="886"/>
      <c r="V228" s="886"/>
      <c r="W228" s="886"/>
      <c r="X228" s="886"/>
      <c r="Y228" s="886"/>
    </row>
    <row r="229" spans="3:25">
      <c r="C229" s="942"/>
      <c r="D229" s="942"/>
      <c r="E229" s="943"/>
      <c r="F229" s="943"/>
      <c r="G229" s="886"/>
      <c r="H229" s="886"/>
      <c r="I229" s="886"/>
      <c r="J229" s="886"/>
      <c r="K229" s="886"/>
      <c r="L229" s="886"/>
      <c r="M229" s="886"/>
      <c r="N229" s="886"/>
      <c r="O229" s="886"/>
      <c r="P229" s="886"/>
      <c r="Q229" s="886"/>
      <c r="R229" s="886"/>
      <c r="S229" s="886"/>
      <c r="T229" s="886"/>
      <c r="U229" s="886"/>
      <c r="V229" s="886"/>
      <c r="W229" s="886"/>
      <c r="X229" s="886"/>
      <c r="Y229" s="886"/>
    </row>
    <row r="230" spans="3:25">
      <c r="C230" s="942"/>
      <c r="D230" s="942"/>
      <c r="E230" s="943"/>
      <c r="F230" s="943"/>
      <c r="G230" s="886"/>
      <c r="H230" s="886"/>
      <c r="I230" s="886"/>
      <c r="J230" s="886"/>
      <c r="K230" s="886"/>
      <c r="L230" s="886"/>
      <c r="M230" s="886"/>
      <c r="N230" s="886"/>
      <c r="O230" s="886"/>
      <c r="P230" s="886"/>
      <c r="Q230" s="886"/>
      <c r="R230" s="886"/>
      <c r="S230" s="886"/>
      <c r="T230" s="886"/>
      <c r="U230" s="886"/>
      <c r="V230" s="886"/>
      <c r="W230" s="886"/>
      <c r="X230" s="886"/>
      <c r="Y230" s="886"/>
    </row>
    <row r="231" spans="3:25">
      <c r="C231" s="942"/>
      <c r="D231" s="942"/>
      <c r="E231" s="943"/>
      <c r="F231" s="943"/>
      <c r="G231" s="886"/>
      <c r="H231" s="886"/>
      <c r="I231" s="886"/>
      <c r="J231" s="886"/>
      <c r="K231" s="886"/>
      <c r="L231" s="886"/>
      <c r="M231" s="886"/>
      <c r="N231" s="886"/>
      <c r="O231" s="886"/>
      <c r="P231" s="886"/>
      <c r="Q231" s="886"/>
      <c r="R231" s="886"/>
      <c r="S231" s="886"/>
      <c r="T231" s="886"/>
      <c r="U231" s="886"/>
      <c r="V231" s="886"/>
      <c r="W231" s="886"/>
      <c r="X231" s="886"/>
      <c r="Y231" s="886"/>
    </row>
    <row r="232" spans="3:25">
      <c r="C232" s="942"/>
      <c r="D232" s="942"/>
      <c r="E232" s="943"/>
      <c r="F232" s="943"/>
      <c r="G232" s="886"/>
      <c r="H232" s="886"/>
      <c r="I232" s="886"/>
      <c r="J232" s="886"/>
      <c r="K232" s="886"/>
      <c r="L232" s="886"/>
      <c r="M232" s="886"/>
      <c r="N232" s="886"/>
      <c r="O232" s="886"/>
      <c r="P232" s="886"/>
      <c r="Q232" s="886"/>
      <c r="R232" s="886"/>
      <c r="S232" s="886"/>
      <c r="T232" s="886"/>
      <c r="U232" s="886"/>
      <c r="V232" s="886"/>
      <c r="W232" s="886"/>
      <c r="X232" s="886"/>
      <c r="Y232" s="886"/>
    </row>
    <row r="233" spans="3:25">
      <c r="C233" s="942"/>
      <c r="D233" s="942"/>
      <c r="E233" s="943"/>
      <c r="F233" s="943"/>
      <c r="G233" s="886"/>
      <c r="H233" s="886"/>
      <c r="I233" s="886"/>
      <c r="J233" s="886"/>
      <c r="K233" s="886"/>
      <c r="L233" s="886"/>
      <c r="M233" s="886"/>
      <c r="N233" s="886"/>
      <c r="O233" s="886"/>
      <c r="P233" s="886"/>
      <c r="Q233" s="886"/>
      <c r="R233" s="886"/>
      <c r="S233" s="886"/>
      <c r="T233" s="886"/>
      <c r="U233" s="886"/>
      <c r="V233" s="886"/>
      <c r="W233" s="886"/>
      <c r="X233" s="886"/>
      <c r="Y233" s="886"/>
    </row>
    <row r="234" spans="3:25">
      <c r="C234" s="942"/>
      <c r="D234" s="942"/>
      <c r="E234" s="943"/>
      <c r="F234" s="943"/>
      <c r="G234" s="886"/>
      <c r="H234" s="886"/>
      <c r="I234" s="886"/>
      <c r="J234" s="886"/>
      <c r="K234" s="886"/>
      <c r="L234" s="886"/>
      <c r="M234" s="886"/>
      <c r="N234" s="886"/>
      <c r="O234" s="886"/>
      <c r="P234" s="886"/>
      <c r="Q234" s="886"/>
      <c r="R234" s="886"/>
      <c r="S234" s="886"/>
      <c r="T234" s="886"/>
      <c r="U234" s="886"/>
      <c r="V234" s="886"/>
      <c r="W234" s="886"/>
      <c r="X234" s="886"/>
      <c r="Y234" s="886"/>
    </row>
    <row r="235" spans="3:25">
      <c r="C235" s="942"/>
      <c r="D235" s="942"/>
      <c r="E235" s="943"/>
      <c r="F235" s="943"/>
      <c r="G235" s="886"/>
      <c r="H235" s="886"/>
      <c r="I235" s="886"/>
      <c r="J235" s="886"/>
      <c r="K235" s="886"/>
      <c r="L235" s="886"/>
      <c r="M235" s="886"/>
      <c r="N235" s="886"/>
      <c r="O235" s="886"/>
      <c r="P235" s="886"/>
      <c r="Q235" s="886"/>
      <c r="R235" s="886"/>
      <c r="S235" s="886"/>
      <c r="T235" s="886"/>
      <c r="U235" s="886"/>
      <c r="V235" s="886"/>
      <c r="W235" s="886"/>
      <c r="X235" s="886"/>
      <c r="Y235" s="886"/>
    </row>
    <row r="236" spans="3:25">
      <c r="C236" s="942"/>
      <c r="D236" s="942"/>
      <c r="E236" s="943"/>
      <c r="F236" s="943"/>
      <c r="G236" s="886"/>
      <c r="H236" s="886"/>
      <c r="I236" s="886"/>
      <c r="J236" s="886"/>
      <c r="K236" s="886"/>
      <c r="L236" s="886"/>
      <c r="M236" s="886"/>
      <c r="N236" s="886"/>
      <c r="O236" s="886"/>
      <c r="P236" s="886"/>
      <c r="Q236" s="886"/>
      <c r="R236" s="886"/>
      <c r="S236" s="886"/>
      <c r="T236" s="886"/>
      <c r="U236" s="886"/>
      <c r="V236" s="886"/>
      <c r="W236" s="886"/>
      <c r="X236" s="886"/>
      <c r="Y236" s="886"/>
    </row>
    <row r="237" spans="3:25">
      <c r="C237" s="942"/>
      <c r="D237" s="942"/>
      <c r="E237" s="943"/>
      <c r="F237" s="943"/>
      <c r="G237" s="886"/>
      <c r="H237" s="886"/>
      <c r="I237" s="886"/>
      <c r="J237" s="886"/>
      <c r="K237" s="886"/>
      <c r="L237" s="886"/>
      <c r="M237" s="886"/>
      <c r="N237" s="886"/>
      <c r="O237" s="886"/>
      <c r="P237" s="886"/>
      <c r="Q237" s="886"/>
      <c r="R237" s="886"/>
      <c r="S237" s="886"/>
      <c r="T237" s="886"/>
      <c r="U237" s="886"/>
      <c r="V237" s="886"/>
      <c r="W237" s="886"/>
      <c r="X237" s="886"/>
      <c r="Y237" s="886"/>
    </row>
    <row r="238" spans="3:25">
      <c r="C238" s="942"/>
      <c r="D238" s="942"/>
      <c r="E238" s="943"/>
      <c r="F238" s="943"/>
      <c r="G238" s="886"/>
      <c r="H238" s="886"/>
      <c r="I238" s="886"/>
      <c r="J238" s="886"/>
      <c r="K238" s="886"/>
      <c r="L238" s="886"/>
      <c r="M238" s="886"/>
      <c r="N238" s="886"/>
      <c r="O238" s="886"/>
      <c r="P238" s="886"/>
      <c r="Q238" s="886"/>
      <c r="R238" s="886"/>
      <c r="S238" s="886"/>
      <c r="T238" s="886"/>
      <c r="U238" s="886"/>
      <c r="V238" s="886"/>
      <c r="W238" s="886"/>
      <c r="X238" s="886"/>
      <c r="Y238" s="886"/>
    </row>
    <row r="239" spans="3:25">
      <c r="C239" s="942"/>
      <c r="D239" s="942"/>
      <c r="E239" s="943"/>
      <c r="F239" s="943"/>
      <c r="G239" s="886"/>
      <c r="H239" s="886"/>
      <c r="I239" s="886"/>
      <c r="J239" s="886"/>
      <c r="K239" s="886"/>
      <c r="L239" s="886"/>
      <c r="M239" s="886"/>
      <c r="N239" s="886"/>
      <c r="O239" s="886"/>
      <c r="P239" s="886"/>
      <c r="Q239" s="886"/>
      <c r="R239" s="886"/>
      <c r="S239" s="886"/>
      <c r="T239" s="886"/>
      <c r="U239" s="886"/>
      <c r="V239" s="886"/>
      <c r="W239" s="886"/>
      <c r="X239" s="886"/>
      <c r="Y239" s="886"/>
    </row>
    <row r="240" spans="3:25">
      <c r="C240" s="942"/>
      <c r="D240" s="942"/>
      <c r="E240" s="943"/>
      <c r="F240" s="943"/>
      <c r="G240" s="886"/>
      <c r="H240" s="886"/>
      <c r="I240" s="886"/>
      <c r="J240" s="886"/>
      <c r="K240" s="886"/>
      <c r="L240" s="886"/>
      <c r="M240" s="886"/>
      <c r="N240" s="886"/>
      <c r="O240" s="886"/>
      <c r="P240" s="886"/>
      <c r="Q240" s="886"/>
      <c r="R240" s="886"/>
      <c r="S240" s="886"/>
      <c r="T240" s="886"/>
      <c r="U240" s="886"/>
      <c r="V240" s="886"/>
      <c r="W240" s="886"/>
      <c r="X240" s="886"/>
      <c r="Y240" s="886"/>
    </row>
    <row r="241" spans="3:25">
      <c r="C241" s="942"/>
      <c r="D241" s="942"/>
      <c r="E241" s="943"/>
      <c r="F241" s="943"/>
      <c r="G241" s="886"/>
      <c r="H241" s="886"/>
      <c r="I241" s="886"/>
      <c r="J241" s="886"/>
      <c r="K241" s="886"/>
      <c r="L241" s="886"/>
      <c r="M241" s="886"/>
      <c r="N241" s="886"/>
      <c r="O241" s="886"/>
      <c r="P241" s="886"/>
      <c r="Q241" s="886"/>
      <c r="R241" s="886"/>
      <c r="S241" s="886"/>
      <c r="T241" s="886"/>
      <c r="U241" s="886"/>
      <c r="V241" s="886"/>
      <c r="W241" s="886"/>
      <c r="X241" s="886"/>
      <c r="Y241" s="886"/>
    </row>
    <row r="242" spans="3:25">
      <c r="C242" s="942"/>
      <c r="D242" s="942"/>
      <c r="E242" s="943"/>
      <c r="F242" s="943"/>
      <c r="G242" s="886"/>
      <c r="H242" s="886"/>
      <c r="I242" s="886"/>
      <c r="J242" s="886"/>
      <c r="K242" s="886"/>
      <c r="L242" s="886"/>
      <c r="M242" s="886"/>
      <c r="N242" s="886"/>
      <c r="O242" s="886"/>
      <c r="P242" s="886"/>
      <c r="Q242" s="886"/>
      <c r="R242" s="886"/>
      <c r="S242" s="886"/>
      <c r="T242" s="886"/>
      <c r="U242" s="886"/>
      <c r="V242" s="886"/>
      <c r="W242" s="886"/>
      <c r="X242" s="886"/>
      <c r="Y242" s="886"/>
    </row>
    <row r="243" spans="3:25">
      <c r="C243" s="942"/>
      <c r="D243" s="942"/>
      <c r="E243" s="943"/>
      <c r="F243" s="943"/>
      <c r="G243" s="886"/>
      <c r="H243" s="886"/>
      <c r="I243" s="886"/>
      <c r="J243" s="886"/>
      <c r="K243" s="886"/>
      <c r="L243" s="886"/>
      <c r="M243" s="886"/>
      <c r="N243" s="886"/>
      <c r="O243" s="886"/>
      <c r="P243" s="886"/>
      <c r="Q243" s="886"/>
      <c r="R243" s="886"/>
      <c r="S243" s="886"/>
      <c r="T243" s="886"/>
      <c r="U243" s="886"/>
      <c r="V243" s="886"/>
      <c r="W243" s="886"/>
      <c r="X243" s="886"/>
      <c r="Y243" s="886"/>
    </row>
    <row r="244" spans="3:25">
      <c r="C244" s="942"/>
      <c r="D244" s="942"/>
      <c r="E244" s="943"/>
      <c r="F244" s="943"/>
      <c r="G244" s="886"/>
      <c r="H244" s="886"/>
      <c r="I244" s="886"/>
      <c r="J244" s="886"/>
      <c r="K244" s="886"/>
      <c r="L244" s="886"/>
      <c r="M244" s="886"/>
      <c r="N244" s="886"/>
      <c r="O244" s="886"/>
      <c r="P244" s="886"/>
      <c r="Q244" s="886"/>
      <c r="R244" s="886"/>
      <c r="S244" s="886"/>
      <c r="T244" s="886"/>
      <c r="U244" s="886"/>
      <c r="V244" s="886"/>
      <c r="W244" s="886"/>
      <c r="X244" s="886"/>
      <c r="Y244" s="886"/>
    </row>
    <row r="245" spans="3:25">
      <c r="C245" s="942"/>
      <c r="D245" s="942"/>
      <c r="E245" s="943"/>
      <c r="F245" s="943"/>
      <c r="G245" s="886"/>
      <c r="H245" s="886"/>
      <c r="I245" s="886"/>
      <c r="J245" s="886"/>
      <c r="K245" s="886"/>
      <c r="L245" s="886"/>
      <c r="M245" s="886"/>
      <c r="N245" s="886"/>
      <c r="O245" s="886"/>
      <c r="P245" s="886"/>
      <c r="Q245" s="886"/>
      <c r="R245" s="886"/>
      <c r="S245" s="886"/>
      <c r="T245" s="886"/>
      <c r="U245" s="886"/>
      <c r="V245" s="886"/>
      <c r="W245" s="886"/>
      <c r="X245" s="886"/>
      <c r="Y245" s="886"/>
    </row>
    <row r="246" spans="3:25">
      <c r="C246" s="942"/>
      <c r="D246" s="942"/>
      <c r="E246" s="943"/>
      <c r="F246" s="943"/>
      <c r="G246" s="886"/>
      <c r="H246" s="886"/>
      <c r="I246" s="886"/>
      <c r="J246" s="886"/>
      <c r="K246" s="886"/>
      <c r="L246" s="886"/>
      <c r="M246" s="886"/>
      <c r="N246" s="886"/>
      <c r="O246" s="886"/>
      <c r="P246" s="886"/>
      <c r="Q246" s="886"/>
      <c r="R246" s="886"/>
      <c r="S246" s="886"/>
      <c r="T246" s="886"/>
      <c r="U246" s="886"/>
      <c r="V246" s="886"/>
      <c r="W246" s="886"/>
      <c r="X246" s="886"/>
      <c r="Y246" s="886"/>
    </row>
    <row r="247" spans="3:25">
      <c r="C247" s="942"/>
      <c r="D247" s="942"/>
      <c r="E247" s="943"/>
      <c r="F247" s="943"/>
      <c r="G247" s="886"/>
      <c r="H247" s="886"/>
      <c r="I247" s="886"/>
      <c r="J247" s="886"/>
      <c r="K247" s="886"/>
      <c r="L247" s="886"/>
      <c r="M247" s="886"/>
      <c r="N247" s="886"/>
      <c r="O247" s="886"/>
      <c r="P247" s="886"/>
      <c r="Q247" s="886"/>
      <c r="R247" s="886"/>
      <c r="S247" s="886"/>
      <c r="T247" s="886"/>
      <c r="U247" s="886"/>
      <c r="V247" s="886"/>
      <c r="W247" s="886"/>
      <c r="X247" s="886"/>
      <c r="Y247" s="886"/>
    </row>
    <row r="248" spans="3:25">
      <c r="C248" s="942"/>
      <c r="D248" s="942"/>
      <c r="E248" s="943"/>
      <c r="F248" s="943"/>
      <c r="G248" s="886"/>
      <c r="H248" s="886"/>
      <c r="I248" s="886"/>
      <c r="J248" s="886"/>
      <c r="K248" s="886"/>
      <c r="L248" s="886"/>
      <c r="M248" s="886"/>
      <c r="N248" s="886"/>
      <c r="O248" s="886"/>
      <c r="P248" s="886"/>
      <c r="Q248" s="886"/>
      <c r="R248" s="886"/>
      <c r="S248" s="886"/>
      <c r="T248" s="886"/>
      <c r="U248" s="886"/>
      <c r="V248" s="886"/>
      <c r="W248" s="886"/>
      <c r="X248" s="886"/>
      <c r="Y248" s="886"/>
    </row>
    <row r="249" spans="3:25">
      <c r="C249" s="942"/>
      <c r="D249" s="942"/>
      <c r="E249" s="943"/>
      <c r="F249" s="943"/>
      <c r="G249" s="886"/>
      <c r="H249" s="886"/>
      <c r="I249" s="886"/>
      <c r="J249" s="886"/>
      <c r="K249" s="886"/>
      <c r="L249" s="886"/>
      <c r="M249" s="886"/>
      <c r="N249" s="886"/>
      <c r="O249" s="886"/>
      <c r="P249" s="886"/>
      <c r="Q249" s="886"/>
      <c r="R249" s="886"/>
      <c r="S249" s="886"/>
      <c r="T249" s="886"/>
      <c r="U249" s="886"/>
      <c r="V249" s="886"/>
      <c r="W249" s="886"/>
      <c r="X249" s="886"/>
      <c r="Y249" s="886"/>
    </row>
    <row r="250" spans="3:25">
      <c r="C250" s="942"/>
      <c r="D250" s="942"/>
      <c r="E250" s="943"/>
      <c r="F250" s="943"/>
      <c r="G250" s="886"/>
      <c r="H250" s="886"/>
      <c r="I250" s="886"/>
      <c r="J250" s="886"/>
      <c r="K250" s="886"/>
      <c r="L250" s="886"/>
      <c r="M250" s="886"/>
      <c r="N250" s="886"/>
      <c r="O250" s="886"/>
      <c r="P250" s="886"/>
      <c r="Q250" s="886"/>
      <c r="R250" s="886"/>
      <c r="S250" s="886"/>
      <c r="T250" s="886"/>
      <c r="U250" s="886"/>
      <c r="V250" s="886"/>
      <c r="W250" s="886"/>
      <c r="X250" s="886"/>
      <c r="Y250" s="886"/>
    </row>
    <row r="251" spans="3:25">
      <c r="C251" s="942"/>
      <c r="D251" s="942"/>
      <c r="E251" s="943"/>
      <c r="F251" s="943"/>
      <c r="G251" s="886"/>
      <c r="H251" s="886"/>
      <c r="I251" s="886"/>
      <c r="J251" s="886"/>
      <c r="K251" s="886"/>
      <c r="L251" s="886"/>
      <c r="M251" s="886"/>
      <c r="N251" s="886"/>
      <c r="O251" s="886"/>
      <c r="P251" s="886"/>
      <c r="Q251" s="886"/>
      <c r="R251" s="886"/>
      <c r="S251" s="886"/>
      <c r="T251" s="886"/>
      <c r="U251" s="886"/>
      <c r="V251" s="886"/>
      <c r="W251" s="886"/>
      <c r="X251" s="886"/>
      <c r="Y251" s="886"/>
    </row>
    <row r="252" spans="3:25">
      <c r="C252" s="942"/>
      <c r="D252" s="942"/>
      <c r="E252" s="943"/>
      <c r="F252" s="943"/>
      <c r="G252" s="886"/>
      <c r="H252" s="886"/>
      <c r="I252" s="886"/>
      <c r="J252" s="886"/>
      <c r="K252" s="886"/>
      <c r="L252" s="886"/>
      <c r="M252" s="886"/>
      <c r="N252" s="886"/>
      <c r="O252" s="886"/>
      <c r="P252" s="886"/>
      <c r="Q252" s="886"/>
      <c r="R252" s="886"/>
      <c r="S252" s="886"/>
      <c r="T252" s="886"/>
      <c r="U252" s="886"/>
      <c r="V252" s="886"/>
      <c r="W252" s="886"/>
      <c r="X252" s="886"/>
      <c r="Y252" s="886"/>
    </row>
    <row r="253" spans="3:25">
      <c r="C253" s="942"/>
      <c r="D253" s="942"/>
      <c r="E253" s="943"/>
      <c r="F253" s="943"/>
      <c r="G253" s="886"/>
      <c r="H253" s="886"/>
      <c r="I253" s="886"/>
      <c r="J253" s="886"/>
      <c r="K253" s="886"/>
      <c r="L253" s="886"/>
      <c r="M253" s="886"/>
      <c r="N253" s="886"/>
      <c r="O253" s="886"/>
      <c r="P253" s="886"/>
      <c r="Q253" s="886"/>
      <c r="R253" s="886"/>
      <c r="S253" s="886"/>
      <c r="T253" s="886"/>
      <c r="U253" s="886"/>
      <c r="V253" s="886"/>
      <c r="W253" s="886"/>
      <c r="X253" s="886"/>
      <c r="Y253" s="886"/>
    </row>
    <row r="254" spans="3:25">
      <c r="C254" s="942"/>
      <c r="D254" s="942"/>
      <c r="E254" s="943"/>
      <c r="F254" s="943"/>
      <c r="G254" s="886"/>
      <c r="H254" s="886"/>
      <c r="I254" s="886"/>
      <c r="J254" s="886"/>
      <c r="K254" s="886"/>
      <c r="L254" s="886"/>
      <c r="M254" s="886"/>
      <c r="N254" s="886"/>
      <c r="O254" s="886"/>
      <c r="P254" s="886"/>
      <c r="Q254" s="886"/>
      <c r="R254" s="886"/>
      <c r="S254" s="886"/>
      <c r="T254" s="886"/>
      <c r="U254" s="886"/>
      <c r="V254" s="886"/>
      <c r="W254" s="886"/>
      <c r="X254" s="886"/>
      <c r="Y254" s="886"/>
    </row>
    <row r="255" spans="3:25">
      <c r="C255" s="942"/>
      <c r="D255" s="942"/>
      <c r="E255" s="943"/>
      <c r="F255" s="943"/>
      <c r="G255" s="886"/>
      <c r="H255" s="886"/>
      <c r="I255" s="886"/>
      <c r="J255" s="886"/>
      <c r="K255" s="886"/>
      <c r="L255" s="886"/>
      <c r="M255" s="886"/>
      <c r="N255" s="886"/>
      <c r="O255" s="886"/>
      <c r="P255" s="886"/>
      <c r="Q255" s="886"/>
      <c r="R255" s="886"/>
      <c r="S255" s="886"/>
      <c r="T255" s="886"/>
      <c r="U255" s="886"/>
      <c r="V255" s="886"/>
      <c r="W255" s="886"/>
      <c r="X255" s="886"/>
      <c r="Y255" s="886"/>
    </row>
    <row r="256" spans="3:25">
      <c r="C256" s="942"/>
      <c r="D256" s="942"/>
      <c r="E256" s="943"/>
      <c r="F256" s="943"/>
      <c r="G256" s="886"/>
      <c r="H256" s="886"/>
      <c r="I256" s="886"/>
      <c r="J256" s="886"/>
      <c r="K256" s="886"/>
      <c r="L256" s="886"/>
      <c r="M256" s="886"/>
      <c r="N256" s="886"/>
      <c r="O256" s="886"/>
      <c r="P256" s="886"/>
      <c r="Q256" s="886"/>
      <c r="R256" s="886"/>
      <c r="S256" s="886"/>
      <c r="T256" s="886"/>
      <c r="U256" s="886"/>
      <c r="V256" s="886"/>
      <c r="W256" s="886"/>
      <c r="X256" s="886"/>
      <c r="Y256" s="886"/>
    </row>
    <row r="257" spans="3:25">
      <c r="C257" s="942"/>
      <c r="D257" s="942"/>
      <c r="E257" s="943"/>
      <c r="F257" s="943"/>
      <c r="G257" s="886"/>
      <c r="H257" s="886"/>
      <c r="I257" s="886"/>
      <c r="J257" s="886"/>
      <c r="K257" s="886"/>
      <c r="L257" s="886"/>
      <c r="M257" s="886"/>
      <c r="N257" s="886"/>
      <c r="O257" s="886"/>
      <c r="P257" s="886"/>
      <c r="Q257" s="886"/>
      <c r="R257" s="886"/>
      <c r="S257" s="886"/>
      <c r="T257" s="886"/>
      <c r="U257" s="886"/>
      <c r="V257" s="886"/>
      <c r="W257" s="886"/>
      <c r="X257" s="886"/>
      <c r="Y257" s="886"/>
    </row>
    <row r="258" spans="3:25">
      <c r="C258" s="942"/>
      <c r="D258" s="942"/>
      <c r="E258" s="943"/>
      <c r="F258" s="943"/>
      <c r="G258" s="886"/>
      <c r="H258" s="886"/>
      <c r="I258" s="886"/>
      <c r="J258" s="886"/>
      <c r="K258" s="886"/>
      <c r="L258" s="886"/>
      <c r="M258" s="886"/>
      <c r="N258" s="886"/>
      <c r="O258" s="886"/>
      <c r="P258" s="886"/>
      <c r="Q258" s="886"/>
      <c r="R258" s="886"/>
      <c r="S258" s="886"/>
      <c r="T258" s="886"/>
      <c r="U258" s="886"/>
      <c r="V258" s="886"/>
      <c r="W258" s="886"/>
      <c r="X258" s="886"/>
      <c r="Y258" s="886"/>
    </row>
    <row r="259" spans="3:25">
      <c r="C259" s="942"/>
      <c r="D259" s="942"/>
      <c r="E259" s="943"/>
      <c r="F259" s="943"/>
      <c r="G259" s="886"/>
      <c r="H259" s="886"/>
      <c r="I259" s="886"/>
      <c r="J259" s="886"/>
      <c r="K259" s="886"/>
      <c r="L259" s="886"/>
      <c r="M259" s="886"/>
      <c r="N259" s="886"/>
      <c r="O259" s="886"/>
      <c r="P259" s="886"/>
      <c r="Q259" s="886"/>
      <c r="R259" s="886"/>
      <c r="S259" s="886"/>
      <c r="T259" s="886"/>
      <c r="U259" s="886"/>
      <c r="V259" s="886"/>
      <c r="W259" s="886"/>
      <c r="X259" s="886"/>
      <c r="Y259" s="886"/>
    </row>
    <row r="260" spans="3:25">
      <c r="C260" s="942"/>
      <c r="D260" s="942"/>
      <c r="E260" s="943"/>
      <c r="F260" s="943"/>
      <c r="G260" s="886"/>
      <c r="H260" s="886"/>
      <c r="I260" s="886"/>
      <c r="J260" s="886"/>
      <c r="K260" s="886"/>
      <c r="L260" s="886"/>
      <c r="M260" s="886"/>
      <c r="N260" s="886"/>
      <c r="O260" s="886"/>
      <c r="P260" s="886"/>
      <c r="Q260" s="886"/>
      <c r="R260" s="886"/>
      <c r="S260" s="886"/>
      <c r="T260" s="886"/>
      <c r="U260" s="886"/>
      <c r="V260" s="886"/>
      <c r="W260" s="886"/>
      <c r="X260" s="886"/>
      <c r="Y260" s="886"/>
    </row>
    <row r="261" spans="3:25">
      <c r="C261" s="942"/>
      <c r="D261" s="942"/>
      <c r="E261" s="943"/>
      <c r="F261" s="943"/>
      <c r="G261" s="886"/>
      <c r="H261" s="886"/>
      <c r="I261" s="886"/>
      <c r="J261" s="886"/>
      <c r="K261" s="886"/>
      <c r="L261" s="886"/>
      <c r="M261" s="886"/>
      <c r="N261" s="886"/>
      <c r="O261" s="886"/>
      <c r="P261" s="886"/>
      <c r="Q261" s="886"/>
      <c r="R261" s="886"/>
      <c r="S261" s="886"/>
      <c r="T261" s="886"/>
      <c r="U261" s="886"/>
      <c r="V261" s="886"/>
      <c r="W261" s="886"/>
      <c r="X261" s="886"/>
      <c r="Y261" s="886"/>
    </row>
    <row r="262" spans="3:25">
      <c r="C262" s="942"/>
      <c r="D262" s="942"/>
      <c r="E262" s="943"/>
      <c r="F262" s="943"/>
      <c r="G262" s="886"/>
      <c r="H262" s="886"/>
      <c r="I262" s="886"/>
      <c r="J262" s="886"/>
      <c r="K262" s="886"/>
      <c r="L262" s="886"/>
      <c r="M262" s="886"/>
      <c r="N262" s="886"/>
      <c r="O262" s="886"/>
      <c r="P262" s="886"/>
      <c r="Q262" s="886"/>
      <c r="R262" s="886"/>
      <c r="S262" s="886"/>
      <c r="T262" s="886"/>
      <c r="U262" s="886"/>
      <c r="V262" s="886"/>
      <c r="W262" s="886"/>
      <c r="X262" s="886"/>
      <c r="Y262" s="886"/>
    </row>
    <row r="263" spans="3:25">
      <c r="C263" s="942"/>
      <c r="D263" s="942"/>
      <c r="E263" s="943"/>
      <c r="F263" s="943"/>
      <c r="G263" s="886"/>
      <c r="H263" s="886"/>
      <c r="I263" s="886"/>
      <c r="J263" s="886"/>
      <c r="K263" s="886"/>
      <c r="L263" s="886"/>
      <c r="M263" s="886"/>
      <c r="N263" s="886"/>
      <c r="O263" s="886"/>
      <c r="P263" s="886"/>
      <c r="Q263" s="886"/>
      <c r="R263" s="886"/>
      <c r="S263" s="886"/>
      <c r="T263" s="886"/>
      <c r="U263" s="886"/>
      <c r="V263" s="886"/>
      <c r="W263" s="886"/>
      <c r="X263" s="886"/>
      <c r="Y263" s="886"/>
    </row>
    <row r="264" spans="3:25">
      <c r="C264" s="942"/>
      <c r="D264" s="942"/>
      <c r="E264" s="943"/>
      <c r="F264" s="943"/>
      <c r="G264" s="886"/>
      <c r="H264" s="886"/>
      <c r="I264" s="886"/>
      <c r="J264" s="886"/>
      <c r="K264" s="886"/>
      <c r="L264" s="886"/>
      <c r="M264" s="886"/>
      <c r="N264" s="886"/>
      <c r="O264" s="886"/>
      <c r="P264" s="886"/>
      <c r="Q264" s="886"/>
      <c r="R264" s="886"/>
      <c r="S264" s="886"/>
      <c r="T264" s="886"/>
      <c r="U264" s="886"/>
      <c r="V264" s="886"/>
      <c r="W264" s="886"/>
      <c r="X264" s="886"/>
      <c r="Y264" s="886"/>
    </row>
    <row r="265" spans="3:25">
      <c r="C265" s="942"/>
      <c r="D265" s="942"/>
      <c r="E265" s="943"/>
      <c r="F265" s="943"/>
      <c r="G265" s="886"/>
      <c r="H265" s="886"/>
      <c r="I265" s="886"/>
      <c r="J265" s="886"/>
      <c r="K265" s="886"/>
      <c r="L265" s="886"/>
      <c r="M265" s="886"/>
      <c r="N265" s="886"/>
      <c r="O265" s="886"/>
      <c r="P265" s="886"/>
      <c r="Q265" s="886"/>
      <c r="R265" s="886"/>
      <c r="S265" s="886"/>
      <c r="T265" s="886"/>
      <c r="U265" s="886"/>
      <c r="V265" s="886"/>
      <c r="W265" s="886"/>
      <c r="X265" s="886"/>
      <c r="Y265" s="886"/>
    </row>
    <row r="266" spans="3:25">
      <c r="C266" s="942"/>
      <c r="D266" s="942"/>
      <c r="E266" s="943"/>
      <c r="F266" s="943"/>
      <c r="G266" s="886"/>
      <c r="H266" s="886"/>
      <c r="I266" s="886"/>
      <c r="J266" s="886"/>
      <c r="K266" s="886"/>
      <c r="L266" s="886"/>
      <c r="M266" s="886"/>
      <c r="N266" s="886"/>
      <c r="O266" s="886"/>
      <c r="P266" s="886"/>
      <c r="Q266" s="886"/>
      <c r="R266" s="886"/>
      <c r="S266" s="886"/>
      <c r="T266" s="886"/>
      <c r="U266" s="886"/>
      <c r="V266" s="886"/>
      <c r="W266" s="886"/>
      <c r="X266" s="886"/>
      <c r="Y266" s="886"/>
    </row>
    <row r="267" spans="3:25">
      <c r="C267" s="942"/>
      <c r="D267" s="942"/>
      <c r="E267" s="943"/>
      <c r="F267" s="943"/>
      <c r="G267" s="886"/>
      <c r="H267" s="886"/>
      <c r="I267" s="886"/>
      <c r="J267" s="886"/>
      <c r="K267" s="886"/>
      <c r="L267" s="886"/>
      <c r="M267" s="886"/>
      <c r="N267" s="886"/>
      <c r="O267" s="886"/>
      <c r="P267" s="886"/>
      <c r="Q267" s="886"/>
      <c r="R267" s="886"/>
      <c r="S267" s="886"/>
      <c r="T267" s="886"/>
      <c r="U267" s="886"/>
      <c r="V267" s="886"/>
      <c r="W267" s="886"/>
      <c r="X267" s="886"/>
      <c r="Y267" s="886"/>
    </row>
    <row r="268" spans="3:25">
      <c r="C268" s="942"/>
      <c r="D268" s="942"/>
      <c r="E268" s="943"/>
      <c r="F268" s="943"/>
      <c r="G268" s="886"/>
      <c r="H268" s="886"/>
      <c r="I268" s="886"/>
      <c r="J268" s="886"/>
      <c r="K268" s="886"/>
      <c r="L268" s="886"/>
      <c r="M268" s="886"/>
      <c r="N268" s="886"/>
      <c r="O268" s="886"/>
      <c r="P268" s="886"/>
      <c r="Q268" s="886"/>
      <c r="R268" s="886"/>
      <c r="S268" s="886"/>
      <c r="T268" s="886"/>
      <c r="U268" s="886"/>
      <c r="V268" s="886"/>
      <c r="W268" s="886"/>
      <c r="X268" s="886"/>
      <c r="Y268" s="886"/>
    </row>
    <row r="269" spans="3:25">
      <c r="C269" s="942"/>
      <c r="D269" s="942"/>
      <c r="E269" s="943"/>
      <c r="F269" s="943"/>
      <c r="G269" s="886"/>
      <c r="H269" s="886"/>
      <c r="I269" s="886"/>
      <c r="J269" s="886"/>
      <c r="K269" s="886"/>
      <c r="L269" s="886"/>
      <c r="M269" s="886"/>
      <c r="N269" s="886"/>
      <c r="O269" s="886"/>
      <c r="P269" s="886"/>
      <c r="Q269" s="886"/>
      <c r="R269" s="886"/>
      <c r="S269" s="886"/>
      <c r="T269" s="886"/>
      <c r="U269" s="886"/>
      <c r="V269" s="886"/>
      <c r="W269" s="886"/>
      <c r="X269" s="886"/>
      <c r="Y269" s="886"/>
    </row>
    <row r="270" spans="3:25">
      <c r="C270" s="942"/>
      <c r="D270" s="942"/>
      <c r="E270" s="943"/>
      <c r="F270" s="943"/>
      <c r="G270" s="886"/>
      <c r="H270" s="886"/>
      <c r="I270" s="886"/>
      <c r="J270" s="886"/>
      <c r="K270" s="886"/>
      <c r="L270" s="886"/>
      <c r="M270" s="886"/>
      <c r="N270" s="886"/>
      <c r="O270" s="886"/>
      <c r="P270" s="886"/>
      <c r="Q270" s="886"/>
      <c r="R270" s="886"/>
      <c r="S270" s="886"/>
      <c r="T270" s="886"/>
      <c r="U270" s="886"/>
      <c r="V270" s="886"/>
      <c r="W270" s="886"/>
      <c r="X270" s="886"/>
      <c r="Y270" s="886"/>
    </row>
    <row r="271" spans="3:25">
      <c r="C271" s="942"/>
      <c r="D271" s="942"/>
      <c r="E271" s="943"/>
      <c r="F271" s="943"/>
      <c r="G271" s="886"/>
      <c r="H271" s="886"/>
      <c r="I271" s="886"/>
      <c r="J271" s="886"/>
      <c r="K271" s="886"/>
      <c r="L271" s="886"/>
      <c r="M271" s="886"/>
      <c r="N271" s="886"/>
      <c r="O271" s="886"/>
      <c r="P271" s="886"/>
      <c r="Q271" s="886"/>
      <c r="R271" s="886"/>
      <c r="S271" s="886"/>
      <c r="T271" s="886"/>
      <c r="U271" s="886"/>
      <c r="V271" s="886"/>
      <c r="W271" s="886"/>
      <c r="X271" s="886"/>
      <c r="Y271" s="886"/>
    </row>
    <row r="272" spans="3:25">
      <c r="C272" s="942"/>
      <c r="D272" s="942"/>
      <c r="E272" s="943"/>
      <c r="F272" s="943"/>
      <c r="G272" s="886"/>
      <c r="H272" s="886"/>
      <c r="I272" s="886"/>
      <c r="J272" s="886"/>
      <c r="K272" s="886"/>
      <c r="L272" s="886"/>
      <c r="M272" s="886"/>
      <c r="N272" s="886"/>
      <c r="O272" s="886"/>
      <c r="P272" s="886"/>
      <c r="Q272" s="886"/>
      <c r="R272" s="886"/>
      <c r="S272" s="886"/>
      <c r="T272" s="886"/>
      <c r="U272" s="886"/>
      <c r="V272" s="886"/>
      <c r="W272" s="886"/>
      <c r="X272" s="886"/>
      <c r="Y272" s="886"/>
    </row>
    <row r="273" spans="3:25">
      <c r="C273" s="942"/>
      <c r="D273" s="942"/>
      <c r="E273" s="943"/>
      <c r="F273" s="943"/>
      <c r="G273" s="886"/>
      <c r="H273" s="886"/>
      <c r="I273" s="886"/>
      <c r="J273" s="886"/>
      <c r="K273" s="886"/>
      <c r="L273" s="886"/>
      <c r="M273" s="886"/>
      <c r="N273" s="886"/>
      <c r="O273" s="886"/>
      <c r="P273" s="886"/>
      <c r="Q273" s="886"/>
      <c r="R273" s="886"/>
      <c r="S273" s="886"/>
      <c r="T273" s="886"/>
      <c r="U273" s="886"/>
      <c r="V273" s="886"/>
      <c r="W273" s="886"/>
      <c r="X273" s="886"/>
      <c r="Y273" s="886"/>
    </row>
    <row r="274" spans="3:25">
      <c r="C274" s="942"/>
      <c r="D274" s="942"/>
      <c r="E274" s="943"/>
      <c r="F274" s="943"/>
      <c r="G274" s="886"/>
      <c r="H274" s="886"/>
      <c r="I274" s="886"/>
      <c r="J274" s="886"/>
      <c r="K274" s="886"/>
      <c r="L274" s="886"/>
      <c r="M274" s="886"/>
      <c r="N274" s="886"/>
      <c r="O274" s="886"/>
      <c r="P274" s="886"/>
      <c r="Q274" s="886"/>
      <c r="R274" s="886"/>
      <c r="S274" s="886"/>
      <c r="T274" s="886"/>
      <c r="U274" s="886"/>
      <c r="V274" s="886"/>
      <c r="W274" s="886"/>
      <c r="X274" s="886"/>
      <c r="Y274" s="886"/>
    </row>
    <row r="275" spans="3:25">
      <c r="C275" s="942"/>
      <c r="D275" s="942"/>
      <c r="E275" s="943"/>
      <c r="F275" s="943"/>
      <c r="G275" s="886"/>
      <c r="H275" s="886"/>
      <c r="I275" s="886"/>
      <c r="J275" s="886"/>
      <c r="K275" s="886"/>
      <c r="L275" s="886"/>
      <c r="M275" s="886"/>
      <c r="N275" s="886"/>
      <c r="O275" s="886"/>
      <c r="P275" s="886"/>
      <c r="Q275" s="886"/>
      <c r="R275" s="886"/>
      <c r="S275" s="886"/>
      <c r="T275" s="886"/>
      <c r="U275" s="886"/>
      <c r="V275" s="886"/>
      <c r="W275" s="886"/>
      <c r="X275" s="886"/>
      <c r="Y275" s="886"/>
    </row>
    <row r="276" spans="3:25">
      <c r="C276" s="942"/>
      <c r="D276" s="942"/>
      <c r="E276" s="943"/>
      <c r="F276" s="943"/>
      <c r="G276" s="886"/>
      <c r="H276" s="886"/>
      <c r="I276" s="886"/>
      <c r="J276" s="886"/>
      <c r="K276" s="886"/>
      <c r="L276" s="886"/>
      <c r="M276" s="886"/>
      <c r="N276" s="886"/>
      <c r="O276" s="886"/>
      <c r="P276" s="886"/>
      <c r="Q276" s="886"/>
      <c r="R276" s="886"/>
      <c r="S276" s="886"/>
      <c r="T276" s="886"/>
      <c r="U276" s="886"/>
      <c r="V276" s="886"/>
      <c r="W276" s="886"/>
      <c r="X276" s="886"/>
      <c r="Y276" s="886"/>
    </row>
    <row r="277" spans="3:25">
      <c r="C277" s="942"/>
      <c r="D277" s="942"/>
      <c r="E277" s="943"/>
      <c r="F277" s="943"/>
      <c r="G277" s="886"/>
      <c r="H277" s="886"/>
      <c r="I277" s="886"/>
      <c r="J277" s="886"/>
      <c r="K277" s="886"/>
      <c r="L277" s="886"/>
      <c r="M277" s="886"/>
      <c r="N277" s="886"/>
      <c r="O277" s="886"/>
      <c r="P277" s="886"/>
      <c r="Q277" s="886"/>
      <c r="R277" s="886"/>
      <c r="S277" s="886"/>
      <c r="T277" s="886"/>
      <c r="U277" s="886"/>
      <c r="V277" s="886"/>
      <c r="W277" s="886"/>
      <c r="X277" s="886"/>
      <c r="Y277" s="886"/>
    </row>
    <row r="278" spans="3:25">
      <c r="C278" s="942"/>
      <c r="D278" s="942"/>
      <c r="E278" s="943"/>
      <c r="F278" s="943"/>
      <c r="G278" s="886"/>
      <c r="H278" s="886"/>
      <c r="I278" s="886"/>
      <c r="J278" s="886"/>
      <c r="K278" s="886"/>
      <c r="L278" s="886"/>
      <c r="M278" s="886"/>
      <c r="N278" s="886"/>
      <c r="O278" s="886"/>
      <c r="P278" s="886"/>
      <c r="Q278" s="886"/>
      <c r="R278" s="886"/>
      <c r="S278" s="886"/>
      <c r="T278" s="886"/>
      <c r="U278" s="886"/>
      <c r="V278" s="886"/>
      <c r="W278" s="886"/>
      <c r="X278" s="886"/>
      <c r="Y278" s="886"/>
    </row>
    <row r="279" spans="3:25">
      <c r="C279" s="942"/>
      <c r="D279" s="942"/>
      <c r="E279" s="943"/>
      <c r="F279" s="943"/>
      <c r="G279" s="886"/>
      <c r="H279" s="886"/>
      <c r="I279" s="886"/>
      <c r="J279" s="886"/>
      <c r="K279" s="886"/>
      <c r="L279" s="886"/>
      <c r="M279" s="886"/>
      <c r="N279" s="886"/>
      <c r="O279" s="886"/>
      <c r="P279" s="886"/>
      <c r="Q279" s="886"/>
      <c r="R279" s="886"/>
      <c r="S279" s="886"/>
      <c r="T279" s="886"/>
      <c r="U279" s="886"/>
      <c r="V279" s="886"/>
      <c r="W279" s="886"/>
      <c r="X279" s="886"/>
      <c r="Y279" s="886"/>
    </row>
    <row r="280" spans="3:25">
      <c r="C280" s="942"/>
      <c r="D280" s="942"/>
      <c r="E280" s="943"/>
      <c r="F280" s="943"/>
      <c r="G280" s="886"/>
      <c r="H280" s="886"/>
      <c r="I280" s="886"/>
      <c r="J280" s="886"/>
      <c r="K280" s="886"/>
      <c r="L280" s="886"/>
      <c r="M280" s="886"/>
      <c r="N280" s="886"/>
      <c r="O280" s="886"/>
      <c r="P280" s="886"/>
      <c r="Q280" s="886"/>
      <c r="R280" s="886"/>
      <c r="S280" s="886"/>
      <c r="T280" s="886"/>
      <c r="U280" s="886"/>
      <c r="V280" s="886"/>
      <c r="W280" s="886"/>
      <c r="X280" s="886"/>
      <c r="Y280" s="886"/>
    </row>
    <row r="281" spans="3:25">
      <c r="C281" s="942"/>
      <c r="D281" s="942"/>
      <c r="E281" s="943"/>
      <c r="F281" s="943"/>
      <c r="G281" s="886"/>
      <c r="H281" s="886"/>
      <c r="I281" s="886"/>
      <c r="J281" s="886"/>
      <c r="K281" s="886"/>
      <c r="L281" s="886"/>
      <c r="M281" s="886"/>
      <c r="N281" s="886"/>
      <c r="O281" s="886"/>
      <c r="P281" s="886"/>
      <c r="Q281" s="886"/>
      <c r="R281" s="886"/>
      <c r="S281" s="886"/>
      <c r="T281" s="886"/>
      <c r="U281" s="886"/>
      <c r="V281" s="886"/>
      <c r="W281" s="886"/>
      <c r="X281" s="886"/>
      <c r="Y281" s="886"/>
    </row>
    <row r="282" spans="3:25">
      <c r="C282" s="942"/>
      <c r="D282" s="942"/>
      <c r="E282" s="943"/>
      <c r="F282" s="943"/>
      <c r="G282" s="886"/>
      <c r="H282" s="886"/>
      <c r="I282" s="886"/>
      <c r="J282" s="886"/>
      <c r="K282" s="886"/>
      <c r="L282" s="886"/>
      <c r="M282" s="886"/>
      <c r="N282" s="886"/>
      <c r="O282" s="886"/>
      <c r="P282" s="886"/>
      <c r="Q282" s="886"/>
      <c r="R282" s="886"/>
      <c r="S282" s="886"/>
      <c r="T282" s="886"/>
      <c r="U282" s="886"/>
      <c r="V282" s="886"/>
      <c r="W282" s="886"/>
      <c r="X282" s="886"/>
      <c r="Y282" s="886"/>
    </row>
    <row r="283" spans="3:25">
      <c r="C283" s="942"/>
      <c r="D283" s="942"/>
      <c r="E283" s="943"/>
      <c r="F283" s="943"/>
      <c r="G283" s="886"/>
      <c r="H283" s="886"/>
      <c r="I283" s="886"/>
      <c r="J283" s="886"/>
      <c r="K283" s="886"/>
      <c r="L283" s="886"/>
      <c r="M283" s="886"/>
      <c r="N283" s="886"/>
      <c r="O283" s="886"/>
      <c r="P283" s="886"/>
      <c r="Q283" s="886"/>
      <c r="R283" s="886"/>
      <c r="S283" s="886"/>
      <c r="T283" s="886"/>
      <c r="U283" s="886"/>
      <c r="V283" s="886"/>
      <c r="W283" s="886"/>
      <c r="X283" s="886"/>
      <c r="Y283" s="886"/>
    </row>
    <row r="284" spans="3:25">
      <c r="C284" s="942"/>
      <c r="D284" s="942"/>
      <c r="E284" s="943"/>
      <c r="F284" s="943"/>
      <c r="G284" s="886"/>
      <c r="H284" s="886"/>
      <c r="I284" s="886"/>
      <c r="J284" s="886"/>
      <c r="K284" s="886"/>
      <c r="L284" s="886"/>
      <c r="M284" s="886"/>
      <c r="N284" s="886"/>
      <c r="O284" s="886"/>
      <c r="P284" s="886"/>
      <c r="Q284" s="886"/>
      <c r="R284" s="886"/>
      <c r="S284" s="886"/>
      <c r="T284" s="886"/>
      <c r="U284" s="886"/>
      <c r="V284" s="886"/>
      <c r="W284" s="886"/>
      <c r="X284" s="886"/>
      <c r="Y284" s="886"/>
    </row>
    <row r="285" spans="3:25">
      <c r="C285" s="942"/>
      <c r="D285" s="942"/>
      <c r="E285" s="943"/>
      <c r="F285" s="943"/>
      <c r="G285" s="886"/>
      <c r="H285" s="886"/>
      <c r="I285" s="886"/>
      <c r="J285" s="886"/>
      <c r="K285" s="886"/>
      <c r="L285" s="886"/>
      <c r="M285" s="886"/>
      <c r="N285" s="886"/>
      <c r="O285" s="886"/>
      <c r="P285" s="886"/>
      <c r="Q285" s="886"/>
      <c r="R285" s="886"/>
      <c r="S285" s="886"/>
      <c r="T285" s="886"/>
      <c r="U285" s="886"/>
      <c r="V285" s="886"/>
      <c r="W285" s="886"/>
      <c r="X285" s="886"/>
      <c r="Y285" s="886"/>
    </row>
    <row r="286" spans="3:25">
      <c r="C286" s="942"/>
      <c r="D286" s="942"/>
      <c r="E286" s="943"/>
      <c r="F286" s="943"/>
      <c r="G286" s="886"/>
      <c r="H286" s="886"/>
      <c r="I286" s="886"/>
      <c r="J286" s="886"/>
      <c r="K286" s="886"/>
      <c r="L286" s="886"/>
      <c r="M286" s="886"/>
      <c r="N286" s="886"/>
      <c r="O286" s="886"/>
      <c r="P286" s="886"/>
      <c r="Q286" s="886"/>
      <c r="R286" s="886"/>
      <c r="S286" s="886"/>
      <c r="T286" s="886"/>
      <c r="U286" s="886"/>
      <c r="V286" s="886"/>
      <c r="W286" s="886"/>
      <c r="X286" s="886"/>
      <c r="Y286" s="886"/>
    </row>
    <row r="287" spans="3:25">
      <c r="C287" s="942"/>
      <c r="D287" s="942"/>
      <c r="E287" s="943"/>
      <c r="F287" s="943"/>
      <c r="G287" s="886"/>
      <c r="H287" s="886"/>
      <c r="I287" s="886"/>
      <c r="J287" s="886"/>
      <c r="K287" s="886"/>
      <c r="L287" s="886"/>
      <c r="M287" s="886"/>
      <c r="N287" s="886"/>
      <c r="O287" s="886"/>
      <c r="P287" s="886"/>
      <c r="Q287" s="886"/>
      <c r="R287" s="886"/>
      <c r="S287" s="886"/>
      <c r="T287" s="886"/>
      <c r="U287" s="886"/>
      <c r="V287" s="886"/>
      <c r="W287" s="886"/>
      <c r="X287" s="886"/>
      <c r="Y287" s="886"/>
    </row>
    <row r="288" spans="3:25">
      <c r="C288" s="942"/>
      <c r="D288" s="942"/>
      <c r="E288" s="943"/>
      <c r="F288" s="943"/>
      <c r="G288" s="886"/>
      <c r="H288" s="886"/>
      <c r="I288" s="886"/>
      <c r="J288" s="886"/>
      <c r="K288" s="886"/>
      <c r="L288" s="886"/>
      <c r="M288" s="886"/>
      <c r="N288" s="886"/>
      <c r="O288" s="886"/>
      <c r="P288" s="886"/>
      <c r="Q288" s="886"/>
      <c r="R288" s="886"/>
      <c r="S288" s="886"/>
      <c r="T288" s="886"/>
      <c r="U288" s="886"/>
      <c r="V288" s="886"/>
      <c r="W288" s="886"/>
      <c r="X288" s="886"/>
      <c r="Y288" s="886"/>
    </row>
    <row r="289" spans="3:25">
      <c r="C289" s="942"/>
      <c r="D289" s="942"/>
      <c r="E289" s="943"/>
      <c r="F289" s="943"/>
      <c r="G289" s="886"/>
      <c r="H289" s="886"/>
      <c r="I289" s="886"/>
      <c r="J289" s="886"/>
      <c r="K289" s="886"/>
      <c r="L289" s="886"/>
      <c r="M289" s="886"/>
      <c r="N289" s="886"/>
      <c r="O289" s="886"/>
      <c r="P289" s="886"/>
      <c r="Q289" s="886"/>
      <c r="R289" s="886"/>
      <c r="S289" s="886"/>
      <c r="T289" s="886"/>
      <c r="U289" s="886"/>
      <c r="V289" s="886"/>
      <c r="W289" s="886"/>
      <c r="X289" s="886"/>
      <c r="Y289" s="886"/>
    </row>
    <row r="290" spans="3:25">
      <c r="C290" s="942"/>
      <c r="D290" s="942"/>
      <c r="E290" s="943"/>
      <c r="F290" s="943"/>
      <c r="G290" s="886"/>
      <c r="H290" s="886"/>
      <c r="I290" s="886"/>
      <c r="J290" s="886"/>
      <c r="K290" s="886"/>
      <c r="L290" s="886"/>
      <c r="M290" s="886"/>
      <c r="N290" s="886"/>
      <c r="O290" s="886"/>
      <c r="P290" s="886"/>
      <c r="Q290" s="886"/>
      <c r="R290" s="886"/>
      <c r="S290" s="886"/>
      <c r="T290" s="886"/>
      <c r="U290" s="886"/>
      <c r="V290" s="886"/>
      <c r="W290" s="886"/>
      <c r="X290" s="886"/>
      <c r="Y290" s="886"/>
    </row>
    <row r="291" spans="3:25">
      <c r="C291" s="942"/>
      <c r="D291" s="942"/>
      <c r="E291" s="943"/>
      <c r="F291" s="943"/>
      <c r="G291" s="886"/>
      <c r="H291" s="886"/>
      <c r="I291" s="886"/>
      <c r="J291" s="886"/>
      <c r="K291" s="886"/>
      <c r="L291" s="886"/>
      <c r="M291" s="886"/>
      <c r="N291" s="886"/>
      <c r="O291" s="886"/>
      <c r="P291" s="886"/>
      <c r="Q291" s="886"/>
      <c r="R291" s="886"/>
      <c r="S291" s="886"/>
      <c r="T291" s="886"/>
      <c r="U291" s="886"/>
      <c r="V291" s="886"/>
      <c r="W291" s="886"/>
      <c r="X291" s="886"/>
      <c r="Y291" s="886"/>
    </row>
    <row r="292" spans="3:25">
      <c r="C292" s="942"/>
      <c r="D292" s="942"/>
      <c r="E292" s="943"/>
      <c r="F292" s="943"/>
      <c r="G292" s="886"/>
      <c r="H292" s="886"/>
      <c r="I292" s="886"/>
      <c r="J292" s="886"/>
      <c r="K292" s="886"/>
      <c r="L292" s="886"/>
      <c r="M292" s="886"/>
      <c r="N292" s="886"/>
      <c r="O292" s="886"/>
      <c r="P292" s="886"/>
      <c r="Q292" s="886"/>
      <c r="R292" s="886"/>
      <c r="S292" s="886"/>
      <c r="T292" s="886"/>
      <c r="U292" s="886"/>
      <c r="V292" s="886"/>
      <c r="W292" s="886"/>
      <c r="X292" s="886"/>
      <c r="Y292" s="886"/>
    </row>
    <row r="293" spans="3:25">
      <c r="C293" s="942"/>
      <c r="D293" s="942"/>
      <c r="E293" s="943"/>
      <c r="F293" s="943"/>
      <c r="G293" s="886"/>
      <c r="H293" s="886"/>
      <c r="I293" s="886"/>
      <c r="J293" s="886"/>
      <c r="K293" s="886"/>
      <c r="L293" s="886"/>
      <c r="M293" s="886"/>
      <c r="N293" s="886"/>
      <c r="O293" s="886"/>
      <c r="P293" s="886"/>
      <c r="Q293" s="886"/>
      <c r="R293" s="886"/>
      <c r="S293" s="886"/>
      <c r="T293" s="886"/>
      <c r="U293" s="886"/>
      <c r="V293" s="886"/>
      <c r="W293" s="886"/>
      <c r="X293" s="886"/>
      <c r="Y293" s="886"/>
    </row>
    <row r="294" spans="3:25">
      <c r="C294" s="942"/>
      <c r="D294" s="942"/>
      <c r="E294" s="943"/>
      <c r="F294" s="943"/>
      <c r="G294" s="886"/>
      <c r="H294" s="886"/>
      <c r="I294" s="886"/>
      <c r="J294" s="886"/>
      <c r="K294" s="886"/>
      <c r="L294" s="886"/>
      <c r="M294" s="886"/>
      <c r="N294" s="886"/>
      <c r="O294" s="886"/>
      <c r="P294" s="886"/>
      <c r="Q294" s="886"/>
      <c r="R294" s="886"/>
      <c r="S294" s="886"/>
      <c r="T294" s="886"/>
      <c r="U294" s="886"/>
      <c r="V294" s="886"/>
      <c r="W294" s="886"/>
      <c r="X294" s="886"/>
      <c r="Y294" s="886"/>
    </row>
    <row r="295" spans="3:25">
      <c r="C295" s="942"/>
      <c r="D295" s="942"/>
      <c r="E295" s="943"/>
      <c r="F295" s="943"/>
      <c r="G295" s="886"/>
      <c r="H295" s="886"/>
      <c r="I295" s="886"/>
      <c r="J295" s="886"/>
      <c r="K295" s="886"/>
      <c r="L295" s="886"/>
      <c r="M295" s="886"/>
      <c r="N295" s="886"/>
      <c r="O295" s="886"/>
      <c r="P295" s="886"/>
      <c r="Q295" s="886"/>
      <c r="R295" s="886"/>
      <c r="S295" s="886"/>
      <c r="T295" s="886"/>
      <c r="U295" s="886"/>
      <c r="V295" s="886"/>
      <c r="W295" s="886"/>
      <c r="X295" s="886"/>
      <c r="Y295" s="886"/>
    </row>
    <row r="296" spans="3:25">
      <c r="C296" s="942"/>
      <c r="D296" s="942"/>
      <c r="E296" s="943"/>
      <c r="F296" s="943"/>
      <c r="G296" s="886"/>
      <c r="H296" s="886"/>
      <c r="I296" s="886"/>
      <c r="J296" s="886"/>
      <c r="K296" s="886"/>
      <c r="L296" s="886"/>
      <c r="M296" s="886"/>
      <c r="N296" s="886"/>
      <c r="O296" s="886"/>
      <c r="P296" s="886"/>
      <c r="Q296" s="886"/>
      <c r="R296" s="886"/>
      <c r="S296" s="886"/>
      <c r="T296" s="886"/>
      <c r="U296" s="886"/>
      <c r="V296" s="886"/>
      <c r="W296" s="886"/>
      <c r="X296" s="886"/>
      <c r="Y296" s="886"/>
    </row>
    <row r="297" spans="3:25">
      <c r="C297" s="942"/>
      <c r="D297" s="942"/>
      <c r="E297" s="943"/>
      <c r="F297" s="943"/>
      <c r="G297" s="886"/>
      <c r="H297" s="886"/>
      <c r="I297" s="886"/>
      <c r="J297" s="886"/>
      <c r="K297" s="886"/>
      <c r="L297" s="886"/>
      <c r="M297" s="886"/>
      <c r="N297" s="886"/>
      <c r="O297" s="886"/>
      <c r="P297" s="886"/>
      <c r="Q297" s="886"/>
      <c r="R297" s="886"/>
      <c r="S297" s="886"/>
      <c r="T297" s="886"/>
      <c r="U297" s="886"/>
      <c r="V297" s="886"/>
      <c r="W297" s="886"/>
      <c r="X297" s="886"/>
      <c r="Y297" s="886"/>
    </row>
    <row r="298" spans="3:25">
      <c r="C298" s="942"/>
      <c r="D298" s="942"/>
      <c r="E298" s="943"/>
      <c r="F298" s="943"/>
      <c r="G298" s="886"/>
      <c r="H298" s="886"/>
      <c r="I298" s="886"/>
      <c r="J298" s="886"/>
      <c r="K298" s="886"/>
      <c r="L298" s="886"/>
      <c r="M298" s="886"/>
      <c r="N298" s="886"/>
      <c r="O298" s="886"/>
      <c r="P298" s="886"/>
      <c r="Q298" s="886"/>
      <c r="R298" s="886"/>
      <c r="S298" s="886"/>
      <c r="T298" s="886"/>
      <c r="U298" s="886"/>
      <c r="V298" s="886"/>
      <c r="W298" s="886"/>
      <c r="X298" s="886"/>
      <c r="Y298" s="886"/>
    </row>
    <row r="299" spans="3:25">
      <c r="C299" s="942"/>
      <c r="D299" s="942"/>
      <c r="E299" s="943"/>
      <c r="F299" s="943"/>
      <c r="G299" s="886"/>
      <c r="H299" s="886"/>
      <c r="I299" s="886"/>
      <c r="J299" s="886"/>
      <c r="K299" s="886"/>
      <c r="L299" s="886"/>
      <c r="M299" s="886"/>
      <c r="N299" s="886"/>
      <c r="O299" s="886"/>
      <c r="P299" s="886"/>
      <c r="Q299" s="886"/>
      <c r="R299" s="886"/>
      <c r="S299" s="886"/>
      <c r="T299" s="886"/>
      <c r="U299" s="886"/>
      <c r="V299" s="886"/>
      <c r="W299" s="886"/>
      <c r="X299" s="886"/>
      <c r="Y299" s="886"/>
    </row>
    <row r="300" spans="3:25">
      <c r="C300" s="942"/>
      <c r="D300" s="942"/>
      <c r="E300" s="943"/>
      <c r="F300" s="943"/>
      <c r="G300" s="886"/>
      <c r="H300" s="886"/>
      <c r="I300" s="886"/>
      <c r="J300" s="886"/>
      <c r="K300" s="886"/>
      <c r="L300" s="886"/>
      <c r="M300" s="886"/>
      <c r="N300" s="886"/>
      <c r="O300" s="886"/>
      <c r="P300" s="886"/>
      <c r="Q300" s="886"/>
      <c r="R300" s="886"/>
      <c r="S300" s="886"/>
      <c r="T300" s="886"/>
      <c r="U300" s="886"/>
      <c r="V300" s="886"/>
      <c r="W300" s="886"/>
      <c r="X300" s="886"/>
      <c r="Y300" s="886"/>
    </row>
    <row r="301" spans="3:25">
      <c r="C301" s="942"/>
      <c r="D301" s="942"/>
      <c r="E301" s="943"/>
      <c r="F301" s="943"/>
      <c r="G301" s="886"/>
      <c r="H301" s="886"/>
      <c r="I301" s="886"/>
      <c r="J301" s="886"/>
      <c r="K301" s="886"/>
      <c r="L301" s="886"/>
      <c r="M301" s="886"/>
      <c r="N301" s="886"/>
      <c r="O301" s="886"/>
      <c r="P301" s="886"/>
      <c r="Q301" s="886"/>
      <c r="R301" s="886"/>
      <c r="S301" s="886"/>
      <c r="T301" s="886"/>
      <c r="U301" s="886"/>
      <c r="V301" s="886"/>
      <c r="W301" s="886"/>
      <c r="X301" s="886"/>
      <c r="Y301" s="886"/>
    </row>
    <row r="302" spans="3:25">
      <c r="C302" s="942"/>
      <c r="D302" s="942"/>
      <c r="E302" s="943"/>
      <c r="F302" s="943"/>
      <c r="G302" s="886"/>
      <c r="H302" s="886"/>
      <c r="I302" s="886"/>
      <c r="J302" s="886"/>
      <c r="K302" s="886"/>
      <c r="L302" s="886"/>
      <c r="M302" s="886"/>
      <c r="N302" s="886"/>
      <c r="O302" s="886"/>
      <c r="P302" s="886"/>
      <c r="Q302" s="886"/>
      <c r="R302" s="886"/>
      <c r="S302" s="886"/>
      <c r="T302" s="886"/>
      <c r="U302" s="886"/>
      <c r="V302" s="886"/>
      <c r="W302" s="886"/>
      <c r="X302" s="886"/>
      <c r="Y302" s="886"/>
    </row>
    <row r="303" spans="3:25">
      <c r="C303" s="942"/>
      <c r="D303" s="942"/>
      <c r="E303" s="943"/>
      <c r="F303" s="943"/>
      <c r="G303" s="886"/>
      <c r="H303" s="886"/>
      <c r="I303" s="886"/>
      <c r="J303" s="886"/>
      <c r="K303" s="886"/>
      <c r="L303" s="886"/>
      <c r="M303" s="886"/>
      <c r="N303" s="886"/>
      <c r="O303" s="886"/>
      <c r="P303" s="886"/>
      <c r="Q303" s="886"/>
      <c r="R303" s="886"/>
      <c r="S303" s="886"/>
      <c r="T303" s="886"/>
      <c r="U303" s="886"/>
      <c r="V303" s="886"/>
      <c r="W303" s="886"/>
      <c r="X303" s="886"/>
      <c r="Y303" s="886"/>
    </row>
    <row r="304" spans="3:25">
      <c r="C304" s="942"/>
      <c r="D304" s="942"/>
      <c r="E304" s="943"/>
      <c r="F304" s="943"/>
      <c r="G304" s="886"/>
      <c r="H304" s="886"/>
      <c r="I304" s="886"/>
      <c r="J304" s="886"/>
      <c r="K304" s="886"/>
      <c r="L304" s="886"/>
      <c r="M304" s="886"/>
      <c r="N304" s="886"/>
      <c r="O304" s="886"/>
      <c r="P304" s="886"/>
      <c r="Q304" s="886"/>
      <c r="R304" s="886"/>
      <c r="S304" s="886"/>
      <c r="T304" s="886"/>
      <c r="U304" s="886"/>
      <c r="V304" s="886"/>
      <c r="W304" s="886"/>
      <c r="X304" s="886"/>
      <c r="Y304" s="886"/>
    </row>
    <row r="305" spans="3:25">
      <c r="C305" s="942"/>
      <c r="D305" s="942"/>
      <c r="E305" s="943"/>
      <c r="F305" s="943"/>
      <c r="G305" s="886"/>
      <c r="H305" s="886"/>
      <c r="I305" s="886"/>
      <c r="J305" s="886"/>
      <c r="K305" s="886"/>
      <c r="L305" s="886"/>
      <c r="M305" s="886"/>
      <c r="N305" s="886"/>
      <c r="O305" s="886"/>
      <c r="P305" s="886"/>
      <c r="Q305" s="886"/>
      <c r="R305" s="886"/>
      <c r="S305" s="886"/>
      <c r="T305" s="886"/>
      <c r="U305" s="886"/>
      <c r="V305" s="886"/>
      <c r="W305" s="886"/>
      <c r="X305" s="886"/>
      <c r="Y305" s="886"/>
    </row>
    <row r="306" spans="3:25">
      <c r="C306" s="942"/>
      <c r="D306" s="942"/>
      <c r="E306" s="943"/>
      <c r="F306" s="943"/>
      <c r="G306" s="886"/>
      <c r="H306" s="886"/>
      <c r="I306" s="886"/>
      <c r="J306" s="886"/>
      <c r="K306" s="886"/>
      <c r="L306" s="886"/>
      <c r="M306" s="886"/>
      <c r="N306" s="886"/>
      <c r="O306" s="886"/>
      <c r="P306" s="886"/>
      <c r="Q306" s="886"/>
      <c r="R306" s="886"/>
      <c r="S306" s="886"/>
      <c r="T306" s="886"/>
      <c r="U306" s="886"/>
      <c r="V306" s="886"/>
      <c r="W306" s="886"/>
      <c r="X306" s="886"/>
      <c r="Y306" s="886"/>
    </row>
    <row r="307" spans="3:25">
      <c r="C307" s="942"/>
      <c r="D307" s="942"/>
      <c r="E307" s="943"/>
      <c r="F307" s="943"/>
      <c r="G307" s="886"/>
      <c r="H307" s="886"/>
      <c r="I307" s="886"/>
      <c r="J307" s="886"/>
      <c r="K307" s="886"/>
      <c r="L307" s="886"/>
      <c r="M307" s="886"/>
      <c r="N307" s="886"/>
      <c r="O307" s="886"/>
      <c r="P307" s="886"/>
      <c r="Q307" s="886"/>
      <c r="R307" s="886"/>
      <c r="S307" s="886"/>
      <c r="T307" s="886"/>
      <c r="U307" s="886"/>
      <c r="V307" s="886"/>
      <c r="W307" s="886"/>
      <c r="X307" s="886"/>
      <c r="Y307" s="886"/>
    </row>
    <row r="308" spans="3:25">
      <c r="C308" s="942"/>
      <c r="D308" s="942"/>
      <c r="E308" s="943"/>
      <c r="F308" s="943"/>
      <c r="G308" s="886"/>
      <c r="H308" s="886"/>
      <c r="I308" s="886"/>
      <c r="J308" s="886"/>
      <c r="K308" s="886"/>
      <c r="L308" s="886"/>
      <c r="M308" s="886"/>
      <c r="N308" s="886"/>
      <c r="O308" s="886"/>
      <c r="P308" s="886"/>
      <c r="Q308" s="886"/>
      <c r="R308" s="886"/>
      <c r="S308" s="886"/>
      <c r="T308" s="886"/>
      <c r="U308" s="886"/>
      <c r="V308" s="886"/>
      <c r="W308" s="886"/>
      <c r="X308" s="886"/>
      <c r="Y308" s="886"/>
    </row>
    <row r="309" spans="3:25">
      <c r="C309" s="942"/>
      <c r="D309" s="942"/>
      <c r="E309" s="943"/>
      <c r="F309" s="943"/>
      <c r="G309" s="886"/>
      <c r="H309" s="886"/>
      <c r="I309" s="886"/>
      <c r="J309" s="886"/>
      <c r="K309" s="886"/>
      <c r="L309" s="886"/>
      <c r="M309" s="886"/>
      <c r="N309" s="886"/>
      <c r="O309" s="886"/>
      <c r="P309" s="886"/>
      <c r="Q309" s="886"/>
      <c r="R309" s="886"/>
      <c r="S309" s="886"/>
      <c r="T309" s="886"/>
      <c r="U309" s="886"/>
      <c r="V309" s="886"/>
      <c r="W309" s="886"/>
      <c r="X309" s="886"/>
      <c r="Y309" s="886"/>
    </row>
    <row r="310" spans="3:25">
      <c r="C310" s="942"/>
      <c r="D310" s="942"/>
      <c r="E310" s="943"/>
      <c r="F310" s="943"/>
      <c r="G310" s="886"/>
      <c r="H310" s="886"/>
      <c r="I310" s="886"/>
      <c r="J310" s="886"/>
      <c r="K310" s="886"/>
      <c r="L310" s="886"/>
      <c r="M310" s="886"/>
      <c r="N310" s="886"/>
      <c r="O310" s="886"/>
      <c r="P310" s="886"/>
      <c r="Q310" s="886"/>
      <c r="R310" s="886"/>
      <c r="S310" s="886"/>
      <c r="T310" s="886"/>
      <c r="U310" s="886"/>
      <c r="V310" s="886"/>
      <c r="W310" s="886"/>
      <c r="X310" s="886"/>
      <c r="Y310" s="886"/>
    </row>
    <row r="311" spans="3:25">
      <c r="C311" s="942"/>
      <c r="D311" s="942"/>
      <c r="E311" s="943"/>
      <c r="F311" s="943"/>
      <c r="G311" s="886"/>
      <c r="H311" s="886"/>
      <c r="I311" s="886"/>
      <c r="J311" s="886"/>
      <c r="K311" s="886"/>
      <c r="L311" s="886"/>
      <c r="M311" s="886"/>
      <c r="N311" s="886"/>
      <c r="O311" s="886"/>
      <c r="P311" s="886"/>
      <c r="Q311" s="886"/>
      <c r="R311" s="886"/>
      <c r="S311" s="886"/>
      <c r="T311" s="886"/>
      <c r="U311" s="886"/>
      <c r="V311" s="886"/>
      <c r="W311" s="886"/>
      <c r="X311" s="886"/>
      <c r="Y311" s="886"/>
    </row>
    <row r="312" spans="3:25">
      <c r="C312" s="942"/>
      <c r="D312" s="942"/>
      <c r="E312" s="943"/>
      <c r="F312" s="943"/>
      <c r="G312" s="886"/>
      <c r="H312" s="886"/>
      <c r="I312" s="886"/>
      <c r="J312" s="886"/>
      <c r="K312" s="886"/>
      <c r="L312" s="886"/>
      <c r="M312" s="886"/>
      <c r="N312" s="886"/>
      <c r="O312" s="886"/>
      <c r="P312" s="886"/>
      <c r="Q312" s="886"/>
      <c r="R312" s="886"/>
      <c r="S312" s="886"/>
      <c r="T312" s="886"/>
      <c r="U312" s="886"/>
      <c r="V312" s="886"/>
      <c r="W312" s="886"/>
      <c r="X312" s="886"/>
      <c r="Y312" s="886"/>
    </row>
    <row r="313" spans="3:25">
      <c r="C313" s="942"/>
      <c r="D313" s="942"/>
      <c r="E313" s="943"/>
      <c r="F313" s="943"/>
      <c r="G313" s="886"/>
      <c r="H313" s="886"/>
      <c r="I313" s="886"/>
      <c r="J313" s="886"/>
      <c r="K313" s="886"/>
      <c r="L313" s="886"/>
      <c r="M313" s="886"/>
      <c r="N313" s="886"/>
      <c r="O313" s="886"/>
      <c r="P313" s="886"/>
      <c r="Q313" s="886"/>
      <c r="R313" s="886"/>
      <c r="S313" s="886"/>
      <c r="T313" s="886"/>
      <c r="U313" s="886"/>
      <c r="V313" s="886"/>
      <c r="W313" s="886"/>
      <c r="X313" s="886"/>
      <c r="Y313" s="886"/>
    </row>
    <row r="314" spans="3:25">
      <c r="C314" s="942"/>
      <c r="D314" s="942"/>
      <c r="E314" s="943"/>
      <c r="F314" s="943"/>
      <c r="G314" s="886"/>
      <c r="H314" s="886"/>
      <c r="I314" s="886"/>
      <c r="J314" s="886"/>
      <c r="K314" s="886"/>
      <c r="L314" s="886"/>
      <c r="M314" s="886"/>
      <c r="N314" s="886"/>
      <c r="O314" s="886"/>
      <c r="P314" s="886"/>
      <c r="Q314" s="886"/>
      <c r="R314" s="886"/>
      <c r="S314" s="886"/>
      <c r="T314" s="886"/>
      <c r="U314" s="886"/>
      <c r="V314" s="886"/>
      <c r="W314" s="886"/>
      <c r="X314" s="886"/>
      <c r="Y314" s="886"/>
    </row>
    <row r="315" spans="3:25">
      <c r="C315" s="942"/>
      <c r="D315" s="942"/>
      <c r="E315" s="943"/>
      <c r="F315" s="943"/>
      <c r="G315" s="886"/>
      <c r="H315" s="886"/>
      <c r="I315" s="886"/>
      <c r="J315" s="886"/>
      <c r="K315" s="886"/>
      <c r="L315" s="886"/>
      <c r="M315" s="886"/>
      <c r="N315" s="886"/>
      <c r="O315" s="886"/>
      <c r="P315" s="886"/>
      <c r="Q315" s="886"/>
      <c r="R315" s="886"/>
      <c r="S315" s="886"/>
      <c r="T315" s="886"/>
      <c r="U315" s="886"/>
      <c r="V315" s="886"/>
      <c r="W315" s="886"/>
      <c r="X315" s="886"/>
      <c r="Y315" s="886"/>
    </row>
    <row r="316" spans="3:25">
      <c r="C316" s="942"/>
      <c r="D316" s="942"/>
      <c r="E316" s="943"/>
      <c r="F316" s="943"/>
      <c r="G316" s="886"/>
      <c r="H316" s="886"/>
      <c r="I316" s="886"/>
      <c r="J316" s="886"/>
      <c r="K316" s="886"/>
      <c r="L316" s="886"/>
      <c r="M316" s="886"/>
      <c r="N316" s="886"/>
      <c r="O316" s="886"/>
      <c r="P316" s="886"/>
      <c r="Q316" s="886"/>
      <c r="R316" s="886"/>
      <c r="S316" s="886"/>
      <c r="T316" s="886"/>
      <c r="U316" s="886"/>
      <c r="V316" s="886"/>
      <c r="W316" s="886"/>
      <c r="X316" s="886"/>
      <c r="Y316" s="886"/>
    </row>
    <row r="317" spans="3:25">
      <c r="C317" s="942"/>
      <c r="D317" s="942"/>
      <c r="E317" s="943"/>
      <c r="F317" s="943"/>
      <c r="G317" s="886"/>
      <c r="H317" s="886"/>
      <c r="I317" s="886"/>
      <c r="J317" s="886"/>
      <c r="K317" s="886"/>
      <c r="L317" s="886"/>
      <c r="M317" s="886"/>
      <c r="N317" s="886"/>
      <c r="O317" s="886"/>
      <c r="P317" s="886"/>
      <c r="Q317" s="886"/>
      <c r="R317" s="886"/>
      <c r="S317" s="886"/>
      <c r="T317" s="886"/>
      <c r="U317" s="886"/>
      <c r="V317" s="886"/>
      <c r="W317" s="886"/>
      <c r="X317" s="886"/>
      <c r="Y317" s="886"/>
    </row>
    <row r="318" spans="3:25">
      <c r="C318" s="942"/>
      <c r="D318" s="942"/>
      <c r="E318" s="943"/>
      <c r="F318" s="943"/>
      <c r="G318" s="886"/>
      <c r="H318" s="886"/>
      <c r="I318" s="886"/>
      <c r="J318" s="886"/>
      <c r="K318" s="886"/>
      <c r="L318" s="886"/>
      <c r="M318" s="886"/>
      <c r="N318" s="886"/>
      <c r="O318" s="886"/>
      <c r="P318" s="886"/>
      <c r="Q318" s="886"/>
      <c r="R318" s="886"/>
      <c r="S318" s="886"/>
      <c r="T318" s="886"/>
      <c r="U318" s="886"/>
      <c r="V318" s="886"/>
      <c r="W318" s="886"/>
      <c r="X318" s="886"/>
      <c r="Y318" s="886"/>
    </row>
    <row r="319" spans="3:25">
      <c r="C319" s="942"/>
      <c r="D319" s="942"/>
      <c r="E319" s="943"/>
      <c r="F319" s="943"/>
      <c r="G319" s="886"/>
      <c r="H319" s="886"/>
      <c r="I319" s="886"/>
      <c r="J319" s="886"/>
      <c r="K319" s="886"/>
      <c r="L319" s="886"/>
      <c r="M319" s="886"/>
      <c r="N319" s="886"/>
      <c r="O319" s="886"/>
      <c r="P319" s="886"/>
      <c r="Q319" s="886"/>
      <c r="R319" s="886"/>
      <c r="S319" s="886"/>
      <c r="T319" s="886"/>
      <c r="U319" s="886"/>
      <c r="V319" s="886"/>
      <c r="W319" s="886"/>
      <c r="X319" s="886"/>
      <c r="Y319" s="886"/>
    </row>
    <row r="320" spans="3:25">
      <c r="C320" s="942"/>
      <c r="D320" s="942"/>
      <c r="E320" s="943"/>
      <c r="F320" s="943"/>
      <c r="G320" s="886"/>
      <c r="H320" s="886"/>
      <c r="I320" s="886"/>
      <c r="J320" s="886"/>
      <c r="K320" s="886"/>
      <c r="L320" s="886"/>
      <c r="M320" s="886"/>
      <c r="N320" s="886"/>
      <c r="O320" s="886"/>
      <c r="P320" s="886"/>
      <c r="Q320" s="886"/>
      <c r="R320" s="886"/>
      <c r="S320" s="886"/>
      <c r="T320" s="886"/>
      <c r="U320" s="886"/>
      <c r="V320" s="886"/>
      <c r="W320" s="886"/>
      <c r="X320" s="886"/>
      <c r="Y320" s="886"/>
    </row>
    <row r="321" spans="3:25">
      <c r="C321" s="942"/>
      <c r="D321" s="942"/>
      <c r="E321" s="943"/>
      <c r="F321" s="943"/>
      <c r="G321" s="886"/>
      <c r="H321" s="886"/>
      <c r="I321" s="886"/>
      <c r="J321" s="886"/>
      <c r="K321" s="886"/>
      <c r="L321" s="886"/>
      <c r="M321" s="886"/>
      <c r="N321" s="886"/>
      <c r="O321" s="886"/>
      <c r="P321" s="886"/>
      <c r="Q321" s="886"/>
      <c r="R321" s="886"/>
      <c r="S321" s="886"/>
      <c r="T321" s="886"/>
      <c r="U321" s="886"/>
      <c r="V321" s="886"/>
      <c r="W321" s="886"/>
      <c r="X321" s="886"/>
      <c r="Y321" s="886"/>
    </row>
    <row r="322" spans="3:25">
      <c r="C322" s="942"/>
      <c r="D322" s="942"/>
      <c r="E322" s="943"/>
      <c r="F322" s="943"/>
      <c r="G322" s="886"/>
      <c r="H322" s="886"/>
      <c r="I322" s="886"/>
      <c r="J322" s="886"/>
      <c r="K322" s="886"/>
      <c r="L322" s="886"/>
      <c r="M322" s="886"/>
      <c r="N322" s="886"/>
      <c r="O322" s="886"/>
      <c r="P322" s="886"/>
      <c r="Q322" s="886"/>
      <c r="R322" s="886"/>
      <c r="S322" s="886"/>
      <c r="T322" s="886"/>
      <c r="U322" s="886"/>
      <c r="V322" s="886"/>
      <c r="W322" s="886"/>
      <c r="X322" s="886"/>
      <c r="Y322" s="886"/>
    </row>
    <row r="323" spans="3:25">
      <c r="C323" s="942"/>
      <c r="D323" s="942"/>
      <c r="E323" s="943"/>
      <c r="F323" s="943"/>
      <c r="G323" s="886"/>
      <c r="H323" s="886"/>
      <c r="I323" s="886"/>
      <c r="J323" s="886"/>
      <c r="K323" s="886"/>
      <c r="L323" s="886"/>
      <c r="M323" s="886"/>
      <c r="N323" s="886"/>
      <c r="O323" s="886"/>
      <c r="P323" s="886"/>
      <c r="Q323" s="886"/>
      <c r="R323" s="886"/>
      <c r="S323" s="886"/>
      <c r="T323" s="886"/>
      <c r="U323" s="886"/>
      <c r="V323" s="886"/>
      <c r="W323" s="886"/>
      <c r="X323" s="886"/>
      <c r="Y323" s="886"/>
    </row>
    <row r="324" spans="3:25">
      <c r="C324" s="942"/>
      <c r="D324" s="942"/>
      <c r="E324" s="943"/>
      <c r="F324" s="943"/>
      <c r="G324" s="886"/>
      <c r="H324" s="886"/>
      <c r="I324" s="886"/>
      <c r="J324" s="886"/>
      <c r="K324" s="886"/>
      <c r="L324" s="886"/>
      <c r="M324" s="886"/>
      <c r="N324" s="886"/>
      <c r="O324" s="886"/>
      <c r="P324" s="886"/>
      <c r="Q324" s="886"/>
      <c r="R324" s="886"/>
      <c r="S324" s="886"/>
      <c r="T324" s="886"/>
      <c r="U324" s="886"/>
      <c r="V324" s="886"/>
      <c r="W324" s="886"/>
      <c r="X324" s="886"/>
      <c r="Y324" s="886"/>
    </row>
    <row r="325" spans="3:25">
      <c r="C325" s="942"/>
      <c r="D325" s="942"/>
      <c r="E325" s="943"/>
      <c r="F325" s="943"/>
      <c r="G325" s="886"/>
      <c r="H325" s="886"/>
      <c r="I325" s="886"/>
      <c r="J325" s="886"/>
      <c r="K325" s="886"/>
      <c r="L325" s="886"/>
      <c r="M325" s="886"/>
      <c r="N325" s="886"/>
      <c r="O325" s="886"/>
      <c r="P325" s="886"/>
      <c r="Q325" s="886"/>
      <c r="R325" s="886"/>
      <c r="S325" s="886"/>
      <c r="T325" s="886"/>
      <c r="U325" s="886"/>
      <c r="V325" s="886"/>
      <c r="W325" s="886"/>
      <c r="X325" s="886"/>
      <c r="Y325" s="886"/>
    </row>
    <row r="326" spans="3:25">
      <c r="C326" s="942"/>
      <c r="D326" s="942"/>
      <c r="E326" s="943"/>
      <c r="F326" s="943"/>
      <c r="G326" s="886"/>
      <c r="H326" s="886"/>
      <c r="I326" s="886"/>
      <c r="J326" s="886"/>
      <c r="K326" s="886"/>
      <c r="L326" s="886"/>
      <c r="M326" s="886"/>
      <c r="N326" s="886"/>
      <c r="O326" s="886"/>
      <c r="P326" s="886"/>
      <c r="Q326" s="886"/>
      <c r="R326" s="886"/>
      <c r="S326" s="886"/>
      <c r="T326" s="886"/>
      <c r="U326" s="886"/>
      <c r="V326" s="886"/>
      <c r="W326" s="886"/>
      <c r="X326" s="886"/>
      <c r="Y326" s="886"/>
    </row>
    <row r="327" spans="3:25">
      <c r="C327" s="942"/>
      <c r="D327" s="942"/>
      <c r="E327" s="943"/>
      <c r="F327" s="943"/>
      <c r="G327" s="886"/>
      <c r="H327" s="886"/>
      <c r="I327" s="886"/>
      <c r="J327" s="886"/>
      <c r="K327" s="886"/>
      <c r="L327" s="886"/>
      <c r="M327" s="886"/>
      <c r="N327" s="886"/>
      <c r="O327" s="886"/>
      <c r="P327" s="886"/>
      <c r="Q327" s="886"/>
      <c r="R327" s="886"/>
      <c r="S327" s="886"/>
      <c r="T327" s="886"/>
      <c r="U327" s="886"/>
      <c r="V327" s="886"/>
      <c r="W327" s="886"/>
      <c r="X327" s="886"/>
      <c r="Y327" s="886"/>
    </row>
    <row r="328" spans="3:25">
      <c r="C328" s="942"/>
      <c r="D328" s="942"/>
      <c r="E328" s="943"/>
      <c r="F328" s="943"/>
      <c r="G328" s="886"/>
      <c r="H328" s="886"/>
      <c r="I328" s="886"/>
      <c r="J328" s="886"/>
      <c r="K328" s="886"/>
      <c r="L328" s="886"/>
      <c r="M328" s="886"/>
      <c r="N328" s="886"/>
      <c r="O328" s="886"/>
      <c r="P328" s="886"/>
      <c r="Q328" s="886"/>
      <c r="R328" s="886"/>
      <c r="S328" s="886"/>
      <c r="T328" s="886"/>
      <c r="U328" s="886"/>
      <c r="V328" s="886"/>
      <c r="W328" s="886"/>
      <c r="X328" s="886"/>
      <c r="Y328" s="886"/>
    </row>
    <row r="329" spans="3:25">
      <c r="C329" s="942"/>
      <c r="D329" s="942"/>
      <c r="E329" s="943"/>
      <c r="F329" s="943"/>
      <c r="G329" s="886"/>
      <c r="H329" s="886"/>
      <c r="I329" s="886"/>
      <c r="J329" s="886"/>
      <c r="K329" s="886"/>
      <c r="L329" s="886"/>
      <c r="M329" s="886"/>
      <c r="N329" s="886"/>
      <c r="O329" s="886"/>
      <c r="P329" s="886"/>
      <c r="Q329" s="886"/>
      <c r="R329" s="886"/>
      <c r="S329" s="886"/>
      <c r="T329" s="886"/>
      <c r="U329" s="886"/>
      <c r="V329" s="886"/>
      <c r="W329" s="886"/>
      <c r="X329" s="886"/>
      <c r="Y329" s="886"/>
    </row>
    <row r="330" spans="3:25">
      <c r="C330" s="942"/>
      <c r="D330" s="942"/>
      <c r="E330" s="943"/>
      <c r="F330" s="943"/>
      <c r="G330" s="886"/>
      <c r="H330" s="886"/>
      <c r="I330" s="886"/>
      <c r="J330" s="886"/>
      <c r="K330" s="886"/>
      <c r="L330" s="886"/>
      <c r="M330" s="886"/>
      <c r="N330" s="886"/>
      <c r="O330" s="886"/>
      <c r="P330" s="886"/>
      <c r="Q330" s="886"/>
      <c r="R330" s="886"/>
      <c r="S330" s="886"/>
      <c r="T330" s="886"/>
      <c r="U330" s="886"/>
      <c r="V330" s="886"/>
      <c r="W330" s="886"/>
      <c r="X330" s="886"/>
      <c r="Y330" s="886"/>
    </row>
    <row r="331" spans="3:25">
      <c r="C331" s="942"/>
      <c r="D331" s="942"/>
      <c r="E331" s="943"/>
      <c r="F331" s="943"/>
      <c r="G331" s="886"/>
      <c r="H331" s="886"/>
      <c r="I331" s="886"/>
      <c r="J331" s="886"/>
      <c r="K331" s="886"/>
      <c r="L331" s="886"/>
      <c r="M331" s="886"/>
      <c r="N331" s="886"/>
      <c r="O331" s="886"/>
      <c r="P331" s="886"/>
      <c r="Q331" s="886"/>
      <c r="R331" s="886"/>
      <c r="S331" s="886"/>
      <c r="T331" s="886"/>
      <c r="U331" s="886"/>
      <c r="V331" s="886"/>
      <c r="W331" s="886"/>
      <c r="X331" s="886"/>
      <c r="Y331" s="886"/>
    </row>
    <row r="332" spans="3:25">
      <c r="C332" s="942"/>
      <c r="D332" s="942"/>
      <c r="E332" s="943"/>
      <c r="F332" s="943"/>
      <c r="G332" s="886"/>
      <c r="H332" s="886"/>
      <c r="I332" s="886"/>
      <c r="J332" s="886"/>
      <c r="K332" s="886"/>
      <c r="L332" s="886"/>
      <c r="M332" s="886"/>
      <c r="N332" s="886"/>
      <c r="O332" s="886"/>
      <c r="P332" s="886"/>
      <c r="Q332" s="886"/>
      <c r="R332" s="886"/>
      <c r="S332" s="886"/>
      <c r="T332" s="886"/>
      <c r="U332" s="886"/>
      <c r="V332" s="886"/>
      <c r="W332" s="886"/>
      <c r="X332" s="886"/>
      <c r="Y332" s="886"/>
    </row>
    <row r="333" spans="3:25">
      <c r="C333" s="942"/>
      <c r="D333" s="942"/>
      <c r="E333" s="943"/>
      <c r="F333" s="943"/>
      <c r="G333" s="886"/>
      <c r="H333" s="886"/>
      <c r="I333" s="886"/>
      <c r="J333" s="886"/>
      <c r="K333" s="886"/>
      <c r="L333" s="886"/>
      <c r="M333" s="886"/>
      <c r="N333" s="886"/>
      <c r="O333" s="886"/>
      <c r="P333" s="886"/>
      <c r="Q333" s="886"/>
      <c r="R333" s="886"/>
      <c r="S333" s="886"/>
      <c r="T333" s="886"/>
      <c r="U333" s="886"/>
      <c r="V333" s="886"/>
      <c r="W333" s="886"/>
      <c r="X333" s="886"/>
      <c r="Y333" s="886"/>
    </row>
    <row r="334" spans="3:25">
      <c r="C334" s="942"/>
      <c r="D334" s="942"/>
      <c r="E334" s="943"/>
      <c r="F334" s="943"/>
      <c r="G334" s="886"/>
      <c r="H334" s="886"/>
      <c r="I334" s="886"/>
      <c r="J334" s="886"/>
      <c r="K334" s="886"/>
      <c r="L334" s="886"/>
      <c r="M334" s="886"/>
      <c r="N334" s="886"/>
      <c r="O334" s="886"/>
      <c r="P334" s="886"/>
      <c r="Q334" s="886"/>
      <c r="R334" s="886"/>
      <c r="S334" s="886"/>
      <c r="T334" s="886"/>
      <c r="U334" s="886"/>
      <c r="V334" s="886"/>
      <c r="W334" s="886"/>
      <c r="X334" s="886"/>
      <c r="Y334" s="886"/>
    </row>
    <row r="335" spans="3:25">
      <c r="C335" s="942"/>
      <c r="D335" s="942"/>
      <c r="E335" s="943"/>
      <c r="F335" s="943"/>
      <c r="G335" s="886"/>
      <c r="H335" s="886"/>
      <c r="I335" s="886"/>
      <c r="J335" s="886"/>
      <c r="K335" s="886"/>
      <c r="L335" s="886"/>
      <c r="M335" s="886"/>
      <c r="N335" s="886"/>
      <c r="O335" s="886"/>
      <c r="P335" s="886"/>
      <c r="Q335" s="886"/>
      <c r="R335" s="886"/>
      <c r="S335" s="886"/>
      <c r="T335" s="886"/>
      <c r="U335" s="886"/>
      <c r="V335" s="886"/>
      <c r="W335" s="886"/>
      <c r="X335" s="886"/>
      <c r="Y335" s="886"/>
    </row>
    <row r="336" spans="3:25">
      <c r="C336" s="942"/>
      <c r="D336" s="942"/>
      <c r="E336" s="943"/>
      <c r="F336" s="943"/>
      <c r="G336" s="886"/>
      <c r="H336" s="886"/>
      <c r="I336" s="886"/>
      <c r="J336" s="886"/>
      <c r="K336" s="886"/>
      <c r="L336" s="886"/>
      <c r="M336" s="886"/>
      <c r="N336" s="886"/>
      <c r="O336" s="886"/>
      <c r="P336" s="886"/>
      <c r="Q336" s="886"/>
      <c r="R336" s="886"/>
      <c r="S336" s="886"/>
      <c r="T336" s="886"/>
      <c r="U336" s="886"/>
      <c r="V336" s="886"/>
      <c r="W336" s="886"/>
      <c r="X336" s="886"/>
      <c r="Y336" s="886"/>
    </row>
    <row r="337" spans="3:25">
      <c r="C337" s="942"/>
      <c r="D337" s="942"/>
      <c r="E337" s="943"/>
      <c r="F337" s="943"/>
      <c r="G337" s="886"/>
      <c r="H337" s="886"/>
      <c r="I337" s="886"/>
      <c r="J337" s="886"/>
      <c r="K337" s="886"/>
      <c r="L337" s="886"/>
      <c r="M337" s="886"/>
      <c r="N337" s="886"/>
      <c r="O337" s="886"/>
      <c r="P337" s="886"/>
      <c r="Q337" s="886"/>
      <c r="R337" s="886"/>
      <c r="S337" s="886"/>
      <c r="T337" s="886"/>
      <c r="U337" s="886"/>
      <c r="V337" s="886"/>
      <c r="W337" s="886"/>
      <c r="X337" s="886"/>
      <c r="Y337" s="886"/>
    </row>
    <row r="338" spans="3:25">
      <c r="C338" s="942"/>
      <c r="D338" s="942"/>
      <c r="E338" s="943"/>
      <c r="F338" s="943"/>
      <c r="G338" s="886"/>
      <c r="H338" s="886"/>
      <c r="I338" s="886"/>
      <c r="J338" s="886"/>
      <c r="K338" s="886"/>
      <c r="L338" s="886"/>
      <c r="M338" s="886"/>
      <c r="N338" s="886"/>
      <c r="O338" s="886"/>
      <c r="P338" s="886"/>
      <c r="Q338" s="886"/>
      <c r="R338" s="886"/>
      <c r="S338" s="886"/>
      <c r="T338" s="886"/>
      <c r="U338" s="886"/>
      <c r="V338" s="886"/>
      <c r="W338" s="886"/>
      <c r="X338" s="886"/>
      <c r="Y338" s="886"/>
    </row>
    <row r="339" spans="3:25">
      <c r="C339" s="942"/>
      <c r="D339" s="942"/>
      <c r="E339" s="943"/>
      <c r="F339" s="943"/>
      <c r="G339" s="886"/>
      <c r="H339" s="886"/>
      <c r="I339" s="886"/>
      <c r="J339" s="886"/>
      <c r="K339" s="886"/>
      <c r="L339" s="886"/>
      <c r="M339" s="886"/>
      <c r="N339" s="886"/>
      <c r="O339" s="886"/>
      <c r="P339" s="886"/>
      <c r="Q339" s="886"/>
      <c r="R339" s="886"/>
      <c r="S339" s="886"/>
      <c r="T339" s="886"/>
      <c r="U339" s="886"/>
      <c r="V339" s="886"/>
      <c r="W339" s="886"/>
      <c r="X339" s="886"/>
      <c r="Y339" s="886"/>
    </row>
    <row r="340" spans="3:25">
      <c r="C340" s="942"/>
      <c r="D340" s="942"/>
      <c r="E340" s="943"/>
      <c r="F340" s="943"/>
      <c r="G340" s="886"/>
      <c r="H340" s="886"/>
      <c r="I340" s="886"/>
      <c r="J340" s="886"/>
      <c r="K340" s="886"/>
      <c r="L340" s="886"/>
      <c r="M340" s="886"/>
      <c r="N340" s="886"/>
      <c r="O340" s="886"/>
      <c r="P340" s="886"/>
      <c r="Q340" s="886"/>
      <c r="R340" s="886"/>
      <c r="S340" s="886"/>
      <c r="T340" s="886"/>
      <c r="U340" s="886"/>
      <c r="V340" s="886"/>
      <c r="W340" s="886"/>
      <c r="X340" s="886"/>
      <c r="Y340" s="886"/>
    </row>
    <row r="341" spans="3:25">
      <c r="C341" s="942"/>
      <c r="D341" s="942"/>
      <c r="E341" s="943"/>
      <c r="F341" s="943"/>
      <c r="G341" s="886"/>
      <c r="H341" s="886"/>
      <c r="I341" s="886"/>
      <c r="J341" s="886"/>
      <c r="K341" s="886"/>
      <c r="L341" s="886"/>
      <c r="M341" s="886"/>
      <c r="N341" s="886"/>
      <c r="O341" s="886"/>
      <c r="P341" s="886"/>
      <c r="Q341" s="886"/>
      <c r="R341" s="886"/>
      <c r="S341" s="886"/>
      <c r="T341" s="886"/>
      <c r="U341" s="886"/>
      <c r="V341" s="886"/>
      <c r="W341" s="886"/>
      <c r="X341" s="886"/>
      <c r="Y341" s="886"/>
    </row>
    <row r="342" spans="3:25">
      <c r="C342" s="942"/>
      <c r="D342" s="942"/>
      <c r="E342" s="943"/>
      <c r="F342" s="943"/>
      <c r="G342" s="886"/>
      <c r="H342" s="886"/>
      <c r="I342" s="886"/>
      <c r="J342" s="886"/>
      <c r="K342" s="886"/>
      <c r="L342" s="886"/>
      <c r="M342" s="886"/>
      <c r="N342" s="886"/>
      <c r="O342" s="886"/>
      <c r="P342" s="886"/>
      <c r="Q342" s="886"/>
      <c r="R342" s="886"/>
      <c r="S342" s="886"/>
      <c r="T342" s="886"/>
      <c r="U342" s="886"/>
      <c r="V342" s="886"/>
      <c r="W342" s="886"/>
      <c r="X342" s="886"/>
      <c r="Y342" s="886"/>
    </row>
    <row r="343" spans="3:25">
      <c r="C343" s="942"/>
      <c r="D343" s="942"/>
      <c r="E343" s="943"/>
      <c r="F343" s="943"/>
      <c r="G343" s="886"/>
      <c r="H343" s="886"/>
      <c r="I343" s="886"/>
      <c r="J343" s="886"/>
      <c r="K343" s="886"/>
      <c r="L343" s="886"/>
      <c r="M343" s="886"/>
      <c r="N343" s="886"/>
      <c r="O343" s="886"/>
      <c r="P343" s="886"/>
      <c r="Q343" s="886"/>
      <c r="R343" s="886"/>
      <c r="S343" s="886"/>
      <c r="T343" s="886"/>
      <c r="U343" s="886"/>
      <c r="V343" s="886"/>
      <c r="W343" s="886"/>
      <c r="X343" s="886"/>
      <c r="Y343" s="886"/>
    </row>
    <row r="344" spans="3:25">
      <c r="C344" s="942"/>
      <c r="D344" s="942"/>
      <c r="E344" s="943"/>
      <c r="F344" s="943"/>
      <c r="G344" s="886"/>
      <c r="H344" s="886"/>
      <c r="I344" s="886"/>
      <c r="J344" s="886"/>
      <c r="K344" s="886"/>
      <c r="L344" s="886"/>
      <c r="M344" s="886"/>
      <c r="N344" s="886"/>
      <c r="O344" s="886"/>
      <c r="P344" s="886"/>
      <c r="Q344" s="886"/>
      <c r="R344" s="886"/>
      <c r="S344" s="886"/>
      <c r="T344" s="886"/>
      <c r="U344" s="886"/>
      <c r="V344" s="886"/>
      <c r="W344" s="886"/>
      <c r="X344" s="886"/>
      <c r="Y344" s="886"/>
    </row>
    <row r="345" spans="3:25">
      <c r="C345" s="942"/>
      <c r="D345" s="942"/>
      <c r="E345" s="943"/>
      <c r="F345" s="943"/>
      <c r="G345" s="886"/>
      <c r="H345" s="886"/>
      <c r="I345" s="886"/>
      <c r="J345" s="886"/>
      <c r="K345" s="886"/>
      <c r="L345" s="886"/>
      <c r="M345" s="886"/>
      <c r="N345" s="886"/>
      <c r="O345" s="886"/>
      <c r="P345" s="886"/>
      <c r="Q345" s="886"/>
      <c r="R345" s="886"/>
      <c r="S345" s="886"/>
      <c r="T345" s="886"/>
      <c r="U345" s="886"/>
      <c r="V345" s="886"/>
      <c r="W345" s="886"/>
      <c r="X345" s="886"/>
      <c r="Y345" s="886"/>
    </row>
    <row r="346" spans="3:25">
      <c r="C346" s="942"/>
      <c r="D346" s="942"/>
      <c r="E346" s="943"/>
      <c r="F346" s="943"/>
      <c r="G346" s="886"/>
      <c r="H346" s="886"/>
      <c r="I346" s="886"/>
      <c r="J346" s="886"/>
      <c r="K346" s="886"/>
      <c r="L346" s="886"/>
      <c r="M346" s="886"/>
      <c r="N346" s="886"/>
      <c r="O346" s="886"/>
      <c r="P346" s="886"/>
      <c r="Q346" s="886"/>
      <c r="R346" s="886"/>
      <c r="S346" s="886"/>
      <c r="T346" s="886"/>
      <c r="U346" s="886"/>
      <c r="V346" s="886"/>
      <c r="W346" s="886"/>
      <c r="X346" s="886"/>
      <c r="Y346" s="886"/>
    </row>
    <row r="347" spans="3:25">
      <c r="C347" s="942"/>
      <c r="D347" s="942"/>
      <c r="E347" s="943"/>
      <c r="F347" s="943"/>
      <c r="G347" s="886"/>
      <c r="H347" s="886"/>
      <c r="I347" s="886"/>
      <c r="J347" s="886"/>
      <c r="K347" s="886"/>
      <c r="L347" s="886"/>
      <c r="M347" s="886"/>
      <c r="N347" s="886"/>
      <c r="O347" s="886"/>
      <c r="P347" s="886"/>
      <c r="Q347" s="886"/>
      <c r="R347" s="886"/>
      <c r="S347" s="886"/>
      <c r="T347" s="886"/>
      <c r="U347" s="886"/>
      <c r="V347" s="886"/>
      <c r="W347" s="886"/>
      <c r="X347" s="886"/>
      <c r="Y347" s="886"/>
    </row>
    <row r="348" spans="3:25">
      <c r="C348" s="942"/>
      <c r="D348" s="942"/>
      <c r="E348" s="943"/>
      <c r="F348" s="943"/>
      <c r="G348" s="886"/>
      <c r="H348" s="886"/>
      <c r="I348" s="886"/>
      <c r="J348" s="886"/>
      <c r="K348" s="886"/>
      <c r="L348" s="886"/>
      <c r="M348" s="886"/>
      <c r="N348" s="886"/>
      <c r="O348" s="886"/>
      <c r="P348" s="886"/>
      <c r="Q348" s="886"/>
      <c r="R348" s="886"/>
      <c r="S348" s="886"/>
      <c r="T348" s="886"/>
      <c r="U348" s="886"/>
      <c r="V348" s="886"/>
      <c r="W348" s="886"/>
      <c r="X348" s="886"/>
      <c r="Y348" s="886"/>
    </row>
    <row r="349" spans="3:25">
      <c r="C349" s="942"/>
      <c r="D349" s="942"/>
      <c r="E349" s="943"/>
      <c r="F349" s="943"/>
      <c r="G349" s="886"/>
      <c r="H349" s="886"/>
      <c r="I349" s="886"/>
      <c r="J349" s="886"/>
      <c r="K349" s="886"/>
      <c r="L349" s="886"/>
      <c r="M349" s="886"/>
      <c r="N349" s="886"/>
      <c r="O349" s="886"/>
      <c r="P349" s="886"/>
      <c r="Q349" s="886"/>
      <c r="R349" s="886"/>
      <c r="S349" s="886"/>
      <c r="T349" s="886"/>
      <c r="U349" s="886"/>
      <c r="V349" s="886"/>
      <c r="W349" s="886"/>
      <c r="X349" s="886"/>
      <c r="Y349" s="886"/>
    </row>
    <row r="350" spans="3:25">
      <c r="C350" s="942"/>
      <c r="D350" s="942"/>
      <c r="E350" s="943"/>
      <c r="F350" s="943"/>
      <c r="G350" s="886"/>
      <c r="H350" s="886"/>
      <c r="I350" s="886"/>
      <c r="J350" s="886"/>
      <c r="K350" s="886"/>
      <c r="L350" s="886"/>
      <c r="M350" s="886"/>
      <c r="N350" s="886"/>
      <c r="O350" s="886"/>
      <c r="P350" s="886"/>
      <c r="Q350" s="886"/>
      <c r="R350" s="886"/>
      <c r="S350" s="886"/>
      <c r="T350" s="886"/>
      <c r="U350" s="886"/>
      <c r="V350" s="886"/>
      <c r="W350" s="886"/>
      <c r="X350" s="886"/>
      <c r="Y350" s="886"/>
    </row>
    <row r="351" spans="3:25">
      <c r="C351" s="942"/>
      <c r="D351" s="942"/>
      <c r="E351" s="943"/>
      <c r="F351" s="943"/>
      <c r="G351" s="886"/>
      <c r="H351" s="886"/>
      <c r="I351" s="886"/>
      <c r="J351" s="886"/>
      <c r="K351" s="886"/>
      <c r="L351" s="886"/>
      <c r="M351" s="886"/>
      <c r="N351" s="886"/>
      <c r="O351" s="886"/>
      <c r="P351" s="886"/>
      <c r="Q351" s="886"/>
      <c r="R351" s="886"/>
      <c r="S351" s="886"/>
      <c r="T351" s="886"/>
      <c r="U351" s="886"/>
      <c r="V351" s="886"/>
      <c r="W351" s="886"/>
      <c r="X351" s="886"/>
      <c r="Y351" s="886"/>
    </row>
    <row r="352" spans="3:25">
      <c r="C352" s="942"/>
      <c r="D352" s="942"/>
      <c r="E352" s="943"/>
      <c r="F352" s="943"/>
      <c r="G352" s="886"/>
      <c r="H352" s="886"/>
      <c r="I352" s="886"/>
      <c r="J352" s="886"/>
      <c r="K352" s="886"/>
      <c r="L352" s="886"/>
      <c r="M352" s="886"/>
      <c r="N352" s="886"/>
      <c r="O352" s="886"/>
      <c r="P352" s="886"/>
      <c r="Q352" s="886"/>
      <c r="R352" s="886"/>
      <c r="S352" s="886"/>
      <c r="T352" s="886"/>
      <c r="U352" s="886"/>
      <c r="V352" s="886"/>
      <c r="W352" s="886"/>
      <c r="X352" s="886"/>
      <c r="Y352" s="886"/>
    </row>
    <row r="353" spans="3:25">
      <c r="C353" s="942"/>
      <c r="D353" s="942"/>
      <c r="E353" s="943"/>
      <c r="F353" s="943"/>
      <c r="G353" s="886"/>
      <c r="H353" s="886"/>
      <c r="I353" s="886"/>
      <c r="J353" s="886"/>
      <c r="K353" s="886"/>
      <c r="L353" s="886"/>
      <c r="M353" s="886"/>
      <c r="N353" s="886"/>
      <c r="O353" s="886"/>
      <c r="P353" s="886"/>
      <c r="Q353" s="886"/>
      <c r="R353" s="886"/>
      <c r="S353" s="886"/>
      <c r="T353" s="886"/>
      <c r="U353" s="886"/>
      <c r="V353" s="886"/>
      <c r="W353" s="886"/>
      <c r="X353" s="886"/>
      <c r="Y353" s="886"/>
    </row>
    <row r="354" spans="3:25">
      <c r="C354" s="942"/>
      <c r="D354" s="942"/>
      <c r="E354" s="943"/>
      <c r="F354" s="943"/>
      <c r="G354" s="886"/>
      <c r="H354" s="886"/>
      <c r="I354" s="886"/>
      <c r="J354" s="886"/>
      <c r="K354" s="886"/>
      <c r="L354" s="886"/>
      <c r="M354" s="886"/>
      <c r="N354" s="886"/>
      <c r="O354" s="886"/>
      <c r="P354" s="886"/>
      <c r="Q354" s="886"/>
      <c r="R354" s="886"/>
      <c r="S354" s="886"/>
      <c r="T354" s="886"/>
      <c r="U354" s="886"/>
      <c r="V354" s="886"/>
      <c r="W354" s="886"/>
      <c r="X354" s="886"/>
      <c r="Y354" s="886"/>
    </row>
    <row r="355" spans="3:25">
      <c r="C355" s="942"/>
      <c r="D355" s="942"/>
      <c r="E355" s="943"/>
      <c r="F355" s="943"/>
      <c r="G355" s="886"/>
      <c r="H355" s="886"/>
      <c r="I355" s="886"/>
      <c r="J355" s="886"/>
      <c r="K355" s="886"/>
      <c r="L355" s="886"/>
      <c r="M355" s="886"/>
      <c r="N355" s="886"/>
      <c r="O355" s="886"/>
      <c r="P355" s="886"/>
      <c r="Q355" s="886"/>
      <c r="R355" s="886"/>
      <c r="S355" s="886"/>
      <c r="T355" s="886"/>
      <c r="U355" s="886"/>
      <c r="V355" s="886"/>
      <c r="W355" s="886"/>
      <c r="X355" s="886"/>
      <c r="Y355" s="886"/>
    </row>
    <row r="356" spans="3:25">
      <c r="C356" s="942"/>
      <c r="D356" s="942"/>
      <c r="E356" s="943"/>
      <c r="F356" s="943"/>
      <c r="G356" s="886"/>
      <c r="H356" s="886"/>
      <c r="I356" s="886"/>
      <c r="J356" s="886"/>
      <c r="K356" s="886"/>
      <c r="L356" s="886"/>
      <c r="M356" s="886"/>
      <c r="N356" s="886"/>
      <c r="O356" s="886"/>
      <c r="P356" s="886"/>
      <c r="Q356" s="886"/>
      <c r="R356" s="886"/>
      <c r="S356" s="886"/>
      <c r="T356" s="886"/>
      <c r="U356" s="886"/>
      <c r="V356" s="886"/>
      <c r="W356" s="886"/>
      <c r="X356" s="886"/>
      <c r="Y356" s="886"/>
    </row>
    <row r="357" spans="3:25">
      <c r="C357" s="942"/>
      <c r="D357" s="942"/>
      <c r="E357" s="943"/>
      <c r="F357" s="943"/>
      <c r="G357" s="886"/>
      <c r="H357" s="886"/>
      <c r="I357" s="886"/>
      <c r="J357" s="886"/>
      <c r="K357" s="886"/>
      <c r="L357" s="886"/>
      <c r="M357" s="886"/>
      <c r="N357" s="886"/>
      <c r="O357" s="886"/>
      <c r="P357" s="886"/>
      <c r="Q357" s="886"/>
      <c r="R357" s="886"/>
      <c r="S357" s="886"/>
      <c r="T357" s="886"/>
      <c r="U357" s="886"/>
      <c r="V357" s="886"/>
      <c r="W357" s="886"/>
      <c r="X357" s="886"/>
      <c r="Y357" s="886"/>
    </row>
    <row r="358" spans="3:25">
      <c r="C358" s="942"/>
      <c r="D358" s="942"/>
      <c r="E358" s="943"/>
      <c r="F358" s="943"/>
      <c r="G358" s="886"/>
      <c r="H358" s="886"/>
      <c r="I358" s="886"/>
      <c r="J358" s="886"/>
      <c r="K358" s="886"/>
      <c r="L358" s="886"/>
      <c r="M358" s="886"/>
      <c r="N358" s="886"/>
      <c r="O358" s="886"/>
      <c r="P358" s="886"/>
      <c r="Q358" s="886"/>
      <c r="R358" s="886"/>
      <c r="S358" s="886"/>
      <c r="T358" s="886"/>
      <c r="U358" s="886"/>
      <c r="V358" s="886"/>
      <c r="W358" s="886"/>
      <c r="X358" s="886"/>
      <c r="Y358" s="886"/>
    </row>
    <row r="359" spans="3:25">
      <c r="C359" s="942"/>
      <c r="D359" s="942"/>
      <c r="E359" s="943"/>
      <c r="F359" s="943"/>
      <c r="G359" s="886"/>
      <c r="H359" s="886"/>
      <c r="I359" s="886"/>
      <c r="J359" s="886"/>
      <c r="K359" s="886"/>
      <c r="L359" s="886"/>
      <c r="M359" s="886"/>
      <c r="N359" s="886"/>
      <c r="O359" s="886"/>
      <c r="P359" s="886"/>
      <c r="Q359" s="886"/>
      <c r="R359" s="886"/>
      <c r="S359" s="886"/>
      <c r="T359" s="886"/>
      <c r="U359" s="886"/>
      <c r="V359" s="886"/>
      <c r="W359" s="886"/>
      <c r="X359" s="886"/>
      <c r="Y359" s="886"/>
    </row>
    <row r="360" spans="3:25">
      <c r="C360" s="942"/>
      <c r="D360" s="942"/>
      <c r="E360" s="943"/>
      <c r="F360" s="943"/>
      <c r="G360" s="886"/>
      <c r="H360" s="886"/>
      <c r="I360" s="886"/>
      <c r="J360" s="886"/>
      <c r="K360" s="886"/>
      <c r="L360" s="886"/>
      <c r="M360" s="886"/>
      <c r="N360" s="886"/>
      <c r="O360" s="886"/>
      <c r="P360" s="886"/>
      <c r="Q360" s="886"/>
      <c r="R360" s="886"/>
      <c r="S360" s="886"/>
      <c r="T360" s="886"/>
      <c r="U360" s="886"/>
      <c r="V360" s="886"/>
      <c r="W360" s="886"/>
      <c r="X360" s="886"/>
      <c r="Y360" s="886"/>
    </row>
    <row r="361" spans="3:25">
      <c r="C361" s="942"/>
      <c r="D361" s="942"/>
      <c r="E361" s="943"/>
      <c r="F361" s="943"/>
      <c r="G361" s="886"/>
      <c r="H361" s="886"/>
      <c r="I361" s="886"/>
      <c r="J361" s="886"/>
      <c r="K361" s="886"/>
      <c r="L361" s="886"/>
      <c r="M361" s="886"/>
      <c r="N361" s="886"/>
      <c r="O361" s="886"/>
      <c r="P361" s="886"/>
      <c r="Q361" s="886"/>
      <c r="R361" s="886"/>
      <c r="S361" s="886"/>
      <c r="T361" s="886"/>
      <c r="U361" s="886"/>
      <c r="V361" s="886"/>
      <c r="W361" s="886"/>
      <c r="X361" s="886"/>
      <c r="Y361" s="886"/>
    </row>
    <row r="362" spans="3:25">
      <c r="C362" s="942"/>
      <c r="D362" s="942"/>
      <c r="E362" s="943"/>
      <c r="F362" s="943"/>
      <c r="G362" s="886"/>
      <c r="H362" s="886"/>
      <c r="I362" s="886"/>
      <c r="J362" s="886"/>
      <c r="K362" s="886"/>
      <c r="L362" s="886"/>
      <c r="M362" s="886"/>
      <c r="N362" s="886"/>
      <c r="O362" s="886"/>
      <c r="P362" s="886"/>
      <c r="Q362" s="886"/>
      <c r="R362" s="886"/>
      <c r="S362" s="886"/>
      <c r="T362" s="886"/>
      <c r="U362" s="886"/>
      <c r="V362" s="886"/>
      <c r="W362" s="886"/>
      <c r="X362" s="886"/>
      <c r="Y362" s="886"/>
    </row>
    <row r="363" spans="3:25">
      <c r="C363" s="942"/>
      <c r="D363" s="942"/>
      <c r="E363" s="943"/>
      <c r="F363" s="943"/>
      <c r="G363" s="886"/>
      <c r="H363" s="886"/>
      <c r="I363" s="886"/>
      <c r="J363" s="886"/>
      <c r="K363" s="886"/>
      <c r="L363" s="886"/>
      <c r="M363" s="886"/>
      <c r="N363" s="886"/>
      <c r="O363" s="886"/>
      <c r="P363" s="886"/>
      <c r="Q363" s="886"/>
      <c r="R363" s="886"/>
      <c r="S363" s="886"/>
      <c r="T363" s="886"/>
      <c r="U363" s="886"/>
      <c r="V363" s="886"/>
      <c r="W363" s="886"/>
      <c r="X363" s="886"/>
      <c r="Y363" s="886"/>
    </row>
    <row r="364" spans="3:25">
      <c r="C364" s="942"/>
      <c r="D364" s="942"/>
      <c r="E364" s="943"/>
      <c r="F364" s="943"/>
      <c r="G364" s="886"/>
      <c r="H364" s="886"/>
      <c r="I364" s="886"/>
      <c r="J364" s="886"/>
      <c r="K364" s="886"/>
      <c r="L364" s="886"/>
      <c r="M364" s="886"/>
      <c r="N364" s="886"/>
      <c r="O364" s="886"/>
      <c r="P364" s="886"/>
      <c r="Q364" s="886"/>
      <c r="R364" s="886"/>
      <c r="S364" s="886"/>
      <c r="T364" s="886"/>
      <c r="U364" s="886"/>
      <c r="V364" s="886"/>
      <c r="W364" s="886"/>
      <c r="X364" s="886"/>
      <c r="Y364" s="886"/>
    </row>
    <row r="365" spans="3:25">
      <c r="C365" s="942"/>
      <c r="D365" s="942"/>
      <c r="E365" s="943"/>
      <c r="F365" s="943"/>
      <c r="G365" s="886"/>
      <c r="H365" s="886"/>
      <c r="I365" s="886"/>
      <c r="J365" s="886"/>
      <c r="K365" s="886"/>
      <c r="L365" s="886"/>
      <c r="M365" s="886"/>
      <c r="N365" s="886"/>
      <c r="O365" s="886"/>
      <c r="P365" s="886"/>
      <c r="Q365" s="886"/>
      <c r="R365" s="886"/>
      <c r="S365" s="886"/>
      <c r="T365" s="886"/>
      <c r="U365" s="886"/>
      <c r="V365" s="886"/>
      <c r="W365" s="886"/>
      <c r="X365" s="886"/>
      <c r="Y365" s="886"/>
    </row>
    <row r="366" spans="3:25">
      <c r="C366" s="942"/>
      <c r="D366" s="942"/>
      <c r="E366" s="943"/>
      <c r="F366" s="943"/>
      <c r="G366" s="886"/>
      <c r="H366" s="886"/>
      <c r="I366" s="886"/>
      <c r="J366" s="886"/>
      <c r="K366" s="886"/>
      <c r="L366" s="886"/>
      <c r="M366" s="886"/>
      <c r="N366" s="886"/>
      <c r="O366" s="886"/>
      <c r="P366" s="886"/>
      <c r="Q366" s="886"/>
      <c r="R366" s="886"/>
      <c r="S366" s="886"/>
      <c r="T366" s="886"/>
      <c r="U366" s="886"/>
      <c r="V366" s="886"/>
      <c r="W366" s="886"/>
      <c r="X366" s="886"/>
      <c r="Y366" s="886"/>
    </row>
    <row r="367" spans="3:25">
      <c r="C367" s="942"/>
      <c r="D367" s="942"/>
      <c r="E367" s="943"/>
      <c r="F367" s="943"/>
      <c r="G367" s="886"/>
      <c r="H367" s="886"/>
      <c r="I367" s="886"/>
      <c r="J367" s="886"/>
      <c r="K367" s="886"/>
      <c r="L367" s="886"/>
      <c r="M367" s="886"/>
      <c r="N367" s="886"/>
      <c r="O367" s="886"/>
      <c r="P367" s="886"/>
      <c r="Q367" s="886"/>
      <c r="R367" s="886"/>
      <c r="S367" s="886"/>
      <c r="T367" s="886"/>
      <c r="U367" s="886"/>
      <c r="V367" s="886"/>
      <c r="W367" s="886"/>
      <c r="X367" s="886"/>
      <c r="Y367" s="886"/>
    </row>
    <row r="368" spans="3:25">
      <c r="C368" s="942"/>
      <c r="D368" s="942"/>
      <c r="E368" s="943"/>
      <c r="F368" s="943"/>
      <c r="G368" s="886"/>
      <c r="H368" s="886"/>
      <c r="I368" s="886"/>
      <c r="J368" s="886"/>
      <c r="K368" s="886"/>
      <c r="L368" s="886"/>
      <c r="M368" s="886"/>
      <c r="N368" s="886"/>
      <c r="O368" s="886"/>
      <c r="P368" s="886"/>
      <c r="Q368" s="886"/>
      <c r="R368" s="886"/>
      <c r="S368" s="886"/>
      <c r="T368" s="886"/>
      <c r="U368" s="886"/>
      <c r="V368" s="886"/>
      <c r="W368" s="886"/>
      <c r="X368" s="886"/>
      <c r="Y368" s="886"/>
    </row>
    <row r="369" spans="3:25">
      <c r="C369" s="942"/>
      <c r="D369" s="942"/>
      <c r="E369" s="943"/>
      <c r="F369" s="943"/>
      <c r="G369" s="886"/>
      <c r="H369" s="886"/>
      <c r="I369" s="886"/>
      <c r="J369" s="886"/>
      <c r="K369" s="886"/>
      <c r="L369" s="886"/>
      <c r="M369" s="886"/>
      <c r="N369" s="886"/>
      <c r="O369" s="886"/>
      <c r="P369" s="886"/>
      <c r="Q369" s="886"/>
      <c r="R369" s="886"/>
      <c r="S369" s="886"/>
      <c r="T369" s="886"/>
      <c r="U369" s="886"/>
      <c r="V369" s="886"/>
      <c r="W369" s="886"/>
      <c r="X369" s="886"/>
      <c r="Y369" s="886"/>
    </row>
    <row r="370" spans="3:25">
      <c r="C370" s="942"/>
      <c r="D370" s="942"/>
      <c r="E370" s="943"/>
      <c r="F370" s="943"/>
      <c r="G370" s="886"/>
      <c r="H370" s="886"/>
      <c r="I370" s="886"/>
      <c r="J370" s="886"/>
      <c r="K370" s="886"/>
      <c r="L370" s="886"/>
      <c r="M370" s="886"/>
      <c r="N370" s="886"/>
      <c r="O370" s="886"/>
      <c r="P370" s="886"/>
      <c r="Q370" s="886"/>
      <c r="R370" s="886"/>
      <c r="S370" s="886"/>
      <c r="T370" s="886"/>
      <c r="U370" s="886"/>
      <c r="V370" s="886"/>
      <c r="W370" s="886"/>
      <c r="X370" s="886"/>
      <c r="Y370" s="886"/>
    </row>
    <row r="371" spans="3:25">
      <c r="C371" s="942"/>
      <c r="D371" s="942"/>
      <c r="E371" s="943"/>
      <c r="F371" s="943"/>
      <c r="G371" s="886"/>
      <c r="H371" s="886"/>
      <c r="I371" s="886"/>
      <c r="J371" s="886"/>
      <c r="K371" s="886"/>
      <c r="L371" s="886"/>
      <c r="M371" s="886"/>
      <c r="N371" s="886"/>
      <c r="O371" s="886"/>
      <c r="P371" s="886"/>
      <c r="Q371" s="886"/>
      <c r="R371" s="886"/>
      <c r="S371" s="886"/>
      <c r="T371" s="886"/>
      <c r="U371" s="886"/>
      <c r="V371" s="886"/>
      <c r="W371" s="886"/>
      <c r="X371" s="886"/>
      <c r="Y371" s="886"/>
    </row>
    <row r="372" spans="3:25">
      <c r="C372" s="942"/>
      <c r="D372" s="942"/>
      <c r="E372" s="943"/>
      <c r="F372" s="943"/>
      <c r="G372" s="886"/>
      <c r="H372" s="886"/>
      <c r="I372" s="886"/>
      <c r="J372" s="886"/>
      <c r="K372" s="886"/>
      <c r="L372" s="886"/>
      <c r="M372" s="886"/>
      <c r="N372" s="886"/>
      <c r="O372" s="886"/>
      <c r="P372" s="886"/>
      <c r="Q372" s="886"/>
      <c r="R372" s="886"/>
      <c r="S372" s="886"/>
      <c r="T372" s="886"/>
      <c r="U372" s="886"/>
      <c r="V372" s="886"/>
      <c r="W372" s="886"/>
      <c r="X372" s="886"/>
      <c r="Y372" s="886"/>
    </row>
    <row r="373" spans="3:25">
      <c r="C373" s="942"/>
      <c r="D373" s="942"/>
      <c r="E373" s="943"/>
      <c r="F373" s="943"/>
      <c r="G373" s="886"/>
      <c r="H373" s="886"/>
      <c r="I373" s="886"/>
      <c r="J373" s="886"/>
      <c r="K373" s="886"/>
      <c r="L373" s="886"/>
      <c r="M373" s="886"/>
      <c r="N373" s="886"/>
      <c r="O373" s="886"/>
      <c r="P373" s="886"/>
      <c r="Q373" s="886"/>
      <c r="R373" s="886"/>
      <c r="S373" s="886"/>
      <c r="T373" s="886"/>
      <c r="U373" s="886"/>
      <c r="V373" s="886"/>
      <c r="W373" s="886"/>
      <c r="X373" s="886"/>
      <c r="Y373" s="886"/>
    </row>
    <row r="374" spans="3:25">
      <c r="C374" s="942"/>
      <c r="D374" s="942"/>
      <c r="E374" s="943"/>
      <c r="F374" s="943"/>
      <c r="G374" s="886"/>
      <c r="H374" s="886"/>
      <c r="I374" s="886"/>
      <c r="J374" s="886"/>
      <c r="K374" s="886"/>
      <c r="L374" s="886"/>
      <c r="M374" s="886"/>
      <c r="N374" s="886"/>
      <c r="O374" s="886"/>
      <c r="P374" s="886"/>
      <c r="Q374" s="886"/>
      <c r="R374" s="886"/>
      <c r="S374" s="886"/>
      <c r="T374" s="886"/>
      <c r="U374" s="886"/>
      <c r="V374" s="886"/>
      <c r="W374" s="886"/>
      <c r="X374" s="886"/>
      <c r="Y374" s="886"/>
    </row>
    <row r="375" spans="3:25">
      <c r="C375" s="942"/>
      <c r="D375" s="942"/>
      <c r="E375" s="943"/>
      <c r="F375" s="943"/>
      <c r="G375" s="886"/>
      <c r="H375" s="886"/>
      <c r="I375" s="886"/>
      <c r="J375" s="886"/>
      <c r="K375" s="886"/>
      <c r="L375" s="886"/>
      <c r="M375" s="886"/>
      <c r="N375" s="886"/>
      <c r="O375" s="886"/>
      <c r="P375" s="886"/>
      <c r="Q375" s="886"/>
      <c r="R375" s="886"/>
      <c r="S375" s="886"/>
      <c r="T375" s="886"/>
      <c r="U375" s="886"/>
      <c r="V375" s="886"/>
      <c r="W375" s="886"/>
      <c r="X375" s="886"/>
      <c r="Y375" s="886"/>
    </row>
    <row r="376" spans="3:25">
      <c r="C376" s="942"/>
      <c r="D376" s="942"/>
      <c r="E376" s="943"/>
      <c r="F376" s="943"/>
      <c r="G376" s="886"/>
      <c r="H376" s="886"/>
      <c r="I376" s="886"/>
      <c r="J376" s="886"/>
      <c r="K376" s="886"/>
      <c r="L376" s="886"/>
      <c r="M376" s="886"/>
      <c r="N376" s="886"/>
      <c r="O376" s="886"/>
      <c r="P376" s="886"/>
      <c r="Q376" s="886"/>
      <c r="R376" s="886"/>
      <c r="S376" s="886"/>
      <c r="T376" s="886"/>
      <c r="U376" s="886"/>
      <c r="V376" s="886"/>
      <c r="W376" s="886"/>
      <c r="X376" s="886"/>
      <c r="Y376" s="886"/>
    </row>
    <row r="377" spans="3:25">
      <c r="C377" s="942"/>
      <c r="D377" s="942"/>
      <c r="E377" s="943"/>
      <c r="F377" s="943"/>
      <c r="G377" s="886"/>
      <c r="H377" s="886"/>
      <c r="I377" s="886"/>
      <c r="J377" s="886"/>
      <c r="K377" s="886"/>
      <c r="L377" s="886"/>
      <c r="M377" s="886"/>
      <c r="N377" s="886"/>
      <c r="O377" s="886"/>
      <c r="P377" s="886"/>
      <c r="Q377" s="886"/>
      <c r="R377" s="886"/>
      <c r="S377" s="886"/>
      <c r="T377" s="886"/>
      <c r="U377" s="886"/>
      <c r="V377" s="886"/>
      <c r="W377" s="886"/>
      <c r="X377" s="886"/>
      <c r="Y377" s="886"/>
    </row>
    <row r="378" spans="3:25">
      <c r="C378" s="942"/>
      <c r="D378" s="942"/>
      <c r="E378" s="943"/>
      <c r="F378" s="943"/>
      <c r="G378" s="886"/>
      <c r="H378" s="886"/>
      <c r="I378" s="886"/>
      <c r="J378" s="886"/>
      <c r="K378" s="886"/>
      <c r="L378" s="886"/>
      <c r="M378" s="886"/>
      <c r="N378" s="886"/>
      <c r="O378" s="886"/>
      <c r="P378" s="886"/>
      <c r="Q378" s="886"/>
      <c r="R378" s="886"/>
      <c r="S378" s="886"/>
      <c r="T378" s="886"/>
      <c r="U378" s="886"/>
      <c r="V378" s="886"/>
      <c r="W378" s="886"/>
      <c r="X378" s="886"/>
      <c r="Y378" s="886"/>
    </row>
    <row r="379" spans="3:25">
      <c r="C379" s="942"/>
      <c r="D379" s="942"/>
      <c r="E379" s="943"/>
      <c r="F379" s="943"/>
      <c r="G379" s="886"/>
      <c r="H379" s="886"/>
      <c r="I379" s="886"/>
      <c r="J379" s="886"/>
      <c r="K379" s="886"/>
      <c r="L379" s="886"/>
      <c r="M379" s="886"/>
      <c r="N379" s="886"/>
      <c r="O379" s="886"/>
      <c r="P379" s="886"/>
      <c r="Q379" s="886"/>
      <c r="R379" s="886"/>
      <c r="S379" s="886"/>
      <c r="T379" s="886"/>
      <c r="U379" s="886"/>
      <c r="V379" s="886"/>
      <c r="W379" s="886"/>
      <c r="X379" s="886"/>
      <c r="Y379" s="886"/>
    </row>
    <row r="380" spans="3:25">
      <c r="C380" s="942"/>
      <c r="D380" s="942"/>
      <c r="E380" s="943"/>
      <c r="F380" s="943"/>
      <c r="G380" s="886"/>
      <c r="H380" s="886"/>
      <c r="I380" s="886"/>
      <c r="J380" s="886"/>
      <c r="K380" s="886"/>
      <c r="L380" s="886"/>
      <c r="M380" s="886"/>
      <c r="N380" s="886"/>
      <c r="O380" s="886"/>
      <c r="P380" s="886"/>
      <c r="Q380" s="886"/>
      <c r="R380" s="886"/>
      <c r="S380" s="886"/>
      <c r="T380" s="886"/>
      <c r="U380" s="886"/>
      <c r="V380" s="886"/>
      <c r="W380" s="886"/>
      <c r="X380" s="886"/>
      <c r="Y380" s="886"/>
    </row>
    <row r="381" spans="3:25">
      <c r="C381" s="942"/>
      <c r="D381" s="942"/>
      <c r="E381" s="943"/>
      <c r="F381" s="943"/>
      <c r="G381" s="886"/>
      <c r="H381" s="886"/>
      <c r="I381" s="886"/>
      <c r="J381" s="886"/>
      <c r="K381" s="886"/>
      <c r="L381" s="886"/>
      <c r="M381" s="886"/>
      <c r="N381" s="886"/>
      <c r="O381" s="886"/>
      <c r="P381" s="886"/>
      <c r="Q381" s="886"/>
      <c r="R381" s="886"/>
      <c r="S381" s="886"/>
      <c r="T381" s="886"/>
      <c r="U381" s="886"/>
      <c r="V381" s="886"/>
      <c r="W381" s="886"/>
      <c r="X381" s="886"/>
      <c r="Y381" s="886"/>
    </row>
    <row r="382" spans="3:25">
      <c r="C382" s="942"/>
      <c r="D382" s="942"/>
      <c r="E382" s="943"/>
      <c r="F382" s="943"/>
      <c r="G382" s="886"/>
      <c r="H382" s="886"/>
      <c r="I382" s="886"/>
      <c r="J382" s="886"/>
      <c r="K382" s="886"/>
      <c r="L382" s="886"/>
      <c r="M382" s="886"/>
      <c r="N382" s="886"/>
      <c r="O382" s="886"/>
      <c r="P382" s="886"/>
      <c r="Q382" s="886"/>
      <c r="R382" s="886"/>
      <c r="S382" s="886"/>
      <c r="T382" s="886"/>
      <c r="U382" s="886"/>
      <c r="V382" s="886"/>
      <c r="W382" s="886"/>
      <c r="X382" s="886"/>
      <c r="Y382" s="886"/>
    </row>
    <row r="383" spans="3:25">
      <c r="C383" s="942"/>
      <c r="D383" s="942"/>
      <c r="E383" s="943"/>
      <c r="F383" s="943"/>
      <c r="G383" s="886"/>
      <c r="H383" s="886"/>
      <c r="I383" s="886"/>
      <c r="J383" s="886"/>
      <c r="K383" s="886"/>
      <c r="L383" s="886"/>
      <c r="M383" s="886"/>
      <c r="N383" s="886"/>
      <c r="O383" s="886"/>
      <c r="P383" s="886"/>
      <c r="Q383" s="886"/>
      <c r="R383" s="886"/>
      <c r="S383" s="886"/>
      <c r="T383" s="886"/>
      <c r="U383" s="886"/>
      <c r="V383" s="886"/>
      <c r="W383" s="886"/>
      <c r="X383" s="886"/>
      <c r="Y383" s="886"/>
    </row>
    <row r="384" spans="3:25">
      <c r="C384" s="942"/>
      <c r="D384" s="942"/>
      <c r="E384" s="943"/>
      <c r="F384" s="943"/>
      <c r="G384" s="886"/>
      <c r="H384" s="886"/>
      <c r="I384" s="886"/>
      <c r="J384" s="886"/>
      <c r="K384" s="886"/>
      <c r="L384" s="886"/>
      <c r="M384" s="886"/>
      <c r="N384" s="886"/>
      <c r="O384" s="886"/>
      <c r="P384" s="886"/>
      <c r="Q384" s="886"/>
      <c r="R384" s="886"/>
      <c r="S384" s="886"/>
      <c r="T384" s="886"/>
      <c r="U384" s="886"/>
      <c r="V384" s="886"/>
      <c r="W384" s="886"/>
      <c r="X384" s="886"/>
      <c r="Y384" s="886"/>
    </row>
    <row r="385" spans="3:25">
      <c r="C385" s="942"/>
      <c r="D385" s="942"/>
      <c r="E385" s="943"/>
      <c r="F385" s="943"/>
      <c r="G385" s="886"/>
      <c r="H385" s="886"/>
      <c r="I385" s="886"/>
      <c r="J385" s="886"/>
      <c r="K385" s="886"/>
      <c r="L385" s="886"/>
      <c r="M385" s="886"/>
      <c r="N385" s="886"/>
      <c r="O385" s="886"/>
      <c r="P385" s="886"/>
      <c r="Q385" s="886"/>
      <c r="R385" s="886"/>
      <c r="S385" s="886"/>
      <c r="T385" s="886"/>
      <c r="U385" s="886"/>
      <c r="V385" s="886"/>
      <c r="W385" s="886"/>
      <c r="X385" s="886"/>
      <c r="Y385" s="886"/>
    </row>
    <row r="386" spans="3:25">
      <c r="C386" s="942"/>
      <c r="D386" s="942"/>
      <c r="E386" s="943"/>
      <c r="F386" s="943"/>
      <c r="G386" s="886"/>
      <c r="H386" s="886"/>
      <c r="I386" s="886"/>
      <c r="J386" s="886"/>
      <c r="K386" s="886"/>
      <c r="L386" s="886"/>
      <c r="M386" s="886"/>
      <c r="N386" s="886"/>
      <c r="O386" s="886"/>
      <c r="P386" s="886"/>
      <c r="Q386" s="886"/>
      <c r="R386" s="886"/>
      <c r="S386" s="886"/>
      <c r="T386" s="886"/>
      <c r="U386" s="886"/>
      <c r="V386" s="886"/>
      <c r="W386" s="886"/>
      <c r="X386" s="886"/>
      <c r="Y386" s="886"/>
    </row>
    <row r="387" spans="3:25">
      <c r="C387" s="942"/>
      <c r="D387" s="942"/>
      <c r="E387" s="943"/>
      <c r="F387" s="943"/>
      <c r="G387" s="886"/>
      <c r="H387" s="886"/>
      <c r="I387" s="886"/>
      <c r="J387" s="886"/>
      <c r="K387" s="886"/>
      <c r="L387" s="886"/>
      <c r="M387" s="886"/>
      <c r="N387" s="886"/>
      <c r="O387" s="886"/>
      <c r="P387" s="886"/>
      <c r="Q387" s="886"/>
      <c r="R387" s="886"/>
      <c r="S387" s="886"/>
      <c r="T387" s="886"/>
      <c r="U387" s="886"/>
      <c r="V387" s="886"/>
      <c r="W387" s="886"/>
      <c r="X387" s="886"/>
      <c r="Y387" s="886"/>
    </row>
    <row r="388" spans="3:25">
      <c r="C388" s="942"/>
      <c r="D388" s="942"/>
      <c r="E388" s="943"/>
      <c r="F388" s="943"/>
      <c r="G388" s="886"/>
      <c r="H388" s="886"/>
      <c r="I388" s="886"/>
      <c r="J388" s="886"/>
      <c r="K388" s="886"/>
      <c r="L388" s="886"/>
      <c r="M388" s="886"/>
      <c r="N388" s="886"/>
      <c r="O388" s="886"/>
      <c r="P388" s="886"/>
      <c r="Q388" s="886"/>
      <c r="R388" s="886"/>
      <c r="S388" s="886"/>
      <c r="T388" s="886"/>
      <c r="U388" s="886"/>
      <c r="V388" s="886"/>
      <c r="W388" s="886"/>
      <c r="X388" s="886"/>
      <c r="Y388" s="886"/>
    </row>
    <row r="389" spans="3:25">
      <c r="C389" s="942"/>
      <c r="D389" s="942"/>
      <c r="E389" s="943"/>
      <c r="F389" s="943"/>
      <c r="G389" s="886"/>
      <c r="H389" s="886"/>
      <c r="I389" s="886"/>
      <c r="J389" s="886"/>
      <c r="K389" s="886"/>
      <c r="L389" s="886"/>
      <c r="M389" s="886"/>
      <c r="N389" s="886"/>
      <c r="O389" s="886"/>
      <c r="P389" s="886"/>
      <c r="Q389" s="886"/>
      <c r="R389" s="886"/>
      <c r="S389" s="886"/>
      <c r="T389" s="886"/>
      <c r="U389" s="886"/>
      <c r="V389" s="886"/>
      <c r="W389" s="886"/>
      <c r="X389" s="886"/>
      <c r="Y389" s="886"/>
    </row>
    <row r="390" spans="3:25">
      <c r="C390" s="942"/>
      <c r="D390" s="942"/>
      <c r="E390" s="943"/>
      <c r="F390" s="943"/>
      <c r="G390" s="886"/>
      <c r="H390" s="886"/>
      <c r="I390" s="886"/>
      <c r="J390" s="886"/>
      <c r="K390" s="886"/>
      <c r="L390" s="886"/>
      <c r="M390" s="886"/>
      <c r="N390" s="886"/>
      <c r="O390" s="886"/>
      <c r="P390" s="886"/>
      <c r="Q390" s="886"/>
      <c r="R390" s="886"/>
      <c r="S390" s="886"/>
      <c r="T390" s="886"/>
      <c r="U390" s="886"/>
      <c r="V390" s="886"/>
      <c r="W390" s="886"/>
      <c r="X390" s="886"/>
      <c r="Y390" s="886"/>
    </row>
    <row r="391" spans="3:25">
      <c r="C391" s="942"/>
      <c r="D391" s="942"/>
      <c r="E391" s="943"/>
      <c r="F391" s="943"/>
      <c r="G391" s="886"/>
      <c r="H391" s="886"/>
      <c r="I391" s="886"/>
      <c r="J391" s="886"/>
      <c r="K391" s="886"/>
      <c r="L391" s="886"/>
      <c r="M391" s="886"/>
      <c r="N391" s="886"/>
      <c r="O391" s="886"/>
      <c r="P391" s="886"/>
      <c r="Q391" s="886"/>
      <c r="R391" s="886"/>
      <c r="S391" s="886"/>
      <c r="T391" s="886"/>
      <c r="U391" s="886"/>
      <c r="V391" s="886"/>
      <c r="W391" s="886"/>
      <c r="X391" s="886"/>
      <c r="Y391" s="886"/>
    </row>
    <row r="392" spans="3:25">
      <c r="C392" s="942"/>
      <c r="D392" s="942"/>
      <c r="E392" s="943"/>
      <c r="F392" s="943"/>
      <c r="G392" s="886"/>
      <c r="H392" s="886"/>
      <c r="I392" s="886"/>
      <c r="J392" s="886"/>
      <c r="K392" s="886"/>
      <c r="L392" s="886"/>
      <c r="M392" s="886"/>
      <c r="N392" s="886"/>
      <c r="O392" s="886"/>
      <c r="P392" s="886"/>
      <c r="Q392" s="886"/>
      <c r="R392" s="886"/>
      <c r="S392" s="886"/>
      <c r="T392" s="886"/>
      <c r="U392" s="886"/>
      <c r="V392" s="886"/>
      <c r="W392" s="886"/>
      <c r="X392" s="886"/>
      <c r="Y392" s="886"/>
    </row>
    <row r="393" spans="3:25">
      <c r="C393" s="942"/>
      <c r="D393" s="942"/>
      <c r="E393" s="943"/>
      <c r="F393" s="943"/>
      <c r="G393" s="886"/>
      <c r="H393" s="886"/>
      <c r="I393" s="886"/>
      <c r="J393" s="886"/>
      <c r="K393" s="886"/>
      <c r="L393" s="886"/>
      <c r="M393" s="886"/>
      <c r="N393" s="886"/>
      <c r="O393" s="886"/>
      <c r="P393" s="886"/>
      <c r="Q393" s="886"/>
      <c r="R393" s="886"/>
      <c r="S393" s="886"/>
      <c r="T393" s="886"/>
      <c r="U393" s="886"/>
      <c r="V393" s="886"/>
      <c r="W393" s="886"/>
      <c r="X393" s="886"/>
      <c r="Y393" s="886"/>
    </row>
    <row r="394" spans="3:25">
      <c r="C394" s="942"/>
      <c r="D394" s="942"/>
      <c r="E394" s="943"/>
      <c r="F394" s="943"/>
      <c r="G394" s="886"/>
      <c r="H394" s="886"/>
      <c r="I394" s="886"/>
      <c r="J394" s="886"/>
      <c r="K394" s="886"/>
      <c r="L394" s="886"/>
      <c r="M394" s="886"/>
      <c r="N394" s="886"/>
      <c r="O394" s="886"/>
      <c r="P394" s="886"/>
      <c r="Q394" s="886"/>
      <c r="R394" s="886"/>
      <c r="S394" s="886"/>
      <c r="T394" s="886"/>
      <c r="U394" s="886"/>
      <c r="V394" s="886"/>
      <c r="W394" s="886"/>
      <c r="X394" s="886"/>
      <c r="Y394" s="886"/>
    </row>
    <row r="395" spans="3:25">
      <c r="C395" s="942"/>
      <c r="D395" s="942"/>
      <c r="E395" s="943"/>
      <c r="F395" s="943"/>
      <c r="G395" s="886"/>
      <c r="H395" s="886"/>
      <c r="I395" s="886"/>
      <c r="J395" s="886"/>
      <c r="K395" s="886"/>
      <c r="L395" s="886"/>
      <c r="M395" s="886"/>
      <c r="N395" s="886"/>
      <c r="O395" s="886"/>
      <c r="P395" s="886"/>
      <c r="Q395" s="886"/>
      <c r="R395" s="886"/>
      <c r="S395" s="886"/>
      <c r="T395" s="886"/>
      <c r="U395" s="886"/>
      <c r="V395" s="886"/>
      <c r="W395" s="886"/>
      <c r="X395" s="886"/>
      <c r="Y395" s="886"/>
    </row>
    <row r="396" spans="3:25">
      <c r="C396" s="942"/>
      <c r="D396" s="942"/>
      <c r="E396" s="943"/>
      <c r="F396" s="943"/>
      <c r="G396" s="886"/>
      <c r="H396" s="886"/>
      <c r="I396" s="886"/>
      <c r="J396" s="886"/>
      <c r="K396" s="886"/>
      <c r="L396" s="886"/>
      <c r="M396" s="886"/>
      <c r="N396" s="886"/>
      <c r="O396" s="886"/>
      <c r="P396" s="886"/>
      <c r="Q396" s="886"/>
      <c r="R396" s="886"/>
      <c r="S396" s="886"/>
      <c r="T396" s="886"/>
      <c r="U396" s="886"/>
      <c r="V396" s="886"/>
      <c r="W396" s="886"/>
      <c r="X396" s="886"/>
      <c r="Y396" s="886"/>
    </row>
    <row r="397" spans="3:25">
      <c r="C397" s="942"/>
      <c r="D397" s="942"/>
      <c r="E397" s="943"/>
      <c r="F397" s="943"/>
      <c r="G397" s="886"/>
      <c r="H397" s="886"/>
      <c r="I397" s="886"/>
      <c r="J397" s="886"/>
      <c r="K397" s="886"/>
      <c r="L397" s="886"/>
      <c r="M397" s="886"/>
      <c r="N397" s="886"/>
      <c r="O397" s="886"/>
      <c r="P397" s="886"/>
      <c r="Q397" s="886"/>
      <c r="R397" s="886"/>
      <c r="S397" s="886"/>
      <c r="T397" s="886"/>
      <c r="U397" s="886"/>
      <c r="V397" s="886"/>
      <c r="W397" s="886"/>
      <c r="X397" s="886"/>
      <c r="Y397" s="886"/>
    </row>
    <row r="398" spans="3:25">
      <c r="C398" s="942"/>
      <c r="D398" s="942"/>
      <c r="E398" s="943"/>
      <c r="F398" s="943"/>
      <c r="G398" s="886"/>
      <c r="H398" s="886"/>
      <c r="I398" s="886"/>
      <c r="J398" s="886"/>
      <c r="K398" s="886"/>
      <c r="L398" s="886"/>
      <c r="M398" s="886"/>
      <c r="N398" s="886"/>
      <c r="O398" s="886"/>
      <c r="P398" s="886"/>
      <c r="Q398" s="886"/>
      <c r="R398" s="886"/>
      <c r="S398" s="886"/>
      <c r="T398" s="886"/>
      <c r="U398" s="886"/>
      <c r="V398" s="886"/>
      <c r="W398" s="886"/>
      <c r="X398" s="886"/>
      <c r="Y398" s="886"/>
    </row>
    <row r="399" spans="3:25">
      <c r="C399" s="942"/>
      <c r="D399" s="942"/>
      <c r="E399" s="943"/>
      <c r="F399" s="943"/>
      <c r="G399" s="886"/>
      <c r="H399" s="886"/>
      <c r="I399" s="886"/>
      <c r="J399" s="886"/>
      <c r="K399" s="886"/>
      <c r="L399" s="886"/>
      <c r="M399" s="886"/>
      <c r="N399" s="886"/>
      <c r="O399" s="886"/>
      <c r="P399" s="886"/>
      <c r="Q399" s="886"/>
      <c r="R399" s="886"/>
      <c r="S399" s="886"/>
      <c r="T399" s="886"/>
      <c r="U399" s="886"/>
      <c r="V399" s="886"/>
      <c r="W399" s="886"/>
      <c r="X399" s="886"/>
      <c r="Y399" s="886"/>
    </row>
    <row r="400" spans="3:25">
      <c r="C400" s="942"/>
      <c r="D400" s="942"/>
      <c r="E400" s="943"/>
      <c r="F400" s="943"/>
      <c r="G400" s="886"/>
      <c r="H400" s="886"/>
      <c r="I400" s="886"/>
      <c r="J400" s="886"/>
      <c r="K400" s="886"/>
      <c r="L400" s="886"/>
      <c r="M400" s="886"/>
      <c r="N400" s="886"/>
      <c r="O400" s="886"/>
      <c r="P400" s="886"/>
      <c r="Q400" s="886"/>
      <c r="R400" s="886"/>
      <c r="S400" s="886"/>
      <c r="T400" s="886"/>
      <c r="U400" s="886"/>
      <c r="V400" s="886"/>
      <c r="W400" s="886"/>
      <c r="X400" s="886"/>
      <c r="Y400" s="886"/>
    </row>
    <row r="401" spans="3:25">
      <c r="C401" s="942"/>
      <c r="D401" s="942"/>
      <c r="E401" s="943"/>
      <c r="F401" s="943"/>
      <c r="G401" s="886"/>
      <c r="H401" s="886"/>
      <c r="I401" s="886"/>
      <c r="J401" s="886"/>
      <c r="K401" s="886"/>
      <c r="L401" s="886"/>
      <c r="M401" s="886"/>
      <c r="N401" s="886"/>
      <c r="O401" s="886"/>
      <c r="P401" s="886"/>
      <c r="Q401" s="886"/>
      <c r="R401" s="886"/>
      <c r="S401" s="886"/>
      <c r="T401" s="886"/>
      <c r="U401" s="886"/>
      <c r="V401" s="886"/>
      <c r="W401" s="886"/>
      <c r="X401" s="886"/>
      <c r="Y401" s="886"/>
    </row>
    <row r="402" spans="3:25">
      <c r="C402" s="942"/>
      <c r="D402" s="942"/>
      <c r="E402" s="943"/>
      <c r="F402" s="943"/>
      <c r="G402" s="886"/>
      <c r="H402" s="886"/>
      <c r="I402" s="886"/>
      <c r="J402" s="886"/>
      <c r="K402" s="886"/>
      <c r="L402" s="886"/>
      <c r="M402" s="886"/>
      <c r="N402" s="886"/>
      <c r="O402" s="886"/>
      <c r="P402" s="886"/>
      <c r="Q402" s="886"/>
      <c r="R402" s="886"/>
      <c r="S402" s="886"/>
      <c r="T402" s="886"/>
      <c r="U402" s="886"/>
      <c r="V402" s="886"/>
      <c r="W402" s="886"/>
      <c r="X402" s="886"/>
      <c r="Y402" s="886"/>
    </row>
    <row r="403" spans="3:25">
      <c r="C403" s="942"/>
      <c r="D403" s="942"/>
      <c r="E403" s="943"/>
      <c r="F403" s="943"/>
      <c r="G403" s="886"/>
      <c r="H403" s="886"/>
      <c r="I403" s="886"/>
      <c r="J403" s="886"/>
      <c r="K403" s="886"/>
      <c r="L403" s="886"/>
      <c r="M403" s="886"/>
      <c r="N403" s="886"/>
      <c r="O403" s="886"/>
      <c r="P403" s="886"/>
      <c r="Q403" s="886"/>
      <c r="R403" s="886"/>
      <c r="S403" s="886"/>
      <c r="T403" s="886"/>
      <c r="U403" s="886"/>
      <c r="V403" s="886"/>
      <c r="W403" s="886"/>
      <c r="X403" s="886"/>
      <c r="Y403" s="886"/>
    </row>
    <row r="404" spans="3:25">
      <c r="C404" s="942"/>
      <c r="D404" s="942"/>
      <c r="E404" s="943"/>
      <c r="F404" s="943"/>
      <c r="G404" s="886"/>
      <c r="H404" s="886"/>
      <c r="I404" s="886"/>
      <c r="J404" s="886"/>
      <c r="K404" s="886"/>
      <c r="L404" s="886"/>
      <c r="M404" s="886"/>
      <c r="N404" s="886"/>
      <c r="O404" s="886"/>
      <c r="P404" s="886"/>
      <c r="Q404" s="886"/>
      <c r="R404" s="886"/>
      <c r="S404" s="886"/>
      <c r="T404" s="886"/>
      <c r="U404" s="886"/>
      <c r="V404" s="886"/>
      <c r="W404" s="886"/>
      <c r="X404" s="886"/>
      <c r="Y404" s="886"/>
    </row>
    <row r="405" spans="3:25">
      <c r="C405" s="942"/>
      <c r="D405" s="942"/>
      <c r="E405" s="943"/>
      <c r="F405" s="943"/>
      <c r="G405" s="886"/>
      <c r="H405" s="886"/>
      <c r="I405" s="886"/>
      <c r="J405" s="886"/>
      <c r="K405" s="886"/>
      <c r="L405" s="886"/>
      <c r="M405" s="886"/>
      <c r="N405" s="886"/>
      <c r="O405" s="886"/>
      <c r="P405" s="886"/>
      <c r="Q405" s="886"/>
      <c r="R405" s="886"/>
      <c r="S405" s="886"/>
      <c r="T405" s="886"/>
      <c r="U405" s="886"/>
      <c r="V405" s="886"/>
      <c r="W405" s="886"/>
      <c r="X405" s="886"/>
      <c r="Y405" s="886"/>
    </row>
    <row r="406" spans="3:25">
      <c r="C406" s="942"/>
      <c r="D406" s="942"/>
      <c r="E406" s="943"/>
      <c r="F406" s="943"/>
      <c r="G406" s="886"/>
      <c r="H406" s="886"/>
      <c r="I406" s="886"/>
      <c r="J406" s="886"/>
      <c r="K406" s="886"/>
      <c r="L406" s="886"/>
      <c r="M406" s="886"/>
      <c r="N406" s="886"/>
      <c r="O406" s="886"/>
      <c r="P406" s="886"/>
      <c r="Q406" s="886"/>
      <c r="R406" s="886"/>
      <c r="S406" s="886"/>
      <c r="T406" s="886"/>
      <c r="U406" s="886"/>
      <c r="V406" s="886"/>
      <c r="W406" s="886"/>
      <c r="X406" s="886"/>
      <c r="Y406" s="886"/>
    </row>
    <row r="407" spans="3:25">
      <c r="C407" s="942"/>
      <c r="D407" s="942"/>
      <c r="E407" s="943"/>
      <c r="F407" s="943"/>
      <c r="G407" s="886"/>
      <c r="H407" s="886"/>
      <c r="I407" s="886"/>
      <c r="J407" s="886"/>
      <c r="K407" s="886"/>
      <c r="L407" s="886"/>
      <c r="M407" s="886"/>
      <c r="N407" s="886"/>
      <c r="O407" s="886"/>
      <c r="P407" s="886"/>
      <c r="Q407" s="886"/>
      <c r="R407" s="886"/>
      <c r="S407" s="886"/>
      <c r="T407" s="886"/>
      <c r="U407" s="886"/>
      <c r="V407" s="886"/>
      <c r="W407" s="886"/>
      <c r="X407" s="886"/>
      <c r="Y407" s="886"/>
    </row>
    <row r="408" spans="3:25">
      <c r="C408" s="942"/>
      <c r="D408" s="942"/>
      <c r="E408" s="943"/>
      <c r="F408" s="943"/>
      <c r="G408" s="886"/>
      <c r="H408" s="886"/>
      <c r="I408" s="886"/>
      <c r="J408" s="886"/>
      <c r="K408" s="886"/>
      <c r="L408" s="886"/>
      <c r="M408" s="886"/>
      <c r="N408" s="886"/>
      <c r="O408" s="886"/>
      <c r="P408" s="886"/>
      <c r="Q408" s="886"/>
      <c r="R408" s="886"/>
      <c r="S408" s="886"/>
      <c r="T408" s="886"/>
      <c r="U408" s="886"/>
      <c r="V408" s="886"/>
      <c r="W408" s="886"/>
      <c r="X408" s="886"/>
      <c r="Y408" s="886"/>
    </row>
    <row r="409" spans="3:25">
      <c r="C409" s="942"/>
      <c r="D409" s="942"/>
      <c r="E409" s="943"/>
      <c r="F409" s="943"/>
      <c r="G409" s="886"/>
      <c r="H409" s="886"/>
      <c r="I409" s="886"/>
      <c r="J409" s="886"/>
      <c r="K409" s="886"/>
      <c r="L409" s="886"/>
      <c r="M409" s="886"/>
      <c r="N409" s="886"/>
      <c r="O409" s="886"/>
      <c r="P409" s="886"/>
      <c r="Q409" s="886"/>
      <c r="R409" s="886"/>
      <c r="S409" s="886"/>
      <c r="T409" s="886"/>
      <c r="U409" s="886"/>
      <c r="V409" s="886"/>
      <c r="W409" s="886"/>
      <c r="X409" s="886"/>
      <c r="Y409" s="886"/>
    </row>
    <row r="410" spans="3:25">
      <c r="C410" s="942"/>
      <c r="D410" s="942"/>
      <c r="E410" s="943"/>
      <c r="F410" s="943"/>
      <c r="G410" s="886"/>
      <c r="H410" s="886"/>
      <c r="I410" s="886"/>
      <c r="J410" s="886"/>
      <c r="K410" s="886"/>
      <c r="L410" s="886"/>
      <c r="M410" s="886"/>
      <c r="N410" s="886"/>
      <c r="O410" s="886"/>
      <c r="P410" s="886"/>
      <c r="Q410" s="886"/>
      <c r="R410" s="886"/>
      <c r="S410" s="886"/>
      <c r="T410" s="886"/>
      <c r="U410" s="886"/>
      <c r="V410" s="886"/>
      <c r="W410" s="886"/>
      <c r="X410" s="886"/>
      <c r="Y410" s="886"/>
    </row>
    <row r="411" spans="3:25">
      <c r="C411" s="942"/>
      <c r="D411" s="942"/>
      <c r="E411" s="943"/>
      <c r="F411" s="943"/>
      <c r="G411" s="886"/>
      <c r="H411" s="886"/>
      <c r="I411" s="886"/>
      <c r="J411" s="886"/>
      <c r="K411" s="886"/>
      <c r="L411" s="886"/>
      <c r="M411" s="886"/>
      <c r="N411" s="886"/>
      <c r="O411" s="886"/>
      <c r="P411" s="886"/>
      <c r="Q411" s="886"/>
      <c r="R411" s="886"/>
      <c r="S411" s="886"/>
      <c r="T411" s="886"/>
      <c r="U411" s="886"/>
      <c r="V411" s="886"/>
      <c r="W411" s="886"/>
      <c r="X411" s="886"/>
      <c r="Y411" s="886"/>
    </row>
    <row r="412" spans="3:25">
      <c r="C412" s="942"/>
      <c r="D412" s="942"/>
      <c r="E412" s="943"/>
      <c r="F412" s="943"/>
      <c r="G412" s="886"/>
      <c r="H412" s="886"/>
      <c r="I412" s="886"/>
      <c r="J412" s="886"/>
      <c r="K412" s="886"/>
      <c r="L412" s="886"/>
      <c r="M412" s="886"/>
      <c r="N412" s="886"/>
      <c r="O412" s="886"/>
      <c r="P412" s="886"/>
      <c r="Q412" s="886"/>
      <c r="R412" s="886"/>
      <c r="S412" s="886"/>
      <c r="T412" s="886"/>
      <c r="U412" s="886"/>
      <c r="V412" s="886"/>
      <c r="W412" s="886"/>
      <c r="X412" s="886"/>
      <c r="Y412" s="886"/>
    </row>
    <row r="413" spans="3:25">
      <c r="C413" s="942"/>
      <c r="D413" s="942"/>
      <c r="E413" s="943"/>
      <c r="F413" s="943"/>
      <c r="G413" s="886"/>
      <c r="H413" s="886"/>
      <c r="I413" s="886"/>
      <c r="J413" s="886"/>
      <c r="K413" s="886"/>
      <c r="L413" s="886"/>
      <c r="M413" s="886"/>
      <c r="N413" s="886"/>
      <c r="O413" s="886"/>
      <c r="P413" s="886"/>
      <c r="Q413" s="886"/>
      <c r="R413" s="886"/>
      <c r="S413" s="886"/>
      <c r="T413" s="886"/>
      <c r="U413" s="886"/>
      <c r="V413" s="886"/>
      <c r="W413" s="886"/>
      <c r="X413" s="886"/>
      <c r="Y413" s="886"/>
    </row>
    <row r="414" spans="3:25">
      <c r="C414" s="942"/>
      <c r="D414" s="942"/>
      <c r="E414" s="943"/>
      <c r="F414" s="943"/>
      <c r="G414" s="886"/>
      <c r="H414" s="886"/>
      <c r="I414" s="886"/>
      <c r="J414" s="886"/>
      <c r="K414" s="886"/>
      <c r="L414" s="886"/>
      <c r="M414" s="886"/>
      <c r="N414" s="886"/>
      <c r="O414" s="886"/>
      <c r="P414" s="886"/>
      <c r="Q414" s="886"/>
      <c r="R414" s="886"/>
      <c r="S414" s="886"/>
      <c r="T414" s="886"/>
      <c r="U414" s="886"/>
      <c r="V414" s="886"/>
      <c r="W414" s="886"/>
      <c r="X414" s="886"/>
      <c r="Y414" s="886"/>
    </row>
    <row r="415" spans="3:25">
      <c r="C415" s="942"/>
      <c r="D415" s="942"/>
      <c r="E415" s="943"/>
      <c r="F415" s="943"/>
      <c r="G415" s="886"/>
      <c r="H415" s="886"/>
      <c r="I415" s="886"/>
      <c r="J415" s="886"/>
      <c r="K415" s="886"/>
      <c r="L415" s="886"/>
      <c r="M415" s="886"/>
      <c r="N415" s="886"/>
      <c r="O415" s="886"/>
      <c r="P415" s="886"/>
      <c r="Q415" s="886"/>
      <c r="R415" s="886"/>
      <c r="S415" s="886"/>
      <c r="T415" s="886"/>
      <c r="U415" s="886"/>
      <c r="V415" s="886"/>
      <c r="W415" s="886"/>
      <c r="X415" s="886"/>
      <c r="Y415" s="886"/>
    </row>
    <row r="416" spans="3:25">
      <c r="C416" s="942"/>
      <c r="D416" s="942"/>
      <c r="E416" s="943"/>
      <c r="F416" s="943"/>
      <c r="G416" s="886"/>
      <c r="H416" s="886"/>
      <c r="I416" s="886"/>
      <c r="J416" s="886"/>
      <c r="K416" s="886"/>
      <c r="L416" s="886"/>
      <c r="M416" s="886"/>
      <c r="N416" s="886"/>
      <c r="O416" s="886"/>
      <c r="P416" s="886"/>
      <c r="Q416" s="886"/>
      <c r="R416" s="886"/>
      <c r="S416" s="886"/>
      <c r="T416" s="886"/>
      <c r="U416" s="886"/>
      <c r="V416" s="886"/>
      <c r="W416" s="886"/>
      <c r="X416" s="886"/>
      <c r="Y416" s="886"/>
    </row>
    <row r="417" spans="3:25">
      <c r="C417" s="942"/>
      <c r="D417" s="942"/>
      <c r="E417" s="943"/>
      <c r="F417" s="943"/>
      <c r="G417" s="886"/>
      <c r="H417" s="886"/>
      <c r="I417" s="886"/>
      <c r="J417" s="886"/>
      <c r="K417" s="886"/>
      <c r="L417" s="886"/>
      <c r="M417" s="886"/>
      <c r="N417" s="886"/>
      <c r="O417" s="886"/>
      <c r="P417" s="886"/>
      <c r="Q417" s="886"/>
      <c r="R417" s="886"/>
      <c r="S417" s="886"/>
      <c r="T417" s="886"/>
      <c r="U417" s="886"/>
      <c r="V417" s="886"/>
      <c r="W417" s="886"/>
      <c r="X417" s="886"/>
      <c r="Y417" s="886"/>
    </row>
    <row r="418" spans="3:25">
      <c r="C418" s="942"/>
      <c r="D418" s="942"/>
      <c r="E418" s="943"/>
      <c r="F418" s="943"/>
      <c r="G418" s="886"/>
      <c r="H418" s="886"/>
      <c r="I418" s="886"/>
      <c r="J418" s="886"/>
      <c r="K418" s="886"/>
      <c r="L418" s="886"/>
      <c r="M418" s="886"/>
      <c r="N418" s="886"/>
      <c r="O418" s="886"/>
      <c r="P418" s="886"/>
      <c r="Q418" s="886"/>
      <c r="R418" s="886"/>
      <c r="S418" s="886"/>
      <c r="T418" s="886"/>
      <c r="U418" s="886"/>
      <c r="V418" s="886"/>
      <c r="W418" s="886"/>
      <c r="X418" s="886"/>
      <c r="Y418" s="886"/>
    </row>
    <row r="419" spans="3:25">
      <c r="C419" s="942"/>
      <c r="D419" s="942"/>
      <c r="E419" s="943"/>
      <c r="F419" s="943"/>
      <c r="G419" s="886"/>
      <c r="H419" s="886"/>
      <c r="I419" s="886"/>
      <c r="J419" s="886"/>
      <c r="K419" s="886"/>
      <c r="L419" s="886"/>
      <c r="M419" s="886"/>
      <c r="N419" s="886"/>
      <c r="O419" s="886"/>
      <c r="P419" s="886"/>
      <c r="Q419" s="886"/>
      <c r="R419" s="886"/>
      <c r="S419" s="886"/>
      <c r="T419" s="886"/>
      <c r="U419" s="886"/>
      <c r="V419" s="886"/>
      <c r="W419" s="886"/>
      <c r="X419" s="886"/>
      <c r="Y419" s="886"/>
    </row>
    <row r="420" spans="3:25">
      <c r="C420" s="942"/>
      <c r="D420" s="942"/>
      <c r="E420" s="943"/>
      <c r="F420" s="943"/>
      <c r="G420" s="886"/>
      <c r="H420" s="886"/>
      <c r="I420" s="886"/>
      <c r="J420" s="886"/>
      <c r="K420" s="886"/>
      <c r="L420" s="886"/>
      <c r="M420" s="886"/>
      <c r="N420" s="886"/>
      <c r="O420" s="886"/>
      <c r="P420" s="886"/>
      <c r="Q420" s="886"/>
      <c r="R420" s="886"/>
      <c r="S420" s="886"/>
      <c r="T420" s="886"/>
      <c r="U420" s="886"/>
      <c r="V420" s="886"/>
      <c r="W420" s="886"/>
      <c r="X420" s="886"/>
      <c r="Y420" s="886"/>
    </row>
    <row r="421" spans="3:25">
      <c r="C421" s="942"/>
      <c r="D421" s="942"/>
      <c r="E421" s="943"/>
      <c r="F421" s="943"/>
      <c r="G421" s="886"/>
      <c r="H421" s="886"/>
      <c r="I421" s="886"/>
      <c r="J421" s="886"/>
      <c r="K421" s="886"/>
      <c r="L421" s="886"/>
      <c r="M421" s="886"/>
      <c r="N421" s="886"/>
      <c r="O421" s="886"/>
      <c r="P421" s="886"/>
      <c r="Q421" s="886"/>
      <c r="R421" s="886"/>
      <c r="S421" s="886"/>
      <c r="T421" s="886"/>
      <c r="U421" s="886"/>
      <c r="V421" s="886"/>
      <c r="W421" s="886"/>
      <c r="X421" s="886"/>
      <c r="Y421" s="886"/>
    </row>
    <row r="422" spans="3:25">
      <c r="C422" s="942"/>
      <c r="D422" s="942"/>
      <c r="E422" s="943"/>
      <c r="F422" s="943"/>
      <c r="G422" s="886"/>
      <c r="H422" s="886"/>
      <c r="I422" s="886"/>
      <c r="J422" s="886"/>
      <c r="K422" s="886"/>
      <c r="L422" s="886"/>
      <c r="M422" s="886"/>
      <c r="N422" s="886"/>
      <c r="O422" s="886"/>
      <c r="P422" s="886"/>
      <c r="Q422" s="886"/>
      <c r="R422" s="886"/>
      <c r="S422" s="886"/>
      <c r="T422" s="886"/>
      <c r="U422" s="886"/>
      <c r="V422" s="886"/>
      <c r="W422" s="886"/>
      <c r="X422" s="886"/>
      <c r="Y422" s="886"/>
    </row>
    <row r="423" spans="3:25">
      <c r="C423" s="942"/>
      <c r="D423" s="942"/>
      <c r="E423" s="943"/>
      <c r="F423" s="943"/>
      <c r="G423" s="886"/>
      <c r="H423" s="886"/>
      <c r="I423" s="886"/>
      <c r="J423" s="886"/>
      <c r="K423" s="886"/>
      <c r="L423" s="886"/>
      <c r="M423" s="886"/>
      <c r="N423" s="886"/>
      <c r="O423" s="886"/>
      <c r="P423" s="886"/>
      <c r="Q423" s="886"/>
      <c r="R423" s="886"/>
      <c r="S423" s="886"/>
      <c r="T423" s="886"/>
      <c r="U423" s="886"/>
      <c r="V423" s="886"/>
      <c r="W423" s="886"/>
      <c r="X423" s="886"/>
      <c r="Y423" s="886"/>
    </row>
    <row r="424" spans="3:25">
      <c r="C424" s="942"/>
      <c r="D424" s="942"/>
      <c r="E424" s="943"/>
      <c r="F424" s="943"/>
      <c r="G424" s="886"/>
      <c r="H424" s="886"/>
      <c r="I424" s="886"/>
      <c r="J424" s="886"/>
      <c r="K424" s="886"/>
      <c r="L424" s="886"/>
      <c r="M424" s="886"/>
      <c r="N424" s="886"/>
      <c r="O424" s="886"/>
      <c r="P424" s="886"/>
      <c r="Q424" s="886"/>
      <c r="R424" s="886"/>
      <c r="S424" s="886"/>
      <c r="T424" s="886"/>
      <c r="U424" s="886"/>
      <c r="V424" s="886"/>
      <c r="W424" s="886"/>
      <c r="X424" s="886"/>
      <c r="Y424" s="886"/>
    </row>
    <row r="425" spans="3:25">
      <c r="C425" s="942"/>
      <c r="D425" s="942"/>
      <c r="E425" s="943"/>
      <c r="F425" s="943"/>
      <c r="G425" s="886"/>
      <c r="H425" s="886"/>
      <c r="I425" s="886"/>
      <c r="J425" s="886"/>
      <c r="K425" s="886"/>
      <c r="L425" s="886"/>
      <c r="M425" s="886"/>
      <c r="N425" s="886"/>
      <c r="O425" s="886"/>
      <c r="P425" s="886"/>
      <c r="Q425" s="886"/>
      <c r="R425" s="886"/>
      <c r="S425" s="886"/>
      <c r="T425" s="886"/>
      <c r="U425" s="886"/>
      <c r="V425" s="886"/>
      <c r="W425" s="886"/>
      <c r="X425" s="886"/>
      <c r="Y425" s="886"/>
    </row>
    <row r="426" spans="3:25">
      <c r="C426" s="942"/>
      <c r="D426" s="942"/>
      <c r="E426" s="943"/>
      <c r="F426" s="943"/>
      <c r="G426" s="886"/>
      <c r="H426" s="886"/>
      <c r="I426" s="886"/>
      <c r="J426" s="886"/>
      <c r="K426" s="886"/>
      <c r="L426" s="886"/>
      <c r="M426" s="886"/>
      <c r="N426" s="886"/>
      <c r="O426" s="886"/>
      <c r="P426" s="886"/>
      <c r="Q426" s="886"/>
      <c r="R426" s="886"/>
      <c r="S426" s="886"/>
      <c r="T426" s="886"/>
      <c r="U426" s="886"/>
      <c r="V426" s="886"/>
      <c r="W426" s="886"/>
      <c r="X426" s="886"/>
      <c r="Y426" s="886"/>
    </row>
    <row r="427" spans="3:25">
      <c r="C427" s="942"/>
      <c r="D427" s="942"/>
      <c r="E427" s="943"/>
      <c r="F427" s="943"/>
      <c r="G427" s="886"/>
      <c r="H427" s="886"/>
      <c r="I427" s="886"/>
      <c r="J427" s="886"/>
      <c r="K427" s="886"/>
      <c r="L427" s="886"/>
      <c r="M427" s="886"/>
      <c r="N427" s="886"/>
      <c r="O427" s="886"/>
      <c r="P427" s="886"/>
      <c r="Q427" s="886"/>
      <c r="R427" s="886"/>
      <c r="S427" s="886"/>
      <c r="T427" s="886"/>
      <c r="U427" s="886"/>
      <c r="V427" s="886"/>
      <c r="W427" s="886"/>
      <c r="X427" s="886"/>
      <c r="Y427" s="886"/>
    </row>
    <row r="428" spans="3:25">
      <c r="C428" s="942"/>
      <c r="D428" s="942"/>
      <c r="E428" s="943"/>
      <c r="F428" s="943"/>
      <c r="G428" s="886"/>
      <c r="H428" s="886"/>
      <c r="I428" s="886"/>
      <c r="J428" s="886"/>
      <c r="K428" s="886"/>
      <c r="L428" s="886"/>
      <c r="M428" s="886"/>
      <c r="N428" s="886"/>
      <c r="O428" s="886"/>
      <c r="P428" s="886"/>
      <c r="Q428" s="886"/>
      <c r="R428" s="886"/>
      <c r="S428" s="886"/>
      <c r="T428" s="886"/>
      <c r="U428" s="886"/>
      <c r="V428" s="886"/>
      <c r="W428" s="886"/>
      <c r="X428" s="886"/>
      <c r="Y428" s="886"/>
    </row>
    <row r="429" spans="3:25">
      <c r="C429" s="942"/>
      <c r="D429" s="942"/>
      <c r="E429" s="943"/>
      <c r="F429" s="943"/>
      <c r="G429" s="886"/>
      <c r="H429" s="886"/>
      <c r="I429" s="886"/>
      <c r="J429" s="886"/>
      <c r="K429" s="886"/>
      <c r="L429" s="886"/>
      <c r="M429" s="886"/>
      <c r="N429" s="886"/>
      <c r="O429" s="886"/>
      <c r="P429" s="886"/>
      <c r="Q429" s="886"/>
      <c r="R429" s="886"/>
      <c r="S429" s="886"/>
      <c r="T429" s="886"/>
      <c r="U429" s="886"/>
      <c r="V429" s="886"/>
      <c r="W429" s="886"/>
      <c r="X429" s="886"/>
      <c r="Y429" s="886"/>
    </row>
    <row r="430" spans="3:25">
      <c r="C430" s="942"/>
      <c r="D430" s="942"/>
      <c r="E430" s="943"/>
      <c r="F430" s="943"/>
      <c r="G430" s="886"/>
      <c r="H430" s="886"/>
      <c r="I430" s="886"/>
      <c r="J430" s="886"/>
      <c r="K430" s="886"/>
      <c r="L430" s="886"/>
      <c r="M430" s="886"/>
      <c r="N430" s="886"/>
      <c r="O430" s="886"/>
      <c r="P430" s="886"/>
      <c r="Q430" s="886"/>
      <c r="R430" s="886"/>
      <c r="S430" s="886"/>
      <c r="T430" s="886"/>
      <c r="U430" s="886"/>
      <c r="V430" s="886"/>
      <c r="W430" s="886"/>
      <c r="X430" s="886"/>
      <c r="Y430" s="886"/>
    </row>
    <row r="431" spans="3:25">
      <c r="C431" s="942"/>
      <c r="D431" s="942"/>
      <c r="E431" s="943"/>
      <c r="F431" s="943"/>
      <c r="G431" s="886"/>
      <c r="H431" s="886"/>
      <c r="I431" s="886"/>
      <c r="J431" s="886"/>
      <c r="K431" s="886"/>
      <c r="L431" s="886"/>
      <c r="M431" s="886"/>
      <c r="N431" s="886"/>
      <c r="O431" s="886"/>
      <c r="P431" s="886"/>
      <c r="Q431" s="886"/>
      <c r="R431" s="886"/>
      <c r="S431" s="886"/>
      <c r="T431" s="886"/>
      <c r="U431" s="886"/>
      <c r="V431" s="886"/>
      <c r="W431" s="886"/>
      <c r="X431" s="886"/>
      <c r="Y431" s="886"/>
    </row>
    <row r="432" spans="3:25">
      <c r="C432" s="942"/>
      <c r="D432" s="942"/>
      <c r="E432" s="943"/>
      <c r="F432" s="943"/>
      <c r="G432" s="886"/>
      <c r="H432" s="886"/>
      <c r="I432" s="886"/>
      <c r="J432" s="886"/>
      <c r="K432" s="886"/>
      <c r="L432" s="886"/>
      <c r="M432" s="886"/>
      <c r="N432" s="886"/>
      <c r="O432" s="886"/>
      <c r="P432" s="886"/>
      <c r="Q432" s="886"/>
      <c r="R432" s="886"/>
      <c r="S432" s="886"/>
      <c r="T432" s="886"/>
      <c r="U432" s="886"/>
      <c r="V432" s="886"/>
      <c r="W432" s="886"/>
      <c r="X432" s="886"/>
      <c r="Y432" s="886"/>
    </row>
    <row r="433" spans="3:25">
      <c r="C433" s="942"/>
      <c r="D433" s="942"/>
      <c r="E433" s="943"/>
      <c r="F433" s="943"/>
      <c r="G433" s="886"/>
      <c r="H433" s="886"/>
      <c r="I433" s="886"/>
      <c r="J433" s="886"/>
      <c r="K433" s="886"/>
      <c r="L433" s="886"/>
      <c r="M433" s="886"/>
      <c r="N433" s="886"/>
      <c r="O433" s="886"/>
      <c r="P433" s="886"/>
      <c r="Q433" s="886"/>
      <c r="R433" s="886"/>
      <c r="S433" s="886"/>
      <c r="T433" s="886"/>
      <c r="U433" s="886"/>
      <c r="V433" s="886"/>
      <c r="W433" s="886"/>
      <c r="X433" s="886"/>
      <c r="Y433" s="886"/>
    </row>
    <row r="434" spans="3:25">
      <c r="C434" s="942"/>
      <c r="D434" s="942"/>
      <c r="E434" s="943"/>
      <c r="F434" s="943"/>
      <c r="G434" s="886"/>
      <c r="H434" s="886"/>
      <c r="I434" s="886"/>
      <c r="J434" s="886"/>
      <c r="K434" s="886"/>
      <c r="L434" s="886"/>
      <c r="M434" s="886"/>
      <c r="N434" s="886"/>
      <c r="O434" s="886"/>
      <c r="P434" s="886"/>
      <c r="Q434" s="886"/>
      <c r="R434" s="886"/>
      <c r="S434" s="886"/>
      <c r="T434" s="886"/>
      <c r="U434" s="886"/>
      <c r="V434" s="886"/>
      <c r="W434" s="886"/>
      <c r="X434" s="886"/>
      <c r="Y434" s="886"/>
    </row>
    <row r="435" spans="3:25">
      <c r="C435" s="942"/>
      <c r="D435" s="942"/>
      <c r="E435" s="943"/>
      <c r="F435" s="943"/>
      <c r="G435" s="886"/>
      <c r="H435" s="886"/>
      <c r="I435" s="886"/>
      <c r="J435" s="886"/>
      <c r="K435" s="886"/>
      <c r="L435" s="886"/>
      <c r="M435" s="886"/>
      <c r="N435" s="886"/>
      <c r="O435" s="886"/>
      <c r="P435" s="886"/>
      <c r="Q435" s="886"/>
      <c r="R435" s="886"/>
      <c r="S435" s="886"/>
      <c r="T435" s="886"/>
      <c r="U435" s="886"/>
      <c r="V435" s="886"/>
      <c r="W435" s="886"/>
      <c r="X435" s="886"/>
      <c r="Y435" s="886"/>
    </row>
    <row r="436" spans="3:25">
      <c r="C436" s="942"/>
      <c r="D436" s="942"/>
      <c r="E436" s="943"/>
      <c r="F436" s="943"/>
      <c r="G436" s="886"/>
      <c r="H436" s="886"/>
      <c r="I436" s="886"/>
      <c r="J436" s="886"/>
      <c r="K436" s="886"/>
      <c r="L436" s="886"/>
      <c r="M436" s="886"/>
      <c r="N436" s="886"/>
      <c r="O436" s="886"/>
      <c r="P436" s="886"/>
      <c r="Q436" s="886"/>
      <c r="R436" s="886"/>
      <c r="S436" s="886"/>
      <c r="T436" s="886"/>
      <c r="U436" s="886"/>
      <c r="V436" s="886"/>
      <c r="W436" s="886"/>
      <c r="X436" s="886"/>
      <c r="Y436" s="886"/>
    </row>
    <row r="437" spans="3:25">
      <c r="C437" s="942"/>
      <c r="D437" s="942"/>
      <c r="E437" s="943"/>
      <c r="F437" s="943"/>
      <c r="G437" s="886"/>
      <c r="H437" s="886"/>
      <c r="I437" s="886"/>
      <c r="J437" s="886"/>
      <c r="K437" s="886"/>
      <c r="L437" s="886"/>
      <c r="M437" s="886"/>
      <c r="N437" s="886"/>
      <c r="O437" s="886"/>
      <c r="P437" s="886"/>
      <c r="Q437" s="886"/>
      <c r="R437" s="886"/>
      <c r="S437" s="886"/>
      <c r="T437" s="886"/>
      <c r="U437" s="886"/>
      <c r="V437" s="886"/>
      <c r="W437" s="886"/>
      <c r="X437" s="886"/>
      <c r="Y437" s="886"/>
    </row>
    <row r="438" spans="3:25">
      <c r="C438" s="942"/>
      <c r="D438" s="942"/>
      <c r="E438" s="943"/>
      <c r="F438" s="943"/>
      <c r="G438" s="886"/>
      <c r="H438" s="886"/>
      <c r="I438" s="886"/>
      <c r="J438" s="886"/>
      <c r="K438" s="886"/>
      <c r="L438" s="886"/>
      <c r="M438" s="886"/>
      <c r="N438" s="886"/>
      <c r="O438" s="886"/>
      <c r="P438" s="886"/>
      <c r="Q438" s="886"/>
      <c r="R438" s="886"/>
      <c r="S438" s="886"/>
      <c r="T438" s="886"/>
      <c r="U438" s="886"/>
      <c r="V438" s="886"/>
      <c r="W438" s="886"/>
      <c r="X438" s="886"/>
      <c r="Y438" s="886"/>
    </row>
    <row r="439" spans="3:25">
      <c r="C439" s="942"/>
      <c r="D439" s="942"/>
      <c r="E439" s="943"/>
      <c r="F439" s="943"/>
      <c r="G439" s="886"/>
      <c r="H439" s="886"/>
      <c r="I439" s="886"/>
      <c r="J439" s="886"/>
      <c r="K439" s="886"/>
      <c r="L439" s="886"/>
      <c r="M439" s="886"/>
      <c r="N439" s="886"/>
      <c r="O439" s="886"/>
      <c r="P439" s="886"/>
      <c r="Q439" s="886"/>
      <c r="R439" s="886"/>
      <c r="S439" s="886"/>
      <c r="T439" s="886"/>
      <c r="U439" s="886"/>
      <c r="V439" s="886"/>
      <c r="W439" s="886"/>
      <c r="X439" s="886"/>
      <c r="Y439" s="886"/>
    </row>
    <row r="440" spans="3:25">
      <c r="C440" s="942"/>
      <c r="D440" s="942"/>
      <c r="E440" s="943"/>
      <c r="F440" s="943"/>
      <c r="G440" s="886"/>
      <c r="H440" s="886"/>
      <c r="I440" s="886"/>
      <c r="J440" s="886"/>
      <c r="K440" s="886"/>
      <c r="L440" s="886"/>
      <c r="M440" s="886"/>
      <c r="N440" s="886"/>
      <c r="O440" s="886"/>
      <c r="P440" s="886"/>
      <c r="Q440" s="886"/>
      <c r="R440" s="886"/>
      <c r="S440" s="886"/>
      <c r="T440" s="886"/>
      <c r="U440" s="886"/>
      <c r="V440" s="886"/>
      <c r="W440" s="886"/>
      <c r="X440" s="886"/>
      <c r="Y440" s="886"/>
    </row>
    <row r="441" spans="3:25">
      <c r="C441" s="942"/>
      <c r="D441" s="942"/>
      <c r="E441" s="943"/>
      <c r="F441" s="943"/>
      <c r="G441" s="886"/>
      <c r="H441" s="886"/>
      <c r="I441" s="886"/>
      <c r="J441" s="886"/>
      <c r="K441" s="886"/>
      <c r="L441" s="886"/>
      <c r="M441" s="886"/>
      <c r="N441" s="886"/>
      <c r="O441" s="886"/>
      <c r="P441" s="886"/>
      <c r="Q441" s="886"/>
      <c r="R441" s="886"/>
      <c r="S441" s="886"/>
      <c r="T441" s="886"/>
      <c r="U441" s="886"/>
      <c r="V441" s="886"/>
      <c r="W441" s="886"/>
      <c r="X441" s="886"/>
      <c r="Y441" s="886"/>
    </row>
    <row r="442" spans="3:25">
      <c r="C442" s="942"/>
      <c r="D442" s="942"/>
      <c r="E442" s="943"/>
      <c r="F442" s="943"/>
      <c r="G442" s="886"/>
      <c r="H442" s="886"/>
      <c r="I442" s="886"/>
      <c r="J442" s="886"/>
      <c r="K442" s="886"/>
      <c r="L442" s="886"/>
      <c r="M442" s="886"/>
      <c r="N442" s="886"/>
      <c r="O442" s="886"/>
      <c r="P442" s="886"/>
      <c r="Q442" s="886"/>
      <c r="R442" s="886"/>
      <c r="S442" s="886"/>
      <c r="T442" s="886"/>
      <c r="U442" s="886"/>
      <c r="V442" s="886"/>
      <c r="W442" s="886"/>
      <c r="X442" s="886"/>
      <c r="Y442" s="886"/>
    </row>
    <row r="443" spans="3:25">
      <c r="C443" s="942"/>
      <c r="D443" s="942"/>
      <c r="E443" s="943"/>
      <c r="F443" s="943"/>
      <c r="G443" s="886"/>
      <c r="H443" s="886"/>
      <c r="I443" s="886"/>
      <c r="J443" s="886"/>
      <c r="K443" s="886"/>
      <c r="L443" s="886"/>
      <c r="M443" s="886"/>
      <c r="N443" s="886"/>
      <c r="O443" s="886"/>
      <c r="P443" s="886"/>
      <c r="Q443" s="886"/>
      <c r="R443" s="886"/>
      <c r="S443" s="886"/>
      <c r="T443" s="886"/>
      <c r="U443" s="886"/>
      <c r="V443" s="886"/>
      <c r="W443" s="886"/>
      <c r="X443" s="886"/>
      <c r="Y443" s="886"/>
    </row>
    <row r="444" spans="3:25">
      <c r="C444" s="942"/>
      <c r="D444" s="942"/>
      <c r="E444" s="943"/>
      <c r="F444" s="943"/>
      <c r="G444" s="886"/>
      <c r="H444" s="886"/>
      <c r="I444" s="886"/>
      <c r="J444" s="886"/>
      <c r="K444" s="886"/>
      <c r="L444" s="886"/>
      <c r="M444" s="886"/>
      <c r="N444" s="886"/>
      <c r="O444" s="886"/>
      <c r="P444" s="886"/>
      <c r="Q444" s="886"/>
      <c r="R444" s="886"/>
      <c r="S444" s="886"/>
      <c r="T444" s="886"/>
      <c r="U444" s="886"/>
      <c r="V444" s="886"/>
      <c r="W444" s="886"/>
      <c r="X444" s="886"/>
      <c r="Y444" s="886"/>
    </row>
    <row r="445" spans="3:25">
      <c r="C445" s="942"/>
      <c r="D445" s="942"/>
      <c r="E445" s="943"/>
      <c r="F445" s="943"/>
      <c r="G445" s="886"/>
      <c r="H445" s="886"/>
      <c r="I445" s="886"/>
      <c r="J445" s="886"/>
      <c r="K445" s="886"/>
      <c r="L445" s="886"/>
      <c r="M445" s="886"/>
      <c r="N445" s="886"/>
      <c r="O445" s="886"/>
      <c r="P445" s="886"/>
      <c r="Q445" s="886"/>
      <c r="R445" s="886"/>
      <c r="S445" s="886"/>
      <c r="T445" s="886"/>
      <c r="U445" s="886"/>
      <c r="V445" s="886"/>
      <c r="W445" s="886"/>
      <c r="X445" s="886"/>
      <c r="Y445" s="886"/>
    </row>
    <row r="446" spans="3:25">
      <c r="C446" s="942"/>
      <c r="D446" s="942"/>
      <c r="E446" s="943"/>
      <c r="F446" s="943"/>
      <c r="G446" s="886"/>
      <c r="H446" s="886"/>
      <c r="I446" s="886"/>
      <c r="J446" s="886"/>
      <c r="K446" s="886"/>
      <c r="L446" s="886"/>
      <c r="M446" s="886"/>
      <c r="N446" s="886"/>
      <c r="O446" s="886"/>
      <c r="P446" s="886"/>
      <c r="Q446" s="886"/>
      <c r="R446" s="886"/>
      <c r="S446" s="886"/>
      <c r="T446" s="886"/>
      <c r="U446" s="886"/>
      <c r="V446" s="886"/>
      <c r="W446" s="886"/>
      <c r="X446" s="886"/>
      <c r="Y446" s="886"/>
    </row>
    <row r="447" spans="3:25">
      <c r="C447" s="942"/>
      <c r="D447" s="942"/>
      <c r="E447" s="943"/>
      <c r="F447" s="943"/>
      <c r="G447" s="886"/>
      <c r="H447" s="886"/>
      <c r="I447" s="886"/>
      <c r="J447" s="886"/>
      <c r="K447" s="886"/>
      <c r="L447" s="886"/>
      <c r="M447" s="886"/>
      <c r="N447" s="886"/>
      <c r="O447" s="886"/>
      <c r="P447" s="886"/>
      <c r="Q447" s="886"/>
      <c r="R447" s="886"/>
      <c r="S447" s="886"/>
      <c r="T447" s="886"/>
      <c r="U447" s="886"/>
      <c r="V447" s="886"/>
      <c r="W447" s="886"/>
      <c r="X447" s="886"/>
      <c r="Y447" s="886"/>
    </row>
    <row r="448" spans="3:25">
      <c r="C448" s="942"/>
      <c r="D448" s="942"/>
      <c r="E448" s="943"/>
      <c r="F448" s="943"/>
      <c r="G448" s="886"/>
      <c r="H448" s="886"/>
      <c r="I448" s="886"/>
      <c r="J448" s="886"/>
      <c r="K448" s="886"/>
      <c r="L448" s="886"/>
      <c r="M448" s="886"/>
      <c r="N448" s="886"/>
      <c r="O448" s="886"/>
      <c r="P448" s="886"/>
      <c r="Q448" s="886"/>
      <c r="R448" s="886"/>
      <c r="S448" s="886"/>
      <c r="T448" s="886"/>
      <c r="U448" s="886"/>
      <c r="V448" s="886"/>
      <c r="W448" s="886"/>
      <c r="X448" s="886"/>
      <c r="Y448" s="886"/>
    </row>
    <row r="449" spans="3:25">
      <c r="C449" s="942"/>
      <c r="D449" s="942"/>
      <c r="E449" s="943"/>
      <c r="F449" s="943"/>
      <c r="G449" s="886"/>
      <c r="H449" s="886"/>
      <c r="I449" s="886"/>
      <c r="J449" s="886"/>
      <c r="K449" s="886"/>
      <c r="L449" s="886"/>
      <c r="M449" s="886"/>
      <c r="N449" s="886"/>
      <c r="O449" s="886"/>
      <c r="P449" s="886"/>
      <c r="Q449" s="886"/>
      <c r="R449" s="886"/>
      <c r="S449" s="886"/>
      <c r="T449" s="886"/>
      <c r="U449" s="886"/>
      <c r="V449" s="886"/>
      <c r="W449" s="886"/>
      <c r="X449" s="886"/>
      <c r="Y449" s="886"/>
    </row>
    <row r="450" spans="3:25">
      <c r="C450" s="942"/>
      <c r="D450" s="942"/>
      <c r="E450" s="943"/>
      <c r="F450" s="943"/>
      <c r="G450" s="886"/>
      <c r="H450" s="886"/>
      <c r="I450" s="886"/>
      <c r="J450" s="886"/>
      <c r="K450" s="886"/>
      <c r="L450" s="886"/>
      <c r="M450" s="886"/>
      <c r="N450" s="886"/>
      <c r="O450" s="886"/>
      <c r="P450" s="886"/>
      <c r="Q450" s="886"/>
      <c r="R450" s="886"/>
      <c r="S450" s="886"/>
      <c r="T450" s="886"/>
      <c r="U450" s="886"/>
      <c r="V450" s="886"/>
      <c r="W450" s="886"/>
      <c r="X450" s="886"/>
      <c r="Y450" s="886"/>
    </row>
    <row r="451" spans="3:25">
      <c r="C451" s="942"/>
      <c r="D451" s="942"/>
      <c r="E451" s="943"/>
      <c r="F451" s="943"/>
      <c r="G451" s="886"/>
      <c r="H451" s="886"/>
      <c r="I451" s="886"/>
      <c r="J451" s="886"/>
      <c r="K451" s="886"/>
      <c r="L451" s="886"/>
      <c r="M451" s="886"/>
      <c r="N451" s="886"/>
      <c r="O451" s="886"/>
      <c r="P451" s="886"/>
      <c r="Q451" s="886"/>
      <c r="R451" s="886"/>
      <c r="S451" s="886"/>
      <c r="T451" s="886"/>
      <c r="U451" s="886"/>
      <c r="V451" s="886"/>
      <c r="W451" s="886"/>
      <c r="X451" s="886"/>
      <c r="Y451" s="886"/>
    </row>
    <row r="452" spans="3:25">
      <c r="C452" s="942"/>
      <c r="D452" s="942"/>
      <c r="E452" s="943"/>
      <c r="F452" s="943"/>
      <c r="G452" s="886"/>
      <c r="H452" s="886"/>
      <c r="I452" s="886"/>
      <c r="J452" s="886"/>
      <c r="K452" s="886"/>
      <c r="L452" s="886"/>
      <c r="M452" s="886"/>
      <c r="N452" s="886"/>
      <c r="O452" s="886"/>
      <c r="P452" s="886"/>
      <c r="Q452" s="886"/>
      <c r="R452" s="886"/>
      <c r="S452" s="886"/>
      <c r="T452" s="886"/>
      <c r="U452" s="886"/>
      <c r="V452" s="886"/>
      <c r="W452" s="886"/>
      <c r="X452" s="886"/>
      <c r="Y452" s="886"/>
    </row>
    <row r="453" spans="3:25">
      <c r="C453" s="942"/>
      <c r="D453" s="942"/>
      <c r="E453" s="943"/>
      <c r="F453" s="943"/>
      <c r="G453" s="886"/>
      <c r="H453" s="886"/>
      <c r="I453" s="886"/>
      <c r="J453" s="886"/>
      <c r="K453" s="886"/>
      <c r="L453" s="886"/>
      <c r="M453" s="886"/>
      <c r="N453" s="886"/>
      <c r="O453" s="886"/>
      <c r="P453" s="886"/>
      <c r="Q453" s="886"/>
      <c r="R453" s="886"/>
      <c r="S453" s="886"/>
      <c r="T453" s="886"/>
      <c r="U453" s="886"/>
      <c r="V453" s="886"/>
      <c r="W453" s="886"/>
      <c r="X453" s="886"/>
      <c r="Y453" s="886"/>
    </row>
    <row r="454" spans="3:25">
      <c r="C454" s="942"/>
      <c r="D454" s="942"/>
      <c r="E454" s="943"/>
      <c r="F454" s="943"/>
      <c r="G454" s="886"/>
      <c r="H454" s="886"/>
      <c r="I454" s="886"/>
      <c r="J454" s="886"/>
      <c r="K454" s="886"/>
      <c r="L454" s="886"/>
      <c r="M454" s="886"/>
      <c r="N454" s="886"/>
      <c r="O454" s="886"/>
      <c r="P454" s="886"/>
      <c r="Q454" s="886"/>
      <c r="R454" s="886"/>
      <c r="S454" s="886"/>
      <c r="T454" s="886"/>
      <c r="U454" s="886"/>
      <c r="V454" s="886"/>
      <c r="W454" s="886"/>
      <c r="X454" s="886"/>
      <c r="Y454" s="886"/>
    </row>
    <row r="455" spans="3:25">
      <c r="C455" s="942"/>
      <c r="D455" s="942"/>
      <c r="E455" s="943"/>
      <c r="F455" s="943"/>
      <c r="G455" s="886"/>
      <c r="H455" s="886"/>
      <c r="I455" s="886"/>
      <c r="J455" s="886"/>
      <c r="K455" s="886"/>
      <c r="L455" s="886"/>
      <c r="M455" s="886"/>
      <c r="N455" s="886"/>
      <c r="O455" s="886"/>
      <c r="P455" s="886"/>
      <c r="Q455" s="886"/>
      <c r="R455" s="886"/>
      <c r="S455" s="886"/>
      <c r="T455" s="886"/>
      <c r="U455" s="886"/>
      <c r="V455" s="886"/>
      <c r="W455" s="886"/>
      <c r="X455" s="886"/>
      <c r="Y455" s="886"/>
    </row>
    <row r="456" spans="3:25">
      <c r="C456" s="942"/>
      <c r="D456" s="942"/>
      <c r="E456" s="943"/>
      <c r="F456" s="943"/>
      <c r="G456" s="886"/>
      <c r="H456" s="886"/>
      <c r="I456" s="886"/>
      <c r="J456" s="886"/>
      <c r="K456" s="886"/>
      <c r="L456" s="886"/>
      <c r="M456" s="886"/>
      <c r="N456" s="886"/>
      <c r="O456" s="886"/>
      <c r="P456" s="886"/>
      <c r="Q456" s="886"/>
      <c r="R456" s="886"/>
      <c r="S456" s="886"/>
      <c r="T456" s="886"/>
      <c r="U456" s="886"/>
      <c r="V456" s="886"/>
      <c r="W456" s="886"/>
      <c r="X456" s="886"/>
      <c r="Y456" s="886"/>
    </row>
    <row r="457" spans="3:25">
      <c r="C457" s="942"/>
      <c r="D457" s="942"/>
      <c r="E457" s="943"/>
      <c r="F457" s="943"/>
      <c r="G457" s="886"/>
      <c r="H457" s="886"/>
      <c r="I457" s="886"/>
      <c r="J457" s="886"/>
      <c r="K457" s="886"/>
      <c r="L457" s="886"/>
      <c r="M457" s="886"/>
      <c r="N457" s="886"/>
      <c r="O457" s="886"/>
      <c r="P457" s="886"/>
      <c r="Q457" s="886"/>
      <c r="R457" s="886"/>
      <c r="S457" s="886"/>
      <c r="T457" s="886"/>
      <c r="U457" s="886"/>
      <c r="V457" s="886"/>
      <c r="W457" s="886"/>
      <c r="X457" s="886"/>
      <c r="Y457" s="886"/>
    </row>
    <row r="458" spans="3:25">
      <c r="C458" s="942"/>
      <c r="D458" s="942"/>
      <c r="E458" s="943"/>
      <c r="F458" s="943"/>
      <c r="G458" s="886"/>
      <c r="H458" s="886"/>
      <c r="I458" s="886"/>
      <c r="J458" s="886"/>
      <c r="K458" s="886"/>
      <c r="L458" s="886"/>
      <c r="M458" s="886"/>
      <c r="N458" s="886"/>
      <c r="O458" s="886"/>
      <c r="P458" s="886"/>
      <c r="Q458" s="886"/>
      <c r="R458" s="886"/>
      <c r="S458" s="886"/>
      <c r="T458" s="886"/>
      <c r="U458" s="886"/>
      <c r="V458" s="886"/>
      <c r="W458" s="886"/>
      <c r="X458" s="886"/>
      <c r="Y458" s="886"/>
    </row>
    <row r="459" spans="3:25">
      <c r="C459" s="942"/>
      <c r="D459" s="942"/>
      <c r="E459" s="943"/>
      <c r="F459" s="943"/>
      <c r="G459" s="886"/>
      <c r="H459" s="886"/>
      <c r="I459" s="886"/>
      <c r="J459" s="886"/>
      <c r="K459" s="886"/>
      <c r="L459" s="886"/>
      <c r="M459" s="886"/>
      <c r="N459" s="886"/>
      <c r="O459" s="886"/>
      <c r="P459" s="886"/>
      <c r="Q459" s="886"/>
      <c r="R459" s="886"/>
      <c r="S459" s="886"/>
      <c r="T459" s="886"/>
      <c r="U459" s="886"/>
      <c r="V459" s="886"/>
      <c r="W459" s="886"/>
      <c r="X459" s="886"/>
      <c r="Y459" s="886"/>
    </row>
    <row r="460" spans="3:25">
      <c r="C460" s="942"/>
      <c r="D460" s="942"/>
      <c r="E460" s="943"/>
      <c r="F460" s="943"/>
      <c r="G460" s="886"/>
      <c r="H460" s="886"/>
      <c r="I460" s="886"/>
      <c r="J460" s="886"/>
      <c r="K460" s="886"/>
      <c r="L460" s="886"/>
      <c r="M460" s="886"/>
      <c r="N460" s="886"/>
      <c r="O460" s="886"/>
      <c r="P460" s="886"/>
      <c r="Q460" s="886"/>
      <c r="R460" s="886"/>
      <c r="S460" s="886"/>
      <c r="T460" s="886"/>
      <c r="U460" s="886"/>
      <c r="V460" s="886"/>
      <c r="W460" s="886"/>
      <c r="X460" s="886"/>
      <c r="Y460" s="886"/>
    </row>
    <row r="461" spans="3:25">
      <c r="C461" s="942"/>
      <c r="D461" s="942"/>
      <c r="E461" s="943"/>
      <c r="F461" s="943"/>
      <c r="G461" s="886"/>
      <c r="H461" s="886"/>
      <c r="I461" s="886"/>
      <c r="J461" s="886"/>
      <c r="K461" s="886"/>
      <c r="L461" s="886"/>
      <c r="M461" s="886"/>
      <c r="N461" s="886"/>
      <c r="O461" s="886"/>
      <c r="P461" s="886"/>
      <c r="Q461" s="886"/>
      <c r="R461" s="886"/>
      <c r="S461" s="886"/>
      <c r="T461" s="886"/>
      <c r="U461" s="886"/>
      <c r="V461" s="886"/>
      <c r="W461" s="886"/>
      <c r="X461" s="886"/>
      <c r="Y461" s="886"/>
    </row>
    <row r="462" spans="3:25">
      <c r="C462" s="942"/>
      <c r="D462" s="942"/>
      <c r="E462" s="943"/>
      <c r="F462" s="943"/>
      <c r="G462" s="886"/>
      <c r="H462" s="886"/>
      <c r="I462" s="886"/>
      <c r="J462" s="886"/>
      <c r="K462" s="886"/>
      <c r="L462" s="886"/>
      <c r="M462" s="886"/>
      <c r="N462" s="886"/>
      <c r="O462" s="886"/>
      <c r="P462" s="886"/>
      <c r="Q462" s="886"/>
      <c r="R462" s="886"/>
      <c r="S462" s="886"/>
      <c r="T462" s="886"/>
      <c r="U462" s="886"/>
      <c r="V462" s="886"/>
      <c r="W462" s="886"/>
      <c r="X462" s="886"/>
      <c r="Y462" s="886"/>
    </row>
    <row r="463" spans="3:25">
      <c r="C463" s="942"/>
      <c r="D463" s="942"/>
      <c r="E463" s="943"/>
      <c r="F463" s="943"/>
      <c r="G463" s="886"/>
      <c r="H463" s="886"/>
      <c r="I463" s="886"/>
      <c r="J463" s="886"/>
      <c r="K463" s="886"/>
      <c r="L463" s="886"/>
      <c r="M463" s="886"/>
      <c r="N463" s="886"/>
      <c r="O463" s="886"/>
      <c r="P463" s="886"/>
      <c r="Q463" s="886"/>
      <c r="R463" s="886"/>
      <c r="S463" s="886"/>
      <c r="T463" s="886"/>
      <c r="U463" s="886"/>
      <c r="V463" s="886"/>
      <c r="W463" s="886"/>
      <c r="X463" s="886"/>
      <c r="Y463" s="886"/>
    </row>
    <row r="464" spans="3:25">
      <c r="C464" s="942"/>
      <c r="D464" s="942"/>
      <c r="E464" s="943"/>
      <c r="F464" s="943"/>
      <c r="G464" s="886"/>
      <c r="H464" s="886"/>
      <c r="I464" s="886"/>
      <c r="J464" s="886"/>
      <c r="K464" s="886"/>
      <c r="L464" s="886"/>
      <c r="M464" s="886"/>
      <c r="N464" s="886"/>
      <c r="O464" s="886"/>
      <c r="P464" s="886"/>
      <c r="Q464" s="886"/>
      <c r="R464" s="886"/>
      <c r="S464" s="886"/>
      <c r="T464" s="886"/>
      <c r="U464" s="886"/>
      <c r="V464" s="886"/>
      <c r="W464" s="886"/>
      <c r="X464" s="886"/>
      <c r="Y464" s="886"/>
    </row>
    <row r="465" spans="3:25">
      <c r="C465" s="942"/>
      <c r="D465" s="942"/>
      <c r="E465" s="943"/>
      <c r="F465" s="943"/>
      <c r="G465" s="886"/>
      <c r="H465" s="886"/>
      <c r="I465" s="886"/>
      <c r="J465" s="886"/>
      <c r="K465" s="886"/>
      <c r="L465" s="886"/>
      <c r="M465" s="886"/>
      <c r="N465" s="886"/>
      <c r="O465" s="886"/>
      <c r="P465" s="886"/>
      <c r="Q465" s="886"/>
      <c r="R465" s="886"/>
      <c r="S465" s="886"/>
      <c r="T465" s="886"/>
      <c r="U465" s="886"/>
      <c r="V465" s="886"/>
      <c r="W465" s="886"/>
      <c r="X465" s="886"/>
      <c r="Y465" s="886"/>
    </row>
    <row r="466" spans="3:25">
      <c r="C466" s="942"/>
      <c r="D466" s="942"/>
      <c r="E466" s="943"/>
      <c r="F466" s="943"/>
      <c r="G466" s="886"/>
      <c r="H466" s="886"/>
      <c r="I466" s="886"/>
      <c r="J466" s="886"/>
      <c r="K466" s="886"/>
      <c r="L466" s="886"/>
      <c r="M466" s="886"/>
      <c r="N466" s="886"/>
      <c r="O466" s="886"/>
      <c r="P466" s="886"/>
      <c r="Q466" s="886"/>
      <c r="R466" s="886"/>
      <c r="S466" s="886"/>
      <c r="T466" s="886"/>
      <c r="U466" s="886"/>
      <c r="V466" s="886"/>
      <c r="W466" s="886"/>
      <c r="X466" s="886"/>
      <c r="Y466" s="886"/>
    </row>
    <row r="467" spans="3:25">
      <c r="C467" s="942"/>
      <c r="D467" s="942"/>
      <c r="E467" s="943"/>
      <c r="F467" s="943"/>
      <c r="G467" s="886"/>
      <c r="H467" s="886"/>
      <c r="I467" s="886"/>
      <c r="J467" s="886"/>
      <c r="K467" s="886"/>
      <c r="L467" s="886"/>
      <c r="M467" s="886"/>
      <c r="N467" s="886"/>
      <c r="O467" s="886"/>
      <c r="P467" s="886"/>
      <c r="Q467" s="886"/>
      <c r="R467" s="886"/>
      <c r="S467" s="886"/>
      <c r="T467" s="886"/>
      <c r="U467" s="886"/>
      <c r="V467" s="886"/>
      <c r="W467" s="886"/>
      <c r="X467" s="886"/>
      <c r="Y467" s="886"/>
    </row>
    <row r="468" spans="3:25">
      <c r="C468" s="942"/>
      <c r="D468" s="942"/>
      <c r="E468" s="943"/>
      <c r="F468" s="943"/>
      <c r="G468" s="886"/>
      <c r="H468" s="886"/>
      <c r="I468" s="886"/>
      <c r="J468" s="886"/>
      <c r="K468" s="886"/>
      <c r="L468" s="886"/>
      <c r="M468" s="886"/>
      <c r="N468" s="886"/>
      <c r="O468" s="886"/>
      <c r="P468" s="886"/>
      <c r="Q468" s="886"/>
      <c r="R468" s="886"/>
      <c r="S468" s="886"/>
      <c r="T468" s="886"/>
      <c r="U468" s="886"/>
      <c r="V468" s="886"/>
      <c r="W468" s="886"/>
      <c r="X468" s="886"/>
      <c r="Y468" s="886"/>
    </row>
    <row r="469" spans="3:25">
      <c r="C469" s="942"/>
      <c r="D469" s="942"/>
      <c r="E469" s="943"/>
      <c r="F469" s="943"/>
      <c r="G469" s="886"/>
      <c r="H469" s="886"/>
      <c r="I469" s="886"/>
      <c r="J469" s="886"/>
      <c r="K469" s="886"/>
      <c r="L469" s="886"/>
      <c r="M469" s="886"/>
      <c r="N469" s="886"/>
      <c r="O469" s="886"/>
      <c r="P469" s="886"/>
      <c r="Q469" s="886"/>
      <c r="R469" s="886"/>
      <c r="S469" s="886"/>
      <c r="T469" s="886"/>
      <c r="U469" s="886"/>
      <c r="V469" s="886"/>
      <c r="W469" s="886"/>
      <c r="X469" s="886"/>
      <c r="Y469" s="886"/>
    </row>
    <row r="470" spans="3:25">
      <c r="C470" s="942"/>
      <c r="D470" s="942"/>
      <c r="E470" s="943"/>
      <c r="F470" s="943"/>
      <c r="G470" s="886"/>
      <c r="H470" s="886"/>
      <c r="I470" s="886"/>
      <c r="J470" s="886"/>
      <c r="K470" s="886"/>
      <c r="L470" s="886"/>
      <c r="M470" s="886"/>
      <c r="N470" s="886"/>
      <c r="O470" s="886"/>
      <c r="P470" s="886"/>
      <c r="Q470" s="886"/>
      <c r="R470" s="886"/>
      <c r="S470" s="886"/>
      <c r="T470" s="886"/>
      <c r="U470" s="886"/>
      <c r="V470" s="886"/>
      <c r="W470" s="886"/>
      <c r="X470" s="886"/>
      <c r="Y470" s="886"/>
    </row>
    <row r="471" spans="3:25">
      <c r="C471" s="942"/>
      <c r="D471" s="942"/>
      <c r="E471" s="943"/>
      <c r="F471" s="943"/>
      <c r="G471" s="886"/>
      <c r="H471" s="886"/>
      <c r="I471" s="886"/>
      <c r="J471" s="886"/>
      <c r="K471" s="886"/>
      <c r="L471" s="886"/>
      <c r="M471" s="886"/>
      <c r="N471" s="886"/>
      <c r="O471" s="886"/>
      <c r="P471" s="886"/>
      <c r="Q471" s="886"/>
      <c r="R471" s="886"/>
      <c r="S471" s="886"/>
      <c r="T471" s="886"/>
      <c r="U471" s="886"/>
      <c r="V471" s="886"/>
      <c r="W471" s="886"/>
      <c r="X471" s="886"/>
      <c r="Y471" s="886"/>
    </row>
    <row r="472" spans="3:25">
      <c r="C472" s="942"/>
      <c r="D472" s="942"/>
      <c r="E472" s="943"/>
      <c r="F472" s="943"/>
      <c r="G472" s="886"/>
      <c r="H472" s="886"/>
      <c r="I472" s="886"/>
      <c r="J472" s="886"/>
      <c r="K472" s="886"/>
      <c r="L472" s="886"/>
      <c r="M472" s="886"/>
      <c r="N472" s="886"/>
      <c r="O472" s="886"/>
      <c r="P472" s="886"/>
      <c r="Q472" s="886"/>
      <c r="R472" s="886"/>
      <c r="S472" s="886"/>
      <c r="T472" s="886"/>
      <c r="U472" s="886"/>
      <c r="V472" s="886"/>
      <c r="W472" s="886"/>
      <c r="X472" s="886"/>
      <c r="Y472" s="886"/>
    </row>
    <row r="473" spans="3:25">
      <c r="C473" s="942"/>
      <c r="D473" s="942"/>
      <c r="E473" s="943"/>
      <c r="F473" s="943"/>
      <c r="G473" s="886"/>
      <c r="H473" s="886"/>
      <c r="I473" s="886"/>
      <c r="J473" s="886"/>
      <c r="K473" s="886"/>
      <c r="L473" s="886"/>
      <c r="M473" s="886"/>
      <c r="N473" s="886"/>
      <c r="O473" s="886"/>
      <c r="P473" s="886"/>
      <c r="Q473" s="886"/>
      <c r="R473" s="886"/>
      <c r="S473" s="886"/>
      <c r="T473" s="886"/>
      <c r="U473" s="886"/>
      <c r="V473" s="886"/>
      <c r="W473" s="886"/>
      <c r="X473" s="886"/>
      <c r="Y473" s="886"/>
    </row>
    <row r="474" spans="3:25">
      <c r="C474" s="942"/>
      <c r="D474" s="942"/>
      <c r="E474" s="943"/>
      <c r="F474" s="943"/>
      <c r="G474" s="886"/>
      <c r="H474" s="886"/>
      <c r="I474" s="886"/>
      <c r="J474" s="886"/>
      <c r="K474" s="886"/>
      <c r="L474" s="886"/>
      <c r="M474" s="886"/>
      <c r="N474" s="886"/>
      <c r="O474" s="886"/>
      <c r="P474" s="886"/>
      <c r="Q474" s="886"/>
      <c r="R474" s="886"/>
      <c r="S474" s="886"/>
      <c r="T474" s="886"/>
      <c r="U474" s="886"/>
      <c r="V474" s="886"/>
      <c r="W474" s="886"/>
      <c r="X474" s="886"/>
      <c r="Y474" s="886"/>
    </row>
    <row r="475" spans="3:25">
      <c r="C475" s="942"/>
      <c r="D475" s="942"/>
      <c r="E475" s="943"/>
      <c r="F475" s="943"/>
      <c r="G475" s="886"/>
      <c r="H475" s="886"/>
      <c r="I475" s="886"/>
      <c r="J475" s="886"/>
      <c r="K475" s="886"/>
      <c r="L475" s="886"/>
      <c r="M475" s="886"/>
      <c r="N475" s="886"/>
      <c r="O475" s="886"/>
      <c r="P475" s="886"/>
      <c r="Q475" s="886"/>
      <c r="R475" s="886"/>
      <c r="S475" s="886"/>
      <c r="T475" s="886"/>
      <c r="U475" s="886"/>
      <c r="V475" s="886"/>
      <c r="W475" s="886"/>
      <c r="X475" s="886"/>
      <c r="Y475" s="886"/>
    </row>
    <row r="476" spans="3:25">
      <c r="C476" s="942"/>
      <c r="D476" s="942"/>
      <c r="E476" s="943"/>
      <c r="F476" s="943"/>
      <c r="G476" s="886"/>
      <c r="H476" s="886"/>
      <c r="I476" s="886"/>
      <c r="J476" s="886"/>
      <c r="K476" s="886"/>
      <c r="L476" s="886"/>
      <c r="M476" s="886"/>
      <c r="N476" s="886"/>
      <c r="O476" s="886"/>
      <c r="P476" s="886"/>
      <c r="Q476" s="886"/>
      <c r="R476" s="886"/>
      <c r="S476" s="886"/>
      <c r="T476" s="886"/>
      <c r="U476" s="886"/>
      <c r="V476" s="886"/>
      <c r="W476" s="886"/>
      <c r="X476" s="886"/>
      <c r="Y476" s="886"/>
    </row>
    <row r="477" spans="3:25">
      <c r="C477" s="942"/>
      <c r="D477" s="942"/>
      <c r="E477" s="943"/>
      <c r="F477" s="943"/>
      <c r="G477" s="886"/>
      <c r="H477" s="886"/>
      <c r="I477" s="886"/>
      <c r="J477" s="886"/>
      <c r="K477" s="886"/>
      <c r="L477" s="886"/>
      <c r="M477" s="886"/>
      <c r="N477" s="886"/>
      <c r="O477" s="886"/>
      <c r="P477" s="886"/>
      <c r="Q477" s="886"/>
      <c r="R477" s="886"/>
      <c r="S477" s="886"/>
      <c r="T477" s="886"/>
      <c r="U477" s="886"/>
      <c r="V477" s="886"/>
      <c r="W477" s="886"/>
      <c r="X477" s="886"/>
      <c r="Y477" s="886"/>
    </row>
    <row r="478" spans="3:25">
      <c r="C478" s="942"/>
      <c r="D478" s="942"/>
      <c r="E478" s="943"/>
      <c r="F478" s="943"/>
      <c r="G478" s="886"/>
      <c r="H478" s="886"/>
      <c r="I478" s="886"/>
      <c r="J478" s="886"/>
      <c r="K478" s="886"/>
      <c r="L478" s="886"/>
      <c r="M478" s="886"/>
      <c r="N478" s="886"/>
      <c r="O478" s="886"/>
      <c r="P478" s="886"/>
      <c r="Q478" s="886"/>
      <c r="R478" s="886"/>
      <c r="S478" s="886"/>
      <c r="T478" s="886"/>
      <c r="U478" s="886"/>
      <c r="V478" s="886"/>
      <c r="W478" s="886"/>
      <c r="X478" s="886"/>
      <c r="Y478" s="886"/>
    </row>
    <row r="479" spans="3:25">
      <c r="C479" s="942"/>
      <c r="D479" s="942"/>
      <c r="E479" s="943"/>
      <c r="F479" s="943"/>
      <c r="G479" s="886"/>
      <c r="H479" s="886"/>
      <c r="I479" s="886"/>
      <c r="J479" s="886"/>
      <c r="K479" s="886"/>
      <c r="L479" s="886"/>
      <c r="M479" s="886"/>
      <c r="N479" s="886"/>
      <c r="O479" s="886"/>
      <c r="P479" s="886"/>
      <c r="Q479" s="886"/>
      <c r="R479" s="886"/>
      <c r="S479" s="886"/>
      <c r="T479" s="886"/>
      <c r="U479" s="886"/>
      <c r="V479" s="886"/>
      <c r="W479" s="886"/>
      <c r="X479" s="886"/>
      <c r="Y479" s="886"/>
    </row>
    <row r="480" spans="3:25">
      <c r="C480" s="942"/>
      <c r="D480" s="942"/>
      <c r="E480" s="943"/>
      <c r="F480" s="943"/>
      <c r="G480" s="886"/>
      <c r="H480" s="886"/>
      <c r="I480" s="886"/>
      <c r="J480" s="886"/>
      <c r="K480" s="886"/>
      <c r="L480" s="886"/>
      <c r="M480" s="886"/>
      <c r="N480" s="886"/>
      <c r="O480" s="886"/>
      <c r="P480" s="886"/>
      <c r="Q480" s="886"/>
      <c r="R480" s="886"/>
      <c r="S480" s="886"/>
      <c r="T480" s="886"/>
      <c r="U480" s="886"/>
      <c r="V480" s="886"/>
      <c r="W480" s="886"/>
      <c r="X480" s="886"/>
      <c r="Y480" s="886"/>
    </row>
    <row r="481" spans="3:25">
      <c r="C481" s="942"/>
      <c r="D481" s="942"/>
      <c r="E481" s="943"/>
      <c r="F481" s="943"/>
      <c r="G481" s="886"/>
      <c r="H481" s="886"/>
      <c r="I481" s="886"/>
      <c r="J481" s="886"/>
      <c r="K481" s="886"/>
      <c r="L481" s="886"/>
      <c r="M481" s="886"/>
      <c r="N481" s="886"/>
      <c r="O481" s="886"/>
      <c r="P481" s="886"/>
      <c r="Q481" s="886"/>
      <c r="R481" s="886"/>
      <c r="S481" s="886"/>
      <c r="T481" s="886"/>
      <c r="U481" s="886"/>
      <c r="V481" s="886"/>
      <c r="W481" s="886"/>
      <c r="X481" s="886"/>
      <c r="Y481" s="886"/>
    </row>
    <row r="482" spans="3:25">
      <c r="C482" s="942"/>
      <c r="D482" s="942"/>
      <c r="E482" s="943"/>
      <c r="F482" s="943"/>
      <c r="G482" s="886"/>
      <c r="H482" s="886"/>
      <c r="I482" s="886"/>
      <c r="J482" s="886"/>
      <c r="K482" s="886"/>
      <c r="L482" s="886"/>
      <c r="M482" s="886"/>
      <c r="N482" s="886"/>
      <c r="O482" s="886"/>
      <c r="P482" s="886"/>
      <c r="Q482" s="886"/>
      <c r="R482" s="886"/>
      <c r="S482" s="886"/>
      <c r="T482" s="886"/>
      <c r="U482" s="886"/>
      <c r="V482" s="886"/>
      <c r="W482" s="886"/>
      <c r="X482" s="886"/>
      <c r="Y482" s="886"/>
    </row>
    <row r="483" spans="3:25">
      <c r="C483" s="942"/>
      <c r="D483" s="942"/>
      <c r="E483" s="943"/>
      <c r="F483" s="943"/>
      <c r="G483" s="886"/>
      <c r="H483" s="886"/>
      <c r="I483" s="886"/>
      <c r="J483" s="886"/>
      <c r="K483" s="886"/>
      <c r="L483" s="886"/>
      <c r="M483" s="886"/>
      <c r="N483" s="886"/>
      <c r="O483" s="886"/>
      <c r="P483" s="886"/>
      <c r="Q483" s="886"/>
      <c r="R483" s="886"/>
      <c r="S483" s="886"/>
      <c r="T483" s="886"/>
      <c r="U483" s="886"/>
      <c r="V483" s="886"/>
      <c r="W483" s="886"/>
      <c r="X483" s="886"/>
      <c r="Y483" s="886"/>
    </row>
    <row r="484" spans="3:25">
      <c r="C484" s="942"/>
      <c r="D484" s="942"/>
      <c r="E484" s="943"/>
      <c r="F484" s="943"/>
      <c r="G484" s="886"/>
      <c r="H484" s="886"/>
      <c r="I484" s="886"/>
      <c r="J484" s="886"/>
      <c r="K484" s="886"/>
      <c r="L484" s="886"/>
      <c r="M484" s="886"/>
      <c r="N484" s="886"/>
      <c r="O484" s="886"/>
      <c r="P484" s="886"/>
      <c r="Q484" s="886"/>
      <c r="R484" s="886"/>
      <c r="S484" s="886"/>
      <c r="T484" s="886"/>
      <c r="U484" s="886"/>
      <c r="V484" s="886"/>
      <c r="W484" s="886"/>
      <c r="X484" s="886"/>
      <c r="Y484" s="886"/>
    </row>
    <row r="485" spans="3:25">
      <c r="C485" s="942"/>
      <c r="D485" s="942"/>
      <c r="E485" s="943"/>
      <c r="F485" s="943"/>
      <c r="G485" s="886"/>
      <c r="H485" s="886"/>
      <c r="I485" s="886"/>
      <c r="J485" s="886"/>
      <c r="K485" s="886"/>
      <c r="L485" s="886"/>
      <c r="M485" s="886"/>
      <c r="N485" s="886"/>
      <c r="O485" s="886"/>
      <c r="P485" s="886"/>
      <c r="Q485" s="886"/>
      <c r="R485" s="886"/>
      <c r="S485" s="886"/>
      <c r="T485" s="886"/>
      <c r="U485" s="886"/>
      <c r="V485" s="886"/>
      <c r="W485" s="886"/>
      <c r="X485" s="886"/>
      <c r="Y485" s="886"/>
    </row>
    <row r="486" spans="3:25">
      <c r="C486" s="942"/>
      <c r="D486" s="942"/>
      <c r="E486" s="943"/>
      <c r="F486" s="943"/>
      <c r="G486" s="886"/>
      <c r="H486" s="886"/>
      <c r="I486" s="886"/>
      <c r="J486" s="886"/>
      <c r="K486" s="886"/>
      <c r="L486" s="886"/>
      <c r="M486" s="886"/>
      <c r="N486" s="886"/>
      <c r="O486" s="886"/>
      <c r="P486" s="886"/>
      <c r="Q486" s="886"/>
      <c r="R486" s="886"/>
      <c r="S486" s="886"/>
      <c r="T486" s="886"/>
      <c r="U486" s="886"/>
      <c r="V486" s="886"/>
      <c r="W486" s="886"/>
      <c r="X486" s="886"/>
      <c r="Y486" s="886"/>
    </row>
    <row r="487" spans="3:25">
      <c r="C487" s="942"/>
      <c r="D487" s="942"/>
      <c r="E487" s="943"/>
      <c r="F487" s="943"/>
      <c r="G487" s="886"/>
      <c r="H487" s="886"/>
      <c r="I487" s="886"/>
      <c r="J487" s="886"/>
      <c r="K487" s="886"/>
      <c r="L487" s="886"/>
      <c r="M487" s="886"/>
      <c r="N487" s="886"/>
      <c r="O487" s="886"/>
      <c r="P487" s="886"/>
      <c r="Q487" s="886"/>
      <c r="R487" s="886"/>
      <c r="S487" s="886"/>
      <c r="T487" s="886"/>
      <c r="U487" s="886"/>
      <c r="V487" s="886"/>
      <c r="W487" s="886"/>
      <c r="X487" s="886"/>
      <c r="Y487" s="886"/>
    </row>
    <row r="488" spans="3:25">
      <c r="C488" s="942"/>
      <c r="D488" s="942"/>
      <c r="E488" s="943"/>
      <c r="F488" s="943"/>
      <c r="G488" s="886"/>
      <c r="H488" s="886"/>
      <c r="I488" s="886"/>
      <c r="J488" s="886"/>
      <c r="K488" s="886"/>
      <c r="L488" s="886"/>
      <c r="M488" s="886"/>
      <c r="N488" s="886"/>
      <c r="O488" s="886"/>
      <c r="P488" s="886"/>
      <c r="Q488" s="886"/>
      <c r="R488" s="886"/>
      <c r="S488" s="886"/>
      <c r="T488" s="886"/>
      <c r="U488" s="886"/>
      <c r="V488" s="886"/>
      <c r="W488" s="886"/>
      <c r="X488" s="886"/>
      <c r="Y488" s="886"/>
    </row>
    <row r="489" spans="3:25">
      <c r="C489" s="942"/>
      <c r="D489" s="942"/>
      <c r="E489" s="943"/>
      <c r="F489" s="943"/>
      <c r="G489" s="886"/>
      <c r="H489" s="886"/>
      <c r="I489" s="886"/>
      <c r="J489" s="886"/>
      <c r="K489" s="886"/>
      <c r="L489" s="886"/>
      <c r="M489" s="886"/>
      <c r="N489" s="886"/>
      <c r="O489" s="886"/>
      <c r="P489" s="886"/>
      <c r="Q489" s="886"/>
      <c r="R489" s="886"/>
      <c r="S489" s="886"/>
      <c r="T489" s="886"/>
      <c r="U489" s="886"/>
      <c r="V489" s="886"/>
      <c r="W489" s="886"/>
      <c r="X489" s="886"/>
      <c r="Y489" s="886"/>
    </row>
    <row r="490" spans="3:25">
      <c r="C490" s="942"/>
      <c r="D490" s="942"/>
      <c r="E490" s="943"/>
      <c r="F490" s="943"/>
      <c r="G490" s="886"/>
      <c r="H490" s="886"/>
      <c r="I490" s="886"/>
      <c r="J490" s="886"/>
      <c r="K490" s="886"/>
      <c r="L490" s="886"/>
      <c r="M490" s="886"/>
      <c r="N490" s="886"/>
      <c r="O490" s="886"/>
      <c r="P490" s="886"/>
      <c r="Q490" s="886"/>
      <c r="R490" s="886"/>
      <c r="S490" s="886"/>
      <c r="T490" s="886"/>
      <c r="U490" s="886"/>
      <c r="V490" s="886"/>
      <c r="W490" s="886"/>
      <c r="X490" s="886"/>
      <c r="Y490" s="886"/>
    </row>
    <row r="491" spans="3:25">
      <c r="C491" s="942"/>
      <c r="D491" s="942"/>
      <c r="E491" s="943"/>
      <c r="F491" s="943"/>
      <c r="G491" s="886"/>
      <c r="H491" s="886"/>
      <c r="I491" s="886"/>
      <c r="J491" s="886"/>
      <c r="K491" s="886"/>
      <c r="L491" s="886"/>
      <c r="M491" s="886"/>
      <c r="N491" s="886"/>
      <c r="O491" s="886"/>
      <c r="P491" s="886"/>
      <c r="Q491" s="886"/>
      <c r="R491" s="886"/>
      <c r="S491" s="886"/>
      <c r="T491" s="886"/>
      <c r="U491" s="886"/>
      <c r="V491" s="886"/>
      <c r="W491" s="886"/>
      <c r="X491" s="886"/>
      <c r="Y491" s="886"/>
    </row>
    <row r="492" spans="3:25">
      <c r="C492" s="942"/>
      <c r="D492" s="942"/>
      <c r="E492" s="943"/>
      <c r="F492" s="943"/>
      <c r="G492" s="886"/>
      <c r="H492" s="886"/>
      <c r="I492" s="886"/>
      <c r="J492" s="886"/>
      <c r="K492" s="886"/>
      <c r="L492" s="886"/>
      <c r="M492" s="886"/>
      <c r="N492" s="886"/>
      <c r="O492" s="886"/>
      <c r="P492" s="886"/>
      <c r="Q492" s="886"/>
      <c r="R492" s="886"/>
      <c r="S492" s="886"/>
      <c r="T492" s="886"/>
      <c r="U492" s="886"/>
      <c r="V492" s="886"/>
      <c r="W492" s="886"/>
      <c r="X492" s="886"/>
      <c r="Y492" s="886"/>
    </row>
    <row r="493" spans="3:25">
      <c r="C493" s="942"/>
      <c r="D493" s="942"/>
      <c r="E493" s="943"/>
      <c r="F493" s="943"/>
      <c r="G493" s="886"/>
      <c r="H493" s="886"/>
      <c r="I493" s="886"/>
      <c r="J493" s="886"/>
      <c r="K493" s="886"/>
      <c r="L493" s="886"/>
      <c r="M493" s="886"/>
      <c r="N493" s="886"/>
      <c r="O493" s="886"/>
      <c r="P493" s="886"/>
      <c r="Q493" s="886"/>
      <c r="R493" s="886"/>
      <c r="S493" s="886"/>
      <c r="T493" s="886"/>
      <c r="U493" s="886"/>
      <c r="V493" s="886"/>
      <c r="W493" s="886"/>
      <c r="X493" s="886"/>
      <c r="Y493" s="886"/>
    </row>
    <row r="494" spans="3:25">
      <c r="C494" s="942"/>
      <c r="D494" s="942"/>
      <c r="E494" s="943"/>
      <c r="F494" s="943"/>
      <c r="G494" s="886"/>
      <c r="H494" s="886"/>
      <c r="I494" s="886"/>
      <c r="J494" s="886"/>
      <c r="K494" s="886"/>
      <c r="L494" s="886"/>
      <c r="M494" s="886"/>
      <c r="N494" s="886"/>
      <c r="O494" s="886"/>
      <c r="P494" s="886"/>
      <c r="Q494" s="886"/>
      <c r="R494" s="886"/>
      <c r="S494" s="886"/>
      <c r="T494" s="886"/>
      <c r="U494" s="886"/>
      <c r="V494" s="886"/>
      <c r="W494" s="886"/>
      <c r="X494" s="886"/>
      <c r="Y494" s="886"/>
    </row>
    <row r="495" spans="3:25">
      <c r="C495" s="942"/>
      <c r="D495" s="942"/>
      <c r="E495" s="943"/>
      <c r="F495" s="943"/>
      <c r="G495" s="886"/>
      <c r="H495" s="886"/>
      <c r="I495" s="886"/>
      <c r="J495" s="886"/>
      <c r="K495" s="886"/>
      <c r="L495" s="886"/>
      <c r="M495" s="886"/>
      <c r="N495" s="886"/>
      <c r="O495" s="886"/>
      <c r="P495" s="886"/>
      <c r="Q495" s="886"/>
      <c r="R495" s="886"/>
      <c r="S495" s="886"/>
      <c r="T495" s="886"/>
      <c r="U495" s="886"/>
      <c r="V495" s="886"/>
      <c r="W495" s="886"/>
      <c r="X495" s="886"/>
      <c r="Y495" s="886"/>
    </row>
    <row r="496" spans="3:25">
      <c r="C496" s="942"/>
      <c r="D496" s="942"/>
      <c r="E496" s="943"/>
      <c r="F496" s="943"/>
      <c r="G496" s="886"/>
      <c r="H496" s="886"/>
      <c r="I496" s="886"/>
      <c r="J496" s="886"/>
      <c r="K496" s="886"/>
      <c r="L496" s="886"/>
      <c r="M496" s="886"/>
      <c r="N496" s="886"/>
      <c r="O496" s="886"/>
      <c r="P496" s="886"/>
      <c r="Q496" s="886"/>
      <c r="R496" s="886"/>
      <c r="S496" s="886"/>
      <c r="T496" s="886"/>
      <c r="U496" s="886"/>
      <c r="V496" s="886"/>
      <c r="W496" s="886"/>
      <c r="X496" s="886"/>
      <c r="Y496" s="886"/>
    </row>
    <row r="497" spans="3:25">
      <c r="C497" s="942"/>
      <c r="D497" s="942"/>
      <c r="E497" s="943"/>
      <c r="F497" s="943"/>
      <c r="G497" s="886"/>
      <c r="H497" s="886"/>
      <c r="I497" s="886"/>
      <c r="J497" s="886"/>
      <c r="K497" s="886"/>
      <c r="L497" s="886"/>
      <c r="M497" s="886"/>
      <c r="N497" s="886"/>
      <c r="O497" s="886"/>
      <c r="P497" s="886"/>
      <c r="Q497" s="886"/>
      <c r="R497" s="886"/>
      <c r="S497" s="886"/>
      <c r="T497" s="886"/>
      <c r="U497" s="886"/>
      <c r="V497" s="886"/>
      <c r="W497" s="886"/>
      <c r="X497" s="886"/>
      <c r="Y497" s="886"/>
    </row>
    <row r="498" spans="3:25">
      <c r="C498" s="942"/>
      <c r="D498" s="942"/>
      <c r="E498" s="943"/>
      <c r="F498" s="943"/>
      <c r="G498" s="886"/>
      <c r="H498" s="886"/>
      <c r="I498" s="886"/>
      <c r="J498" s="886"/>
      <c r="K498" s="886"/>
      <c r="L498" s="886"/>
      <c r="M498" s="886"/>
      <c r="N498" s="886"/>
      <c r="O498" s="886"/>
      <c r="P498" s="886"/>
      <c r="Q498" s="886"/>
      <c r="R498" s="886"/>
      <c r="S498" s="886"/>
      <c r="T498" s="886"/>
      <c r="U498" s="886"/>
      <c r="V498" s="886"/>
      <c r="W498" s="886"/>
      <c r="X498" s="886"/>
      <c r="Y498" s="886"/>
    </row>
    <row r="499" spans="3:25">
      <c r="C499" s="942"/>
      <c r="D499" s="942"/>
      <c r="E499" s="943"/>
      <c r="F499" s="943"/>
      <c r="G499" s="886"/>
      <c r="H499" s="886"/>
      <c r="I499" s="886"/>
      <c r="J499" s="886"/>
      <c r="K499" s="886"/>
      <c r="L499" s="886"/>
      <c r="M499" s="886"/>
      <c r="N499" s="886"/>
      <c r="O499" s="886"/>
      <c r="P499" s="886"/>
      <c r="Q499" s="886"/>
      <c r="R499" s="886"/>
      <c r="S499" s="886"/>
      <c r="T499" s="886"/>
      <c r="U499" s="886"/>
      <c r="V499" s="886"/>
      <c r="W499" s="886"/>
      <c r="X499" s="886"/>
      <c r="Y499" s="886"/>
    </row>
    <row r="500" spans="3:25">
      <c r="C500" s="942"/>
      <c r="D500" s="942"/>
      <c r="E500" s="943"/>
      <c r="F500" s="943"/>
      <c r="G500" s="886"/>
      <c r="H500" s="886"/>
      <c r="I500" s="886"/>
      <c r="J500" s="886"/>
      <c r="K500" s="886"/>
      <c r="L500" s="886"/>
      <c r="M500" s="886"/>
      <c r="N500" s="886"/>
      <c r="O500" s="886"/>
      <c r="P500" s="886"/>
      <c r="Q500" s="886"/>
      <c r="R500" s="886"/>
      <c r="S500" s="886"/>
      <c r="T500" s="886"/>
      <c r="U500" s="886"/>
      <c r="V500" s="886"/>
      <c r="W500" s="886"/>
      <c r="X500" s="886"/>
      <c r="Y500" s="886"/>
    </row>
    <row r="501" spans="3:25">
      <c r="C501" s="942"/>
      <c r="D501" s="942"/>
      <c r="E501" s="943"/>
      <c r="F501" s="943"/>
      <c r="G501" s="886"/>
      <c r="H501" s="886"/>
      <c r="I501" s="886"/>
      <c r="J501" s="886"/>
      <c r="K501" s="886"/>
      <c r="L501" s="886"/>
      <c r="M501" s="886"/>
      <c r="N501" s="886"/>
      <c r="O501" s="886"/>
      <c r="P501" s="886"/>
      <c r="Q501" s="886"/>
      <c r="R501" s="886"/>
      <c r="S501" s="886"/>
      <c r="T501" s="886"/>
      <c r="U501" s="886"/>
      <c r="V501" s="886"/>
      <c r="W501" s="886"/>
      <c r="X501" s="886"/>
      <c r="Y501" s="886"/>
    </row>
    <row r="502" spans="3:25">
      <c r="C502" s="942"/>
      <c r="D502" s="942"/>
      <c r="E502" s="943"/>
      <c r="F502" s="943"/>
      <c r="G502" s="886"/>
      <c r="H502" s="886"/>
      <c r="I502" s="886"/>
      <c r="J502" s="886"/>
      <c r="K502" s="886"/>
      <c r="L502" s="886"/>
      <c r="M502" s="886"/>
      <c r="N502" s="886"/>
      <c r="O502" s="886"/>
      <c r="P502" s="886"/>
      <c r="Q502" s="886"/>
      <c r="R502" s="886"/>
      <c r="S502" s="886"/>
      <c r="T502" s="886"/>
      <c r="U502" s="886"/>
      <c r="V502" s="886"/>
      <c r="W502" s="886"/>
      <c r="X502" s="886"/>
      <c r="Y502" s="886"/>
    </row>
    <row r="503" spans="3:25">
      <c r="C503" s="942"/>
      <c r="D503" s="942"/>
      <c r="E503" s="943"/>
      <c r="F503" s="943"/>
      <c r="G503" s="886"/>
      <c r="H503" s="886"/>
      <c r="I503" s="886"/>
      <c r="J503" s="886"/>
      <c r="K503" s="886"/>
      <c r="L503" s="886"/>
      <c r="M503" s="886"/>
      <c r="N503" s="886"/>
      <c r="O503" s="886"/>
      <c r="P503" s="886"/>
      <c r="Q503" s="886"/>
      <c r="R503" s="886"/>
      <c r="S503" s="886"/>
      <c r="T503" s="886"/>
      <c r="U503" s="886"/>
      <c r="V503" s="886"/>
      <c r="W503" s="886"/>
      <c r="X503" s="886"/>
      <c r="Y503" s="886"/>
    </row>
    <row r="504" spans="3:25">
      <c r="C504" s="942"/>
      <c r="D504" s="942"/>
      <c r="E504" s="943"/>
      <c r="F504" s="943"/>
      <c r="G504" s="886"/>
      <c r="H504" s="886"/>
      <c r="I504" s="886"/>
      <c r="J504" s="886"/>
      <c r="K504" s="886"/>
      <c r="L504" s="886"/>
      <c r="M504" s="886"/>
      <c r="N504" s="886"/>
      <c r="O504" s="886"/>
      <c r="P504" s="886"/>
      <c r="Q504" s="886"/>
      <c r="R504" s="886"/>
      <c r="S504" s="886"/>
      <c r="T504" s="886"/>
      <c r="U504" s="886"/>
      <c r="V504" s="886"/>
      <c r="W504" s="886"/>
      <c r="X504" s="886"/>
      <c r="Y504" s="886"/>
    </row>
    <row r="505" spans="3:25">
      <c r="C505" s="942"/>
      <c r="D505" s="942"/>
      <c r="E505" s="943"/>
      <c r="F505" s="943"/>
      <c r="G505" s="886"/>
      <c r="H505" s="886"/>
      <c r="I505" s="886"/>
      <c r="J505" s="886"/>
      <c r="K505" s="886"/>
      <c r="L505" s="886"/>
      <c r="M505" s="886"/>
      <c r="N505" s="886"/>
      <c r="O505" s="886"/>
      <c r="P505" s="886"/>
      <c r="Q505" s="886"/>
      <c r="R505" s="886"/>
      <c r="S505" s="886"/>
      <c r="T505" s="886"/>
      <c r="U505" s="886"/>
      <c r="V505" s="886"/>
      <c r="W505" s="886"/>
      <c r="X505" s="886"/>
      <c r="Y505" s="886"/>
    </row>
    <row r="506" spans="3:25">
      <c r="C506" s="942"/>
      <c r="D506" s="942"/>
      <c r="E506" s="943"/>
      <c r="F506" s="943"/>
      <c r="G506" s="886"/>
      <c r="H506" s="886"/>
      <c r="I506" s="886"/>
      <c r="J506" s="886"/>
      <c r="K506" s="886"/>
      <c r="L506" s="886"/>
      <c r="M506" s="886"/>
      <c r="N506" s="886"/>
      <c r="O506" s="886"/>
      <c r="P506" s="886"/>
      <c r="Q506" s="886"/>
      <c r="R506" s="886"/>
      <c r="S506" s="886"/>
      <c r="T506" s="886"/>
      <c r="U506" s="886"/>
      <c r="V506" s="886"/>
      <c r="W506" s="886"/>
      <c r="X506" s="886"/>
      <c r="Y506" s="886"/>
    </row>
    <row r="507" spans="3:25">
      <c r="C507" s="942"/>
      <c r="D507" s="942"/>
      <c r="E507" s="943"/>
      <c r="F507" s="943"/>
      <c r="G507" s="886"/>
      <c r="H507" s="886"/>
      <c r="I507" s="886"/>
      <c r="J507" s="886"/>
      <c r="K507" s="886"/>
      <c r="L507" s="886"/>
      <c r="M507" s="886"/>
      <c r="N507" s="886"/>
      <c r="O507" s="886"/>
      <c r="P507" s="886"/>
      <c r="Q507" s="886"/>
      <c r="R507" s="886"/>
      <c r="S507" s="886"/>
      <c r="T507" s="886"/>
      <c r="U507" s="886"/>
      <c r="V507" s="886"/>
      <c r="W507" s="886"/>
      <c r="X507" s="886"/>
      <c r="Y507" s="886"/>
    </row>
    <row r="508" spans="3:25">
      <c r="C508" s="942"/>
      <c r="D508" s="942"/>
      <c r="E508" s="943"/>
      <c r="F508" s="943"/>
      <c r="G508" s="886"/>
      <c r="H508" s="886"/>
      <c r="I508" s="886"/>
      <c r="J508" s="886"/>
      <c r="K508" s="886"/>
      <c r="L508" s="886"/>
      <c r="M508" s="886"/>
      <c r="N508" s="886"/>
      <c r="O508" s="886"/>
      <c r="P508" s="886"/>
      <c r="Q508" s="886"/>
      <c r="R508" s="886"/>
      <c r="S508" s="886"/>
      <c r="T508" s="886"/>
      <c r="U508" s="886"/>
      <c r="V508" s="886"/>
      <c r="W508" s="886"/>
      <c r="X508" s="886"/>
      <c r="Y508" s="886"/>
    </row>
    <row r="509" spans="3:25">
      <c r="C509" s="942"/>
      <c r="D509" s="942"/>
      <c r="E509" s="943"/>
      <c r="F509" s="943"/>
      <c r="G509" s="886"/>
      <c r="H509" s="886"/>
      <c r="I509" s="886"/>
      <c r="J509" s="886"/>
      <c r="K509" s="886"/>
      <c r="L509" s="886"/>
      <c r="M509" s="886"/>
      <c r="N509" s="886"/>
      <c r="O509" s="886"/>
      <c r="P509" s="886"/>
      <c r="Q509" s="886"/>
      <c r="R509" s="886"/>
      <c r="S509" s="886"/>
      <c r="T509" s="886"/>
      <c r="U509" s="886"/>
      <c r="V509" s="886"/>
      <c r="W509" s="886"/>
      <c r="X509" s="886"/>
      <c r="Y509" s="886"/>
    </row>
    <row r="510" spans="3:25">
      <c r="C510" s="942"/>
      <c r="D510" s="942"/>
      <c r="E510" s="943"/>
      <c r="F510" s="943"/>
      <c r="G510" s="886"/>
      <c r="H510" s="886"/>
      <c r="I510" s="886"/>
      <c r="J510" s="886"/>
      <c r="K510" s="886"/>
      <c r="L510" s="886"/>
      <c r="M510" s="886"/>
      <c r="N510" s="886"/>
      <c r="O510" s="886"/>
      <c r="P510" s="886"/>
      <c r="Q510" s="886"/>
      <c r="R510" s="886"/>
      <c r="S510" s="886"/>
      <c r="T510" s="886"/>
      <c r="U510" s="886"/>
      <c r="V510" s="886"/>
      <c r="W510" s="886"/>
      <c r="X510" s="886"/>
      <c r="Y510" s="886"/>
    </row>
    <row r="511" spans="3:25">
      <c r="C511" s="942"/>
      <c r="D511" s="942"/>
      <c r="E511" s="943"/>
      <c r="F511" s="943"/>
      <c r="G511" s="886"/>
      <c r="H511" s="886"/>
      <c r="I511" s="886"/>
      <c r="J511" s="886"/>
      <c r="K511" s="886"/>
      <c r="L511" s="886"/>
      <c r="M511" s="886"/>
      <c r="N511" s="886"/>
      <c r="O511" s="886"/>
      <c r="P511" s="886"/>
      <c r="Q511" s="886"/>
      <c r="R511" s="886"/>
      <c r="S511" s="886"/>
      <c r="T511" s="886"/>
      <c r="U511" s="886"/>
      <c r="V511" s="886"/>
      <c r="W511" s="886"/>
      <c r="X511" s="886"/>
      <c r="Y511" s="886"/>
    </row>
    <row r="512" spans="3:25">
      <c r="C512" s="942"/>
      <c r="D512" s="942"/>
      <c r="E512" s="943"/>
      <c r="F512" s="943"/>
      <c r="G512" s="886"/>
      <c r="H512" s="886"/>
      <c r="I512" s="886"/>
      <c r="J512" s="886"/>
      <c r="K512" s="886"/>
      <c r="L512" s="886"/>
      <c r="M512" s="886"/>
      <c r="N512" s="886"/>
      <c r="O512" s="886"/>
      <c r="P512" s="886"/>
      <c r="Q512" s="886"/>
      <c r="R512" s="886"/>
      <c r="S512" s="886"/>
      <c r="T512" s="886"/>
      <c r="U512" s="886"/>
      <c r="V512" s="886"/>
      <c r="W512" s="886"/>
      <c r="X512" s="886"/>
      <c r="Y512" s="886"/>
    </row>
    <row r="513" spans="3:25">
      <c r="C513" s="942"/>
      <c r="D513" s="942"/>
      <c r="E513" s="943"/>
      <c r="F513" s="943"/>
      <c r="G513" s="886"/>
      <c r="H513" s="886"/>
      <c r="I513" s="886"/>
      <c r="J513" s="886"/>
      <c r="K513" s="886"/>
      <c r="L513" s="886"/>
      <c r="M513" s="886"/>
      <c r="N513" s="886"/>
      <c r="O513" s="886"/>
      <c r="P513" s="886"/>
      <c r="Q513" s="886"/>
      <c r="R513" s="886"/>
      <c r="S513" s="886"/>
      <c r="T513" s="886"/>
      <c r="U513" s="886"/>
      <c r="V513" s="886"/>
      <c r="W513" s="886"/>
      <c r="X513" s="886"/>
      <c r="Y513" s="886"/>
    </row>
    <row r="514" spans="3:25">
      <c r="C514" s="942"/>
      <c r="D514" s="942"/>
      <c r="E514" s="943"/>
      <c r="F514" s="943"/>
      <c r="G514" s="886"/>
      <c r="H514" s="886"/>
      <c r="I514" s="886"/>
      <c r="J514" s="886"/>
      <c r="K514" s="886"/>
      <c r="L514" s="886"/>
      <c r="M514" s="886"/>
      <c r="N514" s="886"/>
      <c r="O514" s="886"/>
      <c r="P514" s="886"/>
      <c r="Q514" s="886"/>
      <c r="R514" s="886"/>
      <c r="S514" s="886"/>
      <c r="T514" s="886"/>
      <c r="U514" s="886"/>
      <c r="V514" s="886"/>
      <c r="W514" s="886"/>
      <c r="X514" s="886"/>
      <c r="Y514" s="886"/>
    </row>
    <row r="515" spans="3:25">
      <c r="C515" s="942"/>
      <c r="D515" s="942"/>
      <c r="E515" s="943"/>
      <c r="F515" s="943"/>
      <c r="G515" s="886"/>
      <c r="H515" s="886"/>
      <c r="I515" s="886"/>
      <c r="J515" s="886"/>
      <c r="K515" s="886"/>
      <c r="L515" s="886"/>
      <c r="M515" s="886"/>
      <c r="N515" s="886"/>
      <c r="O515" s="886"/>
      <c r="P515" s="886"/>
      <c r="Q515" s="886"/>
      <c r="R515" s="886"/>
      <c r="S515" s="886"/>
      <c r="T515" s="886"/>
      <c r="U515" s="886"/>
      <c r="V515" s="886"/>
      <c r="W515" s="886"/>
      <c r="X515" s="886"/>
      <c r="Y515" s="886"/>
    </row>
    <row r="516" spans="3:25">
      <c r="C516" s="942"/>
      <c r="D516" s="942"/>
      <c r="E516" s="943"/>
      <c r="F516" s="943"/>
      <c r="G516" s="886"/>
      <c r="H516" s="886"/>
      <c r="I516" s="886"/>
      <c r="J516" s="886"/>
      <c r="K516" s="886"/>
      <c r="L516" s="886"/>
      <c r="M516" s="886"/>
      <c r="N516" s="886"/>
      <c r="O516" s="886"/>
      <c r="P516" s="886"/>
      <c r="Q516" s="886"/>
      <c r="R516" s="886"/>
      <c r="S516" s="886"/>
      <c r="T516" s="886"/>
      <c r="U516" s="886"/>
      <c r="V516" s="886"/>
      <c r="W516" s="886"/>
      <c r="X516" s="886"/>
      <c r="Y516" s="886"/>
    </row>
    <row r="517" spans="3:25">
      <c r="C517" s="942"/>
      <c r="D517" s="942"/>
      <c r="E517" s="943"/>
      <c r="F517" s="943"/>
      <c r="G517" s="886"/>
      <c r="H517" s="886"/>
      <c r="I517" s="886"/>
      <c r="J517" s="886"/>
      <c r="K517" s="886"/>
      <c r="L517" s="886"/>
      <c r="M517" s="886"/>
      <c r="N517" s="886"/>
      <c r="O517" s="886"/>
      <c r="P517" s="886"/>
      <c r="Q517" s="886"/>
      <c r="R517" s="886"/>
      <c r="S517" s="886"/>
      <c r="T517" s="886"/>
      <c r="U517" s="886"/>
      <c r="V517" s="886"/>
      <c r="W517" s="886"/>
      <c r="X517" s="886"/>
      <c r="Y517" s="886"/>
    </row>
    <row r="518" spans="3:25">
      <c r="C518" s="942"/>
      <c r="D518" s="942"/>
      <c r="E518" s="943"/>
      <c r="F518" s="943"/>
      <c r="G518" s="886"/>
      <c r="H518" s="886"/>
      <c r="I518" s="886"/>
      <c r="J518" s="886"/>
      <c r="K518" s="886"/>
      <c r="L518" s="886"/>
      <c r="M518" s="886"/>
      <c r="N518" s="886"/>
      <c r="O518" s="886"/>
      <c r="P518" s="886"/>
      <c r="Q518" s="886"/>
      <c r="R518" s="886"/>
      <c r="S518" s="886"/>
      <c r="T518" s="886"/>
      <c r="U518" s="886"/>
      <c r="V518" s="886"/>
      <c r="W518" s="886"/>
      <c r="X518" s="886"/>
      <c r="Y518" s="886"/>
    </row>
    <row r="519" spans="3:25">
      <c r="C519" s="942"/>
      <c r="D519" s="942"/>
      <c r="E519" s="943"/>
      <c r="F519" s="943"/>
      <c r="G519" s="886"/>
      <c r="H519" s="886"/>
      <c r="I519" s="886"/>
      <c r="J519" s="886"/>
      <c r="K519" s="886"/>
      <c r="L519" s="886"/>
      <c r="M519" s="886"/>
      <c r="N519" s="886"/>
      <c r="O519" s="886"/>
      <c r="P519" s="886"/>
      <c r="Q519" s="886"/>
      <c r="R519" s="886"/>
      <c r="S519" s="886"/>
      <c r="T519" s="886"/>
      <c r="U519" s="886"/>
      <c r="V519" s="886"/>
      <c r="W519" s="886"/>
      <c r="X519" s="886"/>
      <c r="Y519" s="886"/>
    </row>
    <row r="520" spans="3:25">
      <c r="C520" s="942"/>
      <c r="D520" s="942"/>
      <c r="E520" s="943"/>
      <c r="F520" s="943"/>
      <c r="G520" s="886"/>
      <c r="H520" s="886"/>
      <c r="I520" s="886"/>
      <c r="J520" s="886"/>
      <c r="K520" s="886"/>
      <c r="L520" s="886"/>
      <c r="M520" s="886"/>
      <c r="N520" s="886"/>
      <c r="O520" s="886"/>
      <c r="P520" s="886"/>
      <c r="Q520" s="886"/>
      <c r="R520" s="886"/>
      <c r="S520" s="886"/>
      <c r="T520" s="886"/>
      <c r="U520" s="886"/>
      <c r="V520" s="886"/>
      <c r="W520" s="886"/>
      <c r="X520" s="886"/>
      <c r="Y520" s="886"/>
    </row>
    <row r="521" spans="3:25">
      <c r="C521" s="942"/>
      <c r="D521" s="942"/>
      <c r="E521" s="943"/>
      <c r="F521" s="943"/>
      <c r="G521" s="886"/>
      <c r="H521" s="886"/>
      <c r="I521" s="886"/>
      <c r="J521" s="886"/>
      <c r="K521" s="886"/>
      <c r="L521" s="886"/>
      <c r="M521" s="886"/>
      <c r="N521" s="886"/>
      <c r="O521" s="886"/>
      <c r="P521" s="886"/>
      <c r="Q521" s="886"/>
      <c r="R521" s="886"/>
      <c r="S521" s="886"/>
      <c r="T521" s="886"/>
      <c r="U521" s="886"/>
      <c r="V521" s="886"/>
      <c r="W521" s="886"/>
      <c r="X521" s="886"/>
      <c r="Y521" s="886"/>
    </row>
    <row r="522" spans="3:25">
      <c r="C522" s="942"/>
      <c r="D522" s="942"/>
      <c r="E522" s="943"/>
      <c r="F522" s="943"/>
      <c r="G522" s="886"/>
      <c r="H522" s="886"/>
      <c r="I522" s="886"/>
      <c r="J522" s="886"/>
      <c r="K522" s="886"/>
      <c r="L522" s="886"/>
      <c r="M522" s="886"/>
      <c r="N522" s="886"/>
      <c r="O522" s="886"/>
      <c r="P522" s="886"/>
      <c r="Q522" s="886"/>
      <c r="R522" s="886"/>
      <c r="S522" s="886"/>
      <c r="T522" s="886"/>
      <c r="U522" s="886"/>
      <c r="V522" s="886"/>
      <c r="W522" s="886"/>
      <c r="X522" s="886"/>
      <c r="Y522" s="886"/>
    </row>
    <row r="523" spans="3:25">
      <c r="C523" s="942"/>
      <c r="D523" s="942"/>
      <c r="E523" s="943"/>
      <c r="F523" s="943"/>
      <c r="G523" s="886"/>
      <c r="H523" s="886"/>
      <c r="I523" s="886"/>
      <c r="J523" s="886"/>
      <c r="K523" s="886"/>
      <c r="L523" s="886"/>
      <c r="M523" s="886"/>
      <c r="N523" s="886"/>
      <c r="O523" s="886"/>
      <c r="P523" s="886"/>
      <c r="Q523" s="886"/>
      <c r="R523" s="886"/>
      <c r="S523" s="886"/>
      <c r="T523" s="886"/>
      <c r="U523" s="886"/>
      <c r="V523" s="886"/>
      <c r="W523" s="886"/>
      <c r="X523" s="886"/>
      <c r="Y523" s="886"/>
    </row>
    <row r="524" spans="3:25">
      <c r="C524" s="942"/>
      <c r="D524" s="942"/>
      <c r="E524" s="943"/>
      <c r="F524" s="943"/>
      <c r="G524" s="886"/>
      <c r="H524" s="886"/>
      <c r="I524" s="886"/>
      <c r="J524" s="886"/>
      <c r="K524" s="886"/>
      <c r="L524" s="886"/>
      <c r="M524" s="886"/>
      <c r="N524" s="886"/>
      <c r="O524" s="886"/>
      <c r="P524" s="886"/>
      <c r="Q524" s="886"/>
      <c r="R524" s="886"/>
      <c r="S524" s="886"/>
      <c r="T524" s="886"/>
      <c r="U524" s="886"/>
      <c r="V524" s="886"/>
      <c r="W524" s="886"/>
      <c r="X524" s="886"/>
      <c r="Y524" s="886"/>
    </row>
    <row r="525" spans="3:25">
      <c r="C525" s="942"/>
      <c r="D525" s="942"/>
      <c r="E525" s="943"/>
      <c r="F525" s="943"/>
      <c r="G525" s="886"/>
      <c r="H525" s="886"/>
      <c r="I525" s="886"/>
      <c r="J525" s="886"/>
      <c r="K525" s="886"/>
      <c r="L525" s="886"/>
      <c r="M525" s="886"/>
      <c r="N525" s="886"/>
      <c r="O525" s="886"/>
      <c r="P525" s="886"/>
      <c r="Q525" s="886"/>
      <c r="R525" s="886"/>
      <c r="S525" s="886"/>
      <c r="T525" s="886"/>
      <c r="U525" s="886"/>
      <c r="V525" s="886"/>
      <c r="W525" s="886"/>
      <c r="X525" s="886"/>
      <c r="Y525" s="886"/>
    </row>
    <row r="526" spans="3:25">
      <c r="C526" s="942"/>
      <c r="D526" s="942"/>
      <c r="E526" s="943"/>
      <c r="F526" s="943"/>
      <c r="G526" s="886"/>
      <c r="H526" s="886"/>
      <c r="I526" s="886"/>
      <c r="J526" s="886"/>
      <c r="K526" s="886"/>
      <c r="L526" s="886"/>
      <c r="M526" s="886"/>
      <c r="N526" s="886"/>
      <c r="O526" s="886"/>
      <c r="P526" s="886"/>
      <c r="Q526" s="886"/>
      <c r="R526" s="886"/>
      <c r="S526" s="886"/>
      <c r="T526" s="886"/>
      <c r="U526" s="886"/>
      <c r="V526" s="886"/>
      <c r="W526" s="886"/>
      <c r="X526" s="886"/>
      <c r="Y526" s="886"/>
    </row>
    <row r="527" spans="3:25">
      <c r="C527" s="942"/>
      <c r="D527" s="942"/>
      <c r="E527" s="943"/>
      <c r="F527" s="943"/>
      <c r="G527" s="886"/>
      <c r="H527" s="886"/>
      <c r="I527" s="886"/>
      <c r="J527" s="886"/>
      <c r="K527" s="886"/>
      <c r="L527" s="886"/>
      <c r="M527" s="886"/>
      <c r="N527" s="886"/>
      <c r="O527" s="886"/>
      <c r="P527" s="886"/>
      <c r="Q527" s="886"/>
      <c r="R527" s="886"/>
      <c r="S527" s="886"/>
      <c r="T527" s="886"/>
      <c r="U527" s="886"/>
      <c r="V527" s="886"/>
      <c r="W527" s="886"/>
      <c r="X527" s="886"/>
      <c r="Y527" s="886"/>
    </row>
    <row r="528" spans="3:25">
      <c r="C528" s="942"/>
      <c r="D528" s="942"/>
      <c r="E528" s="943"/>
      <c r="F528" s="943"/>
      <c r="G528" s="886"/>
      <c r="H528" s="886"/>
      <c r="I528" s="886"/>
      <c r="J528" s="886"/>
      <c r="K528" s="886"/>
      <c r="L528" s="886"/>
      <c r="M528" s="886"/>
      <c r="N528" s="886"/>
      <c r="O528" s="886"/>
      <c r="P528" s="886"/>
      <c r="Q528" s="886"/>
      <c r="R528" s="886"/>
      <c r="S528" s="886"/>
      <c r="T528" s="886"/>
      <c r="U528" s="886"/>
      <c r="V528" s="886"/>
      <c r="W528" s="886"/>
      <c r="X528" s="886"/>
      <c r="Y528" s="886"/>
    </row>
    <row r="529" spans="3:25">
      <c r="C529" s="942"/>
      <c r="D529" s="942"/>
      <c r="E529" s="943"/>
      <c r="F529" s="943"/>
      <c r="G529" s="886"/>
      <c r="H529" s="886"/>
      <c r="I529" s="886"/>
      <c r="J529" s="886"/>
      <c r="K529" s="886"/>
      <c r="L529" s="886"/>
      <c r="M529" s="886"/>
      <c r="N529" s="886"/>
      <c r="O529" s="886"/>
      <c r="P529" s="886"/>
      <c r="Q529" s="886"/>
      <c r="R529" s="886"/>
      <c r="S529" s="886"/>
      <c r="T529" s="886"/>
      <c r="U529" s="886"/>
      <c r="V529" s="886"/>
      <c r="W529" s="886"/>
      <c r="X529" s="886"/>
      <c r="Y529" s="886"/>
    </row>
    <row r="530" spans="3:25">
      <c r="C530" s="942"/>
      <c r="D530" s="942"/>
      <c r="E530" s="943"/>
      <c r="F530" s="943"/>
      <c r="G530" s="886"/>
      <c r="H530" s="886"/>
      <c r="I530" s="886"/>
      <c r="J530" s="886"/>
      <c r="K530" s="886"/>
      <c r="L530" s="886"/>
      <c r="M530" s="886"/>
      <c r="N530" s="886"/>
      <c r="O530" s="886"/>
      <c r="P530" s="886"/>
      <c r="Q530" s="886"/>
      <c r="R530" s="886"/>
      <c r="S530" s="886"/>
      <c r="T530" s="886"/>
      <c r="U530" s="886"/>
      <c r="V530" s="886"/>
      <c r="W530" s="886"/>
      <c r="X530" s="886"/>
      <c r="Y530" s="886"/>
    </row>
    <row r="531" spans="3:25">
      <c r="C531" s="942"/>
      <c r="D531" s="942"/>
      <c r="E531" s="943"/>
      <c r="F531" s="943"/>
      <c r="G531" s="886"/>
      <c r="H531" s="886"/>
      <c r="I531" s="886"/>
      <c r="J531" s="886"/>
      <c r="K531" s="886"/>
      <c r="L531" s="886"/>
      <c r="M531" s="886"/>
      <c r="N531" s="886"/>
      <c r="O531" s="886"/>
      <c r="P531" s="886"/>
      <c r="Q531" s="886"/>
      <c r="R531" s="886"/>
      <c r="S531" s="886"/>
      <c r="T531" s="886"/>
      <c r="U531" s="886"/>
      <c r="V531" s="886"/>
      <c r="W531" s="886"/>
      <c r="X531" s="886"/>
      <c r="Y531" s="886"/>
    </row>
    <row r="532" spans="3:25">
      <c r="C532" s="942"/>
      <c r="D532" s="942"/>
      <c r="E532" s="943"/>
      <c r="F532" s="943"/>
      <c r="G532" s="886"/>
      <c r="H532" s="886"/>
      <c r="I532" s="886"/>
      <c r="J532" s="886"/>
      <c r="K532" s="886"/>
      <c r="L532" s="886"/>
      <c r="M532" s="886"/>
      <c r="N532" s="886"/>
      <c r="O532" s="886"/>
      <c r="P532" s="886"/>
      <c r="Q532" s="886"/>
      <c r="R532" s="886"/>
      <c r="S532" s="886"/>
      <c r="T532" s="886"/>
      <c r="U532" s="886"/>
      <c r="V532" s="886"/>
      <c r="W532" s="886"/>
      <c r="X532" s="886"/>
      <c r="Y532" s="886"/>
    </row>
    <row r="533" spans="3:25">
      <c r="C533" s="942"/>
      <c r="D533" s="942"/>
      <c r="E533" s="943"/>
      <c r="F533" s="943"/>
      <c r="G533" s="886"/>
      <c r="H533" s="886"/>
      <c r="I533" s="886"/>
      <c r="J533" s="886"/>
      <c r="K533" s="886"/>
      <c r="L533" s="886"/>
      <c r="M533" s="886"/>
      <c r="N533" s="886"/>
      <c r="O533" s="886"/>
      <c r="P533" s="886"/>
      <c r="Q533" s="886"/>
      <c r="R533" s="886"/>
      <c r="S533" s="886"/>
      <c r="T533" s="886"/>
      <c r="U533" s="886"/>
      <c r="V533" s="886"/>
      <c r="W533" s="886"/>
      <c r="X533" s="886"/>
      <c r="Y533" s="886"/>
    </row>
    <row r="534" spans="3:25">
      <c r="C534" s="942"/>
      <c r="D534" s="942"/>
      <c r="E534" s="943"/>
      <c r="F534" s="943"/>
      <c r="G534" s="886"/>
      <c r="H534" s="886"/>
      <c r="I534" s="886"/>
      <c r="J534" s="886"/>
      <c r="K534" s="886"/>
      <c r="L534" s="886"/>
      <c r="M534" s="886"/>
      <c r="N534" s="886"/>
      <c r="O534" s="886"/>
      <c r="P534" s="886"/>
      <c r="Q534" s="886"/>
      <c r="R534" s="886"/>
      <c r="S534" s="886"/>
      <c r="T534" s="886"/>
      <c r="U534" s="886"/>
      <c r="V534" s="886"/>
      <c r="W534" s="886"/>
      <c r="X534" s="886"/>
      <c r="Y534" s="886"/>
    </row>
    <row r="535" spans="3:25">
      <c r="C535" s="942"/>
      <c r="D535" s="942"/>
      <c r="E535" s="943"/>
      <c r="F535" s="943"/>
      <c r="G535" s="886"/>
      <c r="H535" s="886"/>
      <c r="I535" s="886"/>
      <c r="J535" s="886"/>
      <c r="K535" s="886"/>
      <c r="L535" s="886"/>
      <c r="M535" s="886"/>
      <c r="N535" s="886"/>
      <c r="O535" s="886"/>
      <c r="P535" s="886"/>
      <c r="Q535" s="886"/>
      <c r="R535" s="886"/>
      <c r="S535" s="886"/>
      <c r="T535" s="886"/>
      <c r="U535" s="886"/>
      <c r="V535" s="886"/>
      <c r="W535" s="886"/>
      <c r="X535" s="886"/>
      <c r="Y535" s="886"/>
    </row>
    <row r="536" spans="3:25">
      <c r="C536" s="942"/>
      <c r="D536" s="942"/>
      <c r="E536" s="943"/>
      <c r="F536" s="943"/>
      <c r="G536" s="886"/>
      <c r="H536" s="886"/>
      <c r="I536" s="886"/>
      <c r="J536" s="886"/>
      <c r="K536" s="886"/>
      <c r="L536" s="886"/>
      <c r="M536" s="886"/>
      <c r="N536" s="886"/>
      <c r="O536" s="886"/>
      <c r="P536" s="886"/>
      <c r="Q536" s="886"/>
      <c r="R536" s="886"/>
      <c r="S536" s="886"/>
      <c r="T536" s="886"/>
      <c r="U536" s="886"/>
      <c r="V536" s="886"/>
      <c r="W536" s="886"/>
      <c r="X536" s="886"/>
      <c r="Y536" s="886"/>
    </row>
    <row r="537" spans="3:25">
      <c r="C537" s="942"/>
      <c r="D537" s="942"/>
      <c r="E537" s="943"/>
      <c r="F537" s="943"/>
      <c r="G537" s="886"/>
      <c r="H537" s="886"/>
      <c r="I537" s="886"/>
      <c r="J537" s="886"/>
      <c r="K537" s="886"/>
      <c r="L537" s="886"/>
      <c r="M537" s="886"/>
      <c r="N537" s="886"/>
      <c r="O537" s="886"/>
      <c r="P537" s="886"/>
      <c r="Q537" s="886"/>
      <c r="R537" s="886"/>
      <c r="S537" s="886"/>
      <c r="T537" s="886"/>
      <c r="U537" s="886"/>
      <c r="V537" s="886"/>
      <c r="W537" s="886"/>
      <c r="X537" s="886"/>
      <c r="Y537" s="886"/>
    </row>
    <row r="538" spans="3:25">
      <c r="C538" s="942"/>
      <c r="D538" s="942"/>
      <c r="E538" s="943"/>
      <c r="F538" s="943"/>
      <c r="G538" s="886"/>
      <c r="H538" s="886"/>
      <c r="I538" s="886"/>
      <c r="J538" s="886"/>
      <c r="K538" s="886"/>
      <c r="L538" s="886"/>
      <c r="M538" s="886"/>
      <c r="N538" s="886"/>
      <c r="O538" s="886"/>
      <c r="P538" s="886"/>
      <c r="Q538" s="886"/>
      <c r="R538" s="886"/>
      <c r="S538" s="886"/>
      <c r="T538" s="886"/>
      <c r="U538" s="886"/>
      <c r="V538" s="886"/>
      <c r="W538" s="886"/>
      <c r="X538" s="886"/>
      <c r="Y538" s="886"/>
    </row>
    <row r="539" spans="3:25">
      <c r="C539" s="942"/>
      <c r="D539" s="942"/>
      <c r="E539" s="943"/>
      <c r="F539" s="943"/>
      <c r="G539" s="886"/>
      <c r="H539" s="886"/>
      <c r="I539" s="886"/>
      <c r="J539" s="886"/>
      <c r="K539" s="886"/>
      <c r="L539" s="886"/>
      <c r="M539" s="886"/>
      <c r="N539" s="886"/>
      <c r="O539" s="886"/>
      <c r="P539" s="886"/>
      <c r="Q539" s="886"/>
      <c r="R539" s="886"/>
      <c r="S539" s="886"/>
      <c r="T539" s="886"/>
      <c r="U539" s="886"/>
      <c r="V539" s="886"/>
      <c r="W539" s="886"/>
      <c r="X539" s="886"/>
      <c r="Y539" s="886"/>
    </row>
    <row r="540" spans="3:25">
      <c r="C540" s="942"/>
      <c r="D540" s="942"/>
      <c r="E540" s="943"/>
      <c r="F540" s="943"/>
      <c r="G540" s="886"/>
      <c r="H540" s="886"/>
      <c r="I540" s="886"/>
      <c r="J540" s="886"/>
      <c r="K540" s="886"/>
      <c r="L540" s="886"/>
      <c r="M540" s="886"/>
      <c r="N540" s="886"/>
      <c r="O540" s="886"/>
      <c r="P540" s="886"/>
      <c r="Q540" s="886"/>
      <c r="R540" s="886"/>
      <c r="S540" s="886"/>
      <c r="T540" s="886"/>
      <c r="U540" s="886"/>
      <c r="V540" s="886"/>
      <c r="W540" s="886"/>
      <c r="X540" s="886"/>
      <c r="Y540" s="886"/>
    </row>
    <row r="541" spans="3:25">
      <c r="C541" s="942"/>
      <c r="D541" s="942"/>
      <c r="E541" s="943"/>
      <c r="F541" s="943"/>
      <c r="G541" s="886"/>
      <c r="H541" s="886"/>
      <c r="I541" s="886"/>
      <c r="J541" s="886"/>
      <c r="K541" s="886"/>
      <c r="L541" s="886"/>
      <c r="M541" s="886"/>
      <c r="N541" s="886"/>
      <c r="O541" s="886"/>
      <c r="P541" s="886"/>
      <c r="Q541" s="886"/>
      <c r="R541" s="886"/>
      <c r="S541" s="886"/>
      <c r="T541" s="886"/>
      <c r="U541" s="886"/>
      <c r="V541" s="886"/>
      <c r="W541" s="886"/>
      <c r="X541" s="886"/>
      <c r="Y541" s="886"/>
    </row>
    <row r="542" spans="3:25">
      <c r="C542" s="942"/>
      <c r="D542" s="942"/>
      <c r="E542" s="943"/>
      <c r="F542" s="943"/>
      <c r="G542" s="886"/>
      <c r="H542" s="886"/>
      <c r="I542" s="886"/>
      <c r="J542" s="886"/>
      <c r="K542" s="886"/>
      <c r="L542" s="886"/>
      <c r="M542" s="886"/>
      <c r="N542" s="886"/>
      <c r="O542" s="886"/>
      <c r="P542" s="886"/>
      <c r="Q542" s="886"/>
      <c r="R542" s="886"/>
      <c r="S542" s="886"/>
      <c r="T542" s="886"/>
      <c r="U542" s="886"/>
      <c r="V542" s="886"/>
      <c r="W542" s="886"/>
      <c r="X542" s="886"/>
      <c r="Y542" s="886"/>
    </row>
    <row r="543" spans="3:25">
      <c r="C543" s="942"/>
      <c r="D543" s="942"/>
      <c r="E543" s="943"/>
      <c r="F543" s="943"/>
      <c r="G543" s="886"/>
      <c r="H543" s="886"/>
      <c r="I543" s="886"/>
      <c r="J543" s="886"/>
      <c r="K543" s="886"/>
      <c r="L543" s="886"/>
      <c r="M543" s="886"/>
      <c r="N543" s="886"/>
      <c r="O543" s="886"/>
      <c r="P543" s="886"/>
      <c r="Q543" s="886"/>
      <c r="R543" s="886"/>
      <c r="S543" s="886"/>
      <c r="T543" s="886"/>
      <c r="U543" s="886"/>
      <c r="V543" s="886"/>
      <c r="W543" s="886"/>
      <c r="X543" s="886"/>
      <c r="Y543" s="886"/>
    </row>
    <row r="544" spans="3:25">
      <c r="C544" s="942"/>
      <c r="D544" s="942"/>
      <c r="E544" s="943"/>
      <c r="F544" s="943"/>
      <c r="G544" s="886"/>
      <c r="H544" s="886"/>
      <c r="I544" s="886"/>
      <c r="J544" s="886"/>
      <c r="K544" s="886"/>
      <c r="L544" s="886"/>
      <c r="M544" s="886"/>
      <c r="N544" s="886"/>
      <c r="O544" s="886"/>
      <c r="P544" s="886"/>
      <c r="Q544" s="886"/>
      <c r="R544" s="886"/>
      <c r="S544" s="886"/>
      <c r="T544" s="886"/>
      <c r="U544" s="886"/>
      <c r="V544" s="886"/>
      <c r="W544" s="886"/>
      <c r="X544" s="886"/>
      <c r="Y544" s="886"/>
    </row>
    <row r="545" spans="3:25">
      <c r="C545" s="942"/>
      <c r="D545" s="942"/>
      <c r="E545" s="943"/>
      <c r="F545" s="943"/>
      <c r="G545" s="886"/>
      <c r="H545" s="886"/>
      <c r="I545" s="886"/>
      <c r="J545" s="886"/>
      <c r="K545" s="886"/>
      <c r="L545" s="886"/>
      <c r="M545" s="886"/>
      <c r="N545" s="886"/>
      <c r="O545" s="886"/>
      <c r="P545" s="886"/>
      <c r="Q545" s="886"/>
      <c r="R545" s="886"/>
      <c r="S545" s="886"/>
      <c r="T545" s="886"/>
      <c r="U545" s="886"/>
      <c r="V545" s="886"/>
      <c r="W545" s="886"/>
      <c r="X545" s="886"/>
      <c r="Y545" s="886"/>
    </row>
    <row r="546" spans="3:25">
      <c r="C546" s="942"/>
      <c r="D546" s="942"/>
      <c r="E546" s="943"/>
      <c r="F546" s="943"/>
      <c r="G546" s="886"/>
      <c r="H546" s="886"/>
      <c r="I546" s="886"/>
      <c r="J546" s="886"/>
      <c r="K546" s="886"/>
      <c r="L546" s="886"/>
      <c r="M546" s="886"/>
      <c r="N546" s="886"/>
      <c r="O546" s="886"/>
      <c r="P546" s="886"/>
      <c r="Q546" s="886"/>
      <c r="R546" s="886"/>
      <c r="S546" s="886"/>
      <c r="T546" s="886"/>
      <c r="U546" s="886"/>
      <c r="V546" s="886"/>
      <c r="W546" s="886"/>
      <c r="X546" s="886"/>
      <c r="Y546" s="886"/>
    </row>
    <row r="547" spans="3:25">
      <c r="C547" s="942"/>
      <c r="D547" s="942"/>
      <c r="E547" s="943"/>
      <c r="F547" s="943"/>
      <c r="G547" s="886"/>
      <c r="H547" s="886"/>
      <c r="I547" s="886"/>
      <c r="J547" s="886"/>
      <c r="K547" s="886"/>
      <c r="L547" s="886"/>
      <c r="M547" s="886"/>
      <c r="N547" s="886"/>
      <c r="O547" s="886"/>
      <c r="P547" s="886"/>
      <c r="Q547" s="886"/>
      <c r="R547" s="886"/>
      <c r="S547" s="886"/>
      <c r="T547" s="886"/>
      <c r="U547" s="886"/>
      <c r="V547" s="886"/>
      <c r="W547" s="886"/>
      <c r="X547" s="886"/>
      <c r="Y547" s="886"/>
    </row>
    <row r="548" spans="3:25">
      <c r="C548" s="942"/>
      <c r="D548" s="942"/>
      <c r="E548" s="943"/>
      <c r="F548" s="943"/>
      <c r="G548" s="886"/>
      <c r="H548" s="886"/>
      <c r="I548" s="886"/>
      <c r="J548" s="886"/>
      <c r="K548" s="886"/>
      <c r="L548" s="886"/>
      <c r="M548" s="886"/>
      <c r="N548" s="886"/>
      <c r="O548" s="886"/>
      <c r="P548" s="886"/>
      <c r="Q548" s="886"/>
      <c r="R548" s="886"/>
      <c r="S548" s="886"/>
      <c r="T548" s="886"/>
      <c r="U548" s="886"/>
      <c r="V548" s="886"/>
      <c r="W548" s="886"/>
      <c r="X548" s="886"/>
      <c r="Y548" s="886"/>
    </row>
    <row r="549" spans="3:25">
      <c r="C549" s="942"/>
      <c r="D549" s="942"/>
      <c r="E549" s="943"/>
      <c r="F549" s="943"/>
      <c r="G549" s="886"/>
      <c r="H549" s="886"/>
      <c r="I549" s="886"/>
      <c r="J549" s="886"/>
      <c r="K549" s="886"/>
      <c r="L549" s="886"/>
      <c r="M549" s="886"/>
      <c r="N549" s="886"/>
      <c r="O549" s="886"/>
      <c r="P549" s="886"/>
      <c r="Q549" s="886"/>
      <c r="R549" s="886"/>
      <c r="S549" s="886"/>
      <c r="T549" s="886"/>
      <c r="U549" s="886"/>
      <c r="V549" s="886"/>
      <c r="W549" s="886"/>
      <c r="X549" s="886"/>
      <c r="Y549" s="886"/>
    </row>
    <row r="550" spans="3:25">
      <c r="C550" s="942"/>
      <c r="D550" s="942"/>
      <c r="E550" s="943"/>
      <c r="F550" s="943"/>
      <c r="G550" s="886"/>
      <c r="H550" s="886"/>
      <c r="I550" s="886"/>
      <c r="J550" s="886"/>
      <c r="K550" s="886"/>
      <c r="L550" s="886"/>
      <c r="M550" s="886"/>
      <c r="N550" s="886"/>
      <c r="O550" s="886"/>
      <c r="P550" s="886"/>
      <c r="Q550" s="886"/>
      <c r="R550" s="886"/>
      <c r="S550" s="886"/>
      <c r="T550" s="886"/>
      <c r="U550" s="886"/>
      <c r="V550" s="886"/>
      <c r="W550" s="886"/>
      <c r="X550" s="886"/>
      <c r="Y550" s="886"/>
    </row>
    <row r="551" spans="3:25">
      <c r="C551" s="942"/>
      <c r="D551" s="942"/>
      <c r="E551" s="943"/>
      <c r="F551" s="943"/>
      <c r="G551" s="886"/>
      <c r="H551" s="886"/>
      <c r="I551" s="886"/>
      <c r="J551" s="886"/>
      <c r="K551" s="886"/>
      <c r="L551" s="886"/>
      <c r="M551" s="886"/>
      <c r="N551" s="886"/>
      <c r="O551" s="886"/>
      <c r="P551" s="886"/>
      <c r="Q551" s="886"/>
      <c r="R551" s="886"/>
      <c r="S551" s="886"/>
      <c r="T551" s="886"/>
      <c r="U551" s="886"/>
      <c r="V551" s="886"/>
      <c r="W551" s="886"/>
      <c r="X551" s="886"/>
      <c r="Y551" s="886"/>
    </row>
    <row r="552" spans="3:25">
      <c r="C552" s="942"/>
      <c r="D552" s="942"/>
      <c r="E552" s="943"/>
      <c r="F552" s="943"/>
      <c r="G552" s="886"/>
      <c r="H552" s="886"/>
      <c r="I552" s="886"/>
      <c r="J552" s="886"/>
      <c r="K552" s="886"/>
      <c r="L552" s="886"/>
      <c r="M552" s="886"/>
      <c r="N552" s="886"/>
      <c r="O552" s="886"/>
      <c r="P552" s="886"/>
      <c r="Q552" s="886"/>
      <c r="R552" s="886"/>
      <c r="S552" s="886"/>
      <c r="T552" s="886"/>
      <c r="U552" s="886"/>
      <c r="V552" s="886"/>
      <c r="W552" s="886"/>
      <c r="X552" s="886"/>
      <c r="Y552" s="886"/>
    </row>
    <row r="553" spans="3:25">
      <c r="C553" s="942"/>
      <c r="D553" s="942"/>
      <c r="E553" s="943"/>
      <c r="F553" s="943"/>
      <c r="G553" s="886"/>
      <c r="H553" s="886"/>
      <c r="I553" s="886"/>
      <c r="J553" s="886"/>
      <c r="K553" s="886"/>
      <c r="L553" s="886"/>
      <c r="M553" s="886"/>
      <c r="N553" s="886"/>
      <c r="O553" s="886"/>
      <c r="P553" s="886"/>
      <c r="Q553" s="886"/>
      <c r="R553" s="886"/>
      <c r="S553" s="886"/>
      <c r="T553" s="886"/>
      <c r="U553" s="886"/>
      <c r="V553" s="886"/>
      <c r="W553" s="886"/>
      <c r="X553" s="886"/>
      <c r="Y553" s="886"/>
    </row>
    <row r="554" spans="3:25">
      <c r="C554" s="942"/>
      <c r="D554" s="942"/>
      <c r="E554" s="943"/>
      <c r="F554" s="943"/>
      <c r="G554" s="886"/>
      <c r="H554" s="886"/>
      <c r="I554" s="886"/>
      <c r="J554" s="886"/>
      <c r="K554" s="886"/>
      <c r="L554" s="886"/>
      <c r="M554" s="886"/>
      <c r="N554" s="886"/>
      <c r="O554" s="886"/>
      <c r="P554" s="886"/>
      <c r="Q554" s="886"/>
      <c r="R554" s="886"/>
      <c r="S554" s="886"/>
      <c r="T554" s="886"/>
      <c r="U554" s="886"/>
      <c r="V554" s="886"/>
      <c r="W554" s="886"/>
      <c r="X554" s="886"/>
      <c r="Y554" s="886"/>
    </row>
    <row r="555" spans="3:25">
      <c r="C555" s="942"/>
      <c r="D555" s="942"/>
      <c r="E555" s="943"/>
      <c r="F555" s="943"/>
      <c r="G555" s="886"/>
      <c r="H555" s="886"/>
      <c r="I555" s="886"/>
      <c r="J555" s="886"/>
      <c r="K555" s="886"/>
      <c r="L555" s="886"/>
      <c r="M555" s="886"/>
      <c r="N555" s="886"/>
      <c r="O555" s="886"/>
      <c r="P555" s="886"/>
      <c r="Q555" s="886"/>
      <c r="R555" s="886"/>
      <c r="S555" s="886"/>
      <c r="T555" s="886"/>
      <c r="U555" s="886"/>
      <c r="V555" s="886"/>
      <c r="W555" s="886"/>
      <c r="X555" s="886"/>
      <c r="Y555" s="886"/>
    </row>
    <row r="556" spans="3:25">
      <c r="C556" s="942"/>
      <c r="D556" s="942"/>
      <c r="E556" s="943"/>
      <c r="F556" s="943"/>
      <c r="G556" s="886"/>
      <c r="H556" s="886"/>
      <c r="I556" s="886"/>
      <c r="J556" s="886"/>
      <c r="K556" s="886"/>
      <c r="L556" s="886"/>
      <c r="M556" s="886"/>
      <c r="N556" s="886"/>
      <c r="O556" s="886"/>
      <c r="P556" s="886"/>
      <c r="Q556" s="886"/>
      <c r="R556" s="886"/>
      <c r="S556" s="886"/>
      <c r="T556" s="886"/>
      <c r="U556" s="886"/>
      <c r="V556" s="886"/>
      <c r="W556" s="886"/>
      <c r="X556" s="886"/>
      <c r="Y556" s="886"/>
    </row>
    <row r="557" spans="3:25">
      <c r="C557" s="942"/>
      <c r="D557" s="942"/>
      <c r="E557" s="943"/>
      <c r="F557" s="943"/>
      <c r="G557" s="886"/>
      <c r="H557" s="886"/>
      <c r="I557" s="886"/>
      <c r="J557" s="886"/>
      <c r="K557" s="886"/>
      <c r="L557" s="886"/>
      <c r="M557" s="886"/>
      <c r="N557" s="886"/>
      <c r="O557" s="886"/>
      <c r="P557" s="886"/>
      <c r="Q557" s="886"/>
      <c r="R557" s="886"/>
      <c r="S557" s="886"/>
      <c r="T557" s="886"/>
      <c r="U557" s="886"/>
      <c r="V557" s="886"/>
      <c r="W557" s="886"/>
      <c r="X557" s="886"/>
      <c r="Y557" s="886"/>
    </row>
    <row r="558" spans="3:25">
      <c r="C558" s="942"/>
      <c r="D558" s="942"/>
      <c r="E558" s="943"/>
      <c r="F558" s="943"/>
      <c r="G558" s="886"/>
      <c r="H558" s="886"/>
      <c r="I558" s="886"/>
      <c r="J558" s="886"/>
      <c r="K558" s="886"/>
      <c r="L558" s="886"/>
      <c r="M558" s="886"/>
      <c r="N558" s="886"/>
      <c r="O558" s="886"/>
      <c r="P558" s="886"/>
      <c r="Q558" s="886"/>
      <c r="R558" s="886"/>
      <c r="S558" s="886"/>
      <c r="T558" s="886"/>
      <c r="U558" s="886"/>
      <c r="V558" s="886"/>
      <c r="W558" s="886"/>
      <c r="X558" s="886"/>
      <c r="Y558" s="886"/>
    </row>
    <row r="559" spans="3:25">
      <c r="C559" s="942"/>
      <c r="D559" s="942"/>
      <c r="E559" s="943"/>
      <c r="F559" s="943"/>
      <c r="G559" s="886"/>
      <c r="H559" s="886"/>
      <c r="I559" s="886"/>
      <c r="J559" s="886"/>
      <c r="K559" s="886"/>
      <c r="L559" s="886"/>
      <c r="M559" s="886"/>
      <c r="N559" s="886"/>
      <c r="O559" s="886"/>
      <c r="P559" s="886"/>
      <c r="Q559" s="886"/>
      <c r="R559" s="886"/>
      <c r="S559" s="886"/>
      <c r="T559" s="886"/>
      <c r="U559" s="886"/>
      <c r="V559" s="886"/>
      <c r="W559" s="886"/>
      <c r="X559" s="886"/>
      <c r="Y559" s="886"/>
    </row>
    <row r="560" spans="3:25">
      <c r="C560" s="942"/>
      <c r="D560" s="942"/>
      <c r="E560" s="943"/>
      <c r="F560" s="943"/>
      <c r="G560" s="886"/>
      <c r="H560" s="886"/>
      <c r="I560" s="886"/>
      <c r="J560" s="886"/>
      <c r="K560" s="886"/>
      <c r="L560" s="886"/>
      <c r="M560" s="886"/>
      <c r="N560" s="886"/>
      <c r="O560" s="886"/>
      <c r="P560" s="886"/>
      <c r="Q560" s="886"/>
      <c r="R560" s="886"/>
      <c r="S560" s="886"/>
      <c r="T560" s="886"/>
      <c r="U560" s="886"/>
      <c r="V560" s="886"/>
      <c r="W560" s="886"/>
      <c r="X560" s="886"/>
      <c r="Y560" s="886"/>
    </row>
    <row r="561" spans="3:25">
      <c r="C561" s="942"/>
      <c r="D561" s="942"/>
      <c r="E561" s="943"/>
      <c r="F561" s="943"/>
      <c r="G561" s="886"/>
      <c r="H561" s="886"/>
      <c r="I561" s="886"/>
      <c r="J561" s="886"/>
      <c r="K561" s="886"/>
      <c r="L561" s="886"/>
      <c r="M561" s="886"/>
      <c r="N561" s="886"/>
      <c r="O561" s="886"/>
      <c r="P561" s="886"/>
      <c r="Q561" s="886"/>
      <c r="R561" s="886"/>
      <c r="S561" s="886"/>
      <c r="T561" s="886"/>
      <c r="U561" s="886"/>
      <c r="V561" s="886"/>
      <c r="W561" s="886"/>
      <c r="X561" s="886"/>
      <c r="Y561" s="886"/>
    </row>
    <row r="562" spans="3:25">
      <c r="C562" s="942"/>
      <c r="D562" s="942"/>
      <c r="E562" s="943"/>
      <c r="F562" s="943"/>
      <c r="G562" s="886"/>
      <c r="H562" s="886"/>
      <c r="I562" s="886"/>
      <c r="J562" s="886"/>
      <c r="K562" s="886"/>
      <c r="L562" s="886"/>
      <c r="M562" s="886"/>
      <c r="N562" s="886"/>
      <c r="O562" s="886"/>
      <c r="P562" s="886"/>
      <c r="Q562" s="886"/>
      <c r="R562" s="886"/>
      <c r="S562" s="886"/>
      <c r="T562" s="886"/>
      <c r="U562" s="886"/>
      <c r="V562" s="886"/>
      <c r="W562" s="886"/>
      <c r="X562" s="886"/>
      <c r="Y562" s="886"/>
    </row>
    <row r="563" spans="3:25">
      <c r="C563" s="942"/>
      <c r="D563" s="942"/>
      <c r="E563" s="943"/>
      <c r="F563" s="943"/>
      <c r="G563" s="886"/>
      <c r="H563" s="886"/>
      <c r="I563" s="886"/>
      <c r="J563" s="886"/>
      <c r="K563" s="886"/>
      <c r="L563" s="886"/>
      <c r="M563" s="886"/>
      <c r="N563" s="886"/>
      <c r="O563" s="886"/>
      <c r="P563" s="886"/>
      <c r="Q563" s="886"/>
      <c r="R563" s="886"/>
      <c r="S563" s="886"/>
      <c r="T563" s="886"/>
      <c r="U563" s="886"/>
      <c r="V563" s="886"/>
      <c r="W563" s="886"/>
      <c r="X563" s="886"/>
      <c r="Y563" s="886"/>
    </row>
    <row r="564" spans="3:25">
      <c r="C564" s="942"/>
      <c r="D564" s="942"/>
      <c r="E564" s="943"/>
      <c r="F564" s="943"/>
      <c r="G564" s="886"/>
      <c r="H564" s="886"/>
      <c r="I564" s="886"/>
      <c r="J564" s="886"/>
      <c r="K564" s="886"/>
      <c r="L564" s="886"/>
      <c r="M564" s="886"/>
      <c r="N564" s="886"/>
      <c r="O564" s="886"/>
      <c r="P564" s="886"/>
      <c r="Q564" s="886"/>
      <c r="R564" s="886"/>
      <c r="S564" s="886"/>
      <c r="T564" s="886"/>
      <c r="U564" s="886"/>
      <c r="V564" s="886"/>
      <c r="W564" s="886"/>
      <c r="X564" s="886"/>
      <c r="Y564" s="886"/>
    </row>
    <row r="565" spans="3:25">
      <c r="C565" s="942"/>
      <c r="D565" s="942"/>
      <c r="E565" s="943"/>
      <c r="F565" s="943"/>
      <c r="G565" s="886"/>
      <c r="H565" s="886"/>
      <c r="I565" s="886"/>
      <c r="J565" s="886"/>
      <c r="K565" s="886"/>
      <c r="L565" s="886"/>
      <c r="M565" s="886"/>
      <c r="N565" s="886"/>
      <c r="O565" s="886"/>
      <c r="P565" s="886"/>
      <c r="Q565" s="886"/>
      <c r="R565" s="886"/>
      <c r="S565" s="886"/>
      <c r="T565" s="886"/>
      <c r="U565" s="886"/>
      <c r="V565" s="886"/>
      <c r="W565" s="886"/>
      <c r="X565" s="886"/>
      <c r="Y565" s="886"/>
    </row>
    <row r="566" spans="3:25">
      <c r="C566" s="942"/>
      <c r="D566" s="942"/>
      <c r="E566" s="943"/>
      <c r="F566" s="943"/>
      <c r="G566" s="886"/>
      <c r="H566" s="886"/>
      <c r="I566" s="886"/>
      <c r="J566" s="886"/>
      <c r="K566" s="886"/>
      <c r="L566" s="886"/>
      <c r="M566" s="886"/>
      <c r="N566" s="886"/>
      <c r="O566" s="886"/>
      <c r="P566" s="886"/>
      <c r="Q566" s="886"/>
      <c r="R566" s="886"/>
      <c r="S566" s="886"/>
      <c r="T566" s="886"/>
      <c r="U566" s="886"/>
      <c r="V566" s="886"/>
      <c r="W566" s="886"/>
      <c r="X566" s="886"/>
      <c r="Y566" s="886"/>
    </row>
    <row r="567" spans="3:25">
      <c r="C567" s="942"/>
      <c r="D567" s="942"/>
      <c r="E567" s="943"/>
      <c r="F567" s="943"/>
      <c r="G567" s="886"/>
      <c r="H567" s="886"/>
      <c r="I567" s="886"/>
      <c r="J567" s="886"/>
      <c r="K567" s="886"/>
      <c r="L567" s="886"/>
      <c r="M567" s="886"/>
      <c r="N567" s="886"/>
      <c r="O567" s="886"/>
      <c r="P567" s="886"/>
      <c r="Q567" s="886"/>
      <c r="R567" s="886"/>
      <c r="S567" s="886"/>
      <c r="T567" s="886"/>
      <c r="U567" s="886"/>
      <c r="V567" s="886"/>
      <c r="W567" s="886"/>
      <c r="X567" s="886"/>
      <c r="Y567" s="886"/>
    </row>
    <row r="568" spans="3:25">
      <c r="C568" s="942"/>
      <c r="D568" s="942"/>
      <c r="E568" s="943"/>
      <c r="F568" s="943"/>
      <c r="G568" s="886"/>
      <c r="H568" s="886"/>
      <c r="I568" s="886"/>
      <c r="J568" s="886"/>
      <c r="K568" s="886"/>
      <c r="L568" s="886"/>
      <c r="M568" s="886"/>
      <c r="N568" s="886"/>
      <c r="O568" s="886"/>
      <c r="P568" s="886"/>
      <c r="Q568" s="886"/>
      <c r="R568" s="886"/>
      <c r="S568" s="886"/>
      <c r="T568" s="886"/>
      <c r="U568" s="886"/>
      <c r="V568" s="886"/>
      <c r="W568" s="886"/>
      <c r="X568" s="886"/>
      <c r="Y568" s="886"/>
    </row>
    <row r="569" spans="3:25">
      <c r="C569" s="942"/>
      <c r="D569" s="942"/>
      <c r="E569" s="943"/>
      <c r="F569" s="943"/>
      <c r="G569" s="886"/>
      <c r="H569" s="886"/>
      <c r="I569" s="886"/>
      <c r="J569" s="886"/>
      <c r="K569" s="886"/>
      <c r="L569" s="886"/>
      <c r="M569" s="886"/>
      <c r="N569" s="886"/>
      <c r="O569" s="886"/>
      <c r="P569" s="886"/>
      <c r="Q569" s="886"/>
      <c r="R569" s="886"/>
      <c r="S569" s="886"/>
      <c r="T569" s="886"/>
      <c r="U569" s="886"/>
      <c r="V569" s="886"/>
      <c r="W569" s="886"/>
      <c r="X569" s="886"/>
      <c r="Y569" s="886"/>
    </row>
    <row r="570" spans="3:25">
      <c r="C570" s="942"/>
      <c r="D570" s="942"/>
      <c r="E570" s="943"/>
      <c r="F570" s="943"/>
      <c r="G570" s="886"/>
      <c r="H570" s="886"/>
      <c r="I570" s="886"/>
      <c r="J570" s="886"/>
      <c r="K570" s="886"/>
      <c r="L570" s="886"/>
      <c r="M570" s="886"/>
      <c r="N570" s="886"/>
      <c r="O570" s="886"/>
      <c r="P570" s="886"/>
      <c r="Q570" s="886"/>
      <c r="R570" s="886"/>
      <c r="S570" s="886"/>
      <c r="T570" s="886"/>
      <c r="U570" s="886"/>
      <c r="V570" s="886"/>
      <c r="W570" s="886"/>
      <c r="X570" s="886"/>
      <c r="Y570" s="886"/>
    </row>
    <row r="571" spans="3:25">
      <c r="C571" s="942"/>
      <c r="D571" s="942"/>
      <c r="E571" s="943"/>
      <c r="F571" s="943"/>
      <c r="G571" s="886"/>
      <c r="H571" s="886"/>
      <c r="I571" s="886"/>
      <c r="J571" s="886"/>
      <c r="K571" s="886"/>
      <c r="L571" s="886"/>
      <c r="M571" s="886"/>
      <c r="N571" s="886"/>
      <c r="O571" s="886"/>
      <c r="P571" s="886"/>
      <c r="Q571" s="886"/>
      <c r="R571" s="886"/>
      <c r="S571" s="886"/>
      <c r="T571" s="886"/>
      <c r="U571" s="886"/>
      <c r="V571" s="886"/>
      <c r="W571" s="886"/>
      <c r="X571" s="886"/>
      <c r="Y571" s="886"/>
    </row>
    <row r="572" spans="3:25">
      <c r="C572" s="942"/>
      <c r="D572" s="942"/>
      <c r="E572" s="943"/>
      <c r="F572" s="943"/>
      <c r="G572" s="886"/>
      <c r="H572" s="886"/>
      <c r="I572" s="886"/>
      <c r="J572" s="886"/>
      <c r="K572" s="886"/>
      <c r="L572" s="886"/>
      <c r="M572" s="886"/>
      <c r="N572" s="886"/>
      <c r="O572" s="886"/>
      <c r="P572" s="886"/>
      <c r="Q572" s="886"/>
      <c r="R572" s="886"/>
      <c r="S572" s="886"/>
      <c r="T572" s="886"/>
      <c r="U572" s="886"/>
      <c r="V572" s="886"/>
      <c r="W572" s="886"/>
      <c r="X572" s="886"/>
      <c r="Y572" s="886"/>
    </row>
    <row r="573" spans="3:25">
      <c r="C573" s="942"/>
      <c r="D573" s="942"/>
      <c r="E573" s="943"/>
      <c r="F573" s="943"/>
      <c r="G573" s="886"/>
      <c r="H573" s="886"/>
      <c r="I573" s="886"/>
      <c r="J573" s="886"/>
      <c r="K573" s="886"/>
      <c r="L573" s="886"/>
      <c r="M573" s="886"/>
      <c r="N573" s="886"/>
      <c r="O573" s="886"/>
      <c r="P573" s="886"/>
      <c r="Q573" s="886"/>
      <c r="R573" s="886"/>
      <c r="S573" s="886"/>
      <c r="T573" s="886"/>
      <c r="U573" s="886"/>
      <c r="V573" s="886"/>
      <c r="W573" s="886"/>
      <c r="X573" s="886"/>
      <c r="Y573" s="886"/>
    </row>
    <row r="574" spans="3:25">
      <c r="C574" s="942"/>
      <c r="D574" s="942"/>
      <c r="E574" s="943"/>
      <c r="F574" s="943"/>
      <c r="G574" s="886"/>
      <c r="H574" s="886"/>
      <c r="I574" s="886"/>
      <c r="J574" s="886"/>
      <c r="K574" s="886"/>
      <c r="L574" s="886"/>
      <c r="M574" s="886"/>
      <c r="N574" s="886"/>
      <c r="O574" s="886"/>
      <c r="P574" s="886"/>
      <c r="Q574" s="886"/>
      <c r="R574" s="886"/>
      <c r="S574" s="886"/>
      <c r="T574" s="886"/>
      <c r="U574" s="886"/>
      <c r="V574" s="886"/>
      <c r="W574" s="886"/>
      <c r="X574" s="886"/>
      <c r="Y574" s="886"/>
    </row>
    <row r="575" spans="3:25">
      <c r="C575" s="942"/>
      <c r="D575" s="942"/>
      <c r="E575" s="943"/>
      <c r="F575" s="943"/>
      <c r="G575" s="886"/>
      <c r="H575" s="886"/>
      <c r="I575" s="886"/>
      <c r="J575" s="886"/>
      <c r="K575" s="886"/>
      <c r="L575" s="886"/>
      <c r="M575" s="886"/>
      <c r="N575" s="886"/>
      <c r="O575" s="886"/>
      <c r="P575" s="886"/>
      <c r="Q575" s="886"/>
      <c r="R575" s="886"/>
      <c r="S575" s="886"/>
      <c r="T575" s="886"/>
      <c r="U575" s="886"/>
      <c r="V575" s="886"/>
      <c r="W575" s="886"/>
      <c r="X575" s="886"/>
      <c r="Y575" s="886"/>
    </row>
    <row r="576" spans="3:25">
      <c r="C576" s="942"/>
      <c r="D576" s="942"/>
      <c r="E576" s="943"/>
      <c r="F576" s="943"/>
      <c r="G576" s="886"/>
      <c r="H576" s="886"/>
      <c r="I576" s="886"/>
      <c r="J576" s="886"/>
      <c r="K576" s="886"/>
      <c r="L576" s="886"/>
      <c r="M576" s="886"/>
      <c r="N576" s="886"/>
      <c r="O576" s="886"/>
      <c r="P576" s="886"/>
      <c r="Q576" s="886"/>
      <c r="R576" s="886"/>
      <c r="S576" s="886"/>
      <c r="T576" s="886"/>
      <c r="U576" s="886"/>
      <c r="V576" s="886"/>
      <c r="W576" s="886"/>
      <c r="X576" s="886"/>
      <c r="Y576" s="886"/>
    </row>
    <row r="577" spans="3:25">
      <c r="C577" s="942"/>
      <c r="D577" s="942"/>
      <c r="E577" s="943"/>
      <c r="F577" s="943"/>
      <c r="G577" s="886"/>
      <c r="H577" s="886"/>
      <c r="I577" s="886"/>
      <c r="J577" s="886"/>
      <c r="K577" s="886"/>
      <c r="L577" s="886"/>
      <c r="M577" s="886"/>
      <c r="N577" s="886"/>
      <c r="O577" s="886"/>
      <c r="P577" s="886"/>
      <c r="Q577" s="886"/>
      <c r="R577" s="886"/>
      <c r="S577" s="886"/>
      <c r="T577" s="886"/>
      <c r="U577" s="886"/>
      <c r="V577" s="886"/>
      <c r="W577" s="886"/>
      <c r="X577" s="886"/>
      <c r="Y577" s="886"/>
    </row>
    <row r="578" spans="3:25">
      <c r="C578" s="942"/>
      <c r="D578" s="942"/>
      <c r="E578" s="943"/>
      <c r="F578" s="943"/>
      <c r="G578" s="886"/>
      <c r="H578" s="886"/>
      <c r="I578" s="886"/>
      <c r="J578" s="886"/>
      <c r="K578" s="886"/>
      <c r="L578" s="886"/>
      <c r="M578" s="886"/>
      <c r="N578" s="886"/>
      <c r="O578" s="886"/>
      <c r="P578" s="886"/>
      <c r="Q578" s="886"/>
      <c r="R578" s="886"/>
      <c r="S578" s="886"/>
      <c r="T578" s="886"/>
      <c r="U578" s="886"/>
      <c r="V578" s="886"/>
      <c r="W578" s="886"/>
      <c r="X578" s="886"/>
      <c r="Y578" s="886"/>
    </row>
    <row r="579" spans="3:25">
      <c r="C579" s="942"/>
      <c r="D579" s="942"/>
      <c r="E579" s="943"/>
      <c r="F579" s="943"/>
      <c r="G579" s="886"/>
      <c r="H579" s="886"/>
      <c r="I579" s="886"/>
      <c r="J579" s="886"/>
      <c r="K579" s="886"/>
      <c r="L579" s="886"/>
      <c r="M579" s="886"/>
      <c r="N579" s="886"/>
      <c r="O579" s="886"/>
      <c r="P579" s="886"/>
      <c r="Q579" s="886"/>
      <c r="R579" s="886"/>
      <c r="S579" s="886"/>
      <c r="T579" s="886"/>
      <c r="U579" s="886"/>
      <c r="V579" s="886"/>
      <c r="W579" s="886"/>
      <c r="X579" s="886"/>
      <c r="Y579" s="886"/>
    </row>
    <row r="580" spans="3:25">
      <c r="C580" s="942"/>
      <c r="D580" s="942"/>
      <c r="E580" s="943"/>
      <c r="F580" s="943"/>
      <c r="G580" s="886"/>
      <c r="H580" s="886"/>
      <c r="I580" s="886"/>
      <c r="J580" s="886"/>
      <c r="K580" s="886"/>
      <c r="L580" s="886"/>
      <c r="M580" s="886"/>
      <c r="N580" s="886"/>
      <c r="O580" s="886"/>
      <c r="P580" s="886"/>
      <c r="Q580" s="886"/>
      <c r="R580" s="886"/>
      <c r="S580" s="886"/>
      <c r="T580" s="886"/>
      <c r="U580" s="886"/>
      <c r="V580" s="886"/>
      <c r="W580" s="886"/>
      <c r="X580" s="886"/>
      <c r="Y580" s="886"/>
    </row>
    <row r="581" spans="3:25">
      <c r="C581" s="942"/>
      <c r="D581" s="942"/>
      <c r="E581" s="943"/>
      <c r="F581" s="943"/>
      <c r="G581" s="886"/>
      <c r="H581" s="886"/>
      <c r="I581" s="886"/>
      <c r="J581" s="886"/>
      <c r="K581" s="886"/>
      <c r="L581" s="886"/>
      <c r="M581" s="886"/>
      <c r="N581" s="886"/>
      <c r="O581" s="886"/>
      <c r="P581" s="886"/>
      <c r="Q581" s="886"/>
      <c r="R581" s="886"/>
      <c r="S581" s="886"/>
      <c r="T581" s="886"/>
      <c r="U581" s="886"/>
      <c r="V581" s="886"/>
      <c r="W581" s="886"/>
      <c r="X581" s="886"/>
      <c r="Y581" s="886"/>
    </row>
    <row r="582" spans="3:25">
      <c r="C582" s="942"/>
      <c r="D582" s="942"/>
      <c r="E582" s="943"/>
      <c r="F582" s="943"/>
      <c r="G582" s="886"/>
      <c r="H582" s="886"/>
      <c r="I582" s="886"/>
      <c r="J582" s="886"/>
      <c r="K582" s="886"/>
      <c r="L582" s="886"/>
      <c r="M582" s="886"/>
      <c r="N582" s="886"/>
      <c r="O582" s="886"/>
      <c r="P582" s="886"/>
      <c r="Q582" s="886"/>
      <c r="R582" s="886"/>
      <c r="S582" s="886"/>
      <c r="T582" s="886"/>
      <c r="U582" s="886"/>
      <c r="V582" s="886"/>
      <c r="W582" s="886"/>
      <c r="X582" s="886"/>
      <c r="Y582" s="886"/>
    </row>
    <row r="583" spans="3:25">
      <c r="C583" s="942"/>
      <c r="D583" s="942"/>
      <c r="E583" s="943"/>
      <c r="F583" s="943"/>
      <c r="G583" s="886"/>
      <c r="H583" s="886"/>
      <c r="I583" s="886"/>
      <c r="J583" s="886"/>
      <c r="K583" s="886"/>
      <c r="L583" s="886"/>
      <c r="M583" s="886"/>
      <c r="N583" s="886"/>
      <c r="O583" s="886"/>
      <c r="P583" s="886"/>
      <c r="Q583" s="886"/>
      <c r="R583" s="886"/>
      <c r="S583" s="886"/>
      <c r="T583" s="886"/>
      <c r="U583" s="886"/>
      <c r="V583" s="886"/>
      <c r="W583" s="886"/>
      <c r="X583" s="886"/>
      <c r="Y583" s="886"/>
    </row>
    <row r="584" spans="3:25">
      <c r="C584" s="942"/>
      <c r="D584" s="942"/>
      <c r="E584" s="943"/>
      <c r="F584" s="943"/>
      <c r="G584" s="886"/>
      <c r="H584" s="886"/>
      <c r="I584" s="886"/>
      <c r="J584" s="886"/>
      <c r="K584" s="886"/>
      <c r="L584" s="886"/>
      <c r="M584" s="886"/>
      <c r="N584" s="886"/>
      <c r="O584" s="886"/>
      <c r="P584" s="886"/>
      <c r="Q584" s="886"/>
      <c r="R584" s="886"/>
      <c r="S584" s="886"/>
      <c r="T584" s="886"/>
      <c r="U584" s="886"/>
      <c r="V584" s="886"/>
      <c r="W584" s="886"/>
      <c r="X584" s="886"/>
      <c r="Y584" s="886"/>
    </row>
    <row r="585" spans="3:25">
      <c r="C585" s="942"/>
      <c r="D585" s="942"/>
      <c r="E585" s="943"/>
      <c r="F585" s="943"/>
      <c r="G585" s="886"/>
      <c r="H585" s="886"/>
      <c r="I585" s="886"/>
      <c r="J585" s="886"/>
      <c r="K585" s="886"/>
      <c r="L585" s="886"/>
      <c r="M585" s="886"/>
      <c r="N585" s="886"/>
      <c r="O585" s="886"/>
      <c r="P585" s="886"/>
      <c r="Q585" s="886"/>
      <c r="R585" s="886"/>
      <c r="S585" s="886"/>
      <c r="T585" s="886"/>
      <c r="U585" s="886"/>
      <c r="V585" s="886"/>
      <c r="W585" s="886"/>
      <c r="X585" s="886"/>
      <c r="Y585" s="886"/>
    </row>
    <row r="586" spans="3:25">
      <c r="C586" s="942"/>
      <c r="D586" s="942"/>
      <c r="E586" s="943"/>
      <c r="F586" s="943"/>
      <c r="G586" s="886"/>
      <c r="H586" s="886"/>
      <c r="I586" s="886"/>
      <c r="J586" s="886"/>
      <c r="K586" s="886"/>
      <c r="L586" s="886"/>
      <c r="M586" s="886"/>
      <c r="N586" s="886"/>
      <c r="O586" s="886"/>
      <c r="P586" s="886"/>
      <c r="Q586" s="886"/>
      <c r="R586" s="886"/>
      <c r="S586" s="886"/>
      <c r="T586" s="886"/>
      <c r="U586" s="886"/>
      <c r="V586" s="886"/>
      <c r="W586" s="886"/>
      <c r="X586" s="886"/>
      <c r="Y586" s="886"/>
    </row>
    <row r="587" spans="3:25">
      <c r="C587" s="942"/>
      <c r="D587" s="942"/>
      <c r="E587" s="943"/>
      <c r="F587" s="943"/>
      <c r="G587" s="886"/>
      <c r="H587" s="886"/>
      <c r="I587" s="886"/>
      <c r="J587" s="886"/>
      <c r="K587" s="886"/>
      <c r="L587" s="886"/>
      <c r="M587" s="886"/>
      <c r="N587" s="886"/>
      <c r="O587" s="886"/>
      <c r="P587" s="886"/>
      <c r="Q587" s="886"/>
      <c r="R587" s="886"/>
      <c r="S587" s="886"/>
      <c r="T587" s="886"/>
      <c r="U587" s="886"/>
      <c r="V587" s="886"/>
      <c r="W587" s="886"/>
      <c r="X587" s="886"/>
      <c r="Y587" s="886"/>
    </row>
    <row r="588" spans="3:25">
      <c r="C588" s="942"/>
      <c r="D588" s="942"/>
      <c r="E588" s="943"/>
      <c r="F588" s="943"/>
      <c r="G588" s="886"/>
      <c r="H588" s="886"/>
      <c r="I588" s="886"/>
      <c r="J588" s="886"/>
      <c r="K588" s="886"/>
      <c r="L588" s="886"/>
      <c r="M588" s="886"/>
      <c r="N588" s="886"/>
      <c r="O588" s="886"/>
      <c r="P588" s="886"/>
      <c r="Q588" s="886"/>
      <c r="R588" s="886"/>
      <c r="S588" s="886"/>
      <c r="T588" s="886"/>
      <c r="U588" s="886"/>
      <c r="V588" s="886"/>
      <c r="W588" s="886"/>
      <c r="X588" s="886"/>
      <c r="Y588" s="886"/>
    </row>
    <row r="589" spans="3:25">
      <c r="C589" s="942"/>
      <c r="D589" s="942"/>
      <c r="E589" s="943"/>
      <c r="F589" s="943"/>
      <c r="G589" s="886"/>
      <c r="H589" s="886"/>
      <c r="I589" s="886"/>
      <c r="J589" s="886"/>
      <c r="K589" s="886"/>
      <c r="L589" s="886"/>
      <c r="M589" s="886"/>
      <c r="N589" s="886"/>
      <c r="O589" s="886"/>
      <c r="P589" s="886"/>
      <c r="Q589" s="886"/>
      <c r="R589" s="886"/>
      <c r="S589" s="886"/>
      <c r="T589" s="886"/>
      <c r="U589" s="886"/>
      <c r="V589" s="886"/>
      <c r="W589" s="886"/>
      <c r="X589" s="886"/>
      <c r="Y589" s="886"/>
    </row>
    <row r="590" spans="3:25">
      <c r="C590" s="942"/>
      <c r="D590" s="942"/>
      <c r="E590" s="943"/>
      <c r="F590" s="943"/>
      <c r="G590" s="886"/>
      <c r="H590" s="886"/>
      <c r="I590" s="886"/>
      <c r="J590" s="886"/>
      <c r="K590" s="886"/>
      <c r="L590" s="886"/>
      <c r="M590" s="886"/>
      <c r="N590" s="886"/>
      <c r="O590" s="886"/>
      <c r="P590" s="886"/>
      <c r="Q590" s="886"/>
      <c r="R590" s="886"/>
      <c r="S590" s="886"/>
      <c r="T590" s="886"/>
      <c r="U590" s="886"/>
      <c r="V590" s="886"/>
      <c r="W590" s="886"/>
      <c r="X590" s="886"/>
      <c r="Y590" s="886"/>
    </row>
    <row r="591" spans="3:25">
      <c r="C591" s="942"/>
      <c r="D591" s="942"/>
      <c r="E591" s="943"/>
      <c r="F591" s="943"/>
      <c r="G591" s="886"/>
      <c r="H591" s="886"/>
      <c r="I591" s="886"/>
      <c r="J591" s="886"/>
      <c r="K591" s="886"/>
      <c r="L591" s="886"/>
      <c r="M591" s="886"/>
      <c r="N591" s="886"/>
      <c r="O591" s="886"/>
      <c r="P591" s="886"/>
      <c r="Q591" s="886"/>
      <c r="R591" s="886"/>
      <c r="S591" s="886"/>
      <c r="T591" s="886"/>
      <c r="U591" s="886"/>
      <c r="V591" s="886"/>
      <c r="W591" s="886"/>
      <c r="X591" s="886"/>
      <c r="Y591" s="886"/>
    </row>
    <row r="592" spans="3:25">
      <c r="C592" s="942"/>
      <c r="D592" s="942"/>
      <c r="E592" s="943"/>
      <c r="F592" s="943"/>
      <c r="G592" s="886"/>
      <c r="H592" s="886"/>
      <c r="I592" s="886"/>
      <c r="J592" s="886"/>
      <c r="K592" s="886"/>
      <c r="L592" s="886"/>
      <c r="M592" s="886"/>
      <c r="N592" s="886"/>
      <c r="O592" s="886"/>
      <c r="P592" s="886"/>
      <c r="Q592" s="886"/>
      <c r="R592" s="886"/>
      <c r="S592" s="886"/>
      <c r="T592" s="886"/>
      <c r="U592" s="886"/>
      <c r="V592" s="886"/>
      <c r="W592" s="886"/>
      <c r="X592" s="886"/>
      <c r="Y592" s="886"/>
    </row>
    <row r="593" spans="3:25">
      <c r="C593" s="942"/>
      <c r="D593" s="942"/>
      <c r="E593" s="943"/>
      <c r="F593" s="943"/>
      <c r="G593" s="886"/>
      <c r="H593" s="886"/>
      <c r="I593" s="886"/>
      <c r="J593" s="886"/>
      <c r="K593" s="886"/>
      <c r="L593" s="886"/>
      <c r="M593" s="886"/>
      <c r="N593" s="886"/>
      <c r="O593" s="886"/>
      <c r="P593" s="886"/>
      <c r="Q593" s="886"/>
      <c r="R593" s="886"/>
      <c r="S593" s="886"/>
      <c r="T593" s="886"/>
      <c r="U593" s="886"/>
      <c r="V593" s="886"/>
      <c r="W593" s="886"/>
      <c r="X593" s="886"/>
      <c r="Y593" s="886"/>
    </row>
    <row r="594" spans="3:25">
      <c r="C594" s="942"/>
      <c r="D594" s="942"/>
      <c r="E594" s="943"/>
      <c r="F594" s="943"/>
      <c r="G594" s="886"/>
      <c r="H594" s="886"/>
      <c r="I594" s="886"/>
      <c r="J594" s="886"/>
      <c r="K594" s="886"/>
      <c r="L594" s="886"/>
      <c r="M594" s="886"/>
      <c r="N594" s="886"/>
      <c r="O594" s="886"/>
      <c r="P594" s="886"/>
      <c r="Q594" s="886"/>
      <c r="R594" s="886"/>
      <c r="S594" s="886"/>
      <c r="T594" s="886"/>
      <c r="U594" s="886"/>
      <c r="V594" s="886"/>
      <c r="W594" s="886"/>
      <c r="X594" s="886"/>
      <c r="Y594" s="886"/>
    </row>
    <row r="595" spans="3:25">
      <c r="C595" s="942"/>
      <c r="D595" s="942"/>
      <c r="E595" s="943"/>
      <c r="F595" s="943"/>
      <c r="G595" s="886"/>
      <c r="H595" s="886"/>
      <c r="I595" s="886"/>
      <c r="J595" s="886"/>
      <c r="K595" s="886"/>
      <c r="L595" s="886"/>
      <c r="M595" s="886"/>
      <c r="N595" s="886"/>
      <c r="O595" s="886"/>
      <c r="P595" s="886"/>
      <c r="Q595" s="886"/>
      <c r="R595" s="886"/>
      <c r="S595" s="886"/>
      <c r="T595" s="886"/>
      <c r="U595" s="886"/>
      <c r="V595" s="886"/>
      <c r="W595" s="886"/>
      <c r="X595" s="886"/>
      <c r="Y595" s="886"/>
    </row>
    <row r="596" spans="3:25">
      <c r="C596" s="942"/>
      <c r="D596" s="942"/>
      <c r="E596" s="943"/>
      <c r="F596" s="943"/>
      <c r="G596" s="886"/>
      <c r="H596" s="886"/>
      <c r="I596" s="886"/>
      <c r="J596" s="886"/>
      <c r="K596" s="886"/>
      <c r="L596" s="886"/>
      <c r="M596" s="886"/>
      <c r="N596" s="886"/>
      <c r="O596" s="886"/>
      <c r="P596" s="886"/>
      <c r="Q596" s="886"/>
      <c r="R596" s="886"/>
      <c r="S596" s="886"/>
      <c r="T596" s="886"/>
      <c r="U596" s="886"/>
      <c r="V596" s="886"/>
      <c r="W596" s="886"/>
      <c r="X596" s="886"/>
      <c r="Y596" s="886"/>
    </row>
    <row r="597" spans="3:25">
      <c r="C597" s="942"/>
      <c r="D597" s="942"/>
      <c r="E597" s="943"/>
      <c r="F597" s="943"/>
      <c r="G597" s="886"/>
      <c r="H597" s="886"/>
      <c r="I597" s="886"/>
      <c r="J597" s="886"/>
      <c r="K597" s="886"/>
      <c r="L597" s="886"/>
      <c r="M597" s="886"/>
      <c r="N597" s="886"/>
      <c r="O597" s="886"/>
      <c r="P597" s="886"/>
      <c r="Q597" s="886"/>
      <c r="R597" s="886"/>
      <c r="S597" s="886"/>
      <c r="T597" s="886"/>
      <c r="U597" s="886"/>
      <c r="V597" s="886"/>
      <c r="W597" s="886"/>
      <c r="X597" s="886"/>
      <c r="Y597" s="886"/>
    </row>
    <row r="598" spans="3:25">
      <c r="C598" s="942"/>
      <c r="D598" s="942"/>
      <c r="E598" s="943"/>
      <c r="F598" s="943"/>
      <c r="G598" s="886"/>
      <c r="H598" s="886"/>
      <c r="I598" s="886"/>
      <c r="J598" s="886"/>
      <c r="K598" s="886"/>
      <c r="L598" s="886"/>
      <c r="M598" s="886"/>
      <c r="N598" s="886"/>
      <c r="O598" s="886"/>
      <c r="P598" s="886"/>
      <c r="Q598" s="886"/>
      <c r="R598" s="886"/>
      <c r="S598" s="886"/>
      <c r="T598" s="886"/>
      <c r="U598" s="886"/>
      <c r="V598" s="886"/>
      <c r="W598" s="886"/>
      <c r="X598" s="886"/>
      <c r="Y598" s="886"/>
    </row>
    <row r="599" spans="3:25">
      <c r="C599" s="942"/>
      <c r="D599" s="942"/>
      <c r="E599" s="943"/>
      <c r="F599" s="943"/>
      <c r="G599" s="886"/>
      <c r="H599" s="886"/>
      <c r="I599" s="886"/>
      <c r="J599" s="886"/>
      <c r="K599" s="886"/>
      <c r="L599" s="886"/>
      <c r="M599" s="886"/>
      <c r="N599" s="886"/>
      <c r="O599" s="886"/>
      <c r="P599" s="886"/>
      <c r="Q599" s="886"/>
      <c r="R599" s="886"/>
      <c r="S599" s="886"/>
      <c r="T599" s="886"/>
      <c r="U599" s="886"/>
      <c r="V599" s="886"/>
      <c r="W599" s="886"/>
      <c r="X599" s="886"/>
      <c r="Y599" s="886"/>
    </row>
    <row r="600" spans="3:25">
      <c r="C600" s="942"/>
      <c r="D600" s="942"/>
      <c r="E600" s="943"/>
      <c r="F600" s="943"/>
      <c r="G600" s="886"/>
      <c r="H600" s="886"/>
      <c r="I600" s="886"/>
      <c r="J600" s="886"/>
      <c r="K600" s="886"/>
      <c r="L600" s="886"/>
      <c r="M600" s="886"/>
      <c r="N600" s="886"/>
      <c r="O600" s="886"/>
      <c r="P600" s="886"/>
      <c r="Q600" s="886"/>
      <c r="R600" s="886"/>
      <c r="S600" s="886"/>
      <c r="T600" s="886"/>
      <c r="U600" s="886"/>
      <c r="V600" s="886"/>
      <c r="W600" s="886"/>
      <c r="X600" s="886"/>
      <c r="Y600" s="886"/>
    </row>
    <row r="601" spans="3:25">
      <c r="C601" s="942"/>
      <c r="D601" s="942"/>
      <c r="E601" s="943"/>
      <c r="F601" s="943"/>
      <c r="G601" s="886"/>
      <c r="H601" s="886"/>
      <c r="I601" s="886"/>
      <c r="J601" s="886"/>
      <c r="K601" s="886"/>
      <c r="L601" s="886"/>
      <c r="M601" s="886"/>
      <c r="N601" s="886"/>
      <c r="O601" s="886"/>
      <c r="P601" s="886"/>
      <c r="Q601" s="886"/>
      <c r="R601" s="886"/>
      <c r="S601" s="886"/>
      <c r="T601" s="886"/>
      <c r="U601" s="886"/>
      <c r="V601" s="886"/>
      <c r="W601" s="886"/>
      <c r="X601" s="886"/>
      <c r="Y601" s="886"/>
    </row>
    <row r="602" spans="3:25">
      <c r="C602" s="942"/>
      <c r="D602" s="942"/>
      <c r="E602" s="943"/>
      <c r="F602" s="943"/>
      <c r="G602" s="886"/>
      <c r="H602" s="886"/>
      <c r="I602" s="886"/>
      <c r="J602" s="886"/>
      <c r="K602" s="886"/>
      <c r="L602" s="886"/>
      <c r="M602" s="886"/>
      <c r="N602" s="886"/>
      <c r="O602" s="886"/>
      <c r="P602" s="886"/>
      <c r="Q602" s="886"/>
      <c r="R602" s="886"/>
      <c r="S602" s="886"/>
      <c r="T602" s="886"/>
      <c r="U602" s="886"/>
      <c r="V602" s="886"/>
      <c r="W602" s="886"/>
      <c r="X602" s="886"/>
      <c r="Y602" s="886"/>
    </row>
    <row r="603" spans="3:25">
      <c r="C603" s="942"/>
      <c r="D603" s="942"/>
      <c r="E603" s="943"/>
      <c r="F603" s="943"/>
      <c r="G603" s="886"/>
      <c r="H603" s="886"/>
      <c r="I603" s="886"/>
      <c r="J603" s="886"/>
      <c r="K603" s="886"/>
      <c r="L603" s="886"/>
      <c r="M603" s="886"/>
      <c r="N603" s="886"/>
      <c r="O603" s="886"/>
      <c r="P603" s="886"/>
      <c r="Q603" s="886"/>
      <c r="R603" s="886"/>
      <c r="S603" s="886"/>
      <c r="T603" s="886"/>
      <c r="U603" s="886"/>
      <c r="V603" s="886"/>
      <c r="W603" s="886"/>
      <c r="X603" s="886"/>
      <c r="Y603" s="886"/>
    </row>
    <row r="604" spans="3:25">
      <c r="C604" s="942"/>
      <c r="D604" s="942"/>
      <c r="E604" s="943"/>
      <c r="F604" s="943"/>
      <c r="G604" s="886"/>
      <c r="H604" s="886"/>
      <c r="I604" s="886"/>
      <c r="J604" s="886"/>
      <c r="K604" s="886"/>
      <c r="L604" s="886"/>
      <c r="M604" s="886"/>
      <c r="N604" s="886"/>
      <c r="O604" s="886"/>
      <c r="P604" s="886"/>
      <c r="Q604" s="886"/>
      <c r="R604" s="886"/>
      <c r="S604" s="886"/>
      <c r="T604" s="886"/>
      <c r="U604" s="886"/>
      <c r="V604" s="886"/>
      <c r="W604" s="886"/>
      <c r="X604" s="886"/>
      <c r="Y604" s="886"/>
    </row>
    <row r="605" spans="3:25">
      <c r="C605" s="942"/>
      <c r="D605" s="942"/>
      <c r="E605" s="943"/>
      <c r="F605" s="943"/>
      <c r="G605" s="886"/>
      <c r="H605" s="886"/>
      <c r="I605" s="886"/>
      <c r="J605" s="886"/>
      <c r="K605" s="886"/>
      <c r="L605" s="886"/>
      <c r="M605" s="886"/>
      <c r="N605" s="886"/>
      <c r="O605" s="886"/>
      <c r="P605" s="886"/>
      <c r="Q605" s="886"/>
      <c r="R605" s="886"/>
      <c r="S605" s="886"/>
      <c r="T605" s="886"/>
      <c r="U605" s="886"/>
      <c r="V605" s="886"/>
      <c r="W605" s="886"/>
      <c r="X605" s="886"/>
      <c r="Y605" s="886"/>
    </row>
    <row r="606" spans="3:25">
      <c r="C606" s="942"/>
      <c r="D606" s="942"/>
      <c r="E606" s="943"/>
      <c r="F606" s="943"/>
      <c r="G606" s="886"/>
      <c r="H606" s="886"/>
      <c r="I606" s="886"/>
      <c r="J606" s="886"/>
      <c r="K606" s="886"/>
      <c r="L606" s="886"/>
      <c r="M606" s="886"/>
      <c r="N606" s="886"/>
      <c r="O606" s="886"/>
      <c r="P606" s="886"/>
      <c r="Q606" s="886"/>
      <c r="R606" s="886"/>
      <c r="S606" s="886"/>
      <c r="T606" s="886"/>
      <c r="U606" s="886"/>
      <c r="V606" s="886"/>
      <c r="W606" s="886"/>
      <c r="X606" s="886"/>
      <c r="Y606" s="886"/>
    </row>
    <row r="607" spans="3:25">
      <c r="C607" s="942"/>
      <c r="D607" s="942"/>
      <c r="E607" s="943"/>
      <c r="F607" s="943"/>
      <c r="G607" s="886"/>
      <c r="H607" s="886"/>
      <c r="I607" s="886"/>
      <c r="J607" s="886"/>
      <c r="K607" s="886"/>
      <c r="L607" s="886"/>
      <c r="M607" s="886"/>
      <c r="N607" s="886"/>
      <c r="O607" s="886"/>
      <c r="P607" s="886"/>
      <c r="Q607" s="886"/>
      <c r="R607" s="886"/>
      <c r="S607" s="886"/>
      <c r="T607" s="886"/>
      <c r="U607" s="886"/>
      <c r="V607" s="886"/>
      <c r="W607" s="886"/>
      <c r="X607" s="886"/>
      <c r="Y607" s="886"/>
    </row>
    <row r="608" spans="3:25">
      <c r="C608" s="942"/>
      <c r="D608" s="942"/>
      <c r="E608" s="943"/>
      <c r="F608" s="943"/>
      <c r="G608" s="886"/>
      <c r="H608" s="886"/>
      <c r="I608" s="886"/>
      <c r="J608" s="886"/>
      <c r="K608" s="886"/>
      <c r="L608" s="886"/>
      <c r="M608" s="886"/>
      <c r="N608" s="886"/>
      <c r="O608" s="886"/>
      <c r="P608" s="886"/>
      <c r="Q608" s="886"/>
      <c r="R608" s="886"/>
      <c r="S608" s="886"/>
      <c r="T608" s="886"/>
      <c r="U608" s="886"/>
      <c r="V608" s="886"/>
      <c r="W608" s="886"/>
      <c r="X608" s="886"/>
      <c r="Y608" s="886"/>
    </row>
    <row r="609" spans="3:25">
      <c r="C609" s="942"/>
      <c r="D609" s="942"/>
      <c r="E609" s="943"/>
      <c r="F609" s="943"/>
      <c r="G609" s="886"/>
      <c r="H609" s="886"/>
      <c r="I609" s="886"/>
      <c r="J609" s="886"/>
      <c r="K609" s="886"/>
      <c r="L609" s="886"/>
      <c r="M609" s="886"/>
      <c r="N609" s="886"/>
      <c r="O609" s="886"/>
      <c r="P609" s="886"/>
      <c r="Q609" s="886"/>
      <c r="R609" s="886"/>
      <c r="S609" s="886"/>
      <c r="T609" s="886"/>
      <c r="U609" s="886"/>
      <c r="V609" s="886"/>
      <c r="W609" s="886"/>
      <c r="X609" s="886"/>
      <c r="Y609" s="886"/>
    </row>
    <row r="610" spans="3:25">
      <c r="C610" s="942"/>
      <c r="D610" s="942"/>
      <c r="E610" s="943"/>
      <c r="F610" s="943"/>
      <c r="G610" s="886"/>
      <c r="H610" s="886"/>
      <c r="I610" s="886"/>
      <c r="J610" s="886"/>
      <c r="K610" s="886"/>
      <c r="L610" s="886"/>
      <c r="M610" s="886"/>
      <c r="N610" s="886"/>
      <c r="O610" s="886"/>
      <c r="P610" s="886"/>
      <c r="Q610" s="886"/>
      <c r="R610" s="886"/>
      <c r="S610" s="886"/>
      <c r="T610" s="886"/>
      <c r="U610" s="886"/>
      <c r="V610" s="886"/>
      <c r="W610" s="886"/>
      <c r="X610" s="886"/>
      <c r="Y610" s="886"/>
    </row>
    <row r="611" spans="3:25">
      <c r="C611" s="942"/>
      <c r="D611" s="942"/>
      <c r="E611" s="943"/>
      <c r="F611" s="943"/>
      <c r="G611" s="886"/>
      <c r="H611" s="886"/>
      <c r="I611" s="886"/>
      <c r="J611" s="886"/>
      <c r="K611" s="886"/>
      <c r="L611" s="886"/>
      <c r="M611" s="886"/>
      <c r="N611" s="886"/>
      <c r="O611" s="886"/>
      <c r="P611" s="886"/>
      <c r="Q611" s="886"/>
      <c r="R611" s="886"/>
      <c r="S611" s="886"/>
      <c r="T611" s="886"/>
      <c r="U611" s="886"/>
      <c r="V611" s="886"/>
      <c r="W611" s="886"/>
      <c r="X611" s="886"/>
      <c r="Y611" s="886"/>
    </row>
    <row r="612" spans="3:25">
      <c r="C612" s="942"/>
      <c r="D612" s="942"/>
      <c r="E612" s="943"/>
      <c r="F612" s="943"/>
      <c r="G612" s="886"/>
      <c r="H612" s="886"/>
      <c r="I612" s="886"/>
      <c r="J612" s="886"/>
      <c r="K612" s="886"/>
      <c r="L612" s="886"/>
      <c r="M612" s="886"/>
      <c r="N612" s="886"/>
      <c r="O612" s="886"/>
      <c r="P612" s="886"/>
      <c r="Q612" s="886"/>
      <c r="R612" s="886"/>
      <c r="S612" s="886"/>
      <c r="T612" s="886"/>
      <c r="U612" s="886"/>
      <c r="V612" s="886"/>
      <c r="W612" s="886"/>
      <c r="X612" s="886"/>
      <c r="Y612" s="886"/>
    </row>
    <row r="613" spans="3:25">
      <c r="C613" s="942"/>
      <c r="D613" s="942"/>
      <c r="E613" s="943"/>
      <c r="F613" s="943"/>
      <c r="G613" s="886"/>
      <c r="H613" s="886"/>
      <c r="I613" s="886"/>
      <c r="J613" s="886"/>
      <c r="K613" s="886"/>
      <c r="L613" s="886"/>
      <c r="M613" s="886"/>
      <c r="N613" s="886"/>
      <c r="O613" s="886"/>
      <c r="P613" s="886"/>
      <c r="Q613" s="886"/>
      <c r="R613" s="886"/>
      <c r="S613" s="886"/>
      <c r="T613" s="886"/>
      <c r="U613" s="886"/>
      <c r="V613" s="886"/>
      <c r="W613" s="886"/>
      <c r="X613" s="886"/>
      <c r="Y613" s="886"/>
    </row>
    <row r="614" spans="3:25">
      <c r="C614" s="942"/>
      <c r="D614" s="942"/>
      <c r="E614" s="943"/>
      <c r="F614" s="943"/>
      <c r="G614" s="886"/>
      <c r="H614" s="886"/>
      <c r="I614" s="886"/>
      <c r="J614" s="886"/>
      <c r="K614" s="886"/>
      <c r="L614" s="886"/>
      <c r="M614" s="886"/>
      <c r="N614" s="886"/>
      <c r="O614" s="886"/>
      <c r="P614" s="886"/>
      <c r="Q614" s="886"/>
      <c r="R614" s="886"/>
      <c r="S614" s="886"/>
      <c r="T614" s="886"/>
      <c r="U614" s="886"/>
      <c r="V614" s="886"/>
      <c r="W614" s="886"/>
      <c r="X614" s="886"/>
      <c r="Y614" s="886"/>
    </row>
    <row r="615" spans="3:25">
      <c r="C615" s="942"/>
      <c r="D615" s="942"/>
      <c r="E615" s="943"/>
      <c r="F615" s="943"/>
      <c r="G615" s="886"/>
      <c r="H615" s="886"/>
      <c r="I615" s="886"/>
      <c r="J615" s="886"/>
      <c r="K615" s="886"/>
      <c r="L615" s="886"/>
      <c r="M615" s="886"/>
      <c r="N615" s="886"/>
      <c r="O615" s="886"/>
      <c r="P615" s="886"/>
      <c r="Q615" s="886"/>
      <c r="R615" s="886"/>
      <c r="S615" s="886"/>
      <c r="T615" s="886"/>
      <c r="U615" s="886"/>
      <c r="V615" s="886"/>
      <c r="W615" s="886"/>
      <c r="X615" s="886"/>
      <c r="Y615" s="886"/>
    </row>
    <row r="616" spans="3:25">
      <c r="C616" s="942"/>
      <c r="D616" s="942"/>
      <c r="E616" s="943"/>
      <c r="F616" s="943"/>
      <c r="G616" s="886"/>
      <c r="H616" s="886"/>
      <c r="I616" s="886"/>
      <c r="J616" s="886"/>
      <c r="K616" s="886"/>
      <c r="L616" s="886"/>
      <c r="M616" s="886"/>
      <c r="N616" s="886"/>
      <c r="O616" s="886"/>
      <c r="P616" s="886"/>
      <c r="Q616" s="886"/>
      <c r="R616" s="886"/>
      <c r="S616" s="886"/>
      <c r="T616" s="886"/>
      <c r="U616" s="886"/>
      <c r="V616" s="886"/>
      <c r="W616" s="886"/>
      <c r="X616" s="886"/>
      <c r="Y616" s="886"/>
    </row>
    <row r="617" spans="3:25">
      <c r="C617" s="942"/>
      <c r="D617" s="942"/>
      <c r="E617" s="943"/>
      <c r="F617" s="943"/>
      <c r="G617" s="886"/>
      <c r="H617" s="886"/>
      <c r="I617" s="886"/>
      <c r="J617" s="886"/>
      <c r="K617" s="886"/>
      <c r="L617" s="886"/>
      <c r="M617" s="886"/>
      <c r="N617" s="886"/>
      <c r="O617" s="886"/>
      <c r="P617" s="886"/>
      <c r="Q617" s="886"/>
      <c r="R617" s="886"/>
      <c r="S617" s="886"/>
      <c r="T617" s="886"/>
      <c r="U617" s="886"/>
      <c r="V617" s="886"/>
      <c r="W617" s="886"/>
      <c r="X617" s="886"/>
      <c r="Y617" s="886"/>
    </row>
    <row r="618" spans="3:25">
      <c r="C618" s="942"/>
      <c r="D618" s="942"/>
      <c r="E618" s="943"/>
      <c r="F618" s="943"/>
      <c r="G618" s="886"/>
      <c r="H618" s="886"/>
      <c r="I618" s="886"/>
      <c r="J618" s="886"/>
      <c r="K618" s="886"/>
      <c r="L618" s="886"/>
      <c r="M618" s="886"/>
      <c r="N618" s="886"/>
      <c r="O618" s="886"/>
      <c r="P618" s="886"/>
      <c r="Q618" s="886"/>
      <c r="R618" s="886"/>
      <c r="S618" s="886"/>
      <c r="T618" s="886"/>
      <c r="U618" s="886"/>
      <c r="V618" s="886"/>
      <c r="W618" s="886"/>
      <c r="X618" s="886"/>
      <c r="Y618" s="886"/>
    </row>
    <row r="619" spans="3:25">
      <c r="C619" s="942"/>
      <c r="D619" s="942"/>
      <c r="E619" s="943"/>
      <c r="F619" s="943"/>
      <c r="G619" s="886"/>
      <c r="H619" s="886"/>
      <c r="I619" s="886"/>
      <c r="J619" s="886"/>
      <c r="K619" s="886"/>
      <c r="L619" s="886"/>
      <c r="M619" s="886"/>
      <c r="N619" s="886"/>
      <c r="O619" s="886"/>
      <c r="P619" s="886"/>
      <c r="Q619" s="886"/>
      <c r="R619" s="886"/>
      <c r="S619" s="886"/>
      <c r="T619" s="886"/>
      <c r="U619" s="886"/>
      <c r="V619" s="886"/>
      <c r="W619" s="886"/>
      <c r="X619" s="886"/>
      <c r="Y619" s="886"/>
    </row>
    <row r="620" spans="3:25">
      <c r="C620" s="942"/>
      <c r="D620" s="942"/>
      <c r="E620" s="943"/>
      <c r="F620" s="943"/>
      <c r="G620" s="886"/>
      <c r="H620" s="886"/>
      <c r="I620" s="886"/>
      <c r="J620" s="886"/>
      <c r="K620" s="886"/>
      <c r="L620" s="886"/>
      <c r="M620" s="886"/>
      <c r="N620" s="886"/>
      <c r="O620" s="886"/>
      <c r="P620" s="886"/>
      <c r="Q620" s="886"/>
      <c r="R620" s="886"/>
      <c r="S620" s="886"/>
      <c r="T620" s="886"/>
      <c r="U620" s="886"/>
      <c r="V620" s="886"/>
      <c r="W620" s="886"/>
      <c r="X620" s="886"/>
      <c r="Y620" s="886"/>
    </row>
    <row r="621" spans="3:25">
      <c r="C621" s="942"/>
      <c r="D621" s="942"/>
      <c r="E621" s="943"/>
      <c r="F621" s="943"/>
      <c r="G621" s="886"/>
      <c r="H621" s="886"/>
      <c r="I621" s="886"/>
      <c r="J621" s="886"/>
      <c r="K621" s="886"/>
      <c r="L621" s="886"/>
      <c r="M621" s="886"/>
      <c r="N621" s="886"/>
      <c r="O621" s="886"/>
      <c r="P621" s="886"/>
      <c r="Q621" s="886"/>
      <c r="R621" s="886"/>
      <c r="S621" s="886"/>
      <c r="T621" s="886"/>
      <c r="U621" s="886"/>
      <c r="V621" s="886"/>
      <c r="W621" s="886"/>
      <c r="X621" s="886"/>
      <c r="Y621" s="886"/>
    </row>
    <row r="622" spans="3:25">
      <c r="C622" s="942"/>
      <c r="D622" s="942"/>
      <c r="E622" s="943"/>
      <c r="F622" s="943"/>
      <c r="G622" s="886"/>
      <c r="H622" s="886"/>
      <c r="I622" s="886"/>
      <c r="J622" s="886"/>
      <c r="K622" s="886"/>
      <c r="L622" s="886"/>
      <c r="M622" s="886"/>
      <c r="N622" s="886"/>
      <c r="O622" s="886"/>
      <c r="P622" s="886"/>
      <c r="Q622" s="886"/>
      <c r="R622" s="886"/>
      <c r="S622" s="886"/>
      <c r="T622" s="886"/>
      <c r="U622" s="886"/>
      <c r="V622" s="886"/>
      <c r="W622" s="886"/>
      <c r="X622" s="886"/>
      <c r="Y622" s="886"/>
    </row>
    <row r="623" spans="3:25">
      <c r="C623" s="942"/>
      <c r="D623" s="942"/>
      <c r="E623" s="943"/>
      <c r="F623" s="943"/>
      <c r="G623" s="886"/>
      <c r="H623" s="886"/>
      <c r="I623" s="886"/>
      <c r="J623" s="886"/>
      <c r="K623" s="886"/>
      <c r="L623" s="886"/>
      <c r="M623" s="886"/>
      <c r="N623" s="886"/>
      <c r="O623" s="886"/>
      <c r="P623" s="886"/>
      <c r="Q623" s="886"/>
      <c r="R623" s="886"/>
      <c r="S623" s="886"/>
      <c r="T623" s="886"/>
      <c r="U623" s="886"/>
      <c r="V623" s="886"/>
      <c r="W623" s="886"/>
      <c r="X623" s="886"/>
      <c r="Y623" s="886"/>
    </row>
    <row r="624" spans="3:25">
      <c r="C624" s="942"/>
      <c r="D624" s="942"/>
      <c r="E624" s="943"/>
      <c r="F624" s="943"/>
      <c r="G624" s="886"/>
      <c r="H624" s="886"/>
      <c r="I624" s="886"/>
      <c r="J624" s="886"/>
      <c r="K624" s="886"/>
      <c r="L624" s="886"/>
      <c r="M624" s="886"/>
      <c r="N624" s="886"/>
      <c r="O624" s="886"/>
      <c r="P624" s="886"/>
      <c r="Q624" s="886"/>
      <c r="R624" s="886"/>
      <c r="S624" s="886"/>
      <c r="T624" s="886"/>
      <c r="U624" s="886"/>
      <c r="V624" s="886"/>
      <c r="W624" s="886"/>
      <c r="X624" s="886"/>
      <c r="Y624" s="886"/>
    </row>
    <row r="625" spans="3:25">
      <c r="C625" s="942"/>
      <c r="D625" s="942"/>
      <c r="E625" s="943"/>
      <c r="F625" s="943"/>
      <c r="G625" s="886"/>
      <c r="H625" s="886"/>
      <c r="I625" s="886"/>
      <c r="J625" s="886"/>
      <c r="K625" s="886"/>
      <c r="L625" s="886"/>
      <c r="M625" s="886"/>
      <c r="N625" s="886"/>
      <c r="O625" s="886"/>
      <c r="P625" s="886"/>
      <c r="Q625" s="886"/>
      <c r="R625" s="886"/>
      <c r="S625" s="886"/>
      <c r="T625" s="886"/>
      <c r="U625" s="886"/>
      <c r="V625" s="886"/>
      <c r="W625" s="886"/>
      <c r="X625" s="886"/>
      <c r="Y625" s="886"/>
    </row>
    <row r="626" spans="3:25">
      <c r="C626" s="942"/>
      <c r="D626" s="942"/>
      <c r="E626" s="943"/>
      <c r="F626" s="943"/>
      <c r="G626" s="886"/>
      <c r="H626" s="886"/>
      <c r="I626" s="886"/>
      <c r="J626" s="886"/>
      <c r="K626" s="886"/>
      <c r="L626" s="886"/>
      <c r="M626" s="886"/>
      <c r="N626" s="886"/>
      <c r="O626" s="886"/>
      <c r="P626" s="886"/>
      <c r="Q626" s="886"/>
      <c r="R626" s="886"/>
      <c r="S626" s="886"/>
      <c r="T626" s="886"/>
      <c r="U626" s="886"/>
      <c r="V626" s="886"/>
      <c r="W626" s="886"/>
      <c r="X626" s="886"/>
      <c r="Y626" s="886"/>
    </row>
    <row r="627" spans="3:25">
      <c r="C627" s="942"/>
      <c r="D627" s="942"/>
      <c r="E627" s="943"/>
      <c r="F627" s="943"/>
      <c r="G627" s="886"/>
      <c r="H627" s="886"/>
      <c r="I627" s="886"/>
      <c r="J627" s="886"/>
      <c r="K627" s="886"/>
      <c r="L627" s="886"/>
      <c r="M627" s="886"/>
      <c r="N627" s="886"/>
      <c r="O627" s="886"/>
      <c r="P627" s="886"/>
      <c r="Q627" s="886"/>
      <c r="R627" s="886"/>
      <c r="S627" s="886"/>
      <c r="T627" s="886"/>
      <c r="U627" s="886"/>
      <c r="V627" s="886"/>
      <c r="W627" s="886"/>
      <c r="X627" s="886"/>
      <c r="Y627" s="886"/>
    </row>
    <row r="628" spans="3:25">
      <c r="C628" s="942"/>
      <c r="D628" s="942"/>
      <c r="E628" s="943"/>
      <c r="F628" s="943"/>
      <c r="G628" s="886"/>
      <c r="H628" s="886"/>
      <c r="I628" s="886"/>
      <c r="J628" s="886"/>
      <c r="K628" s="886"/>
      <c r="L628" s="886"/>
      <c r="M628" s="886"/>
      <c r="N628" s="886"/>
      <c r="O628" s="886"/>
      <c r="P628" s="886"/>
      <c r="Q628" s="886"/>
      <c r="R628" s="886"/>
      <c r="S628" s="886"/>
      <c r="T628" s="886"/>
      <c r="U628" s="886"/>
      <c r="V628" s="886"/>
      <c r="W628" s="886"/>
      <c r="X628" s="886"/>
      <c r="Y628" s="886"/>
    </row>
    <row r="629" spans="3:25">
      <c r="C629" s="942"/>
      <c r="D629" s="942"/>
      <c r="E629" s="943"/>
      <c r="F629" s="943"/>
      <c r="G629" s="886"/>
      <c r="H629" s="886"/>
      <c r="I629" s="886"/>
      <c r="J629" s="886"/>
      <c r="K629" s="886"/>
      <c r="L629" s="886"/>
      <c r="M629" s="886"/>
      <c r="N629" s="886"/>
      <c r="O629" s="886"/>
      <c r="P629" s="886"/>
      <c r="Q629" s="886"/>
      <c r="R629" s="886"/>
      <c r="S629" s="886"/>
      <c r="T629" s="886"/>
      <c r="U629" s="886"/>
      <c r="V629" s="886"/>
      <c r="W629" s="886"/>
      <c r="X629" s="886"/>
      <c r="Y629" s="886"/>
    </row>
    <row r="630" spans="3:25">
      <c r="C630" s="942"/>
      <c r="D630" s="942"/>
      <c r="E630" s="943"/>
      <c r="F630" s="943"/>
      <c r="G630" s="886"/>
      <c r="H630" s="886"/>
      <c r="I630" s="886"/>
      <c r="J630" s="886"/>
      <c r="K630" s="886"/>
      <c r="L630" s="886"/>
      <c r="M630" s="886"/>
      <c r="N630" s="886"/>
      <c r="O630" s="886"/>
      <c r="P630" s="886"/>
      <c r="Q630" s="886"/>
      <c r="R630" s="886"/>
      <c r="S630" s="886"/>
      <c r="T630" s="886"/>
      <c r="U630" s="886"/>
      <c r="V630" s="886"/>
      <c r="W630" s="886"/>
      <c r="X630" s="886"/>
      <c r="Y630" s="886"/>
    </row>
    <row r="631" spans="3:25">
      <c r="C631" s="942"/>
      <c r="D631" s="942"/>
      <c r="E631" s="943"/>
      <c r="F631" s="943"/>
      <c r="G631" s="886"/>
      <c r="H631" s="886"/>
      <c r="I631" s="886"/>
      <c r="J631" s="886"/>
      <c r="K631" s="886"/>
      <c r="L631" s="886"/>
      <c r="M631" s="886"/>
      <c r="N631" s="886"/>
      <c r="O631" s="886"/>
      <c r="P631" s="886"/>
      <c r="Q631" s="886"/>
      <c r="R631" s="886"/>
      <c r="S631" s="886"/>
      <c r="T631" s="886"/>
      <c r="U631" s="886"/>
      <c r="V631" s="886"/>
      <c r="W631" s="886"/>
      <c r="X631" s="886"/>
      <c r="Y631" s="886"/>
    </row>
    <row r="632" spans="3:25">
      <c r="C632" s="942"/>
      <c r="D632" s="942"/>
      <c r="E632" s="943"/>
      <c r="F632" s="943"/>
      <c r="G632" s="886"/>
      <c r="H632" s="886"/>
      <c r="I632" s="886"/>
      <c r="J632" s="886"/>
      <c r="K632" s="886"/>
      <c r="L632" s="886"/>
      <c r="M632" s="886"/>
      <c r="N632" s="886"/>
      <c r="O632" s="886"/>
      <c r="P632" s="886"/>
      <c r="Q632" s="886"/>
      <c r="R632" s="886"/>
      <c r="S632" s="886"/>
      <c r="T632" s="886"/>
      <c r="U632" s="886"/>
      <c r="V632" s="886"/>
      <c r="W632" s="886"/>
      <c r="X632" s="886"/>
      <c r="Y632" s="886"/>
    </row>
    <row r="633" spans="3:25">
      <c r="C633" s="942"/>
      <c r="D633" s="942"/>
      <c r="E633" s="943"/>
      <c r="F633" s="943"/>
      <c r="G633" s="886"/>
      <c r="H633" s="886"/>
      <c r="I633" s="886"/>
      <c r="J633" s="886"/>
      <c r="K633" s="886"/>
      <c r="L633" s="886"/>
      <c r="M633" s="886"/>
      <c r="N633" s="886"/>
      <c r="O633" s="886"/>
      <c r="P633" s="886"/>
      <c r="Q633" s="886"/>
      <c r="R633" s="886"/>
      <c r="S633" s="886"/>
      <c r="T633" s="886"/>
      <c r="U633" s="886"/>
      <c r="V633" s="886"/>
      <c r="W633" s="886"/>
      <c r="X633" s="886"/>
      <c r="Y633" s="886"/>
    </row>
    <row r="634" spans="3:25">
      <c r="C634" s="942"/>
      <c r="D634" s="942"/>
      <c r="E634" s="943"/>
      <c r="F634" s="943"/>
      <c r="G634" s="886"/>
      <c r="H634" s="886"/>
      <c r="I634" s="886"/>
      <c r="J634" s="886"/>
      <c r="K634" s="886"/>
      <c r="L634" s="886"/>
      <c r="M634" s="886"/>
      <c r="N634" s="886"/>
      <c r="O634" s="886"/>
      <c r="P634" s="886"/>
      <c r="Q634" s="886"/>
      <c r="R634" s="886"/>
      <c r="S634" s="886"/>
      <c r="T634" s="886"/>
      <c r="U634" s="886"/>
      <c r="V634" s="886"/>
      <c r="W634" s="886"/>
      <c r="X634" s="886"/>
      <c r="Y634" s="886"/>
    </row>
    <row r="635" spans="3:25">
      <c r="C635" s="942"/>
      <c r="D635" s="942"/>
      <c r="E635" s="943"/>
      <c r="F635" s="943"/>
      <c r="G635" s="886"/>
      <c r="H635" s="886"/>
      <c r="I635" s="886"/>
      <c r="J635" s="886"/>
      <c r="K635" s="886"/>
      <c r="L635" s="886"/>
      <c r="M635" s="886"/>
      <c r="N635" s="886"/>
      <c r="O635" s="886"/>
      <c r="P635" s="886"/>
      <c r="Q635" s="886"/>
      <c r="R635" s="886"/>
      <c r="S635" s="886"/>
      <c r="T635" s="886"/>
      <c r="U635" s="886"/>
      <c r="V635" s="886"/>
      <c r="W635" s="886"/>
      <c r="X635" s="886"/>
      <c r="Y635" s="886"/>
    </row>
    <row r="636" spans="3:25">
      <c r="C636" s="942"/>
      <c r="D636" s="942"/>
      <c r="E636" s="943"/>
      <c r="F636" s="943"/>
      <c r="G636" s="886"/>
      <c r="H636" s="886"/>
      <c r="I636" s="886"/>
      <c r="J636" s="886"/>
      <c r="K636" s="886"/>
      <c r="L636" s="886"/>
      <c r="M636" s="886"/>
      <c r="N636" s="886"/>
      <c r="O636" s="886"/>
      <c r="P636" s="886"/>
      <c r="Q636" s="886"/>
      <c r="R636" s="886"/>
      <c r="S636" s="886"/>
      <c r="T636" s="886"/>
      <c r="U636" s="886"/>
      <c r="V636" s="886"/>
      <c r="W636" s="886"/>
      <c r="X636" s="886"/>
      <c r="Y636" s="886"/>
    </row>
    <row r="637" spans="3:25">
      <c r="C637" s="942"/>
      <c r="D637" s="942"/>
      <c r="E637" s="943"/>
      <c r="F637" s="943"/>
      <c r="G637" s="886"/>
      <c r="H637" s="886"/>
      <c r="I637" s="886"/>
      <c r="J637" s="886"/>
      <c r="K637" s="886"/>
      <c r="L637" s="886"/>
      <c r="M637" s="886"/>
      <c r="N637" s="886"/>
      <c r="O637" s="886"/>
      <c r="P637" s="886"/>
      <c r="Q637" s="886"/>
      <c r="R637" s="886"/>
      <c r="S637" s="886"/>
      <c r="T637" s="886"/>
      <c r="U637" s="886"/>
      <c r="V637" s="886"/>
      <c r="W637" s="886"/>
      <c r="X637" s="886"/>
      <c r="Y637" s="886"/>
    </row>
    <row r="638" spans="3:25">
      <c r="C638" s="942"/>
      <c r="D638" s="942"/>
      <c r="E638" s="943"/>
      <c r="F638" s="943"/>
      <c r="G638" s="886"/>
      <c r="H638" s="886"/>
      <c r="I638" s="886"/>
      <c r="J638" s="886"/>
      <c r="K638" s="886"/>
      <c r="L638" s="886"/>
      <c r="M638" s="886"/>
      <c r="N638" s="886"/>
      <c r="O638" s="886"/>
      <c r="P638" s="886"/>
      <c r="Q638" s="886"/>
      <c r="R638" s="886"/>
      <c r="S638" s="886"/>
      <c r="T638" s="886"/>
      <c r="U638" s="886"/>
      <c r="V638" s="886"/>
      <c r="W638" s="886"/>
      <c r="X638" s="886"/>
      <c r="Y638" s="886"/>
    </row>
    <row r="639" spans="3:25">
      <c r="C639" s="942"/>
      <c r="D639" s="942"/>
      <c r="E639" s="943"/>
      <c r="F639" s="943"/>
      <c r="G639" s="886"/>
      <c r="H639" s="886"/>
      <c r="I639" s="886"/>
      <c r="J639" s="886"/>
      <c r="K639" s="886"/>
      <c r="L639" s="886"/>
      <c r="M639" s="886"/>
      <c r="N639" s="886"/>
      <c r="O639" s="886"/>
      <c r="P639" s="886"/>
      <c r="Q639" s="886"/>
      <c r="R639" s="886"/>
      <c r="S639" s="886"/>
      <c r="T639" s="886"/>
      <c r="U639" s="886"/>
      <c r="V639" s="886"/>
      <c r="W639" s="886"/>
      <c r="X639" s="886"/>
      <c r="Y639" s="886"/>
    </row>
    <row r="640" spans="3:25">
      <c r="C640" s="942"/>
      <c r="D640" s="942"/>
      <c r="E640" s="943"/>
      <c r="F640" s="943"/>
      <c r="G640" s="886"/>
      <c r="H640" s="886"/>
      <c r="I640" s="886"/>
      <c r="J640" s="886"/>
      <c r="K640" s="886"/>
      <c r="L640" s="886"/>
      <c r="M640" s="886"/>
      <c r="N640" s="886"/>
      <c r="O640" s="886"/>
      <c r="P640" s="886"/>
      <c r="Q640" s="886"/>
      <c r="R640" s="886"/>
      <c r="S640" s="886"/>
      <c r="T640" s="886"/>
      <c r="U640" s="886"/>
      <c r="V640" s="886"/>
      <c r="W640" s="886"/>
      <c r="X640" s="886"/>
      <c r="Y640" s="886"/>
    </row>
    <row r="641" spans="3:25">
      <c r="C641" s="942"/>
      <c r="D641" s="942"/>
      <c r="E641" s="943"/>
      <c r="F641" s="943"/>
      <c r="G641" s="886"/>
      <c r="H641" s="886"/>
      <c r="I641" s="886"/>
      <c r="J641" s="886"/>
      <c r="K641" s="886"/>
      <c r="L641" s="886"/>
      <c r="M641" s="886"/>
      <c r="N641" s="886"/>
      <c r="O641" s="886"/>
      <c r="P641" s="886"/>
      <c r="Q641" s="886"/>
      <c r="R641" s="886"/>
      <c r="S641" s="886"/>
      <c r="T641" s="886"/>
      <c r="U641" s="886"/>
      <c r="V641" s="886"/>
      <c r="W641" s="886"/>
      <c r="X641" s="886"/>
      <c r="Y641" s="886"/>
    </row>
    <row r="642" spans="3:25">
      <c r="C642" s="942"/>
      <c r="D642" s="942"/>
      <c r="E642" s="943"/>
      <c r="F642" s="943"/>
      <c r="G642" s="886"/>
      <c r="H642" s="886"/>
      <c r="I642" s="886"/>
      <c r="J642" s="886"/>
      <c r="K642" s="886"/>
      <c r="L642" s="886"/>
      <c r="M642" s="886"/>
      <c r="N642" s="886"/>
      <c r="O642" s="886"/>
      <c r="P642" s="886"/>
      <c r="Q642" s="886"/>
      <c r="R642" s="886"/>
      <c r="S642" s="886"/>
      <c r="T642" s="886"/>
      <c r="U642" s="886"/>
      <c r="V642" s="886"/>
      <c r="W642" s="886"/>
      <c r="X642" s="886"/>
      <c r="Y642" s="886"/>
    </row>
    <row r="643" spans="3:25">
      <c r="C643" s="942"/>
      <c r="D643" s="942"/>
      <c r="E643" s="943"/>
      <c r="F643" s="943"/>
      <c r="G643" s="886"/>
      <c r="H643" s="886"/>
      <c r="I643" s="886"/>
      <c r="J643" s="886"/>
      <c r="K643" s="886"/>
      <c r="L643" s="886"/>
      <c r="M643" s="886"/>
      <c r="N643" s="886"/>
      <c r="O643" s="886"/>
      <c r="P643" s="886"/>
      <c r="Q643" s="886"/>
      <c r="R643" s="886"/>
      <c r="S643" s="886"/>
      <c r="T643" s="886"/>
      <c r="U643" s="886"/>
      <c r="V643" s="886"/>
      <c r="W643" s="886"/>
      <c r="X643" s="886"/>
      <c r="Y643" s="886"/>
    </row>
    <row r="644" spans="3:25">
      <c r="C644" s="942"/>
      <c r="D644" s="942"/>
      <c r="E644" s="943"/>
      <c r="F644" s="943"/>
      <c r="G644" s="886"/>
      <c r="H644" s="886"/>
      <c r="I644" s="886"/>
      <c r="J644" s="886"/>
      <c r="K644" s="886"/>
      <c r="L644" s="886"/>
      <c r="M644" s="886"/>
      <c r="N644" s="886"/>
      <c r="O644" s="886"/>
      <c r="P644" s="886"/>
      <c r="Q644" s="886"/>
      <c r="R644" s="886"/>
      <c r="S644" s="886"/>
      <c r="T644" s="886"/>
      <c r="U644" s="886"/>
      <c r="V644" s="886"/>
      <c r="W644" s="886"/>
      <c r="X644" s="886"/>
      <c r="Y644" s="886"/>
    </row>
    <row r="645" spans="3:25">
      <c r="C645" s="942"/>
      <c r="D645" s="942"/>
      <c r="E645" s="943"/>
      <c r="F645" s="943"/>
      <c r="G645" s="886"/>
      <c r="H645" s="886"/>
      <c r="I645" s="886"/>
      <c r="J645" s="886"/>
      <c r="K645" s="886"/>
      <c r="L645" s="886"/>
      <c r="M645" s="886"/>
      <c r="N645" s="886"/>
      <c r="O645" s="886"/>
      <c r="P645" s="886"/>
      <c r="Q645" s="886"/>
      <c r="R645" s="886"/>
      <c r="S645" s="886"/>
      <c r="T645" s="886"/>
      <c r="U645" s="886"/>
      <c r="V645" s="886"/>
      <c r="W645" s="886"/>
      <c r="X645" s="886"/>
      <c r="Y645" s="886"/>
    </row>
    <row r="646" spans="3:25">
      <c r="C646" s="942"/>
      <c r="D646" s="942"/>
      <c r="E646" s="943"/>
      <c r="F646" s="943"/>
      <c r="G646" s="886"/>
      <c r="H646" s="886"/>
      <c r="I646" s="886"/>
      <c r="J646" s="886"/>
      <c r="K646" s="886"/>
      <c r="L646" s="886"/>
      <c r="M646" s="886"/>
      <c r="N646" s="886"/>
      <c r="O646" s="886"/>
      <c r="P646" s="886"/>
      <c r="Q646" s="886"/>
      <c r="R646" s="886"/>
      <c r="S646" s="886"/>
      <c r="T646" s="886"/>
      <c r="U646" s="886"/>
      <c r="V646" s="886"/>
      <c r="W646" s="886"/>
      <c r="X646" s="886"/>
      <c r="Y646" s="886"/>
    </row>
    <row r="647" spans="3:25">
      <c r="C647" s="942"/>
      <c r="D647" s="942"/>
      <c r="E647" s="943"/>
      <c r="F647" s="943"/>
      <c r="G647" s="886"/>
      <c r="H647" s="886"/>
      <c r="I647" s="886"/>
      <c r="J647" s="886"/>
      <c r="K647" s="886"/>
      <c r="L647" s="886"/>
      <c r="M647" s="886"/>
      <c r="N647" s="886"/>
      <c r="O647" s="886"/>
      <c r="P647" s="886"/>
      <c r="Q647" s="886"/>
      <c r="R647" s="886"/>
      <c r="S647" s="886"/>
      <c r="T647" s="886"/>
      <c r="U647" s="886"/>
      <c r="V647" s="886"/>
      <c r="W647" s="886"/>
      <c r="X647" s="886"/>
      <c r="Y647" s="886"/>
    </row>
    <row r="648" spans="3:25">
      <c r="C648" s="942"/>
      <c r="D648" s="942"/>
      <c r="E648" s="943"/>
      <c r="F648" s="943"/>
      <c r="G648" s="886"/>
      <c r="H648" s="886"/>
      <c r="I648" s="886"/>
      <c r="J648" s="886"/>
      <c r="K648" s="886"/>
      <c r="L648" s="886"/>
      <c r="M648" s="886"/>
      <c r="N648" s="886"/>
      <c r="O648" s="886"/>
      <c r="P648" s="886"/>
      <c r="Q648" s="886"/>
      <c r="R648" s="886"/>
      <c r="S648" s="886"/>
      <c r="T648" s="886"/>
      <c r="U648" s="886"/>
      <c r="V648" s="886"/>
      <c r="W648" s="886"/>
      <c r="X648" s="886"/>
      <c r="Y648" s="886"/>
    </row>
    <row r="649" spans="3:25">
      <c r="C649" s="942"/>
      <c r="D649" s="942"/>
      <c r="E649" s="943"/>
      <c r="F649" s="943"/>
      <c r="G649" s="886"/>
      <c r="H649" s="886"/>
      <c r="I649" s="886"/>
      <c r="J649" s="886"/>
      <c r="K649" s="886"/>
      <c r="L649" s="886"/>
      <c r="M649" s="886"/>
      <c r="N649" s="886"/>
      <c r="O649" s="886"/>
      <c r="P649" s="886"/>
      <c r="Q649" s="886"/>
      <c r="R649" s="886"/>
      <c r="S649" s="886"/>
      <c r="T649" s="886"/>
      <c r="U649" s="886"/>
      <c r="V649" s="886"/>
      <c r="W649" s="886"/>
      <c r="X649" s="886"/>
      <c r="Y649" s="886"/>
    </row>
    <row r="650" spans="3:25">
      <c r="C650" s="942"/>
      <c r="D650" s="942"/>
      <c r="E650" s="943"/>
      <c r="F650" s="943"/>
      <c r="G650" s="886"/>
      <c r="H650" s="886"/>
      <c r="I650" s="886"/>
      <c r="J650" s="886"/>
      <c r="K650" s="886"/>
      <c r="L650" s="886"/>
      <c r="M650" s="886"/>
      <c r="N650" s="886"/>
      <c r="O650" s="886"/>
      <c r="P650" s="886"/>
      <c r="Q650" s="886"/>
      <c r="R650" s="886"/>
      <c r="S650" s="886"/>
      <c r="T650" s="886"/>
      <c r="U650" s="886"/>
      <c r="V650" s="886"/>
      <c r="W650" s="886"/>
      <c r="X650" s="886"/>
      <c r="Y650" s="886"/>
    </row>
    <row r="651" spans="3:25">
      <c r="C651" s="942"/>
      <c r="D651" s="942"/>
      <c r="E651" s="943"/>
      <c r="F651" s="943"/>
      <c r="G651" s="886"/>
      <c r="H651" s="886"/>
      <c r="I651" s="886"/>
      <c r="J651" s="886"/>
      <c r="K651" s="886"/>
      <c r="L651" s="886"/>
      <c r="M651" s="886"/>
      <c r="N651" s="886"/>
      <c r="O651" s="886"/>
      <c r="P651" s="886"/>
      <c r="Q651" s="886"/>
      <c r="R651" s="886"/>
      <c r="S651" s="886"/>
      <c r="T651" s="886"/>
      <c r="U651" s="886"/>
      <c r="V651" s="886"/>
      <c r="W651" s="886"/>
      <c r="X651" s="886"/>
      <c r="Y651" s="886"/>
    </row>
    <row r="652" spans="3:25">
      <c r="C652" s="942"/>
      <c r="D652" s="942"/>
      <c r="E652" s="943"/>
      <c r="F652" s="943"/>
      <c r="G652" s="886"/>
      <c r="H652" s="886"/>
      <c r="I652" s="886"/>
      <c r="J652" s="886"/>
      <c r="K652" s="886"/>
      <c r="L652" s="886"/>
      <c r="M652" s="886"/>
      <c r="N652" s="886"/>
      <c r="O652" s="886"/>
      <c r="P652" s="886"/>
      <c r="Q652" s="886"/>
      <c r="R652" s="886"/>
      <c r="S652" s="886"/>
      <c r="T652" s="886"/>
      <c r="U652" s="886"/>
      <c r="V652" s="886"/>
      <c r="W652" s="886"/>
      <c r="X652" s="886"/>
      <c r="Y652" s="886"/>
    </row>
    <row r="653" spans="3:25">
      <c r="C653" s="942"/>
      <c r="D653" s="942"/>
      <c r="E653" s="943"/>
      <c r="F653" s="943"/>
      <c r="G653" s="886"/>
      <c r="H653" s="886"/>
      <c r="I653" s="886"/>
      <c r="J653" s="886"/>
      <c r="K653" s="886"/>
      <c r="L653" s="886"/>
      <c r="M653" s="886"/>
      <c r="N653" s="886"/>
      <c r="O653" s="886"/>
      <c r="P653" s="886"/>
      <c r="Q653" s="886"/>
      <c r="R653" s="886"/>
      <c r="S653" s="886"/>
      <c r="T653" s="886"/>
      <c r="U653" s="886"/>
      <c r="V653" s="886"/>
      <c r="W653" s="886"/>
      <c r="X653" s="886"/>
      <c r="Y653" s="886"/>
    </row>
    <row r="654" spans="3:25">
      <c r="C654" s="942"/>
      <c r="D654" s="942"/>
      <c r="E654" s="943"/>
      <c r="F654" s="943"/>
      <c r="G654" s="886"/>
      <c r="H654" s="886"/>
      <c r="I654" s="886"/>
      <c r="J654" s="886"/>
      <c r="K654" s="886"/>
      <c r="L654" s="886"/>
      <c r="M654" s="886"/>
      <c r="N654" s="886"/>
      <c r="O654" s="886"/>
      <c r="P654" s="886"/>
      <c r="Q654" s="886"/>
      <c r="R654" s="886"/>
      <c r="S654" s="886"/>
      <c r="T654" s="886"/>
      <c r="U654" s="886"/>
      <c r="V654" s="886"/>
      <c r="W654" s="886"/>
      <c r="X654" s="886"/>
      <c r="Y654" s="886"/>
    </row>
    <row r="655" spans="3:25">
      <c r="C655" s="942"/>
      <c r="D655" s="942"/>
      <c r="E655" s="943"/>
      <c r="F655" s="943"/>
      <c r="G655" s="886"/>
      <c r="H655" s="886"/>
      <c r="I655" s="886"/>
      <c r="J655" s="886"/>
      <c r="K655" s="886"/>
      <c r="L655" s="886"/>
      <c r="M655" s="886"/>
      <c r="N655" s="886"/>
      <c r="O655" s="886"/>
      <c r="P655" s="886"/>
      <c r="Q655" s="886"/>
      <c r="R655" s="886"/>
      <c r="S655" s="886"/>
      <c r="T655" s="886"/>
      <c r="U655" s="886"/>
      <c r="V655" s="886"/>
      <c r="W655" s="886"/>
      <c r="X655" s="886"/>
      <c r="Y655" s="886"/>
    </row>
    <row r="656" spans="3:25">
      <c r="C656" s="942"/>
      <c r="D656" s="942"/>
      <c r="E656" s="943"/>
      <c r="F656" s="943"/>
      <c r="G656" s="886"/>
      <c r="H656" s="886"/>
      <c r="I656" s="886"/>
      <c r="J656" s="886"/>
      <c r="K656" s="886"/>
      <c r="L656" s="886"/>
      <c r="M656" s="886"/>
      <c r="N656" s="886"/>
      <c r="O656" s="886"/>
      <c r="P656" s="886"/>
      <c r="Q656" s="886"/>
      <c r="R656" s="886"/>
      <c r="S656" s="886"/>
      <c r="T656" s="886"/>
      <c r="U656" s="886"/>
      <c r="V656" s="886"/>
      <c r="W656" s="886"/>
      <c r="X656" s="886"/>
      <c r="Y656" s="886"/>
    </row>
    <row r="657" spans="3:25">
      <c r="C657" s="942"/>
      <c r="D657" s="942"/>
      <c r="E657" s="943"/>
      <c r="F657" s="943"/>
      <c r="G657" s="886"/>
      <c r="H657" s="886"/>
      <c r="I657" s="886"/>
      <c r="J657" s="886"/>
      <c r="K657" s="886"/>
      <c r="L657" s="886"/>
      <c r="M657" s="886"/>
      <c r="N657" s="886"/>
      <c r="O657" s="886"/>
      <c r="P657" s="886"/>
      <c r="Q657" s="886"/>
      <c r="R657" s="886"/>
      <c r="S657" s="886"/>
      <c r="T657" s="886"/>
      <c r="U657" s="886"/>
      <c r="V657" s="886"/>
      <c r="W657" s="886"/>
      <c r="X657" s="886"/>
      <c r="Y657" s="886"/>
    </row>
    <row r="658" spans="3:25">
      <c r="C658" s="942"/>
      <c r="D658" s="942"/>
      <c r="E658" s="943"/>
      <c r="F658" s="943"/>
      <c r="G658" s="886"/>
      <c r="H658" s="886"/>
      <c r="I658" s="886"/>
      <c r="J658" s="886"/>
      <c r="K658" s="886"/>
      <c r="L658" s="886"/>
      <c r="M658" s="886"/>
      <c r="N658" s="886"/>
      <c r="O658" s="886"/>
      <c r="P658" s="886"/>
      <c r="Q658" s="886"/>
      <c r="R658" s="886"/>
      <c r="S658" s="886"/>
      <c r="T658" s="886"/>
      <c r="U658" s="886"/>
      <c r="V658" s="886"/>
      <c r="W658" s="886"/>
      <c r="X658" s="886"/>
      <c r="Y658" s="886"/>
    </row>
    <row r="659" spans="3:25">
      <c r="C659" s="942"/>
      <c r="D659" s="942"/>
      <c r="E659" s="943"/>
      <c r="F659" s="943"/>
      <c r="G659" s="886"/>
      <c r="H659" s="886"/>
      <c r="I659" s="886"/>
      <c r="J659" s="886"/>
      <c r="K659" s="886"/>
      <c r="L659" s="886"/>
      <c r="M659" s="886"/>
      <c r="N659" s="886"/>
      <c r="O659" s="886"/>
      <c r="P659" s="886"/>
      <c r="Q659" s="886"/>
      <c r="R659" s="886"/>
      <c r="S659" s="886"/>
      <c r="T659" s="886"/>
      <c r="U659" s="886"/>
      <c r="V659" s="886"/>
      <c r="W659" s="886"/>
      <c r="X659" s="886"/>
      <c r="Y659" s="886"/>
    </row>
    <row r="660" spans="3:25">
      <c r="C660" s="942"/>
      <c r="D660" s="942"/>
      <c r="E660" s="943"/>
      <c r="F660" s="943"/>
      <c r="G660" s="886"/>
      <c r="H660" s="886"/>
      <c r="I660" s="886"/>
      <c r="J660" s="886"/>
      <c r="K660" s="886"/>
      <c r="L660" s="886"/>
      <c r="M660" s="886"/>
      <c r="N660" s="886"/>
      <c r="O660" s="886"/>
      <c r="P660" s="886"/>
      <c r="Q660" s="886"/>
      <c r="R660" s="886"/>
      <c r="S660" s="886"/>
      <c r="T660" s="886"/>
      <c r="U660" s="886"/>
      <c r="V660" s="886"/>
      <c r="W660" s="886"/>
      <c r="X660" s="886"/>
      <c r="Y660" s="886"/>
    </row>
    <row r="661" spans="3:25">
      <c r="C661" s="942"/>
      <c r="D661" s="942"/>
      <c r="E661" s="943"/>
      <c r="F661" s="943"/>
      <c r="G661" s="886"/>
      <c r="H661" s="886"/>
      <c r="I661" s="886"/>
      <c r="J661" s="886"/>
      <c r="K661" s="886"/>
      <c r="L661" s="886"/>
      <c r="M661" s="886"/>
      <c r="N661" s="886"/>
      <c r="O661" s="886"/>
      <c r="P661" s="886"/>
      <c r="Q661" s="886"/>
      <c r="R661" s="886"/>
      <c r="S661" s="886"/>
      <c r="T661" s="886"/>
      <c r="U661" s="886"/>
      <c r="V661" s="886"/>
      <c r="W661" s="886"/>
      <c r="X661" s="886"/>
      <c r="Y661" s="886"/>
    </row>
    <row r="662" spans="3:25">
      <c r="C662" s="942"/>
      <c r="D662" s="942"/>
      <c r="E662" s="943"/>
      <c r="F662" s="943"/>
      <c r="G662" s="886"/>
      <c r="H662" s="886"/>
      <c r="I662" s="886"/>
      <c r="J662" s="886"/>
      <c r="K662" s="886"/>
      <c r="L662" s="886"/>
      <c r="M662" s="886"/>
      <c r="N662" s="886"/>
      <c r="O662" s="886"/>
      <c r="P662" s="886"/>
      <c r="Q662" s="886"/>
      <c r="R662" s="886"/>
      <c r="S662" s="886"/>
      <c r="T662" s="886"/>
      <c r="U662" s="886"/>
      <c r="V662" s="886"/>
      <c r="W662" s="886"/>
      <c r="X662" s="886"/>
      <c r="Y662" s="886"/>
    </row>
    <row r="663" spans="3:25">
      <c r="C663" s="942"/>
      <c r="D663" s="942"/>
      <c r="E663" s="943"/>
      <c r="F663" s="943"/>
      <c r="G663" s="886"/>
      <c r="H663" s="886"/>
      <c r="I663" s="886"/>
      <c r="J663" s="886"/>
      <c r="K663" s="886"/>
      <c r="L663" s="886"/>
      <c r="M663" s="886"/>
      <c r="N663" s="886"/>
      <c r="O663" s="886"/>
      <c r="P663" s="886"/>
      <c r="Q663" s="886"/>
      <c r="R663" s="886"/>
      <c r="S663" s="886"/>
      <c r="T663" s="886"/>
      <c r="U663" s="886"/>
      <c r="V663" s="886"/>
      <c r="W663" s="886"/>
      <c r="X663" s="886"/>
      <c r="Y663" s="886"/>
    </row>
    <row r="664" spans="3:25">
      <c r="C664" s="942"/>
      <c r="D664" s="942"/>
      <c r="E664" s="943"/>
      <c r="F664" s="943"/>
      <c r="G664" s="886"/>
      <c r="H664" s="886"/>
      <c r="I664" s="886"/>
      <c r="J664" s="886"/>
      <c r="K664" s="886"/>
      <c r="L664" s="886"/>
      <c r="M664" s="886"/>
      <c r="N664" s="886"/>
      <c r="O664" s="886"/>
      <c r="P664" s="886"/>
      <c r="Q664" s="886"/>
      <c r="R664" s="886"/>
      <c r="S664" s="886"/>
      <c r="T664" s="886"/>
      <c r="U664" s="886"/>
      <c r="V664" s="886"/>
      <c r="W664" s="886"/>
      <c r="X664" s="886"/>
      <c r="Y664" s="886"/>
    </row>
    <row r="665" spans="3:25">
      <c r="C665" s="942"/>
      <c r="D665" s="942"/>
      <c r="E665" s="943"/>
      <c r="F665" s="943"/>
      <c r="G665" s="886"/>
      <c r="H665" s="886"/>
      <c r="I665" s="886"/>
      <c r="J665" s="886"/>
      <c r="K665" s="886"/>
      <c r="L665" s="886"/>
      <c r="M665" s="886"/>
      <c r="N665" s="886"/>
      <c r="O665" s="886"/>
      <c r="P665" s="886"/>
      <c r="Q665" s="886"/>
      <c r="R665" s="886"/>
      <c r="S665" s="886"/>
      <c r="T665" s="886"/>
      <c r="U665" s="886"/>
      <c r="V665" s="886"/>
      <c r="W665" s="886"/>
      <c r="X665" s="886"/>
      <c r="Y665" s="886"/>
    </row>
    <row r="666" spans="3:25">
      <c r="C666" s="942"/>
      <c r="D666" s="942"/>
      <c r="E666" s="943"/>
      <c r="F666" s="943"/>
      <c r="G666" s="886"/>
      <c r="H666" s="886"/>
      <c r="I666" s="886"/>
      <c r="J666" s="886"/>
      <c r="K666" s="886"/>
      <c r="L666" s="886"/>
      <c r="M666" s="886"/>
      <c r="N666" s="886"/>
      <c r="O666" s="886"/>
      <c r="P666" s="886"/>
      <c r="Q666" s="886"/>
      <c r="R666" s="886"/>
      <c r="S666" s="886"/>
      <c r="T666" s="886"/>
      <c r="U666" s="886"/>
      <c r="V666" s="886"/>
      <c r="W666" s="886"/>
      <c r="X666" s="886"/>
      <c r="Y666" s="886"/>
    </row>
    <row r="667" spans="3:25">
      <c r="C667" s="942"/>
      <c r="D667" s="942"/>
      <c r="E667" s="943"/>
      <c r="F667" s="943"/>
      <c r="G667" s="886"/>
      <c r="H667" s="886"/>
      <c r="I667" s="886"/>
      <c r="J667" s="886"/>
      <c r="K667" s="886"/>
      <c r="L667" s="886"/>
      <c r="M667" s="886"/>
      <c r="N667" s="886"/>
      <c r="O667" s="886"/>
      <c r="P667" s="886"/>
      <c r="Q667" s="886"/>
      <c r="R667" s="886"/>
      <c r="S667" s="886"/>
      <c r="T667" s="886"/>
      <c r="U667" s="886"/>
      <c r="V667" s="886"/>
      <c r="W667" s="886"/>
      <c r="X667" s="886"/>
      <c r="Y667" s="886"/>
    </row>
    <row r="668" spans="3:25">
      <c r="C668" s="942"/>
      <c r="D668" s="942"/>
      <c r="E668" s="943"/>
      <c r="F668" s="943"/>
      <c r="G668" s="886"/>
      <c r="H668" s="886"/>
      <c r="I668" s="886"/>
      <c r="J668" s="886"/>
      <c r="K668" s="886"/>
      <c r="L668" s="886"/>
      <c r="M668" s="886"/>
      <c r="N668" s="886"/>
      <c r="O668" s="886"/>
      <c r="P668" s="886"/>
      <c r="Q668" s="886"/>
      <c r="R668" s="886"/>
      <c r="S668" s="886"/>
      <c r="T668" s="886"/>
      <c r="U668" s="886"/>
      <c r="V668" s="886"/>
      <c r="W668" s="886"/>
      <c r="X668" s="886"/>
      <c r="Y668" s="886"/>
    </row>
    <row r="669" spans="3:25">
      <c r="C669" s="942"/>
      <c r="D669" s="942"/>
      <c r="E669" s="943"/>
      <c r="F669" s="943"/>
      <c r="G669" s="886"/>
      <c r="H669" s="886"/>
      <c r="I669" s="886"/>
      <c r="J669" s="886"/>
      <c r="K669" s="886"/>
      <c r="L669" s="886"/>
      <c r="M669" s="886"/>
      <c r="N669" s="886"/>
      <c r="O669" s="886"/>
      <c r="P669" s="886"/>
      <c r="Q669" s="886"/>
      <c r="R669" s="886"/>
      <c r="S669" s="886"/>
      <c r="T669" s="886"/>
      <c r="U669" s="886"/>
      <c r="V669" s="886"/>
      <c r="W669" s="886"/>
      <c r="X669" s="886"/>
      <c r="Y669" s="886"/>
    </row>
    <row r="670" spans="3:25">
      <c r="C670" s="942"/>
      <c r="D670" s="942"/>
      <c r="E670" s="943"/>
      <c r="F670" s="943"/>
      <c r="G670" s="886"/>
      <c r="H670" s="886"/>
      <c r="I670" s="886"/>
      <c r="J670" s="886"/>
      <c r="K670" s="886"/>
      <c r="L670" s="886"/>
      <c r="M670" s="886"/>
      <c r="N670" s="886"/>
      <c r="O670" s="886"/>
      <c r="P670" s="886"/>
      <c r="Q670" s="886"/>
      <c r="R670" s="886"/>
      <c r="S670" s="886"/>
      <c r="T670" s="886"/>
      <c r="U670" s="886"/>
      <c r="V670" s="886"/>
      <c r="W670" s="886"/>
      <c r="X670" s="886"/>
      <c r="Y670" s="886"/>
    </row>
    <row r="671" spans="3:25">
      <c r="C671" s="942"/>
      <c r="D671" s="942"/>
      <c r="E671" s="943"/>
      <c r="F671" s="943"/>
      <c r="G671" s="886"/>
      <c r="H671" s="886"/>
      <c r="I671" s="886"/>
      <c r="J671" s="886"/>
      <c r="K671" s="886"/>
      <c r="L671" s="886"/>
      <c r="M671" s="886"/>
      <c r="N671" s="886"/>
      <c r="O671" s="886"/>
      <c r="P671" s="886"/>
      <c r="Q671" s="886"/>
      <c r="R671" s="886"/>
      <c r="S671" s="886"/>
      <c r="T671" s="886"/>
      <c r="U671" s="886"/>
      <c r="V671" s="886"/>
      <c r="W671" s="886"/>
      <c r="X671" s="886"/>
      <c r="Y671" s="886"/>
    </row>
    <row r="672" spans="3:25">
      <c r="C672" s="942"/>
      <c r="D672" s="942"/>
      <c r="E672" s="943"/>
      <c r="F672" s="943"/>
      <c r="G672" s="886"/>
      <c r="H672" s="886"/>
      <c r="I672" s="886"/>
      <c r="J672" s="886"/>
      <c r="K672" s="886"/>
      <c r="L672" s="886"/>
      <c r="M672" s="886"/>
      <c r="N672" s="886"/>
      <c r="O672" s="886"/>
      <c r="P672" s="886"/>
      <c r="Q672" s="886"/>
      <c r="R672" s="886"/>
      <c r="S672" s="886"/>
      <c r="T672" s="886"/>
      <c r="U672" s="886"/>
      <c r="V672" s="886"/>
      <c r="W672" s="886"/>
      <c r="X672" s="886"/>
      <c r="Y672" s="886"/>
    </row>
    <row r="673" spans="3:25">
      <c r="C673" s="942"/>
      <c r="D673" s="942"/>
      <c r="E673" s="943"/>
      <c r="F673" s="943"/>
      <c r="G673" s="886"/>
      <c r="H673" s="886"/>
      <c r="I673" s="886"/>
      <c r="J673" s="886"/>
      <c r="K673" s="886"/>
      <c r="L673" s="886"/>
      <c r="M673" s="886"/>
      <c r="N673" s="886"/>
      <c r="O673" s="886"/>
      <c r="P673" s="886"/>
      <c r="Q673" s="886"/>
      <c r="R673" s="886"/>
      <c r="S673" s="886"/>
      <c r="T673" s="886"/>
      <c r="U673" s="886"/>
      <c r="V673" s="886"/>
      <c r="W673" s="886"/>
      <c r="X673" s="886"/>
      <c r="Y673" s="886"/>
    </row>
    <row r="674" spans="3:25">
      <c r="C674" s="942"/>
      <c r="D674" s="942"/>
      <c r="E674" s="943"/>
      <c r="F674" s="943"/>
      <c r="G674" s="886"/>
      <c r="H674" s="886"/>
      <c r="I674" s="886"/>
      <c r="J674" s="886"/>
      <c r="K674" s="886"/>
      <c r="L674" s="886"/>
      <c r="M674" s="886"/>
      <c r="N674" s="886"/>
      <c r="O674" s="886"/>
      <c r="P674" s="886"/>
      <c r="Q674" s="886"/>
      <c r="R674" s="886"/>
      <c r="S674" s="886"/>
      <c r="T674" s="886"/>
      <c r="U674" s="886"/>
      <c r="V674" s="886"/>
      <c r="W674" s="886"/>
      <c r="X674" s="886"/>
      <c r="Y674" s="886"/>
    </row>
    <row r="675" spans="3:25">
      <c r="C675" s="942"/>
      <c r="D675" s="942"/>
      <c r="E675" s="943"/>
      <c r="F675" s="943"/>
      <c r="G675" s="886"/>
      <c r="H675" s="886"/>
      <c r="I675" s="886"/>
      <c r="J675" s="886"/>
      <c r="K675" s="886"/>
      <c r="L675" s="886"/>
      <c r="M675" s="886"/>
      <c r="N675" s="886"/>
      <c r="O675" s="886"/>
      <c r="P675" s="886"/>
      <c r="Q675" s="886"/>
      <c r="R675" s="886"/>
      <c r="S675" s="886"/>
      <c r="T675" s="886"/>
      <c r="U675" s="886"/>
      <c r="V675" s="886"/>
      <c r="W675" s="886"/>
      <c r="X675" s="886"/>
      <c r="Y675" s="886"/>
    </row>
    <row r="676" spans="3:25">
      <c r="C676" s="942"/>
      <c r="D676" s="942"/>
      <c r="E676" s="943"/>
      <c r="F676" s="943"/>
      <c r="G676" s="886"/>
      <c r="H676" s="886"/>
      <c r="I676" s="886"/>
      <c r="J676" s="886"/>
      <c r="K676" s="886"/>
      <c r="L676" s="886"/>
      <c r="M676" s="886"/>
      <c r="N676" s="886"/>
      <c r="O676" s="886"/>
      <c r="P676" s="886"/>
      <c r="Q676" s="886"/>
      <c r="R676" s="886"/>
      <c r="S676" s="886"/>
      <c r="T676" s="886"/>
      <c r="U676" s="886"/>
      <c r="V676" s="886"/>
      <c r="W676" s="886"/>
      <c r="X676" s="886"/>
      <c r="Y676" s="886"/>
    </row>
    <row r="677" spans="3:25">
      <c r="C677" s="942"/>
      <c r="D677" s="942"/>
      <c r="E677" s="943"/>
      <c r="F677" s="943"/>
      <c r="G677" s="886"/>
      <c r="H677" s="886"/>
      <c r="I677" s="886"/>
      <c r="J677" s="886"/>
      <c r="K677" s="886"/>
      <c r="L677" s="886"/>
      <c r="M677" s="886"/>
      <c r="N677" s="886"/>
      <c r="O677" s="886"/>
      <c r="P677" s="886"/>
      <c r="Q677" s="886"/>
      <c r="R677" s="886"/>
      <c r="S677" s="886"/>
      <c r="T677" s="886"/>
      <c r="U677" s="886"/>
      <c r="V677" s="886"/>
      <c r="W677" s="886"/>
      <c r="X677" s="886"/>
      <c r="Y677" s="886"/>
    </row>
    <row r="678" spans="3:25">
      <c r="C678" s="942"/>
      <c r="D678" s="942"/>
      <c r="E678" s="943"/>
      <c r="F678" s="943"/>
      <c r="G678" s="886"/>
      <c r="H678" s="886"/>
      <c r="I678" s="886"/>
      <c r="J678" s="886"/>
      <c r="K678" s="886"/>
      <c r="L678" s="886"/>
      <c r="M678" s="886"/>
      <c r="N678" s="886"/>
      <c r="O678" s="886"/>
      <c r="P678" s="886"/>
      <c r="Q678" s="886"/>
      <c r="R678" s="886"/>
      <c r="S678" s="886"/>
      <c r="T678" s="886"/>
      <c r="U678" s="886"/>
      <c r="V678" s="886"/>
      <c r="W678" s="886"/>
      <c r="X678" s="886"/>
      <c r="Y678" s="886"/>
    </row>
    <row r="679" spans="3:25">
      <c r="C679" s="942"/>
      <c r="D679" s="942"/>
      <c r="E679" s="943"/>
      <c r="F679" s="943"/>
      <c r="G679" s="886"/>
      <c r="H679" s="886"/>
      <c r="I679" s="886"/>
      <c r="J679" s="886"/>
      <c r="K679" s="886"/>
      <c r="L679" s="886"/>
      <c r="M679" s="886"/>
      <c r="N679" s="886"/>
      <c r="O679" s="886"/>
      <c r="P679" s="886"/>
      <c r="Q679" s="886"/>
      <c r="R679" s="886"/>
      <c r="S679" s="886"/>
      <c r="T679" s="886"/>
      <c r="U679" s="886"/>
      <c r="V679" s="886"/>
      <c r="W679" s="886"/>
      <c r="X679" s="886"/>
      <c r="Y679" s="886"/>
    </row>
    <row r="680" spans="3:25">
      <c r="C680" s="942"/>
      <c r="D680" s="942"/>
      <c r="E680" s="943"/>
      <c r="F680" s="943"/>
      <c r="G680" s="886"/>
      <c r="H680" s="886"/>
      <c r="I680" s="886"/>
      <c r="J680" s="886"/>
      <c r="K680" s="886"/>
      <c r="L680" s="886"/>
      <c r="M680" s="886"/>
      <c r="N680" s="886"/>
      <c r="O680" s="886"/>
      <c r="P680" s="886"/>
      <c r="Q680" s="886"/>
      <c r="R680" s="886"/>
      <c r="S680" s="886"/>
      <c r="T680" s="886"/>
      <c r="U680" s="886"/>
      <c r="V680" s="886"/>
      <c r="W680" s="886"/>
      <c r="X680" s="886"/>
      <c r="Y680" s="886"/>
    </row>
    <row r="681" spans="3:25">
      <c r="C681" s="942"/>
      <c r="D681" s="942"/>
      <c r="E681" s="943"/>
      <c r="F681" s="943"/>
      <c r="G681" s="886"/>
      <c r="H681" s="886"/>
      <c r="I681" s="886"/>
      <c r="J681" s="886"/>
      <c r="K681" s="886"/>
      <c r="L681" s="886"/>
      <c r="M681" s="886"/>
      <c r="N681" s="886"/>
      <c r="O681" s="886"/>
      <c r="P681" s="886"/>
      <c r="Q681" s="886"/>
      <c r="R681" s="886"/>
      <c r="S681" s="886"/>
      <c r="T681" s="886"/>
      <c r="U681" s="886"/>
      <c r="V681" s="886"/>
      <c r="W681" s="886"/>
      <c r="X681" s="886"/>
      <c r="Y681" s="886"/>
    </row>
    <row r="682" spans="3:25">
      <c r="C682" s="942"/>
      <c r="D682" s="942"/>
      <c r="E682" s="943"/>
      <c r="F682" s="943"/>
      <c r="G682" s="886"/>
      <c r="H682" s="886"/>
      <c r="I682" s="886"/>
      <c r="J682" s="886"/>
      <c r="K682" s="886"/>
      <c r="L682" s="886"/>
      <c r="M682" s="886"/>
      <c r="N682" s="886"/>
      <c r="O682" s="886"/>
      <c r="P682" s="886"/>
      <c r="Q682" s="886"/>
      <c r="R682" s="886"/>
      <c r="S682" s="886"/>
      <c r="T682" s="886"/>
      <c r="U682" s="886"/>
      <c r="V682" s="886"/>
      <c r="W682" s="886"/>
      <c r="X682" s="886"/>
      <c r="Y682" s="886"/>
    </row>
    <row r="683" spans="3:25">
      <c r="C683" s="942"/>
      <c r="D683" s="942"/>
      <c r="E683" s="943"/>
      <c r="F683" s="943"/>
      <c r="G683" s="886"/>
      <c r="H683" s="886"/>
      <c r="I683" s="886"/>
      <c r="J683" s="886"/>
      <c r="K683" s="886"/>
      <c r="L683" s="886"/>
      <c r="M683" s="886"/>
      <c r="N683" s="886"/>
      <c r="O683" s="886"/>
      <c r="P683" s="886"/>
      <c r="Q683" s="886"/>
      <c r="R683" s="886"/>
      <c r="S683" s="886"/>
      <c r="T683" s="886"/>
      <c r="U683" s="886"/>
      <c r="V683" s="886"/>
      <c r="W683" s="886"/>
      <c r="X683" s="886"/>
      <c r="Y683" s="886"/>
    </row>
    <row r="684" spans="3:25">
      <c r="C684" s="942"/>
      <c r="D684" s="942"/>
      <c r="E684" s="943"/>
      <c r="F684" s="943"/>
      <c r="G684" s="886"/>
      <c r="H684" s="886"/>
      <c r="I684" s="886"/>
      <c r="J684" s="886"/>
      <c r="K684" s="886"/>
      <c r="L684" s="886"/>
      <c r="M684" s="886"/>
      <c r="N684" s="886"/>
      <c r="O684" s="886"/>
      <c r="P684" s="886"/>
      <c r="Q684" s="886"/>
      <c r="R684" s="886"/>
      <c r="S684" s="886"/>
      <c r="T684" s="886"/>
      <c r="U684" s="886"/>
      <c r="V684" s="886"/>
      <c r="W684" s="886"/>
      <c r="X684" s="886"/>
      <c r="Y684" s="886"/>
    </row>
    <row r="685" spans="3:25">
      <c r="C685" s="942"/>
      <c r="D685" s="942"/>
      <c r="E685" s="943"/>
      <c r="F685" s="943"/>
      <c r="G685" s="886"/>
      <c r="H685" s="886"/>
      <c r="I685" s="886"/>
      <c r="J685" s="886"/>
      <c r="K685" s="886"/>
      <c r="L685" s="886"/>
      <c r="M685" s="886"/>
      <c r="N685" s="886"/>
      <c r="O685" s="886"/>
      <c r="P685" s="886"/>
      <c r="Q685" s="886"/>
      <c r="R685" s="886"/>
      <c r="S685" s="886"/>
      <c r="T685" s="886"/>
      <c r="U685" s="886"/>
      <c r="V685" s="886"/>
      <c r="W685" s="886"/>
      <c r="X685" s="886"/>
      <c r="Y685" s="886"/>
    </row>
    <row r="686" spans="3:25">
      <c r="C686" s="942"/>
      <c r="D686" s="942"/>
      <c r="E686" s="943"/>
      <c r="F686" s="943"/>
      <c r="G686" s="886"/>
      <c r="H686" s="886"/>
      <c r="I686" s="886"/>
      <c r="J686" s="886"/>
      <c r="K686" s="886"/>
      <c r="L686" s="886"/>
      <c r="M686" s="886"/>
      <c r="N686" s="886"/>
      <c r="O686" s="886"/>
      <c r="P686" s="886"/>
      <c r="Q686" s="886"/>
      <c r="R686" s="886"/>
      <c r="S686" s="886"/>
      <c r="T686" s="886"/>
      <c r="U686" s="886"/>
      <c r="V686" s="886"/>
      <c r="W686" s="886"/>
      <c r="X686" s="886"/>
      <c r="Y686" s="886"/>
    </row>
    <row r="687" spans="3:25">
      <c r="C687" s="942"/>
      <c r="D687" s="942"/>
      <c r="E687" s="943"/>
      <c r="F687" s="943"/>
      <c r="G687" s="886"/>
      <c r="H687" s="886"/>
      <c r="I687" s="886"/>
      <c r="J687" s="886"/>
      <c r="K687" s="886"/>
      <c r="L687" s="886"/>
      <c r="M687" s="886"/>
      <c r="N687" s="886"/>
      <c r="O687" s="886"/>
      <c r="P687" s="886"/>
      <c r="Q687" s="886"/>
      <c r="R687" s="886"/>
      <c r="S687" s="886"/>
      <c r="T687" s="886"/>
      <c r="U687" s="886"/>
      <c r="V687" s="886"/>
      <c r="W687" s="886"/>
      <c r="X687" s="886"/>
      <c r="Y687" s="886"/>
    </row>
    <row r="688" spans="3:25">
      <c r="C688" s="942"/>
      <c r="D688" s="942"/>
      <c r="E688" s="943"/>
      <c r="F688" s="943"/>
      <c r="G688" s="886"/>
      <c r="H688" s="886"/>
      <c r="I688" s="886"/>
      <c r="J688" s="886"/>
      <c r="K688" s="886"/>
      <c r="L688" s="886"/>
      <c r="M688" s="886"/>
      <c r="N688" s="886"/>
      <c r="O688" s="886"/>
      <c r="P688" s="886"/>
      <c r="Q688" s="886"/>
      <c r="R688" s="886"/>
      <c r="S688" s="886"/>
      <c r="T688" s="886"/>
      <c r="U688" s="886"/>
      <c r="V688" s="886"/>
      <c r="W688" s="886"/>
      <c r="X688" s="886"/>
      <c r="Y688" s="886"/>
    </row>
    <row r="689" spans="3:25">
      <c r="C689" s="942"/>
      <c r="D689" s="942"/>
      <c r="E689" s="943"/>
      <c r="F689" s="943"/>
      <c r="G689" s="886"/>
      <c r="H689" s="886"/>
      <c r="I689" s="886"/>
      <c r="J689" s="886"/>
      <c r="K689" s="886"/>
      <c r="L689" s="886"/>
      <c r="M689" s="886"/>
      <c r="N689" s="886"/>
      <c r="O689" s="886"/>
      <c r="P689" s="886"/>
      <c r="Q689" s="886"/>
      <c r="R689" s="886"/>
      <c r="S689" s="886"/>
      <c r="T689" s="886"/>
      <c r="U689" s="886"/>
      <c r="V689" s="886"/>
      <c r="W689" s="886"/>
      <c r="X689" s="886"/>
      <c r="Y689" s="886"/>
    </row>
    <row r="690" spans="3:25">
      <c r="C690" s="942"/>
      <c r="D690" s="942"/>
      <c r="E690" s="943"/>
      <c r="F690" s="943"/>
      <c r="G690" s="886"/>
      <c r="H690" s="886"/>
      <c r="I690" s="886"/>
      <c r="J690" s="886"/>
      <c r="K690" s="886"/>
      <c r="L690" s="886"/>
      <c r="M690" s="886"/>
      <c r="N690" s="886"/>
      <c r="O690" s="886"/>
      <c r="P690" s="886"/>
      <c r="Q690" s="886"/>
      <c r="R690" s="886"/>
      <c r="S690" s="886"/>
      <c r="T690" s="886"/>
      <c r="U690" s="886"/>
      <c r="V690" s="886"/>
      <c r="W690" s="886"/>
      <c r="X690" s="886"/>
      <c r="Y690" s="886"/>
    </row>
    <row r="691" spans="3:25">
      <c r="C691" s="942"/>
      <c r="D691" s="942"/>
      <c r="E691" s="943"/>
      <c r="F691" s="943"/>
      <c r="G691" s="886"/>
      <c r="H691" s="886"/>
      <c r="I691" s="886"/>
      <c r="J691" s="886"/>
      <c r="K691" s="886"/>
      <c r="L691" s="886"/>
      <c r="M691" s="886"/>
      <c r="N691" s="886"/>
      <c r="O691" s="886"/>
      <c r="P691" s="886"/>
      <c r="Q691" s="886"/>
      <c r="R691" s="886"/>
      <c r="S691" s="886"/>
      <c r="T691" s="886"/>
      <c r="U691" s="886"/>
      <c r="V691" s="886"/>
      <c r="W691" s="886"/>
      <c r="X691" s="886"/>
      <c r="Y691" s="886"/>
    </row>
    <row r="692" spans="3:25">
      <c r="C692" s="942"/>
      <c r="D692" s="942"/>
      <c r="E692" s="943"/>
      <c r="F692" s="943"/>
      <c r="G692" s="886"/>
      <c r="H692" s="886"/>
      <c r="I692" s="886"/>
      <c r="J692" s="886"/>
      <c r="K692" s="886"/>
      <c r="L692" s="886"/>
      <c r="M692" s="886"/>
      <c r="N692" s="886"/>
      <c r="O692" s="886"/>
      <c r="P692" s="886"/>
      <c r="Q692" s="886"/>
      <c r="R692" s="886"/>
      <c r="S692" s="886"/>
      <c r="T692" s="886"/>
      <c r="U692" s="886"/>
      <c r="V692" s="886"/>
      <c r="W692" s="886"/>
      <c r="X692" s="886"/>
      <c r="Y692" s="886"/>
    </row>
    <row r="693" spans="3:25">
      <c r="C693" s="942"/>
      <c r="D693" s="942"/>
      <c r="E693" s="943"/>
      <c r="F693" s="943"/>
      <c r="G693" s="886"/>
      <c r="H693" s="886"/>
      <c r="I693" s="886"/>
      <c r="J693" s="886"/>
      <c r="K693" s="886"/>
      <c r="L693" s="886"/>
      <c r="M693" s="886"/>
      <c r="N693" s="886"/>
      <c r="O693" s="886"/>
      <c r="P693" s="886"/>
      <c r="Q693" s="886"/>
      <c r="R693" s="886"/>
      <c r="S693" s="886"/>
      <c r="T693" s="886"/>
      <c r="U693" s="886"/>
      <c r="V693" s="886"/>
      <c r="W693" s="886"/>
      <c r="X693" s="886"/>
      <c r="Y693" s="886"/>
    </row>
    <row r="694" spans="3:25">
      <c r="C694" s="942"/>
      <c r="D694" s="942"/>
      <c r="E694" s="943"/>
      <c r="F694" s="943"/>
      <c r="G694" s="886"/>
      <c r="H694" s="886"/>
      <c r="I694" s="886"/>
      <c r="J694" s="886"/>
      <c r="K694" s="886"/>
      <c r="L694" s="886"/>
      <c r="M694" s="886"/>
      <c r="N694" s="886"/>
      <c r="O694" s="886"/>
      <c r="P694" s="886"/>
      <c r="Q694" s="886"/>
      <c r="R694" s="886"/>
      <c r="S694" s="886"/>
      <c r="T694" s="886"/>
      <c r="U694" s="886"/>
      <c r="V694" s="886"/>
      <c r="W694" s="886"/>
      <c r="X694" s="886"/>
      <c r="Y694" s="886"/>
    </row>
    <row r="695" spans="3:25">
      <c r="C695" s="942"/>
      <c r="D695" s="942"/>
      <c r="E695" s="943"/>
      <c r="F695" s="943"/>
      <c r="G695" s="886"/>
      <c r="H695" s="886"/>
      <c r="I695" s="886"/>
      <c r="J695" s="886"/>
      <c r="K695" s="886"/>
      <c r="L695" s="886"/>
      <c r="M695" s="886"/>
      <c r="N695" s="886"/>
      <c r="O695" s="886"/>
      <c r="P695" s="886"/>
      <c r="Q695" s="886"/>
      <c r="R695" s="886"/>
      <c r="S695" s="886"/>
      <c r="T695" s="886"/>
      <c r="U695" s="886"/>
      <c r="V695" s="886"/>
      <c r="W695" s="886"/>
      <c r="X695" s="886"/>
      <c r="Y695" s="886"/>
    </row>
    <row r="696" spans="3:25">
      <c r="C696" s="942"/>
      <c r="D696" s="942"/>
      <c r="E696" s="943"/>
      <c r="F696" s="943"/>
      <c r="G696" s="886"/>
      <c r="H696" s="886"/>
      <c r="I696" s="886"/>
      <c r="J696" s="886"/>
      <c r="K696" s="886"/>
      <c r="L696" s="886"/>
      <c r="M696" s="886"/>
      <c r="N696" s="886"/>
      <c r="O696" s="886"/>
      <c r="P696" s="886"/>
      <c r="Q696" s="886"/>
      <c r="R696" s="886"/>
      <c r="S696" s="886"/>
      <c r="T696" s="886"/>
      <c r="U696" s="886"/>
      <c r="V696" s="886"/>
      <c r="W696" s="886"/>
      <c r="X696" s="886"/>
      <c r="Y696" s="886"/>
    </row>
    <row r="697" spans="3:25">
      <c r="C697" s="942"/>
      <c r="D697" s="942"/>
      <c r="E697" s="943"/>
      <c r="F697" s="943"/>
      <c r="G697" s="886"/>
      <c r="H697" s="886"/>
      <c r="I697" s="886"/>
      <c r="J697" s="886"/>
      <c r="K697" s="886"/>
      <c r="L697" s="886"/>
      <c r="M697" s="886"/>
      <c r="N697" s="886"/>
      <c r="O697" s="886"/>
      <c r="P697" s="886"/>
      <c r="Q697" s="886"/>
      <c r="R697" s="886"/>
      <c r="S697" s="886"/>
      <c r="T697" s="886"/>
      <c r="U697" s="886"/>
      <c r="V697" s="886"/>
      <c r="W697" s="886"/>
      <c r="X697" s="886"/>
      <c r="Y697" s="886"/>
    </row>
    <row r="698" spans="3:25">
      <c r="C698" s="942"/>
      <c r="D698" s="942"/>
      <c r="E698" s="943"/>
      <c r="F698" s="943"/>
      <c r="G698" s="886"/>
      <c r="H698" s="886"/>
      <c r="I698" s="886"/>
      <c r="J698" s="886"/>
      <c r="K698" s="886"/>
      <c r="L698" s="886"/>
      <c r="M698" s="886"/>
      <c r="N698" s="886"/>
      <c r="O698" s="886"/>
      <c r="P698" s="886"/>
      <c r="Q698" s="886"/>
      <c r="R698" s="886"/>
      <c r="S698" s="886"/>
      <c r="T698" s="886"/>
      <c r="U698" s="886"/>
      <c r="V698" s="886"/>
      <c r="W698" s="886"/>
      <c r="X698" s="886"/>
      <c r="Y698" s="886"/>
    </row>
    <row r="699" spans="3:25">
      <c r="C699" s="942"/>
      <c r="D699" s="942"/>
      <c r="E699" s="943"/>
      <c r="F699" s="943"/>
      <c r="G699" s="886"/>
      <c r="H699" s="886"/>
      <c r="I699" s="886"/>
      <c r="J699" s="886"/>
      <c r="K699" s="886"/>
      <c r="L699" s="886"/>
      <c r="M699" s="886"/>
      <c r="N699" s="886"/>
      <c r="O699" s="886"/>
      <c r="P699" s="886"/>
      <c r="Q699" s="886"/>
      <c r="R699" s="886"/>
      <c r="S699" s="886"/>
      <c r="T699" s="886"/>
      <c r="U699" s="886"/>
      <c r="V699" s="886"/>
      <c r="W699" s="886"/>
      <c r="X699" s="886"/>
      <c r="Y699" s="886"/>
    </row>
    <row r="700" spans="3:25">
      <c r="C700" s="942"/>
      <c r="D700" s="942"/>
      <c r="E700" s="943"/>
      <c r="F700" s="943"/>
      <c r="G700" s="886"/>
      <c r="H700" s="886"/>
      <c r="I700" s="886"/>
      <c r="J700" s="886"/>
      <c r="K700" s="886"/>
      <c r="L700" s="886"/>
      <c r="M700" s="886"/>
      <c r="N700" s="886"/>
      <c r="O700" s="886"/>
      <c r="P700" s="886"/>
      <c r="Q700" s="886"/>
      <c r="R700" s="886"/>
      <c r="S700" s="886"/>
      <c r="T700" s="886"/>
      <c r="U700" s="886"/>
      <c r="V700" s="886"/>
      <c r="W700" s="886"/>
      <c r="X700" s="886"/>
      <c r="Y700" s="886"/>
    </row>
    <row r="701" spans="3:25">
      <c r="C701" s="942"/>
      <c r="D701" s="942"/>
      <c r="E701" s="943"/>
      <c r="F701" s="943"/>
      <c r="G701" s="886"/>
      <c r="H701" s="886"/>
      <c r="I701" s="886"/>
      <c r="J701" s="886"/>
      <c r="K701" s="886"/>
      <c r="L701" s="886"/>
      <c r="M701" s="886"/>
      <c r="N701" s="886"/>
      <c r="O701" s="886"/>
      <c r="P701" s="886"/>
      <c r="Q701" s="886"/>
      <c r="R701" s="886"/>
      <c r="S701" s="886"/>
      <c r="T701" s="886"/>
      <c r="U701" s="886"/>
      <c r="V701" s="886"/>
      <c r="W701" s="886"/>
      <c r="X701" s="886"/>
      <c r="Y701" s="886"/>
    </row>
    <row r="702" spans="3:25">
      <c r="C702" s="942"/>
      <c r="D702" s="942"/>
      <c r="E702" s="943"/>
      <c r="F702" s="943"/>
      <c r="G702" s="886"/>
      <c r="H702" s="886"/>
      <c r="I702" s="886"/>
      <c r="J702" s="886"/>
      <c r="K702" s="886"/>
      <c r="L702" s="886"/>
      <c r="M702" s="886"/>
      <c r="N702" s="886"/>
      <c r="O702" s="886"/>
      <c r="P702" s="886"/>
      <c r="Q702" s="886"/>
      <c r="R702" s="886"/>
      <c r="S702" s="886"/>
      <c r="T702" s="886"/>
      <c r="U702" s="886"/>
      <c r="V702" s="886"/>
      <c r="W702" s="886"/>
      <c r="X702" s="886"/>
      <c r="Y702" s="886"/>
    </row>
    <row r="703" spans="3:25">
      <c r="C703" s="942"/>
      <c r="D703" s="942"/>
      <c r="E703" s="943"/>
      <c r="F703" s="943"/>
      <c r="G703" s="886"/>
      <c r="H703" s="886"/>
      <c r="I703" s="886"/>
      <c r="J703" s="886"/>
      <c r="K703" s="886"/>
      <c r="L703" s="886"/>
      <c r="M703" s="886"/>
      <c r="N703" s="886"/>
      <c r="O703" s="886"/>
      <c r="P703" s="886"/>
      <c r="Q703" s="886"/>
      <c r="R703" s="886"/>
      <c r="S703" s="886"/>
      <c r="T703" s="886"/>
      <c r="U703" s="886"/>
      <c r="V703" s="886"/>
      <c r="W703" s="886"/>
      <c r="X703" s="886"/>
      <c r="Y703" s="886"/>
    </row>
    <row r="704" spans="3:25">
      <c r="C704" s="942"/>
      <c r="D704" s="942"/>
      <c r="E704" s="943"/>
      <c r="F704" s="943"/>
      <c r="G704" s="886"/>
      <c r="H704" s="886"/>
      <c r="I704" s="886"/>
      <c r="J704" s="886"/>
      <c r="K704" s="886"/>
      <c r="L704" s="886"/>
      <c r="M704" s="886"/>
      <c r="N704" s="886"/>
      <c r="O704" s="886"/>
      <c r="P704" s="886"/>
      <c r="Q704" s="886"/>
      <c r="R704" s="886"/>
      <c r="S704" s="886"/>
      <c r="T704" s="886"/>
      <c r="U704" s="886"/>
      <c r="V704" s="886"/>
      <c r="W704" s="886"/>
      <c r="X704" s="886"/>
      <c r="Y704" s="886"/>
    </row>
    <row r="705" spans="3:25">
      <c r="C705" s="942"/>
      <c r="D705" s="942"/>
      <c r="E705" s="943"/>
      <c r="F705" s="943"/>
      <c r="G705" s="886"/>
      <c r="H705" s="886"/>
      <c r="I705" s="886"/>
      <c r="J705" s="886"/>
      <c r="K705" s="886"/>
      <c r="L705" s="886"/>
      <c r="M705" s="886"/>
      <c r="N705" s="886"/>
      <c r="O705" s="886"/>
      <c r="P705" s="886"/>
      <c r="Q705" s="886"/>
      <c r="R705" s="886"/>
      <c r="S705" s="886"/>
      <c r="T705" s="886"/>
      <c r="U705" s="886"/>
      <c r="V705" s="886"/>
      <c r="W705" s="886"/>
      <c r="X705" s="886"/>
      <c r="Y705" s="886"/>
    </row>
    <row r="706" spans="3:25">
      <c r="C706" s="942"/>
      <c r="D706" s="942"/>
      <c r="E706" s="943"/>
      <c r="F706" s="943"/>
      <c r="G706" s="886"/>
      <c r="H706" s="886"/>
      <c r="I706" s="886"/>
      <c r="J706" s="886"/>
      <c r="K706" s="886"/>
      <c r="L706" s="886"/>
      <c r="M706" s="886"/>
      <c r="N706" s="886"/>
      <c r="O706" s="886"/>
      <c r="P706" s="886"/>
      <c r="Q706" s="886"/>
      <c r="R706" s="886"/>
      <c r="S706" s="886"/>
      <c r="T706" s="886"/>
      <c r="U706" s="886"/>
      <c r="V706" s="886"/>
      <c r="W706" s="886"/>
      <c r="X706" s="886"/>
      <c r="Y706" s="886"/>
    </row>
    <row r="707" spans="3:25">
      <c r="C707" s="942"/>
      <c r="D707" s="942"/>
      <c r="E707" s="943"/>
      <c r="F707" s="943"/>
      <c r="G707" s="886"/>
      <c r="H707" s="886"/>
      <c r="I707" s="886"/>
      <c r="J707" s="886"/>
      <c r="K707" s="886"/>
      <c r="L707" s="886"/>
      <c r="M707" s="886"/>
      <c r="N707" s="886"/>
      <c r="O707" s="886"/>
      <c r="P707" s="886"/>
      <c r="Q707" s="886"/>
      <c r="R707" s="886"/>
      <c r="S707" s="886"/>
      <c r="T707" s="886"/>
      <c r="U707" s="886"/>
      <c r="V707" s="886"/>
      <c r="W707" s="886"/>
      <c r="X707" s="886"/>
      <c r="Y707" s="886"/>
    </row>
    <row r="708" spans="3:25">
      <c r="C708" s="942"/>
      <c r="D708" s="942"/>
      <c r="E708" s="943"/>
      <c r="F708" s="943"/>
      <c r="G708" s="886"/>
      <c r="H708" s="886"/>
      <c r="I708" s="886"/>
      <c r="J708" s="886"/>
      <c r="K708" s="886"/>
      <c r="L708" s="886"/>
      <c r="M708" s="886"/>
      <c r="N708" s="886"/>
      <c r="O708" s="886"/>
      <c r="P708" s="886"/>
      <c r="Q708" s="886"/>
      <c r="R708" s="886"/>
      <c r="S708" s="886"/>
      <c r="T708" s="886"/>
      <c r="U708" s="886"/>
      <c r="V708" s="886"/>
      <c r="W708" s="886"/>
      <c r="X708" s="886"/>
      <c r="Y708" s="886"/>
    </row>
    <row r="709" spans="3:25">
      <c r="C709" s="942"/>
      <c r="D709" s="942"/>
      <c r="E709" s="943"/>
      <c r="F709" s="943"/>
      <c r="G709" s="886"/>
      <c r="H709" s="886"/>
      <c r="I709" s="886"/>
      <c r="J709" s="886"/>
      <c r="K709" s="886"/>
      <c r="L709" s="886"/>
      <c r="M709" s="886"/>
      <c r="N709" s="886"/>
      <c r="O709" s="886"/>
      <c r="P709" s="886"/>
      <c r="Q709" s="886"/>
      <c r="R709" s="886"/>
      <c r="S709" s="886"/>
      <c r="T709" s="886"/>
      <c r="U709" s="886"/>
      <c r="V709" s="886"/>
      <c r="W709" s="886"/>
      <c r="X709" s="886"/>
      <c r="Y709" s="886"/>
    </row>
    <row r="710" spans="3:25">
      <c r="C710" s="942"/>
      <c r="D710" s="942"/>
      <c r="E710" s="943"/>
      <c r="F710" s="943"/>
      <c r="G710" s="886"/>
      <c r="H710" s="886"/>
      <c r="I710" s="886"/>
      <c r="J710" s="886"/>
      <c r="K710" s="886"/>
      <c r="L710" s="886"/>
      <c r="M710" s="886"/>
      <c r="N710" s="886"/>
      <c r="O710" s="886"/>
      <c r="P710" s="886"/>
      <c r="Q710" s="886"/>
      <c r="R710" s="886"/>
      <c r="S710" s="886"/>
      <c r="T710" s="886"/>
      <c r="U710" s="886"/>
      <c r="V710" s="886"/>
      <c r="W710" s="886"/>
      <c r="X710" s="886"/>
      <c r="Y710" s="886"/>
    </row>
    <row r="711" spans="3:25">
      <c r="C711" s="942"/>
      <c r="D711" s="942"/>
      <c r="E711" s="943"/>
      <c r="F711" s="943"/>
      <c r="G711" s="886"/>
      <c r="H711" s="886"/>
      <c r="I711" s="886"/>
      <c r="J711" s="886"/>
      <c r="K711" s="886"/>
      <c r="L711" s="886"/>
      <c r="M711" s="886"/>
      <c r="N711" s="886"/>
      <c r="O711" s="886"/>
      <c r="P711" s="886"/>
      <c r="Q711" s="886"/>
      <c r="R711" s="886"/>
      <c r="S711" s="886"/>
      <c r="T711" s="886"/>
      <c r="U711" s="886"/>
      <c r="V711" s="886"/>
      <c r="W711" s="886"/>
      <c r="X711" s="886"/>
      <c r="Y711" s="886"/>
    </row>
    <row r="712" spans="3:25">
      <c r="C712" s="942"/>
      <c r="D712" s="942"/>
      <c r="E712" s="943"/>
      <c r="F712" s="943"/>
      <c r="G712" s="886"/>
      <c r="H712" s="886"/>
      <c r="I712" s="886"/>
      <c r="J712" s="886"/>
      <c r="K712" s="886"/>
      <c r="L712" s="886"/>
      <c r="M712" s="886"/>
      <c r="N712" s="886"/>
      <c r="O712" s="886"/>
      <c r="P712" s="886"/>
      <c r="Q712" s="886"/>
      <c r="R712" s="886"/>
      <c r="S712" s="886"/>
      <c r="T712" s="886"/>
      <c r="U712" s="886"/>
      <c r="V712" s="886"/>
      <c r="W712" s="886"/>
      <c r="X712" s="886"/>
      <c r="Y712" s="886"/>
    </row>
    <row r="713" spans="3:25">
      <c r="C713" s="942"/>
      <c r="D713" s="942"/>
      <c r="E713" s="943"/>
      <c r="F713" s="943"/>
      <c r="G713" s="886"/>
      <c r="H713" s="886"/>
      <c r="I713" s="886"/>
      <c r="J713" s="886"/>
      <c r="K713" s="886"/>
      <c r="L713" s="886"/>
      <c r="M713" s="886"/>
      <c r="N713" s="886"/>
      <c r="O713" s="886"/>
      <c r="P713" s="886"/>
      <c r="Q713" s="886"/>
      <c r="R713" s="886"/>
      <c r="S713" s="886"/>
      <c r="T713" s="886"/>
      <c r="U713" s="886"/>
      <c r="V713" s="886"/>
      <c r="W713" s="886"/>
      <c r="X713" s="886"/>
      <c r="Y713" s="886"/>
    </row>
    <row r="714" spans="3:25">
      <c r="C714" s="942"/>
      <c r="D714" s="942"/>
      <c r="E714" s="943"/>
      <c r="F714" s="943"/>
      <c r="G714" s="886"/>
      <c r="H714" s="886"/>
      <c r="I714" s="886"/>
      <c r="J714" s="886"/>
      <c r="K714" s="886"/>
      <c r="L714" s="886"/>
      <c r="M714" s="886"/>
      <c r="N714" s="886"/>
      <c r="O714" s="886"/>
      <c r="P714" s="886"/>
      <c r="Q714" s="886"/>
      <c r="R714" s="886"/>
      <c r="S714" s="886"/>
      <c r="T714" s="886"/>
      <c r="U714" s="886"/>
      <c r="V714" s="886"/>
      <c r="W714" s="886"/>
      <c r="X714" s="886"/>
      <c r="Y714" s="886"/>
    </row>
    <row r="715" spans="3:25">
      <c r="C715" s="942"/>
      <c r="D715" s="942"/>
      <c r="E715" s="943"/>
      <c r="F715" s="943"/>
      <c r="G715" s="886"/>
      <c r="H715" s="886"/>
      <c r="I715" s="886"/>
      <c r="J715" s="886"/>
      <c r="K715" s="886"/>
      <c r="L715" s="886"/>
      <c r="M715" s="886"/>
      <c r="N715" s="886"/>
      <c r="O715" s="886"/>
      <c r="P715" s="886"/>
      <c r="Q715" s="886"/>
      <c r="R715" s="886"/>
      <c r="S715" s="886"/>
      <c r="T715" s="886"/>
      <c r="U715" s="886"/>
      <c r="V715" s="886"/>
      <c r="W715" s="886"/>
      <c r="X715" s="886"/>
      <c r="Y715" s="886"/>
    </row>
    <row r="716" spans="3:25">
      <c r="C716" s="942"/>
      <c r="D716" s="942"/>
      <c r="E716" s="943"/>
      <c r="F716" s="943"/>
      <c r="G716" s="886"/>
      <c r="H716" s="886"/>
      <c r="I716" s="886"/>
      <c r="J716" s="886"/>
      <c r="K716" s="886"/>
      <c r="L716" s="886"/>
      <c r="M716" s="886"/>
      <c r="N716" s="886"/>
      <c r="O716" s="886"/>
      <c r="P716" s="886"/>
      <c r="Q716" s="886"/>
      <c r="R716" s="886"/>
      <c r="S716" s="886"/>
      <c r="T716" s="886"/>
      <c r="U716" s="886"/>
      <c r="V716" s="886"/>
      <c r="W716" s="886"/>
      <c r="X716" s="886"/>
      <c r="Y716" s="886"/>
    </row>
    <row r="717" spans="3:25">
      <c r="C717" s="942"/>
      <c r="D717" s="942"/>
      <c r="E717" s="943"/>
      <c r="F717" s="943"/>
      <c r="G717" s="886"/>
      <c r="H717" s="886"/>
      <c r="I717" s="886"/>
      <c r="J717" s="886"/>
      <c r="K717" s="886"/>
      <c r="L717" s="886"/>
      <c r="M717" s="886"/>
      <c r="N717" s="886"/>
      <c r="O717" s="886"/>
      <c r="P717" s="886"/>
      <c r="Q717" s="886"/>
      <c r="R717" s="886"/>
      <c r="S717" s="886"/>
      <c r="T717" s="886"/>
      <c r="U717" s="886"/>
      <c r="V717" s="886"/>
      <c r="W717" s="886"/>
      <c r="X717" s="886"/>
      <c r="Y717" s="886"/>
    </row>
    <row r="718" spans="3:25">
      <c r="C718" s="942"/>
      <c r="D718" s="942"/>
      <c r="E718" s="943"/>
      <c r="F718" s="943"/>
      <c r="G718" s="886"/>
      <c r="H718" s="886"/>
      <c r="I718" s="886"/>
      <c r="J718" s="886"/>
      <c r="K718" s="886"/>
      <c r="L718" s="886"/>
      <c r="M718" s="886"/>
      <c r="N718" s="886"/>
      <c r="O718" s="886"/>
      <c r="P718" s="886"/>
      <c r="Q718" s="886"/>
      <c r="R718" s="886"/>
      <c r="S718" s="886"/>
      <c r="T718" s="886"/>
      <c r="U718" s="886"/>
      <c r="V718" s="886"/>
      <c r="W718" s="886"/>
      <c r="X718" s="886"/>
      <c r="Y718" s="886"/>
    </row>
    <row r="719" spans="3:25">
      <c r="C719" s="942"/>
      <c r="D719" s="942"/>
      <c r="E719" s="943"/>
      <c r="F719" s="943"/>
      <c r="G719" s="886"/>
      <c r="H719" s="886"/>
      <c r="I719" s="886"/>
      <c r="J719" s="886"/>
      <c r="K719" s="886"/>
      <c r="L719" s="886"/>
      <c r="M719" s="886"/>
      <c r="N719" s="886"/>
      <c r="O719" s="886"/>
      <c r="P719" s="886"/>
      <c r="Q719" s="886"/>
      <c r="R719" s="886"/>
      <c r="S719" s="886"/>
      <c r="T719" s="886"/>
      <c r="U719" s="886"/>
      <c r="V719" s="886"/>
      <c r="W719" s="886"/>
      <c r="X719" s="886"/>
      <c r="Y719" s="886"/>
    </row>
    <row r="720" spans="3:25">
      <c r="C720" s="942"/>
      <c r="D720" s="942"/>
      <c r="E720" s="943"/>
      <c r="F720" s="943"/>
      <c r="G720" s="886"/>
      <c r="H720" s="886"/>
      <c r="I720" s="886"/>
      <c r="J720" s="886"/>
      <c r="K720" s="886"/>
      <c r="L720" s="886"/>
      <c r="M720" s="886"/>
      <c r="N720" s="886"/>
      <c r="O720" s="886"/>
      <c r="P720" s="886"/>
      <c r="Q720" s="886"/>
      <c r="R720" s="886"/>
      <c r="S720" s="886"/>
      <c r="T720" s="886"/>
      <c r="U720" s="886"/>
      <c r="V720" s="886"/>
      <c r="W720" s="886"/>
      <c r="X720" s="886"/>
      <c r="Y720" s="886"/>
    </row>
    <row r="721" spans="3:25">
      <c r="C721" s="942"/>
      <c r="D721" s="942"/>
      <c r="E721" s="943"/>
      <c r="F721" s="943"/>
      <c r="G721" s="886"/>
      <c r="H721" s="886"/>
      <c r="I721" s="886"/>
      <c r="J721" s="886"/>
      <c r="K721" s="886"/>
      <c r="L721" s="886"/>
      <c r="M721" s="886"/>
      <c r="N721" s="886"/>
      <c r="O721" s="886"/>
      <c r="P721" s="886"/>
      <c r="Q721" s="886"/>
      <c r="R721" s="886"/>
      <c r="S721" s="886"/>
      <c r="T721" s="886"/>
      <c r="U721" s="886"/>
      <c r="V721" s="886"/>
      <c r="W721" s="886"/>
      <c r="X721" s="886"/>
      <c r="Y721" s="886"/>
    </row>
    <row r="722" spans="3:25">
      <c r="C722" s="942"/>
      <c r="D722" s="942"/>
      <c r="E722" s="943"/>
      <c r="F722" s="943"/>
      <c r="G722" s="886"/>
      <c r="H722" s="886"/>
      <c r="I722" s="886"/>
      <c r="J722" s="886"/>
      <c r="K722" s="886"/>
      <c r="L722" s="886"/>
      <c r="M722" s="886"/>
      <c r="N722" s="886"/>
      <c r="O722" s="886"/>
      <c r="P722" s="886"/>
      <c r="Q722" s="886"/>
      <c r="R722" s="886"/>
      <c r="S722" s="886"/>
      <c r="T722" s="886"/>
      <c r="U722" s="886"/>
      <c r="V722" s="886"/>
      <c r="W722" s="886"/>
      <c r="X722" s="886"/>
      <c r="Y722" s="886"/>
    </row>
    <row r="723" spans="3:25">
      <c r="C723" s="942"/>
      <c r="D723" s="942"/>
      <c r="E723" s="943"/>
      <c r="F723" s="943"/>
      <c r="G723" s="886"/>
      <c r="H723" s="886"/>
      <c r="I723" s="886"/>
      <c r="J723" s="886"/>
      <c r="K723" s="886"/>
      <c r="L723" s="886"/>
      <c r="M723" s="886"/>
      <c r="N723" s="886"/>
      <c r="O723" s="886"/>
      <c r="P723" s="886"/>
      <c r="Q723" s="886"/>
      <c r="R723" s="886"/>
      <c r="S723" s="886"/>
      <c r="T723" s="886"/>
      <c r="U723" s="886"/>
      <c r="V723" s="886"/>
      <c r="W723" s="886"/>
      <c r="X723" s="886"/>
      <c r="Y723" s="886"/>
    </row>
    <row r="724" spans="3:25">
      <c r="C724" s="942"/>
      <c r="D724" s="942"/>
      <c r="E724" s="943"/>
      <c r="F724" s="943"/>
      <c r="G724" s="886"/>
      <c r="H724" s="886"/>
      <c r="I724" s="886"/>
      <c r="J724" s="886"/>
      <c r="K724" s="886"/>
      <c r="L724" s="886"/>
      <c r="M724" s="886"/>
      <c r="N724" s="886"/>
      <c r="O724" s="886"/>
      <c r="P724" s="886"/>
      <c r="Q724" s="886"/>
      <c r="R724" s="886"/>
      <c r="S724" s="886"/>
      <c r="T724" s="886"/>
      <c r="U724" s="886"/>
      <c r="V724" s="886"/>
      <c r="W724" s="886"/>
      <c r="X724" s="886"/>
      <c r="Y724" s="886"/>
    </row>
    <row r="725" spans="3:25">
      <c r="C725" s="942"/>
      <c r="D725" s="942"/>
      <c r="E725" s="943"/>
      <c r="F725" s="943"/>
      <c r="G725" s="886"/>
      <c r="H725" s="886"/>
      <c r="I725" s="886"/>
      <c r="J725" s="886"/>
      <c r="K725" s="886"/>
      <c r="L725" s="886"/>
      <c r="M725" s="886"/>
      <c r="N725" s="886"/>
      <c r="O725" s="886"/>
      <c r="P725" s="886"/>
      <c r="Q725" s="886"/>
      <c r="R725" s="886"/>
      <c r="S725" s="886"/>
      <c r="T725" s="886"/>
      <c r="U725" s="886"/>
      <c r="V725" s="886"/>
      <c r="W725" s="886"/>
      <c r="X725" s="886"/>
      <c r="Y725" s="886"/>
    </row>
    <row r="726" spans="3:25">
      <c r="C726" s="942"/>
      <c r="D726" s="942"/>
      <c r="E726" s="943"/>
      <c r="F726" s="943"/>
      <c r="G726" s="886"/>
      <c r="H726" s="886"/>
      <c r="I726" s="886"/>
      <c r="J726" s="886"/>
      <c r="K726" s="886"/>
      <c r="L726" s="886"/>
      <c r="M726" s="886"/>
      <c r="N726" s="886"/>
      <c r="O726" s="886"/>
      <c r="P726" s="886"/>
      <c r="Q726" s="886"/>
      <c r="R726" s="886"/>
      <c r="S726" s="886"/>
      <c r="T726" s="886"/>
      <c r="U726" s="886"/>
      <c r="V726" s="886"/>
      <c r="W726" s="886"/>
      <c r="X726" s="886"/>
      <c r="Y726" s="886"/>
    </row>
    <row r="727" spans="3:25">
      <c r="C727" s="942"/>
      <c r="D727" s="942"/>
      <c r="E727" s="943"/>
      <c r="F727" s="943"/>
      <c r="G727" s="886"/>
      <c r="H727" s="886"/>
      <c r="I727" s="886"/>
      <c r="J727" s="886"/>
      <c r="K727" s="886"/>
      <c r="L727" s="886"/>
      <c r="M727" s="886"/>
      <c r="N727" s="886"/>
      <c r="O727" s="886"/>
      <c r="P727" s="886"/>
      <c r="Q727" s="886"/>
      <c r="R727" s="886"/>
      <c r="S727" s="886"/>
      <c r="T727" s="886"/>
      <c r="U727" s="886"/>
      <c r="V727" s="886"/>
      <c r="W727" s="886"/>
      <c r="X727" s="886"/>
      <c r="Y727" s="886"/>
    </row>
    <row r="728" spans="3:25">
      <c r="C728" s="942"/>
      <c r="D728" s="942"/>
      <c r="E728" s="943"/>
      <c r="F728" s="943"/>
      <c r="G728" s="886"/>
      <c r="H728" s="886"/>
      <c r="I728" s="886"/>
      <c r="J728" s="886"/>
      <c r="K728" s="886"/>
      <c r="L728" s="886"/>
      <c r="M728" s="886"/>
      <c r="N728" s="886"/>
      <c r="O728" s="886"/>
      <c r="P728" s="886"/>
      <c r="Q728" s="886"/>
      <c r="R728" s="886"/>
      <c r="S728" s="886"/>
      <c r="T728" s="886"/>
      <c r="U728" s="886"/>
      <c r="V728" s="886"/>
      <c r="W728" s="886"/>
      <c r="X728" s="886"/>
      <c r="Y728" s="886"/>
    </row>
    <row r="729" spans="3:25">
      <c r="C729" s="942"/>
      <c r="D729" s="942"/>
      <c r="E729" s="943"/>
      <c r="F729" s="943"/>
      <c r="G729" s="886"/>
      <c r="H729" s="886"/>
      <c r="I729" s="886"/>
      <c r="J729" s="886"/>
      <c r="K729" s="886"/>
      <c r="L729" s="886"/>
      <c r="M729" s="886"/>
      <c r="N729" s="886"/>
      <c r="O729" s="886"/>
      <c r="P729" s="886"/>
      <c r="Q729" s="886"/>
      <c r="R729" s="886"/>
      <c r="S729" s="886"/>
      <c r="T729" s="886"/>
      <c r="U729" s="886"/>
      <c r="V729" s="886"/>
      <c r="W729" s="886"/>
      <c r="X729" s="886"/>
      <c r="Y729" s="886"/>
    </row>
    <row r="730" spans="3:25">
      <c r="C730" s="942"/>
      <c r="D730" s="942"/>
      <c r="E730" s="943"/>
      <c r="F730" s="943"/>
      <c r="G730" s="886"/>
      <c r="H730" s="886"/>
      <c r="I730" s="886"/>
      <c r="J730" s="886"/>
      <c r="K730" s="886"/>
      <c r="L730" s="886"/>
      <c r="M730" s="886"/>
      <c r="N730" s="886"/>
      <c r="O730" s="886"/>
      <c r="P730" s="886"/>
      <c r="Q730" s="886"/>
      <c r="R730" s="886"/>
      <c r="S730" s="886"/>
      <c r="T730" s="886"/>
      <c r="U730" s="886"/>
      <c r="V730" s="886"/>
      <c r="W730" s="886"/>
      <c r="X730" s="886"/>
      <c r="Y730" s="886"/>
    </row>
    <row r="731" spans="3:25">
      <c r="C731" s="942"/>
      <c r="D731" s="942"/>
      <c r="E731" s="943"/>
      <c r="F731" s="943"/>
      <c r="G731" s="886"/>
      <c r="H731" s="886"/>
      <c r="I731" s="886"/>
      <c r="J731" s="886"/>
      <c r="K731" s="886"/>
      <c r="L731" s="886"/>
      <c r="M731" s="886"/>
      <c r="N731" s="886"/>
      <c r="O731" s="886"/>
      <c r="P731" s="886"/>
      <c r="Q731" s="886"/>
      <c r="R731" s="886"/>
      <c r="S731" s="886"/>
      <c r="T731" s="886"/>
      <c r="U731" s="886"/>
      <c r="V731" s="886"/>
      <c r="W731" s="886"/>
      <c r="X731" s="886"/>
      <c r="Y731" s="886"/>
    </row>
    <row r="732" spans="3:25">
      <c r="C732" s="942"/>
      <c r="D732" s="942"/>
      <c r="E732" s="943"/>
      <c r="F732" s="943"/>
      <c r="G732" s="886"/>
      <c r="H732" s="886"/>
      <c r="I732" s="886"/>
      <c r="J732" s="886"/>
      <c r="K732" s="886"/>
      <c r="L732" s="886"/>
      <c r="M732" s="886"/>
      <c r="N732" s="886"/>
      <c r="O732" s="886"/>
      <c r="P732" s="886"/>
      <c r="Q732" s="886"/>
      <c r="R732" s="886"/>
      <c r="S732" s="886"/>
      <c r="T732" s="886"/>
      <c r="U732" s="886"/>
      <c r="V732" s="886"/>
      <c r="W732" s="886"/>
      <c r="X732" s="886"/>
      <c r="Y732" s="886"/>
    </row>
    <row r="733" spans="3:25">
      <c r="C733" s="942"/>
      <c r="D733" s="942"/>
      <c r="E733" s="943"/>
      <c r="F733" s="943"/>
      <c r="G733" s="886"/>
      <c r="H733" s="886"/>
      <c r="I733" s="886"/>
      <c r="J733" s="886"/>
      <c r="K733" s="886"/>
      <c r="L733" s="886"/>
      <c r="M733" s="886"/>
      <c r="N733" s="886"/>
      <c r="O733" s="886"/>
      <c r="P733" s="886"/>
      <c r="Q733" s="886"/>
      <c r="R733" s="886"/>
      <c r="S733" s="886"/>
      <c r="T733" s="886"/>
      <c r="U733" s="886"/>
      <c r="V733" s="886"/>
      <c r="W733" s="886"/>
      <c r="X733" s="886"/>
      <c r="Y733" s="886"/>
    </row>
    <row r="734" spans="3:25">
      <c r="C734" s="942"/>
      <c r="D734" s="942"/>
      <c r="E734" s="943"/>
      <c r="F734" s="943"/>
      <c r="G734" s="886"/>
      <c r="H734" s="886"/>
      <c r="I734" s="886"/>
      <c r="J734" s="886"/>
      <c r="K734" s="886"/>
      <c r="L734" s="886"/>
      <c r="M734" s="886"/>
      <c r="N734" s="886"/>
      <c r="O734" s="886"/>
      <c r="P734" s="886"/>
      <c r="Q734" s="886"/>
      <c r="R734" s="886"/>
      <c r="S734" s="886"/>
      <c r="T734" s="886"/>
      <c r="U734" s="886"/>
      <c r="V734" s="886"/>
      <c r="W734" s="886"/>
      <c r="X734" s="886"/>
      <c r="Y734" s="886"/>
    </row>
    <row r="735" spans="3:25">
      <c r="C735" s="942"/>
      <c r="D735" s="942"/>
      <c r="E735" s="943"/>
      <c r="F735" s="943"/>
      <c r="G735" s="886"/>
      <c r="H735" s="886"/>
      <c r="I735" s="886"/>
      <c r="J735" s="886"/>
      <c r="K735" s="886"/>
      <c r="L735" s="886"/>
      <c r="M735" s="886"/>
      <c r="N735" s="886"/>
      <c r="O735" s="886"/>
      <c r="P735" s="886"/>
      <c r="Q735" s="886"/>
      <c r="R735" s="886"/>
      <c r="S735" s="886"/>
      <c r="T735" s="886"/>
      <c r="U735" s="886"/>
      <c r="V735" s="886"/>
      <c r="W735" s="886"/>
      <c r="X735" s="886"/>
      <c r="Y735" s="886"/>
    </row>
    <row r="736" spans="3:25">
      <c r="C736" s="942"/>
      <c r="D736" s="942"/>
      <c r="E736" s="943"/>
      <c r="F736" s="943"/>
      <c r="G736" s="886"/>
      <c r="H736" s="886"/>
      <c r="I736" s="886"/>
      <c r="J736" s="886"/>
      <c r="K736" s="886"/>
      <c r="L736" s="886"/>
      <c r="M736" s="886"/>
      <c r="N736" s="886"/>
      <c r="O736" s="886"/>
      <c r="P736" s="886"/>
      <c r="Q736" s="886"/>
      <c r="R736" s="886"/>
      <c r="S736" s="886"/>
      <c r="T736" s="886"/>
      <c r="U736" s="886"/>
      <c r="V736" s="886"/>
      <c r="W736" s="886"/>
      <c r="X736" s="886"/>
      <c r="Y736" s="886"/>
    </row>
    <row r="737" spans="3:25">
      <c r="C737" s="942"/>
      <c r="D737" s="942"/>
      <c r="E737" s="943"/>
      <c r="F737" s="943"/>
      <c r="G737" s="886"/>
      <c r="H737" s="886"/>
      <c r="I737" s="886"/>
      <c r="J737" s="886"/>
      <c r="K737" s="886"/>
      <c r="L737" s="886"/>
      <c r="M737" s="886"/>
      <c r="N737" s="886"/>
      <c r="O737" s="886"/>
      <c r="P737" s="886"/>
      <c r="Q737" s="886"/>
      <c r="R737" s="886"/>
      <c r="S737" s="886"/>
      <c r="T737" s="886"/>
      <c r="U737" s="886"/>
      <c r="V737" s="886"/>
      <c r="W737" s="886"/>
      <c r="X737" s="886"/>
      <c r="Y737" s="886"/>
    </row>
    <row r="738" spans="3:25">
      <c r="C738" s="942"/>
      <c r="D738" s="942"/>
      <c r="E738" s="943"/>
      <c r="F738" s="943"/>
      <c r="G738" s="886"/>
      <c r="H738" s="886"/>
      <c r="I738" s="886"/>
      <c r="J738" s="886"/>
      <c r="K738" s="886"/>
      <c r="L738" s="886"/>
      <c r="M738" s="886"/>
      <c r="N738" s="886"/>
      <c r="O738" s="886"/>
      <c r="P738" s="886"/>
      <c r="Q738" s="886"/>
      <c r="R738" s="886"/>
      <c r="S738" s="886"/>
      <c r="T738" s="886"/>
      <c r="U738" s="886"/>
      <c r="V738" s="886"/>
      <c r="W738" s="886"/>
      <c r="X738" s="886"/>
      <c r="Y738" s="886"/>
    </row>
    <row r="739" spans="3:25">
      <c r="C739" s="942"/>
      <c r="D739" s="942"/>
      <c r="E739" s="943"/>
      <c r="F739" s="943"/>
      <c r="G739" s="886"/>
      <c r="H739" s="886"/>
      <c r="I739" s="886"/>
      <c r="J739" s="886"/>
      <c r="K739" s="886"/>
      <c r="L739" s="886"/>
      <c r="M739" s="886"/>
      <c r="N739" s="886"/>
      <c r="O739" s="886"/>
      <c r="P739" s="886"/>
      <c r="Q739" s="886"/>
      <c r="R739" s="886"/>
      <c r="S739" s="886"/>
      <c r="T739" s="886"/>
      <c r="U739" s="886"/>
      <c r="V739" s="886"/>
      <c r="W739" s="886"/>
      <c r="X739" s="886"/>
      <c r="Y739" s="886"/>
    </row>
    <row r="740" spans="3:25">
      <c r="C740" s="942"/>
      <c r="D740" s="942"/>
      <c r="E740" s="943"/>
      <c r="F740" s="943"/>
      <c r="G740" s="886"/>
      <c r="H740" s="886"/>
      <c r="I740" s="886"/>
      <c r="J740" s="886"/>
      <c r="K740" s="886"/>
      <c r="L740" s="886"/>
      <c r="M740" s="886"/>
      <c r="N740" s="886"/>
      <c r="O740" s="886"/>
      <c r="P740" s="886"/>
      <c r="Q740" s="886"/>
      <c r="R740" s="886"/>
      <c r="S740" s="886"/>
      <c r="T740" s="886"/>
      <c r="U740" s="886"/>
      <c r="V740" s="886"/>
      <c r="W740" s="886"/>
      <c r="X740" s="886"/>
      <c r="Y740" s="886"/>
    </row>
    <row r="741" spans="3:25">
      <c r="C741" s="942"/>
      <c r="D741" s="942"/>
      <c r="E741" s="943"/>
      <c r="F741" s="943"/>
      <c r="G741" s="886"/>
      <c r="H741" s="886"/>
      <c r="I741" s="886"/>
      <c r="J741" s="886"/>
      <c r="K741" s="886"/>
      <c r="L741" s="886"/>
      <c r="M741" s="886"/>
      <c r="N741" s="886"/>
      <c r="O741" s="886"/>
      <c r="P741" s="886"/>
      <c r="Q741" s="886"/>
      <c r="R741" s="886"/>
      <c r="S741" s="886"/>
      <c r="T741" s="886"/>
      <c r="U741" s="886"/>
      <c r="V741" s="886"/>
      <c r="W741" s="886"/>
      <c r="X741" s="886"/>
      <c r="Y741" s="886"/>
    </row>
    <row r="742" spans="3:25">
      <c r="C742" s="942"/>
      <c r="D742" s="942"/>
      <c r="E742" s="943"/>
      <c r="F742" s="943"/>
      <c r="G742" s="886"/>
      <c r="H742" s="886"/>
      <c r="I742" s="886"/>
      <c r="J742" s="886"/>
      <c r="K742" s="886"/>
      <c r="L742" s="886"/>
      <c r="M742" s="886"/>
      <c r="N742" s="886"/>
      <c r="O742" s="886"/>
      <c r="P742" s="886"/>
      <c r="Q742" s="886"/>
      <c r="R742" s="886"/>
      <c r="S742" s="886"/>
      <c r="T742" s="886"/>
      <c r="U742" s="886"/>
      <c r="V742" s="886"/>
      <c r="W742" s="886"/>
      <c r="X742" s="886"/>
      <c r="Y742" s="886"/>
    </row>
    <row r="743" spans="3:25">
      <c r="C743" s="942"/>
      <c r="D743" s="942"/>
      <c r="E743" s="943"/>
      <c r="F743" s="943"/>
      <c r="G743" s="886"/>
      <c r="H743" s="886"/>
      <c r="I743" s="886"/>
      <c r="J743" s="886"/>
      <c r="K743" s="886"/>
      <c r="L743" s="886"/>
      <c r="M743" s="886"/>
      <c r="N743" s="886"/>
      <c r="O743" s="886"/>
      <c r="P743" s="886"/>
      <c r="Q743" s="886"/>
      <c r="R743" s="886"/>
      <c r="S743" s="886"/>
      <c r="T743" s="886"/>
      <c r="U743" s="886"/>
      <c r="V743" s="886"/>
      <c r="W743" s="886"/>
      <c r="X743" s="886"/>
      <c r="Y743" s="886"/>
    </row>
    <row r="744" spans="3:25">
      <c r="C744" s="942"/>
      <c r="D744" s="942"/>
      <c r="E744" s="943"/>
      <c r="F744" s="943"/>
      <c r="G744" s="886"/>
      <c r="H744" s="886"/>
      <c r="I744" s="886"/>
      <c r="J744" s="886"/>
      <c r="K744" s="886"/>
      <c r="L744" s="886"/>
      <c r="M744" s="886"/>
      <c r="N744" s="886"/>
      <c r="O744" s="886"/>
      <c r="P744" s="886"/>
      <c r="Q744" s="886"/>
      <c r="R744" s="886"/>
      <c r="S744" s="886"/>
      <c r="T744" s="886"/>
      <c r="U744" s="886"/>
      <c r="V744" s="886"/>
      <c r="W744" s="886"/>
      <c r="X744" s="886"/>
      <c r="Y744" s="886"/>
    </row>
    <row r="745" spans="3:25">
      <c r="C745" s="942"/>
      <c r="D745" s="942"/>
      <c r="E745" s="943"/>
      <c r="F745" s="943"/>
      <c r="G745" s="886"/>
      <c r="H745" s="886"/>
      <c r="I745" s="886"/>
      <c r="J745" s="886"/>
      <c r="K745" s="886"/>
      <c r="L745" s="886"/>
      <c r="M745" s="886"/>
      <c r="N745" s="886"/>
      <c r="O745" s="886"/>
      <c r="P745" s="886"/>
      <c r="Q745" s="886"/>
      <c r="R745" s="886"/>
      <c r="S745" s="886"/>
      <c r="T745" s="886"/>
      <c r="U745" s="886"/>
      <c r="V745" s="886"/>
      <c r="W745" s="886"/>
      <c r="X745" s="886"/>
      <c r="Y745" s="886"/>
    </row>
    <row r="746" spans="3:25">
      <c r="C746" s="942"/>
      <c r="D746" s="942"/>
      <c r="E746" s="943"/>
      <c r="F746" s="943"/>
      <c r="G746" s="886"/>
      <c r="H746" s="886"/>
      <c r="I746" s="886"/>
      <c r="J746" s="886"/>
      <c r="K746" s="886"/>
      <c r="L746" s="886"/>
      <c r="M746" s="886"/>
      <c r="N746" s="886"/>
      <c r="O746" s="886"/>
      <c r="P746" s="886"/>
      <c r="Q746" s="886"/>
      <c r="R746" s="886"/>
      <c r="S746" s="886"/>
      <c r="T746" s="886"/>
      <c r="U746" s="886"/>
      <c r="V746" s="886"/>
      <c r="W746" s="886"/>
      <c r="X746" s="886"/>
      <c r="Y746" s="886"/>
    </row>
    <row r="747" spans="3:25">
      <c r="C747" s="942"/>
      <c r="D747" s="942"/>
      <c r="E747" s="943"/>
      <c r="F747" s="943"/>
      <c r="G747" s="886"/>
      <c r="H747" s="886"/>
      <c r="I747" s="886"/>
      <c r="J747" s="886"/>
      <c r="K747" s="886"/>
      <c r="L747" s="886"/>
      <c r="M747" s="886"/>
      <c r="N747" s="886"/>
      <c r="O747" s="886"/>
      <c r="P747" s="886"/>
      <c r="Q747" s="886"/>
      <c r="R747" s="886"/>
      <c r="S747" s="886"/>
      <c r="T747" s="886"/>
      <c r="U747" s="886"/>
      <c r="V747" s="886"/>
      <c r="W747" s="886"/>
      <c r="X747" s="886"/>
      <c r="Y747" s="886"/>
    </row>
    <row r="748" spans="3:25">
      <c r="C748" s="942"/>
      <c r="D748" s="942"/>
      <c r="E748" s="943"/>
      <c r="F748" s="943"/>
      <c r="G748" s="886"/>
      <c r="H748" s="886"/>
      <c r="I748" s="886"/>
      <c r="J748" s="886"/>
      <c r="K748" s="886"/>
      <c r="L748" s="886"/>
      <c r="M748" s="886"/>
      <c r="N748" s="886"/>
      <c r="O748" s="886"/>
      <c r="P748" s="886"/>
      <c r="Q748" s="886"/>
      <c r="R748" s="886"/>
      <c r="S748" s="886"/>
      <c r="T748" s="886"/>
      <c r="U748" s="886"/>
      <c r="V748" s="886"/>
      <c r="W748" s="886"/>
      <c r="X748" s="886"/>
      <c r="Y748" s="886"/>
    </row>
    <row r="749" spans="3:25">
      <c r="C749" s="942"/>
      <c r="D749" s="942"/>
      <c r="E749" s="943"/>
      <c r="F749" s="943"/>
      <c r="G749" s="886"/>
      <c r="H749" s="886"/>
      <c r="I749" s="886"/>
      <c r="J749" s="886"/>
      <c r="K749" s="886"/>
      <c r="L749" s="886"/>
      <c r="M749" s="886"/>
      <c r="N749" s="886"/>
      <c r="O749" s="886"/>
      <c r="P749" s="886"/>
      <c r="Q749" s="886"/>
      <c r="R749" s="886"/>
      <c r="S749" s="886"/>
      <c r="T749" s="886"/>
      <c r="U749" s="886"/>
      <c r="V749" s="886"/>
      <c r="W749" s="886"/>
      <c r="X749" s="886"/>
      <c r="Y749" s="886"/>
    </row>
    <row r="750" spans="3:25">
      <c r="C750" s="942"/>
      <c r="D750" s="942"/>
      <c r="E750" s="943"/>
      <c r="F750" s="943"/>
      <c r="G750" s="886"/>
      <c r="H750" s="886"/>
      <c r="I750" s="886"/>
      <c r="J750" s="886"/>
      <c r="K750" s="886"/>
      <c r="L750" s="886"/>
      <c r="M750" s="886"/>
      <c r="N750" s="886"/>
      <c r="O750" s="886"/>
      <c r="P750" s="886"/>
      <c r="Q750" s="886"/>
      <c r="R750" s="886"/>
      <c r="S750" s="886"/>
      <c r="T750" s="886"/>
      <c r="U750" s="886"/>
      <c r="V750" s="886"/>
      <c r="W750" s="886"/>
      <c r="X750" s="886"/>
      <c r="Y750" s="886"/>
    </row>
    <row r="751" spans="3:25">
      <c r="C751" s="942"/>
      <c r="D751" s="942"/>
      <c r="E751" s="943"/>
      <c r="F751" s="943"/>
      <c r="G751" s="886"/>
      <c r="H751" s="886"/>
      <c r="I751" s="886"/>
      <c r="J751" s="886"/>
      <c r="K751" s="886"/>
      <c r="L751" s="886"/>
      <c r="M751" s="886"/>
      <c r="N751" s="886"/>
      <c r="O751" s="886"/>
      <c r="P751" s="886"/>
      <c r="Q751" s="886"/>
      <c r="R751" s="886"/>
      <c r="S751" s="886"/>
      <c r="T751" s="886"/>
      <c r="U751" s="886"/>
      <c r="V751" s="886"/>
      <c r="W751" s="886"/>
      <c r="X751" s="886"/>
      <c r="Y751" s="886"/>
    </row>
    <row r="752" spans="3:25">
      <c r="C752" s="942"/>
      <c r="D752" s="942"/>
      <c r="E752" s="943"/>
      <c r="F752" s="943"/>
      <c r="G752" s="886"/>
      <c r="H752" s="886"/>
      <c r="I752" s="886"/>
      <c r="J752" s="886"/>
      <c r="K752" s="886"/>
      <c r="L752" s="886"/>
      <c r="M752" s="886"/>
      <c r="N752" s="886"/>
      <c r="O752" s="886"/>
      <c r="P752" s="886"/>
      <c r="Q752" s="886"/>
      <c r="R752" s="886"/>
      <c r="S752" s="886"/>
      <c r="T752" s="886"/>
      <c r="U752" s="886"/>
      <c r="V752" s="886"/>
      <c r="W752" s="886"/>
      <c r="X752" s="886"/>
      <c r="Y752" s="886"/>
    </row>
    <row r="753" spans="3:25">
      <c r="C753" s="942"/>
      <c r="D753" s="942"/>
      <c r="E753" s="943"/>
      <c r="F753" s="943"/>
      <c r="G753" s="886"/>
      <c r="H753" s="886"/>
      <c r="I753" s="886"/>
      <c r="J753" s="886"/>
      <c r="K753" s="886"/>
      <c r="L753" s="886"/>
      <c r="M753" s="886"/>
      <c r="N753" s="886"/>
      <c r="O753" s="886"/>
      <c r="P753" s="886"/>
      <c r="Q753" s="886"/>
      <c r="R753" s="886"/>
      <c r="S753" s="886"/>
      <c r="T753" s="886"/>
      <c r="U753" s="886"/>
      <c r="V753" s="886"/>
      <c r="W753" s="886"/>
      <c r="X753" s="886"/>
      <c r="Y753" s="886"/>
    </row>
    <row r="754" spans="3:25">
      <c r="C754" s="942"/>
      <c r="D754" s="942"/>
      <c r="E754" s="943"/>
      <c r="F754" s="943"/>
      <c r="G754" s="886"/>
      <c r="H754" s="886"/>
      <c r="I754" s="886"/>
      <c r="J754" s="886"/>
      <c r="K754" s="886"/>
      <c r="L754" s="886"/>
      <c r="M754" s="886"/>
      <c r="N754" s="886"/>
      <c r="O754" s="886"/>
      <c r="P754" s="886"/>
      <c r="Q754" s="886"/>
      <c r="R754" s="886"/>
      <c r="S754" s="886"/>
      <c r="T754" s="886"/>
      <c r="U754" s="886"/>
      <c r="V754" s="886"/>
      <c r="W754" s="886"/>
      <c r="X754" s="886"/>
      <c r="Y754" s="886"/>
    </row>
    <row r="755" spans="3:25">
      <c r="C755" s="942"/>
      <c r="D755" s="942"/>
      <c r="E755" s="943"/>
      <c r="F755" s="943"/>
      <c r="G755" s="886"/>
      <c r="H755" s="886"/>
      <c r="I755" s="886"/>
      <c r="J755" s="886"/>
      <c r="K755" s="886"/>
      <c r="L755" s="886"/>
      <c r="M755" s="886"/>
      <c r="N755" s="886"/>
      <c r="O755" s="886"/>
      <c r="P755" s="886"/>
      <c r="Q755" s="886"/>
      <c r="R755" s="886"/>
      <c r="S755" s="886"/>
      <c r="T755" s="886"/>
      <c r="U755" s="886"/>
      <c r="V755" s="886"/>
      <c r="W755" s="886"/>
      <c r="X755" s="886"/>
      <c r="Y755" s="886"/>
    </row>
    <row r="756" spans="3:25">
      <c r="C756" s="942"/>
      <c r="D756" s="942"/>
      <c r="E756" s="943"/>
      <c r="F756" s="943"/>
      <c r="G756" s="886"/>
      <c r="H756" s="886"/>
      <c r="I756" s="886"/>
      <c r="J756" s="886"/>
      <c r="K756" s="886"/>
      <c r="L756" s="886"/>
      <c r="M756" s="886"/>
      <c r="N756" s="886"/>
      <c r="O756" s="886"/>
      <c r="P756" s="886"/>
      <c r="Q756" s="886"/>
      <c r="R756" s="886"/>
      <c r="S756" s="886"/>
      <c r="T756" s="886"/>
      <c r="U756" s="886"/>
      <c r="V756" s="886"/>
      <c r="W756" s="886"/>
      <c r="X756" s="886"/>
      <c r="Y756" s="886"/>
    </row>
    <row r="757" spans="3:25">
      <c r="C757" s="942"/>
      <c r="D757" s="942"/>
      <c r="E757" s="943"/>
      <c r="F757" s="943"/>
      <c r="G757" s="886"/>
      <c r="H757" s="886"/>
      <c r="I757" s="886"/>
      <c r="J757" s="886"/>
      <c r="K757" s="886"/>
      <c r="L757" s="886"/>
      <c r="M757" s="886"/>
      <c r="N757" s="886"/>
      <c r="O757" s="886"/>
      <c r="P757" s="886"/>
      <c r="Q757" s="886"/>
      <c r="R757" s="886"/>
      <c r="S757" s="886"/>
      <c r="T757" s="886"/>
      <c r="U757" s="886"/>
      <c r="V757" s="886"/>
      <c r="W757" s="886"/>
      <c r="X757" s="886"/>
      <c r="Y757" s="886"/>
    </row>
    <row r="758" spans="3:25">
      <c r="C758" s="942"/>
      <c r="D758" s="942"/>
      <c r="E758" s="943"/>
      <c r="F758" s="943"/>
      <c r="G758" s="886"/>
      <c r="H758" s="886"/>
      <c r="I758" s="886"/>
      <c r="J758" s="886"/>
      <c r="K758" s="886"/>
      <c r="L758" s="886"/>
      <c r="M758" s="886"/>
      <c r="N758" s="886"/>
      <c r="O758" s="886"/>
      <c r="P758" s="886"/>
      <c r="Q758" s="886"/>
      <c r="R758" s="886"/>
      <c r="S758" s="886"/>
      <c r="T758" s="886"/>
      <c r="U758" s="886"/>
      <c r="V758" s="886"/>
      <c r="W758" s="886"/>
      <c r="X758" s="886"/>
      <c r="Y758" s="886"/>
    </row>
    <row r="759" spans="3:25">
      <c r="C759" s="942"/>
      <c r="D759" s="942"/>
      <c r="E759" s="943"/>
      <c r="F759" s="943"/>
      <c r="G759" s="886"/>
      <c r="H759" s="886"/>
      <c r="I759" s="886"/>
      <c r="J759" s="886"/>
      <c r="K759" s="886"/>
      <c r="L759" s="886"/>
      <c r="M759" s="886"/>
      <c r="N759" s="886"/>
      <c r="O759" s="886"/>
      <c r="P759" s="886"/>
      <c r="Q759" s="886"/>
      <c r="R759" s="886"/>
      <c r="S759" s="886"/>
      <c r="T759" s="886"/>
      <c r="U759" s="886"/>
      <c r="V759" s="886"/>
      <c r="W759" s="886"/>
      <c r="X759" s="886"/>
      <c r="Y759" s="886"/>
    </row>
    <row r="760" spans="3:25">
      <c r="C760" s="942"/>
      <c r="D760" s="942"/>
      <c r="E760" s="943"/>
      <c r="F760" s="943"/>
      <c r="G760" s="886"/>
      <c r="H760" s="886"/>
      <c r="I760" s="886"/>
      <c r="J760" s="886"/>
      <c r="K760" s="886"/>
      <c r="L760" s="886"/>
      <c r="M760" s="886"/>
      <c r="N760" s="886"/>
      <c r="O760" s="886"/>
      <c r="P760" s="886"/>
      <c r="Q760" s="886"/>
      <c r="R760" s="886"/>
      <c r="S760" s="886"/>
      <c r="T760" s="886"/>
      <c r="U760" s="886"/>
      <c r="V760" s="886"/>
      <c r="W760" s="886"/>
      <c r="X760" s="886"/>
      <c r="Y760" s="886"/>
    </row>
    <row r="761" spans="3:25">
      <c r="C761" s="942"/>
      <c r="D761" s="942"/>
      <c r="E761" s="943"/>
      <c r="F761" s="943"/>
      <c r="G761" s="886"/>
      <c r="H761" s="886"/>
      <c r="I761" s="886"/>
      <c r="J761" s="886"/>
      <c r="K761" s="886"/>
      <c r="L761" s="886"/>
      <c r="M761" s="886"/>
      <c r="N761" s="886"/>
      <c r="O761" s="886"/>
      <c r="P761" s="886"/>
      <c r="Q761" s="886"/>
      <c r="R761" s="886"/>
      <c r="S761" s="886"/>
      <c r="T761" s="886"/>
      <c r="U761" s="886"/>
      <c r="V761" s="886"/>
      <c r="W761" s="886"/>
      <c r="X761" s="886"/>
      <c r="Y761" s="886"/>
    </row>
    <row r="762" spans="3:25">
      <c r="C762" s="942"/>
      <c r="D762" s="942"/>
      <c r="E762" s="943"/>
      <c r="F762" s="943"/>
      <c r="G762" s="886"/>
      <c r="H762" s="886"/>
      <c r="I762" s="886"/>
      <c r="J762" s="886"/>
      <c r="K762" s="886"/>
      <c r="L762" s="886"/>
      <c r="M762" s="886"/>
      <c r="N762" s="886"/>
      <c r="O762" s="886"/>
      <c r="P762" s="886"/>
      <c r="Q762" s="886"/>
      <c r="R762" s="886"/>
      <c r="S762" s="886"/>
      <c r="T762" s="886"/>
      <c r="U762" s="886"/>
      <c r="V762" s="886"/>
      <c r="W762" s="886"/>
      <c r="X762" s="886"/>
      <c r="Y762" s="886"/>
    </row>
    <row r="763" spans="3:25">
      <c r="C763" s="942"/>
      <c r="D763" s="942"/>
      <c r="E763" s="943"/>
      <c r="F763" s="943"/>
      <c r="G763" s="886"/>
      <c r="H763" s="886"/>
      <c r="I763" s="886"/>
      <c r="J763" s="886"/>
      <c r="K763" s="886"/>
      <c r="L763" s="886"/>
      <c r="M763" s="886"/>
      <c r="N763" s="886"/>
      <c r="O763" s="886"/>
      <c r="P763" s="886"/>
      <c r="Q763" s="886"/>
      <c r="R763" s="886"/>
      <c r="S763" s="886"/>
      <c r="T763" s="886"/>
      <c r="U763" s="886"/>
      <c r="V763" s="886"/>
      <c r="W763" s="886"/>
      <c r="X763" s="886"/>
      <c r="Y763" s="886"/>
    </row>
    <row r="764" spans="3:25">
      <c r="C764" s="942"/>
      <c r="D764" s="942"/>
      <c r="E764" s="943"/>
      <c r="F764" s="943"/>
      <c r="G764" s="886"/>
      <c r="H764" s="886"/>
      <c r="I764" s="886"/>
      <c r="J764" s="886"/>
      <c r="K764" s="886"/>
      <c r="L764" s="886"/>
      <c r="M764" s="886"/>
      <c r="N764" s="886"/>
      <c r="O764" s="886"/>
      <c r="P764" s="886"/>
      <c r="Q764" s="886"/>
      <c r="R764" s="886"/>
      <c r="S764" s="886"/>
      <c r="T764" s="886"/>
      <c r="U764" s="886"/>
      <c r="V764" s="886"/>
      <c r="W764" s="886"/>
      <c r="X764" s="886"/>
      <c r="Y764" s="886"/>
    </row>
    <row r="765" spans="3:25">
      <c r="C765" s="942"/>
      <c r="D765" s="942"/>
      <c r="E765" s="943"/>
      <c r="F765" s="943"/>
      <c r="G765" s="886"/>
      <c r="H765" s="886"/>
      <c r="I765" s="886"/>
      <c r="J765" s="886"/>
      <c r="K765" s="886"/>
      <c r="L765" s="886"/>
      <c r="M765" s="886"/>
      <c r="N765" s="886"/>
      <c r="O765" s="886"/>
      <c r="P765" s="886"/>
      <c r="Q765" s="886"/>
      <c r="R765" s="886"/>
      <c r="S765" s="886"/>
      <c r="T765" s="886"/>
      <c r="U765" s="886"/>
      <c r="V765" s="886"/>
      <c r="W765" s="886"/>
      <c r="X765" s="886"/>
      <c r="Y765" s="886"/>
    </row>
    <row r="766" spans="3:25">
      <c r="C766" s="942"/>
      <c r="D766" s="942"/>
      <c r="E766" s="943"/>
      <c r="F766" s="943"/>
      <c r="G766" s="886"/>
      <c r="H766" s="886"/>
      <c r="I766" s="886"/>
      <c r="J766" s="886"/>
      <c r="K766" s="886"/>
      <c r="L766" s="886"/>
      <c r="M766" s="886"/>
      <c r="N766" s="886"/>
      <c r="O766" s="886"/>
      <c r="P766" s="886"/>
      <c r="Q766" s="886"/>
      <c r="R766" s="886"/>
      <c r="S766" s="886"/>
      <c r="T766" s="886"/>
      <c r="U766" s="886"/>
      <c r="V766" s="886"/>
      <c r="W766" s="886"/>
      <c r="X766" s="886"/>
      <c r="Y766" s="886"/>
    </row>
    <row r="767" spans="3:25">
      <c r="C767" s="942"/>
      <c r="D767" s="942"/>
      <c r="E767" s="943"/>
      <c r="F767" s="943"/>
      <c r="G767" s="886"/>
      <c r="H767" s="886"/>
      <c r="I767" s="886"/>
      <c r="J767" s="886"/>
      <c r="K767" s="886"/>
      <c r="L767" s="886"/>
      <c r="M767" s="886"/>
      <c r="N767" s="886"/>
      <c r="O767" s="886"/>
      <c r="P767" s="886"/>
      <c r="Q767" s="886"/>
      <c r="R767" s="886"/>
      <c r="S767" s="886"/>
      <c r="T767" s="886"/>
      <c r="U767" s="886"/>
      <c r="V767" s="886"/>
      <c r="W767" s="886"/>
      <c r="X767" s="886"/>
      <c r="Y767" s="886"/>
    </row>
    <row r="768" spans="3:25">
      <c r="C768" s="942"/>
      <c r="D768" s="942"/>
      <c r="E768" s="943"/>
      <c r="F768" s="943"/>
      <c r="G768" s="886"/>
      <c r="H768" s="886"/>
      <c r="I768" s="886"/>
      <c r="J768" s="886"/>
      <c r="K768" s="886"/>
      <c r="L768" s="886"/>
      <c r="M768" s="886"/>
      <c r="N768" s="886"/>
      <c r="O768" s="886"/>
      <c r="P768" s="886"/>
      <c r="Q768" s="886"/>
      <c r="R768" s="886"/>
      <c r="S768" s="886"/>
      <c r="T768" s="886"/>
      <c r="U768" s="886"/>
      <c r="V768" s="886"/>
      <c r="W768" s="886"/>
      <c r="X768" s="886"/>
      <c r="Y768" s="886"/>
    </row>
    <row r="769" spans="3:25">
      <c r="C769" s="942"/>
      <c r="D769" s="942"/>
      <c r="E769" s="943"/>
      <c r="F769" s="943"/>
      <c r="G769" s="886"/>
      <c r="H769" s="886"/>
      <c r="I769" s="886"/>
      <c r="J769" s="886"/>
      <c r="K769" s="886"/>
      <c r="L769" s="886"/>
      <c r="M769" s="886"/>
      <c r="N769" s="886"/>
      <c r="O769" s="886"/>
      <c r="P769" s="886"/>
      <c r="Q769" s="886"/>
      <c r="R769" s="886"/>
      <c r="S769" s="886"/>
      <c r="T769" s="886"/>
      <c r="U769" s="886"/>
      <c r="V769" s="886"/>
      <c r="W769" s="886"/>
      <c r="X769" s="886"/>
      <c r="Y769" s="886"/>
    </row>
    <row r="770" spans="3:25">
      <c r="C770" s="942"/>
      <c r="D770" s="942"/>
      <c r="E770" s="943"/>
      <c r="F770" s="943"/>
      <c r="G770" s="886"/>
      <c r="H770" s="886"/>
      <c r="I770" s="886"/>
      <c r="J770" s="886"/>
      <c r="K770" s="886"/>
      <c r="L770" s="886"/>
      <c r="M770" s="886"/>
      <c r="N770" s="886"/>
      <c r="O770" s="886"/>
      <c r="P770" s="886"/>
      <c r="Q770" s="886"/>
      <c r="R770" s="886"/>
      <c r="S770" s="886"/>
      <c r="T770" s="886"/>
      <c r="U770" s="886"/>
      <c r="V770" s="886"/>
      <c r="W770" s="886"/>
      <c r="X770" s="886"/>
      <c r="Y770" s="886"/>
    </row>
    <row r="771" spans="3:25">
      <c r="C771" s="942"/>
      <c r="D771" s="942"/>
      <c r="E771" s="943"/>
      <c r="F771" s="943"/>
      <c r="G771" s="886"/>
      <c r="H771" s="886"/>
      <c r="I771" s="886"/>
      <c r="J771" s="886"/>
      <c r="K771" s="886"/>
      <c r="L771" s="886"/>
      <c r="M771" s="886"/>
      <c r="N771" s="886"/>
      <c r="O771" s="886"/>
      <c r="P771" s="886"/>
      <c r="Q771" s="886"/>
      <c r="R771" s="886"/>
      <c r="S771" s="886"/>
      <c r="T771" s="886"/>
      <c r="U771" s="886"/>
      <c r="V771" s="886"/>
      <c r="W771" s="886"/>
      <c r="X771" s="886"/>
      <c r="Y771" s="886"/>
    </row>
    <row r="772" spans="3:25">
      <c r="C772" s="942"/>
      <c r="D772" s="942"/>
      <c r="E772" s="943"/>
      <c r="F772" s="943"/>
      <c r="G772" s="886"/>
      <c r="H772" s="886"/>
      <c r="I772" s="886"/>
      <c r="J772" s="886"/>
      <c r="K772" s="886"/>
      <c r="L772" s="886"/>
      <c r="M772" s="886"/>
      <c r="N772" s="886"/>
      <c r="O772" s="886"/>
      <c r="P772" s="886"/>
      <c r="Q772" s="886"/>
      <c r="R772" s="886"/>
      <c r="S772" s="886"/>
      <c r="T772" s="886"/>
      <c r="U772" s="886"/>
      <c r="V772" s="886"/>
      <c r="W772" s="886"/>
      <c r="X772" s="886"/>
      <c r="Y772" s="886"/>
    </row>
    <row r="773" spans="3:25">
      <c r="C773" s="942"/>
      <c r="D773" s="942"/>
      <c r="E773" s="943"/>
      <c r="F773" s="943"/>
      <c r="G773" s="886"/>
      <c r="H773" s="886"/>
      <c r="I773" s="886"/>
      <c r="J773" s="886"/>
      <c r="K773" s="886"/>
      <c r="L773" s="886"/>
      <c r="M773" s="886"/>
      <c r="N773" s="886"/>
      <c r="O773" s="886"/>
      <c r="P773" s="886"/>
      <c r="Q773" s="886"/>
      <c r="R773" s="886"/>
      <c r="S773" s="886"/>
      <c r="T773" s="886"/>
      <c r="U773" s="886"/>
      <c r="V773" s="886"/>
      <c r="W773" s="886"/>
      <c r="X773" s="886"/>
      <c r="Y773" s="886"/>
    </row>
    <row r="774" spans="3:25">
      <c r="C774" s="942"/>
      <c r="D774" s="942"/>
      <c r="E774" s="943"/>
      <c r="F774" s="943"/>
      <c r="G774" s="886"/>
      <c r="H774" s="886"/>
      <c r="I774" s="886"/>
      <c r="J774" s="886"/>
      <c r="K774" s="886"/>
      <c r="L774" s="886"/>
      <c r="M774" s="886"/>
      <c r="N774" s="886"/>
      <c r="O774" s="886"/>
      <c r="P774" s="886"/>
      <c r="Q774" s="886"/>
      <c r="R774" s="886"/>
      <c r="S774" s="886"/>
      <c r="T774" s="886"/>
      <c r="U774" s="886"/>
      <c r="V774" s="886"/>
      <c r="W774" s="886"/>
      <c r="X774" s="886"/>
      <c r="Y774" s="886"/>
    </row>
    <row r="775" spans="3:25">
      <c r="C775" s="942"/>
      <c r="D775" s="942"/>
      <c r="E775" s="943"/>
      <c r="F775" s="943"/>
      <c r="G775" s="886"/>
      <c r="H775" s="886"/>
      <c r="I775" s="886"/>
      <c r="J775" s="886"/>
      <c r="K775" s="886"/>
      <c r="L775" s="886"/>
      <c r="M775" s="886"/>
      <c r="N775" s="886"/>
      <c r="O775" s="886"/>
      <c r="P775" s="886"/>
      <c r="Q775" s="886"/>
      <c r="R775" s="886"/>
      <c r="S775" s="886"/>
      <c r="T775" s="886"/>
      <c r="U775" s="886"/>
      <c r="V775" s="886"/>
      <c r="W775" s="886"/>
      <c r="X775" s="886"/>
      <c r="Y775" s="886"/>
    </row>
    <row r="776" spans="3:25">
      <c r="C776" s="942"/>
      <c r="D776" s="942"/>
      <c r="E776" s="943"/>
      <c r="F776" s="943"/>
      <c r="G776" s="886"/>
      <c r="H776" s="886"/>
      <c r="I776" s="886"/>
      <c r="J776" s="886"/>
      <c r="K776" s="886"/>
      <c r="L776" s="886"/>
      <c r="M776" s="886"/>
      <c r="N776" s="886"/>
      <c r="O776" s="886"/>
      <c r="P776" s="886"/>
      <c r="Q776" s="886"/>
      <c r="R776" s="886"/>
      <c r="S776" s="886"/>
      <c r="T776" s="886"/>
      <c r="U776" s="886"/>
      <c r="V776" s="886"/>
      <c r="W776" s="886"/>
      <c r="X776" s="886"/>
      <c r="Y776" s="886"/>
    </row>
    <row r="777" spans="3:25">
      <c r="C777" s="942"/>
      <c r="D777" s="942"/>
      <c r="E777" s="943"/>
      <c r="F777" s="943"/>
      <c r="G777" s="886"/>
      <c r="H777" s="886"/>
      <c r="I777" s="886"/>
      <c r="J777" s="886"/>
      <c r="K777" s="886"/>
      <c r="L777" s="886"/>
      <c r="M777" s="886"/>
      <c r="N777" s="886"/>
      <c r="O777" s="886"/>
      <c r="P777" s="886"/>
      <c r="Q777" s="886"/>
      <c r="R777" s="886"/>
      <c r="S777" s="886"/>
      <c r="T777" s="886"/>
      <c r="U777" s="886"/>
      <c r="V777" s="886"/>
      <c r="W777" s="886"/>
      <c r="X777" s="886"/>
      <c r="Y777" s="886"/>
    </row>
    <row r="778" spans="3:25">
      <c r="C778" s="942"/>
      <c r="D778" s="942"/>
      <c r="E778" s="943"/>
      <c r="F778" s="943"/>
      <c r="G778" s="886"/>
      <c r="H778" s="886"/>
      <c r="I778" s="886"/>
      <c r="J778" s="886"/>
      <c r="K778" s="886"/>
      <c r="L778" s="886"/>
      <c r="M778" s="886"/>
      <c r="N778" s="886"/>
      <c r="O778" s="886"/>
      <c r="P778" s="886"/>
      <c r="Q778" s="886"/>
      <c r="R778" s="886"/>
      <c r="S778" s="886"/>
      <c r="T778" s="886"/>
      <c r="U778" s="886"/>
      <c r="V778" s="886"/>
      <c r="W778" s="886"/>
      <c r="X778" s="886"/>
      <c r="Y778" s="886"/>
    </row>
    <row r="779" spans="3:25">
      <c r="C779" s="942"/>
      <c r="D779" s="942"/>
      <c r="E779" s="943"/>
      <c r="F779" s="943"/>
      <c r="G779" s="886"/>
      <c r="H779" s="886"/>
      <c r="I779" s="886"/>
      <c r="J779" s="886"/>
      <c r="K779" s="886"/>
      <c r="L779" s="886"/>
      <c r="M779" s="886"/>
      <c r="N779" s="886"/>
      <c r="O779" s="886"/>
      <c r="P779" s="886"/>
      <c r="Q779" s="886"/>
      <c r="R779" s="886"/>
      <c r="S779" s="886"/>
      <c r="T779" s="886"/>
      <c r="U779" s="886"/>
      <c r="V779" s="886"/>
      <c r="W779" s="886"/>
      <c r="X779" s="886"/>
      <c r="Y779" s="886"/>
    </row>
    <row r="780" spans="3:25">
      <c r="C780" s="942"/>
      <c r="D780" s="942"/>
      <c r="E780" s="943"/>
      <c r="F780" s="943"/>
      <c r="G780" s="886"/>
      <c r="H780" s="886"/>
      <c r="I780" s="886"/>
      <c r="J780" s="886"/>
      <c r="K780" s="886"/>
      <c r="L780" s="886"/>
      <c r="M780" s="886"/>
      <c r="N780" s="886"/>
      <c r="O780" s="886"/>
      <c r="P780" s="886"/>
      <c r="Q780" s="886"/>
      <c r="R780" s="886"/>
      <c r="S780" s="886"/>
      <c r="T780" s="886"/>
      <c r="U780" s="886"/>
      <c r="V780" s="886"/>
      <c r="W780" s="886"/>
      <c r="X780" s="886"/>
      <c r="Y780" s="886"/>
    </row>
    <row r="781" spans="3:25">
      <c r="C781" s="942"/>
      <c r="D781" s="942"/>
      <c r="E781" s="943"/>
      <c r="F781" s="943"/>
      <c r="G781" s="886"/>
      <c r="H781" s="886"/>
      <c r="I781" s="886"/>
      <c r="J781" s="886"/>
      <c r="K781" s="886"/>
      <c r="L781" s="886"/>
      <c r="M781" s="886"/>
      <c r="N781" s="886"/>
      <c r="O781" s="886"/>
      <c r="P781" s="886"/>
      <c r="Q781" s="886"/>
      <c r="R781" s="886"/>
      <c r="S781" s="886"/>
      <c r="T781" s="886"/>
      <c r="U781" s="886"/>
      <c r="V781" s="886"/>
      <c r="W781" s="886"/>
      <c r="X781" s="886"/>
      <c r="Y781" s="886"/>
    </row>
    <row r="782" spans="3:25">
      <c r="C782" s="942"/>
      <c r="D782" s="942"/>
      <c r="E782" s="943"/>
      <c r="F782" s="943"/>
      <c r="G782" s="886"/>
      <c r="H782" s="886"/>
      <c r="I782" s="886"/>
      <c r="J782" s="886"/>
      <c r="K782" s="886"/>
      <c r="L782" s="886"/>
      <c r="M782" s="886"/>
      <c r="N782" s="886"/>
      <c r="O782" s="886"/>
      <c r="P782" s="886"/>
      <c r="Q782" s="886"/>
      <c r="R782" s="886"/>
      <c r="S782" s="886"/>
      <c r="T782" s="886"/>
      <c r="U782" s="886"/>
      <c r="V782" s="886"/>
      <c r="W782" s="886"/>
      <c r="X782" s="886"/>
      <c r="Y782" s="886"/>
    </row>
    <row r="783" spans="3:25">
      <c r="C783" s="942"/>
      <c r="D783" s="942"/>
      <c r="E783" s="943"/>
      <c r="F783" s="943"/>
      <c r="G783" s="886"/>
      <c r="H783" s="886"/>
      <c r="I783" s="886"/>
      <c r="J783" s="886"/>
      <c r="K783" s="886"/>
      <c r="L783" s="886"/>
      <c r="M783" s="886"/>
      <c r="N783" s="886"/>
      <c r="O783" s="886"/>
      <c r="P783" s="886"/>
      <c r="Q783" s="886"/>
      <c r="R783" s="886"/>
      <c r="S783" s="886"/>
      <c r="T783" s="886"/>
      <c r="U783" s="886"/>
      <c r="V783" s="886"/>
      <c r="W783" s="886"/>
      <c r="X783" s="886"/>
      <c r="Y783" s="886"/>
    </row>
    <row r="784" spans="3:25">
      <c r="C784" s="942"/>
      <c r="D784" s="942"/>
      <c r="E784" s="943"/>
      <c r="F784" s="943"/>
      <c r="G784" s="886"/>
      <c r="H784" s="886"/>
      <c r="I784" s="886"/>
      <c r="J784" s="886"/>
      <c r="K784" s="886"/>
      <c r="L784" s="886"/>
      <c r="M784" s="886"/>
      <c r="N784" s="886"/>
      <c r="O784" s="886"/>
      <c r="P784" s="886"/>
      <c r="Q784" s="886"/>
      <c r="R784" s="886"/>
      <c r="S784" s="886"/>
      <c r="T784" s="886"/>
      <c r="U784" s="886"/>
      <c r="V784" s="886"/>
      <c r="W784" s="886"/>
      <c r="X784" s="886"/>
      <c r="Y784" s="886"/>
    </row>
    <row r="785" spans="3:25">
      <c r="C785" s="942"/>
      <c r="D785" s="942"/>
      <c r="E785" s="943"/>
      <c r="F785" s="943"/>
      <c r="G785" s="886"/>
      <c r="H785" s="886"/>
      <c r="I785" s="886"/>
      <c r="J785" s="886"/>
      <c r="K785" s="886"/>
      <c r="L785" s="886"/>
      <c r="M785" s="886"/>
      <c r="N785" s="886"/>
      <c r="O785" s="886"/>
      <c r="P785" s="886"/>
      <c r="Q785" s="886"/>
      <c r="R785" s="886"/>
      <c r="S785" s="886"/>
      <c r="T785" s="886"/>
      <c r="U785" s="886"/>
      <c r="V785" s="886"/>
      <c r="W785" s="886"/>
      <c r="X785" s="886"/>
      <c r="Y785" s="886"/>
    </row>
    <row r="786" spans="3:25">
      <c r="C786" s="942"/>
      <c r="D786" s="942"/>
      <c r="E786" s="943"/>
      <c r="F786" s="943"/>
      <c r="G786" s="886"/>
      <c r="H786" s="886"/>
      <c r="I786" s="886"/>
      <c r="J786" s="886"/>
      <c r="K786" s="886"/>
      <c r="L786" s="886"/>
      <c r="M786" s="886"/>
      <c r="N786" s="886"/>
      <c r="O786" s="886"/>
      <c r="P786" s="886"/>
      <c r="Q786" s="886"/>
      <c r="R786" s="886"/>
      <c r="S786" s="886"/>
      <c r="T786" s="886"/>
      <c r="U786" s="886"/>
      <c r="V786" s="886"/>
      <c r="W786" s="886"/>
      <c r="X786" s="886"/>
      <c r="Y786" s="886"/>
    </row>
    <row r="787" spans="3:25">
      <c r="C787" s="942"/>
      <c r="D787" s="942"/>
      <c r="E787" s="943"/>
      <c r="F787" s="943"/>
      <c r="G787" s="886"/>
      <c r="H787" s="886"/>
      <c r="I787" s="886"/>
      <c r="J787" s="886"/>
      <c r="K787" s="886"/>
      <c r="L787" s="886"/>
      <c r="M787" s="886"/>
      <c r="N787" s="886"/>
      <c r="O787" s="886"/>
      <c r="P787" s="886"/>
      <c r="Q787" s="886"/>
      <c r="R787" s="886"/>
      <c r="S787" s="886"/>
      <c r="T787" s="886"/>
      <c r="U787" s="886"/>
      <c r="V787" s="886"/>
      <c r="W787" s="886"/>
      <c r="X787" s="886"/>
      <c r="Y787" s="886"/>
    </row>
    <row r="788" spans="3:25">
      <c r="C788" s="942"/>
      <c r="D788" s="942"/>
      <c r="E788" s="943"/>
      <c r="F788" s="943"/>
      <c r="G788" s="886"/>
      <c r="H788" s="886"/>
      <c r="I788" s="886"/>
      <c r="J788" s="886"/>
      <c r="K788" s="886"/>
      <c r="L788" s="886"/>
      <c r="M788" s="886"/>
      <c r="N788" s="886"/>
      <c r="O788" s="886"/>
      <c r="P788" s="886"/>
      <c r="Q788" s="886"/>
      <c r="R788" s="886"/>
      <c r="S788" s="886"/>
      <c r="T788" s="886"/>
      <c r="U788" s="886"/>
      <c r="V788" s="886"/>
      <c r="W788" s="886"/>
      <c r="X788" s="886"/>
      <c r="Y788" s="886"/>
    </row>
    <row r="789" spans="3:25">
      <c r="C789" s="942"/>
      <c r="D789" s="942"/>
      <c r="E789" s="943"/>
      <c r="F789" s="943"/>
      <c r="G789" s="886"/>
      <c r="H789" s="886"/>
      <c r="I789" s="886"/>
      <c r="J789" s="886"/>
      <c r="K789" s="886"/>
      <c r="L789" s="886"/>
      <c r="M789" s="886"/>
      <c r="N789" s="886"/>
      <c r="O789" s="886"/>
      <c r="P789" s="886"/>
      <c r="Q789" s="886"/>
      <c r="R789" s="886"/>
      <c r="S789" s="886"/>
      <c r="T789" s="886"/>
      <c r="U789" s="886"/>
      <c r="V789" s="886"/>
      <c r="W789" s="886"/>
      <c r="X789" s="886"/>
      <c r="Y789" s="886"/>
    </row>
    <row r="790" spans="3:25">
      <c r="C790" s="942"/>
      <c r="D790" s="942"/>
      <c r="E790" s="943"/>
      <c r="F790" s="943"/>
      <c r="G790" s="886"/>
      <c r="H790" s="886"/>
      <c r="I790" s="886"/>
      <c r="J790" s="886"/>
      <c r="K790" s="886"/>
      <c r="L790" s="886"/>
      <c r="M790" s="886"/>
      <c r="N790" s="886"/>
      <c r="O790" s="886"/>
      <c r="P790" s="886"/>
      <c r="Q790" s="886"/>
      <c r="R790" s="886"/>
      <c r="S790" s="886"/>
      <c r="T790" s="886"/>
      <c r="U790" s="886"/>
      <c r="V790" s="886"/>
      <c r="W790" s="886"/>
      <c r="X790" s="886"/>
      <c r="Y790" s="886"/>
    </row>
    <row r="791" spans="3:25">
      <c r="C791" s="942"/>
      <c r="D791" s="942"/>
      <c r="E791" s="943"/>
      <c r="F791" s="943"/>
      <c r="G791" s="886"/>
      <c r="H791" s="886"/>
      <c r="I791" s="886"/>
      <c r="J791" s="886"/>
      <c r="K791" s="886"/>
      <c r="L791" s="886"/>
      <c r="M791" s="886"/>
      <c r="N791" s="886"/>
      <c r="O791" s="886"/>
      <c r="P791" s="886"/>
      <c r="Q791" s="886"/>
      <c r="R791" s="886"/>
      <c r="S791" s="886"/>
      <c r="T791" s="886"/>
      <c r="U791" s="886"/>
      <c r="V791" s="886"/>
      <c r="W791" s="886"/>
      <c r="X791" s="886"/>
      <c r="Y791" s="886"/>
    </row>
    <row r="792" spans="3:25">
      <c r="C792" s="942"/>
      <c r="D792" s="942"/>
      <c r="E792" s="943"/>
      <c r="F792" s="943"/>
      <c r="G792" s="886"/>
      <c r="H792" s="886"/>
      <c r="I792" s="886"/>
      <c r="J792" s="886"/>
      <c r="K792" s="886"/>
      <c r="L792" s="886"/>
      <c r="M792" s="886"/>
      <c r="N792" s="886"/>
      <c r="O792" s="886"/>
      <c r="P792" s="886"/>
      <c r="Q792" s="886"/>
      <c r="R792" s="886"/>
      <c r="S792" s="886"/>
      <c r="T792" s="886"/>
      <c r="U792" s="886"/>
      <c r="V792" s="886"/>
      <c r="W792" s="886"/>
      <c r="X792" s="886"/>
      <c r="Y792" s="886"/>
    </row>
    <row r="793" spans="3:25">
      <c r="C793" s="942"/>
      <c r="D793" s="942"/>
      <c r="E793" s="943"/>
      <c r="F793" s="943"/>
      <c r="G793" s="886"/>
      <c r="H793" s="886"/>
      <c r="I793" s="886"/>
      <c r="J793" s="886"/>
      <c r="K793" s="886"/>
      <c r="L793" s="886"/>
      <c r="M793" s="886"/>
      <c r="N793" s="886"/>
      <c r="O793" s="886"/>
      <c r="P793" s="886"/>
      <c r="Q793" s="886"/>
      <c r="R793" s="886"/>
      <c r="S793" s="886"/>
      <c r="T793" s="886"/>
      <c r="U793" s="886"/>
      <c r="V793" s="886"/>
      <c r="W793" s="886"/>
      <c r="X793" s="886"/>
      <c r="Y793" s="886"/>
    </row>
    <row r="794" spans="3:25">
      <c r="C794" s="942"/>
      <c r="D794" s="942"/>
      <c r="E794" s="943"/>
      <c r="F794" s="943"/>
      <c r="G794" s="886"/>
      <c r="H794" s="886"/>
      <c r="I794" s="886"/>
      <c r="J794" s="886"/>
      <c r="K794" s="886"/>
      <c r="L794" s="886"/>
      <c r="M794" s="886"/>
      <c r="N794" s="886"/>
      <c r="O794" s="886"/>
      <c r="P794" s="886"/>
      <c r="Q794" s="886"/>
      <c r="R794" s="886"/>
      <c r="S794" s="886"/>
      <c r="T794" s="886"/>
      <c r="U794" s="886"/>
      <c r="V794" s="886"/>
      <c r="W794" s="886"/>
      <c r="X794" s="886"/>
      <c r="Y794" s="886"/>
    </row>
    <row r="795" spans="3:25">
      <c r="C795" s="942"/>
      <c r="D795" s="942"/>
      <c r="E795" s="943"/>
      <c r="F795" s="943"/>
      <c r="G795" s="886"/>
      <c r="H795" s="886"/>
      <c r="I795" s="886"/>
      <c r="J795" s="886"/>
      <c r="K795" s="886"/>
      <c r="L795" s="886"/>
      <c r="M795" s="886"/>
      <c r="N795" s="886"/>
      <c r="O795" s="886"/>
      <c r="P795" s="886"/>
      <c r="Q795" s="886"/>
      <c r="R795" s="886"/>
      <c r="S795" s="886"/>
      <c r="T795" s="886"/>
      <c r="U795" s="886"/>
      <c r="V795" s="886"/>
      <c r="W795" s="886"/>
      <c r="X795" s="886"/>
      <c r="Y795" s="886"/>
    </row>
    <row r="796" spans="3:25">
      <c r="C796" s="942"/>
      <c r="D796" s="942"/>
      <c r="E796" s="943"/>
      <c r="F796" s="943"/>
      <c r="G796" s="886"/>
      <c r="H796" s="886"/>
      <c r="I796" s="886"/>
      <c r="J796" s="886"/>
      <c r="K796" s="886"/>
      <c r="L796" s="886"/>
      <c r="M796" s="886"/>
      <c r="N796" s="886"/>
      <c r="O796" s="886"/>
      <c r="P796" s="886"/>
      <c r="Q796" s="886"/>
      <c r="R796" s="886"/>
      <c r="S796" s="886"/>
      <c r="T796" s="886"/>
      <c r="U796" s="886"/>
      <c r="V796" s="886"/>
      <c r="W796" s="886"/>
      <c r="X796" s="886"/>
      <c r="Y796" s="886"/>
    </row>
    <row r="797" spans="3:25">
      <c r="C797" s="942"/>
      <c r="D797" s="942"/>
      <c r="E797" s="943"/>
      <c r="F797" s="943"/>
      <c r="G797" s="886"/>
      <c r="H797" s="886"/>
      <c r="I797" s="886"/>
      <c r="J797" s="886"/>
      <c r="K797" s="886"/>
      <c r="L797" s="886"/>
      <c r="M797" s="886"/>
      <c r="N797" s="886"/>
      <c r="O797" s="886"/>
      <c r="P797" s="886"/>
      <c r="Q797" s="886"/>
      <c r="R797" s="886"/>
      <c r="S797" s="886"/>
      <c r="T797" s="886"/>
      <c r="U797" s="886"/>
      <c r="V797" s="886"/>
      <c r="W797" s="886"/>
      <c r="X797" s="886"/>
      <c r="Y797" s="886"/>
    </row>
    <row r="798" spans="3:25">
      <c r="C798" s="942"/>
      <c r="D798" s="942"/>
      <c r="E798" s="943"/>
      <c r="F798" s="943"/>
      <c r="G798" s="886"/>
      <c r="H798" s="886"/>
      <c r="I798" s="886"/>
      <c r="J798" s="886"/>
      <c r="K798" s="886"/>
      <c r="L798" s="886"/>
      <c r="M798" s="886"/>
      <c r="N798" s="886"/>
      <c r="O798" s="886"/>
      <c r="P798" s="886"/>
      <c r="Q798" s="886"/>
      <c r="R798" s="886"/>
      <c r="S798" s="886"/>
      <c r="T798" s="886"/>
      <c r="U798" s="886"/>
      <c r="V798" s="886"/>
      <c r="W798" s="886"/>
      <c r="X798" s="886"/>
      <c r="Y798" s="886"/>
    </row>
    <row r="799" spans="3:25">
      <c r="C799" s="942"/>
      <c r="D799" s="942"/>
      <c r="E799" s="943"/>
      <c r="F799" s="943"/>
      <c r="G799" s="886"/>
      <c r="H799" s="886"/>
      <c r="I799" s="886"/>
      <c r="J799" s="886"/>
      <c r="K799" s="886"/>
      <c r="L799" s="886"/>
      <c r="M799" s="886"/>
      <c r="N799" s="886"/>
      <c r="O799" s="886"/>
      <c r="P799" s="886"/>
      <c r="Q799" s="886"/>
      <c r="R799" s="886"/>
      <c r="S799" s="886"/>
      <c r="T799" s="886"/>
      <c r="U799" s="886"/>
      <c r="V799" s="886"/>
      <c r="W799" s="886"/>
      <c r="X799" s="886"/>
      <c r="Y799" s="886"/>
    </row>
    <row r="800" spans="3:25">
      <c r="C800" s="942"/>
      <c r="D800" s="942"/>
      <c r="E800" s="943"/>
      <c r="F800" s="943"/>
      <c r="G800" s="886"/>
      <c r="H800" s="886"/>
      <c r="I800" s="886"/>
      <c r="J800" s="886"/>
      <c r="K800" s="886"/>
      <c r="L800" s="886"/>
      <c r="M800" s="886"/>
      <c r="N800" s="886"/>
      <c r="O800" s="886"/>
      <c r="P800" s="886"/>
      <c r="Q800" s="886"/>
      <c r="R800" s="886"/>
      <c r="S800" s="886"/>
      <c r="T800" s="886"/>
      <c r="U800" s="886"/>
      <c r="V800" s="886"/>
      <c r="W800" s="886"/>
      <c r="X800" s="886"/>
      <c r="Y800" s="886"/>
    </row>
    <row r="801" spans="3:25">
      <c r="C801" s="942"/>
      <c r="D801" s="942"/>
      <c r="E801" s="943"/>
      <c r="F801" s="943"/>
      <c r="G801" s="886"/>
      <c r="H801" s="886"/>
      <c r="I801" s="886"/>
      <c r="J801" s="886"/>
      <c r="K801" s="886"/>
      <c r="L801" s="886"/>
      <c r="M801" s="886"/>
      <c r="N801" s="886"/>
      <c r="O801" s="886"/>
      <c r="P801" s="886"/>
      <c r="Q801" s="886"/>
      <c r="R801" s="886"/>
      <c r="S801" s="886"/>
      <c r="T801" s="886"/>
      <c r="U801" s="886"/>
      <c r="V801" s="886"/>
      <c r="W801" s="886"/>
      <c r="X801" s="886"/>
      <c r="Y801" s="886"/>
    </row>
    <row r="802" spans="3:25">
      <c r="C802" s="942"/>
      <c r="D802" s="942"/>
      <c r="E802" s="943"/>
      <c r="F802" s="943"/>
      <c r="G802" s="886"/>
      <c r="H802" s="886"/>
      <c r="I802" s="886"/>
      <c r="J802" s="886"/>
      <c r="K802" s="886"/>
      <c r="L802" s="886"/>
      <c r="M802" s="886"/>
      <c r="N802" s="886"/>
      <c r="O802" s="886"/>
      <c r="P802" s="886"/>
      <c r="Q802" s="886"/>
      <c r="R802" s="886"/>
      <c r="S802" s="886"/>
      <c r="T802" s="886"/>
      <c r="U802" s="886"/>
      <c r="V802" s="886"/>
      <c r="W802" s="886"/>
      <c r="X802" s="886"/>
      <c r="Y802" s="886"/>
    </row>
    <row r="803" spans="3:25">
      <c r="C803" s="942"/>
      <c r="D803" s="942"/>
      <c r="E803" s="943"/>
      <c r="F803" s="943"/>
      <c r="G803" s="886"/>
      <c r="H803" s="886"/>
      <c r="I803" s="886"/>
      <c r="J803" s="886"/>
      <c r="K803" s="886"/>
      <c r="L803" s="886"/>
      <c r="M803" s="886"/>
      <c r="N803" s="886"/>
      <c r="O803" s="886"/>
      <c r="P803" s="886"/>
      <c r="Q803" s="886"/>
      <c r="R803" s="886"/>
      <c r="S803" s="886"/>
      <c r="T803" s="886"/>
      <c r="U803" s="886"/>
      <c r="V803" s="886"/>
      <c r="W803" s="886"/>
      <c r="X803" s="886"/>
      <c r="Y803" s="886"/>
    </row>
    <row r="804" spans="3:25">
      <c r="C804" s="942"/>
      <c r="D804" s="942"/>
      <c r="E804" s="943"/>
      <c r="F804" s="943"/>
      <c r="G804" s="886"/>
      <c r="H804" s="886"/>
      <c r="I804" s="886"/>
      <c r="J804" s="886"/>
      <c r="K804" s="886"/>
      <c r="L804" s="886"/>
      <c r="M804" s="886"/>
      <c r="N804" s="886"/>
      <c r="O804" s="886"/>
      <c r="P804" s="886"/>
      <c r="Q804" s="886"/>
      <c r="R804" s="886"/>
      <c r="S804" s="886"/>
      <c r="T804" s="886"/>
      <c r="U804" s="886"/>
      <c r="V804" s="886"/>
      <c r="W804" s="886"/>
      <c r="X804" s="886"/>
      <c r="Y804" s="886"/>
    </row>
    <row r="805" spans="3:25">
      <c r="C805" s="942"/>
      <c r="D805" s="942"/>
      <c r="E805" s="943"/>
      <c r="F805" s="943"/>
      <c r="G805" s="886"/>
      <c r="H805" s="886"/>
      <c r="I805" s="886"/>
      <c r="J805" s="886"/>
      <c r="K805" s="886"/>
      <c r="L805" s="886"/>
      <c r="M805" s="886"/>
      <c r="N805" s="886"/>
      <c r="O805" s="886"/>
      <c r="P805" s="886"/>
      <c r="Q805" s="886"/>
      <c r="R805" s="886"/>
      <c r="S805" s="886"/>
      <c r="T805" s="886"/>
      <c r="U805" s="886"/>
      <c r="V805" s="886"/>
      <c r="W805" s="886"/>
      <c r="X805" s="886"/>
      <c r="Y805" s="886"/>
    </row>
    <row r="806" spans="3:25">
      <c r="C806" s="942"/>
      <c r="D806" s="942"/>
      <c r="E806" s="943"/>
      <c r="F806" s="943"/>
      <c r="G806" s="886"/>
      <c r="H806" s="886"/>
      <c r="I806" s="886"/>
      <c r="J806" s="886"/>
      <c r="K806" s="886"/>
      <c r="L806" s="886"/>
      <c r="M806" s="886"/>
      <c r="N806" s="886"/>
      <c r="O806" s="886"/>
      <c r="P806" s="886"/>
      <c r="Q806" s="886"/>
      <c r="R806" s="886"/>
      <c r="S806" s="886"/>
      <c r="T806" s="886"/>
      <c r="U806" s="886"/>
      <c r="V806" s="886"/>
      <c r="W806" s="886"/>
      <c r="X806" s="886"/>
      <c r="Y806" s="886"/>
    </row>
    <row r="807" spans="3:25">
      <c r="C807" s="942"/>
      <c r="D807" s="942"/>
      <c r="E807" s="943"/>
      <c r="F807" s="943"/>
      <c r="G807" s="886"/>
      <c r="H807" s="886"/>
      <c r="I807" s="886"/>
      <c r="J807" s="886"/>
      <c r="K807" s="886"/>
      <c r="L807" s="886"/>
      <c r="M807" s="886"/>
      <c r="N807" s="886"/>
      <c r="O807" s="886"/>
      <c r="P807" s="886"/>
      <c r="Q807" s="886"/>
      <c r="R807" s="886"/>
      <c r="S807" s="886"/>
      <c r="T807" s="886"/>
      <c r="U807" s="886"/>
      <c r="V807" s="886"/>
      <c r="W807" s="886"/>
      <c r="X807" s="886"/>
      <c r="Y807" s="886"/>
    </row>
    <row r="808" spans="3:25">
      <c r="C808" s="942"/>
      <c r="D808" s="942"/>
      <c r="E808" s="943"/>
      <c r="F808" s="943"/>
      <c r="G808" s="886"/>
      <c r="H808" s="886"/>
      <c r="I808" s="886"/>
      <c r="J808" s="886"/>
      <c r="K808" s="886"/>
      <c r="L808" s="886"/>
      <c r="M808" s="886"/>
      <c r="N808" s="886"/>
      <c r="O808" s="886"/>
      <c r="P808" s="886"/>
      <c r="Q808" s="886"/>
      <c r="R808" s="886"/>
      <c r="S808" s="886"/>
      <c r="T808" s="886"/>
      <c r="U808" s="886"/>
      <c r="V808" s="886"/>
      <c r="W808" s="886"/>
      <c r="X808" s="886"/>
      <c r="Y808" s="886"/>
    </row>
    <row r="809" spans="3:25">
      <c r="C809" s="942"/>
      <c r="D809" s="942"/>
      <c r="E809" s="943"/>
      <c r="F809" s="943"/>
      <c r="G809" s="886"/>
      <c r="H809" s="886"/>
      <c r="I809" s="886"/>
      <c r="J809" s="886"/>
      <c r="K809" s="886"/>
      <c r="L809" s="886"/>
      <c r="M809" s="886"/>
      <c r="N809" s="886"/>
      <c r="O809" s="886"/>
      <c r="P809" s="886"/>
      <c r="Q809" s="886"/>
      <c r="R809" s="886"/>
      <c r="S809" s="886"/>
      <c r="T809" s="886"/>
      <c r="U809" s="886"/>
      <c r="V809" s="886"/>
      <c r="W809" s="886"/>
      <c r="X809" s="886"/>
      <c r="Y809" s="886"/>
    </row>
    <row r="810" spans="3:25">
      <c r="C810" s="942"/>
      <c r="D810" s="942"/>
      <c r="E810" s="943"/>
      <c r="F810" s="943"/>
      <c r="G810" s="886"/>
      <c r="H810" s="886"/>
      <c r="I810" s="886"/>
      <c r="J810" s="886"/>
      <c r="K810" s="886"/>
      <c r="L810" s="886"/>
      <c r="M810" s="886"/>
      <c r="N810" s="886"/>
      <c r="O810" s="886"/>
      <c r="P810" s="886"/>
      <c r="Q810" s="886"/>
      <c r="R810" s="886"/>
      <c r="S810" s="886"/>
      <c r="T810" s="886"/>
      <c r="U810" s="886"/>
      <c r="V810" s="886"/>
      <c r="W810" s="886"/>
      <c r="X810" s="886"/>
      <c r="Y810" s="886"/>
    </row>
    <row r="811" spans="3:25">
      <c r="C811" s="942"/>
      <c r="D811" s="942"/>
      <c r="E811" s="943"/>
      <c r="F811" s="943"/>
      <c r="G811" s="886"/>
      <c r="H811" s="886"/>
      <c r="I811" s="886"/>
      <c r="J811" s="886"/>
      <c r="K811" s="886"/>
      <c r="L811" s="886"/>
      <c r="M811" s="886"/>
      <c r="N811" s="886"/>
      <c r="O811" s="886"/>
      <c r="P811" s="886"/>
      <c r="Q811" s="886"/>
      <c r="R811" s="886"/>
      <c r="S811" s="886"/>
      <c r="T811" s="886"/>
      <c r="U811" s="886"/>
      <c r="V811" s="886"/>
      <c r="W811" s="886"/>
      <c r="X811" s="886"/>
      <c r="Y811" s="886"/>
    </row>
    <row r="812" spans="3:25">
      <c r="C812" s="942"/>
      <c r="D812" s="942"/>
      <c r="E812" s="943"/>
      <c r="F812" s="943"/>
      <c r="G812" s="886"/>
      <c r="H812" s="886"/>
      <c r="I812" s="886"/>
      <c r="J812" s="886"/>
      <c r="K812" s="886"/>
      <c r="L812" s="886"/>
      <c r="M812" s="886"/>
      <c r="N812" s="886"/>
      <c r="O812" s="886"/>
      <c r="P812" s="886"/>
      <c r="Q812" s="886"/>
      <c r="R812" s="886"/>
      <c r="S812" s="886"/>
      <c r="T812" s="886"/>
      <c r="U812" s="886"/>
      <c r="V812" s="886"/>
      <c r="W812" s="886"/>
      <c r="X812" s="886"/>
      <c r="Y812" s="886"/>
    </row>
    <row r="813" spans="3:25">
      <c r="C813" s="942"/>
      <c r="D813" s="942"/>
      <c r="E813" s="943"/>
      <c r="F813" s="943"/>
      <c r="G813" s="886"/>
      <c r="H813" s="886"/>
      <c r="I813" s="886"/>
      <c r="J813" s="886"/>
      <c r="K813" s="886"/>
      <c r="L813" s="886"/>
      <c r="M813" s="886"/>
      <c r="N813" s="886"/>
      <c r="O813" s="886"/>
      <c r="P813" s="886"/>
      <c r="Q813" s="886"/>
      <c r="R813" s="886"/>
      <c r="S813" s="886"/>
      <c r="T813" s="886"/>
      <c r="U813" s="886"/>
      <c r="V813" s="886"/>
      <c r="W813" s="886"/>
      <c r="X813" s="886"/>
      <c r="Y813" s="886"/>
    </row>
    <row r="814" spans="3:25">
      <c r="C814" s="942"/>
      <c r="D814" s="942"/>
      <c r="E814" s="943"/>
      <c r="F814" s="943"/>
      <c r="G814" s="886"/>
      <c r="H814" s="886"/>
      <c r="I814" s="886"/>
      <c r="J814" s="886"/>
      <c r="K814" s="886"/>
      <c r="L814" s="886"/>
      <c r="M814" s="886"/>
      <c r="N814" s="886"/>
      <c r="O814" s="886"/>
      <c r="P814" s="886"/>
      <c r="Q814" s="886"/>
      <c r="R814" s="886"/>
      <c r="S814" s="886"/>
      <c r="T814" s="886"/>
      <c r="U814" s="886"/>
      <c r="V814" s="886"/>
      <c r="W814" s="886"/>
      <c r="X814" s="886"/>
      <c r="Y814" s="886"/>
    </row>
    <row r="815" spans="3:25">
      <c r="C815" s="942"/>
      <c r="D815" s="942"/>
      <c r="E815" s="943"/>
      <c r="F815" s="943"/>
      <c r="G815" s="886"/>
      <c r="H815" s="886"/>
      <c r="I815" s="886"/>
      <c r="J815" s="886"/>
      <c r="K815" s="886"/>
      <c r="L815" s="886"/>
      <c r="M815" s="886"/>
      <c r="N815" s="886"/>
      <c r="O815" s="886"/>
      <c r="P815" s="886"/>
      <c r="Q815" s="886"/>
      <c r="R815" s="886"/>
      <c r="S815" s="886"/>
      <c r="T815" s="886"/>
      <c r="U815" s="886"/>
      <c r="V815" s="886"/>
      <c r="W815" s="886"/>
      <c r="X815" s="886"/>
      <c r="Y815" s="886"/>
    </row>
    <row r="816" spans="3:25">
      <c r="C816" s="942"/>
      <c r="D816" s="942"/>
      <c r="E816" s="943"/>
      <c r="F816" s="943"/>
      <c r="G816" s="886"/>
      <c r="H816" s="886"/>
      <c r="I816" s="886"/>
      <c r="J816" s="886"/>
      <c r="K816" s="886"/>
      <c r="L816" s="886"/>
      <c r="M816" s="886"/>
      <c r="N816" s="886"/>
      <c r="O816" s="886"/>
      <c r="P816" s="886"/>
      <c r="Q816" s="886"/>
      <c r="R816" s="886"/>
      <c r="S816" s="886"/>
      <c r="T816" s="886"/>
      <c r="U816" s="886"/>
      <c r="V816" s="886"/>
      <c r="W816" s="886"/>
      <c r="X816" s="886"/>
      <c r="Y816" s="886"/>
    </row>
    <row r="817" spans="3:25">
      <c r="C817" s="942"/>
      <c r="D817" s="942"/>
      <c r="E817" s="943"/>
      <c r="F817" s="943"/>
      <c r="G817" s="886"/>
      <c r="H817" s="886"/>
      <c r="I817" s="886"/>
      <c r="J817" s="886"/>
      <c r="K817" s="886"/>
      <c r="L817" s="886"/>
      <c r="M817" s="886"/>
      <c r="N817" s="886"/>
      <c r="O817" s="886"/>
      <c r="P817" s="886"/>
      <c r="Q817" s="886"/>
      <c r="R817" s="886"/>
      <c r="S817" s="886"/>
      <c r="T817" s="886"/>
      <c r="U817" s="886"/>
      <c r="V817" s="886"/>
      <c r="W817" s="886"/>
      <c r="X817" s="886"/>
      <c r="Y817" s="886"/>
    </row>
    <row r="818" spans="3:25">
      <c r="C818" s="942"/>
      <c r="D818" s="942"/>
      <c r="E818" s="943"/>
      <c r="F818" s="943"/>
      <c r="G818" s="886"/>
      <c r="H818" s="886"/>
      <c r="I818" s="886"/>
      <c r="J818" s="886"/>
      <c r="K818" s="886"/>
      <c r="L818" s="886"/>
      <c r="M818" s="886"/>
      <c r="N818" s="886"/>
      <c r="O818" s="886"/>
      <c r="P818" s="886"/>
      <c r="Q818" s="886"/>
      <c r="R818" s="886"/>
      <c r="S818" s="886"/>
      <c r="T818" s="886"/>
      <c r="U818" s="886"/>
      <c r="V818" s="886"/>
      <c r="W818" s="886"/>
      <c r="X818" s="886"/>
      <c r="Y818" s="886"/>
    </row>
    <row r="819" spans="3:25">
      <c r="C819" s="942"/>
      <c r="D819" s="942"/>
      <c r="E819" s="943"/>
      <c r="F819" s="943"/>
      <c r="G819" s="886"/>
      <c r="H819" s="886"/>
      <c r="I819" s="886"/>
      <c r="J819" s="886"/>
      <c r="K819" s="886"/>
      <c r="L819" s="886"/>
      <c r="M819" s="886"/>
      <c r="N819" s="886"/>
      <c r="O819" s="886"/>
      <c r="P819" s="886"/>
      <c r="Q819" s="886"/>
      <c r="R819" s="886"/>
      <c r="S819" s="886"/>
      <c r="T819" s="886"/>
      <c r="U819" s="886"/>
      <c r="V819" s="886"/>
      <c r="W819" s="886"/>
      <c r="X819" s="886"/>
      <c r="Y819" s="886"/>
    </row>
    <row r="820" spans="3:25">
      <c r="C820" s="942"/>
      <c r="D820" s="942"/>
      <c r="E820" s="943"/>
      <c r="F820" s="943"/>
      <c r="G820" s="886"/>
      <c r="H820" s="886"/>
      <c r="I820" s="886"/>
      <c r="J820" s="886"/>
      <c r="K820" s="886"/>
      <c r="L820" s="886"/>
      <c r="M820" s="886"/>
      <c r="N820" s="886"/>
      <c r="O820" s="886"/>
      <c r="P820" s="886"/>
      <c r="Q820" s="886"/>
      <c r="R820" s="886"/>
      <c r="S820" s="886"/>
      <c r="T820" s="886"/>
      <c r="U820" s="886"/>
      <c r="V820" s="886"/>
      <c r="W820" s="886"/>
      <c r="X820" s="886"/>
      <c r="Y820" s="886"/>
    </row>
    <row r="821" spans="3:25">
      <c r="C821" s="942"/>
      <c r="D821" s="942"/>
      <c r="E821" s="943"/>
      <c r="F821" s="943"/>
      <c r="G821" s="886"/>
      <c r="H821" s="886"/>
      <c r="I821" s="886"/>
      <c r="J821" s="886"/>
      <c r="K821" s="886"/>
      <c r="L821" s="886"/>
      <c r="M821" s="886"/>
      <c r="N821" s="886"/>
      <c r="O821" s="886"/>
      <c r="P821" s="886"/>
      <c r="Q821" s="886"/>
      <c r="R821" s="886"/>
      <c r="S821" s="886"/>
      <c r="T821" s="886"/>
      <c r="U821" s="886"/>
      <c r="V821" s="886"/>
      <c r="W821" s="886"/>
      <c r="X821" s="886"/>
      <c r="Y821" s="886"/>
    </row>
    <row r="822" spans="3:25">
      <c r="C822" s="942"/>
      <c r="D822" s="942"/>
      <c r="E822" s="943"/>
      <c r="F822" s="943"/>
      <c r="G822" s="886"/>
      <c r="H822" s="886"/>
      <c r="I822" s="886"/>
      <c r="J822" s="886"/>
      <c r="K822" s="886"/>
      <c r="L822" s="886"/>
      <c r="M822" s="886"/>
      <c r="N822" s="886"/>
      <c r="O822" s="886"/>
      <c r="P822" s="886"/>
      <c r="Q822" s="886"/>
      <c r="R822" s="886"/>
      <c r="S822" s="886"/>
      <c r="T822" s="886"/>
      <c r="U822" s="886"/>
      <c r="V822" s="886"/>
      <c r="W822" s="886"/>
      <c r="X822" s="886"/>
      <c r="Y822" s="886"/>
    </row>
    <row r="823" spans="3:25">
      <c r="C823" s="942"/>
      <c r="D823" s="942"/>
      <c r="E823" s="943"/>
      <c r="F823" s="943"/>
      <c r="G823" s="886"/>
      <c r="H823" s="886"/>
      <c r="I823" s="886"/>
      <c r="J823" s="886"/>
      <c r="K823" s="886"/>
      <c r="L823" s="886"/>
      <c r="M823" s="886"/>
      <c r="N823" s="886"/>
      <c r="O823" s="886"/>
      <c r="P823" s="886"/>
      <c r="Q823" s="886"/>
      <c r="R823" s="886"/>
      <c r="S823" s="886"/>
      <c r="T823" s="886"/>
      <c r="U823" s="886"/>
      <c r="V823" s="886"/>
      <c r="W823" s="886"/>
      <c r="X823" s="886"/>
      <c r="Y823" s="886"/>
    </row>
    <row r="824" spans="3:25">
      <c r="C824" s="942"/>
      <c r="D824" s="942"/>
      <c r="E824" s="943"/>
      <c r="F824" s="943"/>
      <c r="G824" s="886"/>
      <c r="H824" s="886"/>
      <c r="I824" s="886"/>
      <c r="J824" s="886"/>
      <c r="K824" s="886"/>
      <c r="L824" s="886"/>
      <c r="M824" s="886"/>
      <c r="N824" s="886"/>
      <c r="O824" s="886"/>
      <c r="P824" s="886"/>
      <c r="Q824" s="886"/>
      <c r="R824" s="886"/>
      <c r="S824" s="886"/>
      <c r="T824" s="886"/>
      <c r="U824" s="886"/>
      <c r="V824" s="886"/>
      <c r="W824" s="886"/>
      <c r="X824" s="886"/>
      <c r="Y824" s="886"/>
    </row>
    <row r="825" spans="3:25">
      <c r="C825" s="942"/>
      <c r="D825" s="942"/>
      <c r="E825" s="943"/>
      <c r="F825" s="943"/>
      <c r="G825" s="886"/>
      <c r="H825" s="886"/>
      <c r="I825" s="886"/>
      <c r="J825" s="886"/>
      <c r="K825" s="886"/>
      <c r="L825" s="886"/>
      <c r="M825" s="886"/>
      <c r="N825" s="886"/>
      <c r="O825" s="886"/>
      <c r="P825" s="886"/>
      <c r="Q825" s="886"/>
      <c r="R825" s="886"/>
      <c r="S825" s="886"/>
      <c r="T825" s="886"/>
      <c r="U825" s="886"/>
      <c r="V825" s="886"/>
      <c r="W825" s="886"/>
      <c r="X825" s="886"/>
      <c r="Y825" s="886"/>
    </row>
    <row r="826" spans="3:25">
      <c r="C826" s="942"/>
      <c r="D826" s="942"/>
      <c r="E826" s="943"/>
      <c r="F826" s="943"/>
      <c r="G826" s="886"/>
      <c r="H826" s="886"/>
      <c r="I826" s="886"/>
      <c r="J826" s="886"/>
      <c r="K826" s="886"/>
      <c r="L826" s="886"/>
      <c r="M826" s="886"/>
      <c r="N826" s="886"/>
      <c r="O826" s="886"/>
      <c r="P826" s="886"/>
      <c r="Q826" s="886"/>
      <c r="R826" s="886"/>
      <c r="S826" s="886"/>
      <c r="T826" s="886"/>
      <c r="U826" s="886"/>
      <c r="V826" s="886"/>
      <c r="W826" s="886"/>
      <c r="X826" s="886"/>
      <c r="Y826" s="886"/>
    </row>
    <row r="827" spans="3:25">
      <c r="C827" s="942"/>
      <c r="D827" s="942"/>
      <c r="E827" s="943"/>
      <c r="F827" s="943"/>
      <c r="G827" s="886"/>
      <c r="H827" s="886"/>
      <c r="I827" s="886"/>
      <c r="J827" s="886"/>
      <c r="K827" s="886"/>
      <c r="L827" s="886"/>
      <c r="M827" s="886"/>
      <c r="N827" s="886"/>
      <c r="O827" s="886"/>
      <c r="P827" s="886"/>
      <c r="Q827" s="886"/>
      <c r="R827" s="886"/>
      <c r="S827" s="886"/>
      <c r="T827" s="886"/>
      <c r="U827" s="886"/>
      <c r="V827" s="886"/>
      <c r="W827" s="886"/>
      <c r="X827" s="886"/>
      <c r="Y827" s="886"/>
    </row>
    <row r="828" spans="3:25">
      <c r="C828" s="942"/>
      <c r="D828" s="942"/>
      <c r="E828" s="943"/>
      <c r="F828" s="943"/>
      <c r="G828" s="886"/>
      <c r="H828" s="886"/>
      <c r="I828" s="886"/>
      <c r="J828" s="886"/>
      <c r="K828" s="886"/>
      <c r="L828" s="886"/>
      <c r="M828" s="886"/>
      <c r="N828" s="886"/>
      <c r="O828" s="886"/>
      <c r="P828" s="886"/>
      <c r="Q828" s="886"/>
      <c r="R828" s="886"/>
      <c r="S828" s="886"/>
      <c r="T828" s="886"/>
      <c r="U828" s="886"/>
      <c r="V828" s="886"/>
      <c r="W828" s="886"/>
      <c r="X828" s="886"/>
      <c r="Y828" s="886"/>
    </row>
    <row r="829" spans="3:25">
      <c r="C829" s="942"/>
      <c r="D829" s="942"/>
      <c r="E829" s="943"/>
      <c r="F829" s="943"/>
      <c r="G829" s="886"/>
      <c r="H829" s="886"/>
      <c r="I829" s="886"/>
      <c r="J829" s="886"/>
      <c r="K829" s="886"/>
      <c r="L829" s="886"/>
      <c r="M829" s="886"/>
      <c r="N829" s="886"/>
      <c r="O829" s="886"/>
      <c r="P829" s="886"/>
      <c r="Q829" s="886"/>
      <c r="R829" s="886"/>
      <c r="S829" s="886"/>
      <c r="T829" s="886"/>
      <c r="U829" s="886"/>
      <c r="V829" s="886"/>
      <c r="W829" s="886"/>
      <c r="X829" s="886"/>
      <c r="Y829" s="886"/>
    </row>
    <row r="830" spans="3:25">
      <c r="C830" s="942"/>
      <c r="D830" s="942"/>
      <c r="E830" s="943"/>
      <c r="F830" s="943"/>
      <c r="G830" s="886"/>
      <c r="H830" s="886"/>
      <c r="I830" s="886"/>
      <c r="J830" s="886"/>
      <c r="K830" s="886"/>
      <c r="L830" s="886"/>
      <c r="M830" s="886"/>
      <c r="N830" s="886"/>
      <c r="O830" s="886"/>
      <c r="P830" s="886"/>
      <c r="Q830" s="886"/>
      <c r="R830" s="886"/>
      <c r="S830" s="886"/>
      <c r="T830" s="886"/>
      <c r="U830" s="886"/>
      <c r="V830" s="886"/>
      <c r="W830" s="886"/>
      <c r="X830" s="886"/>
      <c r="Y830" s="886"/>
    </row>
    <row r="831" spans="3:25">
      <c r="C831" s="942"/>
      <c r="D831" s="942"/>
      <c r="E831" s="943"/>
      <c r="F831" s="943"/>
      <c r="G831" s="886"/>
      <c r="H831" s="886"/>
      <c r="I831" s="886"/>
      <c r="J831" s="886"/>
      <c r="K831" s="886"/>
      <c r="L831" s="886"/>
      <c r="M831" s="886"/>
      <c r="N831" s="886"/>
      <c r="O831" s="886"/>
      <c r="P831" s="886"/>
      <c r="Q831" s="886"/>
      <c r="R831" s="886"/>
      <c r="S831" s="886"/>
      <c r="T831" s="886"/>
      <c r="U831" s="886"/>
      <c r="V831" s="886"/>
      <c r="W831" s="886"/>
      <c r="X831" s="886"/>
      <c r="Y831" s="886"/>
    </row>
    <row r="832" spans="3:25">
      <c r="C832" s="942"/>
      <c r="D832" s="942"/>
      <c r="E832" s="943"/>
      <c r="F832" s="943"/>
      <c r="G832" s="886"/>
      <c r="H832" s="886"/>
      <c r="I832" s="886"/>
      <c r="J832" s="886"/>
      <c r="K832" s="886"/>
      <c r="L832" s="886"/>
      <c r="M832" s="886"/>
      <c r="N832" s="886"/>
      <c r="O832" s="886"/>
      <c r="P832" s="886"/>
      <c r="Q832" s="886"/>
      <c r="R832" s="886"/>
      <c r="S832" s="886"/>
      <c r="T832" s="886"/>
      <c r="U832" s="886"/>
      <c r="V832" s="886"/>
      <c r="W832" s="886"/>
      <c r="X832" s="886"/>
      <c r="Y832" s="886"/>
    </row>
    <row r="833" spans="3:25">
      <c r="C833" s="942"/>
      <c r="D833" s="942"/>
      <c r="E833" s="943"/>
      <c r="F833" s="943"/>
      <c r="G833" s="886"/>
      <c r="H833" s="886"/>
      <c r="I833" s="886"/>
      <c r="J833" s="886"/>
      <c r="K833" s="886"/>
      <c r="L833" s="886"/>
      <c r="M833" s="886"/>
      <c r="N833" s="886"/>
      <c r="O833" s="886"/>
      <c r="P833" s="886"/>
      <c r="Q833" s="886"/>
      <c r="R833" s="886"/>
      <c r="S833" s="886"/>
      <c r="T833" s="886"/>
      <c r="U833" s="886"/>
      <c r="V833" s="886"/>
      <c r="W833" s="886"/>
      <c r="X833" s="886"/>
      <c r="Y833" s="886"/>
    </row>
    <row r="834" spans="3:25">
      <c r="C834" s="942"/>
      <c r="D834" s="942"/>
      <c r="E834" s="943"/>
      <c r="F834" s="943"/>
      <c r="G834" s="886"/>
      <c r="H834" s="886"/>
      <c r="I834" s="886"/>
      <c r="J834" s="886"/>
      <c r="K834" s="886"/>
      <c r="L834" s="886"/>
      <c r="M834" s="886"/>
      <c r="N834" s="886"/>
      <c r="O834" s="886"/>
      <c r="P834" s="886"/>
      <c r="Q834" s="886"/>
      <c r="R834" s="886"/>
      <c r="S834" s="886"/>
      <c r="T834" s="886"/>
      <c r="U834" s="886"/>
      <c r="V834" s="886"/>
      <c r="W834" s="886"/>
      <c r="X834" s="886"/>
      <c r="Y834" s="886"/>
    </row>
    <row r="835" spans="3:25">
      <c r="C835" s="942"/>
      <c r="D835" s="942"/>
      <c r="E835" s="943"/>
      <c r="F835" s="943"/>
      <c r="G835" s="886"/>
      <c r="H835" s="886"/>
      <c r="I835" s="886"/>
      <c r="J835" s="886"/>
      <c r="K835" s="886"/>
      <c r="L835" s="886"/>
      <c r="M835" s="886"/>
      <c r="N835" s="886"/>
      <c r="O835" s="886"/>
      <c r="P835" s="886"/>
      <c r="Q835" s="886"/>
      <c r="R835" s="886"/>
      <c r="S835" s="886"/>
      <c r="T835" s="886"/>
      <c r="U835" s="886"/>
      <c r="V835" s="886"/>
      <c r="W835" s="886"/>
      <c r="X835" s="886"/>
      <c r="Y835" s="886"/>
    </row>
    <row r="836" spans="3:25">
      <c r="C836" s="942"/>
      <c r="D836" s="942"/>
      <c r="E836" s="943"/>
      <c r="F836" s="943"/>
      <c r="G836" s="886"/>
      <c r="H836" s="886"/>
      <c r="I836" s="886"/>
      <c r="J836" s="886"/>
      <c r="K836" s="886"/>
      <c r="L836" s="886"/>
      <c r="M836" s="886"/>
      <c r="N836" s="886"/>
      <c r="O836" s="886"/>
      <c r="P836" s="886"/>
      <c r="Q836" s="886"/>
      <c r="R836" s="886"/>
      <c r="S836" s="886"/>
      <c r="T836" s="886"/>
      <c r="U836" s="886"/>
      <c r="V836" s="886"/>
      <c r="W836" s="886"/>
      <c r="X836" s="886"/>
      <c r="Y836" s="886"/>
    </row>
    <row r="837" spans="3:25">
      <c r="C837" s="942"/>
      <c r="D837" s="942"/>
      <c r="E837" s="943"/>
      <c r="F837" s="943"/>
      <c r="G837" s="886"/>
      <c r="H837" s="886"/>
      <c r="I837" s="886"/>
      <c r="J837" s="886"/>
      <c r="K837" s="886"/>
      <c r="L837" s="886"/>
      <c r="M837" s="886"/>
      <c r="N837" s="886"/>
      <c r="O837" s="886"/>
      <c r="P837" s="886"/>
      <c r="Q837" s="886"/>
      <c r="R837" s="886"/>
      <c r="S837" s="886"/>
      <c r="T837" s="886"/>
      <c r="U837" s="886"/>
      <c r="V837" s="886"/>
      <c r="W837" s="886"/>
      <c r="X837" s="886"/>
      <c r="Y837" s="886"/>
    </row>
    <row r="838" spans="3:25">
      <c r="C838" s="942"/>
      <c r="D838" s="942"/>
      <c r="E838" s="943"/>
      <c r="F838" s="943"/>
      <c r="G838" s="886"/>
      <c r="H838" s="886"/>
      <c r="I838" s="886"/>
      <c r="J838" s="886"/>
      <c r="K838" s="886"/>
      <c r="L838" s="886"/>
      <c r="M838" s="886"/>
      <c r="N838" s="886"/>
      <c r="O838" s="886"/>
      <c r="P838" s="886"/>
      <c r="Q838" s="886"/>
      <c r="R838" s="886"/>
      <c r="S838" s="886"/>
      <c r="T838" s="886"/>
      <c r="U838" s="886"/>
      <c r="V838" s="886"/>
      <c r="W838" s="886"/>
      <c r="X838" s="886"/>
      <c r="Y838" s="886"/>
    </row>
    <row r="839" spans="3:25">
      <c r="C839" s="942"/>
      <c r="D839" s="942"/>
      <c r="E839" s="943"/>
      <c r="F839" s="943"/>
      <c r="G839" s="886"/>
      <c r="H839" s="886"/>
      <c r="I839" s="886"/>
      <c r="J839" s="886"/>
      <c r="K839" s="886"/>
      <c r="L839" s="886"/>
      <c r="M839" s="886"/>
      <c r="N839" s="886"/>
      <c r="O839" s="886"/>
      <c r="P839" s="886"/>
      <c r="Q839" s="886"/>
      <c r="R839" s="886"/>
      <c r="S839" s="886"/>
      <c r="T839" s="886"/>
      <c r="U839" s="886"/>
      <c r="V839" s="886"/>
      <c r="W839" s="886"/>
      <c r="X839" s="886"/>
      <c r="Y839" s="886"/>
    </row>
    <row r="840" spans="3:25">
      <c r="C840" s="942"/>
      <c r="D840" s="942"/>
      <c r="E840" s="943"/>
      <c r="F840" s="943"/>
      <c r="G840" s="886"/>
      <c r="H840" s="886"/>
      <c r="I840" s="886"/>
      <c r="J840" s="886"/>
      <c r="K840" s="886"/>
      <c r="L840" s="886"/>
      <c r="M840" s="886"/>
      <c r="N840" s="886"/>
      <c r="O840" s="886"/>
      <c r="P840" s="886"/>
      <c r="Q840" s="886"/>
      <c r="R840" s="886"/>
      <c r="S840" s="886"/>
      <c r="T840" s="886"/>
      <c r="U840" s="886"/>
      <c r="V840" s="886"/>
      <c r="W840" s="886"/>
      <c r="X840" s="886"/>
      <c r="Y840" s="886"/>
    </row>
    <row r="841" spans="3:25">
      <c r="C841" s="942"/>
      <c r="D841" s="942"/>
      <c r="E841" s="943"/>
      <c r="F841" s="943"/>
      <c r="G841" s="886"/>
      <c r="H841" s="886"/>
      <c r="I841" s="886"/>
      <c r="J841" s="886"/>
      <c r="K841" s="886"/>
      <c r="L841" s="886"/>
      <c r="M841" s="886"/>
      <c r="N841" s="886"/>
      <c r="O841" s="886"/>
      <c r="P841" s="886"/>
      <c r="Q841" s="886"/>
      <c r="R841" s="886"/>
      <c r="S841" s="886"/>
      <c r="T841" s="886"/>
      <c r="U841" s="886"/>
      <c r="V841" s="886"/>
      <c r="W841" s="886"/>
      <c r="X841" s="886"/>
      <c r="Y841" s="886"/>
    </row>
    <row r="842" spans="3:25">
      <c r="C842" s="942"/>
      <c r="D842" s="942"/>
      <c r="E842" s="943"/>
      <c r="F842" s="943"/>
      <c r="G842" s="886"/>
      <c r="H842" s="886"/>
      <c r="I842" s="886"/>
      <c r="J842" s="886"/>
      <c r="K842" s="886"/>
      <c r="L842" s="886"/>
      <c r="M842" s="886"/>
      <c r="N842" s="886"/>
      <c r="O842" s="886"/>
      <c r="P842" s="886"/>
      <c r="Q842" s="886"/>
      <c r="R842" s="886"/>
      <c r="S842" s="886"/>
      <c r="T842" s="886"/>
      <c r="U842" s="886"/>
      <c r="V842" s="886"/>
      <c r="W842" s="886"/>
      <c r="X842" s="886"/>
      <c r="Y842" s="886"/>
    </row>
    <row r="843" spans="3:25">
      <c r="C843" s="942"/>
      <c r="D843" s="942"/>
      <c r="E843" s="943"/>
      <c r="F843" s="943"/>
      <c r="G843" s="886"/>
      <c r="H843" s="886"/>
      <c r="I843" s="886"/>
      <c r="J843" s="886"/>
      <c r="K843" s="886"/>
      <c r="L843" s="886"/>
      <c r="M843" s="886"/>
      <c r="N843" s="886"/>
      <c r="O843" s="886"/>
      <c r="P843" s="886"/>
      <c r="Q843" s="886"/>
      <c r="R843" s="886"/>
      <c r="S843" s="886"/>
      <c r="T843" s="886"/>
      <c r="U843" s="886"/>
      <c r="V843" s="886"/>
      <c r="W843" s="886"/>
      <c r="X843" s="886"/>
      <c r="Y843" s="886"/>
    </row>
    <row r="844" spans="3:25">
      <c r="C844" s="942"/>
      <c r="D844" s="942"/>
      <c r="E844" s="943"/>
      <c r="F844" s="943"/>
      <c r="G844" s="886"/>
      <c r="H844" s="886"/>
      <c r="I844" s="886"/>
      <c r="J844" s="886"/>
      <c r="K844" s="886"/>
      <c r="L844" s="886"/>
      <c r="M844" s="886"/>
      <c r="N844" s="886"/>
      <c r="O844" s="886"/>
      <c r="P844" s="886"/>
      <c r="Q844" s="886"/>
      <c r="R844" s="886"/>
      <c r="S844" s="886"/>
      <c r="T844" s="886"/>
      <c r="U844" s="886"/>
      <c r="V844" s="886"/>
      <c r="W844" s="886"/>
      <c r="X844" s="886"/>
      <c r="Y844" s="886"/>
    </row>
    <row r="845" spans="3:25">
      <c r="C845" s="942"/>
      <c r="D845" s="942"/>
      <c r="E845" s="943"/>
      <c r="F845" s="943"/>
      <c r="G845" s="886"/>
      <c r="H845" s="886"/>
      <c r="I845" s="886"/>
      <c r="J845" s="886"/>
      <c r="K845" s="886"/>
      <c r="L845" s="886"/>
      <c r="M845" s="886"/>
      <c r="N845" s="886"/>
      <c r="O845" s="886"/>
      <c r="P845" s="886"/>
      <c r="Q845" s="886"/>
      <c r="R845" s="886"/>
      <c r="S845" s="886"/>
      <c r="T845" s="886"/>
      <c r="U845" s="886"/>
      <c r="V845" s="886"/>
      <c r="W845" s="886"/>
      <c r="X845" s="886"/>
      <c r="Y845" s="886"/>
    </row>
    <row r="846" spans="3:25">
      <c r="C846" s="942"/>
      <c r="D846" s="942"/>
      <c r="E846" s="943"/>
      <c r="F846" s="943"/>
      <c r="G846" s="886"/>
      <c r="H846" s="886"/>
      <c r="I846" s="886"/>
      <c r="J846" s="886"/>
      <c r="K846" s="886"/>
      <c r="L846" s="886"/>
      <c r="M846" s="886"/>
      <c r="N846" s="886"/>
      <c r="O846" s="886"/>
      <c r="P846" s="886"/>
      <c r="Q846" s="886"/>
      <c r="R846" s="886"/>
      <c r="S846" s="886"/>
      <c r="T846" s="886"/>
      <c r="U846" s="886"/>
      <c r="V846" s="886"/>
      <c r="W846" s="886"/>
      <c r="X846" s="886"/>
      <c r="Y846" s="886"/>
    </row>
    <row r="847" spans="3:25">
      <c r="C847" s="942"/>
      <c r="D847" s="942"/>
      <c r="E847" s="943"/>
      <c r="F847" s="943"/>
      <c r="G847" s="886"/>
      <c r="H847" s="886"/>
      <c r="I847" s="886"/>
      <c r="J847" s="886"/>
      <c r="K847" s="886"/>
      <c r="L847" s="886"/>
      <c r="M847" s="886"/>
      <c r="N847" s="886"/>
      <c r="O847" s="886"/>
      <c r="P847" s="886"/>
      <c r="Q847" s="886"/>
      <c r="R847" s="886"/>
      <c r="S847" s="886"/>
      <c r="T847" s="886"/>
      <c r="U847" s="886"/>
      <c r="V847" s="886"/>
      <c r="W847" s="886"/>
      <c r="X847" s="886"/>
      <c r="Y847" s="886"/>
    </row>
    <row r="848" spans="3:25">
      <c r="C848" s="942"/>
      <c r="D848" s="942"/>
      <c r="E848" s="943"/>
      <c r="F848" s="943"/>
      <c r="G848" s="886"/>
      <c r="H848" s="886"/>
      <c r="I848" s="886"/>
      <c r="J848" s="886"/>
      <c r="K848" s="886"/>
      <c r="L848" s="886"/>
      <c r="M848" s="886"/>
      <c r="N848" s="886"/>
      <c r="O848" s="886"/>
      <c r="P848" s="886"/>
      <c r="Q848" s="886"/>
      <c r="R848" s="886"/>
      <c r="S848" s="886"/>
      <c r="T848" s="886"/>
      <c r="U848" s="886"/>
      <c r="V848" s="886"/>
      <c r="W848" s="886"/>
      <c r="X848" s="886"/>
      <c r="Y848" s="886"/>
    </row>
    <row r="849" spans="3:25">
      <c r="C849" s="942"/>
      <c r="D849" s="942"/>
      <c r="E849" s="943"/>
      <c r="F849" s="943"/>
      <c r="G849" s="886"/>
      <c r="H849" s="886"/>
      <c r="I849" s="886"/>
      <c r="J849" s="886"/>
      <c r="K849" s="886"/>
      <c r="L849" s="886"/>
      <c r="M849" s="886"/>
      <c r="N849" s="886"/>
      <c r="O849" s="886"/>
      <c r="P849" s="886"/>
      <c r="Q849" s="886"/>
      <c r="R849" s="886"/>
      <c r="S849" s="886"/>
      <c r="T849" s="886"/>
      <c r="U849" s="886"/>
      <c r="V849" s="886"/>
      <c r="W849" s="886"/>
      <c r="X849" s="886"/>
      <c r="Y849" s="886"/>
    </row>
    <row r="850" spans="3:25">
      <c r="C850" s="942"/>
      <c r="D850" s="942"/>
      <c r="E850" s="943"/>
      <c r="F850" s="943"/>
      <c r="G850" s="886"/>
      <c r="H850" s="886"/>
      <c r="I850" s="886"/>
      <c r="J850" s="886"/>
      <c r="K850" s="886"/>
      <c r="L850" s="886"/>
      <c r="M850" s="886"/>
      <c r="N850" s="886"/>
      <c r="O850" s="886"/>
      <c r="P850" s="886"/>
      <c r="Q850" s="886"/>
      <c r="R850" s="886"/>
      <c r="S850" s="886"/>
      <c r="T850" s="886"/>
      <c r="U850" s="886"/>
      <c r="V850" s="886"/>
      <c r="W850" s="886"/>
      <c r="X850" s="886"/>
      <c r="Y850" s="886"/>
    </row>
    <row r="851" spans="3:25">
      <c r="C851" s="942"/>
      <c r="D851" s="942"/>
      <c r="E851" s="943"/>
      <c r="F851" s="943"/>
      <c r="G851" s="886"/>
      <c r="H851" s="886"/>
      <c r="I851" s="886"/>
      <c r="J851" s="886"/>
      <c r="K851" s="886"/>
      <c r="L851" s="886"/>
      <c r="M851" s="886"/>
      <c r="N851" s="886"/>
      <c r="O851" s="886"/>
      <c r="P851" s="886"/>
      <c r="Q851" s="886"/>
      <c r="R851" s="886"/>
      <c r="S851" s="886"/>
      <c r="T851" s="886"/>
      <c r="U851" s="886"/>
      <c r="V851" s="886"/>
      <c r="W851" s="886"/>
      <c r="X851" s="886"/>
      <c r="Y851" s="886"/>
    </row>
    <row r="852" spans="3:25">
      <c r="C852" s="942"/>
      <c r="D852" s="942"/>
      <c r="E852" s="943"/>
      <c r="F852" s="943"/>
      <c r="G852" s="886"/>
      <c r="H852" s="886"/>
      <c r="I852" s="886"/>
      <c r="J852" s="886"/>
      <c r="K852" s="886"/>
      <c r="L852" s="886"/>
      <c r="M852" s="886"/>
      <c r="N852" s="886"/>
      <c r="O852" s="886"/>
      <c r="P852" s="886"/>
      <c r="Q852" s="886"/>
      <c r="R852" s="886"/>
      <c r="S852" s="886"/>
      <c r="T852" s="886"/>
      <c r="U852" s="886"/>
      <c r="V852" s="886"/>
      <c r="W852" s="886"/>
      <c r="X852" s="886"/>
      <c r="Y852" s="886"/>
    </row>
    <row r="853" spans="3:25">
      <c r="C853" s="942"/>
      <c r="D853" s="942"/>
      <c r="E853" s="943"/>
      <c r="F853" s="943"/>
      <c r="G853" s="886"/>
      <c r="H853" s="886"/>
      <c r="I853" s="886"/>
      <c r="J853" s="886"/>
      <c r="K853" s="886"/>
      <c r="L853" s="886"/>
      <c r="M853" s="886"/>
      <c r="N853" s="886"/>
      <c r="O853" s="886"/>
      <c r="P853" s="886"/>
      <c r="Q853" s="886"/>
      <c r="R853" s="886"/>
      <c r="S853" s="886"/>
      <c r="T853" s="886"/>
      <c r="U853" s="886"/>
      <c r="V853" s="886"/>
      <c r="W853" s="886"/>
      <c r="X853" s="886"/>
      <c r="Y853" s="886"/>
    </row>
    <row r="854" spans="3:25">
      <c r="C854" s="942"/>
      <c r="D854" s="942"/>
      <c r="E854" s="943"/>
      <c r="F854" s="943"/>
      <c r="G854" s="886"/>
      <c r="H854" s="886"/>
      <c r="I854" s="886"/>
      <c r="J854" s="886"/>
      <c r="K854" s="886"/>
      <c r="L854" s="886"/>
      <c r="M854" s="886"/>
      <c r="N854" s="886"/>
      <c r="O854" s="886"/>
      <c r="P854" s="886"/>
      <c r="Q854" s="886"/>
      <c r="R854" s="886"/>
      <c r="S854" s="886"/>
      <c r="T854" s="886"/>
      <c r="U854" s="886"/>
      <c r="V854" s="886"/>
      <c r="W854" s="886"/>
      <c r="X854" s="886"/>
      <c r="Y854" s="886"/>
    </row>
    <row r="855" spans="3:25">
      <c r="C855" s="942"/>
      <c r="D855" s="942"/>
      <c r="E855" s="943"/>
      <c r="F855" s="943"/>
      <c r="G855" s="886"/>
      <c r="H855" s="886"/>
      <c r="I855" s="886"/>
      <c r="J855" s="886"/>
      <c r="K855" s="886"/>
      <c r="L855" s="886"/>
      <c r="M855" s="886"/>
      <c r="N855" s="886"/>
      <c r="O855" s="886"/>
      <c r="P855" s="886"/>
      <c r="Q855" s="886"/>
      <c r="R855" s="886"/>
      <c r="S855" s="886"/>
      <c r="T855" s="886"/>
      <c r="U855" s="886"/>
      <c r="V855" s="886"/>
      <c r="W855" s="886"/>
      <c r="X855" s="886"/>
      <c r="Y855" s="886"/>
    </row>
    <row r="856" spans="3:25">
      <c r="C856" s="942"/>
      <c r="D856" s="942"/>
      <c r="E856" s="943"/>
      <c r="F856" s="943"/>
      <c r="G856" s="886"/>
      <c r="H856" s="886"/>
      <c r="I856" s="886"/>
      <c r="J856" s="886"/>
      <c r="K856" s="886"/>
      <c r="L856" s="886"/>
      <c r="M856" s="886"/>
      <c r="N856" s="886"/>
      <c r="O856" s="886"/>
      <c r="P856" s="886"/>
      <c r="Q856" s="886"/>
      <c r="R856" s="886"/>
      <c r="S856" s="886"/>
      <c r="T856" s="886"/>
      <c r="U856" s="886"/>
      <c r="V856" s="886"/>
      <c r="W856" s="886"/>
      <c r="X856" s="886"/>
      <c r="Y856" s="886"/>
    </row>
    <row r="857" spans="3:25">
      <c r="C857" s="942"/>
      <c r="D857" s="942"/>
      <c r="E857" s="943"/>
      <c r="F857" s="943"/>
      <c r="G857" s="886"/>
      <c r="H857" s="886"/>
      <c r="I857" s="886"/>
      <c r="J857" s="886"/>
      <c r="K857" s="886"/>
      <c r="L857" s="886"/>
      <c r="M857" s="886"/>
      <c r="N857" s="886"/>
      <c r="O857" s="886"/>
      <c r="P857" s="886"/>
      <c r="Q857" s="886"/>
      <c r="R857" s="886"/>
      <c r="S857" s="886"/>
      <c r="T857" s="886"/>
      <c r="U857" s="886"/>
      <c r="V857" s="886"/>
      <c r="W857" s="886"/>
      <c r="X857" s="886"/>
      <c r="Y857" s="886"/>
    </row>
    <row r="858" spans="3:25">
      <c r="C858" s="942"/>
      <c r="D858" s="942"/>
      <c r="E858" s="943"/>
      <c r="F858" s="943"/>
      <c r="G858" s="886"/>
      <c r="H858" s="886"/>
      <c r="I858" s="886"/>
      <c r="J858" s="886"/>
      <c r="K858" s="886"/>
      <c r="L858" s="886"/>
      <c r="M858" s="886"/>
      <c r="N858" s="886"/>
      <c r="O858" s="886"/>
      <c r="P858" s="886"/>
      <c r="Q858" s="886"/>
      <c r="R858" s="886"/>
      <c r="S858" s="886"/>
      <c r="T858" s="886"/>
      <c r="U858" s="886"/>
      <c r="V858" s="886"/>
      <c r="W858" s="886"/>
      <c r="X858" s="886"/>
      <c r="Y858" s="886"/>
    </row>
    <row r="859" spans="3:25">
      <c r="C859" s="942"/>
      <c r="D859" s="942"/>
      <c r="E859" s="943"/>
      <c r="F859" s="943"/>
      <c r="G859" s="886"/>
      <c r="H859" s="886"/>
      <c r="I859" s="886"/>
      <c r="J859" s="886"/>
      <c r="K859" s="886"/>
      <c r="L859" s="886"/>
      <c r="M859" s="886"/>
      <c r="N859" s="886"/>
      <c r="O859" s="886"/>
      <c r="P859" s="886"/>
      <c r="Q859" s="886"/>
      <c r="R859" s="886"/>
      <c r="S859" s="886"/>
      <c r="T859" s="886"/>
      <c r="U859" s="886"/>
      <c r="V859" s="886"/>
      <c r="W859" s="886"/>
      <c r="X859" s="886"/>
      <c r="Y859" s="886"/>
    </row>
    <row r="860" spans="3:25">
      <c r="C860" s="942"/>
      <c r="D860" s="942"/>
      <c r="E860" s="943"/>
      <c r="F860" s="943"/>
      <c r="G860" s="886"/>
      <c r="H860" s="886"/>
      <c r="I860" s="886"/>
      <c r="J860" s="886"/>
      <c r="K860" s="886"/>
      <c r="L860" s="886"/>
      <c r="M860" s="886"/>
      <c r="N860" s="886"/>
      <c r="O860" s="886"/>
      <c r="P860" s="886"/>
      <c r="Q860" s="886"/>
      <c r="R860" s="886"/>
      <c r="S860" s="886"/>
      <c r="T860" s="886"/>
      <c r="U860" s="886"/>
      <c r="V860" s="886"/>
      <c r="W860" s="886"/>
      <c r="X860" s="886"/>
      <c r="Y860" s="886"/>
    </row>
    <row r="861" spans="3:25">
      <c r="C861" s="942"/>
      <c r="D861" s="942"/>
      <c r="E861" s="943"/>
      <c r="F861" s="943"/>
      <c r="G861" s="886"/>
      <c r="H861" s="886"/>
      <c r="I861" s="886"/>
      <c r="J861" s="886"/>
      <c r="K861" s="886"/>
      <c r="L861" s="886"/>
      <c r="M861" s="886"/>
      <c r="N861" s="886"/>
      <c r="O861" s="886"/>
      <c r="P861" s="886"/>
      <c r="Q861" s="886"/>
      <c r="R861" s="886"/>
      <c r="S861" s="886"/>
      <c r="T861" s="886"/>
      <c r="U861" s="886"/>
      <c r="V861" s="886"/>
      <c r="W861" s="886"/>
      <c r="X861" s="886"/>
      <c r="Y861" s="886"/>
    </row>
    <row r="862" spans="3:25">
      <c r="C862" s="942"/>
      <c r="D862" s="942"/>
      <c r="E862" s="943"/>
      <c r="F862" s="943"/>
      <c r="G862" s="886"/>
      <c r="H862" s="886"/>
      <c r="I862" s="886"/>
      <c r="J862" s="886"/>
      <c r="K862" s="886"/>
      <c r="L862" s="886"/>
      <c r="M862" s="886"/>
      <c r="N862" s="886"/>
      <c r="O862" s="886"/>
      <c r="P862" s="886"/>
      <c r="Q862" s="886"/>
      <c r="R862" s="886"/>
      <c r="S862" s="886"/>
      <c r="T862" s="886"/>
      <c r="U862" s="886"/>
      <c r="V862" s="886"/>
      <c r="W862" s="886"/>
      <c r="X862" s="886"/>
      <c r="Y862" s="886"/>
    </row>
    <row r="863" spans="3:25">
      <c r="C863" s="942"/>
      <c r="D863" s="942"/>
      <c r="E863" s="943"/>
      <c r="F863" s="943"/>
      <c r="G863" s="886"/>
      <c r="H863" s="886"/>
      <c r="I863" s="886"/>
      <c r="J863" s="886"/>
      <c r="K863" s="886"/>
      <c r="L863" s="886"/>
      <c r="M863" s="886"/>
      <c r="N863" s="886"/>
      <c r="O863" s="886"/>
      <c r="P863" s="886"/>
      <c r="Q863" s="886"/>
      <c r="R863" s="886"/>
      <c r="S863" s="886"/>
      <c r="T863" s="886"/>
      <c r="U863" s="886"/>
      <c r="V863" s="886"/>
      <c r="W863" s="886"/>
      <c r="X863" s="886"/>
      <c r="Y863" s="886"/>
    </row>
    <row r="864" spans="3:25">
      <c r="C864" s="942"/>
      <c r="D864" s="942"/>
      <c r="E864" s="943"/>
      <c r="F864" s="943"/>
      <c r="G864" s="886"/>
      <c r="H864" s="886"/>
      <c r="I864" s="886"/>
      <c r="J864" s="886"/>
      <c r="K864" s="886"/>
      <c r="L864" s="886"/>
      <c r="M864" s="886"/>
      <c r="N864" s="886"/>
      <c r="O864" s="886"/>
      <c r="P864" s="886"/>
      <c r="Q864" s="886"/>
      <c r="R864" s="886"/>
      <c r="S864" s="886"/>
      <c r="T864" s="886"/>
      <c r="U864" s="886"/>
      <c r="V864" s="886"/>
      <c r="W864" s="886"/>
      <c r="X864" s="886"/>
      <c r="Y864" s="886"/>
    </row>
    <row r="865" spans="3:25">
      <c r="C865" s="942"/>
      <c r="D865" s="942"/>
      <c r="E865" s="943"/>
      <c r="F865" s="943"/>
      <c r="G865" s="886"/>
      <c r="H865" s="886"/>
      <c r="I865" s="886"/>
      <c r="J865" s="886"/>
      <c r="K865" s="886"/>
      <c r="L865" s="886"/>
      <c r="M865" s="886"/>
      <c r="N865" s="886"/>
      <c r="O865" s="886"/>
      <c r="P865" s="886"/>
      <c r="Q865" s="886"/>
      <c r="R865" s="886"/>
      <c r="S865" s="886"/>
      <c r="T865" s="886"/>
      <c r="U865" s="886"/>
      <c r="V865" s="886"/>
      <c r="W865" s="886"/>
      <c r="X865" s="886"/>
      <c r="Y865" s="886"/>
    </row>
    <row r="866" spans="3:25">
      <c r="C866" s="942"/>
      <c r="D866" s="942"/>
      <c r="E866" s="943"/>
      <c r="F866" s="943"/>
      <c r="G866" s="886"/>
      <c r="H866" s="886"/>
      <c r="I866" s="886"/>
      <c r="J866" s="886"/>
      <c r="K866" s="886"/>
      <c r="L866" s="886"/>
      <c r="M866" s="886"/>
      <c r="N866" s="886"/>
      <c r="O866" s="886"/>
      <c r="P866" s="886"/>
      <c r="Q866" s="886"/>
      <c r="R866" s="886"/>
      <c r="S866" s="886"/>
      <c r="T866" s="886"/>
      <c r="U866" s="886"/>
      <c r="V866" s="886"/>
      <c r="W866" s="886"/>
      <c r="X866" s="886"/>
      <c r="Y866" s="886"/>
    </row>
    <row r="867" spans="3:25">
      <c r="C867" s="942"/>
      <c r="D867" s="942"/>
      <c r="E867" s="943"/>
      <c r="F867" s="943"/>
      <c r="G867" s="886"/>
      <c r="H867" s="886"/>
      <c r="I867" s="886"/>
      <c r="J867" s="886"/>
      <c r="K867" s="886"/>
      <c r="L867" s="886"/>
      <c r="M867" s="886"/>
      <c r="N867" s="886"/>
      <c r="O867" s="886"/>
      <c r="P867" s="886"/>
      <c r="Q867" s="886"/>
      <c r="R867" s="886"/>
      <c r="S867" s="886"/>
      <c r="T867" s="886"/>
      <c r="U867" s="886"/>
      <c r="V867" s="886"/>
      <c r="W867" s="886"/>
      <c r="X867" s="886"/>
      <c r="Y867" s="886"/>
    </row>
    <row r="868" spans="3:25">
      <c r="C868" s="942"/>
      <c r="D868" s="942"/>
      <c r="E868" s="943"/>
      <c r="F868" s="943"/>
      <c r="G868" s="886"/>
      <c r="H868" s="886"/>
      <c r="I868" s="886"/>
      <c r="J868" s="886"/>
      <c r="K868" s="886"/>
      <c r="L868" s="886"/>
      <c r="M868" s="886"/>
      <c r="N868" s="886"/>
      <c r="O868" s="886"/>
      <c r="P868" s="886"/>
      <c r="Q868" s="886"/>
      <c r="R868" s="886"/>
      <c r="S868" s="886"/>
      <c r="T868" s="886"/>
      <c r="U868" s="886"/>
      <c r="V868" s="886"/>
      <c r="W868" s="886"/>
      <c r="X868" s="886"/>
      <c r="Y868" s="886"/>
    </row>
    <row r="869" spans="3:25">
      <c r="C869" s="942"/>
      <c r="D869" s="942"/>
      <c r="E869" s="943"/>
      <c r="F869" s="943"/>
      <c r="G869" s="886"/>
      <c r="H869" s="886"/>
      <c r="I869" s="886"/>
      <c r="J869" s="886"/>
      <c r="K869" s="886"/>
      <c r="L869" s="886"/>
      <c r="M869" s="886"/>
      <c r="N869" s="886"/>
      <c r="O869" s="886"/>
      <c r="P869" s="886"/>
      <c r="Q869" s="886"/>
      <c r="R869" s="886"/>
      <c r="S869" s="886"/>
      <c r="T869" s="886"/>
      <c r="U869" s="886"/>
      <c r="V869" s="886"/>
      <c r="W869" s="886"/>
      <c r="X869" s="886"/>
      <c r="Y869" s="886"/>
    </row>
    <row r="870" spans="3:25">
      <c r="C870" s="942"/>
      <c r="D870" s="942"/>
      <c r="E870" s="943"/>
      <c r="F870" s="943"/>
      <c r="G870" s="886"/>
      <c r="H870" s="886"/>
      <c r="I870" s="886"/>
      <c r="J870" s="886"/>
      <c r="K870" s="886"/>
      <c r="L870" s="886"/>
      <c r="M870" s="886"/>
      <c r="N870" s="886"/>
      <c r="O870" s="886"/>
      <c r="P870" s="886"/>
      <c r="Q870" s="886"/>
      <c r="R870" s="886"/>
      <c r="S870" s="886"/>
      <c r="T870" s="886"/>
      <c r="U870" s="886"/>
      <c r="V870" s="886"/>
      <c r="W870" s="886"/>
      <c r="X870" s="886"/>
      <c r="Y870" s="886"/>
    </row>
    <row r="871" spans="3:25">
      <c r="C871" s="942"/>
      <c r="D871" s="942"/>
      <c r="E871" s="943"/>
      <c r="F871" s="943"/>
      <c r="G871" s="886"/>
      <c r="H871" s="886"/>
      <c r="I871" s="886"/>
      <c r="J871" s="886"/>
      <c r="K871" s="886"/>
      <c r="L871" s="886"/>
      <c r="M871" s="886"/>
      <c r="N871" s="886"/>
      <c r="O871" s="886"/>
      <c r="P871" s="886"/>
      <c r="Q871" s="886"/>
      <c r="R871" s="886"/>
      <c r="S871" s="886"/>
      <c r="T871" s="886"/>
      <c r="U871" s="886"/>
      <c r="V871" s="886"/>
      <c r="W871" s="886"/>
      <c r="X871" s="886"/>
      <c r="Y871" s="886"/>
    </row>
    <row r="872" spans="3:25">
      <c r="C872" s="942"/>
      <c r="D872" s="942"/>
      <c r="E872" s="943"/>
      <c r="F872" s="943"/>
      <c r="G872" s="886"/>
      <c r="H872" s="886"/>
      <c r="I872" s="886"/>
      <c r="J872" s="886"/>
      <c r="K872" s="886"/>
      <c r="L872" s="886"/>
      <c r="M872" s="886"/>
      <c r="N872" s="886"/>
      <c r="O872" s="886"/>
      <c r="P872" s="886"/>
      <c r="Q872" s="886"/>
      <c r="R872" s="886"/>
      <c r="S872" s="886"/>
      <c r="T872" s="886"/>
      <c r="U872" s="886"/>
      <c r="V872" s="886"/>
      <c r="W872" s="886"/>
      <c r="X872" s="886"/>
      <c r="Y872" s="886"/>
    </row>
    <row r="873" spans="3:25">
      <c r="C873" s="942"/>
      <c r="D873" s="942"/>
      <c r="E873" s="943"/>
      <c r="F873" s="943"/>
      <c r="G873" s="886"/>
      <c r="H873" s="886"/>
      <c r="I873" s="886"/>
      <c r="J873" s="886"/>
      <c r="K873" s="886"/>
      <c r="L873" s="886"/>
      <c r="M873" s="886"/>
      <c r="N873" s="886"/>
      <c r="O873" s="886"/>
      <c r="P873" s="886"/>
      <c r="Q873" s="886"/>
      <c r="R873" s="886"/>
      <c r="S873" s="886"/>
      <c r="T873" s="886"/>
      <c r="U873" s="886"/>
      <c r="V873" s="886"/>
      <c r="W873" s="886"/>
      <c r="X873" s="886"/>
      <c r="Y873" s="886"/>
    </row>
    <row r="874" spans="3:25">
      <c r="C874" s="942"/>
      <c r="D874" s="942"/>
      <c r="E874" s="943"/>
      <c r="F874" s="943"/>
      <c r="G874" s="886"/>
      <c r="H874" s="886"/>
      <c r="I874" s="886"/>
      <c r="J874" s="886"/>
      <c r="K874" s="886"/>
      <c r="L874" s="886"/>
      <c r="M874" s="886"/>
      <c r="N874" s="886"/>
      <c r="O874" s="886"/>
      <c r="P874" s="886"/>
      <c r="Q874" s="886"/>
      <c r="R874" s="886"/>
      <c r="S874" s="886"/>
      <c r="T874" s="886"/>
      <c r="U874" s="886"/>
      <c r="V874" s="886"/>
      <c r="W874" s="886"/>
      <c r="X874" s="886"/>
      <c r="Y874" s="886"/>
    </row>
    <row r="875" spans="3:25">
      <c r="C875" s="942"/>
      <c r="D875" s="942"/>
      <c r="E875" s="943"/>
      <c r="F875" s="943"/>
      <c r="G875" s="886"/>
      <c r="H875" s="886"/>
      <c r="I875" s="886"/>
      <c r="J875" s="886"/>
      <c r="K875" s="886"/>
      <c r="L875" s="886"/>
      <c r="M875" s="886"/>
      <c r="N875" s="886"/>
      <c r="O875" s="886"/>
      <c r="P875" s="886"/>
      <c r="Q875" s="886"/>
      <c r="R875" s="886"/>
      <c r="S875" s="886"/>
      <c r="T875" s="886"/>
      <c r="U875" s="886"/>
      <c r="V875" s="886"/>
      <c r="W875" s="886"/>
      <c r="X875" s="886"/>
      <c r="Y875" s="886"/>
    </row>
    <row r="876" spans="3:25">
      <c r="C876" s="942"/>
      <c r="D876" s="942"/>
      <c r="E876" s="943"/>
      <c r="F876" s="943"/>
      <c r="G876" s="886"/>
      <c r="H876" s="886"/>
      <c r="I876" s="886"/>
      <c r="J876" s="886"/>
      <c r="K876" s="886"/>
      <c r="L876" s="886"/>
      <c r="M876" s="886"/>
      <c r="N876" s="886"/>
      <c r="O876" s="886"/>
      <c r="P876" s="886"/>
      <c r="Q876" s="886"/>
      <c r="R876" s="886"/>
      <c r="S876" s="886"/>
      <c r="T876" s="886"/>
      <c r="U876" s="886"/>
      <c r="V876" s="886"/>
      <c r="W876" s="886"/>
      <c r="X876" s="886"/>
      <c r="Y876" s="886"/>
    </row>
    <row r="877" spans="3:25">
      <c r="C877" s="942"/>
      <c r="D877" s="942"/>
      <c r="E877" s="943"/>
      <c r="F877" s="943"/>
      <c r="G877" s="886"/>
      <c r="H877" s="886"/>
      <c r="I877" s="886"/>
      <c r="J877" s="886"/>
      <c r="K877" s="886"/>
      <c r="L877" s="886"/>
      <c r="M877" s="886"/>
      <c r="N877" s="886"/>
      <c r="O877" s="886"/>
      <c r="P877" s="886"/>
      <c r="Q877" s="886"/>
      <c r="R877" s="886"/>
      <c r="S877" s="886"/>
      <c r="T877" s="886"/>
      <c r="U877" s="886"/>
      <c r="V877" s="886"/>
      <c r="W877" s="886"/>
      <c r="X877" s="886"/>
      <c r="Y877" s="886"/>
    </row>
    <row r="878" spans="3:25">
      <c r="C878" s="942"/>
      <c r="D878" s="942"/>
      <c r="E878" s="943"/>
      <c r="F878" s="943"/>
      <c r="G878" s="886"/>
      <c r="H878" s="886"/>
      <c r="I878" s="886"/>
      <c r="J878" s="886"/>
      <c r="K878" s="886"/>
      <c r="L878" s="886"/>
      <c r="M878" s="886"/>
      <c r="N878" s="886"/>
      <c r="O878" s="886"/>
      <c r="P878" s="886"/>
      <c r="Q878" s="886"/>
      <c r="R878" s="886"/>
      <c r="S878" s="886"/>
      <c r="T878" s="886"/>
      <c r="U878" s="886"/>
      <c r="V878" s="886"/>
      <c r="W878" s="886"/>
      <c r="X878" s="886"/>
      <c r="Y878" s="886"/>
    </row>
    <row r="879" spans="3:25">
      <c r="C879" s="942"/>
      <c r="D879" s="942"/>
      <c r="E879" s="943"/>
      <c r="F879" s="943"/>
      <c r="G879" s="886"/>
      <c r="H879" s="886"/>
      <c r="I879" s="886"/>
      <c r="J879" s="886"/>
      <c r="K879" s="886"/>
      <c r="L879" s="886"/>
      <c r="M879" s="886"/>
      <c r="N879" s="886"/>
      <c r="O879" s="886"/>
      <c r="P879" s="886"/>
      <c r="Q879" s="886"/>
      <c r="R879" s="886"/>
      <c r="S879" s="886"/>
      <c r="T879" s="886"/>
      <c r="U879" s="886"/>
      <c r="V879" s="886"/>
      <c r="W879" s="886"/>
      <c r="X879" s="886"/>
      <c r="Y879" s="886"/>
    </row>
    <row r="880" spans="3:25">
      <c r="C880" s="942"/>
      <c r="D880" s="942"/>
      <c r="E880" s="943"/>
      <c r="F880" s="943"/>
      <c r="G880" s="886"/>
      <c r="H880" s="886"/>
      <c r="I880" s="886"/>
      <c r="J880" s="886"/>
      <c r="K880" s="886"/>
      <c r="L880" s="886"/>
      <c r="M880" s="886"/>
      <c r="N880" s="886"/>
      <c r="O880" s="886"/>
      <c r="P880" s="886"/>
      <c r="Q880" s="886"/>
      <c r="R880" s="886"/>
      <c r="S880" s="886"/>
      <c r="T880" s="886"/>
      <c r="U880" s="886"/>
      <c r="V880" s="886"/>
      <c r="W880" s="886"/>
      <c r="X880" s="886"/>
      <c r="Y880" s="886"/>
    </row>
    <row r="881" spans="3:25">
      <c r="C881" s="942"/>
      <c r="D881" s="942"/>
      <c r="E881" s="943"/>
      <c r="F881" s="943"/>
      <c r="G881" s="886"/>
      <c r="H881" s="886"/>
      <c r="I881" s="886"/>
      <c r="J881" s="886"/>
      <c r="K881" s="886"/>
      <c r="L881" s="886"/>
      <c r="M881" s="886"/>
      <c r="N881" s="886"/>
      <c r="O881" s="886"/>
      <c r="P881" s="886"/>
      <c r="Q881" s="886"/>
      <c r="R881" s="886"/>
      <c r="S881" s="886"/>
      <c r="T881" s="886"/>
      <c r="U881" s="886"/>
      <c r="V881" s="886"/>
      <c r="W881" s="886"/>
      <c r="X881" s="886"/>
      <c r="Y881" s="886"/>
    </row>
    <row r="882" spans="3:25">
      <c r="C882" s="942"/>
      <c r="D882" s="942"/>
      <c r="E882" s="943"/>
      <c r="F882" s="943"/>
      <c r="G882" s="886"/>
      <c r="H882" s="886"/>
      <c r="I882" s="886"/>
      <c r="J882" s="886"/>
      <c r="K882" s="886"/>
      <c r="L882" s="886"/>
      <c r="M882" s="886"/>
      <c r="N882" s="886"/>
      <c r="O882" s="886"/>
      <c r="P882" s="886"/>
      <c r="Q882" s="886"/>
      <c r="R882" s="886"/>
      <c r="S882" s="886"/>
      <c r="T882" s="886"/>
      <c r="U882" s="886"/>
      <c r="V882" s="886"/>
      <c r="W882" s="886"/>
      <c r="X882" s="886"/>
      <c r="Y882" s="886"/>
    </row>
    <row r="883" spans="3:25">
      <c r="C883" s="942"/>
      <c r="D883" s="942"/>
      <c r="E883" s="943"/>
      <c r="F883" s="943"/>
      <c r="G883" s="886"/>
      <c r="H883" s="886"/>
      <c r="I883" s="886"/>
      <c r="J883" s="886"/>
      <c r="K883" s="886"/>
      <c r="L883" s="886"/>
      <c r="M883" s="886"/>
      <c r="N883" s="886"/>
      <c r="O883" s="886"/>
      <c r="P883" s="886"/>
      <c r="Q883" s="886"/>
      <c r="R883" s="886"/>
      <c r="S883" s="886"/>
      <c r="T883" s="886"/>
      <c r="U883" s="886"/>
      <c r="V883" s="886"/>
      <c r="W883" s="886"/>
      <c r="X883" s="886"/>
      <c r="Y883" s="886"/>
    </row>
    <row r="884" spans="3:25">
      <c r="C884" s="942"/>
      <c r="D884" s="942"/>
      <c r="E884" s="943"/>
      <c r="F884" s="943"/>
      <c r="G884" s="886"/>
      <c r="H884" s="886"/>
      <c r="I884" s="886"/>
      <c r="J884" s="886"/>
      <c r="K884" s="886"/>
      <c r="L884" s="886"/>
      <c r="M884" s="886"/>
      <c r="N884" s="886"/>
      <c r="O884" s="886"/>
      <c r="P884" s="886"/>
      <c r="Q884" s="886"/>
      <c r="R884" s="886"/>
      <c r="S884" s="886"/>
      <c r="T884" s="886"/>
      <c r="U884" s="886"/>
      <c r="V884" s="886"/>
      <c r="W884" s="886"/>
      <c r="X884" s="886"/>
      <c r="Y884" s="886"/>
    </row>
    <row r="885" spans="3:25">
      <c r="C885" s="942"/>
      <c r="D885" s="942"/>
      <c r="E885" s="943"/>
      <c r="F885" s="943"/>
      <c r="G885" s="886"/>
      <c r="H885" s="886"/>
      <c r="I885" s="886"/>
      <c r="J885" s="886"/>
      <c r="K885" s="886"/>
      <c r="L885" s="886"/>
      <c r="M885" s="886"/>
      <c r="N885" s="886"/>
      <c r="O885" s="886"/>
      <c r="P885" s="886"/>
      <c r="Q885" s="886"/>
      <c r="R885" s="886"/>
      <c r="S885" s="886"/>
      <c r="T885" s="886"/>
      <c r="U885" s="886"/>
      <c r="V885" s="886"/>
      <c r="W885" s="886"/>
      <c r="X885" s="886"/>
      <c r="Y885" s="886"/>
    </row>
    <row r="886" spans="3:25">
      <c r="C886" s="942"/>
      <c r="D886" s="942"/>
      <c r="E886" s="943"/>
      <c r="F886" s="943"/>
      <c r="G886" s="886"/>
      <c r="H886" s="886"/>
      <c r="I886" s="886"/>
      <c r="J886" s="886"/>
      <c r="K886" s="886"/>
      <c r="L886" s="886"/>
      <c r="M886" s="886"/>
      <c r="N886" s="886"/>
      <c r="O886" s="886"/>
      <c r="P886" s="886"/>
      <c r="Q886" s="886"/>
      <c r="R886" s="886"/>
      <c r="S886" s="886"/>
      <c r="T886" s="886"/>
      <c r="U886" s="886"/>
      <c r="V886" s="886"/>
      <c r="W886" s="886"/>
      <c r="X886" s="886"/>
      <c r="Y886" s="886"/>
    </row>
    <row r="887" spans="3:25">
      <c r="C887" s="942"/>
      <c r="D887" s="942"/>
      <c r="E887" s="943"/>
      <c r="F887" s="943"/>
      <c r="G887" s="886"/>
      <c r="H887" s="886"/>
      <c r="I887" s="886"/>
      <c r="J887" s="886"/>
      <c r="K887" s="886"/>
      <c r="L887" s="886"/>
      <c r="M887" s="886"/>
      <c r="N887" s="886"/>
      <c r="O887" s="886"/>
      <c r="P887" s="886"/>
      <c r="Q887" s="886"/>
      <c r="R887" s="886"/>
      <c r="S887" s="886"/>
      <c r="T887" s="886"/>
      <c r="U887" s="886"/>
      <c r="V887" s="886"/>
      <c r="W887" s="886"/>
      <c r="X887" s="886"/>
      <c r="Y887" s="886"/>
    </row>
    <row r="888" spans="3:25">
      <c r="C888" s="942"/>
      <c r="D888" s="942"/>
      <c r="E888" s="943"/>
      <c r="F888" s="943"/>
      <c r="G888" s="886"/>
      <c r="H888" s="886"/>
      <c r="I888" s="886"/>
      <c r="J888" s="886"/>
      <c r="K888" s="886"/>
      <c r="L888" s="886"/>
      <c r="M888" s="886"/>
      <c r="N888" s="886"/>
      <c r="O888" s="886"/>
      <c r="P888" s="886"/>
      <c r="Q888" s="886"/>
      <c r="R888" s="886"/>
      <c r="S888" s="886"/>
      <c r="T888" s="886"/>
      <c r="U888" s="886"/>
      <c r="V888" s="886"/>
      <c r="W888" s="886"/>
      <c r="X888" s="886"/>
      <c r="Y888" s="886"/>
    </row>
    <row r="889" spans="3:25">
      <c r="C889" s="942"/>
      <c r="D889" s="942"/>
      <c r="E889" s="943"/>
      <c r="F889" s="943"/>
      <c r="G889" s="886"/>
      <c r="H889" s="886"/>
      <c r="I889" s="886"/>
      <c r="J889" s="886"/>
      <c r="K889" s="886"/>
      <c r="L889" s="886"/>
      <c r="M889" s="886"/>
      <c r="N889" s="886"/>
      <c r="O889" s="886"/>
      <c r="P889" s="886"/>
      <c r="Q889" s="886"/>
      <c r="R889" s="886"/>
      <c r="S889" s="886"/>
      <c r="T889" s="886"/>
      <c r="U889" s="886"/>
      <c r="V889" s="886"/>
      <c r="W889" s="886"/>
      <c r="X889" s="886"/>
      <c r="Y889" s="886"/>
    </row>
    <row r="890" spans="3:25">
      <c r="C890" s="942"/>
      <c r="D890" s="942"/>
      <c r="E890" s="943"/>
      <c r="F890" s="943"/>
      <c r="G890" s="886"/>
      <c r="H890" s="886"/>
      <c r="I890" s="886"/>
      <c r="J890" s="886"/>
      <c r="K890" s="886"/>
      <c r="L890" s="886"/>
      <c r="M890" s="886"/>
      <c r="N890" s="886"/>
      <c r="O890" s="886"/>
      <c r="P890" s="886"/>
      <c r="Q890" s="886"/>
      <c r="R890" s="886"/>
      <c r="S890" s="886"/>
      <c r="T890" s="886"/>
      <c r="U890" s="886"/>
      <c r="V890" s="886"/>
      <c r="W890" s="886"/>
      <c r="X890" s="886"/>
      <c r="Y890" s="886"/>
    </row>
    <row r="891" spans="3:25">
      <c r="C891" s="942"/>
      <c r="D891" s="942"/>
      <c r="E891" s="943"/>
      <c r="F891" s="943"/>
      <c r="G891" s="886"/>
      <c r="H891" s="886"/>
      <c r="I891" s="886"/>
      <c r="J891" s="886"/>
      <c r="K891" s="886"/>
      <c r="L891" s="886"/>
      <c r="M891" s="886"/>
      <c r="N891" s="886"/>
      <c r="O891" s="886"/>
      <c r="P891" s="886"/>
      <c r="Q891" s="886"/>
      <c r="R891" s="886"/>
      <c r="S891" s="886"/>
      <c r="T891" s="886"/>
      <c r="U891" s="886"/>
      <c r="V891" s="886"/>
      <c r="W891" s="886"/>
      <c r="X891" s="886"/>
      <c r="Y891" s="886"/>
    </row>
    <row r="892" spans="3:25">
      <c r="C892" s="942"/>
      <c r="D892" s="942"/>
      <c r="E892" s="943"/>
      <c r="F892" s="943"/>
      <c r="G892" s="886"/>
      <c r="H892" s="886"/>
      <c r="I892" s="886"/>
      <c r="J892" s="886"/>
      <c r="K892" s="886"/>
      <c r="L892" s="886"/>
      <c r="M892" s="886"/>
      <c r="N892" s="886"/>
      <c r="O892" s="886"/>
      <c r="P892" s="886"/>
      <c r="Q892" s="886"/>
      <c r="R892" s="886"/>
      <c r="S892" s="886"/>
      <c r="T892" s="886"/>
      <c r="U892" s="886"/>
      <c r="V892" s="886"/>
      <c r="W892" s="886"/>
      <c r="X892" s="886"/>
      <c r="Y892" s="886"/>
    </row>
    <row r="893" spans="3:25">
      <c r="C893" s="942"/>
      <c r="D893" s="942"/>
      <c r="E893" s="943"/>
      <c r="F893" s="943"/>
      <c r="G893" s="886"/>
      <c r="H893" s="886"/>
      <c r="I893" s="886"/>
      <c r="J893" s="886"/>
      <c r="K893" s="886"/>
      <c r="L893" s="886"/>
      <c r="M893" s="886"/>
      <c r="N893" s="886"/>
      <c r="O893" s="886"/>
      <c r="P893" s="886"/>
      <c r="Q893" s="886"/>
      <c r="R893" s="886"/>
      <c r="S893" s="886"/>
      <c r="T893" s="886"/>
      <c r="U893" s="886"/>
      <c r="V893" s="886"/>
      <c r="W893" s="886"/>
      <c r="X893" s="886"/>
      <c r="Y893" s="886"/>
    </row>
    <row r="894" spans="3:25">
      <c r="C894" s="942"/>
      <c r="D894" s="942"/>
      <c r="E894" s="943"/>
      <c r="F894" s="943"/>
      <c r="G894" s="886"/>
      <c r="H894" s="886"/>
      <c r="I894" s="886"/>
      <c r="J894" s="886"/>
      <c r="K894" s="886"/>
      <c r="L894" s="886"/>
      <c r="M894" s="886"/>
      <c r="N894" s="886"/>
      <c r="O894" s="886"/>
      <c r="P894" s="886"/>
      <c r="Q894" s="886"/>
      <c r="R894" s="886"/>
      <c r="S894" s="886"/>
      <c r="T894" s="886"/>
      <c r="U894" s="886"/>
      <c r="V894" s="886"/>
      <c r="W894" s="886"/>
      <c r="X894" s="886"/>
      <c r="Y894" s="886"/>
    </row>
    <row r="895" spans="3:25">
      <c r="C895" s="942"/>
      <c r="D895" s="942"/>
      <c r="E895" s="943"/>
      <c r="F895" s="943"/>
      <c r="G895" s="886"/>
      <c r="H895" s="886"/>
      <c r="I895" s="886"/>
      <c r="J895" s="886"/>
      <c r="K895" s="886"/>
      <c r="L895" s="886"/>
      <c r="M895" s="886"/>
      <c r="N895" s="886"/>
      <c r="O895" s="886"/>
      <c r="P895" s="886"/>
      <c r="Q895" s="886"/>
      <c r="R895" s="886"/>
      <c r="S895" s="886"/>
      <c r="T895" s="886"/>
      <c r="U895" s="886"/>
      <c r="V895" s="886"/>
      <c r="W895" s="886"/>
      <c r="X895" s="886"/>
      <c r="Y895" s="886"/>
    </row>
    <row r="896" spans="3:25">
      <c r="C896" s="942"/>
      <c r="D896" s="942"/>
      <c r="E896" s="943"/>
      <c r="F896" s="943"/>
      <c r="G896" s="886"/>
      <c r="H896" s="886"/>
      <c r="I896" s="886"/>
      <c r="J896" s="886"/>
      <c r="K896" s="886"/>
      <c r="L896" s="886"/>
      <c r="M896" s="886"/>
      <c r="N896" s="886"/>
      <c r="O896" s="886"/>
      <c r="P896" s="886"/>
      <c r="Q896" s="886"/>
      <c r="R896" s="886"/>
      <c r="S896" s="886"/>
      <c r="T896" s="886"/>
      <c r="U896" s="886"/>
      <c r="V896" s="886"/>
      <c r="W896" s="886"/>
      <c r="X896" s="886"/>
      <c r="Y896" s="886"/>
    </row>
    <row r="897" spans="3:25">
      <c r="C897" s="942"/>
      <c r="D897" s="942"/>
      <c r="E897" s="943"/>
      <c r="F897" s="943"/>
      <c r="G897" s="886"/>
      <c r="H897" s="886"/>
      <c r="I897" s="886"/>
      <c r="J897" s="886"/>
      <c r="K897" s="886"/>
      <c r="L897" s="886"/>
      <c r="M897" s="886"/>
      <c r="N897" s="886"/>
      <c r="O897" s="886"/>
      <c r="P897" s="886"/>
      <c r="Q897" s="886"/>
      <c r="R897" s="886"/>
      <c r="S897" s="886"/>
      <c r="T897" s="886"/>
      <c r="U897" s="886"/>
      <c r="V897" s="886"/>
      <c r="W897" s="886"/>
      <c r="X897" s="886"/>
      <c r="Y897" s="886"/>
    </row>
    <row r="898" spans="3:25">
      <c r="C898" s="942"/>
      <c r="D898" s="942"/>
      <c r="E898" s="943"/>
      <c r="F898" s="943"/>
      <c r="G898" s="886"/>
      <c r="H898" s="886"/>
      <c r="I898" s="886"/>
      <c r="J898" s="886"/>
      <c r="K898" s="886"/>
      <c r="L898" s="886"/>
      <c r="M898" s="886"/>
      <c r="N898" s="886"/>
      <c r="O898" s="886"/>
      <c r="P898" s="886"/>
      <c r="Q898" s="886"/>
      <c r="R898" s="886"/>
      <c r="S898" s="886"/>
      <c r="T898" s="886"/>
      <c r="U898" s="886"/>
      <c r="V898" s="886"/>
      <c r="W898" s="886"/>
      <c r="X898" s="886"/>
      <c r="Y898" s="886"/>
    </row>
    <row r="899" spans="3:25">
      <c r="C899" s="942"/>
      <c r="D899" s="942"/>
      <c r="E899" s="943"/>
      <c r="F899" s="943"/>
      <c r="G899" s="886"/>
      <c r="H899" s="886"/>
      <c r="I899" s="886"/>
      <c r="J899" s="886"/>
      <c r="K899" s="886"/>
      <c r="L899" s="886"/>
      <c r="M899" s="886"/>
      <c r="N899" s="886"/>
      <c r="O899" s="886"/>
      <c r="P899" s="886"/>
      <c r="Q899" s="886"/>
      <c r="R899" s="886"/>
      <c r="S899" s="886"/>
      <c r="T899" s="886"/>
      <c r="U899" s="886"/>
      <c r="V899" s="886"/>
      <c r="W899" s="886"/>
      <c r="X899" s="886"/>
      <c r="Y899" s="886"/>
    </row>
    <row r="900" spans="3:25">
      <c r="C900" s="942"/>
      <c r="D900" s="942"/>
      <c r="E900" s="943"/>
      <c r="F900" s="943"/>
      <c r="G900" s="886"/>
      <c r="H900" s="886"/>
      <c r="I900" s="886"/>
      <c r="J900" s="886"/>
      <c r="K900" s="886"/>
      <c r="L900" s="886"/>
      <c r="M900" s="886"/>
      <c r="N900" s="886"/>
      <c r="O900" s="886"/>
      <c r="P900" s="886"/>
      <c r="Q900" s="886"/>
      <c r="R900" s="886"/>
      <c r="S900" s="886"/>
      <c r="T900" s="886"/>
      <c r="U900" s="886"/>
      <c r="V900" s="886"/>
      <c r="W900" s="886"/>
      <c r="X900" s="886"/>
      <c r="Y900" s="886"/>
    </row>
    <row r="901" spans="3:25">
      <c r="C901" s="942"/>
      <c r="D901" s="942"/>
      <c r="E901" s="943"/>
      <c r="F901" s="943"/>
      <c r="G901" s="886"/>
      <c r="H901" s="886"/>
      <c r="I901" s="886"/>
      <c r="J901" s="886"/>
      <c r="K901" s="886"/>
      <c r="L901" s="886"/>
      <c r="M901" s="886"/>
      <c r="N901" s="886"/>
      <c r="O901" s="886"/>
      <c r="P901" s="886"/>
      <c r="Q901" s="886"/>
      <c r="R901" s="886"/>
      <c r="S901" s="886"/>
      <c r="T901" s="886"/>
      <c r="U901" s="886"/>
      <c r="V901" s="886"/>
      <c r="W901" s="886"/>
      <c r="X901" s="886"/>
      <c r="Y901" s="886"/>
    </row>
    <row r="902" spans="3:25">
      <c r="C902" s="942"/>
      <c r="D902" s="942"/>
      <c r="E902" s="943"/>
      <c r="F902" s="943"/>
      <c r="G902" s="886"/>
      <c r="H902" s="886"/>
      <c r="I902" s="886"/>
      <c r="J902" s="886"/>
      <c r="K902" s="886"/>
      <c r="L902" s="886"/>
      <c r="M902" s="886"/>
      <c r="N902" s="886"/>
      <c r="O902" s="886"/>
      <c r="P902" s="886"/>
      <c r="Q902" s="886"/>
      <c r="R902" s="886"/>
      <c r="S902" s="886"/>
      <c r="T902" s="886"/>
      <c r="U902" s="886"/>
      <c r="V902" s="886"/>
      <c r="W902" s="886"/>
      <c r="X902" s="886"/>
      <c r="Y902" s="886"/>
    </row>
    <row r="903" spans="3:25">
      <c r="C903" s="942"/>
      <c r="D903" s="942"/>
      <c r="E903" s="943"/>
      <c r="F903" s="943"/>
      <c r="G903" s="886"/>
      <c r="H903" s="886"/>
      <c r="I903" s="886"/>
      <c r="J903" s="886"/>
      <c r="K903" s="886"/>
      <c r="L903" s="886"/>
      <c r="M903" s="886"/>
      <c r="N903" s="886"/>
      <c r="O903" s="886"/>
      <c r="P903" s="886"/>
      <c r="Q903" s="886"/>
      <c r="R903" s="886"/>
      <c r="S903" s="886"/>
      <c r="T903" s="886"/>
      <c r="U903" s="886"/>
      <c r="V903" s="886"/>
      <c r="W903" s="886"/>
      <c r="X903" s="886"/>
      <c r="Y903" s="886"/>
    </row>
    <row r="904" spans="3:25">
      <c r="C904" s="942"/>
      <c r="D904" s="942"/>
      <c r="E904" s="943"/>
      <c r="F904" s="943"/>
      <c r="G904" s="886"/>
      <c r="H904" s="886"/>
      <c r="I904" s="886"/>
      <c r="J904" s="886"/>
      <c r="K904" s="886"/>
      <c r="L904" s="886"/>
      <c r="M904" s="886"/>
      <c r="N904" s="886"/>
      <c r="O904" s="886"/>
      <c r="P904" s="886"/>
      <c r="Q904" s="886"/>
      <c r="R904" s="886"/>
      <c r="S904" s="886"/>
      <c r="T904" s="886"/>
      <c r="U904" s="886"/>
      <c r="V904" s="886"/>
      <c r="W904" s="886"/>
      <c r="X904" s="886"/>
      <c r="Y904" s="886"/>
    </row>
    <row r="905" spans="3:25">
      <c r="C905" s="942"/>
      <c r="D905" s="942"/>
      <c r="E905" s="943"/>
      <c r="F905" s="943"/>
      <c r="G905" s="886"/>
      <c r="H905" s="886"/>
      <c r="I905" s="886"/>
      <c r="J905" s="886"/>
      <c r="K905" s="886"/>
      <c r="L905" s="886"/>
      <c r="M905" s="886"/>
      <c r="N905" s="886"/>
      <c r="O905" s="886"/>
      <c r="P905" s="886"/>
      <c r="Q905" s="886"/>
      <c r="R905" s="886"/>
      <c r="S905" s="886"/>
      <c r="T905" s="886"/>
      <c r="U905" s="886"/>
      <c r="V905" s="886"/>
      <c r="W905" s="886"/>
      <c r="X905" s="886"/>
      <c r="Y905" s="886"/>
    </row>
    <row r="906" spans="3:25">
      <c r="C906" s="942"/>
      <c r="D906" s="942"/>
      <c r="E906" s="943"/>
      <c r="F906" s="943"/>
      <c r="G906" s="886"/>
      <c r="H906" s="886"/>
      <c r="I906" s="886"/>
      <c r="J906" s="886"/>
      <c r="K906" s="886"/>
      <c r="L906" s="886"/>
      <c r="M906" s="886"/>
      <c r="N906" s="886"/>
      <c r="O906" s="886"/>
      <c r="P906" s="886"/>
      <c r="Q906" s="886"/>
      <c r="R906" s="886"/>
      <c r="S906" s="886"/>
      <c r="T906" s="886"/>
      <c r="U906" s="886"/>
      <c r="V906" s="886"/>
      <c r="W906" s="886"/>
      <c r="X906" s="886"/>
      <c r="Y906" s="886"/>
    </row>
    <row r="907" spans="3:25">
      <c r="C907" s="942"/>
      <c r="D907" s="942"/>
      <c r="E907" s="943"/>
      <c r="F907" s="943"/>
      <c r="G907" s="886"/>
      <c r="H907" s="886"/>
      <c r="I907" s="886"/>
      <c r="J907" s="886"/>
      <c r="K907" s="886"/>
      <c r="L907" s="886"/>
      <c r="M907" s="886"/>
      <c r="N907" s="886"/>
      <c r="O907" s="886"/>
      <c r="P907" s="886"/>
      <c r="Q907" s="886"/>
      <c r="R907" s="886"/>
      <c r="S907" s="886"/>
      <c r="T907" s="886"/>
      <c r="U907" s="886"/>
      <c r="V907" s="886"/>
      <c r="W907" s="886"/>
      <c r="X907" s="886"/>
      <c r="Y907" s="886"/>
    </row>
    <row r="908" spans="3:25">
      <c r="C908" s="942"/>
      <c r="D908" s="942"/>
      <c r="E908" s="943"/>
      <c r="F908" s="943"/>
      <c r="G908" s="886"/>
      <c r="H908" s="886"/>
      <c r="I908" s="886"/>
      <c r="J908" s="886"/>
      <c r="K908" s="886"/>
      <c r="L908" s="886"/>
      <c r="M908" s="886"/>
      <c r="N908" s="886"/>
      <c r="O908" s="886"/>
      <c r="P908" s="886"/>
      <c r="Q908" s="886"/>
      <c r="R908" s="886"/>
      <c r="S908" s="886"/>
      <c r="T908" s="886"/>
      <c r="U908" s="886"/>
      <c r="V908" s="886"/>
      <c r="W908" s="886"/>
      <c r="X908" s="886"/>
      <c r="Y908" s="886"/>
    </row>
    <row r="909" spans="3:25">
      <c r="C909" s="942"/>
      <c r="D909" s="942"/>
      <c r="E909" s="943"/>
      <c r="F909" s="943"/>
      <c r="G909" s="886"/>
      <c r="H909" s="886"/>
      <c r="I909" s="886"/>
      <c r="J909" s="886"/>
      <c r="K909" s="886"/>
      <c r="L909" s="886"/>
      <c r="M909" s="886"/>
      <c r="N909" s="886"/>
      <c r="O909" s="886"/>
      <c r="P909" s="886"/>
      <c r="Q909" s="886"/>
      <c r="R909" s="886"/>
      <c r="S909" s="886"/>
      <c r="T909" s="886"/>
      <c r="U909" s="886"/>
      <c r="V909" s="886"/>
      <c r="W909" s="886"/>
      <c r="X909" s="886"/>
      <c r="Y909" s="886"/>
    </row>
    <row r="910" spans="3:25">
      <c r="C910" s="942"/>
      <c r="D910" s="942"/>
      <c r="E910" s="943"/>
      <c r="F910" s="943"/>
      <c r="G910" s="886"/>
      <c r="H910" s="886"/>
      <c r="I910" s="886"/>
      <c r="J910" s="886"/>
      <c r="K910" s="886"/>
      <c r="L910" s="886"/>
      <c r="M910" s="886"/>
      <c r="N910" s="886"/>
      <c r="O910" s="886"/>
      <c r="P910" s="886"/>
      <c r="Q910" s="886"/>
      <c r="R910" s="886"/>
      <c r="S910" s="886"/>
      <c r="T910" s="886"/>
      <c r="U910" s="886"/>
      <c r="V910" s="886"/>
      <c r="W910" s="886"/>
      <c r="X910" s="886"/>
      <c r="Y910" s="886"/>
    </row>
    <row r="911" spans="3:25">
      <c r="C911" s="942"/>
      <c r="D911" s="942"/>
      <c r="E911" s="943"/>
      <c r="F911" s="943"/>
      <c r="G911" s="886"/>
      <c r="H911" s="886"/>
      <c r="I911" s="886"/>
      <c r="J911" s="886"/>
      <c r="K911" s="886"/>
      <c r="L911" s="886"/>
      <c r="M911" s="886"/>
      <c r="N911" s="886"/>
      <c r="O911" s="886"/>
      <c r="P911" s="886"/>
      <c r="Q911" s="886"/>
      <c r="R911" s="886"/>
      <c r="S911" s="886"/>
      <c r="T911" s="886"/>
      <c r="U911" s="886"/>
      <c r="V911" s="886"/>
      <c r="W911" s="886"/>
      <c r="X911" s="886"/>
      <c r="Y911" s="886"/>
    </row>
    <row r="912" spans="3:25">
      <c r="C912" s="942"/>
      <c r="D912" s="942"/>
      <c r="E912" s="943"/>
      <c r="F912" s="943"/>
      <c r="G912" s="886"/>
      <c r="H912" s="886"/>
      <c r="I912" s="886"/>
      <c r="J912" s="886"/>
      <c r="K912" s="886"/>
      <c r="L912" s="886"/>
      <c r="M912" s="886"/>
      <c r="N912" s="886"/>
      <c r="O912" s="886"/>
      <c r="P912" s="886"/>
      <c r="Q912" s="886"/>
      <c r="R912" s="886"/>
      <c r="S912" s="886"/>
      <c r="T912" s="886"/>
      <c r="U912" s="886"/>
      <c r="V912" s="886"/>
      <c r="W912" s="886"/>
      <c r="X912" s="886"/>
      <c r="Y912" s="886"/>
    </row>
    <row r="913" spans="3:25">
      <c r="C913" s="942"/>
      <c r="D913" s="942"/>
      <c r="E913" s="943"/>
      <c r="F913" s="943"/>
      <c r="G913" s="886"/>
      <c r="H913" s="886"/>
      <c r="I913" s="886"/>
      <c r="J913" s="886"/>
      <c r="K913" s="886"/>
      <c r="L913" s="886"/>
      <c r="M913" s="886"/>
      <c r="N913" s="886"/>
      <c r="O913" s="886"/>
      <c r="P913" s="886"/>
      <c r="Q913" s="886"/>
      <c r="R913" s="886"/>
      <c r="S913" s="886"/>
      <c r="T913" s="886"/>
      <c r="U913" s="886"/>
      <c r="V913" s="886"/>
      <c r="W913" s="886"/>
      <c r="X913" s="886"/>
      <c r="Y913" s="886"/>
    </row>
    <row r="914" spans="3:25">
      <c r="C914" s="942"/>
      <c r="D914" s="942"/>
      <c r="E914" s="943"/>
      <c r="F914" s="943"/>
      <c r="G914" s="886"/>
      <c r="H914" s="886"/>
      <c r="I914" s="886"/>
      <c r="J914" s="886"/>
      <c r="K914" s="886"/>
      <c r="L914" s="886"/>
      <c r="M914" s="886"/>
      <c r="N914" s="886"/>
      <c r="O914" s="886"/>
      <c r="P914" s="886"/>
      <c r="Q914" s="886"/>
      <c r="R914" s="886"/>
      <c r="S914" s="886"/>
      <c r="T914" s="886"/>
      <c r="U914" s="886"/>
      <c r="V914" s="886"/>
      <c r="W914" s="886"/>
      <c r="X914" s="886"/>
      <c r="Y914" s="886"/>
    </row>
    <row r="915" spans="3:25">
      <c r="C915" s="942"/>
      <c r="D915" s="942"/>
      <c r="E915" s="943"/>
      <c r="F915" s="943"/>
      <c r="G915" s="886"/>
      <c r="H915" s="886"/>
      <c r="I915" s="886"/>
      <c r="J915" s="886"/>
      <c r="K915" s="886"/>
      <c r="L915" s="886"/>
      <c r="M915" s="886"/>
      <c r="N915" s="886"/>
      <c r="O915" s="886"/>
      <c r="P915" s="886"/>
      <c r="Q915" s="886"/>
      <c r="R915" s="886"/>
      <c r="S915" s="886"/>
      <c r="T915" s="886"/>
      <c r="U915" s="886"/>
      <c r="V915" s="886"/>
      <c r="W915" s="886"/>
      <c r="X915" s="886"/>
      <c r="Y915" s="886"/>
    </row>
    <row r="916" spans="3:25">
      <c r="C916" s="942"/>
      <c r="D916" s="942"/>
      <c r="E916" s="943"/>
      <c r="F916" s="943"/>
      <c r="G916" s="886"/>
      <c r="H916" s="886"/>
      <c r="I916" s="886"/>
      <c r="J916" s="886"/>
      <c r="K916" s="886"/>
      <c r="L916" s="886"/>
      <c r="M916" s="886"/>
      <c r="N916" s="886"/>
      <c r="O916" s="886"/>
      <c r="P916" s="886"/>
      <c r="Q916" s="886"/>
      <c r="R916" s="886"/>
      <c r="S916" s="886"/>
      <c r="T916" s="886"/>
      <c r="U916" s="886"/>
      <c r="V916" s="886"/>
      <c r="W916" s="886"/>
      <c r="X916" s="886"/>
      <c r="Y916" s="886"/>
    </row>
    <row r="917" spans="3:25">
      <c r="C917" s="942"/>
      <c r="D917" s="942"/>
      <c r="E917" s="943"/>
      <c r="F917" s="943"/>
      <c r="G917" s="886"/>
      <c r="H917" s="886"/>
      <c r="I917" s="886"/>
      <c r="J917" s="886"/>
      <c r="K917" s="886"/>
      <c r="L917" s="886"/>
      <c r="M917" s="886"/>
      <c r="N917" s="886"/>
      <c r="O917" s="886"/>
      <c r="P917" s="886"/>
      <c r="Q917" s="886"/>
      <c r="R917" s="886"/>
      <c r="S917" s="886"/>
      <c r="T917" s="886"/>
      <c r="U917" s="886"/>
      <c r="V917" s="886"/>
      <c r="W917" s="886"/>
      <c r="X917" s="886"/>
      <c r="Y917" s="886"/>
    </row>
    <row r="918" spans="3:25">
      <c r="C918" s="942"/>
      <c r="D918" s="942"/>
      <c r="E918" s="943"/>
      <c r="F918" s="943"/>
      <c r="G918" s="886"/>
      <c r="H918" s="886"/>
      <c r="I918" s="886"/>
      <c r="J918" s="886"/>
      <c r="K918" s="886"/>
      <c r="L918" s="886"/>
      <c r="M918" s="886"/>
      <c r="N918" s="886"/>
      <c r="O918" s="886"/>
      <c r="P918" s="886"/>
      <c r="Q918" s="886"/>
      <c r="R918" s="886"/>
      <c r="S918" s="886"/>
      <c r="T918" s="886"/>
      <c r="U918" s="886"/>
      <c r="V918" s="886"/>
      <c r="W918" s="886"/>
      <c r="X918" s="886"/>
      <c r="Y918" s="886"/>
    </row>
    <row r="919" spans="3:25">
      <c r="C919" s="942"/>
      <c r="D919" s="942"/>
      <c r="E919" s="943"/>
      <c r="F919" s="943"/>
      <c r="G919" s="886"/>
      <c r="H919" s="886"/>
      <c r="I919" s="886"/>
      <c r="J919" s="886"/>
      <c r="K919" s="886"/>
      <c r="L919" s="886"/>
      <c r="M919" s="886"/>
      <c r="N919" s="886"/>
      <c r="O919" s="886"/>
      <c r="P919" s="886"/>
      <c r="Q919" s="886"/>
      <c r="R919" s="886"/>
      <c r="S919" s="886"/>
      <c r="T919" s="886"/>
      <c r="U919" s="886"/>
      <c r="V919" s="886"/>
      <c r="W919" s="886"/>
      <c r="X919" s="886"/>
      <c r="Y919" s="886"/>
    </row>
    <row r="920" spans="3:25">
      <c r="C920" s="942"/>
      <c r="D920" s="942"/>
      <c r="E920" s="943"/>
      <c r="F920" s="943"/>
      <c r="G920" s="886"/>
      <c r="H920" s="886"/>
      <c r="I920" s="886"/>
      <c r="J920" s="886"/>
      <c r="K920" s="886"/>
      <c r="L920" s="886"/>
      <c r="M920" s="886"/>
      <c r="N920" s="886"/>
      <c r="O920" s="886"/>
      <c r="P920" s="886"/>
      <c r="Q920" s="886"/>
      <c r="R920" s="886"/>
      <c r="S920" s="886"/>
      <c r="T920" s="886"/>
      <c r="U920" s="886"/>
      <c r="V920" s="886"/>
      <c r="W920" s="886"/>
      <c r="X920" s="886"/>
      <c r="Y920" s="886"/>
    </row>
    <row r="921" spans="3:25">
      <c r="C921" s="942"/>
      <c r="D921" s="942"/>
      <c r="E921" s="943"/>
      <c r="F921" s="943"/>
      <c r="G921" s="886"/>
      <c r="H921" s="886"/>
      <c r="I921" s="886"/>
      <c r="J921" s="886"/>
      <c r="K921" s="886"/>
      <c r="L921" s="886"/>
      <c r="M921" s="886"/>
      <c r="N921" s="886"/>
      <c r="O921" s="886"/>
      <c r="P921" s="886"/>
      <c r="Q921" s="886"/>
      <c r="R921" s="886"/>
      <c r="S921" s="886"/>
      <c r="T921" s="886"/>
      <c r="U921" s="886"/>
      <c r="V921" s="886"/>
      <c r="W921" s="886"/>
      <c r="X921" s="886"/>
      <c r="Y921" s="886"/>
    </row>
    <row r="922" spans="3:25">
      <c r="C922" s="942"/>
      <c r="D922" s="942"/>
      <c r="E922" s="943"/>
      <c r="F922" s="943"/>
      <c r="G922" s="886"/>
      <c r="H922" s="886"/>
      <c r="I922" s="886"/>
      <c r="J922" s="886"/>
      <c r="K922" s="886"/>
      <c r="L922" s="886"/>
      <c r="M922" s="886"/>
      <c r="N922" s="886"/>
      <c r="O922" s="886"/>
      <c r="P922" s="886"/>
      <c r="Q922" s="886"/>
      <c r="R922" s="886"/>
      <c r="S922" s="886"/>
      <c r="T922" s="886"/>
      <c r="U922" s="886"/>
      <c r="V922" s="886"/>
      <c r="W922" s="886"/>
      <c r="X922" s="886"/>
      <c r="Y922" s="886"/>
    </row>
    <row r="923" spans="3:25">
      <c r="C923" s="942"/>
      <c r="D923" s="942"/>
      <c r="E923" s="943"/>
      <c r="F923" s="943"/>
      <c r="G923" s="886"/>
      <c r="H923" s="886"/>
      <c r="I923" s="886"/>
      <c r="J923" s="886"/>
      <c r="K923" s="886"/>
      <c r="L923" s="886"/>
      <c r="M923" s="886"/>
      <c r="N923" s="886"/>
      <c r="O923" s="886"/>
      <c r="P923" s="886"/>
      <c r="Q923" s="886"/>
      <c r="R923" s="886"/>
      <c r="S923" s="886"/>
      <c r="T923" s="886"/>
      <c r="U923" s="886"/>
      <c r="V923" s="886"/>
      <c r="W923" s="886"/>
      <c r="X923" s="886"/>
      <c r="Y923" s="886"/>
    </row>
    <row r="924" spans="3:25">
      <c r="C924" s="942"/>
      <c r="D924" s="942"/>
      <c r="E924" s="943"/>
      <c r="F924" s="943"/>
      <c r="G924" s="886"/>
      <c r="H924" s="886"/>
      <c r="I924" s="886"/>
      <c r="J924" s="886"/>
      <c r="K924" s="886"/>
      <c r="L924" s="886"/>
      <c r="M924" s="886"/>
      <c r="N924" s="886"/>
      <c r="O924" s="886"/>
      <c r="P924" s="886"/>
      <c r="Q924" s="886"/>
      <c r="R924" s="886"/>
      <c r="S924" s="886"/>
      <c r="T924" s="886"/>
      <c r="U924" s="886"/>
      <c r="V924" s="886"/>
      <c r="W924" s="886"/>
      <c r="X924" s="886"/>
      <c r="Y924" s="886"/>
    </row>
    <row r="925" spans="3:25">
      <c r="C925" s="942"/>
      <c r="D925" s="942"/>
      <c r="E925" s="943"/>
      <c r="F925" s="943"/>
      <c r="G925" s="886"/>
      <c r="H925" s="886"/>
      <c r="I925" s="886"/>
      <c r="J925" s="886"/>
      <c r="K925" s="886"/>
      <c r="L925" s="886"/>
      <c r="M925" s="886"/>
      <c r="N925" s="886"/>
      <c r="O925" s="886"/>
      <c r="P925" s="886"/>
      <c r="Q925" s="886"/>
      <c r="R925" s="886"/>
      <c r="S925" s="886"/>
      <c r="T925" s="886"/>
      <c r="U925" s="886"/>
      <c r="V925" s="886"/>
      <c r="W925" s="886"/>
      <c r="X925" s="886"/>
      <c r="Y925" s="886"/>
    </row>
    <row r="926" spans="3:25">
      <c r="C926" s="942"/>
      <c r="D926" s="942"/>
      <c r="E926" s="943"/>
      <c r="F926" s="943"/>
      <c r="G926" s="886"/>
      <c r="H926" s="886"/>
      <c r="I926" s="886"/>
      <c r="J926" s="886"/>
      <c r="K926" s="886"/>
      <c r="L926" s="886"/>
      <c r="M926" s="886"/>
      <c r="N926" s="886"/>
      <c r="O926" s="886"/>
      <c r="P926" s="886"/>
      <c r="Q926" s="886"/>
      <c r="R926" s="886"/>
      <c r="S926" s="886"/>
      <c r="T926" s="886"/>
      <c r="U926" s="886"/>
      <c r="V926" s="886"/>
      <c r="W926" s="886"/>
      <c r="X926" s="886"/>
      <c r="Y926" s="886"/>
    </row>
    <row r="927" spans="3:25">
      <c r="C927" s="942"/>
      <c r="D927" s="942"/>
      <c r="E927" s="943"/>
      <c r="F927" s="943"/>
      <c r="G927" s="886"/>
      <c r="H927" s="886"/>
      <c r="I927" s="886"/>
      <c r="J927" s="886"/>
      <c r="K927" s="886"/>
      <c r="L927" s="886"/>
      <c r="M927" s="886"/>
      <c r="N927" s="886"/>
      <c r="O927" s="886"/>
      <c r="P927" s="886"/>
      <c r="Q927" s="886"/>
      <c r="R927" s="886"/>
      <c r="S927" s="886"/>
      <c r="T927" s="886"/>
      <c r="U927" s="886"/>
      <c r="V927" s="886"/>
      <c r="W927" s="886"/>
      <c r="X927" s="886"/>
      <c r="Y927" s="886"/>
    </row>
    <row r="928" spans="3:25">
      <c r="C928" s="942"/>
      <c r="D928" s="942"/>
      <c r="E928" s="943"/>
      <c r="F928" s="943"/>
      <c r="G928" s="886"/>
      <c r="H928" s="886"/>
      <c r="I928" s="886"/>
      <c r="J928" s="886"/>
      <c r="K928" s="886"/>
      <c r="L928" s="886"/>
      <c r="M928" s="886"/>
      <c r="N928" s="886"/>
      <c r="O928" s="886"/>
      <c r="P928" s="886"/>
      <c r="Q928" s="886"/>
      <c r="R928" s="886"/>
      <c r="S928" s="886"/>
      <c r="T928" s="886"/>
      <c r="U928" s="886"/>
      <c r="V928" s="886"/>
      <c r="W928" s="886"/>
      <c r="X928" s="886"/>
      <c r="Y928" s="886"/>
    </row>
    <row r="929" spans="3:25">
      <c r="C929" s="942"/>
      <c r="D929" s="942"/>
      <c r="E929" s="943"/>
      <c r="F929" s="943"/>
      <c r="G929" s="886"/>
      <c r="H929" s="886"/>
      <c r="I929" s="886"/>
      <c r="J929" s="886"/>
      <c r="K929" s="886"/>
      <c r="L929" s="886"/>
      <c r="M929" s="886"/>
      <c r="N929" s="886"/>
      <c r="O929" s="886"/>
      <c r="P929" s="886"/>
      <c r="Q929" s="886"/>
      <c r="R929" s="886"/>
      <c r="S929" s="886"/>
      <c r="T929" s="886"/>
      <c r="U929" s="886"/>
      <c r="V929" s="886"/>
      <c r="W929" s="886"/>
      <c r="X929" s="886"/>
      <c r="Y929" s="886"/>
    </row>
    <row r="930" spans="3:25">
      <c r="C930" s="942"/>
      <c r="D930" s="942"/>
      <c r="E930" s="943"/>
      <c r="F930" s="943"/>
      <c r="G930" s="886"/>
      <c r="H930" s="886"/>
      <c r="I930" s="886"/>
      <c r="J930" s="886"/>
      <c r="K930" s="886"/>
      <c r="L930" s="886"/>
      <c r="M930" s="886"/>
      <c r="N930" s="886"/>
      <c r="O930" s="886"/>
      <c r="P930" s="886"/>
      <c r="Q930" s="886"/>
      <c r="R930" s="886"/>
      <c r="S930" s="886"/>
      <c r="T930" s="886"/>
      <c r="U930" s="886"/>
      <c r="V930" s="886"/>
      <c r="W930" s="886"/>
      <c r="X930" s="886"/>
      <c r="Y930" s="886"/>
    </row>
    <row r="931" spans="3:25">
      <c r="C931" s="942"/>
      <c r="D931" s="942"/>
      <c r="E931" s="943"/>
      <c r="F931" s="943"/>
      <c r="G931" s="886"/>
      <c r="H931" s="886"/>
      <c r="I931" s="886"/>
      <c r="J931" s="886"/>
      <c r="K931" s="886"/>
      <c r="L931" s="886"/>
      <c r="M931" s="886"/>
      <c r="N931" s="886"/>
      <c r="O931" s="886"/>
      <c r="P931" s="886"/>
      <c r="Q931" s="886"/>
      <c r="R931" s="886"/>
      <c r="S931" s="886"/>
      <c r="T931" s="886"/>
      <c r="U931" s="886"/>
      <c r="V931" s="886"/>
      <c r="W931" s="886"/>
      <c r="X931" s="886"/>
      <c r="Y931" s="886"/>
    </row>
    <row r="932" spans="3:25">
      <c r="C932" s="942"/>
      <c r="D932" s="942"/>
      <c r="E932" s="943"/>
      <c r="F932" s="943"/>
      <c r="G932" s="886"/>
      <c r="H932" s="886"/>
      <c r="I932" s="886"/>
      <c r="J932" s="886"/>
      <c r="K932" s="886"/>
      <c r="L932" s="886"/>
      <c r="M932" s="886"/>
      <c r="N932" s="886"/>
      <c r="O932" s="886"/>
      <c r="P932" s="886"/>
      <c r="Q932" s="886"/>
      <c r="R932" s="886"/>
      <c r="S932" s="886"/>
      <c r="T932" s="886"/>
      <c r="U932" s="886"/>
      <c r="V932" s="886"/>
      <c r="W932" s="886"/>
      <c r="X932" s="886"/>
      <c r="Y932" s="886"/>
    </row>
    <row r="933" spans="3:25">
      <c r="C933" s="942"/>
      <c r="D933" s="942"/>
      <c r="E933" s="943"/>
      <c r="F933" s="943"/>
      <c r="G933" s="886"/>
      <c r="H933" s="886"/>
      <c r="I933" s="886"/>
      <c r="J933" s="886"/>
      <c r="K933" s="886"/>
      <c r="L933" s="886"/>
      <c r="M933" s="886"/>
      <c r="N933" s="886"/>
      <c r="O933" s="886"/>
      <c r="P933" s="886"/>
      <c r="Q933" s="886"/>
      <c r="R933" s="886"/>
      <c r="S933" s="886"/>
      <c r="T933" s="886"/>
      <c r="U933" s="886"/>
      <c r="V933" s="886"/>
      <c r="W933" s="886"/>
      <c r="X933" s="886"/>
      <c r="Y933" s="886"/>
    </row>
    <row r="934" spans="3:25">
      <c r="C934" s="942"/>
      <c r="D934" s="942"/>
      <c r="E934" s="943"/>
      <c r="F934" s="943"/>
      <c r="G934" s="886"/>
      <c r="H934" s="886"/>
      <c r="I934" s="886"/>
      <c r="J934" s="886"/>
      <c r="K934" s="886"/>
      <c r="L934" s="886"/>
      <c r="M934" s="886"/>
      <c r="N934" s="886"/>
      <c r="O934" s="886"/>
      <c r="P934" s="886"/>
      <c r="Q934" s="886"/>
      <c r="R934" s="886"/>
      <c r="S934" s="886"/>
      <c r="T934" s="886"/>
      <c r="U934" s="886"/>
      <c r="V934" s="886"/>
      <c r="W934" s="886"/>
      <c r="X934" s="886"/>
      <c r="Y934" s="886"/>
    </row>
    <row r="935" spans="3:25">
      <c r="C935" s="942"/>
      <c r="D935" s="942"/>
      <c r="E935" s="943"/>
      <c r="F935" s="943"/>
      <c r="G935" s="886"/>
      <c r="H935" s="886"/>
      <c r="I935" s="886"/>
      <c r="J935" s="886"/>
      <c r="K935" s="886"/>
      <c r="L935" s="886"/>
      <c r="M935" s="886"/>
      <c r="N935" s="886"/>
      <c r="O935" s="886"/>
      <c r="P935" s="886"/>
      <c r="Q935" s="886"/>
      <c r="R935" s="886"/>
      <c r="S935" s="886"/>
      <c r="T935" s="886"/>
      <c r="U935" s="886"/>
      <c r="V935" s="886"/>
      <c r="W935" s="886"/>
      <c r="X935" s="886"/>
      <c r="Y935" s="886"/>
    </row>
    <row r="936" spans="3:25">
      <c r="C936" s="942"/>
      <c r="D936" s="942"/>
      <c r="E936" s="943"/>
      <c r="F936" s="943"/>
      <c r="G936" s="886"/>
      <c r="H936" s="886"/>
      <c r="I936" s="886"/>
      <c r="J936" s="886"/>
      <c r="K936" s="886"/>
      <c r="L936" s="886"/>
      <c r="M936" s="886"/>
      <c r="N936" s="886"/>
      <c r="O936" s="886"/>
      <c r="P936" s="886"/>
      <c r="Q936" s="886"/>
      <c r="R936" s="886"/>
      <c r="S936" s="886"/>
      <c r="T936" s="886"/>
      <c r="U936" s="886"/>
      <c r="V936" s="886"/>
      <c r="W936" s="886"/>
      <c r="X936" s="886"/>
      <c r="Y936" s="886"/>
    </row>
    <row r="937" spans="3:25">
      <c r="C937" s="942"/>
      <c r="D937" s="942"/>
      <c r="E937" s="943"/>
      <c r="F937" s="943"/>
      <c r="G937" s="886"/>
      <c r="H937" s="886"/>
      <c r="I937" s="886"/>
      <c r="J937" s="886"/>
      <c r="K937" s="886"/>
      <c r="L937" s="886"/>
      <c r="M937" s="886"/>
      <c r="N937" s="886"/>
      <c r="O937" s="886"/>
      <c r="P937" s="886"/>
      <c r="Q937" s="886"/>
      <c r="R937" s="886"/>
      <c r="S937" s="886"/>
      <c r="T937" s="886"/>
      <c r="U937" s="886"/>
      <c r="V937" s="886"/>
      <c r="W937" s="886"/>
      <c r="X937" s="886"/>
      <c r="Y937" s="886"/>
    </row>
    <row r="938" spans="3:25">
      <c r="C938" s="942"/>
      <c r="D938" s="942"/>
      <c r="E938" s="943"/>
      <c r="F938" s="943"/>
      <c r="G938" s="886"/>
      <c r="H938" s="886"/>
      <c r="I938" s="886"/>
      <c r="J938" s="886"/>
      <c r="K938" s="886"/>
      <c r="L938" s="886"/>
      <c r="M938" s="886"/>
      <c r="N938" s="886"/>
      <c r="O938" s="886"/>
      <c r="P938" s="886"/>
      <c r="Q938" s="886"/>
      <c r="R938" s="886"/>
      <c r="S938" s="886"/>
      <c r="T938" s="886"/>
      <c r="U938" s="886"/>
      <c r="V938" s="886"/>
      <c r="W938" s="886"/>
      <c r="X938" s="886"/>
      <c r="Y938" s="886"/>
    </row>
    <row r="939" spans="3:25">
      <c r="C939" s="942"/>
      <c r="D939" s="942"/>
      <c r="E939" s="943"/>
      <c r="F939" s="943"/>
      <c r="G939" s="886"/>
      <c r="H939" s="886"/>
      <c r="I939" s="886"/>
      <c r="J939" s="886"/>
      <c r="K939" s="886"/>
      <c r="L939" s="886"/>
      <c r="M939" s="886"/>
      <c r="N939" s="886"/>
      <c r="O939" s="886"/>
      <c r="P939" s="886"/>
      <c r="Q939" s="886"/>
      <c r="R939" s="886"/>
      <c r="S939" s="886"/>
      <c r="T939" s="886"/>
      <c r="U939" s="886"/>
      <c r="V939" s="886"/>
      <c r="W939" s="886"/>
      <c r="X939" s="886"/>
      <c r="Y939" s="886"/>
    </row>
    <row r="940" spans="3:25">
      <c r="C940" s="942"/>
      <c r="D940" s="942"/>
      <c r="E940" s="943"/>
      <c r="F940" s="943"/>
      <c r="G940" s="886"/>
      <c r="H940" s="886"/>
      <c r="I940" s="886"/>
      <c r="J940" s="886"/>
      <c r="K940" s="886"/>
      <c r="L940" s="886"/>
      <c r="M940" s="886"/>
      <c r="N940" s="886"/>
      <c r="O940" s="886"/>
      <c r="P940" s="886"/>
      <c r="Q940" s="886"/>
      <c r="R940" s="886"/>
      <c r="S940" s="886"/>
      <c r="T940" s="886"/>
      <c r="U940" s="886"/>
      <c r="V940" s="886"/>
      <c r="W940" s="886"/>
      <c r="X940" s="886"/>
      <c r="Y940" s="886"/>
    </row>
    <row r="941" spans="3:25">
      <c r="C941" s="942"/>
      <c r="D941" s="942"/>
      <c r="E941" s="943"/>
      <c r="F941" s="943"/>
      <c r="G941" s="886"/>
      <c r="H941" s="886"/>
      <c r="I941" s="886"/>
      <c r="J941" s="886"/>
      <c r="K941" s="886"/>
      <c r="L941" s="886"/>
      <c r="M941" s="886"/>
      <c r="N941" s="886"/>
      <c r="O941" s="886"/>
      <c r="P941" s="886"/>
      <c r="Q941" s="886"/>
      <c r="R941" s="886"/>
      <c r="S941" s="886"/>
      <c r="T941" s="886"/>
      <c r="U941" s="886"/>
      <c r="V941" s="886"/>
      <c r="W941" s="886"/>
      <c r="X941" s="886"/>
      <c r="Y941" s="886"/>
    </row>
    <row r="942" spans="3:25">
      <c r="C942" s="942"/>
      <c r="D942" s="942"/>
      <c r="E942" s="943"/>
      <c r="F942" s="943"/>
      <c r="G942" s="886"/>
      <c r="H942" s="886"/>
      <c r="I942" s="886"/>
      <c r="J942" s="886"/>
      <c r="K942" s="886"/>
      <c r="L942" s="886"/>
      <c r="M942" s="886"/>
      <c r="N942" s="886"/>
      <c r="O942" s="886"/>
      <c r="P942" s="886"/>
      <c r="Q942" s="886"/>
      <c r="R942" s="886"/>
      <c r="S942" s="886"/>
      <c r="T942" s="886"/>
      <c r="U942" s="886"/>
      <c r="V942" s="886"/>
      <c r="W942" s="886"/>
      <c r="X942" s="886"/>
      <c r="Y942" s="886"/>
    </row>
    <row r="943" spans="3:25">
      <c r="C943" s="942"/>
      <c r="D943" s="942"/>
      <c r="E943" s="943"/>
      <c r="F943" s="943"/>
      <c r="G943" s="886"/>
      <c r="H943" s="886"/>
      <c r="I943" s="886"/>
      <c r="J943" s="886"/>
      <c r="K943" s="886"/>
      <c r="L943" s="886"/>
      <c r="M943" s="886"/>
      <c r="N943" s="886"/>
      <c r="O943" s="886"/>
      <c r="P943" s="886"/>
      <c r="Q943" s="886"/>
      <c r="R943" s="886"/>
      <c r="S943" s="886"/>
      <c r="T943" s="886"/>
      <c r="U943" s="886"/>
      <c r="V943" s="886"/>
      <c r="W943" s="886"/>
      <c r="X943" s="886"/>
      <c r="Y943" s="886"/>
    </row>
    <row r="944" spans="3:25">
      <c r="C944" s="942"/>
      <c r="D944" s="942"/>
      <c r="E944" s="943"/>
      <c r="F944" s="943"/>
      <c r="G944" s="886"/>
      <c r="H944" s="886"/>
      <c r="I944" s="886"/>
      <c r="J944" s="886"/>
      <c r="K944" s="886"/>
      <c r="L944" s="886"/>
      <c r="M944" s="886"/>
      <c r="N944" s="886"/>
      <c r="O944" s="886"/>
      <c r="P944" s="886"/>
      <c r="Q944" s="886"/>
      <c r="R944" s="886"/>
      <c r="S944" s="886"/>
      <c r="T944" s="886"/>
      <c r="U944" s="886"/>
      <c r="V944" s="886"/>
      <c r="W944" s="886"/>
      <c r="X944" s="886"/>
      <c r="Y944" s="886"/>
    </row>
    <row r="945" spans="3:25">
      <c r="C945" s="942"/>
      <c r="D945" s="942"/>
      <c r="E945" s="943"/>
      <c r="F945" s="943"/>
      <c r="G945" s="886"/>
      <c r="H945" s="886"/>
      <c r="I945" s="886"/>
      <c r="J945" s="886"/>
      <c r="K945" s="886"/>
      <c r="L945" s="886"/>
      <c r="M945" s="886"/>
      <c r="N945" s="886"/>
      <c r="O945" s="886"/>
      <c r="P945" s="886"/>
      <c r="Q945" s="886"/>
      <c r="R945" s="886"/>
      <c r="S945" s="886"/>
      <c r="T945" s="886"/>
      <c r="U945" s="886"/>
      <c r="V945" s="886"/>
      <c r="W945" s="886"/>
      <c r="X945" s="886"/>
      <c r="Y945" s="886"/>
    </row>
    <row r="946" spans="3:25">
      <c r="C946" s="942"/>
      <c r="D946" s="942"/>
      <c r="E946" s="943"/>
      <c r="F946" s="943"/>
      <c r="G946" s="886"/>
      <c r="H946" s="886"/>
      <c r="I946" s="886"/>
      <c r="J946" s="886"/>
      <c r="K946" s="886"/>
      <c r="L946" s="886"/>
      <c r="M946" s="886"/>
      <c r="N946" s="886"/>
      <c r="O946" s="886"/>
      <c r="P946" s="886"/>
      <c r="Q946" s="886"/>
      <c r="R946" s="886"/>
      <c r="S946" s="886"/>
      <c r="T946" s="886"/>
      <c r="U946" s="886"/>
      <c r="V946" s="886"/>
      <c r="W946" s="886"/>
      <c r="X946" s="886"/>
      <c r="Y946" s="886"/>
    </row>
    <row r="947" spans="3:25">
      <c r="C947" s="942"/>
      <c r="D947" s="942"/>
      <c r="E947" s="943"/>
      <c r="F947" s="943"/>
      <c r="G947" s="886"/>
      <c r="H947" s="886"/>
      <c r="I947" s="886"/>
      <c r="J947" s="886"/>
      <c r="K947" s="886"/>
      <c r="L947" s="886"/>
      <c r="M947" s="886"/>
      <c r="N947" s="886"/>
      <c r="O947" s="886"/>
      <c r="P947" s="886"/>
      <c r="Q947" s="886"/>
      <c r="R947" s="886"/>
      <c r="S947" s="886"/>
      <c r="T947" s="886"/>
      <c r="U947" s="886"/>
      <c r="V947" s="886"/>
      <c r="W947" s="886"/>
      <c r="X947" s="886"/>
      <c r="Y947" s="886"/>
    </row>
    <row r="948" spans="3:25">
      <c r="C948" s="942"/>
      <c r="D948" s="942"/>
      <c r="E948" s="943"/>
      <c r="F948" s="943"/>
      <c r="G948" s="886"/>
      <c r="H948" s="886"/>
      <c r="I948" s="886"/>
      <c r="J948" s="886"/>
      <c r="K948" s="886"/>
      <c r="L948" s="886"/>
      <c r="M948" s="886"/>
      <c r="N948" s="886"/>
      <c r="O948" s="886"/>
      <c r="P948" s="886"/>
      <c r="Q948" s="886"/>
      <c r="R948" s="886"/>
      <c r="S948" s="886"/>
      <c r="T948" s="886"/>
      <c r="U948" s="886"/>
      <c r="V948" s="886"/>
      <c r="W948" s="886"/>
      <c r="X948" s="886"/>
      <c r="Y948" s="886"/>
    </row>
    <row r="949" spans="3:25">
      <c r="C949" s="942"/>
      <c r="D949" s="942"/>
      <c r="E949" s="943"/>
      <c r="F949" s="943"/>
      <c r="G949" s="886"/>
      <c r="H949" s="886"/>
      <c r="I949" s="886"/>
      <c r="J949" s="886"/>
      <c r="K949" s="886"/>
      <c r="L949" s="886"/>
      <c r="M949" s="886"/>
      <c r="N949" s="886"/>
      <c r="O949" s="886"/>
      <c r="P949" s="886"/>
      <c r="Q949" s="886"/>
      <c r="R949" s="886"/>
      <c r="S949" s="886"/>
      <c r="T949" s="886"/>
      <c r="U949" s="886"/>
      <c r="V949" s="886"/>
      <c r="W949" s="886"/>
      <c r="X949" s="886"/>
      <c r="Y949" s="886"/>
    </row>
    <row r="950" spans="3:25">
      <c r="C950" s="942"/>
      <c r="D950" s="942"/>
      <c r="E950" s="943"/>
      <c r="F950" s="943"/>
      <c r="G950" s="886"/>
      <c r="H950" s="886"/>
      <c r="I950" s="886"/>
      <c r="J950" s="886"/>
      <c r="K950" s="886"/>
      <c r="L950" s="886"/>
      <c r="M950" s="886"/>
      <c r="N950" s="886"/>
      <c r="O950" s="886"/>
      <c r="P950" s="886"/>
      <c r="Q950" s="886"/>
      <c r="R950" s="886"/>
      <c r="S950" s="886"/>
      <c r="T950" s="886"/>
      <c r="U950" s="886"/>
      <c r="V950" s="886"/>
      <c r="W950" s="886"/>
      <c r="X950" s="886"/>
      <c r="Y950" s="886"/>
    </row>
    <row r="951" spans="3:25">
      <c r="C951" s="942"/>
      <c r="D951" s="942"/>
      <c r="E951" s="943"/>
      <c r="F951" s="943"/>
      <c r="G951" s="886"/>
      <c r="H951" s="886"/>
      <c r="I951" s="886"/>
      <c r="J951" s="886"/>
      <c r="K951" s="886"/>
      <c r="L951" s="886"/>
      <c r="M951" s="886"/>
      <c r="N951" s="886"/>
      <c r="O951" s="886"/>
      <c r="P951" s="886"/>
      <c r="Q951" s="886"/>
      <c r="R951" s="886"/>
      <c r="S951" s="886"/>
      <c r="T951" s="886"/>
      <c r="U951" s="886"/>
      <c r="V951" s="886"/>
      <c r="W951" s="886"/>
      <c r="X951" s="886"/>
      <c r="Y951" s="886"/>
    </row>
    <row r="952" spans="3:25">
      <c r="C952" s="942"/>
      <c r="D952" s="942"/>
      <c r="E952" s="943"/>
      <c r="F952" s="943"/>
      <c r="G952" s="886"/>
      <c r="H952" s="886"/>
      <c r="I952" s="886"/>
      <c r="J952" s="886"/>
      <c r="K952" s="886"/>
      <c r="L952" s="886"/>
      <c r="M952" s="886"/>
      <c r="N952" s="886"/>
      <c r="O952" s="886"/>
      <c r="P952" s="886"/>
      <c r="Q952" s="886"/>
      <c r="R952" s="886"/>
      <c r="S952" s="886"/>
      <c r="T952" s="886"/>
      <c r="U952" s="886"/>
      <c r="V952" s="886"/>
      <c r="W952" s="886"/>
      <c r="X952" s="886"/>
      <c r="Y952" s="886"/>
    </row>
    <row r="953" spans="3:25">
      <c r="C953" s="942"/>
      <c r="D953" s="942"/>
      <c r="E953" s="943"/>
      <c r="F953" s="943"/>
      <c r="G953" s="886"/>
      <c r="H953" s="886"/>
      <c r="I953" s="886"/>
      <c r="J953" s="886"/>
      <c r="K953" s="886"/>
      <c r="L953" s="886"/>
      <c r="M953" s="886"/>
      <c r="N953" s="886"/>
      <c r="O953" s="886"/>
      <c r="P953" s="886"/>
      <c r="Q953" s="886"/>
      <c r="R953" s="886"/>
      <c r="S953" s="886"/>
      <c r="T953" s="886"/>
      <c r="U953" s="886"/>
      <c r="V953" s="886"/>
      <c r="W953" s="886"/>
      <c r="X953" s="886"/>
      <c r="Y953" s="886"/>
    </row>
    <row r="954" spans="3:25">
      <c r="C954" s="942"/>
      <c r="D954" s="942"/>
      <c r="E954" s="943"/>
      <c r="F954" s="943"/>
      <c r="G954" s="886"/>
      <c r="H954" s="886"/>
      <c r="I954" s="886"/>
      <c r="J954" s="886"/>
      <c r="K954" s="886"/>
      <c r="L954" s="886"/>
      <c r="M954" s="886"/>
      <c r="N954" s="886"/>
      <c r="O954" s="886"/>
      <c r="P954" s="886"/>
      <c r="Q954" s="886"/>
      <c r="R954" s="886"/>
      <c r="S954" s="886"/>
      <c r="T954" s="886"/>
      <c r="U954" s="886"/>
      <c r="V954" s="886"/>
      <c r="W954" s="886"/>
      <c r="X954" s="886"/>
      <c r="Y954" s="886"/>
    </row>
    <row r="955" spans="3:25">
      <c r="C955" s="942"/>
      <c r="D955" s="942"/>
      <c r="E955" s="943"/>
      <c r="F955" s="943"/>
      <c r="G955" s="886"/>
      <c r="H955" s="886"/>
      <c r="I955" s="886"/>
      <c r="J955" s="886"/>
      <c r="K955" s="886"/>
      <c r="L955" s="886"/>
      <c r="M955" s="886"/>
      <c r="N955" s="886"/>
      <c r="O955" s="886"/>
      <c r="P955" s="886"/>
      <c r="Q955" s="886"/>
      <c r="R955" s="886"/>
      <c r="S955" s="886"/>
      <c r="T955" s="886"/>
      <c r="U955" s="886"/>
      <c r="V955" s="886"/>
      <c r="W955" s="886"/>
      <c r="X955" s="886"/>
      <c r="Y955" s="886"/>
    </row>
    <row r="956" spans="3:25">
      <c r="C956" s="942"/>
      <c r="D956" s="942"/>
      <c r="E956" s="943"/>
      <c r="F956" s="943"/>
      <c r="G956" s="886"/>
      <c r="H956" s="886"/>
      <c r="I956" s="886"/>
      <c r="J956" s="886"/>
      <c r="K956" s="886"/>
      <c r="L956" s="886"/>
      <c r="M956" s="886"/>
      <c r="N956" s="886"/>
      <c r="O956" s="886"/>
      <c r="P956" s="886"/>
      <c r="Q956" s="886"/>
      <c r="R956" s="886"/>
      <c r="S956" s="886"/>
      <c r="T956" s="886"/>
      <c r="U956" s="886"/>
      <c r="V956" s="886"/>
      <c r="W956" s="886"/>
      <c r="X956" s="886"/>
      <c r="Y956" s="886"/>
    </row>
    <row r="957" spans="3:25">
      <c r="C957" s="942"/>
      <c r="D957" s="942"/>
      <c r="E957" s="943"/>
      <c r="F957" s="943"/>
      <c r="G957" s="886"/>
      <c r="H957" s="886"/>
      <c r="I957" s="886"/>
      <c r="J957" s="886"/>
      <c r="K957" s="886"/>
      <c r="L957" s="886"/>
      <c r="M957" s="886"/>
      <c r="N957" s="886"/>
      <c r="O957" s="886"/>
      <c r="P957" s="886"/>
      <c r="Q957" s="886"/>
      <c r="R957" s="886"/>
      <c r="S957" s="886"/>
      <c r="T957" s="886"/>
      <c r="U957" s="886"/>
      <c r="V957" s="886"/>
      <c r="W957" s="886"/>
      <c r="X957" s="886"/>
      <c r="Y957" s="886"/>
    </row>
    <row r="958" spans="3:25">
      <c r="C958" s="942"/>
      <c r="D958" s="942"/>
      <c r="E958" s="943"/>
      <c r="F958" s="943"/>
      <c r="G958" s="886"/>
      <c r="H958" s="886"/>
      <c r="I958" s="886"/>
      <c r="J958" s="886"/>
      <c r="K958" s="886"/>
      <c r="L958" s="886"/>
      <c r="M958" s="886"/>
      <c r="N958" s="886"/>
      <c r="O958" s="886"/>
      <c r="P958" s="886"/>
      <c r="Q958" s="886"/>
      <c r="R958" s="886"/>
      <c r="S958" s="886"/>
      <c r="T958" s="886"/>
      <c r="U958" s="886"/>
      <c r="V958" s="886"/>
      <c r="W958" s="886"/>
      <c r="X958" s="886"/>
      <c r="Y958" s="886"/>
    </row>
    <row r="959" spans="3:25">
      <c r="C959" s="942"/>
      <c r="D959" s="942"/>
      <c r="E959" s="943"/>
      <c r="F959" s="943"/>
      <c r="G959" s="886"/>
      <c r="H959" s="886"/>
      <c r="I959" s="886"/>
      <c r="J959" s="886"/>
      <c r="K959" s="886"/>
      <c r="L959" s="886"/>
      <c r="M959" s="886"/>
      <c r="N959" s="886"/>
      <c r="O959" s="886"/>
      <c r="P959" s="886"/>
      <c r="Q959" s="886"/>
      <c r="R959" s="886"/>
      <c r="S959" s="886"/>
      <c r="T959" s="886"/>
      <c r="U959" s="886"/>
      <c r="V959" s="886"/>
      <c r="W959" s="886"/>
      <c r="X959" s="886"/>
      <c r="Y959" s="886"/>
    </row>
    <row r="960" spans="3:25">
      <c r="C960" s="942"/>
      <c r="D960" s="942"/>
      <c r="E960" s="943"/>
      <c r="F960" s="943"/>
      <c r="G960" s="886"/>
      <c r="H960" s="886"/>
      <c r="I960" s="886"/>
      <c r="J960" s="886"/>
      <c r="K960" s="886"/>
      <c r="L960" s="886"/>
      <c r="M960" s="886"/>
      <c r="N960" s="886"/>
      <c r="O960" s="886"/>
      <c r="P960" s="886"/>
      <c r="Q960" s="886"/>
      <c r="R960" s="886"/>
      <c r="S960" s="886"/>
      <c r="T960" s="886"/>
      <c r="U960" s="886"/>
      <c r="V960" s="886"/>
      <c r="W960" s="886"/>
      <c r="X960" s="886"/>
      <c r="Y960" s="886"/>
    </row>
    <row r="961" spans="3:25">
      <c r="C961" s="942"/>
      <c r="D961" s="942"/>
      <c r="E961" s="943"/>
      <c r="F961" s="943"/>
      <c r="G961" s="886"/>
      <c r="H961" s="886"/>
      <c r="I961" s="886"/>
      <c r="J961" s="886"/>
      <c r="K961" s="886"/>
      <c r="L961" s="886"/>
      <c r="M961" s="886"/>
      <c r="N961" s="886"/>
      <c r="O961" s="886"/>
      <c r="P961" s="886"/>
      <c r="Q961" s="886"/>
      <c r="R961" s="886"/>
      <c r="S961" s="886"/>
      <c r="T961" s="886"/>
      <c r="U961" s="886"/>
      <c r="V961" s="886"/>
      <c r="W961" s="886"/>
      <c r="X961" s="886"/>
      <c r="Y961" s="886"/>
    </row>
    <row r="962" spans="3:25">
      <c r="C962" s="942"/>
      <c r="D962" s="942"/>
      <c r="E962" s="943"/>
      <c r="F962" s="943"/>
      <c r="G962" s="886"/>
      <c r="H962" s="886"/>
      <c r="I962" s="886"/>
      <c r="J962" s="886"/>
      <c r="K962" s="886"/>
      <c r="L962" s="886"/>
      <c r="M962" s="886"/>
      <c r="N962" s="886"/>
      <c r="O962" s="886"/>
      <c r="P962" s="886"/>
      <c r="Q962" s="886"/>
      <c r="R962" s="886"/>
      <c r="S962" s="886"/>
      <c r="T962" s="886"/>
      <c r="U962" s="886"/>
      <c r="V962" s="886"/>
      <c r="W962" s="886"/>
      <c r="X962" s="886"/>
      <c r="Y962" s="886"/>
    </row>
    <row r="963" spans="3:25">
      <c r="C963" s="942"/>
      <c r="D963" s="942"/>
      <c r="E963" s="943"/>
      <c r="F963" s="943"/>
      <c r="G963" s="886"/>
      <c r="H963" s="886"/>
      <c r="I963" s="886"/>
      <c r="J963" s="886"/>
      <c r="K963" s="886"/>
      <c r="L963" s="886"/>
      <c r="M963" s="886"/>
      <c r="N963" s="886"/>
      <c r="O963" s="886"/>
      <c r="P963" s="886"/>
      <c r="Q963" s="886"/>
      <c r="R963" s="886"/>
      <c r="S963" s="886"/>
      <c r="T963" s="886"/>
      <c r="U963" s="886"/>
      <c r="V963" s="886"/>
      <c r="W963" s="886"/>
      <c r="X963" s="886"/>
      <c r="Y963" s="886"/>
    </row>
    <row r="964" spans="3:25">
      <c r="C964" s="942"/>
      <c r="D964" s="942"/>
      <c r="E964" s="943"/>
      <c r="F964" s="943"/>
      <c r="G964" s="886"/>
      <c r="H964" s="886"/>
      <c r="I964" s="886"/>
      <c r="J964" s="886"/>
      <c r="K964" s="886"/>
      <c r="L964" s="886"/>
      <c r="M964" s="886"/>
      <c r="N964" s="886"/>
      <c r="O964" s="886"/>
      <c r="P964" s="886"/>
      <c r="Q964" s="886"/>
      <c r="R964" s="886"/>
      <c r="S964" s="886"/>
      <c r="T964" s="886"/>
      <c r="U964" s="886"/>
      <c r="V964" s="886"/>
      <c r="W964" s="886"/>
      <c r="X964" s="886"/>
      <c r="Y964" s="886"/>
    </row>
    <row r="965" spans="3:25">
      <c r="C965" s="942"/>
      <c r="D965" s="942"/>
      <c r="E965" s="943"/>
      <c r="F965" s="943"/>
      <c r="G965" s="886"/>
      <c r="H965" s="886"/>
      <c r="I965" s="886"/>
      <c r="J965" s="886"/>
      <c r="K965" s="886"/>
      <c r="L965" s="886"/>
      <c r="M965" s="886"/>
      <c r="N965" s="886"/>
      <c r="O965" s="886"/>
      <c r="P965" s="886"/>
      <c r="Q965" s="886"/>
      <c r="R965" s="886"/>
      <c r="S965" s="886"/>
      <c r="T965" s="886"/>
      <c r="U965" s="886"/>
      <c r="V965" s="886"/>
      <c r="W965" s="886"/>
      <c r="X965" s="886"/>
      <c r="Y965" s="886"/>
    </row>
    <row r="966" spans="3:25">
      <c r="C966" s="942"/>
      <c r="D966" s="942"/>
      <c r="E966" s="943"/>
      <c r="F966" s="943"/>
      <c r="G966" s="886"/>
      <c r="H966" s="886"/>
      <c r="I966" s="886"/>
      <c r="J966" s="886"/>
      <c r="K966" s="886"/>
      <c r="L966" s="886"/>
      <c r="M966" s="886"/>
      <c r="N966" s="886"/>
      <c r="O966" s="886"/>
      <c r="P966" s="886"/>
      <c r="Q966" s="886"/>
      <c r="R966" s="886"/>
      <c r="S966" s="886"/>
      <c r="T966" s="886"/>
      <c r="U966" s="886"/>
      <c r="V966" s="886"/>
      <c r="W966" s="886"/>
      <c r="X966" s="886"/>
      <c r="Y966" s="886"/>
    </row>
    <row r="967" spans="3:25">
      <c r="C967" s="942"/>
      <c r="D967" s="942"/>
      <c r="E967" s="943"/>
      <c r="F967" s="943"/>
      <c r="G967" s="886"/>
      <c r="H967" s="886"/>
      <c r="I967" s="886"/>
      <c r="J967" s="886"/>
      <c r="K967" s="886"/>
      <c r="L967" s="886"/>
      <c r="M967" s="886"/>
      <c r="N967" s="886"/>
      <c r="O967" s="886"/>
      <c r="P967" s="886"/>
      <c r="Q967" s="886"/>
      <c r="R967" s="886"/>
      <c r="S967" s="886"/>
      <c r="T967" s="886"/>
      <c r="U967" s="886"/>
      <c r="V967" s="886"/>
      <c r="W967" s="886"/>
      <c r="X967" s="886"/>
      <c r="Y967" s="886"/>
    </row>
    <row r="968" spans="3:25">
      <c r="C968" s="942"/>
      <c r="D968" s="942"/>
      <c r="E968" s="943"/>
      <c r="F968" s="943"/>
      <c r="G968" s="886"/>
      <c r="H968" s="886"/>
      <c r="I968" s="886"/>
      <c r="J968" s="886"/>
      <c r="K968" s="886"/>
      <c r="L968" s="886"/>
      <c r="M968" s="886"/>
      <c r="N968" s="886"/>
      <c r="O968" s="886"/>
      <c r="P968" s="886"/>
      <c r="Q968" s="886"/>
      <c r="R968" s="886"/>
      <c r="S968" s="886"/>
      <c r="T968" s="886"/>
      <c r="U968" s="886"/>
      <c r="V968" s="886"/>
      <c r="W968" s="886"/>
      <c r="X968" s="886"/>
      <c r="Y968" s="886"/>
    </row>
    <row r="969" spans="3:25">
      <c r="C969" s="942"/>
      <c r="D969" s="942"/>
      <c r="E969" s="943"/>
      <c r="F969" s="943"/>
      <c r="G969" s="886"/>
      <c r="H969" s="886"/>
      <c r="I969" s="886"/>
      <c r="J969" s="886"/>
      <c r="K969" s="886"/>
      <c r="L969" s="886"/>
      <c r="M969" s="886"/>
      <c r="N969" s="886"/>
      <c r="O969" s="886"/>
      <c r="P969" s="886"/>
      <c r="Q969" s="886"/>
      <c r="R969" s="886"/>
      <c r="S969" s="886"/>
      <c r="T969" s="886"/>
      <c r="U969" s="886"/>
      <c r="V969" s="886"/>
      <c r="W969" s="886"/>
      <c r="X969" s="886"/>
      <c r="Y969" s="886"/>
    </row>
    <row r="970" spans="3:25">
      <c r="C970" s="942"/>
      <c r="D970" s="942"/>
      <c r="E970" s="943"/>
      <c r="F970" s="943"/>
      <c r="G970" s="886"/>
      <c r="H970" s="886"/>
      <c r="I970" s="886"/>
      <c r="J970" s="886"/>
      <c r="K970" s="886"/>
      <c r="L970" s="886"/>
      <c r="M970" s="886"/>
      <c r="N970" s="886"/>
      <c r="O970" s="886"/>
      <c r="P970" s="886"/>
      <c r="Q970" s="886"/>
      <c r="R970" s="886"/>
      <c r="S970" s="886"/>
      <c r="T970" s="886"/>
      <c r="U970" s="886"/>
      <c r="V970" s="886"/>
      <c r="W970" s="886"/>
      <c r="X970" s="886"/>
      <c r="Y970" s="886"/>
    </row>
    <row r="971" spans="3:25">
      <c r="C971" s="942"/>
      <c r="D971" s="942"/>
      <c r="E971" s="943"/>
      <c r="F971" s="943"/>
      <c r="G971" s="886"/>
      <c r="H971" s="886"/>
      <c r="I971" s="886"/>
      <c r="J971" s="886"/>
      <c r="K971" s="886"/>
      <c r="L971" s="886"/>
      <c r="M971" s="886"/>
      <c r="N971" s="886"/>
      <c r="O971" s="886"/>
      <c r="P971" s="886"/>
      <c r="Q971" s="886"/>
      <c r="R971" s="886"/>
      <c r="S971" s="886"/>
      <c r="T971" s="886"/>
      <c r="U971" s="886"/>
      <c r="V971" s="886"/>
      <c r="W971" s="886"/>
      <c r="X971" s="886"/>
      <c r="Y971" s="886"/>
    </row>
    <row r="972" spans="3:25">
      <c r="C972" s="942"/>
      <c r="D972" s="942"/>
      <c r="E972" s="943"/>
      <c r="F972" s="943"/>
      <c r="G972" s="886"/>
      <c r="H972" s="886"/>
      <c r="I972" s="886"/>
      <c r="J972" s="886"/>
      <c r="K972" s="886"/>
      <c r="L972" s="886"/>
      <c r="M972" s="886"/>
      <c r="N972" s="886"/>
      <c r="O972" s="886"/>
      <c r="P972" s="886"/>
      <c r="Q972" s="886"/>
      <c r="R972" s="886"/>
      <c r="S972" s="886"/>
      <c r="T972" s="886"/>
      <c r="U972" s="886"/>
      <c r="V972" s="886"/>
      <c r="W972" s="886"/>
      <c r="X972" s="886"/>
      <c r="Y972" s="886"/>
    </row>
    <row r="973" spans="3:25">
      <c r="C973" s="942"/>
      <c r="D973" s="942"/>
      <c r="E973" s="943"/>
      <c r="F973" s="943"/>
      <c r="G973" s="886"/>
      <c r="H973" s="886"/>
      <c r="I973" s="886"/>
      <c r="J973" s="886"/>
      <c r="K973" s="886"/>
      <c r="L973" s="886"/>
      <c r="M973" s="886"/>
      <c r="N973" s="886"/>
      <c r="O973" s="886"/>
      <c r="P973" s="886"/>
      <c r="Q973" s="886"/>
      <c r="R973" s="886"/>
      <c r="S973" s="886"/>
      <c r="T973" s="886"/>
      <c r="U973" s="886"/>
      <c r="V973" s="886"/>
      <c r="W973" s="886"/>
      <c r="X973" s="886"/>
      <c r="Y973" s="886"/>
    </row>
    <row r="974" spans="3:25">
      <c r="C974" s="942"/>
      <c r="D974" s="942"/>
      <c r="E974" s="943"/>
      <c r="F974" s="943"/>
      <c r="G974" s="886"/>
      <c r="H974" s="886"/>
      <c r="I974" s="886"/>
      <c r="J974" s="886"/>
      <c r="K974" s="886"/>
      <c r="L974" s="886"/>
      <c r="M974" s="886"/>
      <c r="N974" s="886"/>
      <c r="O974" s="886"/>
      <c r="P974" s="886"/>
      <c r="Q974" s="886"/>
      <c r="R974" s="886"/>
      <c r="S974" s="886"/>
      <c r="T974" s="886"/>
      <c r="U974" s="886"/>
      <c r="V974" s="886"/>
      <c r="W974" s="886"/>
      <c r="X974" s="886"/>
      <c r="Y974" s="886"/>
    </row>
    <row r="975" spans="3:25">
      <c r="C975" s="942"/>
      <c r="D975" s="942"/>
      <c r="E975" s="943"/>
      <c r="F975" s="943"/>
      <c r="G975" s="886"/>
      <c r="H975" s="886"/>
      <c r="I975" s="886"/>
      <c r="J975" s="886"/>
      <c r="K975" s="886"/>
      <c r="L975" s="886"/>
      <c r="M975" s="886"/>
      <c r="N975" s="886"/>
      <c r="O975" s="886"/>
      <c r="P975" s="886"/>
      <c r="Q975" s="886"/>
      <c r="R975" s="886"/>
      <c r="S975" s="886"/>
      <c r="T975" s="886"/>
      <c r="U975" s="886"/>
      <c r="V975" s="886"/>
      <c r="W975" s="886"/>
      <c r="X975" s="886"/>
      <c r="Y975" s="886"/>
    </row>
    <row r="976" spans="3:25">
      <c r="C976" s="942"/>
      <c r="D976" s="942"/>
      <c r="E976" s="943"/>
      <c r="F976" s="943"/>
      <c r="G976" s="886"/>
      <c r="H976" s="886"/>
      <c r="I976" s="886"/>
      <c r="J976" s="886"/>
      <c r="K976" s="886"/>
      <c r="L976" s="886"/>
      <c r="M976" s="886"/>
      <c r="N976" s="886"/>
      <c r="O976" s="886"/>
      <c r="P976" s="886"/>
      <c r="Q976" s="886"/>
      <c r="R976" s="886"/>
      <c r="S976" s="886"/>
      <c r="T976" s="886"/>
      <c r="U976" s="886"/>
      <c r="V976" s="886"/>
      <c r="W976" s="886"/>
      <c r="X976" s="886"/>
      <c r="Y976" s="886"/>
    </row>
    <row r="977" spans="3:25">
      <c r="C977" s="942"/>
      <c r="D977" s="942"/>
      <c r="E977" s="943"/>
      <c r="F977" s="943"/>
      <c r="G977" s="886"/>
      <c r="H977" s="886"/>
      <c r="I977" s="886"/>
      <c r="J977" s="886"/>
      <c r="K977" s="886"/>
      <c r="L977" s="886"/>
      <c r="M977" s="886"/>
      <c r="N977" s="886"/>
      <c r="O977" s="886"/>
      <c r="P977" s="886"/>
      <c r="Q977" s="886"/>
      <c r="R977" s="886"/>
      <c r="S977" s="886"/>
      <c r="T977" s="886"/>
      <c r="U977" s="886"/>
      <c r="V977" s="886"/>
      <c r="W977" s="886"/>
      <c r="X977" s="886"/>
      <c r="Y977" s="886"/>
    </row>
    <row r="978" spans="3:25">
      <c r="C978" s="942"/>
      <c r="D978" s="942"/>
      <c r="E978" s="943"/>
      <c r="F978" s="943"/>
      <c r="G978" s="886"/>
      <c r="H978" s="886"/>
      <c r="I978" s="886"/>
      <c r="J978" s="886"/>
      <c r="K978" s="886"/>
      <c r="L978" s="886"/>
      <c r="M978" s="886"/>
      <c r="N978" s="886"/>
      <c r="O978" s="886"/>
      <c r="P978" s="886"/>
      <c r="Q978" s="886"/>
      <c r="R978" s="886"/>
      <c r="S978" s="886"/>
      <c r="T978" s="886"/>
      <c r="U978" s="886"/>
      <c r="V978" s="886"/>
      <c r="W978" s="886"/>
      <c r="X978" s="886"/>
      <c r="Y978" s="886"/>
    </row>
    <row r="979" spans="3:25">
      <c r="C979" s="942"/>
      <c r="D979" s="942"/>
      <c r="E979" s="943"/>
      <c r="F979" s="943"/>
      <c r="G979" s="886"/>
      <c r="H979" s="886"/>
      <c r="I979" s="886"/>
      <c r="J979" s="886"/>
      <c r="K979" s="886"/>
      <c r="L979" s="886"/>
      <c r="M979" s="886"/>
      <c r="N979" s="886"/>
      <c r="O979" s="886"/>
      <c r="P979" s="886"/>
      <c r="Q979" s="886"/>
      <c r="R979" s="886"/>
      <c r="S979" s="886"/>
      <c r="T979" s="886"/>
      <c r="U979" s="886"/>
      <c r="V979" s="886"/>
      <c r="W979" s="886"/>
      <c r="X979" s="886"/>
      <c r="Y979" s="886"/>
    </row>
    <row r="980" spans="3:25">
      <c r="C980" s="942"/>
      <c r="D980" s="942"/>
      <c r="E980" s="943"/>
      <c r="F980" s="943"/>
      <c r="G980" s="886"/>
      <c r="H980" s="886"/>
      <c r="I980" s="886"/>
      <c r="J980" s="886"/>
      <c r="K980" s="886"/>
      <c r="L980" s="886"/>
      <c r="M980" s="886"/>
      <c r="N980" s="886"/>
      <c r="O980" s="886"/>
      <c r="P980" s="886"/>
      <c r="Q980" s="886"/>
      <c r="R980" s="886"/>
      <c r="S980" s="886"/>
      <c r="T980" s="886"/>
      <c r="U980" s="886"/>
      <c r="V980" s="886"/>
      <c r="W980" s="886"/>
      <c r="X980" s="886"/>
      <c r="Y980" s="886"/>
    </row>
    <row r="981" spans="3:25">
      <c r="C981" s="942"/>
      <c r="D981" s="942"/>
      <c r="E981" s="943"/>
      <c r="F981" s="943"/>
      <c r="G981" s="886"/>
      <c r="H981" s="886"/>
      <c r="I981" s="886"/>
      <c r="J981" s="886"/>
      <c r="K981" s="886"/>
      <c r="L981" s="886"/>
      <c r="M981" s="886"/>
      <c r="N981" s="886"/>
      <c r="O981" s="886"/>
      <c r="P981" s="886"/>
      <c r="Q981" s="886"/>
      <c r="R981" s="886"/>
      <c r="S981" s="886"/>
      <c r="T981" s="886"/>
      <c r="U981" s="886"/>
      <c r="V981" s="886"/>
      <c r="W981" s="886"/>
      <c r="X981" s="886"/>
      <c r="Y981" s="886"/>
    </row>
    <row r="982" spans="3:25">
      <c r="C982" s="942"/>
      <c r="D982" s="942"/>
      <c r="E982" s="943"/>
      <c r="F982" s="943"/>
      <c r="G982" s="886"/>
      <c r="H982" s="886"/>
      <c r="I982" s="886"/>
      <c r="K982" s="886"/>
      <c r="L982" s="886"/>
      <c r="M982" s="886"/>
      <c r="N982" s="886"/>
      <c r="O982" s="886"/>
      <c r="P982" s="886"/>
      <c r="Q982" s="886"/>
      <c r="R982" s="886"/>
      <c r="S982" s="886"/>
      <c r="T982" s="886"/>
      <c r="U982" s="886"/>
      <c r="V982" s="886"/>
      <c r="W982" s="886"/>
      <c r="X982" s="886"/>
      <c r="Y982" s="886"/>
    </row>
    <row r="983" spans="3:25">
      <c r="C983" s="942"/>
      <c r="D983" s="942"/>
      <c r="E983" s="943"/>
      <c r="F983" s="943"/>
      <c r="G983" s="886"/>
      <c r="H983" s="886"/>
      <c r="I983" s="886"/>
      <c r="K983" s="886"/>
      <c r="L983" s="886"/>
      <c r="M983" s="886"/>
      <c r="N983" s="886"/>
      <c r="O983" s="886"/>
      <c r="P983" s="886"/>
      <c r="Q983" s="886"/>
      <c r="R983" s="886"/>
      <c r="S983" s="886"/>
      <c r="T983" s="886"/>
      <c r="U983" s="886"/>
      <c r="V983" s="886"/>
      <c r="W983" s="886"/>
      <c r="X983" s="886"/>
      <c r="Y983" s="886"/>
    </row>
    <row r="984" spans="3:25">
      <c r="C984" s="942"/>
      <c r="D984" s="942"/>
      <c r="E984" s="943"/>
      <c r="F984" s="943"/>
      <c r="G984" s="886"/>
      <c r="H984" s="886"/>
      <c r="I984" s="886"/>
      <c r="K984" s="886"/>
      <c r="L984" s="886"/>
      <c r="M984" s="886"/>
      <c r="N984" s="886"/>
      <c r="O984" s="886"/>
      <c r="P984" s="886"/>
      <c r="Q984" s="886"/>
      <c r="R984" s="886"/>
      <c r="S984" s="886"/>
      <c r="T984" s="886"/>
      <c r="U984" s="886"/>
      <c r="V984" s="886"/>
      <c r="W984" s="886"/>
      <c r="X984" s="886"/>
      <c r="Y984" s="886"/>
    </row>
    <row r="985" spans="3:25">
      <c r="C985" s="942"/>
      <c r="D985" s="942"/>
      <c r="E985" s="943"/>
      <c r="F985" s="943"/>
      <c r="G985" s="886"/>
      <c r="H985" s="886"/>
      <c r="I985" s="886"/>
      <c r="K985" s="886"/>
      <c r="L985" s="886"/>
      <c r="M985" s="886"/>
      <c r="N985" s="886"/>
      <c r="O985" s="886"/>
      <c r="P985" s="886"/>
      <c r="Q985" s="886"/>
      <c r="R985" s="886"/>
      <c r="S985" s="886"/>
      <c r="T985" s="886"/>
      <c r="U985" s="886"/>
      <c r="V985" s="886"/>
      <c r="W985" s="886"/>
      <c r="X985" s="886"/>
      <c r="Y985" s="886"/>
    </row>
    <row r="986" spans="3:25">
      <c r="C986" s="942"/>
      <c r="D986" s="942"/>
      <c r="E986" s="943"/>
      <c r="F986" s="943"/>
      <c r="G986" s="886"/>
      <c r="H986" s="886"/>
      <c r="I986" s="886"/>
      <c r="K986" s="886"/>
      <c r="L986" s="886"/>
      <c r="M986" s="886"/>
      <c r="N986" s="886"/>
      <c r="O986" s="886"/>
      <c r="P986" s="886"/>
      <c r="Q986" s="886"/>
      <c r="R986" s="886"/>
      <c r="S986" s="886"/>
      <c r="T986" s="886"/>
      <c r="U986" s="886"/>
      <c r="V986" s="886"/>
      <c r="W986" s="886"/>
      <c r="X986" s="886"/>
      <c r="Y986" s="886"/>
    </row>
    <row r="987" spans="3:25">
      <c r="K987" s="886"/>
      <c r="L987" s="886"/>
      <c r="M987" s="886"/>
      <c r="N987" s="886"/>
      <c r="O987" s="886"/>
      <c r="P987" s="886"/>
      <c r="Q987" s="886"/>
      <c r="R987" s="886"/>
      <c r="S987" s="886"/>
      <c r="T987" s="886"/>
      <c r="U987" s="886"/>
      <c r="V987" s="886"/>
      <c r="W987" s="886"/>
      <c r="X987" s="886"/>
      <c r="Y987" s="886"/>
    </row>
    <row r="988" spans="3:25">
      <c r="K988" s="886"/>
      <c r="L988" s="886"/>
      <c r="M988" s="886"/>
      <c r="N988" s="886"/>
      <c r="O988" s="886"/>
      <c r="P988" s="886"/>
      <c r="Q988" s="886"/>
      <c r="R988" s="886"/>
      <c r="S988" s="886"/>
      <c r="T988" s="886"/>
      <c r="U988" s="886"/>
      <c r="V988" s="886"/>
      <c r="W988" s="886"/>
      <c r="X988" s="886"/>
      <c r="Y988" s="886"/>
    </row>
    <row r="989" spans="3:25">
      <c r="K989" s="886"/>
      <c r="L989" s="886"/>
      <c r="M989" s="886"/>
      <c r="N989" s="886"/>
      <c r="O989" s="886"/>
      <c r="P989" s="886"/>
      <c r="Q989" s="886"/>
      <c r="R989" s="886"/>
      <c r="S989" s="886"/>
      <c r="T989" s="886"/>
      <c r="U989" s="886"/>
      <c r="V989" s="886"/>
      <c r="W989" s="886"/>
      <c r="X989" s="886"/>
      <c r="Y989" s="886"/>
    </row>
    <row r="990" spans="3:25">
      <c r="K990" s="886"/>
      <c r="L990" s="886"/>
      <c r="M990" s="886"/>
      <c r="N990" s="886"/>
      <c r="O990" s="886"/>
      <c r="P990" s="886"/>
      <c r="Q990" s="886"/>
      <c r="R990" s="886"/>
      <c r="S990" s="886"/>
      <c r="T990" s="886"/>
      <c r="U990" s="886"/>
      <c r="V990" s="886"/>
      <c r="W990" s="886"/>
      <c r="X990" s="886"/>
      <c r="Y990" s="886"/>
    </row>
    <row r="991" spans="3:25">
      <c r="K991" s="886"/>
      <c r="L991" s="886"/>
      <c r="M991" s="886"/>
      <c r="N991" s="886"/>
      <c r="O991" s="886"/>
      <c r="P991" s="886"/>
      <c r="Q991" s="886"/>
      <c r="R991" s="886"/>
      <c r="S991" s="886"/>
      <c r="T991" s="886"/>
      <c r="U991" s="886"/>
      <c r="V991" s="886"/>
      <c r="W991" s="886"/>
      <c r="X991" s="886"/>
      <c r="Y991" s="886"/>
    </row>
  </sheetData>
  <sortState xmlns:xlrd2="http://schemas.microsoft.com/office/spreadsheetml/2017/richdata2" ref="E112:E144">
    <sortCondition ref="E111:E144"/>
  </sortState>
  <mergeCells count="21">
    <mergeCell ref="B54:B60"/>
    <mergeCell ref="G7:I7"/>
    <mergeCell ref="B51:B52"/>
    <mergeCell ref="B41:B42"/>
    <mergeCell ref="B44:B49"/>
    <mergeCell ref="B33:B35"/>
    <mergeCell ref="B37:B39"/>
    <mergeCell ref="C7:E7"/>
    <mergeCell ref="C14:J14"/>
    <mergeCell ref="B15:B18"/>
    <mergeCell ref="C15:C18"/>
    <mergeCell ref="B20:B23"/>
    <mergeCell ref="B25:B29"/>
    <mergeCell ref="C4:E4"/>
    <mergeCell ref="C5:E5"/>
    <mergeCell ref="C9:J9"/>
    <mergeCell ref="C2:J2"/>
    <mergeCell ref="G3:J3"/>
    <mergeCell ref="G4:J4"/>
    <mergeCell ref="C3:E3"/>
    <mergeCell ref="G5:J5"/>
  </mergeCells>
  <dataValidations count="5">
    <dataValidation type="list" allowBlank="1" showInputMessage="1" showErrorMessage="1" sqref="C20:C23 C25:C29 C31 C33:C35 C37:C39 C41:C42 C44:C49 C51:C52 C54:C60" xr:uid="{267906A2-6F1A-447F-A6C1-21C5E5CBB270}">
      <formula1>features</formula1>
    </dataValidation>
    <dataValidation type="list" errorStyle="warning" allowBlank="1" showInputMessage="1" showErrorMessage="1" errorTitle="Customized Features" error="You are entering a customized feature." sqref="E25:E29 E31 E33:E35 E20:E23 E41:E42 E44:E49 E51:E52 E54:E60" xr:uid="{43B846A9-6338-41F1-BD38-1936A048BD8B}">
      <formula1>INDIRECT(D20)</formula1>
    </dataValidation>
    <dataValidation type="list" allowBlank="1" showInputMessage="1" showErrorMessage="1" sqref="E15:E18" xr:uid="{8788C83E-6189-4862-8E53-AE1043C14A12}">
      <formula1>INDIRECT(D15)</formula1>
    </dataValidation>
    <dataValidation errorStyle="warning" allowBlank="1" showInputMessage="1" showErrorMessage="1" errorTitle="Customized Features" error="You are entering a customized feature." sqref="E37:E39" xr:uid="{D69B82C5-DE42-4724-AF2E-8074C0203912}"/>
    <dataValidation type="list" allowBlank="1" showInputMessage="1" showErrorMessage="1" sqref="G4:J4" xr:uid="{2E70D801-3EF0-4119-96CD-C8D27377B1A8}">
      <formula1>"Fresh, Rollover,Own Renewal"</formula1>
    </dataValidation>
  </dataValidations>
  <pageMargins left="0.7" right="0.7" top="0.75" bottom="0.75" header="0" footer="0"/>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9940" r:id="rId4" name="Button 4">
              <controlPr defaultSize="0" print="0" autoFill="0" autoPict="0" macro="[0]!ExportSelectedSheetsToNewWorkbook">
                <anchor moveWithCells="1" sizeWithCells="1">
                  <from>
                    <xdr:col>11</xdr:col>
                    <xdr:colOff>0</xdr:colOff>
                    <xdr:row>0</xdr:row>
                    <xdr:rowOff>160020</xdr:rowOff>
                  </from>
                  <to>
                    <xdr:col>16</xdr:col>
                    <xdr:colOff>457200</xdr:colOff>
                    <xdr:row>5</xdr:row>
                    <xdr:rowOff>38100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'GHI DB'!$A$4:$A$27</xm:f>
          </x14:formula1>
          <xm:sqref>G8:J8</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615DB-8E56-45BD-B0B5-E57641394E0E}">
  <sheetPr codeName="Sheet21"/>
  <dimension ref="A1:P23"/>
  <sheetViews>
    <sheetView showGridLines="0" zoomScale="77" zoomScaleNormal="76" workbookViewId="0">
      <pane xSplit="1" ySplit="2" topLeftCell="J13" activePane="bottomRight" state="frozen"/>
      <selection pane="topRight" activeCell="B1" sqref="B1"/>
      <selection pane="bottomLeft" activeCell="A3" sqref="A3"/>
      <selection pane="bottomRight" activeCell="P23" sqref="P23"/>
    </sheetView>
  </sheetViews>
  <sheetFormatPr defaultColWidth="35.44140625" defaultRowHeight="14.4"/>
  <cols>
    <col min="1" max="1" width="49.5546875" style="515" customWidth="1"/>
    <col min="2" max="2" width="35" style="515" customWidth="1"/>
    <col min="3" max="5" width="35.44140625" style="515" customWidth="1"/>
    <col min="6" max="6" width="35.44140625" style="515"/>
    <col min="7" max="11" width="35.44140625" style="515" customWidth="1"/>
    <col min="12" max="12" width="2" style="515" customWidth="1"/>
    <col min="13" max="16384" width="35.44140625" style="515"/>
  </cols>
  <sheetData>
    <row r="1" spans="1:16" ht="15.6">
      <c r="A1" s="583" t="s">
        <v>396</v>
      </c>
    </row>
    <row r="2" spans="1:16" ht="15.6">
      <c r="A2" s="584" t="s">
        <v>118</v>
      </c>
      <c r="B2" s="585" t="s">
        <v>397</v>
      </c>
      <c r="C2" s="586" t="s">
        <v>398</v>
      </c>
      <c r="D2" s="586" t="s">
        <v>87</v>
      </c>
      <c r="E2" s="587" t="s">
        <v>399</v>
      </c>
      <c r="F2" s="587" t="s">
        <v>88</v>
      </c>
      <c r="G2" s="588" t="s">
        <v>400</v>
      </c>
      <c r="H2" s="588" t="s">
        <v>401</v>
      </c>
      <c r="I2" s="588" t="s">
        <v>402</v>
      </c>
      <c r="J2" s="589" t="s">
        <v>189</v>
      </c>
      <c r="K2" s="590" t="s">
        <v>71</v>
      </c>
      <c r="L2" s="591"/>
      <c r="P2" s="592"/>
    </row>
    <row r="3" spans="1:16" ht="46.8">
      <c r="A3" s="593" t="s">
        <v>403</v>
      </c>
      <c r="B3" s="594" t="s">
        <v>404</v>
      </c>
      <c r="C3" s="595" t="s">
        <v>405</v>
      </c>
      <c r="D3" s="595" t="s">
        <v>405</v>
      </c>
      <c r="E3" s="596" t="s">
        <v>406</v>
      </c>
      <c r="F3" s="597" t="s">
        <v>406</v>
      </c>
      <c r="G3" s="595" t="s">
        <v>407</v>
      </c>
      <c r="H3" s="595" t="s">
        <v>407</v>
      </c>
      <c r="I3" s="595" t="s">
        <v>407</v>
      </c>
      <c r="J3" s="595" t="s">
        <v>408</v>
      </c>
      <c r="K3" s="598"/>
      <c r="L3" s="599"/>
    </row>
    <row r="4" spans="1:16" ht="15.6">
      <c r="A4" s="593" t="s">
        <v>12</v>
      </c>
      <c r="B4" s="600" t="s">
        <v>409</v>
      </c>
      <c r="C4" s="601" t="s">
        <v>409</v>
      </c>
      <c r="D4" s="601" t="s">
        <v>409</v>
      </c>
      <c r="E4" s="595" t="s">
        <v>409</v>
      </c>
      <c r="F4" s="595" t="s">
        <v>409</v>
      </c>
      <c r="G4" s="595" t="s">
        <v>409</v>
      </c>
      <c r="H4" s="595" t="s">
        <v>409</v>
      </c>
      <c r="I4" s="595" t="s">
        <v>409</v>
      </c>
      <c r="J4" s="602">
        <v>3938</v>
      </c>
      <c r="K4" s="603"/>
      <c r="L4" s="604"/>
    </row>
    <row r="5" spans="1:16" ht="46.8">
      <c r="A5" s="593" t="s">
        <v>410</v>
      </c>
      <c r="B5" s="605" t="s">
        <v>411</v>
      </c>
      <c r="C5" s="595" t="s">
        <v>412</v>
      </c>
      <c r="D5" s="595" t="s">
        <v>413</v>
      </c>
      <c r="E5" s="595" t="s">
        <v>414</v>
      </c>
      <c r="F5" s="595" t="s">
        <v>415</v>
      </c>
      <c r="G5" s="595" t="s">
        <v>416</v>
      </c>
      <c r="H5" s="595" t="s">
        <v>416</v>
      </c>
      <c r="I5" s="595" t="s">
        <v>416</v>
      </c>
      <c r="J5" s="595" t="s">
        <v>417</v>
      </c>
      <c r="K5" s="598"/>
      <c r="L5" s="599"/>
    </row>
    <row r="6" spans="1:16" ht="15.6">
      <c r="A6" s="593" t="s">
        <v>121</v>
      </c>
      <c r="B6" s="605" t="s">
        <v>418</v>
      </c>
      <c r="C6" s="595" t="s">
        <v>418</v>
      </c>
      <c r="D6" s="595" t="s">
        <v>418</v>
      </c>
      <c r="E6" s="595" t="s">
        <v>418</v>
      </c>
      <c r="F6" s="595" t="s">
        <v>418</v>
      </c>
      <c r="G6" s="595" t="s">
        <v>418</v>
      </c>
      <c r="H6" s="595" t="s">
        <v>418</v>
      </c>
      <c r="I6" s="595" t="s">
        <v>418</v>
      </c>
      <c r="J6" s="595" t="s">
        <v>418</v>
      </c>
      <c r="K6" s="598"/>
      <c r="L6" s="599"/>
    </row>
    <row r="7" spans="1:16" ht="31.2">
      <c r="A7" s="593" t="s">
        <v>419</v>
      </c>
      <c r="B7" s="605" t="s">
        <v>420</v>
      </c>
      <c r="C7" s="595" t="s">
        <v>420</v>
      </c>
      <c r="D7" s="595" t="s">
        <v>420</v>
      </c>
      <c r="E7" s="595" t="s">
        <v>421</v>
      </c>
      <c r="F7" s="595" t="s">
        <v>421</v>
      </c>
      <c r="G7" s="595" t="s">
        <v>420</v>
      </c>
      <c r="H7" s="595" t="s">
        <v>421</v>
      </c>
      <c r="I7" s="595" t="s">
        <v>421</v>
      </c>
      <c r="J7" s="595" t="s">
        <v>422</v>
      </c>
      <c r="K7" s="598"/>
      <c r="L7" s="599"/>
    </row>
    <row r="8" spans="1:16" ht="15.6">
      <c r="A8" s="606" t="s">
        <v>423</v>
      </c>
      <c r="B8" s="607" t="s">
        <v>424</v>
      </c>
      <c r="C8" s="608" t="s">
        <v>424</v>
      </c>
      <c r="D8" s="608" t="s">
        <v>424</v>
      </c>
      <c r="E8" s="609" t="s">
        <v>424</v>
      </c>
      <c r="F8" s="609" t="s">
        <v>424</v>
      </c>
      <c r="G8" s="610" t="s">
        <v>424</v>
      </c>
      <c r="H8" s="611" t="s">
        <v>424</v>
      </c>
      <c r="I8" s="611" t="s">
        <v>424</v>
      </c>
      <c r="J8" s="610" t="s">
        <v>424</v>
      </c>
      <c r="K8" s="612"/>
      <c r="L8" s="613"/>
    </row>
    <row r="9" spans="1:16" ht="15.6">
      <c r="A9" s="606" t="s">
        <v>425</v>
      </c>
      <c r="B9" s="607" t="s">
        <v>424</v>
      </c>
      <c r="C9" s="614" t="s">
        <v>426</v>
      </c>
      <c r="D9" s="614" t="s">
        <v>426</v>
      </c>
      <c r="E9" s="615" t="s">
        <v>427</v>
      </c>
      <c r="F9" s="615" t="s">
        <v>427</v>
      </c>
      <c r="G9" s="610" t="s">
        <v>424</v>
      </c>
      <c r="H9" s="610" t="s">
        <v>424</v>
      </c>
      <c r="I9" s="610" t="s">
        <v>424</v>
      </c>
      <c r="J9" s="610" t="s">
        <v>424</v>
      </c>
      <c r="K9" s="612"/>
      <c r="L9" s="613"/>
    </row>
    <row r="10" spans="1:16" ht="31.2">
      <c r="A10" s="606" t="s">
        <v>428</v>
      </c>
      <c r="B10" s="616" t="s">
        <v>429</v>
      </c>
      <c r="C10" s="617" t="s">
        <v>429</v>
      </c>
      <c r="D10" s="617" t="s">
        <v>429</v>
      </c>
      <c r="E10" s="615" t="s">
        <v>427</v>
      </c>
      <c r="F10" s="615" t="s">
        <v>427</v>
      </c>
      <c r="G10" s="610" t="s">
        <v>427</v>
      </c>
      <c r="H10" s="611" t="s">
        <v>427</v>
      </c>
      <c r="I10" s="610" t="s">
        <v>427</v>
      </c>
      <c r="J10" s="610" t="s">
        <v>427</v>
      </c>
      <c r="K10" s="612"/>
      <c r="L10" s="613"/>
    </row>
    <row r="11" spans="1:16" ht="62.4">
      <c r="A11" s="618" t="s">
        <v>430</v>
      </c>
      <c r="B11" s="616" t="s">
        <v>431</v>
      </c>
      <c r="C11" s="617" t="s">
        <v>431</v>
      </c>
      <c r="D11" s="619" t="s">
        <v>432</v>
      </c>
      <c r="E11" s="620" t="s">
        <v>433</v>
      </c>
      <c r="F11" s="620" t="s">
        <v>433</v>
      </c>
      <c r="G11" s="617" t="s">
        <v>434</v>
      </c>
      <c r="H11" s="621" t="s">
        <v>435</v>
      </c>
      <c r="I11" s="617" t="s">
        <v>436</v>
      </c>
      <c r="J11" s="617" t="s">
        <v>436</v>
      </c>
      <c r="K11" s="622"/>
      <c r="L11" s="623"/>
    </row>
    <row r="12" spans="1:16" ht="280.8">
      <c r="A12" s="618" t="s">
        <v>437</v>
      </c>
      <c r="B12" s="616" t="s">
        <v>364</v>
      </c>
      <c r="C12" s="624" t="s">
        <v>438</v>
      </c>
      <c r="D12" s="624" t="s">
        <v>439</v>
      </c>
      <c r="E12" s="608" t="s">
        <v>364</v>
      </c>
      <c r="F12" s="625" t="s">
        <v>440</v>
      </c>
      <c r="G12" s="621" t="s">
        <v>441</v>
      </c>
      <c r="H12" s="621" t="s">
        <v>442</v>
      </c>
      <c r="I12" s="621" t="s">
        <v>441</v>
      </c>
      <c r="J12" s="626" t="s">
        <v>443</v>
      </c>
      <c r="K12" s="622"/>
      <c r="L12" s="623"/>
    </row>
    <row r="13" spans="1:16" ht="62.4">
      <c r="A13" s="618" t="s">
        <v>444</v>
      </c>
      <c r="B13" s="616" t="s">
        <v>445</v>
      </c>
      <c r="C13" s="617" t="s">
        <v>445</v>
      </c>
      <c r="D13" s="617" t="s">
        <v>445</v>
      </c>
      <c r="E13" s="627" t="s">
        <v>364</v>
      </c>
      <c r="F13" s="628" t="s">
        <v>446</v>
      </c>
      <c r="G13" s="617" t="s">
        <v>447</v>
      </c>
      <c r="H13" s="617" t="s">
        <v>443</v>
      </c>
      <c r="I13" s="617" t="s">
        <v>443</v>
      </c>
      <c r="J13" s="617" t="s">
        <v>448</v>
      </c>
      <c r="K13" s="622"/>
      <c r="L13" s="623"/>
    </row>
    <row r="14" spans="1:16" ht="234">
      <c r="A14" s="618" t="s">
        <v>449</v>
      </c>
      <c r="B14" s="629" t="s">
        <v>450</v>
      </c>
      <c r="C14" s="630" t="s">
        <v>451</v>
      </c>
      <c r="D14" s="630" t="s">
        <v>452</v>
      </c>
      <c r="E14" s="627" t="s">
        <v>364</v>
      </c>
      <c r="F14" s="628" t="s">
        <v>453</v>
      </c>
      <c r="G14" s="621" t="s">
        <v>454</v>
      </c>
      <c r="H14" s="621" t="s">
        <v>454</v>
      </c>
      <c r="I14" s="621" t="s">
        <v>454</v>
      </c>
      <c r="J14" s="621" t="s">
        <v>455</v>
      </c>
      <c r="K14" s="631"/>
      <c r="L14" s="632"/>
    </row>
    <row r="15" spans="1:16" ht="62.4">
      <c r="A15" s="618" t="s">
        <v>456</v>
      </c>
      <c r="B15" s="633" t="s">
        <v>369</v>
      </c>
      <c r="C15" s="634" t="s">
        <v>369</v>
      </c>
      <c r="D15" s="634" t="s">
        <v>369</v>
      </c>
      <c r="E15" s="619" t="s">
        <v>457</v>
      </c>
      <c r="F15" s="635" t="s">
        <v>457</v>
      </c>
      <c r="G15" s="636" t="s">
        <v>458</v>
      </c>
      <c r="H15" s="637" t="s">
        <v>369</v>
      </c>
      <c r="I15" s="636" t="s">
        <v>458</v>
      </c>
      <c r="J15" s="636" t="s">
        <v>458</v>
      </c>
      <c r="K15" s="638"/>
      <c r="L15" s="639"/>
    </row>
    <row r="16" spans="1:16" ht="15.6">
      <c r="A16" s="640" t="s">
        <v>459</v>
      </c>
      <c r="B16" s="607" t="s">
        <v>460</v>
      </c>
      <c r="C16" s="608" t="s">
        <v>460</v>
      </c>
      <c r="D16" s="608" t="s">
        <v>460</v>
      </c>
      <c r="E16" s="608" t="s">
        <v>460</v>
      </c>
      <c r="F16" s="608" t="s">
        <v>460</v>
      </c>
      <c r="G16" s="641" t="s">
        <v>461</v>
      </c>
      <c r="H16" s="610" t="s">
        <v>460</v>
      </c>
      <c r="I16" s="610" t="s">
        <v>460</v>
      </c>
      <c r="J16" s="610" t="s">
        <v>462</v>
      </c>
      <c r="K16" s="612"/>
      <c r="L16" s="613"/>
    </row>
    <row r="17" spans="1:12" ht="15.6">
      <c r="A17" s="640" t="s">
        <v>463</v>
      </c>
      <c r="B17" s="642" t="s">
        <v>464</v>
      </c>
      <c r="C17" s="621" t="s">
        <v>464</v>
      </c>
      <c r="D17" s="621" t="s">
        <v>464</v>
      </c>
      <c r="E17" s="621" t="s">
        <v>464</v>
      </c>
      <c r="F17" s="621" t="s">
        <v>464</v>
      </c>
      <c r="G17" s="621" t="s">
        <v>464</v>
      </c>
      <c r="H17" s="621" t="s">
        <v>464</v>
      </c>
      <c r="I17" s="621" t="s">
        <v>464</v>
      </c>
      <c r="J17" s="621" t="s">
        <v>464</v>
      </c>
      <c r="K17" s="631"/>
      <c r="L17" s="632"/>
    </row>
    <row r="20" spans="1:12">
      <c r="A20" s="514" t="s">
        <v>465</v>
      </c>
    </row>
    <row r="21" spans="1:12">
      <c r="A21" s="515" t="s">
        <v>466</v>
      </c>
    </row>
    <row r="22" spans="1:12">
      <c r="A22" s="515" t="s">
        <v>467</v>
      </c>
    </row>
    <row r="23" spans="1:12">
      <c r="A23" s="515" t="s">
        <v>468</v>
      </c>
    </row>
  </sheetData>
  <protectedRanges>
    <protectedRange algorithmName="SHA-512" hashValue="8gsZBLxf0FNLqMn390G0dgwzGiRBzzvGlNazRYGWhs0C1gVTQ5XRqJGqk3b/+yaYAh9uw4p4FQvGJRlBbI8UKw==" saltValue="DPXiBDnRLT+lXGb4fbwXfA==" spinCount="100000" sqref="B2:L17 A1:A17" name="GPA"/>
  </protectedRange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0" tint="-0.34998626667073579"/>
  </sheetPr>
  <dimension ref="A1:BS27"/>
  <sheetViews>
    <sheetView zoomScaleNormal="100" workbookViewId="0">
      <pane xSplit="1" ySplit="3" topLeftCell="C25" activePane="bottomRight" state="frozen"/>
      <selection pane="topRight" activeCell="F7" sqref="F7:H7"/>
      <selection pane="bottomLeft" activeCell="F7" sqref="F7:H7"/>
      <selection pane="bottomRight" activeCell="E27" sqref="E27"/>
    </sheetView>
  </sheetViews>
  <sheetFormatPr defaultColWidth="14.44140625" defaultRowHeight="14.4"/>
  <cols>
    <col min="1" max="1" width="28.109375" customWidth="1"/>
    <col min="2" max="2" width="23.44140625" style="196" hidden="1" customWidth="1"/>
    <col min="3" max="6" width="29.5546875" customWidth="1"/>
    <col min="7" max="10" width="22" customWidth="1"/>
    <col min="11" max="11" width="18.44140625" customWidth="1"/>
    <col min="12" max="12" width="14.44140625" customWidth="1"/>
    <col min="13" max="14" width="10.44140625" bestFit="1" customWidth="1"/>
    <col min="15" max="18" width="11.44140625" bestFit="1" customWidth="1"/>
    <col min="19" max="19" width="31" customWidth="1"/>
    <col min="20" max="20" width="12.44140625" customWidth="1"/>
    <col min="21" max="21" width="9" customWidth="1"/>
    <col min="22" max="22" width="18.44140625" bestFit="1" customWidth="1"/>
    <col min="23" max="23" width="20.5546875" hidden="1" customWidth="1"/>
    <col min="24" max="24" width="14.44140625" customWidth="1"/>
    <col min="25" max="25" width="12" customWidth="1"/>
    <col min="26" max="27" width="22.5546875" customWidth="1"/>
    <col min="28" max="28" width="16.44140625" customWidth="1"/>
    <col min="29" max="29" width="22.5546875" customWidth="1"/>
    <col min="30" max="30" width="8.5546875" customWidth="1"/>
    <col min="31" max="31" width="14" customWidth="1"/>
    <col min="32" max="32" width="10.33203125" bestFit="1" customWidth="1"/>
    <col min="33" max="35" width="8.5546875" customWidth="1"/>
    <col min="36" max="36" width="8.44140625" customWidth="1"/>
    <col min="37" max="38" width="9" customWidth="1"/>
    <col min="39" max="41" width="8.5546875" customWidth="1"/>
    <col min="42" max="43" width="9.5546875" customWidth="1"/>
    <col min="44" max="44" width="11.5546875" customWidth="1"/>
    <col min="45" max="46" width="9.5546875" customWidth="1"/>
    <col min="47" max="47" width="32.5546875" customWidth="1"/>
    <col min="48" max="48" width="16.5546875" customWidth="1"/>
    <col min="49" max="49" width="15.5546875" customWidth="1"/>
    <col min="50" max="50" width="24" customWidth="1"/>
    <col min="51" max="52" width="22.5546875" customWidth="1"/>
    <col min="53" max="58" width="8.5546875" customWidth="1"/>
    <col min="59" max="60" width="9" customWidth="1"/>
    <col min="61" max="62" width="13.44140625" customWidth="1"/>
    <col min="63" max="64" width="15" customWidth="1"/>
    <col min="65" max="66" width="7.44140625" customWidth="1"/>
    <col min="67" max="67" width="24.5546875" customWidth="1"/>
    <col min="68" max="69" width="8.5546875" customWidth="1"/>
    <col min="70" max="70" width="13.44140625" customWidth="1"/>
    <col min="71" max="71" width="30.44140625" bestFit="1" customWidth="1"/>
  </cols>
  <sheetData>
    <row r="1" spans="1:71" ht="72">
      <c r="A1" s="709" t="s">
        <v>118</v>
      </c>
      <c r="B1" s="813" t="s">
        <v>117</v>
      </c>
      <c r="C1" s="1349" t="s">
        <v>121</v>
      </c>
      <c r="D1" s="1349"/>
      <c r="E1" s="1349"/>
      <c r="F1" s="1349"/>
      <c r="G1" s="1349" t="s">
        <v>359</v>
      </c>
      <c r="H1" s="1349"/>
      <c r="I1" s="1349" t="s">
        <v>128</v>
      </c>
      <c r="J1" s="1349"/>
      <c r="K1" s="1349"/>
      <c r="L1" s="1349"/>
      <c r="M1" s="1349" t="s">
        <v>132</v>
      </c>
      <c r="N1" s="1349"/>
      <c r="O1" s="1349"/>
      <c r="P1" s="1349"/>
      <c r="Q1" s="1349"/>
      <c r="R1" s="1349"/>
      <c r="S1" s="1350" t="s">
        <v>165</v>
      </c>
      <c r="T1" s="1350"/>
      <c r="U1" s="710" t="s">
        <v>220</v>
      </c>
      <c r="V1" s="711" t="s">
        <v>469</v>
      </c>
      <c r="W1" s="710" t="s">
        <v>157</v>
      </c>
      <c r="X1" s="711" t="s">
        <v>234</v>
      </c>
      <c r="Y1" s="711" t="s">
        <v>470</v>
      </c>
      <c r="Z1" s="711" t="s">
        <v>142</v>
      </c>
      <c r="AA1" s="711" t="s">
        <v>245</v>
      </c>
      <c r="AB1" s="711" t="s">
        <v>255</v>
      </c>
      <c r="AC1" s="711" t="s">
        <v>367</v>
      </c>
      <c r="AD1" s="711" t="s">
        <v>260</v>
      </c>
      <c r="AE1" s="1351" t="s">
        <v>136</v>
      </c>
      <c r="AF1" s="1351"/>
      <c r="AG1" s="711" t="s">
        <v>265</v>
      </c>
      <c r="AH1" s="711" t="s">
        <v>388</v>
      </c>
      <c r="AI1" s="711" t="s">
        <v>471</v>
      </c>
      <c r="AJ1" s="711" t="s">
        <v>391</v>
      </c>
      <c r="AK1" s="711" t="s">
        <v>392</v>
      </c>
      <c r="AL1" s="711" t="s">
        <v>269</v>
      </c>
      <c r="AM1" s="711" t="s">
        <v>271</v>
      </c>
      <c r="AN1" s="1349" t="s">
        <v>130</v>
      </c>
      <c r="AO1" s="1349"/>
      <c r="AP1" s="1349" t="s">
        <v>273</v>
      </c>
      <c r="AQ1" s="1349"/>
      <c r="AR1" s="711" t="s">
        <v>164</v>
      </c>
      <c r="AS1" s="711" t="s">
        <v>278</v>
      </c>
      <c r="AT1" s="711" t="s">
        <v>279</v>
      </c>
      <c r="AU1" s="712" t="s">
        <v>375</v>
      </c>
      <c r="AV1" s="711" t="s">
        <v>378</v>
      </c>
      <c r="AW1" s="735" t="s">
        <v>380</v>
      </c>
      <c r="AX1" s="710" t="s">
        <v>383</v>
      </c>
      <c r="AY1" s="1349" t="s">
        <v>134</v>
      </c>
      <c r="AZ1" s="1349"/>
      <c r="BA1" s="1349" t="s">
        <v>300</v>
      </c>
      <c r="BB1" s="1349"/>
      <c r="BC1" s="711" t="s">
        <v>304</v>
      </c>
      <c r="BD1" s="711"/>
      <c r="BE1" s="711" t="s">
        <v>306</v>
      </c>
      <c r="BF1" s="711" t="s">
        <v>312</v>
      </c>
      <c r="BG1" s="1350" t="s">
        <v>385</v>
      </c>
      <c r="BH1" s="1350"/>
      <c r="BI1" s="1350" t="s">
        <v>315</v>
      </c>
      <c r="BJ1" s="1350"/>
      <c r="BK1" s="1350" t="s">
        <v>138</v>
      </c>
      <c r="BL1" s="1350"/>
      <c r="BM1" s="1350" t="s">
        <v>472</v>
      </c>
      <c r="BN1" s="1350"/>
      <c r="BO1" s="711" t="s">
        <v>321</v>
      </c>
      <c r="BP1" s="710" t="s">
        <v>324</v>
      </c>
      <c r="BQ1" s="710" t="s">
        <v>326</v>
      </c>
      <c r="BR1" s="710" t="s">
        <v>328</v>
      </c>
      <c r="BS1" s="710" t="s">
        <v>334</v>
      </c>
    </row>
    <row r="2" spans="1:71">
      <c r="A2" s="709"/>
      <c r="B2" s="814" t="str">
        <f>SUBSTITUTE(B1," ","")</f>
        <v>Logo</v>
      </c>
      <c r="C2" s="1349" t="str">
        <f>SUBSTITUTE(C1," ","")</f>
        <v>FamilyDefinition</v>
      </c>
      <c r="D2" s="1349"/>
      <c r="E2" s="1349"/>
      <c r="F2" s="1349"/>
      <c r="G2" s="1349" t="str">
        <f>SUBSTITUTE(G1," ","")</f>
        <v>TypeofCover</v>
      </c>
      <c r="H2" s="1349"/>
      <c r="I2" s="1349" t="str">
        <f>SUBSTITUTE(I1," ","")</f>
        <v>RoomRentRestriction</v>
      </c>
      <c r="J2" s="1349"/>
      <c r="K2" s="1349"/>
      <c r="L2" s="1349"/>
      <c r="M2" s="1349" t="str">
        <f>SUBSTITUTE(M1," ","")</f>
        <v>CoPay</v>
      </c>
      <c r="N2" s="1349"/>
      <c r="O2" s="1349"/>
      <c r="P2" s="1349"/>
      <c r="Q2" s="1349"/>
      <c r="R2" s="1349"/>
      <c r="S2" s="1350" t="str">
        <f>SUBSTITUTE(S1," ","")</f>
        <v>CorporateBuffer</v>
      </c>
      <c r="T2" s="1350"/>
      <c r="U2" s="710"/>
      <c r="V2" s="711" t="str">
        <f>SUBSTITUTE(V1," ","")</f>
        <v>PanIndiaCoverage</v>
      </c>
      <c r="W2" s="711" t="str">
        <f t="shared" ref="W2:BS2" si="0">SUBSTITUTE(W1," ","")</f>
        <v>CashlessNetwork</v>
      </c>
      <c r="X2" s="711" t="str">
        <f t="shared" si="0"/>
        <v>ReimbursementNetwork</v>
      </c>
      <c r="Y2" s="711" t="str">
        <f t="shared" si="0"/>
        <v>ClaimsIntermediary</v>
      </c>
      <c r="Z2" s="711" t="str">
        <f t="shared" si="0"/>
        <v>InpatientHospitalization</v>
      </c>
      <c r="AA2" s="711" t="str">
        <f t="shared" si="0"/>
        <v>DayCareTreatments</v>
      </c>
      <c r="AB2" s="711" t="str">
        <f t="shared" si="0"/>
        <v>DiseaseCapping</v>
      </c>
      <c r="AC2" s="711" t="str">
        <f t="shared" si="0"/>
        <v>COVID19Coverage</v>
      </c>
      <c r="AD2" s="711" t="str">
        <f t="shared" si="0"/>
        <v>DomicillaryHospitalization</v>
      </c>
      <c r="AE2" s="1349" t="str">
        <f t="shared" si="0"/>
        <v>PreandPostHospitalizationCoverage</v>
      </c>
      <c r="AF2" s="1349"/>
      <c r="AG2" s="711" t="str">
        <f t="shared" si="0"/>
        <v>DoctorTeleconsultations</v>
      </c>
      <c r="AH2" s="711" t="str">
        <f t="shared" si="0"/>
        <v>PersonalAIHealthAssistant</v>
      </c>
      <c r="AI2" s="711" t="str">
        <f t="shared" si="0"/>
        <v>EmergencyAmbulance</v>
      </c>
      <c r="AJ2" s="711" t="str">
        <f t="shared" si="0"/>
        <v>HealthCheckups</v>
      </c>
      <c r="AK2" s="711" t="s">
        <v>392</v>
      </c>
      <c r="AL2" s="711" t="str">
        <f t="shared" si="0"/>
        <v>MedicinesDelivery</v>
      </c>
      <c r="AM2" s="711" t="str">
        <f t="shared" si="0"/>
        <v>DentalCoverage</v>
      </c>
      <c r="AN2" s="1349" t="str">
        <f t="shared" si="0"/>
        <v>MaternityCover</v>
      </c>
      <c r="AO2" s="1349"/>
      <c r="AP2" s="1349" t="str">
        <f t="shared" si="0"/>
        <v>MaternityWaitingPeriod</v>
      </c>
      <c r="AQ2" s="1349"/>
      <c r="AR2" s="711" t="str">
        <f t="shared" si="0"/>
        <v>PreandPostNatalExpenses</v>
      </c>
      <c r="AS2" s="711" t="str">
        <f t="shared" si="0"/>
        <v>InitialWaitingPeriod</v>
      </c>
      <c r="AT2" s="711" t="str">
        <f t="shared" si="0"/>
        <v>SpecificDiseasesWaitingPeriod</v>
      </c>
      <c r="AU2" s="711" t="str">
        <f t="shared" si="0"/>
        <v>PreExistingDiseasesWaitingPeriod</v>
      </c>
      <c r="AV2" s="711" t="str">
        <f t="shared" si="0"/>
        <v>RoadAmbulance</v>
      </c>
      <c r="AW2" s="735" t="str">
        <f t="shared" si="0"/>
        <v>AirAmbulance</v>
      </c>
      <c r="AX2" s="711" t="str">
        <f t="shared" si="0"/>
        <v>ModernTreatmentsandRoboticSurgeries</v>
      </c>
      <c r="AY2" s="1349" t="str">
        <f t="shared" si="0"/>
        <v>PsychiatricIllness</v>
      </c>
      <c r="AZ2" s="1349"/>
      <c r="BA2" s="1349" t="str">
        <f t="shared" si="0"/>
        <v>AYUSHTreatments</v>
      </c>
      <c r="BB2" s="1349"/>
      <c r="BC2" s="711" t="str">
        <f t="shared" si="0"/>
        <v>OrganDonorExpenses</v>
      </c>
      <c r="BD2" s="711"/>
      <c r="BE2" s="711" t="str">
        <f t="shared" si="0"/>
        <v>LasikEyeSurgery</v>
      </c>
      <c r="BF2" s="711" t="str">
        <f t="shared" si="0"/>
        <v>Terrorism</v>
      </c>
      <c r="BG2" s="1349" t="str">
        <f t="shared" si="0"/>
        <v>AdditionsandDeletions</v>
      </c>
      <c r="BH2" s="1349"/>
      <c r="BI2" s="1349" t="str">
        <f t="shared" si="0"/>
        <v>MidtermIncreaseinSumInsured</v>
      </c>
      <c r="BJ2" s="1349"/>
      <c r="BK2" s="1349" t="str">
        <f t="shared" si="0"/>
        <v>MidtermAdditionofDependents</v>
      </c>
      <c r="BL2" s="1349"/>
      <c r="BM2" s="1349" t="str">
        <f t="shared" si="0"/>
        <v>Midtermadditionofparents</v>
      </c>
      <c r="BN2" s="1349"/>
      <c r="BO2" s="711" t="str">
        <f t="shared" si="0"/>
        <v>CashlessAuthorizationTAT</v>
      </c>
      <c r="BP2" s="711" t="str">
        <f t="shared" si="0"/>
        <v>ReimburementClaimSettlementTAT</v>
      </c>
      <c r="BQ2" s="711" t="str">
        <f t="shared" si="0"/>
        <v>ReimbursementClaimfiling</v>
      </c>
      <c r="BR2" s="711" t="str">
        <f t="shared" si="0"/>
        <v>ReimbursementClaimIntimation</v>
      </c>
      <c r="BS2" s="711" t="str">
        <f t="shared" si="0"/>
        <v>ReimbursementClaimSubmission</v>
      </c>
    </row>
    <row r="3" spans="1:71" ht="138">
      <c r="A3" s="713" t="s">
        <v>182</v>
      </c>
      <c r="B3" s="815" t="s">
        <v>117</v>
      </c>
      <c r="C3" s="714" t="s">
        <v>199</v>
      </c>
      <c r="D3" s="714" t="s">
        <v>201</v>
      </c>
      <c r="E3" s="714" t="s">
        <v>125</v>
      </c>
      <c r="F3" s="714" t="s">
        <v>126</v>
      </c>
      <c r="G3" s="714" t="s">
        <v>360</v>
      </c>
      <c r="H3" s="714" t="s">
        <v>473</v>
      </c>
      <c r="I3" s="715" t="s">
        <v>474</v>
      </c>
      <c r="J3" s="715" t="s">
        <v>475</v>
      </c>
      <c r="K3" s="715" t="s">
        <v>476</v>
      </c>
      <c r="L3" s="715" t="s">
        <v>477</v>
      </c>
      <c r="M3" s="122" t="s">
        <v>133</v>
      </c>
      <c r="N3" s="122" t="s">
        <v>478</v>
      </c>
      <c r="O3" s="122" t="s">
        <v>479</v>
      </c>
      <c r="P3" s="122" t="s">
        <v>480</v>
      </c>
      <c r="Q3" s="122" t="s">
        <v>481</v>
      </c>
      <c r="R3" s="122" t="s">
        <v>363</v>
      </c>
      <c r="S3" s="714" t="s">
        <v>216</v>
      </c>
      <c r="T3" s="714" t="s">
        <v>364</v>
      </c>
      <c r="U3" s="715" t="s">
        <v>221</v>
      </c>
      <c r="V3" s="716" t="s">
        <v>222</v>
      </c>
      <c r="W3" s="716" t="s">
        <v>223</v>
      </c>
      <c r="X3" s="715" t="s">
        <v>235</v>
      </c>
      <c r="Y3" s="716" t="s">
        <v>236</v>
      </c>
      <c r="Z3" s="714" t="s">
        <v>135</v>
      </c>
      <c r="AA3" s="714" t="s">
        <v>366</v>
      </c>
      <c r="AB3" s="714" t="s">
        <v>256</v>
      </c>
      <c r="AC3" s="714" t="s">
        <v>135</v>
      </c>
      <c r="AD3" s="715" t="s">
        <v>261</v>
      </c>
      <c r="AE3" s="715" t="s">
        <v>369</v>
      </c>
      <c r="AF3" s="715" t="s">
        <v>364</v>
      </c>
      <c r="AG3" s="715" t="s">
        <v>266</v>
      </c>
      <c r="AH3" s="715" t="s">
        <v>389</v>
      </c>
      <c r="AI3" s="715" t="s">
        <v>390</v>
      </c>
      <c r="AJ3" s="715" t="s">
        <v>268</v>
      </c>
      <c r="AK3" s="715" t="s">
        <v>393</v>
      </c>
      <c r="AL3" s="715" t="s">
        <v>270</v>
      </c>
      <c r="AM3" s="715" t="s">
        <v>272</v>
      </c>
      <c r="AN3" s="715" t="s">
        <v>131</v>
      </c>
      <c r="AO3" s="715" t="s">
        <v>364</v>
      </c>
      <c r="AP3" s="714" t="s">
        <v>274</v>
      </c>
      <c r="AQ3" s="714" t="s">
        <v>371</v>
      </c>
      <c r="AR3" s="715" t="s">
        <v>275</v>
      </c>
      <c r="AS3" s="714" t="s">
        <v>373</v>
      </c>
      <c r="AT3" s="714" t="s">
        <v>374</v>
      </c>
      <c r="AU3" s="714" t="s">
        <v>376</v>
      </c>
      <c r="AV3" s="716" t="s">
        <v>141</v>
      </c>
      <c r="AW3" s="716" t="s">
        <v>381</v>
      </c>
      <c r="AX3" s="714" t="s">
        <v>291</v>
      </c>
      <c r="AY3" s="714" t="s">
        <v>135</v>
      </c>
      <c r="AZ3" s="716" t="s">
        <v>364</v>
      </c>
      <c r="BA3" s="715" t="s">
        <v>139</v>
      </c>
      <c r="BB3" s="716" t="s">
        <v>364</v>
      </c>
      <c r="BC3" s="718" t="s">
        <v>305</v>
      </c>
      <c r="BD3" s="716" t="s">
        <v>364</v>
      </c>
      <c r="BE3" s="715" t="s">
        <v>307</v>
      </c>
      <c r="BF3" s="718" t="s">
        <v>312</v>
      </c>
      <c r="BG3" s="715" t="s">
        <v>314</v>
      </c>
      <c r="BH3" s="715" t="s">
        <v>482</v>
      </c>
      <c r="BI3" s="715" t="s">
        <v>386</v>
      </c>
      <c r="BJ3" s="715" t="s">
        <v>482</v>
      </c>
      <c r="BK3" s="715" t="s">
        <v>318</v>
      </c>
      <c r="BL3" s="715" t="s">
        <v>482</v>
      </c>
      <c r="BM3" s="715" t="s">
        <v>320</v>
      </c>
      <c r="BN3" s="715" t="s">
        <v>482</v>
      </c>
      <c r="BO3" s="714" t="s">
        <v>322</v>
      </c>
      <c r="BP3" s="715" t="s">
        <v>325</v>
      </c>
      <c r="BQ3" s="715" t="s">
        <v>327</v>
      </c>
      <c r="BR3" s="715" t="s">
        <v>329</v>
      </c>
      <c r="BS3" s="715" t="s">
        <v>335</v>
      </c>
    </row>
    <row r="4" spans="1:71" ht="96.6">
      <c r="A4" s="725" t="s">
        <v>196</v>
      </c>
      <c r="B4" s="815" t="e" vm="1">
        <f>_xlfn.IMAGE("AZ4", "A4")</f>
        <v>#VALUE!</v>
      </c>
      <c r="C4" s="714" t="s">
        <v>483</v>
      </c>
      <c r="D4" s="714" t="s">
        <v>483</v>
      </c>
      <c r="E4" s="719">
        <v>2</v>
      </c>
      <c r="F4" s="714" t="s">
        <v>483</v>
      </c>
      <c r="G4" s="714" t="s">
        <v>483</v>
      </c>
      <c r="H4" s="714" t="s">
        <v>483</v>
      </c>
      <c r="I4" s="714" t="s">
        <v>200</v>
      </c>
      <c r="J4" s="714" t="s">
        <v>200</v>
      </c>
      <c r="K4" s="714" t="s">
        <v>200</v>
      </c>
      <c r="L4" s="714" t="s">
        <v>200</v>
      </c>
      <c r="M4" s="714" t="s">
        <v>483</v>
      </c>
      <c r="N4" s="714" t="s">
        <v>483</v>
      </c>
      <c r="O4" s="714" t="s">
        <v>483</v>
      </c>
      <c r="P4" s="714" t="s">
        <v>483</v>
      </c>
      <c r="Q4" s="714" t="s">
        <v>483</v>
      </c>
      <c r="R4" s="714" t="s">
        <v>483</v>
      </c>
      <c r="S4" s="714" t="s">
        <v>483</v>
      </c>
      <c r="T4" s="714" t="s">
        <v>364</v>
      </c>
      <c r="U4" s="714" t="s">
        <v>483</v>
      </c>
      <c r="V4" s="714" t="s">
        <v>483</v>
      </c>
      <c r="W4" s="726" t="s">
        <v>229</v>
      </c>
      <c r="X4" s="714" t="s">
        <v>483</v>
      </c>
      <c r="Y4" s="715" t="s">
        <v>242</v>
      </c>
      <c r="Z4" s="714" t="s">
        <v>483</v>
      </c>
      <c r="AA4" s="715" t="s">
        <v>484</v>
      </c>
      <c r="AB4" s="720" t="s">
        <v>483</v>
      </c>
      <c r="AC4" s="720" t="s">
        <v>483</v>
      </c>
      <c r="AD4" s="722" t="s">
        <v>485</v>
      </c>
      <c r="AE4" s="720" t="s">
        <v>486</v>
      </c>
      <c r="AF4" s="716" t="s">
        <v>364</v>
      </c>
      <c r="AG4" s="720" t="s">
        <v>483</v>
      </c>
      <c r="AH4" s="720" t="s">
        <v>483</v>
      </c>
      <c r="AI4" s="720" t="s">
        <v>483</v>
      </c>
      <c r="AJ4" s="720" t="s">
        <v>483</v>
      </c>
      <c r="AK4" s="720" t="s">
        <v>483</v>
      </c>
      <c r="AL4" s="720" t="s">
        <v>483</v>
      </c>
      <c r="AM4" s="722" t="s">
        <v>485</v>
      </c>
      <c r="AN4" s="714" t="s">
        <v>483</v>
      </c>
      <c r="AO4" s="716" t="s">
        <v>364</v>
      </c>
      <c r="AP4" s="714" t="s">
        <v>483</v>
      </c>
      <c r="AQ4" s="714" t="s">
        <v>371</v>
      </c>
      <c r="AR4" s="714" t="s">
        <v>277</v>
      </c>
      <c r="AS4" s="720" t="s">
        <v>483</v>
      </c>
      <c r="AT4" s="720" t="s">
        <v>483</v>
      </c>
      <c r="AU4" s="720" t="s">
        <v>483</v>
      </c>
      <c r="AV4" s="714" t="s">
        <v>1126</v>
      </c>
      <c r="AW4" s="722" t="s">
        <v>485</v>
      </c>
      <c r="AX4" s="724" t="s">
        <v>292</v>
      </c>
      <c r="AY4" s="722" t="s">
        <v>485</v>
      </c>
      <c r="AZ4" s="716" t="s">
        <v>364</v>
      </c>
      <c r="BA4" s="722" t="s">
        <v>485</v>
      </c>
      <c r="BB4" s="716" t="s">
        <v>364</v>
      </c>
      <c r="BC4" s="722" t="s">
        <v>485</v>
      </c>
      <c r="BD4" s="716" t="s">
        <v>364</v>
      </c>
      <c r="BE4" s="722" t="s">
        <v>311</v>
      </c>
      <c r="BF4" s="722" t="s">
        <v>311</v>
      </c>
      <c r="BG4" s="720" t="s">
        <v>483</v>
      </c>
      <c r="BH4" s="715" t="s">
        <v>482</v>
      </c>
      <c r="BI4" s="720" t="s">
        <v>483</v>
      </c>
      <c r="BJ4" s="715" t="s">
        <v>482</v>
      </c>
      <c r="BK4" s="720" t="s">
        <v>483</v>
      </c>
      <c r="BL4" s="715" t="s">
        <v>482</v>
      </c>
      <c r="BM4" s="720" t="s">
        <v>483</v>
      </c>
      <c r="BN4" s="715" t="s">
        <v>482</v>
      </c>
      <c r="BO4" s="714" t="s">
        <v>323</v>
      </c>
      <c r="BP4" s="720" t="s">
        <v>483</v>
      </c>
      <c r="BQ4" s="720" t="s">
        <v>483</v>
      </c>
      <c r="BR4" s="720" t="s">
        <v>483</v>
      </c>
      <c r="BS4" s="720" t="s">
        <v>483</v>
      </c>
    </row>
    <row r="5" spans="1:71" ht="69">
      <c r="A5" s="725" t="s">
        <v>197</v>
      </c>
      <c r="B5" s="815" t="e" vm="1">
        <f>_xlfn.IMAGE("AZ4", "A4")</f>
        <v>#VALUE!</v>
      </c>
      <c r="C5" s="714" t="s">
        <v>483</v>
      </c>
      <c r="D5" s="714" t="s">
        <v>483</v>
      </c>
      <c r="E5" s="719">
        <v>2</v>
      </c>
      <c r="F5" s="714" t="s">
        <v>204</v>
      </c>
      <c r="G5" s="714" t="s">
        <v>483</v>
      </c>
      <c r="H5" s="714" t="s">
        <v>483</v>
      </c>
      <c r="I5" s="714" t="s">
        <v>200</v>
      </c>
      <c r="J5" s="714" t="s">
        <v>200</v>
      </c>
      <c r="K5" s="714" t="s">
        <v>200</v>
      </c>
      <c r="L5" s="714" t="s">
        <v>200</v>
      </c>
      <c r="M5" s="714" t="s">
        <v>483</v>
      </c>
      <c r="N5" s="714" t="s">
        <v>483</v>
      </c>
      <c r="O5" s="714" t="s">
        <v>483</v>
      </c>
      <c r="P5" s="714" t="s">
        <v>483</v>
      </c>
      <c r="Q5" s="714" t="s">
        <v>483</v>
      </c>
      <c r="R5" s="714" t="s">
        <v>483</v>
      </c>
      <c r="S5" s="714" t="s">
        <v>483</v>
      </c>
      <c r="T5" s="714" t="s">
        <v>364</v>
      </c>
      <c r="U5" s="714" t="s">
        <v>483</v>
      </c>
      <c r="V5" s="714" t="s">
        <v>483</v>
      </c>
      <c r="W5" s="726" t="s">
        <v>233</v>
      </c>
      <c r="X5" s="714" t="s">
        <v>483</v>
      </c>
      <c r="Y5" s="724" t="s">
        <v>243</v>
      </c>
      <c r="Z5" s="714" t="s">
        <v>483</v>
      </c>
      <c r="AA5" s="715" t="s">
        <v>484</v>
      </c>
      <c r="AB5" s="720" t="s">
        <v>483</v>
      </c>
      <c r="AC5" s="720" t="s">
        <v>483</v>
      </c>
      <c r="AD5" s="720" t="s">
        <v>483</v>
      </c>
      <c r="AE5" s="720" t="s">
        <v>486</v>
      </c>
      <c r="AF5" s="716" t="s">
        <v>364</v>
      </c>
      <c r="AG5" s="720" t="s">
        <v>483</v>
      </c>
      <c r="AH5" s="720" t="s">
        <v>483</v>
      </c>
      <c r="AI5" s="720" t="s">
        <v>483</v>
      </c>
      <c r="AJ5" s="720" t="s">
        <v>483</v>
      </c>
      <c r="AK5" s="720" t="s">
        <v>483</v>
      </c>
      <c r="AL5" s="720" t="s">
        <v>483</v>
      </c>
      <c r="AM5" s="722" t="s">
        <v>485</v>
      </c>
      <c r="AN5" s="714" t="s">
        <v>483</v>
      </c>
      <c r="AO5" s="716" t="s">
        <v>364</v>
      </c>
      <c r="AP5" s="714" t="s">
        <v>483</v>
      </c>
      <c r="AQ5" s="714" t="s">
        <v>371</v>
      </c>
      <c r="AR5" s="714" t="s">
        <v>276</v>
      </c>
      <c r="AS5" s="720" t="s">
        <v>483</v>
      </c>
      <c r="AT5" s="720" t="s">
        <v>483</v>
      </c>
      <c r="AU5" s="720" t="s">
        <v>483</v>
      </c>
      <c r="AV5" s="714" t="s">
        <v>1126</v>
      </c>
      <c r="AW5" s="722" t="s">
        <v>485</v>
      </c>
      <c r="AX5" s="724" t="s">
        <v>292</v>
      </c>
      <c r="AY5" s="724" t="s">
        <v>299</v>
      </c>
      <c r="AZ5" s="716" t="s">
        <v>364</v>
      </c>
      <c r="BA5" s="724" t="s">
        <v>303</v>
      </c>
      <c r="BB5" s="716" t="s">
        <v>364</v>
      </c>
      <c r="BC5" s="722" t="s">
        <v>485</v>
      </c>
      <c r="BD5" s="716" t="s">
        <v>364</v>
      </c>
      <c r="BE5" s="724" t="s">
        <v>308</v>
      </c>
      <c r="BF5" s="720" t="s">
        <v>483</v>
      </c>
      <c r="BG5" s="720" t="s">
        <v>483</v>
      </c>
      <c r="BH5" s="715" t="s">
        <v>482</v>
      </c>
      <c r="BI5" s="722" t="s">
        <v>485</v>
      </c>
      <c r="BJ5" s="715" t="s">
        <v>482</v>
      </c>
      <c r="BK5" s="720" t="s">
        <v>483</v>
      </c>
      <c r="BL5" s="715" t="s">
        <v>482</v>
      </c>
      <c r="BM5" s="720" t="s">
        <v>483</v>
      </c>
      <c r="BN5" s="715" t="s">
        <v>482</v>
      </c>
      <c r="BO5" s="714" t="s">
        <v>323</v>
      </c>
      <c r="BP5" s="720" t="s">
        <v>483</v>
      </c>
      <c r="BQ5" s="720" t="s">
        <v>483</v>
      </c>
      <c r="BR5" s="722" t="s">
        <v>485</v>
      </c>
      <c r="BS5" s="720" t="s">
        <v>483</v>
      </c>
    </row>
    <row r="6" spans="1:71" ht="41.4">
      <c r="A6" s="725" t="s">
        <v>487</v>
      </c>
      <c r="B6" s="815" t="e" vm="1">
        <f>_xlfn.IMAGE("AZ4", "A4")</f>
        <v>#VALUE!</v>
      </c>
      <c r="C6" s="714" t="s">
        <v>483</v>
      </c>
      <c r="D6" s="714" t="s">
        <v>483</v>
      </c>
      <c r="E6" s="719">
        <v>2</v>
      </c>
      <c r="F6" s="728">
        <v>2</v>
      </c>
      <c r="G6" s="714" t="s">
        <v>483</v>
      </c>
      <c r="H6" s="714" t="s">
        <v>483</v>
      </c>
      <c r="I6" s="714" t="s">
        <v>200</v>
      </c>
      <c r="J6" s="714" t="s">
        <v>200</v>
      </c>
      <c r="K6" s="714" t="s">
        <v>200</v>
      </c>
      <c r="L6" s="714" t="s">
        <v>200</v>
      </c>
      <c r="M6" s="714" t="s">
        <v>82</v>
      </c>
      <c r="N6" s="714" t="s">
        <v>82</v>
      </c>
      <c r="O6" s="714" t="s">
        <v>82</v>
      </c>
      <c r="P6" s="714" t="s">
        <v>82</v>
      </c>
      <c r="Q6" s="714" t="s">
        <v>82</v>
      </c>
      <c r="R6" s="714" t="s">
        <v>82</v>
      </c>
      <c r="S6" s="714" t="s">
        <v>483</v>
      </c>
      <c r="T6" s="714" t="s">
        <v>364</v>
      </c>
      <c r="U6" s="714" t="s">
        <v>483</v>
      </c>
      <c r="V6" s="714" t="s">
        <v>483</v>
      </c>
      <c r="W6" s="726" t="s">
        <v>231</v>
      </c>
      <c r="X6" s="714" t="s">
        <v>483</v>
      </c>
      <c r="Y6" s="724" t="s">
        <v>238</v>
      </c>
      <c r="Z6" s="714" t="s">
        <v>483</v>
      </c>
      <c r="AA6" s="715" t="s">
        <v>484</v>
      </c>
      <c r="AB6" s="720" t="s">
        <v>483</v>
      </c>
      <c r="AC6" s="720" t="s">
        <v>483</v>
      </c>
      <c r="AD6" s="722" t="s">
        <v>485</v>
      </c>
      <c r="AE6" s="720" t="s">
        <v>486</v>
      </c>
      <c r="AF6" s="716" t="s">
        <v>364</v>
      </c>
      <c r="AG6" s="720" t="s">
        <v>483</v>
      </c>
      <c r="AH6" s="720" t="s">
        <v>483</v>
      </c>
      <c r="AI6" s="720" t="s">
        <v>483</v>
      </c>
      <c r="AJ6" s="720" t="s">
        <v>483</v>
      </c>
      <c r="AK6" s="720" t="s">
        <v>483</v>
      </c>
      <c r="AL6" s="720" t="s">
        <v>483</v>
      </c>
      <c r="AM6" s="722" t="s">
        <v>485</v>
      </c>
      <c r="AN6" s="714" t="s">
        <v>483</v>
      </c>
      <c r="AO6" s="716" t="s">
        <v>364</v>
      </c>
      <c r="AP6" s="714" t="s">
        <v>483</v>
      </c>
      <c r="AQ6" s="714" t="s">
        <v>371</v>
      </c>
      <c r="AR6" s="714" t="s">
        <v>483</v>
      </c>
      <c r="AS6" s="720" t="s">
        <v>483</v>
      </c>
      <c r="AT6" s="720" t="s">
        <v>483</v>
      </c>
      <c r="AU6" s="720" t="s">
        <v>483</v>
      </c>
      <c r="AV6" s="714" t="s">
        <v>1124</v>
      </c>
      <c r="AW6" s="722" t="s">
        <v>485</v>
      </c>
      <c r="AX6" s="724" t="s">
        <v>292</v>
      </c>
      <c r="AY6" s="722" t="s">
        <v>485</v>
      </c>
      <c r="AZ6" s="716" t="s">
        <v>364</v>
      </c>
      <c r="BA6" s="720" t="s">
        <v>483</v>
      </c>
      <c r="BB6" s="716" t="s">
        <v>364</v>
      </c>
      <c r="BC6" s="722" t="s">
        <v>485</v>
      </c>
      <c r="BD6" s="716" t="s">
        <v>364</v>
      </c>
      <c r="BE6" s="724" t="s">
        <v>310</v>
      </c>
      <c r="BF6" s="720" t="s">
        <v>483</v>
      </c>
      <c r="BG6" s="720" t="s">
        <v>483</v>
      </c>
      <c r="BH6" s="720" t="s">
        <v>483</v>
      </c>
      <c r="BI6" s="722" t="s">
        <v>485</v>
      </c>
      <c r="BJ6" s="715" t="s">
        <v>482</v>
      </c>
      <c r="BK6" s="720" t="s">
        <v>483</v>
      </c>
      <c r="BL6" s="715" t="s">
        <v>482</v>
      </c>
      <c r="BM6" s="720" t="s">
        <v>483</v>
      </c>
      <c r="BN6" s="715" t="s">
        <v>482</v>
      </c>
      <c r="BO6" s="714" t="s">
        <v>323</v>
      </c>
      <c r="BP6" s="720" t="s">
        <v>483</v>
      </c>
      <c r="BQ6" s="720" t="s">
        <v>483</v>
      </c>
      <c r="BR6" s="722" t="s">
        <v>485</v>
      </c>
      <c r="BS6" s="720" t="s">
        <v>483</v>
      </c>
    </row>
    <row r="7" spans="1:71" ht="96.6">
      <c r="A7" s="725" t="s">
        <v>488</v>
      </c>
      <c r="B7" s="815"/>
      <c r="C7" s="714" t="s">
        <v>483</v>
      </c>
      <c r="D7" s="714" t="s">
        <v>483</v>
      </c>
      <c r="E7" s="719">
        <v>4</v>
      </c>
      <c r="F7" s="722" t="s">
        <v>485</v>
      </c>
      <c r="G7" s="714" t="s">
        <v>483</v>
      </c>
      <c r="H7" s="714" t="s">
        <v>483</v>
      </c>
      <c r="I7" s="731" t="s">
        <v>1121</v>
      </c>
      <c r="J7" s="731" t="s">
        <v>1121</v>
      </c>
      <c r="K7" s="731" t="s">
        <v>1121</v>
      </c>
      <c r="L7" s="731" t="s">
        <v>1121</v>
      </c>
      <c r="M7" s="714" t="s">
        <v>483</v>
      </c>
      <c r="N7" s="714" t="s">
        <v>82</v>
      </c>
      <c r="O7" s="714" t="s">
        <v>82</v>
      </c>
      <c r="P7" s="714" t="s">
        <v>82</v>
      </c>
      <c r="Q7" s="714" t="s">
        <v>82</v>
      </c>
      <c r="R7" s="714" t="s">
        <v>82</v>
      </c>
      <c r="S7" s="722" t="s">
        <v>485</v>
      </c>
      <c r="T7" s="714" t="s">
        <v>364</v>
      </c>
      <c r="U7" s="714" t="s">
        <v>483</v>
      </c>
      <c r="V7" s="714" t="s">
        <v>483</v>
      </c>
      <c r="W7" s="726" t="s">
        <v>231</v>
      </c>
      <c r="X7" s="714" t="s">
        <v>483</v>
      </c>
      <c r="Y7" s="724" t="s">
        <v>238</v>
      </c>
      <c r="Z7" s="714" t="s">
        <v>483</v>
      </c>
      <c r="AA7" s="715" t="s">
        <v>484</v>
      </c>
      <c r="AB7" s="720" t="s">
        <v>483</v>
      </c>
      <c r="AC7" s="720" t="s">
        <v>483</v>
      </c>
      <c r="AD7" s="722" t="s">
        <v>485</v>
      </c>
      <c r="AE7" s="720" t="s">
        <v>486</v>
      </c>
      <c r="AF7" s="716" t="s">
        <v>364</v>
      </c>
      <c r="AG7" s="720" t="s">
        <v>483</v>
      </c>
      <c r="AH7" s="720" t="s">
        <v>483</v>
      </c>
      <c r="AI7" s="720" t="s">
        <v>483</v>
      </c>
      <c r="AJ7" s="720" t="s">
        <v>483</v>
      </c>
      <c r="AK7" s="720" t="s">
        <v>483</v>
      </c>
      <c r="AL7" s="720" t="s">
        <v>483</v>
      </c>
      <c r="AM7" s="722" t="s">
        <v>485</v>
      </c>
      <c r="AN7" s="714" t="s">
        <v>483</v>
      </c>
      <c r="AO7" s="716" t="s">
        <v>364</v>
      </c>
      <c r="AP7" s="714" t="s">
        <v>483</v>
      </c>
      <c r="AQ7" s="714" t="s">
        <v>371</v>
      </c>
      <c r="AR7" s="714" t="s">
        <v>483</v>
      </c>
      <c r="AS7" s="720" t="s">
        <v>483</v>
      </c>
      <c r="AT7" s="720" t="s">
        <v>483</v>
      </c>
      <c r="AU7" s="720" t="s">
        <v>483</v>
      </c>
      <c r="AV7" s="714" t="s">
        <v>1129</v>
      </c>
      <c r="AW7" s="722" t="s">
        <v>485</v>
      </c>
      <c r="AX7" s="724" t="s">
        <v>293</v>
      </c>
      <c r="AY7" s="724" t="s">
        <v>303</v>
      </c>
      <c r="AZ7" s="716" t="s">
        <v>364</v>
      </c>
      <c r="BA7" s="720" t="s">
        <v>483</v>
      </c>
      <c r="BB7" s="716" t="s">
        <v>364</v>
      </c>
      <c r="BC7" s="722" t="s">
        <v>485</v>
      </c>
      <c r="BD7" s="716" t="s">
        <v>364</v>
      </c>
      <c r="BE7" s="724" t="s">
        <v>309</v>
      </c>
      <c r="BF7" s="720" t="s">
        <v>483</v>
      </c>
      <c r="BG7" s="720" t="s">
        <v>483</v>
      </c>
      <c r="BH7" s="720" t="s">
        <v>483</v>
      </c>
      <c r="BI7" s="722" t="s">
        <v>485</v>
      </c>
      <c r="BJ7" s="715" t="s">
        <v>482</v>
      </c>
      <c r="BK7" s="720" t="s">
        <v>483</v>
      </c>
      <c r="BL7" s="715" t="s">
        <v>482</v>
      </c>
      <c r="BM7" s="720" t="s">
        <v>364</v>
      </c>
      <c r="BN7" s="720" t="s">
        <v>364</v>
      </c>
      <c r="BO7" s="714" t="s">
        <v>323</v>
      </c>
      <c r="BP7" s="809"/>
      <c r="BQ7" s="809"/>
      <c r="BR7" s="810"/>
      <c r="BS7" s="809"/>
    </row>
    <row r="8" spans="1:71" ht="41.4">
      <c r="A8" s="713" t="s">
        <v>346</v>
      </c>
      <c r="B8" s="815" t="e" vm="1">
        <f>_xlfn.IMAGE("AZ4", "A4")</f>
        <v>#VALUE!</v>
      </c>
      <c r="C8" s="714" t="s">
        <v>483</v>
      </c>
      <c r="D8" s="714" t="s">
        <v>483</v>
      </c>
      <c r="E8" s="719">
        <v>4</v>
      </c>
      <c r="F8" s="714" t="s">
        <v>483</v>
      </c>
      <c r="G8" s="714" t="s">
        <v>483</v>
      </c>
      <c r="H8" s="714" t="s">
        <v>483</v>
      </c>
      <c r="I8" s="714" t="s">
        <v>483</v>
      </c>
      <c r="J8" s="714" t="s">
        <v>483</v>
      </c>
      <c r="K8" s="714" t="s">
        <v>483</v>
      </c>
      <c r="L8" s="714" t="s">
        <v>483</v>
      </c>
      <c r="M8" s="714" t="s">
        <v>483</v>
      </c>
      <c r="N8" s="714" t="s">
        <v>483</v>
      </c>
      <c r="O8" s="714" t="s">
        <v>483</v>
      </c>
      <c r="P8" s="714" t="s">
        <v>483</v>
      </c>
      <c r="Q8" s="714" t="s">
        <v>483</v>
      </c>
      <c r="R8" s="714" t="s">
        <v>483</v>
      </c>
      <c r="S8" s="714" t="s">
        <v>483</v>
      </c>
      <c r="T8" s="714" t="s">
        <v>364</v>
      </c>
      <c r="U8" s="714" t="s">
        <v>483</v>
      </c>
      <c r="V8" s="720" t="s">
        <v>483</v>
      </c>
      <c r="W8" s="721" t="s">
        <v>225</v>
      </c>
      <c r="X8" s="714" t="s">
        <v>483</v>
      </c>
      <c r="Y8" s="724" t="s">
        <v>238</v>
      </c>
      <c r="Z8" s="714" t="s">
        <v>483</v>
      </c>
      <c r="AA8" s="715" t="s">
        <v>484</v>
      </c>
      <c r="AB8" s="720" t="s">
        <v>483</v>
      </c>
      <c r="AC8" s="720" t="s">
        <v>483</v>
      </c>
      <c r="AD8" s="720" t="s">
        <v>483</v>
      </c>
      <c r="AE8" s="720" t="s">
        <v>486</v>
      </c>
      <c r="AF8" s="716" t="s">
        <v>364</v>
      </c>
      <c r="AG8" s="720" t="s">
        <v>483</v>
      </c>
      <c r="AH8" s="720" t="s">
        <v>483</v>
      </c>
      <c r="AI8" s="720" t="s">
        <v>483</v>
      </c>
      <c r="AJ8" s="720" t="s">
        <v>483</v>
      </c>
      <c r="AK8" s="720" t="s">
        <v>483</v>
      </c>
      <c r="AL8" s="720" t="s">
        <v>483</v>
      </c>
      <c r="AM8" s="722" t="s">
        <v>485</v>
      </c>
      <c r="AN8" s="714" t="s">
        <v>483</v>
      </c>
      <c r="AO8" s="716" t="s">
        <v>364</v>
      </c>
      <c r="AP8" s="714" t="s">
        <v>483</v>
      </c>
      <c r="AQ8" s="714" t="s">
        <v>371</v>
      </c>
      <c r="AR8" s="722" t="s">
        <v>485</v>
      </c>
      <c r="AS8" s="720" t="s">
        <v>483</v>
      </c>
      <c r="AT8" s="720" t="s">
        <v>483</v>
      </c>
      <c r="AU8" s="720" t="s">
        <v>483</v>
      </c>
      <c r="AV8" s="714" t="s">
        <v>1124</v>
      </c>
      <c r="AW8" s="722" t="s">
        <v>485</v>
      </c>
      <c r="AX8" s="724" t="s">
        <v>292</v>
      </c>
      <c r="AY8" s="724" t="s">
        <v>293</v>
      </c>
      <c r="AZ8" s="716" t="s">
        <v>364</v>
      </c>
      <c r="BA8" s="724" t="s">
        <v>301</v>
      </c>
      <c r="BB8" s="716" t="s">
        <v>364</v>
      </c>
      <c r="BC8" s="722" t="s">
        <v>485</v>
      </c>
      <c r="BD8" s="716" t="s">
        <v>364</v>
      </c>
      <c r="BE8" s="724" t="s">
        <v>489</v>
      </c>
      <c r="BF8" s="722" t="s">
        <v>485</v>
      </c>
      <c r="BG8" s="720" t="s">
        <v>483</v>
      </c>
      <c r="BH8" s="720" t="s">
        <v>483</v>
      </c>
      <c r="BI8" s="720" t="s">
        <v>483</v>
      </c>
      <c r="BJ8" s="715" t="s">
        <v>482</v>
      </c>
      <c r="BK8" s="720" t="s">
        <v>483</v>
      </c>
      <c r="BL8" s="715" t="s">
        <v>482</v>
      </c>
      <c r="BM8" s="720" t="s">
        <v>483</v>
      </c>
      <c r="BN8" s="715" t="s">
        <v>482</v>
      </c>
      <c r="BO8" s="714" t="s">
        <v>323</v>
      </c>
      <c r="BP8" s="720" t="s">
        <v>483</v>
      </c>
      <c r="BQ8" s="720" t="s">
        <v>483</v>
      </c>
      <c r="BR8" s="720" t="s">
        <v>483</v>
      </c>
      <c r="BS8" s="720" t="s">
        <v>483</v>
      </c>
    </row>
    <row r="9" spans="1:71" ht="27.6">
      <c r="A9" s="725" t="s">
        <v>194</v>
      </c>
      <c r="B9" s="815" t="e" vm="1">
        <f>_xlfn.IMAGE("AZ4", "A4")</f>
        <v>#VALUE!</v>
      </c>
      <c r="C9" s="714" t="s">
        <v>483</v>
      </c>
      <c r="D9" s="714" t="s">
        <v>483</v>
      </c>
      <c r="E9" s="729" t="s">
        <v>82</v>
      </c>
      <c r="F9" s="717" t="s">
        <v>82</v>
      </c>
      <c r="G9" s="714" t="s">
        <v>483</v>
      </c>
      <c r="H9" s="714" t="s">
        <v>483</v>
      </c>
      <c r="I9" s="714" t="s">
        <v>483</v>
      </c>
      <c r="J9" s="714" t="s">
        <v>483</v>
      </c>
      <c r="K9" s="714" t="s">
        <v>483</v>
      </c>
      <c r="L9" s="714" t="s">
        <v>483</v>
      </c>
      <c r="M9" s="714" t="s">
        <v>483</v>
      </c>
      <c r="N9" s="714" t="s">
        <v>483</v>
      </c>
      <c r="O9" s="714" t="s">
        <v>483</v>
      </c>
      <c r="P9" s="714" t="s">
        <v>483</v>
      </c>
      <c r="Q9" s="714" t="s">
        <v>483</v>
      </c>
      <c r="R9" s="714" t="s">
        <v>483</v>
      </c>
      <c r="S9" s="714" t="s">
        <v>483</v>
      </c>
      <c r="T9" s="714" t="s">
        <v>364</v>
      </c>
      <c r="U9" s="714" t="s">
        <v>483</v>
      </c>
      <c r="V9" s="714" t="s">
        <v>483</v>
      </c>
      <c r="W9" s="730" t="s">
        <v>228</v>
      </c>
      <c r="X9" s="714" t="s">
        <v>483</v>
      </c>
      <c r="Y9" s="724" t="s">
        <v>238</v>
      </c>
      <c r="Z9" s="714" t="s">
        <v>483</v>
      </c>
      <c r="AA9" s="715" t="s">
        <v>484</v>
      </c>
      <c r="AB9" s="720" t="s">
        <v>483</v>
      </c>
      <c r="AC9" s="720" t="s">
        <v>483</v>
      </c>
      <c r="AD9" s="722" t="s">
        <v>485</v>
      </c>
      <c r="AE9" s="720" t="s">
        <v>486</v>
      </c>
      <c r="AF9" s="716" t="s">
        <v>364</v>
      </c>
      <c r="AG9" s="720" t="s">
        <v>483</v>
      </c>
      <c r="AH9" s="720" t="s">
        <v>483</v>
      </c>
      <c r="AI9" s="720" t="s">
        <v>483</v>
      </c>
      <c r="AJ9" s="720" t="s">
        <v>483</v>
      </c>
      <c r="AK9" s="720" t="s">
        <v>483</v>
      </c>
      <c r="AL9" s="720" t="s">
        <v>483</v>
      </c>
      <c r="AM9" s="722" t="s">
        <v>485</v>
      </c>
      <c r="AN9" s="714" t="s">
        <v>483</v>
      </c>
      <c r="AO9" s="716" t="s">
        <v>364</v>
      </c>
      <c r="AP9" s="714" t="s">
        <v>483</v>
      </c>
      <c r="AQ9" s="714" t="s">
        <v>371</v>
      </c>
      <c r="AR9" s="714" t="s">
        <v>276</v>
      </c>
      <c r="AS9" s="720" t="s">
        <v>483</v>
      </c>
      <c r="AT9" s="720" t="s">
        <v>483</v>
      </c>
      <c r="AU9" s="720" t="s">
        <v>483</v>
      </c>
      <c r="AV9" s="714" t="s">
        <v>1124</v>
      </c>
      <c r="AW9" s="722" t="s">
        <v>485</v>
      </c>
      <c r="AX9" s="724" t="s">
        <v>292</v>
      </c>
      <c r="AY9" s="722" t="s">
        <v>485</v>
      </c>
      <c r="AZ9" s="716" t="s">
        <v>364</v>
      </c>
      <c r="BA9" s="722" t="s">
        <v>485</v>
      </c>
      <c r="BB9" s="716" t="s">
        <v>364</v>
      </c>
      <c r="BC9" s="722" t="s">
        <v>485</v>
      </c>
      <c r="BD9" s="716" t="s">
        <v>364</v>
      </c>
      <c r="BE9" s="722" t="s">
        <v>485</v>
      </c>
      <c r="BF9" s="722" t="s">
        <v>485</v>
      </c>
      <c r="BG9" s="720" t="s">
        <v>483</v>
      </c>
      <c r="BH9" s="720" t="s">
        <v>483</v>
      </c>
      <c r="BI9" s="722" t="s">
        <v>485</v>
      </c>
      <c r="BJ9" s="715" t="s">
        <v>482</v>
      </c>
      <c r="BK9" s="720" t="s">
        <v>483</v>
      </c>
      <c r="BL9" s="715" t="s">
        <v>482</v>
      </c>
      <c r="BM9" s="720" t="s">
        <v>483</v>
      </c>
      <c r="BN9" s="715" t="s">
        <v>482</v>
      </c>
      <c r="BO9" s="714" t="s">
        <v>323</v>
      </c>
      <c r="BP9" s="720" t="s">
        <v>483</v>
      </c>
      <c r="BQ9" s="720" t="s">
        <v>483</v>
      </c>
      <c r="BR9" s="727" t="s">
        <v>333</v>
      </c>
      <c r="BS9" s="720" t="s">
        <v>483</v>
      </c>
    </row>
    <row r="10" spans="1:71" ht="27.6">
      <c r="A10" s="713" t="s">
        <v>183</v>
      </c>
      <c r="B10" s="815" t="e" vm="2">
        <f>_xlfn.IMAGE("https://upload.wikimedia.org/wikipedia/commons/c/c4/Digit_Insurance.jpg", "Digit")</f>
        <v>#VALUE!</v>
      </c>
      <c r="C10" s="714" t="s">
        <v>483</v>
      </c>
      <c r="D10" s="714" t="s">
        <v>483</v>
      </c>
      <c r="E10" s="719">
        <v>6</v>
      </c>
      <c r="F10" s="714" t="s">
        <v>483</v>
      </c>
      <c r="G10" s="714" t="s">
        <v>483</v>
      </c>
      <c r="H10" s="714" t="s">
        <v>483</v>
      </c>
      <c r="I10" s="714" t="s">
        <v>483</v>
      </c>
      <c r="J10" s="714" t="s">
        <v>483</v>
      </c>
      <c r="K10" s="714" t="s">
        <v>483</v>
      </c>
      <c r="L10" s="714" t="s">
        <v>483</v>
      </c>
      <c r="M10" s="714" t="s">
        <v>483</v>
      </c>
      <c r="N10" s="714" t="s">
        <v>483</v>
      </c>
      <c r="O10" s="714" t="s">
        <v>483</v>
      </c>
      <c r="P10" s="714" t="s">
        <v>483</v>
      </c>
      <c r="Q10" s="714" t="s">
        <v>483</v>
      </c>
      <c r="R10" s="714" t="s">
        <v>483</v>
      </c>
      <c r="S10" s="714" t="s">
        <v>483</v>
      </c>
      <c r="T10" s="714" t="s">
        <v>364</v>
      </c>
      <c r="U10" s="714" t="s">
        <v>483</v>
      </c>
      <c r="V10" s="720" t="s">
        <v>483</v>
      </c>
      <c r="W10" s="721" t="s">
        <v>224</v>
      </c>
      <c r="X10" s="714" t="s">
        <v>483</v>
      </c>
      <c r="Y10" s="715" t="s">
        <v>237</v>
      </c>
      <c r="Z10" s="714" t="s">
        <v>483</v>
      </c>
      <c r="AA10" s="715" t="s">
        <v>484</v>
      </c>
      <c r="AB10" s="720" t="s">
        <v>483</v>
      </c>
      <c r="AC10" s="720" t="s">
        <v>483</v>
      </c>
      <c r="AD10" s="720" t="s">
        <v>483</v>
      </c>
      <c r="AE10" s="720" t="s">
        <v>486</v>
      </c>
      <c r="AF10" s="716" t="s">
        <v>364</v>
      </c>
      <c r="AG10" s="720" t="s">
        <v>483</v>
      </c>
      <c r="AH10" s="720" t="s">
        <v>483</v>
      </c>
      <c r="AI10" s="720" t="s">
        <v>483</v>
      </c>
      <c r="AJ10" s="720" t="s">
        <v>483</v>
      </c>
      <c r="AK10" s="720" t="s">
        <v>483</v>
      </c>
      <c r="AL10" s="720" t="s">
        <v>483</v>
      </c>
      <c r="AM10" s="722" t="s">
        <v>485</v>
      </c>
      <c r="AN10" s="714" t="s">
        <v>483</v>
      </c>
      <c r="AO10" s="716" t="s">
        <v>364</v>
      </c>
      <c r="AP10" s="714" t="s">
        <v>483</v>
      </c>
      <c r="AQ10" s="714" t="s">
        <v>371</v>
      </c>
      <c r="AR10" s="714" t="s">
        <v>483</v>
      </c>
      <c r="AS10" s="720" t="s">
        <v>483</v>
      </c>
      <c r="AT10" s="720" t="s">
        <v>483</v>
      </c>
      <c r="AU10" s="720" t="s">
        <v>483</v>
      </c>
      <c r="AV10" s="714" t="s">
        <v>1124</v>
      </c>
      <c r="AW10" s="723" t="s">
        <v>1122</v>
      </c>
      <c r="AX10" s="724" t="s">
        <v>292</v>
      </c>
      <c r="AY10" s="724" t="s">
        <v>296</v>
      </c>
      <c r="AZ10" s="716" t="s">
        <v>364</v>
      </c>
      <c r="BA10" s="724" t="s">
        <v>301</v>
      </c>
      <c r="BB10" s="716" t="s">
        <v>364</v>
      </c>
      <c r="BC10" s="720" t="s">
        <v>483</v>
      </c>
      <c r="BD10" s="716" t="s">
        <v>364</v>
      </c>
      <c r="BE10" s="722" t="s">
        <v>485</v>
      </c>
      <c r="BF10" s="720" t="s">
        <v>483</v>
      </c>
      <c r="BG10" s="720" t="s">
        <v>483</v>
      </c>
      <c r="BH10" s="720" t="s">
        <v>483</v>
      </c>
      <c r="BI10" s="720" t="s">
        <v>483</v>
      </c>
      <c r="BJ10" s="715" t="s">
        <v>482</v>
      </c>
      <c r="BK10" s="720" t="s">
        <v>483</v>
      </c>
      <c r="BL10" s="715" t="s">
        <v>482</v>
      </c>
      <c r="BM10" s="720" t="s">
        <v>483</v>
      </c>
      <c r="BN10" s="715" t="s">
        <v>482</v>
      </c>
      <c r="BO10" s="714" t="s">
        <v>323</v>
      </c>
      <c r="BP10" s="720" t="s">
        <v>483</v>
      </c>
      <c r="BQ10" s="720" t="s">
        <v>483</v>
      </c>
      <c r="BR10" s="720" t="s">
        <v>483</v>
      </c>
      <c r="BS10" s="720" t="s">
        <v>483</v>
      </c>
    </row>
    <row r="11" spans="1:71" ht="27.6">
      <c r="A11" s="725" t="s">
        <v>343</v>
      </c>
      <c r="B11" s="816"/>
      <c r="C11" s="714" t="s">
        <v>483</v>
      </c>
      <c r="D11" s="714" t="s">
        <v>483</v>
      </c>
      <c r="E11" s="719">
        <v>2</v>
      </c>
      <c r="F11" s="714" t="s">
        <v>483</v>
      </c>
      <c r="G11" s="714" t="s">
        <v>483</v>
      </c>
      <c r="H11" s="714" t="s">
        <v>483</v>
      </c>
      <c r="I11" s="714" t="s">
        <v>200</v>
      </c>
      <c r="J11" s="714" t="s">
        <v>200</v>
      </c>
      <c r="K11" s="722" t="s">
        <v>485</v>
      </c>
      <c r="L11" s="714" t="s">
        <v>483</v>
      </c>
      <c r="M11" s="714" t="s">
        <v>483</v>
      </c>
      <c r="N11" s="714" t="s">
        <v>483</v>
      </c>
      <c r="O11" s="714" t="s">
        <v>483</v>
      </c>
      <c r="P11" s="722" t="s">
        <v>485</v>
      </c>
      <c r="Q11" s="722" t="s">
        <v>485</v>
      </c>
      <c r="R11" s="722" t="s">
        <v>485</v>
      </c>
      <c r="S11" s="714" t="s">
        <v>483</v>
      </c>
      <c r="T11" s="714" t="s">
        <v>364</v>
      </c>
      <c r="U11" s="714" t="s">
        <v>483</v>
      </c>
      <c r="V11" s="720" t="s">
        <v>483</v>
      </c>
      <c r="W11" s="812"/>
      <c r="X11" s="714" t="s">
        <v>483</v>
      </c>
      <c r="Y11" s="724" t="s">
        <v>238</v>
      </c>
      <c r="Z11" s="714" t="s">
        <v>483</v>
      </c>
      <c r="AA11" s="715" t="s">
        <v>484</v>
      </c>
      <c r="AB11" s="720" t="s">
        <v>483</v>
      </c>
      <c r="AC11" s="720" t="s">
        <v>483</v>
      </c>
      <c r="AD11" s="722" t="s">
        <v>485</v>
      </c>
      <c r="AE11" s="720" t="s">
        <v>486</v>
      </c>
      <c r="AF11" s="716" t="s">
        <v>364</v>
      </c>
      <c r="AG11" s="720" t="s">
        <v>483</v>
      </c>
      <c r="AH11" s="720" t="s">
        <v>483</v>
      </c>
      <c r="AI11" s="720" t="s">
        <v>483</v>
      </c>
      <c r="AJ11" s="720" t="s">
        <v>483</v>
      </c>
      <c r="AK11" s="720" t="s">
        <v>483</v>
      </c>
      <c r="AL11" s="720" t="s">
        <v>483</v>
      </c>
      <c r="AM11" s="722" t="s">
        <v>485</v>
      </c>
      <c r="AN11" s="714" t="s">
        <v>483</v>
      </c>
      <c r="AO11" s="716" t="s">
        <v>364</v>
      </c>
      <c r="AP11" s="714" t="s">
        <v>483</v>
      </c>
      <c r="AQ11" s="714" t="s">
        <v>371</v>
      </c>
      <c r="AR11" s="722" t="s">
        <v>485</v>
      </c>
      <c r="AS11" s="720" t="s">
        <v>483</v>
      </c>
      <c r="AT11" s="720" t="s">
        <v>483</v>
      </c>
      <c r="AU11" s="720" t="s">
        <v>483</v>
      </c>
      <c r="AV11" s="821" t="s">
        <v>516</v>
      </c>
      <c r="AW11" s="822" t="s">
        <v>494</v>
      </c>
      <c r="AX11" s="724" t="s">
        <v>292</v>
      </c>
      <c r="AY11" s="722" t="s">
        <v>485</v>
      </c>
      <c r="AZ11" s="716" t="s">
        <v>364</v>
      </c>
      <c r="BA11" s="716" t="s">
        <v>364</v>
      </c>
      <c r="BB11" s="716" t="s">
        <v>364</v>
      </c>
      <c r="BC11" s="716" t="s">
        <v>364</v>
      </c>
      <c r="BD11" s="716" t="s">
        <v>364</v>
      </c>
      <c r="BE11" s="722" t="s">
        <v>485</v>
      </c>
      <c r="BF11" s="720" t="s">
        <v>483</v>
      </c>
      <c r="BG11" s="720" t="s">
        <v>483</v>
      </c>
      <c r="BH11" s="720" t="s">
        <v>483</v>
      </c>
      <c r="BI11" s="720" t="s">
        <v>483</v>
      </c>
      <c r="BJ11" s="715" t="s">
        <v>482</v>
      </c>
      <c r="BK11" s="720" t="s">
        <v>483</v>
      </c>
      <c r="BL11" s="715" t="s">
        <v>482</v>
      </c>
      <c r="BM11" s="720" t="s">
        <v>483</v>
      </c>
      <c r="BN11" s="715" t="s">
        <v>482</v>
      </c>
      <c r="BO11" s="714" t="s">
        <v>323</v>
      </c>
      <c r="BP11" s="720" t="s">
        <v>483</v>
      </c>
      <c r="BQ11" s="720" t="s">
        <v>483</v>
      </c>
      <c r="BR11" s="727" t="s">
        <v>332</v>
      </c>
      <c r="BS11" s="720" t="s">
        <v>483</v>
      </c>
    </row>
    <row r="12" spans="1:71" ht="41.4">
      <c r="A12" s="725" t="s">
        <v>189</v>
      </c>
      <c r="B12" s="815" t="e" vm="1">
        <f>_xlfn.IMAGE("AZ4", "A4")</f>
        <v>#VALUE!</v>
      </c>
      <c r="C12" s="714" t="s">
        <v>483</v>
      </c>
      <c r="D12" s="714" t="s">
        <v>483</v>
      </c>
      <c r="E12" s="719">
        <v>4</v>
      </c>
      <c r="F12" s="714" t="s">
        <v>483</v>
      </c>
      <c r="G12" s="714" t="s">
        <v>483</v>
      </c>
      <c r="H12" s="714" t="s">
        <v>483</v>
      </c>
      <c r="I12" s="714" t="s">
        <v>483</v>
      </c>
      <c r="J12" s="714" t="s">
        <v>483</v>
      </c>
      <c r="K12" s="714" t="s">
        <v>483</v>
      </c>
      <c r="L12" s="714" t="s">
        <v>483</v>
      </c>
      <c r="M12" s="714" t="s">
        <v>483</v>
      </c>
      <c r="N12" s="714" t="s">
        <v>483</v>
      </c>
      <c r="O12" s="714" t="s">
        <v>483</v>
      </c>
      <c r="P12" s="714" t="s">
        <v>483</v>
      </c>
      <c r="Q12" s="714" t="s">
        <v>483</v>
      </c>
      <c r="R12" s="714" t="s">
        <v>483</v>
      </c>
      <c r="S12" s="714" t="s">
        <v>483</v>
      </c>
      <c r="T12" s="714" t="s">
        <v>364</v>
      </c>
      <c r="U12" s="714" t="s">
        <v>483</v>
      </c>
      <c r="V12" s="714" t="s">
        <v>483</v>
      </c>
      <c r="W12" s="726" t="s">
        <v>229</v>
      </c>
      <c r="X12" s="714" t="s">
        <v>483</v>
      </c>
      <c r="Y12" s="724" t="s">
        <v>238</v>
      </c>
      <c r="Z12" s="714" t="s">
        <v>483</v>
      </c>
      <c r="AA12" s="715" t="s">
        <v>484</v>
      </c>
      <c r="AB12" s="720" t="s">
        <v>483</v>
      </c>
      <c r="AC12" s="720" t="s">
        <v>483</v>
      </c>
      <c r="AD12" s="722" t="s">
        <v>485</v>
      </c>
      <c r="AE12" s="724" t="s">
        <v>263</v>
      </c>
      <c r="AF12" s="716" t="s">
        <v>364</v>
      </c>
      <c r="AG12" s="720" t="s">
        <v>483</v>
      </c>
      <c r="AH12" s="720" t="s">
        <v>483</v>
      </c>
      <c r="AI12" s="720" t="s">
        <v>483</v>
      </c>
      <c r="AJ12" s="720" t="s">
        <v>483</v>
      </c>
      <c r="AK12" s="720" t="s">
        <v>483</v>
      </c>
      <c r="AL12" s="720" t="s">
        <v>483</v>
      </c>
      <c r="AM12" s="722" t="s">
        <v>485</v>
      </c>
      <c r="AN12" s="714" t="s">
        <v>483</v>
      </c>
      <c r="AO12" s="716" t="s">
        <v>364</v>
      </c>
      <c r="AP12" s="714" t="s">
        <v>483</v>
      </c>
      <c r="AQ12" s="714" t="s">
        <v>371</v>
      </c>
      <c r="AR12" s="714" t="s">
        <v>276</v>
      </c>
      <c r="AS12" s="720" t="s">
        <v>483</v>
      </c>
      <c r="AT12" s="720" t="s">
        <v>483</v>
      </c>
      <c r="AU12" s="720" t="s">
        <v>483</v>
      </c>
      <c r="AV12" s="714" t="s">
        <v>1124</v>
      </c>
      <c r="AW12" s="723" t="s">
        <v>1122</v>
      </c>
      <c r="AX12" s="724" t="s">
        <v>292</v>
      </c>
      <c r="AY12" s="724" t="s">
        <v>296</v>
      </c>
      <c r="AZ12" s="716" t="s">
        <v>364</v>
      </c>
      <c r="BA12" s="722" t="s">
        <v>485</v>
      </c>
      <c r="BB12" s="716" t="s">
        <v>364</v>
      </c>
      <c r="BC12" s="722" t="s">
        <v>485</v>
      </c>
      <c r="BD12" s="716" t="s">
        <v>364</v>
      </c>
      <c r="BE12" s="724" t="s">
        <v>309</v>
      </c>
      <c r="BF12" s="720" t="s">
        <v>483</v>
      </c>
      <c r="BG12" s="720" t="s">
        <v>483</v>
      </c>
      <c r="BH12" s="720" t="s">
        <v>483</v>
      </c>
      <c r="BI12" s="720" t="s">
        <v>483</v>
      </c>
      <c r="BJ12" s="715" t="s">
        <v>482</v>
      </c>
      <c r="BK12" s="720" t="s">
        <v>483</v>
      </c>
      <c r="BL12" s="715" t="s">
        <v>482</v>
      </c>
      <c r="BM12" s="720" t="s">
        <v>483</v>
      </c>
      <c r="BN12" s="715" t="s">
        <v>482</v>
      </c>
      <c r="BO12" s="714" t="s">
        <v>323</v>
      </c>
      <c r="BP12" s="720" t="s">
        <v>483</v>
      </c>
      <c r="BQ12" s="720" t="s">
        <v>483</v>
      </c>
      <c r="BR12" s="720" t="s">
        <v>483</v>
      </c>
      <c r="BS12" s="720" t="s">
        <v>483</v>
      </c>
    </row>
    <row r="13" spans="1:71" ht="41.4">
      <c r="A13" s="725" t="s">
        <v>490</v>
      </c>
      <c r="B13" s="816"/>
      <c r="C13" s="714" t="s">
        <v>483</v>
      </c>
      <c r="D13" s="714" t="s">
        <v>483</v>
      </c>
      <c r="E13" s="719">
        <v>4</v>
      </c>
      <c r="F13" s="714" t="s">
        <v>483</v>
      </c>
      <c r="G13" s="714" t="s">
        <v>483</v>
      </c>
      <c r="H13" s="714" t="s">
        <v>483</v>
      </c>
      <c r="I13" s="714" t="s">
        <v>483</v>
      </c>
      <c r="J13" s="714" t="s">
        <v>483</v>
      </c>
      <c r="K13" s="714" t="s">
        <v>491</v>
      </c>
      <c r="L13" s="714" t="s">
        <v>483</v>
      </c>
      <c r="M13" s="714" t="s">
        <v>483</v>
      </c>
      <c r="N13" s="811"/>
      <c r="O13" s="714" t="s">
        <v>483</v>
      </c>
      <c r="P13" s="811"/>
      <c r="Q13" s="714" t="s">
        <v>483</v>
      </c>
      <c r="R13" s="811"/>
      <c r="S13" s="714" t="s">
        <v>483</v>
      </c>
      <c r="T13" s="714" t="s">
        <v>364</v>
      </c>
      <c r="U13" s="714" t="s">
        <v>483</v>
      </c>
      <c r="V13" s="714" t="s">
        <v>483</v>
      </c>
      <c r="W13" s="811"/>
      <c r="X13" s="714" t="s">
        <v>483</v>
      </c>
      <c r="Y13" s="724" t="s">
        <v>238</v>
      </c>
      <c r="Z13" s="714" t="s">
        <v>483</v>
      </c>
      <c r="AA13" s="715" t="s">
        <v>484</v>
      </c>
      <c r="AB13" s="720" t="s">
        <v>483</v>
      </c>
      <c r="AC13" s="720" t="s">
        <v>483</v>
      </c>
      <c r="AD13" s="720" t="s">
        <v>483</v>
      </c>
      <c r="AE13" s="720" t="s">
        <v>486</v>
      </c>
      <c r="AF13" s="716" t="s">
        <v>364</v>
      </c>
      <c r="AG13" s="720" t="s">
        <v>483</v>
      </c>
      <c r="AH13" s="720" t="s">
        <v>483</v>
      </c>
      <c r="AI13" s="720" t="s">
        <v>483</v>
      </c>
      <c r="AJ13" s="720" t="s">
        <v>483</v>
      </c>
      <c r="AK13" s="720" t="s">
        <v>483</v>
      </c>
      <c r="AL13" s="720" t="s">
        <v>483</v>
      </c>
      <c r="AM13" s="722" t="s">
        <v>485</v>
      </c>
      <c r="AN13" s="714" t="s">
        <v>483</v>
      </c>
      <c r="AO13" s="716" t="s">
        <v>364</v>
      </c>
      <c r="AP13" s="714" t="s">
        <v>483</v>
      </c>
      <c r="AQ13" s="714" t="s">
        <v>371</v>
      </c>
      <c r="AR13" t="s">
        <v>492</v>
      </c>
      <c r="AS13" s="720" t="s">
        <v>483</v>
      </c>
      <c r="AT13" s="720" t="s">
        <v>483</v>
      </c>
      <c r="AU13" s="720" t="s">
        <v>483</v>
      </c>
      <c r="AV13" s="714" t="s">
        <v>1128</v>
      </c>
      <c r="AW13" s="723" t="s">
        <v>301</v>
      </c>
      <c r="AX13" s="724" t="s">
        <v>293</v>
      </c>
      <c r="AY13" s="724" t="s">
        <v>494</v>
      </c>
      <c r="AZ13" s="716" t="s">
        <v>364</v>
      </c>
      <c r="BA13" s="724" t="s">
        <v>293</v>
      </c>
      <c r="BB13" s="716" t="s">
        <v>364</v>
      </c>
      <c r="BC13" s="720" t="s">
        <v>483</v>
      </c>
      <c r="BD13" s="716" t="s">
        <v>364</v>
      </c>
      <c r="BE13" s="724" t="s">
        <v>309</v>
      </c>
      <c r="BF13" s="720" t="s">
        <v>483</v>
      </c>
      <c r="BG13" s="720" t="s">
        <v>483</v>
      </c>
      <c r="BH13" s="720" t="s">
        <v>483</v>
      </c>
      <c r="BI13" s="720" t="s">
        <v>483</v>
      </c>
      <c r="BJ13" s="715" t="s">
        <v>482</v>
      </c>
      <c r="BK13" s="720" t="s">
        <v>483</v>
      </c>
      <c r="BL13" s="715" t="s">
        <v>482</v>
      </c>
      <c r="BM13" s="720" t="s">
        <v>483</v>
      </c>
      <c r="BN13" s="715" t="s">
        <v>482</v>
      </c>
      <c r="BO13" s="714" t="s">
        <v>323</v>
      </c>
      <c r="BP13" s="720" t="s">
        <v>483</v>
      </c>
      <c r="BQ13" s="720" t="s">
        <v>483</v>
      </c>
      <c r="BR13" s="720" t="s">
        <v>483</v>
      </c>
      <c r="BS13" s="720" t="s">
        <v>483</v>
      </c>
    </row>
    <row r="14" spans="1:71" ht="124.2">
      <c r="A14" s="732" t="s">
        <v>495</v>
      </c>
      <c r="B14" s="817"/>
      <c r="C14" s="714" t="s">
        <v>483</v>
      </c>
      <c r="D14" s="714" t="s">
        <v>483</v>
      </c>
      <c r="E14" s="719">
        <v>4</v>
      </c>
      <c r="F14" s="722" t="s">
        <v>485</v>
      </c>
      <c r="G14" s="714" t="s">
        <v>483</v>
      </c>
      <c r="H14" s="714" t="s">
        <v>483</v>
      </c>
      <c r="I14" s="731" t="s">
        <v>496</v>
      </c>
      <c r="J14" s="731" t="s">
        <v>496</v>
      </c>
      <c r="K14" s="731" t="s">
        <v>496</v>
      </c>
      <c r="L14" s="731" t="s">
        <v>496</v>
      </c>
      <c r="M14" s="714" t="s">
        <v>483</v>
      </c>
      <c r="N14" s="722" t="s">
        <v>485</v>
      </c>
      <c r="O14" s="722" t="s">
        <v>485</v>
      </c>
      <c r="P14" s="722" t="s">
        <v>485</v>
      </c>
      <c r="Q14" s="722" t="s">
        <v>485</v>
      </c>
      <c r="R14" s="722" t="s">
        <v>485</v>
      </c>
      <c r="S14" s="722" t="s">
        <v>485</v>
      </c>
      <c r="T14" s="714" t="s">
        <v>364</v>
      </c>
      <c r="U14" s="722" t="s">
        <v>485</v>
      </c>
      <c r="V14" s="714" t="s">
        <v>483</v>
      </c>
      <c r="W14" s="733"/>
      <c r="X14" s="714" t="s">
        <v>483</v>
      </c>
      <c r="Y14" s="715" t="s">
        <v>497</v>
      </c>
      <c r="Z14" s="714" t="s">
        <v>483</v>
      </c>
      <c r="AA14" s="715" t="s">
        <v>484</v>
      </c>
      <c r="AB14" s="722" t="s">
        <v>498</v>
      </c>
      <c r="AC14" s="708" t="s">
        <v>499</v>
      </c>
      <c r="AD14" s="722" t="s">
        <v>485</v>
      </c>
      <c r="AE14" s="720" t="s">
        <v>486</v>
      </c>
      <c r="AF14" s="716" t="s">
        <v>364</v>
      </c>
      <c r="AG14" s="722" t="s">
        <v>485</v>
      </c>
      <c r="AH14" s="720" t="s">
        <v>483</v>
      </c>
      <c r="AI14" s="720" t="s">
        <v>483</v>
      </c>
      <c r="AJ14" s="720" t="s">
        <v>483</v>
      </c>
      <c r="AK14" s="720" t="s">
        <v>483</v>
      </c>
      <c r="AL14" s="720" t="s">
        <v>483</v>
      </c>
      <c r="AM14" s="722" t="s">
        <v>485</v>
      </c>
      <c r="AN14" s="722" t="s">
        <v>500</v>
      </c>
      <c r="AO14" s="716" t="s">
        <v>364</v>
      </c>
      <c r="AP14" s="714" t="s">
        <v>483</v>
      </c>
      <c r="AQ14" s="714" t="s">
        <v>371</v>
      </c>
      <c r="AR14" s="722" t="s">
        <v>485</v>
      </c>
      <c r="AS14" s="722" t="s">
        <v>501</v>
      </c>
      <c r="AT14" s="720" t="s">
        <v>483</v>
      </c>
      <c r="AU14" s="720" t="s">
        <v>483</v>
      </c>
      <c r="AV14" s="714" t="s">
        <v>1127</v>
      </c>
      <c r="AW14" s="722" t="s">
        <v>485</v>
      </c>
      <c r="AX14" s="724" t="s">
        <v>292</v>
      </c>
      <c r="AY14" s="722" t="s">
        <v>485</v>
      </c>
      <c r="AZ14" s="716" t="s">
        <v>364</v>
      </c>
      <c r="BA14" s="724" t="s">
        <v>301</v>
      </c>
      <c r="BB14" s="716" t="s">
        <v>364</v>
      </c>
      <c r="BC14" s="720" t="s">
        <v>483</v>
      </c>
      <c r="BD14" s="716" t="s">
        <v>364</v>
      </c>
      <c r="BE14" s="724" t="s">
        <v>308</v>
      </c>
      <c r="BF14" s="720" t="s">
        <v>483</v>
      </c>
      <c r="BG14" s="835" t="s">
        <v>502</v>
      </c>
      <c r="BH14" s="715" t="s">
        <v>482</v>
      </c>
      <c r="BI14" s="720" t="s">
        <v>483</v>
      </c>
      <c r="BJ14" s="715" t="s">
        <v>482</v>
      </c>
      <c r="BK14" s="722" t="s">
        <v>485</v>
      </c>
      <c r="BL14" s="722" t="s">
        <v>485</v>
      </c>
      <c r="BM14" s="722" t="s">
        <v>485</v>
      </c>
      <c r="BN14" s="722" t="s">
        <v>485</v>
      </c>
      <c r="BO14" s="714" t="s">
        <v>323</v>
      </c>
      <c r="BP14" s="720" t="s">
        <v>483</v>
      </c>
      <c r="BQ14" s="720" t="s">
        <v>483</v>
      </c>
      <c r="BR14" s="720" t="s">
        <v>483</v>
      </c>
      <c r="BS14" s="720" t="s">
        <v>483</v>
      </c>
    </row>
    <row r="15" spans="1:71" ht="41.4">
      <c r="A15" s="725" t="s">
        <v>72</v>
      </c>
      <c r="B15" s="815" t="e" vm="1">
        <f>_xlfn.IMAGE("AZ4", "A4")</f>
        <v>#VALUE!</v>
      </c>
      <c r="C15" s="714" t="s">
        <v>483</v>
      </c>
      <c r="D15" s="714" t="s">
        <v>483</v>
      </c>
      <c r="E15" s="719">
        <v>2</v>
      </c>
      <c r="F15" s="714" t="s">
        <v>483</v>
      </c>
      <c r="G15" s="714" t="s">
        <v>483</v>
      </c>
      <c r="H15" s="714" t="s">
        <v>483</v>
      </c>
      <c r="I15" s="714" t="s">
        <v>200</v>
      </c>
      <c r="J15" s="714" t="s">
        <v>200</v>
      </c>
      <c r="K15" s="714" t="s">
        <v>200</v>
      </c>
      <c r="L15" s="714" t="s">
        <v>200</v>
      </c>
      <c r="M15" s="714" t="s">
        <v>483</v>
      </c>
      <c r="N15" s="714" t="s">
        <v>483</v>
      </c>
      <c r="O15" s="714" t="s">
        <v>483</v>
      </c>
      <c r="P15" s="714" t="s">
        <v>483</v>
      </c>
      <c r="Q15" s="714" t="s">
        <v>483</v>
      </c>
      <c r="R15" s="714" t="s">
        <v>483</v>
      </c>
      <c r="S15" s="714" t="s">
        <v>483</v>
      </c>
      <c r="T15" s="714" t="s">
        <v>364</v>
      </c>
      <c r="U15" s="714" t="s">
        <v>483</v>
      </c>
      <c r="V15" s="714" t="s">
        <v>483</v>
      </c>
      <c r="W15" s="726" t="s">
        <v>230</v>
      </c>
      <c r="X15" s="714" t="s">
        <v>483</v>
      </c>
      <c r="Y15" s="715" t="s">
        <v>241</v>
      </c>
      <c r="Z15" s="714" t="s">
        <v>483</v>
      </c>
      <c r="AA15" s="715" t="s">
        <v>484</v>
      </c>
      <c r="AB15" s="720" t="s">
        <v>483</v>
      </c>
      <c r="AC15" s="720" t="s">
        <v>483</v>
      </c>
      <c r="AD15" s="720" t="s">
        <v>483</v>
      </c>
      <c r="AE15" s="720" t="s">
        <v>486</v>
      </c>
      <c r="AF15" s="716" t="s">
        <v>364</v>
      </c>
      <c r="AG15" s="720" t="s">
        <v>483</v>
      </c>
      <c r="AH15" s="720" t="s">
        <v>483</v>
      </c>
      <c r="AI15" s="720" t="s">
        <v>483</v>
      </c>
      <c r="AJ15" s="720" t="s">
        <v>483</v>
      </c>
      <c r="AK15" s="720" t="s">
        <v>483</v>
      </c>
      <c r="AL15" s="720" t="s">
        <v>483</v>
      </c>
      <c r="AM15" s="722" t="s">
        <v>485</v>
      </c>
      <c r="AN15" s="714" t="s">
        <v>483</v>
      </c>
      <c r="AO15" s="716" t="s">
        <v>364</v>
      </c>
      <c r="AP15" s="714" t="s">
        <v>483</v>
      </c>
      <c r="AQ15" s="714" t="s">
        <v>371</v>
      </c>
      <c r="AR15" s="714" t="s">
        <v>277</v>
      </c>
      <c r="AS15" s="720" t="s">
        <v>483</v>
      </c>
      <c r="AT15" s="720" t="s">
        <v>483</v>
      </c>
      <c r="AU15" s="720" t="s">
        <v>483</v>
      </c>
      <c r="AV15" s="714" t="s">
        <v>1126</v>
      </c>
      <c r="AW15" s="722" t="s">
        <v>485</v>
      </c>
      <c r="AX15" s="724" t="s">
        <v>292</v>
      </c>
      <c r="AY15" s="720" t="s">
        <v>483</v>
      </c>
      <c r="AZ15" s="716" t="s">
        <v>364</v>
      </c>
      <c r="BA15" s="720" t="s">
        <v>483</v>
      </c>
      <c r="BB15" s="716" t="s">
        <v>364</v>
      </c>
      <c r="BC15" s="720" t="s">
        <v>483</v>
      </c>
      <c r="BD15" s="716" t="s">
        <v>364</v>
      </c>
      <c r="BE15" s="722" t="s">
        <v>485</v>
      </c>
      <c r="BF15" s="722" t="s">
        <v>485</v>
      </c>
      <c r="BG15" s="720" t="s">
        <v>483</v>
      </c>
      <c r="BH15" s="720" t="s">
        <v>483</v>
      </c>
      <c r="BI15" s="720" t="s">
        <v>483</v>
      </c>
      <c r="BJ15" s="715" t="s">
        <v>482</v>
      </c>
      <c r="BK15" s="720" t="s">
        <v>483</v>
      </c>
      <c r="BL15" s="715" t="s">
        <v>482</v>
      </c>
      <c r="BM15" s="720" t="s">
        <v>483</v>
      </c>
      <c r="BN15" s="715" t="s">
        <v>482</v>
      </c>
      <c r="BO15" s="714" t="s">
        <v>323</v>
      </c>
      <c r="BP15" s="720" t="s">
        <v>483</v>
      </c>
      <c r="BQ15" s="722" t="s">
        <v>485</v>
      </c>
      <c r="BR15" s="720" t="s">
        <v>483</v>
      </c>
      <c r="BS15" s="720" t="s">
        <v>483</v>
      </c>
    </row>
    <row r="16" spans="1:71" ht="41.4">
      <c r="A16" s="725" t="s">
        <v>503</v>
      </c>
      <c r="B16" s="815" t="e" vm="1">
        <f>_xlfn.IMAGE("AZ4", "A4")</f>
        <v>#VALUE!</v>
      </c>
      <c r="C16" s="714" t="s">
        <v>483</v>
      </c>
      <c r="D16" s="714" t="s">
        <v>483</v>
      </c>
      <c r="E16" s="719">
        <v>2</v>
      </c>
      <c r="F16" s="714" t="s">
        <v>483</v>
      </c>
      <c r="G16" s="714" t="s">
        <v>483</v>
      </c>
      <c r="H16" s="714" t="s">
        <v>483</v>
      </c>
      <c r="I16" s="714" t="s">
        <v>200</v>
      </c>
      <c r="J16" s="714" t="s">
        <v>200</v>
      </c>
      <c r="K16" s="714" t="s">
        <v>200</v>
      </c>
      <c r="L16" s="714" t="s">
        <v>200</v>
      </c>
      <c r="M16" s="714" t="s">
        <v>483</v>
      </c>
      <c r="N16" s="714" t="s">
        <v>483</v>
      </c>
      <c r="O16" s="714" t="s">
        <v>483</v>
      </c>
      <c r="P16" s="714" t="s">
        <v>483</v>
      </c>
      <c r="Q16" s="714" t="s">
        <v>483</v>
      </c>
      <c r="R16" s="714" t="s">
        <v>483</v>
      </c>
      <c r="S16" s="714" t="s">
        <v>483</v>
      </c>
      <c r="T16" s="714" t="s">
        <v>364</v>
      </c>
      <c r="U16" s="714" t="s">
        <v>483</v>
      </c>
      <c r="V16" s="714" t="s">
        <v>483</v>
      </c>
      <c r="W16" s="726" t="s">
        <v>228</v>
      </c>
      <c r="X16" s="714" t="s">
        <v>483</v>
      </c>
      <c r="Y16" s="715" t="s">
        <v>240</v>
      </c>
      <c r="Z16" s="714" t="s">
        <v>483</v>
      </c>
      <c r="AA16" s="715" t="s">
        <v>484</v>
      </c>
      <c r="AB16" s="715" t="s">
        <v>257</v>
      </c>
      <c r="AC16" s="720" t="s">
        <v>483</v>
      </c>
      <c r="AD16" s="722" t="s">
        <v>485</v>
      </c>
      <c r="AE16" s="720" t="s">
        <v>486</v>
      </c>
      <c r="AF16" s="716" t="s">
        <v>364</v>
      </c>
      <c r="AG16" s="720" t="s">
        <v>483</v>
      </c>
      <c r="AH16" s="720" t="s">
        <v>483</v>
      </c>
      <c r="AI16" s="720" t="s">
        <v>483</v>
      </c>
      <c r="AJ16" s="720" t="s">
        <v>483</v>
      </c>
      <c r="AK16" s="720" t="s">
        <v>483</v>
      </c>
      <c r="AL16" s="720" t="s">
        <v>483</v>
      </c>
      <c r="AM16" s="722" t="s">
        <v>485</v>
      </c>
      <c r="AN16" s="714" t="s">
        <v>483</v>
      </c>
      <c r="AO16" s="716" t="s">
        <v>364</v>
      </c>
      <c r="AP16" s="714" t="s">
        <v>483</v>
      </c>
      <c r="AQ16" s="714" t="s">
        <v>371</v>
      </c>
      <c r="AR16" s="714" t="s">
        <v>276</v>
      </c>
      <c r="AS16" s="720" t="s">
        <v>483</v>
      </c>
      <c r="AT16" s="720" t="s">
        <v>483</v>
      </c>
      <c r="AU16" s="720" t="s">
        <v>483</v>
      </c>
      <c r="AV16" s="714" t="s">
        <v>1125</v>
      </c>
      <c r="AW16" s="722" t="s">
        <v>485</v>
      </c>
      <c r="AX16" s="724" t="s">
        <v>292</v>
      </c>
      <c r="AY16" s="724" t="s">
        <v>296</v>
      </c>
      <c r="AZ16" s="716" t="s">
        <v>364</v>
      </c>
      <c r="BA16" s="724" t="s">
        <v>301</v>
      </c>
      <c r="BB16" s="716" t="s">
        <v>364</v>
      </c>
      <c r="BC16" s="722" t="s">
        <v>485</v>
      </c>
      <c r="BD16" s="716" t="s">
        <v>364</v>
      </c>
      <c r="BE16" s="724" t="s">
        <v>308</v>
      </c>
      <c r="BF16" s="720" t="s">
        <v>483</v>
      </c>
      <c r="BG16" s="720" t="s">
        <v>483</v>
      </c>
      <c r="BH16" s="720" t="s">
        <v>483</v>
      </c>
      <c r="BI16" s="720" t="s">
        <v>483</v>
      </c>
      <c r="BJ16" s="715" t="s">
        <v>482</v>
      </c>
      <c r="BK16" s="720" t="s">
        <v>483</v>
      </c>
      <c r="BL16" s="715" t="s">
        <v>482</v>
      </c>
      <c r="BM16" s="720" t="s">
        <v>483</v>
      </c>
      <c r="BN16" s="715" t="s">
        <v>482</v>
      </c>
      <c r="BO16" s="714" t="s">
        <v>323</v>
      </c>
      <c r="BP16" s="720" t="s">
        <v>483</v>
      </c>
      <c r="BQ16" s="720" t="s">
        <v>483</v>
      </c>
      <c r="BR16" s="727" t="s">
        <v>330</v>
      </c>
      <c r="BS16" s="720" t="s">
        <v>483</v>
      </c>
    </row>
    <row r="17" spans="1:71" ht="41.4">
      <c r="A17" s="725" t="s">
        <v>71</v>
      </c>
      <c r="B17" s="817"/>
      <c r="C17" s="714" t="s">
        <v>483</v>
      </c>
      <c r="D17" s="714" t="s">
        <v>483</v>
      </c>
      <c r="E17" s="719">
        <v>2</v>
      </c>
      <c r="F17" s="714" t="s">
        <v>483</v>
      </c>
      <c r="G17" s="714" t="s">
        <v>483</v>
      </c>
      <c r="H17" s="714" t="s">
        <v>483</v>
      </c>
      <c r="I17" s="714" t="s">
        <v>200</v>
      </c>
      <c r="J17" s="714" t="s">
        <v>200</v>
      </c>
      <c r="K17" s="714" t="s">
        <v>200</v>
      </c>
      <c r="L17" s="714" t="s">
        <v>200</v>
      </c>
      <c r="M17" s="714" t="s">
        <v>483</v>
      </c>
      <c r="N17" s="714" t="s">
        <v>483</v>
      </c>
      <c r="O17" s="714" t="s">
        <v>483</v>
      </c>
      <c r="P17" s="714" t="s">
        <v>483</v>
      </c>
      <c r="Q17" s="714" t="s">
        <v>483</v>
      </c>
      <c r="R17" s="714" t="s">
        <v>483</v>
      </c>
      <c r="S17" s="714" t="s">
        <v>483</v>
      </c>
      <c r="T17" s="714" t="s">
        <v>364</v>
      </c>
      <c r="U17" s="714" t="s">
        <v>483</v>
      </c>
      <c r="V17" s="714" t="s">
        <v>483</v>
      </c>
      <c r="W17" s="714" t="s">
        <v>504</v>
      </c>
      <c r="X17" s="714" t="s">
        <v>483</v>
      </c>
      <c r="Y17" s="715" t="s">
        <v>237</v>
      </c>
      <c r="Z17" s="714" t="s">
        <v>483</v>
      </c>
      <c r="AA17" s="715" t="s">
        <v>484</v>
      </c>
      <c r="AB17" s="720" t="s">
        <v>483</v>
      </c>
      <c r="AC17" s="720" t="s">
        <v>483</v>
      </c>
      <c r="AD17" s="722" t="s">
        <v>485</v>
      </c>
      <c r="AE17" s="724" t="s">
        <v>263</v>
      </c>
      <c r="AF17" s="716" t="s">
        <v>364</v>
      </c>
      <c r="AG17" s="720" t="s">
        <v>483</v>
      </c>
      <c r="AH17" s="720" t="s">
        <v>483</v>
      </c>
      <c r="AI17" s="720" t="s">
        <v>483</v>
      </c>
      <c r="AJ17" s="720" t="s">
        <v>483</v>
      </c>
      <c r="AK17" s="720" t="s">
        <v>483</v>
      </c>
      <c r="AL17" s="720" t="s">
        <v>483</v>
      </c>
      <c r="AM17" s="722" t="s">
        <v>485</v>
      </c>
      <c r="AN17" s="714" t="s">
        <v>483</v>
      </c>
      <c r="AO17" s="716" t="s">
        <v>364</v>
      </c>
      <c r="AP17" s="714" t="s">
        <v>483</v>
      </c>
      <c r="AQ17" s="714" t="s">
        <v>371</v>
      </c>
      <c r="AR17" s="714" t="s">
        <v>276</v>
      </c>
      <c r="AS17" s="720" t="s">
        <v>483</v>
      </c>
      <c r="AT17" s="720" t="s">
        <v>483</v>
      </c>
      <c r="AU17" s="720" t="s">
        <v>483</v>
      </c>
      <c r="AV17" s="714" t="s">
        <v>1123</v>
      </c>
      <c r="AW17" s="722" t="s">
        <v>485</v>
      </c>
      <c r="AX17" s="724" t="s">
        <v>292</v>
      </c>
      <c r="AY17" s="722" t="s">
        <v>485</v>
      </c>
      <c r="AZ17" s="716" t="s">
        <v>364</v>
      </c>
      <c r="BA17" s="716" t="s">
        <v>364</v>
      </c>
      <c r="BB17" s="716" t="s">
        <v>364</v>
      </c>
      <c r="BC17" s="720" t="s">
        <v>483</v>
      </c>
      <c r="BD17" s="716" t="s">
        <v>364</v>
      </c>
      <c r="BE17" s="724" t="s">
        <v>309</v>
      </c>
      <c r="BF17" s="720" t="s">
        <v>483</v>
      </c>
      <c r="BG17" s="720" t="s">
        <v>483</v>
      </c>
      <c r="BH17" s="715" t="s">
        <v>482</v>
      </c>
      <c r="BI17" s="720" t="s">
        <v>483</v>
      </c>
      <c r="BJ17" s="715" t="s">
        <v>482</v>
      </c>
      <c r="BK17" s="720" t="s">
        <v>483</v>
      </c>
      <c r="BL17" s="715" t="s">
        <v>482</v>
      </c>
      <c r="BM17" s="715" t="s">
        <v>482</v>
      </c>
      <c r="BN17" s="715" t="s">
        <v>482</v>
      </c>
      <c r="BO17" s="714" t="s">
        <v>323</v>
      </c>
      <c r="BP17" s="720" t="s">
        <v>483</v>
      </c>
      <c r="BQ17" s="720" t="s">
        <v>483</v>
      </c>
      <c r="BR17" s="720" t="s">
        <v>483</v>
      </c>
      <c r="BS17" s="720" t="s">
        <v>483</v>
      </c>
    </row>
    <row r="18" spans="1:71" ht="124.2">
      <c r="A18" s="784" t="s">
        <v>344</v>
      </c>
      <c r="B18" s="817"/>
      <c r="C18" s="714" t="s">
        <v>483</v>
      </c>
      <c r="D18" s="714" t="s">
        <v>483</v>
      </c>
      <c r="E18" s="719">
        <v>4</v>
      </c>
      <c r="F18" s="722" t="s">
        <v>485</v>
      </c>
      <c r="G18" s="722" t="s">
        <v>485</v>
      </c>
      <c r="H18" s="722" t="s">
        <v>485</v>
      </c>
      <c r="I18" s="731" t="s">
        <v>505</v>
      </c>
      <c r="J18" s="731" t="s">
        <v>505</v>
      </c>
      <c r="K18" s="731" t="s">
        <v>505</v>
      </c>
      <c r="L18" s="731" t="s">
        <v>505</v>
      </c>
      <c r="M18" s="714" t="s">
        <v>483</v>
      </c>
      <c r="N18" s="722" t="s">
        <v>485</v>
      </c>
      <c r="O18" s="722" t="s">
        <v>485</v>
      </c>
      <c r="P18" s="722" t="s">
        <v>485</v>
      </c>
      <c r="Q18" s="722" t="s">
        <v>485</v>
      </c>
      <c r="R18" s="722" t="s">
        <v>485</v>
      </c>
      <c r="S18" s="722" t="s">
        <v>485</v>
      </c>
      <c r="T18" s="714" t="s">
        <v>364</v>
      </c>
      <c r="U18" s="722" t="s">
        <v>485</v>
      </c>
      <c r="V18" s="714" t="s">
        <v>483</v>
      </c>
      <c r="W18" s="733"/>
      <c r="X18" s="714" t="s">
        <v>483</v>
      </c>
      <c r="Y18" s="715" t="s">
        <v>497</v>
      </c>
      <c r="Z18" s="714" t="s">
        <v>483</v>
      </c>
      <c r="AA18" s="715" t="s">
        <v>484</v>
      </c>
      <c r="AB18" s="720" t="s">
        <v>483</v>
      </c>
      <c r="AC18" s="708" t="s">
        <v>499</v>
      </c>
      <c r="AD18" s="722" t="s">
        <v>485</v>
      </c>
      <c r="AE18" s="724" t="s">
        <v>263</v>
      </c>
      <c r="AF18" s="716" t="s">
        <v>364</v>
      </c>
      <c r="AG18" s="722" t="s">
        <v>485</v>
      </c>
      <c r="AH18" s="720" t="s">
        <v>483</v>
      </c>
      <c r="AI18" s="720" t="s">
        <v>483</v>
      </c>
      <c r="AJ18" s="720" t="s">
        <v>483</v>
      </c>
      <c r="AK18" s="720" t="s">
        <v>483</v>
      </c>
      <c r="AL18" s="720" t="s">
        <v>483</v>
      </c>
      <c r="AM18" s="722" t="s">
        <v>485</v>
      </c>
      <c r="AN18" s="722" t="s">
        <v>500</v>
      </c>
      <c r="AO18" s="716" t="s">
        <v>364</v>
      </c>
      <c r="AP18" s="714" t="s">
        <v>483</v>
      </c>
      <c r="AQ18" s="714" t="s">
        <v>371</v>
      </c>
      <c r="AR18" s="722" t="s">
        <v>485</v>
      </c>
      <c r="AS18" s="722" t="s">
        <v>485</v>
      </c>
      <c r="AT18" s="734" t="s">
        <v>506</v>
      </c>
      <c r="AU18" s="734" t="s">
        <v>506</v>
      </c>
      <c r="AV18" s="714" t="s">
        <v>1123</v>
      </c>
      <c r="AW18" s="722" t="s">
        <v>485</v>
      </c>
      <c r="AX18" s="724" t="s">
        <v>292</v>
      </c>
      <c r="AY18" s="722" t="s">
        <v>485</v>
      </c>
      <c r="AZ18" s="716" t="s">
        <v>364</v>
      </c>
      <c r="BA18" s="716" t="s">
        <v>364</v>
      </c>
      <c r="BB18" s="716" t="s">
        <v>364</v>
      </c>
      <c r="BC18" s="720" t="s">
        <v>483</v>
      </c>
      <c r="BD18" s="716" t="s">
        <v>364</v>
      </c>
      <c r="BE18" s="724" t="s">
        <v>309</v>
      </c>
      <c r="BF18" s="720" t="s">
        <v>483</v>
      </c>
      <c r="BG18" s="720" t="s">
        <v>483</v>
      </c>
      <c r="BH18" s="715" t="s">
        <v>482</v>
      </c>
      <c r="BI18" s="722" t="s">
        <v>485</v>
      </c>
      <c r="BJ18" s="722" t="s">
        <v>485</v>
      </c>
      <c r="BK18" s="722" t="s">
        <v>485</v>
      </c>
      <c r="BL18" s="722" t="s">
        <v>485</v>
      </c>
      <c r="BM18" s="722" t="s">
        <v>485</v>
      </c>
      <c r="BN18" s="722" t="s">
        <v>485</v>
      </c>
      <c r="BO18" s="722" t="s">
        <v>485</v>
      </c>
      <c r="BP18" s="722" t="s">
        <v>485</v>
      </c>
      <c r="BQ18" s="722" t="s">
        <v>485</v>
      </c>
      <c r="BR18" s="722" t="s">
        <v>485</v>
      </c>
      <c r="BS18" s="722" t="s">
        <v>485</v>
      </c>
    </row>
    <row r="19" spans="1:71" ht="179.4">
      <c r="A19" s="725" t="s">
        <v>345</v>
      </c>
      <c r="B19" s="817"/>
      <c r="C19" s="714" t="s">
        <v>483</v>
      </c>
      <c r="D19" s="714" t="s">
        <v>483</v>
      </c>
      <c r="E19" s="719">
        <v>4</v>
      </c>
      <c r="F19" s="722" t="s">
        <v>485</v>
      </c>
      <c r="G19" s="714" t="s">
        <v>483</v>
      </c>
      <c r="H19" s="714" t="s">
        <v>483</v>
      </c>
      <c r="I19" s="731" t="s">
        <v>507</v>
      </c>
      <c r="J19" s="731" t="s">
        <v>507</v>
      </c>
      <c r="K19" s="731" t="s">
        <v>507</v>
      </c>
      <c r="L19" s="731" t="s">
        <v>507</v>
      </c>
      <c r="M19" s="714" t="s">
        <v>483</v>
      </c>
      <c r="N19" s="714" t="s">
        <v>483</v>
      </c>
      <c r="O19" s="714" t="s">
        <v>483</v>
      </c>
      <c r="P19" s="714" t="s">
        <v>483</v>
      </c>
      <c r="Q19" s="714" t="s">
        <v>483</v>
      </c>
      <c r="R19" s="714" t="s">
        <v>483</v>
      </c>
      <c r="S19" s="722" t="s">
        <v>485</v>
      </c>
      <c r="T19" s="714" t="s">
        <v>364</v>
      </c>
      <c r="U19" s="714" t="s">
        <v>483</v>
      </c>
      <c r="V19" s="714" t="s">
        <v>483</v>
      </c>
      <c r="W19" s="714" t="s">
        <v>508</v>
      </c>
      <c r="X19" s="714" t="s">
        <v>483</v>
      </c>
      <c r="Y19" s="715" t="s">
        <v>497</v>
      </c>
      <c r="Z19" s="714" t="s">
        <v>483</v>
      </c>
      <c r="AA19" s="715" t="s">
        <v>484</v>
      </c>
      <c r="AB19" s="720" t="s">
        <v>483</v>
      </c>
      <c r="AC19" s="720" t="s">
        <v>483</v>
      </c>
      <c r="AD19" s="722" t="s">
        <v>485</v>
      </c>
      <c r="AE19" s="724" t="s">
        <v>263</v>
      </c>
      <c r="AF19" s="716" t="s">
        <v>364</v>
      </c>
      <c r="AG19" s="720" t="s">
        <v>483</v>
      </c>
      <c r="AH19" s="720" t="s">
        <v>483</v>
      </c>
      <c r="AI19" s="720" t="s">
        <v>483</v>
      </c>
      <c r="AJ19" s="720" t="s">
        <v>483</v>
      </c>
      <c r="AK19" s="720" t="s">
        <v>483</v>
      </c>
      <c r="AL19" s="720" t="s">
        <v>483</v>
      </c>
      <c r="AM19" s="722" t="s">
        <v>485</v>
      </c>
      <c r="AN19" s="673" t="s">
        <v>509</v>
      </c>
      <c r="AO19" s="716" t="s">
        <v>364</v>
      </c>
      <c r="AP19" s="714" t="s">
        <v>483</v>
      </c>
      <c r="AQ19" s="714" t="s">
        <v>371</v>
      </c>
      <c r="AR19" s="714" t="s">
        <v>483</v>
      </c>
      <c r="AS19" s="720" t="s">
        <v>483</v>
      </c>
      <c r="AT19" s="720" t="s">
        <v>483</v>
      </c>
      <c r="AU19" s="720" t="s">
        <v>483</v>
      </c>
      <c r="AV19" s="714" t="s">
        <v>1123</v>
      </c>
      <c r="AW19" s="722" t="s">
        <v>485</v>
      </c>
      <c r="AX19" s="724" t="s">
        <v>292</v>
      </c>
      <c r="AY19" s="722" t="s">
        <v>485</v>
      </c>
      <c r="AZ19" s="716" t="s">
        <v>364</v>
      </c>
      <c r="BA19" s="716" t="s">
        <v>364</v>
      </c>
      <c r="BB19" s="716" t="s">
        <v>364</v>
      </c>
      <c r="BC19" s="720" t="s">
        <v>483</v>
      </c>
      <c r="BD19" s="716" t="s">
        <v>364</v>
      </c>
      <c r="BE19" s="724" t="s">
        <v>309</v>
      </c>
      <c r="BF19" s="720" t="s">
        <v>483</v>
      </c>
      <c r="BG19" s="720" t="s">
        <v>483</v>
      </c>
      <c r="BH19" s="715" t="s">
        <v>482</v>
      </c>
      <c r="BI19" s="722" t="s">
        <v>485</v>
      </c>
      <c r="BJ19" s="715" t="s">
        <v>482</v>
      </c>
      <c r="BK19" s="720" t="s">
        <v>483</v>
      </c>
      <c r="BL19" s="715" t="s">
        <v>482</v>
      </c>
      <c r="BM19" s="720" t="s">
        <v>483</v>
      </c>
      <c r="BN19" s="715" t="s">
        <v>482</v>
      </c>
      <c r="BO19" s="714" t="s">
        <v>323</v>
      </c>
      <c r="BP19" s="720" t="s">
        <v>483</v>
      </c>
      <c r="BQ19" s="720" t="s">
        <v>483</v>
      </c>
      <c r="BR19" s="720" t="s">
        <v>483</v>
      </c>
      <c r="BS19" s="720" t="s">
        <v>483</v>
      </c>
    </row>
    <row r="20" spans="1:71" ht="41.4">
      <c r="A20" s="725" t="s">
        <v>510</v>
      </c>
      <c r="B20" s="815" t="e" vm="1">
        <f>_xlfn.IMAGE("AZ4", "A4")</f>
        <v>#VALUE!</v>
      </c>
      <c r="C20" s="823" t="s">
        <v>511</v>
      </c>
      <c r="D20" s="714" t="s">
        <v>483</v>
      </c>
      <c r="E20" s="719">
        <v>2</v>
      </c>
      <c r="F20" s="714" t="s">
        <v>483</v>
      </c>
      <c r="G20" s="714" t="s">
        <v>483</v>
      </c>
      <c r="H20" s="714" t="s">
        <v>483</v>
      </c>
      <c r="I20" s="714" t="s">
        <v>200</v>
      </c>
      <c r="J20" s="714" t="s">
        <v>200</v>
      </c>
      <c r="K20" s="714" t="s">
        <v>200</v>
      </c>
      <c r="L20" s="714" t="s">
        <v>200</v>
      </c>
      <c r="M20" s="714" t="s">
        <v>483</v>
      </c>
      <c r="N20" s="714" t="s">
        <v>483</v>
      </c>
      <c r="O20" s="714" t="s">
        <v>483</v>
      </c>
      <c r="P20" s="714" t="s">
        <v>483</v>
      </c>
      <c r="Q20" s="714" t="s">
        <v>483</v>
      </c>
      <c r="R20" s="714" t="s">
        <v>483</v>
      </c>
      <c r="S20" s="714" t="s">
        <v>483</v>
      </c>
      <c r="T20" s="714" t="s">
        <v>364</v>
      </c>
      <c r="U20" s="714" t="s">
        <v>483</v>
      </c>
      <c r="V20" s="714" t="s">
        <v>483</v>
      </c>
      <c r="W20" s="726" t="s">
        <v>229</v>
      </c>
      <c r="X20" s="714" t="s">
        <v>483</v>
      </c>
      <c r="Y20" s="715" t="s">
        <v>240</v>
      </c>
      <c r="Z20" s="714" t="s">
        <v>483</v>
      </c>
      <c r="AA20" s="715" t="s">
        <v>484</v>
      </c>
      <c r="AB20" s="720" t="s">
        <v>483</v>
      </c>
      <c r="AC20" s="720" t="s">
        <v>483</v>
      </c>
      <c r="AD20" s="722" t="s">
        <v>485</v>
      </c>
      <c r="AE20" s="720" t="s">
        <v>486</v>
      </c>
      <c r="AF20" s="716" t="s">
        <v>364</v>
      </c>
      <c r="AG20" s="720" t="s">
        <v>483</v>
      </c>
      <c r="AH20" s="720" t="s">
        <v>483</v>
      </c>
      <c r="AI20" s="720" t="s">
        <v>483</v>
      </c>
      <c r="AJ20" s="720" t="s">
        <v>483</v>
      </c>
      <c r="AK20" s="720" t="s">
        <v>483</v>
      </c>
      <c r="AL20" s="720" t="s">
        <v>483</v>
      </c>
      <c r="AM20" s="722" t="s">
        <v>485</v>
      </c>
      <c r="AN20" s="714" t="s">
        <v>483</v>
      </c>
      <c r="AO20" s="716" t="s">
        <v>364</v>
      </c>
      <c r="AP20" s="714" t="s">
        <v>483</v>
      </c>
      <c r="AQ20" s="714" t="s">
        <v>371</v>
      </c>
      <c r="AR20" s="714" t="s">
        <v>277</v>
      </c>
      <c r="AS20" s="720" t="s">
        <v>483</v>
      </c>
      <c r="AT20" s="720" t="s">
        <v>483</v>
      </c>
      <c r="AU20" s="720" t="s">
        <v>483</v>
      </c>
      <c r="AV20" s="714" t="s">
        <v>1124</v>
      </c>
      <c r="AW20" s="722" t="s">
        <v>485</v>
      </c>
      <c r="AX20" s="724" t="s">
        <v>292</v>
      </c>
      <c r="AY20" s="722" t="s">
        <v>485</v>
      </c>
      <c r="AZ20" s="716" t="s">
        <v>364</v>
      </c>
      <c r="BA20" s="724" t="s">
        <v>301</v>
      </c>
      <c r="BB20" s="716" t="s">
        <v>364</v>
      </c>
      <c r="BC20" s="722" t="s">
        <v>485</v>
      </c>
      <c r="BD20" s="716" t="s">
        <v>364</v>
      </c>
      <c r="BE20" s="724" t="s">
        <v>308</v>
      </c>
      <c r="BF20" s="720" t="s">
        <v>483</v>
      </c>
      <c r="BG20" s="720" t="s">
        <v>483</v>
      </c>
      <c r="BH20" s="720" t="s">
        <v>483</v>
      </c>
      <c r="BI20" s="720" t="s">
        <v>483</v>
      </c>
      <c r="BJ20" s="715" t="s">
        <v>482</v>
      </c>
      <c r="BK20" s="720" t="s">
        <v>483</v>
      </c>
      <c r="BL20" s="715" t="s">
        <v>482</v>
      </c>
      <c r="BM20" s="720" t="s">
        <v>483</v>
      </c>
      <c r="BN20" s="715" t="s">
        <v>482</v>
      </c>
      <c r="BO20" s="714" t="s">
        <v>323</v>
      </c>
      <c r="BP20" s="720" t="s">
        <v>483</v>
      </c>
      <c r="BQ20" s="722" t="s">
        <v>485</v>
      </c>
      <c r="BR20" s="722" t="s">
        <v>485</v>
      </c>
      <c r="BS20" s="720" t="s">
        <v>483</v>
      </c>
    </row>
    <row r="21" spans="1:71" ht="41.4">
      <c r="A21" s="725" t="s">
        <v>186</v>
      </c>
      <c r="B21" s="815" t="e" vm="1">
        <f>_xlfn.IMAGE("AZ4", "A4")</f>
        <v>#VALUE!</v>
      </c>
      <c r="C21" s="714" t="s">
        <v>483</v>
      </c>
      <c r="D21" s="714" t="s">
        <v>483</v>
      </c>
      <c r="E21" s="719">
        <v>3</v>
      </c>
      <c r="F21" s="714" t="s">
        <v>483</v>
      </c>
      <c r="G21" s="714" t="s">
        <v>483</v>
      </c>
      <c r="H21" s="714" t="s">
        <v>483</v>
      </c>
      <c r="I21" s="714" t="s">
        <v>200</v>
      </c>
      <c r="J21" s="714" t="s">
        <v>200</v>
      </c>
      <c r="K21" s="714" t="s">
        <v>200</v>
      </c>
      <c r="L21" s="714" t="s">
        <v>200</v>
      </c>
      <c r="M21" s="714" t="s">
        <v>483</v>
      </c>
      <c r="N21" s="714" t="s">
        <v>483</v>
      </c>
      <c r="O21" s="714" t="s">
        <v>483</v>
      </c>
      <c r="P21" s="714" t="s">
        <v>483</v>
      </c>
      <c r="Q21" s="714" t="s">
        <v>483</v>
      </c>
      <c r="R21" s="714" t="s">
        <v>483</v>
      </c>
      <c r="S21" s="714" t="s">
        <v>483</v>
      </c>
      <c r="T21" s="714" t="s">
        <v>364</v>
      </c>
      <c r="U21" s="714" t="s">
        <v>483</v>
      </c>
      <c r="V21" s="714" t="s">
        <v>483</v>
      </c>
      <c r="W21" s="726" t="s">
        <v>227</v>
      </c>
      <c r="X21" s="714" t="s">
        <v>483</v>
      </c>
      <c r="Y21" s="724" t="s">
        <v>238</v>
      </c>
      <c r="Z21" s="714" t="s">
        <v>483</v>
      </c>
      <c r="AA21" s="715" t="s">
        <v>484</v>
      </c>
      <c r="AB21" s="720" t="s">
        <v>483</v>
      </c>
      <c r="AC21" s="720" t="s">
        <v>483</v>
      </c>
      <c r="AD21" s="720" t="s">
        <v>483</v>
      </c>
      <c r="AE21" s="720" t="s">
        <v>486</v>
      </c>
      <c r="AF21" s="716" t="s">
        <v>364</v>
      </c>
      <c r="AG21" s="720" t="s">
        <v>483</v>
      </c>
      <c r="AH21" s="720" t="s">
        <v>483</v>
      </c>
      <c r="AI21" s="720" t="s">
        <v>483</v>
      </c>
      <c r="AJ21" s="720" t="s">
        <v>483</v>
      </c>
      <c r="AK21" s="720" t="s">
        <v>483</v>
      </c>
      <c r="AL21" s="720" t="s">
        <v>483</v>
      </c>
      <c r="AM21" s="722" t="s">
        <v>485</v>
      </c>
      <c r="AN21" s="714" t="s">
        <v>483</v>
      </c>
      <c r="AO21" s="716" t="s">
        <v>364</v>
      </c>
      <c r="AP21" s="714" t="s">
        <v>483</v>
      </c>
      <c r="AQ21" s="714" t="s">
        <v>371</v>
      </c>
      <c r="AR21" s="714" t="s">
        <v>277</v>
      </c>
      <c r="AS21" s="720" t="s">
        <v>483</v>
      </c>
      <c r="AT21" s="720" t="s">
        <v>483</v>
      </c>
      <c r="AU21" s="720" t="s">
        <v>483</v>
      </c>
      <c r="AV21" s="714" t="s">
        <v>1124</v>
      </c>
      <c r="AW21" s="722" t="s">
        <v>485</v>
      </c>
      <c r="AX21" s="724" t="s">
        <v>292</v>
      </c>
      <c r="AY21" s="722" t="s">
        <v>485</v>
      </c>
      <c r="AZ21" s="716" t="s">
        <v>364</v>
      </c>
      <c r="BA21" s="724" t="s">
        <v>302</v>
      </c>
      <c r="BB21" s="716" t="s">
        <v>364</v>
      </c>
      <c r="BC21" s="722" t="s">
        <v>485</v>
      </c>
      <c r="BD21" s="716" t="s">
        <v>364</v>
      </c>
      <c r="BE21" s="724" t="s">
        <v>308</v>
      </c>
      <c r="BF21" s="720" t="s">
        <v>483</v>
      </c>
      <c r="BG21" s="720" t="s">
        <v>483</v>
      </c>
      <c r="BH21" s="720" t="s">
        <v>483</v>
      </c>
      <c r="BI21" s="720" t="s">
        <v>483</v>
      </c>
      <c r="BJ21" s="715" t="s">
        <v>482</v>
      </c>
      <c r="BK21" s="720" t="s">
        <v>483</v>
      </c>
      <c r="BL21" s="715" t="s">
        <v>482</v>
      </c>
      <c r="BM21" s="720" t="s">
        <v>483</v>
      </c>
      <c r="BN21" s="715" t="s">
        <v>482</v>
      </c>
      <c r="BO21" s="714" t="s">
        <v>323</v>
      </c>
      <c r="BP21" s="720" t="s">
        <v>483</v>
      </c>
      <c r="BQ21" s="720" t="s">
        <v>483</v>
      </c>
      <c r="BR21" s="720" t="s">
        <v>483</v>
      </c>
      <c r="BS21" s="720" t="s">
        <v>483</v>
      </c>
    </row>
    <row r="22" spans="1:71" ht="41.4">
      <c r="A22" s="725" t="s">
        <v>193</v>
      </c>
      <c r="B22" s="815" t="e" vm="1">
        <f>_xlfn.IMAGE("AZ4", "A4")</f>
        <v>#VALUE!</v>
      </c>
      <c r="C22" s="714" t="s">
        <v>483</v>
      </c>
      <c r="D22" s="714" t="s">
        <v>483</v>
      </c>
      <c r="E22" s="719">
        <v>2</v>
      </c>
      <c r="F22" s="714" t="s">
        <v>483</v>
      </c>
      <c r="G22" s="714" t="s">
        <v>483</v>
      </c>
      <c r="H22" s="714" t="s">
        <v>483</v>
      </c>
      <c r="I22" s="714" t="s">
        <v>200</v>
      </c>
      <c r="J22" s="714" t="s">
        <v>200</v>
      </c>
      <c r="K22" s="714" t="s">
        <v>200</v>
      </c>
      <c r="L22" s="714" t="s">
        <v>200</v>
      </c>
      <c r="M22" s="714" t="s">
        <v>483</v>
      </c>
      <c r="N22" s="714" t="s">
        <v>483</v>
      </c>
      <c r="O22" s="714" t="s">
        <v>483</v>
      </c>
      <c r="P22" s="714" t="s">
        <v>483</v>
      </c>
      <c r="Q22" s="714" t="s">
        <v>483</v>
      </c>
      <c r="R22" s="714" t="s">
        <v>483</v>
      </c>
      <c r="S22" s="714" t="s">
        <v>483</v>
      </c>
      <c r="T22" s="714" t="s">
        <v>364</v>
      </c>
      <c r="U22" s="714" t="s">
        <v>483</v>
      </c>
      <c r="V22" s="714" t="s">
        <v>483</v>
      </c>
      <c r="W22" s="726" t="s">
        <v>229</v>
      </c>
      <c r="X22" s="714" t="s">
        <v>483</v>
      </c>
      <c r="Y22" s="715" t="s">
        <v>240</v>
      </c>
      <c r="Z22" s="714" t="s">
        <v>483</v>
      </c>
      <c r="AA22" s="715" t="s">
        <v>484</v>
      </c>
      <c r="AB22" s="720" t="s">
        <v>483</v>
      </c>
      <c r="AC22" s="720" t="s">
        <v>483</v>
      </c>
      <c r="AD22" s="722" t="s">
        <v>485</v>
      </c>
      <c r="AE22" s="720" t="s">
        <v>486</v>
      </c>
      <c r="AF22" s="716" t="s">
        <v>364</v>
      </c>
      <c r="AG22" s="720" t="s">
        <v>483</v>
      </c>
      <c r="AH22" s="720" t="s">
        <v>483</v>
      </c>
      <c r="AI22" s="720" t="s">
        <v>483</v>
      </c>
      <c r="AJ22" s="720" t="s">
        <v>483</v>
      </c>
      <c r="AK22" s="720" t="s">
        <v>483</v>
      </c>
      <c r="AL22" s="720" t="s">
        <v>483</v>
      </c>
      <c r="AM22" s="722" t="s">
        <v>485</v>
      </c>
      <c r="AN22" s="714" t="s">
        <v>483</v>
      </c>
      <c r="AO22" s="716" t="s">
        <v>364</v>
      </c>
      <c r="AP22" s="714" t="s">
        <v>483</v>
      </c>
      <c r="AQ22" s="714" t="s">
        <v>371</v>
      </c>
      <c r="AR22" s="714" t="s">
        <v>276</v>
      </c>
      <c r="AS22" s="720" t="s">
        <v>483</v>
      </c>
      <c r="AT22" s="720" t="s">
        <v>483</v>
      </c>
      <c r="AU22" s="720" t="s">
        <v>483</v>
      </c>
      <c r="AV22" s="714" t="s">
        <v>1124</v>
      </c>
      <c r="AW22" s="722" t="s">
        <v>485</v>
      </c>
      <c r="AX22" s="724" t="s">
        <v>292</v>
      </c>
      <c r="AY22" s="722" t="s">
        <v>485</v>
      </c>
      <c r="AZ22" s="716" t="s">
        <v>364</v>
      </c>
      <c r="BA22" s="724" t="s">
        <v>302</v>
      </c>
      <c r="BB22" s="716" t="s">
        <v>364</v>
      </c>
      <c r="BC22" s="722" t="s">
        <v>485</v>
      </c>
      <c r="BD22" s="716" t="s">
        <v>364</v>
      </c>
      <c r="BE22" s="724" t="s">
        <v>308</v>
      </c>
      <c r="BF22" s="720" t="s">
        <v>483</v>
      </c>
      <c r="BG22" s="720" t="s">
        <v>483</v>
      </c>
      <c r="BH22" s="720" t="s">
        <v>483</v>
      </c>
      <c r="BI22" s="720" t="s">
        <v>483</v>
      </c>
      <c r="BJ22" s="715" t="s">
        <v>482</v>
      </c>
      <c r="BK22" s="720" t="s">
        <v>483</v>
      </c>
      <c r="BL22" s="715" t="s">
        <v>482</v>
      </c>
      <c r="BM22" s="720" t="s">
        <v>483</v>
      </c>
      <c r="BN22" s="715" t="s">
        <v>482</v>
      </c>
      <c r="BO22" s="714" t="s">
        <v>323</v>
      </c>
      <c r="BP22" s="720" t="s">
        <v>483</v>
      </c>
      <c r="BQ22" s="720" t="s">
        <v>483</v>
      </c>
      <c r="BR22" s="720" t="s">
        <v>483</v>
      </c>
      <c r="BS22" s="720" t="s">
        <v>483</v>
      </c>
    </row>
    <row r="23" spans="1:71" ht="27.6">
      <c r="A23" s="725" t="s">
        <v>198</v>
      </c>
      <c r="B23" s="815" t="e" vm="1">
        <f>_xlfn.IMAGE("AZ4", "A4")</f>
        <v>#VALUE!</v>
      </c>
      <c r="C23" s="714" t="s">
        <v>483</v>
      </c>
      <c r="D23" s="714" t="s">
        <v>483</v>
      </c>
      <c r="E23" s="719">
        <v>2</v>
      </c>
      <c r="F23" s="714" t="s">
        <v>204</v>
      </c>
      <c r="G23" s="714" t="s">
        <v>483</v>
      </c>
      <c r="H23" s="714" t="s">
        <v>483</v>
      </c>
      <c r="I23" s="714" t="s">
        <v>200</v>
      </c>
      <c r="J23" s="714" t="s">
        <v>200</v>
      </c>
      <c r="K23" s="714" t="s">
        <v>200</v>
      </c>
      <c r="L23" s="714" t="s">
        <v>200</v>
      </c>
      <c r="M23" s="714" t="s">
        <v>483</v>
      </c>
      <c r="N23" s="714" t="s">
        <v>483</v>
      </c>
      <c r="O23" s="714" t="s">
        <v>483</v>
      </c>
      <c r="P23" s="714" t="s">
        <v>483</v>
      </c>
      <c r="Q23" s="714" t="s">
        <v>483</v>
      </c>
      <c r="R23" s="714" t="s">
        <v>483</v>
      </c>
      <c r="S23" s="714" t="s">
        <v>483</v>
      </c>
      <c r="T23" s="714" t="s">
        <v>364</v>
      </c>
      <c r="U23" s="714" t="s">
        <v>483</v>
      </c>
      <c r="V23" s="714" t="s">
        <v>483</v>
      </c>
      <c r="W23" s="726" t="s">
        <v>224</v>
      </c>
      <c r="X23" s="714" t="s">
        <v>483</v>
      </c>
      <c r="Y23" s="724" t="s">
        <v>240</v>
      </c>
      <c r="Z23" s="714" t="s">
        <v>483</v>
      </c>
      <c r="AA23" s="715" t="s">
        <v>484</v>
      </c>
      <c r="AB23" s="720" t="s">
        <v>483</v>
      </c>
      <c r="AC23" s="720" t="s">
        <v>483</v>
      </c>
      <c r="AD23" s="720" t="s">
        <v>483</v>
      </c>
      <c r="AE23" s="720" t="s">
        <v>486</v>
      </c>
      <c r="AF23" s="716" t="s">
        <v>364</v>
      </c>
      <c r="AG23" s="720" t="s">
        <v>483</v>
      </c>
      <c r="AH23" s="720" t="s">
        <v>483</v>
      </c>
      <c r="AI23" s="720" t="s">
        <v>483</v>
      </c>
      <c r="AJ23" s="720" t="s">
        <v>483</v>
      </c>
      <c r="AK23" s="720" t="s">
        <v>483</v>
      </c>
      <c r="AL23" s="720" t="s">
        <v>483</v>
      </c>
      <c r="AM23" s="722" t="s">
        <v>485</v>
      </c>
      <c r="AN23" s="714" t="s">
        <v>483</v>
      </c>
      <c r="AO23" s="716" t="s">
        <v>364</v>
      </c>
      <c r="AP23" s="714" t="s">
        <v>483</v>
      </c>
      <c r="AQ23" s="714" t="s">
        <v>371</v>
      </c>
      <c r="AR23" s="714" t="s">
        <v>483</v>
      </c>
      <c r="AS23" s="720" t="s">
        <v>483</v>
      </c>
      <c r="AT23" s="720" t="s">
        <v>483</v>
      </c>
      <c r="AU23" s="720" t="s">
        <v>483</v>
      </c>
      <c r="AV23" s="714" t="s">
        <v>1124</v>
      </c>
      <c r="AW23" s="722" t="s">
        <v>485</v>
      </c>
      <c r="AX23" s="724" t="s">
        <v>292</v>
      </c>
      <c r="AY23" s="720" t="s">
        <v>483</v>
      </c>
      <c r="AZ23" s="716" t="s">
        <v>364</v>
      </c>
      <c r="BA23" s="724" t="s">
        <v>301</v>
      </c>
      <c r="BB23" s="716" t="s">
        <v>364</v>
      </c>
      <c r="BC23" s="722" t="s">
        <v>485</v>
      </c>
      <c r="BD23" s="716" t="s">
        <v>364</v>
      </c>
      <c r="BE23" s="722" t="s">
        <v>485</v>
      </c>
      <c r="BF23" s="722" t="s">
        <v>485</v>
      </c>
      <c r="BG23" s="720" t="s">
        <v>483</v>
      </c>
      <c r="BH23" s="715" t="s">
        <v>482</v>
      </c>
      <c r="BI23" s="722" t="s">
        <v>485</v>
      </c>
      <c r="BJ23" s="715" t="s">
        <v>482</v>
      </c>
      <c r="BK23" s="720" t="s">
        <v>483</v>
      </c>
      <c r="BL23" s="715" t="s">
        <v>482</v>
      </c>
      <c r="BM23" s="720" t="s">
        <v>483</v>
      </c>
      <c r="BN23" s="715" t="s">
        <v>482</v>
      </c>
      <c r="BO23" s="714" t="s">
        <v>323</v>
      </c>
      <c r="BP23" s="720" t="s">
        <v>483</v>
      </c>
      <c r="BQ23" s="720" t="s">
        <v>483</v>
      </c>
      <c r="BR23" s="722" t="s">
        <v>485</v>
      </c>
      <c r="BS23" s="720" t="s">
        <v>483</v>
      </c>
    </row>
    <row r="24" spans="1:71" ht="41.4">
      <c r="A24" s="725" t="s">
        <v>512</v>
      </c>
      <c r="B24" s="817"/>
      <c r="C24" s="714" t="s">
        <v>483</v>
      </c>
      <c r="D24" s="714" t="s">
        <v>483</v>
      </c>
      <c r="E24" s="719">
        <v>2</v>
      </c>
      <c r="F24" s="714" t="s">
        <v>204</v>
      </c>
      <c r="G24" s="714" t="s">
        <v>483</v>
      </c>
      <c r="H24" s="714" t="s">
        <v>483</v>
      </c>
      <c r="I24" s="714" t="s">
        <v>200</v>
      </c>
      <c r="J24" s="714" t="s">
        <v>200</v>
      </c>
      <c r="K24" s="714" t="s">
        <v>200</v>
      </c>
      <c r="L24" s="714" t="s">
        <v>200</v>
      </c>
      <c r="M24" s="714" t="s">
        <v>483</v>
      </c>
      <c r="N24" s="714" t="s">
        <v>483</v>
      </c>
      <c r="O24" s="714" t="s">
        <v>483</v>
      </c>
      <c r="P24" s="714" t="s">
        <v>483</v>
      </c>
      <c r="Q24" s="714" t="s">
        <v>483</v>
      </c>
      <c r="R24" s="714" t="s">
        <v>483</v>
      </c>
      <c r="S24" s="714" t="s">
        <v>483</v>
      </c>
      <c r="T24" s="714" t="s">
        <v>364</v>
      </c>
      <c r="U24" s="714" t="s">
        <v>483</v>
      </c>
      <c r="V24" s="714" t="s">
        <v>483</v>
      </c>
      <c r="W24" s="714" t="s">
        <v>227</v>
      </c>
      <c r="X24" s="714" t="s">
        <v>483</v>
      </c>
      <c r="Y24" s="715" t="s">
        <v>237</v>
      </c>
      <c r="Z24" s="714" t="s">
        <v>483</v>
      </c>
      <c r="AA24" s="715" t="s">
        <v>484</v>
      </c>
      <c r="AB24" s="720" t="s">
        <v>483</v>
      </c>
      <c r="AC24" s="720" t="s">
        <v>483</v>
      </c>
      <c r="AD24" s="722" t="s">
        <v>485</v>
      </c>
      <c r="AE24" s="720" t="s">
        <v>486</v>
      </c>
      <c r="AF24" s="716" t="s">
        <v>364</v>
      </c>
      <c r="AG24" s="720" t="s">
        <v>483</v>
      </c>
      <c r="AH24" s="720" t="s">
        <v>483</v>
      </c>
      <c r="AI24" s="720" t="s">
        <v>483</v>
      </c>
      <c r="AJ24" s="720" t="s">
        <v>483</v>
      </c>
      <c r="AK24" s="720" t="s">
        <v>483</v>
      </c>
      <c r="AL24" s="720" t="s">
        <v>483</v>
      </c>
      <c r="AM24" s="722" t="s">
        <v>485</v>
      </c>
      <c r="AN24" s="714" t="s">
        <v>483</v>
      </c>
      <c r="AO24" s="716" t="s">
        <v>364</v>
      </c>
      <c r="AP24" s="714" t="s">
        <v>483</v>
      </c>
      <c r="AQ24" s="714" t="s">
        <v>371</v>
      </c>
      <c r="AR24" s="714" t="s">
        <v>276</v>
      </c>
      <c r="AS24" s="720" t="s">
        <v>483</v>
      </c>
      <c r="AT24" s="720" t="s">
        <v>483</v>
      </c>
      <c r="AU24" s="720" t="s">
        <v>483</v>
      </c>
      <c r="AV24" s="714" t="s">
        <v>1124</v>
      </c>
      <c r="AW24" s="722" t="s">
        <v>485</v>
      </c>
      <c r="AX24" s="724" t="s">
        <v>292</v>
      </c>
      <c r="AY24" s="720" t="s">
        <v>483</v>
      </c>
      <c r="AZ24" s="716" t="s">
        <v>364</v>
      </c>
      <c r="BA24" s="724" t="s">
        <v>301</v>
      </c>
      <c r="BB24" s="716" t="s">
        <v>364</v>
      </c>
      <c r="BC24" s="720" t="s">
        <v>483</v>
      </c>
      <c r="BD24" s="716" t="s">
        <v>364</v>
      </c>
      <c r="BE24" s="724" t="s">
        <v>308</v>
      </c>
      <c r="BF24" s="720" t="s">
        <v>483</v>
      </c>
      <c r="BG24" s="720" t="s">
        <v>483</v>
      </c>
      <c r="BH24" s="715" t="s">
        <v>482</v>
      </c>
      <c r="BI24" s="720" t="s">
        <v>483</v>
      </c>
      <c r="BJ24" s="715" t="s">
        <v>482</v>
      </c>
      <c r="BK24" s="720" t="s">
        <v>483</v>
      </c>
      <c r="BL24" s="715" t="s">
        <v>482</v>
      </c>
      <c r="BM24" s="720" t="s">
        <v>483</v>
      </c>
      <c r="BN24" s="715" t="s">
        <v>482</v>
      </c>
      <c r="BO24" s="714" t="s">
        <v>323</v>
      </c>
      <c r="BP24" s="720" t="s">
        <v>483</v>
      </c>
      <c r="BQ24" s="720" t="s">
        <v>483</v>
      </c>
      <c r="BR24" s="720" t="s">
        <v>483</v>
      </c>
      <c r="BS24" s="720" t="s">
        <v>483</v>
      </c>
    </row>
    <row r="25" spans="1:71" ht="41.4">
      <c r="A25" s="725" t="s">
        <v>70</v>
      </c>
      <c r="B25" s="817"/>
      <c r="C25" s="714" t="s">
        <v>483</v>
      </c>
      <c r="D25" s="714" t="s">
        <v>483</v>
      </c>
      <c r="E25" s="719">
        <v>2</v>
      </c>
      <c r="F25" s="714" t="s">
        <v>204</v>
      </c>
      <c r="G25" s="714" t="s">
        <v>483</v>
      </c>
      <c r="H25" s="714" t="s">
        <v>483</v>
      </c>
      <c r="I25" s="714" t="s">
        <v>200</v>
      </c>
      <c r="J25" s="714" t="s">
        <v>200</v>
      </c>
      <c r="K25" s="714" t="s">
        <v>200</v>
      </c>
      <c r="L25" s="714" t="s">
        <v>200</v>
      </c>
      <c r="M25" s="714" t="s">
        <v>483</v>
      </c>
      <c r="N25" s="714" t="s">
        <v>483</v>
      </c>
      <c r="O25" s="714" t="s">
        <v>483</v>
      </c>
      <c r="P25" s="714" t="s">
        <v>483</v>
      </c>
      <c r="Q25" s="714" t="s">
        <v>483</v>
      </c>
      <c r="R25" s="714" t="s">
        <v>483</v>
      </c>
      <c r="S25" s="714" t="s">
        <v>483</v>
      </c>
      <c r="T25" s="714" t="s">
        <v>364</v>
      </c>
      <c r="U25" s="714" t="s">
        <v>483</v>
      </c>
      <c r="V25" s="714" t="s">
        <v>483</v>
      </c>
      <c r="W25" s="714" t="s">
        <v>513</v>
      </c>
      <c r="X25" s="714" t="s">
        <v>483</v>
      </c>
      <c r="Y25" s="715" t="s">
        <v>237</v>
      </c>
      <c r="Z25" s="714" t="s">
        <v>483</v>
      </c>
      <c r="AA25" s="715" t="s">
        <v>484</v>
      </c>
      <c r="AB25" s="720" t="s">
        <v>483</v>
      </c>
      <c r="AC25" s="720" t="s">
        <v>483</v>
      </c>
      <c r="AD25" s="722" t="s">
        <v>485</v>
      </c>
      <c r="AE25" s="720" t="s">
        <v>514</v>
      </c>
      <c r="AF25" s="716" t="s">
        <v>364</v>
      </c>
      <c r="AG25" s="720" t="s">
        <v>483</v>
      </c>
      <c r="AH25" s="720" t="s">
        <v>483</v>
      </c>
      <c r="AI25" s="720" t="s">
        <v>483</v>
      </c>
      <c r="AJ25" s="720" t="s">
        <v>483</v>
      </c>
      <c r="AK25" s="720" t="s">
        <v>483</v>
      </c>
      <c r="AL25" s="720" t="s">
        <v>483</v>
      </c>
      <c r="AM25" s="722" t="s">
        <v>485</v>
      </c>
      <c r="AN25" s="714" t="s">
        <v>483</v>
      </c>
      <c r="AO25" s="716" t="s">
        <v>364</v>
      </c>
      <c r="AP25" s="714" t="s">
        <v>483</v>
      </c>
      <c r="AQ25" s="714" t="s">
        <v>371</v>
      </c>
      <c r="AR25" s="714" t="s">
        <v>276</v>
      </c>
      <c r="AS25" s="720" t="s">
        <v>483</v>
      </c>
      <c r="AT25" s="720" t="s">
        <v>483</v>
      </c>
      <c r="AU25" s="720" t="s">
        <v>483</v>
      </c>
      <c r="AV25" s="714" t="s">
        <v>515</v>
      </c>
      <c r="AW25" s="722" t="s">
        <v>485</v>
      </c>
      <c r="AX25" s="724" t="s">
        <v>292</v>
      </c>
      <c r="AY25" s="720" t="s">
        <v>483</v>
      </c>
      <c r="AZ25" s="716" t="s">
        <v>364</v>
      </c>
      <c r="BA25" s="724" t="s">
        <v>301</v>
      </c>
      <c r="BB25" s="716" t="s">
        <v>364</v>
      </c>
      <c r="BC25" s="720" t="s">
        <v>483</v>
      </c>
      <c r="BD25" s="716" t="s">
        <v>364</v>
      </c>
      <c r="BE25" s="724" t="s">
        <v>308</v>
      </c>
      <c r="BF25" s="720" t="s">
        <v>483</v>
      </c>
      <c r="BG25" s="720" t="s">
        <v>483</v>
      </c>
      <c r="BH25" s="715" t="s">
        <v>482</v>
      </c>
      <c r="BI25" s="720" t="s">
        <v>483</v>
      </c>
      <c r="BJ25" s="715" t="s">
        <v>482</v>
      </c>
      <c r="BK25" s="720" t="s">
        <v>483</v>
      </c>
      <c r="BL25" s="715" t="s">
        <v>482</v>
      </c>
      <c r="BM25" s="720" t="s">
        <v>483</v>
      </c>
      <c r="BN25" s="715" t="s">
        <v>482</v>
      </c>
      <c r="BO25" s="714" t="s">
        <v>323</v>
      </c>
      <c r="BP25" s="720" t="s">
        <v>483</v>
      </c>
      <c r="BQ25" s="720" t="s">
        <v>483</v>
      </c>
      <c r="BR25" s="720" t="s">
        <v>483</v>
      </c>
      <c r="BS25" s="720" t="s">
        <v>483</v>
      </c>
    </row>
    <row r="26" spans="1:71" ht="41.4">
      <c r="A26" s="725" t="s">
        <v>191</v>
      </c>
      <c r="B26" s="815" t="e" vm="1">
        <f>_xlfn.IMAGE("AZ4", "A4")</f>
        <v>#VALUE!</v>
      </c>
      <c r="C26" s="714" t="s">
        <v>483</v>
      </c>
      <c r="D26" s="714" t="s">
        <v>483</v>
      </c>
      <c r="E26" s="719">
        <v>2</v>
      </c>
      <c r="F26" s="714" t="s">
        <v>483</v>
      </c>
      <c r="G26" s="714" t="s">
        <v>483</v>
      </c>
      <c r="H26" s="714" t="s">
        <v>483</v>
      </c>
      <c r="I26" s="714" t="s">
        <v>483</v>
      </c>
      <c r="J26" s="714" t="s">
        <v>483</v>
      </c>
      <c r="K26" s="714" t="s">
        <v>483</v>
      </c>
      <c r="L26" s="714" t="s">
        <v>483</v>
      </c>
      <c r="M26" s="714" t="s">
        <v>483</v>
      </c>
      <c r="N26" s="714" t="s">
        <v>483</v>
      </c>
      <c r="O26" s="714" t="s">
        <v>483</v>
      </c>
      <c r="P26" s="714" t="s">
        <v>483</v>
      </c>
      <c r="Q26" s="714" t="s">
        <v>483</v>
      </c>
      <c r="R26" s="714" t="s">
        <v>483</v>
      </c>
      <c r="S26" s="714" t="s">
        <v>483</v>
      </c>
      <c r="T26" s="714" t="s">
        <v>364</v>
      </c>
      <c r="U26" s="714" t="s">
        <v>483</v>
      </c>
      <c r="V26" s="714" t="s">
        <v>483</v>
      </c>
      <c r="W26" s="726" t="s">
        <v>224</v>
      </c>
      <c r="X26" s="714" t="s">
        <v>483</v>
      </c>
      <c r="Y26" s="724" t="s">
        <v>238</v>
      </c>
      <c r="Z26" s="714" t="s">
        <v>483</v>
      </c>
      <c r="AA26" s="715" t="s">
        <v>484</v>
      </c>
      <c r="AB26" s="720" t="s">
        <v>483</v>
      </c>
      <c r="AC26" s="720" t="s">
        <v>483</v>
      </c>
      <c r="AD26" s="722" t="s">
        <v>485</v>
      </c>
      <c r="AE26" s="720" t="s">
        <v>486</v>
      </c>
      <c r="AF26" s="716" t="s">
        <v>364</v>
      </c>
      <c r="AG26" s="720" t="s">
        <v>483</v>
      </c>
      <c r="AH26" s="720" t="s">
        <v>483</v>
      </c>
      <c r="AI26" s="720" t="s">
        <v>483</v>
      </c>
      <c r="AJ26" s="720" t="s">
        <v>483</v>
      </c>
      <c r="AK26" s="720" t="s">
        <v>483</v>
      </c>
      <c r="AL26" s="720" t="s">
        <v>483</v>
      </c>
      <c r="AM26" s="722" t="s">
        <v>485</v>
      </c>
      <c r="AN26" s="714" t="s">
        <v>483</v>
      </c>
      <c r="AO26" s="716" t="s">
        <v>364</v>
      </c>
      <c r="AP26" s="714" t="s">
        <v>483</v>
      </c>
      <c r="AQ26" s="714" t="s">
        <v>371</v>
      </c>
      <c r="AR26" s="714" t="s">
        <v>276</v>
      </c>
      <c r="AS26" s="720" t="s">
        <v>483</v>
      </c>
      <c r="AT26" s="720" t="s">
        <v>483</v>
      </c>
      <c r="AU26" s="720" t="s">
        <v>483</v>
      </c>
      <c r="AV26" s="714" t="s">
        <v>1124</v>
      </c>
      <c r="AW26" s="722" t="s">
        <v>485</v>
      </c>
      <c r="AX26" s="722" t="s">
        <v>485</v>
      </c>
      <c r="AY26" s="724" t="s">
        <v>298</v>
      </c>
      <c r="AZ26" s="716" t="s">
        <v>364</v>
      </c>
      <c r="BA26" s="724" t="s">
        <v>299</v>
      </c>
      <c r="BB26" s="716" t="s">
        <v>364</v>
      </c>
      <c r="BC26" s="720" t="s">
        <v>483</v>
      </c>
      <c r="BD26" s="716" t="s">
        <v>364</v>
      </c>
      <c r="BE26" s="724" t="s">
        <v>308</v>
      </c>
      <c r="BF26" s="720" t="s">
        <v>483</v>
      </c>
      <c r="BG26" s="720" t="s">
        <v>483</v>
      </c>
      <c r="BH26" s="720" t="s">
        <v>483</v>
      </c>
      <c r="BI26" s="722" t="s">
        <v>485</v>
      </c>
      <c r="BJ26" s="715" t="s">
        <v>482</v>
      </c>
      <c r="BK26" s="720" t="s">
        <v>483</v>
      </c>
      <c r="BL26" s="715" t="s">
        <v>482</v>
      </c>
      <c r="BM26" s="720" t="s">
        <v>483</v>
      </c>
      <c r="BN26" s="715" t="s">
        <v>482</v>
      </c>
      <c r="BO26" s="714" t="s">
        <v>323</v>
      </c>
      <c r="BP26" s="720" t="s">
        <v>483</v>
      </c>
      <c r="BQ26" s="720" t="s">
        <v>483</v>
      </c>
      <c r="BR26" s="727" t="s">
        <v>332</v>
      </c>
      <c r="BS26" s="720" t="s">
        <v>483</v>
      </c>
    </row>
    <row r="27" spans="1:71" ht="41.4">
      <c r="A27" s="819" t="s">
        <v>185</v>
      </c>
      <c r="B27" s="818" t="e" vm="1">
        <f>_xlfn.IMAGE("AZ4", "A4")</f>
        <v>#VALUE!</v>
      </c>
      <c r="C27" s="714" t="s">
        <v>483</v>
      </c>
      <c r="D27" s="714" t="s">
        <v>483</v>
      </c>
      <c r="E27" s="719">
        <v>3</v>
      </c>
      <c r="F27" s="714" t="s">
        <v>483</v>
      </c>
      <c r="G27" s="714" t="s">
        <v>483</v>
      </c>
      <c r="H27" s="714" t="s">
        <v>483</v>
      </c>
      <c r="I27" s="714" t="s">
        <v>200</v>
      </c>
      <c r="J27" s="714" t="s">
        <v>200</v>
      </c>
      <c r="K27" s="714" t="s">
        <v>483</v>
      </c>
      <c r="L27" s="714" t="s">
        <v>483</v>
      </c>
      <c r="M27" s="714" t="s">
        <v>483</v>
      </c>
      <c r="N27" s="714" t="s">
        <v>483</v>
      </c>
      <c r="O27" s="714" t="s">
        <v>483</v>
      </c>
      <c r="P27" s="714" t="s">
        <v>483</v>
      </c>
      <c r="Q27" s="714" t="s">
        <v>483</v>
      </c>
      <c r="R27" s="714" t="s">
        <v>483</v>
      </c>
      <c r="S27" s="714" t="s">
        <v>483</v>
      </c>
      <c r="T27" s="714" t="s">
        <v>364</v>
      </c>
      <c r="U27" s="714" t="s">
        <v>483</v>
      </c>
      <c r="V27" s="720" t="s">
        <v>483</v>
      </c>
      <c r="W27" s="785" t="s">
        <v>226</v>
      </c>
      <c r="X27" s="714" t="s">
        <v>483</v>
      </c>
      <c r="Y27" s="715" t="s">
        <v>239</v>
      </c>
      <c r="Z27" s="714" t="s">
        <v>483</v>
      </c>
      <c r="AA27" s="715" t="s">
        <v>484</v>
      </c>
      <c r="AB27" s="720" t="s">
        <v>483</v>
      </c>
      <c r="AC27" s="720" t="s">
        <v>483</v>
      </c>
      <c r="AD27" s="720" t="s">
        <v>483</v>
      </c>
      <c r="AE27" s="720" t="s">
        <v>486</v>
      </c>
      <c r="AF27" s="716" t="s">
        <v>364</v>
      </c>
      <c r="AG27" s="720" t="s">
        <v>483</v>
      </c>
      <c r="AH27" s="720" t="s">
        <v>483</v>
      </c>
      <c r="AI27" s="720" t="s">
        <v>483</v>
      </c>
      <c r="AJ27" s="720" t="s">
        <v>483</v>
      </c>
      <c r="AK27" s="720" t="s">
        <v>483</v>
      </c>
      <c r="AL27" s="720" t="s">
        <v>483</v>
      </c>
      <c r="AM27" s="722" t="s">
        <v>485</v>
      </c>
      <c r="AN27" s="714" t="s">
        <v>483</v>
      </c>
      <c r="AO27" s="716" t="s">
        <v>364</v>
      </c>
      <c r="AP27" s="714" t="s">
        <v>483</v>
      </c>
      <c r="AQ27" s="714" t="s">
        <v>371</v>
      </c>
      <c r="AR27" s="714" t="s">
        <v>276</v>
      </c>
      <c r="AS27" s="720" t="s">
        <v>483</v>
      </c>
      <c r="AT27" s="720" t="s">
        <v>483</v>
      </c>
      <c r="AU27" s="720" t="s">
        <v>483</v>
      </c>
      <c r="AV27" s="714" t="s">
        <v>1123</v>
      </c>
      <c r="AW27" s="723" t="s">
        <v>303</v>
      </c>
      <c r="AX27" s="724" t="s">
        <v>292</v>
      </c>
      <c r="AY27" s="723" t="s">
        <v>297</v>
      </c>
      <c r="AZ27" s="716" t="s">
        <v>364</v>
      </c>
      <c r="BA27" s="724" t="s">
        <v>301</v>
      </c>
      <c r="BB27" s="716" t="s">
        <v>364</v>
      </c>
      <c r="BC27" s="720" t="s">
        <v>483</v>
      </c>
      <c r="BD27" s="716" t="s">
        <v>364</v>
      </c>
      <c r="BE27" s="724" t="s">
        <v>309</v>
      </c>
      <c r="BF27" s="720" t="s">
        <v>483</v>
      </c>
      <c r="BG27" s="720" t="s">
        <v>483</v>
      </c>
      <c r="BH27" s="720" t="s">
        <v>483</v>
      </c>
      <c r="BI27" s="720" t="s">
        <v>483</v>
      </c>
      <c r="BJ27" s="715" t="s">
        <v>482</v>
      </c>
      <c r="BK27" s="720" t="s">
        <v>483</v>
      </c>
      <c r="BL27" s="715" t="s">
        <v>482</v>
      </c>
      <c r="BM27" s="720" t="s">
        <v>483</v>
      </c>
      <c r="BN27" s="715" t="s">
        <v>482</v>
      </c>
      <c r="BO27" s="714" t="s">
        <v>323</v>
      </c>
      <c r="BP27" s="720" t="s">
        <v>483</v>
      </c>
      <c r="BQ27" s="722" t="s">
        <v>485</v>
      </c>
      <c r="BR27" s="722" t="s">
        <v>485</v>
      </c>
      <c r="BS27" s="720" t="s">
        <v>483</v>
      </c>
    </row>
  </sheetData>
  <mergeCells count="28">
    <mergeCell ref="AP2:AQ2"/>
    <mergeCell ref="AP1:AQ1"/>
    <mergeCell ref="AY1:AZ1"/>
    <mergeCell ref="AY2:AZ2"/>
    <mergeCell ref="BA1:BB1"/>
    <mergeCell ref="BA2:BB2"/>
    <mergeCell ref="BG1:BH1"/>
    <mergeCell ref="BG2:BH2"/>
    <mergeCell ref="BM1:BN1"/>
    <mergeCell ref="BM2:BN2"/>
    <mergeCell ref="BI1:BJ1"/>
    <mergeCell ref="BI2:BJ2"/>
    <mergeCell ref="BK1:BL1"/>
    <mergeCell ref="BK2:BL2"/>
    <mergeCell ref="C1:F1"/>
    <mergeCell ref="C2:F2"/>
    <mergeCell ref="I2:L2"/>
    <mergeCell ref="I1:L1"/>
    <mergeCell ref="G1:H1"/>
    <mergeCell ref="G2:H2"/>
    <mergeCell ref="M1:R1"/>
    <mergeCell ref="M2:R2"/>
    <mergeCell ref="AN1:AO1"/>
    <mergeCell ref="AN2:AO2"/>
    <mergeCell ref="S1:T1"/>
    <mergeCell ref="S2:T2"/>
    <mergeCell ref="AE1:AF1"/>
    <mergeCell ref="AE2:AF2"/>
  </mergeCells>
  <hyperlinks>
    <hyperlink ref="W10" r:id="rId1" xr:uid="{00000000-0004-0000-0100-000000000000}"/>
    <hyperlink ref="W8" r:id="rId2" xr:uid="{00000000-0004-0000-0100-000001000000}"/>
    <hyperlink ref="W27" r:id="rId3" xr:uid="{00000000-0004-0000-0100-000002000000}"/>
    <hyperlink ref="W21" r:id="rId4" xr:uid="{00000000-0004-0000-0100-000003000000}"/>
    <hyperlink ref="W16" r:id="rId5" xr:uid="{00000000-0004-0000-0100-000004000000}"/>
    <hyperlink ref="W20" r:id="rId6" xr:uid="{00000000-0004-0000-0100-000005000000}"/>
    <hyperlink ref="W15" r:id="rId7" xr:uid="{00000000-0004-0000-0100-000006000000}"/>
    <hyperlink ref="W12" r:id="rId8" xr:uid="{00000000-0004-0000-0100-000007000000}"/>
    <hyperlink ref="W26" r:id="rId9" xr:uid="{00000000-0004-0000-0100-000009000000}"/>
    <hyperlink ref="W6" r:id="rId10" xr:uid="{00000000-0004-0000-0100-00000A000000}"/>
    <hyperlink ref="W22" r:id="rId11" xr:uid="{00000000-0004-0000-0100-00000B000000}"/>
    <hyperlink ref="W9" r:id="rId12" xr:uid="{00000000-0004-0000-0100-00000C000000}"/>
    <hyperlink ref="W4" r:id="rId13" xr:uid="{00000000-0004-0000-0100-00000D000000}"/>
    <hyperlink ref="W5" r:id="rId14" xr:uid="{00000000-0004-0000-0100-00000E000000}"/>
    <hyperlink ref="W23" r:id="rId15" xr:uid="{00000000-0004-0000-0100-00000F000000}"/>
    <hyperlink ref="W7" r:id="rId16" xr:uid="{6A80077F-828B-4F3B-B8C0-964CAD84FEDB}"/>
  </hyperlinks>
  <pageMargins left="0.7" right="0.7" top="0.75" bottom="0.75" header="0" footer="0"/>
  <pageSetup orientation="landscape" r:id="rId17"/>
  <legacyDrawing r:id="rId18"/>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3620-5D5C-4F2C-A012-AEF93856F550}">
  <sheetPr codeName="Sheet19"/>
  <dimension ref="A1:Y990"/>
  <sheetViews>
    <sheetView showGridLines="0" zoomScaleNormal="100" workbookViewId="0">
      <pane xSplit="5" ySplit="15" topLeftCell="F16" activePane="bottomRight" state="frozen"/>
      <selection pane="topRight" activeCell="F1" sqref="F1"/>
      <selection pane="bottomLeft" activeCell="A16" sqref="A16"/>
      <selection pane="bottomRight" activeCell="F8" sqref="F8"/>
    </sheetView>
  </sheetViews>
  <sheetFormatPr defaultColWidth="14.44140625" defaultRowHeight="12.6"/>
  <cols>
    <col min="1" max="1" width="2.21875" style="882" customWidth="1"/>
    <col min="2" max="2" width="32.44140625" style="882" customWidth="1"/>
    <col min="3" max="3" width="35.21875" style="882" customWidth="1"/>
    <col min="4" max="4" width="37.44140625" style="882" hidden="1" customWidth="1"/>
    <col min="5" max="5" width="0.77734375" style="883" customWidth="1"/>
    <col min="6" max="8" width="44.5546875" style="882" customWidth="1"/>
    <col min="9" max="9" width="44.44140625" style="882" customWidth="1"/>
    <col min="10" max="21" width="8.5546875" style="882" customWidth="1"/>
    <col min="22" max="16384" width="14.44140625" style="882"/>
  </cols>
  <sheetData>
    <row r="1" spans="1:21">
      <c r="A1" s="881" t="str">
        <f>Inputs!B5</f>
        <v>Bandana Gupta Class</v>
      </c>
    </row>
    <row r="2" spans="1:21">
      <c r="A2" s="884">
        <f>Inputs!B2</f>
        <v>45177</v>
      </c>
      <c r="B2" s="885"/>
      <c r="C2" s="1314" t="s">
        <v>24</v>
      </c>
      <c r="D2" s="1314"/>
      <c r="E2" s="1314"/>
      <c r="F2" s="1314"/>
      <c r="G2" s="1314"/>
      <c r="H2" s="1314"/>
      <c r="I2" s="1314"/>
      <c r="J2" s="886"/>
      <c r="K2" s="886"/>
      <c r="L2" s="886"/>
      <c r="M2" s="886"/>
      <c r="N2" s="886"/>
      <c r="O2" s="886"/>
      <c r="P2" s="886"/>
      <c r="Q2" s="886"/>
      <c r="R2" s="886"/>
      <c r="S2" s="886"/>
      <c r="T2" s="886"/>
      <c r="U2" s="886"/>
    </row>
    <row r="3" spans="1:21">
      <c r="B3" s="885"/>
      <c r="C3" s="1324" t="s">
        <v>337</v>
      </c>
      <c r="D3" s="1324"/>
      <c r="E3" s="887"/>
      <c r="F3" s="1355" t="str">
        <f>'Company Info'!B4</f>
        <v>ABC</v>
      </c>
      <c r="G3" s="1355"/>
      <c r="H3" s="1355"/>
      <c r="I3" s="1355"/>
      <c r="J3" s="886"/>
      <c r="K3" s="886"/>
      <c r="L3" s="886"/>
      <c r="M3" s="886"/>
      <c r="N3" s="886"/>
      <c r="O3" s="886"/>
      <c r="P3" s="886"/>
      <c r="Q3" s="886"/>
      <c r="R3" s="886"/>
      <c r="S3" s="886"/>
      <c r="T3" s="886"/>
      <c r="U3" s="886"/>
    </row>
    <row r="4" spans="1:21">
      <c r="B4" s="885"/>
      <c r="C4" s="1305" t="s">
        <v>338</v>
      </c>
      <c r="D4" s="1305"/>
      <c r="E4" s="887"/>
      <c r="F4" s="1321" t="s">
        <v>339</v>
      </c>
      <c r="G4" s="1321"/>
      <c r="H4" s="1321"/>
      <c r="I4" s="1321"/>
      <c r="J4" s="886" t="s">
        <v>340</v>
      </c>
      <c r="K4" s="886"/>
      <c r="L4" s="886"/>
      <c r="M4" s="886"/>
      <c r="N4" s="886"/>
      <c r="O4" s="886"/>
      <c r="P4" s="886"/>
      <c r="Q4" s="886"/>
      <c r="R4" s="886"/>
      <c r="S4" s="886"/>
      <c r="T4" s="886"/>
      <c r="U4" s="886"/>
    </row>
    <row r="5" spans="1:21">
      <c r="B5" s="885"/>
      <c r="C5" s="1308" t="s">
        <v>341</v>
      </c>
      <c r="D5" s="1308"/>
      <c r="E5" s="887"/>
      <c r="F5" s="1327" t="s">
        <v>342</v>
      </c>
      <c r="G5" s="1327"/>
      <c r="H5" s="1327"/>
      <c r="I5" s="1327"/>
      <c r="J5" s="886" t="s">
        <v>340</v>
      </c>
      <c r="K5" s="886"/>
      <c r="L5" s="886"/>
      <c r="M5" s="886"/>
      <c r="N5" s="886"/>
      <c r="O5" s="886"/>
      <c r="P5" s="886"/>
      <c r="Q5" s="886"/>
      <c r="R5" s="886"/>
      <c r="S5" s="886"/>
      <c r="T5" s="886"/>
      <c r="U5" s="886"/>
    </row>
    <row r="6" spans="1:21">
      <c r="B6" s="885"/>
      <c r="C6" s="888"/>
      <c r="D6" s="888"/>
      <c r="E6" s="888"/>
      <c r="F6" s="889"/>
      <c r="G6" s="889"/>
      <c r="H6" s="889"/>
      <c r="I6" s="889"/>
      <c r="J6" s="886"/>
      <c r="K6" s="886"/>
      <c r="L6" s="886"/>
      <c r="M6" s="886"/>
      <c r="N6" s="886"/>
      <c r="O6" s="886"/>
      <c r="P6" s="886"/>
      <c r="Q6" s="886"/>
      <c r="R6" s="886"/>
      <c r="S6" s="886"/>
      <c r="T6" s="886"/>
      <c r="U6" s="886"/>
    </row>
    <row r="7" spans="1:21">
      <c r="B7" s="885"/>
      <c r="C7" s="1336"/>
      <c r="D7" s="1336"/>
      <c r="E7" s="887"/>
      <c r="F7" s="1332" t="s">
        <v>67</v>
      </c>
      <c r="G7" s="1332"/>
      <c r="H7" s="1332"/>
      <c r="I7" s="890" t="s">
        <v>68</v>
      </c>
      <c r="J7" s="886"/>
      <c r="K7" s="886"/>
      <c r="L7" s="886"/>
      <c r="M7" s="886"/>
      <c r="N7" s="886"/>
      <c r="O7" s="886"/>
      <c r="P7" s="886"/>
      <c r="Q7" s="886"/>
      <c r="R7" s="886"/>
      <c r="S7" s="886"/>
      <c r="T7" s="886"/>
      <c r="U7" s="886"/>
    </row>
    <row r="8" spans="1:21">
      <c r="B8" s="885"/>
      <c r="C8" s="891"/>
      <c r="D8" s="892"/>
      <c r="E8" s="891"/>
      <c r="F8" s="893" t="s">
        <v>1109</v>
      </c>
      <c r="G8" s="894" t="s">
        <v>1111</v>
      </c>
      <c r="H8" s="895" t="s">
        <v>1113</v>
      </c>
      <c r="I8" s="896" t="s">
        <v>346</v>
      </c>
      <c r="J8" s="897"/>
      <c r="K8" s="886"/>
      <c r="L8" s="886"/>
      <c r="M8" s="886"/>
      <c r="N8" s="886"/>
      <c r="O8" s="886"/>
      <c r="P8" s="886"/>
      <c r="Q8" s="886"/>
      <c r="R8" s="886"/>
      <c r="S8" s="886"/>
      <c r="T8" s="886"/>
      <c r="U8" s="886"/>
    </row>
    <row r="9" spans="1:21">
      <c r="B9" s="885"/>
      <c r="C9" s="1311" t="s">
        <v>347</v>
      </c>
      <c r="D9" s="1311"/>
      <c r="E9" s="1311"/>
      <c r="F9" s="1311"/>
      <c r="G9" s="1311"/>
      <c r="H9" s="1311"/>
      <c r="I9" s="1311"/>
      <c r="J9" s="886"/>
      <c r="K9" s="886"/>
      <c r="L9" s="886"/>
      <c r="M9" s="886"/>
      <c r="N9" s="886"/>
      <c r="O9" s="886"/>
      <c r="P9" s="886"/>
      <c r="Q9" s="886"/>
      <c r="R9" s="886"/>
      <c r="S9" s="886"/>
      <c r="T9" s="886"/>
      <c r="U9" s="886"/>
    </row>
    <row r="10" spans="1:21">
      <c r="B10" s="898"/>
      <c r="C10" s="899" t="s">
        <v>348</v>
      </c>
      <c r="D10" s="900"/>
      <c r="E10" s="887"/>
      <c r="F10" s="899" t="s">
        <v>530</v>
      </c>
      <c r="G10" s="899" t="s">
        <v>530</v>
      </c>
      <c r="H10" s="899" t="s">
        <v>530</v>
      </c>
      <c r="I10" s="901" t="s">
        <v>530</v>
      </c>
      <c r="J10" s="886" t="s">
        <v>340</v>
      </c>
      <c r="K10" s="886"/>
      <c r="L10" s="886"/>
      <c r="M10" s="886"/>
      <c r="N10" s="886"/>
      <c r="O10" s="886"/>
      <c r="P10" s="886"/>
      <c r="Q10" s="886"/>
      <c r="R10" s="886"/>
      <c r="S10" s="886"/>
      <c r="T10" s="886"/>
      <c r="U10" s="886"/>
    </row>
    <row r="11" spans="1:21">
      <c r="B11" s="898"/>
      <c r="C11" s="902" t="s">
        <v>351</v>
      </c>
      <c r="D11" s="903"/>
      <c r="E11" s="887"/>
      <c r="F11" s="904">
        <v>96700</v>
      </c>
      <c r="G11" s="904">
        <v>140000</v>
      </c>
      <c r="H11" s="904">
        <v>150000</v>
      </c>
      <c r="I11" s="905">
        <v>50000</v>
      </c>
      <c r="J11" s="886" t="s">
        <v>340</v>
      </c>
      <c r="K11" s="886"/>
      <c r="L11" s="886"/>
      <c r="M11" s="886"/>
      <c r="N11" s="886"/>
      <c r="O11" s="886"/>
      <c r="P11" s="886"/>
      <c r="Q11" s="886"/>
      <c r="R11" s="886"/>
      <c r="S11" s="886"/>
      <c r="T11" s="886"/>
      <c r="U11" s="886"/>
    </row>
    <row r="12" spans="1:21">
      <c r="B12" s="898"/>
      <c r="C12" s="906" t="s">
        <v>521</v>
      </c>
      <c r="D12" s="907"/>
      <c r="E12" s="887"/>
      <c r="F12" s="908">
        <v>529</v>
      </c>
      <c r="G12" s="908">
        <v>450</v>
      </c>
      <c r="H12" s="908">
        <v>450</v>
      </c>
      <c r="I12" s="909">
        <v>300</v>
      </c>
      <c r="J12" s="886" t="s">
        <v>340</v>
      </c>
      <c r="K12" s="886"/>
      <c r="L12" s="886"/>
      <c r="M12" s="886"/>
      <c r="N12" s="886"/>
      <c r="O12" s="886"/>
      <c r="P12" s="886"/>
      <c r="Q12" s="886"/>
      <c r="R12" s="886"/>
      <c r="S12" s="886"/>
      <c r="T12" s="886"/>
      <c r="U12" s="886"/>
    </row>
    <row r="13" spans="1:21">
      <c r="B13" s="898"/>
      <c r="C13" s="906" t="s">
        <v>531</v>
      </c>
      <c r="D13" s="910"/>
      <c r="E13" s="887"/>
      <c r="F13" s="904">
        <f>F11/F12</f>
        <v>182.7977315689981</v>
      </c>
      <c r="G13" s="904">
        <f>G11/G12</f>
        <v>311.11111111111109</v>
      </c>
      <c r="H13" s="904">
        <f>H11/H12</f>
        <v>333.33333333333331</v>
      </c>
      <c r="I13" s="911">
        <f>I11/I12</f>
        <v>166.66666666666666</v>
      </c>
      <c r="J13" s="886"/>
      <c r="K13" s="886"/>
      <c r="L13" s="886"/>
      <c r="M13" s="886"/>
      <c r="N13" s="886"/>
      <c r="O13" s="886"/>
      <c r="P13" s="886"/>
      <c r="Q13" s="886"/>
      <c r="R13" s="886"/>
      <c r="S13" s="886"/>
      <c r="T13" s="886"/>
      <c r="U13" s="886"/>
    </row>
    <row r="14" spans="1:21">
      <c r="B14" s="898"/>
      <c r="C14" s="912" t="s">
        <v>532</v>
      </c>
      <c r="D14" s="913"/>
      <c r="E14" s="887"/>
      <c r="F14" s="914">
        <v>0.3</v>
      </c>
      <c r="G14" s="914">
        <v>0.3</v>
      </c>
      <c r="H14" s="914">
        <v>0.3</v>
      </c>
      <c r="I14" s="915">
        <v>0.4</v>
      </c>
      <c r="J14" s="886" t="s">
        <v>340</v>
      </c>
      <c r="K14" s="886"/>
      <c r="L14" s="886"/>
      <c r="M14" s="886"/>
      <c r="N14" s="886"/>
      <c r="O14" s="886"/>
      <c r="P14" s="886"/>
      <c r="Q14" s="886"/>
      <c r="R14" s="886"/>
      <c r="S14" s="886"/>
      <c r="T14" s="886"/>
      <c r="U14" s="886"/>
    </row>
    <row r="15" spans="1:21" ht="13.2" thickBot="1">
      <c r="B15" s="898"/>
      <c r="C15" s="1337" t="s">
        <v>533</v>
      </c>
      <c r="D15" s="1337"/>
      <c r="E15" s="1337"/>
      <c r="F15" s="1337"/>
      <c r="G15" s="1337"/>
      <c r="H15" s="1337"/>
      <c r="I15" s="1337"/>
      <c r="J15" s="916"/>
      <c r="K15" s="916"/>
      <c r="L15" s="916"/>
      <c r="M15" s="916"/>
      <c r="N15" s="916"/>
      <c r="O15" s="886"/>
      <c r="P15" s="886"/>
      <c r="Q15" s="886"/>
      <c r="R15" s="886"/>
      <c r="S15" s="886"/>
      <c r="T15" s="886"/>
      <c r="U15" s="886"/>
    </row>
    <row r="16" spans="1:21" ht="13.2" thickBot="1">
      <c r="B16" s="949" t="s">
        <v>356</v>
      </c>
      <c r="C16" s="950" t="s">
        <v>121</v>
      </c>
      <c r="D16" s="918" t="str">
        <f>SUBSTITUTE($C$16," ","")</f>
        <v>FamilyDefinition</v>
      </c>
      <c r="E16" s="887"/>
      <c r="F16" s="919" t="s">
        <v>199</v>
      </c>
      <c r="G16" s="920" t="s">
        <v>199</v>
      </c>
      <c r="H16" s="921" t="s">
        <v>199</v>
      </c>
      <c r="I16" s="922" t="s">
        <v>199</v>
      </c>
      <c r="J16" s="886"/>
      <c r="K16" s="886"/>
      <c r="L16" s="886"/>
      <c r="M16" s="886"/>
      <c r="N16" s="886"/>
      <c r="O16" s="886"/>
      <c r="P16" s="886"/>
      <c r="Q16" s="886"/>
      <c r="R16" s="886"/>
      <c r="S16" s="886"/>
      <c r="T16" s="886"/>
      <c r="U16" s="886"/>
    </row>
    <row r="17" spans="1:25" ht="4.2" customHeight="1" thickBot="1">
      <c r="A17" s="923"/>
      <c r="B17" s="923"/>
      <c r="C17" s="923"/>
      <c r="D17" s="923"/>
      <c r="E17" s="923"/>
      <c r="F17" s="887"/>
      <c r="G17" s="953"/>
      <c r="H17" s="953"/>
      <c r="I17" s="953"/>
      <c r="J17" s="886"/>
      <c r="K17" s="923"/>
      <c r="L17" s="886"/>
      <c r="M17" s="886"/>
      <c r="N17" s="886"/>
      <c r="O17" s="886"/>
      <c r="P17" s="886"/>
      <c r="Q17" s="886"/>
      <c r="R17" s="886"/>
      <c r="S17" s="886"/>
      <c r="T17" s="886"/>
      <c r="U17" s="886"/>
      <c r="V17" s="886"/>
      <c r="W17" s="886"/>
      <c r="X17" s="886"/>
      <c r="Y17" s="886"/>
    </row>
    <row r="18" spans="1:25">
      <c r="B18" s="1352" t="s">
        <v>534</v>
      </c>
      <c r="C18" s="946" t="s">
        <v>423</v>
      </c>
      <c r="D18" s="927" t="str">
        <f>SUBSTITUTE(C18," ","")</f>
        <v>AccidentalDeath</v>
      </c>
      <c r="E18" s="887"/>
      <c r="F18" s="928" t="str">
        <f>INDEX('GPA DB'!$A$3:$O$15,MATCH('GPA Features (Option 1)'!F$8,'GPA DB'!$A$3:$A$15,0),MATCH('GPA Features (Option 1)'!$C18,'GPA DB'!$A$3:$O$3,0))</f>
        <v>100% of SI</v>
      </c>
      <c r="G18" s="929" t="str">
        <f>INDEX('GPA DB'!$A$3:$O$17,MATCH('GPA Features (Option 1)'!G$8,'GPA DB'!$A$3:$A$17,0),MATCH('GPA Features (Option 1)'!$C18,'GPA DB'!$A$3:$O$3,0))</f>
        <v>100% of SI</v>
      </c>
      <c r="H18" s="930" t="str">
        <f>INDEX('GPA DB'!$A$3:$O$17,MATCH('GPA Features (Option 1)'!H$8,'GPA DB'!$A$3:$A$17,0),MATCH('GPA Features (Option 1)'!$C18,'GPA DB'!$A$3:$O$3,0))</f>
        <v>100% of SI</v>
      </c>
      <c r="I18" s="931" t="str">
        <f>INDEX('GPA DB'!$A$3:$O$15,MATCH('GPA Features (Option 1)'!I$8,'GPA DB'!$A$3:$A$15,0),MATCH('GPA Features (Option 1)'!$C18,'GPA DB'!$A$3:$O$3,0))</f>
        <v>100% of SI</v>
      </c>
      <c r="J18" s="886"/>
      <c r="K18" s="886"/>
      <c r="L18" s="886"/>
      <c r="M18" s="886"/>
      <c r="N18" s="886"/>
      <c r="O18" s="886"/>
      <c r="P18" s="886"/>
      <c r="Q18" s="886"/>
      <c r="R18" s="886"/>
      <c r="S18" s="886"/>
      <c r="T18" s="886"/>
      <c r="U18" s="886"/>
    </row>
    <row r="19" spans="1:25">
      <c r="B19" s="1354"/>
      <c r="C19" s="947" t="s">
        <v>425</v>
      </c>
      <c r="D19" s="927" t="str">
        <f>SUBSTITUTE(C19," ","")</f>
        <v>PermanentTotalDisablement</v>
      </c>
      <c r="E19" s="887"/>
      <c r="F19" s="932" t="str">
        <f>INDEX('GPA DB'!$A$3:$O$15,MATCH('GPA Features (Option 1)'!F$8,'GPA DB'!$A$3:$A$15,0),MATCH('GPA Features (Option 1)'!$C19,'GPA DB'!$A$3:$O$3,0))</f>
        <v>100% of SI</v>
      </c>
      <c r="G19" s="933" t="str">
        <f>INDEX('GPA DB'!$A$3:$O$17,MATCH('GPA Features (Option 1)'!G$8,'GPA DB'!$A$3:$A$17,0),MATCH('GPA Features (Option 1)'!$C19,'GPA DB'!$A$3:$O$3,0))</f>
        <v>100% of SI</v>
      </c>
      <c r="H19" s="934" t="str">
        <f>INDEX('GPA DB'!$A$3:$O$17,MATCH('GPA Features (Option 1)'!H$8,'GPA DB'!$A$3:$A$17,0),MATCH('GPA Features (Option 1)'!$C19,'GPA DB'!$A$3:$O$3,0))</f>
        <v>100% of SI</v>
      </c>
      <c r="I19" s="935" t="str">
        <f>INDEX('GPA DB'!$A$3:$O$15,MATCH('GPA Features (Option 1)'!I$8,'GPA DB'!$A$3:$A$15,0),MATCH('GPA Features (Option 1)'!$C19,'GPA DB'!$A$3:$O$3,0))</f>
        <v>100% of SI</v>
      </c>
      <c r="J19" s="886"/>
      <c r="K19" s="886"/>
      <c r="L19" s="886"/>
      <c r="M19" s="886"/>
      <c r="N19" s="886"/>
      <c r="O19" s="886"/>
      <c r="P19" s="886"/>
      <c r="Q19" s="886"/>
      <c r="R19" s="886"/>
      <c r="S19" s="886"/>
      <c r="T19" s="886"/>
      <c r="U19" s="886"/>
    </row>
    <row r="20" spans="1:25">
      <c r="B20" s="1354"/>
      <c r="C20" s="947" t="s">
        <v>428</v>
      </c>
      <c r="D20" s="927" t="str">
        <f>SUBSTITUTE(C20," ","")</f>
        <v>PermanentPartialDisablement</v>
      </c>
      <c r="E20" s="887"/>
      <c r="F20" s="932" t="str">
        <f>INDEX('GPA DB'!$A$3:$O$15,MATCH('GPA Features (Option 1)'!F$8,'GPA DB'!$A$3:$A$15,0),MATCH('GPA Features (Option 1)'!$C20,'GPA DB'!$A$3:$O$3,0))</f>
        <v>Up to 100% of SI based on extent of disability</v>
      </c>
      <c r="G20" s="933" t="str">
        <f>INDEX('GPA DB'!$A$3:$O$17,MATCH('GPA Features (Option 1)'!G$8,'GPA DB'!$A$3:$A$17,0),MATCH('GPA Features (Option 1)'!$C20,'GPA DB'!$A$3:$O$3,0))</f>
        <v>Up to 100% of SI based on extent of disability</v>
      </c>
      <c r="H20" s="934" t="str">
        <f>INDEX('GPA DB'!$A$3:$O$17,MATCH('GPA Features (Option 1)'!H$8,'GPA DB'!$A$3:$A$17,0),MATCH('GPA Features (Option 1)'!$C20,'GPA DB'!$A$3:$O$3,0))</f>
        <v>Up to 100% of SI based on extent of disability</v>
      </c>
      <c r="I20" s="935" t="str">
        <f>INDEX('GPA DB'!$A$3:$O$15,MATCH('GPA Features (Option 1)'!I$8,'GPA DB'!$A$3:$A$15,0),MATCH('GPA Features (Option 1)'!$C20,'GPA DB'!$A$3:$O$3,0))</f>
        <v>Up to 100% of SI based on extent of disability</v>
      </c>
      <c r="J20" s="886"/>
      <c r="K20" s="886"/>
      <c r="L20" s="886"/>
      <c r="M20" s="886"/>
      <c r="N20" s="886"/>
      <c r="O20" s="886"/>
      <c r="P20" s="886"/>
      <c r="Q20" s="886"/>
      <c r="R20" s="886"/>
      <c r="S20" s="886"/>
      <c r="T20" s="886"/>
      <c r="U20" s="886"/>
    </row>
    <row r="21" spans="1:25" ht="50.4">
      <c r="B21" s="1354"/>
      <c r="C21" s="947" t="s">
        <v>430</v>
      </c>
      <c r="D21" s="927" t="str">
        <f>SUBSTITUTE(C21," ","")</f>
        <v>TemporaryTotalDisablement
(ifpatientconfinedtobedduetotemporaryandtotalinabilitytoengageinanyoccupationoranyactivity)</v>
      </c>
      <c r="E21" s="887"/>
      <c r="F21" s="932" t="str">
        <f>INDEX('GPA DB'!$A$3:$O$15,MATCH('GPA Features (Option 1)'!F$8,'GPA DB'!$A$3:$A$15,0),MATCH('GPA Features (Option 1)'!$C21,'GPA DB'!$A$3:$O$3,0))</f>
        <v>1% of SI or Rs. 5000 or Actual salary per week upto 104 weeks whichever is lower</v>
      </c>
      <c r="G21" s="933" t="str">
        <f>INDEX('GPA DB'!$A$3:$O$17,MATCH('GPA Features (Option 1)'!G$8,'GPA DB'!$A$3:$A$17,0),MATCH('GPA Features (Option 1)'!$C21,'GPA DB'!$A$3:$O$3,0))</f>
        <v>1% of SI or Rs. 5000 or Actual salary per week upto 104 weeks whichever is lower</v>
      </c>
      <c r="H21" s="934" t="str">
        <f>INDEX('GPA DB'!$A$3:$O$17,MATCH('GPA Features (Option 1)'!H$8,'GPA DB'!$A$3:$A$17,0),MATCH('GPA Features (Option 1)'!$C21,'GPA DB'!$A$3:$O$3,0))</f>
        <v>1% of SI or Rs. 10,000 or Actual salary per week upto 104 weeks whichever is lower</v>
      </c>
      <c r="I21" s="935" t="str">
        <f>INDEX('GPA DB'!$A$3:$O$15,MATCH('GPA Features (Option 1)'!I$8,'GPA DB'!$A$3:$A$15,0),MATCH('GPA Features (Option 1)'!$C21,'GPA DB'!$A$3:$O$3,0))</f>
        <v>1% of SI or Rs. 5000 or Actual salary per week upto 104 weeks whichever is lower</v>
      </c>
      <c r="J21" s="886"/>
      <c r="K21" s="886"/>
      <c r="L21" s="886"/>
      <c r="M21" s="886"/>
      <c r="N21" s="886"/>
      <c r="O21" s="886"/>
      <c r="P21" s="886"/>
      <c r="Q21" s="886"/>
      <c r="R21" s="886"/>
      <c r="S21" s="886"/>
      <c r="T21" s="886"/>
      <c r="U21" s="886"/>
    </row>
    <row r="22" spans="1:25" ht="141.6" customHeight="1">
      <c r="B22" s="1354"/>
      <c r="C22" s="947" t="s">
        <v>437</v>
      </c>
      <c r="D22" s="927"/>
      <c r="E22" s="887"/>
      <c r="F22" s="875" t="str">
        <f>INDEX('GPA DB'!$A$3:$O$15,MATCH('GPA Features (Option 1)'!F$8,'GPA DB'!$A$3:$A$15,0),MATCH('GPA Features (Option 1)'!$C22,'GPA DB'!$A$3:$O$3,0))</f>
        <v>10% of the CSI or 40% of the Admissible Claim or Actuals whichever is less 
(only if accidental death or disability - PTD/ PPD)</v>
      </c>
      <c r="G22" s="876" t="str">
        <f>INDEX('GPA DB'!$A$3:$O$17,MATCH('GPA Features (Option 1)'!G$8,'GPA DB'!$A$3:$A$17,0),MATCH('GPA Features (Option 1)'!$C22,'GPA DB'!$A$3:$O$3,0))</f>
        <v>Fixed INR 1,00,000 or Actuals whichever is lower.</v>
      </c>
      <c r="H22" s="877" t="str">
        <f>INDEX('GPA DB'!$A$3:$O$17,MATCH('GPA Features (Option 1)'!H$8,'GPA DB'!$A$3:$A$17,0),MATCH('GPA Features (Option 1)'!$C22,'GPA DB'!$A$3:$O$3,0))</f>
        <v>Fixed INR 1,00,000 or Actuals whichever is lower.</v>
      </c>
      <c r="I22" s="935" t="str">
        <f>INDEX('GPA DB'!$A$3:$O$15,MATCH('GPA Features (Option 1)'!I$8,'GPA DB'!$A$3:$A$15,0),MATCH('GPA Features (Option 1)'!$C22,'GPA DB'!$A$3:$O$3,0))</f>
        <v>Reimb of 10% of SI or 40% of admissible PA claim or actual expense, whichever is lower if accidental death or disability</v>
      </c>
      <c r="J22" s="886"/>
      <c r="K22" s="886"/>
      <c r="L22" s="886"/>
      <c r="M22" s="886"/>
      <c r="N22" s="886"/>
      <c r="O22" s="886"/>
      <c r="P22" s="886"/>
      <c r="Q22" s="886"/>
      <c r="R22" s="886"/>
      <c r="S22" s="886"/>
      <c r="T22" s="886"/>
      <c r="U22" s="886"/>
    </row>
    <row r="23" spans="1:25" ht="13.2" thickBot="1">
      <c r="B23" s="1353"/>
      <c r="C23" s="948" t="s">
        <v>444</v>
      </c>
      <c r="D23" s="927"/>
      <c r="E23" s="887"/>
      <c r="F23" s="878" t="str">
        <f>INDEX('GPA DB'!$A$3:$O$15,MATCH('GPA Features (Option 1)'!F$8,'GPA DB'!$A$3:$A$15,0),MATCH('GPA Features (Option 1)'!$C23,'GPA DB'!$A$3:$O$3,0))</f>
        <v>NA</v>
      </c>
      <c r="G23" s="879" t="str">
        <f>INDEX('GPA DB'!$A$3:$O$17,MATCH('GPA Features (Option 1)'!G$8,'GPA DB'!$A$3:$A$17,0),MATCH('GPA Features (Option 1)'!$C23,'GPA DB'!$A$3:$O$3,0))</f>
        <v>NA</v>
      </c>
      <c r="H23" s="880" t="str">
        <f>INDEX('GPA DB'!$A$3:$O$17,MATCH('GPA Features (Option 1)'!H$8,'GPA DB'!$A$3:$A$17,0),MATCH('GPA Features (Option 1)'!$C23,'GPA DB'!$A$3:$O$3,0))</f>
        <v>NA</v>
      </c>
      <c r="I23" s="939" t="str">
        <f>INDEX('GPA DB'!$A$3:$O$15,MATCH('GPA Features (Option 1)'!I$8,'GPA DB'!$A$3:$A$15,0),MATCH('GPA Features (Option 1)'!$C23,'GPA DB'!$A$3:$O$3,0))</f>
        <v>NA</v>
      </c>
      <c r="J23" s="886"/>
      <c r="K23" s="886"/>
      <c r="L23" s="886"/>
      <c r="M23" s="886"/>
      <c r="N23" s="886"/>
      <c r="O23" s="886"/>
      <c r="P23" s="886"/>
      <c r="Q23" s="886"/>
      <c r="R23" s="886"/>
      <c r="S23" s="886"/>
      <c r="T23" s="886"/>
      <c r="U23" s="886"/>
    </row>
    <row r="24" spans="1:25" ht="4.2" customHeight="1" thickBot="1">
      <c r="A24" s="923"/>
      <c r="B24" s="923"/>
      <c r="C24" s="923"/>
      <c r="D24" s="923"/>
      <c r="E24" s="923"/>
      <c r="F24" s="887"/>
      <c r="G24" s="953"/>
      <c r="H24" s="953"/>
      <c r="I24" s="953"/>
      <c r="J24" s="886"/>
      <c r="K24" s="923"/>
      <c r="L24" s="886"/>
      <c r="M24" s="886"/>
      <c r="N24" s="886"/>
      <c r="O24" s="886"/>
      <c r="P24" s="886"/>
      <c r="Q24" s="886"/>
      <c r="R24" s="886"/>
      <c r="S24" s="886"/>
      <c r="T24" s="886"/>
      <c r="U24" s="886"/>
      <c r="V24" s="886"/>
      <c r="W24" s="886"/>
      <c r="X24" s="886"/>
      <c r="Y24" s="886"/>
    </row>
    <row r="25" spans="1:25" ht="108.6" customHeight="1">
      <c r="B25" s="1352" t="s">
        <v>382</v>
      </c>
      <c r="C25" s="946" t="s">
        <v>449</v>
      </c>
      <c r="D25" s="927"/>
      <c r="E25" s="887"/>
      <c r="F25" s="872" t="str">
        <f>INDEX('GPA DB'!$A$3:$O$15,MATCH('GPA Features (Option 1)'!F$8,'GPA DB'!$A$3:$A$15,0),MATCH('GPA Features (Option 1)'!$C25,'GPA DB'!$A$3:$O$3,0))</f>
        <v>• Children Education Benefit-  10% of SI upto Rs. 5000 per child (max 2 children upto 25 years of age)
• Compassionate Visit - 10% SI upto Rs. 25,000
• Funeral Expenses - 2.5% of SI upto Rs. 2500
• Transportation of Dead Body - 2.5% of SI upto Rs.2500</v>
      </c>
      <c r="G25" s="873" t="str">
        <f>INDEX('GPA DB'!$A$3:$O$17,MATCH('GPA Features (Option 1)'!G$8,'GPA DB'!$A$3:$A$17,0),MATCH('GPA Features (Option 1)'!$C25,'GPA DB'!$A$3:$O$3,0))</f>
        <v>• Children Education Benefit-  10% of SI upto Rs. 5000 per child (max 2 children upto 25 years of age)
• Compassionate Visit - 10% SI upto Rs. 25,000
• Funeral Expenses - 2.5% of SI upto Rs. 5000
• Transportation of Dead Body - 2.5% of SI upto Rs.5000
• Lifestyle modification - 10% SI upto Rs. 10,000</v>
      </c>
      <c r="H25" s="874" t="str">
        <f>INDEX('GPA DB'!$A$3:$O$17,MATCH('GPA Features (Option 1)'!H$8,'GPA DB'!$A$3:$A$17,0),MATCH('GPA Features (Option 1)'!$C25,'GPA DB'!$A$3:$O$3,0))</f>
        <v>• Children Education Benefit-  Upto Rs. 10,000 per child (max 2 children upto 25 years of age)
• Compassionate Visit - 10% SI upto Rs. 25,000
• Funeral Expenses - 5% of SI upto Rs. 10,000
• Transportation of Dead Body - 5% of SI upto Rs.10,000
• Lifestyle modification - 10% SI upto Rs. 25,000</v>
      </c>
      <c r="I25" s="931" t="str">
        <f>INDEX('GPA DB'!$A$3:$O$15,MATCH('GPA Features (Option 1)'!I$8,'GPA DB'!$A$3:$A$15,0),MATCH('GPA Features (Option 1)'!$C25,'GPA DB'!$A$3:$O$3,0))</f>
        <v>• Child Education Benefit
• Funeral Expenses
• Transportation Cost of Dead Body
• Ambulance Charges
• Burns Cover</v>
      </c>
      <c r="J25" s="886"/>
      <c r="K25" s="886"/>
      <c r="L25" s="886"/>
      <c r="M25" s="886"/>
      <c r="N25" s="886"/>
      <c r="O25" s="886"/>
      <c r="P25" s="886"/>
      <c r="Q25" s="886"/>
      <c r="R25" s="886"/>
      <c r="S25" s="886"/>
      <c r="T25" s="886"/>
      <c r="U25" s="886"/>
    </row>
    <row r="26" spans="1:25" ht="38.4" thickBot="1">
      <c r="B26" s="1353"/>
      <c r="C26" s="948" t="s">
        <v>456</v>
      </c>
      <c r="D26" s="927"/>
      <c r="E26" s="887"/>
      <c r="F26" s="936" t="str">
        <f>INDEX('GPA DB'!$A$3:$O$15,MATCH('GPA Features (Option 1)'!F$8,'GPA DB'!$A$3:$A$15,0),MATCH('GPA Features (Option 1)'!$C26,'GPA DB'!$A$3:$O$3,0))</f>
        <v>Covered</v>
      </c>
      <c r="G26" s="937" t="str">
        <f>INDEX('GPA DB'!$A$3:$O$17,MATCH('GPA Features (Option 1)'!G$8,'GPA DB'!$A$3:$A$17,0),MATCH('GPA Features (Option 1)'!$C26,'GPA DB'!$A$3:$O$3,0))</f>
        <v>Covered</v>
      </c>
      <c r="H26" s="938" t="str">
        <f>INDEX('GPA DB'!$A$3:$O$17,MATCH('GPA Features (Option 1)'!H$8,'GPA DB'!$A$3:$A$17,0),MATCH('GPA Features (Option 1)'!$C26,'GPA DB'!$A$3:$O$3,0))</f>
        <v>Covered</v>
      </c>
      <c r="I26" s="939" t="str">
        <f>INDEX('GPA DB'!$A$3:$O$15,MATCH('GPA Features (Option 1)'!I$8,'GPA DB'!$A$3:$A$15,0),MATCH('GPA Features (Option 1)'!$C26,'GPA DB'!$A$3:$O$3,0))</f>
        <v xml:space="preserve"> Covered
(except not covered arising out Nuclear/Biological or chemical means)</v>
      </c>
      <c r="J26" s="886"/>
      <c r="K26" s="886"/>
      <c r="L26" s="886"/>
      <c r="M26" s="886"/>
      <c r="N26" s="886"/>
      <c r="O26" s="886"/>
      <c r="P26" s="886"/>
      <c r="Q26" s="886"/>
      <c r="R26" s="886"/>
      <c r="S26" s="886"/>
      <c r="T26" s="886"/>
      <c r="U26" s="886"/>
    </row>
    <row r="27" spans="1:25" ht="4.2" customHeight="1" thickBot="1">
      <c r="A27" s="923"/>
      <c r="B27" s="923"/>
      <c r="C27" s="923"/>
      <c r="D27" s="923"/>
      <c r="E27" s="923"/>
      <c r="F27" s="887"/>
      <c r="G27" s="924"/>
      <c r="H27" s="925"/>
      <c r="I27" s="926"/>
      <c r="J27" s="886"/>
      <c r="K27" s="923"/>
      <c r="L27" s="886"/>
      <c r="M27" s="886"/>
      <c r="N27" s="886"/>
      <c r="O27" s="886"/>
      <c r="P27" s="886"/>
      <c r="Q27" s="886"/>
      <c r="R27" s="886"/>
      <c r="S27" s="886"/>
      <c r="T27" s="886"/>
      <c r="U27" s="886"/>
      <c r="V27" s="886"/>
      <c r="W27" s="886"/>
      <c r="X27" s="886"/>
      <c r="Y27" s="886"/>
    </row>
    <row r="28" spans="1:25">
      <c r="B28" s="1352" t="s">
        <v>535</v>
      </c>
      <c r="C28" s="946" t="s">
        <v>459</v>
      </c>
      <c r="D28" s="927"/>
      <c r="E28" s="887"/>
      <c r="F28" s="928" t="str">
        <f>INDEX('GPA DB'!$A$3:$O$15,MATCH('GPA Features (Option 1)'!F$8,'GPA DB'!$A$3:$A$15,0),MATCH('GPA Features (Option 1)'!$C28,'GPA DB'!$A$3:$O$3,0))</f>
        <v>Worldwide</v>
      </c>
      <c r="G28" s="929" t="str">
        <f>INDEX('GPA DB'!$A$3:$O$17,MATCH('GPA Features (Option 1)'!G$8,'GPA DB'!$A$3:$A$17,0),MATCH('GPA Features (Option 1)'!$C28,'GPA DB'!$A$3:$O$3,0))</f>
        <v>Worldwide</v>
      </c>
      <c r="H28" s="930" t="str">
        <f>INDEX('GPA DB'!$A$3:$O$17,MATCH('GPA Features (Option 1)'!H$8,'GPA DB'!$A$3:$A$17,0),MATCH('GPA Features (Option 1)'!$C28,'GPA DB'!$A$3:$O$3,0))</f>
        <v>Worldwide</v>
      </c>
      <c r="I28" s="931" t="str">
        <f>INDEX('GPA DB'!$A$3:$O$15,MATCH('GPA Features (Option 1)'!I$8,'GPA DB'!$A$3:$A$15,0),MATCH('GPA Features (Option 1)'!$C28,'GPA DB'!$A$3:$O$3,0))</f>
        <v>Worldwide</v>
      </c>
      <c r="J28" s="886"/>
      <c r="K28" s="886"/>
      <c r="L28" s="886"/>
      <c r="M28" s="886"/>
      <c r="N28" s="886"/>
      <c r="O28" s="886"/>
      <c r="P28" s="886"/>
      <c r="Q28" s="886"/>
      <c r="R28" s="886"/>
      <c r="S28" s="886"/>
      <c r="T28" s="886"/>
      <c r="U28" s="886"/>
    </row>
    <row r="29" spans="1:25" ht="13.2" thickBot="1">
      <c r="B29" s="1353"/>
      <c r="C29" s="948" t="s">
        <v>536</v>
      </c>
      <c r="D29" s="927"/>
      <c r="E29" s="887"/>
      <c r="F29" s="936" t="str">
        <f>INDEX('GPA DB'!$A$3:$O$15,MATCH('GPA Features (Option 1)'!F$8,'GPA DB'!$A$3:$A$15,0),MATCH('GPA Features (Option 1)'!$C29,'GPA DB'!$A$3:$O$3,0))</f>
        <v>24 x 7 Cover</v>
      </c>
      <c r="G29" s="937" t="str">
        <f>INDEX('GPA DB'!$A$3:$O$17,MATCH('GPA Features (Option 1)'!G$8,'GPA DB'!$A$3:$A$17,0),MATCH('GPA Features (Option 1)'!$C29,'GPA DB'!$A$3:$O$3,0))</f>
        <v>24 x 7 Cover</v>
      </c>
      <c r="H29" s="938" t="str">
        <f>INDEX('GPA DB'!$A$3:$O$17,MATCH('GPA Features (Option 1)'!H$8,'GPA DB'!$A$3:$A$17,0),MATCH('GPA Features (Option 1)'!$C29,'GPA DB'!$A$3:$O$3,0))</f>
        <v>24 x 7 Cover</v>
      </c>
      <c r="I29" s="939" t="str">
        <f>INDEX('GPA DB'!$A$3:$O$15,MATCH('GPA Features (Option 1)'!I$8,'GPA DB'!$A$3:$A$15,0),MATCH('GPA Features (Option 1)'!$C29,'GPA DB'!$A$3:$O$3,0))</f>
        <v>24 x 7 Cover</v>
      </c>
      <c r="J29" s="886"/>
      <c r="K29" s="886"/>
      <c r="L29" s="886"/>
      <c r="M29" s="886"/>
      <c r="N29" s="886"/>
      <c r="O29" s="886"/>
      <c r="P29" s="886"/>
      <c r="Q29" s="886"/>
      <c r="R29" s="886"/>
      <c r="S29" s="886"/>
      <c r="T29" s="886"/>
      <c r="U29" s="886"/>
    </row>
    <row r="30" spans="1:25" ht="4.2" customHeight="1" thickBot="1">
      <c r="A30" s="923"/>
      <c r="B30" s="923"/>
      <c r="C30" s="923"/>
      <c r="D30" s="923"/>
      <c r="E30" s="923"/>
      <c r="F30" s="887"/>
      <c r="G30" s="953"/>
      <c r="H30" s="953"/>
      <c r="I30" s="953"/>
      <c r="J30" s="886"/>
      <c r="K30" s="923"/>
      <c r="L30" s="886"/>
      <c r="M30" s="886"/>
      <c r="N30" s="886"/>
      <c r="O30" s="886"/>
      <c r="P30" s="886"/>
      <c r="Q30" s="886"/>
      <c r="R30" s="886"/>
      <c r="S30" s="886"/>
      <c r="T30" s="886"/>
      <c r="U30" s="886"/>
      <c r="V30" s="886"/>
      <c r="W30" s="886"/>
      <c r="X30" s="886"/>
      <c r="Y30" s="886"/>
    </row>
    <row r="31" spans="1:25">
      <c r="B31" s="1352" t="s">
        <v>384</v>
      </c>
      <c r="C31" s="946" t="s">
        <v>385</v>
      </c>
      <c r="D31" s="940" t="s">
        <v>385</v>
      </c>
      <c r="E31" s="887"/>
      <c r="F31" s="928" t="str">
        <f>INDEX('GPA DB'!$A$3:$O$15,MATCH('GPA Features (Option 1)'!F$8,'GPA DB'!$A$3:$A$15,0),MATCH('GPA Features (Option 1)'!$C31,'GPA DB'!$A$3:$O$3,0))</f>
        <v xml:space="preserve">On pro-rata basis </v>
      </c>
      <c r="G31" s="929" t="str">
        <f>INDEX('GPA DB'!$A$3:$O$17,MATCH('GPA Features (Option 1)'!G$8,'GPA DB'!$A$3:$A$17,0),MATCH('GPA Features (Option 1)'!$C31,'GPA DB'!$A$3:$O$3,0))</f>
        <v xml:space="preserve">On pro-rata basis </v>
      </c>
      <c r="H31" s="930" t="str">
        <f>INDEX('GPA DB'!$A$3:$O$17,MATCH('GPA Features (Option 1)'!H$8,'GPA DB'!$A$3:$A$17,0),MATCH('GPA Features (Option 1)'!$C31,'GPA DB'!$A$3:$O$3,0))</f>
        <v xml:space="preserve">On pro-rata basis </v>
      </c>
      <c r="I31" s="931" t="str">
        <f>INDEX('GPA DB'!$A$3:$O$15,MATCH('GPA Features (Option 1)'!I$8,'GPA DB'!$A$3:$A$15,0),MATCH('GPA Features (Option 1)'!$C31,'GPA DB'!$A$3:$O$3,0))</f>
        <v xml:space="preserve">On pro-rata basis </v>
      </c>
      <c r="J31" s="886"/>
      <c r="K31" s="886"/>
      <c r="L31" s="886"/>
      <c r="M31" s="886"/>
      <c r="N31" s="886"/>
      <c r="O31" s="886"/>
      <c r="P31" s="886"/>
      <c r="Q31" s="886"/>
      <c r="R31" s="886"/>
      <c r="S31" s="886"/>
      <c r="T31" s="886"/>
      <c r="U31" s="886"/>
    </row>
    <row r="32" spans="1:25" ht="25.8" thickBot="1">
      <c r="B32" s="1353"/>
      <c r="C32" s="948" t="s">
        <v>315</v>
      </c>
      <c r="D32" s="927"/>
      <c r="E32" s="887"/>
      <c r="F32" s="936" t="str">
        <f>INDEX('GPA DB'!$A$3:$O$15,MATCH('GPA Features (Option 1)'!F$8,'GPA DB'!$A$3:$A$15,0),MATCH('GPA Features (Option 1)'!$C32,'GPA DB'!$A$3:$O$3,0))</f>
        <v>Covered
(In Case of Graded SI)</v>
      </c>
      <c r="G32" s="937" t="str">
        <f>INDEX('GPA DB'!$A$3:$O$17,MATCH('GPA Features (Option 1)'!G$8,'GPA DB'!$A$3:$A$17,0),MATCH('GPA Features (Option 1)'!$C32,'GPA DB'!$A$3:$O$3,0))</f>
        <v>Covered
(In Case of Graded SI)</v>
      </c>
      <c r="H32" s="938" t="str">
        <f>INDEX('GPA DB'!$A$3:$O$17,MATCH('GPA Features (Option 1)'!H$8,'GPA DB'!$A$3:$A$17,0),MATCH('GPA Features (Option 1)'!$C32,'GPA DB'!$A$3:$O$3,0))</f>
        <v>Covered
(In Case of Graded SI)</v>
      </c>
      <c r="I32" s="939" t="str">
        <f>INDEX('GPA DB'!$A$3:$O$15,MATCH('GPA Features (Option 1)'!I$8,'GPA DB'!$A$3:$A$15,0),MATCH('GPA Features (Option 1)'!$C32,'GPA DB'!$A$3:$O$3,0))</f>
        <v>Covered
(In Case of Graded SI)</v>
      </c>
      <c r="J32" s="886"/>
      <c r="K32" s="886"/>
      <c r="L32" s="886"/>
      <c r="M32" s="886"/>
      <c r="N32" s="886"/>
      <c r="O32" s="886"/>
      <c r="P32" s="886"/>
      <c r="Q32" s="886"/>
      <c r="R32" s="886"/>
      <c r="S32" s="886"/>
      <c r="T32" s="886"/>
      <c r="U32" s="886"/>
    </row>
    <row r="33" spans="2:21">
      <c r="D33" s="941"/>
      <c r="E33" s="887"/>
      <c r="F33" s="886"/>
      <c r="G33" s="886"/>
      <c r="H33" s="886"/>
      <c r="I33" s="886"/>
      <c r="J33" s="886"/>
      <c r="K33" s="886"/>
      <c r="L33" s="886"/>
      <c r="M33" s="886"/>
      <c r="N33" s="886"/>
      <c r="O33" s="886"/>
      <c r="P33" s="886"/>
      <c r="Q33" s="886"/>
      <c r="R33" s="886"/>
      <c r="S33" s="886"/>
      <c r="T33" s="886"/>
      <c r="U33" s="886"/>
    </row>
    <row r="34" spans="2:21">
      <c r="B34" s="941" t="s">
        <v>336</v>
      </c>
      <c r="C34" s="942"/>
      <c r="D34" s="942"/>
      <c r="E34" s="887"/>
      <c r="F34" s="886"/>
      <c r="G34" s="886"/>
      <c r="H34" s="886"/>
      <c r="I34" s="886"/>
      <c r="J34" s="886"/>
      <c r="K34" s="886"/>
      <c r="L34" s="886"/>
      <c r="M34" s="886"/>
      <c r="N34" s="886"/>
      <c r="O34" s="886"/>
      <c r="P34" s="886"/>
      <c r="Q34" s="886"/>
      <c r="R34" s="886"/>
      <c r="S34" s="886"/>
      <c r="T34" s="886"/>
      <c r="U34" s="886"/>
    </row>
    <row r="35" spans="2:21">
      <c r="C35" s="942"/>
      <c r="D35" s="942"/>
      <c r="E35" s="887"/>
      <c r="F35" s="886"/>
      <c r="G35" s="886"/>
      <c r="H35" s="886"/>
      <c r="I35" s="886"/>
      <c r="J35" s="886"/>
      <c r="K35" s="886"/>
      <c r="L35" s="886"/>
      <c r="M35" s="886"/>
      <c r="N35" s="886"/>
      <c r="O35" s="886"/>
      <c r="P35" s="886"/>
      <c r="Q35" s="886"/>
      <c r="R35" s="886"/>
      <c r="S35" s="886"/>
      <c r="T35" s="886"/>
      <c r="U35" s="886"/>
    </row>
    <row r="36" spans="2:21">
      <c r="C36" s="942"/>
      <c r="D36" s="942"/>
      <c r="E36" s="887"/>
      <c r="F36" s="886"/>
      <c r="G36" s="886"/>
      <c r="H36" s="886"/>
      <c r="I36" s="886"/>
      <c r="J36" s="886"/>
      <c r="K36" s="886"/>
      <c r="L36" s="886"/>
      <c r="M36" s="886"/>
      <c r="N36" s="886"/>
      <c r="O36" s="886"/>
      <c r="P36" s="886"/>
      <c r="Q36" s="886"/>
      <c r="R36" s="886"/>
      <c r="S36" s="886"/>
      <c r="T36" s="886"/>
      <c r="U36" s="886"/>
    </row>
    <row r="37" spans="2:21">
      <c r="C37" s="942"/>
      <c r="D37" s="942"/>
      <c r="E37" s="887"/>
      <c r="F37" s="886"/>
      <c r="G37" s="886"/>
      <c r="H37" s="886"/>
      <c r="I37" s="886"/>
      <c r="J37" s="886"/>
      <c r="K37" s="886"/>
      <c r="L37" s="886"/>
      <c r="M37" s="886"/>
      <c r="N37" s="886"/>
      <c r="O37" s="886"/>
      <c r="P37" s="886"/>
      <c r="Q37" s="886"/>
      <c r="R37" s="886"/>
      <c r="S37" s="886"/>
      <c r="T37" s="886"/>
      <c r="U37" s="886"/>
    </row>
    <row r="38" spans="2:21">
      <c r="C38" s="942"/>
      <c r="D38" s="942"/>
      <c r="E38" s="887"/>
      <c r="F38" s="886"/>
      <c r="G38" s="886"/>
      <c r="H38" s="886"/>
      <c r="I38" s="886"/>
      <c r="J38" s="886"/>
      <c r="K38" s="886"/>
      <c r="L38" s="886"/>
      <c r="M38" s="886"/>
      <c r="N38" s="886"/>
      <c r="O38" s="886"/>
      <c r="P38" s="886"/>
      <c r="Q38" s="886"/>
      <c r="R38" s="886"/>
      <c r="S38" s="886"/>
      <c r="T38" s="886"/>
      <c r="U38" s="886"/>
    </row>
    <row r="39" spans="2:21">
      <c r="C39" s="942"/>
      <c r="D39" s="942"/>
      <c r="E39" s="887"/>
      <c r="F39" s="886"/>
      <c r="G39" s="886"/>
      <c r="H39" s="886"/>
      <c r="I39" s="886"/>
      <c r="J39" s="886"/>
      <c r="K39" s="886"/>
      <c r="L39" s="886"/>
      <c r="M39" s="886"/>
      <c r="N39" s="886"/>
      <c r="O39" s="886"/>
      <c r="P39" s="886"/>
      <c r="Q39" s="886"/>
      <c r="R39" s="886"/>
      <c r="S39" s="886"/>
      <c r="T39" s="886"/>
      <c r="U39" s="886"/>
    </row>
    <row r="40" spans="2:21">
      <c r="C40" s="942"/>
      <c r="D40" s="942"/>
      <c r="E40" s="887"/>
      <c r="F40" s="886"/>
      <c r="G40" s="886"/>
      <c r="H40" s="886"/>
      <c r="I40" s="886"/>
      <c r="J40" s="886"/>
      <c r="K40" s="886"/>
      <c r="L40" s="886"/>
      <c r="M40" s="886"/>
      <c r="N40" s="886"/>
      <c r="O40" s="886"/>
      <c r="P40" s="886"/>
      <c r="Q40" s="886"/>
      <c r="R40" s="886"/>
      <c r="S40" s="886"/>
      <c r="T40" s="886"/>
      <c r="U40" s="886"/>
    </row>
    <row r="41" spans="2:21">
      <c r="C41" s="942"/>
      <c r="D41" s="942"/>
      <c r="E41" s="887"/>
      <c r="F41" s="886"/>
      <c r="G41" s="886"/>
      <c r="H41" s="886"/>
      <c r="I41" s="886"/>
      <c r="J41" s="886"/>
      <c r="K41" s="886"/>
      <c r="L41" s="886"/>
      <c r="M41" s="886"/>
      <c r="N41" s="886"/>
      <c r="O41" s="886"/>
      <c r="P41" s="886"/>
      <c r="Q41" s="886"/>
      <c r="R41" s="886"/>
      <c r="S41" s="886"/>
      <c r="T41" s="886"/>
      <c r="U41" s="886"/>
    </row>
    <row r="42" spans="2:21">
      <c r="C42" s="942"/>
      <c r="D42" s="942"/>
      <c r="E42" s="887"/>
      <c r="F42" s="886"/>
      <c r="G42" s="886"/>
      <c r="H42" s="886"/>
      <c r="I42" s="886"/>
      <c r="J42" s="886"/>
      <c r="K42" s="886"/>
      <c r="L42" s="886"/>
      <c r="M42" s="886"/>
      <c r="N42" s="886"/>
      <c r="O42" s="886"/>
      <c r="P42" s="886"/>
      <c r="Q42" s="886"/>
      <c r="R42" s="886"/>
      <c r="S42" s="886"/>
      <c r="T42" s="886"/>
      <c r="U42" s="886"/>
    </row>
    <row r="43" spans="2:21">
      <c r="C43" s="942"/>
      <c r="D43" s="942"/>
      <c r="E43" s="887"/>
      <c r="F43" s="886"/>
      <c r="G43" s="886"/>
      <c r="H43" s="886"/>
      <c r="I43" s="886"/>
      <c r="J43" s="886"/>
      <c r="K43" s="886"/>
      <c r="L43" s="886"/>
      <c r="M43" s="886"/>
      <c r="N43" s="886"/>
      <c r="O43" s="886"/>
      <c r="P43" s="886"/>
      <c r="Q43" s="886"/>
      <c r="R43" s="886"/>
      <c r="S43" s="886"/>
      <c r="T43" s="886"/>
      <c r="U43" s="886"/>
    </row>
    <row r="44" spans="2:21">
      <c r="C44" s="942"/>
      <c r="D44" s="942"/>
      <c r="E44" s="887"/>
      <c r="F44" s="886"/>
      <c r="G44" s="886"/>
      <c r="H44" s="886"/>
      <c r="I44" s="886"/>
      <c r="J44" s="886"/>
      <c r="K44" s="886"/>
      <c r="L44" s="886"/>
      <c r="M44" s="886"/>
      <c r="N44" s="886"/>
      <c r="O44" s="886"/>
      <c r="P44" s="886"/>
      <c r="Q44" s="886"/>
      <c r="R44" s="886"/>
      <c r="S44" s="886"/>
      <c r="T44" s="886"/>
      <c r="U44" s="886"/>
    </row>
    <row r="45" spans="2:21">
      <c r="C45" s="942"/>
      <c r="D45" s="942"/>
      <c r="E45" s="887"/>
      <c r="F45" s="886"/>
      <c r="G45" s="886"/>
      <c r="H45" s="886"/>
      <c r="I45" s="886"/>
      <c r="J45" s="886"/>
      <c r="K45" s="886"/>
      <c r="L45" s="886"/>
      <c r="M45" s="886"/>
      <c r="N45" s="886"/>
      <c r="O45" s="886"/>
      <c r="P45" s="886"/>
      <c r="Q45" s="886"/>
      <c r="R45" s="886"/>
      <c r="S45" s="886"/>
      <c r="T45" s="886"/>
      <c r="U45" s="886"/>
    </row>
    <row r="46" spans="2:21">
      <c r="C46" s="942"/>
      <c r="D46" s="942"/>
      <c r="E46" s="887"/>
      <c r="F46" s="886"/>
      <c r="G46" s="886"/>
      <c r="H46" s="886"/>
      <c r="I46" s="886"/>
      <c r="J46" s="886"/>
      <c r="K46" s="886"/>
      <c r="L46" s="886"/>
      <c r="M46" s="886"/>
      <c r="N46" s="886"/>
      <c r="O46" s="886"/>
      <c r="P46" s="886"/>
      <c r="Q46" s="886"/>
      <c r="R46" s="886"/>
      <c r="S46" s="886"/>
      <c r="T46" s="886"/>
      <c r="U46" s="886"/>
    </row>
    <row r="47" spans="2:21">
      <c r="C47" s="942"/>
      <c r="D47" s="942"/>
      <c r="E47" s="887"/>
      <c r="F47" s="886"/>
      <c r="G47" s="886"/>
      <c r="H47" s="886"/>
      <c r="I47" s="886"/>
      <c r="J47" s="886"/>
      <c r="K47" s="886"/>
      <c r="L47" s="886"/>
      <c r="M47" s="886"/>
      <c r="N47" s="886"/>
      <c r="O47" s="886"/>
      <c r="P47" s="886"/>
      <c r="Q47" s="886"/>
      <c r="R47" s="886"/>
      <c r="S47" s="886"/>
      <c r="T47" s="886"/>
      <c r="U47" s="886"/>
    </row>
    <row r="48" spans="2:21">
      <c r="C48" s="942"/>
      <c r="D48" s="942"/>
      <c r="E48" s="887"/>
      <c r="F48" s="886"/>
      <c r="G48" s="886"/>
      <c r="H48" s="886"/>
      <c r="I48" s="886"/>
      <c r="J48" s="886"/>
      <c r="K48" s="886"/>
      <c r="L48" s="886"/>
      <c r="M48" s="886"/>
      <c r="N48" s="886"/>
      <c r="O48" s="886"/>
      <c r="P48" s="886"/>
      <c r="Q48" s="886"/>
      <c r="R48" s="886"/>
      <c r="S48" s="886"/>
      <c r="T48" s="886"/>
      <c r="U48" s="886"/>
    </row>
    <row r="49" spans="3:21">
      <c r="C49" s="942"/>
      <c r="D49" s="942"/>
      <c r="E49" s="887"/>
      <c r="F49" s="886"/>
      <c r="G49" s="886"/>
      <c r="H49" s="886"/>
      <c r="I49" s="886"/>
      <c r="J49" s="886"/>
      <c r="K49" s="886"/>
      <c r="L49" s="886"/>
      <c r="M49" s="886"/>
      <c r="N49" s="886"/>
      <c r="O49" s="886"/>
      <c r="P49" s="886"/>
      <c r="Q49" s="886"/>
      <c r="R49" s="886"/>
      <c r="S49" s="886"/>
      <c r="T49" s="886"/>
      <c r="U49" s="886"/>
    </row>
    <row r="50" spans="3:21">
      <c r="C50" s="942"/>
      <c r="D50" s="942"/>
      <c r="E50" s="887"/>
      <c r="F50" s="886"/>
      <c r="G50" s="886"/>
      <c r="H50" s="886"/>
      <c r="I50" s="886"/>
      <c r="J50" s="886"/>
      <c r="K50" s="886"/>
      <c r="L50" s="886"/>
      <c r="M50" s="886"/>
      <c r="N50" s="886"/>
      <c r="O50" s="886"/>
      <c r="P50" s="886"/>
      <c r="Q50" s="886"/>
      <c r="R50" s="886"/>
      <c r="S50" s="886"/>
      <c r="T50" s="886"/>
      <c r="U50" s="886"/>
    </row>
    <row r="51" spans="3:21">
      <c r="C51" s="942"/>
      <c r="D51" s="942"/>
      <c r="E51" s="887"/>
      <c r="F51" s="886"/>
      <c r="G51" s="886"/>
      <c r="H51" s="886"/>
      <c r="I51" s="886"/>
      <c r="J51" s="886"/>
      <c r="K51" s="886"/>
      <c r="L51" s="886"/>
      <c r="M51" s="886"/>
      <c r="N51" s="886"/>
      <c r="O51" s="886"/>
      <c r="P51" s="886"/>
      <c r="Q51" s="886"/>
      <c r="R51" s="886"/>
      <c r="S51" s="886"/>
      <c r="T51" s="886"/>
      <c r="U51" s="886"/>
    </row>
    <row r="52" spans="3:21">
      <c r="C52" s="942"/>
      <c r="D52" s="942"/>
      <c r="E52" s="887"/>
      <c r="F52" s="886"/>
      <c r="G52" s="886"/>
      <c r="H52" s="886"/>
      <c r="I52" s="886"/>
      <c r="J52" s="886"/>
      <c r="K52" s="886"/>
      <c r="L52" s="886"/>
      <c r="M52" s="886"/>
      <c r="N52" s="886"/>
      <c r="O52" s="886"/>
      <c r="P52" s="886"/>
      <c r="Q52" s="886"/>
      <c r="R52" s="886"/>
      <c r="S52" s="886"/>
      <c r="T52" s="886"/>
      <c r="U52" s="886"/>
    </row>
    <row r="53" spans="3:21">
      <c r="C53" s="942"/>
      <c r="D53" s="942"/>
      <c r="E53" s="887"/>
      <c r="F53" s="886"/>
      <c r="G53" s="886"/>
      <c r="H53" s="886"/>
      <c r="I53" s="886"/>
      <c r="J53" s="886"/>
      <c r="K53" s="886"/>
      <c r="L53" s="886"/>
      <c r="M53" s="886"/>
      <c r="N53" s="886"/>
      <c r="O53" s="886"/>
      <c r="P53" s="886"/>
      <c r="Q53" s="886"/>
      <c r="R53" s="886"/>
      <c r="S53" s="886"/>
      <c r="T53" s="886"/>
      <c r="U53" s="886"/>
    </row>
    <row r="54" spans="3:21">
      <c r="C54" s="942"/>
      <c r="D54" s="942"/>
      <c r="E54" s="887"/>
      <c r="F54" s="886"/>
      <c r="G54" s="886"/>
      <c r="H54" s="886"/>
      <c r="I54" s="886"/>
      <c r="J54" s="886"/>
      <c r="K54" s="886"/>
      <c r="L54" s="886"/>
      <c r="M54" s="886"/>
      <c r="N54" s="886"/>
      <c r="O54" s="886"/>
      <c r="P54" s="886"/>
      <c r="Q54" s="886"/>
      <c r="R54" s="886"/>
      <c r="S54" s="886"/>
      <c r="T54" s="886"/>
      <c r="U54" s="886"/>
    </row>
    <row r="55" spans="3:21">
      <c r="C55" s="942"/>
      <c r="D55" s="942"/>
      <c r="E55" s="887"/>
      <c r="F55" s="886"/>
      <c r="G55" s="886"/>
      <c r="H55" s="886"/>
      <c r="I55" s="886"/>
      <c r="J55" s="886"/>
      <c r="K55" s="886"/>
      <c r="L55" s="886"/>
      <c r="M55" s="886"/>
      <c r="N55" s="886"/>
      <c r="O55" s="886"/>
      <c r="P55" s="886"/>
      <c r="Q55" s="886"/>
      <c r="R55" s="886"/>
      <c r="S55" s="886"/>
      <c r="T55" s="886"/>
      <c r="U55" s="886"/>
    </row>
    <row r="56" spans="3:21">
      <c r="C56" s="942"/>
      <c r="D56" s="942"/>
      <c r="E56" s="887"/>
      <c r="F56" s="886"/>
      <c r="G56" s="886"/>
      <c r="H56" s="886"/>
      <c r="I56" s="886"/>
      <c r="J56" s="886"/>
      <c r="K56" s="886"/>
      <c r="L56" s="886"/>
      <c r="M56" s="886"/>
      <c r="N56" s="886"/>
      <c r="O56" s="886"/>
      <c r="P56" s="886"/>
      <c r="Q56" s="886"/>
      <c r="R56" s="886"/>
      <c r="S56" s="886"/>
      <c r="T56" s="886"/>
      <c r="U56" s="886"/>
    </row>
    <row r="57" spans="3:21">
      <c r="C57" s="942"/>
      <c r="D57" s="942"/>
      <c r="E57" s="887"/>
      <c r="F57" s="886"/>
      <c r="G57" s="886"/>
      <c r="H57" s="886"/>
      <c r="I57" s="886"/>
      <c r="J57" s="886"/>
      <c r="K57" s="886"/>
      <c r="L57" s="886"/>
      <c r="M57" s="886"/>
      <c r="N57" s="886"/>
      <c r="O57" s="886"/>
      <c r="P57" s="886"/>
      <c r="Q57" s="886"/>
      <c r="R57" s="886"/>
      <c r="S57" s="886"/>
      <c r="T57" s="886"/>
      <c r="U57" s="886"/>
    </row>
    <row r="58" spans="3:21">
      <c r="C58" s="942"/>
      <c r="D58" s="942"/>
      <c r="E58" s="887"/>
      <c r="F58" s="886"/>
      <c r="G58" s="886"/>
      <c r="H58" s="886"/>
      <c r="I58" s="886"/>
      <c r="J58" s="886"/>
      <c r="K58" s="886"/>
      <c r="L58" s="886"/>
      <c r="M58" s="886"/>
      <c r="N58" s="886"/>
      <c r="O58" s="886"/>
      <c r="P58" s="886"/>
      <c r="Q58" s="886"/>
      <c r="R58" s="886"/>
      <c r="S58" s="886"/>
      <c r="T58" s="886"/>
      <c r="U58" s="886"/>
    </row>
    <row r="59" spans="3:21">
      <c r="C59" s="942"/>
      <c r="D59" s="942"/>
      <c r="E59" s="887"/>
      <c r="F59" s="886"/>
      <c r="G59" s="886"/>
      <c r="H59" s="886"/>
      <c r="I59" s="886"/>
      <c r="J59" s="886"/>
      <c r="K59" s="886"/>
      <c r="L59" s="886"/>
      <c r="M59" s="886"/>
      <c r="N59" s="886"/>
      <c r="O59" s="886"/>
      <c r="P59" s="886"/>
      <c r="Q59" s="886"/>
      <c r="R59" s="886"/>
      <c r="S59" s="886"/>
      <c r="T59" s="886"/>
      <c r="U59" s="886"/>
    </row>
    <row r="60" spans="3:21">
      <c r="C60" s="942"/>
      <c r="D60" s="942"/>
      <c r="E60" s="887"/>
      <c r="F60" s="886"/>
      <c r="G60" s="886"/>
      <c r="H60" s="886"/>
      <c r="I60" s="886"/>
      <c r="J60" s="886"/>
      <c r="K60" s="886"/>
      <c r="L60" s="886"/>
      <c r="M60" s="886"/>
      <c r="N60" s="886"/>
      <c r="O60" s="886"/>
      <c r="P60" s="886"/>
      <c r="Q60" s="886"/>
      <c r="R60" s="886"/>
      <c r="S60" s="886"/>
      <c r="T60" s="886"/>
      <c r="U60" s="886"/>
    </row>
    <row r="61" spans="3:21">
      <c r="C61" s="942"/>
      <c r="D61" s="942"/>
      <c r="E61" s="887"/>
      <c r="F61" s="886"/>
      <c r="G61" s="886"/>
      <c r="H61" s="886"/>
      <c r="I61" s="886"/>
      <c r="J61" s="886"/>
      <c r="K61" s="886"/>
      <c r="L61" s="886"/>
      <c r="M61" s="886"/>
      <c r="N61" s="886"/>
      <c r="O61" s="886"/>
      <c r="P61" s="886"/>
      <c r="Q61" s="886"/>
      <c r="R61" s="886"/>
      <c r="S61" s="886"/>
      <c r="T61" s="886"/>
      <c r="U61" s="886"/>
    </row>
    <row r="62" spans="3:21">
      <c r="C62" s="942"/>
      <c r="D62" s="942"/>
      <c r="E62" s="887"/>
      <c r="F62" s="886"/>
      <c r="G62" s="886"/>
      <c r="H62" s="886"/>
      <c r="I62" s="886"/>
      <c r="J62" s="886"/>
      <c r="K62" s="886"/>
      <c r="L62" s="886"/>
      <c r="M62" s="886"/>
      <c r="N62" s="886"/>
      <c r="O62" s="886"/>
      <c r="P62" s="886"/>
      <c r="Q62" s="886"/>
      <c r="R62" s="886"/>
      <c r="S62" s="886"/>
      <c r="T62" s="886"/>
      <c r="U62" s="886"/>
    </row>
    <row r="63" spans="3:21">
      <c r="C63" s="942"/>
      <c r="D63" s="942"/>
      <c r="E63" s="887"/>
      <c r="F63" s="886"/>
      <c r="G63" s="886"/>
      <c r="H63" s="886"/>
      <c r="I63" s="886"/>
      <c r="J63" s="886"/>
      <c r="K63" s="886"/>
      <c r="L63" s="886"/>
      <c r="M63" s="886"/>
      <c r="N63" s="886"/>
      <c r="O63" s="886"/>
      <c r="P63" s="886"/>
      <c r="Q63" s="886"/>
      <c r="R63" s="886"/>
      <c r="S63" s="886"/>
      <c r="T63" s="886"/>
      <c r="U63" s="886"/>
    </row>
    <row r="64" spans="3:21">
      <c r="C64" s="942"/>
      <c r="D64" s="942"/>
      <c r="E64" s="887"/>
      <c r="F64" s="886"/>
      <c r="G64" s="886"/>
      <c r="H64" s="886"/>
      <c r="I64" s="886"/>
      <c r="J64" s="886"/>
      <c r="K64" s="886"/>
      <c r="L64" s="886"/>
      <c r="M64" s="886"/>
      <c r="N64" s="886"/>
      <c r="O64" s="886"/>
      <c r="P64" s="886"/>
      <c r="Q64" s="886"/>
      <c r="R64" s="886"/>
      <c r="S64" s="886"/>
      <c r="T64" s="886"/>
      <c r="U64" s="886"/>
    </row>
    <row r="65" spans="3:21">
      <c r="C65" s="942"/>
      <c r="D65" s="942"/>
      <c r="E65" s="887"/>
      <c r="F65" s="886"/>
      <c r="G65" s="886"/>
      <c r="H65" s="886"/>
      <c r="I65" s="886"/>
      <c r="J65" s="886"/>
      <c r="K65" s="886"/>
      <c r="L65" s="886"/>
      <c r="M65" s="886"/>
      <c r="N65" s="886"/>
      <c r="O65" s="886"/>
      <c r="P65" s="886"/>
      <c r="Q65" s="886"/>
      <c r="R65" s="886"/>
      <c r="S65" s="886"/>
      <c r="T65" s="886"/>
      <c r="U65" s="886"/>
    </row>
    <row r="66" spans="3:21">
      <c r="C66" s="942"/>
      <c r="D66" s="942"/>
      <c r="E66" s="887"/>
      <c r="F66" s="886"/>
      <c r="G66" s="886"/>
      <c r="H66" s="886"/>
      <c r="I66" s="886"/>
      <c r="J66" s="886"/>
      <c r="K66" s="886"/>
      <c r="L66" s="886"/>
      <c r="M66" s="886"/>
      <c r="N66" s="886"/>
      <c r="O66" s="886"/>
      <c r="P66" s="886"/>
      <c r="Q66" s="886"/>
      <c r="R66" s="886"/>
      <c r="S66" s="886"/>
      <c r="T66" s="886"/>
      <c r="U66" s="886"/>
    </row>
    <row r="67" spans="3:21">
      <c r="C67" s="942"/>
      <c r="D67" s="942"/>
      <c r="E67" s="887"/>
      <c r="F67" s="886"/>
      <c r="G67" s="886"/>
      <c r="H67" s="886"/>
      <c r="I67" s="886"/>
      <c r="J67" s="886"/>
      <c r="K67" s="886"/>
      <c r="L67" s="886"/>
      <c r="M67" s="886"/>
      <c r="N67" s="886"/>
      <c r="O67" s="886"/>
      <c r="P67" s="886"/>
      <c r="Q67" s="886"/>
      <c r="R67" s="886"/>
      <c r="S67" s="886"/>
      <c r="T67" s="886"/>
      <c r="U67" s="886"/>
    </row>
    <row r="68" spans="3:21">
      <c r="C68" s="942"/>
      <c r="D68" s="942"/>
      <c r="E68" s="887"/>
      <c r="F68" s="886"/>
      <c r="G68" s="886"/>
      <c r="H68" s="886"/>
      <c r="I68" s="886"/>
      <c r="J68" s="886"/>
      <c r="K68" s="886"/>
      <c r="L68" s="886"/>
      <c r="M68" s="886"/>
      <c r="N68" s="886"/>
      <c r="O68" s="886"/>
      <c r="P68" s="886"/>
      <c r="Q68" s="886"/>
      <c r="R68" s="886"/>
      <c r="S68" s="886"/>
      <c r="T68" s="886"/>
      <c r="U68" s="886"/>
    </row>
    <row r="69" spans="3:21">
      <c r="C69" s="942"/>
      <c r="D69" s="942"/>
      <c r="E69" s="887"/>
      <c r="F69" s="886"/>
      <c r="G69" s="886"/>
      <c r="H69" s="886"/>
      <c r="I69" s="886"/>
      <c r="J69" s="886"/>
      <c r="K69" s="886"/>
      <c r="L69" s="886"/>
      <c r="M69" s="886"/>
      <c r="N69" s="886"/>
      <c r="O69" s="886"/>
      <c r="P69" s="886"/>
      <c r="Q69" s="886"/>
      <c r="R69" s="886"/>
      <c r="S69" s="886"/>
      <c r="T69" s="886"/>
      <c r="U69" s="886"/>
    </row>
    <row r="70" spans="3:21">
      <c r="C70" s="942"/>
      <c r="D70" s="942"/>
      <c r="E70" s="887"/>
      <c r="F70" s="886"/>
      <c r="G70" s="886"/>
      <c r="H70" s="886"/>
      <c r="I70" s="886"/>
      <c r="J70" s="886"/>
      <c r="K70" s="886"/>
      <c r="L70" s="886"/>
      <c r="M70" s="886"/>
      <c r="N70" s="886"/>
      <c r="O70" s="886"/>
      <c r="P70" s="886"/>
      <c r="Q70" s="886"/>
      <c r="R70" s="886"/>
      <c r="S70" s="886"/>
      <c r="T70" s="886"/>
      <c r="U70" s="886"/>
    </row>
    <row r="71" spans="3:21">
      <c r="C71" s="942"/>
      <c r="D71" s="942"/>
      <c r="E71" s="887"/>
      <c r="F71" s="886"/>
      <c r="G71" s="886"/>
      <c r="H71" s="886"/>
      <c r="I71" s="886"/>
      <c r="J71" s="886"/>
      <c r="K71" s="886"/>
      <c r="L71" s="886"/>
      <c r="M71" s="886"/>
      <c r="N71" s="886"/>
      <c r="O71" s="886"/>
      <c r="P71" s="886"/>
      <c r="Q71" s="886"/>
      <c r="R71" s="886"/>
      <c r="S71" s="886"/>
      <c r="T71" s="886"/>
      <c r="U71" s="886"/>
    </row>
    <row r="72" spans="3:21">
      <c r="C72" s="942"/>
      <c r="D72" s="942"/>
      <c r="E72" s="887"/>
      <c r="F72" s="886"/>
      <c r="G72" s="886"/>
      <c r="H72" s="886"/>
      <c r="I72" s="886"/>
      <c r="J72" s="886"/>
      <c r="K72" s="886"/>
      <c r="L72" s="886"/>
      <c r="M72" s="886"/>
      <c r="N72" s="886"/>
      <c r="O72" s="886"/>
      <c r="P72" s="886"/>
      <c r="Q72" s="886"/>
      <c r="R72" s="886"/>
      <c r="S72" s="886"/>
      <c r="T72" s="886"/>
      <c r="U72" s="886"/>
    </row>
    <row r="73" spans="3:21">
      <c r="C73" s="942"/>
      <c r="D73" s="942"/>
      <c r="E73" s="887"/>
      <c r="F73" s="886"/>
      <c r="G73" s="886"/>
      <c r="H73" s="886"/>
      <c r="I73" s="886"/>
      <c r="J73" s="886"/>
      <c r="K73" s="886"/>
      <c r="L73" s="886"/>
      <c r="M73" s="886"/>
      <c r="N73" s="886"/>
      <c r="O73" s="886"/>
      <c r="P73" s="886"/>
      <c r="Q73" s="886"/>
      <c r="R73" s="886"/>
      <c r="S73" s="886"/>
      <c r="T73" s="886"/>
      <c r="U73" s="886"/>
    </row>
    <row r="74" spans="3:21">
      <c r="C74" s="942"/>
      <c r="D74" s="942"/>
      <c r="E74" s="943"/>
      <c r="F74" s="886"/>
      <c r="G74" s="886"/>
      <c r="H74" s="886"/>
      <c r="I74" s="886"/>
      <c r="J74" s="886"/>
      <c r="K74" s="886"/>
      <c r="L74" s="886"/>
      <c r="M74" s="886"/>
      <c r="N74" s="886"/>
      <c r="O74" s="886"/>
      <c r="P74" s="886"/>
      <c r="Q74" s="886"/>
      <c r="R74" s="886"/>
      <c r="S74" s="886"/>
      <c r="T74" s="886"/>
      <c r="U74" s="886"/>
    </row>
    <row r="75" spans="3:21">
      <c r="C75" s="942"/>
      <c r="D75" s="942"/>
      <c r="E75" s="943"/>
      <c r="F75" s="886"/>
      <c r="G75" s="886"/>
      <c r="H75" s="886"/>
      <c r="I75" s="886"/>
      <c r="J75" s="886"/>
      <c r="K75" s="886"/>
      <c r="L75" s="886"/>
      <c r="M75" s="886"/>
      <c r="N75" s="886"/>
      <c r="O75" s="886"/>
      <c r="P75" s="886"/>
      <c r="Q75" s="886"/>
      <c r="R75" s="886"/>
      <c r="S75" s="886"/>
      <c r="T75" s="886"/>
      <c r="U75" s="886"/>
    </row>
    <row r="76" spans="3:21">
      <c r="C76" s="942"/>
      <c r="D76" s="942"/>
      <c r="E76" s="943"/>
      <c r="G76" s="886"/>
      <c r="H76" s="886"/>
      <c r="I76" s="886"/>
      <c r="J76" s="886"/>
      <c r="K76" s="886"/>
      <c r="L76" s="886"/>
      <c r="M76" s="886"/>
      <c r="N76" s="886"/>
      <c r="O76" s="886"/>
      <c r="P76" s="886"/>
      <c r="Q76" s="886"/>
      <c r="R76" s="886"/>
      <c r="S76" s="886"/>
      <c r="T76" s="886"/>
      <c r="U76" s="886"/>
    </row>
    <row r="77" spans="3:21">
      <c r="C77" s="942"/>
      <c r="D77" s="942"/>
      <c r="E77" s="943"/>
      <c r="G77" s="944"/>
      <c r="H77" s="886"/>
      <c r="I77" s="886"/>
      <c r="J77" s="886"/>
      <c r="K77" s="886"/>
      <c r="L77" s="886"/>
      <c r="M77" s="886"/>
      <c r="N77" s="886"/>
      <c r="O77" s="886"/>
      <c r="P77" s="886"/>
      <c r="Q77" s="886"/>
      <c r="R77" s="886"/>
      <c r="S77" s="886"/>
      <c r="T77" s="886"/>
      <c r="U77" s="886"/>
    </row>
    <row r="78" spans="3:21">
      <c r="C78" s="942"/>
      <c r="D78" s="942"/>
      <c r="E78" s="943"/>
      <c r="G78" s="944"/>
      <c r="H78" s="886"/>
      <c r="I78" s="886"/>
      <c r="J78" s="886"/>
      <c r="K78" s="886"/>
      <c r="L78" s="886"/>
      <c r="M78" s="886"/>
      <c r="N78" s="886"/>
      <c r="O78" s="886"/>
      <c r="P78" s="886"/>
      <c r="Q78" s="886"/>
      <c r="R78" s="886"/>
      <c r="S78" s="886"/>
      <c r="T78" s="886"/>
      <c r="U78" s="886"/>
    </row>
    <row r="79" spans="3:21">
      <c r="C79" s="942"/>
      <c r="D79" s="942"/>
      <c r="E79" s="943"/>
      <c r="G79" s="944"/>
      <c r="H79" s="886"/>
      <c r="I79" s="886"/>
      <c r="J79" s="886"/>
      <c r="K79" s="886"/>
      <c r="L79" s="886"/>
      <c r="M79" s="886"/>
      <c r="N79" s="886"/>
      <c r="O79" s="886"/>
      <c r="P79" s="886"/>
      <c r="Q79" s="886"/>
      <c r="R79" s="886"/>
      <c r="S79" s="886"/>
      <c r="T79" s="886"/>
      <c r="U79" s="886"/>
    </row>
    <row r="80" spans="3:21">
      <c r="C80" s="942"/>
      <c r="D80" s="942"/>
      <c r="E80" s="943"/>
      <c r="G80" s="883"/>
      <c r="H80" s="886"/>
      <c r="I80" s="886"/>
      <c r="J80" s="886"/>
      <c r="K80" s="886"/>
      <c r="L80" s="886"/>
      <c r="M80" s="886"/>
      <c r="N80" s="886"/>
      <c r="O80" s="886"/>
      <c r="P80" s="886"/>
      <c r="Q80" s="886"/>
      <c r="R80" s="886"/>
      <c r="S80" s="886"/>
      <c r="T80" s="886"/>
      <c r="U80" s="886"/>
    </row>
    <row r="81" spans="3:21">
      <c r="C81" s="942"/>
      <c r="D81" s="942"/>
      <c r="E81" s="943"/>
      <c r="G81" s="944"/>
      <c r="H81" s="886"/>
      <c r="I81" s="886"/>
      <c r="J81" s="886"/>
      <c r="K81" s="886"/>
      <c r="L81" s="886"/>
      <c r="M81" s="886"/>
      <c r="N81" s="886"/>
      <c r="O81" s="886"/>
      <c r="P81" s="886"/>
      <c r="Q81" s="886"/>
      <c r="R81" s="886"/>
      <c r="S81" s="886"/>
      <c r="T81" s="886"/>
      <c r="U81" s="886"/>
    </row>
    <row r="82" spans="3:21">
      <c r="C82" s="942"/>
      <c r="D82" s="942"/>
      <c r="E82" s="943"/>
      <c r="G82" s="944"/>
      <c r="H82" s="886"/>
      <c r="I82" s="886"/>
      <c r="J82" s="886"/>
      <c r="K82" s="886"/>
      <c r="L82" s="886"/>
      <c r="M82" s="886"/>
      <c r="N82" s="886"/>
      <c r="O82" s="886"/>
      <c r="P82" s="886"/>
      <c r="Q82" s="886"/>
      <c r="R82" s="886"/>
      <c r="S82" s="886"/>
      <c r="T82" s="886"/>
      <c r="U82" s="886"/>
    </row>
    <row r="83" spans="3:21">
      <c r="C83" s="942"/>
      <c r="D83" s="942"/>
      <c r="E83" s="943"/>
      <c r="G83" s="883"/>
      <c r="H83" s="886"/>
      <c r="I83" s="886"/>
      <c r="J83" s="886"/>
      <c r="K83" s="886"/>
      <c r="L83" s="886"/>
      <c r="M83" s="886"/>
      <c r="N83" s="886"/>
      <c r="O83" s="886"/>
      <c r="P83" s="886"/>
      <c r="Q83" s="886"/>
      <c r="R83" s="886"/>
      <c r="S83" s="886"/>
      <c r="T83" s="886"/>
      <c r="U83" s="886"/>
    </row>
    <row r="84" spans="3:21">
      <c r="C84" s="942"/>
      <c r="D84" s="942"/>
      <c r="E84" s="943"/>
      <c r="G84" s="944"/>
      <c r="H84" s="886"/>
      <c r="I84" s="886"/>
      <c r="J84" s="886"/>
      <c r="K84" s="886"/>
      <c r="L84" s="886"/>
      <c r="M84" s="886"/>
      <c r="N84" s="886"/>
      <c r="O84" s="886"/>
      <c r="P84" s="886"/>
      <c r="Q84" s="886"/>
      <c r="R84" s="886"/>
      <c r="S84" s="886"/>
      <c r="T84" s="886"/>
      <c r="U84" s="886"/>
    </row>
    <row r="85" spans="3:21">
      <c r="C85" s="942"/>
      <c r="D85" s="942"/>
      <c r="E85" s="943"/>
      <c r="G85" s="944"/>
      <c r="H85" s="886"/>
      <c r="I85" s="886"/>
      <c r="J85" s="886"/>
      <c r="K85" s="886"/>
      <c r="L85" s="886"/>
      <c r="M85" s="886"/>
      <c r="N85" s="886"/>
      <c r="O85" s="886"/>
      <c r="P85" s="886"/>
      <c r="Q85" s="886"/>
      <c r="R85" s="886"/>
      <c r="S85" s="886"/>
      <c r="T85" s="886"/>
      <c r="U85" s="886"/>
    </row>
    <row r="86" spans="3:21">
      <c r="C86" s="942"/>
      <c r="D86" s="942"/>
      <c r="E86" s="943"/>
      <c r="G86" s="944"/>
      <c r="H86" s="886"/>
      <c r="I86" s="886"/>
      <c r="J86" s="886"/>
      <c r="K86" s="886"/>
      <c r="L86" s="886"/>
      <c r="M86" s="886"/>
      <c r="N86" s="886"/>
      <c r="O86" s="886"/>
      <c r="P86" s="886"/>
      <c r="Q86" s="886"/>
      <c r="R86" s="886"/>
      <c r="S86" s="886"/>
      <c r="T86" s="886"/>
      <c r="U86" s="886"/>
    </row>
    <row r="87" spans="3:21">
      <c r="C87" s="942"/>
      <c r="D87" s="942"/>
      <c r="E87" s="943"/>
      <c r="G87" s="944"/>
      <c r="H87" s="886"/>
      <c r="I87" s="886"/>
      <c r="J87" s="886"/>
      <c r="K87" s="886"/>
      <c r="L87" s="886"/>
      <c r="M87" s="886"/>
      <c r="N87" s="886"/>
      <c r="O87" s="886"/>
      <c r="P87" s="886"/>
      <c r="Q87" s="886"/>
      <c r="R87" s="886"/>
      <c r="S87" s="886"/>
      <c r="T87" s="886"/>
      <c r="U87" s="886"/>
    </row>
    <row r="88" spans="3:21">
      <c r="C88" s="942"/>
      <c r="D88" s="942"/>
      <c r="E88" s="943"/>
      <c r="G88" s="944"/>
      <c r="H88" s="886"/>
      <c r="I88" s="886"/>
      <c r="J88" s="886"/>
      <c r="K88" s="886"/>
      <c r="L88" s="886"/>
      <c r="M88" s="886"/>
      <c r="N88" s="886"/>
      <c r="O88" s="886"/>
      <c r="P88" s="886"/>
      <c r="Q88" s="886"/>
      <c r="R88" s="886"/>
      <c r="S88" s="886"/>
      <c r="T88" s="886"/>
      <c r="U88" s="886"/>
    </row>
    <row r="89" spans="3:21">
      <c r="C89" s="942"/>
      <c r="D89" s="942"/>
      <c r="E89" s="943"/>
      <c r="G89" s="944"/>
      <c r="H89" s="886"/>
      <c r="I89" s="886"/>
      <c r="J89" s="886"/>
      <c r="K89" s="886"/>
      <c r="L89" s="886"/>
      <c r="M89" s="886"/>
      <c r="N89" s="886"/>
      <c r="O89" s="886"/>
      <c r="P89" s="886"/>
      <c r="Q89" s="886"/>
      <c r="R89" s="886"/>
      <c r="S89" s="886"/>
      <c r="T89" s="886"/>
      <c r="U89" s="886"/>
    </row>
    <row r="90" spans="3:21">
      <c r="C90" s="942"/>
      <c r="D90" s="942"/>
      <c r="E90" s="943"/>
      <c r="G90" s="944"/>
      <c r="H90" s="886"/>
      <c r="I90" s="886"/>
      <c r="J90" s="886"/>
      <c r="K90" s="886"/>
      <c r="L90" s="886"/>
      <c r="M90" s="886"/>
      <c r="N90" s="886"/>
      <c r="O90" s="886"/>
      <c r="P90" s="886"/>
      <c r="Q90" s="886"/>
      <c r="R90" s="886"/>
      <c r="S90" s="886"/>
      <c r="T90" s="886"/>
      <c r="U90" s="886"/>
    </row>
    <row r="91" spans="3:21">
      <c r="C91" s="942"/>
      <c r="D91" s="942"/>
      <c r="E91" s="944"/>
      <c r="G91" s="944"/>
      <c r="H91" s="886"/>
      <c r="I91" s="886"/>
      <c r="J91" s="886"/>
      <c r="K91" s="886"/>
      <c r="L91" s="886"/>
      <c r="M91" s="886"/>
      <c r="N91" s="886"/>
      <c r="O91" s="886"/>
      <c r="P91" s="886"/>
      <c r="Q91" s="886"/>
      <c r="R91" s="886"/>
      <c r="S91" s="886"/>
      <c r="T91" s="886"/>
      <c r="U91" s="886"/>
    </row>
    <row r="92" spans="3:21">
      <c r="C92" s="942"/>
      <c r="D92" s="942"/>
      <c r="E92" s="944"/>
      <c r="G92" s="883"/>
      <c r="H92" s="886"/>
      <c r="I92" s="886"/>
      <c r="J92" s="886"/>
      <c r="K92" s="886"/>
      <c r="L92" s="886"/>
      <c r="M92" s="886"/>
      <c r="N92" s="886"/>
      <c r="O92" s="886"/>
      <c r="P92" s="886"/>
      <c r="Q92" s="886"/>
      <c r="R92" s="886"/>
      <c r="S92" s="886"/>
      <c r="T92" s="886"/>
      <c r="U92" s="886"/>
    </row>
    <row r="93" spans="3:21">
      <c r="C93" s="942"/>
      <c r="D93" s="942"/>
      <c r="E93" s="944"/>
      <c r="G93" s="944"/>
      <c r="H93" s="886"/>
      <c r="I93" s="886"/>
      <c r="J93" s="886"/>
      <c r="K93" s="886"/>
      <c r="L93" s="886"/>
      <c r="M93" s="886"/>
      <c r="N93" s="886"/>
      <c r="O93" s="886"/>
      <c r="P93" s="886"/>
      <c r="Q93" s="886"/>
      <c r="R93" s="886"/>
      <c r="S93" s="886"/>
      <c r="T93" s="886"/>
      <c r="U93" s="886"/>
    </row>
    <row r="94" spans="3:21">
      <c r="C94" s="942"/>
      <c r="D94" s="942"/>
      <c r="E94" s="944"/>
      <c r="G94" s="883"/>
      <c r="H94" s="886"/>
      <c r="I94" s="886"/>
      <c r="J94" s="886"/>
      <c r="K94" s="886"/>
      <c r="L94" s="886"/>
      <c r="M94" s="886"/>
      <c r="N94" s="886"/>
      <c r="O94" s="886"/>
      <c r="P94" s="886"/>
      <c r="Q94" s="886"/>
      <c r="R94" s="886"/>
      <c r="S94" s="886"/>
      <c r="T94" s="886"/>
      <c r="U94" s="886"/>
    </row>
    <row r="95" spans="3:21">
      <c r="C95" s="942"/>
      <c r="D95" s="942"/>
      <c r="G95" s="944"/>
      <c r="H95" s="886"/>
      <c r="I95" s="886"/>
      <c r="J95" s="886"/>
      <c r="K95" s="886"/>
      <c r="L95" s="886"/>
      <c r="M95" s="886"/>
      <c r="N95" s="886"/>
      <c r="O95" s="886"/>
      <c r="P95" s="886"/>
      <c r="Q95" s="886"/>
      <c r="R95" s="886"/>
      <c r="S95" s="886"/>
      <c r="T95" s="886"/>
      <c r="U95" s="886"/>
    </row>
    <row r="96" spans="3:21">
      <c r="C96" s="942"/>
      <c r="D96" s="942"/>
      <c r="E96" s="944"/>
      <c r="G96" s="944"/>
      <c r="H96" s="886"/>
      <c r="I96" s="886"/>
      <c r="J96" s="886"/>
      <c r="K96" s="886"/>
      <c r="L96" s="886"/>
      <c r="M96" s="886"/>
      <c r="N96" s="886"/>
      <c r="O96" s="886"/>
      <c r="P96" s="886"/>
      <c r="Q96" s="886"/>
      <c r="R96" s="886"/>
      <c r="S96" s="886"/>
      <c r="T96" s="886"/>
      <c r="U96" s="886"/>
    </row>
    <row r="97" spans="3:21">
      <c r="C97" s="942"/>
      <c r="D97" s="942"/>
      <c r="G97" s="944"/>
      <c r="H97" s="886"/>
      <c r="I97" s="886"/>
      <c r="J97" s="886"/>
      <c r="K97" s="886"/>
      <c r="L97" s="886"/>
      <c r="M97" s="886"/>
      <c r="N97" s="886"/>
      <c r="O97" s="886"/>
      <c r="P97" s="886"/>
      <c r="Q97" s="886"/>
      <c r="R97" s="886"/>
      <c r="S97" s="886"/>
      <c r="T97" s="886"/>
      <c r="U97" s="886"/>
    </row>
    <row r="98" spans="3:21">
      <c r="C98" s="942"/>
      <c r="D98" s="942"/>
      <c r="G98" s="883"/>
      <c r="H98" s="886"/>
      <c r="I98" s="886"/>
      <c r="J98" s="886"/>
      <c r="K98" s="886"/>
      <c r="L98" s="886"/>
      <c r="M98" s="886"/>
      <c r="N98" s="886"/>
      <c r="O98" s="886"/>
      <c r="P98" s="886"/>
      <c r="Q98" s="886"/>
      <c r="R98" s="886"/>
      <c r="S98" s="886"/>
      <c r="T98" s="886"/>
      <c r="U98" s="886"/>
    </row>
    <row r="99" spans="3:21">
      <c r="C99" s="942"/>
      <c r="D99" s="942"/>
      <c r="E99" s="944"/>
      <c r="G99" s="944"/>
      <c r="H99" s="886"/>
      <c r="I99" s="886"/>
      <c r="J99" s="886"/>
      <c r="K99" s="886"/>
      <c r="L99" s="886"/>
      <c r="M99" s="886"/>
      <c r="N99" s="886"/>
      <c r="O99" s="886"/>
      <c r="P99" s="886"/>
      <c r="Q99" s="886"/>
      <c r="R99" s="886"/>
      <c r="S99" s="886"/>
      <c r="T99" s="886"/>
      <c r="U99" s="886"/>
    </row>
    <row r="100" spans="3:21">
      <c r="C100" s="942"/>
      <c r="D100" s="942"/>
      <c r="G100" s="883"/>
      <c r="H100" s="886"/>
      <c r="I100" s="886"/>
      <c r="J100" s="886"/>
      <c r="K100" s="886"/>
      <c r="L100" s="886"/>
      <c r="M100" s="886"/>
      <c r="N100" s="886"/>
      <c r="O100" s="886"/>
      <c r="P100" s="886"/>
      <c r="Q100" s="886"/>
      <c r="R100" s="886"/>
      <c r="S100" s="886"/>
      <c r="T100" s="886"/>
      <c r="U100" s="886"/>
    </row>
    <row r="101" spans="3:21">
      <c r="C101" s="942"/>
      <c r="D101" s="942"/>
      <c r="E101" s="944"/>
      <c r="G101" s="944"/>
      <c r="H101" s="886"/>
      <c r="I101" s="886"/>
      <c r="J101" s="886"/>
      <c r="K101" s="886"/>
      <c r="L101" s="886"/>
      <c r="M101" s="886"/>
      <c r="N101" s="886"/>
      <c r="O101" s="886"/>
      <c r="P101" s="886"/>
      <c r="Q101" s="886"/>
      <c r="R101" s="886"/>
      <c r="S101" s="886"/>
      <c r="T101" s="886"/>
      <c r="U101" s="886"/>
    </row>
    <row r="102" spans="3:21">
      <c r="C102" s="942"/>
      <c r="D102" s="942"/>
      <c r="E102" s="944"/>
      <c r="G102" s="883"/>
      <c r="H102" s="886"/>
      <c r="I102" s="886"/>
      <c r="J102" s="886"/>
      <c r="K102" s="886"/>
      <c r="L102" s="886"/>
      <c r="M102" s="886"/>
      <c r="N102" s="886"/>
      <c r="O102" s="886"/>
      <c r="P102" s="886"/>
      <c r="Q102" s="886"/>
      <c r="R102" s="886"/>
      <c r="S102" s="886"/>
      <c r="T102" s="886"/>
      <c r="U102" s="886"/>
    </row>
    <row r="103" spans="3:21">
      <c r="C103" s="942"/>
      <c r="D103" s="942"/>
      <c r="E103" s="944"/>
      <c r="G103" s="944"/>
      <c r="H103" s="886"/>
      <c r="I103" s="886"/>
      <c r="J103" s="886"/>
      <c r="K103" s="886"/>
      <c r="L103" s="886"/>
      <c r="M103" s="886"/>
      <c r="N103" s="886"/>
      <c r="O103" s="886"/>
      <c r="P103" s="886"/>
      <c r="Q103" s="886"/>
      <c r="R103" s="886"/>
      <c r="S103" s="886"/>
      <c r="T103" s="886"/>
      <c r="U103" s="886"/>
    </row>
    <row r="104" spans="3:21">
      <c r="C104" s="942"/>
      <c r="D104" s="942"/>
      <c r="E104" s="944"/>
      <c r="G104" s="883"/>
      <c r="H104" s="886"/>
      <c r="I104" s="886"/>
      <c r="J104" s="886"/>
      <c r="K104" s="886"/>
      <c r="L104" s="886"/>
      <c r="M104" s="886"/>
      <c r="N104" s="886"/>
      <c r="O104" s="886"/>
      <c r="P104" s="886"/>
      <c r="Q104" s="886"/>
      <c r="R104" s="886"/>
      <c r="S104" s="886"/>
      <c r="T104" s="886"/>
      <c r="U104" s="886"/>
    </row>
    <row r="105" spans="3:21">
      <c r="C105" s="942"/>
      <c r="D105" s="942"/>
      <c r="E105" s="944"/>
      <c r="G105" s="944"/>
      <c r="H105" s="886"/>
      <c r="I105" s="886"/>
      <c r="J105" s="886"/>
      <c r="K105" s="886"/>
      <c r="L105" s="886"/>
      <c r="M105" s="886"/>
      <c r="N105" s="886"/>
      <c r="O105" s="886"/>
      <c r="P105" s="886"/>
      <c r="Q105" s="886"/>
      <c r="R105" s="886"/>
      <c r="S105" s="886"/>
      <c r="T105" s="886"/>
      <c r="U105" s="886"/>
    </row>
    <row r="106" spans="3:21">
      <c r="C106" s="942"/>
      <c r="D106" s="942"/>
      <c r="E106" s="944"/>
      <c r="G106" s="883"/>
      <c r="H106" s="886"/>
      <c r="I106" s="886"/>
      <c r="J106" s="886"/>
      <c r="K106" s="886"/>
      <c r="L106" s="886"/>
      <c r="M106" s="886"/>
      <c r="N106" s="886"/>
      <c r="O106" s="886"/>
      <c r="P106" s="886"/>
      <c r="Q106" s="886"/>
      <c r="R106" s="886"/>
      <c r="S106" s="886"/>
      <c r="T106" s="886"/>
      <c r="U106" s="886"/>
    </row>
    <row r="107" spans="3:21">
      <c r="C107" s="942"/>
      <c r="D107" s="942"/>
      <c r="E107" s="944"/>
      <c r="G107" s="944"/>
      <c r="H107" s="886"/>
      <c r="I107" s="886"/>
      <c r="J107" s="886"/>
      <c r="K107" s="886"/>
      <c r="L107" s="886"/>
      <c r="M107" s="886"/>
      <c r="N107" s="886"/>
      <c r="O107" s="886"/>
      <c r="P107" s="886"/>
      <c r="Q107" s="886"/>
      <c r="R107" s="886"/>
      <c r="S107" s="886"/>
      <c r="T107" s="886"/>
      <c r="U107" s="886"/>
    </row>
    <row r="108" spans="3:21">
      <c r="C108" s="942"/>
      <c r="D108" s="942"/>
      <c r="E108" s="944"/>
      <c r="G108" s="944"/>
      <c r="H108" s="886"/>
      <c r="I108" s="886"/>
      <c r="J108" s="886"/>
      <c r="K108" s="886"/>
      <c r="L108" s="886"/>
      <c r="M108" s="886"/>
      <c r="N108" s="886"/>
      <c r="O108" s="886"/>
      <c r="P108" s="886"/>
      <c r="Q108" s="886"/>
      <c r="R108" s="886"/>
      <c r="S108" s="886"/>
      <c r="T108" s="886"/>
      <c r="U108" s="886"/>
    </row>
    <row r="109" spans="3:21">
      <c r="C109" s="942"/>
      <c r="D109" s="942"/>
      <c r="H109" s="886"/>
      <c r="I109" s="886"/>
      <c r="J109" s="886"/>
      <c r="K109" s="886"/>
      <c r="L109" s="886"/>
      <c r="M109" s="886"/>
      <c r="N109" s="886"/>
      <c r="O109" s="886"/>
      <c r="P109" s="886"/>
      <c r="Q109" s="886"/>
      <c r="R109" s="886"/>
      <c r="S109" s="886"/>
      <c r="T109" s="886"/>
      <c r="U109" s="886"/>
    </row>
    <row r="110" spans="3:21">
      <c r="C110" s="942"/>
      <c r="D110" s="942"/>
      <c r="E110" s="944"/>
      <c r="H110" s="886"/>
      <c r="I110" s="886"/>
      <c r="J110" s="886"/>
      <c r="K110" s="886"/>
      <c r="L110" s="886"/>
      <c r="M110" s="886"/>
      <c r="N110" s="886"/>
      <c r="O110" s="886"/>
      <c r="P110" s="886"/>
      <c r="Q110" s="886"/>
      <c r="R110" s="886"/>
      <c r="S110" s="886"/>
      <c r="T110" s="886"/>
      <c r="U110" s="886"/>
    </row>
    <row r="111" spans="3:21">
      <c r="C111" s="942"/>
      <c r="D111" s="942"/>
      <c r="F111" s="886"/>
      <c r="G111" s="886"/>
      <c r="H111" s="886"/>
      <c r="I111" s="886"/>
      <c r="J111" s="886"/>
      <c r="K111" s="886"/>
      <c r="L111" s="886"/>
      <c r="M111" s="886"/>
      <c r="N111" s="886"/>
      <c r="O111" s="886"/>
      <c r="P111" s="886"/>
      <c r="Q111" s="886"/>
      <c r="R111" s="886"/>
      <c r="S111" s="886"/>
      <c r="T111" s="886"/>
      <c r="U111" s="886"/>
    </row>
    <row r="112" spans="3:21">
      <c r="C112" s="942"/>
      <c r="D112" s="942"/>
      <c r="E112" s="944"/>
      <c r="F112" s="886"/>
      <c r="G112" s="886"/>
      <c r="H112" s="886"/>
      <c r="I112" s="886"/>
      <c r="J112" s="886"/>
      <c r="K112" s="886"/>
      <c r="L112" s="886"/>
      <c r="M112" s="886"/>
      <c r="N112" s="886"/>
      <c r="O112" s="886"/>
      <c r="P112" s="886"/>
      <c r="Q112" s="886"/>
      <c r="R112" s="886"/>
      <c r="S112" s="886"/>
      <c r="T112" s="886"/>
      <c r="U112" s="886"/>
    </row>
    <row r="113" spans="3:21">
      <c r="C113" s="942"/>
      <c r="D113" s="942"/>
      <c r="E113" s="944"/>
      <c r="F113" s="886"/>
      <c r="G113" s="886"/>
      <c r="H113" s="886"/>
      <c r="I113" s="886"/>
      <c r="J113" s="886"/>
      <c r="K113" s="886"/>
      <c r="L113" s="886"/>
      <c r="M113" s="886"/>
      <c r="N113" s="886"/>
      <c r="O113" s="886"/>
      <c r="P113" s="886"/>
      <c r="Q113" s="886"/>
      <c r="R113" s="886"/>
      <c r="S113" s="886"/>
      <c r="T113" s="886"/>
      <c r="U113" s="886"/>
    </row>
    <row r="114" spans="3:21">
      <c r="C114" s="942"/>
      <c r="D114" s="942"/>
      <c r="E114" s="944"/>
      <c r="F114" s="886"/>
      <c r="G114" s="886"/>
      <c r="H114" s="886"/>
      <c r="I114" s="886"/>
      <c r="J114" s="886"/>
      <c r="K114" s="886"/>
      <c r="L114" s="886"/>
      <c r="M114" s="886"/>
      <c r="N114" s="886"/>
      <c r="O114" s="886"/>
      <c r="P114" s="886"/>
      <c r="Q114" s="886"/>
      <c r="R114" s="886"/>
      <c r="S114" s="886"/>
      <c r="T114" s="886"/>
      <c r="U114" s="886"/>
    </row>
    <row r="115" spans="3:21">
      <c r="C115" s="942"/>
      <c r="D115" s="942"/>
      <c r="F115" s="886"/>
      <c r="G115" s="886"/>
      <c r="H115" s="886"/>
      <c r="I115" s="886"/>
      <c r="J115" s="886"/>
      <c r="K115" s="886"/>
      <c r="L115" s="886"/>
      <c r="M115" s="886"/>
      <c r="N115" s="886"/>
      <c r="O115" s="886"/>
      <c r="P115" s="886"/>
      <c r="Q115" s="886"/>
      <c r="R115" s="886"/>
      <c r="S115" s="886"/>
      <c r="T115" s="886"/>
      <c r="U115" s="886"/>
    </row>
    <row r="116" spans="3:21">
      <c r="C116" s="942"/>
      <c r="D116" s="942"/>
      <c r="F116" s="886"/>
      <c r="G116" s="886"/>
      <c r="H116" s="886"/>
      <c r="I116" s="886"/>
      <c r="J116" s="886"/>
      <c r="K116" s="886"/>
      <c r="L116" s="886"/>
      <c r="M116" s="886"/>
      <c r="N116" s="886"/>
      <c r="O116" s="886"/>
      <c r="P116" s="886"/>
      <c r="Q116" s="886"/>
      <c r="R116" s="886"/>
      <c r="S116" s="886"/>
      <c r="T116" s="886"/>
      <c r="U116" s="886"/>
    </row>
    <row r="117" spans="3:21">
      <c r="C117" s="942"/>
      <c r="D117" s="942"/>
      <c r="F117" s="886"/>
      <c r="G117" s="886"/>
      <c r="H117" s="886"/>
      <c r="I117" s="886"/>
      <c r="J117" s="886"/>
      <c r="K117" s="886"/>
      <c r="L117" s="886"/>
      <c r="M117" s="886"/>
      <c r="N117" s="886"/>
      <c r="O117" s="886"/>
      <c r="P117" s="886"/>
      <c r="Q117" s="886"/>
      <c r="R117" s="886"/>
      <c r="S117" s="886"/>
      <c r="T117" s="886"/>
      <c r="U117" s="886"/>
    </row>
    <row r="118" spans="3:21">
      <c r="C118" s="942"/>
      <c r="D118" s="942"/>
      <c r="F118" s="886"/>
      <c r="G118" s="886"/>
      <c r="H118" s="886"/>
      <c r="I118" s="886"/>
      <c r="J118" s="886"/>
      <c r="K118" s="886"/>
      <c r="L118" s="886"/>
      <c r="M118" s="886"/>
      <c r="N118" s="886"/>
      <c r="O118" s="886"/>
      <c r="P118" s="886"/>
      <c r="Q118" s="886"/>
      <c r="R118" s="886"/>
      <c r="S118" s="886"/>
      <c r="T118" s="886"/>
      <c r="U118" s="886"/>
    </row>
    <row r="119" spans="3:21">
      <c r="C119" s="942"/>
      <c r="D119" s="942"/>
      <c r="F119" s="886"/>
      <c r="G119" s="886"/>
      <c r="H119" s="886"/>
      <c r="I119" s="886"/>
      <c r="J119" s="886"/>
      <c r="K119" s="886"/>
      <c r="L119" s="886"/>
      <c r="M119" s="886"/>
      <c r="N119" s="886"/>
      <c r="O119" s="886"/>
      <c r="P119" s="886"/>
      <c r="Q119" s="886"/>
      <c r="R119" s="886"/>
      <c r="S119" s="886"/>
      <c r="T119" s="886"/>
      <c r="U119" s="886"/>
    </row>
    <row r="120" spans="3:21">
      <c r="C120" s="942"/>
      <c r="D120" s="942"/>
      <c r="F120" s="886"/>
      <c r="G120" s="886"/>
      <c r="H120" s="886"/>
      <c r="I120" s="886"/>
      <c r="J120" s="886"/>
      <c r="K120" s="886"/>
      <c r="L120" s="886"/>
      <c r="M120" s="886"/>
      <c r="N120" s="886"/>
      <c r="O120" s="886"/>
      <c r="P120" s="886"/>
      <c r="Q120" s="886"/>
      <c r="R120" s="886"/>
      <c r="S120" s="886"/>
      <c r="T120" s="886"/>
      <c r="U120" s="886"/>
    </row>
    <row r="121" spans="3:21">
      <c r="C121" s="942"/>
      <c r="D121" s="942"/>
      <c r="F121" s="886"/>
      <c r="G121" s="886"/>
      <c r="H121" s="886"/>
      <c r="I121" s="886"/>
      <c r="J121" s="886"/>
      <c r="K121" s="886"/>
      <c r="L121" s="886"/>
      <c r="M121" s="886"/>
      <c r="N121" s="886"/>
      <c r="O121" s="886"/>
      <c r="P121" s="886"/>
      <c r="Q121" s="886"/>
      <c r="R121" s="886"/>
      <c r="S121" s="886"/>
      <c r="T121" s="886"/>
      <c r="U121" s="886"/>
    </row>
    <row r="122" spans="3:21">
      <c r="C122" s="942"/>
      <c r="D122" s="942"/>
      <c r="F122" s="886"/>
      <c r="G122" s="886"/>
      <c r="H122" s="886"/>
      <c r="I122" s="886"/>
      <c r="J122" s="886"/>
      <c r="K122" s="886"/>
      <c r="L122" s="886"/>
      <c r="M122" s="886"/>
      <c r="N122" s="886"/>
      <c r="O122" s="886"/>
      <c r="P122" s="886"/>
      <c r="Q122" s="886"/>
      <c r="R122" s="886"/>
      <c r="S122" s="886"/>
      <c r="T122" s="886"/>
      <c r="U122" s="886"/>
    </row>
    <row r="123" spans="3:21">
      <c r="C123" s="942"/>
      <c r="D123" s="942"/>
      <c r="F123" s="886"/>
      <c r="G123" s="886"/>
      <c r="H123" s="886"/>
      <c r="I123" s="886"/>
      <c r="J123" s="886"/>
      <c r="K123" s="886"/>
      <c r="L123" s="886"/>
      <c r="M123" s="886"/>
      <c r="N123" s="886"/>
      <c r="O123" s="886"/>
      <c r="P123" s="886"/>
      <c r="Q123" s="886"/>
      <c r="R123" s="886"/>
      <c r="S123" s="886"/>
      <c r="T123" s="886"/>
      <c r="U123" s="886"/>
    </row>
    <row r="124" spans="3:21">
      <c r="C124" s="942"/>
      <c r="D124" s="942"/>
      <c r="F124" s="886"/>
      <c r="G124" s="886"/>
      <c r="H124" s="886"/>
      <c r="I124" s="886"/>
      <c r="J124" s="886"/>
      <c r="K124" s="886"/>
      <c r="L124" s="886"/>
      <c r="M124" s="886"/>
      <c r="N124" s="886"/>
      <c r="O124" s="886"/>
      <c r="P124" s="886"/>
      <c r="Q124" s="886"/>
      <c r="R124" s="886"/>
      <c r="S124" s="886"/>
      <c r="T124" s="886"/>
      <c r="U124" s="886"/>
    </row>
    <row r="125" spans="3:21">
      <c r="C125" s="942"/>
      <c r="D125" s="942"/>
      <c r="F125" s="886"/>
      <c r="G125" s="886"/>
      <c r="H125" s="886"/>
      <c r="I125" s="886"/>
      <c r="J125" s="886"/>
      <c r="K125" s="886"/>
      <c r="L125" s="886"/>
      <c r="M125" s="886"/>
      <c r="N125" s="886"/>
      <c r="O125" s="886"/>
      <c r="P125" s="886"/>
      <c r="Q125" s="886"/>
      <c r="R125" s="886"/>
      <c r="S125" s="886"/>
      <c r="T125" s="886"/>
      <c r="U125" s="886"/>
    </row>
    <row r="126" spans="3:21">
      <c r="C126" s="942"/>
      <c r="D126" s="942"/>
      <c r="F126" s="886"/>
      <c r="G126" s="886"/>
      <c r="H126" s="886"/>
      <c r="I126" s="886"/>
      <c r="J126" s="886"/>
      <c r="K126" s="886"/>
      <c r="L126" s="886"/>
      <c r="M126" s="886"/>
      <c r="N126" s="886"/>
      <c r="O126" s="886"/>
      <c r="P126" s="886"/>
      <c r="Q126" s="886"/>
      <c r="R126" s="886"/>
      <c r="S126" s="886"/>
      <c r="T126" s="886"/>
      <c r="U126" s="886"/>
    </row>
    <row r="127" spans="3:21">
      <c r="C127" s="942"/>
      <c r="D127" s="942"/>
      <c r="F127" s="886"/>
      <c r="G127" s="886"/>
      <c r="H127" s="886"/>
      <c r="I127" s="886"/>
      <c r="J127" s="886"/>
      <c r="K127" s="886"/>
      <c r="L127" s="886"/>
      <c r="M127" s="886"/>
      <c r="N127" s="886"/>
      <c r="O127" s="886"/>
      <c r="P127" s="886"/>
      <c r="Q127" s="886"/>
      <c r="R127" s="886"/>
      <c r="S127" s="886"/>
      <c r="T127" s="886"/>
      <c r="U127" s="886"/>
    </row>
    <row r="128" spans="3:21">
      <c r="C128" s="942"/>
      <c r="D128" s="942"/>
      <c r="F128" s="886"/>
      <c r="G128" s="886"/>
      <c r="H128" s="886"/>
      <c r="I128" s="886"/>
      <c r="J128" s="886"/>
      <c r="K128" s="886"/>
      <c r="L128" s="886"/>
      <c r="M128" s="886"/>
      <c r="N128" s="886"/>
      <c r="O128" s="886"/>
      <c r="P128" s="886"/>
      <c r="Q128" s="886"/>
      <c r="R128" s="886"/>
      <c r="S128" s="886"/>
      <c r="T128" s="886"/>
      <c r="U128" s="886"/>
    </row>
    <row r="129" spans="3:21">
      <c r="C129" s="942"/>
      <c r="D129" s="942"/>
      <c r="F129" s="886"/>
      <c r="G129" s="886"/>
      <c r="H129" s="886"/>
      <c r="I129" s="886"/>
      <c r="J129" s="886"/>
      <c r="K129" s="886"/>
      <c r="L129" s="886"/>
      <c r="M129" s="886"/>
      <c r="N129" s="886"/>
      <c r="O129" s="886"/>
      <c r="P129" s="886"/>
      <c r="Q129" s="886"/>
      <c r="R129" s="886"/>
      <c r="S129" s="886"/>
      <c r="T129" s="886"/>
      <c r="U129" s="886"/>
    </row>
    <row r="130" spans="3:21">
      <c r="C130" s="942"/>
      <c r="D130" s="942"/>
      <c r="F130" s="886"/>
      <c r="G130" s="886"/>
      <c r="H130" s="886"/>
      <c r="I130" s="886"/>
      <c r="J130" s="886"/>
      <c r="K130" s="886"/>
      <c r="L130" s="886"/>
      <c r="M130" s="886"/>
      <c r="N130" s="886"/>
      <c r="O130" s="886"/>
      <c r="P130" s="886"/>
      <c r="Q130" s="886"/>
      <c r="R130" s="886"/>
      <c r="S130" s="886"/>
      <c r="T130" s="886"/>
      <c r="U130" s="886"/>
    </row>
    <row r="131" spans="3:21">
      <c r="C131" s="942"/>
      <c r="D131" s="942"/>
      <c r="F131" s="886"/>
      <c r="G131" s="886"/>
      <c r="H131" s="886"/>
      <c r="I131" s="886"/>
      <c r="J131" s="886"/>
      <c r="K131" s="886"/>
      <c r="L131" s="886"/>
      <c r="M131" s="886"/>
      <c r="N131" s="886"/>
      <c r="O131" s="886"/>
      <c r="P131" s="886"/>
      <c r="Q131" s="886"/>
      <c r="R131" s="886"/>
      <c r="S131" s="886"/>
      <c r="T131" s="886"/>
      <c r="U131" s="886"/>
    </row>
    <row r="132" spans="3:21">
      <c r="C132" s="942"/>
      <c r="D132" s="942"/>
      <c r="F132" s="886"/>
      <c r="G132" s="886"/>
      <c r="H132" s="886"/>
      <c r="I132" s="886"/>
      <c r="J132" s="886"/>
      <c r="K132" s="886"/>
      <c r="L132" s="886"/>
      <c r="M132" s="886"/>
      <c r="N132" s="886"/>
      <c r="O132" s="886"/>
      <c r="P132" s="886"/>
      <c r="Q132" s="886"/>
      <c r="R132" s="886"/>
      <c r="S132" s="886"/>
      <c r="T132" s="886"/>
      <c r="U132" s="886"/>
    </row>
    <row r="133" spans="3:21">
      <c r="C133" s="942"/>
      <c r="D133" s="942"/>
      <c r="F133" s="886"/>
      <c r="G133" s="886"/>
      <c r="H133" s="886"/>
      <c r="I133" s="886"/>
      <c r="J133" s="886"/>
      <c r="K133" s="886"/>
      <c r="L133" s="886"/>
      <c r="M133" s="886"/>
      <c r="N133" s="886"/>
      <c r="O133" s="886"/>
      <c r="P133" s="886"/>
      <c r="Q133" s="886"/>
      <c r="R133" s="886"/>
      <c r="S133" s="886"/>
      <c r="T133" s="886"/>
      <c r="U133" s="886"/>
    </row>
    <row r="134" spans="3:21">
      <c r="C134" s="942"/>
      <c r="D134" s="942"/>
      <c r="F134" s="886"/>
      <c r="G134" s="886"/>
      <c r="H134" s="886"/>
      <c r="I134" s="886"/>
      <c r="J134" s="886"/>
      <c r="K134" s="886"/>
      <c r="L134" s="886"/>
      <c r="M134" s="886"/>
      <c r="N134" s="886"/>
      <c r="O134" s="886"/>
      <c r="P134" s="886"/>
      <c r="Q134" s="886"/>
      <c r="R134" s="886"/>
      <c r="S134" s="886"/>
      <c r="T134" s="886"/>
      <c r="U134" s="886"/>
    </row>
    <row r="135" spans="3:21">
      <c r="C135" s="942"/>
      <c r="D135" s="942"/>
      <c r="F135" s="886"/>
      <c r="G135" s="886"/>
      <c r="H135" s="886"/>
      <c r="I135" s="886"/>
      <c r="J135" s="886"/>
      <c r="K135" s="886"/>
      <c r="L135" s="886"/>
      <c r="M135" s="886"/>
      <c r="N135" s="886"/>
      <c r="O135" s="886"/>
      <c r="P135" s="886"/>
      <c r="Q135" s="886"/>
      <c r="R135" s="886"/>
      <c r="S135" s="886"/>
      <c r="T135" s="886"/>
      <c r="U135" s="886"/>
    </row>
    <row r="136" spans="3:21">
      <c r="C136" s="942"/>
      <c r="D136" s="942"/>
      <c r="F136" s="886"/>
      <c r="G136" s="886"/>
      <c r="H136" s="886"/>
      <c r="I136" s="886"/>
      <c r="J136" s="886"/>
      <c r="K136" s="886"/>
      <c r="L136" s="886"/>
      <c r="M136" s="886"/>
      <c r="N136" s="886"/>
      <c r="O136" s="886"/>
      <c r="P136" s="886"/>
      <c r="Q136" s="886"/>
      <c r="R136" s="886"/>
      <c r="S136" s="886"/>
      <c r="T136" s="886"/>
      <c r="U136" s="886"/>
    </row>
    <row r="137" spans="3:21">
      <c r="C137" s="942"/>
      <c r="D137" s="942"/>
      <c r="F137" s="886"/>
      <c r="G137" s="886"/>
      <c r="H137" s="886"/>
      <c r="I137" s="886"/>
      <c r="J137" s="886"/>
      <c r="K137" s="886"/>
      <c r="L137" s="886"/>
      <c r="M137" s="886"/>
      <c r="N137" s="886"/>
      <c r="O137" s="886"/>
      <c r="P137" s="886"/>
      <c r="Q137" s="886"/>
      <c r="R137" s="886"/>
      <c r="S137" s="886"/>
      <c r="T137" s="886"/>
      <c r="U137" s="886"/>
    </row>
    <row r="138" spans="3:21">
      <c r="C138" s="942"/>
      <c r="D138" s="942"/>
      <c r="F138" s="886"/>
      <c r="G138" s="886"/>
      <c r="H138" s="886"/>
      <c r="I138" s="886"/>
      <c r="J138" s="886"/>
      <c r="K138" s="886"/>
      <c r="L138" s="886"/>
      <c r="M138" s="886"/>
      <c r="N138" s="886"/>
      <c r="O138" s="886"/>
      <c r="P138" s="886"/>
      <c r="Q138" s="886"/>
      <c r="R138" s="886"/>
      <c r="S138" s="886"/>
      <c r="T138" s="886"/>
      <c r="U138" s="886"/>
    </row>
    <row r="139" spans="3:21">
      <c r="C139" s="942"/>
      <c r="D139" s="942"/>
      <c r="F139" s="886"/>
      <c r="G139" s="886"/>
      <c r="H139" s="886"/>
      <c r="I139" s="886"/>
      <c r="J139" s="886"/>
      <c r="K139" s="886"/>
      <c r="L139" s="886"/>
      <c r="M139" s="886"/>
      <c r="N139" s="886"/>
      <c r="O139" s="886"/>
      <c r="P139" s="886"/>
      <c r="Q139" s="886"/>
      <c r="R139" s="886"/>
      <c r="S139" s="886"/>
      <c r="T139" s="886"/>
      <c r="U139" s="886"/>
    </row>
    <row r="140" spans="3:21">
      <c r="C140" s="942"/>
      <c r="D140" s="942"/>
      <c r="F140" s="886"/>
      <c r="G140" s="886"/>
      <c r="H140" s="886"/>
      <c r="I140" s="886"/>
      <c r="J140" s="886"/>
      <c r="K140" s="886"/>
      <c r="L140" s="886"/>
      <c r="M140" s="886"/>
      <c r="N140" s="886"/>
      <c r="O140" s="886"/>
      <c r="P140" s="886"/>
      <c r="Q140" s="886"/>
      <c r="R140" s="886"/>
      <c r="S140" s="886"/>
      <c r="T140" s="886"/>
      <c r="U140" s="886"/>
    </row>
    <row r="141" spans="3:21">
      <c r="C141" s="942"/>
      <c r="D141" s="942"/>
      <c r="F141" s="886"/>
      <c r="G141" s="886"/>
      <c r="H141" s="886"/>
      <c r="I141" s="886"/>
      <c r="J141" s="886"/>
      <c r="K141" s="886"/>
      <c r="L141" s="886"/>
      <c r="M141" s="886"/>
      <c r="N141" s="886"/>
      <c r="O141" s="886"/>
      <c r="P141" s="886"/>
      <c r="Q141" s="886"/>
      <c r="R141" s="886"/>
      <c r="S141" s="886"/>
      <c r="T141" s="886"/>
      <c r="U141" s="886"/>
    </row>
    <row r="142" spans="3:21">
      <c r="C142" s="942"/>
      <c r="D142" s="942"/>
      <c r="F142" s="886"/>
      <c r="G142" s="886"/>
      <c r="H142" s="886"/>
      <c r="I142" s="886"/>
      <c r="J142" s="886"/>
      <c r="K142" s="886"/>
      <c r="L142" s="886"/>
      <c r="M142" s="886"/>
      <c r="N142" s="886"/>
      <c r="O142" s="886"/>
      <c r="P142" s="886"/>
      <c r="Q142" s="886"/>
      <c r="R142" s="886"/>
      <c r="S142" s="886"/>
      <c r="T142" s="886"/>
      <c r="U142" s="886"/>
    </row>
    <row r="143" spans="3:21">
      <c r="C143" s="942"/>
      <c r="D143" s="942"/>
      <c r="F143" s="886"/>
      <c r="G143" s="886"/>
      <c r="H143" s="886"/>
      <c r="I143" s="886"/>
      <c r="J143" s="886"/>
      <c r="K143" s="886"/>
      <c r="L143" s="886"/>
      <c r="M143" s="886"/>
      <c r="N143" s="886"/>
      <c r="O143" s="886"/>
      <c r="P143" s="886"/>
      <c r="Q143" s="886"/>
      <c r="R143" s="886"/>
      <c r="S143" s="886"/>
      <c r="T143" s="886"/>
      <c r="U143" s="886"/>
    </row>
    <row r="144" spans="3:21">
      <c r="C144" s="942"/>
      <c r="D144" s="942"/>
      <c r="F144" s="886"/>
      <c r="G144" s="886"/>
      <c r="H144" s="886"/>
      <c r="I144" s="886"/>
      <c r="J144" s="886"/>
      <c r="K144" s="886"/>
      <c r="L144" s="886"/>
      <c r="M144" s="886"/>
      <c r="N144" s="886"/>
      <c r="O144" s="886"/>
      <c r="P144" s="886"/>
      <c r="Q144" s="886"/>
      <c r="R144" s="886"/>
      <c r="S144" s="886"/>
      <c r="T144" s="886"/>
      <c r="U144" s="886"/>
    </row>
    <row r="145" spans="3:21">
      <c r="C145" s="942"/>
      <c r="D145" s="942"/>
      <c r="F145" s="886"/>
      <c r="G145" s="886"/>
      <c r="H145" s="886"/>
      <c r="I145" s="886"/>
      <c r="J145" s="886"/>
      <c r="K145" s="886"/>
      <c r="L145" s="886"/>
      <c r="M145" s="886"/>
      <c r="N145" s="886"/>
      <c r="O145" s="886"/>
      <c r="P145" s="886"/>
      <c r="Q145" s="886"/>
      <c r="R145" s="886"/>
      <c r="S145" s="886"/>
      <c r="T145" s="886"/>
      <c r="U145" s="886"/>
    </row>
    <row r="146" spans="3:21">
      <c r="C146" s="942"/>
      <c r="D146" s="942"/>
      <c r="F146" s="886"/>
      <c r="G146" s="886"/>
      <c r="H146" s="886"/>
      <c r="I146" s="886"/>
      <c r="J146" s="886"/>
      <c r="K146" s="886"/>
      <c r="L146" s="886"/>
      <c r="M146" s="886"/>
      <c r="N146" s="886"/>
      <c r="O146" s="886"/>
      <c r="P146" s="886"/>
      <c r="Q146" s="886"/>
      <c r="R146" s="886"/>
      <c r="S146" s="886"/>
      <c r="T146" s="886"/>
      <c r="U146" s="886"/>
    </row>
    <row r="147" spans="3:21">
      <c r="C147" s="942"/>
      <c r="D147" s="942"/>
      <c r="E147" s="945"/>
      <c r="F147" s="886"/>
      <c r="G147" s="886"/>
      <c r="H147" s="886"/>
      <c r="I147" s="886"/>
      <c r="J147" s="886"/>
      <c r="K147" s="886"/>
      <c r="L147" s="886"/>
      <c r="M147" s="886"/>
      <c r="N147" s="886"/>
      <c r="O147" s="886"/>
      <c r="P147" s="886"/>
      <c r="Q147" s="886"/>
      <c r="R147" s="886"/>
      <c r="S147" s="886"/>
      <c r="T147" s="886"/>
      <c r="U147" s="886"/>
    </row>
    <row r="148" spans="3:21">
      <c r="C148" s="942"/>
      <c r="D148" s="942"/>
      <c r="E148" s="945"/>
      <c r="F148" s="886"/>
      <c r="G148" s="886"/>
      <c r="H148" s="886"/>
      <c r="I148" s="886"/>
      <c r="J148" s="886"/>
      <c r="K148" s="886"/>
      <c r="L148" s="886"/>
      <c r="M148" s="886"/>
      <c r="N148" s="886"/>
      <c r="O148" s="886"/>
      <c r="P148" s="886"/>
      <c r="Q148" s="886"/>
      <c r="R148" s="886"/>
      <c r="S148" s="886"/>
      <c r="T148" s="886"/>
      <c r="U148" s="886"/>
    </row>
    <row r="149" spans="3:21">
      <c r="C149" s="942"/>
      <c r="D149" s="942"/>
      <c r="E149" s="943"/>
      <c r="F149" s="886"/>
      <c r="G149" s="886"/>
      <c r="H149" s="886"/>
      <c r="I149" s="886"/>
      <c r="J149" s="886"/>
      <c r="K149" s="886"/>
      <c r="L149" s="886"/>
      <c r="M149" s="886"/>
      <c r="N149" s="886"/>
      <c r="O149" s="886"/>
      <c r="P149" s="886"/>
      <c r="Q149" s="886"/>
      <c r="R149" s="886"/>
      <c r="S149" s="886"/>
      <c r="T149" s="886"/>
      <c r="U149" s="886"/>
    </row>
    <row r="150" spans="3:21">
      <c r="C150" s="942"/>
      <c r="D150" s="942"/>
      <c r="E150" s="943"/>
      <c r="F150" s="886"/>
      <c r="G150" s="886"/>
      <c r="H150" s="886"/>
      <c r="I150" s="886"/>
      <c r="J150" s="886"/>
      <c r="K150" s="886"/>
      <c r="L150" s="886"/>
      <c r="M150" s="886"/>
      <c r="N150" s="886"/>
      <c r="O150" s="886"/>
      <c r="P150" s="886"/>
      <c r="Q150" s="886"/>
      <c r="R150" s="886"/>
      <c r="S150" s="886"/>
      <c r="T150" s="886"/>
      <c r="U150" s="886"/>
    </row>
    <row r="151" spans="3:21">
      <c r="C151" s="942"/>
      <c r="D151" s="942"/>
      <c r="E151" s="943"/>
      <c r="F151" s="886"/>
      <c r="G151" s="886"/>
      <c r="H151" s="886"/>
      <c r="I151" s="886"/>
      <c r="J151" s="886"/>
      <c r="K151" s="886"/>
      <c r="L151" s="886"/>
      <c r="M151" s="886"/>
      <c r="N151" s="886"/>
      <c r="O151" s="886"/>
      <c r="P151" s="886"/>
      <c r="Q151" s="886"/>
      <c r="R151" s="886"/>
      <c r="S151" s="886"/>
      <c r="T151" s="886"/>
      <c r="U151" s="886"/>
    </row>
    <row r="152" spans="3:21">
      <c r="C152" s="942"/>
      <c r="D152" s="942"/>
      <c r="E152" s="943"/>
      <c r="F152" s="886"/>
      <c r="G152" s="886"/>
      <c r="H152" s="886"/>
      <c r="I152" s="886"/>
      <c r="J152" s="886"/>
      <c r="K152" s="886"/>
      <c r="L152" s="886"/>
      <c r="M152" s="886"/>
      <c r="N152" s="886"/>
      <c r="O152" s="886"/>
      <c r="P152" s="886"/>
      <c r="Q152" s="886"/>
      <c r="R152" s="886"/>
      <c r="S152" s="886"/>
      <c r="T152" s="886"/>
      <c r="U152" s="886"/>
    </row>
    <row r="153" spans="3:21">
      <c r="C153" s="942"/>
      <c r="D153" s="942"/>
      <c r="E153" s="943"/>
      <c r="F153" s="886"/>
      <c r="G153" s="886"/>
      <c r="H153" s="886"/>
      <c r="I153" s="886"/>
      <c r="J153" s="886"/>
      <c r="K153" s="886"/>
      <c r="L153" s="886"/>
      <c r="M153" s="886"/>
      <c r="N153" s="886"/>
      <c r="O153" s="886"/>
      <c r="P153" s="886"/>
      <c r="Q153" s="886"/>
      <c r="R153" s="886"/>
      <c r="S153" s="886"/>
      <c r="T153" s="886"/>
      <c r="U153" s="886"/>
    </row>
    <row r="154" spans="3:21">
      <c r="C154" s="942"/>
      <c r="D154" s="942"/>
      <c r="E154" s="943"/>
      <c r="F154" s="886"/>
      <c r="G154" s="886"/>
      <c r="H154" s="886"/>
      <c r="I154" s="886"/>
      <c r="J154" s="886"/>
      <c r="K154" s="886"/>
      <c r="L154" s="886"/>
      <c r="M154" s="886"/>
      <c r="N154" s="886"/>
      <c r="O154" s="886"/>
      <c r="P154" s="886"/>
      <c r="Q154" s="886"/>
      <c r="R154" s="886"/>
      <c r="S154" s="886"/>
      <c r="T154" s="886"/>
      <c r="U154" s="886"/>
    </row>
    <row r="155" spans="3:21">
      <c r="C155" s="942"/>
      <c r="D155" s="942"/>
      <c r="E155" s="943"/>
      <c r="F155" s="886"/>
      <c r="G155" s="886"/>
      <c r="H155" s="886"/>
      <c r="I155" s="886"/>
      <c r="J155" s="886"/>
      <c r="K155" s="886"/>
      <c r="L155" s="886"/>
      <c r="M155" s="886"/>
      <c r="N155" s="886"/>
      <c r="O155" s="886"/>
      <c r="P155" s="886"/>
      <c r="Q155" s="886"/>
      <c r="R155" s="886"/>
      <c r="S155" s="886"/>
      <c r="T155" s="886"/>
      <c r="U155" s="886"/>
    </row>
    <row r="156" spans="3:21">
      <c r="C156" s="942"/>
      <c r="D156" s="942"/>
      <c r="E156" s="943"/>
      <c r="F156" s="886"/>
      <c r="G156" s="886"/>
      <c r="H156" s="886"/>
      <c r="I156" s="886"/>
      <c r="J156" s="886"/>
      <c r="K156" s="886"/>
      <c r="L156" s="886"/>
      <c r="M156" s="886"/>
      <c r="N156" s="886"/>
      <c r="O156" s="886"/>
      <c r="P156" s="886"/>
      <c r="Q156" s="886"/>
      <c r="R156" s="886"/>
      <c r="S156" s="886"/>
      <c r="T156" s="886"/>
      <c r="U156" s="886"/>
    </row>
    <row r="157" spans="3:21">
      <c r="C157" s="942"/>
      <c r="D157" s="942"/>
      <c r="E157" s="943"/>
      <c r="F157" s="886"/>
      <c r="G157" s="886"/>
      <c r="H157" s="886"/>
      <c r="I157" s="886"/>
      <c r="J157" s="886"/>
      <c r="K157" s="886"/>
      <c r="L157" s="886"/>
      <c r="M157" s="886"/>
      <c r="N157" s="886"/>
      <c r="O157" s="886"/>
      <c r="P157" s="886"/>
      <c r="Q157" s="886"/>
      <c r="R157" s="886"/>
      <c r="S157" s="886"/>
      <c r="T157" s="886"/>
      <c r="U157" s="886"/>
    </row>
    <row r="158" spans="3:21">
      <c r="C158" s="942"/>
      <c r="D158" s="942"/>
      <c r="E158" s="943"/>
      <c r="F158" s="886"/>
      <c r="G158" s="886"/>
      <c r="H158" s="886"/>
      <c r="I158" s="886"/>
      <c r="J158" s="886"/>
      <c r="K158" s="886"/>
      <c r="L158" s="886"/>
      <c r="M158" s="886"/>
      <c r="N158" s="886"/>
      <c r="O158" s="886"/>
      <c r="P158" s="886"/>
      <c r="Q158" s="886"/>
      <c r="R158" s="886"/>
      <c r="S158" s="886"/>
      <c r="T158" s="886"/>
      <c r="U158" s="886"/>
    </row>
    <row r="159" spans="3:21">
      <c r="C159" s="942"/>
      <c r="D159" s="942"/>
      <c r="E159" s="943"/>
      <c r="F159" s="886"/>
      <c r="G159" s="886"/>
      <c r="H159" s="886"/>
      <c r="I159" s="886"/>
      <c r="J159" s="886"/>
      <c r="K159" s="886"/>
      <c r="L159" s="886"/>
      <c r="M159" s="886"/>
      <c r="N159" s="886"/>
      <c r="O159" s="886"/>
      <c r="P159" s="886"/>
      <c r="Q159" s="886"/>
      <c r="R159" s="886"/>
      <c r="S159" s="886"/>
      <c r="T159" s="886"/>
      <c r="U159" s="886"/>
    </row>
    <row r="160" spans="3:21">
      <c r="C160" s="942"/>
      <c r="D160" s="942"/>
      <c r="E160" s="943"/>
      <c r="F160" s="886"/>
      <c r="G160" s="886"/>
      <c r="H160" s="886"/>
      <c r="I160" s="886"/>
      <c r="J160" s="886"/>
      <c r="K160" s="886"/>
      <c r="L160" s="886"/>
      <c r="M160" s="886"/>
      <c r="N160" s="886"/>
      <c r="O160" s="886"/>
      <c r="P160" s="886"/>
      <c r="Q160" s="886"/>
      <c r="R160" s="886"/>
      <c r="S160" s="886"/>
      <c r="T160" s="886"/>
      <c r="U160" s="886"/>
    </row>
    <row r="161" spans="3:21">
      <c r="C161" s="942"/>
      <c r="D161" s="942"/>
      <c r="E161" s="943"/>
      <c r="F161" s="886"/>
      <c r="G161" s="886"/>
      <c r="H161" s="886"/>
      <c r="I161" s="886"/>
      <c r="J161" s="886"/>
      <c r="K161" s="886"/>
      <c r="L161" s="886"/>
      <c r="M161" s="886"/>
      <c r="N161" s="886"/>
      <c r="O161" s="886"/>
      <c r="P161" s="886"/>
      <c r="Q161" s="886"/>
      <c r="R161" s="886"/>
      <c r="S161" s="886"/>
      <c r="T161" s="886"/>
      <c r="U161" s="886"/>
    </row>
    <row r="162" spans="3:21">
      <c r="C162" s="942"/>
      <c r="D162" s="942"/>
      <c r="E162" s="943"/>
      <c r="F162" s="886"/>
      <c r="G162" s="886"/>
      <c r="H162" s="886"/>
      <c r="I162" s="886"/>
      <c r="J162" s="886"/>
      <c r="K162" s="886"/>
      <c r="L162" s="886"/>
      <c r="M162" s="886"/>
      <c r="N162" s="886"/>
      <c r="O162" s="886"/>
      <c r="P162" s="886"/>
      <c r="Q162" s="886"/>
      <c r="R162" s="886"/>
      <c r="S162" s="886"/>
      <c r="T162" s="886"/>
      <c r="U162" s="886"/>
    </row>
    <row r="163" spans="3:21">
      <c r="C163" s="942"/>
      <c r="D163" s="942"/>
      <c r="E163" s="943"/>
      <c r="F163" s="886"/>
      <c r="G163" s="886"/>
      <c r="H163" s="886"/>
      <c r="I163" s="886"/>
      <c r="J163" s="886"/>
      <c r="K163" s="886"/>
      <c r="L163" s="886"/>
      <c r="M163" s="886"/>
      <c r="N163" s="886"/>
      <c r="O163" s="886"/>
      <c r="P163" s="886"/>
      <c r="Q163" s="886"/>
      <c r="R163" s="886"/>
      <c r="S163" s="886"/>
      <c r="T163" s="886"/>
      <c r="U163" s="886"/>
    </row>
    <row r="164" spans="3:21">
      <c r="C164" s="942"/>
      <c r="D164" s="942"/>
      <c r="E164" s="943"/>
      <c r="F164" s="886"/>
      <c r="G164" s="886"/>
      <c r="H164" s="886"/>
      <c r="I164" s="886"/>
      <c r="J164" s="886"/>
      <c r="K164" s="886"/>
      <c r="L164" s="886"/>
      <c r="M164" s="886"/>
      <c r="N164" s="886"/>
      <c r="O164" s="886"/>
      <c r="P164" s="886"/>
      <c r="Q164" s="886"/>
      <c r="R164" s="886"/>
      <c r="S164" s="886"/>
      <c r="T164" s="886"/>
      <c r="U164" s="886"/>
    </row>
    <row r="165" spans="3:21">
      <c r="C165" s="942"/>
      <c r="D165" s="942"/>
      <c r="E165" s="943"/>
      <c r="F165" s="886"/>
      <c r="G165" s="886"/>
      <c r="H165" s="886"/>
      <c r="I165" s="886"/>
      <c r="J165" s="886"/>
      <c r="K165" s="886"/>
      <c r="L165" s="886"/>
      <c r="M165" s="886"/>
      <c r="N165" s="886"/>
      <c r="O165" s="886"/>
      <c r="P165" s="886"/>
      <c r="Q165" s="886"/>
      <c r="R165" s="886"/>
      <c r="S165" s="886"/>
      <c r="T165" s="886"/>
      <c r="U165" s="886"/>
    </row>
    <row r="166" spans="3:21">
      <c r="C166" s="942"/>
      <c r="D166" s="942"/>
      <c r="E166" s="943"/>
      <c r="F166" s="886"/>
      <c r="G166" s="886"/>
      <c r="H166" s="886"/>
      <c r="I166" s="886"/>
      <c r="J166" s="886"/>
      <c r="K166" s="886"/>
      <c r="L166" s="886"/>
      <c r="M166" s="886"/>
      <c r="N166" s="886"/>
      <c r="O166" s="886"/>
      <c r="P166" s="886"/>
      <c r="Q166" s="886"/>
      <c r="R166" s="886"/>
      <c r="S166" s="886"/>
      <c r="T166" s="886"/>
      <c r="U166" s="886"/>
    </row>
    <row r="167" spans="3:21">
      <c r="C167" s="942"/>
      <c r="D167" s="942"/>
      <c r="E167" s="943"/>
      <c r="F167" s="886"/>
      <c r="G167" s="886"/>
      <c r="H167" s="886"/>
      <c r="I167" s="886"/>
      <c r="J167" s="886"/>
      <c r="K167" s="886"/>
      <c r="L167" s="886"/>
      <c r="M167" s="886"/>
      <c r="N167" s="886"/>
      <c r="O167" s="886"/>
      <c r="P167" s="886"/>
      <c r="Q167" s="886"/>
      <c r="R167" s="886"/>
      <c r="S167" s="886"/>
      <c r="T167" s="886"/>
      <c r="U167" s="886"/>
    </row>
    <row r="168" spans="3:21">
      <c r="C168" s="942"/>
      <c r="D168" s="942"/>
      <c r="E168" s="943"/>
      <c r="F168" s="886"/>
      <c r="G168" s="886"/>
      <c r="H168" s="886"/>
      <c r="I168" s="886"/>
      <c r="J168" s="886"/>
      <c r="K168" s="886"/>
      <c r="L168" s="886"/>
      <c r="M168" s="886"/>
      <c r="N168" s="886"/>
      <c r="O168" s="886"/>
      <c r="P168" s="886"/>
      <c r="Q168" s="886"/>
      <c r="R168" s="886"/>
      <c r="S168" s="886"/>
      <c r="T168" s="886"/>
      <c r="U168" s="886"/>
    </row>
    <row r="169" spans="3:21">
      <c r="C169" s="942"/>
      <c r="D169" s="942"/>
      <c r="E169" s="943"/>
      <c r="F169" s="886"/>
      <c r="G169" s="886"/>
      <c r="H169" s="886"/>
      <c r="I169" s="886"/>
      <c r="J169" s="886"/>
      <c r="K169" s="886"/>
      <c r="L169" s="886"/>
      <c r="M169" s="886"/>
      <c r="N169" s="886"/>
      <c r="O169" s="886"/>
      <c r="P169" s="886"/>
      <c r="Q169" s="886"/>
      <c r="R169" s="886"/>
      <c r="S169" s="886"/>
      <c r="T169" s="886"/>
      <c r="U169" s="886"/>
    </row>
    <row r="170" spans="3:21">
      <c r="C170" s="942"/>
      <c r="D170" s="942"/>
      <c r="E170" s="943"/>
      <c r="F170" s="886"/>
      <c r="G170" s="886"/>
      <c r="H170" s="886"/>
      <c r="I170" s="886"/>
      <c r="J170" s="886"/>
      <c r="K170" s="886"/>
      <c r="L170" s="886"/>
      <c r="M170" s="886"/>
      <c r="N170" s="886"/>
      <c r="O170" s="886"/>
      <c r="P170" s="886"/>
      <c r="Q170" s="886"/>
      <c r="R170" s="886"/>
      <c r="S170" s="886"/>
      <c r="T170" s="886"/>
      <c r="U170" s="886"/>
    </row>
    <row r="171" spans="3:21">
      <c r="C171" s="942"/>
      <c r="D171" s="942"/>
      <c r="E171" s="943"/>
      <c r="F171" s="886"/>
      <c r="G171" s="886"/>
      <c r="H171" s="886"/>
      <c r="I171" s="886"/>
      <c r="J171" s="886"/>
      <c r="K171" s="886"/>
      <c r="L171" s="886"/>
      <c r="M171" s="886"/>
      <c r="N171" s="886"/>
      <c r="O171" s="886"/>
      <c r="P171" s="886"/>
      <c r="Q171" s="886"/>
      <c r="R171" s="886"/>
      <c r="S171" s="886"/>
      <c r="T171" s="886"/>
      <c r="U171" s="886"/>
    </row>
    <row r="172" spans="3:21">
      <c r="C172" s="942"/>
      <c r="D172" s="942"/>
      <c r="E172" s="943"/>
      <c r="F172" s="886"/>
      <c r="G172" s="886"/>
      <c r="H172" s="886"/>
      <c r="I172" s="886"/>
      <c r="J172" s="886"/>
      <c r="K172" s="886"/>
      <c r="L172" s="886"/>
      <c r="M172" s="886"/>
      <c r="N172" s="886"/>
      <c r="O172" s="886"/>
      <c r="P172" s="886"/>
      <c r="Q172" s="886"/>
      <c r="R172" s="886"/>
      <c r="S172" s="886"/>
      <c r="T172" s="886"/>
      <c r="U172" s="886"/>
    </row>
    <row r="173" spans="3:21">
      <c r="C173" s="942"/>
      <c r="D173" s="942"/>
      <c r="E173" s="943"/>
      <c r="F173" s="886"/>
      <c r="G173" s="886"/>
      <c r="H173" s="886"/>
      <c r="I173" s="886"/>
      <c r="J173" s="886"/>
      <c r="K173" s="886"/>
      <c r="L173" s="886"/>
      <c r="M173" s="886"/>
      <c r="N173" s="886"/>
      <c r="O173" s="886"/>
      <c r="P173" s="886"/>
      <c r="Q173" s="886"/>
      <c r="R173" s="886"/>
      <c r="S173" s="886"/>
      <c r="T173" s="886"/>
      <c r="U173" s="886"/>
    </row>
    <row r="174" spans="3:21">
      <c r="C174" s="942"/>
      <c r="D174" s="942"/>
      <c r="E174" s="943"/>
      <c r="F174" s="886"/>
      <c r="G174" s="886"/>
      <c r="H174" s="886"/>
      <c r="I174" s="886"/>
      <c r="J174" s="886"/>
      <c r="K174" s="886"/>
      <c r="L174" s="886"/>
      <c r="M174" s="886"/>
      <c r="N174" s="886"/>
      <c r="O174" s="886"/>
      <c r="P174" s="886"/>
      <c r="Q174" s="886"/>
      <c r="R174" s="886"/>
      <c r="S174" s="886"/>
      <c r="T174" s="886"/>
      <c r="U174" s="886"/>
    </row>
    <row r="175" spans="3:21">
      <c r="C175" s="942"/>
      <c r="D175" s="942"/>
      <c r="E175" s="943"/>
      <c r="F175" s="886"/>
      <c r="G175" s="886"/>
      <c r="H175" s="886"/>
      <c r="I175" s="886"/>
      <c r="J175" s="886"/>
      <c r="K175" s="886"/>
      <c r="L175" s="886"/>
      <c r="M175" s="886"/>
      <c r="N175" s="886"/>
      <c r="O175" s="886"/>
      <c r="P175" s="886"/>
      <c r="Q175" s="886"/>
      <c r="R175" s="886"/>
      <c r="S175" s="886"/>
      <c r="T175" s="886"/>
      <c r="U175" s="886"/>
    </row>
    <row r="176" spans="3:21">
      <c r="C176" s="942"/>
      <c r="D176" s="942"/>
      <c r="E176" s="943"/>
      <c r="F176" s="886"/>
      <c r="G176" s="886"/>
      <c r="H176" s="886"/>
      <c r="I176" s="886"/>
      <c r="J176" s="886"/>
      <c r="K176" s="886"/>
      <c r="L176" s="886"/>
      <c r="M176" s="886"/>
      <c r="N176" s="886"/>
      <c r="O176" s="886"/>
      <c r="P176" s="886"/>
      <c r="Q176" s="886"/>
      <c r="R176" s="886"/>
      <c r="S176" s="886"/>
      <c r="T176" s="886"/>
      <c r="U176" s="886"/>
    </row>
    <row r="177" spans="3:21">
      <c r="C177" s="942"/>
      <c r="D177" s="942"/>
      <c r="E177" s="943"/>
      <c r="F177" s="886"/>
      <c r="G177" s="886"/>
      <c r="H177" s="886"/>
      <c r="I177" s="886"/>
      <c r="J177" s="886"/>
      <c r="K177" s="886"/>
      <c r="L177" s="886"/>
      <c r="M177" s="886"/>
      <c r="N177" s="886"/>
      <c r="O177" s="886"/>
      <c r="P177" s="886"/>
      <c r="Q177" s="886"/>
      <c r="R177" s="886"/>
      <c r="S177" s="886"/>
      <c r="T177" s="886"/>
      <c r="U177" s="886"/>
    </row>
    <row r="178" spans="3:21">
      <c r="C178" s="942"/>
      <c r="D178" s="942"/>
      <c r="E178" s="943"/>
      <c r="F178" s="886"/>
      <c r="G178" s="886"/>
      <c r="H178" s="886"/>
      <c r="I178" s="886"/>
      <c r="J178" s="886"/>
      <c r="K178" s="886"/>
      <c r="L178" s="886"/>
      <c r="M178" s="886"/>
      <c r="N178" s="886"/>
      <c r="O178" s="886"/>
      <c r="P178" s="886"/>
      <c r="Q178" s="886"/>
      <c r="R178" s="886"/>
      <c r="S178" s="886"/>
      <c r="T178" s="886"/>
      <c r="U178" s="886"/>
    </row>
    <row r="179" spans="3:21">
      <c r="C179" s="942"/>
      <c r="D179" s="942"/>
      <c r="E179" s="943"/>
      <c r="F179" s="886"/>
      <c r="G179" s="886"/>
      <c r="H179" s="886"/>
      <c r="I179" s="886"/>
      <c r="J179" s="886"/>
      <c r="K179" s="886"/>
      <c r="L179" s="886"/>
      <c r="M179" s="886"/>
      <c r="N179" s="886"/>
      <c r="O179" s="886"/>
      <c r="P179" s="886"/>
      <c r="Q179" s="886"/>
      <c r="R179" s="886"/>
      <c r="S179" s="886"/>
      <c r="T179" s="886"/>
      <c r="U179" s="886"/>
    </row>
    <row r="180" spans="3:21">
      <c r="C180" s="942"/>
      <c r="D180" s="942"/>
      <c r="E180" s="943"/>
      <c r="F180" s="886"/>
      <c r="G180" s="886"/>
      <c r="H180" s="886"/>
      <c r="I180" s="886"/>
      <c r="J180" s="886"/>
      <c r="K180" s="886"/>
      <c r="L180" s="886"/>
      <c r="M180" s="886"/>
      <c r="N180" s="886"/>
      <c r="O180" s="886"/>
      <c r="P180" s="886"/>
      <c r="Q180" s="886"/>
      <c r="R180" s="886"/>
      <c r="S180" s="886"/>
      <c r="T180" s="886"/>
      <c r="U180" s="886"/>
    </row>
    <row r="181" spans="3:21">
      <c r="C181" s="942"/>
      <c r="D181" s="942"/>
      <c r="E181" s="943"/>
      <c r="F181" s="886"/>
      <c r="G181" s="886"/>
      <c r="H181" s="886"/>
      <c r="I181" s="886"/>
      <c r="J181" s="886"/>
      <c r="K181" s="886"/>
      <c r="L181" s="886"/>
      <c r="M181" s="886"/>
      <c r="N181" s="886"/>
      <c r="O181" s="886"/>
      <c r="P181" s="886"/>
      <c r="Q181" s="886"/>
      <c r="R181" s="886"/>
      <c r="S181" s="886"/>
      <c r="T181" s="886"/>
      <c r="U181" s="886"/>
    </row>
    <row r="182" spans="3:21">
      <c r="C182" s="942"/>
      <c r="D182" s="942"/>
      <c r="E182" s="943"/>
      <c r="F182" s="886"/>
      <c r="G182" s="886"/>
      <c r="H182" s="886"/>
      <c r="I182" s="886"/>
      <c r="J182" s="886"/>
      <c r="K182" s="886"/>
      <c r="L182" s="886"/>
      <c r="M182" s="886"/>
      <c r="N182" s="886"/>
      <c r="O182" s="886"/>
      <c r="P182" s="886"/>
      <c r="Q182" s="886"/>
      <c r="R182" s="886"/>
      <c r="S182" s="886"/>
      <c r="T182" s="886"/>
      <c r="U182" s="886"/>
    </row>
    <row r="183" spans="3:21">
      <c r="C183" s="942"/>
      <c r="D183" s="942"/>
      <c r="E183" s="943"/>
      <c r="F183" s="886"/>
      <c r="G183" s="886"/>
      <c r="H183" s="886"/>
      <c r="I183" s="886"/>
      <c r="J183" s="886"/>
      <c r="K183" s="886"/>
      <c r="L183" s="886"/>
      <c r="M183" s="886"/>
      <c r="N183" s="886"/>
      <c r="O183" s="886"/>
      <c r="P183" s="886"/>
      <c r="Q183" s="886"/>
      <c r="R183" s="886"/>
      <c r="S183" s="886"/>
      <c r="T183" s="886"/>
      <c r="U183" s="886"/>
    </row>
    <row r="184" spans="3:21">
      <c r="C184" s="942"/>
      <c r="D184" s="942"/>
      <c r="E184" s="943"/>
      <c r="F184" s="886"/>
      <c r="G184" s="886"/>
      <c r="H184" s="886"/>
      <c r="I184" s="886"/>
      <c r="J184" s="886"/>
      <c r="K184" s="886"/>
      <c r="L184" s="886"/>
      <c r="M184" s="886"/>
      <c r="N184" s="886"/>
      <c r="O184" s="886"/>
      <c r="P184" s="886"/>
      <c r="Q184" s="886"/>
      <c r="R184" s="886"/>
      <c r="S184" s="886"/>
      <c r="T184" s="886"/>
      <c r="U184" s="886"/>
    </row>
    <row r="185" spans="3:21">
      <c r="C185" s="942"/>
      <c r="D185" s="942"/>
      <c r="E185" s="943"/>
      <c r="F185" s="886"/>
      <c r="G185" s="886"/>
      <c r="H185" s="886"/>
      <c r="I185" s="886"/>
      <c r="J185" s="886"/>
      <c r="K185" s="886"/>
      <c r="L185" s="886"/>
      <c r="M185" s="886"/>
      <c r="N185" s="886"/>
      <c r="O185" s="886"/>
      <c r="P185" s="886"/>
      <c r="Q185" s="886"/>
      <c r="R185" s="886"/>
      <c r="S185" s="886"/>
      <c r="T185" s="886"/>
      <c r="U185" s="886"/>
    </row>
    <row r="186" spans="3:21">
      <c r="C186" s="942"/>
      <c r="D186" s="942"/>
      <c r="E186" s="943"/>
      <c r="F186" s="886"/>
      <c r="G186" s="886"/>
      <c r="H186" s="886"/>
      <c r="I186" s="886"/>
      <c r="J186" s="886"/>
      <c r="K186" s="886"/>
      <c r="L186" s="886"/>
      <c r="M186" s="886"/>
      <c r="N186" s="886"/>
      <c r="O186" s="886"/>
      <c r="P186" s="886"/>
      <c r="Q186" s="886"/>
      <c r="R186" s="886"/>
      <c r="S186" s="886"/>
      <c r="T186" s="886"/>
      <c r="U186" s="886"/>
    </row>
    <row r="187" spans="3:21">
      <c r="C187" s="942"/>
      <c r="D187" s="942"/>
      <c r="E187" s="943"/>
      <c r="F187" s="886"/>
      <c r="G187" s="886"/>
      <c r="H187" s="886"/>
      <c r="I187" s="886"/>
      <c r="J187" s="886"/>
      <c r="K187" s="886"/>
      <c r="L187" s="886"/>
      <c r="M187" s="886"/>
      <c r="N187" s="886"/>
      <c r="O187" s="886"/>
      <c r="P187" s="886"/>
      <c r="Q187" s="886"/>
      <c r="R187" s="886"/>
      <c r="S187" s="886"/>
      <c r="T187" s="886"/>
      <c r="U187" s="886"/>
    </row>
    <row r="188" spans="3:21">
      <c r="C188" s="942"/>
      <c r="D188" s="942"/>
      <c r="E188" s="943"/>
      <c r="F188" s="886"/>
      <c r="G188" s="886"/>
      <c r="H188" s="886"/>
      <c r="I188" s="886"/>
      <c r="J188" s="886"/>
      <c r="K188" s="886"/>
      <c r="L188" s="886"/>
      <c r="M188" s="886"/>
      <c r="N188" s="886"/>
      <c r="O188" s="886"/>
      <c r="P188" s="886"/>
      <c r="Q188" s="886"/>
      <c r="R188" s="886"/>
      <c r="S188" s="886"/>
      <c r="T188" s="886"/>
      <c r="U188" s="886"/>
    </row>
    <row r="189" spans="3:21">
      <c r="C189" s="942"/>
      <c r="D189" s="942"/>
      <c r="E189" s="943"/>
      <c r="F189" s="886"/>
      <c r="G189" s="886"/>
      <c r="H189" s="886"/>
      <c r="I189" s="886"/>
      <c r="J189" s="886"/>
      <c r="K189" s="886"/>
      <c r="L189" s="886"/>
      <c r="M189" s="886"/>
      <c r="N189" s="886"/>
      <c r="O189" s="886"/>
      <c r="P189" s="886"/>
      <c r="Q189" s="886"/>
      <c r="R189" s="886"/>
      <c r="S189" s="886"/>
      <c r="T189" s="886"/>
      <c r="U189" s="886"/>
    </row>
    <row r="190" spans="3:21">
      <c r="C190" s="942"/>
      <c r="D190" s="942"/>
      <c r="E190" s="943"/>
      <c r="F190" s="886"/>
      <c r="G190" s="886"/>
      <c r="H190" s="886"/>
      <c r="I190" s="886"/>
      <c r="J190" s="886"/>
      <c r="K190" s="886"/>
      <c r="L190" s="886"/>
      <c r="M190" s="886"/>
      <c r="N190" s="886"/>
      <c r="O190" s="886"/>
      <c r="P190" s="886"/>
      <c r="Q190" s="886"/>
      <c r="R190" s="886"/>
      <c r="S190" s="886"/>
      <c r="T190" s="886"/>
      <c r="U190" s="886"/>
    </row>
    <row r="191" spans="3:21">
      <c r="C191" s="942"/>
      <c r="D191" s="942"/>
      <c r="E191" s="943"/>
      <c r="F191" s="886"/>
      <c r="G191" s="886"/>
      <c r="H191" s="886"/>
      <c r="I191" s="886"/>
      <c r="J191" s="886"/>
      <c r="K191" s="886"/>
      <c r="L191" s="886"/>
      <c r="M191" s="886"/>
      <c r="N191" s="886"/>
      <c r="O191" s="886"/>
      <c r="P191" s="886"/>
      <c r="Q191" s="886"/>
      <c r="R191" s="886"/>
      <c r="S191" s="886"/>
      <c r="T191" s="886"/>
      <c r="U191" s="886"/>
    </row>
    <row r="192" spans="3:21">
      <c r="C192" s="942"/>
      <c r="D192" s="942"/>
      <c r="E192" s="943"/>
      <c r="F192" s="886"/>
      <c r="G192" s="886"/>
      <c r="H192" s="886"/>
      <c r="I192" s="886"/>
      <c r="J192" s="886"/>
      <c r="K192" s="886"/>
      <c r="L192" s="886"/>
      <c r="M192" s="886"/>
      <c r="N192" s="886"/>
      <c r="O192" s="886"/>
      <c r="P192" s="886"/>
      <c r="Q192" s="886"/>
      <c r="R192" s="886"/>
      <c r="S192" s="886"/>
      <c r="T192" s="886"/>
      <c r="U192" s="886"/>
    </row>
    <row r="193" spans="3:21">
      <c r="C193" s="942"/>
      <c r="D193" s="942"/>
      <c r="E193" s="943"/>
      <c r="F193" s="886"/>
      <c r="G193" s="886"/>
      <c r="H193" s="886"/>
      <c r="I193" s="886"/>
      <c r="J193" s="886"/>
      <c r="K193" s="886"/>
      <c r="L193" s="886"/>
      <c r="M193" s="886"/>
      <c r="N193" s="886"/>
      <c r="O193" s="886"/>
      <c r="P193" s="886"/>
      <c r="Q193" s="886"/>
      <c r="R193" s="886"/>
      <c r="S193" s="886"/>
      <c r="T193" s="886"/>
      <c r="U193" s="886"/>
    </row>
    <row r="194" spans="3:21">
      <c r="C194" s="942"/>
      <c r="D194" s="942"/>
      <c r="E194" s="943"/>
      <c r="F194" s="886"/>
      <c r="G194" s="886"/>
      <c r="H194" s="886"/>
      <c r="I194" s="886"/>
      <c r="J194" s="886"/>
      <c r="K194" s="886"/>
      <c r="L194" s="886"/>
      <c r="M194" s="886"/>
      <c r="N194" s="886"/>
      <c r="O194" s="886"/>
      <c r="P194" s="886"/>
      <c r="Q194" s="886"/>
      <c r="R194" s="886"/>
      <c r="S194" s="886"/>
      <c r="T194" s="886"/>
      <c r="U194" s="886"/>
    </row>
    <row r="195" spans="3:21">
      <c r="C195" s="942"/>
      <c r="D195" s="942"/>
      <c r="E195" s="943"/>
      <c r="F195" s="886"/>
      <c r="G195" s="886"/>
      <c r="H195" s="886"/>
      <c r="I195" s="886"/>
      <c r="J195" s="886"/>
      <c r="K195" s="886"/>
      <c r="L195" s="886"/>
      <c r="M195" s="886"/>
      <c r="N195" s="886"/>
      <c r="O195" s="886"/>
      <c r="P195" s="886"/>
      <c r="Q195" s="886"/>
      <c r="R195" s="886"/>
      <c r="S195" s="886"/>
      <c r="T195" s="886"/>
      <c r="U195" s="886"/>
    </row>
    <row r="196" spans="3:21">
      <c r="C196" s="942"/>
      <c r="D196" s="942"/>
      <c r="E196" s="943"/>
      <c r="F196" s="886"/>
      <c r="G196" s="886"/>
      <c r="H196" s="886"/>
      <c r="I196" s="886"/>
      <c r="J196" s="886"/>
      <c r="K196" s="886"/>
      <c r="L196" s="886"/>
      <c r="M196" s="886"/>
      <c r="N196" s="886"/>
      <c r="O196" s="886"/>
      <c r="P196" s="886"/>
      <c r="Q196" s="886"/>
      <c r="R196" s="886"/>
      <c r="S196" s="886"/>
      <c r="T196" s="886"/>
      <c r="U196" s="886"/>
    </row>
    <row r="197" spans="3:21">
      <c r="C197" s="942"/>
      <c r="D197" s="942"/>
      <c r="E197" s="943"/>
      <c r="F197" s="886"/>
      <c r="G197" s="886"/>
      <c r="H197" s="886"/>
      <c r="I197" s="886"/>
      <c r="J197" s="886"/>
      <c r="K197" s="886"/>
      <c r="L197" s="886"/>
      <c r="M197" s="886"/>
      <c r="N197" s="886"/>
      <c r="O197" s="886"/>
      <c r="P197" s="886"/>
      <c r="Q197" s="886"/>
      <c r="R197" s="886"/>
      <c r="S197" s="886"/>
      <c r="T197" s="886"/>
      <c r="U197" s="886"/>
    </row>
    <row r="198" spans="3:21">
      <c r="C198" s="942"/>
      <c r="D198" s="942"/>
      <c r="E198" s="943"/>
      <c r="F198" s="886"/>
      <c r="G198" s="886"/>
      <c r="H198" s="886"/>
      <c r="I198" s="886"/>
      <c r="J198" s="886"/>
      <c r="K198" s="886"/>
      <c r="L198" s="886"/>
      <c r="M198" s="886"/>
      <c r="N198" s="886"/>
      <c r="O198" s="886"/>
      <c r="P198" s="886"/>
      <c r="Q198" s="886"/>
      <c r="R198" s="886"/>
      <c r="S198" s="886"/>
      <c r="T198" s="886"/>
      <c r="U198" s="886"/>
    </row>
    <row r="199" spans="3:21">
      <c r="C199" s="942"/>
      <c r="D199" s="942"/>
      <c r="E199" s="943"/>
      <c r="F199" s="886"/>
      <c r="G199" s="886"/>
      <c r="H199" s="886"/>
      <c r="I199" s="886"/>
      <c r="J199" s="886"/>
      <c r="K199" s="886"/>
      <c r="L199" s="886"/>
      <c r="M199" s="886"/>
      <c r="N199" s="886"/>
      <c r="O199" s="886"/>
      <c r="P199" s="886"/>
      <c r="Q199" s="886"/>
      <c r="R199" s="886"/>
      <c r="S199" s="886"/>
      <c r="T199" s="886"/>
      <c r="U199" s="886"/>
    </row>
    <row r="200" spans="3:21">
      <c r="C200" s="942"/>
      <c r="D200" s="942"/>
      <c r="E200" s="943"/>
      <c r="F200" s="886"/>
      <c r="G200" s="886"/>
      <c r="H200" s="886"/>
      <c r="I200" s="886"/>
      <c r="J200" s="886"/>
      <c r="K200" s="886"/>
      <c r="L200" s="886"/>
      <c r="M200" s="886"/>
      <c r="N200" s="886"/>
      <c r="O200" s="886"/>
      <c r="P200" s="886"/>
      <c r="Q200" s="886"/>
      <c r="R200" s="886"/>
      <c r="S200" s="886"/>
      <c r="T200" s="886"/>
      <c r="U200" s="886"/>
    </row>
    <row r="201" spans="3:21">
      <c r="C201" s="942"/>
      <c r="D201" s="942"/>
      <c r="E201" s="943"/>
      <c r="F201" s="886"/>
      <c r="G201" s="886"/>
      <c r="H201" s="886"/>
      <c r="I201" s="886"/>
      <c r="J201" s="886"/>
      <c r="K201" s="886"/>
      <c r="L201" s="886"/>
      <c r="M201" s="886"/>
      <c r="N201" s="886"/>
      <c r="O201" s="886"/>
      <c r="P201" s="886"/>
      <c r="Q201" s="886"/>
      <c r="R201" s="886"/>
      <c r="S201" s="886"/>
      <c r="T201" s="886"/>
      <c r="U201" s="886"/>
    </row>
    <row r="202" spans="3:21">
      <c r="C202" s="942"/>
      <c r="D202" s="942"/>
      <c r="E202" s="943"/>
      <c r="F202" s="886"/>
      <c r="G202" s="886"/>
      <c r="H202" s="886"/>
      <c r="I202" s="886"/>
      <c r="J202" s="886"/>
      <c r="K202" s="886"/>
      <c r="L202" s="886"/>
      <c r="M202" s="886"/>
      <c r="N202" s="886"/>
      <c r="O202" s="886"/>
      <c r="P202" s="886"/>
      <c r="Q202" s="886"/>
      <c r="R202" s="886"/>
      <c r="S202" s="886"/>
      <c r="T202" s="886"/>
      <c r="U202" s="886"/>
    </row>
    <row r="203" spans="3:21">
      <c r="C203" s="942"/>
      <c r="D203" s="942"/>
      <c r="E203" s="943"/>
      <c r="F203" s="886"/>
      <c r="G203" s="886"/>
      <c r="H203" s="886"/>
      <c r="I203" s="886"/>
      <c r="J203" s="886"/>
      <c r="K203" s="886"/>
      <c r="L203" s="886"/>
      <c r="M203" s="886"/>
      <c r="N203" s="886"/>
      <c r="O203" s="886"/>
      <c r="P203" s="886"/>
      <c r="Q203" s="886"/>
      <c r="R203" s="886"/>
      <c r="S203" s="886"/>
      <c r="T203" s="886"/>
      <c r="U203" s="886"/>
    </row>
    <row r="204" spans="3:21">
      <c r="C204" s="942"/>
      <c r="D204" s="942"/>
      <c r="E204" s="943"/>
      <c r="F204" s="886"/>
      <c r="G204" s="886"/>
      <c r="H204" s="886"/>
      <c r="I204" s="886"/>
      <c r="J204" s="886"/>
      <c r="K204" s="886"/>
      <c r="L204" s="886"/>
      <c r="M204" s="886"/>
      <c r="N204" s="886"/>
      <c r="O204" s="886"/>
      <c r="P204" s="886"/>
      <c r="Q204" s="886"/>
      <c r="R204" s="886"/>
      <c r="S204" s="886"/>
      <c r="T204" s="886"/>
      <c r="U204" s="886"/>
    </row>
    <row r="205" spans="3:21">
      <c r="C205" s="942"/>
      <c r="D205" s="942"/>
      <c r="E205" s="943"/>
      <c r="F205" s="886"/>
      <c r="G205" s="886"/>
      <c r="H205" s="886"/>
      <c r="I205" s="886"/>
      <c r="J205" s="886"/>
      <c r="K205" s="886"/>
      <c r="L205" s="886"/>
      <c r="M205" s="886"/>
      <c r="N205" s="886"/>
      <c r="O205" s="886"/>
      <c r="P205" s="886"/>
      <c r="Q205" s="886"/>
      <c r="R205" s="886"/>
      <c r="S205" s="886"/>
      <c r="T205" s="886"/>
      <c r="U205" s="886"/>
    </row>
    <row r="206" spans="3:21">
      <c r="C206" s="942"/>
      <c r="D206" s="942"/>
      <c r="E206" s="943"/>
      <c r="F206" s="886"/>
      <c r="G206" s="886"/>
      <c r="H206" s="886"/>
      <c r="I206" s="886"/>
      <c r="J206" s="886"/>
      <c r="K206" s="886"/>
      <c r="L206" s="886"/>
      <c r="M206" s="886"/>
      <c r="N206" s="886"/>
      <c r="O206" s="886"/>
      <c r="P206" s="886"/>
      <c r="Q206" s="886"/>
      <c r="R206" s="886"/>
      <c r="S206" s="886"/>
      <c r="T206" s="886"/>
      <c r="U206" s="886"/>
    </row>
    <row r="207" spans="3:21">
      <c r="C207" s="942"/>
      <c r="D207" s="942"/>
      <c r="E207" s="943"/>
      <c r="F207" s="886"/>
      <c r="G207" s="886"/>
      <c r="H207" s="886"/>
      <c r="I207" s="886"/>
      <c r="J207" s="886"/>
      <c r="K207" s="886"/>
      <c r="L207" s="886"/>
      <c r="M207" s="886"/>
      <c r="N207" s="886"/>
      <c r="O207" s="886"/>
      <c r="P207" s="886"/>
      <c r="Q207" s="886"/>
      <c r="R207" s="886"/>
      <c r="S207" s="886"/>
      <c r="T207" s="886"/>
      <c r="U207" s="886"/>
    </row>
    <row r="208" spans="3:21">
      <c r="C208" s="942"/>
      <c r="D208" s="942"/>
      <c r="E208" s="943"/>
      <c r="F208" s="886"/>
      <c r="G208" s="886"/>
      <c r="H208" s="886"/>
      <c r="I208" s="886"/>
      <c r="J208" s="886"/>
      <c r="K208" s="886"/>
      <c r="L208" s="886"/>
      <c r="M208" s="886"/>
      <c r="N208" s="886"/>
      <c r="O208" s="886"/>
      <c r="P208" s="886"/>
      <c r="Q208" s="886"/>
      <c r="R208" s="886"/>
      <c r="S208" s="886"/>
      <c r="T208" s="886"/>
      <c r="U208" s="886"/>
    </row>
    <row r="209" spans="3:21">
      <c r="C209" s="942"/>
      <c r="D209" s="942"/>
      <c r="E209" s="943"/>
      <c r="F209" s="886"/>
      <c r="G209" s="886"/>
      <c r="H209" s="886"/>
      <c r="I209" s="886"/>
      <c r="J209" s="886"/>
      <c r="K209" s="886"/>
      <c r="L209" s="886"/>
      <c r="M209" s="886"/>
      <c r="N209" s="886"/>
      <c r="O209" s="886"/>
      <c r="P209" s="886"/>
      <c r="Q209" s="886"/>
      <c r="R209" s="886"/>
      <c r="S209" s="886"/>
      <c r="T209" s="886"/>
      <c r="U209" s="886"/>
    </row>
    <row r="210" spans="3:21">
      <c r="C210" s="942"/>
      <c r="D210" s="942"/>
      <c r="E210" s="943"/>
      <c r="F210" s="886"/>
      <c r="G210" s="886"/>
      <c r="H210" s="886"/>
      <c r="I210" s="886"/>
      <c r="J210" s="886"/>
      <c r="K210" s="886"/>
      <c r="L210" s="886"/>
      <c r="M210" s="886"/>
      <c r="N210" s="886"/>
      <c r="O210" s="886"/>
      <c r="P210" s="886"/>
      <c r="Q210" s="886"/>
      <c r="R210" s="886"/>
      <c r="S210" s="886"/>
      <c r="T210" s="886"/>
      <c r="U210" s="886"/>
    </row>
    <row r="211" spans="3:21">
      <c r="C211" s="942"/>
      <c r="D211" s="942"/>
      <c r="E211" s="943"/>
      <c r="F211" s="886"/>
      <c r="G211" s="886"/>
      <c r="H211" s="886"/>
      <c r="I211" s="886"/>
      <c r="J211" s="886"/>
      <c r="K211" s="886"/>
      <c r="L211" s="886"/>
      <c r="M211" s="886"/>
      <c r="N211" s="886"/>
      <c r="O211" s="886"/>
      <c r="P211" s="886"/>
      <c r="Q211" s="886"/>
      <c r="R211" s="886"/>
      <c r="S211" s="886"/>
      <c r="T211" s="886"/>
      <c r="U211" s="886"/>
    </row>
    <row r="212" spans="3:21">
      <c r="C212" s="942"/>
      <c r="D212" s="942"/>
      <c r="E212" s="943"/>
      <c r="F212" s="886"/>
      <c r="G212" s="886"/>
      <c r="H212" s="886"/>
      <c r="I212" s="886"/>
      <c r="J212" s="886"/>
      <c r="K212" s="886"/>
      <c r="L212" s="886"/>
      <c r="M212" s="886"/>
      <c r="N212" s="886"/>
      <c r="O212" s="886"/>
      <c r="P212" s="886"/>
      <c r="Q212" s="886"/>
      <c r="R212" s="886"/>
      <c r="S212" s="886"/>
      <c r="T212" s="886"/>
      <c r="U212" s="886"/>
    </row>
    <row r="213" spans="3:21">
      <c r="C213" s="942"/>
      <c r="D213" s="942"/>
      <c r="E213" s="943"/>
      <c r="F213" s="886"/>
      <c r="G213" s="886"/>
      <c r="H213" s="886"/>
      <c r="I213" s="886"/>
      <c r="J213" s="886"/>
      <c r="K213" s="886"/>
      <c r="L213" s="886"/>
      <c r="M213" s="886"/>
      <c r="N213" s="886"/>
      <c r="O213" s="886"/>
      <c r="P213" s="886"/>
      <c r="Q213" s="886"/>
      <c r="R213" s="886"/>
      <c r="S213" s="886"/>
      <c r="T213" s="886"/>
      <c r="U213" s="886"/>
    </row>
    <row r="214" spans="3:21">
      <c r="C214" s="942"/>
      <c r="D214" s="942"/>
      <c r="E214" s="943"/>
      <c r="F214" s="886"/>
      <c r="G214" s="886"/>
      <c r="H214" s="886"/>
      <c r="I214" s="886"/>
      <c r="J214" s="886"/>
      <c r="K214" s="886"/>
      <c r="L214" s="886"/>
      <c r="M214" s="886"/>
      <c r="N214" s="886"/>
      <c r="O214" s="886"/>
      <c r="P214" s="886"/>
      <c r="Q214" s="886"/>
      <c r="R214" s="886"/>
      <c r="S214" s="886"/>
      <c r="T214" s="886"/>
      <c r="U214" s="886"/>
    </row>
    <row r="215" spans="3:21">
      <c r="C215" s="942"/>
      <c r="D215" s="942"/>
      <c r="E215" s="943"/>
      <c r="F215" s="886"/>
      <c r="G215" s="886"/>
      <c r="H215" s="886"/>
      <c r="I215" s="886"/>
      <c r="J215" s="886"/>
      <c r="K215" s="886"/>
      <c r="L215" s="886"/>
      <c r="M215" s="886"/>
      <c r="N215" s="886"/>
      <c r="O215" s="886"/>
      <c r="P215" s="886"/>
      <c r="Q215" s="886"/>
      <c r="R215" s="886"/>
      <c r="S215" s="886"/>
      <c r="T215" s="886"/>
      <c r="U215" s="886"/>
    </row>
    <row r="216" spans="3:21">
      <c r="C216" s="942"/>
      <c r="D216" s="942"/>
      <c r="E216" s="943"/>
      <c r="F216" s="886"/>
      <c r="G216" s="886"/>
      <c r="H216" s="886"/>
      <c r="I216" s="886"/>
      <c r="J216" s="886"/>
      <c r="K216" s="886"/>
      <c r="L216" s="886"/>
      <c r="M216" s="886"/>
      <c r="N216" s="886"/>
      <c r="O216" s="886"/>
      <c r="P216" s="886"/>
      <c r="Q216" s="886"/>
      <c r="R216" s="886"/>
      <c r="S216" s="886"/>
      <c r="T216" s="886"/>
      <c r="U216" s="886"/>
    </row>
    <row r="217" spans="3:21">
      <c r="C217" s="942"/>
      <c r="D217" s="942"/>
      <c r="E217" s="943"/>
      <c r="F217" s="886"/>
      <c r="G217" s="886"/>
      <c r="H217" s="886"/>
      <c r="I217" s="886"/>
      <c r="J217" s="886"/>
      <c r="K217" s="886"/>
      <c r="L217" s="886"/>
      <c r="M217" s="886"/>
      <c r="N217" s="886"/>
      <c r="O217" s="886"/>
      <c r="P217" s="886"/>
      <c r="Q217" s="886"/>
      <c r="R217" s="886"/>
      <c r="S217" s="886"/>
      <c r="T217" s="886"/>
      <c r="U217" s="886"/>
    </row>
    <row r="218" spans="3:21">
      <c r="C218" s="942"/>
      <c r="D218" s="942"/>
      <c r="E218" s="943"/>
      <c r="F218" s="886"/>
      <c r="G218" s="886"/>
      <c r="H218" s="886"/>
      <c r="I218" s="886"/>
      <c r="J218" s="886"/>
      <c r="K218" s="886"/>
      <c r="L218" s="886"/>
      <c r="M218" s="886"/>
      <c r="N218" s="886"/>
      <c r="O218" s="886"/>
      <c r="P218" s="886"/>
      <c r="Q218" s="886"/>
      <c r="R218" s="886"/>
      <c r="S218" s="886"/>
      <c r="T218" s="886"/>
      <c r="U218" s="886"/>
    </row>
    <row r="219" spans="3:21">
      <c r="C219" s="942"/>
      <c r="D219" s="942"/>
      <c r="E219" s="943"/>
      <c r="F219" s="886"/>
      <c r="G219" s="886"/>
      <c r="H219" s="886"/>
      <c r="I219" s="886"/>
      <c r="J219" s="886"/>
      <c r="K219" s="886"/>
      <c r="L219" s="886"/>
      <c r="M219" s="886"/>
      <c r="N219" s="886"/>
      <c r="O219" s="886"/>
      <c r="P219" s="886"/>
      <c r="Q219" s="886"/>
      <c r="R219" s="886"/>
      <c r="S219" s="886"/>
      <c r="T219" s="886"/>
      <c r="U219" s="886"/>
    </row>
    <row r="220" spans="3:21">
      <c r="C220" s="942"/>
      <c r="D220" s="942"/>
      <c r="E220" s="943"/>
      <c r="F220" s="886"/>
      <c r="G220" s="886"/>
      <c r="H220" s="886"/>
      <c r="I220" s="886"/>
      <c r="J220" s="886"/>
      <c r="K220" s="886"/>
      <c r="L220" s="886"/>
      <c r="M220" s="886"/>
      <c r="N220" s="886"/>
      <c r="O220" s="886"/>
      <c r="P220" s="886"/>
      <c r="Q220" s="886"/>
      <c r="R220" s="886"/>
      <c r="S220" s="886"/>
      <c r="T220" s="886"/>
      <c r="U220" s="886"/>
    </row>
    <row r="221" spans="3:21">
      <c r="C221" s="942"/>
      <c r="D221" s="942"/>
      <c r="E221" s="943"/>
      <c r="F221" s="886"/>
      <c r="G221" s="886"/>
      <c r="H221" s="886"/>
      <c r="I221" s="886"/>
      <c r="J221" s="886"/>
      <c r="K221" s="886"/>
      <c r="L221" s="886"/>
      <c r="M221" s="886"/>
      <c r="N221" s="886"/>
      <c r="O221" s="886"/>
      <c r="P221" s="886"/>
      <c r="Q221" s="886"/>
      <c r="R221" s="886"/>
      <c r="S221" s="886"/>
      <c r="T221" s="886"/>
      <c r="U221" s="886"/>
    </row>
    <row r="222" spans="3:21">
      <c r="C222" s="942"/>
      <c r="D222" s="942"/>
      <c r="E222" s="943"/>
      <c r="F222" s="886"/>
      <c r="G222" s="886"/>
      <c r="H222" s="886"/>
      <c r="I222" s="886"/>
      <c r="J222" s="886"/>
      <c r="K222" s="886"/>
      <c r="L222" s="886"/>
      <c r="M222" s="886"/>
      <c r="N222" s="886"/>
      <c r="O222" s="886"/>
      <c r="P222" s="886"/>
      <c r="Q222" s="886"/>
      <c r="R222" s="886"/>
      <c r="S222" s="886"/>
      <c r="T222" s="886"/>
      <c r="U222" s="886"/>
    </row>
    <row r="223" spans="3:21">
      <c r="C223" s="942"/>
      <c r="D223" s="942"/>
      <c r="E223" s="943"/>
      <c r="F223" s="886"/>
      <c r="G223" s="886"/>
      <c r="H223" s="886"/>
      <c r="I223" s="886"/>
      <c r="J223" s="886"/>
      <c r="K223" s="886"/>
      <c r="L223" s="886"/>
      <c r="M223" s="886"/>
      <c r="N223" s="886"/>
      <c r="O223" s="886"/>
      <c r="P223" s="886"/>
      <c r="Q223" s="886"/>
      <c r="R223" s="886"/>
      <c r="S223" s="886"/>
      <c r="T223" s="886"/>
      <c r="U223" s="886"/>
    </row>
    <row r="224" spans="3:21">
      <c r="C224" s="942"/>
      <c r="D224" s="942"/>
      <c r="E224" s="943"/>
      <c r="F224" s="886"/>
      <c r="G224" s="886"/>
      <c r="H224" s="886"/>
      <c r="I224" s="886"/>
      <c r="J224" s="886"/>
      <c r="K224" s="886"/>
      <c r="L224" s="886"/>
      <c r="M224" s="886"/>
      <c r="N224" s="886"/>
      <c r="O224" s="886"/>
      <c r="P224" s="886"/>
      <c r="Q224" s="886"/>
      <c r="R224" s="886"/>
      <c r="S224" s="886"/>
      <c r="T224" s="886"/>
      <c r="U224" s="886"/>
    </row>
    <row r="225" spans="3:21">
      <c r="C225" s="942"/>
      <c r="D225" s="942"/>
      <c r="E225" s="943"/>
      <c r="F225" s="886"/>
      <c r="G225" s="886"/>
      <c r="H225" s="886"/>
      <c r="I225" s="886"/>
      <c r="J225" s="886"/>
      <c r="K225" s="886"/>
      <c r="L225" s="886"/>
      <c r="M225" s="886"/>
      <c r="N225" s="886"/>
      <c r="O225" s="886"/>
      <c r="P225" s="886"/>
      <c r="Q225" s="886"/>
      <c r="R225" s="886"/>
      <c r="S225" s="886"/>
      <c r="T225" s="886"/>
      <c r="U225" s="886"/>
    </row>
    <row r="226" spans="3:21">
      <c r="C226" s="942"/>
      <c r="D226" s="942"/>
      <c r="E226" s="943"/>
      <c r="F226" s="886"/>
      <c r="G226" s="886"/>
      <c r="H226" s="886"/>
      <c r="I226" s="886"/>
      <c r="J226" s="886"/>
      <c r="K226" s="886"/>
      <c r="L226" s="886"/>
      <c r="M226" s="886"/>
      <c r="N226" s="886"/>
      <c r="O226" s="886"/>
      <c r="P226" s="886"/>
      <c r="Q226" s="886"/>
      <c r="R226" s="886"/>
      <c r="S226" s="886"/>
      <c r="T226" s="886"/>
      <c r="U226" s="886"/>
    </row>
    <row r="227" spans="3:21">
      <c r="C227" s="942"/>
      <c r="D227" s="942"/>
      <c r="E227" s="943"/>
      <c r="F227" s="886"/>
      <c r="G227" s="886"/>
      <c r="H227" s="886"/>
      <c r="I227" s="886"/>
      <c r="J227" s="886"/>
      <c r="K227" s="886"/>
      <c r="L227" s="886"/>
      <c r="M227" s="886"/>
      <c r="N227" s="886"/>
      <c r="O227" s="886"/>
      <c r="P227" s="886"/>
      <c r="Q227" s="886"/>
      <c r="R227" s="886"/>
      <c r="S227" s="886"/>
      <c r="T227" s="886"/>
      <c r="U227" s="886"/>
    </row>
    <row r="228" spans="3:21">
      <c r="C228" s="942"/>
      <c r="D228" s="942"/>
      <c r="E228" s="943"/>
      <c r="F228" s="886"/>
      <c r="G228" s="886"/>
      <c r="H228" s="886"/>
      <c r="I228" s="886"/>
      <c r="J228" s="886"/>
      <c r="K228" s="886"/>
      <c r="L228" s="886"/>
      <c r="M228" s="886"/>
      <c r="N228" s="886"/>
      <c r="O228" s="886"/>
      <c r="P228" s="886"/>
      <c r="Q228" s="886"/>
      <c r="R228" s="886"/>
      <c r="S228" s="886"/>
      <c r="T228" s="886"/>
      <c r="U228" s="886"/>
    </row>
    <row r="229" spans="3:21">
      <c r="C229" s="942"/>
      <c r="D229" s="942"/>
      <c r="E229" s="943"/>
      <c r="F229" s="886"/>
      <c r="G229" s="886"/>
      <c r="H229" s="886"/>
      <c r="I229" s="886"/>
      <c r="J229" s="886"/>
      <c r="K229" s="886"/>
      <c r="L229" s="886"/>
      <c r="M229" s="886"/>
      <c r="N229" s="886"/>
      <c r="O229" s="886"/>
      <c r="P229" s="886"/>
      <c r="Q229" s="886"/>
      <c r="R229" s="886"/>
      <c r="S229" s="886"/>
      <c r="T229" s="886"/>
      <c r="U229" s="886"/>
    </row>
    <row r="230" spans="3:21">
      <c r="C230" s="942"/>
      <c r="D230" s="942"/>
      <c r="E230" s="943"/>
      <c r="F230" s="886"/>
      <c r="G230" s="886"/>
      <c r="H230" s="886"/>
      <c r="I230" s="886"/>
      <c r="J230" s="886"/>
      <c r="K230" s="886"/>
      <c r="L230" s="886"/>
      <c r="M230" s="886"/>
      <c r="N230" s="886"/>
      <c r="O230" s="886"/>
      <c r="P230" s="886"/>
      <c r="Q230" s="886"/>
      <c r="R230" s="886"/>
      <c r="S230" s="886"/>
      <c r="T230" s="886"/>
      <c r="U230" s="886"/>
    </row>
    <row r="231" spans="3:21">
      <c r="C231" s="942"/>
      <c r="D231" s="942"/>
      <c r="E231" s="943"/>
      <c r="F231" s="886"/>
      <c r="G231" s="886"/>
      <c r="H231" s="886"/>
      <c r="I231" s="886"/>
      <c r="J231" s="886"/>
      <c r="K231" s="886"/>
      <c r="L231" s="886"/>
      <c r="M231" s="886"/>
      <c r="N231" s="886"/>
      <c r="O231" s="886"/>
      <c r="P231" s="886"/>
      <c r="Q231" s="886"/>
      <c r="R231" s="886"/>
      <c r="S231" s="886"/>
      <c r="T231" s="886"/>
      <c r="U231" s="886"/>
    </row>
    <row r="232" spans="3:21">
      <c r="C232" s="942"/>
      <c r="D232" s="942"/>
      <c r="E232" s="943"/>
      <c r="F232" s="886"/>
      <c r="G232" s="886"/>
      <c r="H232" s="886"/>
      <c r="I232" s="886"/>
      <c r="J232" s="886"/>
      <c r="K232" s="886"/>
      <c r="L232" s="886"/>
      <c r="M232" s="886"/>
      <c r="N232" s="886"/>
      <c r="O232" s="886"/>
      <c r="P232" s="886"/>
      <c r="Q232" s="886"/>
      <c r="R232" s="886"/>
      <c r="S232" s="886"/>
      <c r="T232" s="886"/>
      <c r="U232" s="886"/>
    </row>
    <row r="233" spans="3:21">
      <c r="C233" s="942"/>
      <c r="D233" s="942"/>
      <c r="E233" s="943"/>
      <c r="F233" s="886"/>
      <c r="G233" s="886"/>
      <c r="H233" s="886"/>
      <c r="I233" s="886"/>
      <c r="J233" s="886"/>
      <c r="K233" s="886"/>
      <c r="L233" s="886"/>
      <c r="M233" s="886"/>
      <c r="N233" s="886"/>
      <c r="O233" s="886"/>
      <c r="P233" s="886"/>
      <c r="Q233" s="886"/>
      <c r="R233" s="886"/>
      <c r="S233" s="886"/>
      <c r="T233" s="886"/>
      <c r="U233" s="886"/>
    </row>
    <row r="234" spans="3:21">
      <c r="C234" s="942"/>
      <c r="D234" s="942"/>
      <c r="E234" s="943"/>
      <c r="F234" s="886"/>
      <c r="G234" s="886"/>
      <c r="H234" s="886"/>
      <c r="I234" s="886"/>
      <c r="J234" s="886"/>
      <c r="K234" s="886"/>
      <c r="L234" s="886"/>
      <c r="M234" s="886"/>
      <c r="N234" s="886"/>
      <c r="O234" s="886"/>
      <c r="P234" s="886"/>
      <c r="Q234" s="886"/>
      <c r="R234" s="886"/>
      <c r="S234" s="886"/>
      <c r="T234" s="886"/>
      <c r="U234" s="886"/>
    </row>
    <row r="235" spans="3:21">
      <c r="C235" s="942"/>
      <c r="D235" s="942"/>
      <c r="E235" s="943"/>
      <c r="F235" s="886"/>
      <c r="G235" s="886"/>
      <c r="H235" s="886"/>
      <c r="I235" s="886"/>
      <c r="J235" s="886"/>
      <c r="K235" s="886"/>
      <c r="L235" s="886"/>
      <c r="M235" s="886"/>
      <c r="N235" s="886"/>
      <c r="O235" s="886"/>
      <c r="P235" s="886"/>
      <c r="Q235" s="886"/>
      <c r="R235" s="886"/>
      <c r="S235" s="886"/>
      <c r="T235" s="886"/>
      <c r="U235" s="886"/>
    </row>
    <row r="236" spans="3:21">
      <c r="C236" s="942"/>
      <c r="D236" s="942"/>
      <c r="E236" s="943"/>
      <c r="F236" s="886"/>
      <c r="G236" s="886"/>
      <c r="H236" s="886"/>
      <c r="I236" s="886"/>
      <c r="J236" s="886"/>
      <c r="K236" s="886"/>
      <c r="L236" s="886"/>
      <c r="M236" s="886"/>
      <c r="N236" s="886"/>
      <c r="O236" s="886"/>
      <c r="P236" s="886"/>
      <c r="Q236" s="886"/>
      <c r="R236" s="886"/>
      <c r="S236" s="886"/>
      <c r="T236" s="886"/>
      <c r="U236" s="886"/>
    </row>
    <row r="237" spans="3:21">
      <c r="C237" s="942"/>
      <c r="D237" s="942"/>
      <c r="E237" s="943"/>
      <c r="F237" s="886"/>
      <c r="G237" s="886"/>
      <c r="H237" s="886"/>
      <c r="I237" s="886"/>
      <c r="J237" s="886"/>
      <c r="K237" s="886"/>
      <c r="L237" s="886"/>
      <c r="M237" s="886"/>
      <c r="N237" s="886"/>
      <c r="O237" s="886"/>
      <c r="P237" s="886"/>
      <c r="Q237" s="886"/>
      <c r="R237" s="886"/>
      <c r="S237" s="886"/>
      <c r="T237" s="886"/>
      <c r="U237" s="886"/>
    </row>
    <row r="238" spans="3:21">
      <c r="C238" s="942"/>
      <c r="D238" s="942"/>
      <c r="E238" s="943"/>
      <c r="F238" s="886"/>
      <c r="G238" s="886"/>
      <c r="H238" s="886"/>
      <c r="I238" s="886"/>
      <c r="J238" s="886"/>
      <c r="K238" s="886"/>
      <c r="L238" s="886"/>
      <c r="M238" s="886"/>
      <c r="N238" s="886"/>
      <c r="O238" s="886"/>
      <c r="P238" s="886"/>
      <c r="Q238" s="886"/>
      <c r="R238" s="886"/>
      <c r="S238" s="886"/>
      <c r="T238" s="886"/>
      <c r="U238" s="886"/>
    </row>
    <row r="239" spans="3:21">
      <c r="C239" s="942"/>
      <c r="D239" s="942"/>
      <c r="E239" s="943"/>
      <c r="F239" s="886"/>
      <c r="G239" s="886"/>
      <c r="H239" s="886"/>
      <c r="I239" s="886"/>
      <c r="J239" s="886"/>
      <c r="K239" s="886"/>
      <c r="L239" s="886"/>
      <c r="M239" s="886"/>
      <c r="N239" s="886"/>
      <c r="O239" s="886"/>
      <c r="P239" s="886"/>
      <c r="Q239" s="886"/>
      <c r="R239" s="886"/>
      <c r="S239" s="886"/>
      <c r="T239" s="886"/>
      <c r="U239" s="886"/>
    </row>
    <row r="240" spans="3:21">
      <c r="C240" s="942"/>
      <c r="D240" s="942"/>
      <c r="E240" s="943"/>
      <c r="F240" s="886"/>
      <c r="G240" s="886"/>
      <c r="H240" s="886"/>
      <c r="I240" s="886"/>
      <c r="J240" s="886"/>
      <c r="K240" s="886"/>
      <c r="L240" s="886"/>
      <c r="M240" s="886"/>
      <c r="N240" s="886"/>
      <c r="O240" s="886"/>
      <c r="P240" s="886"/>
      <c r="Q240" s="886"/>
      <c r="R240" s="886"/>
      <c r="S240" s="886"/>
      <c r="T240" s="886"/>
      <c r="U240" s="886"/>
    </row>
    <row r="241" spans="3:21">
      <c r="C241" s="942"/>
      <c r="D241" s="942"/>
      <c r="E241" s="943"/>
      <c r="F241" s="886"/>
      <c r="G241" s="886"/>
      <c r="H241" s="886"/>
      <c r="I241" s="886"/>
      <c r="J241" s="886"/>
      <c r="K241" s="886"/>
      <c r="L241" s="886"/>
      <c r="M241" s="886"/>
      <c r="N241" s="886"/>
      <c r="O241" s="886"/>
      <c r="P241" s="886"/>
      <c r="Q241" s="886"/>
      <c r="R241" s="886"/>
      <c r="S241" s="886"/>
      <c r="T241" s="886"/>
      <c r="U241" s="886"/>
    </row>
    <row r="242" spans="3:21">
      <c r="C242" s="942"/>
      <c r="D242" s="942"/>
      <c r="E242" s="943"/>
      <c r="F242" s="886"/>
      <c r="G242" s="886"/>
      <c r="H242" s="886"/>
      <c r="I242" s="886"/>
      <c r="J242" s="886"/>
      <c r="K242" s="886"/>
      <c r="L242" s="886"/>
      <c r="M242" s="886"/>
      <c r="N242" s="886"/>
      <c r="O242" s="886"/>
      <c r="P242" s="886"/>
      <c r="Q242" s="886"/>
      <c r="R242" s="886"/>
      <c r="S242" s="886"/>
      <c r="T242" s="886"/>
      <c r="U242" s="886"/>
    </row>
    <row r="243" spans="3:21">
      <c r="C243" s="942"/>
      <c r="D243" s="942"/>
      <c r="E243" s="943"/>
      <c r="F243" s="886"/>
      <c r="G243" s="886"/>
      <c r="H243" s="886"/>
      <c r="I243" s="886"/>
      <c r="J243" s="886"/>
      <c r="K243" s="886"/>
      <c r="L243" s="886"/>
      <c r="M243" s="886"/>
      <c r="N243" s="886"/>
      <c r="O243" s="886"/>
      <c r="P243" s="886"/>
      <c r="Q243" s="886"/>
      <c r="R243" s="886"/>
      <c r="S243" s="886"/>
      <c r="T243" s="886"/>
      <c r="U243" s="886"/>
    </row>
    <row r="244" spans="3:21">
      <c r="C244" s="942"/>
      <c r="D244" s="942"/>
      <c r="E244" s="943"/>
      <c r="F244" s="886"/>
      <c r="G244" s="886"/>
      <c r="H244" s="886"/>
      <c r="I244" s="886"/>
      <c r="J244" s="886"/>
      <c r="K244" s="886"/>
      <c r="L244" s="886"/>
      <c r="M244" s="886"/>
      <c r="N244" s="886"/>
      <c r="O244" s="886"/>
      <c r="P244" s="886"/>
      <c r="Q244" s="886"/>
      <c r="R244" s="886"/>
      <c r="S244" s="886"/>
      <c r="T244" s="886"/>
      <c r="U244" s="886"/>
    </row>
    <row r="245" spans="3:21">
      <c r="C245" s="942"/>
      <c r="D245" s="942"/>
      <c r="E245" s="943"/>
      <c r="F245" s="886"/>
      <c r="G245" s="886"/>
      <c r="H245" s="886"/>
      <c r="I245" s="886"/>
      <c r="J245" s="886"/>
      <c r="K245" s="886"/>
      <c r="L245" s="886"/>
      <c r="M245" s="886"/>
      <c r="N245" s="886"/>
      <c r="O245" s="886"/>
      <c r="P245" s="886"/>
      <c r="Q245" s="886"/>
      <c r="R245" s="886"/>
      <c r="S245" s="886"/>
      <c r="T245" s="886"/>
      <c r="U245" s="886"/>
    </row>
    <row r="246" spans="3:21">
      <c r="C246" s="942"/>
      <c r="D246" s="942"/>
      <c r="E246" s="943"/>
      <c r="F246" s="886"/>
      <c r="G246" s="886"/>
      <c r="H246" s="886"/>
      <c r="I246" s="886"/>
      <c r="J246" s="886"/>
      <c r="K246" s="886"/>
      <c r="L246" s="886"/>
      <c r="M246" s="886"/>
      <c r="N246" s="886"/>
      <c r="O246" s="886"/>
      <c r="P246" s="886"/>
      <c r="Q246" s="886"/>
      <c r="R246" s="886"/>
      <c r="S246" s="886"/>
      <c r="T246" s="886"/>
      <c r="U246" s="886"/>
    </row>
    <row r="247" spans="3:21">
      <c r="C247" s="942"/>
      <c r="D247" s="942"/>
      <c r="E247" s="943"/>
      <c r="F247" s="886"/>
      <c r="G247" s="886"/>
      <c r="H247" s="886"/>
      <c r="I247" s="886"/>
      <c r="J247" s="886"/>
      <c r="K247" s="886"/>
      <c r="L247" s="886"/>
      <c r="M247" s="886"/>
      <c r="N247" s="886"/>
      <c r="O247" s="886"/>
      <c r="P247" s="886"/>
      <c r="Q247" s="886"/>
      <c r="R247" s="886"/>
      <c r="S247" s="886"/>
      <c r="T247" s="886"/>
      <c r="U247" s="886"/>
    </row>
    <row r="248" spans="3:21">
      <c r="C248" s="942"/>
      <c r="D248" s="942"/>
      <c r="E248" s="943"/>
      <c r="F248" s="886"/>
      <c r="G248" s="886"/>
      <c r="H248" s="886"/>
      <c r="I248" s="886"/>
      <c r="J248" s="886"/>
      <c r="K248" s="886"/>
      <c r="L248" s="886"/>
      <c r="M248" s="886"/>
      <c r="N248" s="886"/>
      <c r="O248" s="886"/>
      <c r="P248" s="886"/>
      <c r="Q248" s="886"/>
      <c r="R248" s="886"/>
      <c r="S248" s="886"/>
      <c r="T248" s="886"/>
      <c r="U248" s="886"/>
    </row>
    <row r="249" spans="3:21">
      <c r="C249" s="942"/>
      <c r="D249" s="942"/>
      <c r="E249" s="943"/>
      <c r="F249" s="886"/>
      <c r="G249" s="886"/>
      <c r="H249" s="886"/>
      <c r="I249" s="886"/>
      <c r="J249" s="886"/>
      <c r="K249" s="886"/>
      <c r="L249" s="886"/>
      <c r="M249" s="886"/>
      <c r="N249" s="886"/>
      <c r="O249" s="886"/>
      <c r="P249" s="886"/>
      <c r="Q249" s="886"/>
      <c r="R249" s="886"/>
      <c r="S249" s="886"/>
      <c r="T249" s="886"/>
      <c r="U249" s="886"/>
    </row>
    <row r="250" spans="3:21">
      <c r="C250" s="942"/>
      <c r="D250" s="942"/>
      <c r="E250" s="943"/>
      <c r="F250" s="886"/>
      <c r="G250" s="886"/>
      <c r="H250" s="886"/>
      <c r="I250" s="886"/>
      <c r="J250" s="886"/>
      <c r="K250" s="886"/>
      <c r="L250" s="886"/>
      <c r="M250" s="886"/>
      <c r="N250" s="886"/>
      <c r="O250" s="886"/>
      <c r="P250" s="886"/>
      <c r="Q250" s="886"/>
      <c r="R250" s="886"/>
      <c r="S250" s="886"/>
      <c r="T250" s="886"/>
      <c r="U250" s="886"/>
    </row>
    <row r="251" spans="3:21">
      <c r="C251" s="942"/>
      <c r="D251" s="942"/>
      <c r="E251" s="943"/>
      <c r="F251" s="886"/>
      <c r="G251" s="886"/>
      <c r="H251" s="886"/>
      <c r="I251" s="886"/>
      <c r="J251" s="886"/>
      <c r="K251" s="886"/>
      <c r="L251" s="886"/>
      <c r="M251" s="886"/>
      <c r="N251" s="886"/>
      <c r="O251" s="886"/>
      <c r="P251" s="886"/>
      <c r="Q251" s="886"/>
      <c r="R251" s="886"/>
      <c r="S251" s="886"/>
      <c r="T251" s="886"/>
      <c r="U251" s="886"/>
    </row>
    <row r="252" spans="3:21">
      <c r="C252" s="942"/>
      <c r="D252" s="942"/>
      <c r="E252" s="943"/>
      <c r="F252" s="886"/>
      <c r="G252" s="886"/>
      <c r="H252" s="886"/>
      <c r="I252" s="886"/>
      <c r="J252" s="886"/>
      <c r="K252" s="886"/>
      <c r="L252" s="886"/>
      <c r="M252" s="886"/>
      <c r="N252" s="886"/>
      <c r="O252" s="886"/>
      <c r="P252" s="886"/>
      <c r="Q252" s="886"/>
      <c r="R252" s="886"/>
      <c r="S252" s="886"/>
      <c r="T252" s="886"/>
      <c r="U252" s="886"/>
    </row>
    <row r="253" spans="3:21">
      <c r="C253" s="942"/>
      <c r="D253" s="942"/>
      <c r="E253" s="943"/>
      <c r="F253" s="886"/>
      <c r="G253" s="886"/>
      <c r="H253" s="886"/>
      <c r="I253" s="886"/>
      <c r="J253" s="886"/>
      <c r="K253" s="886"/>
      <c r="L253" s="886"/>
      <c r="M253" s="886"/>
      <c r="N253" s="886"/>
      <c r="O253" s="886"/>
      <c r="P253" s="886"/>
      <c r="Q253" s="886"/>
      <c r="R253" s="886"/>
      <c r="S253" s="886"/>
      <c r="T253" s="886"/>
      <c r="U253" s="886"/>
    </row>
    <row r="254" spans="3:21">
      <c r="C254" s="942"/>
      <c r="D254" s="942"/>
      <c r="E254" s="943"/>
      <c r="F254" s="886"/>
      <c r="G254" s="886"/>
      <c r="H254" s="886"/>
      <c r="I254" s="886"/>
      <c r="J254" s="886"/>
      <c r="K254" s="886"/>
      <c r="L254" s="886"/>
      <c r="M254" s="886"/>
      <c r="N254" s="886"/>
      <c r="O254" s="886"/>
      <c r="P254" s="886"/>
      <c r="Q254" s="886"/>
      <c r="R254" s="886"/>
      <c r="S254" s="886"/>
      <c r="T254" s="886"/>
      <c r="U254" s="886"/>
    </row>
    <row r="255" spans="3:21">
      <c r="C255" s="942"/>
      <c r="D255" s="942"/>
      <c r="E255" s="943"/>
      <c r="F255" s="886"/>
      <c r="G255" s="886"/>
      <c r="H255" s="886"/>
      <c r="I255" s="886"/>
      <c r="J255" s="886"/>
      <c r="K255" s="886"/>
      <c r="L255" s="886"/>
      <c r="M255" s="886"/>
      <c r="N255" s="886"/>
      <c r="O255" s="886"/>
      <c r="P255" s="886"/>
      <c r="Q255" s="886"/>
      <c r="R255" s="886"/>
      <c r="S255" s="886"/>
      <c r="T255" s="886"/>
      <c r="U255" s="886"/>
    </row>
    <row r="256" spans="3:21">
      <c r="C256" s="942"/>
      <c r="D256" s="942"/>
      <c r="E256" s="943"/>
      <c r="F256" s="886"/>
      <c r="G256" s="886"/>
      <c r="H256" s="886"/>
      <c r="I256" s="886"/>
      <c r="J256" s="886"/>
      <c r="K256" s="886"/>
      <c r="L256" s="886"/>
      <c r="M256" s="886"/>
      <c r="N256" s="886"/>
      <c r="O256" s="886"/>
      <c r="P256" s="886"/>
      <c r="Q256" s="886"/>
      <c r="R256" s="886"/>
      <c r="S256" s="886"/>
      <c r="T256" s="886"/>
      <c r="U256" s="886"/>
    </row>
    <row r="257" spans="3:21">
      <c r="C257" s="942"/>
      <c r="D257" s="942"/>
      <c r="E257" s="943"/>
      <c r="F257" s="886"/>
      <c r="G257" s="886"/>
      <c r="H257" s="886"/>
      <c r="I257" s="886"/>
      <c r="J257" s="886"/>
      <c r="K257" s="886"/>
      <c r="L257" s="886"/>
      <c r="M257" s="886"/>
      <c r="N257" s="886"/>
      <c r="O257" s="886"/>
      <c r="P257" s="886"/>
      <c r="Q257" s="886"/>
      <c r="R257" s="886"/>
      <c r="S257" s="886"/>
      <c r="T257" s="886"/>
      <c r="U257" s="886"/>
    </row>
    <row r="258" spans="3:21">
      <c r="C258" s="942"/>
      <c r="D258" s="942"/>
      <c r="E258" s="943"/>
      <c r="F258" s="886"/>
      <c r="G258" s="886"/>
      <c r="H258" s="886"/>
      <c r="I258" s="886"/>
      <c r="J258" s="886"/>
      <c r="K258" s="886"/>
      <c r="L258" s="886"/>
      <c r="M258" s="886"/>
      <c r="N258" s="886"/>
      <c r="O258" s="886"/>
      <c r="P258" s="886"/>
      <c r="Q258" s="886"/>
      <c r="R258" s="886"/>
      <c r="S258" s="886"/>
      <c r="T258" s="886"/>
      <c r="U258" s="886"/>
    </row>
    <row r="259" spans="3:21">
      <c r="C259" s="942"/>
      <c r="D259" s="942"/>
      <c r="E259" s="943"/>
      <c r="F259" s="886"/>
      <c r="G259" s="886"/>
      <c r="H259" s="886"/>
      <c r="I259" s="886"/>
      <c r="J259" s="886"/>
      <c r="K259" s="886"/>
      <c r="L259" s="886"/>
      <c r="M259" s="886"/>
      <c r="N259" s="886"/>
      <c r="O259" s="886"/>
      <c r="P259" s="886"/>
      <c r="Q259" s="886"/>
      <c r="R259" s="886"/>
      <c r="S259" s="886"/>
      <c r="T259" s="886"/>
      <c r="U259" s="886"/>
    </row>
    <row r="260" spans="3:21">
      <c r="C260" s="942"/>
      <c r="D260" s="942"/>
      <c r="E260" s="943"/>
      <c r="F260" s="886"/>
      <c r="G260" s="886"/>
      <c r="H260" s="886"/>
      <c r="I260" s="886"/>
      <c r="J260" s="886"/>
      <c r="K260" s="886"/>
      <c r="L260" s="886"/>
      <c r="M260" s="886"/>
      <c r="N260" s="886"/>
      <c r="O260" s="886"/>
      <c r="P260" s="886"/>
      <c r="Q260" s="886"/>
      <c r="R260" s="886"/>
      <c r="S260" s="886"/>
      <c r="T260" s="886"/>
      <c r="U260" s="886"/>
    </row>
    <row r="261" spans="3:21">
      <c r="C261" s="942"/>
      <c r="D261" s="942"/>
      <c r="E261" s="943"/>
      <c r="F261" s="886"/>
      <c r="G261" s="886"/>
      <c r="H261" s="886"/>
      <c r="I261" s="886"/>
      <c r="J261" s="886"/>
      <c r="K261" s="886"/>
      <c r="L261" s="886"/>
      <c r="M261" s="886"/>
      <c r="N261" s="886"/>
      <c r="O261" s="886"/>
      <c r="P261" s="886"/>
      <c r="Q261" s="886"/>
      <c r="R261" s="886"/>
      <c r="S261" s="886"/>
      <c r="T261" s="886"/>
      <c r="U261" s="886"/>
    </row>
    <row r="262" spans="3:21">
      <c r="C262" s="942"/>
      <c r="D262" s="942"/>
      <c r="E262" s="943"/>
      <c r="F262" s="886"/>
      <c r="G262" s="886"/>
      <c r="H262" s="886"/>
      <c r="I262" s="886"/>
      <c r="J262" s="886"/>
      <c r="K262" s="886"/>
      <c r="L262" s="886"/>
      <c r="M262" s="886"/>
      <c r="N262" s="886"/>
      <c r="O262" s="886"/>
      <c r="P262" s="886"/>
      <c r="Q262" s="886"/>
      <c r="R262" s="886"/>
      <c r="S262" s="886"/>
      <c r="T262" s="886"/>
      <c r="U262" s="886"/>
    </row>
    <row r="263" spans="3:21">
      <c r="C263" s="942"/>
      <c r="D263" s="942"/>
      <c r="E263" s="943"/>
      <c r="F263" s="886"/>
      <c r="G263" s="886"/>
      <c r="H263" s="886"/>
      <c r="I263" s="886"/>
      <c r="J263" s="886"/>
      <c r="K263" s="886"/>
      <c r="L263" s="886"/>
      <c r="M263" s="886"/>
      <c r="N263" s="886"/>
      <c r="O263" s="886"/>
      <c r="P263" s="886"/>
      <c r="Q263" s="886"/>
      <c r="R263" s="886"/>
      <c r="S263" s="886"/>
      <c r="T263" s="886"/>
      <c r="U263" s="886"/>
    </row>
    <row r="264" spans="3:21">
      <c r="C264" s="942"/>
      <c r="D264" s="942"/>
      <c r="E264" s="943"/>
      <c r="F264" s="886"/>
      <c r="G264" s="886"/>
      <c r="H264" s="886"/>
      <c r="I264" s="886"/>
      <c r="J264" s="886"/>
      <c r="K264" s="886"/>
      <c r="L264" s="886"/>
      <c r="M264" s="886"/>
      <c r="N264" s="886"/>
      <c r="O264" s="886"/>
      <c r="P264" s="886"/>
      <c r="Q264" s="886"/>
      <c r="R264" s="886"/>
      <c r="S264" s="886"/>
      <c r="T264" s="886"/>
      <c r="U264" s="886"/>
    </row>
    <row r="265" spans="3:21">
      <c r="C265" s="942"/>
      <c r="D265" s="942"/>
      <c r="E265" s="943"/>
      <c r="F265" s="886"/>
      <c r="G265" s="886"/>
      <c r="H265" s="886"/>
      <c r="I265" s="886"/>
      <c r="J265" s="886"/>
      <c r="K265" s="886"/>
      <c r="L265" s="886"/>
      <c r="M265" s="886"/>
      <c r="N265" s="886"/>
      <c r="O265" s="886"/>
      <c r="P265" s="886"/>
      <c r="Q265" s="886"/>
      <c r="R265" s="886"/>
      <c r="S265" s="886"/>
      <c r="T265" s="886"/>
      <c r="U265" s="886"/>
    </row>
    <row r="266" spans="3:21">
      <c r="C266" s="942"/>
      <c r="D266" s="942"/>
      <c r="E266" s="943"/>
      <c r="F266" s="886"/>
      <c r="G266" s="886"/>
      <c r="H266" s="886"/>
      <c r="I266" s="886"/>
      <c r="J266" s="886"/>
      <c r="K266" s="886"/>
      <c r="L266" s="886"/>
      <c r="M266" s="886"/>
      <c r="N266" s="886"/>
      <c r="O266" s="886"/>
      <c r="P266" s="886"/>
      <c r="Q266" s="886"/>
      <c r="R266" s="886"/>
      <c r="S266" s="886"/>
      <c r="T266" s="886"/>
      <c r="U266" s="886"/>
    </row>
    <row r="267" spans="3:21">
      <c r="C267" s="942"/>
      <c r="D267" s="942"/>
      <c r="E267" s="943"/>
      <c r="F267" s="886"/>
      <c r="G267" s="886"/>
      <c r="H267" s="886"/>
      <c r="I267" s="886"/>
      <c r="J267" s="886"/>
      <c r="K267" s="886"/>
      <c r="L267" s="886"/>
      <c r="M267" s="886"/>
      <c r="N267" s="886"/>
      <c r="O267" s="886"/>
      <c r="P267" s="886"/>
      <c r="Q267" s="886"/>
      <c r="R267" s="886"/>
      <c r="S267" s="886"/>
      <c r="T267" s="886"/>
      <c r="U267" s="886"/>
    </row>
    <row r="268" spans="3:21">
      <c r="C268" s="942"/>
      <c r="D268" s="942"/>
      <c r="E268" s="943"/>
      <c r="F268" s="886"/>
      <c r="G268" s="886"/>
      <c r="H268" s="886"/>
      <c r="I268" s="886"/>
      <c r="J268" s="886"/>
      <c r="K268" s="886"/>
      <c r="L268" s="886"/>
      <c r="M268" s="886"/>
      <c r="N268" s="886"/>
      <c r="O268" s="886"/>
      <c r="P268" s="886"/>
      <c r="Q268" s="886"/>
      <c r="R268" s="886"/>
      <c r="S268" s="886"/>
      <c r="T268" s="886"/>
      <c r="U268" s="886"/>
    </row>
    <row r="269" spans="3:21">
      <c r="C269" s="942"/>
      <c r="D269" s="942"/>
      <c r="E269" s="943"/>
      <c r="F269" s="886"/>
      <c r="G269" s="886"/>
      <c r="H269" s="886"/>
      <c r="I269" s="886"/>
      <c r="J269" s="886"/>
      <c r="K269" s="886"/>
      <c r="L269" s="886"/>
      <c r="M269" s="886"/>
      <c r="N269" s="886"/>
      <c r="O269" s="886"/>
      <c r="P269" s="886"/>
      <c r="Q269" s="886"/>
      <c r="R269" s="886"/>
      <c r="S269" s="886"/>
      <c r="T269" s="886"/>
      <c r="U269" s="886"/>
    </row>
    <row r="270" spans="3:21">
      <c r="C270" s="942"/>
      <c r="D270" s="942"/>
      <c r="E270" s="943"/>
      <c r="F270" s="886"/>
      <c r="G270" s="886"/>
      <c r="H270" s="886"/>
      <c r="I270" s="886"/>
      <c r="J270" s="886"/>
      <c r="K270" s="886"/>
      <c r="L270" s="886"/>
      <c r="M270" s="886"/>
      <c r="N270" s="886"/>
      <c r="O270" s="886"/>
      <c r="P270" s="886"/>
      <c r="Q270" s="886"/>
      <c r="R270" s="886"/>
      <c r="S270" s="886"/>
      <c r="T270" s="886"/>
      <c r="U270" s="886"/>
    </row>
    <row r="271" spans="3:21">
      <c r="C271" s="942"/>
      <c r="D271" s="942"/>
      <c r="E271" s="943"/>
      <c r="F271" s="886"/>
      <c r="G271" s="886"/>
      <c r="H271" s="886"/>
      <c r="I271" s="886"/>
      <c r="J271" s="886"/>
      <c r="K271" s="886"/>
      <c r="L271" s="886"/>
      <c r="M271" s="886"/>
      <c r="N271" s="886"/>
      <c r="O271" s="886"/>
      <c r="P271" s="886"/>
      <c r="Q271" s="886"/>
      <c r="R271" s="886"/>
      <c r="S271" s="886"/>
      <c r="T271" s="886"/>
      <c r="U271" s="886"/>
    </row>
    <row r="272" spans="3:21">
      <c r="C272" s="942"/>
      <c r="D272" s="942"/>
      <c r="E272" s="943"/>
      <c r="F272" s="886"/>
      <c r="G272" s="886"/>
      <c r="H272" s="886"/>
      <c r="I272" s="886"/>
      <c r="J272" s="886"/>
      <c r="K272" s="886"/>
      <c r="L272" s="886"/>
      <c r="M272" s="886"/>
      <c r="N272" s="886"/>
      <c r="O272" s="886"/>
      <c r="P272" s="886"/>
      <c r="Q272" s="886"/>
      <c r="R272" s="886"/>
      <c r="S272" s="886"/>
      <c r="T272" s="886"/>
      <c r="U272" s="886"/>
    </row>
    <row r="273" spans="3:21">
      <c r="C273" s="942"/>
      <c r="D273" s="942"/>
      <c r="E273" s="943"/>
      <c r="F273" s="886"/>
      <c r="G273" s="886"/>
      <c r="H273" s="886"/>
      <c r="I273" s="886"/>
      <c r="J273" s="886"/>
      <c r="K273" s="886"/>
      <c r="L273" s="886"/>
      <c r="M273" s="886"/>
      <c r="N273" s="886"/>
      <c r="O273" s="886"/>
      <c r="P273" s="886"/>
      <c r="Q273" s="886"/>
      <c r="R273" s="886"/>
      <c r="S273" s="886"/>
      <c r="T273" s="886"/>
      <c r="U273" s="886"/>
    </row>
    <row r="274" spans="3:21">
      <c r="C274" s="942"/>
      <c r="D274" s="942"/>
      <c r="E274" s="943"/>
      <c r="F274" s="886"/>
      <c r="G274" s="886"/>
      <c r="H274" s="886"/>
      <c r="I274" s="886"/>
      <c r="J274" s="886"/>
      <c r="K274" s="886"/>
      <c r="L274" s="886"/>
      <c r="M274" s="886"/>
      <c r="N274" s="886"/>
      <c r="O274" s="886"/>
      <c r="P274" s="886"/>
      <c r="Q274" s="886"/>
      <c r="R274" s="886"/>
      <c r="S274" s="886"/>
      <c r="T274" s="886"/>
      <c r="U274" s="886"/>
    </row>
    <row r="275" spans="3:21">
      <c r="C275" s="942"/>
      <c r="D275" s="942"/>
      <c r="E275" s="943"/>
      <c r="F275" s="886"/>
      <c r="G275" s="886"/>
      <c r="H275" s="886"/>
      <c r="I275" s="886"/>
      <c r="J275" s="886"/>
      <c r="K275" s="886"/>
      <c r="L275" s="886"/>
      <c r="M275" s="886"/>
      <c r="N275" s="886"/>
      <c r="O275" s="886"/>
      <c r="P275" s="886"/>
      <c r="Q275" s="886"/>
      <c r="R275" s="886"/>
      <c r="S275" s="886"/>
      <c r="T275" s="886"/>
      <c r="U275" s="886"/>
    </row>
    <row r="276" spans="3:21">
      <c r="C276" s="942"/>
      <c r="D276" s="942"/>
      <c r="E276" s="943"/>
      <c r="F276" s="886"/>
      <c r="G276" s="886"/>
      <c r="H276" s="886"/>
      <c r="I276" s="886"/>
      <c r="J276" s="886"/>
      <c r="K276" s="886"/>
      <c r="L276" s="886"/>
      <c r="M276" s="886"/>
      <c r="N276" s="886"/>
      <c r="O276" s="886"/>
      <c r="P276" s="886"/>
      <c r="Q276" s="886"/>
      <c r="R276" s="886"/>
      <c r="S276" s="886"/>
      <c r="T276" s="886"/>
      <c r="U276" s="886"/>
    </row>
    <row r="277" spans="3:21">
      <c r="C277" s="942"/>
      <c r="D277" s="942"/>
      <c r="E277" s="943"/>
      <c r="F277" s="886"/>
      <c r="G277" s="886"/>
      <c r="H277" s="886"/>
      <c r="I277" s="886"/>
      <c r="J277" s="886"/>
      <c r="K277" s="886"/>
      <c r="L277" s="886"/>
      <c r="M277" s="886"/>
      <c r="N277" s="886"/>
      <c r="O277" s="886"/>
      <c r="P277" s="886"/>
      <c r="Q277" s="886"/>
      <c r="R277" s="886"/>
      <c r="S277" s="886"/>
      <c r="T277" s="886"/>
      <c r="U277" s="886"/>
    </row>
    <row r="278" spans="3:21">
      <c r="C278" s="942"/>
      <c r="D278" s="942"/>
      <c r="E278" s="943"/>
      <c r="F278" s="886"/>
      <c r="G278" s="886"/>
      <c r="H278" s="886"/>
      <c r="I278" s="886"/>
      <c r="J278" s="886"/>
      <c r="K278" s="886"/>
      <c r="L278" s="886"/>
      <c r="M278" s="886"/>
      <c r="N278" s="886"/>
      <c r="O278" s="886"/>
      <c r="P278" s="886"/>
      <c r="Q278" s="886"/>
      <c r="R278" s="886"/>
      <c r="S278" s="886"/>
      <c r="T278" s="886"/>
      <c r="U278" s="886"/>
    </row>
    <row r="279" spans="3:21">
      <c r="C279" s="942"/>
      <c r="D279" s="942"/>
      <c r="E279" s="943"/>
      <c r="F279" s="886"/>
      <c r="G279" s="886"/>
      <c r="H279" s="886"/>
      <c r="I279" s="886"/>
      <c r="J279" s="886"/>
      <c r="K279" s="886"/>
      <c r="L279" s="886"/>
      <c r="M279" s="886"/>
      <c r="N279" s="886"/>
      <c r="O279" s="886"/>
      <c r="P279" s="886"/>
      <c r="Q279" s="886"/>
      <c r="R279" s="886"/>
      <c r="S279" s="886"/>
      <c r="T279" s="886"/>
      <c r="U279" s="886"/>
    </row>
    <row r="280" spans="3:21">
      <c r="C280" s="942"/>
      <c r="D280" s="942"/>
      <c r="E280" s="943"/>
      <c r="F280" s="886"/>
      <c r="G280" s="886"/>
      <c r="H280" s="886"/>
      <c r="I280" s="886"/>
      <c r="J280" s="886"/>
      <c r="K280" s="886"/>
      <c r="L280" s="886"/>
      <c r="M280" s="886"/>
      <c r="N280" s="886"/>
      <c r="O280" s="886"/>
      <c r="P280" s="886"/>
      <c r="Q280" s="886"/>
      <c r="R280" s="886"/>
      <c r="S280" s="886"/>
      <c r="T280" s="886"/>
      <c r="U280" s="886"/>
    </row>
    <row r="281" spans="3:21">
      <c r="C281" s="942"/>
      <c r="D281" s="942"/>
      <c r="E281" s="943"/>
      <c r="F281" s="886"/>
      <c r="G281" s="886"/>
      <c r="H281" s="886"/>
      <c r="I281" s="886"/>
      <c r="J281" s="886"/>
      <c r="K281" s="886"/>
      <c r="L281" s="886"/>
      <c r="M281" s="886"/>
      <c r="N281" s="886"/>
      <c r="O281" s="886"/>
      <c r="P281" s="886"/>
      <c r="Q281" s="886"/>
      <c r="R281" s="886"/>
      <c r="S281" s="886"/>
      <c r="T281" s="886"/>
      <c r="U281" s="886"/>
    </row>
    <row r="282" spans="3:21">
      <c r="C282" s="942"/>
      <c r="D282" s="942"/>
      <c r="E282" s="943"/>
      <c r="F282" s="886"/>
      <c r="G282" s="886"/>
      <c r="H282" s="886"/>
      <c r="I282" s="886"/>
      <c r="J282" s="886"/>
      <c r="K282" s="886"/>
      <c r="L282" s="886"/>
      <c r="M282" s="886"/>
      <c r="N282" s="886"/>
      <c r="O282" s="886"/>
      <c r="P282" s="886"/>
      <c r="Q282" s="886"/>
      <c r="R282" s="886"/>
      <c r="S282" s="886"/>
      <c r="T282" s="886"/>
      <c r="U282" s="886"/>
    </row>
    <row r="283" spans="3:21">
      <c r="C283" s="942"/>
      <c r="D283" s="942"/>
      <c r="E283" s="943"/>
      <c r="F283" s="886"/>
      <c r="G283" s="886"/>
      <c r="H283" s="886"/>
      <c r="I283" s="886"/>
      <c r="J283" s="886"/>
      <c r="K283" s="886"/>
      <c r="L283" s="886"/>
      <c r="M283" s="886"/>
      <c r="N283" s="886"/>
      <c r="O283" s="886"/>
      <c r="P283" s="886"/>
      <c r="Q283" s="886"/>
      <c r="R283" s="886"/>
      <c r="S283" s="886"/>
      <c r="T283" s="886"/>
      <c r="U283" s="886"/>
    </row>
    <row r="284" spans="3:21">
      <c r="C284" s="942"/>
      <c r="D284" s="942"/>
      <c r="E284" s="943"/>
      <c r="F284" s="886"/>
      <c r="G284" s="886"/>
      <c r="H284" s="886"/>
      <c r="I284" s="886"/>
      <c r="J284" s="886"/>
      <c r="K284" s="886"/>
      <c r="L284" s="886"/>
      <c r="M284" s="886"/>
      <c r="N284" s="886"/>
      <c r="O284" s="886"/>
      <c r="P284" s="886"/>
      <c r="Q284" s="886"/>
      <c r="R284" s="886"/>
      <c r="S284" s="886"/>
      <c r="T284" s="886"/>
      <c r="U284" s="886"/>
    </row>
    <row r="285" spans="3:21">
      <c r="C285" s="942"/>
      <c r="D285" s="942"/>
      <c r="E285" s="943"/>
      <c r="F285" s="886"/>
      <c r="G285" s="886"/>
      <c r="H285" s="886"/>
      <c r="I285" s="886"/>
      <c r="J285" s="886"/>
      <c r="K285" s="886"/>
      <c r="L285" s="886"/>
      <c r="M285" s="886"/>
      <c r="N285" s="886"/>
      <c r="O285" s="886"/>
      <c r="P285" s="886"/>
      <c r="Q285" s="886"/>
      <c r="R285" s="886"/>
      <c r="S285" s="886"/>
      <c r="T285" s="886"/>
      <c r="U285" s="886"/>
    </row>
    <row r="286" spans="3:21">
      <c r="C286" s="942"/>
      <c r="D286" s="942"/>
      <c r="E286" s="943"/>
      <c r="F286" s="886"/>
      <c r="G286" s="886"/>
      <c r="H286" s="886"/>
      <c r="I286" s="886"/>
      <c r="J286" s="886"/>
      <c r="K286" s="886"/>
      <c r="L286" s="886"/>
      <c r="M286" s="886"/>
      <c r="N286" s="886"/>
      <c r="O286" s="886"/>
      <c r="P286" s="886"/>
      <c r="Q286" s="886"/>
      <c r="R286" s="886"/>
      <c r="S286" s="886"/>
      <c r="T286" s="886"/>
      <c r="U286" s="886"/>
    </row>
    <row r="287" spans="3:21">
      <c r="C287" s="942"/>
      <c r="D287" s="942"/>
      <c r="E287" s="943"/>
      <c r="F287" s="886"/>
      <c r="G287" s="886"/>
      <c r="H287" s="886"/>
      <c r="I287" s="886"/>
      <c r="J287" s="886"/>
      <c r="K287" s="886"/>
      <c r="L287" s="886"/>
      <c r="M287" s="886"/>
      <c r="N287" s="886"/>
      <c r="O287" s="886"/>
      <c r="P287" s="886"/>
      <c r="Q287" s="886"/>
      <c r="R287" s="886"/>
      <c r="S287" s="886"/>
      <c r="T287" s="886"/>
      <c r="U287" s="886"/>
    </row>
    <row r="288" spans="3:21">
      <c r="C288" s="942"/>
      <c r="D288" s="942"/>
      <c r="E288" s="943"/>
      <c r="F288" s="886"/>
      <c r="G288" s="886"/>
      <c r="H288" s="886"/>
      <c r="I288" s="886"/>
      <c r="J288" s="886"/>
      <c r="K288" s="886"/>
      <c r="L288" s="886"/>
      <c r="M288" s="886"/>
      <c r="N288" s="886"/>
      <c r="O288" s="886"/>
      <c r="P288" s="886"/>
      <c r="Q288" s="886"/>
      <c r="R288" s="886"/>
      <c r="S288" s="886"/>
      <c r="T288" s="886"/>
      <c r="U288" s="886"/>
    </row>
    <row r="289" spans="3:21">
      <c r="C289" s="942"/>
      <c r="D289" s="942"/>
      <c r="E289" s="943"/>
      <c r="F289" s="886"/>
      <c r="G289" s="886"/>
      <c r="H289" s="886"/>
      <c r="I289" s="886"/>
      <c r="J289" s="886"/>
      <c r="K289" s="886"/>
      <c r="L289" s="886"/>
      <c r="M289" s="886"/>
      <c r="N289" s="886"/>
      <c r="O289" s="886"/>
      <c r="P289" s="886"/>
      <c r="Q289" s="886"/>
      <c r="R289" s="886"/>
      <c r="S289" s="886"/>
      <c r="T289" s="886"/>
      <c r="U289" s="886"/>
    </row>
    <row r="290" spans="3:21">
      <c r="C290" s="942"/>
      <c r="D290" s="942"/>
      <c r="E290" s="943"/>
      <c r="F290" s="886"/>
      <c r="G290" s="886"/>
      <c r="H290" s="886"/>
      <c r="I290" s="886"/>
      <c r="J290" s="886"/>
      <c r="K290" s="886"/>
      <c r="L290" s="886"/>
      <c r="M290" s="886"/>
      <c r="N290" s="886"/>
      <c r="O290" s="886"/>
      <c r="P290" s="886"/>
      <c r="Q290" s="886"/>
      <c r="R290" s="886"/>
      <c r="S290" s="886"/>
      <c r="T290" s="886"/>
      <c r="U290" s="886"/>
    </row>
    <row r="291" spans="3:21">
      <c r="C291" s="942"/>
      <c r="D291" s="942"/>
      <c r="E291" s="943"/>
      <c r="F291" s="886"/>
      <c r="G291" s="886"/>
      <c r="H291" s="886"/>
      <c r="I291" s="886"/>
      <c r="J291" s="886"/>
      <c r="K291" s="886"/>
      <c r="L291" s="886"/>
      <c r="M291" s="886"/>
      <c r="N291" s="886"/>
      <c r="O291" s="886"/>
      <c r="P291" s="886"/>
      <c r="Q291" s="886"/>
      <c r="R291" s="886"/>
      <c r="S291" s="886"/>
      <c r="T291" s="886"/>
      <c r="U291" s="886"/>
    </row>
    <row r="292" spans="3:21">
      <c r="C292" s="942"/>
      <c r="D292" s="942"/>
      <c r="E292" s="943"/>
      <c r="F292" s="886"/>
      <c r="G292" s="886"/>
      <c r="H292" s="886"/>
      <c r="I292" s="886"/>
      <c r="J292" s="886"/>
      <c r="K292" s="886"/>
      <c r="L292" s="886"/>
      <c r="M292" s="886"/>
      <c r="N292" s="886"/>
      <c r="O292" s="886"/>
      <c r="P292" s="886"/>
      <c r="Q292" s="886"/>
      <c r="R292" s="886"/>
      <c r="S292" s="886"/>
      <c r="T292" s="886"/>
      <c r="U292" s="886"/>
    </row>
    <row r="293" spans="3:21">
      <c r="C293" s="942"/>
      <c r="D293" s="942"/>
      <c r="E293" s="943"/>
      <c r="F293" s="886"/>
      <c r="G293" s="886"/>
      <c r="H293" s="886"/>
      <c r="I293" s="886"/>
      <c r="J293" s="886"/>
      <c r="K293" s="886"/>
      <c r="L293" s="886"/>
      <c r="M293" s="886"/>
      <c r="N293" s="886"/>
      <c r="O293" s="886"/>
      <c r="P293" s="886"/>
      <c r="Q293" s="886"/>
      <c r="R293" s="886"/>
      <c r="S293" s="886"/>
      <c r="T293" s="886"/>
      <c r="U293" s="886"/>
    </row>
    <row r="294" spans="3:21">
      <c r="C294" s="942"/>
      <c r="D294" s="942"/>
      <c r="E294" s="943"/>
      <c r="F294" s="886"/>
      <c r="G294" s="886"/>
      <c r="H294" s="886"/>
      <c r="I294" s="886"/>
      <c r="J294" s="886"/>
      <c r="K294" s="886"/>
      <c r="L294" s="886"/>
      <c r="M294" s="886"/>
      <c r="N294" s="886"/>
      <c r="O294" s="886"/>
      <c r="P294" s="886"/>
      <c r="Q294" s="886"/>
      <c r="R294" s="886"/>
      <c r="S294" s="886"/>
      <c r="T294" s="886"/>
      <c r="U294" s="886"/>
    </row>
    <row r="295" spans="3:21">
      <c r="C295" s="942"/>
      <c r="D295" s="942"/>
      <c r="E295" s="943"/>
      <c r="F295" s="886"/>
      <c r="G295" s="886"/>
      <c r="H295" s="886"/>
      <c r="I295" s="886"/>
      <c r="J295" s="886"/>
      <c r="K295" s="886"/>
      <c r="L295" s="886"/>
      <c r="M295" s="886"/>
      <c r="N295" s="886"/>
      <c r="O295" s="886"/>
      <c r="P295" s="886"/>
      <c r="Q295" s="886"/>
      <c r="R295" s="886"/>
      <c r="S295" s="886"/>
      <c r="T295" s="886"/>
      <c r="U295" s="886"/>
    </row>
    <row r="296" spans="3:21">
      <c r="C296" s="942"/>
      <c r="D296" s="942"/>
      <c r="E296" s="943"/>
      <c r="F296" s="886"/>
      <c r="G296" s="886"/>
      <c r="H296" s="886"/>
      <c r="I296" s="886"/>
      <c r="J296" s="886"/>
      <c r="K296" s="886"/>
      <c r="L296" s="886"/>
      <c r="M296" s="886"/>
      <c r="N296" s="886"/>
      <c r="O296" s="886"/>
      <c r="P296" s="886"/>
      <c r="Q296" s="886"/>
      <c r="R296" s="886"/>
      <c r="S296" s="886"/>
      <c r="T296" s="886"/>
      <c r="U296" s="886"/>
    </row>
    <row r="297" spans="3:21">
      <c r="C297" s="942"/>
      <c r="D297" s="942"/>
      <c r="E297" s="943"/>
      <c r="F297" s="886"/>
      <c r="G297" s="886"/>
      <c r="H297" s="886"/>
      <c r="I297" s="886"/>
      <c r="J297" s="886"/>
      <c r="K297" s="886"/>
      <c r="L297" s="886"/>
      <c r="M297" s="886"/>
      <c r="N297" s="886"/>
      <c r="O297" s="886"/>
      <c r="P297" s="886"/>
      <c r="Q297" s="886"/>
      <c r="R297" s="886"/>
      <c r="S297" s="886"/>
      <c r="T297" s="886"/>
      <c r="U297" s="886"/>
    </row>
    <row r="298" spans="3:21">
      <c r="C298" s="942"/>
      <c r="D298" s="942"/>
      <c r="E298" s="943"/>
      <c r="F298" s="886"/>
      <c r="G298" s="886"/>
      <c r="H298" s="886"/>
      <c r="I298" s="886"/>
      <c r="J298" s="886"/>
      <c r="K298" s="886"/>
      <c r="L298" s="886"/>
      <c r="M298" s="886"/>
      <c r="N298" s="886"/>
      <c r="O298" s="886"/>
      <c r="P298" s="886"/>
      <c r="Q298" s="886"/>
      <c r="R298" s="886"/>
      <c r="S298" s="886"/>
      <c r="T298" s="886"/>
      <c r="U298" s="886"/>
    </row>
    <row r="299" spans="3:21">
      <c r="C299" s="942"/>
      <c r="D299" s="942"/>
      <c r="E299" s="943"/>
      <c r="F299" s="886"/>
      <c r="G299" s="886"/>
      <c r="H299" s="886"/>
      <c r="I299" s="886"/>
      <c r="J299" s="886"/>
      <c r="K299" s="886"/>
      <c r="L299" s="886"/>
      <c r="M299" s="886"/>
      <c r="N299" s="886"/>
      <c r="O299" s="886"/>
      <c r="P299" s="886"/>
      <c r="Q299" s="886"/>
      <c r="R299" s="886"/>
      <c r="S299" s="886"/>
      <c r="T299" s="886"/>
      <c r="U299" s="886"/>
    </row>
    <row r="300" spans="3:21">
      <c r="C300" s="942"/>
      <c r="D300" s="942"/>
      <c r="E300" s="943"/>
      <c r="F300" s="886"/>
      <c r="G300" s="886"/>
      <c r="H300" s="886"/>
      <c r="I300" s="886"/>
      <c r="J300" s="886"/>
      <c r="K300" s="886"/>
      <c r="L300" s="886"/>
      <c r="M300" s="886"/>
      <c r="N300" s="886"/>
      <c r="O300" s="886"/>
      <c r="P300" s="886"/>
      <c r="Q300" s="886"/>
      <c r="R300" s="886"/>
      <c r="S300" s="886"/>
      <c r="T300" s="886"/>
      <c r="U300" s="886"/>
    </row>
    <row r="301" spans="3:21">
      <c r="C301" s="942"/>
      <c r="D301" s="942"/>
      <c r="E301" s="943"/>
      <c r="F301" s="886"/>
      <c r="G301" s="886"/>
      <c r="H301" s="886"/>
      <c r="I301" s="886"/>
      <c r="J301" s="886"/>
      <c r="K301" s="886"/>
      <c r="L301" s="886"/>
      <c r="M301" s="886"/>
      <c r="N301" s="886"/>
      <c r="O301" s="886"/>
      <c r="P301" s="886"/>
      <c r="Q301" s="886"/>
      <c r="R301" s="886"/>
      <c r="S301" s="886"/>
      <c r="T301" s="886"/>
      <c r="U301" s="886"/>
    </row>
    <row r="302" spans="3:21">
      <c r="C302" s="942"/>
      <c r="D302" s="942"/>
      <c r="E302" s="943"/>
      <c r="F302" s="886"/>
      <c r="G302" s="886"/>
      <c r="H302" s="886"/>
      <c r="I302" s="886"/>
      <c r="J302" s="886"/>
      <c r="K302" s="886"/>
      <c r="L302" s="886"/>
      <c r="M302" s="886"/>
      <c r="N302" s="886"/>
      <c r="O302" s="886"/>
      <c r="P302" s="886"/>
      <c r="Q302" s="886"/>
      <c r="R302" s="886"/>
      <c r="S302" s="886"/>
      <c r="T302" s="886"/>
      <c r="U302" s="886"/>
    </row>
    <row r="303" spans="3:21">
      <c r="C303" s="942"/>
      <c r="D303" s="942"/>
      <c r="E303" s="943"/>
      <c r="F303" s="886"/>
      <c r="G303" s="886"/>
      <c r="H303" s="886"/>
      <c r="I303" s="886"/>
      <c r="J303" s="886"/>
      <c r="K303" s="886"/>
      <c r="L303" s="886"/>
      <c r="M303" s="886"/>
      <c r="N303" s="886"/>
      <c r="O303" s="886"/>
      <c r="P303" s="886"/>
      <c r="Q303" s="886"/>
      <c r="R303" s="886"/>
      <c r="S303" s="886"/>
      <c r="T303" s="886"/>
      <c r="U303" s="886"/>
    </row>
    <row r="304" spans="3:21">
      <c r="C304" s="942"/>
      <c r="D304" s="942"/>
      <c r="E304" s="943"/>
      <c r="F304" s="886"/>
      <c r="G304" s="886"/>
      <c r="H304" s="886"/>
      <c r="I304" s="886"/>
      <c r="J304" s="886"/>
      <c r="K304" s="886"/>
      <c r="L304" s="886"/>
      <c r="M304" s="886"/>
      <c r="N304" s="886"/>
      <c r="O304" s="886"/>
      <c r="P304" s="886"/>
      <c r="Q304" s="886"/>
      <c r="R304" s="886"/>
      <c r="S304" s="886"/>
      <c r="T304" s="886"/>
      <c r="U304" s="886"/>
    </row>
    <row r="305" spans="3:21">
      <c r="C305" s="942"/>
      <c r="D305" s="942"/>
      <c r="E305" s="943"/>
      <c r="F305" s="886"/>
      <c r="G305" s="886"/>
      <c r="H305" s="886"/>
      <c r="I305" s="886"/>
      <c r="J305" s="886"/>
      <c r="K305" s="886"/>
      <c r="L305" s="886"/>
      <c r="M305" s="886"/>
      <c r="N305" s="886"/>
      <c r="O305" s="886"/>
      <c r="P305" s="886"/>
      <c r="Q305" s="886"/>
      <c r="R305" s="886"/>
      <c r="S305" s="886"/>
      <c r="T305" s="886"/>
      <c r="U305" s="886"/>
    </row>
    <row r="306" spans="3:21">
      <c r="C306" s="942"/>
      <c r="D306" s="942"/>
      <c r="E306" s="943"/>
      <c r="F306" s="886"/>
      <c r="G306" s="886"/>
      <c r="H306" s="886"/>
      <c r="I306" s="886"/>
      <c r="J306" s="886"/>
      <c r="K306" s="886"/>
      <c r="L306" s="886"/>
      <c r="M306" s="886"/>
      <c r="N306" s="886"/>
      <c r="O306" s="886"/>
      <c r="P306" s="886"/>
      <c r="Q306" s="886"/>
      <c r="R306" s="886"/>
      <c r="S306" s="886"/>
      <c r="T306" s="886"/>
      <c r="U306" s="886"/>
    </row>
    <row r="307" spans="3:21">
      <c r="C307" s="942"/>
      <c r="D307" s="942"/>
      <c r="E307" s="943"/>
      <c r="F307" s="886"/>
      <c r="G307" s="886"/>
      <c r="H307" s="886"/>
      <c r="I307" s="886"/>
      <c r="J307" s="886"/>
      <c r="K307" s="886"/>
      <c r="L307" s="886"/>
      <c r="M307" s="886"/>
      <c r="N307" s="886"/>
      <c r="O307" s="886"/>
      <c r="P307" s="886"/>
      <c r="Q307" s="886"/>
      <c r="R307" s="886"/>
      <c r="S307" s="886"/>
      <c r="T307" s="886"/>
      <c r="U307" s="886"/>
    </row>
    <row r="308" spans="3:21">
      <c r="C308" s="942"/>
      <c r="D308" s="942"/>
      <c r="E308" s="943"/>
      <c r="F308" s="886"/>
      <c r="G308" s="886"/>
      <c r="H308" s="886"/>
      <c r="I308" s="886"/>
      <c r="J308" s="886"/>
      <c r="K308" s="886"/>
      <c r="L308" s="886"/>
      <c r="M308" s="886"/>
      <c r="N308" s="886"/>
      <c r="O308" s="886"/>
      <c r="P308" s="886"/>
      <c r="Q308" s="886"/>
      <c r="R308" s="886"/>
      <c r="S308" s="886"/>
      <c r="T308" s="886"/>
      <c r="U308" s="886"/>
    </row>
    <row r="309" spans="3:21">
      <c r="C309" s="942"/>
      <c r="D309" s="942"/>
      <c r="E309" s="943"/>
      <c r="F309" s="886"/>
      <c r="G309" s="886"/>
      <c r="H309" s="886"/>
      <c r="I309" s="886"/>
      <c r="J309" s="886"/>
      <c r="K309" s="886"/>
      <c r="L309" s="886"/>
      <c r="M309" s="886"/>
      <c r="N309" s="886"/>
      <c r="O309" s="886"/>
      <c r="P309" s="886"/>
      <c r="Q309" s="886"/>
      <c r="R309" s="886"/>
      <c r="S309" s="886"/>
      <c r="T309" s="886"/>
      <c r="U309" s="886"/>
    </row>
    <row r="310" spans="3:21">
      <c r="C310" s="942"/>
      <c r="D310" s="942"/>
      <c r="E310" s="943"/>
      <c r="F310" s="886"/>
      <c r="G310" s="886"/>
      <c r="H310" s="886"/>
      <c r="I310" s="886"/>
      <c r="J310" s="886"/>
      <c r="K310" s="886"/>
      <c r="L310" s="886"/>
      <c r="M310" s="886"/>
      <c r="N310" s="886"/>
      <c r="O310" s="886"/>
      <c r="P310" s="886"/>
      <c r="Q310" s="886"/>
      <c r="R310" s="886"/>
      <c r="S310" s="886"/>
      <c r="T310" s="886"/>
      <c r="U310" s="886"/>
    </row>
    <row r="311" spans="3:21">
      <c r="C311" s="942"/>
      <c r="D311" s="942"/>
      <c r="E311" s="943"/>
      <c r="F311" s="886"/>
      <c r="G311" s="886"/>
      <c r="H311" s="886"/>
      <c r="I311" s="886"/>
      <c r="J311" s="886"/>
      <c r="K311" s="886"/>
      <c r="L311" s="886"/>
      <c r="M311" s="886"/>
      <c r="N311" s="886"/>
      <c r="O311" s="886"/>
      <c r="P311" s="886"/>
      <c r="Q311" s="886"/>
      <c r="R311" s="886"/>
      <c r="S311" s="886"/>
      <c r="T311" s="886"/>
      <c r="U311" s="886"/>
    </row>
    <row r="312" spans="3:21">
      <c r="C312" s="942"/>
      <c r="D312" s="942"/>
      <c r="E312" s="943"/>
      <c r="F312" s="886"/>
      <c r="G312" s="886"/>
      <c r="H312" s="886"/>
      <c r="I312" s="886"/>
      <c r="J312" s="886"/>
      <c r="K312" s="886"/>
      <c r="L312" s="886"/>
      <c r="M312" s="886"/>
      <c r="N312" s="886"/>
      <c r="O312" s="886"/>
      <c r="P312" s="886"/>
      <c r="Q312" s="886"/>
      <c r="R312" s="886"/>
      <c r="S312" s="886"/>
      <c r="T312" s="886"/>
      <c r="U312" s="886"/>
    </row>
    <row r="313" spans="3:21">
      <c r="C313" s="942"/>
      <c r="D313" s="942"/>
      <c r="E313" s="943"/>
      <c r="F313" s="886"/>
      <c r="G313" s="886"/>
      <c r="H313" s="886"/>
      <c r="I313" s="886"/>
      <c r="J313" s="886"/>
      <c r="K313" s="886"/>
      <c r="L313" s="886"/>
      <c r="M313" s="886"/>
      <c r="N313" s="886"/>
      <c r="O313" s="886"/>
      <c r="P313" s="886"/>
      <c r="Q313" s="886"/>
      <c r="R313" s="886"/>
      <c r="S313" s="886"/>
      <c r="T313" s="886"/>
      <c r="U313" s="886"/>
    </row>
    <row r="314" spans="3:21">
      <c r="C314" s="942"/>
      <c r="D314" s="942"/>
      <c r="E314" s="943"/>
      <c r="F314" s="886"/>
      <c r="G314" s="886"/>
      <c r="H314" s="886"/>
      <c r="I314" s="886"/>
      <c r="J314" s="886"/>
      <c r="K314" s="886"/>
      <c r="L314" s="886"/>
      <c r="M314" s="886"/>
      <c r="N314" s="886"/>
      <c r="O314" s="886"/>
      <c r="P314" s="886"/>
      <c r="Q314" s="886"/>
      <c r="R314" s="886"/>
      <c r="S314" s="886"/>
      <c r="T314" s="886"/>
      <c r="U314" s="886"/>
    </row>
    <row r="315" spans="3:21">
      <c r="C315" s="942"/>
      <c r="D315" s="942"/>
      <c r="E315" s="943"/>
      <c r="F315" s="886"/>
      <c r="G315" s="886"/>
      <c r="H315" s="886"/>
      <c r="I315" s="886"/>
      <c r="J315" s="886"/>
      <c r="K315" s="886"/>
      <c r="L315" s="886"/>
      <c r="M315" s="886"/>
      <c r="N315" s="886"/>
      <c r="O315" s="886"/>
      <c r="P315" s="886"/>
      <c r="Q315" s="886"/>
      <c r="R315" s="886"/>
      <c r="S315" s="886"/>
      <c r="T315" s="886"/>
      <c r="U315" s="886"/>
    </row>
    <row r="316" spans="3:21">
      <c r="C316" s="942"/>
      <c r="D316" s="942"/>
      <c r="E316" s="943"/>
      <c r="F316" s="886"/>
      <c r="G316" s="886"/>
      <c r="H316" s="886"/>
      <c r="I316" s="886"/>
      <c r="J316" s="886"/>
      <c r="K316" s="886"/>
      <c r="L316" s="886"/>
      <c r="M316" s="886"/>
      <c r="N316" s="886"/>
      <c r="O316" s="886"/>
      <c r="P316" s="886"/>
      <c r="Q316" s="886"/>
      <c r="R316" s="886"/>
      <c r="S316" s="886"/>
      <c r="T316" s="886"/>
      <c r="U316" s="886"/>
    </row>
    <row r="317" spans="3:21">
      <c r="C317" s="942"/>
      <c r="D317" s="942"/>
      <c r="E317" s="943"/>
      <c r="F317" s="886"/>
      <c r="G317" s="886"/>
      <c r="H317" s="886"/>
      <c r="I317" s="886"/>
      <c r="J317" s="886"/>
      <c r="K317" s="886"/>
      <c r="L317" s="886"/>
      <c r="M317" s="886"/>
      <c r="N317" s="886"/>
      <c r="O317" s="886"/>
      <c r="P317" s="886"/>
      <c r="Q317" s="886"/>
      <c r="R317" s="886"/>
      <c r="S317" s="886"/>
      <c r="T317" s="886"/>
      <c r="U317" s="886"/>
    </row>
    <row r="318" spans="3:21">
      <c r="C318" s="942"/>
      <c r="D318" s="942"/>
      <c r="E318" s="943"/>
      <c r="F318" s="886"/>
      <c r="G318" s="886"/>
      <c r="H318" s="886"/>
      <c r="I318" s="886"/>
      <c r="J318" s="886"/>
      <c r="K318" s="886"/>
      <c r="L318" s="886"/>
      <c r="M318" s="886"/>
      <c r="N318" s="886"/>
      <c r="O318" s="886"/>
      <c r="P318" s="886"/>
      <c r="Q318" s="886"/>
      <c r="R318" s="886"/>
      <c r="S318" s="886"/>
      <c r="T318" s="886"/>
      <c r="U318" s="886"/>
    </row>
    <row r="319" spans="3:21">
      <c r="C319" s="942"/>
      <c r="D319" s="942"/>
      <c r="E319" s="943"/>
      <c r="F319" s="886"/>
      <c r="G319" s="886"/>
      <c r="H319" s="886"/>
      <c r="I319" s="886"/>
      <c r="J319" s="886"/>
      <c r="K319" s="886"/>
      <c r="L319" s="886"/>
      <c r="M319" s="886"/>
      <c r="N319" s="886"/>
      <c r="O319" s="886"/>
      <c r="P319" s="886"/>
      <c r="Q319" s="886"/>
      <c r="R319" s="886"/>
      <c r="S319" s="886"/>
      <c r="T319" s="886"/>
      <c r="U319" s="886"/>
    </row>
    <row r="320" spans="3:21">
      <c r="C320" s="942"/>
      <c r="D320" s="942"/>
      <c r="E320" s="943"/>
      <c r="F320" s="886"/>
      <c r="G320" s="886"/>
      <c r="H320" s="886"/>
      <c r="I320" s="886"/>
      <c r="J320" s="886"/>
      <c r="K320" s="886"/>
      <c r="L320" s="886"/>
      <c r="M320" s="886"/>
      <c r="N320" s="886"/>
      <c r="O320" s="886"/>
      <c r="P320" s="886"/>
      <c r="Q320" s="886"/>
      <c r="R320" s="886"/>
      <c r="S320" s="886"/>
      <c r="T320" s="886"/>
      <c r="U320" s="886"/>
    </row>
    <row r="321" spans="3:21">
      <c r="C321" s="942"/>
      <c r="D321" s="942"/>
      <c r="E321" s="943"/>
      <c r="F321" s="886"/>
      <c r="G321" s="886"/>
      <c r="H321" s="886"/>
      <c r="I321" s="886"/>
      <c r="J321" s="886"/>
      <c r="K321" s="886"/>
      <c r="L321" s="886"/>
      <c r="M321" s="886"/>
      <c r="N321" s="886"/>
      <c r="O321" s="886"/>
      <c r="P321" s="886"/>
      <c r="Q321" s="886"/>
      <c r="R321" s="886"/>
      <c r="S321" s="886"/>
      <c r="T321" s="886"/>
      <c r="U321" s="886"/>
    </row>
    <row r="322" spans="3:21">
      <c r="C322" s="942"/>
      <c r="D322" s="942"/>
      <c r="E322" s="943"/>
      <c r="F322" s="886"/>
      <c r="G322" s="886"/>
      <c r="H322" s="886"/>
      <c r="I322" s="886"/>
      <c r="J322" s="886"/>
      <c r="K322" s="886"/>
      <c r="L322" s="886"/>
      <c r="M322" s="886"/>
      <c r="N322" s="886"/>
      <c r="O322" s="886"/>
      <c r="P322" s="886"/>
      <c r="Q322" s="886"/>
      <c r="R322" s="886"/>
      <c r="S322" s="886"/>
      <c r="T322" s="886"/>
      <c r="U322" s="886"/>
    </row>
    <row r="323" spans="3:21">
      <c r="C323" s="942"/>
      <c r="D323" s="942"/>
      <c r="E323" s="943"/>
      <c r="F323" s="886"/>
      <c r="G323" s="886"/>
      <c r="H323" s="886"/>
      <c r="I323" s="886"/>
      <c r="J323" s="886"/>
      <c r="K323" s="886"/>
      <c r="L323" s="886"/>
      <c r="M323" s="886"/>
      <c r="N323" s="886"/>
      <c r="O323" s="886"/>
      <c r="P323" s="886"/>
      <c r="Q323" s="886"/>
      <c r="R323" s="886"/>
      <c r="S323" s="886"/>
      <c r="T323" s="886"/>
      <c r="U323" s="886"/>
    </row>
    <row r="324" spans="3:21">
      <c r="C324" s="942"/>
      <c r="D324" s="942"/>
      <c r="E324" s="943"/>
      <c r="F324" s="886"/>
      <c r="G324" s="886"/>
      <c r="H324" s="886"/>
      <c r="I324" s="886"/>
      <c r="J324" s="886"/>
      <c r="K324" s="886"/>
      <c r="L324" s="886"/>
      <c r="M324" s="886"/>
      <c r="N324" s="886"/>
      <c r="O324" s="886"/>
      <c r="P324" s="886"/>
      <c r="Q324" s="886"/>
      <c r="R324" s="886"/>
      <c r="S324" s="886"/>
      <c r="T324" s="886"/>
      <c r="U324" s="886"/>
    </row>
    <row r="325" spans="3:21">
      <c r="C325" s="942"/>
      <c r="D325" s="942"/>
      <c r="E325" s="943"/>
      <c r="F325" s="886"/>
      <c r="G325" s="886"/>
      <c r="H325" s="886"/>
      <c r="I325" s="886"/>
      <c r="J325" s="886"/>
      <c r="K325" s="886"/>
      <c r="L325" s="886"/>
      <c r="M325" s="886"/>
      <c r="N325" s="886"/>
      <c r="O325" s="886"/>
      <c r="P325" s="886"/>
      <c r="Q325" s="886"/>
      <c r="R325" s="886"/>
      <c r="S325" s="886"/>
      <c r="T325" s="886"/>
      <c r="U325" s="886"/>
    </row>
    <row r="326" spans="3:21">
      <c r="C326" s="942"/>
      <c r="D326" s="942"/>
      <c r="E326" s="943"/>
      <c r="F326" s="886"/>
      <c r="G326" s="886"/>
      <c r="H326" s="886"/>
      <c r="I326" s="886"/>
      <c r="J326" s="886"/>
      <c r="K326" s="886"/>
      <c r="L326" s="886"/>
      <c r="M326" s="886"/>
      <c r="N326" s="886"/>
      <c r="O326" s="886"/>
      <c r="P326" s="886"/>
      <c r="Q326" s="886"/>
      <c r="R326" s="886"/>
      <c r="S326" s="886"/>
      <c r="T326" s="886"/>
      <c r="U326" s="886"/>
    </row>
    <row r="327" spans="3:21">
      <c r="C327" s="942"/>
      <c r="D327" s="942"/>
      <c r="E327" s="943"/>
      <c r="F327" s="886"/>
      <c r="G327" s="886"/>
      <c r="H327" s="886"/>
      <c r="I327" s="886"/>
      <c r="J327" s="886"/>
      <c r="K327" s="886"/>
      <c r="L327" s="886"/>
      <c r="M327" s="886"/>
      <c r="N327" s="886"/>
      <c r="O327" s="886"/>
      <c r="P327" s="886"/>
      <c r="Q327" s="886"/>
      <c r="R327" s="886"/>
      <c r="S327" s="886"/>
      <c r="T327" s="886"/>
      <c r="U327" s="886"/>
    </row>
    <row r="328" spans="3:21">
      <c r="C328" s="942"/>
      <c r="D328" s="942"/>
      <c r="E328" s="943"/>
      <c r="F328" s="886"/>
      <c r="G328" s="886"/>
      <c r="H328" s="886"/>
      <c r="I328" s="886"/>
      <c r="J328" s="886"/>
      <c r="K328" s="886"/>
      <c r="L328" s="886"/>
      <c r="M328" s="886"/>
      <c r="N328" s="886"/>
      <c r="O328" s="886"/>
      <c r="P328" s="886"/>
      <c r="Q328" s="886"/>
      <c r="R328" s="886"/>
      <c r="S328" s="886"/>
      <c r="T328" s="886"/>
      <c r="U328" s="886"/>
    </row>
    <row r="329" spans="3:21">
      <c r="C329" s="942"/>
      <c r="D329" s="942"/>
      <c r="E329" s="943"/>
      <c r="F329" s="886"/>
      <c r="G329" s="886"/>
      <c r="H329" s="886"/>
      <c r="I329" s="886"/>
      <c r="J329" s="886"/>
      <c r="K329" s="886"/>
      <c r="L329" s="886"/>
      <c r="M329" s="886"/>
      <c r="N329" s="886"/>
      <c r="O329" s="886"/>
      <c r="P329" s="886"/>
      <c r="Q329" s="886"/>
      <c r="R329" s="886"/>
      <c r="S329" s="886"/>
      <c r="T329" s="886"/>
      <c r="U329" s="886"/>
    </row>
    <row r="330" spans="3:21">
      <c r="C330" s="942"/>
      <c r="D330" s="942"/>
      <c r="E330" s="943"/>
      <c r="F330" s="886"/>
      <c r="G330" s="886"/>
      <c r="H330" s="886"/>
      <c r="I330" s="886"/>
      <c r="J330" s="886"/>
      <c r="K330" s="886"/>
      <c r="L330" s="886"/>
      <c r="M330" s="886"/>
      <c r="N330" s="886"/>
      <c r="O330" s="886"/>
      <c r="P330" s="886"/>
      <c r="Q330" s="886"/>
      <c r="R330" s="886"/>
      <c r="S330" s="886"/>
      <c r="T330" s="886"/>
      <c r="U330" s="886"/>
    </row>
    <row r="331" spans="3:21">
      <c r="C331" s="942"/>
      <c r="D331" s="942"/>
      <c r="E331" s="943"/>
      <c r="F331" s="886"/>
      <c r="G331" s="886"/>
      <c r="H331" s="886"/>
      <c r="I331" s="886"/>
      <c r="J331" s="886"/>
      <c r="K331" s="886"/>
      <c r="L331" s="886"/>
      <c r="M331" s="886"/>
      <c r="N331" s="886"/>
      <c r="O331" s="886"/>
      <c r="P331" s="886"/>
      <c r="Q331" s="886"/>
      <c r="R331" s="886"/>
      <c r="S331" s="886"/>
      <c r="T331" s="886"/>
      <c r="U331" s="886"/>
    </row>
    <row r="332" spans="3:21">
      <c r="C332" s="942"/>
      <c r="D332" s="942"/>
      <c r="E332" s="943"/>
      <c r="F332" s="886"/>
      <c r="G332" s="886"/>
      <c r="H332" s="886"/>
      <c r="I332" s="886"/>
      <c r="J332" s="886"/>
      <c r="K332" s="886"/>
      <c r="L332" s="886"/>
      <c r="M332" s="886"/>
      <c r="N332" s="886"/>
      <c r="O332" s="886"/>
      <c r="P332" s="886"/>
      <c r="Q332" s="886"/>
      <c r="R332" s="886"/>
      <c r="S332" s="886"/>
      <c r="T332" s="886"/>
      <c r="U332" s="886"/>
    </row>
    <row r="333" spans="3:21">
      <c r="C333" s="942"/>
      <c r="D333" s="942"/>
      <c r="E333" s="943"/>
      <c r="F333" s="886"/>
      <c r="G333" s="886"/>
      <c r="H333" s="886"/>
      <c r="I333" s="886"/>
      <c r="J333" s="886"/>
      <c r="K333" s="886"/>
      <c r="L333" s="886"/>
      <c r="M333" s="886"/>
      <c r="N333" s="886"/>
      <c r="O333" s="886"/>
      <c r="P333" s="886"/>
      <c r="Q333" s="886"/>
      <c r="R333" s="886"/>
      <c r="S333" s="886"/>
      <c r="T333" s="886"/>
      <c r="U333" s="886"/>
    </row>
    <row r="334" spans="3:21">
      <c r="C334" s="942"/>
      <c r="D334" s="942"/>
      <c r="E334" s="943"/>
      <c r="F334" s="886"/>
      <c r="G334" s="886"/>
      <c r="H334" s="886"/>
      <c r="I334" s="886"/>
      <c r="J334" s="886"/>
      <c r="K334" s="886"/>
      <c r="L334" s="886"/>
      <c r="M334" s="886"/>
      <c r="N334" s="886"/>
      <c r="O334" s="886"/>
      <c r="P334" s="886"/>
      <c r="Q334" s="886"/>
      <c r="R334" s="886"/>
      <c r="S334" s="886"/>
      <c r="T334" s="886"/>
      <c r="U334" s="886"/>
    </row>
    <row r="335" spans="3:21">
      <c r="C335" s="942"/>
      <c r="D335" s="942"/>
      <c r="E335" s="943"/>
      <c r="F335" s="886"/>
      <c r="G335" s="886"/>
      <c r="H335" s="886"/>
      <c r="I335" s="886"/>
      <c r="J335" s="886"/>
      <c r="K335" s="886"/>
      <c r="L335" s="886"/>
      <c r="M335" s="886"/>
      <c r="N335" s="886"/>
      <c r="O335" s="886"/>
      <c r="P335" s="886"/>
      <c r="Q335" s="886"/>
      <c r="R335" s="886"/>
      <c r="S335" s="886"/>
      <c r="T335" s="886"/>
      <c r="U335" s="886"/>
    </row>
    <row r="336" spans="3:21">
      <c r="C336" s="942"/>
      <c r="D336" s="942"/>
      <c r="E336" s="943"/>
      <c r="F336" s="886"/>
      <c r="G336" s="886"/>
      <c r="H336" s="886"/>
      <c r="I336" s="886"/>
      <c r="J336" s="886"/>
      <c r="K336" s="886"/>
      <c r="L336" s="886"/>
      <c r="M336" s="886"/>
      <c r="N336" s="886"/>
      <c r="O336" s="886"/>
      <c r="P336" s="886"/>
      <c r="Q336" s="886"/>
      <c r="R336" s="886"/>
      <c r="S336" s="886"/>
      <c r="T336" s="886"/>
      <c r="U336" s="886"/>
    </row>
    <row r="337" spans="3:21">
      <c r="C337" s="942"/>
      <c r="D337" s="942"/>
      <c r="E337" s="943"/>
      <c r="F337" s="886"/>
      <c r="G337" s="886"/>
      <c r="H337" s="886"/>
      <c r="I337" s="886"/>
      <c r="J337" s="886"/>
      <c r="K337" s="886"/>
      <c r="L337" s="886"/>
      <c r="M337" s="886"/>
      <c r="N337" s="886"/>
      <c r="O337" s="886"/>
      <c r="P337" s="886"/>
      <c r="Q337" s="886"/>
      <c r="R337" s="886"/>
      <c r="S337" s="886"/>
      <c r="T337" s="886"/>
      <c r="U337" s="886"/>
    </row>
    <row r="338" spans="3:21">
      <c r="C338" s="942"/>
      <c r="D338" s="942"/>
      <c r="E338" s="943"/>
      <c r="F338" s="886"/>
      <c r="G338" s="886"/>
      <c r="H338" s="886"/>
      <c r="I338" s="886"/>
      <c r="J338" s="886"/>
      <c r="K338" s="886"/>
      <c r="L338" s="886"/>
      <c r="M338" s="886"/>
      <c r="N338" s="886"/>
      <c r="O338" s="886"/>
      <c r="P338" s="886"/>
      <c r="Q338" s="886"/>
      <c r="R338" s="886"/>
      <c r="S338" s="886"/>
      <c r="T338" s="886"/>
      <c r="U338" s="886"/>
    </row>
    <row r="339" spans="3:21">
      <c r="C339" s="942"/>
      <c r="D339" s="942"/>
      <c r="E339" s="943"/>
      <c r="F339" s="886"/>
      <c r="G339" s="886"/>
      <c r="H339" s="886"/>
      <c r="I339" s="886"/>
      <c r="J339" s="886"/>
      <c r="K339" s="886"/>
      <c r="L339" s="886"/>
      <c r="M339" s="886"/>
      <c r="N339" s="886"/>
      <c r="O339" s="886"/>
      <c r="P339" s="886"/>
      <c r="Q339" s="886"/>
      <c r="R339" s="886"/>
      <c r="S339" s="886"/>
      <c r="T339" s="886"/>
      <c r="U339" s="886"/>
    </row>
    <row r="340" spans="3:21">
      <c r="C340" s="942"/>
      <c r="D340" s="942"/>
      <c r="E340" s="943"/>
      <c r="F340" s="886"/>
      <c r="G340" s="886"/>
      <c r="H340" s="886"/>
      <c r="I340" s="886"/>
      <c r="J340" s="886"/>
      <c r="K340" s="886"/>
      <c r="L340" s="886"/>
      <c r="M340" s="886"/>
      <c r="N340" s="886"/>
      <c r="O340" s="886"/>
      <c r="P340" s="886"/>
      <c r="Q340" s="886"/>
      <c r="R340" s="886"/>
      <c r="S340" s="886"/>
      <c r="T340" s="886"/>
      <c r="U340" s="886"/>
    </row>
    <row r="341" spans="3:21">
      <c r="C341" s="942"/>
      <c r="D341" s="942"/>
      <c r="E341" s="943"/>
      <c r="F341" s="886"/>
      <c r="G341" s="886"/>
      <c r="H341" s="886"/>
      <c r="I341" s="886"/>
      <c r="J341" s="886"/>
      <c r="K341" s="886"/>
      <c r="L341" s="886"/>
      <c r="M341" s="886"/>
      <c r="N341" s="886"/>
      <c r="O341" s="886"/>
      <c r="P341" s="886"/>
      <c r="Q341" s="886"/>
      <c r="R341" s="886"/>
      <c r="S341" s="886"/>
      <c r="T341" s="886"/>
      <c r="U341" s="886"/>
    </row>
    <row r="342" spans="3:21">
      <c r="C342" s="942"/>
      <c r="D342" s="942"/>
      <c r="E342" s="943"/>
      <c r="F342" s="886"/>
      <c r="G342" s="886"/>
      <c r="H342" s="886"/>
      <c r="I342" s="886"/>
      <c r="J342" s="886"/>
      <c r="K342" s="886"/>
      <c r="L342" s="886"/>
      <c r="M342" s="886"/>
      <c r="N342" s="886"/>
      <c r="O342" s="886"/>
      <c r="P342" s="886"/>
      <c r="Q342" s="886"/>
      <c r="R342" s="886"/>
      <c r="S342" s="886"/>
      <c r="T342" s="886"/>
      <c r="U342" s="886"/>
    </row>
    <row r="343" spans="3:21">
      <c r="C343" s="942"/>
      <c r="D343" s="942"/>
      <c r="E343" s="943"/>
      <c r="F343" s="886"/>
      <c r="G343" s="886"/>
      <c r="H343" s="886"/>
      <c r="I343" s="886"/>
      <c r="J343" s="886"/>
      <c r="K343" s="886"/>
      <c r="L343" s="886"/>
      <c r="M343" s="886"/>
      <c r="N343" s="886"/>
      <c r="O343" s="886"/>
      <c r="P343" s="886"/>
      <c r="Q343" s="886"/>
      <c r="R343" s="886"/>
      <c r="S343" s="886"/>
      <c r="T343" s="886"/>
      <c r="U343" s="886"/>
    </row>
    <row r="344" spans="3:21">
      <c r="C344" s="942"/>
      <c r="D344" s="942"/>
      <c r="E344" s="943"/>
      <c r="F344" s="886"/>
      <c r="G344" s="886"/>
      <c r="H344" s="886"/>
      <c r="I344" s="886"/>
      <c r="J344" s="886"/>
      <c r="K344" s="886"/>
      <c r="L344" s="886"/>
      <c r="M344" s="886"/>
      <c r="N344" s="886"/>
      <c r="O344" s="886"/>
      <c r="P344" s="886"/>
      <c r="Q344" s="886"/>
      <c r="R344" s="886"/>
      <c r="S344" s="886"/>
      <c r="T344" s="886"/>
      <c r="U344" s="886"/>
    </row>
    <row r="345" spans="3:21">
      <c r="C345" s="942"/>
      <c r="D345" s="942"/>
      <c r="E345" s="943"/>
      <c r="F345" s="886"/>
      <c r="G345" s="886"/>
      <c r="H345" s="886"/>
      <c r="I345" s="886"/>
      <c r="J345" s="886"/>
      <c r="K345" s="886"/>
      <c r="L345" s="886"/>
      <c r="M345" s="886"/>
      <c r="N345" s="886"/>
      <c r="O345" s="886"/>
      <c r="P345" s="886"/>
      <c r="Q345" s="886"/>
      <c r="R345" s="886"/>
      <c r="S345" s="886"/>
      <c r="T345" s="886"/>
      <c r="U345" s="886"/>
    </row>
    <row r="346" spans="3:21">
      <c r="C346" s="942"/>
      <c r="D346" s="942"/>
      <c r="E346" s="943"/>
      <c r="F346" s="886"/>
      <c r="G346" s="886"/>
      <c r="H346" s="886"/>
      <c r="I346" s="886"/>
      <c r="J346" s="886"/>
      <c r="K346" s="886"/>
      <c r="L346" s="886"/>
      <c r="M346" s="886"/>
      <c r="N346" s="886"/>
      <c r="O346" s="886"/>
      <c r="P346" s="886"/>
      <c r="Q346" s="886"/>
      <c r="R346" s="886"/>
      <c r="S346" s="886"/>
      <c r="T346" s="886"/>
      <c r="U346" s="886"/>
    </row>
    <row r="347" spans="3:21">
      <c r="C347" s="942"/>
      <c r="D347" s="942"/>
      <c r="E347" s="943"/>
      <c r="F347" s="886"/>
      <c r="G347" s="886"/>
      <c r="H347" s="886"/>
      <c r="I347" s="886"/>
      <c r="J347" s="886"/>
      <c r="K347" s="886"/>
      <c r="L347" s="886"/>
      <c r="M347" s="886"/>
      <c r="N347" s="886"/>
      <c r="O347" s="886"/>
      <c r="P347" s="886"/>
      <c r="Q347" s="886"/>
      <c r="R347" s="886"/>
      <c r="S347" s="886"/>
      <c r="T347" s="886"/>
      <c r="U347" s="886"/>
    </row>
    <row r="348" spans="3:21">
      <c r="C348" s="942"/>
      <c r="D348" s="942"/>
      <c r="E348" s="943"/>
      <c r="F348" s="886"/>
      <c r="G348" s="886"/>
      <c r="H348" s="886"/>
      <c r="I348" s="886"/>
      <c r="J348" s="886"/>
      <c r="K348" s="886"/>
      <c r="L348" s="886"/>
      <c r="M348" s="886"/>
      <c r="N348" s="886"/>
      <c r="O348" s="886"/>
      <c r="P348" s="886"/>
      <c r="Q348" s="886"/>
      <c r="R348" s="886"/>
      <c r="S348" s="886"/>
      <c r="T348" s="886"/>
      <c r="U348" s="886"/>
    </row>
    <row r="349" spans="3:21">
      <c r="C349" s="942"/>
      <c r="D349" s="942"/>
      <c r="E349" s="943"/>
      <c r="F349" s="886"/>
      <c r="G349" s="886"/>
      <c r="H349" s="886"/>
      <c r="I349" s="886"/>
      <c r="J349" s="886"/>
      <c r="K349" s="886"/>
      <c r="L349" s="886"/>
      <c r="M349" s="886"/>
      <c r="N349" s="886"/>
      <c r="O349" s="886"/>
      <c r="P349" s="886"/>
      <c r="Q349" s="886"/>
      <c r="R349" s="886"/>
      <c r="S349" s="886"/>
      <c r="T349" s="886"/>
      <c r="U349" s="886"/>
    </row>
    <row r="350" spans="3:21">
      <c r="C350" s="942"/>
      <c r="D350" s="942"/>
      <c r="E350" s="943"/>
      <c r="F350" s="886"/>
      <c r="G350" s="886"/>
      <c r="H350" s="886"/>
      <c r="I350" s="886"/>
      <c r="J350" s="886"/>
      <c r="K350" s="886"/>
      <c r="L350" s="886"/>
      <c r="M350" s="886"/>
      <c r="N350" s="886"/>
      <c r="O350" s="886"/>
      <c r="P350" s="886"/>
      <c r="Q350" s="886"/>
      <c r="R350" s="886"/>
      <c r="S350" s="886"/>
      <c r="T350" s="886"/>
      <c r="U350" s="886"/>
    </row>
    <row r="351" spans="3:21">
      <c r="C351" s="942"/>
      <c r="D351" s="942"/>
      <c r="E351" s="943"/>
      <c r="F351" s="886"/>
      <c r="G351" s="886"/>
      <c r="H351" s="886"/>
      <c r="I351" s="886"/>
      <c r="J351" s="886"/>
      <c r="K351" s="886"/>
      <c r="L351" s="886"/>
      <c r="M351" s="886"/>
      <c r="N351" s="886"/>
      <c r="O351" s="886"/>
      <c r="P351" s="886"/>
      <c r="Q351" s="886"/>
      <c r="R351" s="886"/>
      <c r="S351" s="886"/>
      <c r="T351" s="886"/>
      <c r="U351" s="886"/>
    </row>
    <row r="352" spans="3:21">
      <c r="C352" s="942"/>
      <c r="D352" s="942"/>
      <c r="E352" s="943"/>
      <c r="F352" s="886"/>
      <c r="G352" s="886"/>
      <c r="H352" s="886"/>
      <c r="I352" s="886"/>
      <c r="J352" s="886"/>
      <c r="K352" s="886"/>
      <c r="L352" s="886"/>
      <c r="M352" s="886"/>
      <c r="N352" s="886"/>
      <c r="O352" s="886"/>
      <c r="P352" s="886"/>
      <c r="Q352" s="886"/>
      <c r="R352" s="886"/>
      <c r="S352" s="886"/>
      <c r="T352" s="886"/>
      <c r="U352" s="886"/>
    </row>
    <row r="353" spans="3:21">
      <c r="C353" s="942"/>
      <c r="D353" s="942"/>
      <c r="E353" s="943"/>
      <c r="F353" s="886"/>
      <c r="G353" s="886"/>
      <c r="H353" s="886"/>
      <c r="I353" s="886"/>
      <c r="J353" s="886"/>
      <c r="K353" s="886"/>
      <c r="L353" s="886"/>
      <c r="M353" s="886"/>
      <c r="N353" s="886"/>
      <c r="O353" s="886"/>
      <c r="P353" s="886"/>
      <c r="Q353" s="886"/>
      <c r="R353" s="886"/>
      <c r="S353" s="886"/>
      <c r="T353" s="886"/>
      <c r="U353" s="886"/>
    </row>
    <row r="354" spans="3:21">
      <c r="C354" s="942"/>
      <c r="D354" s="942"/>
      <c r="E354" s="943"/>
      <c r="F354" s="886"/>
      <c r="G354" s="886"/>
      <c r="H354" s="886"/>
      <c r="I354" s="886"/>
      <c r="J354" s="886"/>
      <c r="K354" s="886"/>
      <c r="L354" s="886"/>
      <c r="M354" s="886"/>
      <c r="N354" s="886"/>
      <c r="O354" s="886"/>
      <c r="P354" s="886"/>
      <c r="Q354" s="886"/>
      <c r="R354" s="886"/>
      <c r="S354" s="886"/>
      <c r="T354" s="886"/>
      <c r="U354" s="886"/>
    </row>
    <row r="355" spans="3:21">
      <c r="C355" s="942"/>
      <c r="D355" s="942"/>
      <c r="E355" s="943"/>
      <c r="F355" s="886"/>
      <c r="G355" s="886"/>
      <c r="H355" s="886"/>
      <c r="I355" s="886"/>
      <c r="J355" s="886"/>
      <c r="K355" s="886"/>
      <c r="L355" s="886"/>
      <c r="M355" s="886"/>
      <c r="N355" s="886"/>
      <c r="O355" s="886"/>
      <c r="P355" s="886"/>
      <c r="Q355" s="886"/>
      <c r="R355" s="886"/>
      <c r="S355" s="886"/>
      <c r="T355" s="886"/>
      <c r="U355" s="886"/>
    </row>
    <row r="356" spans="3:21">
      <c r="C356" s="942"/>
      <c r="D356" s="942"/>
      <c r="E356" s="943"/>
      <c r="F356" s="886"/>
      <c r="G356" s="886"/>
      <c r="H356" s="886"/>
      <c r="I356" s="886"/>
      <c r="J356" s="886"/>
      <c r="K356" s="886"/>
      <c r="L356" s="886"/>
      <c r="M356" s="886"/>
      <c r="N356" s="886"/>
      <c r="O356" s="886"/>
      <c r="P356" s="886"/>
      <c r="Q356" s="886"/>
      <c r="R356" s="886"/>
      <c r="S356" s="886"/>
      <c r="T356" s="886"/>
      <c r="U356" s="886"/>
    </row>
    <row r="357" spans="3:21">
      <c r="C357" s="942"/>
      <c r="D357" s="942"/>
      <c r="E357" s="943"/>
      <c r="F357" s="886"/>
      <c r="G357" s="886"/>
      <c r="H357" s="886"/>
      <c r="I357" s="886"/>
      <c r="J357" s="886"/>
      <c r="K357" s="886"/>
      <c r="L357" s="886"/>
      <c r="M357" s="886"/>
      <c r="N357" s="886"/>
      <c r="O357" s="886"/>
      <c r="P357" s="886"/>
      <c r="Q357" s="886"/>
      <c r="R357" s="886"/>
      <c r="S357" s="886"/>
      <c r="T357" s="886"/>
      <c r="U357" s="886"/>
    </row>
    <row r="358" spans="3:21">
      <c r="C358" s="942"/>
      <c r="D358" s="942"/>
      <c r="E358" s="943"/>
      <c r="F358" s="886"/>
      <c r="G358" s="886"/>
      <c r="H358" s="886"/>
      <c r="I358" s="886"/>
      <c r="J358" s="886"/>
      <c r="K358" s="886"/>
      <c r="L358" s="886"/>
      <c r="M358" s="886"/>
      <c r="N358" s="886"/>
      <c r="O358" s="886"/>
      <c r="P358" s="886"/>
      <c r="Q358" s="886"/>
      <c r="R358" s="886"/>
      <c r="S358" s="886"/>
      <c r="T358" s="886"/>
      <c r="U358" s="886"/>
    </row>
    <row r="359" spans="3:21">
      <c r="C359" s="942"/>
      <c r="D359" s="942"/>
      <c r="E359" s="943"/>
      <c r="F359" s="886"/>
      <c r="G359" s="886"/>
      <c r="H359" s="886"/>
      <c r="I359" s="886"/>
      <c r="J359" s="886"/>
      <c r="K359" s="886"/>
      <c r="L359" s="886"/>
      <c r="M359" s="886"/>
      <c r="N359" s="886"/>
      <c r="O359" s="886"/>
      <c r="P359" s="886"/>
      <c r="Q359" s="886"/>
      <c r="R359" s="886"/>
      <c r="S359" s="886"/>
      <c r="T359" s="886"/>
      <c r="U359" s="886"/>
    </row>
    <row r="360" spans="3:21">
      <c r="C360" s="942"/>
      <c r="D360" s="942"/>
      <c r="E360" s="943"/>
      <c r="F360" s="886"/>
      <c r="G360" s="886"/>
      <c r="H360" s="886"/>
      <c r="I360" s="886"/>
      <c r="J360" s="886"/>
      <c r="K360" s="886"/>
      <c r="L360" s="886"/>
      <c r="M360" s="886"/>
      <c r="N360" s="886"/>
      <c r="O360" s="886"/>
      <c r="P360" s="886"/>
      <c r="Q360" s="886"/>
      <c r="R360" s="886"/>
      <c r="S360" s="886"/>
      <c r="T360" s="886"/>
      <c r="U360" s="886"/>
    </row>
    <row r="361" spans="3:21">
      <c r="C361" s="942"/>
      <c r="D361" s="942"/>
      <c r="E361" s="943"/>
      <c r="F361" s="886"/>
      <c r="G361" s="886"/>
      <c r="H361" s="886"/>
      <c r="I361" s="886"/>
      <c r="J361" s="886"/>
      <c r="K361" s="886"/>
      <c r="L361" s="886"/>
      <c r="M361" s="886"/>
      <c r="N361" s="886"/>
      <c r="O361" s="886"/>
      <c r="P361" s="886"/>
      <c r="Q361" s="886"/>
      <c r="R361" s="886"/>
      <c r="S361" s="886"/>
      <c r="T361" s="886"/>
      <c r="U361" s="886"/>
    </row>
    <row r="362" spans="3:21">
      <c r="C362" s="942"/>
      <c r="D362" s="942"/>
      <c r="E362" s="943"/>
      <c r="F362" s="886"/>
      <c r="G362" s="886"/>
      <c r="H362" s="886"/>
      <c r="I362" s="886"/>
      <c r="J362" s="886"/>
      <c r="K362" s="886"/>
      <c r="L362" s="886"/>
      <c r="M362" s="886"/>
      <c r="N362" s="886"/>
      <c r="O362" s="886"/>
      <c r="P362" s="886"/>
      <c r="Q362" s="886"/>
      <c r="R362" s="886"/>
      <c r="S362" s="886"/>
      <c r="T362" s="886"/>
      <c r="U362" s="886"/>
    </row>
    <row r="363" spans="3:21">
      <c r="C363" s="942"/>
      <c r="D363" s="942"/>
      <c r="E363" s="943"/>
      <c r="F363" s="886"/>
      <c r="G363" s="886"/>
      <c r="H363" s="886"/>
      <c r="I363" s="886"/>
      <c r="J363" s="886"/>
      <c r="K363" s="886"/>
      <c r="L363" s="886"/>
      <c r="M363" s="886"/>
      <c r="N363" s="886"/>
      <c r="O363" s="886"/>
      <c r="P363" s="886"/>
      <c r="Q363" s="886"/>
      <c r="R363" s="886"/>
      <c r="S363" s="886"/>
      <c r="T363" s="886"/>
      <c r="U363" s="886"/>
    </row>
    <row r="364" spans="3:21">
      <c r="C364" s="942"/>
      <c r="D364" s="942"/>
      <c r="E364" s="943"/>
      <c r="F364" s="886"/>
      <c r="G364" s="886"/>
      <c r="H364" s="886"/>
      <c r="I364" s="886"/>
      <c r="J364" s="886"/>
      <c r="K364" s="886"/>
      <c r="L364" s="886"/>
      <c r="M364" s="886"/>
      <c r="N364" s="886"/>
      <c r="O364" s="886"/>
      <c r="P364" s="886"/>
      <c r="Q364" s="886"/>
      <c r="R364" s="886"/>
      <c r="S364" s="886"/>
      <c r="T364" s="886"/>
      <c r="U364" s="886"/>
    </row>
    <row r="365" spans="3:21">
      <c r="C365" s="942"/>
      <c r="D365" s="942"/>
      <c r="E365" s="943"/>
      <c r="F365" s="886"/>
      <c r="G365" s="886"/>
      <c r="H365" s="886"/>
      <c r="I365" s="886"/>
      <c r="J365" s="886"/>
      <c r="K365" s="886"/>
      <c r="L365" s="886"/>
      <c r="M365" s="886"/>
      <c r="N365" s="886"/>
      <c r="O365" s="886"/>
      <c r="P365" s="886"/>
      <c r="Q365" s="886"/>
      <c r="R365" s="886"/>
      <c r="S365" s="886"/>
      <c r="T365" s="886"/>
      <c r="U365" s="886"/>
    </row>
    <row r="366" spans="3:21">
      <c r="C366" s="942"/>
      <c r="D366" s="942"/>
      <c r="E366" s="943"/>
      <c r="F366" s="886"/>
      <c r="G366" s="886"/>
      <c r="H366" s="886"/>
      <c r="I366" s="886"/>
      <c r="J366" s="886"/>
      <c r="K366" s="886"/>
      <c r="L366" s="886"/>
      <c r="M366" s="886"/>
      <c r="N366" s="886"/>
      <c r="O366" s="886"/>
      <c r="P366" s="886"/>
      <c r="Q366" s="886"/>
      <c r="R366" s="886"/>
      <c r="S366" s="886"/>
      <c r="T366" s="886"/>
      <c r="U366" s="886"/>
    </row>
    <row r="367" spans="3:21">
      <c r="C367" s="942"/>
      <c r="D367" s="942"/>
      <c r="E367" s="943"/>
      <c r="F367" s="886"/>
      <c r="G367" s="886"/>
      <c r="H367" s="886"/>
      <c r="I367" s="886"/>
      <c r="J367" s="886"/>
      <c r="K367" s="886"/>
      <c r="L367" s="886"/>
      <c r="M367" s="886"/>
      <c r="N367" s="886"/>
      <c r="O367" s="886"/>
      <c r="P367" s="886"/>
      <c r="Q367" s="886"/>
      <c r="R367" s="886"/>
      <c r="S367" s="886"/>
      <c r="T367" s="886"/>
      <c r="U367" s="886"/>
    </row>
    <row r="368" spans="3:21">
      <c r="C368" s="942"/>
      <c r="D368" s="942"/>
      <c r="E368" s="943"/>
      <c r="F368" s="886"/>
      <c r="G368" s="886"/>
      <c r="H368" s="886"/>
      <c r="I368" s="886"/>
      <c r="J368" s="886"/>
      <c r="K368" s="886"/>
      <c r="L368" s="886"/>
      <c r="M368" s="886"/>
      <c r="N368" s="886"/>
      <c r="O368" s="886"/>
      <c r="P368" s="886"/>
      <c r="Q368" s="886"/>
      <c r="R368" s="886"/>
      <c r="S368" s="886"/>
      <c r="T368" s="886"/>
      <c r="U368" s="886"/>
    </row>
    <row r="369" spans="3:21">
      <c r="C369" s="942"/>
      <c r="D369" s="942"/>
      <c r="E369" s="943"/>
      <c r="F369" s="886"/>
      <c r="G369" s="886"/>
      <c r="H369" s="886"/>
      <c r="I369" s="886"/>
      <c r="J369" s="886"/>
      <c r="K369" s="886"/>
      <c r="L369" s="886"/>
      <c r="M369" s="886"/>
      <c r="N369" s="886"/>
      <c r="O369" s="886"/>
      <c r="P369" s="886"/>
      <c r="Q369" s="886"/>
      <c r="R369" s="886"/>
      <c r="S369" s="886"/>
      <c r="T369" s="886"/>
      <c r="U369" s="886"/>
    </row>
    <row r="370" spans="3:21">
      <c r="C370" s="942"/>
      <c r="D370" s="942"/>
      <c r="E370" s="943"/>
      <c r="F370" s="886"/>
      <c r="G370" s="886"/>
      <c r="H370" s="886"/>
      <c r="I370" s="886"/>
      <c r="J370" s="886"/>
      <c r="K370" s="886"/>
      <c r="L370" s="886"/>
      <c r="M370" s="886"/>
      <c r="N370" s="886"/>
      <c r="O370" s="886"/>
      <c r="P370" s="886"/>
      <c r="Q370" s="886"/>
      <c r="R370" s="886"/>
      <c r="S370" s="886"/>
      <c r="T370" s="886"/>
      <c r="U370" s="886"/>
    </row>
    <row r="371" spans="3:21">
      <c r="C371" s="942"/>
      <c r="D371" s="942"/>
      <c r="E371" s="943"/>
      <c r="F371" s="886"/>
      <c r="G371" s="886"/>
      <c r="H371" s="886"/>
      <c r="I371" s="886"/>
      <c r="J371" s="886"/>
      <c r="K371" s="886"/>
      <c r="L371" s="886"/>
      <c r="M371" s="886"/>
      <c r="N371" s="886"/>
      <c r="O371" s="886"/>
      <c r="P371" s="886"/>
      <c r="Q371" s="886"/>
      <c r="R371" s="886"/>
      <c r="S371" s="886"/>
      <c r="T371" s="886"/>
      <c r="U371" s="886"/>
    </row>
    <row r="372" spans="3:21">
      <c r="C372" s="942"/>
      <c r="D372" s="942"/>
      <c r="E372" s="943"/>
      <c r="F372" s="886"/>
      <c r="G372" s="886"/>
      <c r="H372" s="886"/>
      <c r="I372" s="886"/>
      <c r="J372" s="886"/>
      <c r="K372" s="886"/>
      <c r="L372" s="886"/>
      <c r="M372" s="886"/>
      <c r="N372" s="886"/>
      <c r="O372" s="886"/>
      <c r="P372" s="886"/>
      <c r="Q372" s="886"/>
      <c r="R372" s="886"/>
      <c r="S372" s="886"/>
      <c r="T372" s="886"/>
      <c r="U372" s="886"/>
    </row>
    <row r="373" spans="3:21">
      <c r="C373" s="942"/>
      <c r="D373" s="942"/>
      <c r="E373" s="943"/>
      <c r="F373" s="886"/>
      <c r="G373" s="886"/>
      <c r="H373" s="886"/>
      <c r="I373" s="886"/>
      <c r="J373" s="886"/>
      <c r="K373" s="886"/>
      <c r="L373" s="886"/>
      <c r="M373" s="886"/>
      <c r="N373" s="886"/>
      <c r="O373" s="886"/>
      <c r="P373" s="886"/>
      <c r="Q373" s="886"/>
      <c r="R373" s="886"/>
      <c r="S373" s="886"/>
      <c r="T373" s="886"/>
      <c r="U373" s="886"/>
    </row>
    <row r="374" spans="3:21">
      <c r="C374" s="942"/>
      <c r="D374" s="942"/>
      <c r="E374" s="943"/>
      <c r="F374" s="886"/>
      <c r="G374" s="886"/>
      <c r="H374" s="886"/>
      <c r="I374" s="886"/>
      <c r="J374" s="886"/>
      <c r="K374" s="886"/>
      <c r="L374" s="886"/>
      <c r="M374" s="886"/>
      <c r="N374" s="886"/>
      <c r="O374" s="886"/>
      <c r="P374" s="886"/>
      <c r="Q374" s="886"/>
      <c r="R374" s="886"/>
      <c r="S374" s="886"/>
      <c r="T374" s="886"/>
      <c r="U374" s="886"/>
    </row>
    <row r="375" spans="3:21">
      <c r="C375" s="942"/>
      <c r="D375" s="942"/>
      <c r="E375" s="943"/>
      <c r="F375" s="886"/>
      <c r="G375" s="886"/>
      <c r="H375" s="886"/>
      <c r="I375" s="886"/>
      <c r="J375" s="886"/>
      <c r="K375" s="886"/>
      <c r="L375" s="886"/>
      <c r="M375" s="886"/>
      <c r="N375" s="886"/>
      <c r="O375" s="886"/>
      <c r="P375" s="886"/>
      <c r="Q375" s="886"/>
      <c r="R375" s="886"/>
      <c r="S375" s="886"/>
      <c r="T375" s="886"/>
      <c r="U375" s="886"/>
    </row>
    <row r="376" spans="3:21">
      <c r="C376" s="942"/>
      <c r="D376" s="942"/>
      <c r="E376" s="943"/>
      <c r="F376" s="886"/>
      <c r="G376" s="886"/>
      <c r="H376" s="886"/>
      <c r="I376" s="886"/>
      <c r="J376" s="886"/>
      <c r="K376" s="886"/>
      <c r="L376" s="886"/>
      <c r="M376" s="886"/>
      <c r="N376" s="886"/>
      <c r="O376" s="886"/>
      <c r="P376" s="886"/>
      <c r="Q376" s="886"/>
      <c r="R376" s="886"/>
      <c r="S376" s="886"/>
      <c r="T376" s="886"/>
      <c r="U376" s="886"/>
    </row>
    <row r="377" spans="3:21">
      <c r="C377" s="942"/>
      <c r="D377" s="942"/>
      <c r="E377" s="943"/>
      <c r="F377" s="886"/>
      <c r="G377" s="886"/>
      <c r="H377" s="886"/>
      <c r="I377" s="886"/>
      <c r="J377" s="886"/>
      <c r="K377" s="886"/>
      <c r="L377" s="886"/>
      <c r="M377" s="886"/>
      <c r="N377" s="886"/>
      <c r="O377" s="886"/>
      <c r="P377" s="886"/>
      <c r="Q377" s="886"/>
      <c r="R377" s="886"/>
      <c r="S377" s="886"/>
      <c r="T377" s="886"/>
      <c r="U377" s="886"/>
    </row>
    <row r="378" spans="3:21">
      <c r="C378" s="942"/>
      <c r="D378" s="942"/>
      <c r="E378" s="943"/>
      <c r="F378" s="886"/>
      <c r="G378" s="886"/>
      <c r="H378" s="886"/>
      <c r="I378" s="886"/>
      <c r="J378" s="886"/>
      <c r="K378" s="886"/>
      <c r="L378" s="886"/>
      <c r="M378" s="886"/>
      <c r="N378" s="886"/>
      <c r="O378" s="886"/>
      <c r="P378" s="886"/>
      <c r="Q378" s="886"/>
      <c r="R378" s="886"/>
      <c r="S378" s="886"/>
      <c r="T378" s="886"/>
      <c r="U378" s="886"/>
    </row>
    <row r="379" spans="3:21">
      <c r="C379" s="942"/>
      <c r="D379" s="942"/>
      <c r="E379" s="943"/>
      <c r="F379" s="886"/>
      <c r="G379" s="886"/>
      <c r="H379" s="886"/>
      <c r="I379" s="886"/>
      <c r="J379" s="886"/>
      <c r="K379" s="886"/>
      <c r="L379" s="886"/>
      <c r="M379" s="886"/>
      <c r="N379" s="886"/>
      <c r="O379" s="886"/>
      <c r="P379" s="886"/>
      <c r="Q379" s="886"/>
      <c r="R379" s="886"/>
      <c r="S379" s="886"/>
      <c r="T379" s="886"/>
      <c r="U379" s="886"/>
    </row>
    <row r="380" spans="3:21">
      <c r="C380" s="942"/>
      <c r="D380" s="942"/>
      <c r="E380" s="943"/>
      <c r="F380" s="886"/>
      <c r="G380" s="886"/>
      <c r="H380" s="886"/>
      <c r="I380" s="886"/>
      <c r="J380" s="886"/>
      <c r="K380" s="886"/>
      <c r="L380" s="886"/>
      <c r="M380" s="886"/>
      <c r="N380" s="886"/>
      <c r="O380" s="886"/>
      <c r="P380" s="886"/>
      <c r="Q380" s="886"/>
      <c r="R380" s="886"/>
      <c r="S380" s="886"/>
      <c r="T380" s="886"/>
      <c r="U380" s="886"/>
    </row>
    <row r="381" spans="3:21">
      <c r="C381" s="942"/>
      <c r="D381" s="942"/>
      <c r="E381" s="943"/>
      <c r="F381" s="886"/>
      <c r="G381" s="886"/>
      <c r="H381" s="886"/>
      <c r="I381" s="886"/>
      <c r="J381" s="886"/>
      <c r="K381" s="886"/>
      <c r="L381" s="886"/>
      <c r="M381" s="886"/>
      <c r="N381" s="886"/>
      <c r="O381" s="886"/>
      <c r="P381" s="886"/>
      <c r="Q381" s="886"/>
      <c r="R381" s="886"/>
      <c r="S381" s="886"/>
      <c r="T381" s="886"/>
      <c r="U381" s="886"/>
    </row>
    <row r="382" spans="3:21">
      <c r="C382" s="942"/>
      <c r="D382" s="942"/>
      <c r="E382" s="943"/>
      <c r="F382" s="886"/>
      <c r="G382" s="886"/>
      <c r="H382" s="886"/>
      <c r="I382" s="886"/>
      <c r="J382" s="886"/>
      <c r="K382" s="886"/>
      <c r="L382" s="886"/>
      <c r="M382" s="886"/>
      <c r="N382" s="886"/>
      <c r="O382" s="886"/>
      <c r="P382" s="886"/>
      <c r="Q382" s="886"/>
      <c r="R382" s="886"/>
      <c r="S382" s="886"/>
      <c r="T382" s="886"/>
      <c r="U382" s="886"/>
    </row>
    <row r="383" spans="3:21">
      <c r="C383" s="942"/>
      <c r="D383" s="942"/>
      <c r="E383" s="943"/>
      <c r="F383" s="886"/>
      <c r="G383" s="886"/>
      <c r="H383" s="886"/>
      <c r="I383" s="886"/>
      <c r="J383" s="886"/>
      <c r="K383" s="886"/>
      <c r="L383" s="886"/>
      <c r="M383" s="886"/>
      <c r="N383" s="886"/>
      <c r="O383" s="886"/>
      <c r="P383" s="886"/>
      <c r="Q383" s="886"/>
      <c r="R383" s="886"/>
      <c r="S383" s="886"/>
      <c r="T383" s="886"/>
      <c r="U383" s="886"/>
    </row>
    <row r="384" spans="3:21">
      <c r="C384" s="942"/>
      <c r="D384" s="942"/>
      <c r="E384" s="943"/>
      <c r="F384" s="886"/>
      <c r="G384" s="886"/>
      <c r="H384" s="886"/>
      <c r="I384" s="886"/>
      <c r="J384" s="886"/>
      <c r="K384" s="886"/>
      <c r="L384" s="886"/>
      <c r="M384" s="886"/>
      <c r="N384" s="886"/>
      <c r="O384" s="886"/>
      <c r="P384" s="886"/>
      <c r="Q384" s="886"/>
      <c r="R384" s="886"/>
      <c r="S384" s="886"/>
      <c r="T384" s="886"/>
      <c r="U384" s="886"/>
    </row>
    <row r="385" spans="3:21">
      <c r="C385" s="942"/>
      <c r="D385" s="942"/>
      <c r="E385" s="943"/>
      <c r="F385" s="886"/>
      <c r="G385" s="886"/>
      <c r="H385" s="886"/>
      <c r="I385" s="886"/>
      <c r="J385" s="886"/>
      <c r="K385" s="886"/>
      <c r="L385" s="886"/>
      <c r="M385" s="886"/>
      <c r="N385" s="886"/>
      <c r="O385" s="886"/>
      <c r="P385" s="886"/>
      <c r="Q385" s="886"/>
      <c r="R385" s="886"/>
      <c r="S385" s="886"/>
      <c r="T385" s="886"/>
      <c r="U385" s="886"/>
    </row>
    <row r="386" spans="3:21">
      <c r="C386" s="942"/>
      <c r="D386" s="942"/>
      <c r="E386" s="943"/>
      <c r="F386" s="886"/>
      <c r="G386" s="886"/>
      <c r="H386" s="886"/>
      <c r="I386" s="886"/>
      <c r="J386" s="886"/>
      <c r="K386" s="886"/>
      <c r="L386" s="886"/>
      <c r="M386" s="886"/>
      <c r="N386" s="886"/>
      <c r="O386" s="886"/>
      <c r="P386" s="886"/>
      <c r="Q386" s="886"/>
      <c r="R386" s="886"/>
      <c r="S386" s="886"/>
      <c r="T386" s="886"/>
      <c r="U386" s="886"/>
    </row>
    <row r="387" spans="3:21">
      <c r="C387" s="942"/>
      <c r="D387" s="942"/>
      <c r="E387" s="943"/>
      <c r="F387" s="886"/>
      <c r="G387" s="886"/>
      <c r="H387" s="886"/>
      <c r="I387" s="886"/>
      <c r="J387" s="886"/>
      <c r="K387" s="886"/>
      <c r="L387" s="886"/>
      <c r="M387" s="886"/>
      <c r="N387" s="886"/>
      <c r="O387" s="886"/>
      <c r="P387" s="886"/>
      <c r="Q387" s="886"/>
      <c r="R387" s="886"/>
      <c r="S387" s="886"/>
      <c r="T387" s="886"/>
      <c r="U387" s="886"/>
    </row>
    <row r="388" spans="3:21">
      <c r="C388" s="942"/>
      <c r="D388" s="942"/>
      <c r="E388" s="943"/>
      <c r="F388" s="886"/>
      <c r="G388" s="886"/>
      <c r="H388" s="886"/>
      <c r="I388" s="886"/>
      <c r="J388" s="886"/>
      <c r="K388" s="886"/>
      <c r="L388" s="886"/>
      <c r="M388" s="886"/>
      <c r="N388" s="886"/>
      <c r="O388" s="886"/>
      <c r="P388" s="886"/>
      <c r="Q388" s="886"/>
      <c r="R388" s="886"/>
      <c r="S388" s="886"/>
      <c r="T388" s="886"/>
      <c r="U388" s="886"/>
    </row>
    <row r="389" spans="3:21">
      <c r="C389" s="942"/>
      <c r="D389" s="942"/>
      <c r="E389" s="943"/>
      <c r="F389" s="886"/>
      <c r="G389" s="886"/>
      <c r="H389" s="886"/>
      <c r="I389" s="886"/>
      <c r="J389" s="886"/>
      <c r="K389" s="886"/>
      <c r="L389" s="886"/>
      <c r="M389" s="886"/>
      <c r="N389" s="886"/>
      <c r="O389" s="886"/>
      <c r="P389" s="886"/>
      <c r="Q389" s="886"/>
      <c r="R389" s="886"/>
      <c r="S389" s="886"/>
      <c r="T389" s="886"/>
      <c r="U389" s="886"/>
    </row>
    <row r="390" spans="3:21">
      <c r="C390" s="942"/>
      <c r="D390" s="942"/>
      <c r="E390" s="943"/>
      <c r="F390" s="886"/>
      <c r="G390" s="886"/>
      <c r="H390" s="886"/>
      <c r="I390" s="886"/>
      <c r="J390" s="886"/>
      <c r="K390" s="886"/>
      <c r="L390" s="886"/>
      <c r="M390" s="886"/>
      <c r="N390" s="886"/>
      <c r="O390" s="886"/>
      <c r="P390" s="886"/>
      <c r="Q390" s="886"/>
      <c r="R390" s="886"/>
      <c r="S390" s="886"/>
      <c r="T390" s="886"/>
      <c r="U390" s="886"/>
    </row>
    <row r="391" spans="3:21">
      <c r="C391" s="942"/>
      <c r="D391" s="942"/>
      <c r="E391" s="943"/>
      <c r="F391" s="886"/>
      <c r="G391" s="886"/>
      <c r="H391" s="886"/>
      <c r="I391" s="886"/>
      <c r="J391" s="886"/>
      <c r="K391" s="886"/>
      <c r="L391" s="886"/>
      <c r="M391" s="886"/>
      <c r="N391" s="886"/>
      <c r="O391" s="886"/>
      <c r="P391" s="886"/>
      <c r="Q391" s="886"/>
      <c r="R391" s="886"/>
      <c r="S391" s="886"/>
      <c r="T391" s="886"/>
      <c r="U391" s="886"/>
    </row>
    <row r="392" spans="3:21">
      <c r="C392" s="942"/>
      <c r="D392" s="942"/>
      <c r="E392" s="943"/>
      <c r="F392" s="886"/>
      <c r="G392" s="886"/>
      <c r="H392" s="886"/>
      <c r="I392" s="886"/>
      <c r="J392" s="886"/>
      <c r="K392" s="886"/>
      <c r="L392" s="886"/>
      <c r="M392" s="886"/>
      <c r="N392" s="886"/>
      <c r="O392" s="886"/>
      <c r="P392" s="886"/>
      <c r="Q392" s="886"/>
      <c r="R392" s="886"/>
      <c r="S392" s="886"/>
      <c r="T392" s="886"/>
      <c r="U392" s="886"/>
    </row>
    <row r="393" spans="3:21">
      <c r="C393" s="942"/>
      <c r="D393" s="942"/>
      <c r="E393" s="943"/>
      <c r="F393" s="886"/>
      <c r="G393" s="886"/>
      <c r="H393" s="886"/>
      <c r="I393" s="886"/>
      <c r="J393" s="886"/>
      <c r="K393" s="886"/>
      <c r="L393" s="886"/>
      <c r="M393" s="886"/>
      <c r="N393" s="886"/>
      <c r="O393" s="886"/>
      <c r="P393" s="886"/>
      <c r="Q393" s="886"/>
      <c r="R393" s="886"/>
      <c r="S393" s="886"/>
      <c r="T393" s="886"/>
      <c r="U393" s="886"/>
    </row>
    <row r="394" spans="3:21">
      <c r="C394" s="942"/>
      <c r="D394" s="942"/>
      <c r="E394" s="943"/>
      <c r="F394" s="886"/>
      <c r="G394" s="886"/>
      <c r="H394" s="886"/>
      <c r="I394" s="886"/>
      <c r="J394" s="886"/>
      <c r="K394" s="886"/>
      <c r="L394" s="886"/>
      <c r="M394" s="886"/>
      <c r="N394" s="886"/>
      <c r="O394" s="886"/>
      <c r="P394" s="886"/>
      <c r="Q394" s="886"/>
      <c r="R394" s="886"/>
      <c r="S394" s="886"/>
      <c r="T394" s="886"/>
      <c r="U394" s="886"/>
    </row>
    <row r="395" spans="3:21">
      <c r="C395" s="942"/>
      <c r="D395" s="942"/>
      <c r="E395" s="943"/>
      <c r="F395" s="886"/>
      <c r="G395" s="886"/>
      <c r="H395" s="886"/>
      <c r="I395" s="886"/>
      <c r="J395" s="886"/>
      <c r="K395" s="886"/>
      <c r="L395" s="886"/>
      <c r="M395" s="886"/>
      <c r="N395" s="886"/>
      <c r="O395" s="886"/>
      <c r="P395" s="886"/>
      <c r="Q395" s="886"/>
      <c r="R395" s="886"/>
      <c r="S395" s="886"/>
      <c r="T395" s="886"/>
      <c r="U395" s="886"/>
    </row>
    <row r="396" spans="3:21">
      <c r="C396" s="942"/>
      <c r="D396" s="942"/>
      <c r="E396" s="943"/>
      <c r="F396" s="886"/>
      <c r="G396" s="886"/>
      <c r="H396" s="886"/>
      <c r="I396" s="886"/>
      <c r="J396" s="886"/>
      <c r="K396" s="886"/>
      <c r="L396" s="886"/>
      <c r="M396" s="886"/>
      <c r="N396" s="886"/>
      <c r="O396" s="886"/>
      <c r="P396" s="886"/>
      <c r="Q396" s="886"/>
      <c r="R396" s="886"/>
      <c r="S396" s="886"/>
      <c r="T396" s="886"/>
      <c r="U396" s="886"/>
    </row>
    <row r="397" spans="3:21">
      <c r="C397" s="942"/>
      <c r="D397" s="942"/>
      <c r="E397" s="943"/>
      <c r="F397" s="886"/>
      <c r="G397" s="886"/>
      <c r="H397" s="886"/>
      <c r="I397" s="886"/>
      <c r="J397" s="886"/>
      <c r="K397" s="886"/>
      <c r="L397" s="886"/>
      <c r="M397" s="886"/>
      <c r="N397" s="886"/>
      <c r="O397" s="886"/>
      <c r="P397" s="886"/>
      <c r="Q397" s="886"/>
      <c r="R397" s="886"/>
      <c r="S397" s="886"/>
      <c r="T397" s="886"/>
      <c r="U397" s="886"/>
    </row>
    <row r="398" spans="3:21">
      <c r="C398" s="942"/>
      <c r="D398" s="942"/>
      <c r="E398" s="943"/>
      <c r="F398" s="886"/>
      <c r="G398" s="886"/>
      <c r="H398" s="886"/>
      <c r="I398" s="886"/>
      <c r="J398" s="886"/>
      <c r="K398" s="886"/>
      <c r="L398" s="886"/>
      <c r="M398" s="886"/>
      <c r="N398" s="886"/>
      <c r="O398" s="886"/>
      <c r="P398" s="886"/>
      <c r="Q398" s="886"/>
      <c r="R398" s="886"/>
      <c r="S398" s="886"/>
      <c r="T398" s="886"/>
      <c r="U398" s="886"/>
    </row>
    <row r="399" spans="3:21">
      <c r="C399" s="942"/>
      <c r="D399" s="942"/>
      <c r="E399" s="943"/>
      <c r="F399" s="886"/>
      <c r="G399" s="886"/>
      <c r="H399" s="886"/>
      <c r="I399" s="886"/>
      <c r="J399" s="886"/>
      <c r="K399" s="886"/>
      <c r="L399" s="886"/>
      <c r="M399" s="886"/>
      <c r="N399" s="886"/>
      <c r="O399" s="886"/>
      <c r="P399" s="886"/>
      <c r="Q399" s="886"/>
      <c r="R399" s="886"/>
      <c r="S399" s="886"/>
      <c r="T399" s="886"/>
      <c r="U399" s="886"/>
    </row>
    <row r="400" spans="3:21">
      <c r="C400" s="942"/>
      <c r="D400" s="942"/>
      <c r="E400" s="943"/>
      <c r="F400" s="886"/>
      <c r="G400" s="886"/>
      <c r="H400" s="886"/>
      <c r="I400" s="886"/>
      <c r="J400" s="886"/>
      <c r="K400" s="886"/>
      <c r="L400" s="886"/>
      <c r="M400" s="886"/>
      <c r="N400" s="886"/>
      <c r="O400" s="886"/>
      <c r="P400" s="886"/>
      <c r="Q400" s="886"/>
      <c r="R400" s="886"/>
      <c r="S400" s="886"/>
      <c r="T400" s="886"/>
      <c r="U400" s="886"/>
    </row>
    <row r="401" spans="3:21">
      <c r="C401" s="942"/>
      <c r="D401" s="942"/>
      <c r="E401" s="943"/>
      <c r="F401" s="886"/>
      <c r="G401" s="886"/>
      <c r="H401" s="886"/>
      <c r="I401" s="886"/>
      <c r="J401" s="886"/>
      <c r="K401" s="886"/>
      <c r="L401" s="886"/>
      <c r="M401" s="886"/>
      <c r="N401" s="886"/>
      <c r="O401" s="886"/>
      <c r="P401" s="886"/>
      <c r="Q401" s="886"/>
      <c r="R401" s="886"/>
      <c r="S401" s="886"/>
      <c r="T401" s="886"/>
      <c r="U401" s="886"/>
    </row>
    <row r="402" spans="3:21">
      <c r="C402" s="942"/>
      <c r="D402" s="942"/>
      <c r="E402" s="943"/>
      <c r="F402" s="886"/>
      <c r="G402" s="886"/>
      <c r="H402" s="886"/>
      <c r="I402" s="886"/>
      <c r="J402" s="886"/>
      <c r="K402" s="886"/>
      <c r="L402" s="886"/>
      <c r="M402" s="886"/>
      <c r="N402" s="886"/>
      <c r="O402" s="886"/>
      <c r="P402" s="886"/>
      <c r="Q402" s="886"/>
      <c r="R402" s="886"/>
      <c r="S402" s="886"/>
      <c r="T402" s="886"/>
      <c r="U402" s="886"/>
    </row>
    <row r="403" spans="3:21">
      <c r="C403" s="942"/>
      <c r="D403" s="942"/>
      <c r="E403" s="943"/>
      <c r="F403" s="886"/>
      <c r="G403" s="886"/>
      <c r="H403" s="886"/>
      <c r="I403" s="886"/>
      <c r="J403" s="886"/>
      <c r="K403" s="886"/>
      <c r="L403" s="886"/>
      <c r="M403" s="886"/>
      <c r="N403" s="886"/>
      <c r="O403" s="886"/>
      <c r="P403" s="886"/>
      <c r="Q403" s="886"/>
      <c r="R403" s="886"/>
      <c r="S403" s="886"/>
      <c r="T403" s="886"/>
      <c r="U403" s="886"/>
    </row>
    <row r="404" spans="3:21">
      <c r="C404" s="942"/>
      <c r="D404" s="942"/>
      <c r="E404" s="943"/>
      <c r="F404" s="886"/>
      <c r="G404" s="886"/>
      <c r="H404" s="886"/>
      <c r="I404" s="886"/>
      <c r="J404" s="886"/>
      <c r="K404" s="886"/>
      <c r="L404" s="886"/>
      <c r="M404" s="886"/>
      <c r="N404" s="886"/>
      <c r="O404" s="886"/>
      <c r="P404" s="886"/>
      <c r="Q404" s="886"/>
      <c r="R404" s="886"/>
      <c r="S404" s="886"/>
      <c r="T404" s="886"/>
      <c r="U404" s="886"/>
    </row>
    <row r="405" spans="3:21">
      <c r="C405" s="942"/>
      <c r="D405" s="942"/>
      <c r="E405" s="943"/>
      <c r="F405" s="886"/>
      <c r="G405" s="886"/>
      <c r="H405" s="886"/>
      <c r="I405" s="886"/>
      <c r="J405" s="886"/>
      <c r="K405" s="886"/>
      <c r="L405" s="886"/>
      <c r="M405" s="886"/>
      <c r="N405" s="886"/>
      <c r="O405" s="886"/>
      <c r="P405" s="886"/>
      <c r="Q405" s="886"/>
      <c r="R405" s="886"/>
      <c r="S405" s="886"/>
      <c r="T405" s="886"/>
      <c r="U405" s="886"/>
    </row>
    <row r="406" spans="3:21">
      <c r="C406" s="942"/>
      <c r="D406" s="942"/>
      <c r="E406" s="943"/>
      <c r="F406" s="886"/>
      <c r="G406" s="886"/>
      <c r="H406" s="886"/>
      <c r="I406" s="886"/>
      <c r="J406" s="886"/>
      <c r="K406" s="886"/>
      <c r="L406" s="886"/>
      <c r="M406" s="886"/>
      <c r="N406" s="886"/>
      <c r="O406" s="886"/>
      <c r="P406" s="886"/>
      <c r="Q406" s="886"/>
      <c r="R406" s="886"/>
      <c r="S406" s="886"/>
      <c r="T406" s="886"/>
      <c r="U406" s="886"/>
    </row>
    <row r="407" spans="3:21">
      <c r="C407" s="942"/>
      <c r="D407" s="942"/>
      <c r="E407" s="943"/>
      <c r="F407" s="886"/>
      <c r="G407" s="886"/>
      <c r="H407" s="886"/>
      <c r="I407" s="886"/>
      <c r="J407" s="886"/>
      <c r="K407" s="886"/>
      <c r="L407" s="886"/>
      <c r="M407" s="886"/>
      <c r="N407" s="886"/>
      <c r="O407" s="886"/>
      <c r="P407" s="886"/>
      <c r="Q407" s="886"/>
      <c r="R407" s="886"/>
      <c r="S407" s="886"/>
      <c r="T407" s="886"/>
      <c r="U407" s="886"/>
    </row>
    <row r="408" spans="3:21">
      <c r="C408" s="942"/>
      <c r="D408" s="942"/>
      <c r="E408" s="943"/>
      <c r="F408" s="886"/>
      <c r="G408" s="886"/>
      <c r="H408" s="886"/>
      <c r="I408" s="886"/>
      <c r="J408" s="886"/>
      <c r="K408" s="886"/>
      <c r="L408" s="886"/>
      <c r="M408" s="886"/>
      <c r="N408" s="886"/>
      <c r="O408" s="886"/>
      <c r="P408" s="886"/>
      <c r="Q408" s="886"/>
      <c r="R408" s="886"/>
      <c r="S408" s="886"/>
      <c r="T408" s="886"/>
      <c r="U408" s="886"/>
    </row>
    <row r="409" spans="3:21">
      <c r="C409" s="942"/>
      <c r="D409" s="942"/>
      <c r="E409" s="943"/>
      <c r="F409" s="886"/>
      <c r="G409" s="886"/>
      <c r="H409" s="886"/>
      <c r="I409" s="886"/>
      <c r="J409" s="886"/>
      <c r="K409" s="886"/>
      <c r="L409" s="886"/>
      <c r="M409" s="886"/>
      <c r="N409" s="886"/>
      <c r="O409" s="886"/>
      <c r="P409" s="886"/>
      <c r="Q409" s="886"/>
      <c r="R409" s="886"/>
      <c r="S409" s="886"/>
      <c r="T409" s="886"/>
      <c r="U409" s="886"/>
    </row>
    <row r="410" spans="3:21">
      <c r="C410" s="942"/>
      <c r="D410" s="942"/>
      <c r="E410" s="943"/>
      <c r="F410" s="886"/>
      <c r="G410" s="886"/>
      <c r="H410" s="886"/>
      <c r="I410" s="886"/>
      <c r="J410" s="886"/>
      <c r="K410" s="886"/>
      <c r="L410" s="886"/>
      <c r="M410" s="886"/>
      <c r="N410" s="886"/>
      <c r="O410" s="886"/>
      <c r="P410" s="886"/>
      <c r="Q410" s="886"/>
      <c r="R410" s="886"/>
      <c r="S410" s="886"/>
      <c r="T410" s="886"/>
      <c r="U410" s="886"/>
    </row>
    <row r="411" spans="3:21">
      <c r="C411" s="942"/>
      <c r="D411" s="942"/>
      <c r="E411" s="943"/>
      <c r="F411" s="886"/>
      <c r="G411" s="886"/>
      <c r="H411" s="886"/>
      <c r="I411" s="886"/>
      <c r="J411" s="886"/>
      <c r="K411" s="886"/>
      <c r="L411" s="886"/>
      <c r="M411" s="886"/>
      <c r="N411" s="886"/>
      <c r="O411" s="886"/>
      <c r="P411" s="886"/>
      <c r="Q411" s="886"/>
      <c r="R411" s="886"/>
      <c r="S411" s="886"/>
      <c r="T411" s="886"/>
      <c r="U411" s="886"/>
    </row>
    <row r="412" spans="3:21">
      <c r="C412" s="942"/>
      <c r="D412" s="942"/>
      <c r="E412" s="943"/>
      <c r="F412" s="886"/>
      <c r="G412" s="886"/>
      <c r="H412" s="886"/>
      <c r="I412" s="886"/>
      <c r="J412" s="886"/>
      <c r="K412" s="886"/>
      <c r="L412" s="886"/>
      <c r="M412" s="886"/>
      <c r="N412" s="886"/>
      <c r="O412" s="886"/>
      <c r="P412" s="886"/>
      <c r="Q412" s="886"/>
      <c r="R412" s="886"/>
      <c r="S412" s="886"/>
      <c r="T412" s="886"/>
      <c r="U412" s="886"/>
    </row>
    <row r="413" spans="3:21">
      <c r="C413" s="942"/>
      <c r="D413" s="942"/>
      <c r="E413" s="943"/>
      <c r="F413" s="886"/>
      <c r="G413" s="886"/>
      <c r="H413" s="886"/>
      <c r="I413" s="886"/>
      <c r="J413" s="886"/>
      <c r="K413" s="886"/>
      <c r="L413" s="886"/>
      <c r="M413" s="886"/>
      <c r="N413" s="886"/>
      <c r="O413" s="886"/>
      <c r="P413" s="886"/>
      <c r="Q413" s="886"/>
      <c r="R413" s="886"/>
      <c r="S413" s="886"/>
      <c r="T413" s="886"/>
      <c r="U413" s="886"/>
    </row>
    <row r="414" spans="3:21">
      <c r="C414" s="942"/>
      <c r="D414" s="942"/>
      <c r="E414" s="943"/>
      <c r="F414" s="886"/>
      <c r="G414" s="886"/>
      <c r="H414" s="886"/>
      <c r="I414" s="886"/>
      <c r="J414" s="886"/>
      <c r="K414" s="886"/>
      <c r="L414" s="886"/>
      <c r="M414" s="886"/>
      <c r="N414" s="886"/>
      <c r="O414" s="886"/>
      <c r="P414" s="886"/>
      <c r="Q414" s="886"/>
      <c r="R414" s="886"/>
      <c r="S414" s="886"/>
      <c r="T414" s="886"/>
      <c r="U414" s="886"/>
    </row>
    <row r="415" spans="3:21">
      <c r="C415" s="942"/>
      <c r="D415" s="942"/>
      <c r="E415" s="943"/>
      <c r="F415" s="886"/>
      <c r="G415" s="886"/>
      <c r="H415" s="886"/>
      <c r="I415" s="886"/>
      <c r="J415" s="886"/>
      <c r="K415" s="886"/>
      <c r="L415" s="886"/>
      <c r="M415" s="886"/>
      <c r="N415" s="886"/>
      <c r="O415" s="886"/>
      <c r="P415" s="886"/>
      <c r="Q415" s="886"/>
      <c r="R415" s="886"/>
      <c r="S415" s="886"/>
      <c r="T415" s="886"/>
      <c r="U415" s="886"/>
    </row>
    <row r="416" spans="3:21">
      <c r="C416" s="942"/>
      <c r="D416" s="942"/>
      <c r="E416" s="943"/>
      <c r="F416" s="886"/>
      <c r="G416" s="886"/>
      <c r="H416" s="886"/>
      <c r="I416" s="886"/>
      <c r="J416" s="886"/>
      <c r="K416" s="886"/>
      <c r="L416" s="886"/>
      <c r="M416" s="886"/>
      <c r="N416" s="886"/>
      <c r="O416" s="886"/>
      <c r="P416" s="886"/>
      <c r="Q416" s="886"/>
      <c r="R416" s="886"/>
      <c r="S416" s="886"/>
      <c r="T416" s="886"/>
      <c r="U416" s="886"/>
    </row>
    <row r="417" spans="3:21">
      <c r="C417" s="942"/>
      <c r="D417" s="942"/>
      <c r="E417" s="943"/>
      <c r="F417" s="886"/>
      <c r="G417" s="886"/>
      <c r="H417" s="886"/>
      <c r="I417" s="886"/>
      <c r="J417" s="886"/>
      <c r="K417" s="886"/>
      <c r="L417" s="886"/>
      <c r="M417" s="886"/>
      <c r="N417" s="886"/>
      <c r="O417" s="886"/>
      <c r="P417" s="886"/>
      <c r="Q417" s="886"/>
      <c r="R417" s="886"/>
      <c r="S417" s="886"/>
      <c r="T417" s="886"/>
      <c r="U417" s="886"/>
    </row>
    <row r="418" spans="3:21">
      <c r="C418" s="942"/>
      <c r="D418" s="942"/>
      <c r="E418" s="943"/>
      <c r="F418" s="886"/>
      <c r="G418" s="886"/>
      <c r="H418" s="886"/>
      <c r="I418" s="886"/>
      <c r="J418" s="886"/>
      <c r="K418" s="886"/>
      <c r="L418" s="886"/>
      <c r="M418" s="886"/>
      <c r="N418" s="886"/>
      <c r="O418" s="886"/>
      <c r="P418" s="886"/>
      <c r="Q418" s="886"/>
      <c r="R418" s="886"/>
      <c r="S418" s="886"/>
      <c r="T418" s="886"/>
      <c r="U418" s="886"/>
    </row>
    <row r="419" spans="3:21">
      <c r="C419" s="942"/>
      <c r="D419" s="942"/>
      <c r="E419" s="943"/>
      <c r="F419" s="886"/>
      <c r="G419" s="886"/>
      <c r="H419" s="886"/>
      <c r="I419" s="886"/>
      <c r="J419" s="886"/>
      <c r="K419" s="886"/>
      <c r="L419" s="886"/>
      <c r="M419" s="886"/>
      <c r="N419" s="886"/>
      <c r="O419" s="886"/>
      <c r="P419" s="886"/>
      <c r="Q419" s="886"/>
      <c r="R419" s="886"/>
      <c r="S419" s="886"/>
      <c r="T419" s="886"/>
      <c r="U419" s="886"/>
    </row>
    <row r="420" spans="3:21">
      <c r="C420" s="942"/>
      <c r="D420" s="942"/>
      <c r="E420" s="943"/>
      <c r="F420" s="886"/>
      <c r="G420" s="886"/>
      <c r="H420" s="886"/>
      <c r="I420" s="886"/>
      <c r="J420" s="886"/>
      <c r="K420" s="886"/>
      <c r="L420" s="886"/>
      <c r="M420" s="886"/>
      <c r="N420" s="886"/>
      <c r="O420" s="886"/>
      <c r="P420" s="886"/>
      <c r="Q420" s="886"/>
      <c r="R420" s="886"/>
      <c r="S420" s="886"/>
      <c r="T420" s="886"/>
      <c r="U420" s="886"/>
    </row>
    <row r="421" spans="3:21">
      <c r="C421" s="942"/>
      <c r="D421" s="942"/>
      <c r="E421" s="943"/>
      <c r="F421" s="886"/>
      <c r="G421" s="886"/>
      <c r="H421" s="886"/>
      <c r="I421" s="886"/>
      <c r="J421" s="886"/>
      <c r="K421" s="886"/>
      <c r="L421" s="886"/>
      <c r="M421" s="886"/>
      <c r="N421" s="886"/>
      <c r="O421" s="886"/>
      <c r="P421" s="886"/>
      <c r="Q421" s="886"/>
      <c r="R421" s="886"/>
      <c r="S421" s="886"/>
      <c r="T421" s="886"/>
      <c r="U421" s="886"/>
    </row>
    <row r="422" spans="3:21">
      <c r="C422" s="942"/>
      <c r="D422" s="942"/>
      <c r="E422" s="943"/>
      <c r="F422" s="886"/>
      <c r="G422" s="886"/>
      <c r="H422" s="886"/>
      <c r="I422" s="886"/>
      <c r="J422" s="886"/>
      <c r="K422" s="886"/>
      <c r="L422" s="886"/>
      <c r="M422" s="886"/>
      <c r="N422" s="886"/>
      <c r="O422" s="886"/>
      <c r="P422" s="886"/>
      <c r="Q422" s="886"/>
      <c r="R422" s="886"/>
      <c r="S422" s="886"/>
      <c r="T422" s="886"/>
      <c r="U422" s="886"/>
    </row>
    <row r="423" spans="3:21">
      <c r="C423" s="942"/>
      <c r="D423" s="942"/>
      <c r="E423" s="943"/>
      <c r="F423" s="886"/>
      <c r="G423" s="886"/>
      <c r="H423" s="886"/>
      <c r="I423" s="886"/>
      <c r="J423" s="886"/>
      <c r="K423" s="886"/>
      <c r="L423" s="886"/>
      <c r="M423" s="886"/>
      <c r="N423" s="886"/>
      <c r="O423" s="886"/>
      <c r="P423" s="886"/>
      <c r="Q423" s="886"/>
      <c r="R423" s="886"/>
      <c r="S423" s="886"/>
      <c r="T423" s="886"/>
      <c r="U423" s="886"/>
    </row>
    <row r="424" spans="3:21">
      <c r="C424" s="942"/>
      <c r="D424" s="942"/>
      <c r="E424" s="943"/>
      <c r="F424" s="886"/>
      <c r="G424" s="886"/>
      <c r="H424" s="886"/>
      <c r="I424" s="886"/>
      <c r="J424" s="886"/>
      <c r="K424" s="886"/>
      <c r="L424" s="886"/>
      <c r="M424" s="886"/>
      <c r="N424" s="886"/>
      <c r="O424" s="886"/>
      <c r="P424" s="886"/>
      <c r="Q424" s="886"/>
      <c r="R424" s="886"/>
      <c r="S424" s="886"/>
      <c r="T424" s="886"/>
      <c r="U424" s="886"/>
    </row>
    <row r="425" spans="3:21">
      <c r="C425" s="942"/>
      <c r="D425" s="942"/>
      <c r="E425" s="943"/>
      <c r="F425" s="886"/>
      <c r="G425" s="886"/>
      <c r="H425" s="886"/>
      <c r="I425" s="886"/>
      <c r="J425" s="886"/>
      <c r="K425" s="886"/>
      <c r="L425" s="886"/>
      <c r="M425" s="886"/>
      <c r="N425" s="886"/>
      <c r="O425" s="886"/>
      <c r="P425" s="886"/>
      <c r="Q425" s="886"/>
      <c r="R425" s="886"/>
      <c r="S425" s="886"/>
      <c r="T425" s="886"/>
      <c r="U425" s="886"/>
    </row>
    <row r="426" spans="3:21">
      <c r="C426" s="942"/>
      <c r="D426" s="942"/>
      <c r="E426" s="943"/>
      <c r="F426" s="886"/>
      <c r="G426" s="886"/>
      <c r="H426" s="886"/>
      <c r="I426" s="886"/>
      <c r="J426" s="886"/>
      <c r="K426" s="886"/>
      <c r="L426" s="886"/>
      <c r="M426" s="886"/>
      <c r="N426" s="886"/>
      <c r="O426" s="886"/>
      <c r="P426" s="886"/>
      <c r="Q426" s="886"/>
      <c r="R426" s="886"/>
      <c r="S426" s="886"/>
      <c r="T426" s="886"/>
      <c r="U426" s="886"/>
    </row>
    <row r="427" spans="3:21">
      <c r="C427" s="942"/>
      <c r="D427" s="942"/>
      <c r="E427" s="943"/>
      <c r="F427" s="886"/>
      <c r="G427" s="886"/>
      <c r="H427" s="886"/>
      <c r="I427" s="886"/>
      <c r="J427" s="886"/>
      <c r="K427" s="886"/>
      <c r="L427" s="886"/>
      <c r="M427" s="886"/>
      <c r="N427" s="886"/>
      <c r="O427" s="886"/>
      <c r="P427" s="886"/>
      <c r="Q427" s="886"/>
      <c r="R427" s="886"/>
      <c r="S427" s="886"/>
      <c r="T427" s="886"/>
      <c r="U427" s="886"/>
    </row>
    <row r="428" spans="3:21">
      <c r="C428" s="942"/>
      <c r="D428" s="942"/>
      <c r="E428" s="943"/>
      <c r="F428" s="886"/>
      <c r="G428" s="886"/>
      <c r="H428" s="886"/>
      <c r="I428" s="886"/>
      <c r="J428" s="886"/>
      <c r="K428" s="886"/>
      <c r="L428" s="886"/>
      <c r="M428" s="886"/>
      <c r="N428" s="886"/>
      <c r="O428" s="886"/>
      <c r="P428" s="886"/>
      <c r="Q428" s="886"/>
      <c r="R428" s="886"/>
      <c r="S428" s="886"/>
      <c r="T428" s="886"/>
      <c r="U428" s="886"/>
    </row>
    <row r="429" spans="3:21">
      <c r="C429" s="942"/>
      <c r="D429" s="942"/>
      <c r="E429" s="943"/>
      <c r="F429" s="886"/>
      <c r="G429" s="886"/>
      <c r="H429" s="886"/>
      <c r="I429" s="886"/>
      <c r="J429" s="886"/>
      <c r="K429" s="886"/>
      <c r="L429" s="886"/>
      <c r="M429" s="886"/>
      <c r="N429" s="886"/>
      <c r="O429" s="886"/>
      <c r="P429" s="886"/>
      <c r="Q429" s="886"/>
      <c r="R429" s="886"/>
      <c r="S429" s="886"/>
      <c r="T429" s="886"/>
      <c r="U429" s="886"/>
    </row>
    <row r="430" spans="3:21">
      <c r="C430" s="942"/>
      <c r="D430" s="942"/>
      <c r="E430" s="943"/>
      <c r="F430" s="886"/>
      <c r="G430" s="886"/>
      <c r="H430" s="886"/>
      <c r="I430" s="886"/>
      <c r="J430" s="886"/>
      <c r="K430" s="886"/>
      <c r="L430" s="886"/>
      <c r="M430" s="886"/>
      <c r="N430" s="886"/>
      <c r="O430" s="886"/>
      <c r="P430" s="886"/>
      <c r="Q430" s="886"/>
      <c r="R430" s="886"/>
      <c r="S430" s="886"/>
      <c r="T430" s="886"/>
      <c r="U430" s="886"/>
    </row>
    <row r="431" spans="3:21">
      <c r="C431" s="942"/>
      <c r="D431" s="942"/>
      <c r="E431" s="943"/>
      <c r="F431" s="886"/>
      <c r="G431" s="886"/>
      <c r="H431" s="886"/>
      <c r="I431" s="886"/>
      <c r="J431" s="886"/>
      <c r="K431" s="886"/>
      <c r="L431" s="886"/>
      <c r="M431" s="886"/>
      <c r="N431" s="886"/>
      <c r="O431" s="886"/>
      <c r="P431" s="886"/>
      <c r="Q431" s="886"/>
      <c r="R431" s="886"/>
      <c r="S431" s="886"/>
      <c r="T431" s="886"/>
      <c r="U431" s="886"/>
    </row>
    <row r="432" spans="3:21">
      <c r="C432" s="942"/>
      <c r="D432" s="942"/>
      <c r="E432" s="943"/>
      <c r="F432" s="886"/>
      <c r="G432" s="886"/>
      <c r="H432" s="886"/>
      <c r="I432" s="886"/>
      <c r="J432" s="886"/>
      <c r="K432" s="886"/>
      <c r="L432" s="886"/>
      <c r="M432" s="886"/>
      <c r="N432" s="886"/>
      <c r="O432" s="886"/>
      <c r="P432" s="886"/>
      <c r="Q432" s="886"/>
      <c r="R432" s="886"/>
      <c r="S432" s="886"/>
      <c r="T432" s="886"/>
      <c r="U432" s="886"/>
    </row>
    <row r="433" spans="3:21">
      <c r="C433" s="942"/>
      <c r="D433" s="942"/>
      <c r="E433" s="943"/>
      <c r="F433" s="886"/>
      <c r="G433" s="886"/>
      <c r="H433" s="886"/>
      <c r="I433" s="886"/>
      <c r="J433" s="886"/>
      <c r="K433" s="886"/>
      <c r="L433" s="886"/>
      <c r="M433" s="886"/>
      <c r="N433" s="886"/>
      <c r="O433" s="886"/>
      <c r="P433" s="886"/>
      <c r="Q433" s="886"/>
      <c r="R433" s="886"/>
      <c r="S433" s="886"/>
      <c r="T433" s="886"/>
      <c r="U433" s="886"/>
    </row>
    <row r="434" spans="3:21">
      <c r="C434" s="942"/>
      <c r="D434" s="942"/>
      <c r="E434" s="943"/>
      <c r="F434" s="886"/>
      <c r="G434" s="886"/>
      <c r="H434" s="886"/>
      <c r="I434" s="886"/>
      <c r="J434" s="886"/>
      <c r="K434" s="886"/>
      <c r="L434" s="886"/>
      <c r="M434" s="886"/>
      <c r="N434" s="886"/>
      <c r="O434" s="886"/>
      <c r="P434" s="886"/>
      <c r="Q434" s="886"/>
      <c r="R434" s="886"/>
      <c r="S434" s="886"/>
      <c r="T434" s="886"/>
      <c r="U434" s="886"/>
    </row>
    <row r="435" spans="3:21">
      <c r="C435" s="942"/>
      <c r="D435" s="942"/>
      <c r="E435" s="943"/>
      <c r="F435" s="886"/>
      <c r="G435" s="886"/>
      <c r="H435" s="886"/>
      <c r="I435" s="886"/>
      <c r="J435" s="886"/>
      <c r="K435" s="886"/>
      <c r="L435" s="886"/>
      <c r="M435" s="886"/>
      <c r="N435" s="886"/>
      <c r="O435" s="886"/>
      <c r="P435" s="886"/>
      <c r="Q435" s="886"/>
      <c r="R435" s="886"/>
      <c r="S435" s="886"/>
      <c r="T435" s="886"/>
      <c r="U435" s="886"/>
    </row>
    <row r="436" spans="3:21">
      <c r="C436" s="942"/>
      <c r="D436" s="942"/>
      <c r="E436" s="943"/>
      <c r="F436" s="886"/>
      <c r="G436" s="886"/>
      <c r="H436" s="886"/>
      <c r="I436" s="886"/>
      <c r="J436" s="886"/>
      <c r="K436" s="886"/>
      <c r="L436" s="886"/>
      <c r="M436" s="886"/>
      <c r="N436" s="886"/>
      <c r="O436" s="886"/>
      <c r="P436" s="886"/>
      <c r="Q436" s="886"/>
      <c r="R436" s="886"/>
      <c r="S436" s="886"/>
      <c r="T436" s="886"/>
      <c r="U436" s="886"/>
    </row>
    <row r="437" spans="3:21">
      <c r="C437" s="942"/>
      <c r="D437" s="942"/>
      <c r="E437" s="943"/>
      <c r="F437" s="886"/>
      <c r="G437" s="886"/>
      <c r="H437" s="886"/>
      <c r="I437" s="886"/>
      <c r="J437" s="886"/>
      <c r="K437" s="886"/>
      <c r="L437" s="886"/>
      <c r="M437" s="886"/>
      <c r="N437" s="886"/>
      <c r="O437" s="886"/>
      <c r="P437" s="886"/>
      <c r="Q437" s="886"/>
      <c r="R437" s="886"/>
      <c r="S437" s="886"/>
      <c r="T437" s="886"/>
      <c r="U437" s="886"/>
    </row>
    <row r="438" spans="3:21">
      <c r="C438" s="942"/>
      <c r="D438" s="942"/>
      <c r="E438" s="943"/>
      <c r="F438" s="886"/>
      <c r="G438" s="886"/>
      <c r="H438" s="886"/>
      <c r="I438" s="886"/>
      <c r="J438" s="886"/>
      <c r="K438" s="886"/>
      <c r="L438" s="886"/>
      <c r="M438" s="886"/>
      <c r="N438" s="886"/>
      <c r="O438" s="886"/>
      <c r="P438" s="886"/>
      <c r="Q438" s="886"/>
      <c r="R438" s="886"/>
      <c r="S438" s="886"/>
      <c r="T438" s="886"/>
      <c r="U438" s="886"/>
    </row>
    <row r="439" spans="3:21">
      <c r="C439" s="942"/>
      <c r="D439" s="942"/>
      <c r="E439" s="943"/>
      <c r="F439" s="886"/>
      <c r="G439" s="886"/>
      <c r="H439" s="886"/>
      <c r="I439" s="886"/>
      <c r="J439" s="886"/>
      <c r="K439" s="886"/>
      <c r="L439" s="886"/>
      <c r="M439" s="886"/>
      <c r="N439" s="886"/>
      <c r="O439" s="886"/>
      <c r="P439" s="886"/>
      <c r="Q439" s="886"/>
      <c r="R439" s="886"/>
      <c r="S439" s="886"/>
      <c r="T439" s="886"/>
      <c r="U439" s="886"/>
    </row>
    <row r="440" spans="3:21">
      <c r="C440" s="942"/>
      <c r="D440" s="942"/>
      <c r="E440" s="943"/>
      <c r="F440" s="886"/>
      <c r="G440" s="886"/>
      <c r="H440" s="886"/>
      <c r="I440" s="886"/>
      <c r="J440" s="886"/>
      <c r="K440" s="886"/>
      <c r="L440" s="886"/>
      <c r="M440" s="886"/>
      <c r="N440" s="886"/>
      <c r="O440" s="886"/>
      <c r="P440" s="886"/>
      <c r="Q440" s="886"/>
      <c r="R440" s="886"/>
      <c r="S440" s="886"/>
      <c r="T440" s="886"/>
      <c r="U440" s="886"/>
    </row>
    <row r="441" spans="3:21">
      <c r="C441" s="942"/>
      <c r="D441" s="942"/>
      <c r="E441" s="943"/>
      <c r="F441" s="886"/>
      <c r="G441" s="886"/>
      <c r="H441" s="886"/>
      <c r="I441" s="886"/>
      <c r="J441" s="886"/>
      <c r="K441" s="886"/>
      <c r="L441" s="886"/>
      <c r="M441" s="886"/>
      <c r="N441" s="886"/>
      <c r="O441" s="886"/>
      <c r="P441" s="886"/>
      <c r="Q441" s="886"/>
      <c r="R441" s="886"/>
      <c r="S441" s="886"/>
      <c r="T441" s="886"/>
      <c r="U441" s="886"/>
    </row>
    <row r="442" spans="3:21">
      <c r="C442" s="942"/>
      <c r="D442" s="942"/>
      <c r="E442" s="943"/>
      <c r="F442" s="886"/>
      <c r="G442" s="886"/>
      <c r="H442" s="886"/>
      <c r="I442" s="886"/>
      <c r="J442" s="886"/>
      <c r="K442" s="886"/>
      <c r="L442" s="886"/>
      <c r="M442" s="886"/>
      <c r="N442" s="886"/>
      <c r="O442" s="886"/>
      <c r="P442" s="886"/>
      <c r="Q442" s="886"/>
      <c r="R442" s="886"/>
      <c r="S442" s="886"/>
      <c r="T442" s="886"/>
      <c r="U442" s="886"/>
    </row>
    <row r="443" spans="3:21">
      <c r="C443" s="942"/>
      <c r="D443" s="942"/>
      <c r="E443" s="943"/>
      <c r="F443" s="886"/>
      <c r="G443" s="886"/>
      <c r="H443" s="886"/>
      <c r="I443" s="886"/>
      <c r="J443" s="886"/>
      <c r="K443" s="886"/>
      <c r="L443" s="886"/>
      <c r="M443" s="886"/>
      <c r="N443" s="886"/>
      <c r="O443" s="886"/>
      <c r="P443" s="886"/>
      <c r="Q443" s="886"/>
      <c r="R443" s="886"/>
      <c r="S443" s="886"/>
      <c r="T443" s="886"/>
      <c r="U443" s="886"/>
    </row>
    <row r="444" spans="3:21">
      <c r="C444" s="942"/>
      <c r="D444" s="942"/>
      <c r="E444" s="943"/>
      <c r="F444" s="886"/>
      <c r="G444" s="886"/>
      <c r="H444" s="886"/>
      <c r="I444" s="886"/>
      <c r="J444" s="886"/>
      <c r="K444" s="886"/>
      <c r="L444" s="886"/>
      <c r="M444" s="886"/>
      <c r="N444" s="886"/>
      <c r="O444" s="886"/>
      <c r="P444" s="886"/>
      <c r="Q444" s="886"/>
      <c r="R444" s="886"/>
      <c r="S444" s="886"/>
      <c r="T444" s="886"/>
      <c r="U444" s="886"/>
    </row>
    <row r="445" spans="3:21">
      <c r="C445" s="942"/>
      <c r="D445" s="942"/>
      <c r="E445" s="943"/>
      <c r="F445" s="886"/>
      <c r="G445" s="886"/>
      <c r="H445" s="886"/>
      <c r="I445" s="886"/>
      <c r="J445" s="886"/>
      <c r="K445" s="886"/>
      <c r="L445" s="886"/>
      <c r="M445" s="886"/>
      <c r="N445" s="886"/>
      <c r="O445" s="886"/>
      <c r="P445" s="886"/>
      <c r="Q445" s="886"/>
      <c r="R445" s="886"/>
      <c r="S445" s="886"/>
      <c r="T445" s="886"/>
      <c r="U445" s="886"/>
    </row>
    <row r="446" spans="3:21">
      <c r="C446" s="942"/>
      <c r="D446" s="942"/>
      <c r="E446" s="943"/>
      <c r="F446" s="886"/>
      <c r="G446" s="886"/>
      <c r="H446" s="886"/>
      <c r="I446" s="886"/>
      <c r="J446" s="886"/>
      <c r="K446" s="886"/>
      <c r="L446" s="886"/>
      <c r="M446" s="886"/>
      <c r="N446" s="886"/>
      <c r="O446" s="886"/>
      <c r="P446" s="886"/>
      <c r="Q446" s="886"/>
      <c r="R446" s="886"/>
      <c r="S446" s="886"/>
      <c r="T446" s="886"/>
      <c r="U446" s="886"/>
    </row>
    <row r="447" spans="3:21">
      <c r="C447" s="942"/>
      <c r="D447" s="942"/>
      <c r="E447" s="943"/>
      <c r="F447" s="886"/>
      <c r="G447" s="886"/>
      <c r="H447" s="886"/>
      <c r="I447" s="886"/>
      <c r="J447" s="886"/>
      <c r="K447" s="886"/>
      <c r="L447" s="886"/>
      <c r="M447" s="886"/>
      <c r="N447" s="886"/>
      <c r="O447" s="886"/>
      <c r="P447" s="886"/>
      <c r="Q447" s="886"/>
      <c r="R447" s="886"/>
      <c r="S447" s="886"/>
      <c r="T447" s="886"/>
      <c r="U447" s="886"/>
    </row>
    <row r="448" spans="3:21">
      <c r="C448" s="942"/>
      <c r="D448" s="942"/>
      <c r="E448" s="943"/>
      <c r="F448" s="886"/>
      <c r="G448" s="886"/>
      <c r="H448" s="886"/>
      <c r="I448" s="886"/>
      <c r="J448" s="886"/>
      <c r="K448" s="886"/>
      <c r="L448" s="886"/>
      <c r="M448" s="886"/>
      <c r="N448" s="886"/>
      <c r="O448" s="886"/>
      <c r="P448" s="886"/>
      <c r="Q448" s="886"/>
      <c r="R448" s="886"/>
      <c r="S448" s="886"/>
      <c r="T448" s="886"/>
      <c r="U448" s="886"/>
    </row>
    <row r="449" spans="3:21">
      <c r="C449" s="942"/>
      <c r="D449" s="942"/>
      <c r="E449" s="943"/>
      <c r="F449" s="886"/>
      <c r="G449" s="886"/>
      <c r="H449" s="886"/>
      <c r="I449" s="886"/>
      <c r="J449" s="886"/>
      <c r="K449" s="886"/>
      <c r="L449" s="886"/>
      <c r="M449" s="886"/>
      <c r="N449" s="886"/>
      <c r="O449" s="886"/>
      <c r="P449" s="886"/>
      <c r="Q449" s="886"/>
      <c r="R449" s="886"/>
      <c r="S449" s="886"/>
      <c r="T449" s="886"/>
      <c r="U449" s="886"/>
    </row>
    <row r="450" spans="3:21">
      <c r="C450" s="942"/>
      <c r="D450" s="942"/>
      <c r="E450" s="943"/>
      <c r="F450" s="886"/>
      <c r="G450" s="886"/>
      <c r="H450" s="886"/>
      <c r="I450" s="886"/>
      <c r="J450" s="886"/>
      <c r="K450" s="886"/>
      <c r="L450" s="886"/>
      <c r="M450" s="886"/>
      <c r="N450" s="886"/>
      <c r="O450" s="886"/>
      <c r="P450" s="886"/>
      <c r="Q450" s="886"/>
      <c r="R450" s="886"/>
      <c r="S450" s="886"/>
      <c r="T450" s="886"/>
      <c r="U450" s="886"/>
    </row>
    <row r="451" spans="3:21">
      <c r="C451" s="942"/>
      <c r="D451" s="942"/>
      <c r="E451" s="943"/>
      <c r="F451" s="886"/>
      <c r="G451" s="886"/>
      <c r="H451" s="886"/>
      <c r="I451" s="886"/>
      <c r="J451" s="886"/>
      <c r="K451" s="886"/>
      <c r="L451" s="886"/>
      <c r="M451" s="886"/>
      <c r="N451" s="886"/>
      <c r="O451" s="886"/>
      <c r="P451" s="886"/>
      <c r="Q451" s="886"/>
      <c r="R451" s="886"/>
      <c r="S451" s="886"/>
      <c r="T451" s="886"/>
      <c r="U451" s="886"/>
    </row>
    <row r="452" spans="3:21">
      <c r="C452" s="942"/>
      <c r="D452" s="942"/>
      <c r="E452" s="943"/>
      <c r="F452" s="886"/>
      <c r="G452" s="886"/>
      <c r="H452" s="886"/>
      <c r="I452" s="886"/>
      <c r="J452" s="886"/>
      <c r="K452" s="886"/>
      <c r="L452" s="886"/>
      <c r="M452" s="886"/>
      <c r="N452" s="886"/>
      <c r="O452" s="886"/>
      <c r="P452" s="886"/>
      <c r="Q452" s="886"/>
      <c r="R452" s="886"/>
      <c r="S452" s="886"/>
      <c r="T452" s="886"/>
      <c r="U452" s="886"/>
    </row>
    <row r="453" spans="3:21">
      <c r="C453" s="942"/>
      <c r="D453" s="942"/>
      <c r="E453" s="943"/>
      <c r="F453" s="886"/>
      <c r="G453" s="886"/>
      <c r="H453" s="886"/>
      <c r="I453" s="886"/>
      <c r="J453" s="886"/>
      <c r="K453" s="886"/>
      <c r="L453" s="886"/>
      <c r="M453" s="886"/>
      <c r="N453" s="886"/>
      <c r="O453" s="886"/>
      <c r="P453" s="886"/>
      <c r="Q453" s="886"/>
      <c r="R453" s="886"/>
      <c r="S453" s="886"/>
      <c r="T453" s="886"/>
      <c r="U453" s="886"/>
    </row>
    <row r="454" spans="3:21">
      <c r="C454" s="942"/>
      <c r="D454" s="942"/>
      <c r="E454" s="943"/>
      <c r="F454" s="886"/>
      <c r="G454" s="886"/>
      <c r="H454" s="886"/>
      <c r="I454" s="886"/>
      <c r="J454" s="886"/>
      <c r="K454" s="886"/>
      <c r="L454" s="886"/>
      <c r="M454" s="886"/>
      <c r="N454" s="886"/>
      <c r="O454" s="886"/>
      <c r="P454" s="886"/>
      <c r="Q454" s="886"/>
      <c r="R454" s="886"/>
      <c r="S454" s="886"/>
      <c r="T454" s="886"/>
      <c r="U454" s="886"/>
    </row>
    <row r="455" spans="3:21">
      <c r="C455" s="942"/>
      <c r="D455" s="942"/>
      <c r="E455" s="943"/>
      <c r="F455" s="886"/>
      <c r="G455" s="886"/>
      <c r="H455" s="886"/>
      <c r="I455" s="886"/>
      <c r="J455" s="886"/>
      <c r="K455" s="886"/>
      <c r="L455" s="886"/>
      <c r="M455" s="886"/>
      <c r="N455" s="886"/>
      <c r="O455" s="886"/>
      <c r="P455" s="886"/>
      <c r="Q455" s="886"/>
      <c r="R455" s="886"/>
      <c r="S455" s="886"/>
      <c r="T455" s="886"/>
      <c r="U455" s="886"/>
    </row>
    <row r="456" spans="3:21">
      <c r="C456" s="942"/>
      <c r="D456" s="942"/>
      <c r="E456" s="943"/>
      <c r="F456" s="886"/>
      <c r="G456" s="886"/>
      <c r="H456" s="886"/>
      <c r="I456" s="886"/>
      <c r="J456" s="886"/>
      <c r="K456" s="886"/>
      <c r="L456" s="886"/>
      <c r="M456" s="886"/>
      <c r="N456" s="886"/>
      <c r="O456" s="886"/>
      <c r="P456" s="886"/>
      <c r="Q456" s="886"/>
      <c r="R456" s="886"/>
      <c r="S456" s="886"/>
      <c r="T456" s="886"/>
      <c r="U456" s="886"/>
    </row>
    <row r="457" spans="3:21">
      <c r="C457" s="942"/>
      <c r="D457" s="942"/>
      <c r="E457" s="943"/>
      <c r="F457" s="886"/>
      <c r="G457" s="886"/>
      <c r="H457" s="886"/>
      <c r="I457" s="886"/>
      <c r="J457" s="886"/>
      <c r="K457" s="886"/>
      <c r="L457" s="886"/>
      <c r="M457" s="886"/>
      <c r="N457" s="886"/>
      <c r="O457" s="886"/>
      <c r="P457" s="886"/>
      <c r="Q457" s="886"/>
      <c r="R457" s="886"/>
      <c r="S457" s="886"/>
      <c r="T457" s="886"/>
      <c r="U457" s="886"/>
    </row>
    <row r="458" spans="3:21">
      <c r="C458" s="942"/>
      <c r="D458" s="942"/>
      <c r="E458" s="943"/>
      <c r="F458" s="886"/>
      <c r="G458" s="886"/>
      <c r="H458" s="886"/>
      <c r="I458" s="886"/>
      <c r="J458" s="886"/>
      <c r="K458" s="886"/>
      <c r="L458" s="886"/>
      <c r="M458" s="886"/>
      <c r="N458" s="886"/>
      <c r="O458" s="886"/>
      <c r="P458" s="886"/>
      <c r="Q458" s="886"/>
      <c r="R458" s="886"/>
      <c r="S458" s="886"/>
      <c r="T458" s="886"/>
      <c r="U458" s="886"/>
    </row>
    <row r="459" spans="3:21">
      <c r="C459" s="942"/>
      <c r="D459" s="942"/>
      <c r="E459" s="943"/>
      <c r="F459" s="886"/>
      <c r="G459" s="886"/>
      <c r="H459" s="886"/>
      <c r="I459" s="886"/>
      <c r="J459" s="886"/>
      <c r="K459" s="886"/>
      <c r="L459" s="886"/>
      <c r="M459" s="886"/>
      <c r="N459" s="886"/>
      <c r="O459" s="886"/>
      <c r="P459" s="886"/>
      <c r="Q459" s="886"/>
      <c r="R459" s="886"/>
      <c r="S459" s="886"/>
      <c r="T459" s="886"/>
      <c r="U459" s="886"/>
    </row>
    <row r="460" spans="3:21">
      <c r="C460" s="942"/>
      <c r="D460" s="942"/>
      <c r="E460" s="943"/>
      <c r="F460" s="886"/>
      <c r="G460" s="886"/>
      <c r="H460" s="886"/>
      <c r="I460" s="886"/>
      <c r="J460" s="886"/>
      <c r="K460" s="886"/>
      <c r="L460" s="886"/>
      <c r="M460" s="886"/>
      <c r="N460" s="886"/>
      <c r="O460" s="886"/>
      <c r="P460" s="886"/>
      <c r="Q460" s="886"/>
      <c r="R460" s="886"/>
      <c r="S460" s="886"/>
      <c r="T460" s="886"/>
      <c r="U460" s="886"/>
    </row>
    <row r="461" spans="3:21">
      <c r="C461" s="942"/>
      <c r="D461" s="942"/>
      <c r="E461" s="943"/>
      <c r="F461" s="886"/>
      <c r="G461" s="886"/>
      <c r="H461" s="886"/>
      <c r="I461" s="886"/>
      <c r="J461" s="886"/>
      <c r="K461" s="886"/>
      <c r="L461" s="886"/>
      <c r="M461" s="886"/>
      <c r="N461" s="886"/>
      <c r="O461" s="886"/>
      <c r="P461" s="886"/>
      <c r="Q461" s="886"/>
      <c r="R461" s="886"/>
      <c r="S461" s="886"/>
      <c r="T461" s="886"/>
      <c r="U461" s="886"/>
    </row>
    <row r="462" spans="3:21">
      <c r="C462" s="942"/>
      <c r="D462" s="942"/>
      <c r="E462" s="943"/>
      <c r="F462" s="886"/>
      <c r="G462" s="886"/>
      <c r="H462" s="886"/>
      <c r="I462" s="886"/>
      <c r="J462" s="886"/>
      <c r="K462" s="886"/>
      <c r="L462" s="886"/>
      <c r="M462" s="886"/>
      <c r="N462" s="886"/>
      <c r="O462" s="886"/>
      <c r="P462" s="886"/>
      <c r="Q462" s="886"/>
      <c r="R462" s="886"/>
      <c r="S462" s="886"/>
      <c r="T462" s="886"/>
      <c r="U462" s="886"/>
    </row>
    <row r="463" spans="3:21">
      <c r="C463" s="942"/>
      <c r="D463" s="942"/>
      <c r="E463" s="943"/>
      <c r="F463" s="886"/>
      <c r="G463" s="886"/>
      <c r="H463" s="886"/>
      <c r="I463" s="886"/>
      <c r="J463" s="886"/>
      <c r="K463" s="886"/>
      <c r="L463" s="886"/>
      <c r="M463" s="886"/>
      <c r="N463" s="886"/>
      <c r="O463" s="886"/>
      <c r="P463" s="886"/>
      <c r="Q463" s="886"/>
      <c r="R463" s="886"/>
      <c r="S463" s="886"/>
      <c r="T463" s="886"/>
      <c r="U463" s="886"/>
    </row>
    <row r="464" spans="3:21">
      <c r="C464" s="942"/>
      <c r="D464" s="942"/>
      <c r="E464" s="943"/>
      <c r="F464" s="886"/>
      <c r="G464" s="886"/>
      <c r="H464" s="886"/>
      <c r="I464" s="886"/>
      <c r="J464" s="886"/>
      <c r="K464" s="886"/>
      <c r="L464" s="886"/>
      <c r="M464" s="886"/>
      <c r="N464" s="886"/>
      <c r="O464" s="886"/>
      <c r="P464" s="886"/>
      <c r="Q464" s="886"/>
      <c r="R464" s="886"/>
      <c r="S464" s="886"/>
      <c r="T464" s="886"/>
      <c r="U464" s="886"/>
    </row>
    <row r="465" spans="3:21">
      <c r="C465" s="942"/>
      <c r="D465" s="942"/>
      <c r="E465" s="943"/>
      <c r="F465" s="886"/>
      <c r="G465" s="886"/>
      <c r="H465" s="886"/>
      <c r="I465" s="886"/>
      <c r="J465" s="886"/>
      <c r="K465" s="886"/>
      <c r="L465" s="886"/>
      <c r="M465" s="886"/>
      <c r="N465" s="886"/>
      <c r="O465" s="886"/>
      <c r="P465" s="886"/>
      <c r="Q465" s="886"/>
      <c r="R465" s="886"/>
      <c r="S465" s="886"/>
      <c r="T465" s="886"/>
      <c r="U465" s="886"/>
    </row>
    <row r="466" spans="3:21">
      <c r="C466" s="942"/>
      <c r="D466" s="942"/>
      <c r="E466" s="943"/>
      <c r="F466" s="886"/>
      <c r="G466" s="886"/>
      <c r="H466" s="886"/>
      <c r="I466" s="886"/>
      <c r="J466" s="886"/>
      <c r="K466" s="886"/>
      <c r="L466" s="886"/>
      <c r="M466" s="886"/>
      <c r="N466" s="886"/>
      <c r="O466" s="886"/>
      <c r="P466" s="886"/>
      <c r="Q466" s="886"/>
      <c r="R466" s="886"/>
      <c r="S466" s="886"/>
      <c r="T466" s="886"/>
      <c r="U466" s="886"/>
    </row>
    <row r="467" spans="3:21">
      <c r="C467" s="942"/>
      <c r="D467" s="942"/>
      <c r="E467" s="943"/>
      <c r="F467" s="886"/>
      <c r="G467" s="886"/>
      <c r="H467" s="886"/>
      <c r="I467" s="886"/>
      <c r="J467" s="886"/>
      <c r="K467" s="886"/>
      <c r="L467" s="886"/>
      <c r="M467" s="886"/>
      <c r="N467" s="886"/>
      <c r="O467" s="886"/>
      <c r="P467" s="886"/>
      <c r="Q467" s="886"/>
      <c r="R467" s="886"/>
      <c r="S467" s="886"/>
      <c r="T467" s="886"/>
      <c r="U467" s="886"/>
    </row>
    <row r="468" spans="3:21">
      <c r="C468" s="942"/>
      <c r="D468" s="942"/>
      <c r="E468" s="943"/>
      <c r="F468" s="886"/>
      <c r="G468" s="886"/>
      <c r="H468" s="886"/>
      <c r="I468" s="886"/>
      <c r="J468" s="886"/>
      <c r="K468" s="886"/>
      <c r="L468" s="886"/>
      <c r="M468" s="886"/>
      <c r="N468" s="886"/>
      <c r="O468" s="886"/>
      <c r="P468" s="886"/>
      <c r="Q468" s="886"/>
      <c r="R468" s="886"/>
      <c r="S468" s="886"/>
      <c r="T468" s="886"/>
      <c r="U468" s="886"/>
    </row>
    <row r="469" spans="3:21">
      <c r="C469" s="942"/>
      <c r="D469" s="942"/>
      <c r="E469" s="943"/>
      <c r="F469" s="886"/>
      <c r="G469" s="886"/>
      <c r="H469" s="886"/>
      <c r="I469" s="886"/>
      <c r="J469" s="886"/>
      <c r="K469" s="886"/>
      <c r="L469" s="886"/>
      <c r="M469" s="886"/>
      <c r="N469" s="886"/>
      <c r="O469" s="886"/>
      <c r="P469" s="886"/>
      <c r="Q469" s="886"/>
      <c r="R469" s="886"/>
      <c r="S469" s="886"/>
      <c r="T469" s="886"/>
      <c r="U469" s="886"/>
    </row>
    <row r="470" spans="3:21">
      <c r="C470" s="942"/>
      <c r="D470" s="942"/>
      <c r="E470" s="943"/>
      <c r="F470" s="886"/>
      <c r="G470" s="886"/>
      <c r="H470" s="886"/>
      <c r="I470" s="886"/>
      <c r="J470" s="886"/>
      <c r="K470" s="886"/>
      <c r="L470" s="886"/>
      <c r="M470" s="886"/>
      <c r="N470" s="886"/>
      <c r="O470" s="886"/>
      <c r="P470" s="886"/>
      <c r="Q470" s="886"/>
      <c r="R470" s="886"/>
      <c r="S470" s="886"/>
      <c r="T470" s="886"/>
      <c r="U470" s="886"/>
    </row>
    <row r="471" spans="3:21">
      <c r="C471" s="942"/>
      <c r="D471" s="942"/>
      <c r="E471" s="943"/>
      <c r="F471" s="886"/>
      <c r="G471" s="886"/>
      <c r="H471" s="886"/>
      <c r="I471" s="886"/>
      <c r="J471" s="886"/>
      <c r="K471" s="886"/>
      <c r="L471" s="886"/>
      <c r="M471" s="886"/>
      <c r="N471" s="886"/>
      <c r="O471" s="886"/>
      <c r="P471" s="886"/>
      <c r="Q471" s="886"/>
      <c r="R471" s="886"/>
      <c r="S471" s="886"/>
      <c r="T471" s="886"/>
      <c r="U471" s="886"/>
    </row>
    <row r="472" spans="3:21">
      <c r="C472" s="942"/>
      <c r="D472" s="942"/>
      <c r="E472" s="943"/>
      <c r="F472" s="886"/>
      <c r="G472" s="886"/>
      <c r="H472" s="886"/>
      <c r="I472" s="886"/>
      <c r="J472" s="886"/>
      <c r="K472" s="886"/>
      <c r="L472" s="886"/>
      <c r="M472" s="886"/>
      <c r="N472" s="886"/>
      <c r="O472" s="886"/>
      <c r="P472" s="886"/>
      <c r="Q472" s="886"/>
      <c r="R472" s="886"/>
      <c r="S472" s="886"/>
      <c r="T472" s="886"/>
      <c r="U472" s="886"/>
    </row>
    <row r="473" spans="3:21">
      <c r="C473" s="942"/>
      <c r="D473" s="942"/>
      <c r="E473" s="943"/>
      <c r="F473" s="886"/>
      <c r="G473" s="886"/>
      <c r="H473" s="886"/>
      <c r="I473" s="886"/>
      <c r="J473" s="886"/>
      <c r="K473" s="886"/>
      <c r="L473" s="886"/>
      <c r="M473" s="886"/>
      <c r="N473" s="886"/>
      <c r="O473" s="886"/>
      <c r="P473" s="886"/>
      <c r="Q473" s="886"/>
      <c r="R473" s="886"/>
      <c r="S473" s="886"/>
      <c r="T473" s="886"/>
      <c r="U473" s="886"/>
    </row>
    <row r="474" spans="3:21">
      <c r="C474" s="942"/>
      <c r="D474" s="942"/>
      <c r="E474" s="943"/>
      <c r="F474" s="886"/>
      <c r="G474" s="886"/>
      <c r="H474" s="886"/>
      <c r="I474" s="886"/>
      <c r="J474" s="886"/>
      <c r="K474" s="886"/>
      <c r="L474" s="886"/>
      <c r="M474" s="886"/>
      <c r="N474" s="886"/>
      <c r="O474" s="886"/>
      <c r="P474" s="886"/>
      <c r="Q474" s="886"/>
      <c r="R474" s="886"/>
      <c r="S474" s="886"/>
      <c r="T474" s="886"/>
      <c r="U474" s="886"/>
    </row>
    <row r="475" spans="3:21">
      <c r="C475" s="942"/>
      <c r="D475" s="942"/>
      <c r="E475" s="943"/>
      <c r="F475" s="886"/>
      <c r="G475" s="886"/>
      <c r="H475" s="886"/>
      <c r="I475" s="886"/>
      <c r="J475" s="886"/>
      <c r="K475" s="886"/>
      <c r="L475" s="886"/>
      <c r="M475" s="886"/>
      <c r="N475" s="886"/>
      <c r="O475" s="886"/>
      <c r="P475" s="886"/>
      <c r="Q475" s="886"/>
      <c r="R475" s="886"/>
      <c r="S475" s="886"/>
      <c r="T475" s="886"/>
      <c r="U475" s="886"/>
    </row>
    <row r="476" spans="3:21">
      <c r="C476" s="942"/>
      <c r="D476" s="942"/>
      <c r="E476" s="943"/>
      <c r="F476" s="886"/>
      <c r="G476" s="886"/>
      <c r="H476" s="886"/>
      <c r="I476" s="886"/>
      <c r="J476" s="886"/>
      <c r="K476" s="886"/>
      <c r="L476" s="886"/>
      <c r="M476" s="886"/>
      <c r="N476" s="886"/>
      <c r="O476" s="886"/>
      <c r="P476" s="886"/>
      <c r="Q476" s="886"/>
      <c r="R476" s="886"/>
      <c r="S476" s="886"/>
      <c r="T476" s="886"/>
      <c r="U476" s="886"/>
    </row>
    <row r="477" spans="3:21">
      <c r="C477" s="942"/>
      <c r="D477" s="942"/>
      <c r="E477" s="943"/>
      <c r="F477" s="886"/>
      <c r="G477" s="886"/>
      <c r="H477" s="886"/>
      <c r="I477" s="886"/>
      <c r="J477" s="886"/>
      <c r="K477" s="886"/>
      <c r="L477" s="886"/>
      <c r="M477" s="886"/>
      <c r="N477" s="886"/>
      <c r="O477" s="886"/>
      <c r="P477" s="886"/>
      <c r="Q477" s="886"/>
      <c r="R477" s="886"/>
      <c r="S477" s="886"/>
      <c r="T477" s="886"/>
      <c r="U477" s="886"/>
    </row>
    <row r="478" spans="3:21">
      <c r="C478" s="942"/>
      <c r="D478" s="942"/>
      <c r="E478" s="943"/>
      <c r="F478" s="886"/>
      <c r="G478" s="886"/>
      <c r="H478" s="886"/>
      <c r="I478" s="886"/>
      <c r="J478" s="886"/>
      <c r="K478" s="886"/>
      <c r="L478" s="886"/>
      <c r="M478" s="886"/>
      <c r="N478" s="886"/>
      <c r="O478" s="886"/>
      <c r="P478" s="886"/>
      <c r="Q478" s="886"/>
      <c r="R478" s="886"/>
      <c r="S478" s="886"/>
      <c r="T478" s="886"/>
      <c r="U478" s="886"/>
    </row>
    <row r="479" spans="3:21">
      <c r="C479" s="942"/>
      <c r="D479" s="942"/>
      <c r="E479" s="943"/>
      <c r="F479" s="886"/>
      <c r="G479" s="886"/>
      <c r="H479" s="886"/>
      <c r="I479" s="886"/>
      <c r="J479" s="886"/>
      <c r="K479" s="886"/>
      <c r="L479" s="886"/>
      <c r="M479" s="886"/>
      <c r="N479" s="886"/>
      <c r="O479" s="886"/>
      <c r="P479" s="886"/>
      <c r="Q479" s="886"/>
      <c r="R479" s="886"/>
      <c r="S479" s="886"/>
      <c r="T479" s="886"/>
      <c r="U479" s="886"/>
    </row>
    <row r="480" spans="3:21">
      <c r="C480" s="942"/>
      <c r="D480" s="942"/>
      <c r="E480" s="943"/>
      <c r="F480" s="886"/>
      <c r="G480" s="886"/>
      <c r="H480" s="886"/>
      <c r="I480" s="886"/>
      <c r="J480" s="886"/>
      <c r="K480" s="886"/>
      <c r="L480" s="886"/>
      <c r="M480" s="886"/>
      <c r="N480" s="886"/>
      <c r="O480" s="886"/>
      <c r="P480" s="886"/>
      <c r="Q480" s="886"/>
      <c r="R480" s="886"/>
      <c r="S480" s="886"/>
      <c r="T480" s="886"/>
      <c r="U480" s="886"/>
    </row>
    <row r="481" spans="3:21">
      <c r="C481" s="942"/>
      <c r="D481" s="942"/>
      <c r="E481" s="943"/>
      <c r="F481" s="886"/>
      <c r="G481" s="886"/>
      <c r="H481" s="886"/>
      <c r="I481" s="886"/>
      <c r="J481" s="886"/>
      <c r="K481" s="886"/>
      <c r="L481" s="886"/>
      <c r="M481" s="886"/>
      <c r="N481" s="886"/>
      <c r="O481" s="886"/>
      <c r="P481" s="886"/>
      <c r="Q481" s="886"/>
      <c r="R481" s="886"/>
      <c r="S481" s="886"/>
      <c r="T481" s="886"/>
      <c r="U481" s="886"/>
    </row>
    <row r="482" spans="3:21">
      <c r="C482" s="942"/>
      <c r="D482" s="942"/>
      <c r="E482" s="943"/>
      <c r="F482" s="886"/>
      <c r="G482" s="886"/>
      <c r="H482" s="886"/>
      <c r="I482" s="886"/>
      <c r="J482" s="886"/>
      <c r="K482" s="886"/>
      <c r="L482" s="886"/>
      <c r="M482" s="886"/>
      <c r="N482" s="886"/>
      <c r="O482" s="886"/>
      <c r="P482" s="886"/>
      <c r="Q482" s="886"/>
      <c r="R482" s="886"/>
      <c r="S482" s="886"/>
      <c r="T482" s="886"/>
      <c r="U482" s="886"/>
    </row>
    <row r="483" spans="3:21">
      <c r="C483" s="942"/>
      <c r="D483" s="942"/>
      <c r="E483" s="943"/>
      <c r="F483" s="886"/>
      <c r="G483" s="886"/>
      <c r="H483" s="886"/>
      <c r="I483" s="886"/>
      <c r="J483" s="886"/>
      <c r="K483" s="886"/>
      <c r="L483" s="886"/>
      <c r="M483" s="886"/>
      <c r="N483" s="886"/>
      <c r="O483" s="886"/>
      <c r="P483" s="886"/>
      <c r="Q483" s="886"/>
      <c r="R483" s="886"/>
      <c r="S483" s="886"/>
      <c r="T483" s="886"/>
      <c r="U483" s="886"/>
    </row>
    <row r="484" spans="3:21">
      <c r="C484" s="942"/>
      <c r="D484" s="942"/>
      <c r="E484" s="943"/>
      <c r="F484" s="886"/>
      <c r="G484" s="886"/>
      <c r="H484" s="886"/>
      <c r="I484" s="886"/>
      <c r="J484" s="886"/>
      <c r="K484" s="886"/>
      <c r="L484" s="886"/>
      <c r="M484" s="886"/>
      <c r="N484" s="886"/>
      <c r="O484" s="886"/>
      <c r="P484" s="886"/>
      <c r="Q484" s="886"/>
      <c r="R484" s="886"/>
      <c r="S484" s="886"/>
      <c r="T484" s="886"/>
      <c r="U484" s="886"/>
    </row>
    <row r="485" spans="3:21">
      <c r="C485" s="942"/>
      <c r="D485" s="942"/>
      <c r="E485" s="943"/>
      <c r="F485" s="886"/>
      <c r="G485" s="886"/>
      <c r="H485" s="886"/>
      <c r="I485" s="886"/>
      <c r="J485" s="886"/>
      <c r="K485" s="886"/>
      <c r="L485" s="886"/>
      <c r="M485" s="886"/>
      <c r="N485" s="886"/>
      <c r="O485" s="886"/>
      <c r="P485" s="886"/>
      <c r="Q485" s="886"/>
      <c r="R485" s="886"/>
      <c r="S485" s="886"/>
      <c r="T485" s="886"/>
      <c r="U485" s="886"/>
    </row>
    <row r="486" spans="3:21">
      <c r="C486" s="942"/>
      <c r="D486" s="942"/>
      <c r="E486" s="943"/>
      <c r="F486" s="886"/>
      <c r="G486" s="886"/>
      <c r="H486" s="886"/>
      <c r="I486" s="886"/>
      <c r="J486" s="886"/>
      <c r="K486" s="886"/>
      <c r="L486" s="886"/>
      <c r="M486" s="886"/>
      <c r="N486" s="886"/>
      <c r="O486" s="886"/>
      <c r="P486" s="886"/>
      <c r="Q486" s="886"/>
      <c r="R486" s="886"/>
      <c r="S486" s="886"/>
      <c r="T486" s="886"/>
      <c r="U486" s="886"/>
    </row>
    <row r="487" spans="3:21">
      <c r="C487" s="942"/>
      <c r="D487" s="942"/>
      <c r="E487" s="943"/>
      <c r="F487" s="886"/>
      <c r="G487" s="886"/>
      <c r="H487" s="886"/>
      <c r="I487" s="886"/>
      <c r="J487" s="886"/>
      <c r="K487" s="886"/>
      <c r="L487" s="886"/>
      <c r="M487" s="886"/>
      <c r="N487" s="886"/>
      <c r="O487" s="886"/>
      <c r="P487" s="886"/>
      <c r="Q487" s="886"/>
      <c r="R487" s="886"/>
      <c r="S487" s="886"/>
      <c r="T487" s="886"/>
      <c r="U487" s="886"/>
    </row>
    <row r="488" spans="3:21">
      <c r="C488" s="942"/>
      <c r="D488" s="942"/>
      <c r="E488" s="943"/>
      <c r="F488" s="886"/>
      <c r="G488" s="886"/>
      <c r="H488" s="886"/>
      <c r="I488" s="886"/>
      <c r="J488" s="886"/>
      <c r="K488" s="886"/>
      <c r="L488" s="886"/>
      <c r="M488" s="886"/>
      <c r="N488" s="886"/>
      <c r="O488" s="886"/>
      <c r="P488" s="886"/>
      <c r="Q488" s="886"/>
      <c r="R488" s="886"/>
      <c r="S488" s="886"/>
      <c r="T488" s="886"/>
      <c r="U488" s="886"/>
    </row>
    <row r="489" spans="3:21">
      <c r="C489" s="942"/>
      <c r="D489" s="942"/>
      <c r="E489" s="943"/>
      <c r="F489" s="886"/>
      <c r="G489" s="886"/>
      <c r="H489" s="886"/>
      <c r="I489" s="886"/>
      <c r="J489" s="886"/>
      <c r="K489" s="886"/>
      <c r="L489" s="886"/>
      <c r="M489" s="886"/>
      <c r="N489" s="886"/>
      <c r="O489" s="886"/>
      <c r="P489" s="886"/>
      <c r="Q489" s="886"/>
      <c r="R489" s="886"/>
      <c r="S489" s="886"/>
      <c r="T489" s="886"/>
      <c r="U489" s="886"/>
    </row>
    <row r="490" spans="3:21">
      <c r="C490" s="942"/>
      <c r="D490" s="942"/>
      <c r="E490" s="943"/>
      <c r="F490" s="886"/>
      <c r="G490" s="886"/>
      <c r="H490" s="886"/>
      <c r="I490" s="886"/>
      <c r="J490" s="886"/>
      <c r="K490" s="886"/>
      <c r="L490" s="886"/>
      <c r="M490" s="886"/>
      <c r="N490" s="886"/>
      <c r="O490" s="886"/>
      <c r="P490" s="886"/>
      <c r="Q490" s="886"/>
      <c r="R490" s="886"/>
      <c r="S490" s="886"/>
      <c r="T490" s="886"/>
      <c r="U490" s="886"/>
    </row>
    <row r="491" spans="3:21">
      <c r="C491" s="942"/>
      <c r="D491" s="942"/>
      <c r="E491" s="943"/>
      <c r="F491" s="886"/>
      <c r="G491" s="886"/>
      <c r="H491" s="886"/>
      <c r="I491" s="886"/>
      <c r="J491" s="886"/>
      <c r="K491" s="886"/>
      <c r="L491" s="886"/>
      <c r="M491" s="886"/>
      <c r="N491" s="886"/>
      <c r="O491" s="886"/>
      <c r="P491" s="886"/>
      <c r="Q491" s="886"/>
      <c r="R491" s="886"/>
      <c r="S491" s="886"/>
      <c r="T491" s="886"/>
      <c r="U491" s="886"/>
    </row>
    <row r="492" spans="3:21">
      <c r="C492" s="942"/>
      <c r="D492" s="942"/>
      <c r="E492" s="943"/>
      <c r="F492" s="886"/>
      <c r="G492" s="886"/>
      <c r="H492" s="886"/>
      <c r="I492" s="886"/>
      <c r="J492" s="886"/>
      <c r="K492" s="886"/>
      <c r="L492" s="886"/>
      <c r="M492" s="886"/>
      <c r="N492" s="886"/>
      <c r="O492" s="886"/>
      <c r="P492" s="886"/>
      <c r="Q492" s="886"/>
      <c r="R492" s="886"/>
      <c r="S492" s="886"/>
      <c r="T492" s="886"/>
      <c r="U492" s="886"/>
    </row>
    <row r="493" spans="3:21">
      <c r="C493" s="942"/>
      <c r="D493" s="942"/>
      <c r="E493" s="943"/>
      <c r="F493" s="886"/>
      <c r="G493" s="886"/>
      <c r="H493" s="886"/>
      <c r="I493" s="886"/>
      <c r="J493" s="886"/>
      <c r="K493" s="886"/>
      <c r="L493" s="886"/>
      <c r="M493" s="886"/>
      <c r="N493" s="886"/>
      <c r="O493" s="886"/>
      <c r="P493" s="886"/>
      <c r="Q493" s="886"/>
      <c r="R493" s="886"/>
      <c r="S493" s="886"/>
      <c r="T493" s="886"/>
      <c r="U493" s="886"/>
    </row>
    <row r="494" spans="3:21">
      <c r="C494" s="942"/>
      <c r="D494" s="942"/>
      <c r="E494" s="943"/>
      <c r="F494" s="886"/>
      <c r="G494" s="886"/>
      <c r="H494" s="886"/>
      <c r="I494" s="886"/>
      <c r="J494" s="886"/>
      <c r="K494" s="886"/>
      <c r="L494" s="886"/>
      <c r="M494" s="886"/>
      <c r="N494" s="886"/>
      <c r="O494" s="886"/>
      <c r="P494" s="886"/>
      <c r="Q494" s="886"/>
      <c r="R494" s="886"/>
      <c r="S494" s="886"/>
      <c r="T494" s="886"/>
      <c r="U494" s="886"/>
    </row>
    <row r="495" spans="3:21">
      <c r="C495" s="942"/>
      <c r="D495" s="942"/>
      <c r="E495" s="943"/>
      <c r="F495" s="886"/>
      <c r="G495" s="886"/>
      <c r="H495" s="886"/>
      <c r="I495" s="886"/>
      <c r="J495" s="886"/>
      <c r="K495" s="886"/>
      <c r="L495" s="886"/>
      <c r="M495" s="886"/>
      <c r="N495" s="886"/>
      <c r="O495" s="886"/>
      <c r="P495" s="886"/>
      <c r="Q495" s="886"/>
      <c r="R495" s="886"/>
      <c r="S495" s="886"/>
      <c r="T495" s="886"/>
      <c r="U495" s="886"/>
    </row>
    <row r="496" spans="3:21">
      <c r="C496" s="942"/>
      <c r="D496" s="942"/>
      <c r="E496" s="943"/>
      <c r="F496" s="886"/>
      <c r="G496" s="886"/>
      <c r="H496" s="886"/>
      <c r="I496" s="886"/>
      <c r="J496" s="886"/>
      <c r="K496" s="886"/>
      <c r="L496" s="886"/>
      <c r="M496" s="886"/>
      <c r="N496" s="886"/>
      <c r="O496" s="886"/>
      <c r="P496" s="886"/>
      <c r="Q496" s="886"/>
      <c r="R496" s="886"/>
      <c r="S496" s="886"/>
      <c r="T496" s="886"/>
      <c r="U496" s="886"/>
    </row>
    <row r="497" spans="3:21">
      <c r="C497" s="942"/>
      <c r="D497" s="942"/>
      <c r="E497" s="943"/>
      <c r="F497" s="886"/>
      <c r="G497" s="886"/>
      <c r="H497" s="886"/>
      <c r="I497" s="886"/>
      <c r="J497" s="886"/>
      <c r="K497" s="886"/>
      <c r="L497" s="886"/>
      <c r="M497" s="886"/>
      <c r="N497" s="886"/>
      <c r="O497" s="886"/>
      <c r="P497" s="886"/>
      <c r="Q497" s="886"/>
      <c r="R497" s="886"/>
      <c r="S497" s="886"/>
      <c r="T497" s="886"/>
      <c r="U497" s="886"/>
    </row>
    <row r="498" spans="3:21">
      <c r="C498" s="942"/>
      <c r="D498" s="942"/>
      <c r="E498" s="943"/>
      <c r="F498" s="886"/>
      <c r="G498" s="886"/>
      <c r="H498" s="886"/>
      <c r="I498" s="886"/>
      <c r="J498" s="886"/>
      <c r="K498" s="886"/>
      <c r="L498" s="886"/>
      <c r="M498" s="886"/>
      <c r="N498" s="886"/>
      <c r="O498" s="886"/>
      <c r="P498" s="886"/>
      <c r="Q498" s="886"/>
      <c r="R498" s="886"/>
      <c r="S498" s="886"/>
      <c r="T498" s="886"/>
      <c r="U498" s="886"/>
    </row>
    <row r="499" spans="3:21">
      <c r="C499" s="942"/>
      <c r="D499" s="942"/>
      <c r="E499" s="943"/>
      <c r="F499" s="886"/>
      <c r="G499" s="886"/>
      <c r="H499" s="886"/>
      <c r="I499" s="886"/>
      <c r="J499" s="886"/>
      <c r="K499" s="886"/>
      <c r="L499" s="886"/>
      <c r="M499" s="886"/>
      <c r="N499" s="886"/>
      <c r="O499" s="886"/>
      <c r="P499" s="886"/>
      <c r="Q499" s="886"/>
      <c r="R499" s="886"/>
      <c r="S499" s="886"/>
      <c r="T499" s="886"/>
      <c r="U499" s="886"/>
    </row>
    <row r="500" spans="3:21">
      <c r="C500" s="942"/>
      <c r="D500" s="942"/>
      <c r="E500" s="943"/>
      <c r="F500" s="886"/>
      <c r="G500" s="886"/>
      <c r="H500" s="886"/>
      <c r="I500" s="886"/>
      <c r="J500" s="886"/>
      <c r="K500" s="886"/>
      <c r="L500" s="886"/>
      <c r="M500" s="886"/>
      <c r="N500" s="886"/>
      <c r="O500" s="886"/>
      <c r="P500" s="886"/>
      <c r="Q500" s="886"/>
      <c r="R500" s="886"/>
      <c r="S500" s="886"/>
      <c r="T500" s="886"/>
      <c r="U500" s="886"/>
    </row>
    <row r="501" spans="3:21">
      <c r="C501" s="942"/>
      <c r="D501" s="942"/>
      <c r="E501" s="943"/>
      <c r="F501" s="886"/>
      <c r="G501" s="886"/>
      <c r="H501" s="886"/>
      <c r="I501" s="886"/>
      <c r="J501" s="886"/>
      <c r="K501" s="886"/>
      <c r="L501" s="886"/>
      <c r="M501" s="886"/>
      <c r="N501" s="886"/>
      <c r="O501" s="886"/>
      <c r="P501" s="886"/>
      <c r="Q501" s="886"/>
      <c r="R501" s="886"/>
      <c r="S501" s="886"/>
      <c r="T501" s="886"/>
      <c r="U501" s="886"/>
    </row>
    <row r="502" spans="3:21">
      <c r="C502" s="942"/>
      <c r="D502" s="942"/>
      <c r="E502" s="943"/>
      <c r="F502" s="886"/>
      <c r="G502" s="886"/>
      <c r="H502" s="886"/>
      <c r="I502" s="886"/>
      <c r="J502" s="886"/>
      <c r="K502" s="886"/>
      <c r="L502" s="886"/>
      <c r="M502" s="886"/>
      <c r="N502" s="886"/>
      <c r="O502" s="886"/>
      <c r="P502" s="886"/>
      <c r="Q502" s="886"/>
      <c r="R502" s="886"/>
      <c r="S502" s="886"/>
      <c r="T502" s="886"/>
      <c r="U502" s="886"/>
    </row>
    <row r="503" spans="3:21">
      <c r="C503" s="942"/>
      <c r="D503" s="942"/>
      <c r="E503" s="943"/>
      <c r="F503" s="886"/>
      <c r="G503" s="886"/>
      <c r="H503" s="886"/>
      <c r="I503" s="886"/>
      <c r="J503" s="886"/>
      <c r="K503" s="886"/>
      <c r="L503" s="886"/>
      <c r="M503" s="886"/>
      <c r="N503" s="886"/>
      <c r="O503" s="886"/>
      <c r="P503" s="886"/>
      <c r="Q503" s="886"/>
      <c r="R503" s="886"/>
      <c r="S503" s="886"/>
      <c r="T503" s="886"/>
      <c r="U503" s="886"/>
    </row>
    <row r="504" spans="3:21">
      <c r="C504" s="942"/>
      <c r="D504" s="942"/>
      <c r="E504" s="943"/>
      <c r="F504" s="886"/>
      <c r="G504" s="886"/>
      <c r="H504" s="886"/>
      <c r="I504" s="886"/>
      <c r="J504" s="886"/>
      <c r="K504" s="886"/>
      <c r="L504" s="886"/>
      <c r="M504" s="886"/>
      <c r="N504" s="886"/>
      <c r="O504" s="886"/>
      <c r="P504" s="886"/>
      <c r="Q504" s="886"/>
      <c r="R504" s="886"/>
      <c r="S504" s="886"/>
      <c r="T504" s="886"/>
      <c r="U504" s="886"/>
    </row>
    <row r="505" spans="3:21">
      <c r="C505" s="942"/>
      <c r="D505" s="942"/>
      <c r="E505" s="943"/>
      <c r="F505" s="886"/>
      <c r="G505" s="886"/>
      <c r="H505" s="886"/>
      <c r="I505" s="886"/>
      <c r="J505" s="886"/>
      <c r="K505" s="886"/>
      <c r="L505" s="886"/>
      <c r="M505" s="886"/>
      <c r="N505" s="886"/>
      <c r="O505" s="886"/>
      <c r="P505" s="886"/>
      <c r="Q505" s="886"/>
      <c r="R505" s="886"/>
      <c r="S505" s="886"/>
      <c r="T505" s="886"/>
      <c r="U505" s="886"/>
    </row>
    <row r="506" spans="3:21">
      <c r="C506" s="942"/>
      <c r="D506" s="942"/>
      <c r="E506" s="943"/>
      <c r="F506" s="886"/>
      <c r="G506" s="886"/>
      <c r="H506" s="886"/>
      <c r="I506" s="886"/>
      <c r="J506" s="886"/>
      <c r="K506" s="886"/>
      <c r="L506" s="886"/>
      <c r="M506" s="886"/>
      <c r="N506" s="886"/>
      <c r="O506" s="886"/>
      <c r="P506" s="886"/>
      <c r="Q506" s="886"/>
      <c r="R506" s="886"/>
      <c r="S506" s="886"/>
      <c r="T506" s="886"/>
      <c r="U506" s="886"/>
    </row>
    <row r="507" spans="3:21">
      <c r="C507" s="942"/>
      <c r="D507" s="942"/>
      <c r="E507" s="943"/>
      <c r="F507" s="886"/>
      <c r="G507" s="886"/>
      <c r="H507" s="886"/>
      <c r="I507" s="886"/>
      <c r="J507" s="886"/>
      <c r="K507" s="886"/>
      <c r="L507" s="886"/>
      <c r="M507" s="886"/>
      <c r="N507" s="886"/>
      <c r="O507" s="886"/>
      <c r="P507" s="886"/>
      <c r="Q507" s="886"/>
      <c r="R507" s="886"/>
      <c r="S507" s="886"/>
      <c r="T507" s="886"/>
      <c r="U507" s="886"/>
    </row>
    <row r="508" spans="3:21">
      <c r="C508" s="942"/>
      <c r="D508" s="942"/>
      <c r="E508" s="943"/>
      <c r="F508" s="886"/>
      <c r="G508" s="886"/>
      <c r="H508" s="886"/>
      <c r="I508" s="886"/>
      <c r="J508" s="886"/>
      <c r="K508" s="886"/>
      <c r="L508" s="886"/>
      <c r="M508" s="886"/>
      <c r="N508" s="886"/>
      <c r="O508" s="886"/>
      <c r="P508" s="886"/>
      <c r="Q508" s="886"/>
      <c r="R508" s="886"/>
      <c r="S508" s="886"/>
      <c r="T508" s="886"/>
      <c r="U508" s="886"/>
    </row>
    <row r="509" spans="3:21">
      <c r="C509" s="942"/>
      <c r="D509" s="942"/>
      <c r="E509" s="943"/>
      <c r="F509" s="886"/>
      <c r="G509" s="886"/>
      <c r="H509" s="886"/>
      <c r="I509" s="886"/>
      <c r="J509" s="886"/>
      <c r="K509" s="886"/>
      <c r="L509" s="886"/>
      <c r="M509" s="886"/>
      <c r="N509" s="886"/>
      <c r="O509" s="886"/>
      <c r="P509" s="886"/>
      <c r="Q509" s="886"/>
      <c r="R509" s="886"/>
      <c r="S509" s="886"/>
      <c r="T509" s="886"/>
      <c r="U509" s="886"/>
    </row>
    <row r="510" spans="3:21">
      <c r="C510" s="942"/>
      <c r="D510" s="942"/>
      <c r="E510" s="943"/>
      <c r="F510" s="886"/>
      <c r="G510" s="886"/>
      <c r="H510" s="886"/>
      <c r="I510" s="886"/>
      <c r="J510" s="886"/>
      <c r="K510" s="886"/>
      <c r="L510" s="886"/>
      <c r="M510" s="886"/>
      <c r="N510" s="886"/>
      <c r="O510" s="886"/>
      <c r="P510" s="886"/>
      <c r="Q510" s="886"/>
      <c r="R510" s="886"/>
      <c r="S510" s="886"/>
      <c r="T510" s="886"/>
      <c r="U510" s="886"/>
    </row>
    <row r="511" spans="3:21">
      <c r="C511" s="942"/>
      <c r="D511" s="942"/>
      <c r="E511" s="943"/>
      <c r="F511" s="886"/>
      <c r="G511" s="886"/>
      <c r="H511" s="886"/>
      <c r="I511" s="886"/>
      <c r="J511" s="886"/>
      <c r="K511" s="886"/>
      <c r="L511" s="886"/>
      <c r="M511" s="886"/>
      <c r="N511" s="886"/>
      <c r="O511" s="886"/>
      <c r="P511" s="886"/>
      <c r="Q511" s="886"/>
      <c r="R511" s="886"/>
      <c r="S511" s="886"/>
      <c r="T511" s="886"/>
      <c r="U511" s="886"/>
    </row>
    <row r="512" spans="3:21">
      <c r="C512" s="942"/>
      <c r="D512" s="942"/>
      <c r="E512" s="943"/>
      <c r="F512" s="886"/>
      <c r="G512" s="886"/>
      <c r="H512" s="886"/>
      <c r="I512" s="886"/>
      <c r="J512" s="886"/>
      <c r="K512" s="886"/>
      <c r="L512" s="886"/>
      <c r="M512" s="886"/>
      <c r="N512" s="886"/>
      <c r="O512" s="886"/>
      <c r="P512" s="886"/>
      <c r="Q512" s="886"/>
      <c r="R512" s="886"/>
      <c r="S512" s="886"/>
      <c r="T512" s="886"/>
      <c r="U512" s="886"/>
    </row>
    <row r="513" spans="3:21">
      <c r="C513" s="942"/>
      <c r="D513" s="942"/>
      <c r="E513" s="943"/>
      <c r="F513" s="886"/>
      <c r="G513" s="886"/>
      <c r="H513" s="886"/>
      <c r="I513" s="886"/>
      <c r="J513" s="886"/>
      <c r="K513" s="886"/>
      <c r="L513" s="886"/>
      <c r="M513" s="886"/>
      <c r="N513" s="886"/>
      <c r="O513" s="886"/>
      <c r="P513" s="886"/>
      <c r="Q513" s="886"/>
      <c r="R513" s="886"/>
      <c r="S513" s="886"/>
      <c r="T513" s="886"/>
      <c r="U513" s="886"/>
    </row>
    <row r="514" spans="3:21">
      <c r="C514" s="942"/>
      <c r="D514" s="942"/>
      <c r="E514" s="943"/>
      <c r="F514" s="886"/>
      <c r="G514" s="886"/>
      <c r="H514" s="886"/>
      <c r="I514" s="886"/>
      <c r="J514" s="886"/>
      <c r="K514" s="886"/>
      <c r="L514" s="886"/>
      <c r="M514" s="886"/>
      <c r="N514" s="886"/>
      <c r="O514" s="886"/>
      <c r="P514" s="886"/>
      <c r="Q514" s="886"/>
      <c r="R514" s="886"/>
      <c r="S514" s="886"/>
      <c r="T514" s="886"/>
      <c r="U514" s="886"/>
    </row>
    <row r="515" spans="3:21">
      <c r="C515" s="942"/>
      <c r="D515" s="942"/>
      <c r="E515" s="943"/>
      <c r="F515" s="886"/>
      <c r="G515" s="886"/>
      <c r="H515" s="886"/>
      <c r="I515" s="886"/>
      <c r="J515" s="886"/>
      <c r="K515" s="886"/>
      <c r="L515" s="886"/>
      <c r="M515" s="886"/>
      <c r="N515" s="886"/>
      <c r="O515" s="886"/>
      <c r="P515" s="886"/>
      <c r="Q515" s="886"/>
      <c r="R515" s="886"/>
      <c r="S515" s="886"/>
      <c r="T515" s="886"/>
      <c r="U515" s="886"/>
    </row>
    <row r="516" spans="3:21">
      <c r="C516" s="942"/>
      <c r="D516" s="942"/>
      <c r="E516" s="943"/>
      <c r="F516" s="886"/>
      <c r="G516" s="886"/>
      <c r="H516" s="886"/>
      <c r="I516" s="886"/>
      <c r="J516" s="886"/>
      <c r="K516" s="886"/>
      <c r="L516" s="886"/>
      <c r="M516" s="886"/>
      <c r="N516" s="886"/>
      <c r="O516" s="886"/>
      <c r="P516" s="886"/>
      <c r="Q516" s="886"/>
      <c r="R516" s="886"/>
      <c r="S516" s="886"/>
      <c r="T516" s="886"/>
      <c r="U516" s="886"/>
    </row>
    <row r="517" spans="3:21">
      <c r="C517" s="942"/>
      <c r="D517" s="942"/>
      <c r="E517" s="943"/>
      <c r="F517" s="886"/>
      <c r="G517" s="886"/>
      <c r="H517" s="886"/>
      <c r="I517" s="886"/>
      <c r="J517" s="886"/>
      <c r="K517" s="886"/>
      <c r="L517" s="886"/>
      <c r="M517" s="886"/>
      <c r="N517" s="886"/>
      <c r="O517" s="886"/>
      <c r="P517" s="886"/>
      <c r="Q517" s="886"/>
      <c r="R517" s="886"/>
      <c r="S517" s="886"/>
      <c r="T517" s="886"/>
      <c r="U517" s="886"/>
    </row>
    <row r="518" spans="3:21">
      <c r="C518" s="942"/>
      <c r="D518" s="942"/>
      <c r="E518" s="943"/>
      <c r="F518" s="886"/>
      <c r="G518" s="886"/>
      <c r="H518" s="886"/>
      <c r="I518" s="886"/>
      <c r="J518" s="886"/>
      <c r="K518" s="886"/>
      <c r="L518" s="886"/>
      <c r="M518" s="886"/>
      <c r="N518" s="886"/>
      <c r="O518" s="886"/>
      <c r="P518" s="886"/>
      <c r="Q518" s="886"/>
      <c r="R518" s="886"/>
      <c r="S518" s="886"/>
      <c r="T518" s="886"/>
      <c r="U518" s="886"/>
    </row>
    <row r="519" spans="3:21">
      <c r="C519" s="942"/>
      <c r="D519" s="942"/>
      <c r="E519" s="943"/>
      <c r="F519" s="886"/>
      <c r="G519" s="886"/>
      <c r="H519" s="886"/>
      <c r="I519" s="886"/>
      <c r="J519" s="886"/>
      <c r="K519" s="886"/>
      <c r="L519" s="886"/>
      <c r="M519" s="886"/>
      <c r="N519" s="886"/>
      <c r="O519" s="886"/>
      <c r="P519" s="886"/>
      <c r="Q519" s="886"/>
      <c r="R519" s="886"/>
      <c r="S519" s="886"/>
      <c r="T519" s="886"/>
      <c r="U519" s="886"/>
    </row>
    <row r="520" spans="3:21">
      <c r="C520" s="942"/>
      <c r="D520" s="942"/>
      <c r="E520" s="943"/>
      <c r="F520" s="886"/>
      <c r="G520" s="886"/>
      <c r="H520" s="886"/>
      <c r="I520" s="886"/>
      <c r="J520" s="886"/>
      <c r="K520" s="886"/>
      <c r="L520" s="886"/>
      <c r="M520" s="886"/>
      <c r="N520" s="886"/>
      <c r="O520" s="886"/>
      <c r="P520" s="886"/>
      <c r="Q520" s="886"/>
      <c r="R520" s="886"/>
      <c r="S520" s="886"/>
      <c r="T520" s="886"/>
      <c r="U520" s="886"/>
    </row>
    <row r="521" spans="3:21">
      <c r="C521" s="942"/>
      <c r="D521" s="942"/>
      <c r="E521" s="943"/>
      <c r="F521" s="886"/>
      <c r="G521" s="886"/>
      <c r="H521" s="886"/>
      <c r="I521" s="886"/>
      <c r="J521" s="886"/>
      <c r="K521" s="886"/>
      <c r="L521" s="886"/>
      <c r="M521" s="886"/>
      <c r="N521" s="886"/>
      <c r="O521" s="886"/>
      <c r="P521" s="886"/>
      <c r="Q521" s="886"/>
      <c r="R521" s="886"/>
      <c r="S521" s="886"/>
      <c r="T521" s="886"/>
      <c r="U521" s="886"/>
    </row>
    <row r="522" spans="3:21">
      <c r="C522" s="942"/>
      <c r="D522" s="942"/>
      <c r="E522" s="943"/>
      <c r="F522" s="886"/>
      <c r="G522" s="886"/>
      <c r="H522" s="886"/>
      <c r="I522" s="886"/>
      <c r="J522" s="886"/>
      <c r="K522" s="886"/>
      <c r="L522" s="886"/>
      <c r="M522" s="886"/>
      <c r="N522" s="886"/>
      <c r="O522" s="886"/>
      <c r="P522" s="886"/>
      <c r="Q522" s="886"/>
      <c r="R522" s="886"/>
      <c r="S522" s="886"/>
      <c r="T522" s="886"/>
      <c r="U522" s="886"/>
    </row>
    <row r="523" spans="3:21">
      <c r="C523" s="942"/>
      <c r="D523" s="942"/>
      <c r="E523" s="943"/>
      <c r="F523" s="886"/>
      <c r="G523" s="886"/>
      <c r="H523" s="886"/>
      <c r="I523" s="886"/>
      <c r="J523" s="886"/>
      <c r="K523" s="886"/>
      <c r="L523" s="886"/>
      <c r="M523" s="886"/>
      <c r="N523" s="886"/>
      <c r="O523" s="886"/>
      <c r="P523" s="886"/>
      <c r="Q523" s="886"/>
      <c r="R523" s="886"/>
      <c r="S523" s="886"/>
      <c r="T523" s="886"/>
      <c r="U523" s="886"/>
    </row>
    <row r="524" spans="3:21">
      <c r="C524" s="942"/>
      <c r="D524" s="942"/>
      <c r="E524" s="943"/>
      <c r="F524" s="886"/>
      <c r="G524" s="886"/>
      <c r="H524" s="886"/>
      <c r="I524" s="886"/>
      <c r="J524" s="886"/>
      <c r="K524" s="886"/>
      <c r="L524" s="886"/>
      <c r="M524" s="886"/>
      <c r="N524" s="886"/>
      <c r="O524" s="886"/>
      <c r="P524" s="886"/>
      <c r="Q524" s="886"/>
      <c r="R524" s="886"/>
      <c r="S524" s="886"/>
      <c r="T524" s="886"/>
      <c r="U524" s="886"/>
    </row>
    <row r="525" spans="3:21">
      <c r="C525" s="942"/>
      <c r="D525" s="942"/>
      <c r="E525" s="943"/>
      <c r="F525" s="886"/>
      <c r="G525" s="886"/>
      <c r="H525" s="886"/>
      <c r="I525" s="886"/>
      <c r="J525" s="886"/>
      <c r="K525" s="886"/>
      <c r="L525" s="886"/>
      <c r="M525" s="886"/>
      <c r="N525" s="886"/>
      <c r="O525" s="886"/>
      <c r="P525" s="886"/>
      <c r="Q525" s="886"/>
      <c r="R525" s="886"/>
      <c r="S525" s="886"/>
      <c r="T525" s="886"/>
      <c r="U525" s="886"/>
    </row>
    <row r="526" spans="3:21">
      <c r="C526" s="942"/>
      <c r="D526" s="942"/>
      <c r="E526" s="943"/>
      <c r="F526" s="886"/>
      <c r="G526" s="886"/>
      <c r="H526" s="886"/>
      <c r="I526" s="886"/>
      <c r="J526" s="886"/>
      <c r="K526" s="886"/>
      <c r="L526" s="886"/>
      <c r="M526" s="886"/>
      <c r="N526" s="886"/>
      <c r="O526" s="886"/>
      <c r="P526" s="886"/>
      <c r="Q526" s="886"/>
      <c r="R526" s="886"/>
      <c r="S526" s="886"/>
      <c r="T526" s="886"/>
      <c r="U526" s="886"/>
    </row>
    <row r="527" spans="3:21">
      <c r="C527" s="942"/>
      <c r="D527" s="942"/>
      <c r="E527" s="943"/>
      <c r="F527" s="886"/>
      <c r="G527" s="886"/>
      <c r="H527" s="886"/>
      <c r="I527" s="886"/>
      <c r="J527" s="886"/>
      <c r="K527" s="886"/>
      <c r="L527" s="886"/>
      <c r="M527" s="886"/>
      <c r="N527" s="886"/>
      <c r="O527" s="886"/>
      <c r="P527" s="886"/>
      <c r="Q527" s="886"/>
      <c r="R527" s="886"/>
      <c r="S527" s="886"/>
      <c r="T527" s="886"/>
      <c r="U527" s="886"/>
    </row>
    <row r="528" spans="3:21">
      <c r="C528" s="942"/>
      <c r="D528" s="942"/>
      <c r="E528" s="943"/>
      <c r="F528" s="886"/>
      <c r="G528" s="886"/>
      <c r="H528" s="886"/>
      <c r="I528" s="886"/>
      <c r="J528" s="886"/>
      <c r="K528" s="886"/>
      <c r="L528" s="886"/>
      <c r="M528" s="886"/>
      <c r="N528" s="886"/>
      <c r="O528" s="886"/>
      <c r="P528" s="886"/>
      <c r="Q528" s="886"/>
      <c r="R528" s="886"/>
      <c r="S528" s="886"/>
      <c r="T528" s="886"/>
      <c r="U528" s="886"/>
    </row>
    <row r="529" spans="3:21">
      <c r="C529" s="942"/>
      <c r="D529" s="942"/>
      <c r="E529" s="943"/>
      <c r="F529" s="886"/>
      <c r="G529" s="886"/>
      <c r="H529" s="886"/>
      <c r="I529" s="886"/>
      <c r="J529" s="886"/>
      <c r="K529" s="886"/>
      <c r="L529" s="886"/>
      <c r="M529" s="886"/>
      <c r="N529" s="886"/>
      <c r="O529" s="886"/>
      <c r="P529" s="886"/>
      <c r="Q529" s="886"/>
      <c r="R529" s="886"/>
      <c r="S529" s="886"/>
      <c r="T529" s="886"/>
      <c r="U529" s="886"/>
    </row>
    <row r="530" spans="3:21">
      <c r="C530" s="942"/>
      <c r="D530" s="942"/>
      <c r="E530" s="943"/>
      <c r="F530" s="886"/>
      <c r="G530" s="886"/>
      <c r="H530" s="886"/>
      <c r="I530" s="886"/>
      <c r="J530" s="886"/>
      <c r="K530" s="886"/>
      <c r="L530" s="886"/>
      <c r="M530" s="886"/>
      <c r="N530" s="886"/>
      <c r="O530" s="886"/>
      <c r="P530" s="886"/>
      <c r="Q530" s="886"/>
      <c r="R530" s="886"/>
      <c r="S530" s="886"/>
      <c r="T530" s="886"/>
      <c r="U530" s="886"/>
    </row>
    <row r="531" spans="3:21">
      <c r="C531" s="942"/>
      <c r="D531" s="942"/>
      <c r="E531" s="943"/>
      <c r="F531" s="886"/>
      <c r="G531" s="886"/>
      <c r="H531" s="886"/>
      <c r="I531" s="886"/>
      <c r="J531" s="886"/>
      <c r="K531" s="886"/>
      <c r="L531" s="886"/>
      <c r="M531" s="886"/>
      <c r="N531" s="886"/>
      <c r="O531" s="886"/>
      <c r="P531" s="886"/>
      <c r="Q531" s="886"/>
      <c r="R531" s="886"/>
      <c r="S531" s="886"/>
      <c r="T531" s="886"/>
      <c r="U531" s="886"/>
    </row>
    <row r="532" spans="3:21">
      <c r="C532" s="942"/>
      <c r="D532" s="942"/>
      <c r="E532" s="943"/>
      <c r="F532" s="886"/>
      <c r="G532" s="886"/>
      <c r="H532" s="886"/>
      <c r="I532" s="886"/>
      <c r="J532" s="886"/>
      <c r="K532" s="886"/>
      <c r="L532" s="886"/>
      <c r="M532" s="886"/>
      <c r="N532" s="886"/>
      <c r="O532" s="886"/>
      <c r="P532" s="886"/>
      <c r="Q532" s="886"/>
      <c r="R532" s="886"/>
      <c r="S532" s="886"/>
      <c r="T532" s="886"/>
      <c r="U532" s="886"/>
    </row>
    <row r="533" spans="3:21">
      <c r="C533" s="942"/>
      <c r="D533" s="942"/>
      <c r="E533" s="943"/>
      <c r="F533" s="886"/>
      <c r="G533" s="886"/>
      <c r="H533" s="886"/>
      <c r="I533" s="886"/>
      <c r="J533" s="886"/>
      <c r="K533" s="886"/>
      <c r="L533" s="886"/>
      <c r="M533" s="886"/>
      <c r="N533" s="886"/>
      <c r="O533" s="886"/>
      <c r="P533" s="886"/>
      <c r="Q533" s="886"/>
      <c r="R533" s="886"/>
      <c r="S533" s="886"/>
      <c r="T533" s="886"/>
      <c r="U533" s="886"/>
    </row>
    <row r="534" spans="3:21">
      <c r="C534" s="942"/>
      <c r="D534" s="942"/>
      <c r="E534" s="943"/>
      <c r="F534" s="886"/>
      <c r="G534" s="886"/>
      <c r="H534" s="886"/>
      <c r="I534" s="886"/>
      <c r="J534" s="886"/>
      <c r="K534" s="886"/>
      <c r="L534" s="886"/>
      <c r="M534" s="886"/>
      <c r="N534" s="886"/>
      <c r="O534" s="886"/>
      <c r="P534" s="886"/>
      <c r="Q534" s="886"/>
      <c r="R534" s="886"/>
      <c r="S534" s="886"/>
      <c r="T534" s="886"/>
      <c r="U534" s="886"/>
    </row>
    <row r="535" spans="3:21">
      <c r="C535" s="942"/>
      <c r="D535" s="942"/>
      <c r="E535" s="943"/>
      <c r="F535" s="886"/>
      <c r="G535" s="886"/>
      <c r="H535" s="886"/>
      <c r="I535" s="886"/>
      <c r="J535" s="886"/>
      <c r="K535" s="886"/>
      <c r="L535" s="886"/>
      <c r="M535" s="886"/>
      <c r="N535" s="886"/>
      <c r="O535" s="886"/>
      <c r="P535" s="886"/>
      <c r="Q535" s="886"/>
      <c r="R535" s="886"/>
      <c r="S535" s="886"/>
      <c r="T535" s="886"/>
      <c r="U535" s="886"/>
    </row>
    <row r="536" spans="3:21">
      <c r="C536" s="942"/>
      <c r="D536" s="942"/>
      <c r="E536" s="943"/>
      <c r="F536" s="886"/>
      <c r="G536" s="886"/>
      <c r="H536" s="886"/>
      <c r="I536" s="886"/>
      <c r="J536" s="886"/>
      <c r="K536" s="886"/>
      <c r="L536" s="886"/>
      <c r="M536" s="886"/>
      <c r="N536" s="886"/>
      <c r="O536" s="886"/>
      <c r="P536" s="886"/>
      <c r="Q536" s="886"/>
      <c r="R536" s="886"/>
      <c r="S536" s="886"/>
      <c r="T536" s="886"/>
      <c r="U536" s="886"/>
    </row>
    <row r="537" spans="3:21">
      <c r="C537" s="942"/>
      <c r="D537" s="942"/>
      <c r="E537" s="943"/>
      <c r="F537" s="886"/>
      <c r="G537" s="886"/>
      <c r="H537" s="886"/>
      <c r="I537" s="886"/>
      <c r="J537" s="886"/>
      <c r="K537" s="886"/>
      <c r="L537" s="886"/>
      <c r="M537" s="886"/>
      <c r="N537" s="886"/>
      <c r="O537" s="886"/>
      <c r="P537" s="886"/>
      <c r="Q537" s="886"/>
      <c r="R537" s="886"/>
      <c r="S537" s="886"/>
      <c r="T537" s="886"/>
      <c r="U537" s="886"/>
    </row>
    <row r="538" spans="3:21">
      <c r="C538" s="942"/>
      <c r="D538" s="942"/>
      <c r="E538" s="943"/>
      <c r="F538" s="886"/>
      <c r="G538" s="886"/>
      <c r="H538" s="886"/>
      <c r="I538" s="886"/>
      <c r="J538" s="886"/>
      <c r="K538" s="886"/>
      <c r="L538" s="886"/>
      <c r="M538" s="886"/>
      <c r="N538" s="886"/>
      <c r="O538" s="886"/>
      <c r="P538" s="886"/>
      <c r="Q538" s="886"/>
      <c r="R538" s="886"/>
      <c r="S538" s="886"/>
      <c r="T538" s="886"/>
      <c r="U538" s="886"/>
    </row>
    <row r="539" spans="3:21">
      <c r="C539" s="942"/>
      <c r="D539" s="942"/>
      <c r="E539" s="943"/>
      <c r="F539" s="886"/>
      <c r="G539" s="886"/>
      <c r="H539" s="886"/>
      <c r="I539" s="886"/>
      <c r="J539" s="886"/>
      <c r="K539" s="886"/>
      <c r="L539" s="886"/>
      <c r="M539" s="886"/>
      <c r="N539" s="886"/>
      <c r="O539" s="886"/>
      <c r="P539" s="886"/>
      <c r="Q539" s="886"/>
      <c r="R539" s="886"/>
      <c r="S539" s="886"/>
      <c r="T539" s="886"/>
      <c r="U539" s="886"/>
    </row>
    <row r="540" spans="3:21">
      <c r="C540" s="942"/>
      <c r="D540" s="942"/>
      <c r="E540" s="943"/>
      <c r="F540" s="886"/>
      <c r="G540" s="886"/>
      <c r="H540" s="886"/>
      <c r="I540" s="886"/>
      <c r="J540" s="886"/>
      <c r="K540" s="886"/>
      <c r="L540" s="886"/>
      <c r="M540" s="886"/>
      <c r="N540" s="886"/>
      <c r="O540" s="886"/>
      <c r="P540" s="886"/>
      <c r="Q540" s="886"/>
      <c r="R540" s="886"/>
      <c r="S540" s="886"/>
      <c r="T540" s="886"/>
      <c r="U540" s="886"/>
    </row>
    <row r="541" spans="3:21">
      <c r="C541" s="942"/>
      <c r="D541" s="942"/>
      <c r="E541" s="943"/>
      <c r="F541" s="886"/>
      <c r="G541" s="886"/>
      <c r="H541" s="886"/>
      <c r="I541" s="886"/>
      <c r="J541" s="886"/>
      <c r="K541" s="886"/>
      <c r="L541" s="886"/>
      <c r="M541" s="886"/>
      <c r="N541" s="886"/>
      <c r="O541" s="886"/>
      <c r="P541" s="886"/>
      <c r="Q541" s="886"/>
      <c r="R541" s="886"/>
      <c r="S541" s="886"/>
      <c r="T541" s="886"/>
      <c r="U541" s="886"/>
    </row>
    <row r="542" spans="3:21">
      <c r="C542" s="942"/>
      <c r="D542" s="942"/>
      <c r="E542" s="943"/>
      <c r="F542" s="886"/>
      <c r="G542" s="886"/>
      <c r="H542" s="886"/>
      <c r="I542" s="886"/>
      <c r="J542" s="886"/>
      <c r="K542" s="886"/>
      <c r="L542" s="886"/>
      <c r="M542" s="886"/>
      <c r="N542" s="886"/>
      <c r="O542" s="886"/>
      <c r="P542" s="886"/>
      <c r="Q542" s="886"/>
      <c r="R542" s="886"/>
      <c r="S542" s="886"/>
      <c r="T542" s="886"/>
      <c r="U542" s="886"/>
    </row>
    <row r="543" spans="3:21">
      <c r="C543" s="942"/>
      <c r="D543" s="942"/>
      <c r="E543" s="943"/>
      <c r="F543" s="886"/>
      <c r="G543" s="886"/>
      <c r="H543" s="886"/>
      <c r="I543" s="886"/>
      <c r="J543" s="886"/>
      <c r="K543" s="886"/>
      <c r="L543" s="886"/>
      <c r="M543" s="886"/>
      <c r="N543" s="886"/>
      <c r="O543" s="886"/>
      <c r="P543" s="886"/>
      <c r="Q543" s="886"/>
      <c r="R543" s="886"/>
      <c r="S543" s="886"/>
      <c r="T543" s="886"/>
      <c r="U543" s="886"/>
    </row>
    <row r="544" spans="3:21">
      <c r="C544" s="942"/>
      <c r="D544" s="942"/>
      <c r="E544" s="943"/>
      <c r="F544" s="886"/>
      <c r="G544" s="886"/>
      <c r="H544" s="886"/>
      <c r="I544" s="886"/>
      <c r="J544" s="886"/>
      <c r="K544" s="886"/>
      <c r="L544" s="886"/>
      <c r="M544" s="886"/>
      <c r="N544" s="886"/>
      <c r="O544" s="886"/>
      <c r="P544" s="886"/>
      <c r="Q544" s="886"/>
      <c r="R544" s="886"/>
      <c r="S544" s="886"/>
      <c r="T544" s="886"/>
      <c r="U544" s="886"/>
    </row>
    <row r="545" spans="3:21">
      <c r="C545" s="942"/>
      <c r="D545" s="942"/>
      <c r="E545" s="943"/>
      <c r="F545" s="886"/>
      <c r="G545" s="886"/>
      <c r="H545" s="886"/>
      <c r="I545" s="886"/>
      <c r="J545" s="886"/>
      <c r="K545" s="886"/>
      <c r="L545" s="886"/>
      <c r="M545" s="886"/>
      <c r="N545" s="886"/>
      <c r="O545" s="886"/>
      <c r="P545" s="886"/>
      <c r="Q545" s="886"/>
      <c r="R545" s="886"/>
      <c r="S545" s="886"/>
      <c r="T545" s="886"/>
      <c r="U545" s="886"/>
    </row>
    <row r="546" spans="3:21">
      <c r="C546" s="942"/>
      <c r="D546" s="942"/>
      <c r="E546" s="943"/>
      <c r="F546" s="886"/>
      <c r="G546" s="886"/>
      <c r="H546" s="886"/>
      <c r="I546" s="886"/>
      <c r="J546" s="886"/>
      <c r="K546" s="886"/>
      <c r="L546" s="886"/>
      <c r="M546" s="886"/>
      <c r="N546" s="886"/>
      <c r="O546" s="886"/>
      <c r="P546" s="886"/>
      <c r="Q546" s="886"/>
      <c r="R546" s="886"/>
      <c r="S546" s="886"/>
      <c r="T546" s="886"/>
      <c r="U546" s="886"/>
    </row>
    <row r="547" spans="3:21">
      <c r="C547" s="942"/>
      <c r="D547" s="942"/>
      <c r="E547" s="943"/>
      <c r="F547" s="886"/>
      <c r="G547" s="886"/>
      <c r="H547" s="886"/>
      <c r="I547" s="886"/>
      <c r="J547" s="886"/>
      <c r="K547" s="886"/>
      <c r="L547" s="886"/>
      <c r="M547" s="886"/>
      <c r="N547" s="886"/>
      <c r="O547" s="886"/>
      <c r="P547" s="886"/>
      <c r="Q547" s="886"/>
      <c r="R547" s="886"/>
      <c r="S547" s="886"/>
      <c r="T547" s="886"/>
      <c r="U547" s="886"/>
    </row>
    <row r="548" spans="3:21">
      <c r="C548" s="942"/>
      <c r="D548" s="942"/>
      <c r="E548" s="943"/>
      <c r="F548" s="886"/>
      <c r="G548" s="886"/>
      <c r="H548" s="886"/>
      <c r="I548" s="886"/>
      <c r="J548" s="886"/>
      <c r="K548" s="886"/>
      <c r="L548" s="886"/>
      <c r="M548" s="886"/>
      <c r="N548" s="886"/>
      <c r="O548" s="886"/>
      <c r="P548" s="886"/>
      <c r="Q548" s="886"/>
      <c r="R548" s="886"/>
      <c r="S548" s="886"/>
      <c r="T548" s="886"/>
      <c r="U548" s="886"/>
    </row>
    <row r="549" spans="3:21">
      <c r="C549" s="942"/>
      <c r="D549" s="942"/>
      <c r="E549" s="943"/>
      <c r="F549" s="886"/>
      <c r="G549" s="886"/>
      <c r="H549" s="886"/>
      <c r="I549" s="886"/>
      <c r="J549" s="886"/>
      <c r="K549" s="886"/>
      <c r="L549" s="886"/>
      <c r="M549" s="886"/>
      <c r="N549" s="886"/>
      <c r="O549" s="886"/>
      <c r="P549" s="886"/>
      <c r="Q549" s="886"/>
      <c r="R549" s="886"/>
      <c r="S549" s="886"/>
      <c r="T549" s="886"/>
      <c r="U549" s="886"/>
    </row>
    <row r="550" spans="3:21">
      <c r="C550" s="942"/>
      <c r="D550" s="942"/>
      <c r="E550" s="943"/>
      <c r="F550" s="886"/>
      <c r="G550" s="886"/>
      <c r="H550" s="886"/>
      <c r="I550" s="886"/>
      <c r="J550" s="886"/>
      <c r="K550" s="886"/>
      <c r="L550" s="886"/>
      <c r="M550" s="886"/>
      <c r="N550" s="886"/>
      <c r="O550" s="886"/>
      <c r="P550" s="886"/>
      <c r="Q550" s="886"/>
      <c r="R550" s="886"/>
      <c r="S550" s="886"/>
      <c r="T550" s="886"/>
      <c r="U550" s="886"/>
    </row>
    <row r="551" spans="3:21">
      <c r="C551" s="942"/>
      <c r="D551" s="942"/>
      <c r="E551" s="943"/>
      <c r="F551" s="886"/>
      <c r="G551" s="886"/>
      <c r="H551" s="886"/>
      <c r="I551" s="886"/>
      <c r="J551" s="886"/>
      <c r="K551" s="886"/>
      <c r="L551" s="886"/>
      <c r="M551" s="886"/>
      <c r="N551" s="886"/>
      <c r="O551" s="886"/>
      <c r="P551" s="886"/>
      <c r="Q551" s="886"/>
      <c r="R551" s="886"/>
      <c r="S551" s="886"/>
      <c r="T551" s="886"/>
      <c r="U551" s="886"/>
    </row>
    <row r="552" spans="3:21">
      <c r="C552" s="942"/>
      <c r="D552" s="942"/>
      <c r="E552" s="943"/>
      <c r="F552" s="886"/>
      <c r="G552" s="886"/>
      <c r="H552" s="886"/>
      <c r="I552" s="886"/>
      <c r="J552" s="886"/>
      <c r="K552" s="886"/>
      <c r="L552" s="886"/>
      <c r="M552" s="886"/>
      <c r="N552" s="886"/>
      <c r="O552" s="886"/>
      <c r="P552" s="886"/>
      <c r="Q552" s="886"/>
      <c r="R552" s="886"/>
      <c r="S552" s="886"/>
      <c r="T552" s="886"/>
      <c r="U552" s="886"/>
    </row>
    <row r="553" spans="3:21">
      <c r="C553" s="942"/>
      <c r="D553" s="942"/>
      <c r="E553" s="943"/>
      <c r="F553" s="886"/>
      <c r="G553" s="886"/>
      <c r="H553" s="886"/>
      <c r="I553" s="886"/>
      <c r="J553" s="886"/>
      <c r="K553" s="886"/>
      <c r="L553" s="886"/>
      <c r="M553" s="886"/>
      <c r="N553" s="886"/>
      <c r="O553" s="886"/>
      <c r="P553" s="886"/>
      <c r="Q553" s="886"/>
      <c r="R553" s="886"/>
      <c r="S553" s="886"/>
      <c r="T553" s="886"/>
      <c r="U553" s="886"/>
    </row>
    <row r="554" spans="3:21">
      <c r="C554" s="942"/>
      <c r="D554" s="942"/>
      <c r="E554" s="943"/>
      <c r="F554" s="886"/>
      <c r="G554" s="886"/>
      <c r="H554" s="886"/>
      <c r="I554" s="886"/>
      <c r="J554" s="886"/>
      <c r="K554" s="886"/>
      <c r="L554" s="886"/>
      <c r="M554" s="886"/>
      <c r="N554" s="886"/>
      <c r="O554" s="886"/>
      <c r="P554" s="886"/>
      <c r="Q554" s="886"/>
      <c r="R554" s="886"/>
      <c r="S554" s="886"/>
      <c r="T554" s="886"/>
      <c r="U554" s="886"/>
    </row>
    <row r="555" spans="3:21">
      <c r="C555" s="942"/>
      <c r="D555" s="942"/>
      <c r="E555" s="943"/>
      <c r="F555" s="886"/>
      <c r="G555" s="886"/>
      <c r="H555" s="886"/>
      <c r="I555" s="886"/>
      <c r="J555" s="886"/>
      <c r="K555" s="886"/>
      <c r="L555" s="886"/>
      <c r="M555" s="886"/>
      <c r="N555" s="886"/>
      <c r="O555" s="886"/>
      <c r="P555" s="886"/>
      <c r="Q555" s="886"/>
      <c r="R555" s="886"/>
      <c r="S555" s="886"/>
      <c r="T555" s="886"/>
      <c r="U555" s="886"/>
    </row>
    <row r="556" spans="3:21">
      <c r="C556" s="942"/>
      <c r="D556" s="942"/>
      <c r="E556" s="943"/>
      <c r="F556" s="886"/>
      <c r="G556" s="886"/>
      <c r="H556" s="886"/>
      <c r="I556" s="886"/>
      <c r="J556" s="886"/>
      <c r="K556" s="886"/>
      <c r="L556" s="886"/>
      <c r="M556" s="886"/>
      <c r="N556" s="886"/>
      <c r="O556" s="886"/>
      <c r="P556" s="886"/>
      <c r="Q556" s="886"/>
      <c r="R556" s="886"/>
      <c r="S556" s="886"/>
      <c r="T556" s="886"/>
      <c r="U556" s="886"/>
    </row>
    <row r="557" spans="3:21">
      <c r="C557" s="942"/>
      <c r="D557" s="942"/>
      <c r="E557" s="943"/>
      <c r="F557" s="886"/>
      <c r="G557" s="886"/>
      <c r="H557" s="886"/>
      <c r="I557" s="886"/>
      <c r="J557" s="886"/>
      <c r="K557" s="886"/>
      <c r="L557" s="886"/>
      <c r="M557" s="886"/>
      <c r="N557" s="886"/>
      <c r="O557" s="886"/>
      <c r="P557" s="886"/>
      <c r="Q557" s="886"/>
      <c r="R557" s="886"/>
      <c r="S557" s="886"/>
      <c r="T557" s="886"/>
      <c r="U557" s="886"/>
    </row>
    <row r="558" spans="3:21">
      <c r="C558" s="942"/>
      <c r="D558" s="942"/>
      <c r="E558" s="943"/>
      <c r="F558" s="886"/>
      <c r="G558" s="886"/>
      <c r="H558" s="886"/>
      <c r="I558" s="886"/>
      <c r="J558" s="886"/>
      <c r="K558" s="886"/>
      <c r="L558" s="886"/>
      <c r="M558" s="886"/>
      <c r="N558" s="886"/>
      <c r="O558" s="886"/>
      <c r="P558" s="886"/>
      <c r="Q558" s="886"/>
      <c r="R558" s="886"/>
      <c r="S558" s="886"/>
      <c r="T558" s="886"/>
      <c r="U558" s="886"/>
    </row>
    <row r="559" spans="3:21">
      <c r="C559" s="942"/>
      <c r="D559" s="942"/>
      <c r="E559" s="943"/>
      <c r="F559" s="886"/>
      <c r="G559" s="886"/>
      <c r="H559" s="886"/>
      <c r="I559" s="886"/>
      <c r="J559" s="886"/>
      <c r="K559" s="886"/>
      <c r="L559" s="886"/>
      <c r="M559" s="886"/>
      <c r="N559" s="886"/>
      <c r="O559" s="886"/>
      <c r="P559" s="886"/>
      <c r="Q559" s="886"/>
      <c r="R559" s="886"/>
      <c r="S559" s="886"/>
      <c r="T559" s="886"/>
      <c r="U559" s="886"/>
    </row>
    <row r="560" spans="3:21">
      <c r="C560" s="942"/>
      <c r="D560" s="942"/>
      <c r="E560" s="943"/>
      <c r="F560" s="886"/>
      <c r="G560" s="886"/>
      <c r="H560" s="886"/>
      <c r="I560" s="886"/>
      <c r="J560" s="886"/>
      <c r="K560" s="886"/>
      <c r="L560" s="886"/>
      <c r="M560" s="886"/>
      <c r="N560" s="886"/>
      <c r="O560" s="886"/>
      <c r="P560" s="886"/>
      <c r="Q560" s="886"/>
      <c r="R560" s="886"/>
      <c r="S560" s="886"/>
      <c r="T560" s="886"/>
      <c r="U560" s="886"/>
    </row>
    <row r="561" spans="3:21">
      <c r="C561" s="942"/>
      <c r="D561" s="942"/>
      <c r="E561" s="943"/>
      <c r="F561" s="886"/>
      <c r="G561" s="886"/>
      <c r="H561" s="886"/>
      <c r="I561" s="886"/>
      <c r="J561" s="886"/>
      <c r="K561" s="886"/>
      <c r="L561" s="886"/>
      <c r="M561" s="886"/>
      <c r="N561" s="886"/>
      <c r="O561" s="886"/>
      <c r="P561" s="886"/>
      <c r="Q561" s="886"/>
      <c r="R561" s="886"/>
      <c r="S561" s="886"/>
      <c r="T561" s="886"/>
      <c r="U561" s="886"/>
    </row>
    <row r="562" spans="3:21">
      <c r="C562" s="942"/>
      <c r="D562" s="942"/>
      <c r="E562" s="943"/>
      <c r="F562" s="886"/>
      <c r="G562" s="886"/>
      <c r="H562" s="886"/>
      <c r="I562" s="886"/>
      <c r="J562" s="886"/>
      <c r="K562" s="886"/>
      <c r="L562" s="886"/>
      <c r="M562" s="886"/>
      <c r="N562" s="886"/>
      <c r="O562" s="886"/>
      <c r="P562" s="886"/>
      <c r="Q562" s="886"/>
      <c r="R562" s="886"/>
      <c r="S562" s="886"/>
      <c r="T562" s="886"/>
      <c r="U562" s="886"/>
    </row>
    <row r="563" spans="3:21">
      <c r="C563" s="942"/>
      <c r="D563" s="942"/>
      <c r="E563" s="943"/>
      <c r="F563" s="886"/>
      <c r="G563" s="886"/>
      <c r="H563" s="886"/>
      <c r="I563" s="886"/>
      <c r="J563" s="886"/>
      <c r="K563" s="886"/>
      <c r="L563" s="886"/>
      <c r="M563" s="886"/>
      <c r="N563" s="886"/>
      <c r="O563" s="886"/>
      <c r="P563" s="886"/>
      <c r="Q563" s="886"/>
      <c r="R563" s="886"/>
      <c r="S563" s="886"/>
      <c r="T563" s="886"/>
      <c r="U563" s="886"/>
    </row>
    <row r="564" spans="3:21">
      <c r="C564" s="942"/>
      <c r="D564" s="942"/>
      <c r="E564" s="943"/>
      <c r="F564" s="886"/>
      <c r="G564" s="886"/>
      <c r="H564" s="886"/>
      <c r="I564" s="886"/>
      <c r="J564" s="886"/>
      <c r="K564" s="886"/>
      <c r="L564" s="886"/>
      <c r="M564" s="886"/>
      <c r="N564" s="886"/>
      <c r="O564" s="886"/>
      <c r="P564" s="886"/>
      <c r="Q564" s="886"/>
      <c r="R564" s="886"/>
      <c r="S564" s="886"/>
      <c r="T564" s="886"/>
      <c r="U564" s="886"/>
    </row>
    <row r="565" spans="3:21">
      <c r="C565" s="942"/>
      <c r="D565" s="942"/>
      <c r="E565" s="943"/>
      <c r="F565" s="886"/>
      <c r="G565" s="886"/>
      <c r="H565" s="886"/>
      <c r="I565" s="886"/>
      <c r="J565" s="886"/>
      <c r="K565" s="886"/>
      <c r="L565" s="886"/>
      <c r="M565" s="886"/>
      <c r="N565" s="886"/>
      <c r="O565" s="886"/>
      <c r="P565" s="886"/>
      <c r="Q565" s="886"/>
      <c r="R565" s="886"/>
      <c r="S565" s="886"/>
      <c r="T565" s="886"/>
      <c r="U565" s="886"/>
    </row>
    <row r="566" spans="3:21">
      <c r="C566" s="942"/>
      <c r="D566" s="942"/>
      <c r="E566" s="943"/>
      <c r="F566" s="886"/>
      <c r="G566" s="886"/>
      <c r="H566" s="886"/>
      <c r="I566" s="886"/>
      <c r="J566" s="886"/>
      <c r="K566" s="886"/>
      <c r="L566" s="886"/>
      <c r="M566" s="886"/>
      <c r="N566" s="886"/>
      <c r="O566" s="886"/>
      <c r="P566" s="886"/>
      <c r="Q566" s="886"/>
      <c r="R566" s="886"/>
      <c r="S566" s="886"/>
      <c r="T566" s="886"/>
      <c r="U566" s="886"/>
    </row>
    <row r="567" spans="3:21">
      <c r="C567" s="942"/>
      <c r="D567" s="942"/>
      <c r="E567" s="943"/>
      <c r="F567" s="886"/>
      <c r="G567" s="886"/>
      <c r="H567" s="886"/>
      <c r="I567" s="886"/>
      <c r="J567" s="886"/>
      <c r="K567" s="886"/>
      <c r="L567" s="886"/>
      <c r="M567" s="886"/>
      <c r="N567" s="886"/>
      <c r="O567" s="886"/>
      <c r="P567" s="886"/>
      <c r="Q567" s="886"/>
      <c r="R567" s="886"/>
      <c r="S567" s="886"/>
      <c r="T567" s="886"/>
      <c r="U567" s="886"/>
    </row>
    <row r="568" spans="3:21">
      <c r="C568" s="942"/>
      <c r="D568" s="942"/>
      <c r="E568" s="943"/>
      <c r="F568" s="886"/>
      <c r="G568" s="886"/>
      <c r="H568" s="886"/>
      <c r="I568" s="886"/>
      <c r="J568" s="886"/>
      <c r="K568" s="886"/>
      <c r="L568" s="886"/>
      <c r="M568" s="886"/>
      <c r="N568" s="886"/>
      <c r="O568" s="886"/>
      <c r="P568" s="886"/>
      <c r="Q568" s="886"/>
      <c r="R568" s="886"/>
      <c r="S568" s="886"/>
      <c r="T568" s="886"/>
      <c r="U568" s="886"/>
    </row>
    <row r="569" spans="3:21">
      <c r="C569" s="942"/>
      <c r="D569" s="942"/>
      <c r="E569" s="943"/>
      <c r="F569" s="886"/>
      <c r="G569" s="886"/>
      <c r="H569" s="886"/>
      <c r="I569" s="886"/>
      <c r="J569" s="886"/>
      <c r="K569" s="886"/>
      <c r="L569" s="886"/>
      <c r="M569" s="886"/>
      <c r="N569" s="886"/>
      <c r="O569" s="886"/>
      <c r="P569" s="886"/>
      <c r="Q569" s="886"/>
      <c r="R569" s="886"/>
      <c r="S569" s="886"/>
      <c r="T569" s="886"/>
      <c r="U569" s="886"/>
    </row>
    <row r="570" spans="3:21">
      <c r="C570" s="942"/>
      <c r="D570" s="942"/>
      <c r="E570" s="943"/>
      <c r="F570" s="886"/>
      <c r="G570" s="886"/>
      <c r="H570" s="886"/>
      <c r="I570" s="886"/>
      <c r="J570" s="886"/>
      <c r="K570" s="886"/>
      <c r="L570" s="886"/>
      <c r="M570" s="886"/>
      <c r="N570" s="886"/>
      <c r="O570" s="886"/>
      <c r="P570" s="886"/>
      <c r="Q570" s="886"/>
      <c r="R570" s="886"/>
      <c r="S570" s="886"/>
      <c r="T570" s="886"/>
      <c r="U570" s="886"/>
    </row>
    <row r="571" spans="3:21">
      <c r="C571" s="942"/>
      <c r="D571" s="942"/>
      <c r="E571" s="943"/>
      <c r="F571" s="886"/>
      <c r="G571" s="886"/>
      <c r="H571" s="886"/>
      <c r="I571" s="886"/>
      <c r="J571" s="886"/>
      <c r="K571" s="886"/>
      <c r="L571" s="886"/>
      <c r="M571" s="886"/>
      <c r="N571" s="886"/>
      <c r="O571" s="886"/>
      <c r="P571" s="886"/>
      <c r="Q571" s="886"/>
      <c r="R571" s="886"/>
      <c r="S571" s="886"/>
      <c r="T571" s="886"/>
      <c r="U571" s="886"/>
    </row>
    <row r="572" spans="3:21">
      <c r="C572" s="942"/>
      <c r="D572" s="942"/>
      <c r="E572" s="943"/>
      <c r="F572" s="886"/>
      <c r="G572" s="886"/>
      <c r="H572" s="886"/>
      <c r="I572" s="886"/>
      <c r="J572" s="886"/>
      <c r="K572" s="886"/>
      <c r="L572" s="886"/>
      <c r="M572" s="886"/>
      <c r="N572" s="886"/>
      <c r="O572" s="886"/>
      <c r="P572" s="886"/>
      <c r="Q572" s="886"/>
      <c r="R572" s="886"/>
      <c r="S572" s="886"/>
      <c r="T572" s="886"/>
      <c r="U572" s="886"/>
    </row>
    <row r="573" spans="3:21">
      <c r="C573" s="942"/>
      <c r="D573" s="942"/>
      <c r="E573" s="943"/>
      <c r="F573" s="886"/>
      <c r="G573" s="886"/>
      <c r="H573" s="886"/>
      <c r="I573" s="886"/>
      <c r="J573" s="886"/>
      <c r="K573" s="886"/>
      <c r="L573" s="886"/>
      <c r="M573" s="886"/>
      <c r="N573" s="886"/>
      <c r="O573" s="886"/>
      <c r="P573" s="886"/>
      <c r="Q573" s="886"/>
      <c r="R573" s="886"/>
      <c r="S573" s="886"/>
      <c r="T573" s="886"/>
      <c r="U573" s="886"/>
    </row>
    <row r="574" spans="3:21">
      <c r="C574" s="942"/>
      <c r="D574" s="942"/>
      <c r="E574" s="943"/>
      <c r="F574" s="886"/>
      <c r="G574" s="886"/>
      <c r="H574" s="886"/>
      <c r="I574" s="886"/>
      <c r="J574" s="886"/>
      <c r="K574" s="886"/>
      <c r="L574" s="886"/>
      <c r="M574" s="886"/>
      <c r="N574" s="886"/>
      <c r="O574" s="886"/>
      <c r="P574" s="886"/>
      <c r="Q574" s="886"/>
      <c r="R574" s="886"/>
      <c r="S574" s="886"/>
      <c r="T574" s="886"/>
      <c r="U574" s="886"/>
    </row>
    <row r="575" spans="3:21">
      <c r="C575" s="942"/>
      <c r="D575" s="942"/>
      <c r="E575" s="943"/>
      <c r="F575" s="886"/>
      <c r="G575" s="886"/>
      <c r="H575" s="886"/>
      <c r="I575" s="886"/>
      <c r="J575" s="886"/>
      <c r="K575" s="886"/>
      <c r="L575" s="886"/>
      <c r="M575" s="886"/>
      <c r="N575" s="886"/>
      <c r="O575" s="886"/>
      <c r="P575" s="886"/>
      <c r="Q575" s="886"/>
      <c r="R575" s="886"/>
      <c r="S575" s="886"/>
      <c r="T575" s="886"/>
      <c r="U575" s="886"/>
    </row>
    <row r="576" spans="3:21">
      <c r="C576" s="942"/>
      <c r="D576" s="942"/>
      <c r="E576" s="943"/>
      <c r="F576" s="886"/>
      <c r="G576" s="886"/>
      <c r="H576" s="886"/>
      <c r="I576" s="886"/>
      <c r="J576" s="886"/>
      <c r="K576" s="886"/>
      <c r="L576" s="886"/>
      <c r="M576" s="886"/>
      <c r="N576" s="886"/>
      <c r="O576" s="886"/>
      <c r="P576" s="886"/>
      <c r="Q576" s="886"/>
      <c r="R576" s="886"/>
      <c r="S576" s="886"/>
      <c r="T576" s="886"/>
      <c r="U576" s="886"/>
    </row>
    <row r="577" spans="3:21">
      <c r="C577" s="942"/>
      <c r="D577" s="942"/>
      <c r="E577" s="943"/>
      <c r="F577" s="886"/>
      <c r="G577" s="886"/>
      <c r="H577" s="886"/>
      <c r="I577" s="886"/>
      <c r="J577" s="886"/>
      <c r="K577" s="886"/>
      <c r="L577" s="886"/>
      <c r="M577" s="886"/>
      <c r="N577" s="886"/>
      <c r="O577" s="886"/>
      <c r="P577" s="886"/>
      <c r="Q577" s="886"/>
      <c r="R577" s="886"/>
      <c r="S577" s="886"/>
      <c r="T577" s="886"/>
      <c r="U577" s="886"/>
    </row>
    <row r="578" spans="3:21">
      <c r="C578" s="942"/>
      <c r="D578" s="942"/>
      <c r="E578" s="943"/>
      <c r="F578" s="886"/>
      <c r="G578" s="886"/>
      <c r="H578" s="886"/>
      <c r="I578" s="886"/>
      <c r="J578" s="886"/>
      <c r="K578" s="886"/>
      <c r="L578" s="886"/>
      <c r="M578" s="886"/>
      <c r="N578" s="886"/>
      <c r="O578" s="886"/>
      <c r="P578" s="886"/>
      <c r="Q578" s="886"/>
      <c r="R578" s="886"/>
      <c r="S578" s="886"/>
      <c r="T578" s="886"/>
      <c r="U578" s="886"/>
    </row>
    <row r="579" spans="3:21">
      <c r="C579" s="942"/>
      <c r="D579" s="942"/>
      <c r="E579" s="943"/>
      <c r="F579" s="886"/>
      <c r="G579" s="886"/>
      <c r="H579" s="886"/>
      <c r="I579" s="886"/>
      <c r="J579" s="886"/>
      <c r="K579" s="886"/>
      <c r="L579" s="886"/>
      <c r="M579" s="886"/>
      <c r="N579" s="886"/>
      <c r="O579" s="886"/>
      <c r="P579" s="886"/>
      <c r="Q579" s="886"/>
      <c r="R579" s="886"/>
      <c r="S579" s="886"/>
      <c r="T579" s="886"/>
      <c r="U579" s="886"/>
    </row>
    <row r="580" spans="3:21">
      <c r="C580" s="942"/>
      <c r="D580" s="942"/>
      <c r="E580" s="943"/>
      <c r="F580" s="886"/>
      <c r="G580" s="886"/>
      <c r="H580" s="886"/>
      <c r="I580" s="886"/>
      <c r="J580" s="886"/>
      <c r="K580" s="886"/>
      <c r="L580" s="886"/>
      <c r="M580" s="886"/>
      <c r="N580" s="886"/>
      <c r="O580" s="886"/>
      <c r="P580" s="886"/>
      <c r="Q580" s="886"/>
      <c r="R580" s="886"/>
      <c r="S580" s="886"/>
      <c r="T580" s="886"/>
      <c r="U580" s="886"/>
    </row>
    <row r="581" spans="3:21">
      <c r="C581" s="942"/>
      <c r="D581" s="942"/>
      <c r="E581" s="943"/>
      <c r="F581" s="886"/>
      <c r="G581" s="886"/>
      <c r="H581" s="886"/>
      <c r="I581" s="886"/>
      <c r="J581" s="886"/>
      <c r="K581" s="886"/>
      <c r="L581" s="886"/>
      <c r="M581" s="886"/>
      <c r="N581" s="886"/>
      <c r="O581" s="886"/>
      <c r="P581" s="886"/>
      <c r="Q581" s="886"/>
      <c r="R581" s="886"/>
      <c r="S581" s="886"/>
      <c r="T581" s="886"/>
      <c r="U581" s="886"/>
    </row>
    <row r="582" spans="3:21">
      <c r="C582" s="942"/>
      <c r="D582" s="942"/>
      <c r="E582" s="943"/>
      <c r="F582" s="886"/>
      <c r="G582" s="886"/>
      <c r="H582" s="886"/>
      <c r="I582" s="886"/>
      <c r="J582" s="886"/>
      <c r="K582" s="886"/>
      <c r="L582" s="886"/>
      <c r="M582" s="886"/>
      <c r="N582" s="886"/>
      <c r="O582" s="886"/>
      <c r="P582" s="886"/>
      <c r="Q582" s="886"/>
      <c r="R582" s="886"/>
      <c r="S582" s="886"/>
      <c r="T582" s="886"/>
      <c r="U582" s="886"/>
    </row>
    <row r="583" spans="3:21">
      <c r="C583" s="942"/>
      <c r="D583" s="942"/>
      <c r="E583" s="943"/>
      <c r="F583" s="886"/>
      <c r="G583" s="886"/>
      <c r="H583" s="886"/>
      <c r="I583" s="886"/>
      <c r="J583" s="886"/>
      <c r="K583" s="886"/>
      <c r="L583" s="886"/>
      <c r="M583" s="886"/>
      <c r="N583" s="886"/>
      <c r="O583" s="886"/>
      <c r="P583" s="886"/>
      <c r="Q583" s="886"/>
      <c r="R583" s="886"/>
      <c r="S583" s="886"/>
      <c r="T583" s="886"/>
      <c r="U583" s="886"/>
    </row>
    <row r="584" spans="3:21">
      <c r="C584" s="942"/>
      <c r="D584" s="942"/>
      <c r="E584" s="943"/>
      <c r="F584" s="886"/>
      <c r="G584" s="886"/>
      <c r="H584" s="886"/>
      <c r="I584" s="886"/>
      <c r="J584" s="886"/>
      <c r="K584" s="886"/>
      <c r="L584" s="886"/>
      <c r="M584" s="886"/>
      <c r="N584" s="886"/>
      <c r="O584" s="886"/>
      <c r="P584" s="886"/>
      <c r="Q584" s="886"/>
      <c r="R584" s="886"/>
      <c r="S584" s="886"/>
      <c r="T584" s="886"/>
      <c r="U584" s="886"/>
    </row>
    <row r="585" spans="3:21">
      <c r="C585" s="942"/>
      <c r="D585" s="942"/>
      <c r="E585" s="943"/>
      <c r="F585" s="886"/>
      <c r="G585" s="886"/>
      <c r="H585" s="886"/>
      <c r="I585" s="886"/>
      <c r="J585" s="886"/>
      <c r="K585" s="886"/>
      <c r="L585" s="886"/>
      <c r="M585" s="886"/>
      <c r="N585" s="886"/>
      <c r="O585" s="886"/>
      <c r="P585" s="886"/>
      <c r="Q585" s="886"/>
      <c r="R585" s="886"/>
      <c r="S585" s="886"/>
      <c r="T585" s="886"/>
      <c r="U585" s="886"/>
    </row>
    <row r="586" spans="3:21">
      <c r="C586" s="942"/>
      <c r="D586" s="942"/>
      <c r="E586" s="943"/>
      <c r="F586" s="886"/>
      <c r="G586" s="886"/>
      <c r="H586" s="886"/>
      <c r="I586" s="886"/>
      <c r="J586" s="886"/>
      <c r="K586" s="886"/>
      <c r="L586" s="886"/>
      <c r="M586" s="886"/>
      <c r="N586" s="886"/>
      <c r="O586" s="886"/>
      <c r="P586" s="886"/>
      <c r="Q586" s="886"/>
      <c r="R586" s="886"/>
      <c r="S586" s="886"/>
      <c r="T586" s="886"/>
      <c r="U586" s="886"/>
    </row>
    <row r="587" spans="3:21">
      <c r="C587" s="942"/>
      <c r="D587" s="942"/>
      <c r="E587" s="943"/>
      <c r="F587" s="886"/>
      <c r="G587" s="886"/>
      <c r="H587" s="886"/>
      <c r="I587" s="886"/>
      <c r="J587" s="886"/>
      <c r="K587" s="886"/>
      <c r="L587" s="886"/>
      <c r="M587" s="886"/>
      <c r="N587" s="886"/>
      <c r="O587" s="886"/>
      <c r="P587" s="886"/>
      <c r="Q587" s="886"/>
      <c r="R587" s="886"/>
      <c r="S587" s="886"/>
      <c r="T587" s="886"/>
      <c r="U587" s="886"/>
    </row>
    <row r="588" spans="3:21">
      <c r="C588" s="942"/>
      <c r="D588" s="942"/>
      <c r="E588" s="943"/>
      <c r="F588" s="886"/>
      <c r="G588" s="886"/>
      <c r="H588" s="886"/>
      <c r="I588" s="886"/>
      <c r="J588" s="886"/>
      <c r="K588" s="886"/>
      <c r="L588" s="886"/>
      <c r="M588" s="886"/>
      <c r="N588" s="886"/>
      <c r="O588" s="886"/>
      <c r="P588" s="886"/>
      <c r="Q588" s="886"/>
      <c r="R588" s="886"/>
      <c r="S588" s="886"/>
      <c r="T588" s="886"/>
      <c r="U588" s="886"/>
    </row>
    <row r="589" spans="3:21">
      <c r="C589" s="942"/>
      <c r="D589" s="942"/>
      <c r="E589" s="943"/>
      <c r="F589" s="886"/>
      <c r="G589" s="886"/>
      <c r="H589" s="886"/>
      <c r="I589" s="886"/>
      <c r="J589" s="886"/>
      <c r="K589" s="886"/>
      <c r="L589" s="886"/>
      <c r="M589" s="886"/>
      <c r="N589" s="886"/>
      <c r="O589" s="886"/>
      <c r="P589" s="886"/>
      <c r="Q589" s="886"/>
      <c r="R589" s="886"/>
      <c r="S589" s="886"/>
      <c r="T589" s="886"/>
      <c r="U589" s="886"/>
    </row>
    <row r="590" spans="3:21">
      <c r="C590" s="942"/>
      <c r="D590" s="942"/>
      <c r="E590" s="943"/>
      <c r="F590" s="886"/>
      <c r="G590" s="886"/>
      <c r="H590" s="886"/>
      <c r="I590" s="886"/>
      <c r="J590" s="886"/>
      <c r="K590" s="886"/>
      <c r="L590" s="886"/>
      <c r="M590" s="886"/>
      <c r="N590" s="886"/>
      <c r="O590" s="886"/>
      <c r="P590" s="886"/>
      <c r="Q590" s="886"/>
      <c r="R590" s="886"/>
      <c r="S590" s="886"/>
      <c r="T590" s="886"/>
      <c r="U590" s="886"/>
    </row>
    <row r="591" spans="3:21">
      <c r="C591" s="942"/>
      <c r="D591" s="942"/>
      <c r="E591" s="943"/>
      <c r="F591" s="886"/>
      <c r="G591" s="886"/>
      <c r="H591" s="886"/>
      <c r="I591" s="886"/>
      <c r="J591" s="886"/>
      <c r="K591" s="886"/>
      <c r="L591" s="886"/>
      <c r="M591" s="886"/>
      <c r="N591" s="886"/>
      <c r="O591" s="886"/>
      <c r="P591" s="886"/>
      <c r="Q591" s="886"/>
      <c r="R591" s="886"/>
      <c r="S591" s="886"/>
      <c r="T591" s="886"/>
      <c r="U591" s="886"/>
    </row>
    <row r="592" spans="3:21">
      <c r="C592" s="942"/>
      <c r="D592" s="942"/>
      <c r="E592" s="943"/>
      <c r="F592" s="886"/>
      <c r="G592" s="886"/>
      <c r="H592" s="886"/>
      <c r="I592" s="886"/>
      <c r="J592" s="886"/>
      <c r="K592" s="886"/>
      <c r="L592" s="886"/>
      <c r="M592" s="886"/>
      <c r="N592" s="886"/>
      <c r="O592" s="886"/>
      <c r="P592" s="886"/>
      <c r="Q592" s="886"/>
      <c r="R592" s="886"/>
      <c r="S592" s="886"/>
      <c r="T592" s="886"/>
      <c r="U592" s="886"/>
    </row>
    <row r="593" spans="3:21">
      <c r="C593" s="942"/>
      <c r="D593" s="942"/>
      <c r="E593" s="943"/>
      <c r="F593" s="886"/>
      <c r="G593" s="886"/>
      <c r="H593" s="886"/>
      <c r="I593" s="886"/>
      <c r="J593" s="886"/>
      <c r="K593" s="886"/>
      <c r="L593" s="886"/>
      <c r="M593" s="886"/>
      <c r="N593" s="886"/>
      <c r="O593" s="886"/>
      <c r="P593" s="886"/>
      <c r="Q593" s="886"/>
      <c r="R593" s="886"/>
      <c r="S593" s="886"/>
      <c r="T593" s="886"/>
      <c r="U593" s="886"/>
    </row>
    <row r="594" spans="3:21">
      <c r="C594" s="942"/>
      <c r="D594" s="942"/>
      <c r="E594" s="943"/>
      <c r="F594" s="886"/>
      <c r="G594" s="886"/>
      <c r="H594" s="886"/>
      <c r="I594" s="886"/>
      <c r="J594" s="886"/>
      <c r="K594" s="886"/>
      <c r="L594" s="886"/>
      <c r="M594" s="886"/>
      <c r="N594" s="886"/>
      <c r="O594" s="886"/>
      <c r="P594" s="886"/>
      <c r="Q594" s="886"/>
      <c r="R594" s="886"/>
      <c r="S594" s="886"/>
      <c r="T594" s="886"/>
      <c r="U594" s="886"/>
    </row>
    <row r="595" spans="3:21">
      <c r="C595" s="942"/>
      <c r="D595" s="942"/>
      <c r="E595" s="943"/>
      <c r="F595" s="886"/>
      <c r="G595" s="886"/>
      <c r="H595" s="886"/>
      <c r="I595" s="886"/>
      <c r="J595" s="886"/>
      <c r="K595" s="886"/>
      <c r="L595" s="886"/>
      <c r="M595" s="886"/>
      <c r="N595" s="886"/>
      <c r="O595" s="886"/>
      <c r="P595" s="886"/>
      <c r="Q595" s="886"/>
      <c r="R595" s="886"/>
      <c r="S595" s="886"/>
      <c r="T595" s="886"/>
      <c r="U595" s="886"/>
    </row>
    <row r="596" spans="3:21">
      <c r="C596" s="942"/>
      <c r="D596" s="942"/>
      <c r="E596" s="943"/>
      <c r="F596" s="886"/>
      <c r="G596" s="886"/>
      <c r="H596" s="886"/>
      <c r="I596" s="886"/>
      <c r="J596" s="886"/>
      <c r="K596" s="886"/>
      <c r="L596" s="886"/>
      <c r="M596" s="886"/>
      <c r="N596" s="886"/>
      <c r="O596" s="886"/>
      <c r="P596" s="886"/>
      <c r="Q596" s="886"/>
      <c r="R596" s="886"/>
      <c r="S596" s="886"/>
      <c r="T596" s="886"/>
      <c r="U596" s="886"/>
    </row>
    <row r="597" spans="3:21">
      <c r="C597" s="942"/>
      <c r="D597" s="942"/>
      <c r="E597" s="943"/>
      <c r="F597" s="886"/>
      <c r="G597" s="886"/>
      <c r="H597" s="886"/>
      <c r="I597" s="886"/>
      <c r="J597" s="886"/>
      <c r="K597" s="886"/>
      <c r="L597" s="886"/>
      <c r="M597" s="886"/>
      <c r="N597" s="886"/>
      <c r="O597" s="886"/>
      <c r="P597" s="886"/>
      <c r="Q597" s="886"/>
      <c r="R597" s="886"/>
      <c r="S597" s="886"/>
      <c r="T597" s="886"/>
      <c r="U597" s="886"/>
    </row>
    <row r="598" spans="3:21">
      <c r="C598" s="942"/>
      <c r="D598" s="942"/>
      <c r="E598" s="943"/>
      <c r="F598" s="886"/>
      <c r="G598" s="886"/>
      <c r="H598" s="886"/>
      <c r="I598" s="886"/>
      <c r="J598" s="886"/>
      <c r="K598" s="886"/>
      <c r="L598" s="886"/>
      <c r="M598" s="886"/>
      <c r="N598" s="886"/>
      <c r="O598" s="886"/>
      <c r="P598" s="886"/>
      <c r="Q598" s="886"/>
      <c r="R598" s="886"/>
      <c r="S598" s="886"/>
      <c r="T598" s="886"/>
      <c r="U598" s="886"/>
    </row>
    <row r="599" spans="3:21">
      <c r="C599" s="942"/>
      <c r="D599" s="942"/>
      <c r="E599" s="943"/>
      <c r="F599" s="886"/>
      <c r="G599" s="886"/>
      <c r="H599" s="886"/>
      <c r="I599" s="886"/>
      <c r="J599" s="886"/>
      <c r="K599" s="886"/>
      <c r="L599" s="886"/>
      <c r="M599" s="886"/>
      <c r="N599" s="886"/>
      <c r="O599" s="886"/>
      <c r="P599" s="886"/>
      <c r="Q599" s="886"/>
      <c r="R599" s="886"/>
      <c r="S599" s="886"/>
      <c r="T599" s="886"/>
      <c r="U599" s="886"/>
    </row>
    <row r="600" spans="3:21">
      <c r="C600" s="942"/>
      <c r="D600" s="942"/>
      <c r="E600" s="943"/>
      <c r="F600" s="886"/>
      <c r="G600" s="886"/>
      <c r="H600" s="886"/>
      <c r="I600" s="886"/>
      <c r="J600" s="886"/>
      <c r="K600" s="886"/>
      <c r="L600" s="886"/>
      <c r="M600" s="886"/>
      <c r="N600" s="886"/>
      <c r="O600" s="886"/>
      <c r="P600" s="886"/>
      <c r="Q600" s="886"/>
      <c r="R600" s="886"/>
      <c r="S600" s="886"/>
      <c r="T600" s="886"/>
      <c r="U600" s="886"/>
    </row>
    <row r="601" spans="3:21">
      <c r="C601" s="942"/>
      <c r="D601" s="942"/>
      <c r="E601" s="943"/>
      <c r="F601" s="886"/>
      <c r="G601" s="886"/>
      <c r="H601" s="886"/>
      <c r="I601" s="886"/>
      <c r="J601" s="886"/>
      <c r="K601" s="886"/>
      <c r="L601" s="886"/>
      <c r="M601" s="886"/>
      <c r="N601" s="886"/>
      <c r="O601" s="886"/>
      <c r="P601" s="886"/>
      <c r="Q601" s="886"/>
      <c r="R601" s="886"/>
      <c r="S601" s="886"/>
      <c r="T601" s="886"/>
      <c r="U601" s="886"/>
    </row>
    <row r="602" spans="3:21">
      <c r="C602" s="942"/>
      <c r="D602" s="942"/>
      <c r="E602" s="943"/>
      <c r="F602" s="886"/>
      <c r="G602" s="886"/>
      <c r="H602" s="886"/>
      <c r="I602" s="886"/>
      <c r="J602" s="886"/>
      <c r="K602" s="886"/>
      <c r="L602" s="886"/>
      <c r="M602" s="886"/>
      <c r="N602" s="886"/>
      <c r="O602" s="886"/>
      <c r="P602" s="886"/>
      <c r="Q602" s="886"/>
      <c r="R602" s="886"/>
      <c r="S602" s="886"/>
      <c r="T602" s="886"/>
      <c r="U602" s="886"/>
    </row>
    <row r="603" spans="3:21">
      <c r="C603" s="942"/>
      <c r="D603" s="942"/>
      <c r="E603" s="943"/>
      <c r="F603" s="886"/>
      <c r="G603" s="886"/>
      <c r="H603" s="886"/>
      <c r="I603" s="886"/>
      <c r="J603" s="886"/>
      <c r="K603" s="886"/>
      <c r="L603" s="886"/>
      <c r="M603" s="886"/>
      <c r="N603" s="886"/>
      <c r="O603" s="886"/>
      <c r="P603" s="886"/>
      <c r="Q603" s="886"/>
      <c r="R603" s="886"/>
      <c r="S603" s="886"/>
      <c r="T603" s="886"/>
      <c r="U603" s="886"/>
    </row>
    <row r="604" spans="3:21">
      <c r="C604" s="942"/>
      <c r="D604" s="942"/>
      <c r="E604" s="943"/>
      <c r="F604" s="886"/>
      <c r="G604" s="886"/>
      <c r="H604" s="886"/>
      <c r="I604" s="886"/>
      <c r="J604" s="886"/>
      <c r="K604" s="886"/>
      <c r="L604" s="886"/>
      <c r="M604" s="886"/>
      <c r="N604" s="886"/>
      <c r="O604" s="886"/>
      <c r="P604" s="886"/>
      <c r="Q604" s="886"/>
      <c r="R604" s="886"/>
      <c r="S604" s="886"/>
      <c r="T604" s="886"/>
      <c r="U604" s="886"/>
    </row>
    <row r="605" spans="3:21">
      <c r="C605" s="942"/>
      <c r="D605" s="942"/>
      <c r="E605" s="943"/>
      <c r="F605" s="886"/>
      <c r="G605" s="886"/>
      <c r="H605" s="886"/>
      <c r="I605" s="886"/>
      <c r="J605" s="886"/>
      <c r="K605" s="886"/>
      <c r="L605" s="886"/>
      <c r="M605" s="886"/>
      <c r="N605" s="886"/>
      <c r="O605" s="886"/>
      <c r="P605" s="886"/>
      <c r="Q605" s="886"/>
      <c r="R605" s="886"/>
      <c r="S605" s="886"/>
      <c r="T605" s="886"/>
      <c r="U605" s="886"/>
    </row>
    <row r="606" spans="3:21">
      <c r="C606" s="942"/>
      <c r="D606" s="942"/>
      <c r="E606" s="943"/>
      <c r="F606" s="886"/>
      <c r="G606" s="886"/>
      <c r="H606" s="886"/>
      <c r="I606" s="886"/>
      <c r="J606" s="886"/>
      <c r="K606" s="886"/>
      <c r="L606" s="886"/>
      <c r="M606" s="886"/>
      <c r="N606" s="886"/>
      <c r="O606" s="886"/>
      <c r="P606" s="886"/>
      <c r="Q606" s="886"/>
      <c r="R606" s="886"/>
      <c r="S606" s="886"/>
      <c r="T606" s="886"/>
      <c r="U606" s="886"/>
    </row>
    <row r="607" spans="3:21">
      <c r="C607" s="942"/>
      <c r="D607" s="942"/>
      <c r="E607" s="943"/>
      <c r="F607" s="886"/>
      <c r="G607" s="886"/>
      <c r="H607" s="886"/>
      <c r="I607" s="886"/>
      <c r="J607" s="886"/>
      <c r="K607" s="886"/>
      <c r="L607" s="886"/>
      <c r="M607" s="886"/>
      <c r="N607" s="886"/>
      <c r="O607" s="886"/>
      <c r="P607" s="886"/>
      <c r="Q607" s="886"/>
      <c r="R607" s="886"/>
      <c r="S607" s="886"/>
      <c r="T607" s="886"/>
      <c r="U607" s="886"/>
    </row>
    <row r="608" spans="3:21">
      <c r="C608" s="942"/>
      <c r="D608" s="942"/>
      <c r="E608" s="943"/>
      <c r="F608" s="886"/>
      <c r="G608" s="886"/>
      <c r="H608" s="886"/>
      <c r="I608" s="886"/>
      <c r="J608" s="886"/>
      <c r="K608" s="886"/>
      <c r="L608" s="886"/>
      <c r="M608" s="886"/>
      <c r="N608" s="886"/>
      <c r="O608" s="886"/>
      <c r="P608" s="886"/>
      <c r="Q608" s="886"/>
      <c r="R608" s="886"/>
      <c r="S608" s="886"/>
      <c r="T608" s="886"/>
      <c r="U608" s="886"/>
    </row>
    <row r="609" spans="3:21">
      <c r="C609" s="942"/>
      <c r="D609" s="942"/>
      <c r="E609" s="943"/>
      <c r="F609" s="886"/>
      <c r="G609" s="886"/>
      <c r="H609" s="886"/>
      <c r="I609" s="886"/>
      <c r="J609" s="886"/>
      <c r="K609" s="886"/>
      <c r="L609" s="886"/>
      <c r="M609" s="886"/>
      <c r="N609" s="886"/>
      <c r="O609" s="886"/>
      <c r="P609" s="886"/>
      <c r="Q609" s="886"/>
      <c r="R609" s="886"/>
      <c r="S609" s="886"/>
      <c r="T609" s="886"/>
      <c r="U609" s="886"/>
    </row>
    <row r="610" spans="3:21">
      <c r="C610" s="942"/>
      <c r="D610" s="942"/>
      <c r="E610" s="943"/>
      <c r="F610" s="886"/>
      <c r="G610" s="886"/>
      <c r="H610" s="886"/>
      <c r="I610" s="886"/>
      <c r="J610" s="886"/>
      <c r="K610" s="886"/>
      <c r="L610" s="886"/>
      <c r="M610" s="886"/>
      <c r="N610" s="886"/>
      <c r="O610" s="886"/>
      <c r="P610" s="886"/>
      <c r="Q610" s="886"/>
      <c r="R610" s="886"/>
      <c r="S610" s="886"/>
      <c r="T610" s="886"/>
      <c r="U610" s="886"/>
    </row>
    <row r="611" spans="3:21">
      <c r="C611" s="942"/>
      <c r="D611" s="942"/>
      <c r="E611" s="943"/>
      <c r="F611" s="886"/>
      <c r="G611" s="886"/>
      <c r="H611" s="886"/>
      <c r="I611" s="886"/>
      <c r="J611" s="886"/>
      <c r="K611" s="886"/>
      <c r="L611" s="886"/>
      <c r="M611" s="886"/>
      <c r="N611" s="886"/>
      <c r="O611" s="886"/>
      <c r="P611" s="886"/>
      <c r="Q611" s="886"/>
      <c r="R611" s="886"/>
      <c r="S611" s="886"/>
      <c r="T611" s="886"/>
      <c r="U611" s="886"/>
    </row>
    <row r="612" spans="3:21">
      <c r="C612" s="942"/>
      <c r="D612" s="942"/>
      <c r="E612" s="943"/>
      <c r="F612" s="886"/>
      <c r="G612" s="886"/>
      <c r="H612" s="886"/>
      <c r="I612" s="886"/>
      <c r="J612" s="886"/>
      <c r="K612" s="886"/>
      <c r="L612" s="886"/>
      <c r="M612" s="886"/>
      <c r="N612" s="886"/>
      <c r="O612" s="886"/>
      <c r="P612" s="886"/>
      <c r="Q612" s="886"/>
      <c r="R612" s="886"/>
      <c r="S612" s="886"/>
      <c r="T612" s="886"/>
      <c r="U612" s="886"/>
    </row>
    <row r="613" spans="3:21">
      <c r="C613" s="942"/>
      <c r="D613" s="942"/>
      <c r="E613" s="943"/>
      <c r="F613" s="886"/>
      <c r="G613" s="886"/>
      <c r="H613" s="886"/>
      <c r="I613" s="886"/>
      <c r="J613" s="886"/>
      <c r="K613" s="886"/>
      <c r="L613" s="886"/>
      <c r="M613" s="886"/>
      <c r="N613" s="886"/>
      <c r="O613" s="886"/>
      <c r="P613" s="886"/>
      <c r="Q613" s="886"/>
      <c r="R613" s="886"/>
      <c r="S613" s="886"/>
      <c r="T613" s="886"/>
      <c r="U613" s="886"/>
    </row>
    <row r="614" spans="3:21">
      <c r="C614" s="942"/>
      <c r="D614" s="942"/>
      <c r="E614" s="943"/>
      <c r="F614" s="886"/>
      <c r="G614" s="886"/>
      <c r="H614" s="886"/>
      <c r="I614" s="886"/>
      <c r="J614" s="886"/>
      <c r="K614" s="886"/>
      <c r="L614" s="886"/>
      <c r="M614" s="886"/>
      <c r="N614" s="886"/>
      <c r="O614" s="886"/>
      <c r="P614" s="886"/>
      <c r="Q614" s="886"/>
      <c r="R614" s="886"/>
      <c r="S614" s="886"/>
      <c r="T614" s="886"/>
      <c r="U614" s="886"/>
    </row>
    <row r="615" spans="3:21">
      <c r="C615" s="942"/>
      <c r="D615" s="942"/>
      <c r="E615" s="943"/>
      <c r="F615" s="886"/>
      <c r="G615" s="886"/>
      <c r="H615" s="886"/>
      <c r="I615" s="886"/>
      <c r="J615" s="886"/>
      <c r="K615" s="886"/>
      <c r="L615" s="886"/>
      <c r="M615" s="886"/>
      <c r="N615" s="886"/>
      <c r="O615" s="886"/>
      <c r="P615" s="886"/>
      <c r="Q615" s="886"/>
      <c r="R615" s="886"/>
      <c r="S615" s="886"/>
      <c r="T615" s="886"/>
      <c r="U615" s="886"/>
    </row>
    <row r="616" spans="3:21">
      <c r="C616" s="942"/>
      <c r="D616" s="942"/>
      <c r="E616" s="943"/>
      <c r="F616" s="886"/>
      <c r="G616" s="886"/>
      <c r="H616" s="886"/>
      <c r="I616" s="886"/>
      <c r="J616" s="886"/>
      <c r="K616" s="886"/>
      <c r="L616" s="886"/>
      <c r="M616" s="886"/>
      <c r="N616" s="886"/>
      <c r="O616" s="886"/>
      <c r="P616" s="886"/>
      <c r="Q616" s="886"/>
      <c r="R616" s="886"/>
      <c r="S616" s="886"/>
      <c r="T616" s="886"/>
      <c r="U616" s="886"/>
    </row>
    <row r="617" spans="3:21">
      <c r="C617" s="942"/>
      <c r="D617" s="942"/>
      <c r="E617" s="943"/>
      <c r="F617" s="886"/>
      <c r="G617" s="886"/>
      <c r="H617" s="886"/>
      <c r="I617" s="886"/>
      <c r="J617" s="886"/>
      <c r="K617" s="886"/>
      <c r="L617" s="886"/>
      <c r="M617" s="886"/>
      <c r="N617" s="886"/>
      <c r="O617" s="886"/>
      <c r="P617" s="886"/>
      <c r="Q617" s="886"/>
      <c r="R617" s="886"/>
      <c r="S617" s="886"/>
      <c r="T617" s="886"/>
      <c r="U617" s="886"/>
    </row>
    <row r="618" spans="3:21">
      <c r="C618" s="942"/>
      <c r="D618" s="942"/>
      <c r="E618" s="943"/>
      <c r="F618" s="886"/>
      <c r="G618" s="886"/>
      <c r="H618" s="886"/>
      <c r="I618" s="886"/>
      <c r="J618" s="886"/>
      <c r="K618" s="886"/>
      <c r="L618" s="886"/>
      <c r="M618" s="886"/>
      <c r="N618" s="886"/>
      <c r="O618" s="886"/>
      <c r="P618" s="886"/>
      <c r="Q618" s="886"/>
      <c r="R618" s="886"/>
      <c r="S618" s="886"/>
      <c r="T618" s="886"/>
      <c r="U618" s="886"/>
    </row>
    <row r="619" spans="3:21">
      <c r="C619" s="942"/>
      <c r="D619" s="942"/>
      <c r="E619" s="943"/>
      <c r="F619" s="886"/>
      <c r="G619" s="886"/>
      <c r="H619" s="886"/>
      <c r="I619" s="886"/>
      <c r="J619" s="886"/>
      <c r="K619" s="886"/>
      <c r="L619" s="886"/>
      <c r="M619" s="886"/>
      <c r="N619" s="886"/>
      <c r="O619" s="886"/>
      <c r="P619" s="886"/>
      <c r="Q619" s="886"/>
      <c r="R619" s="886"/>
      <c r="S619" s="886"/>
      <c r="T619" s="886"/>
      <c r="U619" s="886"/>
    </row>
    <row r="620" spans="3:21">
      <c r="C620" s="942"/>
      <c r="D620" s="942"/>
      <c r="E620" s="943"/>
      <c r="F620" s="886"/>
      <c r="G620" s="886"/>
      <c r="H620" s="886"/>
      <c r="I620" s="886"/>
      <c r="J620" s="886"/>
      <c r="K620" s="886"/>
      <c r="L620" s="886"/>
      <c r="M620" s="886"/>
      <c r="N620" s="886"/>
      <c r="O620" s="886"/>
      <c r="P620" s="886"/>
      <c r="Q620" s="886"/>
      <c r="R620" s="886"/>
      <c r="S620" s="886"/>
      <c r="T620" s="886"/>
      <c r="U620" s="886"/>
    </row>
    <row r="621" spans="3:21">
      <c r="C621" s="942"/>
      <c r="D621" s="942"/>
      <c r="E621" s="943"/>
      <c r="F621" s="886"/>
      <c r="G621" s="886"/>
      <c r="H621" s="886"/>
      <c r="I621" s="886"/>
      <c r="J621" s="886"/>
      <c r="K621" s="886"/>
      <c r="L621" s="886"/>
      <c r="M621" s="886"/>
      <c r="N621" s="886"/>
      <c r="O621" s="886"/>
      <c r="P621" s="886"/>
      <c r="Q621" s="886"/>
      <c r="R621" s="886"/>
      <c r="S621" s="886"/>
      <c r="T621" s="886"/>
      <c r="U621" s="886"/>
    </row>
    <row r="622" spans="3:21">
      <c r="C622" s="942"/>
      <c r="D622" s="942"/>
      <c r="E622" s="943"/>
      <c r="F622" s="886"/>
      <c r="G622" s="886"/>
      <c r="H622" s="886"/>
      <c r="I622" s="886"/>
      <c r="J622" s="886"/>
      <c r="K622" s="886"/>
      <c r="L622" s="886"/>
      <c r="M622" s="886"/>
      <c r="N622" s="886"/>
      <c r="O622" s="886"/>
      <c r="P622" s="886"/>
      <c r="Q622" s="886"/>
      <c r="R622" s="886"/>
      <c r="S622" s="886"/>
      <c r="T622" s="886"/>
      <c r="U622" s="886"/>
    </row>
    <row r="623" spans="3:21">
      <c r="C623" s="942"/>
      <c r="D623" s="942"/>
      <c r="E623" s="943"/>
      <c r="F623" s="886"/>
      <c r="G623" s="886"/>
      <c r="H623" s="886"/>
      <c r="I623" s="886"/>
      <c r="J623" s="886"/>
      <c r="K623" s="886"/>
      <c r="L623" s="886"/>
      <c r="M623" s="886"/>
      <c r="N623" s="886"/>
      <c r="O623" s="886"/>
      <c r="P623" s="886"/>
      <c r="Q623" s="886"/>
      <c r="R623" s="886"/>
      <c r="S623" s="886"/>
      <c r="T623" s="886"/>
      <c r="U623" s="886"/>
    </row>
    <row r="624" spans="3:21">
      <c r="C624" s="942"/>
      <c r="D624" s="942"/>
      <c r="E624" s="943"/>
      <c r="F624" s="886"/>
      <c r="G624" s="886"/>
      <c r="H624" s="886"/>
      <c r="I624" s="886"/>
      <c r="J624" s="886"/>
      <c r="K624" s="886"/>
      <c r="L624" s="886"/>
      <c r="M624" s="886"/>
      <c r="N624" s="886"/>
      <c r="O624" s="886"/>
      <c r="P624" s="886"/>
      <c r="Q624" s="886"/>
      <c r="R624" s="886"/>
      <c r="S624" s="886"/>
      <c r="T624" s="886"/>
      <c r="U624" s="886"/>
    </row>
    <row r="625" spans="3:21">
      <c r="C625" s="942"/>
      <c r="D625" s="942"/>
      <c r="E625" s="943"/>
      <c r="F625" s="886"/>
      <c r="G625" s="886"/>
      <c r="H625" s="886"/>
      <c r="I625" s="886"/>
      <c r="J625" s="886"/>
      <c r="K625" s="886"/>
      <c r="L625" s="886"/>
      <c r="M625" s="886"/>
      <c r="N625" s="886"/>
      <c r="O625" s="886"/>
      <c r="P625" s="886"/>
      <c r="Q625" s="886"/>
      <c r="R625" s="886"/>
      <c r="S625" s="886"/>
      <c r="T625" s="886"/>
      <c r="U625" s="886"/>
    </row>
    <row r="626" spans="3:21">
      <c r="C626" s="942"/>
      <c r="D626" s="942"/>
      <c r="E626" s="943"/>
      <c r="F626" s="886"/>
      <c r="G626" s="886"/>
      <c r="H626" s="886"/>
      <c r="I626" s="886"/>
      <c r="J626" s="886"/>
      <c r="K626" s="886"/>
      <c r="L626" s="886"/>
      <c r="M626" s="886"/>
      <c r="N626" s="886"/>
      <c r="O626" s="886"/>
      <c r="P626" s="886"/>
      <c r="Q626" s="886"/>
      <c r="R626" s="886"/>
      <c r="S626" s="886"/>
      <c r="T626" s="886"/>
      <c r="U626" s="886"/>
    </row>
    <row r="627" spans="3:21">
      <c r="C627" s="942"/>
      <c r="D627" s="942"/>
      <c r="E627" s="943"/>
      <c r="F627" s="886"/>
      <c r="G627" s="886"/>
      <c r="H627" s="886"/>
      <c r="I627" s="886"/>
      <c r="J627" s="886"/>
      <c r="K627" s="886"/>
      <c r="L627" s="886"/>
      <c r="M627" s="886"/>
      <c r="N627" s="886"/>
      <c r="O627" s="886"/>
      <c r="P627" s="886"/>
      <c r="Q627" s="886"/>
      <c r="R627" s="886"/>
      <c r="S627" s="886"/>
      <c r="T627" s="886"/>
      <c r="U627" s="886"/>
    </row>
    <row r="628" spans="3:21">
      <c r="C628" s="942"/>
      <c r="D628" s="942"/>
      <c r="E628" s="943"/>
      <c r="F628" s="886"/>
      <c r="G628" s="886"/>
      <c r="H628" s="886"/>
      <c r="I628" s="886"/>
      <c r="J628" s="886"/>
      <c r="K628" s="886"/>
      <c r="L628" s="886"/>
      <c r="M628" s="886"/>
      <c r="N628" s="886"/>
      <c r="O628" s="886"/>
      <c r="P628" s="886"/>
      <c r="Q628" s="886"/>
      <c r="R628" s="886"/>
      <c r="S628" s="886"/>
      <c r="T628" s="886"/>
      <c r="U628" s="886"/>
    </row>
    <row r="629" spans="3:21">
      <c r="C629" s="942"/>
      <c r="D629" s="942"/>
      <c r="E629" s="943"/>
      <c r="F629" s="886"/>
      <c r="G629" s="886"/>
      <c r="H629" s="886"/>
      <c r="I629" s="886"/>
      <c r="J629" s="886"/>
      <c r="K629" s="886"/>
      <c r="L629" s="886"/>
      <c r="M629" s="886"/>
      <c r="N629" s="886"/>
      <c r="O629" s="886"/>
      <c r="P629" s="886"/>
      <c r="Q629" s="886"/>
      <c r="R629" s="886"/>
      <c r="S629" s="886"/>
      <c r="T629" s="886"/>
      <c r="U629" s="886"/>
    </row>
    <row r="630" spans="3:21">
      <c r="C630" s="942"/>
      <c r="D630" s="942"/>
      <c r="E630" s="943"/>
      <c r="F630" s="886"/>
      <c r="G630" s="886"/>
      <c r="H630" s="886"/>
      <c r="I630" s="886"/>
      <c r="J630" s="886"/>
      <c r="K630" s="886"/>
      <c r="L630" s="886"/>
      <c r="M630" s="886"/>
      <c r="N630" s="886"/>
      <c r="O630" s="886"/>
      <c r="P630" s="886"/>
      <c r="Q630" s="886"/>
      <c r="R630" s="886"/>
      <c r="S630" s="886"/>
      <c r="T630" s="886"/>
      <c r="U630" s="886"/>
    </row>
    <row r="631" spans="3:21">
      <c r="C631" s="942"/>
      <c r="D631" s="942"/>
      <c r="E631" s="943"/>
      <c r="F631" s="886"/>
      <c r="G631" s="886"/>
      <c r="H631" s="886"/>
      <c r="I631" s="886"/>
      <c r="J631" s="886"/>
      <c r="K631" s="886"/>
      <c r="L631" s="886"/>
      <c r="M631" s="886"/>
      <c r="N631" s="886"/>
      <c r="O631" s="886"/>
      <c r="P631" s="886"/>
      <c r="Q631" s="886"/>
      <c r="R631" s="886"/>
      <c r="S631" s="886"/>
      <c r="T631" s="886"/>
      <c r="U631" s="886"/>
    </row>
    <row r="632" spans="3:21">
      <c r="C632" s="942"/>
      <c r="D632" s="942"/>
      <c r="E632" s="943"/>
      <c r="F632" s="886"/>
      <c r="G632" s="886"/>
      <c r="H632" s="886"/>
      <c r="I632" s="886"/>
      <c r="J632" s="886"/>
      <c r="K632" s="886"/>
      <c r="L632" s="886"/>
      <c r="M632" s="886"/>
      <c r="N632" s="886"/>
      <c r="O632" s="886"/>
      <c r="P632" s="886"/>
      <c r="Q632" s="886"/>
      <c r="R632" s="886"/>
      <c r="S632" s="886"/>
      <c r="T632" s="886"/>
      <c r="U632" s="886"/>
    </row>
    <row r="633" spans="3:21">
      <c r="C633" s="942"/>
      <c r="D633" s="942"/>
      <c r="E633" s="943"/>
      <c r="F633" s="886"/>
      <c r="G633" s="886"/>
      <c r="H633" s="886"/>
      <c r="I633" s="886"/>
      <c r="J633" s="886"/>
      <c r="K633" s="886"/>
      <c r="L633" s="886"/>
      <c r="M633" s="886"/>
      <c r="N633" s="886"/>
      <c r="O633" s="886"/>
      <c r="P633" s="886"/>
      <c r="Q633" s="886"/>
      <c r="R633" s="886"/>
      <c r="S633" s="886"/>
      <c r="T633" s="886"/>
      <c r="U633" s="886"/>
    </row>
    <row r="634" spans="3:21">
      <c r="C634" s="942"/>
      <c r="D634" s="942"/>
      <c r="E634" s="943"/>
      <c r="F634" s="886"/>
      <c r="G634" s="886"/>
      <c r="H634" s="886"/>
      <c r="I634" s="886"/>
      <c r="J634" s="886"/>
      <c r="K634" s="886"/>
      <c r="L634" s="886"/>
      <c r="M634" s="886"/>
      <c r="N634" s="886"/>
      <c r="O634" s="886"/>
      <c r="P634" s="886"/>
      <c r="Q634" s="886"/>
      <c r="R634" s="886"/>
      <c r="S634" s="886"/>
      <c r="T634" s="886"/>
      <c r="U634" s="886"/>
    </row>
    <row r="635" spans="3:21">
      <c r="C635" s="942"/>
      <c r="D635" s="942"/>
      <c r="E635" s="943"/>
      <c r="F635" s="886"/>
      <c r="G635" s="886"/>
      <c r="H635" s="886"/>
      <c r="I635" s="886"/>
      <c r="J635" s="886"/>
      <c r="K635" s="886"/>
      <c r="L635" s="886"/>
      <c r="M635" s="886"/>
      <c r="N635" s="886"/>
      <c r="O635" s="886"/>
      <c r="P635" s="886"/>
      <c r="Q635" s="886"/>
      <c r="R635" s="886"/>
      <c r="S635" s="886"/>
      <c r="T635" s="886"/>
      <c r="U635" s="886"/>
    </row>
    <row r="636" spans="3:21">
      <c r="C636" s="942"/>
      <c r="D636" s="942"/>
      <c r="E636" s="943"/>
      <c r="F636" s="886"/>
      <c r="G636" s="886"/>
      <c r="H636" s="886"/>
      <c r="I636" s="886"/>
      <c r="J636" s="886"/>
      <c r="K636" s="886"/>
      <c r="L636" s="886"/>
      <c r="M636" s="886"/>
      <c r="N636" s="886"/>
      <c r="O636" s="886"/>
      <c r="P636" s="886"/>
      <c r="Q636" s="886"/>
      <c r="R636" s="886"/>
      <c r="S636" s="886"/>
      <c r="T636" s="886"/>
      <c r="U636" s="886"/>
    </row>
    <row r="637" spans="3:21">
      <c r="C637" s="942"/>
      <c r="D637" s="942"/>
      <c r="E637" s="943"/>
      <c r="F637" s="886"/>
      <c r="G637" s="886"/>
      <c r="H637" s="886"/>
      <c r="I637" s="886"/>
      <c r="J637" s="886"/>
      <c r="K637" s="886"/>
      <c r="L637" s="886"/>
      <c r="M637" s="886"/>
      <c r="N637" s="886"/>
      <c r="O637" s="886"/>
      <c r="P637" s="886"/>
      <c r="Q637" s="886"/>
      <c r="R637" s="886"/>
      <c r="S637" s="886"/>
      <c r="T637" s="886"/>
      <c r="U637" s="886"/>
    </row>
    <row r="638" spans="3:21">
      <c r="C638" s="942"/>
      <c r="D638" s="942"/>
      <c r="E638" s="943"/>
      <c r="F638" s="886"/>
      <c r="G638" s="886"/>
      <c r="H638" s="886"/>
      <c r="I638" s="886"/>
      <c r="J638" s="886"/>
      <c r="K638" s="886"/>
      <c r="L638" s="886"/>
      <c r="M638" s="886"/>
      <c r="N638" s="886"/>
      <c r="O638" s="886"/>
      <c r="P638" s="886"/>
      <c r="Q638" s="886"/>
      <c r="R638" s="886"/>
      <c r="S638" s="886"/>
      <c r="T638" s="886"/>
      <c r="U638" s="886"/>
    </row>
    <row r="639" spans="3:21">
      <c r="C639" s="942"/>
      <c r="D639" s="942"/>
      <c r="E639" s="943"/>
      <c r="F639" s="886"/>
      <c r="G639" s="886"/>
      <c r="H639" s="886"/>
      <c r="I639" s="886"/>
      <c r="J639" s="886"/>
      <c r="K639" s="886"/>
      <c r="L639" s="886"/>
      <c r="M639" s="886"/>
      <c r="N639" s="886"/>
      <c r="O639" s="886"/>
      <c r="P639" s="886"/>
      <c r="Q639" s="886"/>
      <c r="R639" s="886"/>
      <c r="S639" s="886"/>
      <c r="T639" s="886"/>
      <c r="U639" s="886"/>
    </row>
    <row r="640" spans="3:21">
      <c r="C640" s="942"/>
      <c r="D640" s="942"/>
      <c r="E640" s="943"/>
      <c r="F640" s="886"/>
      <c r="G640" s="886"/>
      <c r="H640" s="886"/>
      <c r="I640" s="886"/>
      <c r="J640" s="886"/>
      <c r="K640" s="886"/>
      <c r="L640" s="886"/>
      <c r="M640" s="886"/>
      <c r="N640" s="886"/>
      <c r="O640" s="886"/>
      <c r="P640" s="886"/>
      <c r="Q640" s="886"/>
      <c r="R640" s="886"/>
      <c r="S640" s="886"/>
      <c r="T640" s="886"/>
      <c r="U640" s="886"/>
    </row>
    <row r="641" spans="3:21">
      <c r="C641" s="942"/>
      <c r="D641" s="942"/>
      <c r="E641" s="943"/>
      <c r="F641" s="886"/>
      <c r="G641" s="886"/>
      <c r="H641" s="886"/>
      <c r="I641" s="886"/>
      <c r="J641" s="886"/>
      <c r="K641" s="886"/>
      <c r="L641" s="886"/>
      <c r="M641" s="886"/>
      <c r="N641" s="886"/>
      <c r="O641" s="886"/>
      <c r="P641" s="886"/>
      <c r="Q641" s="886"/>
      <c r="R641" s="886"/>
      <c r="S641" s="886"/>
      <c r="T641" s="886"/>
      <c r="U641" s="886"/>
    </row>
    <row r="642" spans="3:21">
      <c r="C642" s="942"/>
      <c r="D642" s="942"/>
      <c r="E642" s="943"/>
      <c r="F642" s="886"/>
      <c r="G642" s="886"/>
      <c r="H642" s="886"/>
      <c r="I642" s="886"/>
      <c r="J642" s="886"/>
      <c r="K642" s="886"/>
      <c r="L642" s="886"/>
      <c r="M642" s="886"/>
      <c r="N642" s="886"/>
      <c r="O642" s="886"/>
      <c r="P642" s="886"/>
      <c r="Q642" s="886"/>
      <c r="R642" s="886"/>
      <c r="S642" s="886"/>
      <c r="T642" s="886"/>
      <c r="U642" s="886"/>
    </row>
    <row r="643" spans="3:21">
      <c r="C643" s="942"/>
      <c r="D643" s="942"/>
      <c r="E643" s="943"/>
      <c r="F643" s="886"/>
      <c r="G643" s="886"/>
      <c r="H643" s="886"/>
      <c r="I643" s="886"/>
      <c r="J643" s="886"/>
      <c r="K643" s="886"/>
      <c r="L643" s="886"/>
      <c r="M643" s="886"/>
      <c r="N643" s="886"/>
      <c r="O643" s="886"/>
      <c r="P643" s="886"/>
      <c r="Q643" s="886"/>
      <c r="R643" s="886"/>
      <c r="S643" s="886"/>
      <c r="T643" s="886"/>
      <c r="U643" s="886"/>
    </row>
    <row r="644" spans="3:21">
      <c r="C644" s="942"/>
      <c r="D644" s="942"/>
      <c r="E644" s="943"/>
      <c r="F644" s="886"/>
      <c r="G644" s="886"/>
      <c r="H644" s="886"/>
      <c r="I644" s="886"/>
      <c r="J644" s="886"/>
      <c r="K644" s="886"/>
      <c r="L644" s="886"/>
      <c r="M644" s="886"/>
      <c r="N644" s="886"/>
      <c r="O644" s="886"/>
      <c r="P644" s="886"/>
      <c r="Q644" s="886"/>
      <c r="R644" s="886"/>
      <c r="S644" s="886"/>
      <c r="T644" s="886"/>
      <c r="U644" s="886"/>
    </row>
    <row r="645" spans="3:21">
      <c r="C645" s="942"/>
      <c r="D645" s="942"/>
      <c r="E645" s="943"/>
      <c r="F645" s="886"/>
      <c r="G645" s="886"/>
      <c r="H645" s="886"/>
      <c r="I645" s="886"/>
      <c r="J645" s="886"/>
      <c r="K645" s="886"/>
      <c r="L645" s="886"/>
      <c r="M645" s="886"/>
      <c r="N645" s="886"/>
      <c r="O645" s="886"/>
      <c r="P645" s="886"/>
      <c r="Q645" s="886"/>
      <c r="R645" s="886"/>
      <c r="S645" s="886"/>
      <c r="T645" s="886"/>
      <c r="U645" s="886"/>
    </row>
    <row r="646" spans="3:21">
      <c r="C646" s="942"/>
      <c r="D646" s="942"/>
      <c r="E646" s="943"/>
      <c r="F646" s="886"/>
      <c r="G646" s="886"/>
      <c r="H646" s="886"/>
      <c r="I646" s="886"/>
      <c r="J646" s="886"/>
      <c r="K646" s="886"/>
      <c r="L646" s="886"/>
      <c r="M646" s="886"/>
      <c r="N646" s="886"/>
      <c r="O646" s="886"/>
      <c r="P646" s="886"/>
      <c r="Q646" s="886"/>
      <c r="R646" s="886"/>
      <c r="S646" s="886"/>
      <c r="T646" s="886"/>
      <c r="U646" s="886"/>
    </row>
    <row r="647" spans="3:21">
      <c r="C647" s="942"/>
      <c r="D647" s="942"/>
      <c r="E647" s="943"/>
      <c r="F647" s="886"/>
      <c r="G647" s="886"/>
      <c r="H647" s="886"/>
      <c r="I647" s="886"/>
      <c r="J647" s="886"/>
      <c r="K647" s="886"/>
      <c r="L647" s="886"/>
      <c r="M647" s="886"/>
      <c r="N647" s="886"/>
      <c r="O647" s="886"/>
      <c r="P647" s="886"/>
      <c r="Q647" s="886"/>
      <c r="R647" s="886"/>
      <c r="S647" s="886"/>
      <c r="T647" s="886"/>
      <c r="U647" s="886"/>
    </row>
    <row r="648" spans="3:21">
      <c r="C648" s="942"/>
      <c r="D648" s="942"/>
      <c r="E648" s="943"/>
      <c r="F648" s="886"/>
      <c r="G648" s="886"/>
      <c r="H648" s="886"/>
      <c r="I648" s="886"/>
      <c r="J648" s="886"/>
      <c r="K648" s="886"/>
      <c r="L648" s="886"/>
      <c r="M648" s="886"/>
      <c r="N648" s="886"/>
      <c r="O648" s="886"/>
      <c r="P648" s="886"/>
      <c r="Q648" s="886"/>
      <c r="R648" s="886"/>
      <c r="S648" s="886"/>
      <c r="T648" s="886"/>
      <c r="U648" s="886"/>
    </row>
    <row r="649" spans="3:21">
      <c r="C649" s="942"/>
      <c r="D649" s="942"/>
      <c r="E649" s="943"/>
      <c r="F649" s="886"/>
      <c r="G649" s="886"/>
      <c r="H649" s="886"/>
      <c r="I649" s="886"/>
      <c r="J649" s="886"/>
      <c r="K649" s="886"/>
      <c r="L649" s="886"/>
      <c r="M649" s="886"/>
      <c r="N649" s="886"/>
      <c r="O649" s="886"/>
      <c r="P649" s="886"/>
      <c r="Q649" s="886"/>
      <c r="R649" s="886"/>
      <c r="S649" s="886"/>
      <c r="T649" s="886"/>
      <c r="U649" s="886"/>
    </row>
    <row r="650" spans="3:21">
      <c r="C650" s="942"/>
      <c r="D650" s="942"/>
      <c r="E650" s="943"/>
      <c r="F650" s="886"/>
      <c r="G650" s="886"/>
      <c r="H650" s="886"/>
      <c r="I650" s="886"/>
      <c r="J650" s="886"/>
      <c r="K650" s="886"/>
      <c r="L650" s="886"/>
      <c r="M650" s="886"/>
      <c r="N650" s="886"/>
      <c r="O650" s="886"/>
      <c r="P650" s="886"/>
      <c r="Q650" s="886"/>
      <c r="R650" s="886"/>
      <c r="S650" s="886"/>
      <c r="T650" s="886"/>
      <c r="U650" s="886"/>
    </row>
    <row r="651" spans="3:21">
      <c r="C651" s="942"/>
      <c r="D651" s="942"/>
      <c r="E651" s="943"/>
      <c r="F651" s="886"/>
      <c r="G651" s="886"/>
      <c r="H651" s="886"/>
      <c r="I651" s="886"/>
      <c r="J651" s="886"/>
      <c r="K651" s="886"/>
      <c r="L651" s="886"/>
      <c r="M651" s="886"/>
      <c r="N651" s="886"/>
      <c r="O651" s="886"/>
      <c r="P651" s="886"/>
      <c r="Q651" s="886"/>
      <c r="R651" s="886"/>
      <c r="S651" s="886"/>
      <c r="T651" s="886"/>
      <c r="U651" s="886"/>
    </row>
    <row r="652" spans="3:21">
      <c r="C652" s="942"/>
      <c r="D652" s="942"/>
      <c r="E652" s="943"/>
      <c r="F652" s="886"/>
      <c r="G652" s="886"/>
      <c r="H652" s="886"/>
      <c r="I652" s="886"/>
      <c r="J652" s="886"/>
      <c r="K652" s="886"/>
      <c r="L652" s="886"/>
      <c r="M652" s="886"/>
      <c r="N652" s="886"/>
      <c r="O652" s="886"/>
      <c r="P652" s="886"/>
      <c r="Q652" s="886"/>
      <c r="R652" s="886"/>
      <c r="S652" s="886"/>
      <c r="T652" s="886"/>
      <c r="U652" s="886"/>
    </row>
    <row r="653" spans="3:21">
      <c r="C653" s="942"/>
      <c r="D653" s="942"/>
      <c r="E653" s="943"/>
      <c r="F653" s="886"/>
      <c r="G653" s="886"/>
      <c r="H653" s="886"/>
      <c r="I653" s="886"/>
      <c r="J653" s="886"/>
      <c r="K653" s="886"/>
      <c r="L653" s="886"/>
      <c r="M653" s="886"/>
      <c r="N653" s="886"/>
      <c r="O653" s="886"/>
      <c r="P653" s="886"/>
      <c r="Q653" s="886"/>
      <c r="R653" s="886"/>
      <c r="S653" s="886"/>
      <c r="T653" s="886"/>
      <c r="U653" s="886"/>
    </row>
    <row r="654" spans="3:21">
      <c r="C654" s="942"/>
      <c r="D654" s="942"/>
      <c r="E654" s="943"/>
      <c r="F654" s="886"/>
      <c r="G654" s="886"/>
      <c r="H654" s="886"/>
      <c r="I654" s="886"/>
      <c r="J654" s="886"/>
      <c r="K654" s="886"/>
      <c r="L654" s="886"/>
      <c r="M654" s="886"/>
      <c r="N654" s="886"/>
      <c r="O654" s="886"/>
      <c r="P654" s="886"/>
      <c r="Q654" s="886"/>
      <c r="R654" s="886"/>
      <c r="S654" s="886"/>
      <c r="T654" s="886"/>
      <c r="U654" s="886"/>
    </row>
    <row r="655" spans="3:21">
      <c r="C655" s="942"/>
      <c r="D655" s="942"/>
      <c r="E655" s="943"/>
      <c r="F655" s="886"/>
      <c r="G655" s="886"/>
      <c r="H655" s="886"/>
      <c r="I655" s="886"/>
      <c r="J655" s="886"/>
      <c r="K655" s="886"/>
      <c r="L655" s="886"/>
      <c r="M655" s="886"/>
      <c r="N655" s="886"/>
      <c r="O655" s="886"/>
      <c r="P655" s="886"/>
      <c r="Q655" s="886"/>
      <c r="R655" s="886"/>
      <c r="S655" s="886"/>
      <c r="T655" s="886"/>
      <c r="U655" s="886"/>
    </row>
    <row r="656" spans="3:21">
      <c r="C656" s="942"/>
      <c r="D656" s="942"/>
      <c r="E656" s="943"/>
      <c r="F656" s="886"/>
      <c r="G656" s="886"/>
      <c r="H656" s="886"/>
      <c r="I656" s="886"/>
      <c r="J656" s="886"/>
      <c r="K656" s="886"/>
      <c r="L656" s="886"/>
      <c r="M656" s="886"/>
      <c r="N656" s="886"/>
      <c r="O656" s="886"/>
      <c r="P656" s="886"/>
      <c r="Q656" s="886"/>
      <c r="R656" s="886"/>
      <c r="S656" s="886"/>
      <c r="T656" s="886"/>
      <c r="U656" s="886"/>
    </row>
    <row r="657" spans="3:21">
      <c r="C657" s="942"/>
      <c r="D657" s="942"/>
      <c r="E657" s="943"/>
      <c r="F657" s="886"/>
      <c r="G657" s="886"/>
      <c r="H657" s="886"/>
      <c r="I657" s="886"/>
      <c r="J657" s="886"/>
      <c r="K657" s="886"/>
      <c r="L657" s="886"/>
      <c r="M657" s="886"/>
      <c r="N657" s="886"/>
      <c r="O657" s="886"/>
      <c r="P657" s="886"/>
      <c r="Q657" s="886"/>
      <c r="R657" s="886"/>
      <c r="S657" s="886"/>
      <c r="T657" s="886"/>
      <c r="U657" s="886"/>
    </row>
    <row r="658" spans="3:21">
      <c r="C658" s="942"/>
      <c r="D658" s="942"/>
      <c r="E658" s="943"/>
      <c r="F658" s="886"/>
      <c r="G658" s="886"/>
      <c r="H658" s="886"/>
      <c r="I658" s="886"/>
      <c r="J658" s="886"/>
      <c r="K658" s="886"/>
      <c r="L658" s="886"/>
      <c r="M658" s="886"/>
      <c r="N658" s="886"/>
      <c r="O658" s="886"/>
      <c r="P658" s="886"/>
      <c r="Q658" s="886"/>
      <c r="R658" s="886"/>
      <c r="S658" s="886"/>
      <c r="T658" s="886"/>
      <c r="U658" s="886"/>
    </row>
    <row r="659" spans="3:21">
      <c r="C659" s="942"/>
      <c r="D659" s="942"/>
      <c r="E659" s="943"/>
      <c r="F659" s="886"/>
      <c r="G659" s="886"/>
      <c r="H659" s="886"/>
      <c r="I659" s="886"/>
      <c r="J659" s="886"/>
      <c r="K659" s="886"/>
      <c r="L659" s="886"/>
      <c r="M659" s="886"/>
      <c r="N659" s="886"/>
      <c r="O659" s="886"/>
      <c r="P659" s="886"/>
      <c r="Q659" s="886"/>
      <c r="R659" s="886"/>
      <c r="S659" s="886"/>
      <c r="T659" s="886"/>
      <c r="U659" s="886"/>
    </row>
    <row r="660" spans="3:21">
      <c r="C660" s="942"/>
      <c r="D660" s="942"/>
      <c r="E660" s="943"/>
      <c r="F660" s="886"/>
      <c r="G660" s="886"/>
      <c r="H660" s="886"/>
      <c r="I660" s="886"/>
      <c r="J660" s="886"/>
      <c r="K660" s="886"/>
      <c r="L660" s="886"/>
      <c r="M660" s="886"/>
      <c r="N660" s="886"/>
      <c r="O660" s="886"/>
      <c r="P660" s="886"/>
      <c r="Q660" s="886"/>
      <c r="R660" s="886"/>
      <c r="S660" s="886"/>
      <c r="T660" s="886"/>
      <c r="U660" s="886"/>
    </row>
    <row r="661" spans="3:21">
      <c r="C661" s="942"/>
      <c r="D661" s="942"/>
      <c r="E661" s="943"/>
      <c r="F661" s="886"/>
      <c r="G661" s="886"/>
      <c r="H661" s="886"/>
      <c r="I661" s="886"/>
      <c r="J661" s="886"/>
      <c r="K661" s="886"/>
      <c r="L661" s="886"/>
      <c r="M661" s="886"/>
      <c r="N661" s="886"/>
      <c r="O661" s="886"/>
      <c r="P661" s="886"/>
      <c r="Q661" s="886"/>
      <c r="R661" s="886"/>
      <c r="S661" s="886"/>
      <c r="T661" s="886"/>
      <c r="U661" s="886"/>
    </row>
    <row r="662" spans="3:21">
      <c r="C662" s="942"/>
      <c r="D662" s="942"/>
      <c r="E662" s="943"/>
      <c r="F662" s="886"/>
      <c r="G662" s="886"/>
      <c r="H662" s="886"/>
      <c r="I662" s="886"/>
      <c r="J662" s="886"/>
      <c r="K662" s="886"/>
      <c r="L662" s="886"/>
      <c r="M662" s="886"/>
      <c r="N662" s="886"/>
      <c r="O662" s="886"/>
      <c r="P662" s="886"/>
      <c r="Q662" s="886"/>
      <c r="R662" s="886"/>
      <c r="S662" s="886"/>
      <c r="T662" s="886"/>
      <c r="U662" s="886"/>
    </row>
    <row r="663" spans="3:21">
      <c r="C663" s="942"/>
      <c r="D663" s="942"/>
      <c r="E663" s="943"/>
      <c r="F663" s="886"/>
      <c r="G663" s="886"/>
      <c r="H663" s="886"/>
      <c r="I663" s="886"/>
      <c r="J663" s="886"/>
      <c r="K663" s="886"/>
      <c r="L663" s="886"/>
      <c r="M663" s="886"/>
      <c r="N663" s="886"/>
      <c r="O663" s="886"/>
      <c r="P663" s="886"/>
      <c r="Q663" s="886"/>
      <c r="R663" s="886"/>
      <c r="S663" s="886"/>
      <c r="T663" s="886"/>
      <c r="U663" s="886"/>
    </row>
    <row r="664" spans="3:21">
      <c r="C664" s="942"/>
      <c r="D664" s="942"/>
      <c r="E664" s="943"/>
      <c r="F664" s="886"/>
      <c r="G664" s="886"/>
      <c r="H664" s="886"/>
      <c r="I664" s="886"/>
      <c r="J664" s="886"/>
      <c r="K664" s="886"/>
      <c r="L664" s="886"/>
      <c r="M664" s="886"/>
      <c r="N664" s="886"/>
      <c r="O664" s="886"/>
      <c r="P664" s="886"/>
      <c r="Q664" s="886"/>
      <c r="R664" s="886"/>
      <c r="S664" s="886"/>
      <c r="T664" s="886"/>
      <c r="U664" s="886"/>
    </row>
    <row r="665" spans="3:21">
      <c r="C665" s="942"/>
      <c r="D665" s="942"/>
      <c r="E665" s="943"/>
      <c r="F665" s="886"/>
      <c r="G665" s="886"/>
      <c r="H665" s="886"/>
      <c r="I665" s="886"/>
      <c r="J665" s="886"/>
      <c r="K665" s="886"/>
      <c r="L665" s="886"/>
      <c r="M665" s="886"/>
      <c r="N665" s="886"/>
      <c r="O665" s="886"/>
      <c r="P665" s="886"/>
      <c r="Q665" s="886"/>
      <c r="R665" s="886"/>
      <c r="S665" s="886"/>
      <c r="T665" s="886"/>
      <c r="U665" s="886"/>
    </row>
    <row r="666" spans="3:21">
      <c r="C666" s="942"/>
      <c r="D666" s="942"/>
      <c r="E666" s="943"/>
      <c r="F666" s="886"/>
      <c r="G666" s="886"/>
      <c r="H666" s="886"/>
      <c r="I666" s="886"/>
      <c r="J666" s="886"/>
      <c r="K666" s="886"/>
      <c r="L666" s="886"/>
      <c r="M666" s="886"/>
      <c r="N666" s="886"/>
      <c r="O666" s="886"/>
      <c r="P666" s="886"/>
      <c r="Q666" s="886"/>
      <c r="R666" s="886"/>
      <c r="S666" s="886"/>
      <c r="T666" s="886"/>
      <c r="U666" s="886"/>
    </row>
    <row r="667" spans="3:21">
      <c r="C667" s="942"/>
      <c r="D667" s="942"/>
      <c r="E667" s="943"/>
      <c r="F667" s="886"/>
      <c r="G667" s="886"/>
      <c r="H667" s="886"/>
      <c r="I667" s="886"/>
      <c r="J667" s="886"/>
      <c r="K667" s="886"/>
      <c r="L667" s="886"/>
      <c r="M667" s="886"/>
      <c r="N667" s="886"/>
      <c r="O667" s="886"/>
      <c r="P667" s="886"/>
      <c r="Q667" s="886"/>
      <c r="R667" s="886"/>
      <c r="S667" s="886"/>
      <c r="T667" s="886"/>
      <c r="U667" s="886"/>
    </row>
    <row r="668" spans="3:21">
      <c r="C668" s="942"/>
      <c r="D668" s="942"/>
      <c r="E668" s="943"/>
      <c r="F668" s="886"/>
      <c r="G668" s="886"/>
      <c r="H668" s="886"/>
      <c r="I668" s="886"/>
      <c r="J668" s="886"/>
      <c r="K668" s="886"/>
      <c r="L668" s="886"/>
      <c r="M668" s="886"/>
      <c r="N668" s="886"/>
      <c r="O668" s="886"/>
      <c r="P668" s="886"/>
      <c r="Q668" s="886"/>
      <c r="R668" s="886"/>
      <c r="S668" s="886"/>
      <c r="T668" s="886"/>
      <c r="U668" s="886"/>
    </row>
    <row r="669" spans="3:21">
      <c r="C669" s="942"/>
      <c r="D669" s="942"/>
      <c r="E669" s="943"/>
      <c r="F669" s="886"/>
      <c r="G669" s="886"/>
      <c r="H669" s="886"/>
      <c r="I669" s="886"/>
      <c r="J669" s="886"/>
      <c r="K669" s="886"/>
      <c r="L669" s="886"/>
      <c r="M669" s="886"/>
      <c r="N669" s="886"/>
      <c r="O669" s="886"/>
      <c r="P669" s="886"/>
      <c r="Q669" s="886"/>
      <c r="R669" s="886"/>
      <c r="S669" s="886"/>
      <c r="T669" s="886"/>
      <c r="U669" s="886"/>
    </row>
    <row r="670" spans="3:21">
      <c r="C670" s="942"/>
      <c r="D670" s="942"/>
      <c r="E670" s="943"/>
      <c r="F670" s="886"/>
      <c r="G670" s="886"/>
      <c r="H670" s="886"/>
      <c r="I670" s="886"/>
      <c r="J670" s="886"/>
      <c r="K670" s="886"/>
      <c r="L670" s="886"/>
      <c r="M670" s="886"/>
      <c r="N670" s="886"/>
      <c r="O670" s="886"/>
      <c r="P670" s="886"/>
      <c r="Q670" s="886"/>
      <c r="R670" s="886"/>
      <c r="S670" s="886"/>
      <c r="T670" s="886"/>
      <c r="U670" s="886"/>
    </row>
    <row r="671" spans="3:21">
      <c r="C671" s="942"/>
      <c r="D671" s="942"/>
      <c r="E671" s="943"/>
      <c r="F671" s="886"/>
      <c r="G671" s="886"/>
      <c r="H671" s="886"/>
      <c r="I671" s="886"/>
      <c r="J671" s="886"/>
      <c r="K671" s="886"/>
      <c r="L671" s="886"/>
      <c r="M671" s="886"/>
      <c r="N671" s="886"/>
      <c r="O671" s="886"/>
      <c r="P671" s="886"/>
      <c r="Q671" s="886"/>
      <c r="R671" s="886"/>
      <c r="S671" s="886"/>
      <c r="T671" s="886"/>
      <c r="U671" s="886"/>
    </row>
    <row r="672" spans="3:21">
      <c r="C672" s="942"/>
      <c r="D672" s="942"/>
      <c r="E672" s="943"/>
      <c r="F672" s="886"/>
      <c r="G672" s="886"/>
      <c r="H672" s="886"/>
      <c r="I672" s="886"/>
      <c r="J672" s="886"/>
      <c r="K672" s="886"/>
      <c r="L672" s="886"/>
      <c r="M672" s="886"/>
      <c r="N672" s="886"/>
      <c r="O672" s="886"/>
      <c r="P672" s="886"/>
      <c r="Q672" s="886"/>
      <c r="R672" s="886"/>
      <c r="S672" s="886"/>
      <c r="T672" s="886"/>
      <c r="U672" s="886"/>
    </row>
    <row r="673" spans="3:21">
      <c r="C673" s="942"/>
      <c r="D673" s="942"/>
      <c r="E673" s="943"/>
      <c r="F673" s="886"/>
      <c r="G673" s="886"/>
      <c r="H673" s="886"/>
      <c r="I673" s="886"/>
      <c r="J673" s="886"/>
      <c r="K673" s="886"/>
      <c r="L673" s="886"/>
      <c r="M673" s="886"/>
      <c r="N673" s="886"/>
      <c r="O673" s="886"/>
      <c r="P673" s="886"/>
      <c r="Q673" s="886"/>
      <c r="R673" s="886"/>
      <c r="S673" s="886"/>
      <c r="T673" s="886"/>
      <c r="U673" s="886"/>
    </row>
    <row r="674" spans="3:21">
      <c r="C674" s="942"/>
      <c r="D674" s="942"/>
      <c r="E674" s="943"/>
      <c r="F674" s="886"/>
      <c r="G674" s="886"/>
      <c r="H674" s="886"/>
      <c r="I674" s="886"/>
      <c r="J674" s="886"/>
      <c r="K674" s="886"/>
      <c r="L674" s="886"/>
      <c r="M674" s="886"/>
      <c r="N674" s="886"/>
      <c r="O674" s="886"/>
      <c r="P674" s="886"/>
      <c r="Q674" s="886"/>
      <c r="R674" s="886"/>
      <c r="S674" s="886"/>
      <c r="T674" s="886"/>
      <c r="U674" s="886"/>
    </row>
    <row r="675" spans="3:21">
      <c r="C675" s="942"/>
      <c r="D675" s="942"/>
      <c r="E675" s="943"/>
      <c r="F675" s="886"/>
      <c r="G675" s="886"/>
      <c r="H675" s="886"/>
      <c r="I675" s="886"/>
      <c r="J675" s="886"/>
      <c r="K675" s="886"/>
      <c r="L675" s="886"/>
      <c r="M675" s="886"/>
      <c r="N675" s="886"/>
      <c r="O675" s="886"/>
      <c r="P675" s="886"/>
      <c r="Q675" s="886"/>
      <c r="R675" s="886"/>
      <c r="S675" s="886"/>
      <c r="T675" s="886"/>
      <c r="U675" s="886"/>
    </row>
    <row r="676" spans="3:21">
      <c r="C676" s="942"/>
      <c r="D676" s="942"/>
      <c r="E676" s="943"/>
      <c r="F676" s="886"/>
      <c r="G676" s="886"/>
      <c r="H676" s="886"/>
      <c r="I676" s="886"/>
      <c r="J676" s="886"/>
      <c r="K676" s="886"/>
      <c r="L676" s="886"/>
      <c r="M676" s="886"/>
      <c r="N676" s="886"/>
      <c r="O676" s="886"/>
      <c r="P676" s="886"/>
      <c r="Q676" s="886"/>
      <c r="R676" s="886"/>
      <c r="S676" s="886"/>
      <c r="T676" s="886"/>
      <c r="U676" s="886"/>
    </row>
    <row r="677" spans="3:21">
      <c r="C677" s="942"/>
      <c r="D677" s="942"/>
      <c r="E677" s="943"/>
      <c r="F677" s="886"/>
      <c r="G677" s="886"/>
      <c r="H677" s="886"/>
      <c r="I677" s="886"/>
      <c r="J677" s="886"/>
      <c r="K677" s="886"/>
      <c r="L677" s="886"/>
      <c r="M677" s="886"/>
      <c r="N677" s="886"/>
      <c r="O677" s="886"/>
      <c r="P677" s="886"/>
      <c r="Q677" s="886"/>
      <c r="R677" s="886"/>
      <c r="S677" s="886"/>
      <c r="T677" s="886"/>
      <c r="U677" s="886"/>
    </row>
    <row r="678" spans="3:21">
      <c r="C678" s="942"/>
      <c r="D678" s="942"/>
      <c r="E678" s="943"/>
      <c r="F678" s="886"/>
      <c r="G678" s="886"/>
      <c r="H678" s="886"/>
      <c r="I678" s="886"/>
      <c r="J678" s="886"/>
      <c r="K678" s="886"/>
      <c r="L678" s="886"/>
      <c r="M678" s="886"/>
      <c r="N678" s="886"/>
      <c r="O678" s="886"/>
      <c r="P678" s="886"/>
      <c r="Q678" s="886"/>
      <c r="R678" s="886"/>
      <c r="S678" s="886"/>
      <c r="T678" s="886"/>
      <c r="U678" s="886"/>
    </row>
    <row r="679" spans="3:21">
      <c r="C679" s="942"/>
      <c r="D679" s="942"/>
      <c r="E679" s="943"/>
      <c r="F679" s="886"/>
      <c r="G679" s="886"/>
      <c r="H679" s="886"/>
      <c r="I679" s="886"/>
      <c r="J679" s="886"/>
      <c r="K679" s="886"/>
      <c r="L679" s="886"/>
      <c r="M679" s="886"/>
      <c r="N679" s="886"/>
      <c r="O679" s="886"/>
      <c r="P679" s="886"/>
      <c r="Q679" s="886"/>
      <c r="R679" s="886"/>
      <c r="S679" s="886"/>
      <c r="T679" s="886"/>
      <c r="U679" s="886"/>
    </row>
    <row r="680" spans="3:21">
      <c r="C680" s="942"/>
      <c r="D680" s="942"/>
      <c r="E680" s="943"/>
      <c r="F680" s="886"/>
      <c r="G680" s="886"/>
      <c r="H680" s="886"/>
      <c r="I680" s="886"/>
      <c r="J680" s="886"/>
      <c r="K680" s="886"/>
      <c r="L680" s="886"/>
      <c r="M680" s="886"/>
      <c r="N680" s="886"/>
      <c r="O680" s="886"/>
      <c r="P680" s="886"/>
      <c r="Q680" s="886"/>
      <c r="R680" s="886"/>
      <c r="S680" s="886"/>
      <c r="T680" s="886"/>
      <c r="U680" s="886"/>
    </row>
    <row r="681" spans="3:21">
      <c r="C681" s="942"/>
      <c r="D681" s="942"/>
      <c r="E681" s="943"/>
      <c r="F681" s="886"/>
      <c r="G681" s="886"/>
      <c r="H681" s="886"/>
      <c r="I681" s="886"/>
      <c r="J681" s="886"/>
      <c r="K681" s="886"/>
      <c r="L681" s="886"/>
      <c r="M681" s="886"/>
      <c r="N681" s="886"/>
      <c r="O681" s="886"/>
      <c r="P681" s="886"/>
      <c r="Q681" s="886"/>
      <c r="R681" s="886"/>
      <c r="S681" s="886"/>
      <c r="T681" s="886"/>
      <c r="U681" s="886"/>
    </row>
    <row r="682" spans="3:21">
      <c r="C682" s="942"/>
      <c r="D682" s="942"/>
      <c r="E682" s="943"/>
      <c r="F682" s="886"/>
      <c r="G682" s="886"/>
      <c r="H682" s="886"/>
      <c r="I682" s="886"/>
      <c r="J682" s="886"/>
      <c r="K682" s="886"/>
      <c r="L682" s="886"/>
      <c r="M682" s="886"/>
      <c r="N682" s="886"/>
      <c r="O682" s="886"/>
      <c r="P682" s="886"/>
      <c r="Q682" s="886"/>
      <c r="R682" s="886"/>
      <c r="S682" s="886"/>
      <c r="T682" s="886"/>
      <c r="U682" s="886"/>
    </row>
    <row r="683" spans="3:21">
      <c r="C683" s="942"/>
      <c r="D683" s="942"/>
      <c r="E683" s="943"/>
      <c r="F683" s="886"/>
      <c r="G683" s="886"/>
      <c r="H683" s="886"/>
      <c r="I683" s="886"/>
      <c r="J683" s="886"/>
      <c r="K683" s="886"/>
      <c r="L683" s="886"/>
      <c r="M683" s="886"/>
      <c r="N683" s="886"/>
      <c r="O683" s="886"/>
      <c r="P683" s="886"/>
      <c r="Q683" s="886"/>
      <c r="R683" s="886"/>
      <c r="S683" s="886"/>
      <c r="T683" s="886"/>
      <c r="U683" s="886"/>
    </row>
    <row r="684" spans="3:21">
      <c r="C684" s="942"/>
      <c r="D684" s="942"/>
      <c r="E684" s="943"/>
      <c r="F684" s="886"/>
      <c r="G684" s="886"/>
      <c r="H684" s="886"/>
      <c r="I684" s="886"/>
      <c r="J684" s="886"/>
      <c r="K684" s="886"/>
      <c r="L684" s="886"/>
      <c r="M684" s="886"/>
      <c r="N684" s="886"/>
      <c r="O684" s="886"/>
      <c r="P684" s="886"/>
      <c r="Q684" s="886"/>
      <c r="R684" s="886"/>
      <c r="S684" s="886"/>
      <c r="T684" s="886"/>
      <c r="U684" s="886"/>
    </row>
    <row r="685" spans="3:21">
      <c r="C685" s="942"/>
      <c r="D685" s="942"/>
      <c r="E685" s="943"/>
      <c r="F685" s="886"/>
      <c r="G685" s="886"/>
      <c r="H685" s="886"/>
      <c r="I685" s="886"/>
      <c r="J685" s="886"/>
      <c r="K685" s="886"/>
      <c r="L685" s="886"/>
      <c r="M685" s="886"/>
      <c r="N685" s="886"/>
      <c r="O685" s="886"/>
      <c r="P685" s="886"/>
      <c r="Q685" s="886"/>
      <c r="R685" s="886"/>
      <c r="S685" s="886"/>
      <c r="T685" s="886"/>
      <c r="U685" s="886"/>
    </row>
    <row r="686" spans="3:21">
      <c r="C686" s="942"/>
      <c r="D686" s="942"/>
      <c r="E686" s="943"/>
      <c r="F686" s="886"/>
      <c r="G686" s="886"/>
      <c r="H686" s="886"/>
      <c r="I686" s="886"/>
      <c r="J686" s="886"/>
      <c r="K686" s="886"/>
      <c r="L686" s="886"/>
      <c r="M686" s="886"/>
      <c r="N686" s="886"/>
      <c r="O686" s="886"/>
      <c r="P686" s="886"/>
      <c r="Q686" s="886"/>
      <c r="R686" s="886"/>
      <c r="S686" s="886"/>
      <c r="T686" s="886"/>
      <c r="U686" s="886"/>
    </row>
    <row r="687" spans="3:21">
      <c r="C687" s="942"/>
      <c r="D687" s="942"/>
      <c r="E687" s="943"/>
      <c r="F687" s="886"/>
      <c r="G687" s="886"/>
      <c r="H687" s="886"/>
      <c r="I687" s="886"/>
      <c r="J687" s="886"/>
      <c r="K687" s="886"/>
      <c r="L687" s="886"/>
      <c r="M687" s="886"/>
      <c r="N687" s="886"/>
      <c r="O687" s="886"/>
      <c r="P687" s="886"/>
      <c r="Q687" s="886"/>
      <c r="R687" s="886"/>
      <c r="S687" s="886"/>
      <c r="T687" s="886"/>
      <c r="U687" s="886"/>
    </row>
    <row r="688" spans="3:21">
      <c r="C688" s="942"/>
      <c r="D688" s="942"/>
      <c r="E688" s="943"/>
      <c r="F688" s="886"/>
      <c r="G688" s="886"/>
      <c r="H688" s="886"/>
      <c r="I688" s="886"/>
      <c r="J688" s="886"/>
      <c r="K688" s="886"/>
      <c r="L688" s="886"/>
      <c r="M688" s="886"/>
      <c r="N688" s="886"/>
      <c r="O688" s="886"/>
      <c r="P688" s="886"/>
      <c r="Q688" s="886"/>
      <c r="R688" s="886"/>
      <c r="S688" s="886"/>
      <c r="T688" s="886"/>
      <c r="U688" s="886"/>
    </row>
    <row r="689" spans="3:21">
      <c r="C689" s="942"/>
      <c r="D689" s="942"/>
      <c r="E689" s="943"/>
      <c r="F689" s="886"/>
      <c r="G689" s="886"/>
      <c r="H689" s="886"/>
      <c r="I689" s="886"/>
      <c r="J689" s="886"/>
      <c r="K689" s="886"/>
      <c r="L689" s="886"/>
      <c r="M689" s="886"/>
      <c r="N689" s="886"/>
      <c r="O689" s="886"/>
      <c r="P689" s="886"/>
      <c r="Q689" s="886"/>
      <c r="R689" s="886"/>
      <c r="S689" s="886"/>
      <c r="T689" s="886"/>
      <c r="U689" s="886"/>
    </row>
    <row r="690" spans="3:21">
      <c r="C690" s="942"/>
      <c r="D690" s="942"/>
      <c r="E690" s="943"/>
      <c r="F690" s="886"/>
      <c r="G690" s="886"/>
      <c r="H690" s="886"/>
      <c r="I690" s="886"/>
      <c r="J690" s="886"/>
      <c r="K690" s="886"/>
      <c r="L690" s="886"/>
      <c r="M690" s="886"/>
      <c r="N690" s="886"/>
      <c r="O690" s="886"/>
      <c r="P690" s="886"/>
      <c r="Q690" s="886"/>
      <c r="R690" s="886"/>
      <c r="S690" s="886"/>
      <c r="T690" s="886"/>
      <c r="U690" s="886"/>
    </row>
    <row r="691" spans="3:21">
      <c r="C691" s="942"/>
      <c r="D691" s="942"/>
      <c r="E691" s="943"/>
      <c r="F691" s="886"/>
      <c r="G691" s="886"/>
      <c r="H691" s="886"/>
      <c r="I691" s="886"/>
      <c r="J691" s="886"/>
      <c r="K691" s="886"/>
      <c r="L691" s="886"/>
      <c r="M691" s="886"/>
      <c r="N691" s="886"/>
      <c r="O691" s="886"/>
      <c r="P691" s="886"/>
      <c r="Q691" s="886"/>
      <c r="R691" s="886"/>
      <c r="S691" s="886"/>
      <c r="T691" s="886"/>
      <c r="U691" s="886"/>
    </row>
    <row r="692" spans="3:21">
      <c r="C692" s="942"/>
      <c r="D692" s="942"/>
      <c r="E692" s="943"/>
      <c r="F692" s="886"/>
      <c r="G692" s="886"/>
      <c r="H692" s="886"/>
      <c r="I692" s="886"/>
      <c r="J692" s="886"/>
      <c r="K692" s="886"/>
      <c r="L692" s="886"/>
      <c r="M692" s="886"/>
      <c r="N692" s="886"/>
      <c r="O692" s="886"/>
      <c r="P692" s="886"/>
      <c r="Q692" s="886"/>
      <c r="R692" s="886"/>
      <c r="S692" s="886"/>
      <c r="T692" s="886"/>
      <c r="U692" s="886"/>
    </row>
    <row r="693" spans="3:21">
      <c r="C693" s="942"/>
      <c r="D693" s="942"/>
      <c r="E693" s="943"/>
      <c r="F693" s="886"/>
      <c r="G693" s="886"/>
      <c r="H693" s="886"/>
      <c r="I693" s="886"/>
      <c r="J693" s="886"/>
      <c r="K693" s="886"/>
      <c r="L693" s="886"/>
      <c r="M693" s="886"/>
      <c r="N693" s="886"/>
      <c r="O693" s="886"/>
      <c r="P693" s="886"/>
      <c r="Q693" s="886"/>
      <c r="R693" s="886"/>
      <c r="S693" s="886"/>
      <c r="T693" s="886"/>
      <c r="U693" s="886"/>
    </row>
    <row r="694" spans="3:21">
      <c r="C694" s="942"/>
      <c r="D694" s="942"/>
      <c r="E694" s="943"/>
      <c r="F694" s="886"/>
      <c r="G694" s="886"/>
      <c r="H694" s="886"/>
      <c r="I694" s="886"/>
      <c r="J694" s="886"/>
      <c r="K694" s="886"/>
      <c r="L694" s="886"/>
      <c r="M694" s="886"/>
      <c r="N694" s="886"/>
      <c r="O694" s="886"/>
      <c r="P694" s="886"/>
      <c r="Q694" s="886"/>
      <c r="R694" s="886"/>
      <c r="S694" s="886"/>
      <c r="T694" s="886"/>
      <c r="U694" s="886"/>
    </row>
    <row r="695" spans="3:21">
      <c r="C695" s="942"/>
      <c r="D695" s="942"/>
      <c r="E695" s="943"/>
      <c r="F695" s="886"/>
      <c r="G695" s="886"/>
      <c r="H695" s="886"/>
      <c r="I695" s="886"/>
      <c r="J695" s="886"/>
      <c r="K695" s="886"/>
      <c r="L695" s="886"/>
      <c r="M695" s="886"/>
      <c r="N695" s="886"/>
      <c r="O695" s="886"/>
      <c r="P695" s="886"/>
      <c r="Q695" s="886"/>
      <c r="R695" s="886"/>
      <c r="S695" s="886"/>
      <c r="T695" s="886"/>
      <c r="U695" s="886"/>
    </row>
    <row r="696" spans="3:21">
      <c r="C696" s="942"/>
      <c r="D696" s="942"/>
      <c r="E696" s="943"/>
      <c r="F696" s="886"/>
      <c r="G696" s="886"/>
      <c r="H696" s="886"/>
      <c r="I696" s="886"/>
      <c r="J696" s="886"/>
      <c r="K696" s="886"/>
      <c r="L696" s="886"/>
      <c r="M696" s="886"/>
      <c r="N696" s="886"/>
      <c r="O696" s="886"/>
      <c r="P696" s="886"/>
      <c r="Q696" s="886"/>
      <c r="R696" s="886"/>
      <c r="S696" s="886"/>
      <c r="T696" s="886"/>
      <c r="U696" s="886"/>
    </row>
    <row r="697" spans="3:21">
      <c r="C697" s="942"/>
      <c r="D697" s="942"/>
      <c r="E697" s="943"/>
      <c r="F697" s="886"/>
      <c r="G697" s="886"/>
      <c r="H697" s="886"/>
      <c r="I697" s="886"/>
      <c r="J697" s="886"/>
      <c r="K697" s="886"/>
      <c r="L697" s="886"/>
      <c r="M697" s="886"/>
      <c r="N697" s="886"/>
      <c r="O697" s="886"/>
      <c r="P697" s="886"/>
      <c r="Q697" s="886"/>
      <c r="R697" s="886"/>
      <c r="S697" s="886"/>
      <c r="T697" s="886"/>
      <c r="U697" s="886"/>
    </row>
    <row r="698" spans="3:21">
      <c r="C698" s="942"/>
      <c r="D698" s="942"/>
      <c r="E698" s="943"/>
      <c r="F698" s="886"/>
      <c r="G698" s="886"/>
      <c r="H698" s="886"/>
      <c r="I698" s="886"/>
      <c r="J698" s="886"/>
      <c r="K698" s="886"/>
      <c r="L698" s="886"/>
      <c r="M698" s="886"/>
      <c r="N698" s="886"/>
      <c r="O698" s="886"/>
      <c r="P698" s="886"/>
      <c r="Q698" s="886"/>
      <c r="R698" s="886"/>
      <c r="S698" s="886"/>
      <c r="T698" s="886"/>
      <c r="U698" s="886"/>
    </row>
    <row r="699" spans="3:21">
      <c r="C699" s="942"/>
      <c r="D699" s="942"/>
      <c r="E699" s="943"/>
      <c r="F699" s="886"/>
      <c r="G699" s="886"/>
      <c r="H699" s="886"/>
      <c r="I699" s="886"/>
      <c r="J699" s="886"/>
      <c r="K699" s="886"/>
      <c r="L699" s="886"/>
      <c r="M699" s="886"/>
      <c r="N699" s="886"/>
      <c r="O699" s="886"/>
      <c r="P699" s="886"/>
      <c r="Q699" s="886"/>
      <c r="R699" s="886"/>
      <c r="S699" s="886"/>
      <c r="T699" s="886"/>
      <c r="U699" s="886"/>
    </row>
    <row r="700" spans="3:21">
      <c r="C700" s="942"/>
      <c r="D700" s="942"/>
      <c r="E700" s="943"/>
      <c r="F700" s="886"/>
      <c r="G700" s="886"/>
      <c r="H700" s="886"/>
      <c r="I700" s="886"/>
      <c r="J700" s="886"/>
      <c r="K700" s="886"/>
      <c r="L700" s="886"/>
      <c r="M700" s="886"/>
      <c r="N700" s="886"/>
      <c r="O700" s="886"/>
      <c r="P700" s="886"/>
      <c r="Q700" s="886"/>
      <c r="R700" s="886"/>
      <c r="S700" s="886"/>
      <c r="T700" s="886"/>
      <c r="U700" s="886"/>
    </row>
    <row r="701" spans="3:21">
      <c r="C701" s="942"/>
      <c r="D701" s="942"/>
      <c r="E701" s="943"/>
      <c r="F701" s="886"/>
      <c r="G701" s="886"/>
      <c r="H701" s="886"/>
      <c r="I701" s="886"/>
      <c r="J701" s="886"/>
      <c r="K701" s="886"/>
      <c r="L701" s="886"/>
      <c r="M701" s="886"/>
      <c r="N701" s="886"/>
      <c r="O701" s="886"/>
      <c r="P701" s="886"/>
      <c r="Q701" s="886"/>
      <c r="R701" s="886"/>
      <c r="S701" s="886"/>
      <c r="T701" s="886"/>
      <c r="U701" s="886"/>
    </row>
    <row r="702" spans="3:21">
      <c r="C702" s="942"/>
      <c r="D702" s="942"/>
      <c r="E702" s="943"/>
      <c r="F702" s="886"/>
      <c r="G702" s="886"/>
      <c r="H702" s="886"/>
      <c r="I702" s="886"/>
      <c r="J702" s="886"/>
      <c r="K702" s="886"/>
      <c r="L702" s="886"/>
      <c r="M702" s="886"/>
      <c r="N702" s="886"/>
      <c r="O702" s="886"/>
      <c r="P702" s="886"/>
      <c r="Q702" s="886"/>
      <c r="R702" s="886"/>
      <c r="S702" s="886"/>
      <c r="T702" s="886"/>
      <c r="U702" s="886"/>
    </row>
    <row r="703" spans="3:21">
      <c r="C703" s="942"/>
      <c r="D703" s="942"/>
      <c r="E703" s="943"/>
      <c r="F703" s="886"/>
      <c r="G703" s="886"/>
      <c r="H703" s="886"/>
      <c r="I703" s="886"/>
      <c r="J703" s="886"/>
      <c r="K703" s="886"/>
      <c r="L703" s="886"/>
      <c r="M703" s="886"/>
      <c r="N703" s="886"/>
      <c r="O703" s="886"/>
      <c r="P703" s="886"/>
      <c r="Q703" s="886"/>
      <c r="R703" s="886"/>
      <c r="S703" s="886"/>
      <c r="T703" s="886"/>
      <c r="U703" s="886"/>
    </row>
    <row r="704" spans="3:21">
      <c r="C704" s="942"/>
      <c r="D704" s="942"/>
      <c r="E704" s="943"/>
      <c r="F704" s="886"/>
      <c r="G704" s="886"/>
      <c r="H704" s="886"/>
      <c r="I704" s="886"/>
      <c r="J704" s="886"/>
      <c r="K704" s="886"/>
      <c r="L704" s="886"/>
      <c r="M704" s="886"/>
      <c r="N704" s="886"/>
      <c r="O704" s="886"/>
      <c r="P704" s="886"/>
      <c r="Q704" s="886"/>
      <c r="R704" s="886"/>
      <c r="S704" s="886"/>
      <c r="T704" s="886"/>
      <c r="U704" s="886"/>
    </row>
    <row r="705" spans="3:21">
      <c r="C705" s="942"/>
      <c r="D705" s="942"/>
      <c r="E705" s="943"/>
      <c r="F705" s="886"/>
      <c r="G705" s="886"/>
      <c r="H705" s="886"/>
      <c r="I705" s="886"/>
      <c r="J705" s="886"/>
      <c r="K705" s="886"/>
      <c r="L705" s="886"/>
      <c r="M705" s="886"/>
      <c r="N705" s="886"/>
      <c r="O705" s="886"/>
      <c r="P705" s="886"/>
      <c r="Q705" s="886"/>
      <c r="R705" s="886"/>
      <c r="S705" s="886"/>
      <c r="T705" s="886"/>
      <c r="U705" s="886"/>
    </row>
    <row r="706" spans="3:21">
      <c r="C706" s="942"/>
      <c r="D706" s="942"/>
      <c r="E706" s="943"/>
      <c r="F706" s="886"/>
      <c r="G706" s="886"/>
      <c r="H706" s="886"/>
      <c r="I706" s="886"/>
      <c r="J706" s="886"/>
      <c r="K706" s="886"/>
      <c r="L706" s="886"/>
      <c r="M706" s="886"/>
      <c r="N706" s="886"/>
      <c r="O706" s="886"/>
      <c r="P706" s="886"/>
      <c r="Q706" s="886"/>
      <c r="R706" s="886"/>
      <c r="S706" s="886"/>
      <c r="T706" s="886"/>
      <c r="U706" s="886"/>
    </row>
    <row r="707" spans="3:21">
      <c r="C707" s="942"/>
      <c r="D707" s="942"/>
      <c r="E707" s="943"/>
      <c r="F707" s="886"/>
      <c r="G707" s="886"/>
      <c r="H707" s="886"/>
      <c r="I707" s="886"/>
      <c r="J707" s="886"/>
      <c r="K707" s="886"/>
      <c r="L707" s="886"/>
      <c r="M707" s="886"/>
      <c r="N707" s="886"/>
      <c r="O707" s="886"/>
      <c r="P707" s="886"/>
      <c r="Q707" s="886"/>
      <c r="R707" s="886"/>
      <c r="S707" s="886"/>
      <c r="T707" s="886"/>
      <c r="U707" s="886"/>
    </row>
    <row r="708" spans="3:21">
      <c r="C708" s="942"/>
      <c r="D708" s="942"/>
      <c r="E708" s="943"/>
      <c r="F708" s="886"/>
      <c r="G708" s="886"/>
      <c r="H708" s="886"/>
      <c r="I708" s="886"/>
      <c r="J708" s="886"/>
      <c r="K708" s="886"/>
      <c r="L708" s="886"/>
      <c r="M708" s="886"/>
      <c r="N708" s="886"/>
      <c r="O708" s="886"/>
      <c r="P708" s="886"/>
      <c r="Q708" s="886"/>
      <c r="R708" s="886"/>
      <c r="S708" s="886"/>
      <c r="T708" s="886"/>
      <c r="U708" s="886"/>
    </row>
    <row r="709" spans="3:21">
      <c r="C709" s="942"/>
      <c r="D709" s="942"/>
      <c r="E709" s="943"/>
      <c r="F709" s="886"/>
      <c r="G709" s="886"/>
      <c r="H709" s="886"/>
      <c r="I709" s="886"/>
      <c r="J709" s="886"/>
      <c r="K709" s="886"/>
      <c r="L709" s="886"/>
      <c r="M709" s="886"/>
      <c r="N709" s="886"/>
      <c r="O709" s="886"/>
      <c r="P709" s="886"/>
      <c r="Q709" s="886"/>
      <c r="R709" s="886"/>
      <c r="S709" s="886"/>
      <c r="T709" s="886"/>
      <c r="U709" s="886"/>
    </row>
    <row r="710" spans="3:21">
      <c r="C710" s="942"/>
      <c r="D710" s="942"/>
      <c r="E710" s="943"/>
      <c r="F710" s="886"/>
      <c r="G710" s="886"/>
      <c r="H710" s="886"/>
      <c r="I710" s="886"/>
      <c r="J710" s="886"/>
      <c r="K710" s="886"/>
      <c r="L710" s="886"/>
      <c r="M710" s="886"/>
      <c r="N710" s="886"/>
      <c r="O710" s="886"/>
      <c r="P710" s="886"/>
      <c r="Q710" s="886"/>
      <c r="R710" s="886"/>
      <c r="S710" s="886"/>
      <c r="T710" s="886"/>
      <c r="U710" s="886"/>
    </row>
    <row r="711" spans="3:21">
      <c r="C711" s="942"/>
      <c r="D711" s="942"/>
      <c r="E711" s="943"/>
      <c r="F711" s="886"/>
      <c r="G711" s="886"/>
      <c r="H711" s="886"/>
      <c r="I711" s="886"/>
      <c r="J711" s="886"/>
      <c r="K711" s="886"/>
      <c r="L711" s="886"/>
      <c r="M711" s="886"/>
      <c r="N711" s="886"/>
      <c r="O711" s="886"/>
      <c r="P711" s="886"/>
      <c r="Q711" s="886"/>
      <c r="R711" s="886"/>
      <c r="S711" s="886"/>
      <c r="T711" s="886"/>
      <c r="U711" s="886"/>
    </row>
    <row r="712" spans="3:21">
      <c r="C712" s="942"/>
      <c r="D712" s="942"/>
      <c r="E712" s="943"/>
      <c r="F712" s="886"/>
      <c r="G712" s="886"/>
      <c r="H712" s="886"/>
      <c r="I712" s="886"/>
      <c r="J712" s="886"/>
      <c r="K712" s="886"/>
      <c r="L712" s="886"/>
      <c r="M712" s="886"/>
      <c r="N712" s="886"/>
      <c r="O712" s="886"/>
      <c r="P712" s="886"/>
      <c r="Q712" s="886"/>
      <c r="R712" s="886"/>
      <c r="S712" s="886"/>
      <c r="T712" s="886"/>
      <c r="U712" s="886"/>
    </row>
    <row r="713" spans="3:21">
      <c r="C713" s="942"/>
      <c r="D713" s="942"/>
      <c r="E713" s="943"/>
      <c r="F713" s="886"/>
      <c r="G713" s="886"/>
      <c r="H713" s="886"/>
      <c r="I713" s="886"/>
      <c r="J713" s="886"/>
      <c r="K713" s="886"/>
      <c r="L713" s="886"/>
      <c r="M713" s="886"/>
      <c r="N713" s="886"/>
      <c r="O713" s="886"/>
      <c r="P713" s="886"/>
      <c r="Q713" s="886"/>
      <c r="R713" s="886"/>
      <c r="S713" s="886"/>
      <c r="T713" s="886"/>
      <c r="U713" s="886"/>
    </row>
    <row r="714" spans="3:21">
      <c r="C714" s="942"/>
      <c r="D714" s="942"/>
      <c r="E714" s="943"/>
      <c r="F714" s="886"/>
      <c r="G714" s="886"/>
      <c r="H714" s="886"/>
      <c r="I714" s="886"/>
      <c r="J714" s="886"/>
      <c r="K714" s="886"/>
      <c r="L714" s="886"/>
      <c r="M714" s="886"/>
      <c r="N714" s="886"/>
      <c r="O714" s="886"/>
      <c r="P714" s="886"/>
      <c r="Q714" s="886"/>
      <c r="R714" s="886"/>
      <c r="S714" s="886"/>
      <c r="T714" s="886"/>
      <c r="U714" s="886"/>
    </row>
    <row r="715" spans="3:21">
      <c r="C715" s="942"/>
      <c r="D715" s="942"/>
      <c r="E715" s="943"/>
      <c r="F715" s="886"/>
      <c r="G715" s="886"/>
      <c r="H715" s="886"/>
      <c r="I715" s="886"/>
      <c r="J715" s="886"/>
      <c r="K715" s="886"/>
      <c r="L715" s="886"/>
      <c r="M715" s="886"/>
      <c r="N715" s="886"/>
      <c r="O715" s="886"/>
      <c r="P715" s="886"/>
      <c r="Q715" s="886"/>
      <c r="R715" s="886"/>
      <c r="S715" s="886"/>
      <c r="T715" s="886"/>
      <c r="U715" s="886"/>
    </row>
    <row r="716" spans="3:21">
      <c r="C716" s="942"/>
      <c r="D716" s="942"/>
      <c r="E716" s="943"/>
      <c r="F716" s="886"/>
      <c r="G716" s="886"/>
      <c r="H716" s="886"/>
      <c r="I716" s="886"/>
      <c r="J716" s="886"/>
      <c r="K716" s="886"/>
      <c r="L716" s="886"/>
      <c r="M716" s="886"/>
      <c r="N716" s="886"/>
      <c r="O716" s="886"/>
      <c r="P716" s="886"/>
      <c r="Q716" s="886"/>
      <c r="R716" s="886"/>
      <c r="S716" s="886"/>
      <c r="T716" s="886"/>
      <c r="U716" s="886"/>
    </row>
    <row r="717" spans="3:21">
      <c r="C717" s="942"/>
      <c r="D717" s="942"/>
      <c r="E717" s="943"/>
      <c r="F717" s="886"/>
      <c r="G717" s="886"/>
      <c r="H717" s="886"/>
      <c r="I717" s="886"/>
      <c r="J717" s="886"/>
      <c r="K717" s="886"/>
      <c r="L717" s="886"/>
      <c r="M717" s="886"/>
      <c r="N717" s="886"/>
      <c r="O717" s="886"/>
      <c r="P717" s="886"/>
      <c r="Q717" s="886"/>
      <c r="R717" s="886"/>
      <c r="S717" s="886"/>
      <c r="T717" s="886"/>
      <c r="U717" s="886"/>
    </row>
    <row r="718" spans="3:21">
      <c r="C718" s="942"/>
      <c r="D718" s="942"/>
      <c r="E718" s="943"/>
      <c r="F718" s="886"/>
      <c r="G718" s="886"/>
      <c r="H718" s="886"/>
      <c r="I718" s="886"/>
      <c r="J718" s="886"/>
      <c r="K718" s="886"/>
      <c r="L718" s="886"/>
      <c r="M718" s="886"/>
      <c r="N718" s="886"/>
      <c r="O718" s="886"/>
      <c r="P718" s="886"/>
      <c r="Q718" s="886"/>
      <c r="R718" s="886"/>
      <c r="S718" s="886"/>
      <c r="T718" s="886"/>
      <c r="U718" s="886"/>
    </row>
    <row r="719" spans="3:21">
      <c r="C719" s="942"/>
      <c r="D719" s="942"/>
      <c r="E719" s="943"/>
      <c r="F719" s="886"/>
      <c r="G719" s="886"/>
      <c r="H719" s="886"/>
      <c r="I719" s="886"/>
      <c r="J719" s="886"/>
      <c r="K719" s="886"/>
      <c r="L719" s="886"/>
      <c r="M719" s="886"/>
      <c r="N719" s="886"/>
      <c r="O719" s="886"/>
      <c r="P719" s="886"/>
      <c r="Q719" s="886"/>
      <c r="R719" s="886"/>
      <c r="S719" s="886"/>
      <c r="T719" s="886"/>
      <c r="U719" s="886"/>
    </row>
    <row r="720" spans="3:21">
      <c r="C720" s="942"/>
      <c r="D720" s="942"/>
      <c r="E720" s="943"/>
      <c r="F720" s="886"/>
      <c r="G720" s="886"/>
      <c r="H720" s="886"/>
      <c r="I720" s="886"/>
      <c r="J720" s="886"/>
      <c r="K720" s="886"/>
      <c r="L720" s="886"/>
      <c r="M720" s="886"/>
      <c r="N720" s="886"/>
      <c r="O720" s="886"/>
      <c r="P720" s="886"/>
      <c r="Q720" s="886"/>
      <c r="R720" s="886"/>
      <c r="S720" s="886"/>
      <c r="T720" s="886"/>
      <c r="U720" s="886"/>
    </row>
    <row r="721" spans="3:21">
      <c r="C721" s="942"/>
      <c r="D721" s="942"/>
      <c r="E721" s="943"/>
      <c r="F721" s="886"/>
      <c r="G721" s="886"/>
      <c r="H721" s="886"/>
      <c r="I721" s="886"/>
      <c r="J721" s="886"/>
      <c r="K721" s="886"/>
      <c r="L721" s="886"/>
      <c r="M721" s="886"/>
      <c r="N721" s="886"/>
      <c r="O721" s="886"/>
      <c r="P721" s="886"/>
      <c r="Q721" s="886"/>
      <c r="R721" s="886"/>
      <c r="S721" s="886"/>
      <c r="T721" s="886"/>
      <c r="U721" s="886"/>
    </row>
    <row r="722" spans="3:21">
      <c r="C722" s="942"/>
      <c r="D722" s="942"/>
      <c r="E722" s="943"/>
      <c r="F722" s="886"/>
      <c r="G722" s="886"/>
      <c r="H722" s="886"/>
      <c r="I722" s="886"/>
      <c r="J722" s="886"/>
      <c r="K722" s="886"/>
      <c r="L722" s="886"/>
      <c r="M722" s="886"/>
      <c r="N722" s="886"/>
      <c r="O722" s="886"/>
      <c r="P722" s="886"/>
      <c r="Q722" s="886"/>
      <c r="R722" s="886"/>
      <c r="S722" s="886"/>
      <c r="T722" s="886"/>
      <c r="U722" s="886"/>
    </row>
    <row r="723" spans="3:21">
      <c r="C723" s="942"/>
      <c r="D723" s="942"/>
      <c r="E723" s="943"/>
      <c r="F723" s="886"/>
      <c r="G723" s="886"/>
      <c r="H723" s="886"/>
      <c r="I723" s="886"/>
      <c r="J723" s="886"/>
      <c r="K723" s="886"/>
      <c r="L723" s="886"/>
      <c r="M723" s="886"/>
      <c r="N723" s="886"/>
      <c r="O723" s="886"/>
      <c r="P723" s="886"/>
      <c r="Q723" s="886"/>
      <c r="R723" s="886"/>
      <c r="S723" s="886"/>
      <c r="T723" s="886"/>
      <c r="U723" s="886"/>
    </row>
    <row r="724" spans="3:21">
      <c r="C724" s="942"/>
      <c r="D724" s="942"/>
      <c r="E724" s="943"/>
      <c r="F724" s="886"/>
      <c r="G724" s="886"/>
      <c r="H724" s="886"/>
      <c r="I724" s="886"/>
      <c r="J724" s="886"/>
      <c r="K724" s="886"/>
      <c r="L724" s="886"/>
      <c r="M724" s="886"/>
      <c r="N724" s="886"/>
      <c r="O724" s="886"/>
      <c r="P724" s="886"/>
      <c r="Q724" s="886"/>
      <c r="R724" s="886"/>
      <c r="S724" s="886"/>
      <c r="T724" s="886"/>
      <c r="U724" s="886"/>
    </row>
    <row r="725" spans="3:21">
      <c r="C725" s="942"/>
      <c r="D725" s="942"/>
      <c r="E725" s="943"/>
      <c r="F725" s="886"/>
      <c r="G725" s="886"/>
      <c r="H725" s="886"/>
      <c r="I725" s="886"/>
      <c r="J725" s="886"/>
      <c r="K725" s="886"/>
      <c r="L725" s="886"/>
      <c r="M725" s="886"/>
      <c r="N725" s="886"/>
      <c r="O725" s="886"/>
      <c r="P725" s="886"/>
      <c r="Q725" s="886"/>
      <c r="R725" s="886"/>
      <c r="S725" s="886"/>
      <c r="T725" s="886"/>
      <c r="U725" s="886"/>
    </row>
    <row r="726" spans="3:21">
      <c r="C726" s="942"/>
      <c r="D726" s="942"/>
      <c r="E726" s="943"/>
      <c r="F726" s="886"/>
      <c r="G726" s="886"/>
      <c r="H726" s="886"/>
      <c r="I726" s="886"/>
      <c r="J726" s="886"/>
      <c r="K726" s="886"/>
      <c r="L726" s="886"/>
      <c r="M726" s="886"/>
      <c r="N726" s="886"/>
      <c r="O726" s="886"/>
      <c r="P726" s="886"/>
      <c r="Q726" s="886"/>
      <c r="R726" s="886"/>
      <c r="S726" s="886"/>
      <c r="T726" s="886"/>
      <c r="U726" s="886"/>
    </row>
    <row r="727" spans="3:21">
      <c r="C727" s="942"/>
      <c r="D727" s="942"/>
      <c r="E727" s="943"/>
      <c r="F727" s="886"/>
      <c r="G727" s="886"/>
      <c r="H727" s="886"/>
      <c r="I727" s="886"/>
      <c r="J727" s="886"/>
      <c r="K727" s="886"/>
      <c r="L727" s="886"/>
      <c r="M727" s="886"/>
      <c r="N727" s="886"/>
      <c r="O727" s="886"/>
      <c r="P727" s="886"/>
      <c r="Q727" s="886"/>
      <c r="R727" s="886"/>
      <c r="S727" s="886"/>
      <c r="T727" s="886"/>
      <c r="U727" s="886"/>
    </row>
    <row r="728" spans="3:21">
      <c r="C728" s="942"/>
      <c r="D728" s="942"/>
      <c r="E728" s="943"/>
      <c r="F728" s="886"/>
      <c r="G728" s="886"/>
      <c r="H728" s="886"/>
      <c r="I728" s="886"/>
      <c r="J728" s="886"/>
      <c r="K728" s="886"/>
      <c r="L728" s="886"/>
      <c r="M728" s="886"/>
      <c r="N728" s="886"/>
      <c r="O728" s="886"/>
      <c r="P728" s="886"/>
      <c r="Q728" s="886"/>
      <c r="R728" s="886"/>
      <c r="S728" s="886"/>
      <c r="T728" s="886"/>
      <c r="U728" s="886"/>
    </row>
    <row r="729" spans="3:21">
      <c r="C729" s="942"/>
      <c r="D729" s="942"/>
      <c r="E729" s="943"/>
      <c r="F729" s="886"/>
      <c r="G729" s="886"/>
      <c r="H729" s="886"/>
      <c r="I729" s="886"/>
      <c r="J729" s="886"/>
      <c r="K729" s="886"/>
      <c r="L729" s="886"/>
      <c r="M729" s="886"/>
      <c r="N729" s="886"/>
      <c r="O729" s="886"/>
      <c r="P729" s="886"/>
      <c r="Q729" s="886"/>
      <c r="R729" s="886"/>
      <c r="S729" s="886"/>
      <c r="T729" s="886"/>
      <c r="U729" s="886"/>
    </row>
    <row r="730" spans="3:21">
      <c r="C730" s="942"/>
      <c r="D730" s="942"/>
      <c r="E730" s="943"/>
      <c r="F730" s="886"/>
      <c r="G730" s="886"/>
      <c r="H730" s="886"/>
      <c r="I730" s="886"/>
      <c r="J730" s="886"/>
      <c r="K730" s="886"/>
      <c r="L730" s="886"/>
      <c r="M730" s="886"/>
      <c r="N730" s="886"/>
      <c r="O730" s="886"/>
      <c r="P730" s="886"/>
      <c r="Q730" s="886"/>
      <c r="R730" s="886"/>
      <c r="S730" s="886"/>
      <c r="T730" s="886"/>
      <c r="U730" s="886"/>
    </row>
    <row r="731" spans="3:21">
      <c r="C731" s="942"/>
      <c r="D731" s="942"/>
      <c r="E731" s="943"/>
      <c r="F731" s="886"/>
      <c r="G731" s="886"/>
      <c r="H731" s="886"/>
      <c r="I731" s="886"/>
      <c r="J731" s="886"/>
      <c r="K731" s="886"/>
      <c r="L731" s="886"/>
      <c r="M731" s="886"/>
      <c r="N731" s="886"/>
      <c r="O731" s="886"/>
      <c r="P731" s="886"/>
      <c r="Q731" s="886"/>
      <c r="R731" s="886"/>
      <c r="S731" s="886"/>
      <c r="T731" s="886"/>
      <c r="U731" s="886"/>
    </row>
    <row r="732" spans="3:21">
      <c r="C732" s="942"/>
      <c r="D732" s="942"/>
      <c r="E732" s="943"/>
      <c r="F732" s="886"/>
      <c r="G732" s="886"/>
      <c r="H732" s="886"/>
      <c r="I732" s="886"/>
      <c r="J732" s="886"/>
      <c r="K732" s="886"/>
      <c r="L732" s="886"/>
      <c r="M732" s="886"/>
      <c r="N732" s="886"/>
      <c r="O732" s="886"/>
      <c r="P732" s="886"/>
      <c r="Q732" s="886"/>
      <c r="R732" s="886"/>
      <c r="S732" s="886"/>
      <c r="T732" s="886"/>
      <c r="U732" s="886"/>
    </row>
    <row r="733" spans="3:21">
      <c r="C733" s="942"/>
      <c r="D733" s="942"/>
      <c r="E733" s="943"/>
      <c r="F733" s="886"/>
      <c r="G733" s="886"/>
      <c r="H733" s="886"/>
      <c r="I733" s="886"/>
      <c r="J733" s="886"/>
      <c r="K733" s="886"/>
      <c r="L733" s="886"/>
      <c r="M733" s="886"/>
      <c r="N733" s="886"/>
      <c r="O733" s="886"/>
      <c r="P733" s="886"/>
      <c r="Q733" s="886"/>
      <c r="R733" s="886"/>
      <c r="S733" s="886"/>
      <c r="T733" s="886"/>
      <c r="U733" s="886"/>
    </row>
    <row r="734" spans="3:21">
      <c r="C734" s="942"/>
      <c r="D734" s="942"/>
      <c r="E734" s="943"/>
      <c r="F734" s="886"/>
      <c r="G734" s="886"/>
      <c r="H734" s="886"/>
      <c r="I734" s="886"/>
      <c r="J734" s="886"/>
      <c r="K734" s="886"/>
      <c r="L734" s="886"/>
      <c r="M734" s="886"/>
      <c r="N734" s="886"/>
      <c r="O734" s="886"/>
      <c r="P734" s="886"/>
      <c r="Q734" s="886"/>
      <c r="R734" s="886"/>
      <c r="S734" s="886"/>
      <c r="T734" s="886"/>
      <c r="U734" s="886"/>
    </row>
    <row r="735" spans="3:21">
      <c r="C735" s="942"/>
      <c r="D735" s="942"/>
      <c r="E735" s="943"/>
      <c r="F735" s="886"/>
      <c r="G735" s="886"/>
      <c r="H735" s="886"/>
      <c r="I735" s="886"/>
      <c r="J735" s="886"/>
      <c r="K735" s="886"/>
      <c r="L735" s="886"/>
      <c r="M735" s="886"/>
      <c r="N735" s="886"/>
      <c r="O735" s="886"/>
      <c r="P735" s="886"/>
      <c r="Q735" s="886"/>
      <c r="R735" s="886"/>
      <c r="S735" s="886"/>
      <c r="T735" s="886"/>
      <c r="U735" s="886"/>
    </row>
    <row r="736" spans="3:21">
      <c r="C736" s="942"/>
      <c r="D736" s="942"/>
      <c r="E736" s="943"/>
      <c r="F736" s="886"/>
      <c r="G736" s="886"/>
      <c r="H736" s="886"/>
      <c r="I736" s="886"/>
      <c r="J736" s="886"/>
      <c r="K736" s="886"/>
      <c r="L736" s="886"/>
      <c r="M736" s="886"/>
      <c r="N736" s="886"/>
      <c r="O736" s="886"/>
      <c r="P736" s="886"/>
      <c r="Q736" s="886"/>
      <c r="R736" s="886"/>
      <c r="S736" s="886"/>
      <c r="T736" s="886"/>
      <c r="U736" s="886"/>
    </row>
    <row r="737" spans="3:21">
      <c r="C737" s="942"/>
      <c r="D737" s="942"/>
      <c r="E737" s="943"/>
      <c r="F737" s="886"/>
      <c r="G737" s="886"/>
      <c r="H737" s="886"/>
      <c r="I737" s="886"/>
      <c r="J737" s="886"/>
      <c r="K737" s="886"/>
      <c r="L737" s="886"/>
      <c r="M737" s="886"/>
      <c r="N737" s="886"/>
      <c r="O737" s="886"/>
      <c r="P737" s="886"/>
      <c r="Q737" s="886"/>
      <c r="R737" s="886"/>
      <c r="S737" s="886"/>
      <c r="T737" s="886"/>
      <c r="U737" s="886"/>
    </row>
    <row r="738" spans="3:21">
      <c r="C738" s="942"/>
      <c r="D738" s="942"/>
      <c r="E738" s="943"/>
      <c r="F738" s="886"/>
      <c r="G738" s="886"/>
      <c r="H738" s="886"/>
      <c r="I738" s="886"/>
      <c r="J738" s="886"/>
      <c r="K738" s="886"/>
      <c r="L738" s="886"/>
      <c r="M738" s="886"/>
      <c r="N738" s="886"/>
      <c r="O738" s="886"/>
      <c r="P738" s="886"/>
      <c r="Q738" s="886"/>
      <c r="R738" s="886"/>
      <c r="S738" s="886"/>
      <c r="T738" s="886"/>
      <c r="U738" s="886"/>
    </row>
    <row r="739" spans="3:21">
      <c r="C739" s="942"/>
      <c r="D739" s="942"/>
      <c r="E739" s="943"/>
      <c r="F739" s="886"/>
      <c r="G739" s="886"/>
      <c r="H739" s="886"/>
      <c r="I739" s="886"/>
      <c r="J739" s="886"/>
      <c r="K739" s="886"/>
      <c r="L739" s="886"/>
      <c r="M739" s="886"/>
      <c r="N739" s="886"/>
      <c r="O739" s="886"/>
      <c r="P739" s="886"/>
      <c r="Q739" s="886"/>
      <c r="R739" s="886"/>
      <c r="S739" s="886"/>
      <c r="T739" s="886"/>
      <c r="U739" s="886"/>
    </row>
    <row r="740" spans="3:21">
      <c r="C740" s="942"/>
      <c r="D740" s="942"/>
      <c r="E740" s="943"/>
      <c r="F740" s="886"/>
      <c r="G740" s="886"/>
      <c r="H740" s="886"/>
      <c r="I740" s="886"/>
      <c r="J740" s="886"/>
      <c r="K740" s="886"/>
      <c r="L740" s="886"/>
      <c r="M740" s="886"/>
      <c r="N740" s="886"/>
      <c r="O740" s="886"/>
      <c r="P740" s="886"/>
      <c r="Q740" s="886"/>
      <c r="R740" s="886"/>
      <c r="S740" s="886"/>
      <c r="T740" s="886"/>
      <c r="U740" s="886"/>
    </row>
    <row r="741" spans="3:21">
      <c r="C741" s="942"/>
      <c r="D741" s="942"/>
      <c r="E741" s="943"/>
      <c r="F741" s="886"/>
      <c r="G741" s="886"/>
      <c r="H741" s="886"/>
      <c r="I741" s="886"/>
      <c r="J741" s="886"/>
      <c r="K741" s="886"/>
      <c r="L741" s="886"/>
      <c r="M741" s="886"/>
      <c r="N741" s="886"/>
      <c r="O741" s="886"/>
      <c r="P741" s="886"/>
      <c r="Q741" s="886"/>
      <c r="R741" s="886"/>
      <c r="S741" s="886"/>
      <c r="T741" s="886"/>
      <c r="U741" s="886"/>
    </row>
    <row r="742" spans="3:21">
      <c r="C742" s="942"/>
      <c r="D742" s="942"/>
      <c r="E742" s="943"/>
      <c r="F742" s="886"/>
      <c r="G742" s="886"/>
      <c r="H742" s="886"/>
      <c r="I742" s="886"/>
      <c r="J742" s="886"/>
      <c r="K742" s="886"/>
      <c r="L742" s="886"/>
      <c r="M742" s="886"/>
      <c r="N742" s="886"/>
      <c r="O742" s="886"/>
      <c r="P742" s="886"/>
      <c r="Q742" s="886"/>
      <c r="R742" s="886"/>
      <c r="S742" s="886"/>
      <c r="T742" s="886"/>
      <c r="U742" s="886"/>
    </row>
    <row r="743" spans="3:21">
      <c r="C743" s="942"/>
      <c r="D743" s="942"/>
      <c r="E743" s="943"/>
      <c r="F743" s="886"/>
      <c r="G743" s="886"/>
      <c r="H743" s="886"/>
      <c r="I743" s="886"/>
      <c r="J743" s="886"/>
      <c r="K743" s="886"/>
      <c r="L743" s="886"/>
      <c r="M743" s="886"/>
      <c r="N743" s="886"/>
      <c r="O743" s="886"/>
      <c r="P743" s="886"/>
      <c r="Q743" s="886"/>
      <c r="R743" s="886"/>
      <c r="S743" s="886"/>
      <c r="T743" s="886"/>
      <c r="U743" s="886"/>
    </row>
    <row r="744" spans="3:21">
      <c r="C744" s="942"/>
      <c r="D744" s="942"/>
      <c r="E744" s="943"/>
      <c r="F744" s="886"/>
      <c r="G744" s="886"/>
      <c r="H744" s="886"/>
      <c r="I744" s="886"/>
      <c r="J744" s="886"/>
      <c r="K744" s="886"/>
      <c r="L744" s="886"/>
      <c r="M744" s="886"/>
      <c r="N744" s="886"/>
      <c r="O744" s="886"/>
      <c r="P744" s="886"/>
      <c r="Q744" s="886"/>
      <c r="R744" s="886"/>
      <c r="S744" s="886"/>
      <c r="T744" s="886"/>
      <c r="U744" s="886"/>
    </row>
    <row r="745" spans="3:21">
      <c r="C745" s="942"/>
      <c r="D745" s="942"/>
      <c r="E745" s="943"/>
      <c r="F745" s="886"/>
      <c r="G745" s="886"/>
      <c r="H745" s="886"/>
      <c r="I745" s="886"/>
      <c r="J745" s="886"/>
      <c r="K745" s="886"/>
      <c r="L745" s="886"/>
      <c r="M745" s="886"/>
      <c r="N745" s="886"/>
      <c r="O745" s="886"/>
      <c r="P745" s="886"/>
      <c r="Q745" s="886"/>
      <c r="R745" s="886"/>
      <c r="S745" s="886"/>
      <c r="T745" s="886"/>
      <c r="U745" s="886"/>
    </row>
    <row r="746" spans="3:21">
      <c r="C746" s="942"/>
      <c r="D746" s="942"/>
      <c r="E746" s="943"/>
      <c r="F746" s="886"/>
      <c r="G746" s="886"/>
      <c r="H746" s="886"/>
      <c r="I746" s="886"/>
      <c r="J746" s="886"/>
      <c r="K746" s="886"/>
      <c r="L746" s="886"/>
      <c r="M746" s="886"/>
      <c r="N746" s="886"/>
      <c r="O746" s="886"/>
      <c r="P746" s="886"/>
      <c r="Q746" s="886"/>
      <c r="R746" s="886"/>
      <c r="S746" s="886"/>
      <c r="T746" s="886"/>
      <c r="U746" s="886"/>
    </row>
    <row r="747" spans="3:21">
      <c r="C747" s="942"/>
      <c r="D747" s="942"/>
      <c r="E747" s="943"/>
      <c r="F747" s="886"/>
      <c r="G747" s="886"/>
      <c r="H747" s="886"/>
      <c r="I747" s="886"/>
      <c r="J747" s="886"/>
      <c r="K747" s="886"/>
      <c r="L747" s="886"/>
      <c r="M747" s="886"/>
      <c r="N747" s="886"/>
      <c r="O747" s="886"/>
      <c r="P747" s="886"/>
      <c r="Q747" s="886"/>
      <c r="R747" s="886"/>
      <c r="S747" s="886"/>
      <c r="T747" s="886"/>
      <c r="U747" s="886"/>
    </row>
    <row r="748" spans="3:21">
      <c r="C748" s="942"/>
      <c r="D748" s="942"/>
      <c r="E748" s="943"/>
      <c r="F748" s="886"/>
      <c r="G748" s="886"/>
      <c r="H748" s="886"/>
      <c r="I748" s="886"/>
      <c r="J748" s="886"/>
      <c r="K748" s="886"/>
      <c r="L748" s="886"/>
      <c r="M748" s="886"/>
      <c r="N748" s="886"/>
      <c r="O748" s="886"/>
      <c r="P748" s="886"/>
      <c r="Q748" s="886"/>
      <c r="R748" s="886"/>
      <c r="S748" s="886"/>
      <c r="T748" s="886"/>
      <c r="U748" s="886"/>
    </row>
    <row r="749" spans="3:21">
      <c r="C749" s="942"/>
      <c r="D749" s="942"/>
      <c r="E749" s="943"/>
      <c r="F749" s="886"/>
      <c r="G749" s="886"/>
      <c r="H749" s="886"/>
      <c r="I749" s="886"/>
      <c r="J749" s="886"/>
      <c r="K749" s="886"/>
      <c r="L749" s="886"/>
      <c r="M749" s="886"/>
      <c r="N749" s="886"/>
      <c r="O749" s="886"/>
      <c r="P749" s="886"/>
      <c r="Q749" s="886"/>
      <c r="R749" s="886"/>
      <c r="S749" s="886"/>
      <c r="T749" s="886"/>
      <c r="U749" s="886"/>
    </row>
    <row r="750" spans="3:21">
      <c r="C750" s="942"/>
      <c r="D750" s="942"/>
      <c r="E750" s="943"/>
      <c r="F750" s="886"/>
      <c r="G750" s="886"/>
      <c r="H750" s="886"/>
      <c r="I750" s="886"/>
      <c r="J750" s="886"/>
      <c r="K750" s="886"/>
      <c r="L750" s="886"/>
      <c r="M750" s="886"/>
      <c r="N750" s="886"/>
      <c r="O750" s="886"/>
      <c r="P750" s="886"/>
      <c r="Q750" s="886"/>
      <c r="R750" s="886"/>
      <c r="S750" s="886"/>
      <c r="T750" s="886"/>
      <c r="U750" s="886"/>
    </row>
    <row r="751" spans="3:21">
      <c r="C751" s="942"/>
      <c r="D751" s="942"/>
      <c r="E751" s="943"/>
      <c r="F751" s="886"/>
      <c r="G751" s="886"/>
      <c r="H751" s="886"/>
      <c r="I751" s="886"/>
      <c r="J751" s="886"/>
      <c r="K751" s="886"/>
      <c r="L751" s="886"/>
      <c r="M751" s="886"/>
      <c r="N751" s="886"/>
      <c r="O751" s="886"/>
      <c r="P751" s="886"/>
      <c r="Q751" s="886"/>
      <c r="R751" s="886"/>
      <c r="S751" s="886"/>
      <c r="T751" s="886"/>
      <c r="U751" s="886"/>
    </row>
    <row r="752" spans="3:21">
      <c r="C752" s="942"/>
      <c r="D752" s="942"/>
      <c r="E752" s="943"/>
      <c r="F752" s="886"/>
      <c r="G752" s="886"/>
      <c r="H752" s="886"/>
      <c r="I752" s="886"/>
      <c r="J752" s="886"/>
      <c r="K752" s="886"/>
      <c r="L752" s="886"/>
      <c r="M752" s="886"/>
      <c r="N752" s="886"/>
      <c r="O752" s="886"/>
      <c r="P752" s="886"/>
      <c r="Q752" s="886"/>
      <c r="R752" s="886"/>
      <c r="S752" s="886"/>
      <c r="T752" s="886"/>
      <c r="U752" s="886"/>
    </row>
    <row r="753" spans="3:21">
      <c r="C753" s="942"/>
      <c r="D753" s="942"/>
      <c r="E753" s="943"/>
      <c r="F753" s="886"/>
      <c r="G753" s="886"/>
      <c r="H753" s="886"/>
      <c r="I753" s="886"/>
      <c r="J753" s="886"/>
      <c r="K753" s="886"/>
      <c r="L753" s="886"/>
      <c r="M753" s="886"/>
      <c r="N753" s="886"/>
      <c r="O753" s="886"/>
      <c r="P753" s="886"/>
      <c r="Q753" s="886"/>
      <c r="R753" s="886"/>
      <c r="S753" s="886"/>
      <c r="T753" s="886"/>
      <c r="U753" s="886"/>
    </row>
    <row r="754" spans="3:21">
      <c r="C754" s="942"/>
      <c r="D754" s="942"/>
      <c r="E754" s="943"/>
      <c r="F754" s="886"/>
      <c r="G754" s="886"/>
      <c r="H754" s="886"/>
      <c r="I754" s="886"/>
      <c r="J754" s="886"/>
      <c r="K754" s="886"/>
      <c r="L754" s="886"/>
      <c r="M754" s="886"/>
      <c r="N754" s="886"/>
      <c r="O754" s="886"/>
      <c r="P754" s="886"/>
      <c r="Q754" s="886"/>
      <c r="R754" s="886"/>
      <c r="S754" s="886"/>
      <c r="T754" s="886"/>
      <c r="U754" s="886"/>
    </row>
    <row r="755" spans="3:21">
      <c r="C755" s="942"/>
      <c r="D755" s="942"/>
      <c r="E755" s="943"/>
      <c r="F755" s="886"/>
      <c r="G755" s="886"/>
      <c r="H755" s="886"/>
      <c r="I755" s="886"/>
      <c r="J755" s="886"/>
      <c r="K755" s="886"/>
      <c r="L755" s="886"/>
      <c r="M755" s="886"/>
      <c r="N755" s="886"/>
      <c r="O755" s="886"/>
      <c r="P755" s="886"/>
      <c r="Q755" s="886"/>
      <c r="R755" s="886"/>
      <c r="S755" s="886"/>
      <c r="T755" s="886"/>
      <c r="U755" s="886"/>
    </row>
    <row r="756" spans="3:21">
      <c r="C756" s="942"/>
      <c r="D756" s="942"/>
      <c r="E756" s="943"/>
      <c r="F756" s="886"/>
      <c r="G756" s="886"/>
      <c r="H756" s="886"/>
      <c r="I756" s="886"/>
      <c r="J756" s="886"/>
      <c r="K756" s="886"/>
      <c r="L756" s="886"/>
      <c r="M756" s="886"/>
      <c r="N756" s="886"/>
      <c r="O756" s="886"/>
      <c r="P756" s="886"/>
      <c r="Q756" s="886"/>
      <c r="R756" s="886"/>
      <c r="S756" s="886"/>
      <c r="T756" s="886"/>
      <c r="U756" s="886"/>
    </row>
    <row r="757" spans="3:21">
      <c r="C757" s="942"/>
      <c r="D757" s="942"/>
      <c r="E757" s="943"/>
      <c r="F757" s="886"/>
      <c r="G757" s="886"/>
      <c r="H757" s="886"/>
      <c r="I757" s="886"/>
      <c r="J757" s="886"/>
      <c r="K757" s="886"/>
      <c r="L757" s="886"/>
      <c r="M757" s="886"/>
      <c r="N757" s="886"/>
      <c r="O757" s="886"/>
      <c r="P757" s="886"/>
      <c r="Q757" s="886"/>
      <c r="R757" s="886"/>
      <c r="S757" s="886"/>
      <c r="T757" s="886"/>
      <c r="U757" s="886"/>
    </row>
    <row r="758" spans="3:21">
      <c r="C758" s="942"/>
      <c r="D758" s="942"/>
      <c r="E758" s="943"/>
      <c r="F758" s="886"/>
      <c r="G758" s="886"/>
      <c r="H758" s="886"/>
      <c r="I758" s="886"/>
      <c r="J758" s="886"/>
      <c r="K758" s="886"/>
      <c r="L758" s="886"/>
      <c r="M758" s="886"/>
      <c r="N758" s="886"/>
      <c r="O758" s="886"/>
      <c r="P758" s="886"/>
      <c r="Q758" s="886"/>
      <c r="R758" s="886"/>
      <c r="S758" s="886"/>
      <c r="T758" s="886"/>
      <c r="U758" s="886"/>
    </row>
    <row r="759" spans="3:21">
      <c r="C759" s="942"/>
      <c r="D759" s="942"/>
      <c r="E759" s="943"/>
      <c r="F759" s="886"/>
      <c r="G759" s="886"/>
      <c r="H759" s="886"/>
      <c r="I759" s="886"/>
      <c r="J759" s="886"/>
      <c r="K759" s="886"/>
      <c r="L759" s="886"/>
      <c r="M759" s="886"/>
      <c r="N759" s="886"/>
      <c r="O759" s="886"/>
      <c r="P759" s="886"/>
      <c r="Q759" s="886"/>
      <c r="R759" s="886"/>
      <c r="S759" s="886"/>
      <c r="T759" s="886"/>
      <c r="U759" s="886"/>
    </row>
    <row r="760" spans="3:21">
      <c r="C760" s="942"/>
      <c r="D760" s="942"/>
      <c r="E760" s="943"/>
      <c r="F760" s="886"/>
      <c r="G760" s="886"/>
      <c r="H760" s="886"/>
      <c r="I760" s="886"/>
      <c r="J760" s="886"/>
      <c r="K760" s="886"/>
      <c r="L760" s="886"/>
      <c r="M760" s="886"/>
      <c r="N760" s="886"/>
      <c r="O760" s="886"/>
      <c r="P760" s="886"/>
      <c r="Q760" s="886"/>
      <c r="R760" s="886"/>
      <c r="S760" s="886"/>
      <c r="T760" s="886"/>
      <c r="U760" s="886"/>
    </row>
    <row r="761" spans="3:21">
      <c r="C761" s="942"/>
      <c r="D761" s="942"/>
      <c r="E761" s="943"/>
      <c r="F761" s="886"/>
      <c r="G761" s="886"/>
      <c r="H761" s="886"/>
      <c r="I761" s="886"/>
      <c r="J761" s="886"/>
      <c r="K761" s="886"/>
      <c r="L761" s="886"/>
      <c r="M761" s="886"/>
      <c r="N761" s="886"/>
      <c r="O761" s="886"/>
      <c r="P761" s="886"/>
      <c r="Q761" s="886"/>
      <c r="R761" s="886"/>
      <c r="S761" s="886"/>
      <c r="T761" s="886"/>
      <c r="U761" s="886"/>
    </row>
    <row r="762" spans="3:21">
      <c r="C762" s="942"/>
      <c r="D762" s="942"/>
      <c r="E762" s="943"/>
      <c r="F762" s="886"/>
      <c r="G762" s="886"/>
      <c r="H762" s="886"/>
      <c r="I762" s="886"/>
      <c r="J762" s="886"/>
      <c r="K762" s="886"/>
      <c r="L762" s="886"/>
      <c r="M762" s="886"/>
      <c r="N762" s="886"/>
      <c r="O762" s="886"/>
      <c r="P762" s="886"/>
      <c r="Q762" s="886"/>
      <c r="R762" s="886"/>
      <c r="S762" s="886"/>
      <c r="T762" s="886"/>
      <c r="U762" s="886"/>
    </row>
    <row r="763" spans="3:21">
      <c r="C763" s="942"/>
      <c r="D763" s="942"/>
      <c r="E763" s="943"/>
      <c r="F763" s="886"/>
      <c r="G763" s="886"/>
      <c r="H763" s="886"/>
      <c r="I763" s="886"/>
      <c r="J763" s="886"/>
      <c r="K763" s="886"/>
      <c r="L763" s="886"/>
      <c r="M763" s="886"/>
      <c r="N763" s="886"/>
      <c r="O763" s="886"/>
      <c r="P763" s="886"/>
      <c r="Q763" s="886"/>
      <c r="R763" s="886"/>
      <c r="S763" s="886"/>
      <c r="T763" s="886"/>
      <c r="U763" s="886"/>
    </row>
    <row r="764" spans="3:21">
      <c r="C764" s="942"/>
      <c r="D764" s="942"/>
      <c r="E764" s="943"/>
      <c r="F764" s="886"/>
      <c r="G764" s="886"/>
      <c r="H764" s="886"/>
      <c r="I764" s="886"/>
      <c r="J764" s="886"/>
      <c r="K764" s="886"/>
      <c r="L764" s="886"/>
      <c r="M764" s="886"/>
      <c r="N764" s="886"/>
      <c r="O764" s="886"/>
      <c r="P764" s="886"/>
      <c r="Q764" s="886"/>
      <c r="R764" s="886"/>
      <c r="S764" s="886"/>
      <c r="T764" s="886"/>
      <c r="U764" s="886"/>
    </row>
    <row r="765" spans="3:21">
      <c r="C765" s="942"/>
      <c r="D765" s="942"/>
      <c r="E765" s="943"/>
      <c r="F765" s="886"/>
      <c r="G765" s="886"/>
      <c r="H765" s="886"/>
      <c r="I765" s="886"/>
      <c r="J765" s="886"/>
      <c r="K765" s="886"/>
      <c r="L765" s="886"/>
      <c r="M765" s="886"/>
      <c r="N765" s="886"/>
      <c r="O765" s="886"/>
      <c r="P765" s="886"/>
      <c r="Q765" s="886"/>
      <c r="R765" s="886"/>
      <c r="S765" s="886"/>
      <c r="T765" s="886"/>
      <c r="U765" s="886"/>
    </row>
    <row r="766" spans="3:21">
      <c r="C766" s="942"/>
      <c r="D766" s="942"/>
      <c r="E766" s="943"/>
      <c r="F766" s="886"/>
      <c r="G766" s="886"/>
      <c r="H766" s="886"/>
      <c r="I766" s="886"/>
      <c r="J766" s="886"/>
      <c r="K766" s="886"/>
      <c r="L766" s="886"/>
      <c r="M766" s="886"/>
      <c r="N766" s="886"/>
      <c r="O766" s="886"/>
      <c r="P766" s="886"/>
      <c r="Q766" s="886"/>
      <c r="R766" s="886"/>
      <c r="S766" s="886"/>
      <c r="T766" s="886"/>
      <c r="U766" s="886"/>
    </row>
    <row r="767" spans="3:21">
      <c r="C767" s="942"/>
      <c r="D767" s="942"/>
      <c r="E767" s="943"/>
      <c r="F767" s="886"/>
      <c r="G767" s="886"/>
      <c r="H767" s="886"/>
      <c r="I767" s="886"/>
      <c r="J767" s="886"/>
      <c r="K767" s="886"/>
      <c r="L767" s="886"/>
      <c r="M767" s="886"/>
      <c r="N767" s="886"/>
      <c r="O767" s="886"/>
      <c r="P767" s="886"/>
      <c r="Q767" s="886"/>
      <c r="R767" s="886"/>
      <c r="S767" s="886"/>
      <c r="T767" s="886"/>
      <c r="U767" s="886"/>
    </row>
    <row r="768" spans="3:21">
      <c r="C768" s="942"/>
      <c r="D768" s="942"/>
      <c r="E768" s="943"/>
      <c r="F768" s="886"/>
      <c r="G768" s="886"/>
      <c r="H768" s="886"/>
      <c r="I768" s="886"/>
      <c r="J768" s="886"/>
      <c r="K768" s="886"/>
      <c r="L768" s="886"/>
      <c r="M768" s="886"/>
      <c r="N768" s="886"/>
      <c r="O768" s="886"/>
      <c r="P768" s="886"/>
      <c r="Q768" s="886"/>
      <c r="R768" s="886"/>
      <c r="S768" s="886"/>
      <c r="T768" s="886"/>
      <c r="U768" s="886"/>
    </row>
    <row r="769" spans="3:21">
      <c r="C769" s="942"/>
      <c r="D769" s="942"/>
      <c r="E769" s="943"/>
      <c r="F769" s="886"/>
      <c r="G769" s="886"/>
      <c r="H769" s="886"/>
      <c r="I769" s="886"/>
      <c r="J769" s="886"/>
      <c r="K769" s="886"/>
      <c r="L769" s="886"/>
      <c r="M769" s="886"/>
      <c r="N769" s="886"/>
      <c r="O769" s="886"/>
      <c r="P769" s="886"/>
      <c r="Q769" s="886"/>
      <c r="R769" s="886"/>
      <c r="S769" s="886"/>
      <c r="T769" s="886"/>
      <c r="U769" s="886"/>
    </row>
    <row r="770" spans="3:21">
      <c r="C770" s="942"/>
      <c r="D770" s="942"/>
      <c r="E770" s="943"/>
      <c r="F770" s="886"/>
      <c r="G770" s="886"/>
      <c r="H770" s="886"/>
      <c r="I770" s="886"/>
      <c r="J770" s="886"/>
      <c r="K770" s="886"/>
      <c r="L770" s="886"/>
      <c r="M770" s="886"/>
      <c r="N770" s="886"/>
      <c r="O770" s="886"/>
      <c r="P770" s="886"/>
      <c r="Q770" s="886"/>
      <c r="R770" s="886"/>
      <c r="S770" s="886"/>
      <c r="T770" s="886"/>
      <c r="U770" s="886"/>
    </row>
    <row r="771" spans="3:21">
      <c r="C771" s="942"/>
      <c r="D771" s="942"/>
      <c r="E771" s="943"/>
      <c r="F771" s="886"/>
      <c r="G771" s="886"/>
      <c r="H771" s="886"/>
      <c r="I771" s="886"/>
      <c r="J771" s="886"/>
      <c r="K771" s="886"/>
      <c r="L771" s="886"/>
      <c r="M771" s="886"/>
      <c r="N771" s="886"/>
      <c r="O771" s="886"/>
      <c r="P771" s="886"/>
      <c r="Q771" s="886"/>
      <c r="R771" s="886"/>
      <c r="S771" s="886"/>
      <c r="T771" s="886"/>
      <c r="U771" s="886"/>
    </row>
    <row r="772" spans="3:21">
      <c r="C772" s="942"/>
      <c r="D772" s="942"/>
      <c r="E772" s="943"/>
      <c r="F772" s="886"/>
      <c r="G772" s="886"/>
      <c r="H772" s="886"/>
      <c r="I772" s="886"/>
      <c r="J772" s="886"/>
      <c r="K772" s="886"/>
      <c r="L772" s="886"/>
      <c r="M772" s="886"/>
      <c r="N772" s="886"/>
      <c r="O772" s="886"/>
      <c r="P772" s="886"/>
      <c r="Q772" s="886"/>
      <c r="R772" s="886"/>
      <c r="S772" s="886"/>
      <c r="T772" s="886"/>
      <c r="U772" s="886"/>
    </row>
    <row r="773" spans="3:21">
      <c r="C773" s="942"/>
      <c r="D773" s="942"/>
      <c r="E773" s="943"/>
      <c r="F773" s="886"/>
      <c r="G773" s="886"/>
      <c r="H773" s="886"/>
      <c r="I773" s="886"/>
      <c r="J773" s="886"/>
      <c r="K773" s="886"/>
      <c r="L773" s="886"/>
      <c r="M773" s="886"/>
      <c r="N773" s="886"/>
      <c r="O773" s="886"/>
      <c r="P773" s="886"/>
      <c r="Q773" s="886"/>
      <c r="R773" s="886"/>
      <c r="S773" s="886"/>
      <c r="T773" s="886"/>
      <c r="U773" s="886"/>
    </row>
    <row r="774" spans="3:21">
      <c r="C774" s="942"/>
      <c r="D774" s="942"/>
      <c r="E774" s="943"/>
      <c r="F774" s="886"/>
      <c r="G774" s="886"/>
      <c r="H774" s="886"/>
      <c r="I774" s="886"/>
      <c r="J774" s="886"/>
      <c r="K774" s="886"/>
      <c r="L774" s="886"/>
      <c r="M774" s="886"/>
      <c r="N774" s="886"/>
      <c r="O774" s="886"/>
      <c r="P774" s="886"/>
      <c r="Q774" s="886"/>
      <c r="R774" s="886"/>
      <c r="S774" s="886"/>
      <c r="T774" s="886"/>
      <c r="U774" s="886"/>
    </row>
    <row r="775" spans="3:21">
      <c r="C775" s="942"/>
      <c r="D775" s="942"/>
      <c r="E775" s="943"/>
      <c r="F775" s="886"/>
      <c r="G775" s="886"/>
      <c r="H775" s="886"/>
      <c r="I775" s="886"/>
      <c r="J775" s="886"/>
      <c r="K775" s="886"/>
      <c r="L775" s="886"/>
      <c r="M775" s="886"/>
      <c r="N775" s="886"/>
      <c r="O775" s="886"/>
      <c r="P775" s="886"/>
      <c r="Q775" s="886"/>
      <c r="R775" s="886"/>
      <c r="S775" s="886"/>
      <c r="T775" s="886"/>
      <c r="U775" s="886"/>
    </row>
    <row r="776" spans="3:21">
      <c r="C776" s="942"/>
      <c r="D776" s="942"/>
      <c r="E776" s="943"/>
      <c r="F776" s="886"/>
      <c r="G776" s="886"/>
      <c r="H776" s="886"/>
      <c r="I776" s="886"/>
      <c r="J776" s="886"/>
      <c r="K776" s="886"/>
      <c r="L776" s="886"/>
      <c r="M776" s="886"/>
      <c r="N776" s="886"/>
      <c r="O776" s="886"/>
      <c r="P776" s="886"/>
      <c r="Q776" s="886"/>
      <c r="R776" s="886"/>
      <c r="S776" s="886"/>
      <c r="T776" s="886"/>
      <c r="U776" s="886"/>
    </row>
    <row r="777" spans="3:21">
      <c r="C777" s="942"/>
      <c r="D777" s="942"/>
      <c r="E777" s="943"/>
      <c r="F777" s="886"/>
      <c r="G777" s="886"/>
      <c r="H777" s="886"/>
      <c r="I777" s="886"/>
      <c r="J777" s="886"/>
      <c r="K777" s="886"/>
      <c r="L777" s="886"/>
      <c r="M777" s="886"/>
      <c r="N777" s="886"/>
      <c r="O777" s="886"/>
      <c r="P777" s="886"/>
      <c r="Q777" s="886"/>
      <c r="R777" s="886"/>
      <c r="S777" s="886"/>
      <c r="T777" s="886"/>
      <c r="U777" s="886"/>
    </row>
    <row r="778" spans="3:21">
      <c r="C778" s="942"/>
      <c r="D778" s="942"/>
      <c r="E778" s="943"/>
      <c r="F778" s="886"/>
      <c r="G778" s="886"/>
      <c r="H778" s="886"/>
      <c r="I778" s="886"/>
      <c r="J778" s="886"/>
      <c r="K778" s="886"/>
      <c r="L778" s="886"/>
      <c r="M778" s="886"/>
      <c r="N778" s="886"/>
      <c r="O778" s="886"/>
      <c r="P778" s="886"/>
      <c r="Q778" s="886"/>
      <c r="R778" s="886"/>
      <c r="S778" s="886"/>
      <c r="T778" s="886"/>
      <c r="U778" s="886"/>
    </row>
    <row r="779" spans="3:21">
      <c r="C779" s="942"/>
      <c r="D779" s="942"/>
      <c r="E779" s="943"/>
      <c r="F779" s="886"/>
      <c r="G779" s="886"/>
      <c r="H779" s="886"/>
      <c r="I779" s="886"/>
      <c r="J779" s="886"/>
      <c r="K779" s="886"/>
      <c r="L779" s="886"/>
      <c r="M779" s="886"/>
      <c r="N779" s="886"/>
      <c r="O779" s="886"/>
      <c r="P779" s="886"/>
      <c r="Q779" s="886"/>
      <c r="R779" s="886"/>
      <c r="S779" s="886"/>
      <c r="T779" s="886"/>
      <c r="U779" s="886"/>
    </row>
    <row r="780" spans="3:21">
      <c r="C780" s="942"/>
      <c r="D780" s="942"/>
      <c r="E780" s="943"/>
      <c r="F780" s="886"/>
      <c r="G780" s="886"/>
      <c r="H780" s="886"/>
      <c r="I780" s="886"/>
      <c r="J780" s="886"/>
      <c r="K780" s="886"/>
      <c r="L780" s="886"/>
      <c r="M780" s="886"/>
      <c r="N780" s="886"/>
      <c r="O780" s="886"/>
      <c r="P780" s="886"/>
      <c r="Q780" s="886"/>
      <c r="R780" s="886"/>
      <c r="S780" s="886"/>
      <c r="T780" s="886"/>
      <c r="U780" s="886"/>
    </row>
    <row r="781" spans="3:21">
      <c r="C781" s="942"/>
      <c r="D781" s="942"/>
      <c r="E781" s="943"/>
      <c r="F781" s="886"/>
      <c r="G781" s="886"/>
      <c r="H781" s="886"/>
      <c r="I781" s="886"/>
      <c r="J781" s="886"/>
      <c r="K781" s="886"/>
      <c r="L781" s="886"/>
      <c r="M781" s="886"/>
      <c r="N781" s="886"/>
      <c r="O781" s="886"/>
      <c r="P781" s="886"/>
      <c r="Q781" s="886"/>
      <c r="R781" s="886"/>
      <c r="S781" s="886"/>
      <c r="T781" s="886"/>
      <c r="U781" s="886"/>
    </row>
    <row r="782" spans="3:21">
      <c r="C782" s="942"/>
      <c r="D782" s="942"/>
      <c r="E782" s="943"/>
      <c r="F782" s="886"/>
      <c r="G782" s="886"/>
      <c r="H782" s="886"/>
      <c r="I782" s="886"/>
      <c r="J782" s="886"/>
      <c r="K782" s="886"/>
      <c r="L782" s="886"/>
      <c r="M782" s="886"/>
      <c r="N782" s="886"/>
      <c r="O782" s="886"/>
      <c r="P782" s="886"/>
      <c r="Q782" s="886"/>
      <c r="R782" s="886"/>
      <c r="S782" s="886"/>
      <c r="T782" s="886"/>
      <c r="U782" s="886"/>
    </row>
    <row r="783" spans="3:21">
      <c r="C783" s="942"/>
      <c r="D783" s="942"/>
      <c r="E783" s="943"/>
      <c r="F783" s="886"/>
      <c r="G783" s="886"/>
      <c r="H783" s="886"/>
      <c r="I783" s="886"/>
      <c r="J783" s="886"/>
      <c r="K783" s="886"/>
      <c r="L783" s="886"/>
      <c r="M783" s="886"/>
      <c r="N783" s="886"/>
      <c r="O783" s="886"/>
      <c r="P783" s="886"/>
      <c r="Q783" s="886"/>
      <c r="R783" s="886"/>
      <c r="S783" s="886"/>
      <c r="T783" s="886"/>
      <c r="U783" s="886"/>
    </row>
    <row r="784" spans="3:21">
      <c r="C784" s="942"/>
      <c r="D784" s="942"/>
      <c r="E784" s="943"/>
      <c r="F784" s="886"/>
      <c r="G784" s="886"/>
      <c r="H784" s="886"/>
      <c r="I784" s="886"/>
      <c r="J784" s="886"/>
      <c r="K784" s="886"/>
      <c r="L784" s="886"/>
      <c r="M784" s="886"/>
      <c r="N784" s="886"/>
      <c r="O784" s="886"/>
      <c r="P784" s="886"/>
      <c r="Q784" s="886"/>
      <c r="R784" s="886"/>
      <c r="S784" s="886"/>
      <c r="T784" s="886"/>
      <c r="U784" s="886"/>
    </row>
    <row r="785" spans="3:21">
      <c r="C785" s="942"/>
      <c r="D785" s="942"/>
      <c r="E785" s="943"/>
      <c r="F785" s="886"/>
      <c r="G785" s="886"/>
      <c r="H785" s="886"/>
      <c r="I785" s="886"/>
      <c r="J785" s="886"/>
      <c r="K785" s="886"/>
      <c r="L785" s="886"/>
      <c r="M785" s="886"/>
      <c r="N785" s="886"/>
      <c r="O785" s="886"/>
      <c r="P785" s="886"/>
      <c r="Q785" s="886"/>
      <c r="R785" s="886"/>
      <c r="S785" s="886"/>
      <c r="T785" s="886"/>
      <c r="U785" s="886"/>
    </row>
    <row r="786" spans="3:21">
      <c r="C786" s="942"/>
      <c r="D786" s="942"/>
      <c r="E786" s="943"/>
      <c r="F786" s="886"/>
      <c r="G786" s="886"/>
      <c r="H786" s="886"/>
      <c r="I786" s="886"/>
      <c r="J786" s="886"/>
      <c r="K786" s="886"/>
      <c r="L786" s="886"/>
      <c r="M786" s="886"/>
      <c r="N786" s="886"/>
      <c r="O786" s="886"/>
      <c r="P786" s="886"/>
      <c r="Q786" s="886"/>
      <c r="R786" s="886"/>
      <c r="S786" s="886"/>
      <c r="T786" s="886"/>
      <c r="U786" s="886"/>
    </row>
    <row r="787" spans="3:21">
      <c r="C787" s="942"/>
      <c r="D787" s="942"/>
      <c r="E787" s="943"/>
      <c r="F787" s="886"/>
      <c r="G787" s="886"/>
      <c r="H787" s="886"/>
      <c r="I787" s="886"/>
      <c r="J787" s="886"/>
      <c r="K787" s="886"/>
      <c r="L787" s="886"/>
      <c r="M787" s="886"/>
      <c r="N787" s="886"/>
      <c r="O787" s="886"/>
      <c r="P787" s="886"/>
      <c r="Q787" s="886"/>
      <c r="R787" s="886"/>
      <c r="S787" s="886"/>
      <c r="T787" s="886"/>
      <c r="U787" s="886"/>
    </row>
    <row r="788" spans="3:21">
      <c r="C788" s="942"/>
      <c r="D788" s="942"/>
      <c r="E788" s="943"/>
      <c r="F788" s="886"/>
      <c r="G788" s="886"/>
      <c r="H788" s="886"/>
      <c r="I788" s="886"/>
      <c r="J788" s="886"/>
      <c r="K788" s="886"/>
      <c r="L788" s="886"/>
      <c r="M788" s="886"/>
      <c r="N788" s="886"/>
      <c r="O788" s="886"/>
      <c r="P788" s="886"/>
      <c r="Q788" s="886"/>
      <c r="R788" s="886"/>
      <c r="S788" s="886"/>
      <c r="T788" s="886"/>
      <c r="U788" s="886"/>
    </row>
    <row r="789" spans="3:21">
      <c r="C789" s="942"/>
      <c r="D789" s="942"/>
      <c r="E789" s="943"/>
      <c r="F789" s="886"/>
      <c r="G789" s="886"/>
      <c r="H789" s="886"/>
      <c r="I789" s="886"/>
      <c r="J789" s="886"/>
      <c r="K789" s="886"/>
      <c r="L789" s="886"/>
      <c r="M789" s="886"/>
      <c r="N789" s="886"/>
      <c r="O789" s="886"/>
      <c r="P789" s="886"/>
      <c r="Q789" s="886"/>
      <c r="R789" s="886"/>
      <c r="S789" s="886"/>
      <c r="T789" s="886"/>
      <c r="U789" s="886"/>
    </row>
    <row r="790" spans="3:21">
      <c r="C790" s="942"/>
      <c r="D790" s="942"/>
      <c r="E790" s="943"/>
      <c r="F790" s="886"/>
      <c r="G790" s="886"/>
      <c r="H790" s="886"/>
      <c r="I790" s="886"/>
      <c r="J790" s="886"/>
      <c r="K790" s="886"/>
      <c r="L790" s="886"/>
      <c r="M790" s="886"/>
      <c r="N790" s="886"/>
      <c r="O790" s="886"/>
      <c r="P790" s="886"/>
      <c r="Q790" s="886"/>
      <c r="R790" s="886"/>
      <c r="S790" s="886"/>
      <c r="T790" s="886"/>
      <c r="U790" s="886"/>
    </row>
    <row r="791" spans="3:21">
      <c r="C791" s="942"/>
      <c r="D791" s="942"/>
      <c r="E791" s="943"/>
      <c r="F791" s="886"/>
      <c r="G791" s="886"/>
      <c r="H791" s="886"/>
      <c r="I791" s="886"/>
      <c r="J791" s="886"/>
      <c r="K791" s="886"/>
      <c r="L791" s="886"/>
      <c r="M791" s="886"/>
      <c r="N791" s="886"/>
      <c r="O791" s="886"/>
      <c r="P791" s="886"/>
      <c r="Q791" s="886"/>
      <c r="R791" s="886"/>
      <c r="S791" s="886"/>
      <c r="T791" s="886"/>
      <c r="U791" s="886"/>
    </row>
    <row r="792" spans="3:21">
      <c r="C792" s="942"/>
      <c r="D792" s="942"/>
      <c r="E792" s="943"/>
      <c r="F792" s="886"/>
      <c r="G792" s="886"/>
      <c r="H792" s="886"/>
      <c r="I792" s="886"/>
      <c r="J792" s="886"/>
      <c r="K792" s="886"/>
      <c r="L792" s="886"/>
      <c r="M792" s="886"/>
      <c r="N792" s="886"/>
      <c r="O792" s="886"/>
      <c r="P792" s="886"/>
      <c r="Q792" s="886"/>
      <c r="R792" s="886"/>
      <c r="S792" s="886"/>
      <c r="T792" s="886"/>
      <c r="U792" s="886"/>
    </row>
    <row r="793" spans="3:21">
      <c r="C793" s="942"/>
      <c r="D793" s="942"/>
      <c r="E793" s="943"/>
      <c r="F793" s="886"/>
      <c r="G793" s="886"/>
      <c r="H793" s="886"/>
      <c r="I793" s="886"/>
      <c r="J793" s="886"/>
      <c r="K793" s="886"/>
      <c r="L793" s="886"/>
      <c r="M793" s="886"/>
      <c r="N793" s="886"/>
      <c r="O793" s="886"/>
      <c r="P793" s="886"/>
      <c r="Q793" s="886"/>
      <c r="R793" s="886"/>
      <c r="S793" s="886"/>
      <c r="T793" s="886"/>
      <c r="U793" s="886"/>
    </row>
    <row r="794" spans="3:21">
      <c r="C794" s="942"/>
      <c r="D794" s="942"/>
      <c r="E794" s="943"/>
      <c r="F794" s="886"/>
      <c r="G794" s="886"/>
      <c r="H794" s="886"/>
      <c r="I794" s="886"/>
      <c r="J794" s="886"/>
      <c r="K794" s="886"/>
      <c r="L794" s="886"/>
      <c r="M794" s="886"/>
      <c r="N794" s="886"/>
      <c r="O794" s="886"/>
      <c r="P794" s="886"/>
      <c r="Q794" s="886"/>
      <c r="R794" s="886"/>
      <c r="S794" s="886"/>
      <c r="T794" s="886"/>
      <c r="U794" s="886"/>
    </row>
    <row r="795" spans="3:21">
      <c r="C795" s="942"/>
      <c r="D795" s="942"/>
      <c r="E795" s="943"/>
      <c r="F795" s="886"/>
      <c r="G795" s="886"/>
      <c r="H795" s="886"/>
      <c r="I795" s="886"/>
      <c r="J795" s="886"/>
      <c r="K795" s="886"/>
      <c r="L795" s="886"/>
      <c r="M795" s="886"/>
      <c r="N795" s="886"/>
      <c r="O795" s="886"/>
      <c r="P795" s="886"/>
      <c r="Q795" s="886"/>
      <c r="R795" s="886"/>
      <c r="S795" s="886"/>
      <c r="T795" s="886"/>
      <c r="U795" s="886"/>
    </row>
    <row r="796" spans="3:21">
      <c r="C796" s="942"/>
      <c r="D796" s="942"/>
      <c r="E796" s="943"/>
      <c r="F796" s="886"/>
      <c r="G796" s="886"/>
      <c r="H796" s="886"/>
      <c r="I796" s="886"/>
      <c r="J796" s="886"/>
      <c r="K796" s="886"/>
      <c r="L796" s="886"/>
      <c r="M796" s="886"/>
      <c r="N796" s="886"/>
      <c r="O796" s="886"/>
      <c r="P796" s="886"/>
      <c r="Q796" s="886"/>
      <c r="R796" s="886"/>
      <c r="S796" s="886"/>
      <c r="T796" s="886"/>
      <c r="U796" s="886"/>
    </row>
    <row r="797" spans="3:21">
      <c r="C797" s="942"/>
      <c r="D797" s="942"/>
      <c r="E797" s="943"/>
      <c r="F797" s="886"/>
      <c r="G797" s="886"/>
      <c r="H797" s="886"/>
      <c r="I797" s="886"/>
      <c r="J797" s="886"/>
      <c r="K797" s="886"/>
      <c r="L797" s="886"/>
      <c r="M797" s="886"/>
      <c r="N797" s="886"/>
      <c r="O797" s="886"/>
      <c r="P797" s="886"/>
      <c r="Q797" s="886"/>
      <c r="R797" s="886"/>
      <c r="S797" s="886"/>
      <c r="T797" s="886"/>
      <c r="U797" s="886"/>
    </row>
    <row r="798" spans="3:21">
      <c r="C798" s="942"/>
      <c r="D798" s="942"/>
      <c r="E798" s="943"/>
      <c r="F798" s="886"/>
      <c r="G798" s="886"/>
      <c r="H798" s="886"/>
      <c r="I798" s="886"/>
      <c r="J798" s="886"/>
      <c r="K798" s="886"/>
      <c r="L798" s="886"/>
      <c r="M798" s="886"/>
      <c r="N798" s="886"/>
      <c r="O798" s="886"/>
      <c r="P798" s="886"/>
      <c r="Q798" s="886"/>
      <c r="R798" s="886"/>
      <c r="S798" s="886"/>
      <c r="T798" s="886"/>
      <c r="U798" s="886"/>
    </row>
    <row r="799" spans="3:21">
      <c r="C799" s="942"/>
      <c r="D799" s="942"/>
      <c r="E799" s="943"/>
      <c r="F799" s="886"/>
      <c r="G799" s="886"/>
      <c r="H799" s="886"/>
      <c r="I799" s="886"/>
      <c r="J799" s="886"/>
      <c r="K799" s="886"/>
      <c r="L799" s="886"/>
      <c r="M799" s="886"/>
      <c r="N799" s="886"/>
      <c r="O799" s="886"/>
      <c r="P799" s="886"/>
      <c r="Q799" s="886"/>
      <c r="R799" s="886"/>
      <c r="S799" s="886"/>
      <c r="T799" s="886"/>
      <c r="U799" s="886"/>
    </row>
    <row r="800" spans="3:21">
      <c r="C800" s="942"/>
      <c r="D800" s="942"/>
      <c r="E800" s="943"/>
      <c r="F800" s="886"/>
      <c r="G800" s="886"/>
      <c r="H800" s="886"/>
      <c r="I800" s="886"/>
      <c r="J800" s="886"/>
      <c r="K800" s="886"/>
      <c r="L800" s="886"/>
      <c r="M800" s="886"/>
      <c r="N800" s="886"/>
      <c r="O800" s="886"/>
      <c r="P800" s="886"/>
      <c r="Q800" s="886"/>
      <c r="R800" s="886"/>
      <c r="S800" s="886"/>
      <c r="T800" s="886"/>
      <c r="U800" s="886"/>
    </row>
    <row r="801" spans="3:21">
      <c r="C801" s="942"/>
      <c r="D801" s="942"/>
      <c r="E801" s="943"/>
      <c r="F801" s="886"/>
      <c r="G801" s="886"/>
      <c r="H801" s="886"/>
      <c r="I801" s="886"/>
      <c r="J801" s="886"/>
      <c r="K801" s="886"/>
      <c r="L801" s="886"/>
      <c r="M801" s="886"/>
      <c r="N801" s="886"/>
      <c r="O801" s="886"/>
      <c r="P801" s="886"/>
      <c r="Q801" s="886"/>
      <c r="R801" s="886"/>
      <c r="S801" s="886"/>
      <c r="T801" s="886"/>
      <c r="U801" s="886"/>
    </row>
    <row r="802" spans="3:21">
      <c r="C802" s="942"/>
      <c r="D802" s="942"/>
      <c r="E802" s="943"/>
      <c r="F802" s="886"/>
      <c r="G802" s="886"/>
      <c r="H802" s="886"/>
      <c r="I802" s="886"/>
      <c r="J802" s="886"/>
      <c r="K802" s="886"/>
      <c r="L802" s="886"/>
      <c r="M802" s="886"/>
      <c r="N802" s="886"/>
      <c r="O802" s="886"/>
      <c r="P802" s="886"/>
      <c r="Q802" s="886"/>
      <c r="R802" s="886"/>
      <c r="S802" s="886"/>
      <c r="T802" s="886"/>
      <c r="U802" s="886"/>
    </row>
    <row r="803" spans="3:21">
      <c r="C803" s="942"/>
      <c r="D803" s="942"/>
      <c r="E803" s="943"/>
      <c r="F803" s="886"/>
      <c r="G803" s="886"/>
      <c r="H803" s="886"/>
      <c r="I803" s="886"/>
      <c r="J803" s="886"/>
      <c r="K803" s="886"/>
      <c r="L803" s="886"/>
      <c r="M803" s="886"/>
      <c r="N803" s="886"/>
      <c r="O803" s="886"/>
      <c r="P803" s="886"/>
      <c r="Q803" s="886"/>
      <c r="R803" s="886"/>
      <c r="S803" s="886"/>
      <c r="T803" s="886"/>
      <c r="U803" s="886"/>
    </row>
    <row r="804" spans="3:21">
      <c r="C804" s="942"/>
      <c r="D804" s="942"/>
      <c r="E804" s="943"/>
      <c r="F804" s="886"/>
      <c r="G804" s="886"/>
      <c r="H804" s="886"/>
      <c r="I804" s="886"/>
      <c r="J804" s="886"/>
      <c r="K804" s="886"/>
      <c r="L804" s="886"/>
      <c r="M804" s="886"/>
      <c r="N804" s="886"/>
      <c r="O804" s="886"/>
      <c r="P804" s="886"/>
      <c r="Q804" s="886"/>
      <c r="R804" s="886"/>
      <c r="S804" s="886"/>
      <c r="T804" s="886"/>
      <c r="U804" s="886"/>
    </row>
    <row r="805" spans="3:21">
      <c r="C805" s="942"/>
      <c r="D805" s="942"/>
      <c r="E805" s="943"/>
      <c r="F805" s="886"/>
      <c r="G805" s="886"/>
      <c r="H805" s="886"/>
      <c r="I805" s="886"/>
      <c r="J805" s="886"/>
      <c r="K805" s="886"/>
      <c r="L805" s="886"/>
      <c r="M805" s="886"/>
      <c r="N805" s="886"/>
      <c r="O805" s="886"/>
      <c r="P805" s="886"/>
      <c r="Q805" s="886"/>
      <c r="R805" s="886"/>
      <c r="S805" s="886"/>
      <c r="T805" s="886"/>
      <c r="U805" s="886"/>
    </row>
    <row r="806" spans="3:21">
      <c r="C806" s="942"/>
      <c r="D806" s="942"/>
      <c r="E806" s="943"/>
      <c r="F806" s="886"/>
      <c r="G806" s="886"/>
      <c r="H806" s="886"/>
      <c r="I806" s="886"/>
      <c r="J806" s="886"/>
      <c r="K806" s="886"/>
      <c r="L806" s="886"/>
      <c r="M806" s="886"/>
      <c r="N806" s="886"/>
      <c r="O806" s="886"/>
      <c r="P806" s="886"/>
      <c r="Q806" s="886"/>
      <c r="R806" s="886"/>
      <c r="S806" s="886"/>
      <c r="T806" s="886"/>
      <c r="U806" s="886"/>
    </row>
    <row r="807" spans="3:21">
      <c r="C807" s="942"/>
      <c r="D807" s="942"/>
      <c r="E807" s="943"/>
      <c r="F807" s="886"/>
      <c r="G807" s="886"/>
      <c r="H807" s="886"/>
      <c r="I807" s="886"/>
      <c r="J807" s="886"/>
      <c r="K807" s="886"/>
      <c r="L807" s="886"/>
      <c r="M807" s="886"/>
      <c r="N807" s="886"/>
      <c r="O807" s="886"/>
      <c r="P807" s="886"/>
      <c r="Q807" s="886"/>
      <c r="R807" s="886"/>
      <c r="S807" s="886"/>
      <c r="T807" s="886"/>
      <c r="U807" s="886"/>
    </row>
    <row r="808" spans="3:21">
      <c r="C808" s="942"/>
      <c r="D808" s="942"/>
      <c r="E808" s="943"/>
      <c r="F808" s="886"/>
      <c r="G808" s="886"/>
      <c r="H808" s="886"/>
      <c r="I808" s="886"/>
      <c r="J808" s="886"/>
      <c r="K808" s="886"/>
      <c r="L808" s="886"/>
      <c r="M808" s="886"/>
      <c r="N808" s="886"/>
      <c r="O808" s="886"/>
      <c r="P808" s="886"/>
      <c r="Q808" s="886"/>
      <c r="R808" s="886"/>
      <c r="S808" s="886"/>
      <c r="T808" s="886"/>
      <c r="U808" s="886"/>
    </row>
    <row r="809" spans="3:21">
      <c r="C809" s="942"/>
      <c r="D809" s="942"/>
      <c r="E809" s="943"/>
      <c r="F809" s="886"/>
      <c r="G809" s="886"/>
      <c r="H809" s="886"/>
      <c r="I809" s="886"/>
      <c r="J809" s="886"/>
      <c r="K809" s="886"/>
      <c r="L809" s="886"/>
      <c r="M809" s="886"/>
      <c r="N809" s="886"/>
      <c r="O809" s="886"/>
      <c r="P809" s="886"/>
      <c r="Q809" s="886"/>
      <c r="R809" s="886"/>
      <c r="S809" s="886"/>
      <c r="T809" s="886"/>
      <c r="U809" s="886"/>
    </row>
    <row r="810" spans="3:21">
      <c r="C810" s="942"/>
      <c r="D810" s="942"/>
      <c r="E810" s="943"/>
      <c r="F810" s="886"/>
      <c r="G810" s="886"/>
      <c r="H810" s="886"/>
      <c r="I810" s="886"/>
      <c r="J810" s="886"/>
      <c r="K810" s="886"/>
      <c r="L810" s="886"/>
      <c r="M810" s="886"/>
      <c r="N810" s="886"/>
      <c r="O810" s="886"/>
      <c r="P810" s="886"/>
      <c r="Q810" s="886"/>
      <c r="R810" s="886"/>
      <c r="S810" s="886"/>
      <c r="T810" s="886"/>
      <c r="U810" s="886"/>
    </row>
    <row r="811" spans="3:21">
      <c r="C811" s="942"/>
      <c r="D811" s="942"/>
      <c r="E811" s="943"/>
      <c r="F811" s="886"/>
      <c r="G811" s="886"/>
      <c r="H811" s="886"/>
      <c r="I811" s="886"/>
      <c r="J811" s="886"/>
      <c r="K811" s="886"/>
      <c r="L811" s="886"/>
      <c r="M811" s="886"/>
      <c r="N811" s="886"/>
      <c r="O811" s="886"/>
      <c r="P811" s="886"/>
      <c r="Q811" s="886"/>
      <c r="R811" s="886"/>
      <c r="S811" s="886"/>
      <c r="T811" s="886"/>
      <c r="U811" s="886"/>
    </row>
    <row r="812" spans="3:21">
      <c r="C812" s="942"/>
      <c r="D812" s="942"/>
      <c r="E812" s="943"/>
      <c r="F812" s="886"/>
      <c r="G812" s="886"/>
      <c r="H812" s="886"/>
      <c r="I812" s="886"/>
      <c r="J812" s="886"/>
      <c r="K812" s="886"/>
      <c r="L812" s="886"/>
      <c r="M812" s="886"/>
      <c r="N812" s="886"/>
      <c r="O812" s="886"/>
      <c r="P812" s="886"/>
      <c r="Q812" s="886"/>
      <c r="R812" s="886"/>
      <c r="S812" s="886"/>
      <c r="T812" s="886"/>
      <c r="U812" s="886"/>
    </row>
    <row r="813" spans="3:21">
      <c r="C813" s="942"/>
      <c r="D813" s="942"/>
      <c r="E813" s="943"/>
      <c r="F813" s="886"/>
      <c r="G813" s="886"/>
      <c r="H813" s="886"/>
      <c r="I813" s="886"/>
      <c r="J813" s="886"/>
      <c r="K813" s="886"/>
      <c r="L813" s="886"/>
      <c r="M813" s="886"/>
      <c r="N813" s="886"/>
      <c r="O813" s="886"/>
      <c r="P813" s="886"/>
      <c r="Q813" s="886"/>
      <c r="R813" s="886"/>
      <c r="S813" s="886"/>
      <c r="T813" s="886"/>
      <c r="U813" s="886"/>
    </row>
    <row r="814" spans="3:21">
      <c r="C814" s="942"/>
      <c r="D814" s="942"/>
      <c r="E814" s="943"/>
      <c r="F814" s="886"/>
      <c r="G814" s="886"/>
      <c r="H814" s="886"/>
      <c r="I814" s="886"/>
      <c r="J814" s="886"/>
      <c r="K814" s="886"/>
      <c r="L814" s="886"/>
      <c r="M814" s="886"/>
      <c r="N814" s="886"/>
      <c r="O814" s="886"/>
      <c r="P814" s="886"/>
      <c r="Q814" s="886"/>
      <c r="R814" s="886"/>
      <c r="S814" s="886"/>
      <c r="T814" s="886"/>
      <c r="U814" s="886"/>
    </row>
    <row r="815" spans="3:21">
      <c r="C815" s="942"/>
      <c r="D815" s="942"/>
      <c r="E815" s="943"/>
      <c r="F815" s="886"/>
      <c r="G815" s="886"/>
      <c r="H815" s="886"/>
      <c r="I815" s="886"/>
      <c r="J815" s="886"/>
      <c r="K815" s="886"/>
      <c r="L815" s="886"/>
      <c r="M815" s="886"/>
      <c r="N815" s="886"/>
      <c r="O815" s="886"/>
      <c r="P815" s="886"/>
      <c r="Q815" s="886"/>
      <c r="R815" s="886"/>
      <c r="S815" s="886"/>
      <c r="T815" s="886"/>
      <c r="U815" s="886"/>
    </row>
    <row r="816" spans="3:21">
      <c r="C816" s="942"/>
      <c r="D816" s="942"/>
      <c r="E816" s="943"/>
      <c r="F816" s="886"/>
      <c r="G816" s="886"/>
      <c r="H816" s="886"/>
      <c r="I816" s="886"/>
      <c r="J816" s="886"/>
      <c r="K816" s="886"/>
      <c r="L816" s="886"/>
      <c r="M816" s="886"/>
      <c r="N816" s="886"/>
      <c r="O816" s="886"/>
      <c r="P816" s="886"/>
      <c r="Q816" s="886"/>
      <c r="R816" s="886"/>
      <c r="S816" s="886"/>
      <c r="T816" s="886"/>
      <c r="U816" s="886"/>
    </row>
    <row r="817" spans="3:21">
      <c r="C817" s="942"/>
      <c r="D817" s="942"/>
      <c r="E817" s="943"/>
      <c r="F817" s="886"/>
      <c r="G817" s="886"/>
      <c r="H817" s="886"/>
      <c r="I817" s="886"/>
      <c r="J817" s="886"/>
      <c r="K817" s="886"/>
      <c r="L817" s="886"/>
      <c r="M817" s="886"/>
      <c r="N817" s="886"/>
      <c r="O817" s="886"/>
      <c r="P817" s="886"/>
      <c r="Q817" s="886"/>
      <c r="R817" s="886"/>
      <c r="S817" s="886"/>
      <c r="T817" s="886"/>
      <c r="U817" s="886"/>
    </row>
    <row r="818" spans="3:21">
      <c r="C818" s="942"/>
      <c r="D818" s="942"/>
      <c r="E818" s="943"/>
      <c r="F818" s="886"/>
      <c r="G818" s="886"/>
      <c r="H818" s="886"/>
      <c r="I818" s="886"/>
      <c r="J818" s="886"/>
      <c r="K818" s="886"/>
      <c r="L818" s="886"/>
      <c r="M818" s="886"/>
      <c r="N818" s="886"/>
      <c r="O818" s="886"/>
      <c r="P818" s="886"/>
      <c r="Q818" s="886"/>
      <c r="R818" s="886"/>
      <c r="S818" s="886"/>
      <c r="T818" s="886"/>
      <c r="U818" s="886"/>
    </row>
    <row r="819" spans="3:21">
      <c r="C819" s="942"/>
      <c r="D819" s="942"/>
      <c r="E819" s="943"/>
      <c r="F819" s="886"/>
      <c r="G819" s="886"/>
      <c r="H819" s="886"/>
      <c r="I819" s="886"/>
      <c r="J819" s="886"/>
      <c r="K819" s="886"/>
      <c r="L819" s="886"/>
      <c r="M819" s="886"/>
      <c r="N819" s="886"/>
      <c r="O819" s="886"/>
      <c r="P819" s="886"/>
      <c r="Q819" s="886"/>
      <c r="R819" s="886"/>
      <c r="S819" s="886"/>
      <c r="T819" s="886"/>
      <c r="U819" s="886"/>
    </row>
    <row r="820" spans="3:21">
      <c r="C820" s="942"/>
      <c r="D820" s="942"/>
      <c r="E820" s="943"/>
      <c r="F820" s="886"/>
      <c r="G820" s="886"/>
      <c r="H820" s="886"/>
      <c r="I820" s="886"/>
      <c r="J820" s="886"/>
      <c r="K820" s="886"/>
      <c r="L820" s="886"/>
      <c r="M820" s="886"/>
      <c r="N820" s="886"/>
      <c r="O820" s="886"/>
      <c r="P820" s="886"/>
      <c r="Q820" s="886"/>
      <c r="R820" s="886"/>
      <c r="S820" s="886"/>
      <c r="T820" s="886"/>
      <c r="U820" s="886"/>
    </row>
    <row r="821" spans="3:21">
      <c r="C821" s="942"/>
      <c r="D821" s="942"/>
      <c r="E821" s="943"/>
      <c r="F821" s="886"/>
      <c r="G821" s="886"/>
      <c r="H821" s="886"/>
      <c r="I821" s="886"/>
      <c r="J821" s="886"/>
      <c r="K821" s="886"/>
      <c r="L821" s="886"/>
      <c r="M821" s="886"/>
      <c r="N821" s="886"/>
      <c r="O821" s="886"/>
      <c r="P821" s="886"/>
      <c r="Q821" s="886"/>
      <c r="R821" s="886"/>
      <c r="S821" s="886"/>
      <c r="T821" s="886"/>
      <c r="U821" s="886"/>
    </row>
    <row r="822" spans="3:21">
      <c r="C822" s="942"/>
      <c r="D822" s="942"/>
      <c r="E822" s="943"/>
      <c r="F822" s="886"/>
      <c r="G822" s="886"/>
      <c r="H822" s="886"/>
      <c r="I822" s="886"/>
      <c r="J822" s="886"/>
      <c r="K822" s="886"/>
      <c r="L822" s="886"/>
      <c r="M822" s="886"/>
      <c r="N822" s="886"/>
      <c r="O822" s="886"/>
      <c r="P822" s="886"/>
      <c r="Q822" s="886"/>
      <c r="R822" s="886"/>
      <c r="S822" s="886"/>
      <c r="T822" s="886"/>
      <c r="U822" s="886"/>
    </row>
    <row r="823" spans="3:21">
      <c r="C823" s="942"/>
      <c r="D823" s="942"/>
      <c r="E823" s="943"/>
      <c r="F823" s="886"/>
      <c r="G823" s="886"/>
      <c r="H823" s="886"/>
      <c r="I823" s="886"/>
      <c r="J823" s="886"/>
      <c r="K823" s="886"/>
      <c r="L823" s="886"/>
      <c r="M823" s="886"/>
      <c r="N823" s="886"/>
      <c r="O823" s="886"/>
      <c r="P823" s="886"/>
      <c r="Q823" s="886"/>
      <c r="R823" s="886"/>
      <c r="S823" s="886"/>
      <c r="T823" s="886"/>
      <c r="U823" s="886"/>
    </row>
    <row r="824" spans="3:21">
      <c r="C824" s="942"/>
      <c r="D824" s="942"/>
      <c r="E824" s="943"/>
      <c r="F824" s="886"/>
      <c r="G824" s="886"/>
      <c r="H824" s="886"/>
      <c r="I824" s="886"/>
      <c r="J824" s="886"/>
      <c r="K824" s="886"/>
      <c r="L824" s="886"/>
      <c r="M824" s="886"/>
      <c r="N824" s="886"/>
      <c r="O824" s="886"/>
      <c r="P824" s="886"/>
      <c r="Q824" s="886"/>
      <c r="R824" s="886"/>
      <c r="S824" s="886"/>
      <c r="T824" s="886"/>
      <c r="U824" s="886"/>
    </row>
    <row r="825" spans="3:21">
      <c r="C825" s="942"/>
      <c r="D825" s="942"/>
      <c r="E825" s="943"/>
      <c r="F825" s="886"/>
      <c r="G825" s="886"/>
      <c r="H825" s="886"/>
      <c r="I825" s="886"/>
      <c r="J825" s="886"/>
      <c r="K825" s="886"/>
      <c r="L825" s="886"/>
      <c r="M825" s="886"/>
      <c r="N825" s="886"/>
      <c r="O825" s="886"/>
      <c r="P825" s="886"/>
      <c r="Q825" s="886"/>
      <c r="R825" s="886"/>
      <c r="S825" s="886"/>
      <c r="T825" s="886"/>
      <c r="U825" s="886"/>
    </row>
    <row r="826" spans="3:21">
      <c r="C826" s="942"/>
      <c r="D826" s="942"/>
      <c r="E826" s="943"/>
      <c r="F826" s="886"/>
      <c r="G826" s="886"/>
      <c r="H826" s="886"/>
      <c r="I826" s="886"/>
      <c r="J826" s="886"/>
      <c r="K826" s="886"/>
      <c r="L826" s="886"/>
      <c r="M826" s="886"/>
      <c r="N826" s="886"/>
      <c r="O826" s="886"/>
      <c r="P826" s="886"/>
      <c r="Q826" s="886"/>
      <c r="R826" s="886"/>
      <c r="S826" s="886"/>
      <c r="T826" s="886"/>
      <c r="U826" s="886"/>
    </row>
    <row r="827" spans="3:21">
      <c r="C827" s="942"/>
      <c r="D827" s="942"/>
      <c r="E827" s="943"/>
      <c r="F827" s="886"/>
      <c r="G827" s="886"/>
      <c r="H827" s="886"/>
      <c r="I827" s="886"/>
      <c r="J827" s="886"/>
      <c r="K827" s="886"/>
      <c r="L827" s="886"/>
      <c r="M827" s="886"/>
      <c r="N827" s="886"/>
      <c r="O827" s="886"/>
      <c r="P827" s="886"/>
      <c r="Q827" s="886"/>
      <c r="R827" s="886"/>
      <c r="S827" s="886"/>
      <c r="T827" s="886"/>
      <c r="U827" s="886"/>
    </row>
    <row r="828" spans="3:21">
      <c r="C828" s="942"/>
      <c r="D828" s="942"/>
      <c r="E828" s="943"/>
      <c r="F828" s="886"/>
      <c r="G828" s="886"/>
      <c r="H828" s="886"/>
      <c r="I828" s="886"/>
      <c r="J828" s="886"/>
      <c r="K828" s="886"/>
      <c r="L828" s="886"/>
      <c r="M828" s="886"/>
      <c r="N828" s="886"/>
      <c r="O828" s="886"/>
      <c r="P828" s="886"/>
      <c r="Q828" s="886"/>
      <c r="R828" s="886"/>
      <c r="S828" s="886"/>
      <c r="T828" s="886"/>
      <c r="U828" s="886"/>
    </row>
    <row r="829" spans="3:21">
      <c r="C829" s="942"/>
      <c r="D829" s="942"/>
      <c r="E829" s="943"/>
      <c r="F829" s="886"/>
      <c r="G829" s="886"/>
      <c r="H829" s="886"/>
      <c r="I829" s="886"/>
      <c r="J829" s="886"/>
      <c r="K829" s="886"/>
      <c r="L829" s="886"/>
      <c r="M829" s="886"/>
      <c r="N829" s="886"/>
      <c r="O829" s="886"/>
      <c r="P829" s="886"/>
      <c r="Q829" s="886"/>
      <c r="R829" s="886"/>
      <c r="S829" s="886"/>
      <c r="T829" s="886"/>
      <c r="U829" s="886"/>
    </row>
    <row r="830" spans="3:21">
      <c r="C830" s="942"/>
      <c r="D830" s="942"/>
      <c r="E830" s="943"/>
      <c r="F830" s="886"/>
      <c r="G830" s="886"/>
      <c r="H830" s="886"/>
      <c r="I830" s="886"/>
      <c r="J830" s="886"/>
      <c r="K830" s="886"/>
      <c r="L830" s="886"/>
      <c r="M830" s="886"/>
      <c r="N830" s="886"/>
      <c r="O830" s="886"/>
      <c r="P830" s="886"/>
      <c r="Q830" s="886"/>
      <c r="R830" s="886"/>
      <c r="S830" s="886"/>
      <c r="T830" s="886"/>
      <c r="U830" s="886"/>
    </row>
    <row r="831" spans="3:21">
      <c r="C831" s="942"/>
      <c r="D831" s="942"/>
      <c r="E831" s="943"/>
      <c r="F831" s="886"/>
      <c r="G831" s="886"/>
      <c r="H831" s="886"/>
      <c r="I831" s="886"/>
      <c r="J831" s="886"/>
      <c r="K831" s="886"/>
      <c r="L831" s="886"/>
      <c r="M831" s="886"/>
      <c r="N831" s="886"/>
      <c r="O831" s="886"/>
      <c r="P831" s="886"/>
      <c r="Q831" s="886"/>
      <c r="R831" s="886"/>
      <c r="S831" s="886"/>
      <c r="T831" s="886"/>
      <c r="U831" s="886"/>
    </row>
    <row r="832" spans="3:21">
      <c r="C832" s="942"/>
      <c r="D832" s="942"/>
      <c r="E832" s="943"/>
      <c r="F832" s="886"/>
      <c r="G832" s="886"/>
      <c r="H832" s="886"/>
      <c r="I832" s="886"/>
      <c r="J832" s="886"/>
      <c r="K832" s="886"/>
      <c r="L832" s="886"/>
      <c r="M832" s="886"/>
      <c r="N832" s="886"/>
      <c r="O832" s="886"/>
      <c r="P832" s="886"/>
      <c r="Q832" s="886"/>
      <c r="R832" s="886"/>
      <c r="S832" s="886"/>
      <c r="T832" s="886"/>
      <c r="U832" s="886"/>
    </row>
    <row r="833" spans="3:21">
      <c r="C833" s="942"/>
      <c r="D833" s="942"/>
      <c r="E833" s="943"/>
      <c r="F833" s="886"/>
      <c r="G833" s="886"/>
      <c r="H833" s="886"/>
      <c r="I833" s="886"/>
      <c r="J833" s="886"/>
      <c r="K833" s="886"/>
      <c r="L833" s="886"/>
      <c r="M833" s="886"/>
      <c r="N833" s="886"/>
      <c r="O833" s="886"/>
      <c r="P833" s="886"/>
      <c r="Q833" s="886"/>
      <c r="R833" s="886"/>
      <c r="S833" s="886"/>
      <c r="T833" s="886"/>
      <c r="U833" s="886"/>
    </row>
    <row r="834" spans="3:21">
      <c r="C834" s="942"/>
      <c r="D834" s="942"/>
      <c r="E834" s="943"/>
      <c r="F834" s="886"/>
      <c r="G834" s="886"/>
      <c r="H834" s="886"/>
      <c r="I834" s="886"/>
      <c r="J834" s="886"/>
      <c r="K834" s="886"/>
      <c r="L834" s="886"/>
      <c r="M834" s="886"/>
      <c r="N834" s="886"/>
      <c r="O834" s="886"/>
      <c r="P834" s="886"/>
      <c r="Q834" s="886"/>
      <c r="R834" s="886"/>
      <c r="S834" s="886"/>
      <c r="T834" s="886"/>
      <c r="U834" s="886"/>
    </row>
    <row r="835" spans="3:21">
      <c r="C835" s="942"/>
      <c r="D835" s="942"/>
      <c r="E835" s="943"/>
      <c r="F835" s="886"/>
      <c r="G835" s="886"/>
      <c r="H835" s="886"/>
      <c r="I835" s="886"/>
      <c r="J835" s="886"/>
      <c r="K835" s="886"/>
      <c r="L835" s="886"/>
      <c r="M835" s="886"/>
      <c r="N835" s="886"/>
      <c r="O835" s="886"/>
      <c r="P835" s="886"/>
      <c r="Q835" s="886"/>
      <c r="R835" s="886"/>
      <c r="S835" s="886"/>
      <c r="T835" s="886"/>
      <c r="U835" s="886"/>
    </row>
    <row r="836" spans="3:21">
      <c r="C836" s="942"/>
      <c r="D836" s="942"/>
      <c r="E836" s="943"/>
      <c r="F836" s="886"/>
      <c r="G836" s="886"/>
      <c r="H836" s="886"/>
      <c r="I836" s="886"/>
      <c r="J836" s="886"/>
      <c r="K836" s="886"/>
      <c r="L836" s="886"/>
      <c r="M836" s="886"/>
      <c r="N836" s="886"/>
      <c r="O836" s="886"/>
      <c r="P836" s="886"/>
      <c r="Q836" s="886"/>
      <c r="R836" s="886"/>
      <c r="S836" s="886"/>
      <c r="T836" s="886"/>
      <c r="U836" s="886"/>
    </row>
    <row r="837" spans="3:21">
      <c r="C837" s="942"/>
      <c r="D837" s="942"/>
      <c r="E837" s="943"/>
      <c r="F837" s="886"/>
      <c r="G837" s="886"/>
      <c r="H837" s="886"/>
      <c r="I837" s="886"/>
      <c r="J837" s="886"/>
      <c r="K837" s="886"/>
      <c r="L837" s="886"/>
      <c r="M837" s="886"/>
      <c r="N837" s="886"/>
      <c r="O837" s="886"/>
      <c r="P837" s="886"/>
      <c r="Q837" s="886"/>
      <c r="R837" s="886"/>
      <c r="S837" s="886"/>
      <c r="T837" s="886"/>
      <c r="U837" s="886"/>
    </row>
    <row r="838" spans="3:21">
      <c r="C838" s="942"/>
      <c r="D838" s="942"/>
      <c r="E838" s="943"/>
      <c r="F838" s="886"/>
      <c r="G838" s="886"/>
      <c r="H838" s="886"/>
      <c r="I838" s="886"/>
      <c r="J838" s="886"/>
      <c r="K838" s="886"/>
      <c r="L838" s="886"/>
      <c r="M838" s="886"/>
      <c r="N838" s="886"/>
      <c r="O838" s="886"/>
      <c r="P838" s="886"/>
      <c r="Q838" s="886"/>
      <c r="R838" s="886"/>
      <c r="S838" s="886"/>
      <c r="T838" s="886"/>
      <c r="U838" s="886"/>
    </row>
    <row r="839" spans="3:21">
      <c r="C839" s="942"/>
      <c r="D839" s="942"/>
      <c r="E839" s="943"/>
      <c r="F839" s="886"/>
      <c r="G839" s="886"/>
      <c r="H839" s="886"/>
      <c r="I839" s="886"/>
      <c r="J839" s="886"/>
      <c r="K839" s="886"/>
      <c r="L839" s="886"/>
      <c r="M839" s="886"/>
      <c r="N839" s="886"/>
      <c r="O839" s="886"/>
      <c r="P839" s="886"/>
      <c r="Q839" s="886"/>
      <c r="R839" s="886"/>
      <c r="S839" s="886"/>
      <c r="T839" s="886"/>
      <c r="U839" s="886"/>
    </row>
    <row r="840" spans="3:21">
      <c r="C840" s="942"/>
      <c r="D840" s="942"/>
      <c r="E840" s="943"/>
      <c r="F840" s="886"/>
      <c r="G840" s="886"/>
      <c r="H840" s="886"/>
      <c r="I840" s="886"/>
      <c r="J840" s="886"/>
      <c r="K840" s="886"/>
      <c r="L840" s="886"/>
      <c r="M840" s="886"/>
      <c r="N840" s="886"/>
      <c r="O840" s="886"/>
      <c r="P840" s="886"/>
      <c r="Q840" s="886"/>
      <c r="R840" s="886"/>
      <c r="S840" s="886"/>
      <c r="T840" s="886"/>
      <c r="U840" s="886"/>
    </row>
    <row r="841" spans="3:21">
      <c r="C841" s="942"/>
      <c r="D841" s="942"/>
      <c r="E841" s="943"/>
      <c r="F841" s="886"/>
      <c r="G841" s="886"/>
      <c r="H841" s="886"/>
      <c r="I841" s="886"/>
      <c r="J841" s="886"/>
      <c r="K841" s="886"/>
      <c r="L841" s="886"/>
      <c r="M841" s="886"/>
      <c r="N841" s="886"/>
      <c r="O841" s="886"/>
      <c r="P841" s="886"/>
      <c r="Q841" s="886"/>
      <c r="R841" s="886"/>
      <c r="S841" s="886"/>
      <c r="T841" s="886"/>
      <c r="U841" s="886"/>
    </row>
    <row r="842" spans="3:21">
      <c r="C842" s="942"/>
      <c r="D842" s="942"/>
      <c r="E842" s="943"/>
      <c r="F842" s="886"/>
      <c r="G842" s="886"/>
      <c r="H842" s="886"/>
      <c r="I842" s="886"/>
      <c r="J842" s="886"/>
      <c r="K842" s="886"/>
      <c r="L842" s="886"/>
      <c r="M842" s="886"/>
      <c r="N842" s="886"/>
      <c r="O842" s="886"/>
      <c r="P842" s="886"/>
      <c r="Q842" s="886"/>
      <c r="R842" s="886"/>
      <c r="S842" s="886"/>
      <c r="T842" s="886"/>
      <c r="U842" s="886"/>
    </row>
    <row r="843" spans="3:21">
      <c r="C843" s="942"/>
      <c r="D843" s="942"/>
      <c r="E843" s="943"/>
      <c r="F843" s="886"/>
      <c r="G843" s="886"/>
      <c r="H843" s="886"/>
      <c r="I843" s="886"/>
      <c r="J843" s="886"/>
      <c r="K843" s="886"/>
      <c r="L843" s="886"/>
      <c r="M843" s="886"/>
      <c r="N843" s="886"/>
      <c r="O843" s="886"/>
      <c r="P843" s="886"/>
      <c r="Q843" s="886"/>
      <c r="R843" s="886"/>
      <c r="S843" s="886"/>
      <c r="T843" s="886"/>
      <c r="U843" s="886"/>
    </row>
    <row r="844" spans="3:21">
      <c r="C844" s="942"/>
      <c r="D844" s="942"/>
      <c r="E844" s="943"/>
      <c r="F844" s="886"/>
      <c r="G844" s="886"/>
      <c r="H844" s="886"/>
      <c r="I844" s="886"/>
      <c r="J844" s="886"/>
      <c r="K844" s="886"/>
      <c r="L844" s="886"/>
      <c r="M844" s="886"/>
      <c r="N844" s="886"/>
      <c r="O844" s="886"/>
      <c r="P844" s="886"/>
      <c r="Q844" s="886"/>
      <c r="R844" s="886"/>
      <c r="S844" s="886"/>
      <c r="T844" s="886"/>
      <c r="U844" s="886"/>
    </row>
    <row r="845" spans="3:21">
      <c r="C845" s="942"/>
      <c r="D845" s="942"/>
      <c r="E845" s="943"/>
      <c r="F845" s="886"/>
      <c r="G845" s="886"/>
      <c r="H845" s="886"/>
      <c r="I845" s="886"/>
      <c r="J845" s="886"/>
      <c r="K845" s="886"/>
      <c r="L845" s="886"/>
      <c r="M845" s="886"/>
      <c r="N845" s="886"/>
      <c r="O845" s="886"/>
      <c r="P845" s="886"/>
      <c r="Q845" s="886"/>
      <c r="R845" s="886"/>
      <c r="S845" s="886"/>
      <c r="T845" s="886"/>
      <c r="U845" s="886"/>
    </row>
    <row r="846" spans="3:21">
      <c r="C846" s="942"/>
      <c r="D846" s="942"/>
      <c r="E846" s="943"/>
      <c r="F846" s="886"/>
      <c r="G846" s="886"/>
      <c r="H846" s="886"/>
      <c r="I846" s="886"/>
      <c r="J846" s="886"/>
      <c r="K846" s="886"/>
      <c r="L846" s="886"/>
      <c r="M846" s="886"/>
      <c r="N846" s="886"/>
      <c r="O846" s="886"/>
      <c r="P846" s="886"/>
      <c r="Q846" s="886"/>
      <c r="R846" s="886"/>
      <c r="S846" s="886"/>
      <c r="T846" s="886"/>
      <c r="U846" s="886"/>
    </row>
    <row r="847" spans="3:21">
      <c r="C847" s="942"/>
      <c r="D847" s="942"/>
      <c r="E847" s="943"/>
      <c r="F847" s="886"/>
      <c r="G847" s="886"/>
      <c r="H847" s="886"/>
      <c r="I847" s="886"/>
      <c r="J847" s="886"/>
      <c r="K847" s="886"/>
      <c r="L847" s="886"/>
      <c r="M847" s="886"/>
      <c r="N847" s="886"/>
      <c r="O847" s="886"/>
      <c r="P847" s="886"/>
      <c r="Q847" s="886"/>
      <c r="R847" s="886"/>
      <c r="S847" s="886"/>
      <c r="T847" s="886"/>
      <c r="U847" s="886"/>
    </row>
    <row r="848" spans="3:21">
      <c r="C848" s="942"/>
      <c r="D848" s="942"/>
      <c r="E848" s="943"/>
      <c r="F848" s="886"/>
      <c r="G848" s="886"/>
      <c r="H848" s="886"/>
      <c r="I848" s="886"/>
      <c r="J848" s="886"/>
      <c r="K848" s="886"/>
      <c r="L848" s="886"/>
      <c r="M848" s="886"/>
      <c r="N848" s="886"/>
      <c r="O848" s="886"/>
      <c r="P848" s="886"/>
      <c r="Q848" s="886"/>
      <c r="R848" s="886"/>
      <c r="S848" s="886"/>
      <c r="T848" s="886"/>
      <c r="U848" s="886"/>
    </row>
    <row r="849" spans="3:21">
      <c r="C849" s="942"/>
      <c r="D849" s="942"/>
      <c r="E849" s="943"/>
      <c r="F849" s="886"/>
      <c r="G849" s="886"/>
      <c r="H849" s="886"/>
      <c r="I849" s="886"/>
      <c r="J849" s="886"/>
      <c r="K849" s="886"/>
      <c r="L849" s="886"/>
      <c r="M849" s="886"/>
      <c r="N849" s="886"/>
      <c r="O849" s="886"/>
      <c r="P849" s="886"/>
      <c r="Q849" s="886"/>
      <c r="R849" s="886"/>
      <c r="S849" s="886"/>
      <c r="T849" s="886"/>
      <c r="U849" s="886"/>
    </row>
    <row r="850" spans="3:21">
      <c r="C850" s="942"/>
      <c r="D850" s="942"/>
      <c r="E850" s="943"/>
      <c r="F850" s="886"/>
      <c r="G850" s="886"/>
      <c r="H850" s="886"/>
      <c r="I850" s="886"/>
      <c r="J850" s="886"/>
      <c r="K850" s="886"/>
      <c r="L850" s="886"/>
      <c r="M850" s="886"/>
      <c r="N850" s="886"/>
      <c r="O850" s="886"/>
      <c r="P850" s="886"/>
      <c r="Q850" s="886"/>
      <c r="R850" s="886"/>
      <c r="S850" s="886"/>
      <c r="T850" s="886"/>
      <c r="U850" s="886"/>
    </row>
    <row r="851" spans="3:21">
      <c r="C851" s="942"/>
      <c r="D851" s="942"/>
      <c r="E851" s="943"/>
      <c r="F851" s="886"/>
      <c r="G851" s="886"/>
      <c r="H851" s="886"/>
      <c r="I851" s="886"/>
      <c r="J851" s="886"/>
      <c r="K851" s="886"/>
      <c r="L851" s="886"/>
      <c r="M851" s="886"/>
      <c r="N851" s="886"/>
      <c r="O851" s="886"/>
      <c r="P851" s="886"/>
      <c r="Q851" s="886"/>
      <c r="R851" s="886"/>
      <c r="S851" s="886"/>
      <c r="T851" s="886"/>
      <c r="U851" s="886"/>
    </row>
    <row r="852" spans="3:21">
      <c r="C852" s="942"/>
      <c r="D852" s="942"/>
      <c r="E852" s="943"/>
      <c r="F852" s="886"/>
      <c r="G852" s="886"/>
      <c r="H852" s="886"/>
      <c r="I852" s="886"/>
      <c r="J852" s="886"/>
      <c r="K852" s="886"/>
      <c r="L852" s="886"/>
      <c r="M852" s="886"/>
      <c r="N852" s="886"/>
      <c r="O852" s="886"/>
      <c r="P852" s="886"/>
      <c r="Q852" s="886"/>
      <c r="R852" s="886"/>
      <c r="S852" s="886"/>
      <c r="T852" s="886"/>
      <c r="U852" s="886"/>
    </row>
    <row r="853" spans="3:21">
      <c r="C853" s="942"/>
      <c r="D853" s="942"/>
      <c r="E853" s="943"/>
      <c r="F853" s="886"/>
      <c r="G853" s="886"/>
      <c r="H853" s="886"/>
      <c r="I853" s="886"/>
      <c r="J853" s="886"/>
      <c r="K853" s="886"/>
      <c r="L853" s="886"/>
      <c r="M853" s="886"/>
      <c r="N853" s="886"/>
      <c r="O853" s="886"/>
      <c r="P853" s="886"/>
      <c r="Q853" s="886"/>
      <c r="R853" s="886"/>
      <c r="S853" s="886"/>
      <c r="T853" s="886"/>
      <c r="U853" s="886"/>
    </row>
    <row r="854" spans="3:21">
      <c r="C854" s="942"/>
      <c r="D854" s="942"/>
      <c r="E854" s="943"/>
      <c r="F854" s="886"/>
      <c r="G854" s="886"/>
      <c r="H854" s="886"/>
      <c r="I854" s="886"/>
      <c r="J854" s="886"/>
      <c r="K854" s="886"/>
      <c r="L854" s="886"/>
      <c r="M854" s="886"/>
      <c r="N854" s="886"/>
      <c r="O854" s="886"/>
      <c r="P854" s="886"/>
      <c r="Q854" s="886"/>
      <c r="R854" s="886"/>
      <c r="S854" s="886"/>
      <c r="T854" s="886"/>
      <c r="U854" s="886"/>
    </row>
    <row r="855" spans="3:21">
      <c r="C855" s="942"/>
      <c r="D855" s="942"/>
      <c r="E855" s="943"/>
      <c r="F855" s="886"/>
      <c r="G855" s="886"/>
      <c r="H855" s="886"/>
      <c r="I855" s="886"/>
      <c r="J855" s="886"/>
      <c r="K855" s="886"/>
      <c r="L855" s="886"/>
      <c r="M855" s="886"/>
      <c r="N855" s="886"/>
      <c r="O855" s="886"/>
      <c r="P855" s="886"/>
      <c r="Q855" s="886"/>
      <c r="R855" s="886"/>
      <c r="S855" s="886"/>
      <c r="T855" s="886"/>
      <c r="U855" s="886"/>
    </row>
    <row r="856" spans="3:21">
      <c r="C856" s="942"/>
      <c r="D856" s="942"/>
      <c r="E856" s="943"/>
      <c r="F856" s="886"/>
      <c r="G856" s="886"/>
      <c r="H856" s="886"/>
      <c r="I856" s="886"/>
      <c r="J856" s="886"/>
      <c r="K856" s="886"/>
      <c r="L856" s="886"/>
      <c r="M856" s="886"/>
      <c r="N856" s="886"/>
      <c r="O856" s="886"/>
      <c r="P856" s="886"/>
      <c r="Q856" s="886"/>
      <c r="R856" s="886"/>
      <c r="S856" s="886"/>
      <c r="T856" s="886"/>
      <c r="U856" s="886"/>
    </row>
    <row r="857" spans="3:21">
      <c r="C857" s="942"/>
      <c r="D857" s="942"/>
      <c r="E857" s="943"/>
      <c r="F857" s="886"/>
      <c r="G857" s="886"/>
      <c r="H857" s="886"/>
      <c r="I857" s="886"/>
      <c r="J857" s="886"/>
      <c r="K857" s="886"/>
      <c r="L857" s="886"/>
      <c r="M857" s="886"/>
      <c r="N857" s="886"/>
      <c r="O857" s="886"/>
      <c r="P857" s="886"/>
      <c r="Q857" s="886"/>
      <c r="R857" s="886"/>
      <c r="S857" s="886"/>
      <c r="T857" s="886"/>
      <c r="U857" s="886"/>
    </row>
    <row r="858" spans="3:21">
      <c r="C858" s="942"/>
      <c r="D858" s="942"/>
      <c r="E858" s="943"/>
      <c r="F858" s="886"/>
      <c r="G858" s="886"/>
      <c r="H858" s="886"/>
      <c r="I858" s="886"/>
      <c r="J858" s="886"/>
      <c r="K858" s="886"/>
      <c r="L858" s="886"/>
      <c r="M858" s="886"/>
      <c r="N858" s="886"/>
      <c r="O858" s="886"/>
      <c r="P858" s="886"/>
      <c r="Q858" s="886"/>
      <c r="R858" s="886"/>
      <c r="S858" s="886"/>
      <c r="T858" s="886"/>
      <c r="U858" s="886"/>
    </row>
    <row r="859" spans="3:21">
      <c r="C859" s="942"/>
      <c r="D859" s="942"/>
      <c r="E859" s="943"/>
      <c r="F859" s="886"/>
      <c r="G859" s="886"/>
      <c r="H859" s="886"/>
      <c r="I859" s="886"/>
      <c r="J859" s="886"/>
      <c r="K859" s="886"/>
      <c r="L859" s="886"/>
      <c r="M859" s="886"/>
      <c r="N859" s="886"/>
      <c r="O859" s="886"/>
      <c r="P859" s="886"/>
      <c r="Q859" s="886"/>
      <c r="R859" s="886"/>
      <c r="S859" s="886"/>
      <c r="T859" s="886"/>
      <c r="U859" s="886"/>
    </row>
    <row r="860" spans="3:21">
      <c r="C860" s="942"/>
      <c r="D860" s="942"/>
      <c r="E860" s="943"/>
      <c r="F860" s="886"/>
      <c r="G860" s="886"/>
      <c r="H860" s="886"/>
      <c r="I860" s="886"/>
      <c r="J860" s="886"/>
      <c r="K860" s="886"/>
      <c r="L860" s="886"/>
      <c r="M860" s="886"/>
      <c r="N860" s="886"/>
      <c r="O860" s="886"/>
      <c r="P860" s="886"/>
      <c r="Q860" s="886"/>
      <c r="R860" s="886"/>
      <c r="S860" s="886"/>
      <c r="T860" s="886"/>
      <c r="U860" s="886"/>
    </row>
    <row r="861" spans="3:21">
      <c r="C861" s="942"/>
      <c r="D861" s="942"/>
      <c r="E861" s="943"/>
      <c r="F861" s="886"/>
      <c r="G861" s="886"/>
      <c r="H861" s="886"/>
      <c r="I861" s="886"/>
      <c r="J861" s="886"/>
      <c r="K861" s="886"/>
      <c r="L861" s="886"/>
      <c r="M861" s="886"/>
      <c r="N861" s="886"/>
      <c r="O861" s="886"/>
      <c r="P861" s="886"/>
      <c r="Q861" s="886"/>
      <c r="R861" s="886"/>
      <c r="S861" s="886"/>
      <c r="T861" s="886"/>
      <c r="U861" s="886"/>
    </row>
    <row r="862" spans="3:21">
      <c r="C862" s="942"/>
      <c r="D862" s="942"/>
      <c r="E862" s="943"/>
      <c r="F862" s="886"/>
      <c r="G862" s="886"/>
      <c r="H862" s="886"/>
      <c r="I862" s="886"/>
      <c r="J862" s="886"/>
      <c r="K862" s="886"/>
      <c r="L862" s="886"/>
      <c r="M862" s="886"/>
      <c r="N862" s="886"/>
      <c r="O862" s="886"/>
      <c r="P862" s="886"/>
      <c r="Q862" s="886"/>
      <c r="R862" s="886"/>
      <c r="S862" s="886"/>
      <c r="T862" s="886"/>
      <c r="U862" s="886"/>
    </row>
    <row r="863" spans="3:21">
      <c r="C863" s="942"/>
      <c r="D863" s="942"/>
      <c r="E863" s="943"/>
      <c r="F863" s="886"/>
      <c r="G863" s="886"/>
      <c r="H863" s="886"/>
      <c r="I863" s="886"/>
      <c r="J863" s="886"/>
      <c r="K863" s="886"/>
      <c r="L863" s="886"/>
      <c r="M863" s="886"/>
      <c r="N863" s="886"/>
      <c r="O863" s="886"/>
      <c r="P863" s="886"/>
      <c r="Q863" s="886"/>
      <c r="R863" s="886"/>
      <c r="S863" s="886"/>
      <c r="T863" s="886"/>
      <c r="U863" s="886"/>
    </row>
    <row r="864" spans="3:21">
      <c r="C864" s="942"/>
      <c r="D864" s="942"/>
      <c r="E864" s="943"/>
      <c r="F864" s="886"/>
      <c r="G864" s="886"/>
      <c r="H864" s="886"/>
      <c r="I864" s="886"/>
      <c r="J864" s="886"/>
      <c r="K864" s="886"/>
      <c r="L864" s="886"/>
      <c r="M864" s="886"/>
      <c r="N864" s="886"/>
      <c r="O864" s="886"/>
      <c r="P864" s="886"/>
      <c r="Q864" s="886"/>
      <c r="R864" s="886"/>
      <c r="S864" s="886"/>
      <c r="T864" s="886"/>
      <c r="U864" s="886"/>
    </row>
    <row r="865" spans="3:21">
      <c r="C865" s="942"/>
      <c r="D865" s="942"/>
      <c r="E865" s="943"/>
      <c r="F865" s="886"/>
      <c r="G865" s="886"/>
      <c r="H865" s="886"/>
      <c r="I865" s="886"/>
      <c r="J865" s="886"/>
      <c r="K865" s="886"/>
      <c r="L865" s="886"/>
      <c r="M865" s="886"/>
      <c r="N865" s="886"/>
      <c r="O865" s="886"/>
      <c r="P865" s="886"/>
      <c r="Q865" s="886"/>
      <c r="R865" s="886"/>
      <c r="S865" s="886"/>
      <c r="T865" s="886"/>
      <c r="U865" s="886"/>
    </row>
    <row r="866" spans="3:21">
      <c r="C866" s="942"/>
      <c r="D866" s="942"/>
      <c r="E866" s="943"/>
      <c r="F866" s="886"/>
      <c r="G866" s="886"/>
      <c r="H866" s="886"/>
      <c r="I866" s="886"/>
      <c r="J866" s="886"/>
      <c r="K866" s="886"/>
      <c r="L866" s="886"/>
      <c r="M866" s="886"/>
      <c r="N866" s="886"/>
      <c r="O866" s="886"/>
      <c r="P866" s="886"/>
      <c r="Q866" s="886"/>
      <c r="R866" s="886"/>
      <c r="S866" s="886"/>
      <c r="T866" s="886"/>
      <c r="U866" s="886"/>
    </row>
    <row r="867" spans="3:21">
      <c r="C867" s="942"/>
      <c r="D867" s="942"/>
      <c r="E867" s="943"/>
      <c r="F867" s="886"/>
      <c r="G867" s="886"/>
      <c r="H867" s="886"/>
      <c r="I867" s="886"/>
      <c r="J867" s="886"/>
      <c r="K867" s="886"/>
      <c r="L867" s="886"/>
      <c r="M867" s="886"/>
      <c r="N867" s="886"/>
      <c r="O867" s="886"/>
      <c r="P867" s="886"/>
      <c r="Q867" s="886"/>
      <c r="R867" s="886"/>
      <c r="S867" s="886"/>
      <c r="T867" s="886"/>
      <c r="U867" s="886"/>
    </row>
    <row r="868" spans="3:21">
      <c r="C868" s="942"/>
      <c r="D868" s="942"/>
      <c r="E868" s="943"/>
      <c r="F868" s="886"/>
      <c r="G868" s="886"/>
      <c r="H868" s="886"/>
      <c r="I868" s="886"/>
      <c r="J868" s="886"/>
      <c r="K868" s="886"/>
      <c r="L868" s="886"/>
      <c r="M868" s="886"/>
      <c r="N868" s="886"/>
      <c r="O868" s="886"/>
      <c r="P868" s="886"/>
      <c r="Q868" s="886"/>
      <c r="R868" s="886"/>
      <c r="S868" s="886"/>
      <c r="T868" s="886"/>
      <c r="U868" s="886"/>
    </row>
    <row r="869" spans="3:21">
      <c r="C869" s="942"/>
      <c r="D869" s="942"/>
      <c r="E869" s="943"/>
      <c r="F869" s="886"/>
      <c r="G869" s="886"/>
      <c r="H869" s="886"/>
      <c r="I869" s="886"/>
      <c r="J869" s="886"/>
      <c r="K869" s="886"/>
      <c r="L869" s="886"/>
      <c r="M869" s="886"/>
      <c r="N869" s="886"/>
      <c r="O869" s="886"/>
      <c r="P869" s="886"/>
      <c r="Q869" s="886"/>
      <c r="R869" s="886"/>
      <c r="S869" s="886"/>
      <c r="T869" s="886"/>
      <c r="U869" s="886"/>
    </row>
    <row r="870" spans="3:21">
      <c r="C870" s="942"/>
      <c r="D870" s="942"/>
      <c r="E870" s="943"/>
      <c r="F870" s="886"/>
      <c r="G870" s="886"/>
      <c r="H870" s="886"/>
      <c r="I870" s="886"/>
      <c r="J870" s="886"/>
      <c r="K870" s="886"/>
      <c r="L870" s="886"/>
      <c r="M870" s="886"/>
      <c r="N870" s="886"/>
      <c r="O870" s="886"/>
      <c r="P870" s="886"/>
      <c r="Q870" s="886"/>
      <c r="R870" s="886"/>
      <c r="S870" s="886"/>
      <c r="T870" s="886"/>
      <c r="U870" s="886"/>
    </row>
    <row r="871" spans="3:21">
      <c r="C871" s="942"/>
      <c r="D871" s="942"/>
      <c r="E871" s="943"/>
      <c r="F871" s="886"/>
      <c r="G871" s="886"/>
      <c r="H871" s="886"/>
      <c r="I871" s="886"/>
      <c r="J871" s="886"/>
      <c r="K871" s="886"/>
      <c r="L871" s="886"/>
      <c r="M871" s="886"/>
      <c r="N871" s="886"/>
      <c r="O871" s="886"/>
      <c r="P871" s="886"/>
      <c r="Q871" s="886"/>
      <c r="R871" s="886"/>
      <c r="S871" s="886"/>
      <c r="T871" s="886"/>
      <c r="U871" s="886"/>
    </row>
    <row r="872" spans="3:21">
      <c r="C872" s="942"/>
      <c r="D872" s="942"/>
      <c r="E872" s="943"/>
      <c r="F872" s="886"/>
      <c r="G872" s="886"/>
      <c r="H872" s="886"/>
      <c r="I872" s="886"/>
      <c r="J872" s="886"/>
      <c r="K872" s="886"/>
      <c r="L872" s="886"/>
      <c r="M872" s="886"/>
      <c r="N872" s="886"/>
      <c r="O872" s="886"/>
      <c r="P872" s="886"/>
      <c r="Q872" s="886"/>
      <c r="R872" s="886"/>
      <c r="S872" s="886"/>
      <c r="T872" s="886"/>
      <c r="U872" s="886"/>
    </row>
    <row r="873" spans="3:21">
      <c r="C873" s="942"/>
      <c r="D873" s="942"/>
      <c r="E873" s="943"/>
      <c r="F873" s="886"/>
      <c r="G873" s="886"/>
      <c r="H873" s="886"/>
      <c r="I873" s="886"/>
      <c r="J873" s="886"/>
      <c r="K873" s="886"/>
      <c r="L873" s="886"/>
      <c r="M873" s="886"/>
      <c r="N873" s="886"/>
      <c r="O873" s="886"/>
      <c r="P873" s="886"/>
      <c r="Q873" s="886"/>
      <c r="R873" s="886"/>
      <c r="S873" s="886"/>
      <c r="T873" s="886"/>
      <c r="U873" s="886"/>
    </row>
    <row r="874" spans="3:21">
      <c r="C874" s="942"/>
      <c r="D874" s="942"/>
      <c r="E874" s="943"/>
      <c r="F874" s="886"/>
      <c r="G874" s="886"/>
      <c r="H874" s="886"/>
      <c r="I874" s="886"/>
      <c r="J874" s="886"/>
      <c r="K874" s="886"/>
      <c r="L874" s="886"/>
      <c r="M874" s="886"/>
      <c r="N874" s="886"/>
      <c r="O874" s="886"/>
      <c r="P874" s="886"/>
      <c r="Q874" s="886"/>
      <c r="R874" s="886"/>
      <c r="S874" s="886"/>
      <c r="T874" s="886"/>
      <c r="U874" s="886"/>
    </row>
    <row r="875" spans="3:21">
      <c r="C875" s="942"/>
      <c r="D875" s="942"/>
      <c r="E875" s="943"/>
      <c r="F875" s="886"/>
      <c r="G875" s="886"/>
      <c r="H875" s="886"/>
      <c r="I875" s="886"/>
      <c r="J875" s="886"/>
      <c r="K875" s="886"/>
      <c r="L875" s="886"/>
      <c r="M875" s="886"/>
      <c r="N875" s="886"/>
      <c r="O875" s="886"/>
      <c r="P875" s="886"/>
      <c r="Q875" s="886"/>
      <c r="R875" s="886"/>
      <c r="S875" s="886"/>
      <c r="T875" s="886"/>
      <c r="U875" s="886"/>
    </row>
    <row r="876" spans="3:21">
      <c r="C876" s="942"/>
      <c r="D876" s="942"/>
      <c r="E876" s="943"/>
      <c r="F876" s="886"/>
      <c r="G876" s="886"/>
      <c r="H876" s="886"/>
      <c r="I876" s="886"/>
      <c r="J876" s="886"/>
      <c r="K876" s="886"/>
      <c r="L876" s="886"/>
      <c r="M876" s="886"/>
      <c r="N876" s="886"/>
      <c r="O876" s="886"/>
      <c r="P876" s="886"/>
      <c r="Q876" s="886"/>
      <c r="R876" s="886"/>
      <c r="S876" s="886"/>
      <c r="T876" s="886"/>
      <c r="U876" s="886"/>
    </row>
    <row r="877" spans="3:21">
      <c r="C877" s="942"/>
      <c r="D877" s="942"/>
      <c r="E877" s="943"/>
      <c r="F877" s="886"/>
      <c r="G877" s="886"/>
      <c r="H877" s="886"/>
      <c r="I877" s="886"/>
      <c r="J877" s="886"/>
      <c r="K877" s="886"/>
      <c r="L877" s="886"/>
      <c r="M877" s="886"/>
      <c r="N877" s="886"/>
      <c r="O877" s="886"/>
      <c r="P877" s="886"/>
      <c r="Q877" s="886"/>
      <c r="R877" s="886"/>
      <c r="S877" s="886"/>
      <c r="T877" s="886"/>
      <c r="U877" s="886"/>
    </row>
    <row r="878" spans="3:21">
      <c r="C878" s="942"/>
      <c r="D878" s="942"/>
      <c r="E878" s="943"/>
      <c r="F878" s="886"/>
      <c r="G878" s="886"/>
      <c r="H878" s="886"/>
      <c r="I878" s="886"/>
      <c r="J878" s="886"/>
      <c r="K878" s="886"/>
      <c r="L878" s="886"/>
      <c r="M878" s="886"/>
      <c r="N878" s="886"/>
      <c r="O878" s="886"/>
      <c r="P878" s="886"/>
      <c r="Q878" s="886"/>
      <c r="R878" s="886"/>
      <c r="S878" s="886"/>
      <c r="T878" s="886"/>
      <c r="U878" s="886"/>
    </row>
    <row r="879" spans="3:21">
      <c r="C879" s="942"/>
      <c r="D879" s="942"/>
      <c r="E879" s="943"/>
      <c r="F879" s="886"/>
      <c r="G879" s="886"/>
      <c r="H879" s="886"/>
      <c r="I879" s="886"/>
      <c r="J879" s="886"/>
      <c r="K879" s="886"/>
      <c r="L879" s="886"/>
      <c r="M879" s="886"/>
      <c r="N879" s="886"/>
      <c r="O879" s="886"/>
      <c r="P879" s="886"/>
      <c r="Q879" s="886"/>
      <c r="R879" s="886"/>
      <c r="S879" s="886"/>
      <c r="T879" s="886"/>
      <c r="U879" s="886"/>
    </row>
    <row r="880" spans="3:21">
      <c r="C880" s="942"/>
      <c r="D880" s="942"/>
      <c r="E880" s="943"/>
      <c r="F880" s="886"/>
      <c r="G880" s="886"/>
      <c r="H880" s="886"/>
      <c r="I880" s="886"/>
      <c r="J880" s="886"/>
      <c r="K880" s="886"/>
      <c r="L880" s="886"/>
      <c r="M880" s="886"/>
      <c r="N880" s="886"/>
      <c r="O880" s="886"/>
      <c r="P880" s="886"/>
      <c r="Q880" s="886"/>
      <c r="R880" s="886"/>
      <c r="S880" s="886"/>
      <c r="T880" s="886"/>
      <c r="U880" s="886"/>
    </row>
    <row r="881" spans="3:21">
      <c r="C881" s="942"/>
      <c r="D881" s="942"/>
      <c r="E881" s="943"/>
      <c r="F881" s="886"/>
      <c r="G881" s="886"/>
      <c r="H881" s="886"/>
      <c r="I881" s="886"/>
      <c r="J881" s="886"/>
      <c r="K881" s="886"/>
      <c r="L881" s="886"/>
      <c r="M881" s="886"/>
      <c r="N881" s="886"/>
      <c r="O881" s="886"/>
      <c r="P881" s="886"/>
      <c r="Q881" s="886"/>
      <c r="R881" s="886"/>
      <c r="S881" s="886"/>
      <c r="T881" s="886"/>
      <c r="U881" s="886"/>
    </row>
    <row r="882" spans="3:21">
      <c r="C882" s="942"/>
      <c r="D882" s="942"/>
      <c r="E882" s="943"/>
      <c r="F882" s="886"/>
      <c r="G882" s="886"/>
      <c r="H882" s="886"/>
      <c r="I882" s="886"/>
      <c r="J882" s="886"/>
      <c r="K882" s="886"/>
      <c r="L882" s="886"/>
      <c r="M882" s="886"/>
      <c r="N882" s="886"/>
      <c r="O882" s="886"/>
      <c r="P882" s="886"/>
      <c r="Q882" s="886"/>
      <c r="R882" s="886"/>
      <c r="S882" s="886"/>
      <c r="T882" s="886"/>
      <c r="U882" s="886"/>
    </row>
    <row r="883" spans="3:21">
      <c r="C883" s="942"/>
      <c r="D883" s="942"/>
      <c r="E883" s="943"/>
      <c r="F883" s="886"/>
      <c r="G883" s="886"/>
      <c r="H883" s="886"/>
      <c r="I883" s="886"/>
      <c r="J883" s="886"/>
      <c r="K883" s="886"/>
      <c r="L883" s="886"/>
      <c r="M883" s="886"/>
      <c r="N883" s="886"/>
      <c r="O883" s="886"/>
      <c r="P883" s="886"/>
      <c r="Q883" s="886"/>
      <c r="R883" s="886"/>
      <c r="S883" s="886"/>
      <c r="T883" s="886"/>
      <c r="U883" s="886"/>
    </row>
    <row r="884" spans="3:21">
      <c r="C884" s="942"/>
      <c r="D884" s="942"/>
      <c r="E884" s="943"/>
      <c r="F884" s="886"/>
      <c r="G884" s="886"/>
      <c r="H884" s="886"/>
      <c r="I884" s="886"/>
      <c r="J884" s="886"/>
      <c r="K884" s="886"/>
      <c r="L884" s="886"/>
      <c r="M884" s="886"/>
      <c r="N884" s="886"/>
      <c r="O884" s="886"/>
      <c r="P884" s="886"/>
      <c r="Q884" s="886"/>
      <c r="R884" s="886"/>
      <c r="S884" s="886"/>
      <c r="T884" s="886"/>
      <c r="U884" s="886"/>
    </row>
    <row r="885" spans="3:21">
      <c r="C885" s="942"/>
      <c r="D885" s="942"/>
      <c r="E885" s="943"/>
      <c r="F885" s="886"/>
      <c r="G885" s="886"/>
      <c r="H885" s="886"/>
      <c r="I885" s="886"/>
      <c r="J885" s="886"/>
      <c r="K885" s="886"/>
      <c r="L885" s="886"/>
      <c r="M885" s="886"/>
      <c r="N885" s="886"/>
      <c r="O885" s="886"/>
      <c r="P885" s="886"/>
      <c r="Q885" s="886"/>
      <c r="R885" s="886"/>
      <c r="S885" s="886"/>
      <c r="T885" s="886"/>
      <c r="U885" s="886"/>
    </row>
    <row r="886" spans="3:21">
      <c r="C886" s="942"/>
      <c r="D886" s="942"/>
      <c r="E886" s="943"/>
      <c r="F886" s="886"/>
      <c r="G886" s="886"/>
      <c r="H886" s="886"/>
      <c r="I886" s="886"/>
      <c r="J886" s="886"/>
      <c r="K886" s="886"/>
      <c r="L886" s="886"/>
      <c r="M886" s="886"/>
      <c r="N886" s="886"/>
      <c r="O886" s="886"/>
      <c r="P886" s="886"/>
      <c r="Q886" s="886"/>
      <c r="R886" s="886"/>
      <c r="S886" s="886"/>
      <c r="T886" s="886"/>
      <c r="U886" s="886"/>
    </row>
    <row r="887" spans="3:21">
      <c r="C887" s="942"/>
      <c r="D887" s="942"/>
      <c r="E887" s="943"/>
      <c r="F887" s="886"/>
      <c r="G887" s="886"/>
      <c r="H887" s="886"/>
      <c r="I887" s="886"/>
      <c r="J887" s="886"/>
      <c r="K887" s="886"/>
      <c r="L887" s="886"/>
      <c r="M887" s="886"/>
      <c r="N887" s="886"/>
      <c r="O887" s="886"/>
      <c r="P887" s="886"/>
      <c r="Q887" s="886"/>
      <c r="R887" s="886"/>
      <c r="S887" s="886"/>
      <c r="T887" s="886"/>
      <c r="U887" s="886"/>
    </row>
    <row r="888" spans="3:21">
      <c r="C888" s="942"/>
      <c r="D888" s="942"/>
      <c r="E888" s="943"/>
      <c r="F888" s="886"/>
      <c r="G888" s="886"/>
      <c r="H888" s="886"/>
      <c r="I888" s="886"/>
      <c r="J888" s="886"/>
      <c r="K888" s="886"/>
      <c r="L888" s="886"/>
      <c r="M888" s="886"/>
      <c r="N888" s="886"/>
      <c r="O888" s="886"/>
      <c r="P888" s="886"/>
      <c r="Q888" s="886"/>
      <c r="R888" s="886"/>
      <c r="S888" s="886"/>
      <c r="T888" s="886"/>
      <c r="U888" s="886"/>
    </row>
    <row r="889" spans="3:21">
      <c r="C889" s="942"/>
      <c r="D889" s="942"/>
      <c r="E889" s="943"/>
      <c r="F889" s="886"/>
      <c r="G889" s="886"/>
      <c r="H889" s="886"/>
      <c r="I889" s="886"/>
      <c r="J889" s="886"/>
      <c r="K889" s="886"/>
      <c r="L889" s="886"/>
      <c r="M889" s="886"/>
      <c r="N889" s="886"/>
      <c r="O889" s="886"/>
      <c r="P889" s="886"/>
      <c r="Q889" s="886"/>
      <c r="R889" s="886"/>
      <c r="S889" s="886"/>
      <c r="T889" s="886"/>
      <c r="U889" s="886"/>
    </row>
    <row r="890" spans="3:21">
      <c r="C890" s="942"/>
      <c r="D890" s="942"/>
      <c r="E890" s="943"/>
      <c r="F890" s="886"/>
      <c r="G890" s="886"/>
      <c r="H890" s="886"/>
      <c r="I890" s="886"/>
      <c r="J890" s="886"/>
      <c r="K890" s="886"/>
      <c r="L890" s="886"/>
      <c r="M890" s="886"/>
      <c r="N890" s="886"/>
      <c r="O890" s="886"/>
      <c r="P890" s="886"/>
      <c r="Q890" s="886"/>
      <c r="R890" s="886"/>
      <c r="S890" s="886"/>
      <c r="T890" s="886"/>
      <c r="U890" s="886"/>
    </row>
    <row r="891" spans="3:21">
      <c r="C891" s="942"/>
      <c r="D891" s="942"/>
      <c r="E891" s="943"/>
      <c r="F891" s="886"/>
      <c r="G891" s="886"/>
      <c r="H891" s="886"/>
      <c r="I891" s="886"/>
      <c r="J891" s="886"/>
      <c r="K891" s="886"/>
      <c r="L891" s="886"/>
      <c r="M891" s="886"/>
      <c r="N891" s="886"/>
      <c r="O891" s="886"/>
      <c r="P891" s="886"/>
      <c r="Q891" s="886"/>
      <c r="R891" s="886"/>
      <c r="S891" s="886"/>
      <c r="T891" s="886"/>
      <c r="U891" s="886"/>
    </row>
    <row r="892" spans="3:21">
      <c r="C892" s="942"/>
      <c r="D892" s="942"/>
      <c r="E892" s="943"/>
      <c r="F892" s="886"/>
      <c r="G892" s="886"/>
      <c r="H892" s="886"/>
      <c r="I892" s="886"/>
      <c r="J892" s="886"/>
      <c r="K892" s="886"/>
      <c r="L892" s="886"/>
      <c r="M892" s="886"/>
      <c r="N892" s="886"/>
      <c r="O892" s="886"/>
      <c r="P892" s="886"/>
      <c r="Q892" s="886"/>
      <c r="R892" s="886"/>
      <c r="S892" s="886"/>
      <c r="T892" s="886"/>
      <c r="U892" s="886"/>
    </row>
    <row r="893" spans="3:21">
      <c r="C893" s="942"/>
      <c r="D893" s="942"/>
      <c r="E893" s="943"/>
      <c r="F893" s="886"/>
      <c r="G893" s="886"/>
      <c r="H893" s="886"/>
      <c r="I893" s="886"/>
      <c r="J893" s="886"/>
      <c r="K893" s="886"/>
      <c r="L893" s="886"/>
      <c r="M893" s="886"/>
      <c r="N893" s="886"/>
      <c r="O893" s="886"/>
      <c r="P893" s="886"/>
      <c r="Q893" s="886"/>
      <c r="R893" s="886"/>
      <c r="S893" s="886"/>
      <c r="T893" s="886"/>
      <c r="U893" s="886"/>
    </row>
    <row r="894" spans="3:21">
      <c r="C894" s="942"/>
      <c r="D894" s="942"/>
      <c r="E894" s="943"/>
      <c r="F894" s="886"/>
      <c r="G894" s="886"/>
      <c r="H894" s="886"/>
      <c r="I894" s="886"/>
      <c r="J894" s="886"/>
      <c r="K894" s="886"/>
      <c r="L894" s="886"/>
      <c r="M894" s="886"/>
      <c r="N894" s="886"/>
      <c r="O894" s="886"/>
      <c r="P894" s="886"/>
      <c r="Q894" s="886"/>
      <c r="R894" s="886"/>
      <c r="S894" s="886"/>
      <c r="T894" s="886"/>
      <c r="U894" s="886"/>
    </row>
    <row r="895" spans="3:21">
      <c r="C895" s="942"/>
      <c r="D895" s="942"/>
      <c r="E895" s="943"/>
      <c r="F895" s="886"/>
      <c r="G895" s="886"/>
      <c r="H895" s="886"/>
      <c r="I895" s="886"/>
      <c r="J895" s="886"/>
      <c r="K895" s="886"/>
      <c r="L895" s="886"/>
      <c r="M895" s="886"/>
      <c r="N895" s="886"/>
      <c r="O895" s="886"/>
      <c r="P895" s="886"/>
      <c r="Q895" s="886"/>
      <c r="R895" s="886"/>
      <c r="S895" s="886"/>
      <c r="T895" s="886"/>
      <c r="U895" s="886"/>
    </row>
    <row r="896" spans="3:21">
      <c r="C896" s="942"/>
      <c r="D896" s="942"/>
      <c r="E896" s="943"/>
      <c r="F896" s="886"/>
      <c r="G896" s="886"/>
      <c r="H896" s="886"/>
      <c r="I896" s="886"/>
      <c r="J896" s="886"/>
      <c r="K896" s="886"/>
      <c r="L896" s="886"/>
      <c r="M896" s="886"/>
      <c r="N896" s="886"/>
      <c r="O896" s="886"/>
      <c r="P896" s="886"/>
      <c r="Q896" s="886"/>
      <c r="R896" s="886"/>
      <c r="S896" s="886"/>
      <c r="T896" s="886"/>
      <c r="U896" s="886"/>
    </row>
    <row r="897" spans="3:21">
      <c r="C897" s="942"/>
      <c r="D897" s="942"/>
      <c r="E897" s="943"/>
      <c r="F897" s="886"/>
      <c r="G897" s="886"/>
      <c r="H897" s="886"/>
      <c r="I897" s="886"/>
      <c r="J897" s="886"/>
      <c r="K897" s="886"/>
      <c r="L897" s="886"/>
      <c r="M897" s="886"/>
      <c r="N897" s="886"/>
      <c r="O897" s="886"/>
      <c r="P897" s="886"/>
      <c r="Q897" s="886"/>
      <c r="R897" s="886"/>
      <c r="S897" s="886"/>
      <c r="T897" s="886"/>
      <c r="U897" s="886"/>
    </row>
    <row r="898" spans="3:21">
      <c r="C898" s="942"/>
      <c r="D898" s="942"/>
      <c r="E898" s="943"/>
      <c r="F898" s="886"/>
      <c r="G898" s="886"/>
      <c r="H898" s="886"/>
      <c r="I898" s="886"/>
      <c r="J898" s="886"/>
      <c r="K898" s="886"/>
      <c r="L898" s="886"/>
      <c r="M898" s="886"/>
      <c r="N898" s="886"/>
      <c r="O898" s="886"/>
      <c r="P898" s="886"/>
      <c r="Q898" s="886"/>
      <c r="R898" s="886"/>
      <c r="S898" s="886"/>
      <c r="T898" s="886"/>
      <c r="U898" s="886"/>
    </row>
    <row r="899" spans="3:21">
      <c r="C899" s="942"/>
      <c r="D899" s="942"/>
      <c r="E899" s="943"/>
      <c r="F899" s="886"/>
      <c r="G899" s="886"/>
      <c r="H899" s="886"/>
      <c r="I899" s="886"/>
      <c r="J899" s="886"/>
      <c r="K899" s="886"/>
      <c r="L899" s="886"/>
      <c r="M899" s="886"/>
      <c r="N899" s="886"/>
      <c r="O899" s="886"/>
      <c r="P899" s="886"/>
      <c r="Q899" s="886"/>
      <c r="R899" s="886"/>
      <c r="S899" s="886"/>
      <c r="T899" s="886"/>
      <c r="U899" s="886"/>
    </row>
    <row r="900" spans="3:21">
      <c r="C900" s="942"/>
      <c r="D900" s="942"/>
      <c r="E900" s="943"/>
      <c r="F900" s="886"/>
      <c r="G900" s="886"/>
      <c r="H900" s="886"/>
      <c r="I900" s="886"/>
      <c r="J900" s="886"/>
      <c r="K900" s="886"/>
      <c r="L900" s="886"/>
      <c r="M900" s="886"/>
      <c r="N900" s="886"/>
      <c r="O900" s="886"/>
      <c r="P900" s="886"/>
      <c r="Q900" s="886"/>
      <c r="R900" s="886"/>
      <c r="S900" s="886"/>
      <c r="T900" s="886"/>
      <c r="U900" s="886"/>
    </row>
    <row r="901" spans="3:21">
      <c r="C901" s="942"/>
      <c r="D901" s="942"/>
      <c r="E901" s="943"/>
      <c r="F901" s="886"/>
      <c r="G901" s="886"/>
      <c r="H901" s="886"/>
      <c r="I901" s="886"/>
      <c r="J901" s="886"/>
      <c r="K901" s="886"/>
      <c r="L901" s="886"/>
      <c r="M901" s="886"/>
      <c r="N901" s="886"/>
      <c r="O901" s="886"/>
      <c r="P901" s="886"/>
      <c r="Q901" s="886"/>
      <c r="R901" s="886"/>
      <c r="S901" s="886"/>
      <c r="T901" s="886"/>
      <c r="U901" s="886"/>
    </row>
    <row r="902" spans="3:21">
      <c r="C902" s="942"/>
      <c r="D902" s="942"/>
      <c r="E902" s="943"/>
      <c r="F902" s="886"/>
      <c r="G902" s="886"/>
      <c r="H902" s="886"/>
      <c r="I902" s="886"/>
      <c r="J902" s="886"/>
      <c r="K902" s="886"/>
      <c r="L902" s="886"/>
      <c r="M902" s="886"/>
      <c r="N902" s="886"/>
      <c r="O902" s="886"/>
      <c r="P902" s="886"/>
      <c r="Q902" s="886"/>
      <c r="R902" s="886"/>
      <c r="S902" s="886"/>
      <c r="T902" s="886"/>
      <c r="U902" s="886"/>
    </row>
    <row r="903" spans="3:21">
      <c r="C903" s="942"/>
      <c r="D903" s="942"/>
      <c r="E903" s="943"/>
      <c r="F903" s="886"/>
      <c r="G903" s="886"/>
      <c r="H903" s="886"/>
      <c r="I903" s="886"/>
      <c r="J903" s="886"/>
      <c r="K903" s="886"/>
      <c r="L903" s="886"/>
      <c r="M903" s="886"/>
      <c r="N903" s="886"/>
      <c r="O903" s="886"/>
      <c r="P903" s="886"/>
      <c r="Q903" s="886"/>
      <c r="R903" s="886"/>
      <c r="S903" s="886"/>
      <c r="T903" s="886"/>
      <c r="U903" s="886"/>
    </row>
    <row r="904" spans="3:21">
      <c r="C904" s="942"/>
      <c r="D904" s="942"/>
      <c r="E904" s="943"/>
      <c r="F904" s="886"/>
      <c r="G904" s="886"/>
      <c r="H904" s="886"/>
      <c r="I904" s="886"/>
      <c r="J904" s="886"/>
      <c r="K904" s="886"/>
      <c r="L904" s="886"/>
      <c r="M904" s="886"/>
      <c r="N904" s="886"/>
      <c r="O904" s="886"/>
      <c r="P904" s="886"/>
      <c r="Q904" s="886"/>
      <c r="R904" s="886"/>
      <c r="S904" s="886"/>
      <c r="T904" s="886"/>
      <c r="U904" s="886"/>
    </row>
    <row r="905" spans="3:21">
      <c r="C905" s="942"/>
      <c r="D905" s="942"/>
      <c r="E905" s="943"/>
      <c r="F905" s="886"/>
      <c r="G905" s="886"/>
      <c r="H905" s="886"/>
      <c r="I905" s="886"/>
      <c r="J905" s="886"/>
      <c r="K905" s="886"/>
      <c r="L905" s="886"/>
      <c r="M905" s="886"/>
      <c r="N905" s="886"/>
      <c r="O905" s="886"/>
      <c r="P905" s="886"/>
      <c r="Q905" s="886"/>
      <c r="R905" s="886"/>
      <c r="S905" s="886"/>
      <c r="T905" s="886"/>
      <c r="U905" s="886"/>
    </row>
    <row r="906" spans="3:21">
      <c r="C906" s="942"/>
      <c r="D906" s="942"/>
      <c r="E906" s="943"/>
      <c r="F906" s="886"/>
      <c r="G906" s="886"/>
      <c r="H906" s="886"/>
      <c r="I906" s="886"/>
      <c r="J906" s="886"/>
      <c r="K906" s="886"/>
      <c r="L906" s="886"/>
      <c r="M906" s="886"/>
      <c r="N906" s="886"/>
      <c r="O906" s="886"/>
      <c r="P906" s="886"/>
      <c r="Q906" s="886"/>
      <c r="R906" s="886"/>
      <c r="S906" s="886"/>
      <c r="T906" s="886"/>
      <c r="U906" s="886"/>
    </row>
    <row r="907" spans="3:21">
      <c r="C907" s="942"/>
      <c r="D907" s="942"/>
      <c r="E907" s="943"/>
      <c r="F907" s="886"/>
      <c r="G907" s="886"/>
      <c r="H907" s="886"/>
      <c r="I907" s="886"/>
      <c r="J907" s="886"/>
      <c r="K907" s="886"/>
      <c r="L907" s="886"/>
      <c r="M907" s="886"/>
      <c r="N907" s="886"/>
      <c r="O907" s="886"/>
      <c r="P907" s="886"/>
      <c r="Q907" s="886"/>
      <c r="R907" s="886"/>
      <c r="S907" s="886"/>
      <c r="T907" s="886"/>
      <c r="U907" s="886"/>
    </row>
    <row r="908" spans="3:21">
      <c r="C908" s="942"/>
      <c r="D908" s="942"/>
      <c r="E908" s="943"/>
      <c r="F908" s="886"/>
      <c r="G908" s="886"/>
      <c r="H908" s="886"/>
      <c r="I908" s="886"/>
      <c r="J908" s="886"/>
      <c r="K908" s="886"/>
      <c r="L908" s="886"/>
      <c r="M908" s="886"/>
      <c r="N908" s="886"/>
      <c r="O908" s="886"/>
      <c r="P908" s="886"/>
      <c r="Q908" s="886"/>
      <c r="R908" s="886"/>
      <c r="S908" s="886"/>
      <c r="T908" s="886"/>
      <c r="U908" s="886"/>
    </row>
    <row r="909" spans="3:21">
      <c r="C909" s="942"/>
      <c r="D909" s="942"/>
      <c r="E909" s="943"/>
      <c r="F909" s="886"/>
      <c r="G909" s="886"/>
      <c r="H909" s="886"/>
      <c r="I909" s="886"/>
      <c r="J909" s="886"/>
      <c r="K909" s="886"/>
      <c r="L909" s="886"/>
      <c r="M909" s="886"/>
      <c r="N909" s="886"/>
      <c r="O909" s="886"/>
      <c r="P909" s="886"/>
      <c r="Q909" s="886"/>
      <c r="R909" s="886"/>
      <c r="S909" s="886"/>
      <c r="T909" s="886"/>
      <c r="U909" s="886"/>
    </row>
    <row r="910" spans="3:21">
      <c r="C910" s="942"/>
      <c r="D910" s="942"/>
      <c r="E910" s="943"/>
      <c r="F910" s="886"/>
      <c r="G910" s="886"/>
      <c r="H910" s="886"/>
      <c r="I910" s="886"/>
      <c r="J910" s="886"/>
      <c r="K910" s="886"/>
      <c r="L910" s="886"/>
      <c r="M910" s="886"/>
      <c r="N910" s="886"/>
      <c r="O910" s="886"/>
      <c r="P910" s="886"/>
      <c r="Q910" s="886"/>
      <c r="R910" s="886"/>
      <c r="S910" s="886"/>
      <c r="T910" s="886"/>
      <c r="U910" s="886"/>
    </row>
    <row r="911" spans="3:21">
      <c r="C911" s="942"/>
      <c r="D911" s="942"/>
      <c r="E911" s="943"/>
      <c r="F911" s="886"/>
      <c r="G911" s="886"/>
      <c r="H911" s="886"/>
      <c r="I911" s="886"/>
      <c r="J911" s="886"/>
      <c r="K911" s="886"/>
      <c r="L911" s="886"/>
      <c r="M911" s="886"/>
      <c r="N911" s="886"/>
      <c r="O911" s="886"/>
      <c r="P911" s="886"/>
      <c r="Q911" s="886"/>
      <c r="R911" s="886"/>
      <c r="S911" s="886"/>
      <c r="T911" s="886"/>
      <c r="U911" s="886"/>
    </row>
    <row r="912" spans="3:21">
      <c r="C912" s="942"/>
      <c r="D912" s="942"/>
      <c r="E912" s="943"/>
      <c r="F912" s="886"/>
      <c r="G912" s="886"/>
      <c r="H912" s="886"/>
      <c r="I912" s="886"/>
      <c r="J912" s="886"/>
      <c r="K912" s="886"/>
      <c r="L912" s="886"/>
      <c r="M912" s="886"/>
      <c r="N912" s="886"/>
      <c r="O912" s="886"/>
      <c r="P912" s="886"/>
      <c r="Q912" s="886"/>
      <c r="R912" s="886"/>
      <c r="S912" s="886"/>
      <c r="T912" s="886"/>
      <c r="U912" s="886"/>
    </row>
    <row r="913" spans="3:21">
      <c r="C913" s="942"/>
      <c r="D913" s="942"/>
      <c r="E913" s="943"/>
      <c r="F913" s="886"/>
      <c r="G913" s="886"/>
      <c r="H913" s="886"/>
      <c r="I913" s="886"/>
      <c r="J913" s="886"/>
      <c r="K913" s="886"/>
      <c r="L913" s="886"/>
      <c r="M913" s="886"/>
      <c r="N913" s="886"/>
      <c r="O913" s="886"/>
      <c r="P913" s="886"/>
      <c r="Q913" s="886"/>
      <c r="R913" s="886"/>
      <c r="S913" s="886"/>
      <c r="T913" s="886"/>
      <c r="U913" s="886"/>
    </row>
    <row r="914" spans="3:21">
      <c r="C914" s="942"/>
      <c r="D914" s="942"/>
      <c r="E914" s="943"/>
      <c r="F914" s="886"/>
      <c r="G914" s="886"/>
      <c r="H914" s="886"/>
      <c r="I914" s="886"/>
      <c r="J914" s="886"/>
      <c r="K914" s="886"/>
      <c r="L914" s="886"/>
      <c r="M914" s="886"/>
      <c r="N914" s="886"/>
      <c r="O914" s="886"/>
      <c r="P914" s="886"/>
      <c r="Q914" s="886"/>
      <c r="R914" s="886"/>
      <c r="S914" s="886"/>
      <c r="T914" s="886"/>
      <c r="U914" s="886"/>
    </row>
    <row r="915" spans="3:21">
      <c r="C915" s="942"/>
      <c r="D915" s="942"/>
      <c r="E915" s="943"/>
      <c r="F915" s="886"/>
      <c r="G915" s="886"/>
      <c r="H915" s="886"/>
      <c r="I915" s="886"/>
      <c r="J915" s="886"/>
      <c r="K915" s="886"/>
      <c r="L915" s="886"/>
      <c r="M915" s="886"/>
      <c r="N915" s="886"/>
      <c r="O915" s="886"/>
      <c r="P915" s="886"/>
      <c r="Q915" s="886"/>
      <c r="R915" s="886"/>
      <c r="S915" s="886"/>
      <c r="T915" s="886"/>
      <c r="U915" s="886"/>
    </row>
    <row r="916" spans="3:21">
      <c r="C916" s="942"/>
      <c r="D916" s="942"/>
      <c r="E916" s="943"/>
      <c r="F916" s="886"/>
      <c r="G916" s="886"/>
      <c r="H916" s="886"/>
      <c r="I916" s="886"/>
      <c r="J916" s="886"/>
      <c r="K916" s="886"/>
      <c r="L916" s="886"/>
      <c r="M916" s="886"/>
      <c r="N916" s="886"/>
      <c r="O916" s="886"/>
      <c r="P916" s="886"/>
      <c r="Q916" s="886"/>
      <c r="R916" s="886"/>
      <c r="S916" s="886"/>
      <c r="T916" s="886"/>
      <c r="U916" s="886"/>
    </row>
    <row r="917" spans="3:21">
      <c r="C917" s="942"/>
      <c r="D917" s="942"/>
      <c r="E917" s="943"/>
      <c r="F917" s="886"/>
      <c r="G917" s="886"/>
      <c r="H917" s="886"/>
      <c r="I917" s="886"/>
      <c r="J917" s="886"/>
      <c r="K917" s="886"/>
      <c r="L917" s="886"/>
      <c r="M917" s="886"/>
      <c r="N917" s="886"/>
      <c r="O917" s="886"/>
      <c r="P917" s="886"/>
      <c r="Q917" s="886"/>
      <c r="R917" s="886"/>
      <c r="S917" s="886"/>
      <c r="T917" s="886"/>
      <c r="U917" s="886"/>
    </row>
    <row r="918" spans="3:21">
      <c r="C918" s="942"/>
      <c r="D918" s="942"/>
      <c r="E918" s="943"/>
      <c r="F918" s="886"/>
      <c r="G918" s="886"/>
      <c r="H918" s="886"/>
      <c r="I918" s="886"/>
      <c r="J918" s="886"/>
      <c r="K918" s="886"/>
      <c r="L918" s="886"/>
      <c r="M918" s="886"/>
      <c r="N918" s="886"/>
      <c r="O918" s="886"/>
      <c r="P918" s="886"/>
      <c r="Q918" s="886"/>
      <c r="R918" s="886"/>
      <c r="S918" s="886"/>
      <c r="T918" s="886"/>
      <c r="U918" s="886"/>
    </row>
    <row r="919" spans="3:21">
      <c r="C919" s="942"/>
      <c r="D919" s="942"/>
      <c r="E919" s="943"/>
      <c r="F919" s="886"/>
      <c r="G919" s="886"/>
      <c r="H919" s="886"/>
      <c r="I919" s="886"/>
      <c r="J919" s="886"/>
      <c r="K919" s="886"/>
      <c r="L919" s="886"/>
      <c r="M919" s="886"/>
      <c r="N919" s="886"/>
      <c r="O919" s="886"/>
      <c r="P919" s="886"/>
      <c r="Q919" s="886"/>
      <c r="R919" s="886"/>
      <c r="S919" s="886"/>
      <c r="T919" s="886"/>
      <c r="U919" s="886"/>
    </row>
    <row r="920" spans="3:21">
      <c r="C920" s="942"/>
      <c r="D920" s="942"/>
      <c r="E920" s="943"/>
      <c r="F920" s="886"/>
      <c r="G920" s="886"/>
      <c r="H920" s="886"/>
      <c r="I920" s="886"/>
      <c r="J920" s="886"/>
      <c r="K920" s="886"/>
      <c r="L920" s="886"/>
      <c r="M920" s="886"/>
      <c r="N920" s="886"/>
      <c r="O920" s="886"/>
      <c r="P920" s="886"/>
      <c r="Q920" s="886"/>
      <c r="R920" s="886"/>
      <c r="S920" s="886"/>
      <c r="T920" s="886"/>
      <c r="U920" s="886"/>
    </row>
    <row r="921" spans="3:21">
      <c r="C921" s="942"/>
      <c r="D921" s="942"/>
      <c r="E921" s="943"/>
      <c r="F921" s="886"/>
      <c r="G921" s="886"/>
      <c r="H921" s="886"/>
      <c r="I921" s="886"/>
      <c r="J921" s="886"/>
      <c r="K921" s="886"/>
      <c r="L921" s="886"/>
      <c r="M921" s="886"/>
      <c r="N921" s="886"/>
      <c r="O921" s="886"/>
      <c r="P921" s="886"/>
      <c r="Q921" s="886"/>
      <c r="R921" s="886"/>
      <c r="S921" s="886"/>
      <c r="T921" s="886"/>
      <c r="U921" s="886"/>
    </row>
    <row r="922" spans="3:21">
      <c r="C922" s="942"/>
      <c r="D922" s="942"/>
      <c r="E922" s="943"/>
      <c r="F922" s="886"/>
      <c r="G922" s="886"/>
      <c r="H922" s="886"/>
      <c r="I922" s="886"/>
      <c r="J922" s="886"/>
      <c r="K922" s="886"/>
      <c r="L922" s="886"/>
      <c r="M922" s="886"/>
      <c r="N922" s="886"/>
      <c r="O922" s="886"/>
      <c r="P922" s="886"/>
      <c r="Q922" s="886"/>
      <c r="R922" s="886"/>
      <c r="S922" s="886"/>
      <c r="T922" s="886"/>
      <c r="U922" s="886"/>
    </row>
    <row r="923" spans="3:21">
      <c r="C923" s="942"/>
      <c r="D923" s="942"/>
      <c r="E923" s="943"/>
      <c r="F923" s="886"/>
      <c r="G923" s="886"/>
      <c r="H923" s="886"/>
      <c r="I923" s="886"/>
      <c r="J923" s="886"/>
      <c r="K923" s="886"/>
      <c r="L923" s="886"/>
      <c r="M923" s="886"/>
      <c r="N923" s="886"/>
      <c r="O923" s="886"/>
      <c r="P923" s="886"/>
      <c r="Q923" s="886"/>
      <c r="R923" s="886"/>
      <c r="S923" s="886"/>
      <c r="T923" s="886"/>
      <c r="U923" s="886"/>
    </row>
    <row r="924" spans="3:21">
      <c r="C924" s="942"/>
      <c r="D924" s="942"/>
      <c r="E924" s="943"/>
      <c r="F924" s="886"/>
      <c r="G924" s="886"/>
      <c r="H924" s="886"/>
      <c r="I924" s="886"/>
      <c r="J924" s="886"/>
      <c r="K924" s="886"/>
      <c r="L924" s="886"/>
      <c r="M924" s="886"/>
      <c r="N924" s="886"/>
      <c r="O924" s="886"/>
      <c r="P924" s="886"/>
      <c r="Q924" s="886"/>
      <c r="R924" s="886"/>
      <c r="S924" s="886"/>
      <c r="T924" s="886"/>
      <c r="U924" s="886"/>
    </row>
    <row r="925" spans="3:21">
      <c r="C925" s="942"/>
      <c r="D925" s="942"/>
      <c r="E925" s="943"/>
      <c r="F925" s="886"/>
      <c r="G925" s="886"/>
      <c r="H925" s="886"/>
      <c r="I925" s="886"/>
      <c r="J925" s="886"/>
      <c r="K925" s="886"/>
      <c r="L925" s="886"/>
      <c r="M925" s="886"/>
      <c r="N925" s="886"/>
      <c r="O925" s="886"/>
      <c r="P925" s="886"/>
      <c r="Q925" s="886"/>
      <c r="R925" s="886"/>
      <c r="S925" s="886"/>
      <c r="T925" s="886"/>
      <c r="U925" s="886"/>
    </row>
    <row r="926" spans="3:21">
      <c r="C926" s="942"/>
      <c r="D926" s="942"/>
      <c r="E926" s="943"/>
      <c r="F926" s="886"/>
      <c r="G926" s="886"/>
      <c r="H926" s="886"/>
      <c r="I926" s="886"/>
      <c r="J926" s="886"/>
      <c r="K926" s="886"/>
      <c r="L926" s="886"/>
      <c r="M926" s="886"/>
      <c r="N926" s="886"/>
      <c r="O926" s="886"/>
      <c r="P926" s="886"/>
      <c r="Q926" s="886"/>
      <c r="R926" s="886"/>
      <c r="S926" s="886"/>
      <c r="T926" s="886"/>
      <c r="U926" s="886"/>
    </row>
    <row r="927" spans="3:21">
      <c r="C927" s="942"/>
      <c r="D927" s="942"/>
      <c r="E927" s="943"/>
      <c r="F927" s="886"/>
      <c r="G927" s="886"/>
      <c r="H927" s="886"/>
      <c r="I927" s="886"/>
      <c r="J927" s="886"/>
      <c r="K927" s="886"/>
      <c r="L927" s="886"/>
      <c r="M927" s="886"/>
      <c r="N927" s="886"/>
      <c r="O927" s="886"/>
      <c r="P927" s="886"/>
      <c r="Q927" s="886"/>
      <c r="R927" s="886"/>
      <c r="S927" s="886"/>
      <c r="T927" s="886"/>
      <c r="U927" s="886"/>
    </row>
    <row r="928" spans="3:21">
      <c r="C928" s="942"/>
      <c r="D928" s="942"/>
      <c r="E928" s="943"/>
      <c r="F928" s="886"/>
      <c r="G928" s="886"/>
      <c r="H928" s="886"/>
      <c r="I928" s="886"/>
      <c r="J928" s="886"/>
      <c r="K928" s="886"/>
      <c r="L928" s="886"/>
      <c r="M928" s="886"/>
      <c r="N928" s="886"/>
      <c r="O928" s="886"/>
      <c r="P928" s="886"/>
      <c r="Q928" s="886"/>
      <c r="R928" s="886"/>
      <c r="S928" s="886"/>
      <c r="T928" s="886"/>
      <c r="U928" s="886"/>
    </row>
    <row r="929" spans="3:21">
      <c r="C929" s="942"/>
      <c r="D929" s="942"/>
      <c r="E929" s="943"/>
      <c r="F929" s="886"/>
      <c r="G929" s="886"/>
      <c r="H929" s="886"/>
      <c r="I929" s="886"/>
      <c r="J929" s="886"/>
      <c r="K929" s="886"/>
      <c r="L929" s="886"/>
      <c r="M929" s="886"/>
      <c r="N929" s="886"/>
      <c r="O929" s="886"/>
      <c r="P929" s="886"/>
      <c r="Q929" s="886"/>
      <c r="R929" s="886"/>
      <c r="S929" s="886"/>
      <c r="T929" s="886"/>
      <c r="U929" s="886"/>
    </row>
    <row r="930" spans="3:21">
      <c r="C930" s="942"/>
      <c r="D930" s="942"/>
      <c r="E930" s="943"/>
      <c r="F930" s="886"/>
      <c r="G930" s="886"/>
      <c r="H930" s="886"/>
      <c r="I930" s="886"/>
      <c r="J930" s="886"/>
      <c r="K930" s="886"/>
      <c r="L930" s="886"/>
      <c r="M930" s="886"/>
      <c r="N930" s="886"/>
      <c r="O930" s="886"/>
      <c r="P930" s="886"/>
      <c r="Q930" s="886"/>
      <c r="R930" s="886"/>
      <c r="S930" s="886"/>
      <c r="T930" s="886"/>
      <c r="U930" s="886"/>
    </row>
    <row r="931" spans="3:21">
      <c r="C931" s="942"/>
      <c r="D931" s="942"/>
      <c r="E931" s="943"/>
      <c r="F931" s="886"/>
      <c r="G931" s="886"/>
      <c r="H931" s="886"/>
      <c r="I931" s="886"/>
      <c r="J931" s="886"/>
      <c r="K931" s="886"/>
      <c r="L931" s="886"/>
      <c r="M931" s="886"/>
      <c r="N931" s="886"/>
      <c r="O931" s="886"/>
      <c r="P931" s="886"/>
      <c r="Q931" s="886"/>
      <c r="R931" s="886"/>
      <c r="S931" s="886"/>
      <c r="T931" s="886"/>
      <c r="U931" s="886"/>
    </row>
    <row r="932" spans="3:21">
      <c r="C932" s="942"/>
      <c r="D932" s="942"/>
      <c r="E932" s="943"/>
      <c r="F932" s="886"/>
      <c r="G932" s="886"/>
      <c r="H932" s="886"/>
      <c r="I932" s="886"/>
      <c r="J932" s="886"/>
      <c r="K932" s="886"/>
      <c r="L932" s="886"/>
      <c r="M932" s="886"/>
      <c r="N932" s="886"/>
      <c r="O932" s="886"/>
      <c r="P932" s="886"/>
      <c r="Q932" s="886"/>
      <c r="R932" s="886"/>
      <c r="S932" s="886"/>
      <c r="T932" s="886"/>
      <c r="U932" s="886"/>
    </row>
    <row r="933" spans="3:21">
      <c r="C933" s="942"/>
      <c r="D933" s="942"/>
      <c r="E933" s="943"/>
      <c r="F933" s="886"/>
      <c r="G933" s="886"/>
      <c r="H933" s="886"/>
      <c r="I933" s="886"/>
      <c r="J933" s="886"/>
      <c r="K933" s="886"/>
      <c r="L933" s="886"/>
      <c r="M933" s="886"/>
      <c r="N933" s="886"/>
      <c r="O933" s="886"/>
      <c r="P933" s="886"/>
      <c r="Q933" s="886"/>
      <c r="R933" s="886"/>
      <c r="S933" s="886"/>
      <c r="T933" s="886"/>
      <c r="U933" s="886"/>
    </row>
    <row r="934" spans="3:21">
      <c r="C934" s="942"/>
      <c r="D934" s="942"/>
      <c r="E934" s="943"/>
      <c r="F934" s="886"/>
      <c r="G934" s="886"/>
      <c r="H934" s="886"/>
      <c r="I934" s="886"/>
      <c r="J934" s="886"/>
      <c r="K934" s="886"/>
      <c r="L934" s="886"/>
      <c r="M934" s="886"/>
      <c r="N934" s="886"/>
      <c r="O934" s="886"/>
      <c r="P934" s="886"/>
      <c r="Q934" s="886"/>
      <c r="R934" s="886"/>
      <c r="S934" s="886"/>
      <c r="T934" s="886"/>
      <c r="U934" s="886"/>
    </row>
    <row r="935" spans="3:21">
      <c r="C935" s="942"/>
      <c r="D935" s="942"/>
      <c r="E935" s="943"/>
      <c r="F935" s="886"/>
      <c r="G935" s="886"/>
      <c r="H935" s="886"/>
      <c r="I935" s="886"/>
      <c r="J935" s="886"/>
      <c r="K935" s="886"/>
      <c r="L935" s="886"/>
      <c r="M935" s="886"/>
      <c r="N935" s="886"/>
      <c r="O935" s="886"/>
      <c r="P935" s="886"/>
      <c r="Q935" s="886"/>
      <c r="R935" s="886"/>
      <c r="S935" s="886"/>
      <c r="T935" s="886"/>
      <c r="U935" s="886"/>
    </row>
    <row r="936" spans="3:21">
      <c r="C936" s="942"/>
      <c r="D936" s="942"/>
      <c r="E936" s="943"/>
      <c r="F936" s="886"/>
      <c r="G936" s="886"/>
      <c r="H936" s="886"/>
      <c r="I936" s="886"/>
      <c r="J936" s="886"/>
      <c r="K936" s="886"/>
      <c r="L936" s="886"/>
      <c r="M936" s="886"/>
      <c r="N936" s="886"/>
      <c r="O936" s="886"/>
      <c r="P936" s="886"/>
      <c r="Q936" s="886"/>
      <c r="R936" s="886"/>
      <c r="S936" s="886"/>
      <c r="T936" s="886"/>
      <c r="U936" s="886"/>
    </row>
    <row r="937" spans="3:21">
      <c r="C937" s="942"/>
      <c r="D937" s="942"/>
      <c r="E937" s="943"/>
      <c r="F937" s="886"/>
      <c r="G937" s="886"/>
      <c r="H937" s="886"/>
      <c r="I937" s="886"/>
      <c r="J937" s="886"/>
      <c r="K937" s="886"/>
      <c r="L937" s="886"/>
      <c r="M937" s="886"/>
      <c r="N937" s="886"/>
      <c r="O937" s="886"/>
      <c r="P937" s="886"/>
      <c r="Q937" s="886"/>
      <c r="R937" s="886"/>
      <c r="S937" s="886"/>
      <c r="T937" s="886"/>
      <c r="U937" s="886"/>
    </row>
    <row r="938" spans="3:21">
      <c r="C938" s="942"/>
      <c r="D938" s="942"/>
      <c r="E938" s="943"/>
      <c r="F938" s="886"/>
      <c r="G938" s="886"/>
      <c r="H938" s="886"/>
      <c r="I938" s="886"/>
      <c r="J938" s="886"/>
      <c r="K938" s="886"/>
      <c r="L938" s="886"/>
      <c r="M938" s="886"/>
      <c r="N938" s="886"/>
      <c r="O938" s="886"/>
      <c r="P938" s="886"/>
      <c r="Q938" s="886"/>
      <c r="R938" s="886"/>
      <c r="S938" s="886"/>
      <c r="T938" s="886"/>
      <c r="U938" s="886"/>
    </row>
    <row r="939" spans="3:21">
      <c r="C939" s="942"/>
      <c r="D939" s="942"/>
      <c r="E939" s="943"/>
      <c r="F939" s="886"/>
      <c r="G939" s="886"/>
      <c r="H939" s="886"/>
      <c r="I939" s="886"/>
      <c r="J939" s="886"/>
      <c r="K939" s="886"/>
      <c r="L939" s="886"/>
      <c r="M939" s="886"/>
      <c r="N939" s="886"/>
      <c r="O939" s="886"/>
      <c r="P939" s="886"/>
      <c r="Q939" s="886"/>
      <c r="R939" s="886"/>
      <c r="S939" s="886"/>
      <c r="T939" s="886"/>
      <c r="U939" s="886"/>
    </row>
    <row r="940" spans="3:21">
      <c r="C940" s="942"/>
      <c r="D940" s="942"/>
      <c r="E940" s="943"/>
      <c r="F940" s="886"/>
      <c r="G940" s="886"/>
      <c r="H940" s="886"/>
      <c r="I940" s="886"/>
      <c r="J940" s="886"/>
      <c r="K940" s="886"/>
      <c r="L940" s="886"/>
      <c r="M940" s="886"/>
      <c r="N940" s="886"/>
      <c r="O940" s="886"/>
      <c r="P940" s="886"/>
      <c r="Q940" s="886"/>
      <c r="R940" s="886"/>
      <c r="S940" s="886"/>
      <c r="T940" s="886"/>
      <c r="U940" s="886"/>
    </row>
    <row r="941" spans="3:21">
      <c r="C941" s="942"/>
      <c r="D941" s="942"/>
      <c r="E941" s="943"/>
      <c r="F941" s="886"/>
      <c r="G941" s="886"/>
      <c r="H941" s="886"/>
      <c r="I941" s="886"/>
      <c r="J941" s="886"/>
      <c r="K941" s="886"/>
      <c r="L941" s="886"/>
      <c r="M941" s="886"/>
      <c r="N941" s="886"/>
      <c r="O941" s="886"/>
      <c r="P941" s="886"/>
      <c r="Q941" s="886"/>
      <c r="R941" s="886"/>
      <c r="S941" s="886"/>
      <c r="T941" s="886"/>
      <c r="U941" s="886"/>
    </row>
    <row r="942" spans="3:21">
      <c r="C942" s="942"/>
      <c r="D942" s="942"/>
      <c r="E942" s="943"/>
      <c r="F942" s="886"/>
      <c r="G942" s="886"/>
      <c r="H942" s="886"/>
      <c r="I942" s="886"/>
      <c r="J942" s="886"/>
      <c r="K942" s="886"/>
      <c r="L942" s="886"/>
      <c r="M942" s="886"/>
      <c r="N942" s="886"/>
      <c r="O942" s="886"/>
      <c r="P942" s="886"/>
      <c r="Q942" s="886"/>
      <c r="R942" s="886"/>
      <c r="S942" s="886"/>
      <c r="T942" s="886"/>
      <c r="U942" s="886"/>
    </row>
    <row r="943" spans="3:21">
      <c r="C943" s="942"/>
      <c r="D943" s="942"/>
      <c r="E943" s="943"/>
      <c r="F943" s="886"/>
      <c r="G943" s="886"/>
      <c r="H943" s="886"/>
      <c r="I943" s="886"/>
      <c r="J943" s="886"/>
      <c r="K943" s="886"/>
      <c r="L943" s="886"/>
      <c r="M943" s="886"/>
      <c r="N943" s="886"/>
      <c r="O943" s="886"/>
      <c r="P943" s="886"/>
      <c r="Q943" s="886"/>
      <c r="R943" s="886"/>
      <c r="S943" s="886"/>
      <c r="T943" s="886"/>
      <c r="U943" s="886"/>
    </row>
    <row r="944" spans="3:21">
      <c r="C944" s="942"/>
      <c r="D944" s="942"/>
      <c r="E944" s="943"/>
      <c r="F944" s="886"/>
      <c r="G944" s="886"/>
      <c r="H944" s="886"/>
      <c r="I944" s="886"/>
      <c r="J944" s="886"/>
      <c r="K944" s="886"/>
      <c r="L944" s="886"/>
      <c r="M944" s="886"/>
      <c r="N944" s="886"/>
      <c r="O944" s="886"/>
      <c r="P944" s="886"/>
      <c r="Q944" s="886"/>
      <c r="R944" s="886"/>
      <c r="S944" s="886"/>
      <c r="T944" s="886"/>
      <c r="U944" s="886"/>
    </row>
    <row r="945" spans="3:21">
      <c r="C945" s="942"/>
      <c r="D945" s="942"/>
      <c r="E945" s="943"/>
      <c r="F945" s="886"/>
      <c r="G945" s="886"/>
      <c r="H945" s="886"/>
      <c r="I945" s="886"/>
      <c r="J945" s="886"/>
      <c r="K945" s="886"/>
      <c r="L945" s="886"/>
      <c r="M945" s="886"/>
      <c r="N945" s="886"/>
      <c r="O945" s="886"/>
      <c r="P945" s="886"/>
      <c r="Q945" s="886"/>
      <c r="R945" s="886"/>
      <c r="S945" s="886"/>
      <c r="T945" s="886"/>
      <c r="U945" s="886"/>
    </row>
    <row r="946" spans="3:21">
      <c r="C946" s="942"/>
      <c r="D946" s="942"/>
      <c r="E946" s="943"/>
      <c r="F946" s="886"/>
      <c r="G946" s="886"/>
      <c r="H946" s="886"/>
      <c r="I946" s="886"/>
      <c r="J946" s="886"/>
      <c r="K946" s="886"/>
      <c r="L946" s="886"/>
      <c r="M946" s="886"/>
      <c r="N946" s="886"/>
      <c r="O946" s="886"/>
      <c r="P946" s="886"/>
      <c r="Q946" s="886"/>
      <c r="R946" s="886"/>
      <c r="S946" s="886"/>
      <c r="T946" s="886"/>
      <c r="U946" s="886"/>
    </row>
    <row r="947" spans="3:21">
      <c r="C947" s="942"/>
      <c r="D947" s="942"/>
      <c r="E947" s="943"/>
      <c r="F947" s="886"/>
      <c r="G947" s="886"/>
      <c r="H947" s="886"/>
      <c r="I947" s="886"/>
      <c r="J947" s="886"/>
      <c r="K947" s="886"/>
      <c r="L947" s="886"/>
      <c r="M947" s="886"/>
      <c r="N947" s="886"/>
      <c r="O947" s="886"/>
      <c r="P947" s="886"/>
      <c r="Q947" s="886"/>
      <c r="R947" s="886"/>
      <c r="S947" s="886"/>
      <c r="T947" s="886"/>
      <c r="U947" s="886"/>
    </row>
    <row r="948" spans="3:21">
      <c r="C948" s="942"/>
      <c r="D948" s="942"/>
      <c r="E948" s="943"/>
      <c r="F948" s="886"/>
      <c r="G948" s="886"/>
      <c r="H948" s="886"/>
      <c r="J948" s="886"/>
      <c r="K948" s="886"/>
      <c r="L948" s="886"/>
      <c r="M948" s="886"/>
      <c r="N948" s="886"/>
      <c r="O948" s="886"/>
      <c r="P948" s="886"/>
      <c r="Q948" s="886"/>
      <c r="R948" s="886"/>
      <c r="S948" s="886"/>
      <c r="T948" s="886"/>
      <c r="U948" s="886"/>
    </row>
    <row r="949" spans="3:21">
      <c r="C949" s="942"/>
      <c r="D949" s="942"/>
      <c r="E949" s="943"/>
      <c r="F949" s="886"/>
      <c r="G949" s="886"/>
      <c r="H949" s="886"/>
      <c r="J949" s="886"/>
      <c r="K949" s="886"/>
      <c r="L949" s="886"/>
      <c r="M949" s="886"/>
      <c r="N949" s="886"/>
      <c r="O949" s="886"/>
      <c r="P949" s="886"/>
      <c r="Q949" s="886"/>
      <c r="R949" s="886"/>
      <c r="S949" s="886"/>
      <c r="T949" s="886"/>
      <c r="U949" s="886"/>
    </row>
    <row r="950" spans="3:21">
      <c r="C950" s="942"/>
      <c r="D950" s="942"/>
      <c r="E950" s="943"/>
      <c r="F950" s="886"/>
      <c r="G950" s="886"/>
      <c r="H950" s="886"/>
      <c r="J950" s="886"/>
      <c r="K950" s="886"/>
      <c r="L950" s="886"/>
      <c r="M950" s="886"/>
      <c r="N950" s="886"/>
      <c r="O950" s="886"/>
      <c r="P950" s="886"/>
      <c r="Q950" s="886"/>
      <c r="R950" s="886"/>
      <c r="S950" s="886"/>
      <c r="T950" s="886"/>
      <c r="U950" s="886"/>
    </row>
    <row r="951" spans="3:21">
      <c r="C951" s="942"/>
      <c r="D951" s="942"/>
      <c r="E951" s="943"/>
      <c r="F951" s="886"/>
      <c r="G951" s="886"/>
      <c r="H951" s="886"/>
      <c r="J951" s="886"/>
      <c r="K951" s="886"/>
      <c r="L951" s="886"/>
      <c r="M951" s="886"/>
      <c r="N951" s="886"/>
      <c r="O951" s="886"/>
      <c r="P951" s="886"/>
      <c r="Q951" s="886"/>
      <c r="R951" s="886"/>
      <c r="S951" s="886"/>
      <c r="T951" s="886"/>
      <c r="U951" s="886"/>
    </row>
    <row r="952" spans="3:21">
      <c r="C952" s="942"/>
      <c r="D952" s="942"/>
      <c r="E952" s="943"/>
      <c r="F952" s="886"/>
      <c r="G952" s="886"/>
      <c r="H952" s="886"/>
      <c r="J952" s="886"/>
      <c r="K952" s="886"/>
      <c r="L952" s="886"/>
      <c r="M952" s="886"/>
      <c r="N952" s="886"/>
      <c r="O952" s="886"/>
      <c r="P952" s="886"/>
      <c r="Q952" s="886"/>
      <c r="R952" s="886"/>
      <c r="S952" s="886"/>
      <c r="T952" s="886"/>
      <c r="U952" s="886"/>
    </row>
    <row r="953" spans="3:21">
      <c r="E953" s="943"/>
      <c r="J953" s="886"/>
      <c r="K953" s="886"/>
      <c r="L953" s="886"/>
      <c r="M953" s="886"/>
      <c r="N953" s="886"/>
      <c r="O953" s="886"/>
      <c r="P953" s="886"/>
      <c r="Q953" s="886"/>
      <c r="R953" s="886"/>
      <c r="S953" s="886"/>
      <c r="T953" s="886"/>
      <c r="U953" s="886"/>
    </row>
    <row r="954" spans="3:21">
      <c r="E954" s="943"/>
      <c r="J954" s="886"/>
      <c r="K954" s="886"/>
      <c r="L954" s="886"/>
      <c r="M954" s="886"/>
      <c r="N954" s="886"/>
      <c r="O954" s="886"/>
      <c r="P954" s="886"/>
      <c r="Q954" s="886"/>
      <c r="R954" s="886"/>
      <c r="S954" s="886"/>
      <c r="T954" s="886"/>
      <c r="U954" s="886"/>
    </row>
    <row r="955" spans="3:21">
      <c r="E955" s="943"/>
      <c r="J955" s="886"/>
      <c r="K955" s="886"/>
      <c r="L955" s="886"/>
      <c r="M955" s="886"/>
      <c r="N955" s="886"/>
      <c r="O955" s="886"/>
      <c r="P955" s="886"/>
      <c r="Q955" s="886"/>
      <c r="R955" s="886"/>
      <c r="S955" s="886"/>
      <c r="T955" s="886"/>
      <c r="U955" s="886"/>
    </row>
    <row r="956" spans="3:21">
      <c r="E956" s="943"/>
      <c r="J956" s="886"/>
      <c r="K956" s="886"/>
      <c r="L956" s="886"/>
      <c r="M956" s="886"/>
      <c r="N956" s="886"/>
      <c r="O956" s="886"/>
      <c r="P956" s="886"/>
      <c r="Q956" s="886"/>
      <c r="R956" s="886"/>
      <c r="S956" s="886"/>
      <c r="T956" s="886"/>
      <c r="U956" s="886"/>
    </row>
    <row r="957" spans="3:21">
      <c r="E957" s="943"/>
      <c r="J957" s="886"/>
      <c r="K957" s="886"/>
      <c r="L957" s="886"/>
      <c r="M957" s="886"/>
      <c r="N957" s="886"/>
      <c r="O957" s="886"/>
      <c r="P957" s="886"/>
      <c r="Q957" s="886"/>
      <c r="R957" s="886"/>
      <c r="S957" s="886"/>
      <c r="T957" s="886"/>
      <c r="U957" s="886"/>
    </row>
    <row r="958" spans="3:21">
      <c r="E958" s="943"/>
    </row>
    <row r="959" spans="3:21">
      <c r="E959" s="943"/>
    </row>
    <row r="960" spans="3:21">
      <c r="E960" s="943"/>
    </row>
    <row r="961" spans="5:5">
      <c r="E961" s="943"/>
    </row>
    <row r="962" spans="5:5">
      <c r="E962" s="943"/>
    </row>
    <row r="963" spans="5:5">
      <c r="E963" s="943"/>
    </row>
    <row r="964" spans="5:5">
      <c r="E964" s="943"/>
    </row>
    <row r="965" spans="5:5">
      <c r="E965" s="943"/>
    </row>
    <row r="966" spans="5:5">
      <c r="E966" s="943"/>
    </row>
    <row r="967" spans="5:5">
      <c r="E967" s="943"/>
    </row>
    <row r="968" spans="5:5">
      <c r="E968" s="943"/>
    </row>
    <row r="969" spans="5:5">
      <c r="E969" s="943"/>
    </row>
    <row r="970" spans="5:5">
      <c r="E970" s="943"/>
    </row>
    <row r="971" spans="5:5">
      <c r="E971" s="943"/>
    </row>
    <row r="972" spans="5:5">
      <c r="E972" s="943"/>
    </row>
    <row r="973" spans="5:5">
      <c r="E973" s="943"/>
    </row>
    <row r="974" spans="5:5">
      <c r="E974" s="943"/>
    </row>
    <row r="975" spans="5:5">
      <c r="E975" s="943"/>
    </row>
    <row r="976" spans="5:5">
      <c r="E976" s="943"/>
    </row>
    <row r="977" spans="5:5">
      <c r="E977" s="943"/>
    </row>
    <row r="978" spans="5:5">
      <c r="E978" s="943"/>
    </row>
    <row r="979" spans="5:5">
      <c r="E979" s="943"/>
    </row>
    <row r="980" spans="5:5">
      <c r="E980" s="943"/>
    </row>
    <row r="981" spans="5:5">
      <c r="E981" s="943"/>
    </row>
    <row r="982" spans="5:5">
      <c r="E982" s="943"/>
    </row>
    <row r="983" spans="5:5">
      <c r="E983" s="943"/>
    </row>
    <row r="984" spans="5:5">
      <c r="E984" s="943"/>
    </row>
    <row r="985" spans="5:5">
      <c r="E985" s="943"/>
    </row>
    <row r="986" spans="5:5">
      <c r="E986" s="943"/>
    </row>
    <row r="987" spans="5:5">
      <c r="E987" s="943"/>
    </row>
    <row r="988" spans="5:5">
      <c r="E988" s="943"/>
    </row>
    <row r="989" spans="5:5">
      <c r="E989" s="943"/>
    </row>
    <row r="990" spans="5:5">
      <c r="E990" s="943"/>
    </row>
  </sheetData>
  <mergeCells count="15">
    <mergeCell ref="C5:D5"/>
    <mergeCell ref="F5:I5"/>
    <mergeCell ref="C2:I2"/>
    <mergeCell ref="C3:D3"/>
    <mergeCell ref="F3:I3"/>
    <mergeCell ref="C4:D4"/>
    <mergeCell ref="F4:I4"/>
    <mergeCell ref="B31:B32"/>
    <mergeCell ref="B25:B26"/>
    <mergeCell ref="B28:B29"/>
    <mergeCell ref="C15:I15"/>
    <mergeCell ref="C7:D7"/>
    <mergeCell ref="F7:H7"/>
    <mergeCell ref="C9:I9"/>
    <mergeCell ref="B18:B23"/>
  </mergeCells>
  <conditionalFormatting sqref="F16:I16">
    <cfRule type="expression" dxfId="5" priority="1">
      <formula>"✔"</formula>
    </cfRule>
  </conditionalFormatting>
  <dataValidations count="1">
    <dataValidation type="list" allowBlank="1" showInputMessage="1" showErrorMessage="1" sqref="D31 C18:C23 C31:C32 C25:C26 C28:C29" xr:uid="{EDE04BAF-E725-440D-8C19-C16A375D2F23}">
      <formula1>GPA_features</formula1>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37421FF-0372-469F-ADD7-61164BBB1BA3}">
          <x14:formula1>
            <xm:f>'GPA DB'!$A$4:$A$15</xm:f>
          </x14:formula1>
          <xm:sqref>I8</xm:sqref>
        </x14:dataValidation>
        <x14:dataValidation type="list" allowBlank="1" showInputMessage="1" showErrorMessage="1" xr:uid="{B8A8648D-8613-4F24-9BB9-4057AF5AEF13}">
          <x14:formula1>
            <xm:f>'GPA DB'!$A$4:$A$17</xm:f>
          </x14:formula1>
          <xm:sqref>H8 F8 G8</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D86E6-26AD-47F5-97EF-7ECD9B458BF9}">
  <sheetPr codeName="Sheet22">
    <tabColor theme="0" tint="-0.34998626667073579"/>
  </sheetPr>
  <dimension ref="A2:O17"/>
  <sheetViews>
    <sheetView showGridLines="0" zoomScaleNormal="100" workbookViewId="0">
      <pane xSplit="1" ySplit="3" topLeftCell="B16" activePane="bottomRight" state="frozen"/>
      <selection activeCell="C7" sqref="C7"/>
      <selection pane="topRight" activeCell="C7" sqref="C7"/>
      <selection pane="bottomLeft" activeCell="C7" sqref="C7"/>
      <selection pane="bottomRight" activeCell="C7" sqref="C7"/>
    </sheetView>
  </sheetViews>
  <sheetFormatPr defaultColWidth="33.5546875" defaultRowHeight="14.4"/>
  <cols>
    <col min="1" max="6" width="33.5546875" style="787"/>
    <col min="7" max="7" width="33.5546875" style="787" customWidth="1"/>
    <col min="8" max="16384" width="33.5546875" style="787"/>
  </cols>
  <sheetData>
    <row r="2" spans="1:15" ht="28.8">
      <c r="A2" s="786" t="s">
        <v>396</v>
      </c>
      <c r="B2" s="836"/>
      <c r="C2" s="836"/>
      <c r="D2" s="836"/>
      <c r="E2" s="836"/>
      <c r="F2" s="836"/>
      <c r="G2" s="836"/>
      <c r="H2" s="836"/>
      <c r="I2" s="836"/>
      <c r="J2" s="836"/>
      <c r="K2" s="836"/>
      <c r="L2" s="836"/>
      <c r="M2" s="836"/>
      <c r="N2" s="836"/>
      <c r="O2" s="836"/>
    </row>
    <row r="3" spans="1:15" ht="57.6">
      <c r="A3" s="848" t="s">
        <v>118</v>
      </c>
      <c r="B3" s="849" t="s">
        <v>410</v>
      </c>
      <c r="C3" s="849" t="s">
        <v>121</v>
      </c>
      <c r="D3" s="864" t="s">
        <v>423</v>
      </c>
      <c r="E3" s="863" t="s">
        <v>425</v>
      </c>
      <c r="F3" s="851" t="s">
        <v>428</v>
      </c>
      <c r="G3" s="850" t="s">
        <v>430</v>
      </c>
      <c r="H3" s="851" t="s">
        <v>437</v>
      </c>
      <c r="I3" s="850" t="s">
        <v>444</v>
      </c>
      <c r="J3" s="824" t="s">
        <v>385</v>
      </c>
      <c r="K3" s="825" t="s">
        <v>315</v>
      </c>
      <c r="L3" s="851" t="s">
        <v>449</v>
      </c>
      <c r="M3" s="852" t="s">
        <v>456</v>
      </c>
      <c r="N3" s="853" t="s">
        <v>459</v>
      </c>
      <c r="O3" s="851" t="s">
        <v>536</v>
      </c>
    </row>
    <row r="4" spans="1:15" ht="72">
      <c r="A4" s="848" t="s">
        <v>197</v>
      </c>
      <c r="B4" s="849"/>
      <c r="C4" s="849" t="s">
        <v>418</v>
      </c>
      <c r="D4" s="850" t="s">
        <v>424</v>
      </c>
      <c r="E4" s="850" t="s">
        <v>424</v>
      </c>
      <c r="F4" s="851" t="s">
        <v>429</v>
      </c>
      <c r="G4" s="850" t="s">
        <v>537</v>
      </c>
      <c r="H4" s="851" t="s">
        <v>538</v>
      </c>
      <c r="I4" s="850" t="s">
        <v>445</v>
      </c>
      <c r="J4" s="824" t="s">
        <v>314</v>
      </c>
      <c r="K4" s="825" t="s">
        <v>539</v>
      </c>
      <c r="L4" s="851" t="s">
        <v>540</v>
      </c>
      <c r="M4" s="852" t="s">
        <v>458</v>
      </c>
      <c r="N4" s="853" t="s">
        <v>460</v>
      </c>
      <c r="O4" s="851" t="s">
        <v>464</v>
      </c>
    </row>
    <row r="5" spans="1:15" ht="72">
      <c r="A5" s="848" t="s">
        <v>192</v>
      </c>
      <c r="B5" s="849"/>
      <c r="C5" s="849" t="s">
        <v>418</v>
      </c>
      <c r="D5" s="850" t="s">
        <v>424</v>
      </c>
      <c r="E5" s="850" t="s">
        <v>424</v>
      </c>
      <c r="F5" s="851" t="s">
        <v>429</v>
      </c>
      <c r="G5" s="850" t="s">
        <v>537</v>
      </c>
      <c r="H5" s="851" t="s">
        <v>538</v>
      </c>
      <c r="I5" s="850" t="s">
        <v>445</v>
      </c>
      <c r="J5" s="824" t="s">
        <v>314</v>
      </c>
      <c r="K5" s="825" t="s">
        <v>539</v>
      </c>
      <c r="L5" s="851" t="s">
        <v>540</v>
      </c>
      <c r="M5" s="852" t="s">
        <v>458</v>
      </c>
      <c r="N5" s="853" t="s">
        <v>460</v>
      </c>
      <c r="O5" s="851" t="s">
        <v>464</v>
      </c>
    </row>
    <row r="6" spans="1:15" ht="102" customHeight="1">
      <c r="A6" s="848" t="s">
        <v>346</v>
      </c>
      <c r="B6" s="849"/>
      <c r="C6" s="849" t="s">
        <v>418</v>
      </c>
      <c r="D6" s="850" t="s">
        <v>424</v>
      </c>
      <c r="E6" s="850" t="s">
        <v>424</v>
      </c>
      <c r="F6" s="851" t="s">
        <v>429</v>
      </c>
      <c r="G6" s="850" t="s">
        <v>537</v>
      </c>
      <c r="H6" s="851" t="s">
        <v>538</v>
      </c>
      <c r="I6" s="850" t="s">
        <v>445</v>
      </c>
      <c r="J6" s="824" t="s">
        <v>314</v>
      </c>
      <c r="K6" s="825" t="s">
        <v>539</v>
      </c>
      <c r="L6" s="851" t="s">
        <v>540</v>
      </c>
      <c r="M6" s="852" t="s">
        <v>458</v>
      </c>
      <c r="N6" s="853" t="s">
        <v>460</v>
      </c>
      <c r="O6" s="851" t="s">
        <v>464</v>
      </c>
    </row>
    <row r="7" spans="1:15" ht="72">
      <c r="A7" s="848" t="s">
        <v>402</v>
      </c>
      <c r="B7" s="849"/>
      <c r="C7" s="849" t="s">
        <v>418</v>
      </c>
      <c r="D7" s="850" t="s">
        <v>424</v>
      </c>
      <c r="E7" s="850" t="s">
        <v>424</v>
      </c>
      <c r="F7" s="851" t="s">
        <v>429</v>
      </c>
      <c r="G7" s="850" t="s">
        <v>541</v>
      </c>
      <c r="H7" s="851" t="s">
        <v>538</v>
      </c>
      <c r="I7" s="850" t="s">
        <v>445</v>
      </c>
      <c r="J7" s="824" t="s">
        <v>314</v>
      </c>
      <c r="K7" s="825" t="s">
        <v>539</v>
      </c>
      <c r="L7" s="851" t="s">
        <v>540</v>
      </c>
      <c r="M7" s="852" t="s">
        <v>458</v>
      </c>
      <c r="N7" s="853" t="s">
        <v>460</v>
      </c>
      <c r="O7" s="851" t="s">
        <v>464</v>
      </c>
    </row>
    <row r="8" spans="1:15" ht="86.4">
      <c r="A8" s="848" t="s">
        <v>189</v>
      </c>
      <c r="B8" s="849"/>
      <c r="C8" s="849" t="s">
        <v>418</v>
      </c>
      <c r="D8" s="850" t="s">
        <v>424</v>
      </c>
      <c r="E8" s="850" t="s">
        <v>424</v>
      </c>
      <c r="F8" s="851" t="s">
        <v>429</v>
      </c>
      <c r="G8" s="850" t="s">
        <v>541</v>
      </c>
      <c r="H8" s="851" t="s">
        <v>542</v>
      </c>
      <c r="I8" s="850" t="s">
        <v>445</v>
      </c>
      <c r="J8" s="824" t="s">
        <v>314</v>
      </c>
      <c r="K8" s="825" t="s">
        <v>539</v>
      </c>
      <c r="L8" s="851" t="s">
        <v>543</v>
      </c>
      <c r="M8" s="852" t="s">
        <v>458</v>
      </c>
      <c r="N8" s="1187" t="s">
        <v>460</v>
      </c>
      <c r="O8" s="851" t="s">
        <v>464</v>
      </c>
    </row>
    <row r="9" spans="1:15" s="855" customFormat="1" ht="115.2">
      <c r="A9" s="856" t="s">
        <v>544</v>
      </c>
      <c r="B9" s="849" t="s">
        <v>411</v>
      </c>
      <c r="C9" s="849" t="s">
        <v>418</v>
      </c>
      <c r="D9" s="850" t="s">
        <v>424</v>
      </c>
      <c r="E9" s="850" t="s">
        <v>424</v>
      </c>
      <c r="F9" s="850" t="s">
        <v>429</v>
      </c>
      <c r="G9" s="850" t="s">
        <v>431</v>
      </c>
      <c r="H9" s="850" t="s">
        <v>545</v>
      </c>
      <c r="I9" s="850" t="s">
        <v>445</v>
      </c>
      <c r="J9" s="824" t="s">
        <v>314</v>
      </c>
      <c r="K9" s="825" t="s">
        <v>539</v>
      </c>
      <c r="L9" s="833" t="s">
        <v>546</v>
      </c>
      <c r="M9" s="852" t="s">
        <v>369</v>
      </c>
      <c r="N9" s="830" t="s">
        <v>462</v>
      </c>
      <c r="O9" s="851" t="s">
        <v>464</v>
      </c>
    </row>
    <row r="10" spans="1:15" s="855" customFormat="1" ht="151.80000000000001" customHeight="1">
      <c r="A10" s="856" t="s">
        <v>547</v>
      </c>
      <c r="B10" s="849" t="s">
        <v>412</v>
      </c>
      <c r="C10" s="849" t="s">
        <v>418</v>
      </c>
      <c r="D10" s="850" t="s">
        <v>424</v>
      </c>
      <c r="E10" s="857" t="s">
        <v>426</v>
      </c>
      <c r="F10" s="850" t="s">
        <v>429</v>
      </c>
      <c r="G10" s="850" t="s">
        <v>431</v>
      </c>
      <c r="H10" s="858" t="s">
        <v>548</v>
      </c>
      <c r="I10" s="850" t="s">
        <v>445</v>
      </c>
      <c r="J10" s="824" t="s">
        <v>314</v>
      </c>
      <c r="K10" s="825" t="s">
        <v>539</v>
      </c>
      <c r="L10" s="859" t="s">
        <v>1117</v>
      </c>
      <c r="M10" s="852" t="s">
        <v>369</v>
      </c>
      <c r="N10" s="830" t="s">
        <v>462</v>
      </c>
      <c r="O10" s="851" t="s">
        <v>464</v>
      </c>
    </row>
    <row r="11" spans="1:15" s="855" customFormat="1" ht="110.4" customHeight="1">
      <c r="A11" s="856" t="s">
        <v>549</v>
      </c>
      <c r="B11" s="849" t="s">
        <v>413</v>
      </c>
      <c r="C11" s="849" t="s">
        <v>418</v>
      </c>
      <c r="D11" s="850" t="s">
        <v>424</v>
      </c>
      <c r="E11" s="857" t="s">
        <v>426</v>
      </c>
      <c r="F11" s="850" t="s">
        <v>429</v>
      </c>
      <c r="G11" s="860" t="s">
        <v>550</v>
      </c>
      <c r="H11" s="858" t="s">
        <v>551</v>
      </c>
      <c r="I11" s="861" t="s">
        <v>445</v>
      </c>
      <c r="J11" s="824" t="s">
        <v>314</v>
      </c>
      <c r="K11" s="825" t="s">
        <v>539</v>
      </c>
      <c r="L11" s="859" t="s">
        <v>552</v>
      </c>
      <c r="M11" s="852" t="s">
        <v>369</v>
      </c>
      <c r="N11" s="830" t="s">
        <v>462</v>
      </c>
      <c r="O11" s="851" t="s">
        <v>464</v>
      </c>
    </row>
    <row r="12" spans="1:15" s="855" customFormat="1" ht="72">
      <c r="A12" s="826" t="s">
        <v>553</v>
      </c>
      <c r="B12" s="655" t="s">
        <v>554</v>
      </c>
      <c r="C12" s="655" t="s">
        <v>418</v>
      </c>
      <c r="D12" s="835" t="s">
        <v>424</v>
      </c>
      <c r="E12" s="835" t="s">
        <v>424</v>
      </c>
      <c r="F12" s="835" t="s">
        <v>429</v>
      </c>
      <c r="G12" s="827" t="s">
        <v>555</v>
      </c>
      <c r="H12" s="828" t="s">
        <v>445</v>
      </c>
      <c r="I12" s="835" t="s">
        <v>445</v>
      </c>
      <c r="J12" s="829" t="s">
        <v>556</v>
      </c>
      <c r="K12" s="825" t="s">
        <v>539</v>
      </c>
      <c r="L12" s="828" t="s">
        <v>445</v>
      </c>
      <c r="M12" s="828" t="s">
        <v>369</v>
      </c>
      <c r="N12" s="830" t="s">
        <v>462</v>
      </c>
      <c r="O12" s="831" t="s">
        <v>464</v>
      </c>
    </row>
    <row r="13" spans="1:15" s="855" customFormat="1" ht="172.8">
      <c r="A13" s="862" t="s">
        <v>529</v>
      </c>
      <c r="B13" s="655" t="s">
        <v>557</v>
      </c>
      <c r="C13" s="655" t="s">
        <v>418</v>
      </c>
      <c r="D13" s="835" t="s">
        <v>424</v>
      </c>
      <c r="E13" s="835" t="s">
        <v>424</v>
      </c>
      <c r="F13" s="835" t="s">
        <v>429</v>
      </c>
      <c r="G13" s="827" t="s">
        <v>555</v>
      </c>
      <c r="H13" s="832" t="s">
        <v>558</v>
      </c>
      <c r="I13" s="835" t="s">
        <v>559</v>
      </c>
      <c r="J13" s="829" t="s">
        <v>556</v>
      </c>
      <c r="K13" s="825" t="s">
        <v>539</v>
      </c>
      <c r="L13" s="833" t="s">
        <v>560</v>
      </c>
      <c r="M13" s="828" t="s">
        <v>369</v>
      </c>
      <c r="N13" s="830" t="s">
        <v>462</v>
      </c>
      <c r="O13" s="831" t="s">
        <v>464</v>
      </c>
    </row>
    <row r="14" spans="1:15" ht="71.400000000000006" customHeight="1">
      <c r="A14" s="848" t="s">
        <v>186</v>
      </c>
      <c r="B14" s="849"/>
      <c r="C14" s="849" t="s">
        <v>418</v>
      </c>
      <c r="D14" s="850" t="s">
        <v>424</v>
      </c>
      <c r="E14" s="850" t="s">
        <v>424</v>
      </c>
      <c r="F14" s="851" t="s">
        <v>429</v>
      </c>
      <c r="G14" s="863" t="s">
        <v>537</v>
      </c>
      <c r="H14" s="851" t="s">
        <v>538</v>
      </c>
      <c r="I14" s="850" t="s">
        <v>445</v>
      </c>
      <c r="J14" s="824" t="s">
        <v>314</v>
      </c>
      <c r="K14" s="825" t="s">
        <v>539</v>
      </c>
      <c r="L14" s="851" t="s">
        <v>540</v>
      </c>
      <c r="M14" s="852" t="s">
        <v>458</v>
      </c>
      <c r="N14" s="853" t="s">
        <v>460</v>
      </c>
      <c r="O14" s="851" t="s">
        <v>464</v>
      </c>
    </row>
    <row r="15" spans="1:15" s="855" customFormat="1" ht="70.2" customHeight="1">
      <c r="A15" s="1186" t="s">
        <v>1109</v>
      </c>
      <c r="B15" s="849"/>
      <c r="C15" s="849" t="s">
        <v>418</v>
      </c>
      <c r="D15" s="851" t="s">
        <v>424</v>
      </c>
      <c r="E15" s="850" t="s">
        <v>424</v>
      </c>
      <c r="F15" s="851" t="s">
        <v>429</v>
      </c>
      <c r="G15" s="863" t="s">
        <v>537</v>
      </c>
      <c r="H15" s="851" t="s">
        <v>1110</v>
      </c>
      <c r="I15" s="850" t="s">
        <v>445</v>
      </c>
      <c r="J15" s="824" t="s">
        <v>314</v>
      </c>
      <c r="K15" s="825" t="s">
        <v>539</v>
      </c>
      <c r="L15" s="833" t="s">
        <v>1114</v>
      </c>
      <c r="M15" s="854" t="s">
        <v>369</v>
      </c>
      <c r="N15" s="853" t="s">
        <v>460</v>
      </c>
      <c r="O15" s="851" t="s">
        <v>464</v>
      </c>
    </row>
    <row r="16" spans="1:15" s="855" customFormat="1" ht="65.7" customHeight="1">
      <c r="A16" s="1186" t="s">
        <v>1111</v>
      </c>
      <c r="B16" s="849"/>
      <c r="C16" s="849" t="s">
        <v>418</v>
      </c>
      <c r="D16" s="851" t="s">
        <v>424</v>
      </c>
      <c r="E16" s="850" t="s">
        <v>424</v>
      </c>
      <c r="F16" s="851" t="s">
        <v>429</v>
      </c>
      <c r="G16" s="866" t="s">
        <v>537</v>
      </c>
      <c r="H16" s="851" t="s">
        <v>1112</v>
      </c>
      <c r="I16" s="850" t="s">
        <v>445</v>
      </c>
      <c r="J16" s="824" t="s">
        <v>314</v>
      </c>
      <c r="K16" s="825" t="s">
        <v>539</v>
      </c>
      <c r="L16" s="865" t="s">
        <v>1115</v>
      </c>
      <c r="M16" s="854" t="s">
        <v>369</v>
      </c>
      <c r="N16" s="853" t="s">
        <v>460</v>
      </c>
      <c r="O16" s="851" t="s">
        <v>464</v>
      </c>
    </row>
    <row r="17" spans="1:15" s="855" customFormat="1" ht="65.7" customHeight="1">
      <c r="A17" s="1186" t="s">
        <v>1113</v>
      </c>
      <c r="B17" s="849"/>
      <c r="C17" s="849" t="s">
        <v>418</v>
      </c>
      <c r="D17" s="851" t="s">
        <v>424</v>
      </c>
      <c r="E17" s="850" t="s">
        <v>424</v>
      </c>
      <c r="F17" s="851" t="s">
        <v>429</v>
      </c>
      <c r="G17" s="866" t="s">
        <v>1118</v>
      </c>
      <c r="H17" s="851" t="s">
        <v>1112</v>
      </c>
      <c r="I17" s="850" t="s">
        <v>445</v>
      </c>
      <c r="J17" s="824" t="s">
        <v>314</v>
      </c>
      <c r="K17" s="825" t="s">
        <v>539</v>
      </c>
      <c r="L17" s="865" t="s">
        <v>1116</v>
      </c>
      <c r="M17" s="854" t="s">
        <v>369</v>
      </c>
      <c r="N17" s="853" t="s">
        <v>460</v>
      </c>
      <c r="O17" s="851" t="s">
        <v>464</v>
      </c>
    </row>
  </sheetData>
  <protectedRanges>
    <protectedRange algorithmName="SHA-512" hashValue="8gsZBLxf0FNLqMn390G0dgwzGiRBzzvGlNazRYGWhs0C1gVTQ5XRqJGqk3b/+yaYAh9uw4p4FQvGJRlBbI8UKw==" saltValue="DPXiBDnRLT+lXGb4fbwXfA==" spinCount="100000" sqref="A3:O3" name="GPA"/>
    <protectedRange algorithmName="SHA-512" hashValue="8gsZBLxf0FNLqMn390G0dgwzGiRBzzvGlNazRYGWhs0C1gVTQ5XRqJGqk3b/+yaYAh9uw4p4FQvGJRlBbI8UKw==" saltValue="DPXiBDnRLT+lXGb4fbwXfA==" spinCount="100000" sqref="A11:A13 A4:A9" name="GPA_1"/>
    <protectedRange algorithmName="SHA-512" hashValue="8gsZBLxf0FNLqMn390G0dgwzGiRBzzvGlNazRYGWhs0C1gVTQ5XRqJGqk3b/+yaYAh9uw4p4FQvGJRlBbI8UKw==" saltValue="DPXiBDnRLT+lXGb4fbwXfA==" spinCount="100000" sqref="B11:J13 B4:C9 D7:J7 D4:D5 D14 F4:H5 M4:O5 L12:O13 L6:O8 G14:H14 J4:L4 L5 L14:M14 D6:H6 J5:J6 D9:J9 D8:H8 J8 K5:K17 G15:G17 L11:M11 O11 L9:M9 O9 N9:N11" name="GPA_2"/>
    <protectedRange algorithmName="SHA-512" hashValue="8gsZBLxf0FNLqMn390G0dgwzGiRBzzvGlNazRYGWhs0C1gVTQ5XRqJGqk3b/+yaYAh9uw4p4FQvGJRlBbI8UKw==" saltValue="DPXiBDnRLT+lXGb4fbwXfA==" spinCount="100000" sqref="A10" name="GPA_4"/>
    <protectedRange algorithmName="SHA-512" hashValue="8gsZBLxf0FNLqMn390G0dgwzGiRBzzvGlNazRYGWhs0C1gVTQ5XRqJGqk3b/+yaYAh9uw4p4FQvGJRlBbI8UKw==" saltValue="DPXiBDnRLT+lXGb4fbwXfA==" spinCount="100000" sqref="A14" name="GPA_5"/>
    <protectedRange algorithmName="SHA-512" hashValue="8gsZBLxf0FNLqMn390G0dgwzGiRBzzvGlNazRYGWhs0C1gVTQ5XRqJGqk3b/+yaYAh9uw4p4FQvGJRlBbI8UKw==" saltValue="DPXiBDnRLT+lXGb4fbwXfA==" spinCount="100000" sqref="C10" name="GPA_6"/>
    <protectedRange algorithmName="SHA-512" hashValue="8gsZBLxf0FNLqMn390G0dgwzGiRBzzvGlNazRYGWhs0C1gVTQ5XRqJGqk3b/+yaYAh9uw4p4FQvGJRlBbI8UKw==" saltValue="DPXiBDnRLT+lXGb4fbwXfA==" spinCount="100000" sqref="C14" name="GPA_7"/>
    <protectedRange algorithmName="SHA-512" hashValue="8gsZBLxf0FNLqMn390G0dgwzGiRBzzvGlNazRYGWhs0C1gVTQ5XRqJGqk3b/+yaYAh9uw4p4FQvGJRlBbI8UKw==" saltValue="DPXiBDnRLT+lXGb4fbwXfA==" spinCount="100000" sqref="D10" name="GPA_10"/>
    <protectedRange algorithmName="SHA-512" hashValue="8gsZBLxf0FNLqMn390G0dgwzGiRBzzvGlNazRYGWhs0C1gVTQ5XRqJGqk3b/+yaYAh9uw4p4FQvGJRlBbI8UKw==" saltValue="DPXiBDnRLT+lXGb4fbwXfA==" spinCount="100000" sqref="E10" name="GPA_12"/>
    <protectedRange algorithmName="SHA-512" hashValue="8gsZBLxf0FNLqMn390G0dgwzGiRBzzvGlNazRYGWhs0C1gVTQ5XRqJGqk3b/+yaYAh9uw4p4FQvGJRlBbI8UKw==" saltValue="DPXiBDnRLT+lXGb4fbwXfA==" spinCount="100000" sqref="F10" name="GPA_14"/>
    <protectedRange algorithmName="SHA-512" hashValue="8gsZBLxf0FNLqMn390G0dgwzGiRBzzvGlNazRYGWhs0C1gVTQ5XRqJGqk3b/+yaYAh9uw4p4FQvGJRlBbI8UKw==" saltValue="DPXiBDnRLT+lXGb4fbwXfA==" spinCount="100000" sqref="G10" name="GPA_16"/>
    <protectedRange algorithmName="SHA-512" hashValue="8gsZBLxf0FNLqMn390G0dgwzGiRBzzvGlNazRYGWhs0C1gVTQ5XRqJGqk3b/+yaYAh9uw4p4FQvGJRlBbI8UKw==" saltValue="DPXiBDnRLT+lXGb4fbwXfA==" spinCount="100000" sqref="H10" name="GPA_18"/>
    <protectedRange algorithmName="SHA-512" hashValue="8gsZBLxf0FNLqMn390G0dgwzGiRBzzvGlNazRYGWhs0C1gVTQ5XRqJGqk3b/+yaYAh9uw4p4FQvGJRlBbI8UKw==" saltValue="DPXiBDnRLT+lXGb4fbwXfA==" spinCount="100000" sqref="I10:J10" name="GPA_20"/>
    <protectedRange algorithmName="SHA-512" hashValue="8gsZBLxf0FNLqMn390G0dgwzGiRBzzvGlNazRYGWhs0C1gVTQ5XRqJGqk3b/+yaYAh9uw4p4FQvGJRlBbI8UKw==" saltValue="DPXiBDnRLT+lXGb4fbwXfA==" spinCount="100000" sqref="J14" name="GPA_21"/>
    <protectedRange algorithmName="SHA-512" hashValue="8gsZBLxf0FNLqMn390G0dgwzGiRBzzvGlNazRYGWhs0C1gVTQ5XRqJGqk3b/+yaYAh9uw4p4FQvGJRlBbI8UKw==" saltValue="DPXiBDnRLT+lXGb4fbwXfA==" spinCount="100000" sqref="L10" name="GPA_22"/>
    <protectedRange algorithmName="SHA-512" hashValue="8gsZBLxf0FNLqMn390G0dgwzGiRBzzvGlNazRYGWhs0C1gVTQ5XRqJGqk3b/+yaYAh9uw4p4FQvGJRlBbI8UKw==" saltValue="DPXiBDnRLT+lXGb4fbwXfA==" spinCount="100000" sqref="M10" name="GPA_24"/>
    <protectedRange algorithmName="SHA-512" hashValue="8gsZBLxf0FNLqMn390G0dgwzGiRBzzvGlNazRYGWhs0C1gVTQ5XRqJGqk3b/+yaYAh9uw4p4FQvGJRlBbI8UKw==" saltValue="DPXiBDnRLT+lXGb4fbwXfA==" spinCount="100000" sqref="N14" name="GPA_27"/>
    <protectedRange algorithmName="SHA-512" hashValue="8gsZBLxf0FNLqMn390G0dgwzGiRBzzvGlNazRYGWhs0C1gVTQ5XRqJGqk3b/+yaYAh9uw4p4FQvGJRlBbI8UKw==" saltValue="DPXiBDnRLT+lXGb4fbwXfA==" spinCount="100000" sqref="O10" name="GPA_28"/>
    <protectedRange algorithmName="SHA-512" hashValue="8gsZBLxf0FNLqMn390G0dgwzGiRBzzvGlNazRYGWhs0C1gVTQ5XRqJGqk3b/+yaYAh9uw4p4FQvGJRlBbI8UKw==" saltValue="DPXiBDnRLT+lXGb4fbwXfA==" spinCount="100000" sqref="O14" name="GPA_29"/>
    <protectedRange algorithmName="SHA-512" hashValue="8gsZBLxf0FNLqMn390G0dgwzGiRBzzvGlNazRYGWhs0C1gVTQ5XRqJGqk3b/+yaYAh9uw4p4FQvGJRlBbI8UKw==" saltValue="DPXiBDnRLT+lXGb4fbwXfA==" spinCount="100000" sqref="B10" name="GPA_30"/>
    <protectedRange algorithmName="SHA-512" hashValue="8gsZBLxf0FNLqMn390G0dgwzGiRBzzvGlNazRYGWhs0C1gVTQ5XRqJGqk3b/+yaYAh9uw4p4FQvGJRlBbI8UKw==" saltValue="DPXiBDnRLT+lXGb4fbwXfA==" spinCount="100000" sqref="B14" name="GPA_31"/>
  </protectedRanges>
  <autoFilter ref="A3:O15" xr:uid="{4B7D86E6-26AD-47F5-97EF-7ECD9B458BF9}">
    <sortState xmlns:xlrd2="http://schemas.microsoft.com/office/spreadsheetml/2017/richdata2" ref="A4:O15">
      <sortCondition ref="A3:A15"/>
    </sortState>
  </autoFilter>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9F68E-3BC3-40F2-AB5D-CBCBDF14849E}">
  <sheetPr codeName="Sheet24"/>
  <dimension ref="A1:Y989"/>
  <sheetViews>
    <sheetView showGridLines="0" zoomScaleNormal="100" workbookViewId="0">
      <pane xSplit="5" ySplit="15" topLeftCell="F16" activePane="bottomRight" state="frozen"/>
      <selection pane="topRight" activeCell="F1" sqref="F1"/>
      <selection pane="bottomLeft" activeCell="A16" sqref="A16"/>
      <selection pane="bottomRight" activeCell="C13" sqref="C13"/>
    </sheetView>
  </sheetViews>
  <sheetFormatPr defaultColWidth="14.44140625" defaultRowHeight="12.6"/>
  <cols>
    <col min="1" max="1" width="2.21875" style="882" customWidth="1"/>
    <col min="2" max="2" width="32.21875" style="882" customWidth="1"/>
    <col min="3" max="3" width="45.44140625" style="882" customWidth="1"/>
    <col min="4" max="4" width="37.44140625" style="882" hidden="1" customWidth="1"/>
    <col min="5" max="5" width="1" style="883" customWidth="1"/>
    <col min="6" max="8" width="53.5546875" style="882" customWidth="1"/>
    <col min="9" max="9" width="47.88671875" style="882" customWidth="1"/>
    <col min="10" max="23" width="8.5546875" style="882" customWidth="1"/>
    <col min="24" max="16384" width="14.44140625" style="882"/>
  </cols>
  <sheetData>
    <row r="1" spans="1:23" ht="13.2" thickBot="1">
      <c r="A1" s="881" t="str">
        <f>Inputs!B5</f>
        <v>Bandana Gupta Class</v>
      </c>
    </row>
    <row r="2" spans="1:23" ht="13.2" thickBot="1">
      <c r="A2" s="884">
        <f>Inputs!B2</f>
        <v>45177</v>
      </c>
      <c r="B2" s="885"/>
      <c r="C2" s="1361" t="s">
        <v>35</v>
      </c>
      <c r="D2" s="1362"/>
      <c r="E2" s="1362"/>
      <c r="F2" s="1362"/>
      <c r="G2" s="1362"/>
      <c r="H2" s="1362"/>
      <c r="I2" s="1363"/>
      <c r="J2" s="886"/>
      <c r="K2" s="886"/>
      <c r="L2" s="886"/>
      <c r="M2" s="886"/>
      <c r="N2" s="886"/>
      <c r="O2" s="886"/>
      <c r="P2" s="886"/>
      <c r="Q2" s="886"/>
      <c r="R2" s="886"/>
      <c r="S2" s="886"/>
      <c r="T2" s="886"/>
      <c r="U2" s="886"/>
      <c r="V2" s="886"/>
      <c r="W2" s="886"/>
    </row>
    <row r="3" spans="1:23">
      <c r="B3" s="885"/>
      <c r="C3" s="1364" t="s">
        <v>337</v>
      </c>
      <c r="D3" s="1365"/>
      <c r="E3" s="887"/>
      <c r="F3" s="1366" t="str">
        <f>'Company Info'!B4</f>
        <v>ABC</v>
      </c>
      <c r="G3" s="1367"/>
      <c r="H3" s="1367"/>
      <c r="I3" s="1368"/>
      <c r="J3" s="886"/>
      <c r="K3" s="886"/>
      <c r="L3" s="886"/>
      <c r="M3" s="886"/>
      <c r="N3" s="886"/>
      <c r="O3" s="886"/>
      <c r="P3" s="886"/>
      <c r="Q3" s="886"/>
      <c r="R3" s="886"/>
      <c r="S3" s="886"/>
      <c r="T3" s="886"/>
      <c r="U3" s="886"/>
      <c r="V3" s="886"/>
      <c r="W3" s="886"/>
    </row>
    <row r="4" spans="1:23">
      <c r="B4" s="885"/>
      <c r="C4" s="1369" t="s">
        <v>338</v>
      </c>
      <c r="D4" s="1370"/>
      <c r="E4" s="887"/>
      <c r="F4" s="1371" t="s">
        <v>339</v>
      </c>
      <c r="G4" s="1372"/>
      <c r="H4" s="1372"/>
      <c r="I4" s="1373"/>
      <c r="J4" s="886" t="s">
        <v>340</v>
      </c>
      <c r="K4" s="886"/>
      <c r="L4" s="886"/>
      <c r="M4" s="886"/>
      <c r="N4" s="886"/>
      <c r="O4" s="886"/>
      <c r="P4" s="886"/>
      <c r="Q4" s="886"/>
      <c r="R4" s="886"/>
      <c r="S4" s="886"/>
      <c r="T4" s="886"/>
      <c r="U4" s="886"/>
      <c r="V4" s="886"/>
      <c r="W4" s="886"/>
    </row>
    <row r="5" spans="1:23" ht="13.2" thickBot="1">
      <c r="B5" s="885"/>
      <c r="C5" s="1356" t="s">
        <v>341</v>
      </c>
      <c r="D5" s="1357"/>
      <c r="E5" s="887"/>
      <c r="F5" s="1358" t="s">
        <v>342</v>
      </c>
      <c r="G5" s="1359"/>
      <c r="H5" s="1359"/>
      <c r="I5" s="1360"/>
      <c r="J5" s="886" t="s">
        <v>340</v>
      </c>
      <c r="K5" s="886"/>
      <c r="L5" s="886"/>
      <c r="M5" s="886"/>
      <c r="N5" s="886"/>
      <c r="O5" s="886"/>
      <c r="P5" s="886"/>
      <c r="Q5" s="886"/>
      <c r="R5" s="886"/>
      <c r="S5" s="886"/>
      <c r="T5" s="886"/>
      <c r="U5" s="886"/>
      <c r="V5" s="886"/>
      <c r="W5" s="886"/>
    </row>
    <row r="6" spans="1:23" ht="13.2" thickBot="1">
      <c r="B6" s="885"/>
      <c r="C6" s="888"/>
      <c r="D6" s="888"/>
      <c r="E6" s="888"/>
      <c r="F6" s="889"/>
      <c r="G6" s="889"/>
      <c r="H6" s="889"/>
      <c r="I6" s="889"/>
      <c r="J6" s="886"/>
      <c r="K6" s="886"/>
      <c r="L6" s="886"/>
      <c r="M6" s="886"/>
      <c r="N6" s="886"/>
      <c r="O6" s="886"/>
      <c r="P6" s="886"/>
      <c r="Q6" s="886"/>
      <c r="R6" s="886"/>
      <c r="S6" s="886"/>
      <c r="T6" s="886"/>
      <c r="U6" s="886"/>
      <c r="V6" s="886"/>
      <c r="W6" s="886"/>
    </row>
    <row r="7" spans="1:23" ht="13.2" thickBot="1">
      <c r="B7" s="885"/>
      <c r="C7" s="1336"/>
      <c r="D7" s="1336"/>
      <c r="E7" s="887"/>
      <c r="F7" s="1332" t="s">
        <v>67</v>
      </c>
      <c r="G7" s="1333"/>
      <c r="H7" s="1334"/>
      <c r="I7" s="890" t="s">
        <v>68</v>
      </c>
      <c r="J7" s="886"/>
      <c r="K7" s="886"/>
      <c r="L7" s="886"/>
      <c r="M7" s="886"/>
      <c r="N7" s="886"/>
      <c r="O7" s="886"/>
      <c r="P7" s="886"/>
      <c r="Q7" s="886"/>
      <c r="R7" s="886"/>
      <c r="S7" s="886"/>
      <c r="T7" s="886"/>
      <c r="U7" s="886"/>
      <c r="V7" s="886"/>
      <c r="W7" s="886"/>
    </row>
    <row r="8" spans="1:23" ht="13.2" thickBot="1">
      <c r="B8" s="885"/>
      <c r="C8" s="891"/>
      <c r="D8" s="892"/>
      <c r="E8" s="891"/>
      <c r="F8" s="893" t="s">
        <v>561</v>
      </c>
      <c r="G8" s="894" t="s">
        <v>562</v>
      </c>
      <c r="H8" s="1041" t="str">
        <f>Inputs!D53</f>
        <v>HDFC Life</v>
      </c>
      <c r="I8" s="896" t="str">
        <f>Inputs!E53</f>
        <v>Pramerica Life</v>
      </c>
      <c r="J8" s="897"/>
      <c r="K8" s="897"/>
      <c r="L8" s="886"/>
      <c r="M8" s="886"/>
      <c r="N8" s="886"/>
      <c r="O8" s="886"/>
      <c r="P8" s="886"/>
      <c r="Q8" s="886"/>
      <c r="R8" s="886"/>
      <c r="S8" s="886"/>
      <c r="T8" s="886"/>
      <c r="U8" s="886"/>
      <c r="V8" s="886"/>
      <c r="W8" s="886"/>
    </row>
    <row r="9" spans="1:23" ht="13.2" thickBot="1">
      <c r="B9" s="885"/>
      <c r="C9" s="1374" t="s">
        <v>347</v>
      </c>
      <c r="D9" s="1375"/>
      <c r="E9" s="1375"/>
      <c r="F9" s="1375"/>
      <c r="G9" s="1375"/>
      <c r="H9" s="1375"/>
      <c r="I9" s="1376"/>
      <c r="J9" s="886"/>
      <c r="K9" s="886"/>
      <c r="L9" s="886"/>
      <c r="M9" s="886"/>
      <c r="N9" s="886"/>
      <c r="O9" s="886"/>
      <c r="P9" s="886"/>
      <c r="Q9" s="886"/>
      <c r="R9" s="886"/>
      <c r="S9" s="886"/>
      <c r="T9" s="886"/>
      <c r="U9" s="886"/>
      <c r="V9" s="886"/>
      <c r="W9" s="886"/>
    </row>
    <row r="10" spans="1:23">
      <c r="B10" s="898"/>
      <c r="C10" s="899" t="s">
        <v>348</v>
      </c>
      <c r="D10" s="900"/>
      <c r="E10" s="887"/>
      <c r="F10" s="899" t="s">
        <v>530</v>
      </c>
      <c r="G10" s="899" t="s">
        <v>530</v>
      </c>
      <c r="H10" s="1042" t="s">
        <v>530</v>
      </c>
      <c r="I10" s="1043" t="s">
        <v>530</v>
      </c>
      <c r="J10" s="886"/>
      <c r="K10" s="886"/>
      <c r="L10" s="886"/>
      <c r="M10" s="886"/>
      <c r="N10" s="886"/>
      <c r="O10" s="886"/>
      <c r="P10" s="886"/>
      <c r="Q10" s="886"/>
      <c r="R10" s="886"/>
      <c r="S10" s="886"/>
      <c r="T10" s="886"/>
      <c r="U10" s="886"/>
      <c r="V10" s="886"/>
      <c r="W10" s="886"/>
    </row>
    <row r="11" spans="1:23">
      <c r="B11" s="898"/>
      <c r="C11" s="902" t="s">
        <v>563</v>
      </c>
      <c r="D11" s="903"/>
      <c r="E11" s="887"/>
      <c r="F11" s="904">
        <v>500000</v>
      </c>
      <c r="G11" s="904">
        <v>600000</v>
      </c>
      <c r="H11" s="960">
        <v>700000</v>
      </c>
      <c r="I11" s="1044">
        <v>320000</v>
      </c>
      <c r="J11" s="886" t="s">
        <v>340</v>
      </c>
      <c r="K11" s="886"/>
      <c r="L11" s="886"/>
      <c r="M11" s="886"/>
      <c r="N11" s="886"/>
      <c r="O11" s="886"/>
      <c r="P11" s="886"/>
      <c r="Q11" s="886"/>
      <c r="R11" s="886"/>
      <c r="S11" s="886"/>
      <c r="T11" s="886"/>
      <c r="U11" s="886"/>
      <c r="V11" s="886"/>
      <c r="W11" s="886"/>
    </row>
    <row r="12" spans="1:23" ht="25.2">
      <c r="B12" s="898"/>
      <c r="C12" s="906" t="s">
        <v>521</v>
      </c>
      <c r="D12" s="907"/>
      <c r="E12" s="887"/>
      <c r="F12" s="908" t="s">
        <v>564</v>
      </c>
      <c r="G12" s="908" t="s">
        <v>564</v>
      </c>
      <c r="H12" s="961" t="s">
        <v>564</v>
      </c>
      <c r="I12" s="1045">
        <f>Inputs!F59</f>
        <v>150</v>
      </c>
      <c r="J12" s="886" t="s">
        <v>340</v>
      </c>
      <c r="K12" s="886"/>
      <c r="L12" s="886"/>
      <c r="M12" s="886"/>
      <c r="N12" s="886"/>
      <c r="O12" s="886"/>
      <c r="P12" s="886"/>
      <c r="Q12" s="886"/>
      <c r="R12" s="886"/>
      <c r="S12" s="886"/>
      <c r="T12" s="886"/>
      <c r="U12" s="886"/>
      <c r="V12" s="886"/>
      <c r="W12" s="886"/>
    </row>
    <row r="13" spans="1:23">
      <c r="B13" s="898"/>
      <c r="C13" s="902" t="s">
        <v>565</v>
      </c>
      <c r="D13" s="910"/>
      <c r="E13" s="887"/>
      <c r="F13" s="904">
        <f>F11/300</f>
        <v>1666.6666666666667</v>
      </c>
      <c r="G13" s="904">
        <f t="shared" ref="G13:H13" si="0">G11/300</f>
        <v>2000</v>
      </c>
      <c r="H13" s="960">
        <f t="shared" si="0"/>
        <v>2333.3333333333335</v>
      </c>
      <c r="I13" s="1044">
        <f>I11/150</f>
        <v>2133.3333333333335</v>
      </c>
      <c r="J13" s="886"/>
      <c r="K13" s="886"/>
      <c r="L13" s="886"/>
      <c r="M13" s="886"/>
      <c r="N13" s="886"/>
      <c r="O13" s="886"/>
      <c r="P13" s="886"/>
      <c r="Q13" s="886"/>
      <c r="R13" s="886"/>
      <c r="S13" s="886"/>
      <c r="T13" s="886"/>
      <c r="U13" s="886"/>
      <c r="V13" s="886"/>
      <c r="W13" s="886"/>
    </row>
    <row r="14" spans="1:23" ht="13.2" thickBot="1">
      <c r="B14" s="898"/>
      <c r="C14" s="912" t="s">
        <v>566</v>
      </c>
      <c r="D14" s="913"/>
      <c r="E14" s="887"/>
      <c r="F14" s="914">
        <v>2</v>
      </c>
      <c r="G14" s="914">
        <v>2.2999999999999998</v>
      </c>
      <c r="H14" s="1046">
        <v>2.7</v>
      </c>
      <c r="I14" s="1047">
        <v>2</v>
      </c>
      <c r="J14" s="886" t="s">
        <v>340</v>
      </c>
      <c r="K14" s="886"/>
      <c r="L14" s="886"/>
      <c r="M14" s="886"/>
      <c r="N14" s="886"/>
      <c r="O14" s="886"/>
      <c r="P14" s="886"/>
      <c r="Q14" s="886"/>
      <c r="R14" s="886"/>
      <c r="S14" s="886"/>
      <c r="T14" s="886"/>
      <c r="U14" s="886"/>
      <c r="V14" s="886"/>
      <c r="W14" s="886"/>
    </row>
    <row r="15" spans="1:23" ht="13.2" thickBot="1">
      <c r="B15" s="898"/>
      <c r="C15" s="1337" t="s">
        <v>567</v>
      </c>
      <c r="D15" s="1338"/>
      <c r="E15" s="1338"/>
      <c r="F15" s="1338"/>
      <c r="G15" s="1338"/>
      <c r="H15" s="1338"/>
      <c r="I15" s="1377"/>
      <c r="J15" s="1048"/>
      <c r="K15" s="916"/>
      <c r="L15" s="916"/>
      <c r="M15" s="916"/>
      <c r="N15" s="916"/>
      <c r="O15" s="916"/>
      <c r="P15" s="916"/>
      <c r="Q15" s="886"/>
      <c r="R15" s="886"/>
      <c r="S15" s="886"/>
      <c r="T15" s="886"/>
      <c r="U15" s="886"/>
      <c r="V15" s="886"/>
      <c r="W15" s="886"/>
    </row>
    <row r="16" spans="1:23" ht="13.2" thickBot="1">
      <c r="B16" s="1146" t="s">
        <v>356</v>
      </c>
      <c r="C16" s="1145" t="s">
        <v>121</v>
      </c>
      <c r="D16" s="918" t="str">
        <f>SUBSTITUTE($C$16," ","")</f>
        <v>FamilyDefinition</v>
      </c>
      <c r="E16" s="887"/>
      <c r="F16" s="919" t="s">
        <v>199</v>
      </c>
      <c r="G16" s="920" t="s">
        <v>199</v>
      </c>
      <c r="H16" s="921" t="s">
        <v>199</v>
      </c>
      <c r="I16" s="922" t="s">
        <v>199</v>
      </c>
      <c r="J16" s="886"/>
      <c r="K16" s="886"/>
      <c r="L16" s="886"/>
      <c r="M16" s="886"/>
      <c r="N16" s="886"/>
      <c r="O16" s="886"/>
      <c r="P16" s="886"/>
      <c r="Q16" s="886"/>
      <c r="R16" s="886"/>
      <c r="S16" s="886"/>
      <c r="T16" s="886"/>
      <c r="U16" s="886"/>
      <c r="V16" s="886"/>
      <c r="W16" s="886"/>
    </row>
    <row r="17" spans="1:25" ht="4.2" customHeight="1" thickBot="1">
      <c r="A17" s="923"/>
      <c r="B17" s="923"/>
      <c r="C17" s="923"/>
      <c r="D17" s="923"/>
      <c r="E17" s="923"/>
      <c r="F17" s="887"/>
      <c r="G17" s="953"/>
      <c r="H17" s="953"/>
      <c r="I17" s="953"/>
      <c r="J17" s="886"/>
      <c r="K17" s="923"/>
      <c r="L17" s="886"/>
      <c r="M17" s="886"/>
      <c r="N17" s="886"/>
      <c r="O17" s="886"/>
      <c r="P17" s="886"/>
      <c r="Q17" s="886"/>
      <c r="R17" s="886"/>
      <c r="S17" s="886"/>
      <c r="T17" s="886"/>
      <c r="U17" s="886"/>
      <c r="V17" s="886"/>
      <c r="W17" s="886"/>
      <c r="X17" s="886"/>
      <c r="Y17" s="886"/>
    </row>
    <row r="18" spans="1:25">
      <c r="B18" s="1352" t="s">
        <v>568</v>
      </c>
      <c r="C18" s="946" t="s">
        <v>569</v>
      </c>
      <c r="D18" s="927" t="str">
        <f>SUBSTITUTE(C18," ","")</f>
        <v>AgeBand</v>
      </c>
      <c r="E18" s="887"/>
      <c r="F18" s="1049" t="str">
        <f>INDEX('GTLI DB'!$A$7:$J$16,MATCH('GTLI Features (Option 1)'!F$8,'GTLI DB'!$A$7:$A$16,0),MATCH('GTLI Features (Option 1)'!$C18,'GTLI DB'!$A$7:$J$7,0))</f>
        <v>18-70 years</v>
      </c>
      <c r="G18" s="1050" t="str">
        <f>INDEX('GTLI DB'!$A$7:$J$16,MATCH('GTLI Features (Option 1)'!G$8,'GTLI DB'!$A$7:$A$16,0),MATCH('GTLI Features (Option 1)'!$C18,'GTLI DB'!$A$7:$J$7,0))</f>
        <v>18-60 years</v>
      </c>
      <c r="H18" s="1051" t="str">
        <f>INDEX('GTLI DB'!$A$7:$J$16,MATCH('GTLI Features (Option 1)'!H$8,'GTLI DB'!$A$7:$A$16,0),MATCH('GTLI Features (Option 1)'!$C18,'GTLI DB'!$A$7:$J$7,0))</f>
        <v>18-60 years</v>
      </c>
      <c r="I18" s="1052" t="str">
        <f>INDEX('GTLI DB'!$A$7:$J$15,MATCH('GTLI Features (Option 1)'!I$8,'GTLI DB'!$A$7:$A$15,0),MATCH('GTLI Features (Option 1)'!$C18,'GTLI DB'!$A$7:$J$7,0))</f>
        <v>18-60 years</v>
      </c>
      <c r="J18" s="886"/>
      <c r="K18" s="886"/>
      <c r="L18" s="886"/>
      <c r="M18" s="886"/>
      <c r="N18" s="886"/>
      <c r="O18" s="886"/>
      <c r="P18" s="886"/>
      <c r="Q18" s="886"/>
      <c r="R18" s="886"/>
      <c r="S18" s="886"/>
      <c r="T18" s="886"/>
      <c r="U18" s="886"/>
      <c r="V18" s="886"/>
      <c r="W18" s="886"/>
    </row>
    <row r="19" spans="1:25">
      <c r="B19" s="1354"/>
      <c r="C19" s="947" t="s">
        <v>570</v>
      </c>
      <c r="D19" s="927" t="str">
        <f>SUBSTITUTE(C19," ","")</f>
        <v>LumpsumFixedbenefits</v>
      </c>
      <c r="E19" s="887"/>
      <c r="F19" s="1053" t="str">
        <f>INDEX('GTLI DB'!$A$7:$J$16,MATCH('GTLI Features (Option 1)'!F$8,'GTLI DB'!$A$7:$A$16,0),MATCH('GTLI Features (Option 1)'!$C19,'GTLI DB'!$A$7:$J$7,0))</f>
        <v>100% of Sum assured death benefit</v>
      </c>
      <c r="G19" s="1054" t="str">
        <f>INDEX('GTLI DB'!$A$7:$J$16,MATCH('GTLI Features (Option 1)'!G$8,'GTLI DB'!$A$7:$A$16,0),MATCH('GTLI Features (Option 1)'!$C19,'GTLI DB'!$A$7:$J$7,0))</f>
        <v>100% of Sum Assured</v>
      </c>
      <c r="H19" s="1055" t="str">
        <f>INDEX('GTLI DB'!$A$7:$J$16,MATCH('GTLI Features (Option 1)'!H$8,'GTLI DB'!$A$7:$A$16,0),MATCH('GTLI Features (Option 1)'!$C19,'GTLI DB'!$A$7:$J$7,0))</f>
        <v>100% of Sum Assured</v>
      </c>
      <c r="I19" s="1056" t="str">
        <f>INDEX('GTLI DB'!$A$7:$J$15,MATCH('GTLI Features (Option 1)'!I$8,'GTLI DB'!$A$7:$A$15,0),MATCH('GTLI Features (Option 1)'!$C19,'GTLI DB'!$A$7:$J$7,0))</f>
        <v>100% of Sum Assured</v>
      </c>
      <c r="J19" s="886"/>
      <c r="K19" s="886"/>
      <c r="L19" s="886"/>
      <c r="M19" s="886"/>
      <c r="N19" s="886"/>
      <c r="O19" s="886"/>
      <c r="P19" s="886"/>
      <c r="Q19" s="886"/>
      <c r="R19" s="886"/>
      <c r="S19" s="886"/>
      <c r="T19" s="886"/>
      <c r="U19" s="886"/>
      <c r="V19" s="886"/>
      <c r="W19" s="886"/>
    </row>
    <row r="20" spans="1:25" ht="25.2">
      <c r="B20" s="1354"/>
      <c r="C20" s="947" t="s">
        <v>571</v>
      </c>
      <c r="D20" s="927"/>
      <c r="E20" s="887"/>
      <c r="F20" s="1053" t="str">
        <f>INDEX('GTLI DB'!$A$7:$J$16,MATCH('GTLI Features (Option 1)'!F$8,'GTLI DB'!$A$7:$A$16,0),MATCH('GTLI Features (Option 1)'!$C20,'GTLI DB'!$A$7:$J$7,0))</f>
        <v>Not Covered</v>
      </c>
      <c r="G20" s="1054" t="str">
        <f>INDEX('GTLI DB'!$A$7:$J$16,MATCH('GTLI Features (Option 1)'!G$8,'GTLI DB'!$A$7:$A$16,0),MATCH('GTLI Features (Option 1)'!$C20,'GTLI DB'!$A$7:$J$7,0))</f>
        <v>Not Covered</v>
      </c>
      <c r="H20" s="1055" t="str">
        <f>INDEX('GTLI DB'!$A$7:$J$16,MATCH('GTLI Features (Option 1)'!H$8,'GTLI DB'!$A$7:$A$16,0),MATCH('GTLI Features (Option 1)'!$C20,'GTLI DB'!$A$7:$J$7,0))</f>
        <v>Not Covered</v>
      </c>
      <c r="I20" s="1056" t="str">
        <f>INDEX('GTLI DB'!$A$7:$J$15,MATCH('GTLI Features (Option 1)'!I$8,'GTLI DB'!$A$7:$A$15,0),MATCH('GTLI Features (Option 1)'!$C20,'GTLI DB'!$A$7:$J$7,0))</f>
        <v>Not Covered</v>
      </c>
      <c r="J20" s="886"/>
      <c r="K20" s="886"/>
      <c r="L20" s="886"/>
      <c r="M20" s="886"/>
      <c r="N20" s="886"/>
      <c r="O20" s="886"/>
      <c r="P20" s="886"/>
      <c r="Q20" s="886"/>
      <c r="R20" s="886"/>
      <c r="S20" s="886"/>
      <c r="T20" s="886"/>
      <c r="U20" s="886"/>
      <c r="V20" s="886"/>
      <c r="W20" s="886"/>
    </row>
    <row r="21" spans="1:25" ht="25.2">
      <c r="B21" s="1354"/>
      <c r="C21" s="947" t="s">
        <v>572</v>
      </c>
      <c r="D21" s="927"/>
      <c r="E21" s="887"/>
      <c r="F21" s="1053" t="str">
        <f>INDEX('GTLI DB'!$A$7:$J$16,MATCH('GTLI Features (Option 1)'!F$8,'GTLI DB'!$A$7:$A$16,0),MATCH('GTLI Features (Option 1)'!$C21,'GTLI DB'!$A$7:$J$7,0))</f>
        <v>Not Covered</v>
      </c>
      <c r="G21" s="1054" t="str">
        <f>INDEX('GTLI DB'!$A$7:$J$16,MATCH('GTLI Features (Option 1)'!G$8,'GTLI DB'!$A$7:$A$16,0),MATCH('GTLI Features (Option 1)'!$C21,'GTLI DB'!$A$7:$J$7,0))</f>
        <v>Not Covered</v>
      </c>
      <c r="H21" s="1055" t="str">
        <f>INDEX('GTLI DB'!$A$7:$J$16,MATCH('GTLI Features (Option 1)'!H$8,'GTLI DB'!$A$7:$A$16,0),MATCH('GTLI Features (Option 1)'!$C21,'GTLI DB'!$A$7:$J$7,0))</f>
        <v>Not Covered</v>
      </c>
      <c r="I21" s="1056" t="str">
        <f>INDEX('GTLI DB'!$A$7:$J$15,MATCH('GTLI Features (Option 1)'!I$8,'GTLI DB'!$A$7:$A$15,0),MATCH('GTLI Features (Option 1)'!$C21,'GTLI DB'!$A$7:$J$7,0))</f>
        <v>Not Covered</v>
      </c>
      <c r="J21" s="886"/>
      <c r="K21" s="886"/>
      <c r="L21" s="886"/>
      <c r="M21" s="886"/>
      <c r="N21" s="886"/>
      <c r="O21" s="886"/>
      <c r="P21" s="886"/>
      <c r="Q21" s="886"/>
      <c r="R21" s="886"/>
      <c r="S21" s="886"/>
      <c r="T21" s="886"/>
      <c r="U21" s="886"/>
      <c r="V21" s="886"/>
      <c r="W21" s="886"/>
    </row>
    <row r="22" spans="1:25" ht="50.4">
      <c r="B22" s="1354"/>
      <c r="C22" s="947" t="s">
        <v>573</v>
      </c>
      <c r="D22" s="927"/>
      <c r="E22" s="887"/>
      <c r="F22" s="1147" t="str">
        <f>INDEX('GTLI DB'!$A$7:$J$16,MATCH('GTLI Features (Option 1)'!F$8,'GTLI DB'!$A$7:$A$16,0),MATCH('GTLI Features (Option 1)'!$C22,'GTLI DB'!$A$7:$J$7,0))</f>
        <v>a. Death due to natural or unnatural reasons (incl. any accident, COVID-19, natural disaster or suicide)
b. Death certificate issued by the local authority in case of death claim</v>
      </c>
      <c r="G22" s="1148" t="str">
        <f>INDEX('GTLI DB'!$A$7:$J$16,MATCH('GTLI Features (Option 1)'!G$8,'GTLI DB'!$A$7:$A$16,0),MATCH('GTLI Features (Option 1)'!$C22,'GTLI DB'!$A$7:$J$7,0))</f>
        <v>a. Death due to natural or unnatural reasons (incl. any accident, COVID-19, natural disaster or suicide)
b. Death certificate issued by the local authority in case of death claim</v>
      </c>
      <c r="H22" s="1149" t="str">
        <f>INDEX('GTLI DB'!$A$7:$J$16,MATCH('GTLI Features (Option 1)'!H$8,'GTLI DB'!$A$7:$A$16,0),MATCH('GTLI Features (Option 1)'!$C22,'GTLI DB'!$A$7:$J$7,0))</f>
        <v>a. Death due to natural or unnatural reasons (incl. any accident, COVID-19, natural disaster or suicide)
b. Death certificate issued by the local authority in case of death claim</v>
      </c>
      <c r="I22" s="1056" t="str">
        <f>INDEX('GTLI DB'!$A$7:$J$15,MATCH('GTLI Features (Option 1)'!I$8,'GTLI DB'!$A$7:$A$15,0),MATCH('GTLI Features (Option 1)'!$C22,'GTLI DB'!$A$7:$J$7,0))</f>
        <v>a. Death due to natural or unnatural reasons (incl. any accident, COVID-19, natural disaster or suicide)
b. Death certificate issued by the local authority in case of death claim</v>
      </c>
      <c r="J22" s="886"/>
      <c r="K22" s="886"/>
      <c r="L22" s="886"/>
      <c r="M22" s="886"/>
      <c r="N22" s="886"/>
      <c r="O22" s="886"/>
      <c r="P22" s="886"/>
      <c r="Q22" s="886"/>
      <c r="R22" s="886"/>
      <c r="S22" s="886"/>
      <c r="T22" s="886"/>
      <c r="U22" s="886"/>
      <c r="V22" s="886"/>
      <c r="W22" s="886"/>
    </row>
    <row r="23" spans="1:25" ht="201.6">
      <c r="B23" s="1354"/>
      <c r="C23" s="947" t="s">
        <v>574</v>
      </c>
      <c r="D23" s="927"/>
      <c r="E23" s="887"/>
      <c r="F23" s="1147" t="str">
        <f>INDEX('GTLI DB'!$A$7:$J$16,MATCH('GTLI Features (Option 1)'!F$8,'GTLI DB'!$A$7:$A$16,0),MATCH('GTLI Features (Option 1)'!$C23,'GTLI DB'!$A$7:$J$7,0))</f>
        <v>1. Coverage is provided to all full time and permenant employees of the company residing in India.
2. Coverage should not exceed 10 times annual CTC for any member
3. All employees have to be actively at work at the coverage commencement for the employee i.e. employee has not availed a sick leave (other than COVID-19) for a continuous period &gt; 7 days in the preceding year. Else, the person has to be submit a medical questionnaire
4. Moral hazard events such as driving under influence of alcohol/narcotics, participation in hazardous/adventurous activities not covered
5. Members travelling to/ residing in attached negative country list will not be covered, and for other countries if member’s residency period (continuous) &gt; 180 days then we reserve right to review and amend the quoted rate.</v>
      </c>
      <c r="G23" s="1148" t="str">
        <f>INDEX('GTLI DB'!$A$7:$J$16,MATCH('GTLI Features (Option 1)'!G$8,'GTLI DB'!$A$7:$A$16,0),MATCH('GTLI Features (Option 1)'!$C23,'GTLI DB'!$A$7:$J$7,0))</f>
        <v>1. Coverage is provided to all full time and permenant employees of the company residing in India.
2. Coverage should not exceed 10 times annual CTC for any member
3. All employees have to be actively at work at the coverage commencement for the employee i.e. employee has not availed a sick leave (other than COVID-19) for a continuous period &gt; 7 days in the preceding year. Else, the person has to be submit a medical questionnaire
4. Moral hazard events such as driving under influence of alcohol/narcotics, participation in hazardous/adventurous activities not covered
5. Members travelling to/ residing in attached negative country list will not be covered, and for other countries if member’s residency period (continuous) &gt; 180 days then we reserve right to review and amend the quoted rate.</v>
      </c>
      <c r="H23" s="1149" t="str">
        <f>INDEX('GTLI DB'!$A$7:$J$16,MATCH('GTLI Features (Option 1)'!H$8,'GTLI DB'!$A$7:$A$16,0),MATCH('GTLI Features (Option 1)'!$C23,'GTLI DB'!$A$7:$J$7,0))</f>
        <v>1. Coverage is provided to all full time and permenant employees of the company residing in India.
2. Coverage should not exceed 10 times annual CTC for any member
3. All employees have to be actively at work at the coverage commencement for the employee i.e. employee has not availed a sick leave (other than COVID-19) for a continuous period &gt; 7 days in the preceding year. Else, the person has to be submit a medical questionnaire
4. Moral hazard events such as driving under influence of alcohol/narcotics, participation in hazardous/adventurous activities not covered
5. Members travelling to/ residing in attached negative country list will not be covered, and for other countries if member’s residency period (continuous) &gt; 180 days then we reserve right to review and amend the quoted rate.</v>
      </c>
      <c r="I23" s="1056" t="str">
        <f>INDEX('GTLI DB'!$A$7:$J$15,MATCH('GTLI Features (Option 1)'!I$8,'GTLI DB'!$A$7:$A$15,0),MATCH('GTLI Features (Option 1)'!$C23,'GTLI DB'!$A$7:$J$7,0))</f>
        <v>1. Coverage is provided to all full time and permenant employees of the company residing in India.
2. Coverage should not exceed 10 times annual CTC for any member
3. All employees have to be actively at work at the coverage commencement for the employee i.e. employee has not availed a sick leave (other than COVID-19) for a continuous period &gt; 7 days in the preceding year. Else, the person has to be submit a medical questionnaire
4. Moral hazard events such as driving under influence of alcohol/narcotics, participation in hazardous/adventurous activities not covered
5. Members travelling to/ residing in attached negative country list will not be covered, and for other countries if member’s residency period (continuous) &gt; 180 days then we reserve right to review and amend the quoted rate.</v>
      </c>
      <c r="J23" s="886"/>
      <c r="K23" s="886"/>
      <c r="L23" s="886"/>
      <c r="M23" s="886"/>
      <c r="N23" s="886"/>
      <c r="O23" s="886"/>
      <c r="P23" s="886"/>
      <c r="Q23" s="886"/>
      <c r="R23" s="886"/>
      <c r="S23" s="886"/>
      <c r="T23" s="886"/>
      <c r="U23" s="886"/>
      <c r="V23" s="886"/>
      <c r="W23" s="886"/>
    </row>
    <row r="24" spans="1:25" ht="13.2" thickBot="1">
      <c r="B24" s="1353"/>
      <c r="C24" s="948" t="s">
        <v>575</v>
      </c>
      <c r="D24" s="927"/>
      <c r="E24" s="887"/>
      <c r="F24" s="1057" t="str">
        <f>INDEX('GTLI DB'!$A$7:$N$16,MATCH('GTLI Features (Option 1)'!F$8,'GTLI DB'!$A$7:$A$16,0),MATCH('GTLI Features (Option 1)'!$C24,'GTLI DB'!$A$7:$N$7,0))</f>
        <v>10 Days</v>
      </c>
      <c r="G24" s="1058" t="str">
        <f>INDEX('GTLI DB'!$A$7:$N$16,MATCH('GTLI Features (Option 1)'!G$8,'GTLI DB'!$A$7:$A$16,0),MATCH('GTLI Features (Option 1)'!$C24,'GTLI DB'!$A$7:$N$7,0))</f>
        <v>10 Days</v>
      </c>
      <c r="H24" s="1059" t="str">
        <f>INDEX('GTLI DB'!$A$7:$N$16,MATCH('GTLI Features (Option 1)'!H$8,'GTLI DB'!$A$7:$A$16,0),MATCH('GTLI Features (Option 1)'!$C24,'GTLI DB'!$A$7:$N$7,0))</f>
        <v>10 Days</v>
      </c>
      <c r="I24" s="1060" t="str">
        <f>INDEX('GTLI DB'!$A$7:$N$16,MATCH('GTLI Features (Option 1)'!I$8,'GTLI DB'!$A$7:$A$16,0),MATCH('GTLI Features (Option 1)'!$C24,'GTLI DB'!$A$7:$N$7,0))</f>
        <v>10 Days</v>
      </c>
      <c r="J24" s="886"/>
      <c r="K24" s="886"/>
      <c r="L24" s="886"/>
      <c r="M24" s="886"/>
      <c r="N24" s="886"/>
      <c r="O24" s="886"/>
      <c r="P24" s="886"/>
      <c r="Q24" s="886"/>
      <c r="R24" s="886"/>
      <c r="S24" s="886"/>
      <c r="T24" s="886"/>
      <c r="U24" s="886"/>
      <c r="V24" s="886"/>
      <c r="W24" s="886"/>
    </row>
    <row r="25" spans="1:25" ht="4.2" customHeight="1" thickBot="1">
      <c r="C25" s="923"/>
      <c r="D25" s="942"/>
      <c r="E25" s="887"/>
      <c r="F25" s="953"/>
      <c r="G25" s="953"/>
      <c r="H25" s="953"/>
      <c r="I25" s="953"/>
      <c r="J25" s="886"/>
      <c r="K25" s="886"/>
      <c r="L25" s="886"/>
      <c r="M25" s="886"/>
      <c r="N25" s="886"/>
      <c r="O25" s="886"/>
      <c r="P25" s="886"/>
      <c r="Q25" s="886"/>
      <c r="R25" s="886"/>
      <c r="S25" s="886"/>
      <c r="T25" s="886"/>
      <c r="U25" s="886"/>
      <c r="V25" s="886"/>
      <c r="W25" s="886"/>
    </row>
    <row r="26" spans="1:25">
      <c r="B26" s="1352" t="s">
        <v>535</v>
      </c>
      <c r="C26" s="946" t="s">
        <v>459</v>
      </c>
      <c r="D26" s="941"/>
      <c r="E26" s="887"/>
      <c r="F26" s="1061" t="str">
        <f>INDEX('GTLI DB'!$A$7:$N$16,MATCH('GTLI Features (Option 1)'!F$8,'GTLI DB'!$A$7:$A$16,0),MATCH('GTLI Features (Option 1)'!$C26,'GTLI DB'!$A$7:$N$7,0))</f>
        <v>Worldwide 
(Except Declined Countries)</v>
      </c>
      <c r="G26" s="1062" t="str">
        <f>INDEX('GTLI DB'!$A$7:$N$16,MATCH('GTLI Features (Option 1)'!G$8,'GTLI DB'!$A$7:$A$16,0),MATCH('GTLI Features (Option 1)'!$C26,'GTLI DB'!$A$7:$N$7,0))</f>
        <v>Worldwide 
(Except Declined Countries)</v>
      </c>
      <c r="H26" s="1063" t="str">
        <f>INDEX('GTLI DB'!$A$7:$N$16,MATCH('GTLI Features (Option 1)'!H$8,'GTLI DB'!$A$7:$A$16,0),MATCH('GTLI Features (Option 1)'!$C26,'GTLI DB'!$A$7:$N$7,0))</f>
        <v>Worldwide 
(Except Declined Countries)</v>
      </c>
      <c r="I26" s="1064" t="str">
        <f>INDEX('GTLI DB'!$A$7:$N$16,MATCH('GTLI Features (Option 1)'!I$8,'GTLI DB'!$A$7:$A$16,0),MATCH('GTLI Features (Option 1)'!$C26,'GTLI DB'!$A$7:$N$7,0))</f>
        <v>Worldwide 
(Except Declined Countries)</v>
      </c>
      <c r="J26" s="886"/>
      <c r="K26" s="886"/>
      <c r="L26" s="886"/>
      <c r="M26" s="886"/>
      <c r="N26" s="886"/>
      <c r="O26" s="886"/>
      <c r="P26" s="886"/>
      <c r="Q26" s="886"/>
      <c r="R26" s="886"/>
      <c r="S26" s="886"/>
      <c r="T26" s="886"/>
      <c r="U26" s="886"/>
      <c r="V26" s="886"/>
      <c r="W26" s="886"/>
    </row>
    <row r="27" spans="1:25" ht="13.2" thickBot="1">
      <c r="B27" s="1353"/>
      <c r="C27" s="948" t="s">
        <v>576</v>
      </c>
      <c r="D27" s="941"/>
      <c r="E27" s="887"/>
      <c r="F27" s="1057" t="str">
        <f>INDEX('GTLI DB'!$A$7:$N$16,MATCH('GTLI Features (Option 1)'!F$8,'GTLI DB'!$A$7:$A$16,0),MATCH('GTLI Features (Option 1)'!$C27,'GTLI DB'!$A$7:$N$7,0))</f>
        <v>24 x 7 Cover</v>
      </c>
      <c r="G27" s="1058" t="str">
        <f>INDEX('GTLI DB'!$A$7:$N$16,MATCH('GTLI Features (Option 1)'!G$8,'GTLI DB'!$A$7:$A$16,0),MATCH('GTLI Features (Option 1)'!$C27,'GTLI DB'!$A$7:$N$7,0))</f>
        <v>24 x 7 Cover</v>
      </c>
      <c r="H27" s="1059" t="str">
        <f>INDEX('GTLI DB'!$A$7:$N$16,MATCH('GTLI Features (Option 1)'!H$8,'GTLI DB'!$A$7:$A$16,0),MATCH('GTLI Features (Option 1)'!$C27,'GTLI DB'!$A$7:$N$7,0))</f>
        <v>24 x 7 Cover</v>
      </c>
      <c r="I27" s="1060" t="str">
        <f>INDEX('GTLI DB'!$A$7:$N$16,MATCH('GTLI Features (Option 1)'!I$8,'GTLI DB'!$A$7:$A$16,0),MATCH('GTLI Features (Option 1)'!$C27,'GTLI DB'!$A$7:$N$7,0))</f>
        <v>24 x 7 Cover</v>
      </c>
      <c r="J27" s="1007"/>
      <c r="K27" s="886"/>
      <c r="L27" s="886"/>
      <c r="M27" s="886"/>
      <c r="N27" s="886"/>
      <c r="O27" s="886"/>
      <c r="P27" s="886"/>
      <c r="Q27" s="886"/>
      <c r="R27" s="886"/>
      <c r="S27" s="886"/>
      <c r="T27" s="886"/>
      <c r="U27" s="886"/>
      <c r="V27" s="886"/>
      <c r="W27" s="886"/>
    </row>
    <row r="28" spans="1:25" ht="4.2" customHeight="1" thickBot="1">
      <c r="A28" s="923"/>
      <c r="B28" s="923"/>
      <c r="C28" s="923"/>
      <c r="D28" s="923"/>
      <c r="E28" s="923"/>
      <c r="F28" s="887"/>
      <c r="G28" s="953"/>
      <c r="H28" s="953"/>
      <c r="I28" s="953"/>
      <c r="J28" s="886"/>
      <c r="K28" s="923"/>
      <c r="L28" s="886"/>
      <c r="M28" s="886"/>
      <c r="N28" s="886"/>
      <c r="O28" s="886"/>
      <c r="P28" s="886"/>
      <c r="Q28" s="886"/>
      <c r="R28" s="886"/>
      <c r="S28" s="886"/>
      <c r="T28" s="886"/>
      <c r="U28" s="886"/>
      <c r="V28" s="886"/>
      <c r="W28" s="886"/>
      <c r="X28" s="886"/>
      <c r="Y28" s="886"/>
    </row>
    <row r="29" spans="1:25" ht="13.2" thickBot="1">
      <c r="B29" s="1352" t="s">
        <v>384</v>
      </c>
      <c r="C29" s="946" t="s">
        <v>313</v>
      </c>
      <c r="D29" s="1144" t="s">
        <v>313</v>
      </c>
      <c r="E29" s="887"/>
      <c r="F29" s="1061" t="str">
        <f>INDEX('GTLI DB'!$A$7:$N$16,MATCH('GTLI Features (Option 1)'!F$8,'GTLI DB'!$A$7:$A$16,0),MATCH('GTLI Features (Option 1)'!$C29,'GTLI DB'!$A$7:$N$7,0))</f>
        <v>On Pro-rata Basis</v>
      </c>
      <c r="G29" s="1062" t="str">
        <f>INDEX('GTLI DB'!$A$7:$N$16,MATCH('GTLI Features (Option 1)'!G$8,'GTLI DB'!$A$7:$A$16,0),MATCH('GTLI Features (Option 1)'!$C29,'GTLI DB'!$A$7:$N$7,0))</f>
        <v>Additions - Pro-rata Basis
Deletions - Quarterly</v>
      </c>
      <c r="H29" s="1063" t="str">
        <f>INDEX('GTLI DB'!$A$7:$N$16,MATCH('GTLI Features (Option 1)'!H$8,'GTLI DB'!$A$7:$A$16,0),MATCH('GTLI Features (Option 1)'!$C29,'GTLI DB'!$A$7:$N$7,0))</f>
        <v>On Pro-rata Basis</v>
      </c>
      <c r="I29" s="1065" t="str">
        <f>INDEX('GTLI DB'!$A$7:$N$16,MATCH('GTLI Features (Option 1)'!I$8,'GTLI DB'!$A$7:$A$16,0),MATCH('GTLI Features (Option 1)'!$C29,'GTLI DB'!$A$7:$N$7,0))</f>
        <v>On Pro-rata Basis</v>
      </c>
      <c r="J29" s="886"/>
      <c r="K29" s="886"/>
      <c r="L29" s="886"/>
      <c r="M29" s="886"/>
      <c r="N29" s="886"/>
      <c r="O29" s="886"/>
      <c r="P29" s="886"/>
      <c r="Q29" s="886"/>
      <c r="R29" s="886"/>
      <c r="S29" s="886"/>
      <c r="T29" s="886"/>
      <c r="U29" s="886"/>
      <c r="V29" s="886"/>
      <c r="W29" s="886"/>
    </row>
    <row r="30" spans="1:25" ht="25.8" thickBot="1">
      <c r="B30" s="1353"/>
      <c r="C30" s="948" t="s">
        <v>315</v>
      </c>
      <c r="D30" s="941"/>
      <c r="E30" s="887"/>
      <c r="F30" s="1057" t="str">
        <f>INDEX('GTLI DB'!$A$7:$N$16,MATCH('GTLI Features (Option 1)'!F$8,'GTLI DB'!$A$7:$A$16,0),MATCH('GTLI Features (Option 1)'!$C30,'GTLI DB'!$A$7:$N$7,0))</f>
        <v>Not Covered</v>
      </c>
      <c r="G30" s="1058" t="str">
        <f>INDEX('GTLI DB'!$A$7:$N$16,MATCH('GTLI Features (Option 1)'!G$8,'GTLI DB'!$A$7:$A$16,0),MATCH('GTLI Features (Option 1)'!$C30,'GTLI DB'!$A$7:$N$7,0))</f>
        <v>Covered
(In Case of Graded SI)</v>
      </c>
      <c r="H30" s="1059" t="str">
        <f>INDEX('GTLI DB'!$A$7:$N$16,MATCH('GTLI Features (Option 1)'!H$8,'GTLI DB'!$A$7:$A$16,0),MATCH('GTLI Features (Option 1)'!$C30,'GTLI DB'!$A$7:$N$7,0))</f>
        <v>Covered
(In Case of Graded SI)</v>
      </c>
      <c r="I30" s="1060" t="str">
        <f>INDEX('GTLI DB'!$A$7:$N$16,MATCH('GTLI Features (Option 1)'!I$8,'GTLI DB'!$A$7:$A$16,0),MATCH('GTLI Features (Option 1)'!$C30,'GTLI DB'!$A$7:$N$7,0))</f>
        <v>Covered
(In Case of Graded SI)</v>
      </c>
      <c r="J30" s="886"/>
      <c r="K30" s="886"/>
      <c r="L30" s="886"/>
      <c r="M30" s="886"/>
      <c r="N30" s="886"/>
      <c r="O30" s="886"/>
      <c r="P30" s="886"/>
      <c r="Q30" s="886"/>
      <c r="R30" s="886"/>
      <c r="S30" s="886"/>
      <c r="T30" s="886"/>
      <c r="U30" s="886"/>
      <c r="V30" s="886"/>
      <c r="W30" s="886"/>
    </row>
    <row r="31" spans="1:25">
      <c r="C31" s="942"/>
      <c r="D31" s="942"/>
      <c r="E31" s="887"/>
      <c r="F31" s="886"/>
      <c r="G31" s="886"/>
      <c r="H31" s="886"/>
      <c r="I31" s="886"/>
      <c r="J31" s="886"/>
      <c r="K31" s="886"/>
      <c r="L31" s="886"/>
      <c r="M31" s="886"/>
      <c r="N31" s="886"/>
      <c r="O31" s="886"/>
      <c r="P31" s="886"/>
      <c r="Q31" s="886"/>
      <c r="R31" s="886"/>
      <c r="S31" s="886"/>
      <c r="T31" s="886"/>
      <c r="U31" s="886"/>
      <c r="V31" s="886"/>
      <c r="W31" s="886"/>
    </row>
    <row r="32" spans="1:25">
      <c r="B32" s="941" t="s">
        <v>336</v>
      </c>
      <c r="C32" s="942"/>
      <c r="D32" s="942"/>
      <c r="E32" s="887"/>
      <c r="F32" s="886"/>
      <c r="G32" s="886"/>
      <c r="H32" s="886"/>
      <c r="I32" s="886"/>
      <c r="J32" s="886"/>
      <c r="K32" s="886"/>
      <c r="L32" s="886"/>
      <c r="M32" s="886"/>
      <c r="N32" s="886"/>
      <c r="O32" s="886"/>
      <c r="P32" s="886"/>
      <c r="Q32" s="886"/>
      <c r="R32" s="886"/>
      <c r="S32" s="886"/>
      <c r="T32" s="886"/>
      <c r="U32" s="886"/>
      <c r="V32" s="886"/>
      <c r="W32" s="886"/>
    </row>
    <row r="33" spans="3:23">
      <c r="C33" s="942"/>
      <c r="D33" s="942"/>
      <c r="E33" s="887"/>
      <c r="F33" s="886"/>
      <c r="G33" s="886"/>
      <c r="H33" s="886"/>
      <c r="I33" s="886"/>
      <c r="J33" s="886"/>
      <c r="K33" s="886"/>
      <c r="L33" s="886"/>
      <c r="M33" s="886"/>
      <c r="N33" s="886"/>
      <c r="O33" s="886"/>
      <c r="P33" s="886"/>
      <c r="Q33" s="886"/>
      <c r="R33" s="886"/>
      <c r="S33" s="886"/>
      <c r="T33" s="886"/>
      <c r="U33" s="886"/>
      <c r="V33" s="886"/>
      <c r="W33" s="886"/>
    </row>
    <row r="34" spans="3:23">
      <c r="C34" s="942"/>
      <c r="D34" s="942"/>
      <c r="E34" s="887"/>
      <c r="F34" s="886"/>
      <c r="G34" s="886"/>
      <c r="H34" s="886"/>
      <c r="I34" s="886"/>
      <c r="J34" s="886"/>
      <c r="K34" s="886"/>
      <c r="L34" s="886"/>
      <c r="M34" s="886"/>
      <c r="N34" s="886"/>
      <c r="O34" s="886"/>
      <c r="P34" s="886"/>
      <c r="Q34" s="886"/>
      <c r="R34" s="886"/>
      <c r="S34" s="886"/>
      <c r="T34" s="886"/>
      <c r="U34" s="886"/>
      <c r="V34" s="886"/>
      <c r="W34" s="886"/>
    </row>
    <row r="35" spans="3:23">
      <c r="C35" s="942"/>
      <c r="D35" s="942"/>
      <c r="E35" s="887"/>
      <c r="F35" s="886"/>
      <c r="G35" s="886"/>
      <c r="H35" s="886"/>
      <c r="I35" s="886"/>
      <c r="J35" s="886"/>
      <c r="K35" s="886"/>
      <c r="L35" s="886"/>
      <c r="M35" s="886"/>
      <c r="N35" s="886"/>
      <c r="O35" s="886"/>
      <c r="P35" s="886"/>
      <c r="Q35" s="886"/>
      <c r="R35" s="886"/>
      <c r="S35" s="886"/>
      <c r="T35" s="886"/>
      <c r="U35" s="886"/>
      <c r="V35" s="886"/>
      <c r="W35" s="886"/>
    </row>
    <row r="36" spans="3:23">
      <c r="C36" s="942"/>
      <c r="D36" s="942"/>
      <c r="E36" s="887"/>
      <c r="F36" s="886"/>
      <c r="G36" s="886"/>
      <c r="H36" s="886"/>
      <c r="I36" s="886"/>
      <c r="J36" s="886"/>
      <c r="K36" s="886"/>
      <c r="L36" s="886"/>
      <c r="M36" s="886"/>
      <c r="N36" s="886"/>
      <c r="O36" s="886"/>
      <c r="P36" s="886"/>
      <c r="Q36" s="886"/>
      <c r="R36" s="886"/>
      <c r="S36" s="886"/>
      <c r="T36" s="886"/>
      <c r="U36" s="886"/>
      <c r="V36" s="886"/>
      <c r="W36" s="886"/>
    </row>
    <row r="37" spans="3:23">
      <c r="C37" s="942"/>
      <c r="D37" s="942"/>
      <c r="E37" s="887"/>
      <c r="F37" s="886"/>
      <c r="G37" s="886"/>
      <c r="H37" s="886"/>
      <c r="I37" s="886"/>
      <c r="J37" s="886"/>
      <c r="K37" s="886"/>
      <c r="L37" s="886"/>
      <c r="M37" s="886"/>
      <c r="N37" s="886"/>
      <c r="O37" s="886"/>
      <c r="P37" s="886"/>
      <c r="Q37" s="886"/>
      <c r="R37" s="886"/>
      <c r="S37" s="886"/>
      <c r="T37" s="886"/>
      <c r="U37" s="886"/>
      <c r="V37" s="886"/>
      <c r="W37" s="886"/>
    </row>
    <row r="38" spans="3:23">
      <c r="C38" s="942"/>
      <c r="D38" s="942"/>
      <c r="E38" s="887"/>
      <c r="F38" s="886"/>
      <c r="G38" s="886"/>
      <c r="H38" s="886"/>
      <c r="I38" s="886"/>
      <c r="J38" s="886"/>
      <c r="K38" s="886"/>
      <c r="L38" s="886"/>
      <c r="M38" s="886"/>
      <c r="N38" s="886"/>
      <c r="O38" s="886"/>
      <c r="P38" s="886"/>
      <c r="Q38" s="886"/>
      <c r="R38" s="886"/>
      <c r="S38" s="886"/>
      <c r="T38" s="886"/>
      <c r="U38" s="886"/>
      <c r="V38" s="886"/>
      <c r="W38" s="886"/>
    </row>
    <row r="39" spans="3:23">
      <c r="C39" s="942"/>
      <c r="D39" s="942"/>
      <c r="E39" s="887"/>
      <c r="F39" s="886"/>
      <c r="G39" s="886"/>
      <c r="H39" s="886"/>
      <c r="I39" s="886"/>
      <c r="J39" s="886"/>
      <c r="K39" s="886"/>
      <c r="L39" s="886"/>
      <c r="M39" s="886"/>
      <c r="N39" s="886"/>
      <c r="O39" s="886"/>
      <c r="P39" s="886"/>
      <c r="Q39" s="886"/>
      <c r="R39" s="886"/>
      <c r="S39" s="886"/>
      <c r="T39" s="886"/>
      <c r="U39" s="886"/>
      <c r="V39" s="886"/>
      <c r="W39" s="886"/>
    </row>
    <row r="40" spans="3:23">
      <c r="C40" s="942"/>
      <c r="D40" s="942"/>
      <c r="E40" s="887"/>
      <c r="F40" s="886"/>
      <c r="G40" s="886"/>
      <c r="H40" s="886"/>
      <c r="I40" s="886"/>
      <c r="J40" s="886"/>
      <c r="K40" s="886"/>
      <c r="L40" s="886"/>
      <c r="M40" s="886"/>
      <c r="N40" s="886"/>
      <c r="O40" s="886"/>
      <c r="P40" s="886"/>
      <c r="Q40" s="886"/>
      <c r="R40" s="886"/>
      <c r="S40" s="886"/>
      <c r="T40" s="886"/>
      <c r="U40" s="886"/>
      <c r="V40" s="886"/>
      <c r="W40" s="886"/>
    </row>
    <row r="41" spans="3:23">
      <c r="C41" s="942"/>
      <c r="D41" s="942"/>
      <c r="E41" s="887"/>
      <c r="F41" s="886"/>
      <c r="G41" s="886"/>
      <c r="H41" s="886"/>
      <c r="I41" s="886"/>
      <c r="J41" s="886"/>
      <c r="K41" s="886"/>
      <c r="L41" s="886"/>
      <c r="M41" s="886"/>
      <c r="N41" s="886"/>
      <c r="O41" s="886"/>
      <c r="P41" s="886"/>
      <c r="Q41" s="886"/>
      <c r="R41" s="886"/>
      <c r="S41" s="886"/>
      <c r="T41" s="886"/>
      <c r="U41" s="886"/>
      <c r="V41" s="886"/>
      <c r="W41" s="886"/>
    </row>
    <row r="42" spans="3:23">
      <c r="C42" s="942"/>
      <c r="D42" s="942"/>
      <c r="E42" s="887"/>
      <c r="F42" s="886"/>
      <c r="G42" s="886"/>
      <c r="H42" s="886"/>
      <c r="I42" s="886"/>
      <c r="J42" s="886"/>
      <c r="K42" s="886"/>
      <c r="L42" s="886"/>
      <c r="M42" s="886"/>
      <c r="N42" s="886"/>
      <c r="O42" s="886"/>
      <c r="P42" s="886"/>
      <c r="Q42" s="886"/>
      <c r="R42" s="886"/>
      <c r="S42" s="886"/>
      <c r="T42" s="886"/>
      <c r="U42" s="886"/>
      <c r="V42" s="886"/>
      <c r="W42" s="886"/>
    </row>
    <row r="43" spans="3:23">
      <c r="C43" s="942"/>
      <c r="D43" s="942"/>
      <c r="E43" s="887"/>
      <c r="F43" s="886"/>
      <c r="G43" s="886"/>
      <c r="H43" s="886"/>
      <c r="I43" s="886"/>
      <c r="J43" s="886"/>
      <c r="K43" s="886"/>
      <c r="L43" s="886"/>
      <c r="M43" s="886"/>
      <c r="N43" s="886"/>
      <c r="O43" s="886"/>
      <c r="P43" s="886"/>
      <c r="Q43" s="886"/>
      <c r="R43" s="886"/>
      <c r="S43" s="886"/>
      <c r="T43" s="886"/>
      <c r="U43" s="886"/>
      <c r="V43" s="886"/>
      <c r="W43" s="886"/>
    </row>
    <row r="44" spans="3:23">
      <c r="C44" s="942"/>
      <c r="D44" s="942"/>
      <c r="E44" s="887"/>
      <c r="F44" s="886"/>
      <c r="G44" s="886"/>
      <c r="H44" s="886"/>
      <c r="I44" s="886"/>
      <c r="J44" s="886"/>
      <c r="K44" s="886"/>
      <c r="L44" s="886"/>
      <c r="M44" s="886"/>
      <c r="N44" s="886"/>
      <c r="O44" s="886"/>
      <c r="P44" s="886"/>
      <c r="Q44" s="886"/>
      <c r="R44" s="886"/>
      <c r="S44" s="886"/>
      <c r="T44" s="886"/>
      <c r="U44" s="886"/>
      <c r="V44" s="886"/>
      <c r="W44" s="886"/>
    </row>
    <row r="45" spans="3:23">
      <c r="C45" s="942"/>
      <c r="D45" s="942"/>
      <c r="E45" s="887"/>
      <c r="F45" s="886"/>
      <c r="G45" s="886"/>
      <c r="H45" s="886"/>
      <c r="I45" s="886"/>
      <c r="J45" s="886"/>
      <c r="K45" s="886"/>
      <c r="L45" s="886"/>
      <c r="M45" s="886"/>
      <c r="N45" s="886"/>
      <c r="O45" s="886"/>
      <c r="P45" s="886"/>
      <c r="Q45" s="886"/>
      <c r="R45" s="886"/>
      <c r="S45" s="886"/>
      <c r="T45" s="886"/>
      <c r="U45" s="886"/>
      <c r="V45" s="886"/>
      <c r="W45" s="886"/>
    </row>
    <row r="46" spans="3:23">
      <c r="C46" s="942"/>
      <c r="D46" s="942"/>
      <c r="E46" s="887"/>
      <c r="F46" s="886"/>
      <c r="G46" s="886"/>
      <c r="H46" s="886"/>
      <c r="I46" s="886"/>
      <c r="J46" s="886"/>
      <c r="K46" s="886"/>
      <c r="L46" s="886"/>
      <c r="M46" s="886"/>
      <c r="N46" s="886"/>
      <c r="O46" s="886"/>
      <c r="P46" s="886"/>
      <c r="Q46" s="886"/>
      <c r="R46" s="886"/>
      <c r="S46" s="886"/>
      <c r="T46" s="886"/>
      <c r="U46" s="886"/>
      <c r="V46" s="886"/>
      <c r="W46" s="886"/>
    </row>
    <row r="47" spans="3:23">
      <c r="C47" s="942"/>
      <c r="D47" s="942"/>
      <c r="E47" s="887"/>
      <c r="F47" s="886"/>
      <c r="G47" s="886"/>
      <c r="H47" s="886"/>
      <c r="I47" s="886"/>
      <c r="J47" s="886"/>
      <c r="K47" s="886"/>
      <c r="L47" s="886"/>
      <c r="M47" s="886"/>
      <c r="N47" s="886"/>
      <c r="O47" s="886"/>
      <c r="P47" s="886"/>
      <c r="Q47" s="886"/>
      <c r="R47" s="886"/>
      <c r="S47" s="886"/>
      <c r="T47" s="886"/>
      <c r="U47" s="886"/>
      <c r="V47" s="886"/>
      <c r="W47" s="886"/>
    </row>
    <row r="48" spans="3:23">
      <c r="C48" s="942"/>
      <c r="D48" s="942"/>
      <c r="E48" s="887"/>
      <c r="F48" s="886"/>
      <c r="G48" s="886"/>
      <c r="H48" s="886"/>
      <c r="I48" s="886"/>
      <c r="J48" s="886"/>
      <c r="K48" s="886"/>
      <c r="L48" s="886"/>
      <c r="M48" s="886"/>
      <c r="N48" s="886"/>
      <c r="O48" s="886"/>
      <c r="P48" s="886"/>
      <c r="Q48" s="886"/>
      <c r="R48" s="886"/>
      <c r="S48" s="886"/>
      <c r="T48" s="886"/>
      <c r="U48" s="886"/>
      <c r="V48" s="886"/>
      <c r="W48" s="886"/>
    </row>
    <row r="49" spans="3:23">
      <c r="C49" s="942"/>
      <c r="D49" s="942"/>
      <c r="E49" s="887"/>
      <c r="F49" s="886"/>
      <c r="G49" s="886"/>
      <c r="H49" s="886"/>
      <c r="I49" s="886"/>
      <c r="J49" s="886"/>
      <c r="K49" s="886"/>
      <c r="L49" s="886"/>
      <c r="M49" s="886"/>
      <c r="N49" s="886"/>
      <c r="O49" s="886"/>
      <c r="P49" s="886"/>
      <c r="Q49" s="886"/>
      <c r="R49" s="886"/>
      <c r="S49" s="886"/>
      <c r="T49" s="886"/>
      <c r="U49" s="886"/>
      <c r="V49" s="886"/>
      <c r="W49" s="886"/>
    </row>
    <row r="50" spans="3:23">
      <c r="C50" s="942"/>
      <c r="D50" s="942"/>
      <c r="E50" s="887"/>
      <c r="F50" s="886"/>
      <c r="G50" s="886"/>
      <c r="H50" s="886"/>
      <c r="I50" s="886"/>
      <c r="J50" s="886"/>
      <c r="K50" s="886"/>
      <c r="L50" s="886"/>
      <c r="M50" s="886"/>
      <c r="N50" s="886"/>
      <c r="O50" s="886"/>
      <c r="P50" s="886"/>
      <c r="Q50" s="886"/>
      <c r="R50" s="886"/>
      <c r="S50" s="886"/>
      <c r="T50" s="886"/>
      <c r="U50" s="886"/>
      <c r="V50" s="886"/>
      <c r="W50" s="886"/>
    </row>
    <row r="51" spans="3:23">
      <c r="C51" s="942"/>
      <c r="D51" s="942"/>
      <c r="E51" s="887"/>
      <c r="F51" s="886"/>
      <c r="G51" s="886"/>
      <c r="H51" s="886"/>
      <c r="I51" s="886"/>
      <c r="J51" s="886"/>
      <c r="K51" s="886"/>
      <c r="L51" s="886"/>
      <c r="M51" s="886"/>
      <c r="N51" s="886"/>
      <c r="O51" s="886"/>
      <c r="P51" s="886"/>
      <c r="Q51" s="886"/>
      <c r="R51" s="886"/>
      <c r="S51" s="886"/>
      <c r="T51" s="886"/>
      <c r="U51" s="886"/>
      <c r="V51" s="886"/>
      <c r="W51" s="886"/>
    </row>
    <row r="52" spans="3:23">
      <c r="C52" s="942"/>
      <c r="D52" s="942"/>
      <c r="E52" s="887"/>
      <c r="F52" s="886"/>
      <c r="G52" s="886"/>
      <c r="H52" s="886"/>
      <c r="I52" s="886"/>
      <c r="J52" s="886"/>
      <c r="K52" s="886"/>
      <c r="L52" s="886"/>
      <c r="M52" s="886"/>
      <c r="N52" s="886"/>
      <c r="O52" s="886"/>
      <c r="P52" s="886"/>
      <c r="Q52" s="886"/>
      <c r="R52" s="886"/>
      <c r="S52" s="886"/>
      <c r="T52" s="886"/>
      <c r="U52" s="886"/>
      <c r="V52" s="886"/>
      <c r="W52" s="886"/>
    </row>
    <row r="53" spans="3:23">
      <c r="C53" s="942"/>
      <c r="D53" s="942"/>
      <c r="E53" s="887"/>
      <c r="F53" s="886"/>
      <c r="G53" s="886"/>
      <c r="H53" s="886"/>
      <c r="I53" s="886"/>
      <c r="J53" s="886"/>
      <c r="K53" s="886"/>
      <c r="L53" s="886"/>
      <c r="M53" s="886"/>
      <c r="N53" s="886"/>
      <c r="O53" s="886"/>
      <c r="P53" s="886"/>
      <c r="Q53" s="886"/>
      <c r="R53" s="886"/>
      <c r="S53" s="886"/>
      <c r="T53" s="886"/>
      <c r="U53" s="886"/>
      <c r="V53" s="886"/>
      <c r="W53" s="886"/>
    </row>
    <row r="54" spans="3:23">
      <c r="C54" s="942"/>
      <c r="D54" s="942"/>
      <c r="E54" s="887"/>
      <c r="F54" s="886"/>
      <c r="G54" s="886"/>
      <c r="H54" s="886"/>
      <c r="I54" s="886"/>
      <c r="J54" s="886"/>
      <c r="K54" s="886"/>
      <c r="L54" s="886"/>
      <c r="M54" s="886"/>
      <c r="N54" s="886"/>
      <c r="O54" s="886"/>
      <c r="P54" s="886"/>
      <c r="Q54" s="886"/>
      <c r="R54" s="886"/>
      <c r="S54" s="886"/>
      <c r="T54" s="886"/>
      <c r="U54" s="886"/>
      <c r="V54" s="886"/>
      <c r="W54" s="886"/>
    </row>
    <row r="55" spans="3:23">
      <c r="C55" s="942"/>
      <c r="D55" s="942"/>
      <c r="E55" s="887"/>
      <c r="F55" s="886"/>
      <c r="G55" s="886"/>
      <c r="H55" s="886"/>
      <c r="I55" s="886"/>
      <c r="J55" s="886"/>
      <c r="K55" s="886"/>
      <c r="L55" s="886"/>
      <c r="M55" s="886"/>
      <c r="N55" s="886"/>
      <c r="O55" s="886"/>
      <c r="P55" s="886"/>
      <c r="Q55" s="886"/>
      <c r="R55" s="886"/>
      <c r="S55" s="886"/>
      <c r="T55" s="886"/>
      <c r="U55" s="886"/>
      <c r="V55" s="886"/>
      <c r="W55" s="886"/>
    </row>
    <row r="56" spans="3:23">
      <c r="C56" s="942"/>
      <c r="D56" s="942"/>
      <c r="E56" s="887"/>
      <c r="F56" s="886"/>
      <c r="G56" s="886"/>
      <c r="H56" s="886"/>
      <c r="I56" s="886"/>
      <c r="J56" s="886"/>
      <c r="K56" s="886"/>
      <c r="L56" s="886"/>
      <c r="M56" s="886"/>
      <c r="N56" s="886"/>
      <c r="O56" s="886"/>
      <c r="P56" s="886"/>
      <c r="Q56" s="886"/>
      <c r="R56" s="886"/>
      <c r="S56" s="886"/>
      <c r="T56" s="886"/>
      <c r="U56" s="886"/>
      <c r="V56" s="886"/>
      <c r="W56" s="886"/>
    </row>
    <row r="57" spans="3:23">
      <c r="C57" s="942"/>
      <c r="D57" s="942"/>
      <c r="E57" s="887"/>
      <c r="F57" s="886"/>
      <c r="G57" s="886"/>
      <c r="H57" s="886"/>
      <c r="I57" s="886"/>
      <c r="J57" s="886"/>
      <c r="K57" s="886"/>
      <c r="L57" s="886"/>
      <c r="M57" s="886"/>
      <c r="N57" s="886"/>
      <c r="O57" s="886"/>
      <c r="P57" s="886"/>
      <c r="Q57" s="886"/>
      <c r="R57" s="886"/>
      <c r="S57" s="886"/>
      <c r="T57" s="886"/>
      <c r="U57" s="886"/>
      <c r="V57" s="886"/>
      <c r="W57" s="886"/>
    </row>
    <row r="58" spans="3:23">
      <c r="C58" s="942"/>
      <c r="D58" s="942"/>
      <c r="E58" s="887"/>
      <c r="F58" s="886"/>
      <c r="G58" s="886"/>
      <c r="H58" s="886"/>
      <c r="I58" s="886"/>
      <c r="J58" s="886"/>
      <c r="K58" s="886"/>
      <c r="L58" s="886"/>
      <c r="M58" s="886"/>
      <c r="N58" s="886"/>
      <c r="O58" s="886"/>
      <c r="P58" s="886"/>
      <c r="Q58" s="886"/>
      <c r="R58" s="886"/>
      <c r="S58" s="886"/>
      <c r="T58" s="886"/>
      <c r="U58" s="886"/>
      <c r="V58" s="886"/>
      <c r="W58" s="886"/>
    </row>
    <row r="59" spans="3:23">
      <c r="C59" s="942"/>
      <c r="D59" s="942"/>
      <c r="E59" s="887"/>
      <c r="F59" s="886"/>
      <c r="G59" s="886"/>
      <c r="H59" s="886"/>
      <c r="I59" s="886"/>
      <c r="J59" s="886"/>
      <c r="K59" s="886"/>
      <c r="L59" s="886"/>
      <c r="M59" s="886"/>
      <c r="N59" s="886"/>
      <c r="O59" s="886"/>
      <c r="P59" s="886"/>
      <c r="Q59" s="886"/>
      <c r="R59" s="886"/>
      <c r="S59" s="886"/>
      <c r="T59" s="886"/>
      <c r="U59" s="886"/>
      <c r="V59" s="886"/>
      <c r="W59" s="886"/>
    </row>
    <row r="60" spans="3:23">
      <c r="C60" s="942"/>
      <c r="D60" s="942"/>
      <c r="E60" s="887"/>
      <c r="F60" s="886"/>
      <c r="G60" s="886"/>
      <c r="H60" s="886"/>
      <c r="I60" s="886"/>
      <c r="J60" s="886"/>
      <c r="K60" s="886"/>
      <c r="L60" s="886"/>
      <c r="M60" s="886"/>
      <c r="N60" s="886"/>
      <c r="O60" s="886"/>
      <c r="P60" s="886"/>
      <c r="Q60" s="886"/>
      <c r="R60" s="886"/>
      <c r="S60" s="886"/>
      <c r="T60" s="886"/>
      <c r="U60" s="886"/>
      <c r="V60" s="886"/>
      <c r="W60" s="886"/>
    </row>
    <row r="61" spans="3:23">
      <c r="C61" s="942"/>
      <c r="D61" s="942"/>
      <c r="E61" s="887"/>
      <c r="F61" s="886"/>
      <c r="G61" s="886"/>
      <c r="H61" s="886"/>
      <c r="I61" s="886"/>
      <c r="J61" s="886"/>
      <c r="K61" s="886"/>
      <c r="L61" s="886"/>
      <c r="M61" s="886"/>
      <c r="N61" s="886"/>
      <c r="O61" s="886"/>
      <c r="P61" s="886"/>
      <c r="Q61" s="886"/>
      <c r="R61" s="886"/>
      <c r="S61" s="886"/>
      <c r="T61" s="886"/>
      <c r="U61" s="886"/>
      <c r="V61" s="886"/>
      <c r="W61" s="886"/>
    </row>
    <row r="62" spans="3:23">
      <c r="C62" s="942"/>
      <c r="D62" s="942"/>
      <c r="E62" s="887"/>
      <c r="F62" s="886"/>
      <c r="G62" s="886"/>
      <c r="H62" s="886"/>
      <c r="I62" s="886"/>
      <c r="J62" s="886"/>
      <c r="K62" s="886"/>
      <c r="L62" s="886"/>
      <c r="M62" s="886"/>
      <c r="N62" s="886"/>
      <c r="O62" s="886"/>
      <c r="P62" s="886"/>
      <c r="Q62" s="886"/>
      <c r="R62" s="886"/>
      <c r="S62" s="886"/>
      <c r="T62" s="886"/>
      <c r="U62" s="886"/>
      <c r="V62" s="886"/>
      <c r="W62" s="886"/>
    </row>
    <row r="63" spans="3:23">
      <c r="C63" s="942"/>
      <c r="D63" s="942"/>
      <c r="E63" s="887"/>
      <c r="F63" s="886"/>
      <c r="G63" s="886"/>
      <c r="H63" s="886"/>
      <c r="I63" s="886"/>
      <c r="J63" s="886"/>
      <c r="K63" s="886"/>
      <c r="L63" s="886"/>
      <c r="M63" s="886"/>
      <c r="N63" s="886"/>
      <c r="O63" s="886"/>
      <c r="P63" s="886"/>
      <c r="Q63" s="886"/>
      <c r="R63" s="886"/>
      <c r="S63" s="886"/>
      <c r="T63" s="886"/>
      <c r="U63" s="886"/>
      <c r="V63" s="886"/>
      <c r="W63" s="886"/>
    </row>
    <row r="64" spans="3:23">
      <c r="C64" s="942"/>
      <c r="D64" s="942"/>
      <c r="E64" s="887"/>
      <c r="F64" s="886"/>
      <c r="G64" s="886"/>
      <c r="H64" s="886"/>
      <c r="I64" s="886"/>
      <c r="J64" s="886"/>
      <c r="K64" s="886"/>
      <c r="L64" s="886"/>
      <c r="M64" s="886"/>
      <c r="N64" s="886"/>
      <c r="O64" s="886"/>
      <c r="P64" s="886"/>
      <c r="Q64" s="886"/>
      <c r="R64" s="886"/>
      <c r="S64" s="886"/>
      <c r="T64" s="886"/>
      <c r="U64" s="886"/>
      <c r="V64" s="886"/>
      <c r="W64" s="886"/>
    </row>
    <row r="65" spans="3:23">
      <c r="C65" s="942"/>
      <c r="D65" s="942"/>
      <c r="E65" s="887"/>
      <c r="F65" s="886"/>
      <c r="G65" s="886"/>
      <c r="H65" s="886"/>
      <c r="I65" s="886"/>
      <c r="J65" s="886"/>
      <c r="K65" s="886"/>
      <c r="L65" s="886"/>
      <c r="M65" s="886"/>
      <c r="N65" s="886"/>
      <c r="O65" s="886"/>
      <c r="P65" s="886"/>
      <c r="Q65" s="886"/>
      <c r="R65" s="886"/>
      <c r="S65" s="886"/>
      <c r="T65" s="886"/>
      <c r="U65" s="886"/>
      <c r="V65" s="886"/>
      <c r="W65" s="886"/>
    </row>
    <row r="66" spans="3:23">
      <c r="C66" s="942"/>
      <c r="D66" s="942"/>
      <c r="E66" s="887"/>
      <c r="F66" s="886"/>
      <c r="G66" s="886"/>
      <c r="H66" s="886"/>
      <c r="I66" s="886"/>
      <c r="J66" s="886"/>
      <c r="K66" s="886"/>
      <c r="L66" s="886"/>
      <c r="M66" s="886"/>
      <c r="N66" s="886"/>
      <c r="O66" s="886"/>
      <c r="P66" s="886"/>
      <c r="Q66" s="886"/>
      <c r="R66" s="886"/>
      <c r="S66" s="886"/>
      <c r="T66" s="886"/>
      <c r="U66" s="886"/>
      <c r="V66" s="886"/>
      <c r="W66" s="886"/>
    </row>
    <row r="67" spans="3:23">
      <c r="C67" s="942"/>
      <c r="D67" s="942"/>
      <c r="E67" s="887"/>
      <c r="F67" s="886"/>
      <c r="G67" s="886"/>
      <c r="H67" s="886"/>
      <c r="I67" s="886"/>
      <c r="J67" s="886"/>
      <c r="K67" s="886"/>
      <c r="L67" s="886"/>
      <c r="M67" s="886"/>
      <c r="N67" s="886"/>
      <c r="O67" s="886"/>
      <c r="P67" s="886"/>
      <c r="Q67" s="886"/>
      <c r="R67" s="886"/>
      <c r="S67" s="886"/>
      <c r="T67" s="886"/>
      <c r="U67" s="886"/>
      <c r="V67" s="886"/>
      <c r="W67" s="886"/>
    </row>
    <row r="68" spans="3:23">
      <c r="C68" s="942"/>
      <c r="D68" s="942"/>
      <c r="E68" s="887"/>
      <c r="F68" s="886"/>
      <c r="G68" s="886"/>
      <c r="H68" s="886"/>
      <c r="I68" s="886"/>
      <c r="J68" s="886"/>
      <c r="K68" s="886"/>
      <c r="L68" s="886"/>
      <c r="M68" s="886"/>
      <c r="N68" s="886"/>
      <c r="O68" s="886"/>
      <c r="P68" s="886"/>
      <c r="Q68" s="886"/>
      <c r="R68" s="886"/>
      <c r="S68" s="886"/>
      <c r="T68" s="886"/>
      <c r="U68" s="886"/>
      <c r="V68" s="886"/>
      <c r="W68" s="886"/>
    </row>
    <row r="69" spans="3:23">
      <c r="C69" s="942"/>
      <c r="D69" s="942"/>
      <c r="E69" s="887"/>
      <c r="F69" s="886"/>
      <c r="G69" s="886"/>
      <c r="H69" s="886"/>
      <c r="I69" s="886"/>
      <c r="J69" s="886"/>
      <c r="K69" s="886"/>
      <c r="L69" s="886"/>
      <c r="M69" s="886"/>
      <c r="N69" s="886"/>
      <c r="O69" s="886"/>
      <c r="P69" s="886"/>
      <c r="Q69" s="886"/>
      <c r="R69" s="886"/>
      <c r="S69" s="886"/>
      <c r="T69" s="886"/>
      <c r="U69" s="886"/>
      <c r="V69" s="886"/>
      <c r="W69" s="886"/>
    </row>
    <row r="70" spans="3:23">
      <c r="C70" s="942"/>
      <c r="D70" s="942"/>
      <c r="E70" s="887"/>
      <c r="F70" s="886"/>
      <c r="G70" s="886"/>
      <c r="H70" s="886"/>
      <c r="I70" s="886"/>
      <c r="J70" s="886"/>
      <c r="K70" s="886"/>
      <c r="L70" s="886"/>
      <c r="M70" s="886"/>
      <c r="N70" s="886"/>
      <c r="O70" s="886"/>
      <c r="P70" s="886"/>
      <c r="Q70" s="886"/>
      <c r="R70" s="886"/>
      <c r="S70" s="886"/>
      <c r="T70" s="886"/>
      <c r="U70" s="886"/>
      <c r="V70" s="886"/>
      <c r="W70" s="886"/>
    </row>
    <row r="71" spans="3:23">
      <c r="C71" s="942"/>
      <c r="D71" s="942"/>
      <c r="E71" s="887"/>
      <c r="F71" s="886"/>
      <c r="G71" s="886"/>
      <c r="H71" s="886"/>
      <c r="I71" s="886"/>
      <c r="J71" s="886"/>
      <c r="K71" s="886"/>
      <c r="L71" s="886"/>
      <c r="M71" s="886"/>
      <c r="N71" s="886"/>
      <c r="O71" s="886"/>
      <c r="P71" s="886"/>
      <c r="Q71" s="886"/>
      <c r="R71" s="886"/>
      <c r="S71" s="886"/>
      <c r="T71" s="886"/>
      <c r="U71" s="886"/>
      <c r="V71" s="886"/>
      <c r="W71" s="886"/>
    </row>
    <row r="72" spans="3:23">
      <c r="C72" s="942"/>
      <c r="D72" s="942"/>
      <c r="E72" s="887"/>
      <c r="F72" s="886"/>
      <c r="G72" s="886"/>
      <c r="H72" s="886"/>
      <c r="I72" s="886"/>
      <c r="J72" s="886"/>
      <c r="K72" s="886"/>
      <c r="L72" s="886"/>
      <c r="M72" s="886"/>
      <c r="N72" s="886"/>
      <c r="O72" s="886"/>
      <c r="P72" s="886"/>
      <c r="Q72" s="886"/>
      <c r="R72" s="886"/>
      <c r="S72" s="886"/>
      <c r="T72" s="886"/>
      <c r="U72" s="886"/>
      <c r="V72" s="886"/>
      <c r="W72" s="886"/>
    </row>
    <row r="73" spans="3:23">
      <c r="C73" s="942"/>
      <c r="D73" s="942"/>
      <c r="E73" s="943"/>
      <c r="G73" s="886"/>
      <c r="H73" s="886"/>
      <c r="I73" s="886"/>
      <c r="J73" s="886"/>
      <c r="K73" s="886"/>
      <c r="L73" s="886"/>
      <c r="M73" s="886"/>
      <c r="N73" s="886"/>
      <c r="O73" s="886"/>
      <c r="P73" s="886"/>
      <c r="Q73" s="886"/>
      <c r="R73" s="886"/>
      <c r="S73" s="886"/>
      <c r="T73" s="886"/>
      <c r="U73" s="886"/>
      <c r="V73" s="886"/>
      <c r="W73" s="886"/>
    </row>
    <row r="74" spans="3:23">
      <c r="C74" s="942"/>
      <c r="D74" s="942"/>
      <c r="E74" s="943"/>
      <c r="G74" s="944"/>
      <c r="H74" s="886"/>
      <c r="I74" s="886"/>
      <c r="J74" s="886"/>
      <c r="K74" s="886"/>
      <c r="L74" s="886"/>
      <c r="M74" s="886"/>
      <c r="N74" s="886"/>
      <c r="O74" s="886"/>
      <c r="P74" s="886"/>
      <c r="Q74" s="886"/>
      <c r="R74" s="886"/>
      <c r="S74" s="886"/>
      <c r="T74" s="886"/>
      <c r="U74" s="886"/>
      <c r="V74" s="886"/>
      <c r="W74" s="886"/>
    </row>
    <row r="75" spans="3:23">
      <c r="C75" s="942"/>
      <c r="D75" s="942"/>
      <c r="E75" s="943"/>
      <c r="G75" s="944"/>
      <c r="H75" s="886"/>
      <c r="I75" s="886"/>
      <c r="J75" s="886"/>
      <c r="K75" s="886"/>
      <c r="L75" s="886"/>
      <c r="M75" s="886"/>
      <c r="N75" s="886"/>
      <c r="O75" s="886"/>
      <c r="P75" s="886"/>
      <c r="Q75" s="886"/>
      <c r="R75" s="886"/>
      <c r="S75" s="886"/>
      <c r="T75" s="886"/>
      <c r="U75" s="886"/>
      <c r="V75" s="886"/>
      <c r="W75" s="886"/>
    </row>
    <row r="76" spans="3:23">
      <c r="C76" s="942"/>
      <c r="D76" s="942"/>
      <c r="E76" s="943"/>
      <c r="G76" s="944"/>
      <c r="H76" s="886"/>
      <c r="I76" s="886"/>
      <c r="J76" s="886"/>
      <c r="K76" s="886"/>
      <c r="L76" s="886"/>
      <c r="M76" s="886"/>
      <c r="N76" s="886"/>
      <c r="O76" s="886"/>
      <c r="P76" s="886"/>
      <c r="Q76" s="886"/>
      <c r="R76" s="886"/>
      <c r="S76" s="886"/>
      <c r="T76" s="886"/>
      <c r="U76" s="886"/>
      <c r="V76" s="886"/>
      <c r="W76" s="886"/>
    </row>
    <row r="77" spans="3:23">
      <c r="C77" s="942"/>
      <c r="D77" s="942"/>
      <c r="E77" s="943"/>
      <c r="G77" s="883"/>
      <c r="H77" s="886"/>
      <c r="I77" s="886"/>
      <c r="J77" s="886"/>
      <c r="K77" s="886"/>
      <c r="L77" s="886"/>
      <c r="M77" s="886"/>
      <c r="N77" s="886"/>
      <c r="O77" s="886"/>
      <c r="P77" s="886"/>
      <c r="Q77" s="886"/>
      <c r="R77" s="886"/>
      <c r="S77" s="886"/>
      <c r="T77" s="886"/>
      <c r="U77" s="886"/>
      <c r="V77" s="886"/>
      <c r="W77" s="886"/>
    </row>
    <row r="78" spans="3:23">
      <c r="C78" s="942"/>
      <c r="D78" s="942"/>
      <c r="E78" s="943"/>
      <c r="G78" s="944"/>
      <c r="H78" s="886"/>
      <c r="I78" s="886"/>
      <c r="J78" s="886"/>
      <c r="K78" s="886"/>
      <c r="L78" s="886"/>
      <c r="M78" s="886"/>
      <c r="N78" s="886"/>
      <c r="O78" s="886"/>
      <c r="P78" s="886"/>
      <c r="Q78" s="886"/>
      <c r="R78" s="886"/>
      <c r="S78" s="886"/>
      <c r="T78" s="886"/>
      <c r="U78" s="886"/>
      <c r="V78" s="886"/>
      <c r="W78" s="886"/>
    </row>
    <row r="79" spans="3:23">
      <c r="C79" s="942"/>
      <c r="D79" s="942"/>
      <c r="E79" s="943"/>
      <c r="G79" s="944"/>
      <c r="H79" s="886"/>
      <c r="I79" s="886"/>
      <c r="J79" s="886"/>
      <c r="K79" s="886"/>
      <c r="L79" s="886"/>
      <c r="M79" s="886"/>
      <c r="N79" s="886"/>
      <c r="O79" s="886"/>
      <c r="P79" s="886"/>
      <c r="Q79" s="886"/>
      <c r="R79" s="886"/>
      <c r="S79" s="886"/>
      <c r="T79" s="886"/>
      <c r="U79" s="886"/>
      <c r="V79" s="886"/>
      <c r="W79" s="886"/>
    </row>
    <row r="80" spans="3:23">
      <c r="C80" s="942"/>
      <c r="D80" s="942"/>
      <c r="E80" s="943"/>
      <c r="G80" s="883"/>
      <c r="H80" s="886"/>
      <c r="I80" s="886"/>
      <c r="J80" s="886"/>
      <c r="K80" s="886"/>
      <c r="L80" s="886"/>
      <c r="M80" s="886"/>
      <c r="N80" s="886"/>
      <c r="O80" s="886"/>
      <c r="P80" s="886"/>
      <c r="Q80" s="886"/>
      <c r="R80" s="886"/>
      <c r="S80" s="886"/>
      <c r="T80" s="886"/>
      <c r="U80" s="886"/>
      <c r="V80" s="886"/>
      <c r="W80" s="886"/>
    </row>
    <row r="81" spans="3:23">
      <c r="C81" s="942"/>
      <c r="D81" s="942"/>
      <c r="E81" s="943"/>
      <c r="G81" s="944"/>
      <c r="H81" s="886"/>
      <c r="I81" s="886"/>
      <c r="J81" s="886"/>
      <c r="K81" s="886"/>
      <c r="L81" s="886"/>
      <c r="M81" s="886"/>
      <c r="N81" s="886"/>
      <c r="O81" s="886"/>
      <c r="P81" s="886"/>
      <c r="Q81" s="886"/>
      <c r="R81" s="886"/>
      <c r="S81" s="886"/>
      <c r="T81" s="886"/>
      <c r="U81" s="886"/>
      <c r="V81" s="886"/>
      <c r="W81" s="886"/>
    </row>
    <row r="82" spans="3:23">
      <c r="C82" s="942"/>
      <c r="D82" s="942"/>
      <c r="E82" s="943"/>
      <c r="G82" s="944"/>
      <c r="H82" s="886"/>
      <c r="I82" s="886"/>
      <c r="J82" s="886"/>
      <c r="K82" s="886"/>
      <c r="L82" s="886"/>
      <c r="M82" s="886"/>
      <c r="N82" s="886"/>
      <c r="O82" s="886"/>
      <c r="P82" s="886"/>
      <c r="Q82" s="886"/>
      <c r="R82" s="886"/>
      <c r="S82" s="886"/>
      <c r="T82" s="886"/>
      <c r="U82" s="886"/>
      <c r="V82" s="886"/>
      <c r="W82" s="886"/>
    </row>
    <row r="83" spans="3:23">
      <c r="C83" s="942"/>
      <c r="D83" s="942"/>
      <c r="E83" s="943"/>
      <c r="G83" s="944"/>
      <c r="H83" s="886"/>
      <c r="I83" s="886"/>
      <c r="J83" s="886"/>
      <c r="K83" s="886"/>
      <c r="L83" s="886"/>
      <c r="M83" s="886"/>
      <c r="N83" s="886"/>
      <c r="O83" s="886"/>
      <c r="P83" s="886"/>
      <c r="Q83" s="886"/>
      <c r="R83" s="886"/>
      <c r="S83" s="886"/>
      <c r="T83" s="886"/>
      <c r="U83" s="886"/>
      <c r="V83" s="886"/>
      <c r="W83" s="886"/>
    </row>
    <row r="84" spans="3:23">
      <c r="C84" s="942"/>
      <c r="D84" s="942"/>
      <c r="E84" s="943"/>
      <c r="G84" s="944"/>
      <c r="H84" s="886"/>
      <c r="I84" s="886"/>
      <c r="J84" s="886"/>
      <c r="K84" s="886"/>
      <c r="L84" s="886"/>
      <c r="M84" s="886"/>
      <c r="N84" s="886"/>
      <c r="O84" s="886"/>
      <c r="P84" s="886"/>
      <c r="Q84" s="886"/>
      <c r="R84" s="886"/>
      <c r="S84" s="886"/>
      <c r="T84" s="886"/>
      <c r="U84" s="886"/>
      <c r="V84" s="886"/>
      <c r="W84" s="886"/>
    </row>
    <row r="85" spans="3:23">
      <c r="C85" s="942"/>
      <c r="D85" s="942"/>
      <c r="E85" s="943"/>
      <c r="G85" s="944"/>
      <c r="H85" s="886"/>
      <c r="I85" s="886"/>
      <c r="J85" s="886"/>
      <c r="K85" s="886"/>
      <c r="L85" s="886"/>
      <c r="M85" s="886"/>
      <c r="N85" s="886"/>
      <c r="O85" s="886"/>
      <c r="P85" s="886"/>
      <c r="Q85" s="886"/>
      <c r="R85" s="886"/>
      <c r="S85" s="886"/>
      <c r="T85" s="886"/>
      <c r="U85" s="886"/>
      <c r="V85" s="886"/>
      <c r="W85" s="886"/>
    </row>
    <row r="86" spans="3:23">
      <c r="C86" s="942"/>
      <c r="D86" s="942"/>
      <c r="E86" s="943"/>
      <c r="G86" s="944"/>
      <c r="H86" s="886"/>
      <c r="I86" s="886"/>
      <c r="J86" s="886"/>
      <c r="K86" s="886"/>
      <c r="L86" s="886"/>
      <c r="M86" s="886"/>
      <c r="N86" s="886"/>
      <c r="O86" s="886"/>
      <c r="P86" s="886"/>
      <c r="Q86" s="886"/>
      <c r="R86" s="886"/>
      <c r="S86" s="886"/>
      <c r="T86" s="886"/>
      <c r="U86" s="886"/>
      <c r="V86" s="886"/>
      <c r="W86" s="886"/>
    </row>
    <row r="87" spans="3:23">
      <c r="C87" s="942"/>
      <c r="D87" s="942"/>
      <c r="E87" s="943"/>
      <c r="G87" s="944"/>
      <c r="H87" s="886"/>
      <c r="I87" s="886"/>
      <c r="J87" s="886"/>
      <c r="K87" s="886"/>
      <c r="L87" s="886"/>
      <c r="M87" s="886"/>
      <c r="N87" s="886"/>
      <c r="O87" s="886"/>
      <c r="P87" s="886"/>
      <c r="Q87" s="886"/>
      <c r="R87" s="886"/>
      <c r="S87" s="886"/>
      <c r="T87" s="886"/>
      <c r="U87" s="886"/>
      <c r="V87" s="886"/>
      <c r="W87" s="886"/>
    </row>
    <row r="88" spans="3:23">
      <c r="C88" s="942"/>
      <c r="D88" s="942"/>
      <c r="E88" s="943"/>
      <c r="G88" s="944"/>
      <c r="H88" s="886"/>
      <c r="I88" s="886"/>
      <c r="J88" s="886"/>
      <c r="K88" s="886"/>
      <c r="L88" s="886"/>
      <c r="M88" s="886"/>
      <c r="N88" s="886"/>
      <c r="O88" s="886"/>
      <c r="P88" s="886"/>
      <c r="Q88" s="886"/>
      <c r="R88" s="886"/>
      <c r="S88" s="886"/>
      <c r="T88" s="886"/>
      <c r="U88" s="886"/>
      <c r="V88" s="886"/>
      <c r="W88" s="886"/>
    </row>
    <row r="89" spans="3:23">
      <c r="C89" s="942"/>
      <c r="D89" s="942"/>
      <c r="E89" s="943"/>
      <c r="G89" s="883"/>
      <c r="H89" s="886"/>
      <c r="I89" s="886"/>
      <c r="J89" s="886"/>
      <c r="K89" s="886"/>
      <c r="L89" s="886"/>
      <c r="M89" s="886"/>
      <c r="N89" s="886"/>
      <c r="O89" s="886"/>
      <c r="P89" s="886"/>
      <c r="Q89" s="886"/>
      <c r="R89" s="886"/>
      <c r="S89" s="886"/>
      <c r="T89" s="886"/>
      <c r="U89" s="886"/>
      <c r="V89" s="886"/>
      <c r="W89" s="886"/>
    </row>
    <row r="90" spans="3:23">
      <c r="C90" s="942"/>
      <c r="D90" s="942"/>
      <c r="E90" s="944"/>
      <c r="G90" s="944"/>
      <c r="H90" s="886"/>
      <c r="I90" s="886"/>
      <c r="J90" s="886"/>
      <c r="K90" s="886"/>
      <c r="L90" s="886"/>
      <c r="M90" s="886"/>
      <c r="N90" s="886"/>
      <c r="O90" s="886"/>
      <c r="P90" s="886"/>
      <c r="Q90" s="886"/>
      <c r="R90" s="886"/>
      <c r="S90" s="886"/>
      <c r="T90" s="886"/>
      <c r="U90" s="886"/>
      <c r="V90" s="886"/>
      <c r="W90" s="886"/>
    </row>
    <row r="91" spans="3:23">
      <c r="C91" s="942"/>
      <c r="D91" s="942"/>
      <c r="E91" s="944"/>
      <c r="G91" s="883"/>
      <c r="H91" s="886"/>
      <c r="I91" s="886"/>
      <c r="J91" s="886"/>
      <c r="K91" s="886"/>
      <c r="L91" s="886"/>
      <c r="M91" s="886"/>
      <c r="N91" s="886"/>
      <c r="O91" s="886"/>
      <c r="P91" s="886"/>
      <c r="Q91" s="886"/>
      <c r="R91" s="886"/>
      <c r="S91" s="886"/>
      <c r="T91" s="886"/>
      <c r="U91" s="886"/>
      <c r="V91" s="886"/>
      <c r="W91" s="886"/>
    </row>
    <row r="92" spans="3:23">
      <c r="C92" s="942"/>
      <c r="D92" s="942"/>
      <c r="E92" s="944"/>
      <c r="G92" s="944"/>
      <c r="H92" s="886"/>
      <c r="I92" s="886"/>
      <c r="J92" s="886"/>
      <c r="K92" s="886"/>
      <c r="L92" s="886"/>
      <c r="M92" s="886"/>
      <c r="N92" s="886"/>
      <c r="O92" s="886"/>
      <c r="P92" s="886"/>
      <c r="Q92" s="886"/>
      <c r="R92" s="886"/>
      <c r="S92" s="886"/>
      <c r="T92" s="886"/>
      <c r="U92" s="886"/>
      <c r="V92" s="886"/>
      <c r="W92" s="886"/>
    </row>
    <row r="93" spans="3:23">
      <c r="C93" s="942"/>
      <c r="D93" s="942"/>
      <c r="E93" s="944"/>
      <c r="G93" s="944"/>
      <c r="H93" s="886"/>
      <c r="I93" s="886"/>
      <c r="J93" s="886"/>
      <c r="K93" s="886"/>
      <c r="L93" s="886"/>
      <c r="M93" s="886"/>
      <c r="N93" s="886"/>
      <c r="O93" s="886"/>
      <c r="P93" s="886"/>
      <c r="Q93" s="886"/>
      <c r="R93" s="886"/>
      <c r="S93" s="886"/>
      <c r="T93" s="886"/>
      <c r="U93" s="886"/>
      <c r="V93" s="886"/>
      <c r="W93" s="886"/>
    </row>
    <row r="94" spans="3:23">
      <c r="C94" s="942"/>
      <c r="D94" s="942"/>
      <c r="G94" s="944"/>
      <c r="H94" s="886"/>
      <c r="I94" s="886"/>
      <c r="J94" s="886"/>
      <c r="K94" s="886"/>
      <c r="L94" s="886"/>
      <c r="M94" s="886"/>
      <c r="N94" s="886"/>
      <c r="O94" s="886"/>
      <c r="P94" s="886"/>
      <c r="Q94" s="886"/>
      <c r="R94" s="886"/>
      <c r="S94" s="886"/>
      <c r="T94" s="886"/>
      <c r="U94" s="886"/>
      <c r="V94" s="886"/>
      <c r="W94" s="886"/>
    </row>
    <row r="95" spans="3:23">
      <c r="C95" s="942"/>
      <c r="D95" s="942"/>
      <c r="E95" s="944"/>
      <c r="G95" s="883"/>
      <c r="H95" s="886"/>
      <c r="I95" s="886"/>
      <c r="J95" s="886"/>
      <c r="K95" s="886"/>
      <c r="L95" s="886"/>
      <c r="M95" s="886"/>
      <c r="N95" s="886"/>
      <c r="O95" s="886"/>
      <c r="P95" s="886"/>
      <c r="Q95" s="886"/>
      <c r="R95" s="886"/>
      <c r="S95" s="886"/>
      <c r="T95" s="886"/>
      <c r="U95" s="886"/>
      <c r="V95" s="886"/>
      <c r="W95" s="886"/>
    </row>
    <row r="96" spans="3:23">
      <c r="C96" s="942"/>
      <c r="D96" s="942"/>
      <c r="G96" s="944"/>
      <c r="H96" s="886"/>
      <c r="I96" s="886"/>
      <c r="J96" s="886"/>
      <c r="K96" s="886"/>
      <c r="L96" s="886"/>
      <c r="M96" s="886"/>
      <c r="N96" s="886"/>
      <c r="O96" s="886"/>
      <c r="P96" s="886"/>
      <c r="Q96" s="886"/>
      <c r="R96" s="886"/>
      <c r="S96" s="886"/>
      <c r="T96" s="886"/>
      <c r="U96" s="886"/>
      <c r="V96" s="886"/>
      <c r="W96" s="886"/>
    </row>
    <row r="97" spans="3:23">
      <c r="C97" s="942"/>
      <c r="D97" s="942"/>
      <c r="G97" s="883"/>
      <c r="H97" s="886"/>
      <c r="I97" s="886"/>
      <c r="J97" s="886"/>
      <c r="K97" s="886"/>
      <c r="L97" s="886"/>
      <c r="M97" s="886"/>
      <c r="N97" s="886"/>
      <c r="O97" s="886"/>
      <c r="P97" s="886"/>
      <c r="Q97" s="886"/>
      <c r="R97" s="886"/>
      <c r="S97" s="886"/>
      <c r="T97" s="886"/>
      <c r="U97" s="886"/>
      <c r="V97" s="886"/>
      <c r="W97" s="886"/>
    </row>
    <row r="98" spans="3:23">
      <c r="C98" s="942"/>
      <c r="D98" s="942"/>
      <c r="E98" s="944"/>
      <c r="G98" s="944"/>
      <c r="H98" s="886"/>
      <c r="I98" s="886"/>
      <c r="J98" s="886"/>
      <c r="K98" s="886"/>
      <c r="L98" s="886"/>
      <c r="M98" s="886"/>
      <c r="N98" s="886"/>
      <c r="O98" s="886"/>
      <c r="P98" s="886"/>
      <c r="Q98" s="886"/>
      <c r="R98" s="886"/>
      <c r="S98" s="886"/>
      <c r="T98" s="886"/>
      <c r="U98" s="886"/>
      <c r="V98" s="886"/>
      <c r="W98" s="886"/>
    </row>
    <row r="99" spans="3:23">
      <c r="C99" s="942"/>
      <c r="D99" s="942"/>
      <c r="G99" s="883"/>
      <c r="H99" s="886"/>
      <c r="I99" s="886"/>
      <c r="J99" s="886"/>
      <c r="K99" s="886"/>
      <c r="L99" s="886"/>
      <c r="M99" s="886"/>
      <c r="N99" s="886"/>
      <c r="O99" s="886"/>
      <c r="P99" s="886"/>
      <c r="Q99" s="886"/>
      <c r="R99" s="886"/>
      <c r="S99" s="886"/>
      <c r="T99" s="886"/>
      <c r="U99" s="886"/>
      <c r="V99" s="886"/>
      <c r="W99" s="886"/>
    </row>
    <row r="100" spans="3:23">
      <c r="C100" s="942"/>
      <c r="D100" s="942"/>
      <c r="E100" s="944"/>
      <c r="G100" s="944"/>
      <c r="H100" s="886"/>
      <c r="I100" s="886"/>
      <c r="J100" s="886"/>
      <c r="K100" s="886"/>
      <c r="L100" s="886"/>
      <c r="M100" s="886"/>
      <c r="N100" s="886"/>
      <c r="O100" s="886"/>
      <c r="P100" s="886"/>
      <c r="Q100" s="886"/>
      <c r="R100" s="886"/>
      <c r="S100" s="886"/>
      <c r="T100" s="886"/>
      <c r="U100" s="886"/>
      <c r="V100" s="886"/>
      <c r="W100" s="886"/>
    </row>
    <row r="101" spans="3:23">
      <c r="C101" s="942"/>
      <c r="D101" s="942"/>
      <c r="E101" s="944"/>
      <c r="G101" s="883"/>
      <c r="H101" s="886"/>
      <c r="I101" s="886"/>
      <c r="J101" s="886"/>
      <c r="K101" s="886"/>
      <c r="L101" s="886"/>
      <c r="M101" s="886"/>
      <c r="N101" s="886"/>
      <c r="O101" s="886"/>
      <c r="P101" s="886"/>
      <c r="Q101" s="886"/>
      <c r="R101" s="886"/>
      <c r="S101" s="886"/>
      <c r="T101" s="886"/>
      <c r="U101" s="886"/>
      <c r="V101" s="886"/>
      <c r="W101" s="886"/>
    </row>
    <row r="102" spans="3:23">
      <c r="C102" s="942"/>
      <c r="D102" s="942"/>
      <c r="E102" s="944"/>
      <c r="G102" s="944"/>
      <c r="H102" s="886"/>
      <c r="I102" s="886"/>
      <c r="J102" s="886"/>
      <c r="K102" s="886"/>
      <c r="L102" s="886"/>
      <c r="M102" s="886"/>
      <c r="N102" s="886"/>
      <c r="O102" s="886"/>
      <c r="P102" s="886"/>
      <c r="Q102" s="886"/>
      <c r="R102" s="886"/>
      <c r="S102" s="886"/>
      <c r="T102" s="886"/>
      <c r="U102" s="886"/>
      <c r="V102" s="886"/>
      <c r="W102" s="886"/>
    </row>
    <row r="103" spans="3:23">
      <c r="C103" s="942"/>
      <c r="D103" s="942"/>
      <c r="E103" s="944"/>
      <c r="G103" s="883"/>
      <c r="H103" s="886"/>
      <c r="I103" s="886"/>
      <c r="J103" s="886"/>
      <c r="K103" s="886"/>
      <c r="L103" s="886"/>
      <c r="M103" s="886"/>
      <c r="N103" s="886"/>
      <c r="O103" s="886"/>
      <c r="P103" s="886"/>
      <c r="Q103" s="886"/>
      <c r="R103" s="886"/>
      <c r="S103" s="886"/>
      <c r="T103" s="886"/>
      <c r="U103" s="886"/>
      <c r="V103" s="886"/>
      <c r="W103" s="886"/>
    </row>
    <row r="104" spans="3:23">
      <c r="C104" s="942"/>
      <c r="D104" s="942"/>
      <c r="E104" s="944"/>
      <c r="G104" s="944"/>
      <c r="H104" s="886"/>
      <c r="I104" s="886"/>
      <c r="J104" s="886"/>
      <c r="K104" s="886"/>
      <c r="L104" s="886"/>
      <c r="M104" s="886"/>
      <c r="N104" s="886"/>
      <c r="O104" s="886"/>
      <c r="P104" s="886"/>
      <c r="Q104" s="886"/>
      <c r="R104" s="886"/>
      <c r="S104" s="886"/>
      <c r="T104" s="886"/>
      <c r="U104" s="886"/>
      <c r="V104" s="886"/>
      <c r="W104" s="886"/>
    </row>
    <row r="105" spans="3:23">
      <c r="C105" s="942"/>
      <c r="D105" s="942"/>
      <c r="E105" s="944"/>
      <c r="G105" s="944"/>
      <c r="H105" s="886"/>
      <c r="I105" s="886"/>
      <c r="J105" s="886"/>
      <c r="K105" s="886"/>
      <c r="L105" s="886"/>
      <c r="M105" s="886"/>
      <c r="N105" s="886"/>
      <c r="O105" s="886"/>
      <c r="P105" s="886"/>
      <c r="Q105" s="886"/>
      <c r="R105" s="886"/>
      <c r="S105" s="886"/>
      <c r="T105" s="886"/>
      <c r="U105" s="886"/>
      <c r="V105" s="886"/>
      <c r="W105" s="886"/>
    </row>
    <row r="106" spans="3:23">
      <c r="C106" s="942"/>
      <c r="D106" s="942"/>
      <c r="E106" s="944"/>
      <c r="H106" s="886"/>
      <c r="I106" s="886"/>
      <c r="J106" s="886"/>
      <c r="K106" s="886"/>
      <c r="L106" s="886"/>
      <c r="M106" s="886"/>
      <c r="N106" s="886"/>
      <c r="O106" s="886"/>
      <c r="P106" s="886"/>
      <c r="Q106" s="886"/>
      <c r="R106" s="886"/>
      <c r="S106" s="886"/>
      <c r="T106" s="886"/>
      <c r="U106" s="886"/>
      <c r="V106" s="886"/>
      <c r="W106" s="886"/>
    </row>
    <row r="107" spans="3:23">
      <c r="C107" s="942"/>
      <c r="D107" s="942"/>
      <c r="E107" s="944"/>
      <c r="H107" s="886"/>
      <c r="I107" s="886"/>
      <c r="J107" s="886"/>
      <c r="K107" s="886"/>
      <c r="L107" s="886"/>
      <c r="M107" s="886"/>
      <c r="N107" s="886"/>
      <c r="O107" s="886"/>
      <c r="P107" s="886"/>
      <c r="Q107" s="886"/>
      <c r="R107" s="886"/>
      <c r="S107" s="886"/>
      <c r="T107" s="886"/>
      <c r="U107" s="886"/>
      <c r="V107" s="886"/>
      <c r="W107" s="886"/>
    </row>
    <row r="108" spans="3:23">
      <c r="C108" s="942"/>
      <c r="D108" s="942"/>
      <c r="F108" s="886"/>
      <c r="G108" s="886"/>
      <c r="H108" s="886"/>
      <c r="I108" s="886"/>
      <c r="J108" s="886"/>
      <c r="K108" s="886"/>
      <c r="L108" s="886"/>
      <c r="M108" s="886"/>
      <c r="N108" s="886"/>
      <c r="O108" s="886"/>
      <c r="P108" s="886"/>
      <c r="Q108" s="886"/>
      <c r="R108" s="886"/>
      <c r="S108" s="886"/>
      <c r="T108" s="886"/>
      <c r="U108" s="886"/>
      <c r="V108" s="886"/>
      <c r="W108" s="886"/>
    </row>
    <row r="109" spans="3:23">
      <c r="C109" s="942"/>
      <c r="D109" s="942"/>
      <c r="E109" s="944"/>
      <c r="F109" s="886"/>
      <c r="G109" s="886"/>
      <c r="H109" s="886"/>
      <c r="I109" s="886"/>
      <c r="J109" s="886"/>
      <c r="K109" s="886"/>
      <c r="L109" s="886"/>
      <c r="M109" s="886"/>
      <c r="N109" s="886"/>
      <c r="O109" s="886"/>
      <c r="P109" s="886"/>
      <c r="Q109" s="886"/>
      <c r="R109" s="886"/>
      <c r="S109" s="886"/>
      <c r="T109" s="886"/>
      <c r="U109" s="886"/>
      <c r="V109" s="886"/>
      <c r="W109" s="886"/>
    </row>
    <row r="110" spans="3:23">
      <c r="C110" s="942"/>
      <c r="D110" s="942"/>
      <c r="F110" s="886"/>
      <c r="G110" s="886"/>
      <c r="H110" s="886"/>
      <c r="I110" s="886"/>
      <c r="J110" s="886"/>
      <c r="K110" s="886"/>
      <c r="L110" s="886"/>
      <c r="M110" s="886"/>
      <c r="N110" s="886"/>
      <c r="O110" s="886"/>
      <c r="P110" s="886"/>
      <c r="Q110" s="886"/>
      <c r="R110" s="886"/>
      <c r="S110" s="886"/>
      <c r="T110" s="886"/>
      <c r="U110" s="886"/>
      <c r="V110" s="886"/>
      <c r="W110" s="886"/>
    </row>
    <row r="111" spans="3:23">
      <c r="C111" s="942"/>
      <c r="D111" s="942"/>
      <c r="E111" s="944"/>
      <c r="F111" s="886"/>
      <c r="G111" s="886"/>
      <c r="H111" s="886"/>
      <c r="I111" s="886"/>
      <c r="J111" s="886"/>
      <c r="K111" s="886"/>
      <c r="L111" s="886"/>
      <c r="M111" s="886"/>
      <c r="N111" s="886"/>
      <c r="O111" s="886"/>
      <c r="P111" s="886"/>
      <c r="Q111" s="886"/>
      <c r="R111" s="886"/>
      <c r="S111" s="886"/>
      <c r="T111" s="886"/>
      <c r="U111" s="886"/>
      <c r="V111" s="886"/>
      <c r="W111" s="886"/>
    </row>
    <row r="112" spans="3:23">
      <c r="C112" s="942"/>
      <c r="D112" s="942"/>
      <c r="E112" s="944"/>
      <c r="F112" s="886"/>
      <c r="G112" s="886"/>
      <c r="H112" s="886"/>
      <c r="I112" s="886"/>
      <c r="J112" s="886"/>
      <c r="K112" s="886"/>
      <c r="L112" s="886"/>
      <c r="M112" s="886"/>
      <c r="N112" s="886"/>
      <c r="O112" s="886"/>
      <c r="P112" s="886"/>
      <c r="Q112" s="886"/>
      <c r="R112" s="886"/>
      <c r="S112" s="886"/>
      <c r="T112" s="886"/>
      <c r="U112" s="886"/>
      <c r="V112" s="886"/>
      <c r="W112" s="886"/>
    </row>
    <row r="113" spans="3:23">
      <c r="C113" s="942"/>
      <c r="D113" s="942"/>
      <c r="E113" s="944"/>
      <c r="F113" s="886"/>
      <c r="G113" s="886"/>
      <c r="H113" s="886"/>
      <c r="I113" s="886"/>
      <c r="J113" s="886"/>
      <c r="K113" s="886"/>
      <c r="L113" s="886"/>
      <c r="M113" s="886"/>
      <c r="N113" s="886"/>
      <c r="O113" s="886"/>
      <c r="P113" s="886"/>
      <c r="Q113" s="886"/>
      <c r="R113" s="886"/>
      <c r="S113" s="886"/>
      <c r="T113" s="886"/>
      <c r="U113" s="886"/>
      <c r="V113" s="886"/>
      <c r="W113" s="886"/>
    </row>
    <row r="114" spans="3:23">
      <c r="C114" s="942"/>
      <c r="D114" s="942"/>
      <c r="F114" s="886"/>
      <c r="G114" s="886"/>
      <c r="H114" s="886"/>
      <c r="I114" s="886"/>
      <c r="J114" s="886"/>
      <c r="K114" s="886"/>
      <c r="L114" s="886"/>
      <c r="M114" s="886"/>
      <c r="N114" s="886"/>
      <c r="O114" s="886"/>
      <c r="P114" s="886"/>
      <c r="Q114" s="886"/>
      <c r="R114" s="886"/>
      <c r="S114" s="886"/>
      <c r="T114" s="886"/>
      <c r="U114" s="886"/>
      <c r="V114" s="886"/>
      <c r="W114" s="886"/>
    </row>
    <row r="115" spans="3:23">
      <c r="C115" s="942"/>
      <c r="D115" s="942"/>
      <c r="F115" s="886"/>
      <c r="G115" s="886"/>
      <c r="H115" s="886"/>
      <c r="I115" s="886"/>
      <c r="J115" s="886"/>
      <c r="K115" s="886"/>
      <c r="L115" s="886"/>
      <c r="M115" s="886"/>
      <c r="N115" s="886"/>
      <c r="O115" s="886"/>
      <c r="P115" s="886"/>
      <c r="Q115" s="886"/>
      <c r="R115" s="886"/>
      <c r="S115" s="886"/>
      <c r="T115" s="886"/>
      <c r="U115" s="886"/>
      <c r="V115" s="886"/>
      <c r="W115" s="886"/>
    </row>
    <row r="116" spans="3:23">
      <c r="C116" s="942"/>
      <c r="D116" s="942"/>
      <c r="F116" s="886"/>
      <c r="G116" s="886"/>
      <c r="H116" s="886"/>
      <c r="I116" s="886"/>
      <c r="J116" s="886"/>
      <c r="K116" s="886"/>
      <c r="L116" s="886"/>
      <c r="M116" s="886"/>
      <c r="N116" s="886"/>
      <c r="O116" s="886"/>
      <c r="P116" s="886"/>
      <c r="Q116" s="886"/>
      <c r="R116" s="886"/>
      <c r="S116" s="886"/>
      <c r="T116" s="886"/>
      <c r="U116" s="886"/>
      <c r="V116" s="886"/>
      <c r="W116" s="886"/>
    </row>
    <row r="117" spans="3:23">
      <c r="C117" s="942"/>
      <c r="D117" s="942"/>
      <c r="F117" s="886"/>
      <c r="G117" s="886"/>
      <c r="H117" s="886"/>
      <c r="I117" s="886"/>
      <c r="J117" s="886"/>
      <c r="K117" s="886"/>
      <c r="L117" s="886"/>
      <c r="M117" s="886"/>
      <c r="N117" s="886"/>
      <c r="O117" s="886"/>
      <c r="P117" s="886"/>
      <c r="Q117" s="886"/>
      <c r="R117" s="886"/>
      <c r="S117" s="886"/>
      <c r="T117" s="886"/>
      <c r="U117" s="886"/>
      <c r="V117" s="886"/>
      <c r="W117" s="886"/>
    </row>
    <row r="118" spans="3:23">
      <c r="C118" s="942"/>
      <c r="D118" s="942"/>
      <c r="F118" s="886"/>
      <c r="G118" s="886"/>
      <c r="H118" s="886"/>
      <c r="I118" s="886"/>
      <c r="J118" s="886"/>
      <c r="K118" s="886"/>
      <c r="L118" s="886"/>
      <c r="M118" s="886"/>
      <c r="N118" s="886"/>
      <c r="O118" s="886"/>
      <c r="P118" s="886"/>
      <c r="Q118" s="886"/>
      <c r="R118" s="886"/>
      <c r="S118" s="886"/>
      <c r="T118" s="886"/>
      <c r="U118" s="886"/>
      <c r="V118" s="886"/>
      <c r="W118" s="886"/>
    </row>
    <row r="119" spans="3:23">
      <c r="C119" s="942"/>
      <c r="D119" s="942"/>
      <c r="F119" s="886"/>
      <c r="G119" s="886"/>
      <c r="H119" s="886"/>
      <c r="I119" s="886"/>
      <c r="J119" s="886"/>
      <c r="K119" s="886"/>
      <c r="L119" s="886"/>
      <c r="M119" s="886"/>
      <c r="N119" s="886"/>
      <c r="O119" s="886"/>
      <c r="P119" s="886"/>
      <c r="Q119" s="886"/>
      <c r="R119" s="886"/>
      <c r="S119" s="886"/>
      <c r="T119" s="886"/>
      <c r="U119" s="886"/>
      <c r="V119" s="886"/>
      <c r="W119" s="886"/>
    </row>
    <row r="120" spans="3:23">
      <c r="C120" s="942"/>
      <c r="D120" s="942"/>
      <c r="F120" s="886"/>
      <c r="G120" s="886"/>
      <c r="H120" s="886"/>
      <c r="I120" s="886"/>
      <c r="J120" s="886"/>
      <c r="K120" s="886"/>
      <c r="L120" s="886"/>
      <c r="M120" s="886"/>
      <c r="N120" s="886"/>
      <c r="O120" s="886"/>
      <c r="P120" s="886"/>
      <c r="Q120" s="886"/>
      <c r="R120" s="886"/>
      <c r="S120" s="886"/>
      <c r="T120" s="886"/>
      <c r="U120" s="886"/>
      <c r="V120" s="886"/>
      <c r="W120" s="886"/>
    </row>
    <row r="121" spans="3:23">
      <c r="C121" s="942"/>
      <c r="D121" s="942"/>
      <c r="F121" s="886"/>
      <c r="G121" s="886"/>
      <c r="H121" s="886"/>
      <c r="I121" s="886"/>
      <c r="J121" s="886"/>
      <c r="K121" s="886"/>
      <c r="L121" s="886"/>
      <c r="M121" s="886"/>
      <c r="N121" s="886"/>
      <c r="O121" s="886"/>
      <c r="P121" s="886"/>
      <c r="Q121" s="886"/>
      <c r="R121" s="886"/>
      <c r="S121" s="886"/>
      <c r="T121" s="886"/>
      <c r="U121" s="886"/>
      <c r="V121" s="886"/>
      <c r="W121" s="886"/>
    </row>
    <row r="122" spans="3:23">
      <c r="C122" s="942"/>
      <c r="D122" s="942"/>
      <c r="F122" s="886"/>
      <c r="G122" s="886"/>
      <c r="H122" s="886"/>
      <c r="I122" s="886"/>
      <c r="J122" s="886"/>
      <c r="K122" s="886"/>
      <c r="L122" s="886"/>
      <c r="M122" s="886"/>
      <c r="N122" s="886"/>
      <c r="O122" s="886"/>
      <c r="P122" s="886"/>
      <c r="Q122" s="886"/>
      <c r="R122" s="886"/>
      <c r="S122" s="886"/>
      <c r="T122" s="886"/>
      <c r="U122" s="886"/>
      <c r="V122" s="886"/>
      <c r="W122" s="886"/>
    </row>
    <row r="123" spans="3:23">
      <c r="C123" s="942"/>
      <c r="D123" s="942"/>
      <c r="F123" s="886"/>
      <c r="G123" s="886"/>
      <c r="H123" s="886"/>
      <c r="I123" s="886"/>
      <c r="J123" s="886"/>
      <c r="K123" s="886"/>
      <c r="L123" s="886"/>
      <c r="M123" s="886"/>
      <c r="N123" s="886"/>
      <c r="O123" s="886"/>
      <c r="P123" s="886"/>
      <c r="Q123" s="886"/>
      <c r="R123" s="886"/>
      <c r="S123" s="886"/>
      <c r="T123" s="886"/>
      <c r="U123" s="886"/>
      <c r="V123" s="886"/>
      <c r="W123" s="886"/>
    </row>
    <row r="124" spans="3:23">
      <c r="C124" s="942"/>
      <c r="D124" s="942"/>
      <c r="F124" s="886"/>
      <c r="G124" s="886"/>
      <c r="H124" s="886"/>
      <c r="I124" s="886"/>
      <c r="J124" s="886"/>
      <c r="K124" s="886"/>
      <c r="L124" s="886"/>
      <c r="M124" s="886"/>
      <c r="N124" s="886"/>
      <c r="O124" s="886"/>
      <c r="P124" s="886"/>
      <c r="Q124" s="886"/>
      <c r="R124" s="886"/>
      <c r="S124" s="886"/>
      <c r="T124" s="886"/>
      <c r="U124" s="886"/>
      <c r="V124" s="886"/>
      <c r="W124" s="886"/>
    </row>
    <row r="125" spans="3:23">
      <c r="C125" s="942"/>
      <c r="D125" s="942"/>
      <c r="F125" s="886"/>
      <c r="G125" s="886"/>
      <c r="H125" s="886"/>
      <c r="I125" s="886"/>
      <c r="J125" s="886"/>
      <c r="K125" s="886"/>
      <c r="L125" s="886"/>
      <c r="M125" s="886"/>
      <c r="N125" s="886"/>
      <c r="O125" s="886"/>
      <c r="P125" s="886"/>
      <c r="Q125" s="886"/>
      <c r="R125" s="886"/>
      <c r="S125" s="886"/>
      <c r="T125" s="886"/>
      <c r="U125" s="886"/>
      <c r="V125" s="886"/>
      <c r="W125" s="886"/>
    </row>
    <row r="126" spans="3:23">
      <c r="C126" s="942"/>
      <c r="D126" s="942"/>
      <c r="F126" s="886"/>
      <c r="G126" s="886"/>
      <c r="H126" s="886"/>
      <c r="I126" s="886"/>
      <c r="J126" s="886"/>
      <c r="K126" s="886"/>
      <c r="L126" s="886"/>
      <c r="M126" s="886"/>
      <c r="N126" s="886"/>
      <c r="O126" s="886"/>
      <c r="P126" s="886"/>
      <c r="Q126" s="886"/>
      <c r="R126" s="886"/>
      <c r="S126" s="886"/>
      <c r="T126" s="886"/>
      <c r="U126" s="886"/>
      <c r="V126" s="886"/>
      <c r="W126" s="886"/>
    </row>
    <row r="127" spans="3:23">
      <c r="C127" s="942"/>
      <c r="D127" s="942"/>
      <c r="F127" s="886"/>
      <c r="G127" s="886"/>
      <c r="H127" s="886"/>
      <c r="I127" s="886"/>
      <c r="J127" s="886"/>
      <c r="K127" s="886"/>
      <c r="L127" s="886"/>
      <c r="M127" s="886"/>
      <c r="N127" s="886"/>
      <c r="O127" s="886"/>
      <c r="P127" s="886"/>
      <c r="Q127" s="886"/>
      <c r="R127" s="886"/>
      <c r="S127" s="886"/>
      <c r="T127" s="886"/>
      <c r="U127" s="886"/>
      <c r="V127" s="886"/>
      <c r="W127" s="886"/>
    </row>
    <row r="128" spans="3:23">
      <c r="C128" s="942"/>
      <c r="D128" s="942"/>
      <c r="F128" s="886"/>
      <c r="G128" s="886"/>
      <c r="H128" s="886"/>
      <c r="I128" s="886"/>
      <c r="J128" s="886"/>
      <c r="K128" s="886"/>
      <c r="L128" s="886"/>
      <c r="M128" s="886"/>
      <c r="N128" s="886"/>
      <c r="O128" s="886"/>
      <c r="P128" s="886"/>
      <c r="Q128" s="886"/>
      <c r="R128" s="886"/>
      <c r="S128" s="886"/>
      <c r="T128" s="886"/>
      <c r="U128" s="886"/>
      <c r="V128" s="886"/>
      <c r="W128" s="886"/>
    </row>
    <row r="129" spans="3:23">
      <c r="C129" s="942"/>
      <c r="D129" s="942"/>
      <c r="F129" s="886"/>
      <c r="G129" s="886"/>
      <c r="H129" s="886"/>
      <c r="I129" s="886"/>
      <c r="J129" s="886"/>
      <c r="K129" s="886"/>
      <c r="L129" s="886"/>
      <c r="M129" s="886"/>
      <c r="N129" s="886"/>
      <c r="O129" s="886"/>
      <c r="P129" s="886"/>
      <c r="Q129" s="886"/>
      <c r="R129" s="886"/>
      <c r="S129" s="886"/>
      <c r="T129" s="886"/>
      <c r="U129" s="886"/>
      <c r="V129" s="886"/>
      <c r="W129" s="886"/>
    </row>
    <row r="130" spans="3:23">
      <c r="C130" s="942"/>
      <c r="D130" s="942"/>
      <c r="F130" s="886"/>
      <c r="G130" s="886"/>
      <c r="H130" s="886"/>
      <c r="I130" s="886"/>
      <c r="J130" s="886"/>
      <c r="K130" s="886"/>
      <c r="L130" s="886"/>
      <c r="M130" s="886"/>
      <c r="N130" s="886"/>
      <c r="O130" s="886"/>
      <c r="P130" s="886"/>
      <c r="Q130" s="886"/>
      <c r="R130" s="886"/>
      <c r="S130" s="886"/>
      <c r="T130" s="886"/>
      <c r="U130" s="886"/>
      <c r="V130" s="886"/>
      <c r="W130" s="886"/>
    </row>
    <row r="131" spans="3:23">
      <c r="C131" s="942"/>
      <c r="D131" s="942"/>
      <c r="F131" s="886"/>
      <c r="G131" s="886"/>
      <c r="H131" s="886"/>
      <c r="I131" s="886"/>
      <c r="J131" s="886"/>
      <c r="K131" s="886"/>
      <c r="L131" s="886"/>
      <c r="M131" s="886"/>
      <c r="N131" s="886"/>
      <c r="O131" s="886"/>
      <c r="P131" s="886"/>
      <c r="Q131" s="886"/>
      <c r="R131" s="886"/>
      <c r="S131" s="886"/>
      <c r="T131" s="886"/>
      <c r="U131" s="886"/>
      <c r="V131" s="886"/>
      <c r="W131" s="886"/>
    </row>
    <row r="132" spans="3:23">
      <c r="C132" s="942"/>
      <c r="D132" s="942"/>
      <c r="F132" s="886"/>
      <c r="G132" s="886"/>
      <c r="H132" s="886"/>
      <c r="I132" s="886"/>
      <c r="J132" s="886"/>
      <c r="K132" s="886"/>
      <c r="L132" s="886"/>
      <c r="M132" s="886"/>
      <c r="N132" s="886"/>
      <c r="O132" s="886"/>
      <c r="P132" s="886"/>
      <c r="Q132" s="886"/>
      <c r="R132" s="886"/>
      <c r="S132" s="886"/>
      <c r="T132" s="886"/>
      <c r="U132" s="886"/>
      <c r="V132" s="886"/>
      <c r="W132" s="886"/>
    </row>
    <row r="133" spans="3:23">
      <c r="C133" s="942"/>
      <c r="D133" s="942"/>
      <c r="F133" s="886"/>
      <c r="G133" s="886"/>
      <c r="H133" s="886"/>
      <c r="I133" s="886"/>
      <c r="J133" s="886"/>
      <c r="K133" s="886"/>
      <c r="L133" s="886"/>
      <c r="M133" s="886"/>
      <c r="N133" s="886"/>
      <c r="O133" s="886"/>
      <c r="P133" s="886"/>
      <c r="Q133" s="886"/>
      <c r="R133" s="886"/>
      <c r="S133" s="886"/>
      <c r="T133" s="886"/>
      <c r="U133" s="886"/>
      <c r="V133" s="886"/>
      <c r="W133" s="886"/>
    </row>
    <row r="134" spans="3:23">
      <c r="C134" s="942"/>
      <c r="D134" s="942"/>
      <c r="F134" s="886"/>
      <c r="G134" s="886"/>
      <c r="H134" s="886"/>
      <c r="I134" s="886"/>
      <c r="J134" s="886"/>
      <c r="K134" s="886"/>
      <c r="L134" s="886"/>
      <c r="M134" s="886"/>
      <c r="N134" s="886"/>
      <c r="O134" s="886"/>
      <c r="P134" s="886"/>
      <c r="Q134" s="886"/>
      <c r="R134" s="886"/>
      <c r="S134" s="886"/>
      <c r="T134" s="886"/>
      <c r="U134" s="886"/>
      <c r="V134" s="886"/>
      <c r="W134" s="886"/>
    </row>
    <row r="135" spans="3:23">
      <c r="C135" s="942"/>
      <c r="D135" s="942"/>
      <c r="F135" s="886"/>
      <c r="G135" s="886"/>
      <c r="H135" s="886"/>
      <c r="I135" s="886"/>
      <c r="J135" s="886"/>
      <c r="K135" s="886"/>
      <c r="L135" s="886"/>
      <c r="M135" s="886"/>
      <c r="N135" s="886"/>
      <c r="O135" s="886"/>
      <c r="P135" s="886"/>
      <c r="Q135" s="886"/>
      <c r="R135" s="886"/>
      <c r="S135" s="886"/>
      <c r="T135" s="886"/>
      <c r="U135" s="886"/>
      <c r="V135" s="886"/>
      <c r="W135" s="886"/>
    </row>
    <row r="136" spans="3:23">
      <c r="C136" s="942"/>
      <c r="D136" s="942"/>
      <c r="F136" s="886"/>
      <c r="G136" s="886"/>
      <c r="H136" s="886"/>
      <c r="I136" s="886"/>
      <c r="J136" s="886"/>
      <c r="K136" s="886"/>
      <c r="L136" s="886"/>
      <c r="M136" s="886"/>
      <c r="N136" s="886"/>
      <c r="O136" s="886"/>
      <c r="P136" s="886"/>
      <c r="Q136" s="886"/>
      <c r="R136" s="886"/>
      <c r="S136" s="886"/>
      <c r="T136" s="886"/>
      <c r="U136" s="886"/>
      <c r="V136" s="886"/>
      <c r="W136" s="886"/>
    </row>
    <row r="137" spans="3:23">
      <c r="C137" s="942"/>
      <c r="D137" s="942"/>
      <c r="F137" s="886"/>
      <c r="G137" s="886"/>
      <c r="H137" s="886"/>
      <c r="I137" s="886"/>
      <c r="J137" s="886"/>
      <c r="K137" s="886"/>
      <c r="L137" s="886"/>
      <c r="M137" s="886"/>
      <c r="N137" s="886"/>
      <c r="O137" s="886"/>
      <c r="P137" s="886"/>
      <c r="Q137" s="886"/>
      <c r="R137" s="886"/>
      <c r="S137" s="886"/>
      <c r="T137" s="886"/>
      <c r="U137" s="886"/>
      <c r="V137" s="886"/>
      <c r="W137" s="886"/>
    </row>
    <row r="138" spans="3:23">
      <c r="C138" s="942"/>
      <c r="D138" s="942"/>
      <c r="F138" s="886"/>
      <c r="G138" s="886"/>
      <c r="H138" s="886"/>
      <c r="I138" s="886"/>
      <c r="J138" s="886"/>
      <c r="K138" s="886"/>
      <c r="L138" s="886"/>
      <c r="M138" s="886"/>
      <c r="N138" s="886"/>
      <c r="O138" s="886"/>
      <c r="P138" s="886"/>
      <c r="Q138" s="886"/>
      <c r="R138" s="886"/>
      <c r="S138" s="886"/>
      <c r="T138" s="886"/>
      <c r="U138" s="886"/>
      <c r="V138" s="886"/>
      <c r="W138" s="886"/>
    </row>
    <row r="139" spans="3:23">
      <c r="C139" s="942"/>
      <c r="D139" s="942"/>
      <c r="F139" s="886"/>
      <c r="G139" s="886"/>
      <c r="H139" s="886"/>
      <c r="I139" s="886"/>
      <c r="J139" s="886"/>
      <c r="K139" s="886"/>
      <c r="L139" s="886"/>
      <c r="M139" s="886"/>
      <c r="N139" s="886"/>
      <c r="O139" s="886"/>
      <c r="P139" s="886"/>
      <c r="Q139" s="886"/>
      <c r="R139" s="886"/>
      <c r="S139" s="886"/>
      <c r="T139" s="886"/>
      <c r="U139" s="886"/>
      <c r="V139" s="886"/>
      <c r="W139" s="886"/>
    </row>
    <row r="140" spans="3:23">
      <c r="C140" s="942"/>
      <c r="D140" s="942"/>
      <c r="F140" s="886"/>
      <c r="G140" s="886"/>
      <c r="H140" s="886"/>
      <c r="I140" s="886"/>
      <c r="J140" s="886"/>
      <c r="K140" s="886"/>
      <c r="L140" s="886"/>
      <c r="M140" s="886"/>
      <c r="N140" s="886"/>
      <c r="O140" s="886"/>
      <c r="P140" s="886"/>
      <c r="Q140" s="886"/>
      <c r="R140" s="886"/>
      <c r="S140" s="886"/>
      <c r="T140" s="886"/>
      <c r="U140" s="886"/>
      <c r="V140" s="886"/>
      <c r="W140" s="886"/>
    </row>
    <row r="141" spans="3:23">
      <c r="C141" s="942"/>
      <c r="D141" s="942"/>
      <c r="F141" s="886"/>
      <c r="G141" s="886"/>
      <c r="H141" s="886"/>
      <c r="I141" s="886"/>
      <c r="J141" s="886"/>
      <c r="K141" s="886"/>
      <c r="L141" s="886"/>
      <c r="M141" s="886"/>
      <c r="N141" s="886"/>
      <c r="O141" s="886"/>
      <c r="P141" s="886"/>
      <c r="Q141" s="886"/>
      <c r="R141" s="886"/>
      <c r="S141" s="886"/>
      <c r="T141" s="886"/>
      <c r="U141" s="886"/>
      <c r="V141" s="886"/>
      <c r="W141" s="886"/>
    </row>
    <row r="142" spans="3:23">
      <c r="C142" s="942"/>
      <c r="D142" s="942"/>
      <c r="F142" s="886"/>
      <c r="G142" s="886"/>
      <c r="H142" s="886"/>
      <c r="I142" s="886"/>
      <c r="J142" s="886"/>
      <c r="K142" s="886"/>
      <c r="L142" s="886"/>
      <c r="M142" s="886"/>
      <c r="N142" s="886"/>
      <c r="O142" s="886"/>
      <c r="P142" s="886"/>
      <c r="Q142" s="886"/>
      <c r="R142" s="886"/>
      <c r="S142" s="886"/>
      <c r="T142" s="886"/>
      <c r="U142" s="886"/>
      <c r="V142" s="886"/>
      <c r="W142" s="886"/>
    </row>
    <row r="143" spans="3:23">
      <c r="C143" s="942"/>
      <c r="D143" s="942"/>
      <c r="F143" s="886"/>
      <c r="G143" s="886"/>
      <c r="H143" s="886"/>
      <c r="I143" s="886"/>
      <c r="J143" s="886"/>
      <c r="K143" s="886"/>
      <c r="L143" s="886"/>
      <c r="M143" s="886"/>
      <c r="N143" s="886"/>
      <c r="O143" s="886"/>
      <c r="P143" s="886"/>
      <c r="Q143" s="886"/>
      <c r="R143" s="886"/>
      <c r="S143" s="886"/>
      <c r="T143" s="886"/>
      <c r="U143" s="886"/>
      <c r="V143" s="886"/>
      <c r="W143" s="886"/>
    </row>
    <row r="144" spans="3:23">
      <c r="C144" s="942"/>
      <c r="D144" s="942"/>
      <c r="F144" s="886"/>
      <c r="G144" s="886"/>
      <c r="H144" s="886"/>
      <c r="I144" s="886"/>
      <c r="J144" s="886"/>
      <c r="K144" s="886"/>
      <c r="L144" s="886"/>
      <c r="M144" s="886"/>
      <c r="N144" s="886"/>
      <c r="O144" s="886"/>
      <c r="P144" s="886"/>
      <c r="Q144" s="886"/>
      <c r="R144" s="886"/>
      <c r="S144" s="886"/>
      <c r="T144" s="886"/>
      <c r="U144" s="886"/>
      <c r="V144" s="886"/>
      <c r="W144" s="886"/>
    </row>
    <row r="145" spans="3:23">
      <c r="C145" s="942"/>
      <c r="D145" s="942"/>
      <c r="F145" s="886"/>
      <c r="G145" s="886"/>
      <c r="H145" s="886"/>
      <c r="I145" s="886"/>
      <c r="J145" s="886"/>
      <c r="K145" s="886"/>
      <c r="L145" s="886"/>
      <c r="M145" s="886"/>
      <c r="N145" s="886"/>
      <c r="O145" s="886"/>
      <c r="P145" s="886"/>
      <c r="Q145" s="886"/>
      <c r="R145" s="886"/>
      <c r="S145" s="886"/>
      <c r="T145" s="886"/>
      <c r="U145" s="886"/>
      <c r="V145" s="886"/>
      <c r="W145" s="886"/>
    </row>
    <row r="146" spans="3:23">
      <c r="C146" s="942"/>
      <c r="D146" s="942"/>
      <c r="E146" s="945"/>
      <c r="F146" s="886"/>
      <c r="G146" s="886"/>
      <c r="H146" s="886"/>
      <c r="I146" s="886"/>
      <c r="J146" s="886"/>
      <c r="K146" s="886"/>
      <c r="L146" s="886"/>
      <c r="M146" s="886"/>
      <c r="N146" s="886"/>
      <c r="O146" s="886"/>
      <c r="P146" s="886"/>
      <c r="Q146" s="886"/>
      <c r="R146" s="886"/>
      <c r="S146" s="886"/>
      <c r="T146" s="886"/>
      <c r="U146" s="886"/>
      <c r="V146" s="886"/>
      <c r="W146" s="886"/>
    </row>
    <row r="147" spans="3:23">
      <c r="C147" s="942"/>
      <c r="D147" s="942"/>
      <c r="E147" s="945"/>
      <c r="F147" s="886"/>
      <c r="G147" s="886"/>
      <c r="H147" s="886"/>
      <c r="I147" s="886"/>
      <c r="J147" s="886"/>
      <c r="K147" s="886"/>
      <c r="L147" s="886"/>
      <c r="M147" s="886"/>
      <c r="N147" s="886"/>
      <c r="O147" s="886"/>
      <c r="P147" s="886"/>
      <c r="Q147" s="886"/>
      <c r="R147" s="886"/>
      <c r="S147" s="886"/>
      <c r="T147" s="886"/>
      <c r="U147" s="886"/>
      <c r="V147" s="886"/>
      <c r="W147" s="886"/>
    </row>
    <row r="148" spans="3:23">
      <c r="C148" s="942"/>
      <c r="D148" s="942"/>
      <c r="E148" s="943"/>
      <c r="F148" s="886"/>
      <c r="G148" s="886"/>
      <c r="H148" s="886"/>
      <c r="I148" s="886"/>
      <c r="J148" s="886"/>
      <c r="K148" s="886"/>
      <c r="L148" s="886"/>
      <c r="M148" s="886"/>
      <c r="N148" s="886"/>
      <c r="O148" s="886"/>
      <c r="P148" s="886"/>
      <c r="Q148" s="886"/>
      <c r="R148" s="886"/>
      <c r="S148" s="886"/>
      <c r="T148" s="886"/>
      <c r="U148" s="886"/>
      <c r="V148" s="886"/>
      <c r="W148" s="886"/>
    </row>
    <row r="149" spans="3:23">
      <c r="C149" s="942"/>
      <c r="D149" s="942"/>
      <c r="E149" s="943"/>
      <c r="F149" s="886"/>
      <c r="G149" s="886"/>
      <c r="H149" s="886"/>
      <c r="I149" s="886"/>
      <c r="J149" s="886"/>
      <c r="K149" s="886"/>
      <c r="L149" s="886"/>
      <c r="M149" s="886"/>
      <c r="N149" s="886"/>
      <c r="O149" s="886"/>
      <c r="P149" s="886"/>
      <c r="Q149" s="886"/>
      <c r="R149" s="886"/>
      <c r="S149" s="886"/>
      <c r="T149" s="886"/>
      <c r="U149" s="886"/>
      <c r="V149" s="886"/>
      <c r="W149" s="886"/>
    </row>
    <row r="150" spans="3:23">
      <c r="C150" s="942"/>
      <c r="D150" s="942"/>
      <c r="E150" s="943"/>
      <c r="F150" s="886"/>
      <c r="G150" s="886"/>
      <c r="H150" s="886"/>
      <c r="I150" s="886"/>
      <c r="J150" s="886"/>
      <c r="K150" s="886"/>
      <c r="L150" s="886"/>
      <c r="M150" s="886"/>
      <c r="N150" s="886"/>
      <c r="O150" s="886"/>
      <c r="P150" s="886"/>
      <c r="Q150" s="886"/>
      <c r="R150" s="886"/>
      <c r="S150" s="886"/>
      <c r="T150" s="886"/>
      <c r="U150" s="886"/>
      <c r="V150" s="886"/>
      <c r="W150" s="886"/>
    </row>
    <row r="151" spans="3:23">
      <c r="C151" s="942"/>
      <c r="D151" s="942"/>
      <c r="E151" s="943"/>
      <c r="F151" s="886"/>
      <c r="G151" s="886"/>
      <c r="H151" s="886"/>
      <c r="I151" s="886"/>
      <c r="J151" s="886"/>
      <c r="K151" s="886"/>
      <c r="L151" s="886"/>
      <c r="M151" s="886"/>
      <c r="N151" s="886"/>
      <c r="O151" s="886"/>
      <c r="P151" s="886"/>
      <c r="Q151" s="886"/>
      <c r="R151" s="886"/>
      <c r="S151" s="886"/>
      <c r="T151" s="886"/>
      <c r="U151" s="886"/>
      <c r="V151" s="886"/>
      <c r="W151" s="886"/>
    </row>
    <row r="152" spans="3:23">
      <c r="C152" s="942"/>
      <c r="D152" s="942"/>
      <c r="E152" s="943"/>
      <c r="F152" s="886"/>
      <c r="G152" s="886"/>
      <c r="H152" s="886"/>
      <c r="I152" s="886"/>
      <c r="J152" s="886"/>
      <c r="K152" s="886"/>
      <c r="L152" s="886"/>
      <c r="M152" s="886"/>
      <c r="N152" s="886"/>
      <c r="O152" s="886"/>
      <c r="P152" s="886"/>
      <c r="Q152" s="886"/>
      <c r="R152" s="886"/>
      <c r="S152" s="886"/>
      <c r="T152" s="886"/>
      <c r="U152" s="886"/>
      <c r="V152" s="886"/>
      <c r="W152" s="886"/>
    </row>
    <row r="153" spans="3:23">
      <c r="C153" s="942"/>
      <c r="D153" s="942"/>
      <c r="E153" s="943"/>
      <c r="F153" s="886"/>
      <c r="G153" s="886"/>
      <c r="H153" s="886"/>
      <c r="I153" s="886"/>
      <c r="J153" s="886"/>
      <c r="K153" s="886"/>
      <c r="L153" s="886"/>
      <c r="M153" s="886"/>
      <c r="N153" s="886"/>
      <c r="O153" s="886"/>
      <c r="P153" s="886"/>
      <c r="Q153" s="886"/>
      <c r="R153" s="886"/>
      <c r="S153" s="886"/>
      <c r="T153" s="886"/>
      <c r="U153" s="886"/>
      <c r="V153" s="886"/>
      <c r="W153" s="886"/>
    </row>
    <row r="154" spans="3:23">
      <c r="C154" s="942"/>
      <c r="D154" s="942"/>
      <c r="E154" s="943"/>
      <c r="F154" s="886"/>
      <c r="G154" s="886"/>
      <c r="H154" s="886"/>
      <c r="I154" s="886"/>
      <c r="J154" s="886"/>
      <c r="K154" s="886"/>
      <c r="L154" s="886"/>
      <c r="M154" s="886"/>
      <c r="N154" s="886"/>
      <c r="O154" s="886"/>
      <c r="P154" s="886"/>
      <c r="Q154" s="886"/>
      <c r="R154" s="886"/>
      <c r="S154" s="886"/>
      <c r="T154" s="886"/>
      <c r="U154" s="886"/>
      <c r="V154" s="886"/>
      <c r="W154" s="886"/>
    </row>
    <row r="155" spans="3:23">
      <c r="C155" s="942"/>
      <c r="D155" s="942"/>
      <c r="E155" s="943"/>
      <c r="F155" s="886"/>
      <c r="G155" s="886"/>
      <c r="H155" s="886"/>
      <c r="I155" s="886"/>
      <c r="J155" s="886"/>
      <c r="K155" s="886"/>
      <c r="L155" s="886"/>
      <c r="M155" s="886"/>
      <c r="N155" s="886"/>
      <c r="O155" s="886"/>
      <c r="P155" s="886"/>
      <c r="Q155" s="886"/>
      <c r="R155" s="886"/>
      <c r="S155" s="886"/>
      <c r="T155" s="886"/>
      <c r="U155" s="886"/>
      <c r="V155" s="886"/>
      <c r="W155" s="886"/>
    </row>
    <row r="156" spans="3:23">
      <c r="C156" s="942"/>
      <c r="D156" s="942"/>
      <c r="E156" s="943"/>
      <c r="F156" s="886"/>
      <c r="G156" s="886"/>
      <c r="H156" s="886"/>
      <c r="I156" s="886"/>
      <c r="J156" s="886"/>
      <c r="K156" s="886"/>
      <c r="L156" s="886"/>
      <c r="M156" s="886"/>
      <c r="N156" s="886"/>
      <c r="O156" s="886"/>
      <c r="P156" s="886"/>
      <c r="Q156" s="886"/>
      <c r="R156" s="886"/>
      <c r="S156" s="886"/>
      <c r="T156" s="886"/>
      <c r="U156" s="886"/>
      <c r="V156" s="886"/>
      <c r="W156" s="886"/>
    </row>
    <row r="157" spans="3:23">
      <c r="C157" s="942"/>
      <c r="D157" s="942"/>
      <c r="E157" s="943"/>
      <c r="F157" s="886"/>
      <c r="G157" s="886"/>
      <c r="H157" s="886"/>
      <c r="I157" s="886"/>
      <c r="J157" s="886"/>
      <c r="K157" s="886"/>
      <c r="L157" s="886"/>
      <c r="M157" s="886"/>
      <c r="N157" s="886"/>
      <c r="O157" s="886"/>
      <c r="P157" s="886"/>
      <c r="Q157" s="886"/>
      <c r="R157" s="886"/>
      <c r="S157" s="886"/>
      <c r="T157" s="886"/>
      <c r="U157" s="886"/>
      <c r="V157" s="886"/>
      <c r="W157" s="886"/>
    </row>
    <row r="158" spans="3:23">
      <c r="C158" s="942"/>
      <c r="D158" s="942"/>
      <c r="E158" s="943"/>
      <c r="F158" s="886"/>
      <c r="G158" s="886"/>
      <c r="H158" s="886"/>
      <c r="I158" s="886"/>
      <c r="J158" s="886"/>
      <c r="K158" s="886"/>
      <c r="L158" s="886"/>
      <c r="M158" s="886"/>
      <c r="N158" s="886"/>
      <c r="O158" s="886"/>
      <c r="P158" s="886"/>
      <c r="Q158" s="886"/>
      <c r="R158" s="886"/>
      <c r="S158" s="886"/>
      <c r="T158" s="886"/>
      <c r="U158" s="886"/>
      <c r="V158" s="886"/>
      <c r="W158" s="886"/>
    </row>
    <row r="159" spans="3:23">
      <c r="C159" s="942"/>
      <c r="D159" s="942"/>
      <c r="E159" s="943"/>
      <c r="F159" s="886"/>
      <c r="G159" s="886"/>
      <c r="H159" s="886"/>
      <c r="I159" s="886"/>
      <c r="J159" s="886"/>
      <c r="K159" s="886"/>
      <c r="L159" s="886"/>
      <c r="M159" s="886"/>
      <c r="N159" s="886"/>
      <c r="O159" s="886"/>
      <c r="P159" s="886"/>
      <c r="Q159" s="886"/>
      <c r="R159" s="886"/>
      <c r="S159" s="886"/>
      <c r="T159" s="886"/>
      <c r="U159" s="886"/>
      <c r="V159" s="886"/>
      <c r="W159" s="886"/>
    </row>
    <row r="160" spans="3:23">
      <c r="C160" s="942"/>
      <c r="D160" s="942"/>
      <c r="E160" s="943"/>
      <c r="F160" s="886"/>
      <c r="G160" s="886"/>
      <c r="H160" s="886"/>
      <c r="I160" s="886"/>
      <c r="J160" s="886"/>
      <c r="K160" s="886"/>
      <c r="L160" s="886"/>
      <c r="M160" s="886"/>
      <c r="N160" s="886"/>
      <c r="O160" s="886"/>
      <c r="P160" s="886"/>
      <c r="Q160" s="886"/>
      <c r="R160" s="886"/>
      <c r="S160" s="886"/>
      <c r="T160" s="886"/>
      <c r="U160" s="886"/>
      <c r="V160" s="886"/>
      <c r="W160" s="886"/>
    </row>
    <row r="161" spans="3:23">
      <c r="C161" s="942"/>
      <c r="D161" s="942"/>
      <c r="E161" s="943"/>
      <c r="F161" s="886"/>
      <c r="G161" s="886"/>
      <c r="H161" s="886"/>
      <c r="I161" s="886"/>
      <c r="J161" s="886"/>
      <c r="K161" s="886"/>
      <c r="L161" s="886"/>
      <c r="M161" s="886"/>
      <c r="N161" s="886"/>
      <c r="O161" s="886"/>
      <c r="P161" s="886"/>
      <c r="Q161" s="886"/>
      <c r="R161" s="886"/>
      <c r="S161" s="886"/>
      <c r="T161" s="886"/>
      <c r="U161" s="886"/>
      <c r="V161" s="886"/>
      <c r="W161" s="886"/>
    </row>
    <row r="162" spans="3:23">
      <c r="C162" s="942"/>
      <c r="D162" s="942"/>
      <c r="E162" s="943"/>
      <c r="F162" s="886"/>
      <c r="G162" s="886"/>
      <c r="H162" s="886"/>
      <c r="I162" s="886"/>
      <c r="J162" s="886"/>
      <c r="K162" s="886"/>
      <c r="L162" s="886"/>
      <c r="M162" s="886"/>
      <c r="N162" s="886"/>
      <c r="O162" s="886"/>
      <c r="P162" s="886"/>
      <c r="Q162" s="886"/>
      <c r="R162" s="886"/>
      <c r="S162" s="886"/>
      <c r="T162" s="886"/>
      <c r="U162" s="886"/>
      <c r="V162" s="886"/>
      <c r="W162" s="886"/>
    </row>
    <row r="163" spans="3:23">
      <c r="C163" s="942"/>
      <c r="D163" s="942"/>
      <c r="E163" s="943"/>
      <c r="F163" s="886"/>
      <c r="G163" s="886"/>
      <c r="H163" s="886"/>
      <c r="I163" s="886"/>
      <c r="J163" s="886"/>
      <c r="K163" s="886"/>
      <c r="L163" s="886"/>
      <c r="M163" s="886"/>
      <c r="N163" s="886"/>
      <c r="O163" s="886"/>
      <c r="P163" s="886"/>
      <c r="Q163" s="886"/>
      <c r="R163" s="886"/>
      <c r="S163" s="886"/>
      <c r="T163" s="886"/>
      <c r="U163" s="886"/>
      <c r="V163" s="886"/>
      <c r="W163" s="886"/>
    </row>
    <row r="164" spans="3:23">
      <c r="C164" s="942"/>
      <c r="D164" s="942"/>
      <c r="E164" s="943"/>
      <c r="F164" s="886"/>
      <c r="G164" s="886"/>
      <c r="H164" s="886"/>
      <c r="I164" s="886"/>
      <c r="J164" s="886"/>
      <c r="K164" s="886"/>
      <c r="L164" s="886"/>
      <c r="M164" s="886"/>
      <c r="N164" s="886"/>
      <c r="O164" s="886"/>
      <c r="P164" s="886"/>
      <c r="Q164" s="886"/>
      <c r="R164" s="886"/>
      <c r="S164" s="886"/>
      <c r="T164" s="886"/>
      <c r="U164" s="886"/>
      <c r="V164" s="886"/>
      <c r="W164" s="886"/>
    </row>
    <row r="165" spans="3:23">
      <c r="C165" s="942"/>
      <c r="D165" s="942"/>
      <c r="E165" s="943"/>
      <c r="F165" s="886"/>
      <c r="G165" s="886"/>
      <c r="H165" s="886"/>
      <c r="I165" s="886"/>
      <c r="J165" s="886"/>
      <c r="K165" s="886"/>
      <c r="L165" s="886"/>
      <c r="M165" s="886"/>
      <c r="N165" s="886"/>
      <c r="O165" s="886"/>
      <c r="P165" s="886"/>
      <c r="Q165" s="886"/>
      <c r="R165" s="886"/>
      <c r="S165" s="886"/>
      <c r="T165" s="886"/>
      <c r="U165" s="886"/>
      <c r="V165" s="886"/>
      <c r="W165" s="886"/>
    </row>
    <row r="166" spans="3:23">
      <c r="C166" s="942"/>
      <c r="D166" s="942"/>
      <c r="E166" s="943"/>
      <c r="F166" s="886"/>
      <c r="G166" s="886"/>
      <c r="H166" s="886"/>
      <c r="I166" s="886"/>
      <c r="J166" s="886"/>
      <c r="K166" s="886"/>
      <c r="L166" s="886"/>
      <c r="M166" s="886"/>
      <c r="N166" s="886"/>
      <c r="O166" s="886"/>
      <c r="P166" s="886"/>
      <c r="Q166" s="886"/>
      <c r="R166" s="886"/>
      <c r="S166" s="886"/>
      <c r="T166" s="886"/>
      <c r="U166" s="886"/>
      <c r="V166" s="886"/>
      <c r="W166" s="886"/>
    </row>
    <row r="167" spans="3:23">
      <c r="C167" s="942"/>
      <c r="D167" s="942"/>
      <c r="E167" s="943"/>
      <c r="F167" s="886"/>
      <c r="G167" s="886"/>
      <c r="H167" s="886"/>
      <c r="I167" s="886"/>
      <c r="J167" s="886"/>
      <c r="K167" s="886"/>
      <c r="L167" s="886"/>
      <c r="M167" s="886"/>
      <c r="N167" s="886"/>
      <c r="O167" s="886"/>
      <c r="P167" s="886"/>
      <c r="Q167" s="886"/>
      <c r="R167" s="886"/>
      <c r="S167" s="886"/>
      <c r="T167" s="886"/>
      <c r="U167" s="886"/>
      <c r="V167" s="886"/>
      <c r="W167" s="886"/>
    </row>
    <row r="168" spans="3:23">
      <c r="C168" s="942"/>
      <c r="D168" s="942"/>
      <c r="E168" s="943"/>
      <c r="F168" s="886"/>
      <c r="G168" s="886"/>
      <c r="H168" s="886"/>
      <c r="I168" s="886"/>
      <c r="J168" s="886"/>
      <c r="K168" s="886"/>
      <c r="L168" s="886"/>
      <c r="M168" s="886"/>
      <c r="N168" s="886"/>
      <c r="O168" s="886"/>
      <c r="P168" s="886"/>
      <c r="Q168" s="886"/>
      <c r="R168" s="886"/>
      <c r="S168" s="886"/>
      <c r="T168" s="886"/>
      <c r="U168" s="886"/>
      <c r="V168" s="886"/>
      <c r="W168" s="886"/>
    </row>
    <row r="169" spans="3:23">
      <c r="C169" s="942"/>
      <c r="D169" s="942"/>
      <c r="E169" s="943"/>
      <c r="F169" s="886"/>
      <c r="G169" s="886"/>
      <c r="H169" s="886"/>
      <c r="I169" s="886"/>
      <c r="J169" s="886"/>
      <c r="K169" s="886"/>
      <c r="L169" s="886"/>
      <c r="M169" s="886"/>
      <c r="N169" s="886"/>
      <c r="O169" s="886"/>
      <c r="P169" s="886"/>
      <c r="Q169" s="886"/>
      <c r="R169" s="886"/>
      <c r="S169" s="886"/>
      <c r="T169" s="886"/>
      <c r="U169" s="886"/>
      <c r="V169" s="886"/>
      <c r="W169" s="886"/>
    </row>
    <row r="170" spans="3:23">
      <c r="C170" s="942"/>
      <c r="D170" s="942"/>
      <c r="E170" s="943"/>
      <c r="F170" s="886"/>
      <c r="G170" s="886"/>
      <c r="H170" s="886"/>
      <c r="I170" s="886"/>
      <c r="J170" s="886"/>
      <c r="K170" s="886"/>
      <c r="L170" s="886"/>
      <c r="M170" s="886"/>
      <c r="N170" s="886"/>
      <c r="O170" s="886"/>
      <c r="P170" s="886"/>
      <c r="Q170" s="886"/>
      <c r="R170" s="886"/>
      <c r="S170" s="886"/>
      <c r="T170" s="886"/>
      <c r="U170" s="886"/>
      <c r="V170" s="886"/>
      <c r="W170" s="886"/>
    </row>
    <row r="171" spans="3:23">
      <c r="C171" s="942"/>
      <c r="D171" s="942"/>
      <c r="E171" s="943"/>
      <c r="F171" s="886"/>
      <c r="G171" s="886"/>
      <c r="H171" s="886"/>
      <c r="I171" s="886"/>
      <c r="J171" s="886"/>
      <c r="K171" s="886"/>
      <c r="L171" s="886"/>
      <c r="M171" s="886"/>
      <c r="N171" s="886"/>
      <c r="O171" s="886"/>
      <c r="P171" s="886"/>
      <c r="Q171" s="886"/>
      <c r="R171" s="886"/>
      <c r="S171" s="886"/>
      <c r="T171" s="886"/>
      <c r="U171" s="886"/>
      <c r="V171" s="886"/>
      <c r="W171" s="886"/>
    </row>
    <row r="172" spans="3:23">
      <c r="C172" s="942"/>
      <c r="D172" s="942"/>
      <c r="E172" s="943"/>
      <c r="F172" s="886"/>
      <c r="G172" s="886"/>
      <c r="H172" s="886"/>
      <c r="I172" s="886"/>
      <c r="J172" s="886"/>
      <c r="K172" s="886"/>
      <c r="L172" s="886"/>
      <c r="M172" s="886"/>
      <c r="N172" s="886"/>
      <c r="O172" s="886"/>
      <c r="P172" s="886"/>
      <c r="Q172" s="886"/>
      <c r="R172" s="886"/>
      <c r="S172" s="886"/>
      <c r="T172" s="886"/>
      <c r="U172" s="886"/>
      <c r="V172" s="886"/>
      <c r="W172" s="886"/>
    </row>
    <row r="173" spans="3:23">
      <c r="C173" s="942"/>
      <c r="D173" s="942"/>
      <c r="E173" s="943"/>
      <c r="F173" s="886"/>
      <c r="G173" s="886"/>
      <c r="H173" s="886"/>
      <c r="I173" s="886"/>
      <c r="J173" s="886"/>
      <c r="K173" s="886"/>
      <c r="L173" s="886"/>
      <c r="M173" s="886"/>
      <c r="N173" s="886"/>
      <c r="O173" s="886"/>
      <c r="P173" s="886"/>
      <c r="Q173" s="886"/>
      <c r="R173" s="886"/>
      <c r="S173" s="886"/>
      <c r="T173" s="886"/>
      <c r="U173" s="886"/>
      <c r="V173" s="886"/>
      <c r="W173" s="886"/>
    </row>
    <row r="174" spans="3:23">
      <c r="C174" s="942"/>
      <c r="D174" s="942"/>
      <c r="E174" s="943"/>
      <c r="F174" s="886"/>
      <c r="G174" s="886"/>
      <c r="H174" s="886"/>
      <c r="I174" s="886"/>
      <c r="J174" s="886"/>
      <c r="K174" s="886"/>
      <c r="L174" s="886"/>
      <c r="M174" s="886"/>
      <c r="N174" s="886"/>
      <c r="O174" s="886"/>
      <c r="P174" s="886"/>
      <c r="Q174" s="886"/>
      <c r="R174" s="886"/>
      <c r="S174" s="886"/>
      <c r="T174" s="886"/>
      <c r="U174" s="886"/>
      <c r="V174" s="886"/>
      <c r="W174" s="886"/>
    </row>
    <row r="175" spans="3:23">
      <c r="C175" s="942"/>
      <c r="D175" s="942"/>
      <c r="E175" s="943"/>
      <c r="F175" s="886"/>
      <c r="G175" s="886"/>
      <c r="H175" s="886"/>
      <c r="I175" s="886"/>
      <c r="J175" s="886"/>
      <c r="K175" s="886"/>
      <c r="L175" s="886"/>
      <c r="M175" s="886"/>
      <c r="N175" s="886"/>
      <c r="O175" s="886"/>
      <c r="P175" s="886"/>
      <c r="Q175" s="886"/>
      <c r="R175" s="886"/>
      <c r="S175" s="886"/>
      <c r="T175" s="886"/>
      <c r="U175" s="886"/>
      <c r="V175" s="886"/>
      <c r="W175" s="886"/>
    </row>
    <row r="176" spans="3:23">
      <c r="C176" s="942"/>
      <c r="D176" s="942"/>
      <c r="E176" s="943"/>
      <c r="F176" s="886"/>
      <c r="G176" s="886"/>
      <c r="H176" s="886"/>
      <c r="I176" s="886"/>
      <c r="J176" s="886"/>
      <c r="K176" s="886"/>
      <c r="L176" s="886"/>
      <c r="M176" s="886"/>
      <c r="N176" s="886"/>
      <c r="O176" s="886"/>
      <c r="P176" s="886"/>
      <c r="Q176" s="886"/>
      <c r="R176" s="886"/>
      <c r="S176" s="886"/>
      <c r="T176" s="886"/>
      <c r="U176" s="886"/>
      <c r="V176" s="886"/>
      <c r="W176" s="886"/>
    </row>
    <row r="177" spans="3:23">
      <c r="C177" s="942"/>
      <c r="D177" s="942"/>
      <c r="E177" s="943"/>
      <c r="F177" s="886"/>
      <c r="G177" s="886"/>
      <c r="H177" s="886"/>
      <c r="I177" s="886"/>
      <c r="J177" s="886"/>
      <c r="K177" s="886"/>
      <c r="L177" s="886"/>
      <c r="M177" s="886"/>
      <c r="N177" s="886"/>
      <c r="O177" s="886"/>
      <c r="P177" s="886"/>
      <c r="Q177" s="886"/>
      <c r="R177" s="886"/>
      <c r="S177" s="886"/>
      <c r="T177" s="886"/>
      <c r="U177" s="886"/>
      <c r="V177" s="886"/>
      <c r="W177" s="886"/>
    </row>
    <row r="178" spans="3:23">
      <c r="C178" s="942"/>
      <c r="D178" s="942"/>
      <c r="E178" s="943"/>
      <c r="F178" s="886"/>
      <c r="G178" s="886"/>
      <c r="H178" s="886"/>
      <c r="I178" s="886"/>
      <c r="J178" s="886"/>
      <c r="K178" s="886"/>
      <c r="L178" s="886"/>
      <c r="M178" s="886"/>
      <c r="N178" s="886"/>
      <c r="O178" s="886"/>
      <c r="P178" s="886"/>
      <c r="Q178" s="886"/>
      <c r="R178" s="886"/>
      <c r="S178" s="886"/>
      <c r="T178" s="886"/>
      <c r="U178" s="886"/>
      <c r="V178" s="886"/>
      <c r="W178" s="886"/>
    </row>
    <row r="179" spans="3:23">
      <c r="C179" s="942"/>
      <c r="D179" s="942"/>
      <c r="E179" s="943"/>
      <c r="F179" s="886"/>
      <c r="G179" s="886"/>
      <c r="H179" s="886"/>
      <c r="I179" s="886"/>
      <c r="J179" s="886"/>
      <c r="K179" s="886"/>
      <c r="L179" s="886"/>
      <c r="M179" s="886"/>
      <c r="N179" s="886"/>
      <c r="O179" s="886"/>
      <c r="P179" s="886"/>
      <c r="Q179" s="886"/>
      <c r="R179" s="886"/>
      <c r="S179" s="886"/>
      <c r="T179" s="886"/>
      <c r="U179" s="886"/>
      <c r="V179" s="886"/>
      <c r="W179" s="886"/>
    </row>
    <row r="180" spans="3:23">
      <c r="C180" s="942"/>
      <c r="D180" s="942"/>
      <c r="E180" s="943"/>
      <c r="F180" s="886"/>
      <c r="G180" s="886"/>
      <c r="H180" s="886"/>
      <c r="I180" s="886"/>
      <c r="J180" s="886"/>
      <c r="K180" s="886"/>
      <c r="L180" s="886"/>
      <c r="M180" s="886"/>
      <c r="N180" s="886"/>
      <c r="O180" s="886"/>
      <c r="P180" s="886"/>
      <c r="Q180" s="886"/>
      <c r="R180" s="886"/>
      <c r="S180" s="886"/>
      <c r="T180" s="886"/>
      <c r="U180" s="886"/>
      <c r="V180" s="886"/>
      <c r="W180" s="886"/>
    </row>
    <row r="181" spans="3:23">
      <c r="C181" s="942"/>
      <c r="D181" s="942"/>
      <c r="E181" s="943"/>
      <c r="F181" s="886"/>
      <c r="G181" s="886"/>
      <c r="H181" s="886"/>
      <c r="I181" s="886"/>
      <c r="J181" s="886"/>
      <c r="K181" s="886"/>
      <c r="L181" s="886"/>
      <c r="M181" s="886"/>
      <c r="N181" s="886"/>
      <c r="O181" s="886"/>
      <c r="P181" s="886"/>
      <c r="Q181" s="886"/>
      <c r="R181" s="886"/>
      <c r="S181" s="886"/>
      <c r="T181" s="886"/>
      <c r="U181" s="886"/>
      <c r="V181" s="886"/>
      <c r="W181" s="886"/>
    </row>
    <row r="182" spans="3:23">
      <c r="C182" s="942"/>
      <c r="D182" s="942"/>
      <c r="E182" s="943"/>
      <c r="F182" s="886"/>
      <c r="G182" s="886"/>
      <c r="H182" s="886"/>
      <c r="I182" s="886"/>
      <c r="J182" s="886"/>
      <c r="K182" s="886"/>
      <c r="L182" s="886"/>
      <c r="M182" s="886"/>
      <c r="N182" s="886"/>
      <c r="O182" s="886"/>
      <c r="P182" s="886"/>
      <c r="Q182" s="886"/>
      <c r="R182" s="886"/>
      <c r="S182" s="886"/>
      <c r="T182" s="886"/>
      <c r="U182" s="886"/>
      <c r="V182" s="886"/>
      <c r="W182" s="886"/>
    </row>
    <row r="183" spans="3:23">
      <c r="C183" s="942"/>
      <c r="D183" s="942"/>
      <c r="E183" s="943"/>
      <c r="F183" s="886"/>
      <c r="G183" s="886"/>
      <c r="H183" s="886"/>
      <c r="I183" s="886"/>
      <c r="J183" s="886"/>
      <c r="K183" s="886"/>
      <c r="L183" s="886"/>
      <c r="M183" s="886"/>
      <c r="N183" s="886"/>
      <c r="O183" s="886"/>
      <c r="P183" s="886"/>
      <c r="Q183" s="886"/>
      <c r="R183" s="886"/>
      <c r="S183" s="886"/>
      <c r="T183" s="886"/>
      <c r="U183" s="886"/>
      <c r="V183" s="886"/>
      <c r="W183" s="886"/>
    </row>
    <row r="184" spans="3:23">
      <c r="C184" s="942"/>
      <c r="D184" s="942"/>
      <c r="E184" s="943"/>
      <c r="F184" s="886"/>
      <c r="G184" s="886"/>
      <c r="H184" s="886"/>
      <c r="I184" s="886"/>
      <c r="J184" s="886"/>
      <c r="K184" s="886"/>
      <c r="L184" s="886"/>
      <c r="M184" s="886"/>
      <c r="N184" s="886"/>
      <c r="O184" s="886"/>
      <c r="P184" s="886"/>
      <c r="Q184" s="886"/>
      <c r="R184" s="886"/>
      <c r="S184" s="886"/>
      <c r="T184" s="886"/>
      <c r="U184" s="886"/>
      <c r="V184" s="886"/>
      <c r="W184" s="886"/>
    </row>
    <row r="185" spans="3:23">
      <c r="C185" s="942"/>
      <c r="D185" s="942"/>
      <c r="E185" s="943"/>
      <c r="F185" s="886"/>
      <c r="G185" s="886"/>
      <c r="H185" s="886"/>
      <c r="I185" s="886"/>
      <c r="J185" s="886"/>
      <c r="K185" s="886"/>
      <c r="L185" s="886"/>
      <c r="M185" s="886"/>
      <c r="N185" s="886"/>
      <c r="O185" s="886"/>
      <c r="P185" s="886"/>
      <c r="Q185" s="886"/>
      <c r="R185" s="886"/>
      <c r="S185" s="886"/>
      <c r="T185" s="886"/>
      <c r="U185" s="886"/>
      <c r="V185" s="886"/>
      <c r="W185" s="886"/>
    </row>
    <row r="186" spans="3:23">
      <c r="C186" s="942"/>
      <c r="D186" s="942"/>
      <c r="E186" s="943"/>
      <c r="F186" s="886"/>
      <c r="G186" s="886"/>
      <c r="H186" s="886"/>
      <c r="I186" s="886"/>
      <c r="J186" s="886"/>
      <c r="K186" s="886"/>
      <c r="L186" s="886"/>
      <c r="M186" s="886"/>
      <c r="N186" s="886"/>
      <c r="O186" s="886"/>
      <c r="P186" s="886"/>
      <c r="Q186" s="886"/>
      <c r="R186" s="886"/>
      <c r="S186" s="886"/>
      <c r="T186" s="886"/>
      <c r="U186" s="886"/>
      <c r="V186" s="886"/>
      <c r="W186" s="886"/>
    </row>
    <row r="187" spans="3:23">
      <c r="C187" s="942"/>
      <c r="D187" s="942"/>
      <c r="E187" s="943"/>
      <c r="F187" s="886"/>
      <c r="G187" s="886"/>
      <c r="H187" s="886"/>
      <c r="I187" s="886"/>
      <c r="J187" s="886"/>
      <c r="K187" s="886"/>
      <c r="L187" s="886"/>
      <c r="M187" s="886"/>
      <c r="N187" s="886"/>
      <c r="O187" s="886"/>
      <c r="P187" s="886"/>
      <c r="Q187" s="886"/>
      <c r="R187" s="886"/>
      <c r="S187" s="886"/>
      <c r="T187" s="886"/>
      <c r="U187" s="886"/>
      <c r="V187" s="886"/>
      <c r="W187" s="886"/>
    </row>
    <row r="188" spans="3:23">
      <c r="C188" s="942"/>
      <c r="D188" s="942"/>
      <c r="E188" s="943"/>
      <c r="F188" s="886"/>
      <c r="G188" s="886"/>
      <c r="H188" s="886"/>
      <c r="I188" s="886"/>
      <c r="J188" s="886"/>
      <c r="K188" s="886"/>
      <c r="L188" s="886"/>
      <c r="M188" s="886"/>
      <c r="N188" s="886"/>
      <c r="O188" s="886"/>
      <c r="P188" s="886"/>
      <c r="Q188" s="886"/>
      <c r="R188" s="886"/>
      <c r="S188" s="886"/>
      <c r="T188" s="886"/>
      <c r="U188" s="886"/>
      <c r="V188" s="886"/>
      <c r="W188" s="886"/>
    </row>
    <row r="189" spans="3:23">
      <c r="C189" s="942"/>
      <c r="D189" s="942"/>
      <c r="E189" s="943"/>
      <c r="F189" s="886"/>
      <c r="G189" s="886"/>
      <c r="H189" s="886"/>
      <c r="I189" s="886"/>
      <c r="J189" s="886"/>
      <c r="K189" s="886"/>
      <c r="L189" s="886"/>
      <c r="M189" s="886"/>
      <c r="N189" s="886"/>
      <c r="O189" s="886"/>
      <c r="P189" s="886"/>
      <c r="Q189" s="886"/>
      <c r="R189" s="886"/>
      <c r="S189" s="886"/>
      <c r="T189" s="886"/>
      <c r="U189" s="886"/>
      <c r="V189" s="886"/>
      <c r="W189" s="886"/>
    </row>
    <row r="190" spans="3:23">
      <c r="C190" s="942"/>
      <c r="D190" s="942"/>
      <c r="E190" s="943"/>
      <c r="F190" s="886"/>
      <c r="G190" s="886"/>
      <c r="H190" s="886"/>
      <c r="I190" s="886"/>
      <c r="J190" s="886"/>
      <c r="K190" s="886"/>
      <c r="L190" s="886"/>
      <c r="M190" s="886"/>
      <c r="N190" s="886"/>
      <c r="O190" s="886"/>
      <c r="P190" s="886"/>
      <c r="Q190" s="886"/>
      <c r="R190" s="886"/>
      <c r="S190" s="886"/>
      <c r="T190" s="886"/>
      <c r="U190" s="886"/>
      <c r="V190" s="886"/>
      <c r="W190" s="886"/>
    </row>
    <row r="191" spans="3:23">
      <c r="C191" s="942"/>
      <c r="D191" s="942"/>
      <c r="E191" s="943"/>
      <c r="F191" s="886"/>
      <c r="G191" s="886"/>
      <c r="H191" s="886"/>
      <c r="I191" s="886"/>
      <c r="J191" s="886"/>
      <c r="K191" s="886"/>
      <c r="L191" s="886"/>
      <c r="M191" s="886"/>
      <c r="N191" s="886"/>
      <c r="O191" s="886"/>
      <c r="P191" s="886"/>
      <c r="Q191" s="886"/>
      <c r="R191" s="886"/>
      <c r="S191" s="886"/>
      <c r="T191" s="886"/>
      <c r="U191" s="886"/>
      <c r="V191" s="886"/>
      <c r="W191" s="886"/>
    </row>
    <row r="192" spans="3:23">
      <c r="C192" s="942"/>
      <c r="D192" s="942"/>
      <c r="E192" s="943"/>
      <c r="F192" s="886"/>
      <c r="G192" s="886"/>
      <c r="H192" s="886"/>
      <c r="I192" s="886"/>
      <c r="J192" s="886"/>
      <c r="K192" s="886"/>
      <c r="L192" s="886"/>
      <c r="M192" s="886"/>
      <c r="N192" s="886"/>
      <c r="O192" s="886"/>
      <c r="P192" s="886"/>
      <c r="Q192" s="886"/>
      <c r="R192" s="886"/>
      <c r="S192" s="886"/>
      <c r="T192" s="886"/>
      <c r="U192" s="886"/>
      <c r="V192" s="886"/>
      <c r="W192" s="886"/>
    </row>
    <row r="193" spans="3:23">
      <c r="C193" s="942"/>
      <c r="D193" s="942"/>
      <c r="E193" s="943"/>
      <c r="F193" s="886"/>
      <c r="G193" s="886"/>
      <c r="H193" s="886"/>
      <c r="I193" s="886"/>
      <c r="J193" s="886"/>
      <c r="K193" s="886"/>
      <c r="L193" s="886"/>
      <c r="M193" s="886"/>
      <c r="N193" s="886"/>
      <c r="O193" s="886"/>
      <c r="P193" s="886"/>
      <c r="Q193" s="886"/>
      <c r="R193" s="886"/>
      <c r="S193" s="886"/>
      <c r="T193" s="886"/>
      <c r="U193" s="886"/>
      <c r="V193" s="886"/>
      <c r="W193" s="886"/>
    </row>
    <row r="194" spans="3:23">
      <c r="C194" s="942"/>
      <c r="D194" s="942"/>
      <c r="E194" s="943"/>
      <c r="F194" s="886"/>
      <c r="G194" s="886"/>
      <c r="H194" s="886"/>
      <c r="I194" s="886"/>
      <c r="J194" s="886"/>
      <c r="K194" s="886"/>
      <c r="L194" s="886"/>
      <c r="M194" s="886"/>
      <c r="N194" s="886"/>
      <c r="O194" s="886"/>
      <c r="P194" s="886"/>
      <c r="Q194" s="886"/>
      <c r="R194" s="886"/>
      <c r="S194" s="886"/>
      <c r="T194" s="886"/>
      <c r="U194" s="886"/>
      <c r="V194" s="886"/>
      <c r="W194" s="886"/>
    </row>
    <row r="195" spans="3:23">
      <c r="C195" s="942"/>
      <c r="D195" s="942"/>
      <c r="E195" s="943"/>
      <c r="F195" s="886"/>
      <c r="G195" s="886"/>
      <c r="H195" s="886"/>
      <c r="I195" s="886"/>
      <c r="J195" s="886"/>
      <c r="K195" s="886"/>
      <c r="L195" s="886"/>
      <c r="M195" s="886"/>
      <c r="N195" s="886"/>
      <c r="O195" s="886"/>
      <c r="P195" s="886"/>
      <c r="Q195" s="886"/>
      <c r="R195" s="886"/>
      <c r="S195" s="886"/>
      <c r="T195" s="886"/>
      <c r="U195" s="886"/>
      <c r="V195" s="886"/>
      <c r="W195" s="886"/>
    </row>
    <row r="196" spans="3:23">
      <c r="C196" s="942"/>
      <c r="D196" s="942"/>
      <c r="E196" s="943"/>
      <c r="F196" s="886"/>
      <c r="G196" s="886"/>
      <c r="H196" s="886"/>
      <c r="I196" s="886"/>
      <c r="J196" s="886"/>
      <c r="K196" s="886"/>
      <c r="L196" s="886"/>
      <c r="M196" s="886"/>
      <c r="N196" s="886"/>
      <c r="O196" s="886"/>
      <c r="P196" s="886"/>
      <c r="Q196" s="886"/>
      <c r="R196" s="886"/>
      <c r="S196" s="886"/>
      <c r="T196" s="886"/>
      <c r="U196" s="886"/>
      <c r="V196" s="886"/>
      <c r="W196" s="886"/>
    </row>
    <row r="197" spans="3:23">
      <c r="C197" s="942"/>
      <c r="D197" s="942"/>
      <c r="E197" s="943"/>
      <c r="F197" s="886"/>
      <c r="G197" s="886"/>
      <c r="H197" s="886"/>
      <c r="I197" s="886"/>
      <c r="J197" s="886"/>
      <c r="K197" s="886"/>
      <c r="L197" s="886"/>
      <c r="M197" s="886"/>
      <c r="N197" s="886"/>
      <c r="O197" s="886"/>
      <c r="P197" s="886"/>
      <c r="Q197" s="886"/>
      <c r="R197" s="886"/>
      <c r="S197" s="886"/>
      <c r="T197" s="886"/>
      <c r="U197" s="886"/>
      <c r="V197" s="886"/>
      <c r="W197" s="886"/>
    </row>
    <row r="198" spans="3:23">
      <c r="C198" s="942"/>
      <c r="D198" s="942"/>
      <c r="E198" s="943"/>
      <c r="F198" s="886"/>
      <c r="G198" s="886"/>
      <c r="H198" s="886"/>
      <c r="I198" s="886"/>
      <c r="J198" s="886"/>
      <c r="K198" s="886"/>
      <c r="L198" s="886"/>
      <c r="M198" s="886"/>
      <c r="N198" s="886"/>
      <c r="O198" s="886"/>
      <c r="P198" s="886"/>
      <c r="Q198" s="886"/>
      <c r="R198" s="886"/>
      <c r="S198" s="886"/>
      <c r="T198" s="886"/>
      <c r="U198" s="886"/>
      <c r="V198" s="886"/>
      <c r="W198" s="886"/>
    </row>
    <row r="199" spans="3:23">
      <c r="C199" s="942"/>
      <c r="D199" s="942"/>
      <c r="E199" s="943"/>
      <c r="F199" s="886"/>
      <c r="G199" s="886"/>
      <c r="H199" s="886"/>
      <c r="I199" s="886"/>
      <c r="J199" s="886"/>
      <c r="K199" s="886"/>
      <c r="L199" s="886"/>
      <c r="M199" s="886"/>
      <c r="N199" s="886"/>
      <c r="O199" s="886"/>
      <c r="P199" s="886"/>
      <c r="Q199" s="886"/>
      <c r="R199" s="886"/>
      <c r="S199" s="886"/>
      <c r="T199" s="886"/>
      <c r="U199" s="886"/>
      <c r="V199" s="886"/>
      <c r="W199" s="886"/>
    </row>
    <row r="200" spans="3:23">
      <c r="C200" s="942"/>
      <c r="D200" s="942"/>
      <c r="E200" s="943"/>
      <c r="F200" s="886"/>
      <c r="G200" s="886"/>
      <c r="H200" s="886"/>
      <c r="I200" s="886"/>
      <c r="J200" s="886"/>
      <c r="K200" s="886"/>
      <c r="L200" s="886"/>
      <c r="M200" s="886"/>
      <c r="N200" s="886"/>
      <c r="O200" s="886"/>
      <c r="P200" s="886"/>
      <c r="Q200" s="886"/>
      <c r="R200" s="886"/>
      <c r="S200" s="886"/>
      <c r="T200" s="886"/>
      <c r="U200" s="886"/>
      <c r="V200" s="886"/>
      <c r="W200" s="886"/>
    </row>
    <row r="201" spans="3:23">
      <c r="C201" s="942"/>
      <c r="D201" s="942"/>
      <c r="E201" s="943"/>
      <c r="F201" s="886"/>
      <c r="G201" s="886"/>
      <c r="H201" s="886"/>
      <c r="I201" s="886"/>
      <c r="J201" s="886"/>
      <c r="K201" s="886"/>
      <c r="L201" s="886"/>
      <c r="M201" s="886"/>
      <c r="N201" s="886"/>
      <c r="O201" s="886"/>
      <c r="P201" s="886"/>
      <c r="Q201" s="886"/>
      <c r="R201" s="886"/>
      <c r="S201" s="886"/>
      <c r="T201" s="886"/>
      <c r="U201" s="886"/>
      <c r="V201" s="886"/>
      <c r="W201" s="886"/>
    </row>
    <row r="202" spans="3:23">
      <c r="C202" s="942"/>
      <c r="D202" s="942"/>
      <c r="E202" s="943"/>
      <c r="F202" s="886"/>
      <c r="G202" s="886"/>
      <c r="H202" s="886"/>
      <c r="I202" s="886"/>
      <c r="J202" s="886"/>
      <c r="K202" s="886"/>
      <c r="L202" s="886"/>
      <c r="M202" s="886"/>
      <c r="N202" s="886"/>
      <c r="O202" s="886"/>
      <c r="P202" s="886"/>
      <c r="Q202" s="886"/>
      <c r="R202" s="886"/>
      <c r="S202" s="886"/>
      <c r="T202" s="886"/>
      <c r="U202" s="886"/>
      <c r="V202" s="886"/>
      <c r="W202" s="886"/>
    </row>
    <row r="203" spans="3:23">
      <c r="C203" s="942"/>
      <c r="D203" s="942"/>
      <c r="E203" s="943"/>
      <c r="F203" s="886"/>
      <c r="G203" s="886"/>
      <c r="H203" s="886"/>
      <c r="I203" s="886"/>
      <c r="J203" s="886"/>
      <c r="K203" s="886"/>
      <c r="L203" s="886"/>
      <c r="M203" s="886"/>
      <c r="N203" s="886"/>
      <c r="O203" s="886"/>
      <c r="P203" s="886"/>
      <c r="Q203" s="886"/>
      <c r="R203" s="886"/>
      <c r="S203" s="886"/>
      <c r="T203" s="886"/>
      <c r="U203" s="886"/>
      <c r="V203" s="886"/>
      <c r="W203" s="886"/>
    </row>
    <row r="204" spans="3:23">
      <c r="C204" s="942"/>
      <c r="D204" s="942"/>
      <c r="E204" s="943"/>
      <c r="F204" s="886"/>
      <c r="G204" s="886"/>
      <c r="H204" s="886"/>
      <c r="I204" s="886"/>
      <c r="J204" s="886"/>
      <c r="K204" s="886"/>
      <c r="L204" s="886"/>
      <c r="M204" s="886"/>
      <c r="N204" s="886"/>
      <c r="O204" s="886"/>
      <c r="P204" s="886"/>
      <c r="Q204" s="886"/>
      <c r="R204" s="886"/>
      <c r="S204" s="886"/>
      <c r="T204" s="886"/>
      <c r="U204" s="886"/>
      <c r="V204" s="886"/>
      <c r="W204" s="886"/>
    </row>
    <row r="205" spans="3:23">
      <c r="C205" s="942"/>
      <c r="D205" s="942"/>
      <c r="E205" s="943"/>
      <c r="F205" s="886"/>
      <c r="G205" s="886"/>
      <c r="H205" s="886"/>
      <c r="I205" s="886"/>
      <c r="J205" s="886"/>
      <c r="K205" s="886"/>
      <c r="L205" s="886"/>
      <c r="M205" s="886"/>
      <c r="N205" s="886"/>
      <c r="O205" s="886"/>
      <c r="P205" s="886"/>
      <c r="Q205" s="886"/>
      <c r="R205" s="886"/>
      <c r="S205" s="886"/>
      <c r="T205" s="886"/>
      <c r="U205" s="886"/>
      <c r="V205" s="886"/>
      <c r="W205" s="886"/>
    </row>
    <row r="206" spans="3:23">
      <c r="C206" s="942"/>
      <c r="D206" s="942"/>
      <c r="E206" s="943"/>
      <c r="F206" s="886"/>
      <c r="G206" s="886"/>
      <c r="H206" s="886"/>
      <c r="I206" s="886"/>
      <c r="J206" s="886"/>
      <c r="K206" s="886"/>
      <c r="L206" s="886"/>
      <c r="M206" s="886"/>
      <c r="N206" s="886"/>
      <c r="O206" s="886"/>
      <c r="P206" s="886"/>
      <c r="Q206" s="886"/>
      <c r="R206" s="886"/>
      <c r="S206" s="886"/>
      <c r="T206" s="886"/>
      <c r="U206" s="886"/>
      <c r="V206" s="886"/>
      <c r="W206" s="886"/>
    </row>
    <row r="207" spans="3:23">
      <c r="C207" s="942"/>
      <c r="D207" s="942"/>
      <c r="E207" s="943"/>
      <c r="F207" s="886"/>
      <c r="G207" s="886"/>
      <c r="H207" s="886"/>
      <c r="I207" s="886"/>
      <c r="J207" s="886"/>
      <c r="K207" s="886"/>
      <c r="L207" s="886"/>
      <c r="M207" s="886"/>
      <c r="N207" s="886"/>
      <c r="O207" s="886"/>
      <c r="P207" s="886"/>
      <c r="Q207" s="886"/>
      <c r="R207" s="886"/>
      <c r="S207" s="886"/>
      <c r="T207" s="886"/>
      <c r="U207" s="886"/>
      <c r="V207" s="886"/>
      <c r="W207" s="886"/>
    </row>
    <row r="208" spans="3:23">
      <c r="C208" s="942"/>
      <c r="D208" s="942"/>
      <c r="E208" s="943"/>
      <c r="F208" s="886"/>
      <c r="G208" s="886"/>
      <c r="H208" s="886"/>
      <c r="I208" s="886"/>
      <c r="J208" s="886"/>
      <c r="K208" s="886"/>
      <c r="L208" s="886"/>
      <c r="M208" s="886"/>
      <c r="N208" s="886"/>
      <c r="O208" s="886"/>
      <c r="P208" s="886"/>
      <c r="Q208" s="886"/>
      <c r="R208" s="886"/>
      <c r="S208" s="886"/>
      <c r="T208" s="886"/>
      <c r="U208" s="886"/>
      <c r="V208" s="886"/>
      <c r="W208" s="886"/>
    </row>
    <row r="209" spans="3:23">
      <c r="C209" s="942"/>
      <c r="D209" s="942"/>
      <c r="E209" s="943"/>
      <c r="F209" s="886"/>
      <c r="G209" s="886"/>
      <c r="H209" s="886"/>
      <c r="I209" s="886"/>
      <c r="J209" s="886"/>
      <c r="K209" s="886"/>
      <c r="L209" s="886"/>
      <c r="M209" s="886"/>
      <c r="N209" s="886"/>
      <c r="O209" s="886"/>
      <c r="P209" s="886"/>
      <c r="Q209" s="886"/>
      <c r="R209" s="886"/>
      <c r="S209" s="886"/>
      <c r="T209" s="886"/>
      <c r="U209" s="886"/>
      <c r="V209" s="886"/>
      <c r="W209" s="886"/>
    </row>
    <row r="210" spans="3:23">
      <c r="C210" s="942"/>
      <c r="D210" s="942"/>
      <c r="E210" s="943"/>
      <c r="F210" s="886"/>
      <c r="G210" s="886"/>
      <c r="H210" s="886"/>
      <c r="I210" s="886"/>
      <c r="J210" s="886"/>
      <c r="K210" s="886"/>
      <c r="L210" s="886"/>
      <c r="M210" s="886"/>
      <c r="N210" s="886"/>
      <c r="O210" s="886"/>
      <c r="P210" s="886"/>
      <c r="Q210" s="886"/>
      <c r="R210" s="886"/>
      <c r="S210" s="886"/>
      <c r="T210" s="886"/>
      <c r="U210" s="886"/>
      <c r="V210" s="886"/>
      <c r="W210" s="886"/>
    </row>
    <row r="211" spans="3:23">
      <c r="C211" s="942"/>
      <c r="D211" s="942"/>
      <c r="E211" s="943"/>
      <c r="F211" s="886"/>
      <c r="G211" s="886"/>
      <c r="H211" s="886"/>
      <c r="I211" s="886"/>
      <c r="J211" s="886"/>
      <c r="K211" s="886"/>
      <c r="L211" s="886"/>
      <c r="M211" s="886"/>
      <c r="N211" s="886"/>
      <c r="O211" s="886"/>
      <c r="P211" s="886"/>
      <c r="Q211" s="886"/>
      <c r="R211" s="886"/>
      <c r="S211" s="886"/>
      <c r="T211" s="886"/>
      <c r="U211" s="886"/>
      <c r="V211" s="886"/>
      <c r="W211" s="886"/>
    </row>
    <row r="212" spans="3:23">
      <c r="C212" s="942"/>
      <c r="D212" s="942"/>
      <c r="E212" s="943"/>
      <c r="F212" s="886"/>
      <c r="G212" s="886"/>
      <c r="H212" s="886"/>
      <c r="I212" s="886"/>
      <c r="J212" s="886"/>
      <c r="K212" s="886"/>
      <c r="L212" s="886"/>
      <c r="M212" s="886"/>
      <c r="N212" s="886"/>
      <c r="O212" s="886"/>
      <c r="P212" s="886"/>
      <c r="Q212" s="886"/>
      <c r="R212" s="886"/>
      <c r="S212" s="886"/>
      <c r="T212" s="886"/>
      <c r="U212" s="886"/>
      <c r="V212" s="886"/>
      <c r="W212" s="886"/>
    </row>
    <row r="213" spans="3:23">
      <c r="C213" s="942"/>
      <c r="D213" s="942"/>
      <c r="E213" s="943"/>
      <c r="F213" s="886"/>
      <c r="G213" s="886"/>
      <c r="H213" s="886"/>
      <c r="I213" s="886"/>
      <c r="J213" s="886"/>
      <c r="K213" s="886"/>
      <c r="L213" s="886"/>
      <c r="M213" s="886"/>
      <c r="N213" s="886"/>
      <c r="O213" s="886"/>
      <c r="P213" s="886"/>
      <c r="Q213" s="886"/>
      <c r="R213" s="886"/>
      <c r="S213" s="886"/>
      <c r="T213" s="886"/>
      <c r="U213" s="886"/>
      <c r="V213" s="886"/>
      <c r="W213" s="886"/>
    </row>
    <row r="214" spans="3:23">
      <c r="C214" s="942"/>
      <c r="D214" s="942"/>
      <c r="E214" s="943"/>
      <c r="F214" s="886"/>
      <c r="G214" s="886"/>
      <c r="H214" s="886"/>
      <c r="I214" s="886"/>
      <c r="J214" s="886"/>
      <c r="K214" s="886"/>
      <c r="L214" s="886"/>
      <c r="M214" s="886"/>
      <c r="N214" s="886"/>
      <c r="O214" s="886"/>
      <c r="P214" s="886"/>
      <c r="Q214" s="886"/>
      <c r="R214" s="886"/>
      <c r="S214" s="886"/>
      <c r="T214" s="886"/>
      <c r="U214" s="886"/>
      <c r="V214" s="886"/>
      <c r="W214" s="886"/>
    </row>
    <row r="215" spans="3:23">
      <c r="C215" s="942"/>
      <c r="D215" s="942"/>
      <c r="E215" s="943"/>
      <c r="F215" s="886"/>
      <c r="G215" s="886"/>
      <c r="H215" s="886"/>
      <c r="I215" s="886"/>
      <c r="J215" s="886"/>
      <c r="K215" s="886"/>
      <c r="L215" s="886"/>
      <c r="M215" s="886"/>
      <c r="N215" s="886"/>
      <c r="O215" s="886"/>
      <c r="P215" s="886"/>
      <c r="Q215" s="886"/>
      <c r="R215" s="886"/>
      <c r="S215" s="886"/>
      <c r="T215" s="886"/>
      <c r="U215" s="886"/>
      <c r="V215" s="886"/>
      <c r="W215" s="886"/>
    </row>
    <row r="216" spans="3:23">
      <c r="C216" s="942"/>
      <c r="D216" s="942"/>
      <c r="E216" s="943"/>
      <c r="F216" s="886"/>
      <c r="G216" s="886"/>
      <c r="H216" s="886"/>
      <c r="I216" s="886"/>
      <c r="J216" s="886"/>
      <c r="K216" s="886"/>
      <c r="L216" s="886"/>
      <c r="M216" s="886"/>
      <c r="N216" s="886"/>
      <c r="O216" s="886"/>
      <c r="P216" s="886"/>
      <c r="Q216" s="886"/>
      <c r="R216" s="886"/>
      <c r="S216" s="886"/>
      <c r="T216" s="886"/>
      <c r="U216" s="886"/>
      <c r="V216" s="886"/>
      <c r="W216" s="886"/>
    </row>
    <row r="217" spans="3:23">
      <c r="C217" s="942"/>
      <c r="D217" s="942"/>
      <c r="E217" s="943"/>
      <c r="F217" s="886"/>
      <c r="G217" s="886"/>
      <c r="H217" s="886"/>
      <c r="I217" s="886"/>
      <c r="J217" s="886"/>
      <c r="K217" s="886"/>
      <c r="L217" s="886"/>
      <c r="M217" s="886"/>
      <c r="N217" s="886"/>
      <c r="O217" s="886"/>
      <c r="P217" s="886"/>
      <c r="Q217" s="886"/>
      <c r="R217" s="886"/>
      <c r="S217" s="886"/>
      <c r="T217" s="886"/>
      <c r="U217" s="886"/>
      <c r="V217" s="886"/>
      <c r="W217" s="886"/>
    </row>
    <row r="218" spans="3:23">
      <c r="C218" s="942"/>
      <c r="D218" s="942"/>
      <c r="E218" s="943"/>
      <c r="F218" s="886"/>
      <c r="G218" s="886"/>
      <c r="H218" s="886"/>
      <c r="I218" s="886"/>
      <c r="J218" s="886"/>
      <c r="K218" s="886"/>
      <c r="L218" s="886"/>
      <c r="M218" s="886"/>
      <c r="N218" s="886"/>
      <c r="O218" s="886"/>
      <c r="P218" s="886"/>
      <c r="Q218" s="886"/>
      <c r="R218" s="886"/>
      <c r="S218" s="886"/>
      <c r="T218" s="886"/>
      <c r="U218" s="886"/>
      <c r="V218" s="886"/>
      <c r="W218" s="886"/>
    </row>
    <row r="219" spans="3:23">
      <c r="C219" s="942"/>
      <c r="D219" s="942"/>
      <c r="E219" s="943"/>
      <c r="F219" s="886"/>
      <c r="G219" s="886"/>
      <c r="H219" s="886"/>
      <c r="I219" s="886"/>
      <c r="J219" s="886"/>
      <c r="K219" s="886"/>
      <c r="L219" s="886"/>
      <c r="M219" s="886"/>
      <c r="N219" s="886"/>
      <c r="O219" s="886"/>
      <c r="P219" s="886"/>
      <c r="Q219" s="886"/>
      <c r="R219" s="886"/>
      <c r="S219" s="886"/>
      <c r="T219" s="886"/>
      <c r="U219" s="886"/>
      <c r="V219" s="886"/>
      <c r="W219" s="886"/>
    </row>
    <row r="220" spans="3:23">
      <c r="C220" s="942"/>
      <c r="D220" s="942"/>
      <c r="E220" s="943"/>
      <c r="F220" s="886"/>
      <c r="G220" s="886"/>
      <c r="H220" s="886"/>
      <c r="I220" s="886"/>
      <c r="J220" s="886"/>
      <c r="K220" s="886"/>
      <c r="L220" s="886"/>
      <c r="M220" s="886"/>
      <c r="N220" s="886"/>
      <c r="O220" s="886"/>
      <c r="P220" s="886"/>
      <c r="Q220" s="886"/>
      <c r="R220" s="886"/>
      <c r="S220" s="886"/>
      <c r="T220" s="886"/>
      <c r="U220" s="886"/>
      <c r="V220" s="886"/>
      <c r="W220" s="886"/>
    </row>
    <row r="221" spans="3:23">
      <c r="C221" s="942"/>
      <c r="D221" s="942"/>
      <c r="E221" s="943"/>
      <c r="F221" s="886"/>
      <c r="G221" s="886"/>
      <c r="H221" s="886"/>
      <c r="I221" s="886"/>
      <c r="J221" s="886"/>
      <c r="K221" s="886"/>
      <c r="L221" s="886"/>
      <c r="M221" s="886"/>
      <c r="N221" s="886"/>
      <c r="O221" s="886"/>
      <c r="P221" s="886"/>
      <c r="Q221" s="886"/>
      <c r="R221" s="886"/>
      <c r="S221" s="886"/>
      <c r="T221" s="886"/>
      <c r="U221" s="886"/>
      <c r="V221" s="886"/>
      <c r="W221" s="886"/>
    </row>
    <row r="222" spans="3:23">
      <c r="C222" s="942"/>
      <c r="D222" s="942"/>
      <c r="E222" s="943"/>
      <c r="F222" s="886"/>
      <c r="G222" s="886"/>
      <c r="H222" s="886"/>
      <c r="I222" s="886"/>
      <c r="J222" s="886"/>
      <c r="K222" s="886"/>
      <c r="L222" s="886"/>
      <c r="M222" s="886"/>
      <c r="N222" s="886"/>
      <c r="O222" s="886"/>
      <c r="P222" s="886"/>
      <c r="Q222" s="886"/>
      <c r="R222" s="886"/>
      <c r="S222" s="886"/>
      <c r="T222" s="886"/>
      <c r="U222" s="886"/>
      <c r="V222" s="886"/>
      <c r="W222" s="886"/>
    </row>
    <row r="223" spans="3:23">
      <c r="C223" s="942"/>
      <c r="D223" s="942"/>
      <c r="E223" s="943"/>
      <c r="F223" s="886"/>
      <c r="G223" s="886"/>
      <c r="H223" s="886"/>
      <c r="I223" s="886"/>
      <c r="J223" s="886"/>
      <c r="K223" s="886"/>
      <c r="L223" s="886"/>
      <c r="M223" s="886"/>
      <c r="N223" s="886"/>
      <c r="O223" s="886"/>
      <c r="P223" s="886"/>
      <c r="Q223" s="886"/>
      <c r="R223" s="886"/>
      <c r="S223" s="886"/>
      <c r="T223" s="886"/>
      <c r="U223" s="886"/>
      <c r="V223" s="886"/>
      <c r="W223" s="886"/>
    </row>
    <row r="224" spans="3:23">
      <c r="C224" s="942"/>
      <c r="D224" s="942"/>
      <c r="E224" s="943"/>
      <c r="F224" s="886"/>
      <c r="G224" s="886"/>
      <c r="H224" s="886"/>
      <c r="I224" s="886"/>
      <c r="J224" s="886"/>
      <c r="K224" s="886"/>
      <c r="L224" s="886"/>
      <c r="M224" s="886"/>
      <c r="N224" s="886"/>
      <c r="O224" s="886"/>
      <c r="P224" s="886"/>
      <c r="Q224" s="886"/>
      <c r="R224" s="886"/>
      <c r="S224" s="886"/>
      <c r="T224" s="886"/>
      <c r="U224" s="886"/>
      <c r="V224" s="886"/>
      <c r="W224" s="886"/>
    </row>
    <row r="225" spans="3:23">
      <c r="C225" s="942"/>
      <c r="D225" s="942"/>
      <c r="E225" s="943"/>
      <c r="F225" s="886"/>
      <c r="G225" s="886"/>
      <c r="H225" s="886"/>
      <c r="I225" s="886"/>
      <c r="J225" s="886"/>
      <c r="K225" s="886"/>
      <c r="L225" s="886"/>
      <c r="M225" s="886"/>
      <c r="N225" s="886"/>
      <c r="O225" s="886"/>
      <c r="P225" s="886"/>
      <c r="Q225" s="886"/>
      <c r="R225" s="886"/>
      <c r="S225" s="886"/>
      <c r="T225" s="886"/>
      <c r="U225" s="886"/>
      <c r="V225" s="886"/>
      <c r="W225" s="886"/>
    </row>
    <row r="226" spans="3:23">
      <c r="C226" s="942"/>
      <c r="D226" s="942"/>
      <c r="E226" s="943"/>
      <c r="F226" s="886"/>
      <c r="G226" s="886"/>
      <c r="H226" s="886"/>
      <c r="I226" s="886"/>
      <c r="J226" s="886"/>
      <c r="K226" s="886"/>
      <c r="L226" s="886"/>
      <c r="M226" s="886"/>
      <c r="N226" s="886"/>
      <c r="O226" s="886"/>
      <c r="P226" s="886"/>
      <c r="Q226" s="886"/>
      <c r="R226" s="886"/>
      <c r="S226" s="886"/>
      <c r="T226" s="886"/>
      <c r="U226" s="886"/>
      <c r="V226" s="886"/>
      <c r="W226" s="886"/>
    </row>
    <row r="227" spans="3:23">
      <c r="C227" s="942"/>
      <c r="D227" s="942"/>
      <c r="E227" s="943"/>
      <c r="F227" s="886"/>
      <c r="G227" s="886"/>
      <c r="H227" s="886"/>
      <c r="I227" s="886"/>
      <c r="J227" s="886"/>
      <c r="K227" s="886"/>
      <c r="L227" s="886"/>
      <c r="M227" s="886"/>
      <c r="N227" s="886"/>
      <c r="O227" s="886"/>
      <c r="P227" s="886"/>
      <c r="Q227" s="886"/>
      <c r="R227" s="886"/>
      <c r="S227" s="886"/>
      <c r="T227" s="886"/>
      <c r="U227" s="886"/>
      <c r="V227" s="886"/>
      <c r="W227" s="886"/>
    </row>
    <row r="228" spans="3:23">
      <c r="C228" s="942"/>
      <c r="D228" s="942"/>
      <c r="E228" s="943"/>
      <c r="F228" s="886"/>
      <c r="G228" s="886"/>
      <c r="H228" s="886"/>
      <c r="I228" s="886"/>
      <c r="J228" s="886"/>
      <c r="K228" s="886"/>
      <c r="L228" s="886"/>
      <c r="M228" s="886"/>
      <c r="N228" s="886"/>
      <c r="O228" s="886"/>
      <c r="P228" s="886"/>
      <c r="Q228" s="886"/>
      <c r="R228" s="886"/>
      <c r="S228" s="886"/>
      <c r="T228" s="886"/>
      <c r="U228" s="886"/>
      <c r="V228" s="886"/>
      <c r="W228" s="886"/>
    </row>
    <row r="229" spans="3:23">
      <c r="C229" s="942"/>
      <c r="D229" s="942"/>
      <c r="E229" s="943"/>
      <c r="F229" s="886"/>
      <c r="G229" s="886"/>
      <c r="H229" s="886"/>
      <c r="I229" s="886"/>
      <c r="J229" s="886"/>
      <c r="K229" s="886"/>
      <c r="L229" s="886"/>
      <c r="M229" s="886"/>
      <c r="N229" s="886"/>
      <c r="O229" s="886"/>
      <c r="P229" s="886"/>
      <c r="Q229" s="886"/>
      <c r="R229" s="886"/>
      <c r="S229" s="886"/>
      <c r="T229" s="886"/>
      <c r="U229" s="886"/>
      <c r="V229" s="886"/>
      <c r="W229" s="886"/>
    </row>
    <row r="230" spans="3:23">
      <c r="C230" s="942"/>
      <c r="D230" s="942"/>
      <c r="E230" s="943"/>
      <c r="F230" s="886"/>
      <c r="G230" s="886"/>
      <c r="H230" s="886"/>
      <c r="I230" s="886"/>
      <c r="J230" s="886"/>
      <c r="K230" s="886"/>
      <c r="L230" s="886"/>
      <c r="M230" s="886"/>
      <c r="N230" s="886"/>
      <c r="O230" s="886"/>
      <c r="P230" s="886"/>
      <c r="Q230" s="886"/>
      <c r="R230" s="886"/>
      <c r="S230" s="886"/>
      <c r="T230" s="886"/>
      <c r="U230" s="886"/>
      <c r="V230" s="886"/>
      <c r="W230" s="886"/>
    </row>
    <row r="231" spans="3:23">
      <c r="C231" s="942"/>
      <c r="D231" s="942"/>
      <c r="E231" s="943"/>
      <c r="F231" s="886"/>
      <c r="G231" s="886"/>
      <c r="H231" s="886"/>
      <c r="I231" s="886"/>
      <c r="J231" s="886"/>
      <c r="K231" s="886"/>
      <c r="L231" s="886"/>
      <c r="M231" s="886"/>
      <c r="N231" s="886"/>
      <c r="O231" s="886"/>
      <c r="P231" s="886"/>
      <c r="Q231" s="886"/>
      <c r="R231" s="886"/>
      <c r="S231" s="886"/>
      <c r="T231" s="886"/>
      <c r="U231" s="886"/>
      <c r="V231" s="886"/>
      <c r="W231" s="886"/>
    </row>
    <row r="232" spans="3:23">
      <c r="C232" s="942"/>
      <c r="D232" s="942"/>
      <c r="E232" s="943"/>
      <c r="F232" s="886"/>
      <c r="G232" s="886"/>
      <c r="H232" s="886"/>
      <c r="I232" s="886"/>
      <c r="J232" s="886"/>
      <c r="K232" s="886"/>
      <c r="L232" s="886"/>
      <c r="M232" s="886"/>
      <c r="N232" s="886"/>
      <c r="O232" s="886"/>
      <c r="P232" s="886"/>
      <c r="Q232" s="886"/>
      <c r="R232" s="886"/>
      <c r="S232" s="886"/>
      <c r="T232" s="886"/>
      <c r="U232" s="886"/>
      <c r="V232" s="886"/>
      <c r="W232" s="886"/>
    </row>
    <row r="233" spans="3:23">
      <c r="C233" s="942"/>
      <c r="D233" s="942"/>
      <c r="E233" s="943"/>
      <c r="F233" s="886"/>
      <c r="G233" s="886"/>
      <c r="H233" s="886"/>
      <c r="I233" s="886"/>
      <c r="J233" s="886"/>
      <c r="K233" s="886"/>
      <c r="L233" s="886"/>
      <c r="M233" s="886"/>
      <c r="N233" s="886"/>
      <c r="O233" s="886"/>
      <c r="P233" s="886"/>
      <c r="Q233" s="886"/>
      <c r="R233" s="886"/>
      <c r="S233" s="886"/>
      <c r="T233" s="886"/>
      <c r="U233" s="886"/>
      <c r="V233" s="886"/>
      <c r="W233" s="886"/>
    </row>
    <row r="234" spans="3:23">
      <c r="C234" s="942"/>
      <c r="D234" s="942"/>
      <c r="E234" s="943"/>
      <c r="F234" s="886"/>
      <c r="G234" s="886"/>
      <c r="H234" s="886"/>
      <c r="I234" s="886"/>
      <c r="J234" s="886"/>
      <c r="K234" s="886"/>
      <c r="L234" s="886"/>
      <c r="M234" s="886"/>
      <c r="N234" s="886"/>
      <c r="O234" s="886"/>
      <c r="P234" s="886"/>
      <c r="Q234" s="886"/>
      <c r="R234" s="886"/>
      <c r="S234" s="886"/>
      <c r="T234" s="886"/>
      <c r="U234" s="886"/>
      <c r="V234" s="886"/>
      <c r="W234" s="886"/>
    </row>
    <row r="235" spans="3:23">
      <c r="C235" s="942"/>
      <c r="D235" s="942"/>
      <c r="E235" s="943"/>
      <c r="F235" s="886"/>
      <c r="G235" s="886"/>
      <c r="H235" s="886"/>
      <c r="I235" s="886"/>
      <c r="J235" s="886"/>
      <c r="K235" s="886"/>
      <c r="L235" s="886"/>
      <c r="M235" s="886"/>
      <c r="N235" s="886"/>
      <c r="O235" s="886"/>
      <c r="P235" s="886"/>
      <c r="Q235" s="886"/>
      <c r="R235" s="886"/>
      <c r="S235" s="886"/>
      <c r="T235" s="886"/>
      <c r="U235" s="886"/>
      <c r="V235" s="886"/>
      <c r="W235" s="886"/>
    </row>
    <row r="236" spans="3:23">
      <c r="C236" s="942"/>
      <c r="D236" s="942"/>
      <c r="E236" s="943"/>
      <c r="F236" s="886"/>
      <c r="G236" s="886"/>
      <c r="H236" s="886"/>
      <c r="I236" s="886"/>
      <c r="J236" s="886"/>
      <c r="K236" s="886"/>
      <c r="L236" s="886"/>
      <c r="M236" s="886"/>
      <c r="N236" s="886"/>
      <c r="O236" s="886"/>
      <c r="P236" s="886"/>
      <c r="Q236" s="886"/>
      <c r="R236" s="886"/>
      <c r="S236" s="886"/>
      <c r="T236" s="886"/>
      <c r="U236" s="886"/>
      <c r="V236" s="886"/>
      <c r="W236" s="886"/>
    </row>
    <row r="237" spans="3:23">
      <c r="C237" s="942"/>
      <c r="D237" s="942"/>
      <c r="E237" s="943"/>
      <c r="F237" s="886"/>
      <c r="G237" s="886"/>
      <c r="H237" s="886"/>
      <c r="I237" s="886"/>
      <c r="J237" s="886"/>
      <c r="K237" s="886"/>
      <c r="L237" s="886"/>
      <c r="M237" s="886"/>
      <c r="N237" s="886"/>
      <c r="O237" s="886"/>
      <c r="P237" s="886"/>
      <c r="Q237" s="886"/>
      <c r="R237" s="886"/>
      <c r="S237" s="886"/>
      <c r="T237" s="886"/>
      <c r="U237" s="886"/>
      <c r="V237" s="886"/>
      <c r="W237" s="886"/>
    </row>
    <row r="238" spans="3:23">
      <c r="C238" s="942"/>
      <c r="D238" s="942"/>
      <c r="E238" s="943"/>
      <c r="F238" s="886"/>
      <c r="G238" s="886"/>
      <c r="H238" s="886"/>
      <c r="I238" s="886"/>
      <c r="J238" s="886"/>
      <c r="K238" s="886"/>
      <c r="L238" s="886"/>
      <c r="M238" s="886"/>
      <c r="N238" s="886"/>
      <c r="O238" s="886"/>
      <c r="P238" s="886"/>
      <c r="Q238" s="886"/>
      <c r="R238" s="886"/>
      <c r="S238" s="886"/>
      <c r="T238" s="886"/>
      <c r="U238" s="886"/>
      <c r="V238" s="886"/>
      <c r="W238" s="886"/>
    </row>
    <row r="239" spans="3:23">
      <c r="C239" s="942"/>
      <c r="D239" s="942"/>
      <c r="E239" s="943"/>
      <c r="F239" s="886"/>
      <c r="G239" s="886"/>
      <c r="H239" s="886"/>
      <c r="I239" s="886"/>
      <c r="J239" s="886"/>
      <c r="K239" s="886"/>
      <c r="L239" s="886"/>
      <c r="M239" s="886"/>
      <c r="N239" s="886"/>
      <c r="O239" s="886"/>
      <c r="P239" s="886"/>
      <c r="Q239" s="886"/>
      <c r="R239" s="886"/>
      <c r="S239" s="886"/>
      <c r="T239" s="886"/>
      <c r="U239" s="886"/>
      <c r="V239" s="886"/>
      <c r="W239" s="886"/>
    </row>
    <row r="240" spans="3:23">
      <c r="C240" s="942"/>
      <c r="D240" s="942"/>
      <c r="E240" s="943"/>
      <c r="F240" s="886"/>
      <c r="G240" s="886"/>
      <c r="H240" s="886"/>
      <c r="I240" s="886"/>
      <c r="J240" s="886"/>
      <c r="K240" s="886"/>
      <c r="L240" s="886"/>
      <c r="M240" s="886"/>
      <c r="N240" s="886"/>
      <c r="O240" s="886"/>
      <c r="P240" s="886"/>
      <c r="Q240" s="886"/>
      <c r="R240" s="886"/>
      <c r="S240" s="886"/>
      <c r="T240" s="886"/>
      <c r="U240" s="886"/>
      <c r="V240" s="886"/>
      <c r="W240" s="886"/>
    </row>
    <row r="241" spans="3:23">
      <c r="C241" s="942"/>
      <c r="D241" s="942"/>
      <c r="E241" s="943"/>
      <c r="F241" s="886"/>
      <c r="G241" s="886"/>
      <c r="H241" s="886"/>
      <c r="I241" s="886"/>
      <c r="J241" s="886"/>
      <c r="K241" s="886"/>
      <c r="L241" s="886"/>
      <c r="M241" s="886"/>
      <c r="N241" s="886"/>
      <c r="O241" s="886"/>
      <c r="P241" s="886"/>
      <c r="Q241" s="886"/>
      <c r="R241" s="886"/>
      <c r="S241" s="886"/>
      <c r="T241" s="886"/>
      <c r="U241" s="886"/>
      <c r="V241" s="886"/>
      <c r="W241" s="886"/>
    </row>
    <row r="242" spans="3:23">
      <c r="C242" s="942"/>
      <c r="D242" s="942"/>
      <c r="E242" s="943"/>
      <c r="F242" s="886"/>
      <c r="G242" s="886"/>
      <c r="H242" s="886"/>
      <c r="I242" s="886"/>
      <c r="J242" s="886"/>
      <c r="K242" s="886"/>
      <c r="L242" s="886"/>
      <c r="M242" s="886"/>
      <c r="N242" s="886"/>
      <c r="O242" s="886"/>
      <c r="P242" s="886"/>
      <c r="Q242" s="886"/>
      <c r="R242" s="886"/>
      <c r="S242" s="886"/>
      <c r="T242" s="886"/>
      <c r="U242" s="886"/>
      <c r="V242" s="886"/>
      <c r="W242" s="886"/>
    </row>
    <row r="243" spans="3:23">
      <c r="C243" s="942"/>
      <c r="D243" s="942"/>
      <c r="E243" s="943"/>
      <c r="F243" s="886"/>
      <c r="G243" s="886"/>
      <c r="H243" s="886"/>
      <c r="I243" s="886"/>
      <c r="J243" s="886"/>
      <c r="K243" s="886"/>
      <c r="L243" s="886"/>
      <c r="M243" s="886"/>
      <c r="N243" s="886"/>
      <c r="O243" s="886"/>
      <c r="P243" s="886"/>
      <c r="Q243" s="886"/>
      <c r="R243" s="886"/>
      <c r="S243" s="886"/>
      <c r="T243" s="886"/>
      <c r="U243" s="886"/>
      <c r="V243" s="886"/>
      <c r="W243" s="886"/>
    </row>
    <row r="244" spans="3:23">
      <c r="C244" s="942"/>
      <c r="D244" s="942"/>
      <c r="E244" s="943"/>
      <c r="F244" s="886"/>
      <c r="G244" s="886"/>
      <c r="H244" s="886"/>
      <c r="I244" s="886"/>
      <c r="J244" s="886"/>
      <c r="K244" s="886"/>
      <c r="L244" s="886"/>
      <c r="M244" s="886"/>
      <c r="N244" s="886"/>
      <c r="O244" s="886"/>
      <c r="P244" s="886"/>
      <c r="Q244" s="886"/>
      <c r="R244" s="886"/>
      <c r="S244" s="886"/>
      <c r="T244" s="886"/>
      <c r="U244" s="886"/>
      <c r="V244" s="886"/>
      <c r="W244" s="886"/>
    </row>
    <row r="245" spans="3:23">
      <c r="C245" s="942"/>
      <c r="D245" s="942"/>
      <c r="E245" s="943"/>
      <c r="F245" s="886"/>
      <c r="G245" s="886"/>
      <c r="H245" s="886"/>
      <c r="I245" s="886"/>
      <c r="J245" s="886"/>
      <c r="K245" s="886"/>
      <c r="L245" s="886"/>
      <c r="M245" s="886"/>
      <c r="N245" s="886"/>
      <c r="O245" s="886"/>
      <c r="P245" s="886"/>
      <c r="Q245" s="886"/>
      <c r="R245" s="886"/>
      <c r="S245" s="886"/>
      <c r="T245" s="886"/>
      <c r="U245" s="886"/>
      <c r="V245" s="886"/>
      <c r="W245" s="886"/>
    </row>
    <row r="246" spans="3:23">
      <c r="C246" s="942"/>
      <c r="D246" s="942"/>
      <c r="E246" s="943"/>
      <c r="F246" s="886"/>
      <c r="G246" s="886"/>
      <c r="H246" s="886"/>
      <c r="I246" s="886"/>
      <c r="J246" s="886"/>
      <c r="K246" s="886"/>
      <c r="L246" s="886"/>
      <c r="M246" s="886"/>
      <c r="N246" s="886"/>
      <c r="O246" s="886"/>
      <c r="P246" s="886"/>
      <c r="Q246" s="886"/>
      <c r="R246" s="886"/>
      <c r="S246" s="886"/>
      <c r="T246" s="886"/>
      <c r="U246" s="886"/>
      <c r="V246" s="886"/>
      <c r="W246" s="886"/>
    </row>
    <row r="247" spans="3:23">
      <c r="C247" s="942"/>
      <c r="D247" s="942"/>
      <c r="E247" s="943"/>
      <c r="F247" s="886"/>
      <c r="G247" s="886"/>
      <c r="H247" s="886"/>
      <c r="I247" s="886"/>
      <c r="J247" s="886"/>
      <c r="K247" s="886"/>
      <c r="L247" s="886"/>
      <c r="M247" s="886"/>
      <c r="N247" s="886"/>
      <c r="O247" s="886"/>
      <c r="P247" s="886"/>
      <c r="Q247" s="886"/>
      <c r="R247" s="886"/>
      <c r="S247" s="886"/>
      <c r="T247" s="886"/>
      <c r="U247" s="886"/>
      <c r="V247" s="886"/>
      <c r="W247" s="886"/>
    </row>
    <row r="248" spans="3:23">
      <c r="C248" s="942"/>
      <c r="D248" s="942"/>
      <c r="E248" s="943"/>
      <c r="F248" s="886"/>
      <c r="G248" s="886"/>
      <c r="H248" s="886"/>
      <c r="I248" s="886"/>
      <c r="J248" s="886"/>
      <c r="K248" s="886"/>
      <c r="L248" s="886"/>
      <c r="M248" s="886"/>
      <c r="N248" s="886"/>
      <c r="O248" s="886"/>
      <c r="P248" s="886"/>
      <c r="Q248" s="886"/>
      <c r="R248" s="886"/>
      <c r="S248" s="886"/>
      <c r="T248" s="886"/>
      <c r="U248" s="886"/>
      <c r="V248" s="886"/>
      <c r="W248" s="886"/>
    </row>
    <row r="249" spans="3:23">
      <c r="C249" s="942"/>
      <c r="D249" s="942"/>
      <c r="E249" s="943"/>
      <c r="F249" s="886"/>
      <c r="G249" s="886"/>
      <c r="H249" s="886"/>
      <c r="I249" s="886"/>
      <c r="J249" s="886"/>
      <c r="K249" s="886"/>
      <c r="L249" s="886"/>
      <c r="M249" s="886"/>
      <c r="N249" s="886"/>
      <c r="O249" s="886"/>
      <c r="P249" s="886"/>
      <c r="Q249" s="886"/>
      <c r="R249" s="886"/>
      <c r="S249" s="886"/>
      <c r="T249" s="886"/>
      <c r="U249" s="886"/>
      <c r="V249" s="886"/>
      <c r="W249" s="886"/>
    </row>
    <row r="250" spans="3:23">
      <c r="C250" s="942"/>
      <c r="D250" s="942"/>
      <c r="E250" s="943"/>
      <c r="F250" s="886"/>
      <c r="G250" s="886"/>
      <c r="H250" s="886"/>
      <c r="I250" s="886"/>
      <c r="J250" s="886"/>
      <c r="K250" s="886"/>
      <c r="L250" s="886"/>
      <c r="M250" s="886"/>
      <c r="N250" s="886"/>
      <c r="O250" s="886"/>
      <c r="P250" s="886"/>
      <c r="Q250" s="886"/>
      <c r="R250" s="886"/>
      <c r="S250" s="886"/>
      <c r="T250" s="886"/>
      <c r="U250" s="886"/>
      <c r="V250" s="886"/>
      <c r="W250" s="886"/>
    </row>
    <row r="251" spans="3:23">
      <c r="C251" s="942"/>
      <c r="D251" s="942"/>
      <c r="E251" s="943"/>
      <c r="F251" s="886"/>
      <c r="G251" s="886"/>
      <c r="H251" s="886"/>
      <c r="I251" s="886"/>
      <c r="J251" s="886"/>
      <c r="K251" s="886"/>
      <c r="L251" s="886"/>
      <c r="M251" s="886"/>
      <c r="N251" s="886"/>
      <c r="O251" s="886"/>
      <c r="P251" s="886"/>
      <c r="Q251" s="886"/>
      <c r="R251" s="886"/>
      <c r="S251" s="886"/>
      <c r="T251" s="886"/>
      <c r="U251" s="886"/>
      <c r="V251" s="886"/>
      <c r="W251" s="886"/>
    </row>
    <row r="252" spans="3:23">
      <c r="C252" s="942"/>
      <c r="D252" s="942"/>
      <c r="E252" s="943"/>
      <c r="F252" s="886"/>
      <c r="G252" s="886"/>
      <c r="H252" s="886"/>
      <c r="I252" s="886"/>
      <c r="J252" s="886"/>
      <c r="K252" s="886"/>
      <c r="L252" s="886"/>
      <c r="M252" s="886"/>
      <c r="N252" s="886"/>
      <c r="O252" s="886"/>
      <c r="P252" s="886"/>
      <c r="Q252" s="886"/>
      <c r="R252" s="886"/>
      <c r="S252" s="886"/>
      <c r="T252" s="886"/>
      <c r="U252" s="886"/>
      <c r="V252" s="886"/>
      <c r="W252" s="886"/>
    </row>
    <row r="253" spans="3:23">
      <c r="C253" s="942"/>
      <c r="D253" s="942"/>
      <c r="E253" s="943"/>
      <c r="F253" s="886"/>
      <c r="G253" s="886"/>
      <c r="H253" s="886"/>
      <c r="I253" s="886"/>
      <c r="J253" s="886"/>
      <c r="K253" s="886"/>
      <c r="L253" s="886"/>
      <c r="M253" s="886"/>
      <c r="N253" s="886"/>
      <c r="O253" s="886"/>
      <c r="P253" s="886"/>
      <c r="Q253" s="886"/>
      <c r="R253" s="886"/>
      <c r="S253" s="886"/>
      <c r="T253" s="886"/>
      <c r="U253" s="886"/>
      <c r="V253" s="886"/>
      <c r="W253" s="886"/>
    </row>
    <row r="254" spans="3:23">
      <c r="C254" s="942"/>
      <c r="D254" s="942"/>
      <c r="E254" s="943"/>
      <c r="F254" s="886"/>
      <c r="G254" s="886"/>
      <c r="H254" s="886"/>
      <c r="I254" s="886"/>
      <c r="J254" s="886"/>
      <c r="K254" s="886"/>
      <c r="L254" s="886"/>
      <c r="M254" s="886"/>
      <c r="N254" s="886"/>
      <c r="O254" s="886"/>
      <c r="P254" s="886"/>
      <c r="Q254" s="886"/>
      <c r="R254" s="886"/>
      <c r="S254" s="886"/>
      <c r="T254" s="886"/>
      <c r="U254" s="886"/>
      <c r="V254" s="886"/>
      <c r="W254" s="886"/>
    </row>
    <row r="255" spans="3:23">
      <c r="C255" s="942"/>
      <c r="D255" s="942"/>
      <c r="E255" s="943"/>
      <c r="F255" s="886"/>
      <c r="G255" s="886"/>
      <c r="H255" s="886"/>
      <c r="I255" s="886"/>
      <c r="J255" s="886"/>
      <c r="K255" s="886"/>
      <c r="L255" s="886"/>
      <c r="M255" s="886"/>
      <c r="N255" s="886"/>
      <c r="O255" s="886"/>
      <c r="P255" s="886"/>
      <c r="Q255" s="886"/>
      <c r="R255" s="886"/>
      <c r="S255" s="886"/>
      <c r="T255" s="886"/>
      <c r="U255" s="886"/>
      <c r="V255" s="886"/>
      <c r="W255" s="886"/>
    </row>
    <row r="256" spans="3:23">
      <c r="C256" s="942"/>
      <c r="D256" s="942"/>
      <c r="E256" s="943"/>
      <c r="F256" s="886"/>
      <c r="G256" s="886"/>
      <c r="H256" s="886"/>
      <c r="I256" s="886"/>
      <c r="J256" s="886"/>
      <c r="K256" s="886"/>
      <c r="L256" s="886"/>
      <c r="M256" s="886"/>
      <c r="N256" s="886"/>
      <c r="O256" s="886"/>
      <c r="P256" s="886"/>
      <c r="Q256" s="886"/>
      <c r="R256" s="886"/>
      <c r="S256" s="886"/>
      <c r="T256" s="886"/>
      <c r="U256" s="886"/>
      <c r="V256" s="886"/>
      <c r="W256" s="886"/>
    </row>
    <row r="257" spans="3:23">
      <c r="C257" s="942"/>
      <c r="D257" s="942"/>
      <c r="E257" s="943"/>
      <c r="F257" s="886"/>
      <c r="G257" s="886"/>
      <c r="H257" s="886"/>
      <c r="I257" s="886"/>
      <c r="J257" s="886"/>
      <c r="K257" s="886"/>
      <c r="L257" s="886"/>
      <c r="M257" s="886"/>
      <c r="N257" s="886"/>
      <c r="O257" s="886"/>
      <c r="P257" s="886"/>
      <c r="Q257" s="886"/>
      <c r="R257" s="886"/>
      <c r="S257" s="886"/>
      <c r="T257" s="886"/>
      <c r="U257" s="886"/>
      <c r="V257" s="886"/>
      <c r="W257" s="886"/>
    </row>
    <row r="258" spans="3:23">
      <c r="C258" s="942"/>
      <c r="D258" s="942"/>
      <c r="E258" s="943"/>
      <c r="F258" s="886"/>
      <c r="G258" s="886"/>
      <c r="H258" s="886"/>
      <c r="I258" s="886"/>
      <c r="J258" s="886"/>
      <c r="K258" s="886"/>
      <c r="L258" s="886"/>
      <c r="M258" s="886"/>
      <c r="N258" s="886"/>
      <c r="O258" s="886"/>
      <c r="P258" s="886"/>
      <c r="Q258" s="886"/>
      <c r="R258" s="886"/>
      <c r="S258" s="886"/>
      <c r="T258" s="886"/>
      <c r="U258" s="886"/>
      <c r="V258" s="886"/>
      <c r="W258" s="886"/>
    </row>
    <row r="259" spans="3:23">
      <c r="C259" s="942"/>
      <c r="D259" s="942"/>
      <c r="E259" s="943"/>
      <c r="F259" s="886"/>
      <c r="G259" s="886"/>
      <c r="H259" s="886"/>
      <c r="I259" s="886"/>
      <c r="J259" s="886"/>
      <c r="K259" s="886"/>
      <c r="L259" s="886"/>
      <c r="M259" s="886"/>
      <c r="N259" s="886"/>
      <c r="O259" s="886"/>
      <c r="P259" s="886"/>
      <c r="Q259" s="886"/>
      <c r="R259" s="886"/>
      <c r="S259" s="886"/>
      <c r="T259" s="886"/>
      <c r="U259" s="886"/>
      <c r="V259" s="886"/>
      <c r="W259" s="886"/>
    </row>
    <row r="260" spans="3:23">
      <c r="C260" s="942"/>
      <c r="D260" s="942"/>
      <c r="E260" s="943"/>
      <c r="F260" s="886"/>
      <c r="G260" s="886"/>
      <c r="H260" s="886"/>
      <c r="I260" s="886"/>
      <c r="J260" s="886"/>
      <c r="K260" s="886"/>
      <c r="L260" s="886"/>
      <c r="M260" s="886"/>
      <c r="N260" s="886"/>
      <c r="O260" s="886"/>
      <c r="P260" s="886"/>
      <c r="Q260" s="886"/>
      <c r="R260" s="886"/>
      <c r="S260" s="886"/>
      <c r="T260" s="886"/>
      <c r="U260" s="886"/>
      <c r="V260" s="886"/>
      <c r="W260" s="886"/>
    </row>
    <row r="261" spans="3:23">
      <c r="C261" s="942"/>
      <c r="D261" s="942"/>
      <c r="E261" s="943"/>
      <c r="F261" s="886"/>
      <c r="G261" s="886"/>
      <c r="H261" s="886"/>
      <c r="I261" s="886"/>
      <c r="J261" s="886"/>
      <c r="K261" s="886"/>
      <c r="L261" s="886"/>
      <c r="M261" s="886"/>
      <c r="N261" s="886"/>
      <c r="O261" s="886"/>
      <c r="P261" s="886"/>
      <c r="Q261" s="886"/>
      <c r="R261" s="886"/>
      <c r="S261" s="886"/>
      <c r="T261" s="886"/>
      <c r="U261" s="886"/>
      <c r="V261" s="886"/>
      <c r="W261" s="886"/>
    </row>
    <row r="262" spans="3:23">
      <c r="C262" s="942"/>
      <c r="D262" s="942"/>
      <c r="E262" s="943"/>
      <c r="F262" s="886"/>
      <c r="G262" s="886"/>
      <c r="H262" s="886"/>
      <c r="I262" s="886"/>
      <c r="J262" s="886"/>
      <c r="K262" s="886"/>
      <c r="L262" s="886"/>
      <c r="M262" s="886"/>
      <c r="N262" s="886"/>
      <c r="O262" s="886"/>
      <c r="P262" s="886"/>
      <c r="Q262" s="886"/>
      <c r="R262" s="886"/>
      <c r="S262" s="886"/>
      <c r="T262" s="886"/>
      <c r="U262" s="886"/>
      <c r="V262" s="886"/>
      <c r="W262" s="886"/>
    </row>
    <row r="263" spans="3:23">
      <c r="C263" s="942"/>
      <c r="D263" s="942"/>
      <c r="E263" s="943"/>
      <c r="F263" s="886"/>
      <c r="G263" s="886"/>
      <c r="H263" s="886"/>
      <c r="I263" s="886"/>
      <c r="J263" s="886"/>
      <c r="K263" s="886"/>
      <c r="L263" s="886"/>
      <c r="M263" s="886"/>
      <c r="N263" s="886"/>
      <c r="O263" s="886"/>
      <c r="P263" s="886"/>
      <c r="Q263" s="886"/>
      <c r="R263" s="886"/>
      <c r="S263" s="886"/>
      <c r="T263" s="886"/>
      <c r="U263" s="886"/>
      <c r="V263" s="886"/>
      <c r="W263" s="886"/>
    </row>
    <row r="264" spans="3:23">
      <c r="C264" s="942"/>
      <c r="D264" s="942"/>
      <c r="E264" s="943"/>
      <c r="F264" s="886"/>
      <c r="G264" s="886"/>
      <c r="H264" s="886"/>
      <c r="I264" s="886"/>
      <c r="J264" s="886"/>
      <c r="K264" s="886"/>
      <c r="L264" s="886"/>
      <c r="M264" s="886"/>
      <c r="N264" s="886"/>
      <c r="O264" s="886"/>
      <c r="P264" s="886"/>
      <c r="Q264" s="886"/>
      <c r="R264" s="886"/>
      <c r="S264" s="886"/>
      <c r="T264" s="886"/>
      <c r="U264" s="886"/>
      <c r="V264" s="886"/>
      <c r="W264" s="886"/>
    </row>
    <row r="265" spans="3:23">
      <c r="C265" s="942"/>
      <c r="D265" s="942"/>
      <c r="E265" s="943"/>
      <c r="F265" s="886"/>
      <c r="G265" s="886"/>
      <c r="H265" s="886"/>
      <c r="I265" s="886"/>
      <c r="J265" s="886"/>
      <c r="K265" s="886"/>
      <c r="L265" s="886"/>
      <c r="M265" s="886"/>
      <c r="N265" s="886"/>
      <c r="O265" s="886"/>
      <c r="P265" s="886"/>
      <c r="Q265" s="886"/>
      <c r="R265" s="886"/>
      <c r="S265" s="886"/>
      <c r="T265" s="886"/>
      <c r="U265" s="886"/>
      <c r="V265" s="886"/>
      <c r="W265" s="886"/>
    </row>
    <row r="266" spans="3:23">
      <c r="C266" s="942"/>
      <c r="D266" s="942"/>
      <c r="E266" s="943"/>
      <c r="F266" s="886"/>
      <c r="G266" s="886"/>
      <c r="H266" s="886"/>
      <c r="I266" s="886"/>
      <c r="J266" s="886"/>
      <c r="K266" s="886"/>
      <c r="L266" s="886"/>
      <c r="M266" s="886"/>
      <c r="N266" s="886"/>
      <c r="O266" s="886"/>
      <c r="P266" s="886"/>
      <c r="Q266" s="886"/>
      <c r="R266" s="886"/>
      <c r="S266" s="886"/>
      <c r="T266" s="886"/>
      <c r="U266" s="886"/>
      <c r="V266" s="886"/>
      <c r="W266" s="886"/>
    </row>
    <row r="267" spans="3:23">
      <c r="C267" s="942"/>
      <c r="D267" s="942"/>
      <c r="E267" s="943"/>
      <c r="F267" s="886"/>
      <c r="G267" s="886"/>
      <c r="H267" s="886"/>
      <c r="I267" s="886"/>
      <c r="J267" s="886"/>
      <c r="K267" s="886"/>
      <c r="L267" s="886"/>
      <c r="M267" s="886"/>
      <c r="N267" s="886"/>
      <c r="O267" s="886"/>
      <c r="P267" s="886"/>
      <c r="Q267" s="886"/>
      <c r="R267" s="886"/>
      <c r="S267" s="886"/>
      <c r="T267" s="886"/>
      <c r="U267" s="886"/>
      <c r="V267" s="886"/>
      <c r="W267" s="886"/>
    </row>
    <row r="268" spans="3:23">
      <c r="C268" s="942"/>
      <c r="D268" s="942"/>
      <c r="E268" s="943"/>
      <c r="F268" s="886"/>
      <c r="G268" s="886"/>
      <c r="H268" s="886"/>
      <c r="I268" s="886"/>
      <c r="J268" s="886"/>
      <c r="K268" s="886"/>
      <c r="L268" s="886"/>
      <c r="M268" s="886"/>
      <c r="N268" s="886"/>
      <c r="O268" s="886"/>
      <c r="P268" s="886"/>
      <c r="Q268" s="886"/>
      <c r="R268" s="886"/>
      <c r="S268" s="886"/>
      <c r="T268" s="886"/>
      <c r="U268" s="886"/>
      <c r="V268" s="886"/>
      <c r="W268" s="886"/>
    </row>
    <row r="269" spans="3:23">
      <c r="C269" s="942"/>
      <c r="D269" s="942"/>
      <c r="E269" s="943"/>
      <c r="F269" s="886"/>
      <c r="G269" s="886"/>
      <c r="H269" s="886"/>
      <c r="I269" s="886"/>
      <c r="J269" s="886"/>
      <c r="K269" s="886"/>
      <c r="L269" s="886"/>
      <c r="M269" s="886"/>
      <c r="N269" s="886"/>
      <c r="O269" s="886"/>
      <c r="P269" s="886"/>
      <c r="Q269" s="886"/>
      <c r="R269" s="886"/>
      <c r="S269" s="886"/>
      <c r="T269" s="886"/>
      <c r="U269" s="886"/>
      <c r="V269" s="886"/>
      <c r="W269" s="886"/>
    </row>
    <row r="270" spans="3:23">
      <c r="C270" s="942"/>
      <c r="D270" s="942"/>
      <c r="E270" s="943"/>
      <c r="F270" s="886"/>
      <c r="G270" s="886"/>
      <c r="H270" s="886"/>
      <c r="I270" s="886"/>
      <c r="J270" s="886"/>
      <c r="K270" s="886"/>
      <c r="L270" s="886"/>
      <c r="M270" s="886"/>
      <c r="N270" s="886"/>
      <c r="O270" s="886"/>
      <c r="P270" s="886"/>
      <c r="Q270" s="886"/>
      <c r="R270" s="886"/>
      <c r="S270" s="886"/>
      <c r="T270" s="886"/>
      <c r="U270" s="886"/>
      <c r="V270" s="886"/>
      <c r="W270" s="886"/>
    </row>
    <row r="271" spans="3:23">
      <c r="C271" s="942"/>
      <c r="D271" s="942"/>
      <c r="E271" s="943"/>
      <c r="F271" s="886"/>
      <c r="G271" s="886"/>
      <c r="H271" s="886"/>
      <c r="I271" s="886"/>
      <c r="J271" s="886"/>
      <c r="K271" s="886"/>
      <c r="L271" s="886"/>
      <c r="M271" s="886"/>
      <c r="N271" s="886"/>
      <c r="O271" s="886"/>
      <c r="P271" s="886"/>
      <c r="Q271" s="886"/>
      <c r="R271" s="886"/>
      <c r="S271" s="886"/>
      <c r="T271" s="886"/>
      <c r="U271" s="886"/>
      <c r="V271" s="886"/>
      <c r="W271" s="886"/>
    </row>
    <row r="272" spans="3:23">
      <c r="C272" s="942"/>
      <c r="D272" s="942"/>
      <c r="E272" s="943"/>
      <c r="F272" s="886"/>
      <c r="G272" s="886"/>
      <c r="H272" s="886"/>
      <c r="I272" s="886"/>
      <c r="J272" s="886"/>
      <c r="K272" s="886"/>
      <c r="L272" s="886"/>
      <c r="M272" s="886"/>
      <c r="N272" s="886"/>
      <c r="O272" s="886"/>
      <c r="P272" s="886"/>
      <c r="Q272" s="886"/>
      <c r="R272" s="886"/>
      <c r="S272" s="886"/>
      <c r="T272" s="886"/>
      <c r="U272" s="886"/>
      <c r="V272" s="886"/>
      <c r="W272" s="886"/>
    </row>
    <row r="273" spans="3:23">
      <c r="C273" s="942"/>
      <c r="D273" s="942"/>
      <c r="E273" s="943"/>
      <c r="F273" s="886"/>
      <c r="G273" s="886"/>
      <c r="H273" s="886"/>
      <c r="I273" s="886"/>
      <c r="J273" s="886"/>
      <c r="K273" s="886"/>
      <c r="L273" s="886"/>
      <c r="M273" s="886"/>
      <c r="N273" s="886"/>
      <c r="O273" s="886"/>
      <c r="P273" s="886"/>
      <c r="Q273" s="886"/>
      <c r="R273" s="886"/>
      <c r="S273" s="886"/>
      <c r="T273" s="886"/>
      <c r="U273" s="886"/>
      <c r="V273" s="886"/>
      <c r="W273" s="886"/>
    </row>
    <row r="274" spans="3:23">
      <c r="C274" s="942"/>
      <c r="D274" s="942"/>
      <c r="E274" s="943"/>
      <c r="F274" s="886"/>
      <c r="G274" s="886"/>
      <c r="H274" s="886"/>
      <c r="I274" s="886"/>
      <c r="J274" s="886"/>
      <c r="K274" s="886"/>
      <c r="L274" s="886"/>
      <c r="M274" s="886"/>
      <c r="N274" s="886"/>
      <c r="O274" s="886"/>
      <c r="P274" s="886"/>
      <c r="Q274" s="886"/>
      <c r="R274" s="886"/>
      <c r="S274" s="886"/>
      <c r="T274" s="886"/>
      <c r="U274" s="886"/>
      <c r="V274" s="886"/>
      <c r="W274" s="886"/>
    </row>
    <row r="275" spans="3:23">
      <c r="C275" s="942"/>
      <c r="D275" s="942"/>
      <c r="E275" s="943"/>
      <c r="F275" s="886"/>
      <c r="G275" s="886"/>
      <c r="H275" s="886"/>
      <c r="I275" s="886"/>
      <c r="J275" s="886"/>
      <c r="K275" s="886"/>
      <c r="L275" s="886"/>
      <c r="M275" s="886"/>
      <c r="N275" s="886"/>
      <c r="O275" s="886"/>
      <c r="P275" s="886"/>
      <c r="Q275" s="886"/>
      <c r="R275" s="886"/>
      <c r="S275" s="886"/>
      <c r="T275" s="886"/>
      <c r="U275" s="886"/>
      <c r="V275" s="886"/>
      <c r="W275" s="886"/>
    </row>
    <row r="276" spans="3:23">
      <c r="C276" s="942"/>
      <c r="D276" s="942"/>
      <c r="E276" s="943"/>
      <c r="F276" s="886"/>
      <c r="G276" s="886"/>
      <c r="H276" s="886"/>
      <c r="I276" s="886"/>
      <c r="J276" s="886"/>
      <c r="K276" s="886"/>
      <c r="L276" s="886"/>
      <c r="M276" s="886"/>
      <c r="N276" s="886"/>
      <c r="O276" s="886"/>
      <c r="P276" s="886"/>
      <c r="Q276" s="886"/>
      <c r="R276" s="886"/>
      <c r="S276" s="886"/>
      <c r="T276" s="886"/>
      <c r="U276" s="886"/>
      <c r="V276" s="886"/>
      <c r="W276" s="886"/>
    </row>
    <row r="277" spans="3:23">
      <c r="C277" s="942"/>
      <c r="D277" s="942"/>
      <c r="E277" s="943"/>
      <c r="F277" s="886"/>
      <c r="G277" s="886"/>
      <c r="H277" s="886"/>
      <c r="I277" s="886"/>
      <c r="J277" s="886"/>
      <c r="K277" s="886"/>
      <c r="L277" s="886"/>
      <c r="M277" s="886"/>
      <c r="N277" s="886"/>
      <c r="O277" s="886"/>
      <c r="P277" s="886"/>
      <c r="Q277" s="886"/>
      <c r="R277" s="886"/>
      <c r="S277" s="886"/>
      <c r="T277" s="886"/>
      <c r="U277" s="886"/>
      <c r="V277" s="886"/>
      <c r="W277" s="886"/>
    </row>
    <row r="278" spans="3:23">
      <c r="C278" s="942"/>
      <c r="D278" s="942"/>
      <c r="E278" s="943"/>
      <c r="F278" s="886"/>
      <c r="G278" s="886"/>
      <c r="H278" s="886"/>
      <c r="I278" s="886"/>
      <c r="J278" s="886"/>
      <c r="K278" s="886"/>
      <c r="L278" s="886"/>
      <c r="M278" s="886"/>
      <c r="N278" s="886"/>
      <c r="O278" s="886"/>
      <c r="P278" s="886"/>
      <c r="Q278" s="886"/>
      <c r="R278" s="886"/>
      <c r="S278" s="886"/>
      <c r="T278" s="886"/>
      <c r="U278" s="886"/>
      <c r="V278" s="886"/>
      <c r="W278" s="886"/>
    </row>
    <row r="279" spans="3:23">
      <c r="C279" s="942"/>
      <c r="D279" s="942"/>
      <c r="E279" s="943"/>
      <c r="F279" s="886"/>
      <c r="G279" s="886"/>
      <c r="H279" s="886"/>
      <c r="I279" s="886"/>
      <c r="J279" s="886"/>
      <c r="K279" s="886"/>
      <c r="L279" s="886"/>
      <c r="M279" s="886"/>
      <c r="N279" s="886"/>
      <c r="O279" s="886"/>
      <c r="P279" s="886"/>
      <c r="Q279" s="886"/>
      <c r="R279" s="886"/>
      <c r="S279" s="886"/>
      <c r="T279" s="886"/>
      <c r="U279" s="886"/>
      <c r="V279" s="886"/>
      <c r="W279" s="886"/>
    </row>
    <row r="280" spans="3:23">
      <c r="C280" s="942"/>
      <c r="D280" s="942"/>
      <c r="E280" s="943"/>
      <c r="F280" s="886"/>
      <c r="G280" s="886"/>
      <c r="H280" s="886"/>
      <c r="I280" s="886"/>
      <c r="J280" s="886"/>
      <c r="K280" s="886"/>
      <c r="L280" s="886"/>
      <c r="M280" s="886"/>
      <c r="N280" s="886"/>
      <c r="O280" s="886"/>
      <c r="P280" s="886"/>
      <c r="Q280" s="886"/>
      <c r="R280" s="886"/>
      <c r="S280" s="886"/>
      <c r="T280" s="886"/>
      <c r="U280" s="886"/>
      <c r="V280" s="886"/>
      <c r="W280" s="886"/>
    </row>
    <row r="281" spans="3:23">
      <c r="C281" s="942"/>
      <c r="D281" s="942"/>
      <c r="E281" s="943"/>
      <c r="F281" s="886"/>
      <c r="G281" s="886"/>
      <c r="H281" s="886"/>
      <c r="I281" s="886"/>
      <c r="J281" s="886"/>
      <c r="K281" s="886"/>
      <c r="L281" s="886"/>
      <c r="M281" s="886"/>
      <c r="N281" s="886"/>
      <c r="O281" s="886"/>
      <c r="P281" s="886"/>
      <c r="Q281" s="886"/>
      <c r="R281" s="886"/>
      <c r="S281" s="886"/>
      <c r="T281" s="886"/>
      <c r="U281" s="886"/>
      <c r="V281" s="886"/>
      <c r="W281" s="886"/>
    </row>
    <row r="282" spans="3:23">
      <c r="C282" s="942"/>
      <c r="D282" s="942"/>
      <c r="E282" s="943"/>
      <c r="F282" s="886"/>
      <c r="G282" s="886"/>
      <c r="H282" s="886"/>
      <c r="I282" s="886"/>
      <c r="J282" s="886"/>
      <c r="K282" s="886"/>
      <c r="L282" s="886"/>
      <c r="M282" s="886"/>
      <c r="N282" s="886"/>
      <c r="O282" s="886"/>
      <c r="P282" s="886"/>
      <c r="Q282" s="886"/>
      <c r="R282" s="886"/>
      <c r="S282" s="886"/>
      <c r="T282" s="886"/>
      <c r="U282" s="886"/>
      <c r="V282" s="886"/>
      <c r="W282" s="886"/>
    </row>
    <row r="283" spans="3:23">
      <c r="C283" s="942"/>
      <c r="D283" s="942"/>
      <c r="E283" s="943"/>
      <c r="F283" s="886"/>
      <c r="G283" s="886"/>
      <c r="H283" s="886"/>
      <c r="I283" s="886"/>
      <c r="J283" s="886"/>
      <c r="K283" s="886"/>
      <c r="L283" s="886"/>
      <c r="M283" s="886"/>
      <c r="N283" s="886"/>
      <c r="O283" s="886"/>
      <c r="P283" s="886"/>
      <c r="Q283" s="886"/>
      <c r="R283" s="886"/>
      <c r="S283" s="886"/>
      <c r="T283" s="886"/>
      <c r="U283" s="886"/>
      <c r="V283" s="886"/>
      <c r="W283" s="886"/>
    </row>
    <row r="284" spans="3:23">
      <c r="C284" s="942"/>
      <c r="D284" s="942"/>
      <c r="E284" s="943"/>
      <c r="F284" s="886"/>
      <c r="G284" s="886"/>
      <c r="H284" s="886"/>
      <c r="I284" s="886"/>
      <c r="J284" s="886"/>
      <c r="K284" s="886"/>
      <c r="L284" s="886"/>
      <c r="M284" s="886"/>
      <c r="N284" s="886"/>
      <c r="O284" s="886"/>
      <c r="P284" s="886"/>
      <c r="Q284" s="886"/>
      <c r="R284" s="886"/>
      <c r="S284" s="886"/>
      <c r="T284" s="886"/>
      <c r="U284" s="886"/>
      <c r="V284" s="886"/>
      <c r="W284" s="886"/>
    </row>
    <row r="285" spans="3:23">
      <c r="C285" s="942"/>
      <c r="D285" s="942"/>
      <c r="E285" s="943"/>
      <c r="F285" s="886"/>
      <c r="G285" s="886"/>
      <c r="H285" s="886"/>
      <c r="I285" s="886"/>
      <c r="J285" s="886"/>
      <c r="K285" s="886"/>
      <c r="L285" s="886"/>
      <c r="M285" s="886"/>
      <c r="N285" s="886"/>
      <c r="O285" s="886"/>
      <c r="P285" s="886"/>
      <c r="Q285" s="886"/>
      <c r="R285" s="886"/>
      <c r="S285" s="886"/>
      <c r="T285" s="886"/>
      <c r="U285" s="886"/>
      <c r="V285" s="886"/>
      <c r="W285" s="886"/>
    </row>
    <row r="286" spans="3:23">
      <c r="C286" s="942"/>
      <c r="D286" s="942"/>
      <c r="E286" s="943"/>
      <c r="F286" s="886"/>
      <c r="G286" s="886"/>
      <c r="H286" s="886"/>
      <c r="I286" s="886"/>
      <c r="J286" s="886"/>
      <c r="K286" s="886"/>
      <c r="L286" s="886"/>
      <c r="M286" s="886"/>
      <c r="N286" s="886"/>
      <c r="O286" s="886"/>
      <c r="P286" s="886"/>
      <c r="Q286" s="886"/>
      <c r="R286" s="886"/>
      <c r="S286" s="886"/>
      <c r="T286" s="886"/>
      <c r="U286" s="886"/>
      <c r="V286" s="886"/>
      <c r="W286" s="886"/>
    </row>
    <row r="287" spans="3:23">
      <c r="C287" s="942"/>
      <c r="D287" s="942"/>
      <c r="E287" s="943"/>
      <c r="F287" s="886"/>
      <c r="G287" s="886"/>
      <c r="H287" s="886"/>
      <c r="I287" s="886"/>
      <c r="J287" s="886"/>
      <c r="K287" s="886"/>
      <c r="L287" s="886"/>
      <c r="M287" s="886"/>
      <c r="N287" s="886"/>
      <c r="O287" s="886"/>
      <c r="P287" s="886"/>
      <c r="Q287" s="886"/>
      <c r="R287" s="886"/>
      <c r="S287" s="886"/>
      <c r="T287" s="886"/>
      <c r="U287" s="886"/>
      <c r="V287" s="886"/>
      <c r="W287" s="886"/>
    </row>
    <row r="288" spans="3:23">
      <c r="C288" s="942"/>
      <c r="D288" s="942"/>
      <c r="E288" s="943"/>
      <c r="F288" s="886"/>
      <c r="G288" s="886"/>
      <c r="H288" s="886"/>
      <c r="I288" s="886"/>
      <c r="J288" s="886"/>
      <c r="K288" s="886"/>
      <c r="L288" s="886"/>
      <c r="M288" s="886"/>
      <c r="N288" s="886"/>
      <c r="O288" s="886"/>
      <c r="P288" s="886"/>
      <c r="Q288" s="886"/>
      <c r="R288" s="886"/>
      <c r="S288" s="886"/>
      <c r="T288" s="886"/>
      <c r="U288" s="886"/>
      <c r="V288" s="886"/>
      <c r="W288" s="886"/>
    </row>
    <row r="289" spans="3:23">
      <c r="C289" s="942"/>
      <c r="D289" s="942"/>
      <c r="E289" s="943"/>
      <c r="F289" s="886"/>
      <c r="G289" s="886"/>
      <c r="H289" s="886"/>
      <c r="I289" s="886"/>
      <c r="J289" s="886"/>
      <c r="K289" s="886"/>
      <c r="L289" s="886"/>
      <c r="M289" s="886"/>
      <c r="N289" s="886"/>
      <c r="O289" s="886"/>
      <c r="P289" s="886"/>
      <c r="Q289" s="886"/>
      <c r="R289" s="886"/>
      <c r="S289" s="886"/>
      <c r="T289" s="886"/>
      <c r="U289" s="886"/>
      <c r="V289" s="886"/>
      <c r="W289" s="886"/>
    </row>
    <row r="290" spans="3:23">
      <c r="C290" s="942"/>
      <c r="D290" s="942"/>
      <c r="E290" s="943"/>
      <c r="F290" s="886"/>
      <c r="G290" s="886"/>
      <c r="H290" s="886"/>
      <c r="I290" s="886"/>
      <c r="J290" s="886"/>
      <c r="K290" s="886"/>
      <c r="L290" s="886"/>
      <c r="M290" s="886"/>
      <c r="N290" s="886"/>
      <c r="O290" s="886"/>
      <c r="P290" s="886"/>
      <c r="Q290" s="886"/>
      <c r="R290" s="886"/>
      <c r="S290" s="886"/>
      <c r="T290" s="886"/>
      <c r="U290" s="886"/>
      <c r="V290" s="886"/>
      <c r="W290" s="886"/>
    </row>
    <row r="291" spans="3:23">
      <c r="C291" s="942"/>
      <c r="D291" s="942"/>
      <c r="E291" s="943"/>
      <c r="F291" s="886"/>
      <c r="G291" s="886"/>
      <c r="H291" s="886"/>
      <c r="I291" s="886"/>
      <c r="J291" s="886"/>
      <c r="K291" s="886"/>
      <c r="L291" s="886"/>
      <c r="M291" s="886"/>
      <c r="N291" s="886"/>
      <c r="O291" s="886"/>
      <c r="P291" s="886"/>
      <c r="Q291" s="886"/>
      <c r="R291" s="886"/>
      <c r="S291" s="886"/>
      <c r="T291" s="886"/>
      <c r="U291" s="886"/>
      <c r="V291" s="886"/>
      <c r="W291" s="886"/>
    </row>
    <row r="292" spans="3:23">
      <c r="C292" s="942"/>
      <c r="D292" s="942"/>
      <c r="E292" s="943"/>
      <c r="F292" s="886"/>
      <c r="G292" s="886"/>
      <c r="H292" s="886"/>
      <c r="I292" s="886"/>
      <c r="J292" s="886"/>
      <c r="K292" s="886"/>
      <c r="L292" s="886"/>
      <c r="M292" s="886"/>
      <c r="N292" s="886"/>
      <c r="O292" s="886"/>
      <c r="P292" s="886"/>
      <c r="Q292" s="886"/>
      <c r="R292" s="886"/>
      <c r="S292" s="886"/>
      <c r="T292" s="886"/>
      <c r="U292" s="886"/>
      <c r="V292" s="886"/>
      <c r="W292" s="886"/>
    </row>
    <row r="293" spans="3:23">
      <c r="C293" s="942"/>
      <c r="D293" s="942"/>
      <c r="E293" s="943"/>
      <c r="F293" s="886"/>
      <c r="G293" s="886"/>
      <c r="H293" s="886"/>
      <c r="I293" s="886"/>
      <c r="J293" s="886"/>
      <c r="K293" s="886"/>
      <c r="L293" s="886"/>
      <c r="M293" s="886"/>
      <c r="N293" s="886"/>
      <c r="O293" s="886"/>
      <c r="P293" s="886"/>
      <c r="Q293" s="886"/>
      <c r="R293" s="886"/>
      <c r="S293" s="886"/>
      <c r="T293" s="886"/>
      <c r="U293" s="886"/>
      <c r="V293" s="886"/>
      <c r="W293" s="886"/>
    </row>
    <row r="294" spans="3:23">
      <c r="C294" s="942"/>
      <c r="D294" s="942"/>
      <c r="E294" s="943"/>
      <c r="F294" s="886"/>
      <c r="G294" s="886"/>
      <c r="H294" s="886"/>
      <c r="I294" s="886"/>
      <c r="J294" s="886"/>
      <c r="K294" s="886"/>
      <c r="L294" s="886"/>
      <c r="M294" s="886"/>
      <c r="N294" s="886"/>
      <c r="O294" s="886"/>
      <c r="P294" s="886"/>
      <c r="Q294" s="886"/>
      <c r="R294" s="886"/>
      <c r="S294" s="886"/>
      <c r="T294" s="886"/>
      <c r="U294" s="886"/>
      <c r="V294" s="886"/>
      <c r="W294" s="886"/>
    </row>
    <row r="295" spans="3:23">
      <c r="C295" s="942"/>
      <c r="D295" s="942"/>
      <c r="E295" s="943"/>
      <c r="F295" s="886"/>
      <c r="G295" s="886"/>
      <c r="H295" s="886"/>
      <c r="I295" s="886"/>
      <c r="J295" s="886"/>
      <c r="K295" s="886"/>
      <c r="L295" s="886"/>
      <c r="M295" s="886"/>
      <c r="N295" s="886"/>
      <c r="O295" s="886"/>
      <c r="P295" s="886"/>
      <c r="Q295" s="886"/>
      <c r="R295" s="886"/>
      <c r="S295" s="886"/>
      <c r="T295" s="886"/>
      <c r="U295" s="886"/>
      <c r="V295" s="886"/>
      <c r="W295" s="886"/>
    </row>
    <row r="296" spans="3:23">
      <c r="C296" s="942"/>
      <c r="D296" s="942"/>
      <c r="E296" s="943"/>
      <c r="F296" s="886"/>
      <c r="G296" s="886"/>
      <c r="H296" s="886"/>
      <c r="I296" s="886"/>
      <c r="J296" s="886"/>
      <c r="K296" s="886"/>
      <c r="L296" s="886"/>
      <c r="M296" s="886"/>
      <c r="N296" s="886"/>
      <c r="O296" s="886"/>
      <c r="P296" s="886"/>
      <c r="Q296" s="886"/>
      <c r="R296" s="886"/>
      <c r="S296" s="886"/>
      <c r="T296" s="886"/>
      <c r="U296" s="886"/>
      <c r="V296" s="886"/>
      <c r="W296" s="886"/>
    </row>
    <row r="297" spans="3:23">
      <c r="C297" s="942"/>
      <c r="D297" s="942"/>
      <c r="E297" s="943"/>
      <c r="F297" s="886"/>
      <c r="G297" s="886"/>
      <c r="H297" s="886"/>
      <c r="I297" s="886"/>
      <c r="J297" s="886"/>
      <c r="K297" s="886"/>
      <c r="L297" s="886"/>
      <c r="M297" s="886"/>
      <c r="N297" s="886"/>
      <c r="O297" s="886"/>
      <c r="P297" s="886"/>
      <c r="Q297" s="886"/>
      <c r="R297" s="886"/>
      <c r="S297" s="886"/>
      <c r="T297" s="886"/>
      <c r="U297" s="886"/>
      <c r="V297" s="886"/>
      <c r="W297" s="886"/>
    </row>
    <row r="298" spans="3:23">
      <c r="C298" s="942"/>
      <c r="D298" s="942"/>
      <c r="E298" s="943"/>
      <c r="F298" s="886"/>
      <c r="G298" s="886"/>
      <c r="H298" s="886"/>
      <c r="I298" s="886"/>
      <c r="J298" s="886"/>
      <c r="K298" s="886"/>
      <c r="L298" s="886"/>
      <c r="M298" s="886"/>
      <c r="N298" s="886"/>
      <c r="O298" s="886"/>
      <c r="P298" s="886"/>
      <c r="Q298" s="886"/>
      <c r="R298" s="886"/>
      <c r="S298" s="886"/>
      <c r="T298" s="886"/>
      <c r="U298" s="886"/>
      <c r="V298" s="886"/>
      <c r="W298" s="886"/>
    </row>
    <row r="299" spans="3:23">
      <c r="C299" s="942"/>
      <c r="D299" s="942"/>
      <c r="E299" s="943"/>
      <c r="F299" s="886"/>
      <c r="G299" s="886"/>
      <c r="H299" s="886"/>
      <c r="I299" s="886"/>
      <c r="J299" s="886"/>
      <c r="K299" s="886"/>
      <c r="L299" s="886"/>
      <c r="M299" s="886"/>
      <c r="N299" s="886"/>
      <c r="O299" s="886"/>
      <c r="P299" s="886"/>
      <c r="Q299" s="886"/>
      <c r="R299" s="886"/>
      <c r="S299" s="886"/>
      <c r="T299" s="886"/>
      <c r="U299" s="886"/>
      <c r="V299" s="886"/>
      <c r="W299" s="886"/>
    </row>
    <row r="300" spans="3:23">
      <c r="C300" s="942"/>
      <c r="D300" s="942"/>
      <c r="E300" s="943"/>
      <c r="F300" s="886"/>
      <c r="G300" s="886"/>
      <c r="H300" s="886"/>
      <c r="I300" s="886"/>
      <c r="J300" s="886"/>
      <c r="K300" s="886"/>
      <c r="L300" s="886"/>
      <c r="M300" s="886"/>
      <c r="N300" s="886"/>
      <c r="O300" s="886"/>
      <c r="P300" s="886"/>
      <c r="Q300" s="886"/>
      <c r="R300" s="886"/>
      <c r="S300" s="886"/>
      <c r="T300" s="886"/>
      <c r="U300" s="886"/>
      <c r="V300" s="886"/>
      <c r="W300" s="886"/>
    </row>
    <row r="301" spans="3:23">
      <c r="C301" s="942"/>
      <c r="D301" s="942"/>
      <c r="E301" s="943"/>
      <c r="F301" s="886"/>
      <c r="G301" s="886"/>
      <c r="H301" s="886"/>
      <c r="I301" s="886"/>
      <c r="J301" s="886"/>
      <c r="K301" s="886"/>
      <c r="L301" s="886"/>
      <c r="M301" s="886"/>
      <c r="N301" s="886"/>
      <c r="O301" s="886"/>
      <c r="P301" s="886"/>
      <c r="Q301" s="886"/>
      <c r="R301" s="886"/>
      <c r="S301" s="886"/>
      <c r="T301" s="886"/>
      <c r="U301" s="886"/>
      <c r="V301" s="886"/>
      <c r="W301" s="886"/>
    </row>
    <row r="302" spans="3:23">
      <c r="C302" s="942"/>
      <c r="D302" s="942"/>
      <c r="E302" s="943"/>
      <c r="F302" s="886"/>
      <c r="G302" s="886"/>
      <c r="H302" s="886"/>
      <c r="I302" s="886"/>
      <c r="J302" s="886"/>
      <c r="K302" s="886"/>
      <c r="L302" s="886"/>
      <c r="M302" s="886"/>
      <c r="N302" s="886"/>
      <c r="O302" s="886"/>
      <c r="P302" s="886"/>
      <c r="Q302" s="886"/>
      <c r="R302" s="886"/>
      <c r="S302" s="886"/>
      <c r="T302" s="886"/>
      <c r="U302" s="886"/>
      <c r="V302" s="886"/>
      <c r="W302" s="886"/>
    </row>
    <row r="303" spans="3:23">
      <c r="C303" s="942"/>
      <c r="D303" s="942"/>
      <c r="E303" s="943"/>
      <c r="F303" s="886"/>
      <c r="G303" s="886"/>
      <c r="H303" s="886"/>
      <c r="I303" s="886"/>
      <c r="J303" s="886"/>
      <c r="K303" s="886"/>
      <c r="L303" s="886"/>
      <c r="M303" s="886"/>
      <c r="N303" s="886"/>
      <c r="O303" s="886"/>
      <c r="P303" s="886"/>
      <c r="Q303" s="886"/>
      <c r="R303" s="886"/>
      <c r="S303" s="886"/>
      <c r="T303" s="886"/>
      <c r="U303" s="886"/>
      <c r="V303" s="886"/>
      <c r="W303" s="886"/>
    </row>
    <row r="304" spans="3:23">
      <c r="C304" s="942"/>
      <c r="D304" s="942"/>
      <c r="E304" s="943"/>
      <c r="F304" s="886"/>
      <c r="G304" s="886"/>
      <c r="H304" s="886"/>
      <c r="I304" s="886"/>
      <c r="J304" s="886"/>
      <c r="K304" s="886"/>
      <c r="L304" s="886"/>
      <c r="M304" s="886"/>
      <c r="N304" s="886"/>
      <c r="O304" s="886"/>
      <c r="P304" s="886"/>
      <c r="Q304" s="886"/>
      <c r="R304" s="886"/>
      <c r="S304" s="886"/>
      <c r="T304" s="886"/>
      <c r="U304" s="886"/>
      <c r="V304" s="886"/>
      <c r="W304" s="886"/>
    </row>
    <row r="305" spans="3:23">
      <c r="C305" s="942"/>
      <c r="D305" s="942"/>
      <c r="E305" s="943"/>
      <c r="F305" s="886"/>
      <c r="G305" s="886"/>
      <c r="H305" s="886"/>
      <c r="I305" s="886"/>
      <c r="J305" s="886"/>
      <c r="K305" s="886"/>
      <c r="L305" s="886"/>
      <c r="M305" s="886"/>
      <c r="N305" s="886"/>
      <c r="O305" s="886"/>
      <c r="P305" s="886"/>
      <c r="Q305" s="886"/>
      <c r="R305" s="886"/>
      <c r="S305" s="886"/>
      <c r="T305" s="886"/>
      <c r="U305" s="886"/>
      <c r="V305" s="886"/>
      <c r="W305" s="886"/>
    </row>
    <row r="306" spans="3:23">
      <c r="C306" s="942"/>
      <c r="D306" s="942"/>
      <c r="E306" s="943"/>
      <c r="F306" s="886"/>
      <c r="G306" s="886"/>
      <c r="H306" s="886"/>
      <c r="I306" s="886"/>
      <c r="J306" s="886"/>
      <c r="K306" s="886"/>
      <c r="L306" s="886"/>
      <c r="M306" s="886"/>
      <c r="N306" s="886"/>
      <c r="O306" s="886"/>
      <c r="P306" s="886"/>
      <c r="Q306" s="886"/>
      <c r="R306" s="886"/>
      <c r="S306" s="886"/>
      <c r="T306" s="886"/>
      <c r="U306" s="886"/>
      <c r="V306" s="886"/>
      <c r="W306" s="886"/>
    </row>
    <row r="307" spans="3:23">
      <c r="C307" s="942"/>
      <c r="D307" s="942"/>
      <c r="E307" s="943"/>
      <c r="F307" s="886"/>
      <c r="G307" s="886"/>
      <c r="H307" s="886"/>
      <c r="I307" s="886"/>
      <c r="J307" s="886"/>
      <c r="K307" s="886"/>
      <c r="L307" s="886"/>
      <c r="M307" s="886"/>
      <c r="N307" s="886"/>
      <c r="O307" s="886"/>
      <c r="P307" s="886"/>
      <c r="Q307" s="886"/>
      <c r="R307" s="886"/>
      <c r="S307" s="886"/>
      <c r="T307" s="886"/>
      <c r="U307" s="886"/>
      <c r="V307" s="886"/>
      <c r="W307" s="886"/>
    </row>
    <row r="308" spans="3:23">
      <c r="C308" s="942"/>
      <c r="D308" s="942"/>
      <c r="E308" s="943"/>
      <c r="F308" s="886"/>
      <c r="G308" s="886"/>
      <c r="H308" s="886"/>
      <c r="I308" s="886"/>
      <c r="J308" s="886"/>
      <c r="K308" s="886"/>
      <c r="L308" s="886"/>
      <c r="M308" s="886"/>
      <c r="N308" s="886"/>
      <c r="O308" s="886"/>
      <c r="P308" s="886"/>
      <c r="Q308" s="886"/>
      <c r="R308" s="886"/>
      <c r="S308" s="886"/>
      <c r="T308" s="886"/>
      <c r="U308" s="886"/>
      <c r="V308" s="886"/>
      <c r="W308" s="886"/>
    </row>
    <row r="309" spans="3:23">
      <c r="C309" s="942"/>
      <c r="D309" s="942"/>
      <c r="E309" s="943"/>
      <c r="F309" s="886"/>
      <c r="G309" s="886"/>
      <c r="H309" s="886"/>
      <c r="I309" s="886"/>
      <c r="J309" s="886"/>
      <c r="K309" s="886"/>
      <c r="L309" s="886"/>
      <c r="M309" s="886"/>
      <c r="N309" s="886"/>
      <c r="O309" s="886"/>
      <c r="P309" s="886"/>
      <c r="Q309" s="886"/>
      <c r="R309" s="886"/>
      <c r="S309" s="886"/>
      <c r="T309" s="886"/>
      <c r="U309" s="886"/>
      <c r="V309" s="886"/>
      <c r="W309" s="886"/>
    </row>
    <row r="310" spans="3:23">
      <c r="C310" s="942"/>
      <c r="D310" s="942"/>
      <c r="E310" s="943"/>
      <c r="F310" s="886"/>
      <c r="G310" s="886"/>
      <c r="H310" s="886"/>
      <c r="I310" s="886"/>
      <c r="J310" s="886"/>
      <c r="K310" s="886"/>
      <c r="L310" s="886"/>
      <c r="M310" s="886"/>
      <c r="N310" s="886"/>
      <c r="O310" s="886"/>
      <c r="P310" s="886"/>
      <c r="Q310" s="886"/>
      <c r="R310" s="886"/>
      <c r="S310" s="886"/>
      <c r="T310" s="886"/>
      <c r="U310" s="886"/>
      <c r="V310" s="886"/>
      <c r="W310" s="886"/>
    </row>
    <row r="311" spans="3:23">
      <c r="C311" s="942"/>
      <c r="D311" s="942"/>
      <c r="E311" s="943"/>
      <c r="F311" s="886"/>
      <c r="G311" s="886"/>
      <c r="H311" s="886"/>
      <c r="I311" s="886"/>
      <c r="J311" s="886"/>
      <c r="K311" s="886"/>
      <c r="L311" s="886"/>
      <c r="M311" s="886"/>
      <c r="N311" s="886"/>
      <c r="O311" s="886"/>
      <c r="P311" s="886"/>
      <c r="Q311" s="886"/>
      <c r="R311" s="886"/>
      <c r="S311" s="886"/>
      <c r="T311" s="886"/>
      <c r="U311" s="886"/>
      <c r="V311" s="886"/>
      <c r="W311" s="886"/>
    </row>
    <row r="312" spans="3:23">
      <c r="C312" s="942"/>
      <c r="D312" s="942"/>
      <c r="E312" s="943"/>
      <c r="F312" s="886"/>
      <c r="G312" s="886"/>
      <c r="H312" s="886"/>
      <c r="I312" s="886"/>
      <c r="J312" s="886"/>
      <c r="K312" s="886"/>
      <c r="L312" s="886"/>
      <c r="M312" s="886"/>
      <c r="N312" s="886"/>
      <c r="O312" s="886"/>
      <c r="P312" s="886"/>
      <c r="Q312" s="886"/>
      <c r="R312" s="886"/>
      <c r="S312" s="886"/>
      <c r="T312" s="886"/>
      <c r="U312" s="886"/>
      <c r="V312" s="886"/>
      <c r="W312" s="886"/>
    </row>
    <row r="313" spans="3:23">
      <c r="C313" s="942"/>
      <c r="D313" s="942"/>
      <c r="E313" s="943"/>
      <c r="F313" s="886"/>
      <c r="G313" s="886"/>
      <c r="H313" s="886"/>
      <c r="I313" s="886"/>
      <c r="J313" s="886"/>
      <c r="K313" s="886"/>
      <c r="L313" s="886"/>
      <c r="M313" s="886"/>
      <c r="N313" s="886"/>
      <c r="O313" s="886"/>
      <c r="P313" s="886"/>
      <c r="Q313" s="886"/>
      <c r="R313" s="886"/>
      <c r="S313" s="886"/>
      <c r="T313" s="886"/>
      <c r="U313" s="886"/>
      <c r="V313" s="886"/>
      <c r="W313" s="886"/>
    </row>
    <row r="314" spans="3:23">
      <c r="C314" s="942"/>
      <c r="D314" s="942"/>
      <c r="E314" s="943"/>
      <c r="F314" s="886"/>
      <c r="G314" s="886"/>
      <c r="H314" s="886"/>
      <c r="I314" s="886"/>
      <c r="J314" s="886"/>
      <c r="K314" s="886"/>
      <c r="L314" s="886"/>
      <c r="M314" s="886"/>
      <c r="N314" s="886"/>
      <c r="O314" s="886"/>
      <c r="P314" s="886"/>
      <c r="Q314" s="886"/>
      <c r="R314" s="886"/>
      <c r="S314" s="886"/>
      <c r="T314" s="886"/>
      <c r="U314" s="886"/>
      <c r="V314" s="886"/>
      <c r="W314" s="886"/>
    </row>
    <row r="315" spans="3:23">
      <c r="C315" s="942"/>
      <c r="D315" s="942"/>
      <c r="E315" s="943"/>
      <c r="F315" s="886"/>
      <c r="G315" s="886"/>
      <c r="H315" s="886"/>
      <c r="I315" s="886"/>
      <c r="J315" s="886"/>
      <c r="K315" s="886"/>
      <c r="L315" s="886"/>
      <c r="M315" s="886"/>
      <c r="N315" s="886"/>
      <c r="O315" s="886"/>
      <c r="P315" s="886"/>
      <c r="Q315" s="886"/>
      <c r="R315" s="886"/>
      <c r="S315" s="886"/>
      <c r="T315" s="886"/>
      <c r="U315" s="886"/>
      <c r="V315" s="886"/>
      <c r="W315" s="886"/>
    </row>
    <row r="316" spans="3:23">
      <c r="C316" s="942"/>
      <c r="D316" s="942"/>
      <c r="E316" s="943"/>
      <c r="F316" s="886"/>
      <c r="G316" s="886"/>
      <c r="H316" s="886"/>
      <c r="I316" s="886"/>
      <c r="J316" s="886"/>
      <c r="K316" s="886"/>
      <c r="L316" s="886"/>
      <c r="M316" s="886"/>
      <c r="N316" s="886"/>
      <c r="O316" s="886"/>
      <c r="P316" s="886"/>
      <c r="Q316" s="886"/>
      <c r="R316" s="886"/>
      <c r="S316" s="886"/>
      <c r="T316" s="886"/>
      <c r="U316" s="886"/>
      <c r="V316" s="886"/>
      <c r="W316" s="886"/>
    </row>
    <row r="317" spans="3:23">
      <c r="C317" s="942"/>
      <c r="D317" s="942"/>
      <c r="E317" s="943"/>
      <c r="F317" s="886"/>
      <c r="G317" s="886"/>
      <c r="H317" s="886"/>
      <c r="I317" s="886"/>
      <c r="J317" s="886"/>
      <c r="K317" s="886"/>
      <c r="L317" s="886"/>
      <c r="M317" s="886"/>
      <c r="N317" s="886"/>
      <c r="O317" s="886"/>
      <c r="P317" s="886"/>
      <c r="Q317" s="886"/>
      <c r="R317" s="886"/>
      <c r="S317" s="886"/>
      <c r="T317" s="886"/>
      <c r="U317" s="886"/>
      <c r="V317" s="886"/>
      <c r="W317" s="886"/>
    </row>
    <row r="318" spans="3:23">
      <c r="C318" s="942"/>
      <c r="D318" s="942"/>
      <c r="E318" s="943"/>
      <c r="F318" s="886"/>
      <c r="G318" s="886"/>
      <c r="H318" s="886"/>
      <c r="I318" s="886"/>
      <c r="J318" s="886"/>
      <c r="K318" s="886"/>
      <c r="L318" s="886"/>
      <c r="M318" s="886"/>
      <c r="N318" s="886"/>
      <c r="O318" s="886"/>
      <c r="P318" s="886"/>
      <c r="Q318" s="886"/>
      <c r="R318" s="886"/>
      <c r="S318" s="886"/>
      <c r="T318" s="886"/>
      <c r="U318" s="886"/>
      <c r="V318" s="886"/>
      <c r="W318" s="886"/>
    </row>
    <row r="319" spans="3:23">
      <c r="C319" s="942"/>
      <c r="D319" s="942"/>
      <c r="E319" s="943"/>
      <c r="F319" s="886"/>
      <c r="G319" s="886"/>
      <c r="H319" s="886"/>
      <c r="I319" s="886"/>
      <c r="J319" s="886"/>
      <c r="K319" s="886"/>
      <c r="L319" s="886"/>
      <c r="M319" s="886"/>
      <c r="N319" s="886"/>
      <c r="O319" s="886"/>
      <c r="P319" s="886"/>
      <c r="Q319" s="886"/>
      <c r="R319" s="886"/>
      <c r="S319" s="886"/>
      <c r="T319" s="886"/>
      <c r="U319" s="886"/>
      <c r="V319" s="886"/>
      <c r="W319" s="886"/>
    </row>
    <row r="320" spans="3:23">
      <c r="C320" s="942"/>
      <c r="D320" s="942"/>
      <c r="E320" s="943"/>
      <c r="F320" s="886"/>
      <c r="G320" s="886"/>
      <c r="H320" s="886"/>
      <c r="I320" s="886"/>
      <c r="J320" s="886"/>
      <c r="K320" s="886"/>
      <c r="L320" s="886"/>
      <c r="M320" s="886"/>
      <c r="N320" s="886"/>
      <c r="O320" s="886"/>
      <c r="P320" s="886"/>
      <c r="Q320" s="886"/>
      <c r="R320" s="886"/>
      <c r="S320" s="886"/>
      <c r="T320" s="886"/>
      <c r="U320" s="886"/>
      <c r="V320" s="886"/>
      <c r="W320" s="886"/>
    </row>
    <row r="321" spans="3:23">
      <c r="C321" s="942"/>
      <c r="D321" s="942"/>
      <c r="E321" s="943"/>
      <c r="F321" s="886"/>
      <c r="G321" s="886"/>
      <c r="H321" s="886"/>
      <c r="I321" s="886"/>
      <c r="J321" s="886"/>
      <c r="K321" s="886"/>
      <c r="L321" s="886"/>
      <c r="M321" s="886"/>
      <c r="N321" s="886"/>
      <c r="O321" s="886"/>
      <c r="P321" s="886"/>
      <c r="Q321" s="886"/>
      <c r="R321" s="886"/>
      <c r="S321" s="886"/>
      <c r="T321" s="886"/>
      <c r="U321" s="886"/>
      <c r="V321" s="886"/>
      <c r="W321" s="886"/>
    </row>
    <row r="322" spans="3:23">
      <c r="C322" s="942"/>
      <c r="D322" s="942"/>
      <c r="E322" s="943"/>
      <c r="F322" s="886"/>
      <c r="G322" s="886"/>
      <c r="H322" s="886"/>
      <c r="I322" s="886"/>
      <c r="J322" s="886"/>
      <c r="K322" s="886"/>
      <c r="L322" s="886"/>
      <c r="M322" s="886"/>
      <c r="N322" s="886"/>
      <c r="O322" s="886"/>
      <c r="P322" s="886"/>
      <c r="Q322" s="886"/>
      <c r="R322" s="886"/>
      <c r="S322" s="886"/>
      <c r="T322" s="886"/>
      <c r="U322" s="886"/>
      <c r="V322" s="886"/>
      <c r="W322" s="886"/>
    </row>
    <row r="323" spans="3:23">
      <c r="C323" s="942"/>
      <c r="D323" s="942"/>
      <c r="E323" s="943"/>
      <c r="F323" s="886"/>
      <c r="G323" s="886"/>
      <c r="H323" s="886"/>
      <c r="I323" s="886"/>
      <c r="J323" s="886"/>
      <c r="K323" s="886"/>
      <c r="L323" s="886"/>
      <c r="M323" s="886"/>
      <c r="N323" s="886"/>
      <c r="O323" s="886"/>
      <c r="P323" s="886"/>
      <c r="Q323" s="886"/>
      <c r="R323" s="886"/>
      <c r="S323" s="886"/>
      <c r="T323" s="886"/>
      <c r="U323" s="886"/>
      <c r="V323" s="886"/>
      <c r="W323" s="886"/>
    </row>
    <row r="324" spans="3:23">
      <c r="C324" s="942"/>
      <c r="D324" s="942"/>
      <c r="E324" s="943"/>
      <c r="F324" s="886"/>
      <c r="G324" s="886"/>
      <c r="H324" s="886"/>
      <c r="I324" s="886"/>
      <c r="J324" s="886"/>
      <c r="K324" s="886"/>
      <c r="L324" s="886"/>
      <c r="M324" s="886"/>
      <c r="N324" s="886"/>
      <c r="O324" s="886"/>
      <c r="P324" s="886"/>
      <c r="Q324" s="886"/>
      <c r="R324" s="886"/>
      <c r="S324" s="886"/>
      <c r="T324" s="886"/>
      <c r="U324" s="886"/>
      <c r="V324" s="886"/>
      <c r="W324" s="886"/>
    </row>
    <row r="325" spans="3:23">
      <c r="C325" s="942"/>
      <c r="D325" s="942"/>
      <c r="E325" s="943"/>
      <c r="F325" s="886"/>
      <c r="G325" s="886"/>
      <c r="H325" s="886"/>
      <c r="I325" s="886"/>
      <c r="J325" s="886"/>
      <c r="K325" s="886"/>
      <c r="L325" s="886"/>
      <c r="M325" s="886"/>
      <c r="N325" s="886"/>
      <c r="O325" s="886"/>
      <c r="P325" s="886"/>
      <c r="Q325" s="886"/>
      <c r="R325" s="886"/>
      <c r="S325" s="886"/>
      <c r="T325" s="886"/>
      <c r="U325" s="886"/>
      <c r="V325" s="886"/>
      <c r="W325" s="886"/>
    </row>
    <row r="326" spans="3:23">
      <c r="C326" s="942"/>
      <c r="D326" s="942"/>
      <c r="E326" s="943"/>
      <c r="F326" s="886"/>
      <c r="G326" s="886"/>
      <c r="H326" s="886"/>
      <c r="I326" s="886"/>
      <c r="J326" s="886"/>
      <c r="K326" s="886"/>
      <c r="L326" s="886"/>
      <c r="M326" s="886"/>
      <c r="N326" s="886"/>
      <c r="O326" s="886"/>
      <c r="P326" s="886"/>
      <c r="Q326" s="886"/>
      <c r="R326" s="886"/>
      <c r="S326" s="886"/>
      <c r="T326" s="886"/>
      <c r="U326" s="886"/>
      <c r="V326" s="886"/>
      <c r="W326" s="886"/>
    </row>
    <row r="327" spans="3:23">
      <c r="C327" s="942"/>
      <c r="D327" s="942"/>
      <c r="E327" s="943"/>
      <c r="F327" s="886"/>
      <c r="G327" s="886"/>
      <c r="H327" s="886"/>
      <c r="I327" s="886"/>
      <c r="J327" s="886"/>
      <c r="K327" s="886"/>
      <c r="L327" s="886"/>
      <c r="M327" s="886"/>
      <c r="N327" s="886"/>
      <c r="O327" s="886"/>
      <c r="P327" s="886"/>
      <c r="Q327" s="886"/>
      <c r="R327" s="886"/>
      <c r="S327" s="886"/>
      <c r="T327" s="886"/>
      <c r="U327" s="886"/>
      <c r="V327" s="886"/>
      <c r="W327" s="886"/>
    </row>
    <row r="328" spans="3:23">
      <c r="C328" s="942"/>
      <c r="D328" s="942"/>
      <c r="E328" s="943"/>
      <c r="F328" s="886"/>
      <c r="G328" s="886"/>
      <c r="H328" s="886"/>
      <c r="I328" s="886"/>
      <c r="J328" s="886"/>
      <c r="K328" s="886"/>
      <c r="L328" s="886"/>
      <c r="M328" s="886"/>
      <c r="N328" s="886"/>
      <c r="O328" s="886"/>
      <c r="P328" s="886"/>
      <c r="Q328" s="886"/>
      <c r="R328" s="886"/>
      <c r="S328" s="886"/>
      <c r="T328" s="886"/>
      <c r="U328" s="886"/>
      <c r="V328" s="886"/>
      <c r="W328" s="886"/>
    </row>
    <row r="329" spans="3:23">
      <c r="C329" s="942"/>
      <c r="D329" s="942"/>
      <c r="E329" s="943"/>
      <c r="F329" s="886"/>
      <c r="G329" s="886"/>
      <c r="H329" s="886"/>
      <c r="I329" s="886"/>
      <c r="J329" s="886"/>
      <c r="K329" s="886"/>
      <c r="L329" s="886"/>
      <c r="M329" s="886"/>
      <c r="N329" s="886"/>
      <c r="O329" s="886"/>
      <c r="P329" s="886"/>
      <c r="Q329" s="886"/>
      <c r="R329" s="886"/>
      <c r="S329" s="886"/>
      <c r="T329" s="886"/>
      <c r="U329" s="886"/>
      <c r="V329" s="886"/>
      <c r="W329" s="886"/>
    </row>
    <row r="330" spans="3:23">
      <c r="C330" s="942"/>
      <c r="D330" s="942"/>
      <c r="E330" s="943"/>
      <c r="F330" s="886"/>
      <c r="G330" s="886"/>
      <c r="H330" s="886"/>
      <c r="I330" s="886"/>
      <c r="J330" s="886"/>
      <c r="K330" s="886"/>
      <c r="L330" s="886"/>
      <c r="M330" s="886"/>
      <c r="N330" s="886"/>
      <c r="O330" s="886"/>
      <c r="P330" s="886"/>
      <c r="Q330" s="886"/>
      <c r="R330" s="886"/>
      <c r="S330" s="886"/>
      <c r="T330" s="886"/>
      <c r="U330" s="886"/>
      <c r="V330" s="886"/>
      <c r="W330" s="886"/>
    </row>
    <row r="331" spans="3:23">
      <c r="C331" s="942"/>
      <c r="D331" s="942"/>
      <c r="E331" s="943"/>
      <c r="F331" s="886"/>
      <c r="G331" s="886"/>
      <c r="H331" s="886"/>
      <c r="I331" s="886"/>
      <c r="J331" s="886"/>
      <c r="K331" s="886"/>
      <c r="L331" s="886"/>
      <c r="M331" s="886"/>
      <c r="N331" s="886"/>
      <c r="O331" s="886"/>
      <c r="P331" s="886"/>
      <c r="Q331" s="886"/>
      <c r="R331" s="886"/>
      <c r="S331" s="886"/>
      <c r="T331" s="886"/>
      <c r="U331" s="886"/>
      <c r="V331" s="886"/>
      <c r="W331" s="886"/>
    </row>
    <row r="332" spans="3:23">
      <c r="C332" s="942"/>
      <c r="D332" s="942"/>
      <c r="E332" s="943"/>
      <c r="F332" s="886"/>
      <c r="G332" s="886"/>
      <c r="H332" s="886"/>
      <c r="I332" s="886"/>
      <c r="J332" s="886"/>
      <c r="K332" s="886"/>
      <c r="L332" s="886"/>
      <c r="M332" s="886"/>
      <c r="N332" s="886"/>
      <c r="O332" s="886"/>
      <c r="P332" s="886"/>
      <c r="Q332" s="886"/>
      <c r="R332" s="886"/>
      <c r="S332" s="886"/>
      <c r="T332" s="886"/>
      <c r="U332" s="886"/>
      <c r="V332" s="886"/>
      <c r="W332" s="886"/>
    </row>
    <row r="333" spans="3:23">
      <c r="C333" s="942"/>
      <c r="D333" s="942"/>
      <c r="E333" s="943"/>
      <c r="F333" s="886"/>
      <c r="G333" s="886"/>
      <c r="H333" s="886"/>
      <c r="I333" s="886"/>
      <c r="J333" s="886"/>
      <c r="K333" s="886"/>
      <c r="L333" s="886"/>
      <c r="M333" s="886"/>
      <c r="N333" s="886"/>
      <c r="O333" s="886"/>
      <c r="P333" s="886"/>
      <c r="Q333" s="886"/>
      <c r="R333" s="886"/>
      <c r="S333" s="886"/>
      <c r="T333" s="886"/>
      <c r="U333" s="886"/>
      <c r="V333" s="886"/>
      <c r="W333" s="886"/>
    </row>
    <row r="334" spans="3:23">
      <c r="C334" s="942"/>
      <c r="D334" s="942"/>
      <c r="E334" s="943"/>
      <c r="F334" s="886"/>
      <c r="G334" s="886"/>
      <c r="H334" s="886"/>
      <c r="I334" s="886"/>
      <c r="J334" s="886"/>
      <c r="K334" s="886"/>
      <c r="L334" s="886"/>
      <c r="M334" s="886"/>
      <c r="N334" s="886"/>
      <c r="O334" s="886"/>
      <c r="P334" s="886"/>
      <c r="Q334" s="886"/>
      <c r="R334" s="886"/>
      <c r="S334" s="886"/>
      <c r="T334" s="886"/>
      <c r="U334" s="886"/>
      <c r="V334" s="886"/>
      <c r="W334" s="886"/>
    </row>
    <row r="335" spans="3:23">
      <c r="C335" s="942"/>
      <c r="D335" s="942"/>
      <c r="E335" s="943"/>
      <c r="F335" s="886"/>
      <c r="G335" s="886"/>
      <c r="H335" s="886"/>
      <c r="I335" s="886"/>
      <c r="J335" s="886"/>
      <c r="K335" s="886"/>
      <c r="L335" s="886"/>
      <c r="M335" s="886"/>
      <c r="N335" s="886"/>
      <c r="O335" s="886"/>
      <c r="P335" s="886"/>
      <c r="Q335" s="886"/>
      <c r="R335" s="886"/>
      <c r="S335" s="886"/>
      <c r="T335" s="886"/>
      <c r="U335" s="886"/>
      <c r="V335" s="886"/>
      <c r="W335" s="886"/>
    </row>
    <row r="336" spans="3:23">
      <c r="C336" s="942"/>
      <c r="D336" s="942"/>
      <c r="E336" s="943"/>
      <c r="F336" s="886"/>
      <c r="G336" s="886"/>
      <c r="H336" s="886"/>
      <c r="I336" s="886"/>
      <c r="J336" s="886"/>
      <c r="K336" s="886"/>
      <c r="L336" s="886"/>
      <c r="M336" s="886"/>
      <c r="N336" s="886"/>
      <c r="O336" s="886"/>
      <c r="P336" s="886"/>
      <c r="Q336" s="886"/>
      <c r="R336" s="886"/>
      <c r="S336" s="886"/>
      <c r="T336" s="886"/>
      <c r="U336" s="886"/>
      <c r="V336" s="886"/>
      <c r="W336" s="886"/>
    </row>
    <row r="337" spans="3:23">
      <c r="C337" s="942"/>
      <c r="D337" s="942"/>
      <c r="E337" s="943"/>
      <c r="F337" s="886"/>
      <c r="G337" s="886"/>
      <c r="H337" s="886"/>
      <c r="I337" s="886"/>
      <c r="J337" s="886"/>
      <c r="K337" s="886"/>
      <c r="L337" s="886"/>
      <c r="M337" s="886"/>
      <c r="N337" s="886"/>
      <c r="O337" s="886"/>
      <c r="P337" s="886"/>
      <c r="Q337" s="886"/>
      <c r="R337" s="886"/>
      <c r="S337" s="886"/>
      <c r="T337" s="886"/>
      <c r="U337" s="886"/>
      <c r="V337" s="886"/>
      <c r="W337" s="886"/>
    </row>
    <row r="338" spans="3:23">
      <c r="C338" s="942"/>
      <c r="D338" s="942"/>
      <c r="E338" s="943"/>
      <c r="F338" s="886"/>
      <c r="G338" s="886"/>
      <c r="H338" s="886"/>
      <c r="I338" s="886"/>
      <c r="J338" s="886"/>
      <c r="K338" s="886"/>
      <c r="L338" s="886"/>
      <c r="M338" s="886"/>
      <c r="N338" s="886"/>
      <c r="O338" s="886"/>
      <c r="P338" s="886"/>
      <c r="Q338" s="886"/>
      <c r="R338" s="886"/>
      <c r="S338" s="886"/>
      <c r="T338" s="886"/>
      <c r="U338" s="886"/>
      <c r="V338" s="886"/>
      <c r="W338" s="886"/>
    </row>
    <row r="339" spans="3:23">
      <c r="C339" s="942"/>
      <c r="D339" s="942"/>
      <c r="E339" s="943"/>
      <c r="F339" s="886"/>
      <c r="G339" s="886"/>
      <c r="H339" s="886"/>
      <c r="I339" s="886"/>
      <c r="J339" s="886"/>
      <c r="K339" s="886"/>
      <c r="L339" s="886"/>
      <c r="M339" s="886"/>
      <c r="N339" s="886"/>
      <c r="O339" s="886"/>
      <c r="P339" s="886"/>
      <c r="Q339" s="886"/>
      <c r="R339" s="886"/>
      <c r="S339" s="886"/>
      <c r="T339" s="886"/>
      <c r="U339" s="886"/>
      <c r="V339" s="886"/>
      <c r="W339" s="886"/>
    </row>
    <row r="340" spans="3:23">
      <c r="C340" s="942"/>
      <c r="D340" s="942"/>
      <c r="E340" s="943"/>
      <c r="F340" s="886"/>
      <c r="G340" s="886"/>
      <c r="H340" s="886"/>
      <c r="I340" s="886"/>
      <c r="J340" s="886"/>
      <c r="K340" s="886"/>
      <c r="L340" s="886"/>
      <c r="M340" s="886"/>
      <c r="N340" s="886"/>
      <c r="O340" s="886"/>
      <c r="P340" s="886"/>
      <c r="Q340" s="886"/>
      <c r="R340" s="886"/>
      <c r="S340" s="886"/>
      <c r="T340" s="886"/>
      <c r="U340" s="886"/>
      <c r="V340" s="886"/>
      <c r="W340" s="886"/>
    </row>
    <row r="341" spans="3:23">
      <c r="C341" s="942"/>
      <c r="D341" s="942"/>
      <c r="E341" s="943"/>
      <c r="F341" s="886"/>
      <c r="G341" s="886"/>
      <c r="H341" s="886"/>
      <c r="I341" s="886"/>
      <c r="J341" s="886"/>
      <c r="K341" s="886"/>
      <c r="L341" s="886"/>
      <c r="M341" s="886"/>
      <c r="N341" s="886"/>
      <c r="O341" s="886"/>
      <c r="P341" s="886"/>
      <c r="Q341" s="886"/>
      <c r="R341" s="886"/>
      <c r="S341" s="886"/>
      <c r="T341" s="886"/>
      <c r="U341" s="886"/>
      <c r="V341" s="886"/>
      <c r="W341" s="886"/>
    </row>
    <row r="342" spans="3:23">
      <c r="C342" s="942"/>
      <c r="D342" s="942"/>
      <c r="E342" s="943"/>
      <c r="F342" s="886"/>
      <c r="G342" s="886"/>
      <c r="H342" s="886"/>
      <c r="I342" s="886"/>
      <c r="J342" s="886"/>
      <c r="K342" s="886"/>
      <c r="L342" s="886"/>
      <c r="M342" s="886"/>
      <c r="N342" s="886"/>
      <c r="O342" s="886"/>
      <c r="P342" s="886"/>
      <c r="Q342" s="886"/>
      <c r="R342" s="886"/>
      <c r="S342" s="886"/>
      <c r="T342" s="886"/>
      <c r="U342" s="886"/>
      <c r="V342" s="886"/>
      <c r="W342" s="886"/>
    </row>
    <row r="343" spans="3:23">
      <c r="C343" s="942"/>
      <c r="D343" s="942"/>
      <c r="E343" s="943"/>
      <c r="F343" s="886"/>
      <c r="G343" s="886"/>
      <c r="H343" s="886"/>
      <c r="I343" s="886"/>
      <c r="J343" s="886"/>
      <c r="K343" s="886"/>
      <c r="L343" s="886"/>
      <c r="M343" s="886"/>
      <c r="N343" s="886"/>
      <c r="O343" s="886"/>
      <c r="P343" s="886"/>
      <c r="Q343" s="886"/>
      <c r="R343" s="886"/>
      <c r="S343" s="886"/>
      <c r="T343" s="886"/>
      <c r="U343" s="886"/>
      <c r="V343" s="886"/>
      <c r="W343" s="886"/>
    </row>
    <row r="344" spans="3:23">
      <c r="C344" s="942"/>
      <c r="D344" s="942"/>
      <c r="E344" s="943"/>
      <c r="F344" s="886"/>
      <c r="G344" s="886"/>
      <c r="H344" s="886"/>
      <c r="I344" s="886"/>
      <c r="J344" s="886"/>
      <c r="K344" s="886"/>
      <c r="L344" s="886"/>
      <c r="M344" s="886"/>
      <c r="N344" s="886"/>
      <c r="O344" s="886"/>
      <c r="P344" s="886"/>
      <c r="Q344" s="886"/>
      <c r="R344" s="886"/>
      <c r="S344" s="886"/>
      <c r="T344" s="886"/>
      <c r="U344" s="886"/>
      <c r="V344" s="886"/>
      <c r="W344" s="886"/>
    </row>
    <row r="345" spans="3:23">
      <c r="C345" s="942"/>
      <c r="D345" s="942"/>
      <c r="E345" s="943"/>
      <c r="F345" s="886"/>
      <c r="G345" s="886"/>
      <c r="H345" s="886"/>
      <c r="I345" s="886"/>
      <c r="J345" s="886"/>
      <c r="K345" s="886"/>
      <c r="L345" s="886"/>
      <c r="M345" s="886"/>
      <c r="N345" s="886"/>
      <c r="O345" s="886"/>
      <c r="P345" s="886"/>
      <c r="Q345" s="886"/>
      <c r="R345" s="886"/>
      <c r="S345" s="886"/>
      <c r="T345" s="886"/>
      <c r="U345" s="886"/>
      <c r="V345" s="886"/>
      <c r="W345" s="886"/>
    </row>
    <row r="346" spans="3:23">
      <c r="C346" s="942"/>
      <c r="D346" s="942"/>
      <c r="E346" s="943"/>
      <c r="F346" s="886"/>
      <c r="G346" s="886"/>
      <c r="H346" s="886"/>
      <c r="I346" s="886"/>
      <c r="J346" s="886"/>
      <c r="K346" s="886"/>
      <c r="L346" s="886"/>
      <c r="M346" s="886"/>
      <c r="N346" s="886"/>
      <c r="O346" s="886"/>
      <c r="P346" s="886"/>
      <c r="Q346" s="886"/>
      <c r="R346" s="886"/>
      <c r="S346" s="886"/>
      <c r="T346" s="886"/>
      <c r="U346" s="886"/>
      <c r="V346" s="886"/>
      <c r="W346" s="886"/>
    </row>
    <row r="347" spans="3:23">
      <c r="C347" s="942"/>
      <c r="D347" s="942"/>
      <c r="E347" s="943"/>
      <c r="F347" s="886"/>
      <c r="G347" s="886"/>
      <c r="H347" s="886"/>
      <c r="I347" s="886"/>
      <c r="J347" s="886"/>
      <c r="K347" s="886"/>
      <c r="L347" s="886"/>
      <c r="M347" s="886"/>
      <c r="N347" s="886"/>
      <c r="O347" s="886"/>
      <c r="P347" s="886"/>
      <c r="Q347" s="886"/>
      <c r="R347" s="886"/>
      <c r="S347" s="886"/>
      <c r="T347" s="886"/>
      <c r="U347" s="886"/>
      <c r="V347" s="886"/>
      <c r="W347" s="886"/>
    </row>
    <row r="348" spans="3:23">
      <c r="C348" s="942"/>
      <c r="D348" s="942"/>
      <c r="E348" s="943"/>
      <c r="F348" s="886"/>
      <c r="G348" s="886"/>
      <c r="H348" s="886"/>
      <c r="I348" s="886"/>
      <c r="J348" s="886"/>
      <c r="K348" s="886"/>
      <c r="L348" s="886"/>
      <c r="M348" s="886"/>
      <c r="N348" s="886"/>
      <c r="O348" s="886"/>
      <c r="P348" s="886"/>
      <c r="Q348" s="886"/>
      <c r="R348" s="886"/>
      <c r="S348" s="886"/>
      <c r="T348" s="886"/>
      <c r="U348" s="886"/>
      <c r="V348" s="886"/>
      <c r="W348" s="886"/>
    </row>
    <row r="349" spans="3:23">
      <c r="C349" s="942"/>
      <c r="D349" s="942"/>
      <c r="E349" s="943"/>
      <c r="F349" s="886"/>
      <c r="G349" s="886"/>
      <c r="H349" s="886"/>
      <c r="I349" s="886"/>
      <c r="J349" s="886"/>
      <c r="K349" s="886"/>
      <c r="L349" s="886"/>
      <c r="M349" s="886"/>
      <c r="N349" s="886"/>
      <c r="O349" s="886"/>
      <c r="P349" s="886"/>
      <c r="Q349" s="886"/>
      <c r="R349" s="886"/>
      <c r="S349" s="886"/>
      <c r="T349" s="886"/>
      <c r="U349" s="886"/>
      <c r="V349" s="886"/>
      <c r="W349" s="886"/>
    </row>
    <row r="350" spans="3:23">
      <c r="C350" s="942"/>
      <c r="D350" s="942"/>
      <c r="E350" s="943"/>
      <c r="F350" s="886"/>
      <c r="G350" s="886"/>
      <c r="H350" s="886"/>
      <c r="I350" s="886"/>
      <c r="J350" s="886"/>
      <c r="K350" s="886"/>
      <c r="L350" s="886"/>
      <c r="M350" s="886"/>
      <c r="N350" s="886"/>
      <c r="O350" s="886"/>
      <c r="P350" s="886"/>
      <c r="Q350" s="886"/>
      <c r="R350" s="886"/>
      <c r="S350" s="886"/>
      <c r="T350" s="886"/>
      <c r="U350" s="886"/>
      <c r="V350" s="886"/>
      <c r="W350" s="886"/>
    </row>
    <row r="351" spans="3:23">
      <c r="C351" s="942"/>
      <c r="D351" s="942"/>
      <c r="E351" s="943"/>
      <c r="F351" s="886"/>
      <c r="G351" s="886"/>
      <c r="H351" s="886"/>
      <c r="I351" s="886"/>
      <c r="J351" s="886"/>
      <c r="K351" s="886"/>
      <c r="L351" s="886"/>
      <c r="M351" s="886"/>
      <c r="N351" s="886"/>
      <c r="O351" s="886"/>
      <c r="P351" s="886"/>
      <c r="Q351" s="886"/>
      <c r="R351" s="886"/>
      <c r="S351" s="886"/>
      <c r="T351" s="886"/>
      <c r="U351" s="886"/>
      <c r="V351" s="886"/>
      <c r="W351" s="886"/>
    </row>
    <row r="352" spans="3:23">
      <c r="C352" s="942"/>
      <c r="D352" s="942"/>
      <c r="E352" s="943"/>
      <c r="F352" s="886"/>
      <c r="G352" s="886"/>
      <c r="H352" s="886"/>
      <c r="I352" s="886"/>
      <c r="J352" s="886"/>
      <c r="K352" s="886"/>
      <c r="L352" s="886"/>
      <c r="M352" s="886"/>
      <c r="N352" s="886"/>
      <c r="O352" s="886"/>
      <c r="P352" s="886"/>
      <c r="Q352" s="886"/>
      <c r="R352" s="886"/>
      <c r="S352" s="886"/>
      <c r="T352" s="886"/>
      <c r="U352" s="886"/>
      <c r="V352" s="886"/>
      <c r="W352" s="886"/>
    </row>
    <row r="353" spans="3:23">
      <c r="C353" s="942"/>
      <c r="D353" s="942"/>
      <c r="E353" s="943"/>
      <c r="F353" s="886"/>
      <c r="G353" s="886"/>
      <c r="H353" s="886"/>
      <c r="I353" s="886"/>
      <c r="J353" s="886"/>
      <c r="K353" s="886"/>
      <c r="L353" s="886"/>
      <c r="M353" s="886"/>
      <c r="N353" s="886"/>
      <c r="O353" s="886"/>
      <c r="P353" s="886"/>
      <c r="Q353" s="886"/>
      <c r="R353" s="886"/>
      <c r="S353" s="886"/>
      <c r="T353" s="886"/>
      <c r="U353" s="886"/>
      <c r="V353" s="886"/>
      <c r="W353" s="886"/>
    </row>
    <row r="354" spans="3:23">
      <c r="C354" s="942"/>
      <c r="D354" s="942"/>
      <c r="E354" s="943"/>
      <c r="F354" s="886"/>
      <c r="G354" s="886"/>
      <c r="H354" s="886"/>
      <c r="I354" s="886"/>
      <c r="J354" s="886"/>
      <c r="K354" s="886"/>
      <c r="L354" s="886"/>
      <c r="M354" s="886"/>
      <c r="N354" s="886"/>
      <c r="O354" s="886"/>
      <c r="P354" s="886"/>
      <c r="Q354" s="886"/>
      <c r="R354" s="886"/>
      <c r="S354" s="886"/>
      <c r="T354" s="886"/>
      <c r="U354" s="886"/>
      <c r="V354" s="886"/>
      <c r="W354" s="886"/>
    </row>
    <row r="355" spans="3:23">
      <c r="C355" s="942"/>
      <c r="D355" s="942"/>
      <c r="E355" s="943"/>
      <c r="F355" s="886"/>
      <c r="G355" s="886"/>
      <c r="H355" s="886"/>
      <c r="I355" s="886"/>
      <c r="J355" s="886"/>
      <c r="K355" s="886"/>
      <c r="L355" s="886"/>
      <c r="M355" s="886"/>
      <c r="N355" s="886"/>
      <c r="O355" s="886"/>
      <c r="P355" s="886"/>
      <c r="Q355" s="886"/>
      <c r="R355" s="886"/>
      <c r="S355" s="886"/>
      <c r="T355" s="886"/>
      <c r="U355" s="886"/>
      <c r="V355" s="886"/>
      <c r="W355" s="886"/>
    </row>
    <row r="356" spans="3:23">
      <c r="C356" s="942"/>
      <c r="D356" s="942"/>
      <c r="E356" s="943"/>
      <c r="F356" s="886"/>
      <c r="G356" s="886"/>
      <c r="H356" s="886"/>
      <c r="I356" s="886"/>
      <c r="J356" s="886"/>
      <c r="K356" s="886"/>
      <c r="L356" s="886"/>
      <c r="M356" s="886"/>
      <c r="N356" s="886"/>
      <c r="O356" s="886"/>
      <c r="P356" s="886"/>
      <c r="Q356" s="886"/>
      <c r="R356" s="886"/>
      <c r="S356" s="886"/>
      <c r="T356" s="886"/>
      <c r="U356" s="886"/>
      <c r="V356" s="886"/>
      <c r="W356" s="886"/>
    </row>
    <row r="357" spans="3:23">
      <c r="C357" s="942"/>
      <c r="D357" s="942"/>
      <c r="E357" s="943"/>
      <c r="F357" s="886"/>
      <c r="G357" s="886"/>
      <c r="H357" s="886"/>
      <c r="I357" s="886"/>
      <c r="J357" s="886"/>
      <c r="K357" s="886"/>
      <c r="L357" s="886"/>
      <c r="M357" s="886"/>
      <c r="N357" s="886"/>
      <c r="O357" s="886"/>
      <c r="P357" s="886"/>
      <c r="Q357" s="886"/>
      <c r="R357" s="886"/>
      <c r="S357" s="886"/>
      <c r="T357" s="886"/>
      <c r="U357" s="886"/>
      <c r="V357" s="886"/>
      <c r="W357" s="886"/>
    </row>
    <row r="358" spans="3:23">
      <c r="C358" s="942"/>
      <c r="D358" s="942"/>
      <c r="E358" s="943"/>
      <c r="F358" s="886"/>
      <c r="G358" s="886"/>
      <c r="H358" s="886"/>
      <c r="I358" s="886"/>
      <c r="J358" s="886"/>
      <c r="K358" s="886"/>
      <c r="L358" s="886"/>
      <c r="M358" s="886"/>
      <c r="N358" s="886"/>
      <c r="O358" s="886"/>
      <c r="P358" s="886"/>
      <c r="Q358" s="886"/>
      <c r="R358" s="886"/>
      <c r="S358" s="886"/>
      <c r="T358" s="886"/>
      <c r="U358" s="886"/>
      <c r="V358" s="886"/>
      <c r="W358" s="886"/>
    </row>
    <row r="359" spans="3:23">
      <c r="C359" s="942"/>
      <c r="D359" s="942"/>
      <c r="E359" s="943"/>
      <c r="F359" s="886"/>
      <c r="G359" s="886"/>
      <c r="H359" s="886"/>
      <c r="I359" s="886"/>
      <c r="J359" s="886"/>
      <c r="K359" s="886"/>
      <c r="L359" s="886"/>
      <c r="M359" s="886"/>
      <c r="N359" s="886"/>
      <c r="O359" s="886"/>
      <c r="P359" s="886"/>
      <c r="Q359" s="886"/>
      <c r="R359" s="886"/>
      <c r="S359" s="886"/>
      <c r="T359" s="886"/>
      <c r="U359" s="886"/>
      <c r="V359" s="886"/>
      <c r="W359" s="886"/>
    </row>
    <row r="360" spans="3:23">
      <c r="C360" s="942"/>
      <c r="D360" s="942"/>
      <c r="E360" s="943"/>
      <c r="F360" s="886"/>
      <c r="G360" s="886"/>
      <c r="H360" s="886"/>
      <c r="I360" s="886"/>
      <c r="J360" s="886"/>
      <c r="K360" s="886"/>
      <c r="L360" s="886"/>
      <c r="M360" s="886"/>
      <c r="N360" s="886"/>
      <c r="O360" s="886"/>
      <c r="P360" s="886"/>
      <c r="Q360" s="886"/>
      <c r="R360" s="886"/>
      <c r="S360" s="886"/>
      <c r="T360" s="886"/>
      <c r="U360" s="886"/>
      <c r="V360" s="886"/>
      <c r="W360" s="886"/>
    </row>
    <row r="361" spans="3:23">
      <c r="C361" s="942"/>
      <c r="D361" s="942"/>
      <c r="E361" s="943"/>
      <c r="F361" s="886"/>
      <c r="G361" s="886"/>
      <c r="H361" s="886"/>
      <c r="I361" s="886"/>
      <c r="J361" s="886"/>
      <c r="K361" s="886"/>
      <c r="L361" s="886"/>
      <c r="M361" s="886"/>
      <c r="N361" s="886"/>
      <c r="O361" s="886"/>
      <c r="P361" s="886"/>
      <c r="Q361" s="886"/>
      <c r="R361" s="886"/>
      <c r="S361" s="886"/>
      <c r="T361" s="886"/>
      <c r="U361" s="886"/>
      <c r="V361" s="886"/>
      <c r="W361" s="886"/>
    </row>
    <row r="362" spans="3:23">
      <c r="C362" s="942"/>
      <c r="D362" s="942"/>
      <c r="E362" s="943"/>
      <c r="F362" s="886"/>
      <c r="G362" s="886"/>
      <c r="H362" s="886"/>
      <c r="I362" s="886"/>
      <c r="J362" s="886"/>
      <c r="K362" s="886"/>
      <c r="L362" s="886"/>
      <c r="M362" s="886"/>
      <c r="N362" s="886"/>
      <c r="O362" s="886"/>
      <c r="P362" s="886"/>
      <c r="Q362" s="886"/>
      <c r="R362" s="886"/>
      <c r="S362" s="886"/>
      <c r="T362" s="886"/>
      <c r="U362" s="886"/>
      <c r="V362" s="886"/>
      <c r="W362" s="886"/>
    </row>
    <row r="363" spans="3:23">
      <c r="C363" s="942"/>
      <c r="D363" s="942"/>
      <c r="E363" s="943"/>
      <c r="F363" s="886"/>
      <c r="G363" s="886"/>
      <c r="H363" s="886"/>
      <c r="I363" s="886"/>
      <c r="J363" s="886"/>
      <c r="K363" s="886"/>
      <c r="L363" s="886"/>
      <c r="M363" s="886"/>
      <c r="N363" s="886"/>
      <c r="O363" s="886"/>
      <c r="P363" s="886"/>
      <c r="Q363" s="886"/>
      <c r="R363" s="886"/>
      <c r="S363" s="886"/>
      <c r="T363" s="886"/>
      <c r="U363" s="886"/>
      <c r="V363" s="886"/>
      <c r="W363" s="886"/>
    </row>
    <row r="364" spans="3:23">
      <c r="C364" s="942"/>
      <c r="D364" s="942"/>
      <c r="E364" s="943"/>
      <c r="F364" s="886"/>
      <c r="G364" s="886"/>
      <c r="H364" s="886"/>
      <c r="I364" s="886"/>
      <c r="J364" s="886"/>
      <c r="K364" s="886"/>
      <c r="L364" s="886"/>
      <c r="M364" s="886"/>
      <c r="N364" s="886"/>
      <c r="O364" s="886"/>
      <c r="P364" s="886"/>
      <c r="Q364" s="886"/>
      <c r="R364" s="886"/>
      <c r="S364" s="886"/>
      <c r="T364" s="886"/>
      <c r="U364" s="886"/>
      <c r="V364" s="886"/>
      <c r="W364" s="886"/>
    </row>
    <row r="365" spans="3:23">
      <c r="C365" s="942"/>
      <c r="D365" s="942"/>
      <c r="E365" s="943"/>
      <c r="F365" s="886"/>
      <c r="G365" s="886"/>
      <c r="H365" s="886"/>
      <c r="I365" s="886"/>
      <c r="J365" s="886"/>
      <c r="K365" s="886"/>
      <c r="L365" s="886"/>
      <c r="M365" s="886"/>
      <c r="N365" s="886"/>
      <c r="O365" s="886"/>
      <c r="P365" s="886"/>
      <c r="Q365" s="886"/>
      <c r="R365" s="886"/>
      <c r="S365" s="886"/>
      <c r="T365" s="886"/>
      <c r="U365" s="886"/>
      <c r="V365" s="886"/>
      <c r="W365" s="886"/>
    </row>
    <row r="366" spans="3:23">
      <c r="C366" s="942"/>
      <c r="D366" s="942"/>
      <c r="E366" s="943"/>
      <c r="F366" s="886"/>
      <c r="G366" s="886"/>
      <c r="H366" s="886"/>
      <c r="I366" s="886"/>
      <c r="J366" s="886"/>
      <c r="K366" s="886"/>
      <c r="L366" s="886"/>
      <c r="M366" s="886"/>
      <c r="N366" s="886"/>
      <c r="O366" s="886"/>
      <c r="P366" s="886"/>
      <c r="Q366" s="886"/>
      <c r="R366" s="886"/>
      <c r="S366" s="886"/>
      <c r="T366" s="886"/>
      <c r="U366" s="886"/>
      <c r="V366" s="886"/>
      <c r="W366" s="886"/>
    </row>
    <row r="367" spans="3:23">
      <c r="C367" s="942"/>
      <c r="D367" s="942"/>
      <c r="E367" s="943"/>
      <c r="F367" s="886"/>
      <c r="G367" s="886"/>
      <c r="H367" s="886"/>
      <c r="I367" s="886"/>
      <c r="J367" s="886"/>
      <c r="K367" s="886"/>
      <c r="L367" s="886"/>
      <c r="M367" s="886"/>
      <c r="N367" s="886"/>
      <c r="O367" s="886"/>
      <c r="P367" s="886"/>
      <c r="Q367" s="886"/>
      <c r="R367" s="886"/>
      <c r="S367" s="886"/>
      <c r="T367" s="886"/>
      <c r="U367" s="886"/>
      <c r="V367" s="886"/>
      <c r="W367" s="886"/>
    </row>
    <row r="368" spans="3:23">
      <c r="C368" s="942"/>
      <c r="D368" s="942"/>
      <c r="E368" s="943"/>
      <c r="F368" s="886"/>
      <c r="G368" s="886"/>
      <c r="H368" s="886"/>
      <c r="I368" s="886"/>
      <c r="J368" s="886"/>
      <c r="K368" s="886"/>
      <c r="L368" s="886"/>
      <c r="M368" s="886"/>
      <c r="N368" s="886"/>
      <c r="O368" s="886"/>
      <c r="P368" s="886"/>
      <c r="Q368" s="886"/>
      <c r="R368" s="886"/>
      <c r="S368" s="886"/>
      <c r="T368" s="886"/>
      <c r="U368" s="886"/>
      <c r="V368" s="886"/>
      <c r="W368" s="886"/>
    </row>
    <row r="369" spans="3:23">
      <c r="C369" s="942"/>
      <c r="D369" s="942"/>
      <c r="E369" s="943"/>
      <c r="F369" s="886"/>
      <c r="G369" s="886"/>
      <c r="H369" s="886"/>
      <c r="I369" s="886"/>
      <c r="J369" s="886"/>
      <c r="K369" s="886"/>
      <c r="L369" s="886"/>
      <c r="M369" s="886"/>
      <c r="N369" s="886"/>
      <c r="O369" s="886"/>
      <c r="P369" s="886"/>
      <c r="Q369" s="886"/>
      <c r="R369" s="886"/>
      <c r="S369" s="886"/>
      <c r="T369" s="886"/>
      <c r="U369" s="886"/>
      <c r="V369" s="886"/>
      <c r="W369" s="886"/>
    </row>
    <row r="370" spans="3:23">
      <c r="C370" s="942"/>
      <c r="D370" s="942"/>
      <c r="E370" s="943"/>
      <c r="F370" s="886"/>
      <c r="G370" s="886"/>
      <c r="H370" s="886"/>
      <c r="I370" s="886"/>
      <c r="J370" s="886"/>
      <c r="K370" s="886"/>
      <c r="L370" s="886"/>
      <c r="M370" s="886"/>
      <c r="N370" s="886"/>
      <c r="O370" s="886"/>
      <c r="P370" s="886"/>
      <c r="Q370" s="886"/>
      <c r="R370" s="886"/>
      <c r="S370" s="886"/>
      <c r="T370" s="886"/>
      <c r="U370" s="886"/>
      <c r="V370" s="886"/>
      <c r="W370" s="886"/>
    </row>
    <row r="371" spans="3:23">
      <c r="C371" s="942"/>
      <c r="D371" s="942"/>
      <c r="E371" s="943"/>
      <c r="F371" s="886"/>
      <c r="G371" s="886"/>
      <c r="H371" s="886"/>
      <c r="I371" s="886"/>
      <c r="J371" s="886"/>
      <c r="K371" s="886"/>
      <c r="L371" s="886"/>
      <c r="M371" s="886"/>
      <c r="N371" s="886"/>
      <c r="O371" s="886"/>
      <c r="P371" s="886"/>
      <c r="Q371" s="886"/>
      <c r="R371" s="886"/>
      <c r="S371" s="886"/>
      <c r="T371" s="886"/>
      <c r="U371" s="886"/>
      <c r="V371" s="886"/>
      <c r="W371" s="886"/>
    </row>
    <row r="372" spans="3:23">
      <c r="C372" s="942"/>
      <c r="D372" s="942"/>
      <c r="E372" s="943"/>
      <c r="F372" s="886"/>
      <c r="G372" s="886"/>
      <c r="H372" s="886"/>
      <c r="I372" s="886"/>
      <c r="J372" s="886"/>
      <c r="K372" s="886"/>
      <c r="L372" s="886"/>
      <c r="M372" s="886"/>
      <c r="N372" s="886"/>
      <c r="O372" s="886"/>
      <c r="P372" s="886"/>
      <c r="Q372" s="886"/>
      <c r="R372" s="886"/>
      <c r="S372" s="886"/>
      <c r="T372" s="886"/>
      <c r="U372" s="886"/>
      <c r="V372" s="886"/>
      <c r="W372" s="886"/>
    </row>
    <row r="373" spans="3:23">
      <c r="C373" s="942"/>
      <c r="D373" s="942"/>
      <c r="E373" s="943"/>
      <c r="F373" s="886"/>
      <c r="G373" s="886"/>
      <c r="H373" s="886"/>
      <c r="I373" s="886"/>
      <c r="J373" s="886"/>
      <c r="K373" s="886"/>
      <c r="L373" s="886"/>
      <c r="M373" s="886"/>
      <c r="N373" s="886"/>
      <c r="O373" s="886"/>
      <c r="P373" s="886"/>
      <c r="Q373" s="886"/>
      <c r="R373" s="886"/>
      <c r="S373" s="886"/>
      <c r="T373" s="886"/>
      <c r="U373" s="886"/>
      <c r="V373" s="886"/>
      <c r="W373" s="886"/>
    </row>
    <row r="374" spans="3:23">
      <c r="C374" s="942"/>
      <c r="D374" s="942"/>
      <c r="E374" s="943"/>
      <c r="F374" s="886"/>
      <c r="G374" s="886"/>
      <c r="H374" s="886"/>
      <c r="I374" s="886"/>
      <c r="J374" s="886"/>
      <c r="K374" s="886"/>
      <c r="L374" s="886"/>
      <c r="M374" s="886"/>
      <c r="N374" s="886"/>
      <c r="O374" s="886"/>
      <c r="P374" s="886"/>
      <c r="Q374" s="886"/>
      <c r="R374" s="886"/>
      <c r="S374" s="886"/>
      <c r="T374" s="886"/>
      <c r="U374" s="886"/>
      <c r="V374" s="886"/>
      <c r="W374" s="886"/>
    </row>
    <row r="375" spans="3:23">
      <c r="C375" s="942"/>
      <c r="D375" s="942"/>
      <c r="E375" s="943"/>
      <c r="F375" s="886"/>
      <c r="G375" s="886"/>
      <c r="H375" s="886"/>
      <c r="I375" s="886"/>
      <c r="J375" s="886"/>
      <c r="K375" s="886"/>
      <c r="L375" s="886"/>
      <c r="M375" s="886"/>
      <c r="N375" s="886"/>
      <c r="O375" s="886"/>
      <c r="P375" s="886"/>
      <c r="Q375" s="886"/>
      <c r="R375" s="886"/>
      <c r="S375" s="886"/>
      <c r="T375" s="886"/>
      <c r="U375" s="886"/>
      <c r="V375" s="886"/>
      <c r="W375" s="886"/>
    </row>
    <row r="376" spans="3:23">
      <c r="C376" s="942"/>
      <c r="D376" s="942"/>
      <c r="E376" s="943"/>
      <c r="F376" s="886"/>
      <c r="G376" s="886"/>
      <c r="H376" s="886"/>
      <c r="I376" s="886"/>
      <c r="J376" s="886"/>
      <c r="K376" s="886"/>
      <c r="L376" s="886"/>
      <c r="M376" s="886"/>
      <c r="N376" s="886"/>
      <c r="O376" s="886"/>
      <c r="P376" s="886"/>
      <c r="Q376" s="886"/>
      <c r="R376" s="886"/>
      <c r="S376" s="886"/>
      <c r="T376" s="886"/>
      <c r="U376" s="886"/>
      <c r="V376" s="886"/>
      <c r="W376" s="886"/>
    </row>
    <row r="377" spans="3:23">
      <c r="C377" s="942"/>
      <c r="D377" s="942"/>
      <c r="E377" s="943"/>
      <c r="F377" s="886"/>
      <c r="G377" s="886"/>
      <c r="H377" s="886"/>
      <c r="I377" s="886"/>
      <c r="J377" s="886"/>
      <c r="K377" s="886"/>
      <c r="L377" s="886"/>
      <c r="M377" s="886"/>
      <c r="N377" s="886"/>
      <c r="O377" s="886"/>
      <c r="P377" s="886"/>
      <c r="Q377" s="886"/>
      <c r="R377" s="886"/>
      <c r="S377" s="886"/>
      <c r="T377" s="886"/>
      <c r="U377" s="886"/>
      <c r="V377" s="886"/>
      <c r="W377" s="886"/>
    </row>
    <row r="378" spans="3:23">
      <c r="C378" s="942"/>
      <c r="D378" s="942"/>
      <c r="E378" s="943"/>
      <c r="F378" s="886"/>
      <c r="G378" s="886"/>
      <c r="H378" s="886"/>
      <c r="I378" s="886"/>
      <c r="J378" s="886"/>
      <c r="K378" s="886"/>
      <c r="L378" s="886"/>
      <c r="M378" s="886"/>
      <c r="N378" s="886"/>
      <c r="O378" s="886"/>
      <c r="P378" s="886"/>
      <c r="Q378" s="886"/>
      <c r="R378" s="886"/>
      <c r="S378" s="886"/>
      <c r="T378" s="886"/>
      <c r="U378" s="886"/>
      <c r="V378" s="886"/>
      <c r="W378" s="886"/>
    </row>
    <row r="379" spans="3:23">
      <c r="C379" s="942"/>
      <c r="D379" s="942"/>
      <c r="E379" s="943"/>
      <c r="F379" s="886"/>
      <c r="G379" s="886"/>
      <c r="H379" s="886"/>
      <c r="I379" s="886"/>
      <c r="J379" s="886"/>
      <c r="K379" s="886"/>
      <c r="L379" s="886"/>
      <c r="M379" s="886"/>
      <c r="N379" s="886"/>
      <c r="O379" s="886"/>
      <c r="P379" s="886"/>
      <c r="Q379" s="886"/>
      <c r="R379" s="886"/>
      <c r="S379" s="886"/>
      <c r="T379" s="886"/>
      <c r="U379" s="886"/>
      <c r="V379" s="886"/>
      <c r="W379" s="886"/>
    </row>
    <row r="380" spans="3:23">
      <c r="C380" s="942"/>
      <c r="D380" s="942"/>
      <c r="E380" s="943"/>
      <c r="F380" s="886"/>
      <c r="G380" s="886"/>
      <c r="H380" s="886"/>
      <c r="I380" s="886"/>
      <c r="J380" s="886"/>
      <c r="K380" s="886"/>
      <c r="L380" s="886"/>
      <c r="M380" s="886"/>
      <c r="N380" s="886"/>
      <c r="O380" s="886"/>
      <c r="P380" s="886"/>
      <c r="Q380" s="886"/>
      <c r="R380" s="886"/>
      <c r="S380" s="886"/>
      <c r="T380" s="886"/>
      <c r="U380" s="886"/>
      <c r="V380" s="886"/>
      <c r="W380" s="886"/>
    </row>
    <row r="381" spans="3:23">
      <c r="C381" s="942"/>
      <c r="D381" s="942"/>
      <c r="E381" s="943"/>
      <c r="F381" s="886"/>
      <c r="G381" s="886"/>
      <c r="H381" s="886"/>
      <c r="I381" s="886"/>
      <c r="J381" s="886"/>
      <c r="K381" s="886"/>
      <c r="L381" s="886"/>
      <c r="M381" s="886"/>
      <c r="N381" s="886"/>
      <c r="O381" s="886"/>
      <c r="P381" s="886"/>
      <c r="Q381" s="886"/>
      <c r="R381" s="886"/>
      <c r="S381" s="886"/>
      <c r="T381" s="886"/>
      <c r="U381" s="886"/>
      <c r="V381" s="886"/>
      <c r="W381" s="886"/>
    </row>
    <row r="382" spans="3:23">
      <c r="C382" s="942"/>
      <c r="D382" s="942"/>
      <c r="E382" s="943"/>
      <c r="F382" s="886"/>
      <c r="G382" s="886"/>
      <c r="H382" s="886"/>
      <c r="I382" s="886"/>
      <c r="J382" s="886"/>
      <c r="K382" s="886"/>
      <c r="L382" s="886"/>
      <c r="M382" s="886"/>
      <c r="N382" s="886"/>
      <c r="O382" s="886"/>
      <c r="P382" s="886"/>
      <c r="Q382" s="886"/>
      <c r="R382" s="886"/>
      <c r="S382" s="886"/>
      <c r="T382" s="886"/>
      <c r="U382" s="886"/>
      <c r="V382" s="886"/>
      <c r="W382" s="886"/>
    </row>
    <row r="383" spans="3:23">
      <c r="C383" s="942"/>
      <c r="D383" s="942"/>
      <c r="E383" s="943"/>
      <c r="F383" s="886"/>
      <c r="G383" s="886"/>
      <c r="H383" s="886"/>
      <c r="I383" s="886"/>
      <c r="J383" s="886"/>
      <c r="K383" s="886"/>
      <c r="L383" s="886"/>
      <c r="M383" s="886"/>
      <c r="N383" s="886"/>
      <c r="O383" s="886"/>
      <c r="P383" s="886"/>
      <c r="Q383" s="886"/>
      <c r="R383" s="886"/>
      <c r="S383" s="886"/>
      <c r="T383" s="886"/>
      <c r="U383" s="886"/>
      <c r="V383" s="886"/>
      <c r="W383" s="886"/>
    </row>
    <row r="384" spans="3:23">
      <c r="C384" s="942"/>
      <c r="D384" s="942"/>
      <c r="E384" s="943"/>
      <c r="F384" s="886"/>
      <c r="G384" s="886"/>
      <c r="H384" s="886"/>
      <c r="I384" s="886"/>
      <c r="J384" s="886"/>
      <c r="K384" s="886"/>
      <c r="L384" s="886"/>
      <c r="M384" s="886"/>
      <c r="N384" s="886"/>
      <c r="O384" s="886"/>
      <c r="P384" s="886"/>
      <c r="Q384" s="886"/>
      <c r="R384" s="886"/>
      <c r="S384" s="886"/>
      <c r="T384" s="886"/>
      <c r="U384" s="886"/>
      <c r="V384" s="886"/>
      <c r="W384" s="886"/>
    </row>
    <row r="385" spans="3:23">
      <c r="C385" s="942"/>
      <c r="D385" s="942"/>
      <c r="E385" s="943"/>
      <c r="F385" s="886"/>
      <c r="G385" s="886"/>
      <c r="H385" s="886"/>
      <c r="I385" s="886"/>
      <c r="J385" s="886"/>
      <c r="K385" s="886"/>
      <c r="L385" s="886"/>
      <c r="M385" s="886"/>
      <c r="N385" s="886"/>
      <c r="O385" s="886"/>
      <c r="P385" s="886"/>
      <c r="Q385" s="886"/>
      <c r="R385" s="886"/>
      <c r="S385" s="886"/>
      <c r="T385" s="886"/>
      <c r="U385" s="886"/>
      <c r="V385" s="886"/>
      <c r="W385" s="886"/>
    </row>
    <row r="386" spans="3:23">
      <c r="C386" s="942"/>
      <c r="D386" s="942"/>
      <c r="E386" s="943"/>
      <c r="F386" s="886"/>
      <c r="G386" s="886"/>
      <c r="H386" s="886"/>
      <c r="I386" s="886"/>
      <c r="J386" s="886"/>
      <c r="K386" s="886"/>
      <c r="L386" s="886"/>
      <c r="M386" s="886"/>
      <c r="N386" s="886"/>
      <c r="O386" s="886"/>
      <c r="P386" s="886"/>
      <c r="Q386" s="886"/>
      <c r="R386" s="886"/>
      <c r="S386" s="886"/>
      <c r="T386" s="886"/>
      <c r="U386" s="886"/>
      <c r="V386" s="886"/>
      <c r="W386" s="886"/>
    </row>
    <row r="387" spans="3:23">
      <c r="C387" s="942"/>
      <c r="D387" s="942"/>
      <c r="E387" s="943"/>
      <c r="F387" s="886"/>
      <c r="G387" s="886"/>
      <c r="H387" s="886"/>
      <c r="I387" s="886"/>
      <c r="J387" s="886"/>
      <c r="K387" s="886"/>
      <c r="L387" s="886"/>
      <c r="M387" s="886"/>
      <c r="N387" s="886"/>
      <c r="O387" s="886"/>
      <c r="P387" s="886"/>
      <c r="Q387" s="886"/>
      <c r="R387" s="886"/>
      <c r="S387" s="886"/>
      <c r="T387" s="886"/>
      <c r="U387" s="886"/>
      <c r="V387" s="886"/>
      <c r="W387" s="886"/>
    </row>
    <row r="388" spans="3:23">
      <c r="C388" s="942"/>
      <c r="D388" s="942"/>
      <c r="E388" s="943"/>
      <c r="F388" s="886"/>
      <c r="G388" s="886"/>
      <c r="H388" s="886"/>
      <c r="I388" s="886"/>
      <c r="J388" s="886"/>
      <c r="K388" s="886"/>
      <c r="L388" s="886"/>
      <c r="M388" s="886"/>
      <c r="N388" s="886"/>
      <c r="O388" s="886"/>
      <c r="P388" s="886"/>
      <c r="Q388" s="886"/>
      <c r="R388" s="886"/>
      <c r="S388" s="886"/>
      <c r="T388" s="886"/>
      <c r="U388" s="886"/>
      <c r="V388" s="886"/>
      <c r="W388" s="886"/>
    </row>
    <row r="389" spans="3:23">
      <c r="C389" s="942"/>
      <c r="D389" s="942"/>
      <c r="E389" s="943"/>
      <c r="F389" s="886"/>
      <c r="G389" s="886"/>
      <c r="H389" s="886"/>
      <c r="I389" s="886"/>
      <c r="J389" s="886"/>
      <c r="K389" s="886"/>
      <c r="L389" s="886"/>
      <c r="M389" s="886"/>
      <c r="N389" s="886"/>
      <c r="O389" s="886"/>
      <c r="P389" s="886"/>
      <c r="Q389" s="886"/>
      <c r="R389" s="886"/>
      <c r="S389" s="886"/>
      <c r="T389" s="886"/>
      <c r="U389" s="886"/>
      <c r="V389" s="886"/>
      <c r="W389" s="886"/>
    </row>
    <row r="390" spans="3:23">
      <c r="C390" s="942"/>
      <c r="D390" s="942"/>
      <c r="E390" s="943"/>
      <c r="F390" s="886"/>
      <c r="G390" s="886"/>
      <c r="H390" s="886"/>
      <c r="I390" s="886"/>
      <c r="J390" s="886"/>
      <c r="K390" s="886"/>
      <c r="L390" s="886"/>
      <c r="M390" s="886"/>
      <c r="N390" s="886"/>
      <c r="O390" s="886"/>
      <c r="P390" s="886"/>
      <c r="Q390" s="886"/>
      <c r="R390" s="886"/>
      <c r="S390" s="886"/>
      <c r="T390" s="886"/>
      <c r="U390" s="886"/>
      <c r="V390" s="886"/>
      <c r="W390" s="886"/>
    </row>
    <row r="391" spans="3:23">
      <c r="C391" s="942"/>
      <c r="D391" s="942"/>
      <c r="E391" s="943"/>
      <c r="F391" s="886"/>
      <c r="G391" s="886"/>
      <c r="H391" s="886"/>
      <c r="I391" s="886"/>
      <c r="J391" s="886"/>
      <c r="K391" s="886"/>
      <c r="L391" s="886"/>
      <c r="M391" s="886"/>
      <c r="N391" s="886"/>
      <c r="O391" s="886"/>
      <c r="P391" s="886"/>
      <c r="Q391" s="886"/>
      <c r="R391" s="886"/>
      <c r="S391" s="886"/>
      <c r="T391" s="886"/>
      <c r="U391" s="886"/>
      <c r="V391" s="886"/>
      <c r="W391" s="886"/>
    </row>
    <row r="392" spans="3:23">
      <c r="C392" s="942"/>
      <c r="D392" s="942"/>
      <c r="E392" s="943"/>
      <c r="F392" s="886"/>
      <c r="G392" s="886"/>
      <c r="H392" s="886"/>
      <c r="I392" s="886"/>
      <c r="J392" s="886"/>
      <c r="K392" s="886"/>
      <c r="L392" s="886"/>
      <c r="M392" s="886"/>
      <c r="N392" s="886"/>
      <c r="O392" s="886"/>
      <c r="P392" s="886"/>
      <c r="Q392" s="886"/>
      <c r="R392" s="886"/>
      <c r="S392" s="886"/>
      <c r="T392" s="886"/>
      <c r="U392" s="886"/>
      <c r="V392" s="886"/>
      <c r="W392" s="886"/>
    </row>
    <row r="393" spans="3:23">
      <c r="C393" s="942"/>
      <c r="D393" s="942"/>
      <c r="E393" s="943"/>
      <c r="F393" s="886"/>
      <c r="G393" s="886"/>
      <c r="H393" s="886"/>
      <c r="I393" s="886"/>
      <c r="J393" s="886"/>
      <c r="K393" s="886"/>
      <c r="L393" s="886"/>
      <c r="M393" s="886"/>
      <c r="N393" s="886"/>
      <c r="O393" s="886"/>
      <c r="P393" s="886"/>
      <c r="Q393" s="886"/>
      <c r="R393" s="886"/>
      <c r="S393" s="886"/>
      <c r="T393" s="886"/>
      <c r="U393" s="886"/>
      <c r="V393" s="886"/>
      <c r="W393" s="886"/>
    </row>
    <row r="394" spans="3:23">
      <c r="C394" s="942"/>
      <c r="D394" s="942"/>
      <c r="E394" s="943"/>
      <c r="F394" s="886"/>
      <c r="G394" s="886"/>
      <c r="H394" s="886"/>
      <c r="I394" s="886"/>
      <c r="J394" s="886"/>
      <c r="K394" s="886"/>
      <c r="L394" s="886"/>
      <c r="M394" s="886"/>
      <c r="N394" s="886"/>
      <c r="O394" s="886"/>
      <c r="P394" s="886"/>
      <c r="Q394" s="886"/>
      <c r="R394" s="886"/>
      <c r="S394" s="886"/>
      <c r="T394" s="886"/>
      <c r="U394" s="886"/>
      <c r="V394" s="886"/>
      <c r="W394" s="886"/>
    </row>
    <row r="395" spans="3:23">
      <c r="C395" s="942"/>
      <c r="D395" s="942"/>
      <c r="E395" s="943"/>
      <c r="F395" s="886"/>
      <c r="G395" s="886"/>
      <c r="H395" s="886"/>
      <c r="I395" s="886"/>
      <c r="J395" s="886"/>
      <c r="K395" s="886"/>
      <c r="L395" s="886"/>
      <c r="M395" s="886"/>
      <c r="N395" s="886"/>
      <c r="O395" s="886"/>
      <c r="P395" s="886"/>
      <c r="Q395" s="886"/>
      <c r="R395" s="886"/>
      <c r="S395" s="886"/>
      <c r="T395" s="886"/>
      <c r="U395" s="886"/>
      <c r="V395" s="886"/>
      <c r="W395" s="886"/>
    </row>
    <row r="396" spans="3:23">
      <c r="C396" s="942"/>
      <c r="D396" s="942"/>
      <c r="E396" s="943"/>
      <c r="F396" s="886"/>
      <c r="G396" s="886"/>
      <c r="H396" s="886"/>
      <c r="I396" s="886"/>
      <c r="J396" s="886"/>
      <c r="K396" s="886"/>
      <c r="L396" s="886"/>
      <c r="M396" s="886"/>
      <c r="N396" s="886"/>
      <c r="O396" s="886"/>
      <c r="P396" s="886"/>
      <c r="Q396" s="886"/>
      <c r="R396" s="886"/>
      <c r="S396" s="886"/>
      <c r="T396" s="886"/>
      <c r="U396" s="886"/>
      <c r="V396" s="886"/>
      <c r="W396" s="886"/>
    </row>
    <row r="397" spans="3:23">
      <c r="C397" s="942"/>
      <c r="D397" s="942"/>
      <c r="E397" s="943"/>
      <c r="F397" s="886"/>
      <c r="G397" s="886"/>
      <c r="H397" s="886"/>
      <c r="I397" s="886"/>
      <c r="J397" s="886"/>
      <c r="K397" s="886"/>
      <c r="L397" s="886"/>
      <c r="M397" s="886"/>
      <c r="N397" s="886"/>
      <c r="O397" s="886"/>
      <c r="P397" s="886"/>
      <c r="Q397" s="886"/>
      <c r="R397" s="886"/>
      <c r="S397" s="886"/>
      <c r="T397" s="886"/>
      <c r="U397" s="886"/>
      <c r="V397" s="886"/>
      <c r="W397" s="886"/>
    </row>
    <row r="398" spans="3:23">
      <c r="C398" s="942"/>
      <c r="D398" s="942"/>
      <c r="E398" s="943"/>
      <c r="F398" s="886"/>
      <c r="G398" s="886"/>
      <c r="H398" s="886"/>
      <c r="I398" s="886"/>
      <c r="J398" s="886"/>
      <c r="K398" s="886"/>
      <c r="L398" s="886"/>
      <c r="M398" s="886"/>
      <c r="N398" s="886"/>
      <c r="O398" s="886"/>
      <c r="P398" s="886"/>
      <c r="Q398" s="886"/>
      <c r="R398" s="886"/>
      <c r="S398" s="886"/>
      <c r="T398" s="886"/>
      <c r="U398" s="886"/>
      <c r="V398" s="886"/>
      <c r="W398" s="886"/>
    </row>
    <row r="399" spans="3:23">
      <c r="C399" s="942"/>
      <c r="D399" s="942"/>
      <c r="E399" s="943"/>
      <c r="F399" s="886"/>
      <c r="G399" s="886"/>
      <c r="H399" s="886"/>
      <c r="I399" s="886"/>
      <c r="J399" s="886"/>
      <c r="K399" s="886"/>
      <c r="L399" s="886"/>
      <c r="M399" s="886"/>
      <c r="N399" s="886"/>
      <c r="O399" s="886"/>
      <c r="P399" s="886"/>
      <c r="Q399" s="886"/>
      <c r="R399" s="886"/>
      <c r="S399" s="886"/>
      <c r="T399" s="886"/>
      <c r="U399" s="886"/>
      <c r="V399" s="886"/>
      <c r="W399" s="886"/>
    </row>
    <row r="400" spans="3:23">
      <c r="C400" s="942"/>
      <c r="D400" s="942"/>
      <c r="E400" s="943"/>
      <c r="F400" s="886"/>
      <c r="G400" s="886"/>
      <c r="H400" s="886"/>
      <c r="I400" s="886"/>
      <c r="J400" s="886"/>
      <c r="K400" s="886"/>
      <c r="L400" s="886"/>
      <c r="M400" s="886"/>
      <c r="N400" s="886"/>
      <c r="O400" s="886"/>
      <c r="P400" s="886"/>
      <c r="Q400" s="886"/>
      <c r="R400" s="886"/>
      <c r="S400" s="886"/>
      <c r="T400" s="886"/>
      <c r="U400" s="886"/>
      <c r="V400" s="886"/>
      <c r="W400" s="886"/>
    </row>
    <row r="401" spans="3:23">
      <c r="C401" s="942"/>
      <c r="D401" s="942"/>
      <c r="E401" s="943"/>
      <c r="F401" s="886"/>
      <c r="G401" s="886"/>
      <c r="H401" s="886"/>
      <c r="I401" s="886"/>
      <c r="J401" s="886"/>
      <c r="K401" s="886"/>
      <c r="L401" s="886"/>
      <c r="M401" s="886"/>
      <c r="N401" s="886"/>
      <c r="O401" s="886"/>
      <c r="P401" s="886"/>
      <c r="Q401" s="886"/>
      <c r="R401" s="886"/>
      <c r="S401" s="886"/>
      <c r="T401" s="886"/>
      <c r="U401" s="886"/>
      <c r="V401" s="886"/>
      <c r="W401" s="886"/>
    </row>
    <row r="402" spans="3:23">
      <c r="C402" s="942"/>
      <c r="D402" s="942"/>
      <c r="E402" s="943"/>
      <c r="F402" s="886"/>
      <c r="G402" s="886"/>
      <c r="H402" s="886"/>
      <c r="I402" s="886"/>
      <c r="J402" s="886"/>
      <c r="K402" s="886"/>
      <c r="L402" s="886"/>
      <c r="M402" s="886"/>
      <c r="N402" s="886"/>
      <c r="O402" s="886"/>
      <c r="P402" s="886"/>
      <c r="Q402" s="886"/>
      <c r="R402" s="886"/>
      <c r="S402" s="886"/>
      <c r="T402" s="886"/>
      <c r="U402" s="886"/>
      <c r="V402" s="886"/>
      <c r="W402" s="886"/>
    </row>
    <row r="403" spans="3:23">
      <c r="C403" s="942"/>
      <c r="D403" s="942"/>
      <c r="E403" s="943"/>
      <c r="F403" s="886"/>
      <c r="G403" s="886"/>
      <c r="H403" s="886"/>
      <c r="I403" s="886"/>
      <c r="J403" s="886"/>
      <c r="K403" s="886"/>
      <c r="L403" s="886"/>
      <c r="M403" s="886"/>
      <c r="N403" s="886"/>
      <c r="O403" s="886"/>
      <c r="P403" s="886"/>
      <c r="Q403" s="886"/>
      <c r="R403" s="886"/>
      <c r="S403" s="886"/>
      <c r="T403" s="886"/>
      <c r="U403" s="886"/>
      <c r="V403" s="886"/>
      <c r="W403" s="886"/>
    </row>
    <row r="404" spans="3:23">
      <c r="C404" s="942"/>
      <c r="D404" s="942"/>
      <c r="E404" s="943"/>
      <c r="F404" s="886"/>
      <c r="G404" s="886"/>
      <c r="H404" s="886"/>
      <c r="I404" s="886"/>
      <c r="J404" s="886"/>
      <c r="K404" s="886"/>
      <c r="L404" s="886"/>
      <c r="M404" s="886"/>
      <c r="N404" s="886"/>
      <c r="O404" s="886"/>
      <c r="P404" s="886"/>
      <c r="Q404" s="886"/>
      <c r="R404" s="886"/>
      <c r="S404" s="886"/>
      <c r="T404" s="886"/>
      <c r="U404" s="886"/>
      <c r="V404" s="886"/>
      <c r="W404" s="886"/>
    </row>
    <row r="405" spans="3:23">
      <c r="C405" s="942"/>
      <c r="D405" s="942"/>
      <c r="E405" s="943"/>
      <c r="F405" s="886"/>
      <c r="G405" s="886"/>
      <c r="H405" s="886"/>
      <c r="I405" s="886"/>
      <c r="J405" s="886"/>
      <c r="K405" s="886"/>
      <c r="L405" s="886"/>
      <c r="M405" s="886"/>
      <c r="N405" s="886"/>
      <c r="O405" s="886"/>
      <c r="P405" s="886"/>
      <c r="Q405" s="886"/>
      <c r="R405" s="886"/>
      <c r="S405" s="886"/>
      <c r="T405" s="886"/>
      <c r="U405" s="886"/>
      <c r="V405" s="886"/>
      <c r="W405" s="886"/>
    </row>
    <row r="406" spans="3:23">
      <c r="C406" s="942"/>
      <c r="D406" s="942"/>
      <c r="E406" s="943"/>
      <c r="F406" s="886"/>
      <c r="G406" s="886"/>
      <c r="H406" s="886"/>
      <c r="I406" s="886"/>
      <c r="J406" s="886"/>
      <c r="K406" s="886"/>
      <c r="L406" s="886"/>
      <c r="M406" s="886"/>
      <c r="N406" s="886"/>
      <c r="O406" s="886"/>
      <c r="P406" s="886"/>
      <c r="Q406" s="886"/>
      <c r="R406" s="886"/>
      <c r="S406" s="886"/>
      <c r="T406" s="886"/>
      <c r="U406" s="886"/>
      <c r="V406" s="886"/>
      <c r="W406" s="886"/>
    </row>
    <row r="407" spans="3:23">
      <c r="C407" s="942"/>
      <c r="D407" s="942"/>
      <c r="E407" s="943"/>
      <c r="F407" s="886"/>
      <c r="G407" s="886"/>
      <c r="H407" s="886"/>
      <c r="I407" s="886"/>
      <c r="J407" s="886"/>
      <c r="K407" s="886"/>
      <c r="L407" s="886"/>
      <c r="M407" s="886"/>
      <c r="N407" s="886"/>
      <c r="O407" s="886"/>
      <c r="P407" s="886"/>
      <c r="Q407" s="886"/>
      <c r="R407" s="886"/>
      <c r="S407" s="886"/>
      <c r="T407" s="886"/>
      <c r="U407" s="886"/>
      <c r="V407" s="886"/>
      <c r="W407" s="886"/>
    </row>
    <row r="408" spans="3:23">
      <c r="C408" s="942"/>
      <c r="D408" s="942"/>
      <c r="E408" s="943"/>
      <c r="F408" s="886"/>
      <c r="G408" s="886"/>
      <c r="H408" s="886"/>
      <c r="I408" s="886"/>
      <c r="J408" s="886"/>
      <c r="K408" s="886"/>
      <c r="L408" s="886"/>
      <c r="M408" s="886"/>
      <c r="N408" s="886"/>
      <c r="O408" s="886"/>
      <c r="P408" s="886"/>
      <c r="Q408" s="886"/>
      <c r="R408" s="886"/>
      <c r="S408" s="886"/>
      <c r="T408" s="886"/>
      <c r="U408" s="886"/>
      <c r="V408" s="886"/>
      <c r="W408" s="886"/>
    </row>
    <row r="409" spans="3:23">
      <c r="C409" s="942"/>
      <c r="D409" s="942"/>
      <c r="E409" s="943"/>
      <c r="F409" s="886"/>
      <c r="G409" s="886"/>
      <c r="H409" s="886"/>
      <c r="I409" s="886"/>
      <c r="J409" s="886"/>
      <c r="K409" s="886"/>
      <c r="L409" s="886"/>
      <c r="M409" s="886"/>
      <c r="N409" s="886"/>
      <c r="O409" s="886"/>
      <c r="P409" s="886"/>
      <c r="Q409" s="886"/>
      <c r="R409" s="886"/>
      <c r="S409" s="886"/>
      <c r="T409" s="886"/>
      <c r="U409" s="886"/>
      <c r="V409" s="886"/>
      <c r="W409" s="886"/>
    </row>
    <row r="410" spans="3:23">
      <c r="C410" s="942"/>
      <c r="D410" s="942"/>
      <c r="E410" s="943"/>
      <c r="F410" s="886"/>
      <c r="G410" s="886"/>
      <c r="H410" s="886"/>
      <c r="I410" s="886"/>
      <c r="J410" s="886"/>
      <c r="K410" s="886"/>
      <c r="L410" s="886"/>
      <c r="M410" s="886"/>
      <c r="N410" s="886"/>
      <c r="O410" s="886"/>
      <c r="P410" s="886"/>
      <c r="Q410" s="886"/>
      <c r="R410" s="886"/>
      <c r="S410" s="886"/>
      <c r="T410" s="886"/>
      <c r="U410" s="886"/>
      <c r="V410" s="886"/>
      <c r="W410" s="886"/>
    </row>
    <row r="411" spans="3:23">
      <c r="C411" s="942"/>
      <c r="D411" s="942"/>
      <c r="E411" s="943"/>
      <c r="F411" s="886"/>
      <c r="G411" s="886"/>
      <c r="H411" s="886"/>
      <c r="I411" s="886"/>
      <c r="J411" s="886"/>
      <c r="K411" s="886"/>
      <c r="L411" s="886"/>
      <c r="M411" s="886"/>
      <c r="N411" s="886"/>
      <c r="O411" s="886"/>
      <c r="P411" s="886"/>
      <c r="Q411" s="886"/>
      <c r="R411" s="886"/>
      <c r="S411" s="886"/>
      <c r="T411" s="886"/>
      <c r="U411" s="886"/>
      <c r="V411" s="886"/>
      <c r="W411" s="886"/>
    </row>
    <row r="412" spans="3:23">
      <c r="C412" s="942"/>
      <c r="D412" s="942"/>
      <c r="E412" s="943"/>
      <c r="F412" s="886"/>
      <c r="G412" s="886"/>
      <c r="H412" s="886"/>
      <c r="I412" s="886"/>
      <c r="J412" s="886"/>
      <c r="K412" s="886"/>
      <c r="L412" s="886"/>
      <c r="M412" s="886"/>
      <c r="N412" s="886"/>
      <c r="O412" s="886"/>
      <c r="P412" s="886"/>
      <c r="Q412" s="886"/>
      <c r="R412" s="886"/>
      <c r="S412" s="886"/>
      <c r="T412" s="886"/>
      <c r="U412" s="886"/>
      <c r="V412" s="886"/>
      <c r="W412" s="886"/>
    </row>
    <row r="413" spans="3:23">
      <c r="C413" s="942"/>
      <c r="D413" s="942"/>
      <c r="E413" s="943"/>
      <c r="F413" s="886"/>
      <c r="G413" s="886"/>
      <c r="H413" s="886"/>
      <c r="I413" s="886"/>
      <c r="J413" s="886"/>
      <c r="K413" s="886"/>
      <c r="L413" s="886"/>
      <c r="M413" s="886"/>
      <c r="N413" s="886"/>
      <c r="O413" s="886"/>
      <c r="P413" s="886"/>
      <c r="Q413" s="886"/>
      <c r="R413" s="886"/>
      <c r="S413" s="886"/>
      <c r="T413" s="886"/>
      <c r="U413" s="886"/>
      <c r="V413" s="886"/>
      <c r="W413" s="886"/>
    </row>
    <row r="414" spans="3:23">
      <c r="C414" s="942"/>
      <c r="D414" s="942"/>
      <c r="E414" s="943"/>
      <c r="F414" s="886"/>
      <c r="G414" s="886"/>
      <c r="H414" s="886"/>
      <c r="I414" s="886"/>
      <c r="J414" s="886"/>
      <c r="K414" s="886"/>
      <c r="L414" s="886"/>
      <c r="M414" s="886"/>
      <c r="N414" s="886"/>
      <c r="O414" s="886"/>
      <c r="P414" s="886"/>
      <c r="Q414" s="886"/>
      <c r="R414" s="886"/>
      <c r="S414" s="886"/>
      <c r="T414" s="886"/>
      <c r="U414" s="886"/>
      <c r="V414" s="886"/>
      <c r="W414" s="886"/>
    </row>
    <row r="415" spans="3:23">
      <c r="C415" s="942"/>
      <c r="D415" s="942"/>
      <c r="E415" s="943"/>
      <c r="F415" s="886"/>
      <c r="G415" s="886"/>
      <c r="H415" s="886"/>
      <c r="I415" s="886"/>
      <c r="J415" s="886"/>
      <c r="K415" s="886"/>
      <c r="L415" s="886"/>
      <c r="M415" s="886"/>
      <c r="N415" s="886"/>
      <c r="O415" s="886"/>
      <c r="P415" s="886"/>
      <c r="Q415" s="886"/>
      <c r="R415" s="886"/>
      <c r="S415" s="886"/>
      <c r="T415" s="886"/>
      <c r="U415" s="886"/>
      <c r="V415" s="886"/>
      <c r="W415" s="886"/>
    </row>
    <row r="416" spans="3:23">
      <c r="C416" s="942"/>
      <c r="D416" s="942"/>
      <c r="E416" s="943"/>
      <c r="F416" s="886"/>
      <c r="G416" s="886"/>
      <c r="H416" s="886"/>
      <c r="I416" s="886"/>
      <c r="J416" s="886"/>
      <c r="K416" s="886"/>
      <c r="L416" s="886"/>
      <c r="M416" s="886"/>
      <c r="N416" s="886"/>
      <c r="O416" s="886"/>
      <c r="P416" s="886"/>
      <c r="Q416" s="886"/>
      <c r="R416" s="886"/>
      <c r="S416" s="886"/>
      <c r="T416" s="886"/>
      <c r="U416" s="886"/>
      <c r="V416" s="886"/>
      <c r="W416" s="886"/>
    </row>
    <row r="417" spans="3:23">
      <c r="C417" s="942"/>
      <c r="D417" s="942"/>
      <c r="E417" s="943"/>
      <c r="F417" s="886"/>
      <c r="G417" s="886"/>
      <c r="H417" s="886"/>
      <c r="I417" s="886"/>
      <c r="J417" s="886"/>
      <c r="K417" s="886"/>
      <c r="L417" s="886"/>
      <c r="M417" s="886"/>
      <c r="N417" s="886"/>
      <c r="O417" s="886"/>
      <c r="P417" s="886"/>
      <c r="Q417" s="886"/>
      <c r="R417" s="886"/>
      <c r="S417" s="886"/>
      <c r="T417" s="886"/>
      <c r="U417" s="886"/>
      <c r="V417" s="886"/>
      <c r="W417" s="886"/>
    </row>
    <row r="418" spans="3:23">
      <c r="C418" s="942"/>
      <c r="D418" s="942"/>
      <c r="E418" s="943"/>
      <c r="F418" s="886"/>
      <c r="G418" s="886"/>
      <c r="H418" s="886"/>
      <c r="I418" s="886"/>
      <c r="J418" s="886"/>
      <c r="K418" s="886"/>
      <c r="L418" s="886"/>
      <c r="M418" s="886"/>
      <c r="N418" s="886"/>
      <c r="O418" s="886"/>
      <c r="P418" s="886"/>
      <c r="Q418" s="886"/>
      <c r="R418" s="886"/>
      <c r="S418" s="886"/>
      <c r="T418" s="886"/>
      <c r="U418" s="886"/>
      <c r="V418" s="886"/>
      <c r="W418" s="886"/>
    </row>
    <row r="419" spans="3:23">
      <c r="C419" s="942"/>
      <c r="D419" s="942"/>
      <c r="E419" s="943"/>
      <c r="F419" s="886"/>
      <c r="G419" s="886"/>
      <c r="H419" s="886"/>
      <c r="I419" s="886"/>
      <c r="J419" s="886"/>
      <c r="K419" s="886"/>
      <c r="L419" s="886"/>
      <c r="M419" s="886"/>
      <c r="N419" s="886"/>
      <c r="O419" s="886"/>
      <c r="P419" s="886"/>
      <c r="Q419" s="886"/>
      <c r="R419" s="886"/>
      <c r="S419" s="886"/>
      <c r="T419" s="886"/>
      <c r="U419" s="886"/>
      <c r="V419" s="886"/>
      <c r="W419" s="886"/>
    </row>
    <row r="420" spans="3:23">
      <c r="C420" s="942"/>
      <c r="D420" s="942"/>
      <c r="E420" s="943"/>
      <c r="F420" s="886"/>
      <c r="G420" s="886"/>
      <c r="H420" s="886"/>
      <c r="I420" s="886"/>
      <c r="J420" s="886"/>
      <c r="K420" s="886"/>
      <c r="L420" s="886"/>
      <c r="M420" s="886"/>
      <c r="N420" s="886"/>
      <c r="O420" s="886"/>
      <c r="P420" s="886"/>
      <c r="Q420" s="886"/>
      <c r="R420" s="886"/>
      <c r="S420" s="886"/>
      <c r="T420" s="886"/>
      <c r="U420" s="886"/>
      <c r="V420" s="886"/>
      <c r="W420" s="886"/>
    </row>
    <row r="421" spans="3:23">
      <c r="C421" s="942"/>
      <c r="D421" s="942"/>
      <c r="E421" s="943"/>
      <c r="F421" s="886"/>
      <c r="G421" s="886"/>
      <c r="H421" s="886"/>
      <c r="I421" s="886"/>
      <c r="J421" s="886"/>
      <c r="K421" s="886"/>
      <c r="L421" s="886"/>
      <c r="M421" s="886"/>
      <c r="N421" s="886"/>
      <c r="O421" s="886"/>
      <c r="P421" s="886"/>
      <c r="Q421" s="886"/>
      <c r="R421" s="886"/>
      <c r="S421" s="886"/>
      <c r="T421" s="886"/>
      <c r="U421" s="886"/>
      <c r="V421" s="886"/>
      <c r="W421" s="886"/>
    </row>
    <row r="422" spans="3:23">
      <c r="C422" s="942"/>
      <c r="D422" s="942"/>
      <c r="E422" s="943"/>
      <c r="F422" s="886"/>
      <c r="G422" s="886"/>
      <c r="H422" s="886"/>
      <c r="I422" s="886"/>
      <c r="J422" s="886"/>
      <c r="K422" s="886"/>
      <c r="L422" s="886"/>
      <c r="M422" s="886"/>
      <c r="N422" s="886"/>
      <c r="O422" s="886"/>
      <c r="P422" s="886"/>
      <c r="Q422" s="886"/>
      <c r="R422" s="886"/>
      <c r="S422" s="886"/>
      <c r="T422" s="886"/>
      <c r="U422" s="886"/>
      <c r="V422" s="886"/>
      <c r="W422" s="886"/>
    </row>
    <row r="423" spans="3:23">
      <c r="C423" s="942"/>
      <c r="D423" s="942"/>
      <c r="E423" s="943"/>
      <c r="F423" s="886"/>
      <c r="G423" s="886"/>
      <c r="H423" s="886"/>
      <c r="I423" s="886"/>
      <c r="J423" s="886"/>
      <c r="K423" s="886"/>
      <c r="L423" s="886"/>
      <c r="M423" s="886"/>
      <c r="N423" s="886"/>
      <c r="O423" s="886"/>
      <c r="P423" s="886"/>
      <c r="Q423" s="886"/>
      <c r="R423" s="886"/>
      <c r="S423" s="886"/>
      <c r="T423" s="886"/>
      <c r="U423" s="886"/>
      <c r="V423" s="886"/>
      <c r="W423" s="886"/>
    </row>
    <row r="424" spans="3:23">
      <c r="C424" s="942"/>
      <c r="D424" s="942"/>
      <c r="E424" s="943"/>
      <c r="F424" s="886"/>
      <c r="G424" s="886"/>
      <c r="H424" s="886"/>
      <c r="I424" s="886"/>
      <c r="J424" s="886"/>
      <c r="K424" s="886"/>
      <c r="L424" s="886"/>
      <c r="M424" s="886"/>
      <c r="N424" s="886"/>
      <c r="O424" s="886"/>
      <c r="P424" s="886"/>
      <c r="Q424" s="886"/>
      <c r="R424" s="886"/>
      <c r="S424" s="886"/>
      <c r="T424" s="886"/>
      <c r="U424" s="886"/>
      <c r="V424" s="886"/>
      <c r="W424" s="886"/>
    </row>
    <row r="425" spans="3:23">
      <c r="C425" s="942"/>
      <c r="D425" s="942"/>
      <c r="E425" s="943"/>
      <c r="F425" s="886"/>
      <c r="G425" s="886"/>
      <c r="H425" s="886"/>
      <c r="I425" s="886"/>
      <c r="J425" s="886"/>
      <c r="K425" s="886"/>
      <c r="L425" s="886"/>
      <c r="M425" s="886"/>
      <c r="N425" s="886"/>
      <c r="O425" s="886"/>
      <c r="P425" s="886"/>
      <c r="Q425" s="886"/>
      <c r="R425" s="886"/>
      <c r="S425" s="886"/>
      <c r="T425" s="886"/>
      <c r="U425" s="886"/>
      <c r="V425" s="886"/>
      <c r="W425" s="886"/>
    </row>
    <row r="426" spans="3:23">
      <c r="C426" s="942"/>
      <c r="D426" s="942"/>
      <c r="E426" s="943"/>
      <c r="F426" s="886"/>
      <c r="G426" s="886"/>
      <c r="H426" s="886"/>
      <c r="I426" s="886"/>
      <c r="J426" s="886"/>
      <c r="K426" s="886"/>
      <c r="L426" s="886"/>
      <c r="M426" s="886"/>
      <c r="N426" s="886"/>
      <c r="O426" s="886"/>
      <c r="P426" s="886"/>
      <c r="Q426" s="886"/>
      <c r="R426" s="886"/>
      <c r="S426" s="886"/>
      <c r="T426" s="886"/>
      <c r="U426" s="886"/>
      <c r="V426" s="886"/>
      <c r="W426" s="886"/>
    </row>
    <row r="427" spans="3:23">
      <c r="C427" s="942"/>
      <c r="D427" s="942"/>
      <c r="E427" s="943"/>
      <c r="F427" s="886"/>
      <c r="G427" s="886"/>
      <c r="H427" s="886"/>
      <c r="I427" s="886"/>
      <c r="J427" s="886"/>
      <c r="K427" s="886"/>
      <c r="L427" s="886"/>
      <c r="M427" s="886"/>
      <c r="N427" s="886"/>
      <c r="O427" s="886"/>
      <c r="P427" s="886"/>
      <c r="Q427" s="886"/>
      <c r="R427" s="886"/>
      <c r="S427" s="886"/>
      <c r="T427" s="886"/>
      <c r="U427" s="886"/>
      <c r="V427" s="886"/>
      <c r="W427" s="886"/>
    </row>
    <row r="428" spans="3:23">
      <c r="C428" s="942"/>
      <c r="D428" s="942"/>
      <c r="E428" s="943"/>
      <c r="F428" s="886"/>
      <c r="G428" s="886"/>
      <c r="H428" s="886"/>
      <c r="I428" s="886"/>
      <c r="J428" s="886"/>
      <c r="K428" s="886"/>
      <c r="L428" s="886"/>
      <c r="M428" s="886"/>
      <c r="N428" s="886"/>
      <c r="O428" s="886"/>
      <c r="P428" s="886"/>
      <c r="Q428" s="886"/>
      <c r="R428" s="886"/>
      <c r="S428" s="886"/>
      <c r="T428" s="886"/>
      <c r="U428" s="886"/>
      <c r="V428" s="886"/>
      <c r="W428" s="886"/>
    </row>
    <row r="429" spans="3:23">
      <c r="C429" s="942"/>
      <c r="D429" s="942"/>
      <c r="E429" s="943"/>
      <c r="F429" s="886"/>
      <c r="G429" s="886"/>
      <c r="H429" s="886"/>
      <c r="I429" s="886"/>
      <c r="J429" s="886"/>
      <c r="K429" s="886"/>
      <c r="L429" s="886"/>
      <c r="M429" s="886"/>
      <c r="N429" s="886"/>
      <c r="O429" s="886"/>
      <c r="P429" s="886"/>
      <c r="Q429" s="886"/>
      <c r="R429" s="886"/>
      <c r="S429" s="886"/>
      <c r="T429" s="886"/>
      <c r="U429" s="886"/>
      <c r="V429" s="886"/>
      <c r="W429" s="886"/>
    </row>
    <row r="430" spans="3:23">
      <c r="C430" s="942"/>
      <c r="D430" s="942"/>
      <c r="E430" s="943"/>
      <c r="F430" s="886"/>
      <c r="G430" s="886"/>
      <c r="H430" s="886"/>
      <c r="I430" s="886"/>
      <c r="J430" s="886"/>
      <c r="K430" s="886"/>
      <c r="L430" s="886"/>
      <c r="M430" s="886"/>
      <c r="N430" s="886"/>
      <c r="O430" s="886"/>
      <c r="P430" s="886"/>
      <c r="Q430" s="886"/>
      <c r="R430" s="886"/>
      <c r="S430" s="886"/>
      <c r="T430" s="886"/>
      <c r="U430" s="886"/>
      <c r="V430" s="886"/>
      <c r="W430" s="886"/>
    </row>
    <row r="431" spans="3:23">
      <c r="C431" s="942"/>
      <c r="D431" s="942"/>
      <c r="E431" s="943"/>
      <c r="F431" s="886"/>
      <c r="G431" s="886"/>
      <c r="H431" s="886"/>
      <c r="I431" s="886"/>
      <c r="J431" s="886"/>
      <c r="K431" s="886"/>
      <c r="L431" s="886"/>
      <c r="M431" s="886"/>
      <c r="N431" s="886"/>
      <c r="O431" s="886"/>
      <c r="P431" s="886"/>
      <c r="Q431" s="886"/>
      <c r="R431" s="886"/>
      <c r="S431" s="886"/>
      <c r="T431" s="886"/>
      <c r="U431" s="886"/>
      <c r="V431" s="886"/>
      <c r="W431" s="886"/>
    </row>
    <row r="432" spans="3:23">
      <c r="C432" s="942"/>
      <c r="D432" s="942"/>
      <c r="E432" s="943"/>
      <c r="F432" s="886"/>
      <c r="G432" s="886"/>
      <c r="H432" s="886"/>
      <c r="I432" s="886"/>
      <c r="J432" s="886"/>
      <c r="K432" s="886"/>
      <c r="L432" s="886"/>
      <c r="M432" s="886"/>
      <c r="N432" s="886"/>
      <c r="O432" s="886"/>
      <c r="P432" s="886"/>
      <c r="Q432" s="886"/>
      <c r="R432" s="886"/>
      <c r="S432" s="886"/>
      <c r="T432" s="886"/>
      <c r="U432" s="886"/>
      <c r="V432" s="886"/>
      <c r="W432" s="886"/>
    </row>
    <row r="433" spans="3:23">
      <c r="C433" s="942"/>
      <c r="D433" s="942"/>
      <c r="E433" s="943"/>
      <c r="F433" s="886"/>
      <c r="G433" s="886"/>
      <c r="H433" s="886"/>
      <c r="I433" s="886"/>
      <c r="J433" s="886"/>
      <c r="K433" s="886"/>
      <c r="L433" s="886"/>
      <c r="M433" s="886"/>
      <c r="N433" s="886"/>
      <c r="O433" s="886"/>
      <c r="P433" s="886"/>
      <c r="Q433" s="886"/>
      <c r="R433" s="886"/>
      <c r="S433" s="886"/>
      <c r="T433" s="886"/>
      <c r="U433" s="886"/>
      <c r="V433" s="886"/>
      <c r="W433" s="886"/>
    </row>
    <row r="434" spans="3:23">
      <c r="C434" s="942"/>
      <c r="D434" s="942"/>
      <c r="E434" s="943"/>
      <c r="F434" s="886"/>
      <c r="G434" s="886"/>
      <c r="H434" s="886"/>
      <c r="I434" s="886"/>
      <c r="J434" s="886"/>
      <c r="K434" s="886"/>
      <c r="L434" s="886"/>
      <c r="M434" s="886"/>
      <c r="N434" s="886"/>
      <c r="O434" s="886"/>
      <c r="P434" s="886"/>
      <c r="Q434" s="886"/>
      <c r="R434" s="886"/>
      <c r="S434" s="886"/>
      <c r="T434" s="886"/>
      <c r="U434" s="886"/>
      <c r="V434" s="886"/>
      <c r="W434" s="886"/>
    </row>
    <row r="435" spans="3:23">
      <c r="C435" s="942"/>
      <c r="D435" s="942"/>
      <c r="E435" s="943"/>
      <c r="F435" s="886"/>
      <c r="G435" s="886"/>
      <c r="H435" s="886"/>
      <c r="I435" s="886"/>
      <c r="J435" s="886"/>
      <c r="K435" s="886"/>
      <c r="L435" s="886"/>
      <c r="M435" s="886"/>
      <c r="N435" s="886"/>
      <c r="O435" s="886"/>
      <c r="P435" s="886"/>
      <c r="Q435" s="886"/>
      <c r="R435" s="886"/>
      <c r="S435" s="886"/>
      <c r="T435" s="886"/>
      <c r="U435" s="886"/>
      <c r="V435" s="886"/>
      <c r="W435" s="886"/>
    </row>
    <row r="436" spans="3:23">
      <c r="C436" s="942"/>
      <c r="D436" s="942"/>
      <c r="E436" s="943"/>
      <c r="F436" s="886"/>
      <c r="G436" s="886"/>
      <c r="H436" s="886"/>
      <c r="I436" s="886"/>
      <c r="J436" s="886"/>
      <c r="K436" s="886"/>
      <c r="L436" s="886"/>
      <c r="M436" s="886"/>
      <c r="N436" s="886"/>
      <c r="O436" s="886"/>
      <c r="P436" s="886"/>
      <c r="Q436" s="886"/>
      <c r="R436" s="886"/>
      <c r="S436" s="886"/>
      <c r="T436" s="886"/>
      <c r="U436" s="886"/>
      <c r="V436" s="886"/>
      <c r="W436" s="886"/>
    </row>
    <row r="437" spans="3:23">
      <c r="C437" s="942"/>
      <c r="D437" s="942"/>
      <c r="E437" s="943"/>
      <c r="F437" s="886"/>
      <c r="G437" s="886"/>
      <c r="H437" s="886"/>
      <c r="I437" s="886"/>
      <c r="J437" s="886"/>
      <c r="K437" s="886"/>
      <c r="L437" s="886"/>
      <c r="M437" s="886"/>
      <c r="N437" s="886"/>
      <c r="O437" s="886"/>
      <c r="P437" s="886"/>
      <c r="Q437" s="886"/>
      <c r="R437" s="886"/>
      <c r="S437" s="886"/>
      <c r="T437" s="886"/>
      <c r="U437" s="886"/>
      <c r="V437" s="886"/>
      <c r="W437" s="886"/>
    </row>
    <row r="438" spans="3:23">
      <c r="C438" s="942"/>
      <c r="D438" s="942"/>
      <c r="E438" s="943"/>
      <c r="F438" s="886"/>
      <c r="G438" s="886"/>
      <c r="H438" s="886"/>
      <c r="I438" s="886"/>
      <c r="J438" s="886"/>
      <c r="K438" s="886"/>
      <c r="L438" s="886"/>
      <c r="M438" s="886"/>
      <c r="N438" s="886"/>
      <c r="O438" s="886"/>
      <c r="P438" s="886"/>
      <c r="Q438" s="886"/>
      <c r="R438" s="886"/>
      <c r="S438" s="886"/>
      <c r="T438" s="886"/>
      <c r="U438" s="886"/>
      <c r="V438" s="886"/>
      <c r="W438" s="886"/>
    </row>
    <row r="439" spans="3:23">
      <c r="C439" s="942"/>
      <c r="D439" s="942"/>
      <c r="E439" s="943"/>
      <c r="F439" s="886"/>
      <c r="G439" s="886"/>
      <c r="H439" s="886"/>
      <c r="I439" s="886"/>
      <c r="J439" s="886"/>
      <c r="K439" s="886"/>
      <c r="L439" s="886"/>
      <c r="M439" s="886"/>
      <c r="N439" s="886"/>
      <c r="O439" s="886"/>
      <c r="P439" s="886"/>
      <c r="Q439" s="886"/>
      <c r="R439" s="886"/>
      <c r="S439" s="886"/>
      <c r="T439" s="886"/>
      <c r="U439" s="886"/>
      <c r="V439" s="886"/>
      <c r="W439" s="886"/>
    </row>
    <row r="440" spans="3:23">
      <c r="C440" s="942"/>
      <c r="D440" s="942"/>
      <c r="E440" s="943"/>
      <c r="F440" s="886"/>
      <c r="G440" s="886"/>
      <c r="H440" s="886"/>
      <c r="I440" s="886"/>
      <c r="J440" s="886"/>
      <c r="K440" s="886"/>
      <c r="L440" s="886"/>
      <c r="M440" s="886"/>
      <c r="N440" s="886"/>
      <c r="O440" s="886"/>
      <c r="P440" s="886"/>
      <c r="Q440" s="886"/>
      <c r="R440" s="886"/>
      <c r="S440" s="886"/>
      <c r="T440" s="886"/>
      <c r="U440" s="886"/>
      <c r="V440" s="886"/>
      <c r="W440" s="886"/>
    </row>
    <row r="441" spans="3:23">
      <c r="C441" s="942"/>
      <c r="D441" s="942"/>
      <c r="E441" s="943"/>
      <c r="F441" s="886"/>
      <c r="G441" s="886"/>
      <c r="H441" s="886"/>
      <c r="I441" s="886"/>
      <c r="J441" s="886"/>
      <c r="K441" s="886"/>
      <c r="L441" s="886"/>
      <c r="M441" s="886"/>
      <c r="N441" s="886"/>
      <c r="O441" s="886"/>
      <c r="P441" s="886"/>
      <c r="Q441" s="886"/>
      <c r="R441" s="886"/>
      <c r="S441" s="886"/>
      <c r="T441" s="886"/>
      <c r="U441" s="886"/>
      <c r="V441" s="886"/>
      <c r="W441" s="886"/>
    </row>
    <row r="442" spans="3:23">
      <c r="C442" s="942"/>
      <c r="D442" s="942"/>
      <c r="E442" s="943"/>
      <c r="F442" s="886"/>
      <c r="G442" s="886"/>
      <c r="H442" s="886"/>
      <c r="I442" s="886"/>
      <c r="J442" s="886"/>
      <c r="K442" s="886"/>
      <c r="L442" s="886"/>
      <c r="M442" s="886"/>
      <c r="N442" s="886"/>
      <c r="O442" s="886"/>
      <c r="P442" s="886"/>
      <c r="Q442" s="886"/>
      <c r="R442" s="886"/>
      <c r="S442" s="886"/>
      <c r="T442" s="886"/>
      <c r="U442" s="886"/>
      <c r="V442" s="886"/>
      <c r="W442" s="886"/>
    </row>
    <row r="443" spans="3:23">
      <c r="C443" s="942"/>
      <c r="D443" s="942"/>
      <c r="E443" s="943"/>
      <c r="F443" s="886"/>
      <c r="G443" s="886"/>
      <c r="H443" s="886"/>
      <c r="I443" s="886"/>
      <c r="J443" s="886"/>
      <c r="K443" s="886"/>
      <c r="L443" s="886"/>
      <c r="M443" s="886"/>
      <c r="N443" s="886"/>
      <c r="O443" s="886"/>
      <c r="P443" s="886"/>
      <c r="Q443" s="886"/>
      <c r="R443" s="886"/>
      <c r="S443" s="886"/>
      <c r="T443" s="886"/>
      <c r="U443" s="886"/>
      <c r="V443" s="886"/>
      <c r="W443" s="886"/>
    </row>
    <row r="444" spans="3:23">
      <c r="C444" s="942"/>
      <c r="D444" s="942"/>
      <c r="E444" s="943"/>
      <c r="F444" s="886"/>
      <c r="G444" s="886"/>
      <c r="H444" s="886"/>
      <c r="I444" s="886"/>
      <c r="J444" s="886"/>
      <c r="K444" s="886"/>
      <c r="L444" s="886"/>
      <c r="M444" s="886"/>
      <c r="N444" s="886"/>
      <c r="O444" s="886"/>
      <c r="P444" s="886"/>
      <c r="Q444" s="886"/>
      <c r="R444" s="886"/>
      <c r="S444" s="886"/>
      <c r="T444" s="886"/>
      <c r="U444" s="886"/>
      <c r="V444" s="886"/>
      <c r="W444" s="886"/>
    </row>
    <row r="445" spans="3:23">
      <c r="C445" s="942"/>
      <c r="D445" s="942"/>
      <c r="E445" s="943"/>
      <c r="F445" s="886"/>
      <c r="G445" s="886"/>
      <c r="H445" s="886"/>
      <c r="I445" s="886"/>
      <c r="J445" s="886"/>
      <c r="K445" s="886"/>
      <c r="L445" s="886"/>
      <c r="M445" s="886"/>
      <c r="N445" s="886"/>
      <c r="O445" s="886"/>
      <c r="P445" s="886"/>
      <c r="Q445" s="886"/>
      <c r="R445" s="886"/>
      <c r="S445" s="886"/>
      <c r="T445" s="886"/>
      <c r="U445" s="886"/>
      <c r="V445" s="886"/>
      <c r="W445" s="886"/>
    </row>
    <row r="446" spans="3:23">
      <c r="C446" s="942"/>
      <c r="D446" s="942"/>
      <c r="E446" s="943"/>
      <c r="F446" s="886"/>
      <c r="G446" s="886"/>
      <c r="H446" s="886"/>
      <c r="I446" s="886"/>
      <c r="J446" s="886"/>
      <c r="K446" s="886"/>
      <c r="L446" s="886"/>
      <c r="M446" s="886"/>
      <c r="N446" s="886"/>
      <c r="O446" s="886"/>
      <c r="P446" s="886"/>
      <c r="Q446" s="886"/>
      <c r="R446" s="886"/>
      <c r="S446" s="886"/>
      <c r="T446" s="886"/>
      <c r="U446" s="886"/>
      <c r="V446" s="886"/>
      <c r="W446" s="886"/>
    </row>
    <row r="447" spans="3:23">
      <c r="C447" s="942"/>
      <c r="D447" s="942"/>
      <c r="E447" s="943"/>
      <c r="F447" s="886"/>
      <c r="G447" s="886"/>
      <c r="H447" s="886"/>
      <c r="I447" s="886"/>
      <c r="J447" s="886"/>
      <c r="K447" s="886"/>
      <c r="L447" s="886"/>
      <c r="M447" s="886"/>
      <c r="N447" s="886"/>
      <c r="O447" s="886"/>
      <c r="P447" s="886"/>
      <c r="Q447" s="886"/>
      <c r="R447" s="886"/>
      <c r="S447" s="886"/>
      <c r="T447" s="886"/>
      <c r="U447" s="886"/>
      <c r="V447" s="886"/>
      <c r="W447" s="886"/>
    </row>
    <row r="448" spans="3:23">
      <c r="C448" s="942"/>
      <c r="D448" s="942"/>
      <c r="E448" s="943"/>
      <c r="F448" s="886"/>
      <c r="G448" s="886"/>
      <c r="H448" s="886"/>
      <c r="I448" s="886"/>
      <c r="J448" s="886"/>
      <c r="K448" s="886"/>
      <c r="L448" s="886"/>
      <c r="M448" s="886"/>
      <c r="N448" s="886"/>
      <c r="O448" s="886"/>
      <c r="P448" s="886"/>
      <c r="Q448" s="886"/>
      <c r="R448" s="886"/>
      <c r="S448" s="886"/>
      <c r="T448" s="886"/>
      <c r="U448" s="886"/>
      <c r="V448" s="886"/>
      <c r="W448" s="886"/>
    </row>
    <row r="449" spans="3:23">
      <c r="C449" s="942"/>
      <c r="D449" s="942"/>
      <c r="E449" s="943"/>
      <c r="F449" s="886"/>
      <c r="G449" s="886"/>
      <c r="H449" s="886"/>
      <c r="I449" s="886"/>
      <c r="J449" s="886"/>
      <c r="K449" s="886"/>
      <c r="L449" s="886"/>
      <c r="M449" s="886"/>
      <c r="N449" s="886"/>
      <c r="O449" s="886"/>
      <c r="P449" s="886"/>
      <c r="Q449" s="886"/>
      <c r="R449" s="886"/>
      <c r="S449" s="886"/>
      <c r="T449" s="886"/>
      <c r="U449" s="886"/>
      <c r="V449" s="886"/>
      <c r="W449" s="886"/>
    </row>
    <row r="450" spans="3:23">
      <c r="C450" s="942"/>
      <c r="D450" s="942"/>
      <c r="E450" s="943"/>
      <c r="F450" s="886"/>
      <c r="G450" s="886"/>
      <c r="H450" s="886"/>
      <c r="I450" s="886"/>
      <c r="J450" s="886"/>
      <c r="K450" s="886"/>
      <c r="L450" s="886"/>
      <c r="M450" s="886"/>
      <c r="N450" s="886"/>
      <c r="O450" s="886"/>
      <c r="P450" s="886"/>
      <c r="Q450" s="886"/>
      <c r="R450" s="886"/>
      <c r="S450" s="886"/>
      <c r="T450" s="886"/>
      <c r="U450" s="886"/>
      <c r="V450" s="886"/>
      <c r="W450" s="886"/>
    </row>
    <row r="451" spans="3:23">
      <c r="C451" s="942"/>
      <c r="D451" s="942"/>
      <c r="E451" s="943"/>
      <c r="F451" s="886"/>
      <c r="G451" s="886"/>
      <c r="H451" s="886"/>
      <c r="I451" s="886"/>
      <c r="J451" s="886"/>
      <c r="K451" s="886"/>
      <c r="L451" s="886"/>
      <c r="M451" s="886"/>
      <c r="N451" s="886"/>
      <c r="O451" s="886"/>
      <c r="P451" s="886"/>
      <c r="Q451" s="886"/>
      <c r="R451" s="886"/>
      <c r="S451" s="886"/>
      <c r="T451" s="886"/>
      <c r="U451" s="886"/>
      <c r="V451" s="886"/>
      <c r="W451" s="886"/>
    </row>
    <row r="452" spans="3:23">
      <c r="C452" s="942"/>
      <c r="D452" s="942"/>
      <c r="E452" s="943"/>
      <c r="F452" s="886"/>
      <c r="G452" s="886"/>
      <c r="H452" s="886"/>
      <c r="I452" s="886"/>
      <c r="J452" s="886"/>
      <c r="K452" s="886"/>
      <c r="L452" s="886"/>
      <c r="M452" s="886"/>
      <c r="N452" s="886"/>
      <c r="O452" s="886"/>
      <c r="P452" s="886"/>
      <c r="Q452" s="886"/>
      <c r="R452" s="886"/>
      <c r="S452" s="886"/>
      <c r="T452" s="886"/>
      <c r="U452" s="886"/>
      <c r="V452" s="886"/>
      <c r="W452" s="886"/>
    </row>
    <row r="453" spans="3:23">
      <c r="C453" s="942"/>
      <c r="D453" s="942"/>
      <c r="E453" s="943"/>
      <c r="F453" s="886"/>
      <c r="G453" s="886"/>
      <c r="H453" s="886"/>
      <c r="I453" s="886"/>
      <c r="J453" s="886"/>
      <c r="K453" s="886"/>
      <c r="L453" s="886"/>
      <c r="M453" s="886"/>
      <c r="N453" s="886"/>
      <c r="O453" s="886"/>
      <c r="P453" s="886"/>
      <c r="Q453" s="886"/>
      <c r="R453" s="886"/>
      <c r="S453" s="886"/>
      <c r="T453" s="886"/>
      <c r="U453" s="886"/>
      <c r="V453" s="886"/>
      <c r="W453" s="886"/>
    </row>
    <row r="454" spans="3:23">
      <c r="C454" s="942"/>
      <c r="D454" s="942"/>
      <c r="E454" s="943"/>
      <c r="F454" s="886"/>
      <c r="G454" s="886"/>
      <c r="H454" s="886"/>
      <c r="I454" s="886"/>
      <c r="J454" s="886"/>
      <c r="K454" s="886"/>
      <c r="L454" s="886"/>
      <c r="M454" s="886"/>
      <c r="N454" s="886"/>
      <c r="O454" s="886"/>
      <c r="P454" s="886"/>
      <c r="Q454" s="886"/>
      <c r="R454" s="886"/>
      <c r="S454" s="886"/>
      <c r="T454" s="886"/>
      <c r="U454" s="886"/>
      <c r="V454" s="886"/>
      <c r="W454" s="886"/>
    </row>
    <row r="455" spans="3:23">
      <c r="C455" s="942"/>
      <c r="D455" s="942"/>
      <c r="E455" s="943"/>
      <c r="F455" s="886"/>
      <c r="G455" s="886"/>
      <c r="H455" s="886"/>
      <c r="I455" s="886"/>
      <c r="J455" s="886"/>
      <c r="K455" s="886"/>
      <c r="L455" s="886"/>
      <c r="M455" s="886"/>
      <c r="N455" s="886"/>
      <c r="O455" s="886"/>
      <c r="P455" s="886"/>
      <c r="Q455" s="886"/>
      <c r="R455" s="886"/>
      <c r="S455" s="886"/>
      <c r="T455" s="886"/>
      <c r="U455" s="886"/>
      <c r="V455" s="886"/>
      <c r="W455" s="886"/>
    </row>
    <row r="456" spans="3:23">
      <c r="C456" s="942"/>
      <c r="D456" s="942"/>
      <c r="E456" s="943"/>
      <c r="F456" s="886"/>
      <c r="G456" s="886"/>
      <c r="H456" s="886"/>
      <c r="I456" s="886"/>
      <c r="J456" s="886"/>
      <c r="K456" s="886"/>
      <c r="L456" s="886"/>
      <c r="M456" s="886"/>
      <c r="N456" s="886"/>
      <c r="O456" s="886"/>
      <c r="P456" s="886"/>
      <c r="Q456" s="886"/>
      <c r="R456" s="886"/>
      <c r="S456" s="886"/>
      <c r="T456" s="886"/>
      <c r="U456" s="886"/>
      <c r="V456" s="886"/>
      <c r="W456" s="886"/>
    </row>
    <row r="457" spans="3:23">
      <c r="C457" s="942"/>
      <c r="D457" s="942"/>
      <c r="E457" s="943"/>
      <c r="F457" s="886"/>
      <c r="G457" s="886"/>
      <c r="H457" s="886"/>
      <c r="I457" s="886"/>
      <c r="J457" s="886"/>
      <c r="K457" s="886"/>
      <c r="L457" s="886"/>
      <c r="M457" s="886"/>
      <c r="N457" s="886"/>
      <c r="O457" s="886"/>
      <c r="P457" s="886"/>
      <c r="Q457" s="886"/>
      <c r="R457" s="886"/>
      <c r="S457" s="886"/>
      <c r="T457" s="886"/>
      <c r="U457" s="886"/>
      <c r="V457" s="886"/>
      <c r="W457" s="886"/>
    </row>
    <row r="458" spans="3:23">
      <c r="C458" s="942"/>
      <c r="D458" s="942"/>
      <c r="E458" s="943"/>
      <c r="F458" s="886"/>
      <c r="G458" s="886"/>
      <c r="H458" s="886"/>
      <c r="I458" s="886"/>
      <c r="J458" s="886"/>
      <c r="K458" s="886"/>
      <c r="L458" s="886"/>
      <c r="M458" s="886"/>
      <c r="N458" s="886"/>
      <c r="O458" s="886"/>
      <c r="P458" s="886"/>
      <c r="Q458" s="886"/>
      <c r="R458" s="886"/>
      <c r="S458" s="886"/>
      <c r="T458" s="886"/>
      <c r="U458" s="886"/>
      <c r="V458" s="886"/>
      <c r="W458" s="886"/>
    </row>
    <row r="459" spans="3:23">
      <c r="C459" s="942"/>
      <c r="D459" s="942"/>
      <c r="E459" s="943"/>
      <c r="F459" s="886"/>
      <c r="G459" s="886"/>
      <c r="H459" s="886"/>
      <c r="I459" s="886"/>
      <c r="J459" s="886"/>
      <c r="K459" s="886"/>
      <c r="L459" s="886"/>
      <c r="M459" s="886"/>
      <c r="N459" s="886"/>
      <c r="O459" s="886"/>
      <c r="P459" s="886"/>
      <c r="Q459" s="886"/>
      <c r="R459" s="886"/>
      <c r="S459" s="886"/>
      <c r="T459" s="886"/>
      <c r="U459" s="886"/>
      <c r="V459" s="886"/>
      <c r="W459" s="886"/>
    </row>
    <row r="460" spans="3:23">
      <c r="C460" s="942"/>
      <c r="D460" s="942"/>
      <c r="E460" s="943"/>
      <c r="F460" s="886"/>
      <c r="G460" s="886"/>
      <c r="H460" s="886"/>
      <c r="I460" s="886"/>
      <c r="J460" s="886"/>
      <c r="K460" s="886"/>
      <c r="L460" s="886"/>
      <c r="M460" s="886"/>
      <c r="N460" s="886"/>
      <c r="O460" s="886"/>
      <c r="P460" s="886"/>
      <c r="Q460" s="886"/>
      <c r="R460" s="886"/>
      <c r="S460" s="886"/>
      <c r="T460" s="886"/>
      <c r="U460" s="886"/>
      <c r="V460" s="886"/>
      <c r="W460" s="886"/>
    </row>
    <row r="461" spans="3:23">
      <c r="C461" s="942"/>
      <c r="D461" s="942"/>
      <c r="E461" s="943"/>
      <c r="F461" s="886"/>
      <c r="G461" s="886"/>
      <c r="H461" s="886"/>
      <c r="I461" s="886"/>
      <c r="J461" s="886"/>
      <c r="K461" s="886"/>
      <c r="L461" s="886"/>
      <c r="M461" s="886"/>
      <c r="N461" s="886"/>
      <c r="O461" s="886"/>
      <c r="P461" s="886"/>
      <c r="Q461" s="886"/>
      <c r="R461" s="886"/>
      <c r="S461" s="886"/>
      <c r="T461" s="886"/>
      <c r="U461" s="886"/>
      <c r="V461" s="886"/>
      <c r="W461" s="886"/>
    </row>
    <row r="462" spans="3:23">
      <c r="C462" s="942"/>
      <c r="D462" s="942"/>
      <c r="E462" s="943"/>
      <c r="F462" s="886"/>
      <c r="G462" s="886"/>
      <c r="H462" s="886"/>
      <c r="I462" s="886"/>
      <c r="J462" s="886"/>
      <c r="K462" s="886"/>
      <c r="L462" s="886"/>
      <c r="M462" s="886"/>
      <c r="N462" s="886"/>
      <c r="O462" s="886"/>
      <c r="P462" s="886"/>
      <c r="Q462" s="886"/>
      <c r="R462" s="886"/>
      <c r="S462" s="886"/>
      <c r="T462" s="886"/>
      <c r="U462" s="886"/>
      <c r="V462" s="886"/>
      <c r="W462" s="886"/>
    </row>
    <row r="463" spans="3:23">
      <c r="C463" s="942"/>
      <c r="D463" s="942"/>
      <c r="E463" s="943"/>
      <c r="F463" s="886"/>
      <c r="G463" s="886"/>
      <c r="H463" s="886"/>
      <c r="I463" s="886"/>
      <c r="J463" s="886"/>
      <c r="K463" s="886"/>
      <c r="L463" s="886"/>
      <c r="M463" s="886"/>
      <c r="N463" s="886"/>
      <c r="O463" s="886"/>
      <c r="P463" s="886"/>
      <c r="Q463" s="886"/>
      <c r="R463" s="886"/>
      <c r="S463" s="886"/>
      <c r="T463" s="886"/>
      <c r="U463" s="886"/>
      <c r="V463" s="886"/>
      <c r="W463" s="886"/>
    </row>
    <row r="464" spans="3:23">
      <c r="C464" s="942"/>
      <c r="D464" s="942"/>
      <c r="E464" s="943"/>
      <c r="F464" s="886"/>
      <c r="G464" s="886"/>
      <c r="H464" s="886"/>
      <c r="I464" s="886"/>
      <c r="J464" s="886"/>
      <c r="K464" s="886"/>
      <c r="L464" s="886"/>
      <c r="M464" s="886"/>
      <c r="N464" s="886"/>
      <c r="O464" s="886"/>
      <c r="P464" s="886"/>
      <c r="Q464" s="886"/>
      <c r="R464" s="886"/>
      <c r="S464" s="886"/>
      <c r="T464" s="886"/>
      <c r="U464" s="886"/>
      <c r="V464" s="886"/>
      <c r="W464" s="886"/>
    </row>
    <row r="465" spans="3:23">
      <c r="C465" s="942"/>
      <c r="D465" s="942"/>
      <c r="E465" s="943"/>
      <c r="F465" s="886"/>
      <c r="G465" s="886"/>
      <c r="H465" s="886"/>
      <c r="I465" s="886"/>
      <c r="J465" s="886"/>
      <c r="K465" s="886"/>
      <c r="L465" s="886"/>
      <c r="M465" s="886"/>
      <c r="N465" s="886"/>
      <c r="O465" s="886"/>
      <c r="P465" s="886"/>
      <c r="Q465" s="886"/>
      <c r="R465" s="886"/>
      <c r="S465" s="886"/>
      <c r="T465" s="886"/>
      <c r="U465" s="886"/>
      <c r="V465" s="886"/>
      <c r="W465" s="886"/>
    </row>
    <row r="466" spans="3:23">
      <c r="C466" s="942"/>
      <c r="D466" s="942"/>
      <c r="E466" s="943"/>
      <c r="F466" s="886"/>
      <c r="G466" s="886"/>
      <c r="H466" s="886"/>
      <c r="I466" s="886"/>
      <c r="J466" s="886"/>
      <c r="K466" s="886"/>
      <c r="L466" s="886"/>
      <c r="M466" s="886"/>
      <c r="N466" s="886"/>
      <c r="O466" s="886"/>
      <c r="P466" s="886"/>
      <c r="Q466" s="886"/>
      <c r="R466" s="886"/>
      <c r="S466" s="886"/>
      <c r="T466" s="886"/>
      <c r="U466" s="886"/>
      <c r="V466" s="886"/>
      <c r="W466" s="886"/>
    </row>
    <row r="467" spans="3:23">
      <c r="C467" s="942"/>
      <c r="D467" s="942"/>
      <c r="E467" s="943"/>
      <c r="F467" s="886"/>
      <c r="G467" s="886"/>
      <c r="H467" s="886"/>
      <c r="I467" s="886"/>
      <c r="J467" s="886"/>
      <c r="K467" s="886"/>
      <c r="L467" s="886"/>
      <c r="M467" s="886"/>
      <c r="N467" s="886"/>
      <c r="O467" s="886"/>
      <c r="P467" s="886"/>
      <c r="Q467" s="886"/>
      <c r="R467" s="886"/>
      <c r="S467" s="886"/>
      <c r="T467" s="886"/>
      <c r="U467" s="886"/>
      <c r="V467" s="886"/>
      <c r="W467" s="886"/>
    </row>
    <row r="468" spans="3:23">
      <c r="C468" s="942"/>
      <c r="D468" s="942"/>
      <c r="E468" s="943"/>
      <c r="F468" s="886"/>
      <c r="G468" s="886"/>
      <c r="H468" s="886"/>
      <c r="I468" s="886"/>
      <c r="J468" s="886"/>
      <c r="K468" s="886"/>
      <c r="L468" s="886"/>
      <c r="M468" s="886"/>
      <c r="N468" s="886"/>
      <c r="O468" s="886"/>
      <c r="P468" s="886"/>
      <c r="Q468" s="886"/>
      <c r="R468" s="886"/>
      <c r="S468" s="886"/>
      <c r="T468" s="886"/>
      <c r="U468" s="886"/>
      <c r="V468" s="886"/>
      <c r="W468" s="886"/>
    </row>
    <row r="469" spans="3:23">
      <c r="C469" s="942"/>
      <c r="D469" s="942"/>
      <c r="E469" s="943"/>
      <c r="F469" s="886"/>
      <c r="G469" s="886"/>
      <c r="H469" s="886"/>
      <c r="I469" s="886"/>
      <c r="J469" s="886"/>
      <c r="K469" s="886"/>
      <c r="L469" s="886"/>
      <c r="M469" s="886"/>
      <c r="N469" s="886"/>
      <c r="O469" s="886"/>
      <c r="P469" s="886"/>
      <c r="Q469" s="886"/>
      <c r="R469" s="886"/>
      <c r="S469" s="886"/>
      <c r="T469" s="886"/>
      <c r="U469" s="886"/>
      <c r="V469" s="886"/>
      <c r="W469" s="886"/>
    </row>
    <row r="470" spans="3:23">
      <c r="C470" s="942"/>
      <c r="D470" s="942"/>
      <c r="E470" s="943"/>
      <c r="F470" s="886"/>
      <c r="G470" s="886"/>
      <c r="H470" s="886"/>
      <c r="I470" s="886"/>
      <c r="J470" s="886"/>
      <c r="K470" s="886"/>
      <c r="L470" s="886"/>
      <c r="M470" s="886"/>
      <c r="N470" s="886"/>
      <c r="O470" s="886"/>
      <c r="P470" s="886"/>
      <c r="Q470" s="886"/>
      <c r="R470" s="886"/>
      <c r="S470" s="886"/>
      <c r="T470" s="886"/>
      <c r="U470" s="886"/>
      <c r="V470" s="886"/>
      <c r="W470" s="886"/>
    </row>
    <row r="471" spans="3:23">
      <c r="C471" s="942"/>
      <c r="D471" s="942"/>
      <c r="E471" s="943"/>
      <c r="F471" s="886"/>
      <c r="G471" s="886"/>
      <c r="H471" s="886"/>
      <c r="I471" s="886"/>
      <c r="J471" s="886"/>
      <c r="K471" s="886"/>
      <c r="L471" s="886"/>
      <c r="M471" s="886"/>
      <c r="N471" s="886"/>
      <c r="O471" s="886"/>
      <c r="P471" s="886"/>
      <c r="Q471" s="886"/>
      <c r="R471" s="886"/>
      <c r="S471" s="886"/>
      <c r="T471" s="886"/>
      <c r="U471" s="886"/>
      <c r="V471" s="886"/>
      <c r="W471" s="886"/>
    </row>
    <row r="472" spans="3:23">
      <c r="C472" s="942"/>
      <c r="D472" s="942"/>
      <c r="E472" s="943"/>
      <c r="F472" s="886"/>
      <c r="G472" s="886"/>
      <c r="H472" s="886"/>
      <c r="I472" s="886"/>
      <c r="J472" s="886"/>
      <c r="K472" s="886"/>
      <c r="L472" s="886"/>
      <c r="M472" s="886"/>
      <c r="N472" s="886"/>
      <c r="O472" s="886"/>
      <c r="P472" s="886"/>
      <c r="Q472" s="886"/>
      <c r="R472" s="886"/>
      <c r="S472" s="886"/>
      <c r="T472" s="886"/>
      <c r="U472" s="886"/>
      <c r="V472" s="886"/>
      <c r="W472" s="886"/>
    </row>
    <row r="473" spans="3:23">
      <c r="C473" s="942"/>
      <c r="D473" s="942"/>
      <c r="E473" s="943"/>
      <c r="F473" s="886"/>
      <c r="G473" s="886"/>
      <c r="H473" s="886"/>
      <c r="I473" s="886"/>
      <c r="J473" s="886"/>
      <c r="K473" s="886"/>
      <c r="L473" s="886"/>
      <c r="M473" s="886"/>
      <c r="N473" s="886"/>
      <c r="O473" s="886"/>
      <c r="P473" s="886"/>
      <c r="Q473" s="886"/>
      <c r="R473" s="886"/>
      <c r="S473" s="886"/>
      <c r="T473" s="886"/>
      <c r="U473" s="886"/>
      <c r="V473" s="886"/>
      <c r="W473" s="886"/>
    </row>
    <row r="474" spans="3:23">
      <c r="C474" s="942"/>
      <c r="D474" s="942"/>
      <c r="E474" s="943"/>
      <c r="F474" s="886"/>
      <c r="G474" s="886"/>
      <c r="H474" s="886"/>
      <c r="I474" s="886"/>
      <c r="J474" s="886"/>
      <c r="K474" s="886"/>
      <c r="L474" s="886"/>
      <c r="M474" s="886"/>
      <c r="N474" s="886"/>
      <c r="O474" s="886"/>
      <c r="P474" s="886"/>
      <c r="Q474" s="886"/>
      <c r="R474" s="886"/>
      <c r="S474" s="886"/>
      <c r="T474" s="886"/>
      <c r="U474" s="886"/>
      <c r="V474" s="886"/>
      <c r="W474" s="886"/>
    </row>
    <row r="475" spans="3:23">
      <c r="C475" s="942"/>
      <c r="D475" s="942"/>
      <c r="E475" s="943"/>
      <c r="F475" s="886"/>
      <c r="G475" s="886"/>
      <c r="H475" s="886"/>
      <c r="I475" s="886"/>
      <c r="J475" s="886"/>
      <c r="K475" s="886"/>
      <c r="L475" s="886"/>
      <c r="M475" s="886"/>
      <c r="N475" s="886"/>
      <c r="O475" s="886"/>
      <c r="P475" s="886"/>
      <c r="Q475" s="886"/>
      <c r="R475" s="886"/>
      <c r="S475" s="886"/>
      <c r="T475" s="886"/>
      <c r="U475" s="886"/>
      <c r="V475" s="886"/>
      <c r="W475" s="886"/>
    </row>
    <row r="476" spans="3:23">
      <c r="C476" s="942"/>
      <c r="D476" s="942"/>
      <c r="E476" s="943"/>
      <c r="F476" s="886"/>
      <c r="G476" s="886"/>
      <c r="H476" s="886"/>
      <c r="I476" s="886"/>
      <c r="J476" s="886"/>
      <c r="K476" s="886"/>
      <c r="L476" s="886"/>
      <c r="M476" s="886"/>
      <c r="N476" s="886"/>
      <c r="O476" s="886"/>
      <c r="P476" s="886"/>
      <c r="Q476" s="886"/>
      <c r="R476" s="886"/>
      <c r="S476" s="886"/>
      <c r="T476" s="886"/>
      <c r="U476" s="886"/>
      <c r="V476" s="886"/>
      <c r="W476" s="886"/>
    </row>
    <row r="477" spans="3:23">
      <c r="C477" s="942"/>
      <c r="D477" s="942"/>
      <c r="E477" s="943"/>
      <c r="F477" s="886"/>
      <c r="G477" s="886"/>
      <c r="H477" s="886"/>
      <c r="I477" s="886"/>
      <c r="J477" s="886"/>
      <c r="K477" s="886"/>
      <c r="L477" s="886"/>
      <c r="M477" s="886"/>
      <c r="N477" s="886"/>
      <c r="O477" s="886"/>
      <c r="P477" s="886"/>
      <c r="Q477" s="886"/>
      <c r="R477" s="886"/>
      <c r="S477" s="886"/>
      <c r="T477" s="886"/>
      <c r="U477" s="886"/>
      <c r="V477" s="886"/>
      <c r="W477" s="886"/>
    </row>
    <row r="478" spans="3:23">
      <c r="C478" s="942"/>
      <c r="D478" s="942"/>
      <c r="E478" s="943"/>
      <c r="F478" s="886"/>
      <c r="G478" s="886"/>
      <c r="H478" s="886"/>
      <c r="I478" s="886"/>
      <c r="J478" s="886"/>
      <c r="K478" s="886"/>
      <c r="L478" s="886"/>
      <c r="M478" s="886"/>
      <c r="N478" s="886"/>
      <c r="O478" s="886"/>
      <c r="P478" s="886"/>
      <c r="Q478" s="886"/>
      <c r="R478" s="886"/>
      <c r="S478" s="886"/>
      <c r="T478" s="886"/>
      <c r="U478" s="886"/>
      <c r="V478" s="886"/>
      <c r="W478" s="886"/>
    </row>
    <row r="479" spans="3:23">
      <c r="C479" s="942"/>
      <c r="D479" s="942"/>
      <c r="E479" s="943"/>
      <c r="F479" s="886"/>
      <c r="G479" s="886"/>
      <c r="H479" s="886"/>
      <c r="I479" s="886"/>
      <c r="J479" s="886"/>
      <c r="K479" s="886"/>
      <c r="L479" s="886"/>
      <c r="M479" s="886"/>
      <c r="N479" s="886"/>
      <c r="O479" s="886"/>
      <c r="P479" s="886"/>
      <c r="Q479" s="886"/>
      <c r="R479" s="886"/>
      <c r="S479" s="886"/>
      <c r="T479" s="886"/>
      <c r="U479" s="886"/>
      <c r="V479" s="886"/>
      <c r="W479" s="886"/>
    </row>
    <row r="480" spans="3:23">
      <c r="C480" s="942"/>
      <c r="D480" s="942"/>
      <c r="E480" s="943"/>
      <c r="F480" s="886"/>
      <c r="G480" s="886"/>
      <c r="H480" s="886"/>
      <c r="I480" s="886"/>
      <c r="J480" s="886"/>
      <c r="K480" s="886"/>
      <c r="L480" s="886"/>
      <c r="M480" s="886"/>
      <c r="N480" s="886"/>
      <c r="O480" s="886"/>
      <c r="P480" s="886"/>
      <c r="Q480" s="886"/>
      <c r="R480" s="886"/>
      <c r="S480" s="886"/>
      <c r="T480" s="886"/>
      <c r="U480" s="886"/>
      <c r="V480" s="886"/>
      <c r="W480" s="886"/>
    </row>
    <row r="481" spans="3:23">
      <c r="C481" s="942"/>
      <c r="D481" s="942"/>
      <c r="E481" s="943"/>
      <c r="F481" s="886"/>
      <c r="G481" s="886"/>
      <c r="H481" s="886"/>
      <c r="I481" s="886"/>
      <c r="J481" s="886"/>
      <c r="K481" s="886"/>
      <c r="L481" s="886"/>
      <c r="M481" s="886"/>
      <c r="N481" s="886"/>
      <c r="O481" s="886"/>
      <c r="P481" s="886"/>
      <c r="Q481" s="886"/>
      <c r="R481" s="886"/>
      <c r="S481" s="886"/>
      <c r="T481" s="886"/>
      <c r="U481" s="886"/>
      <c r="V481" s="886"/>
      <c r="W481" s="886"/>
    </row>
    <row r="482" spans="3:23">
      <c r="C482" s="942"/>
      <c r="D482" s="942"/>
      <c r="E482" s="943"/>
      <c r="F482" s="886"/>
      <c r="G482" s="886"/>
      <c r="H482" s="886"/>
      <c r="I482" s="886"/>
      <c r="J482" s="886"/>
      <c r="K482" s="886"/>
      <c r="L482" s="886"/>
      <c r="M482" s="886"/>
      <c r="N482" s="886"/>
      <c r="O482" s="886"/>
      <c r="P482" s="886"/>
      <c r="Q482" s="886"/>
      <c r="R482" s="886"/>
      <c r="S482" s="886"/>
      <c r="T482" s="886"/>
      <c r="U482" s="886"/>
      <c r="V482" s="886"/>
      <c r="W482" s="886"/>
    </row>
    <row r="483" spans="3:23">
      <c r="C483" s="942"/>
      <c r="D483" s="942"/>
      <c r="E483" s="943"/>
      <c r="F483" s="886"/>
      <c r="G483" s="886"/>
      <c r="H483" s="886"/>
      <c r="I483" s="886"/>
      <c r="J483" s="886"/>
      <c r="K483" s="886"/>
      <c r="L483" s="886"/>
      <c r="M483" s="886"/>
      <c r="N483" s="886"/>
      <c r="O483" s="886"/>
      <c r="P483" s="886"/>
      <c r="Q483" s="886"/>
      <c r="R483" s="886"/>
      <c r="S483" s="886"/>
      <c r="T483" s="886"/>
      <c r="U483" s="886"/>
      <c r="V483" s="886"/>
      <c r="W483" s="886"/>
    </row>
    <row r="484" spans="3:23">
      <c r="C484" s="942"/>
      <c r="D484" s="942"/>
      <c r="E484" s="943"/>
      <c r="F484" s="886"/>
      <c r="G484" s="886"/>
      <c r="H484" s="886"/>
      <c r="I484" s="886"/>
      <c r="J484" s="886"/>
      <c r="K484" s="886"/>
      <c r="L484" s="886"/>
      <c r="M484" s="886"/>
      <c r="N484" s="886"/>
      <c r="O484" s="886"/>
      <c r="P484" s="886"/>
      <c r="Q484" s="886"/>
      <c r="R484" s="886"/>
      <c r="S484" s="886"/>
      <c r="T484" s="886"/>
      <c r="U484" s="886"/>
      <c r="V484" s="886"/>
      <c r="W484" s="886"/>
    </row>
    <row r="485" spans="3:23">
      <c r="C485" s="942"/>
      <c r="D485" s="942"/>
      <c r="E485" s="943"/>
      <c r="F485" s="886"/>
      <c r="G485" s="886"/>
      <c r="H485" s="886"/>
      <c r="I485" s="886"/>
      <c r="J485" s="886"/>
      <c r="K485" s="886"/>
      <c r="L485" s="886"/>
      <c r="M485" s="886"/>
      <c r="N485" s="886"/>
      <c r="O485" s="886"/>
      <c r="P485" s="886"/>
      <c r="Q485" s="886"/>
      <c r="R485" s="886"/>
      <c r="S485" s="886"/>
      <c r="T485" s="886"/>
      <c r="U485" s="886"/>
      <c r="V485" s="886"/>
      <c r="W485" s="886"/>
    </row>
    <row r="486" spans="3:23">
      <c r="C486" s="942"/>
      <c r="D486" s="942"/>
      <c r="E486" s="943"/>
      <c r="F486" s="886"/>
      <c r="G486" s="886"/>
      <c r="H486" s="886"/>
      <c r="I486" s="886"/>
      <c r="J486" s="886"/>
      <c r="K486" s="886"/>
      <c r="L486" s="886"/>
      <c r="M486" s="886"/>
      <c r="N486" s="886"/>
      <c r="O486" s="886"/>
      <c r="P486" s="886"/>
      <c r="Q486" s="886"/>
      <c r="R486" s="886"/>
      <c r="S486" s="886"/>
      <c r="T486" s="886"/>
      <c r="U486" s="886"/>
      <c r="V486" s="886"/>
      <c r="W486" s="886"/>
    </row>
    <row r="487" spans="3:23">
      <c r="C487" s="942"/>
      <c r="D487" s="942"/>
      <c r="E487" s="943"/>
      <c r="F487" s="886"/>
      <c r="G487" s="886"/>
      <c r="H487" s="886"/>
      <c r="I487" s="886"/>
      <c r="J487" s="886"/>
      <c r="K487" s="886"/>
      <c r="L487" s="886"/>
      <c r="M487" s="886"/>
      <c r="N487" s="886"/>
      <c r="O487" s="886"/>
      <c r="P487" s="886"/>
      <c r="Q487" s="886"/>
      <c r="R487" s="886"/>
      <c r="S487" s="886"/>
      <c r="T487" s="886"/>
      <c r="U487" s="886"/>
      <c r="V487" s="886"/>
      <c r="W487" s="886"/>
    </row>
    <row r="488" spans="3:23">
      <c r="C488" s="942"/>
      <c r="D488" s="942"/>
      <c r="E488" s="943"/>
      <c r="F488" s="886"/>
      <c r="G488" s="886"/>
      <c r="H488" s="886"/>
      <c r="I488" s="886"/>
      <c r="J488" s="886"/>
      <c r="K488" s="886"/>
      <c r="L488" s="886"/>
      <c r="M488" s="886"/>
      <c r="N488" s="886"/>
      <c r="O488" s="886"/>
      <c r="P488" s="886"/>
      <c r="Q488" s="886"/>
      <c r="R488" s="886"/>
      <c r="S488" s="886"/>
      <c r="T488" s="886"/>
      <c r="U488" s="886"/>
      <c r="V488" s="886"/>
      <c r="W488" s="886"/>
    </row>
    <row r="489" spans="3:23">
      <c r="C489" s="942"/>
      <c r="D489" s="942"/>
      <c r="E489" s="943"/>
      <c r="F489" s="886"/>
      <c r="G489" s="886"/>
      <c r="H489" s="886"/>
      <c r="I489" s="886"/>
      <c r="J489" s="886"/>
      <c r="K489" s="886"/>
      <c r="L489" s="886"/>
      <c r="M489" s="886"/>
      <c r="N489" s="886"/>
      <c r="O489" s="886"/>
      <c r="P489" s="886"/>
      <c r="Q489" s="886"/>
      <c r="R489" s="886"/>
      <c r="S489" s="886"/>
      <c r="T489" s="886"/>
      <c r="U489" s="886"/>
      <c r="V489" s="886"/>
      <c r="W489" s="886"/>
    </row>
    <row r="490" spans="3:23">
      <c r="C490" s="942"/>
      <c r="D490" s="942"/>
      <c r="E490" s="943"/>
      <c r="F490" s="886"/>
      <c r="G490" s="886"/>
      <c r="H490" s="886"/>
      <c r="I490" s="886"/>
      <c r="J490" s="886"/>
      <c r="K490" s="886"/>
      <c r="L490" s="886"/>
      <c r="M490" s="886"/>
      <c r="N490" s="886"/>
      <c r="O490" s="886"/>
      <c r="P490" s="886"/>
      <c r="Q490" s="886"/>
      <c r="R490" s="886"/>
      <c r="S490" s="886"/>
      <c r="T490" s="886"/>
      <c r="U490" s="886"/>
      <c r="V490" s="886"/>
      <c r="W490" s="886"/>
    </row>
    <row r="491" spans="3:23">
      <c r="C491" s="942"/>
      <c r="D491" s="942"/>
      <c r="E491" s="943"/>
      <c r="F491" s="886"/>
      <c r="G491" s="886"/>
      <c r="H491" s="886"/>
      <c r="I491" s="886"/>
      <c r="J491" s="886"/>
      <c r="K491" s="886"/>
      <c r="L491" s="886"/>
      <c r="M491" s="886"/>
      <c r="N491" s="886"/>
      <c r="O491" s="886"/>
      <c r="P491" s="886"/>
      <c r="Q491" s="886"/>
      <c r="R491" s="886"/>
      <c r="S491" s="886"/>
      <c r="T491" s="886"/>
      <c r="U491" s="886"/>
      <c r="V491" s="886"/>
      <c r="W491" s="886"/>
    </row>
    <row r="492" spans="3:23">
      <c r="C492" s="942"/>
      <c r="D492" s="942"/>
      <c r="E492" s="943"/>
      <c r="F492" s="886"/>
      <c r="G492" s="886"/>
      <c r="H492" s="886"/>
      <c r="I492" s="886"/>
      <c r="J492" s="886"/>
      <c r="K492" s="886"/>
      <c r="L492" s="886"/>
      <c r="M492" s="886"/>
      <c r="N492" s="886"/>
      <c r="O492" s="886"/>
      <c r="P492" s="886"/>
      <c r="Q492" s="886"/>
      <c r="R492" s="886"/>
      <c r="S492" s="886"/>
      <c r="T492" s="886"/>
      <c r="U492" s="886"/>
      <c r="V492" s="886"/>
      <c r="W492" s="886"/>
    </row>
    <row r="493" spans="3:23">
      <c r="C493" s="942"/>
      <c r="D493" s="942"/>
      <c r="E493" s="943"/>
      <c r="F493" s="886"/>
      <c r="G493" s="886"/>
      <c r="H493" s="886"/>
      <c r="I493" s="886"/>
      <c r="J493" s="886"/>
      <c r="K493" s="886"/>
      <c r="L493" s="886"/>
      <c r="M493" s="886"/>
      <c r="N493" s="886"/>
      <c r="O493" s="886"/>
      <c r="P493" s="886"/>
      <c r="Q493" s="886"/>
      <c r="R493" s="886"/>
      <c r="S493" s="886"/>
      <c r="T493" s="886"/>
      <c r="U493" s="886"/>
      <c r="V493" s="886"/>
      <c r="W493" s="886"/>
    </row>
    <row r="494" spans="3:23">
      <c r="C494" s="942"/>
      <c r="D494" s="942"/>
      <c r="E494" s="943"/>
      <c r="F494" s="886"/>
      <c r="G494" s="886"/>
      <c r="H494" s="886"/>
      <c r="I494" s="886"/>
      <c r="J494" s="886"/>
      <c r="K494" s="886"/>
      <c r="L494" s="886"/>
      <c r="M494" s="886"/>
      <c r="N494" s="886"/>
      <c r="O494" s="886"/>
      <c r="P494" s="886"/>
      <c r="Q494" s="886"/>
      <c r="R494" s="886"/>
      <c r="S494" s="886"/>
      <c r="T494" s="886"/>
      <c r="U494" s="886"/>
      <c r="V494" s="886"/>
      <c r="W494" s="886"/>
    </row>
    <row r="495" spans="3:23">
      <c r="C495" s="942"/>
      <c r="D495" s="942"/>
      <c r="E495" s="943"/>
      <c r="F495" s="886"/>
      <c r="G495" s="886"/>
      <c r="H495" s="886"/>
      <c r="I495" s="886"/>
      <c r="J495" s="886"/>
      <c r="K495" s="886"/>
      <c r="L495" s="886"/>
      <c r="M495" s="886"/>
      <c r="N495" s="886"/>
      <c r="O495" s="886"/>
      <c r="P495" s="886"/>
      <c r="Q495" s="886"/>
      <c r="R495" s="886"/>
      <c r="S495" s="886"/>
      <c r="T495" s="886"/>
      <c r="U495" s="886"/>
      <c r="V495" s="886"/>
      <c r="W495" s="886"/>
    </row>
    <row r="496" spans="3:23">
      <c r="C496" s="942"/>
      <c r="D496" s="942"/>
      <c r="E496" s="943"/>
      <c r="F496" s="886"/>
      <c r="G496" s="886"/>
      <c r="H496" s="886"/>
      <c r="I496" s="886"/>
      <c r="J496" s="886"/>
      <c r="K496" s="886"/>
      <c r="L496" s="886"/>
      <c r="M496" s="886"/>
      <c r="N496" s="886"/>
      <c r="O496" s="886"/>
      <c r="P496" s="886"/>
      <c r="Q496" s="886"/>
      <c r="R496" s="886"/>
      <c r="S496" s="886"/>
      <c r="T496" s="886"/>
      <c r="U496" s="886"/>
      <c r="V496" s="886"/>
      <c r="W496" s="886"/>
    </row>
    <row r="497" spans="3:23">
      <c r="C497" s="942"/>
      <c r="D497" s="942"/>
      <c r="E497" s="943"/>
      <c r="F497" s="886"/>
      <c r="G497" s="886"/>
      <c r="H497" s="886"/>
      <c r="I497" s="886"/>
      <c r="J497" s="886"/>
      <c r="K497" s="886"/>
      <c r="L497" s="886"/>
      <c r="M497" s="886"/>
      <c r="N497" s="886"/>
      <c r="O497" s="886"/>
      <c r="P497" s="886"/>
      <c r="Q497" s="886"/>
      <c r="R497" s="886"/>
      <c r="S497" s="886"/>
      <c r="T497" s="886"/>
      <c r="U497" s="886"/>
      <c r="V497" s="886"/>
      <c r="W497" s="886"/>
    </row>
    <row r="498" spans="3:23">
      <c r="C498" s="942"/>
      <c r="D498" s="942"/>
      <c r="E498" s="943"/>
      <c r="F498" s="886"/>
      <c r="G498" s="886"/>
      <c r="H498" s="886"/>
      <c r="I498" s="886"/>
      <c r="J498" s="886"/>
      <c r="K498" s="886"/>
      <c r="L498" s="886"/>
      <c r="M498" s="886"/>
      <c r="N498" s="886"/>
      <c r="O498" s="886"/>
      <c r="P498" s="886"/>
      <c r="Q498" s="886"/>
      <c r="R498" s="886"/>
      <c r="S498" s="886"/>
      <c r="T498" s="886"/>
      <c r="U498" s="886"/>
      <c r="V498" s="886"/>
      <c r="W498" s="886"/>
    </row>
    <row r="499" spans="3:23">
      <c r="C499" s="942"/>
      <c r="D499" s="942"/>
      <c r="E499" s="943"/>
      <c r="F499" s="886"/>
      <c r="G499" s="886"/>
      <c r="H499" s="886"/>
      <c r="I499" s="886"/>
      <c r="J499" s="886"/>
      <c r="K499" s="886"/>
      <c r="L499" s="886"/>
      <c r="M499" s="886"/>
      <c r="N499" s="886"/>
      <c r="O499" s="886"/>
      <c r="P499" s="886"/>
      <c r="Q499" s="886"/>
      <c r="R499" s="886"/>
      <c r="S499" s="886"/>
      <c r="T499" s="886"/>
      <c r="U499" s="886"/>
      <c r="V499" s="886"/>
      <c r="W499" s="886"/>
    </row>
    <row r="500" spans="3:23">
      <c r="C500" s="942"/>
      <c r="D500" s="942"/>
      <c r="E500" s="943"/>
      <c r="F500" s="886"/>
      <c r="G500" s="886"/>
      <c r="H500" s="886"/>
      <c r="I500" s="886"/>
      <c r="J500" s="886"/>
      <c r="K500" s="886"/>
      <c r="L500" s="886"/>
      <c r="M500" s="886"/>
      <c r="N500" s="886"/>
      <c r="O500" s="886"/>
      <c r="P500" s="886"/>
      <c r="Q500" s="886"/>
      <c r="R500" s="886"/>
      <c r="S500" s="886"/>
      <c r="T500" s="886"/>
      <c r="U500" s="886"/>
      <c r="V500" s="886"/>
      <c r="W500" s="886"/>
    </row>
    <row r="501" spans="3:23">
      <c r="C501" s="942"/>
      <c r="D501" s="942"/>
      <c r="E501" s="943"/>
      <c r="F501" s="886"/>
      <c r="G501" s="886"/>
      <c r="H501" s="886"/>
      <c r="I501" s="886"/>
      <c r="J501" s="886"/>
      <c r="K501" s="886"/>
      <c r="L501" s="886"/>
      <c r="M501" s="886"/>
      <c r="N501" s="886"/>
      <c r="O501" s="886"/>
      <c r="P501" s="886"/>
      <c r="Q501" s="886"/>
      <c r="R501" s="886"/>
      <c r="S501" s="886"/>
      <c r="T501" s="886"/>
      <c r="U501" s="886"/>
      <c r="V501" s="886"/>
      <c r="W501" s="886"/>
    </row>
    <row r="502" spans="3:23">
      <c r="C502" s="942"/>
      <c r="D502" s="942"/>
      <c r="E502" s="943"/>
      <c r="F502" s="886"/>
      <c r="G502" s="886"/>
      <c r="H502" s="886"/>
      <c r="I502" s="886"/>
      <c r="J502" s="886"/>
      <c r="K502" s="886"/>
      <c r="L502" s="886"/>
      <c r="M502" s="886"/>
      <c r="N502" s="886"/>
      <c r="O502" s="886"/>
      <c r="P502" s="886"/>
      <c r="Q502" s="886"/>
      <c r="R502" s="886"/>
      <c r="S502" s="886"/>
      <c r="T502" s="886"/>
      <c r="U502" s="886"/>
      <c r="V502" s="886"/>
      <c r="W502" s="886"/>
    </row>
    <row r="503" spans="3:23">
      <c r="C503" s="942"/>
      <c r="D503" s="942"/>
      <c r="E503" s="943"/>
      <c r="F503" s="886"/>
      <c r="G503" s="886"/>
      <c r="H503" s="886"/>
      <c r="I503" s="886"/>
      <c r="J503" s="886"/>
      <c r="K503" s="886"/>
      <c r="L503" s="886"/>
      <c r="M503" s="886"/>
      <c r="N503" s="886"/>
      <c r="O503" s="886"/>
      <c r="P503" s="886"/>
      <c r="Q503" s="886"/>
      <c r="R503" s="886"/>
      <c r="S503" s="886"/>
      <c r="T503" s="886"/>
      <c r="U503" s="886"/>
      <c r="V503" s="886"/>
      <c r="W503" s="886"/>
    </row>
    <row r="504" spans="3:23">
      <c r="C504" s="942"/>
      <c r="D504" s="942"/>
      <c r="E504" s="943"/>
      <c r="F504" s="886"/>
      <c r="G504" s="886"/>
      <c r="H504" s="886"/>
      <c r="I504" s="886"/>
      <c r="J504" s="886"/>
      <c r="K504" s="886"/>
      <c r="L504" s="886"/>
      <c r="M504" s="886"/>
      <c r="N504" s="886"/>
      <c r="O504" s="886"/>
      <c r="P504" s="886"/>
      <c r="Q504" s="886"/>
      <c r="R504" s="886"/>
      <c r="S504" s="886"/>
      <c r="T504" s="886"/>
      <c r="U504" s="886"/>
      <c r="V504" s="886"/>
      <c r="W504" s="886"/>
    </row>
    <row r="505" spans="3:23">
      <c r="C505" s="942"/>
      <c r="D505" s="942"/>
      <c r="E505" s="943"/>
      <c r="F505" s="886"/>
      <c r="G505" s="886"/>
      <c r="H505" s="886"/>
      <c r="I505" s="886"/>
      <c r="J505" s="886"/>
      <c r="K505" s="886"/>
      <c r="L505" s="886"/>
      <c r="M505" s="886"/>
      <c r="N505" s="886"/>
      <c r="O505" s="886"/>
      <c r="P505" s="886"/>
      <c r="Q505" s="886"/>
      <c r="R505" s="886"/>
      <c r="S505" s="886"/>
      <c r="T505" s="886"/>
      <c r="U505" s="886"/>
      <c r="V505" s="886"/>
      <c r="W505" s="886"/>
    </row>
    <row r="506" spans="3:23">
      <c r="C506" s="942"/>
      <c r="D506" s="942"/>
      <c r="E506" s="943"/>
      <c r="F506" s="886"/>
      <c r="G506" s="886"/>
      <c r="H506" s="886"/>
      <c r="I506" s="886"/>
      <c r="J506" s="886"/>
      <c r="K506" s="886"/>
      <c r="L506" s="886"/>
      <c r="M506" s="886"/>
      <c r="N506" s="886"/>
      <c r="O506" s="886"/>
      <c r="P506" s="886"/>
      <c r="Q506" s="886"/>
      <c r="R506" s="886"/>
      <c r="S506" s="886"/>
      <c r="T506" s="886"/>
      <c r="U506" s="886"/>
      <c r="V506" s="886"/>
      <c r="W506" s="886"/>
    </row>
    <row r="507" spans="3:23">
      <c r="C507" s="942"/>
      <c r="D507" s="942"/>
      <c r="E507" s="943"/>
      <c r="F507" s="886"/>
      <c r="G507" s="886"/>
      <c r="H507" s="886"/>
      <c r="I507" s="886"/>
      <c r="J507" s="886"/>
      <c r="K507" s="886"/>
      <c r="L507" s="886"/>
      <c r="M507" s="886"/>
      <c r="N507" s="886"/>
      <c r="O507" s="886"/>
      <c r="P507" s="886"/>
      <c r="Q507" s="886"/>
      <c r="R507" s="886"/>
      <c r="S507" s="886"/>
      <c r="T507" s="886"/>
      <c r="U507" s="886"/>
      <c r="V507" s="886"/>
      <c r="W507" s="886"/>
    </row>
    <row r="508" spans="3:23">
      <c r="C508" s="942"/>
      <c r="D508" s="942"/>
      <c r="E508" s="943"/>
      <c r="F508" s="886"/>
      <c r="G508" s="886"/>
      <c r="H508" s="886"/>
      <c r="I508" s="886"/>
      <c r="J508" s="886"/>
      <c r="K508" s="886"/>
      <c r="L508" s="886"/>
      <c r="M508" s="886"/>
      <c r="N508" s="886"/>
      <c r="O508" s="886"/>
      <c r="P508" s="886"/>
      <c r="Q508" s="886"/>
      <c r="R508" s="886"/>
      <c r="S508" s="886"/>
      <c r="T508" s="886"/>
      <c r="U508" s="886"/>
      <c r="V508" s="886"/>
      <c r="W508" s="886"/>
    </row>
    <row r="509" spans="3:23">
      <c r="C509" s="942"/>
      <c r="D509" s="942"/>
      <c r="E509" s="943"/>
      <c r="F509" s="886"/>
      <c r="G509" s="886"/>
      <c r="H509" s="886"/>
      <c r="I509" s="886"/>
      <c r="J509" s="886"/>
      <c r="K509" s="886"/>
      <c r="L509" s="886"/>
      <c r="M509" s="886"/>
      <c r="N509" s="886"/>
      <c r="O509" s="886"/>
      <c r="P509" s="886"/>
      <c r="Q509" s="886"/>
      <c r="R509" s="886"/>
      <c r="S509" s="886"/>
      <c r="T509" s="886"/>
      <c r="U509" s="886"/>
      <c r="V509" s="886"/>
      <c r="W509" s="886"/>
    </row>
    <row r="510" spans="3:23">
      <c r="C510" s="942"/>
      <c r="D510" s="942"/>
      <c r="E510" s="943"/>
      <c r="F510" s="886"/>
      <c r="G510" s="886"/>
      <c r="H510" s="886"/>
      <c r="I510" s="886"/>
      <c r="J510" s="886"/>
      <c r="K510" s="886"/>
      <c r="L510" s="886"/>
      <c r="M510" s="886"/>
      <c r="N510" s="886"/>
      <c r="O510" s="886"/>
      <c r="P510" s="886"/>
      <c r="Q510" s="886"/>
      <c r="R510" s="886"/>
      <c r="S510" s="886"/>
      <c r="T510" s="886"/>
      <c r="U510" s="886"/>
      <c r="V510" s="886"/>
      <c r="W510" s="886"/>
    </row>
    <row r="511" spans="3:23">
      <c r="C511" s="942"/>
      <c r="D511" s="942"/>
      <c r="E511" s="943"/>
      <c r="F511" s="886"/>
      <c r="G511" s="886"/>
      <c r="H511" s="886"/>
      <c r="I511" s="886"/>
      <c r="J511" s="886"/>
      <c r="K511" s="886"/>
      <c r="L511" s="886"/>
      <c r="M511" s="886"/>
      <c r="N511" s="886"/>
      <c r="O511" s="886"/>
      <c r="P511" s="886"/>
      <c r="Q511" s="886"/>
      <c r="R511" s="886"/>
      <c r="S511" s="886"/>
      <c r="T511" s="886"/>
      <c r="U511" s="886"/>
      <c r="V511" s="886"/>
      <c r="W511" s="886"/>
    </row>
    <row r="512" spans="3:23">
      <c r="C512" s="942"/>
      <c r="D512" s="942"/>
      <c r="E512" s="943"/>
      <c r="F512" s="886"/>
      <c r="G512" s="886"/>
      <c r="H512" s="886"/>
      <c r="I512" s="886"/>
      <c r="J512" s="886"/>
      <c r="K512" s="886"/>
      <c r="L512" s="886"/>
      <c r="M512" s="886"/>
      <c r="N512" s="886"/>
      <c r="O512" s="886"/>
      <c r="P512" s="886"/>
      <c r="Q512" s="886"/>
      <c r="R512" s="886"/>
      <c r="S512" s="886"/>
      <c r="T512" s="886"/>
      <c r="U512" s="886"/>
      <c r="V512" s="886"/>
      <c r="W512" s="886"/>
    </row>
    <row r="513" spans="3:23">
      <c r="C513" s="942"/>
      <c r="D513" s="942"/>
      <c r="E513" s="943"/>
      <c r="F513" s="886"/>
      <c r="G513" s="886"/>
      <c r="H513" s="886"/>
      <c r="I513" s="886"/>
      <c r="J513" s="886"/>
      <c r="K513" s="886"/>
      <c r="L513" s="886"/>
      <c r="M513" s="886"/>
      <c r="N513" s="886"/>
      <c r="O513" s="886"/>
      <c r="P513" s="886"/>
      <c r="Q513" s="886"/>
      <c r="R513" s="886"/>
      <c r="S513" s="886"/>
      <c r="T513" s="886"/>
      <c r="U513" s="886"/>
      <c r="V513" s="886"/>
      <c r="W513" s="886"/>
    </row>
    <row r="514" spans="3:23">
      <c r="C514" s="942"/>
      <c r="D514" s="942"/>
      <c r="E514" s="943"/>
      <c r="F514" s="886"/>
      <c r="G514" s="886"/>
      <c r="H514" s="886"/>
      <c r="I514" s="886"/>
      <c r="J514" s="886"/>
      <c r="K514" s="886"/>
      <c r="L514" s="886"/>
      <c r="M514" s="886"/>
      <c r="N514" s="886"/>
      <c r="O514" s="886"/>
      <c r="P514" s="886"/>
      <c r="Q514" s="886"/>
      <c r="R514" s="886"/>
      <c r="S514" s="886"/>
      <c r="T514" s="886"/>
      <c r="U514" s="886"/>
      <c r="V514" s="886"/>
      <c r="W514" s="886"/>
    </row>
    <row r="515" spans="3:23">
      <c r="C515" s="942"/>
      <c r="D515" s="942"/>
      <c r="E515" s="943"/>
      <c r="F515" s="886"/>
      <c r="G515" s="886"/>
      <c r="H515" s="886"/>
      <c r="I515" s="886"/>
      <c r="J515" s="886"/>
      <c r="K515" s="886"/>
      <c r="L515" s="886"/>
      <c r="M515" s="886"/>
      <c r="N515" s="886"/>
      <c r="O515" s="886"/>
      <c r="P515" s="886"/>
      <c r="Q515" s="886"/>
      <c r="R515" s="886"/>
      <c r="S515" s="886"/>
      <c r="T515" s="886"/>
      <c r="U515" s="886"/>
      <c r="V515" s="886"/>
      <c r="W515" s="886"/>
    </row>
    <row r="516" spans="3:23">
      <c r="C516" s="942"/>
      <c r="D516" s="942"/>
      <c r="E516" s="943"/>
      <c r="F516" s="886"/>
      <c r="G516" s="886"/>
      <c r="H516" s="886"/>
      <c r="I516" s="886"/>
      <c r="J516" s="886"/>
      <c r="K516" s="886"/>
      <c r="L516" s="886"/>
      <c r="M516" s="886"/>
      <c r="N516" s="886"/>
      <c r="O516" s="886"/>
      <c r="P516" s="886"/>
      <c r="Q516" s="886"/>
      <c r="R516" s="886"/>
      <c r="S516" s="886"/>
      <c r="T516" s="886"/>
      <c r="U516" s="886"/>
      <c r="V516" s="886"/>
      <c r="W516" s="886"/>
    </row>
    <row r="517" spans="3:23">
      <c r="C517" s="942"/>
      <c r="D517" s="942"/>
      <c r="E517" s="943"/>
      <c r="F517" s="886"/>
      <c r="G517" s="886"/>
      <c r="H517" s="886"/>
      <c r="I517" s="886"/>
      <c r="J517" s="886"/>
      <c r="K517" s="886"/>
      <c r="L517" s="886"/>
      <c r="M517" s="886"/>
      <c r="N517" s="886"/>
      <c r="O517" s="886"/>
      <c r="P517" s="886"/>
      <c r="Q517" s="886"/>
      <c r="R517" s="886"/>
      <c r="S517" s="886"/>
      <c r="T517" s="886"/>
      <c r="U517" s="886"/>
      <c r="V517" s="886"/>
      <c r="W517" s="886"/>
    </row>
    <row r="518" spans="3:23">
      <c r="C518" s="942"/>
      <c r="D518" s="942"/>
      <c r="E518" s="943"/>
      <c r="F518" s="886"/>
      <c r="G518" s="886"/>
      <c r="H518" s="886"/>
      <c r="I518" s="886"/>
      <c r="J518" s="886"/>
      <c r="K518" s="886"/>
      <c r="L518" s="886"/>
      <c r="M518" s="886"/>
      <c r="N518" s="886"/>
      <c r="O518" s="886"/>
      <c r="P518" s="886"/>
      <c r="Q518" s="886"/>
      <c r="R518" s="886"/>
      <c r="S518" s="886"/>
      <c r="T518" s="886"/>
      <c r="U518" s="886"/>
      <c r="V518" s="886"/>
      <c r="W518" s="886"/>
    </row>
    <row r="519" spans="3:23">
      <c r="C519" s="942"/>
      <c r="D519" s="942"/>
      <c r="E519" s="943"/>
      <c r="F519" s="886"/>
      <c r="G519" s="886"/>
      <c r="H519" s="886"/>
      <c r="I519" s="886"/>
      <c r="J519" s="886"/>
      <c r="K519" s="886"/>
      <c r="L519" s="886"/>
      <c r="M519" s="886"/>
      <c r="N519" s="886"/>
      <c r="O519" s="886"/>
      <c r="P519" s="886"/>
      <c r="Q519" s="886"/>
      <c r="R519" s="886"/>
      <c r="S519" s="886"/>
      <c r="T519" s="886"/>
      <c r="U519" s="886"/>
      <c r="V519" s="886"/>
      <c r="W519" s="886"/>
    </row>
    <row r="520" spans="3:23">
      <c r="C520" s="942"/>
      <c r="D520" s="942"/>
      <c r="E520" s="943"/>
      <c r="F520" s="886"/>
      <c r="G520" s="886"/>
      <c r="H520" s="886"/>
      <c r="I520" s="886"/>
      <c r="J520" s="886"/>
      <c r="K520" s="886"/>
      <c r="L520" s="886"/>
      <c r="M520" s="886"/>
      <c r="N520" s="886"/>
      <c r="O520" s="886"/>
      <c r="P520" s="886"/>
      <c r="Q520" s="886"/>
      <c r="R520" s="886"/>
      <c r="S520" s="886"/>
      <c r="T520" s="886"/>
      <c r="U520" s="886"/>
      <c r="V520" s="886"/>
      <c r="W520" s="886"/>
    </row>
    <row r="521" spans="3:23">
      <c r="C521" s="942"/>
      <c r="D521" s="942"/>
      <c r="E521" s="943"/>
      <c r="F521" s="886"/>
      <c r="G521" s="886"/>
      <c r="H521" s="886"/>
      <c r="I521" s="886"/>
      <c r="J521" s="886"/>
      <c r="K521" s="886"/>
      <c r="L521" s="886"/>
      <c r="M521" s="886"/>
      <c r="N521" s="886"/>
      <c r="O521" s="886"/>
      <c r="P521" s="886"/>
      <c r="Q521" s="886"/>
      <c r="R521" s="886"/>
      <c r="S521" s="886"/>
      <c r="T521" s="886"/>
      <c r="U521" s="886"/>
      <c r="V521" s="886"/>
      <c r="W521" s="886"/>
    </row>
    <row r="522" spans="3:23">
      <c r="C522" s="942"/>
      <c r="D522" s="942"/>
      <c r="E522" s="943"/>
      <c r="F522" s="886"/>
      <c r="G522" s="886"/>
      <c r="H522" s="886"/>
      <c r="I522" s="886"/>
      <c r="J522" s="886"/>
      <c r="K522" s="886"/>
      <c r="L522" s="886"/>
      <c r="M522" s="886"/>
      <c r="N522" s="886"/>
      <c r="O522" s="886"/>
      <c r="P522" s="886"/>
      <c r="Q522" s="886"/>
      <c r="R522" s="886"/>
      <c r="S522" s="886"/>
      <c r="T522" s="886"/>
      <c r="U522" s="886"/>
      <c r="V522" s="886"/>
      <c r="W522" s="886"/>
    </row>
    <row r="523" spans="3:23">
      <c r="C523" s="942"/>
      <c r="D523" s="942"/>
      <c r="E523" s="943"/>
      <c r="F523" s="886"/>
      <c r="G523" s="886"/>
      <c r="H523" s="886"/>
      <c r="I523" s="886"/>
      <c r="J523" s="886"/>
      <c r="K523" s="886"/>
      <c r="L523" s="886"/>
      <c r="M523" s="886"/>
      <c r="N523" s="886"/>
      <c r="O523" s="886"/>
      <c r="P523" s="886"/>
      <c r="Q523" s="886"/>
      <c r="R523" s="886"/>
      <c r="S523" s="886"/>
      <c r="T523" s="886"/>
      <c r="U523" s="886"/>
      <c r="V523" s="886"/>
      <c r="W523" s="886"/>
    </row>
    <row r="524" spans="3:23">
      <c r="C524" s="942"/>
      <c r="D524" s="942"/>
      <c r="E524" s="943"/>
      <c r="F524" s="886"/>
      <c r="G524" s="886"/>
      <c r="H524" s="886"/>
      <c r="I524" s="886"/>
      <c r="J524" s="886"/>
      <c r="K524" s="886"/>
      <c r="L524" s="886"/>
      <c r="M524" s="886"/>
      <c r="N524" s="886"/>
      <c r="O524" s="886"/>
      <c r="P524" s="886"/>
      <c r="Q524" s="886"/>
      <c r="R524" s="886"/>
      <c r="S524" s="886"/>
      <c r="T524" s="886"/>
      <c r="U524" s="886"/>
      <c r="V524" s="886"/>
      <c r="W524" s="886"/>
    </row>
    <row r="525" spans="3:23">
      <c r="C525" s="942"/>
      <c r="D525" s="942"/>
      <c r="E525" s="943"/>
      <c r="F525" s="886"/>
      <c r="G525" s="886"/>
      <c r="H525" s="886"/>
      <c r="I525" s="886"/>
      <c r="J525" s="886"/>
      <c r="K525" s="886"/>
      <c r="L525" s="886"/>
      <c r="M525" s="886"/>
      <c r="N525" s="886"/>
      <c r="O525" s="886"/>
      <c r="P525" s="886"/>
      <c r="Q525" s="886"/>
      <c r="R525" s="886"/>
      <c r="S525" s="886"/>
      <c r="T525" s="886"/>
      <c r="U525" s="886"/>
      <c r="V525" s="886"/>
      <c r="W525" s="886"/>
    </row>
    <row r="526" spans="3:23">
      <c r="C526" s="942"/>
      <c r="D526" s="942"/>
      <c r="E526" s="943"/>
      <c r="F526" s="886"/>
      <c r="G526" s="886"/>
      <c r="H526" s="886"/>
      <c r="I526" s="886"/>
      <c r="J526" s="886"/>
      <c r="K526" s="886"/>
      <c r="L526" s="886"/>
      <c r="M526" s="886"/>
      <c r="N526" s="886"/>
      <c r="O526" s="886"/>
      <c r="P526" s="886"/>
      <c r="Q526" s="886"/>
      <c r="R526" s="886"/>
      <c r="S526" s="886"/>
      <c r="T526" s="886"/>
      <c r="U526" s="886"/>
      <c r="V526" s="886"/>
      <c r="W526" s="886"/>
    </row>
    <row r="527" spans="3:23">
      <c r="C527" s="942"/>
      <c r="D527" s="942"/>
      <c r="E527" s="943"/>
      <c r="F527" s="886"/>
      <c r="G527" s="886"/>
      <c r="H527" s="886"/>
      <c r="I527" s="886"/>
      <c r="J527" s="886"/>
      <c r="K527" s="886"/>
      <c r="L527" s="886"/>
      <c r="M527" s="886"/>
      <c r="N527" s="886"/>
      <c r="O527" s="886"/>
      <c r="P527" s="886"/>
      <c r="Q527" s="886"/>
      <c r="R527" s="886"/>
      <c r="S527" s="886"/>
      <c r="T527" s="886"/>
      <c r="U527" s="886"/>
      <c r="V527" s="886"/>
      <c r="W527" s="886"/>
    </row>
    <row r="528" spans="3:23">
      <c r="C528" s="942"/>
      <c r="D528" s="942"/>
      <c r="E528" s="943"/>
      <c r="F528" s="886"/>
      <c r="G528" s="886"/>
      <c r="H528" s="886"/>
      <c r="I528" s="886"/>
      <c r="J528" s="886"/>
      <c r="K528" s="886"/>
      <c r="L528" s="886"/>
      <c r="M528" s="886"/>
      <c r="N528" s="886"/>
      <c r="O528" s="886"/>
      <c r="P528" s="886"/>
      <c r="Q528" s="886"/>
      <c r="R528" s="886"/>
      <c r="S528" s="886"/>
      <c r="T528" s="886"/>
      <c r="U528" s="886"/>
      <c r="V528" s="886"/>
      <c r="W528" s="886"/>
    </row>
    <row r="529" spans="3:23">
      <c r="C529" s="942"/>
      <c r="D529" s="942"/>
      <c r="E529" s="943"/>
      <c r="F529" s="886"/>
      <c r="G529" s="886"/>
      <c r="H529" s="886"/>
      <c r="I529" s="886"/>
      <c r="J529" s="886"/>
      <c r="K529" s="886"/>
      <c r="L529" s="886"/>
      <c r="M529" s="886"/>
      <c r="N529" s="886"/>
      <c r="O529" s="886"/>
      <c r="P529" s="886"/>
      <c r="Q529" s="886"/>
      <c r="R529" s="886"/>
      <c r="S529" s="886"/>
      <c r="T529" s="886"/>
      <c r="U529" s="886"/>
      <c r="V529" s="886"/>
      <c r="W529" s="886"/>
    </row>
    <row r="530" spans="3:23">
      <c r="C530" s="942"/>
      <c r="D530" s="942"/>
      <c r="E530" s="943"/>
      <c r="F530" s="886"/>
      <c r="G530" s="886"/>
      <c r="H530" s="886"/>
      <c r="I530" s="886"/>
      <c r="J530" s="886"/>
      <c r="K530" s="886"/>
      <c r="L530" s="886"/>
      <c r="M530" s="886"/>
      <c r="N530" s="886"/>
      <c r="O530" s="886"/>
      <c r="P530" s="886"/>
      <c r="Q530" s="886"/>
      <c r="R530" s="886"/>
      <c r="S530" s="886"/>
      <c r="T530" s="886"/>
      <c r="U530" s="886"/>
      <c r="V530" s="886"/>
      <c r="W530" s="886"/>
    </row>
    <row r="531" spans="3:23">
      <c r="C531" s="942"/>
      <c r="D531" s="942"/>
      <c r="E531" s="943"/>
      <c r="F531" s="886"/>
      <c r="G531" s="886"/>
      <c r="H531" s="886"/>
      <c r="I531" s="886"/>
      <c r="J531" s="886"/>
      <c r="K531" s="886"/>
      <c r="L531" s="886"/>
      <c r="M531" s="886"/>
      <c r="N531" s="886"/>
      <c r="O531" s="886"/>
      <c r="P531" s="886"/>
      <c r="Q531" s="886"/>
      <c r="R531" s="886"/>
      <c r="S531" s="886"/>
      <c r="T531" s="886"/>
      <c r="U531" s="886"/>
      <c r="V531" s="886"/>
      <c r="W531" s="886"/>
    </row>
    <row r="532" spans="3:23">
      <c r="C532" s="942"/>
      <c r="D532" s="942"/>
      <c r="E532" s="943"/>
      <c r="F532" s="886"/>
      <c r="G532" s="886"/>
      <c r="H532" s="886"/>
      <c r="I532" s="886"/>
      <c r="J532" s="886"/>
      <c r="K532" s="886"/>
      <c r="L532" s="886"/>
      <c r="M532" s="886"/>
      <c r="N532" s="886"/>
      <c r="O532" s="886"/>
      <c r="P532" s="886"/>
      <c r="Q532" s="886"/>
      <c r="R532" s="886"/>
      <c r="S532" s="886"/>
      <c r="T532" s="886"/>
      <c r="U532" s="886"/>
      <c r="V532" s="886"/>
      <c r="W532" s="886"/>
    </row>
    <row r="533" spans="3:23">
      <c r="C533" s="942"/>
      <c r="D533" s="942"/>
      <c r="E533" s="943"/>
      <c r="F533" s="886"/>
      <c r="G533" s="886"/>
      <c r="H533" s="886"/>
      <c r="I533" s="886"/>
      <c r="J533" s="886"/>
      <c r="K533" s="886"/>
      <c r="L533" s="886"/>
      <c r="M533" s="886"/>
      <c r="N533" s="886"/>
      <c r="O533" s="886"/>
      <c r="P533" s="886"/>
      <c r="Q533" s="886"/>
      <c r="R533" s="886"/>
      <c r="S533" s="886"/>
      <c r="T533" s="886"/>
      <c r="U533" s="886"/>
      <c r="V533" s="886"/>
      <c r="W533" s="886"/>
    </row>
    <row r="534" spans="3:23">
      <c r="C534" s="942"/>
      <c r="D534" s="942"/>
      <c r="E534" s="943"/>
      <c r="F534" s="886"/>
      <c r="G534" s="886"/>
      <c r="H534" s="886"/>
      <c r="I534" s="886"/>
      <c r="J534" s="886"/>
      <c r="K534" s="886"/>
      <c r="L534" s="886"/>
      <c r="M534" s="886"/>
      <c r="N534" s="886"/>
      <c r="O534" s="886"/>
      <c r="P534" s="886"/>
      <c r="Q534" s="886"/>
      <c r="R534" s="886"/>
      <c r="S534" s="886"/>
      <c r="T534" s="886"/>
      <c r="U534" s="886"/>
      <c r="V534" s="886"/>
      <c r="W534" s="886"/>
    </row>
    <row r="535" spans="3:23">
      <c r="C535" s="942"/>
      <c r="D535" s="942"/>
      <c r="E535" s="943"/>
      <c r="F535" s="886"/>
      <c r="G535" s="886"/>
      <c r="H535" s="886"/>
      <c r="I535" s="886"/>
      <c r="J535" s="886"/>
      <c r="K535" s="886"/>
      <c r="L535" s="886"/>
      <c r="M535" s="886"/>
      <c r="N535" s="886"/>
      <c r="O535" s="886"/>
      <c r="P535" s="886"/>
      <c r="Q535" s="886"/>
      <c r="R535" s="886"/>
      <c r="S535" s="886"/>
      <c r="T535" s="886"/>
      <c r="U535" s="886"/>
      <c r="V535" s="886"/>
      <c r="W535" s="886"/>
    </row>
    <row r="536" spans="3:23">
      <c r="C536" s="942"/>
      <c r="D536" s="942"/>
      <c r="E536" s="943"/>
      <c r="F536" s="886"/>
      <c r="G536" s="886"/>
      <c r="H536" s="886"/>
      <c r="I536" s="886"/>
      <c r="J536" s="886"/>
      <c r="K536" s="886"/>
      <c r="L536" s="886"/>
      <c r="M536" s="886"/>
      <c r="N536" s="886"/>
      <c r="O536" s="886"/>
      <c r="P536" s="886"/>
      <c r="Q536" s="886"/>
      <c r="R536" s="886"/>
      <c r="S536" s="886"/>
      <c r="T536" s="886"/>
      <c r="U536" s="886"/>
      <c r="V536" s="886"/>
      <c r="W536" s="886"/>
    </row>
    <row r="537" spans="3:23">
      <c r="C537" s="942"/>
      <c r="D537" s="942"/>
      <c r="E537" s="943"/>
      <c r="F537" s="886"/>
      <c r="G537" s="886"/>
      <c r="H537" s="886"/>
      <c r="I537" s="886"/>
      <c r="J537" s="886"/>
      <c r="K537" s="886"/>
      <c r="L537" s="886"/>
      <c r="M537" s="886"/>
      <c r="N537" s="886"/>
      <c r="O537" s="886"/>
      <c r="P537" s="886"/>
      <c r="Q537" s="886"/>
      <c r="R537" s="886"/>
      <c r="S537" s="886"/>
      <c r="T537" s="886"/>
      <c r="U537" s="886"/>
      <c r="V537" s="886"/>
      <c r="W537" s="886"/>
    </row>
    <row r="538" spans="3:23">
      <c r="C538" s="942"/>
      <c r="D538" s="942"/>
      <c r="E538" s="943"/>
      <c r="F538" s="886"/>
      <c r="G538" s="886"/>
      <c r="H538" s="886"/>
      <c r="I538" s="886"/>
      <c r="J538" s="886"/>
      <c r="K538" s="886"/>
      <c r="L538" s="886"/>
      <c r="M538" s="886"/>
      <c r="N538" s="886"/>
      <c r="O538" s="886"/>
      <c r="P538" s="886"/>
      <c r="Q538" s="886"/>
      <c r="R538" s="886"/>
      <c r="S538" s="886"/>
      <c r="T538" s="886"/>
      <c r="U538" s="886"/>
      <c r="V538" s="886"/>
      <c r="W538" s="886"/>
    </row>
    <row r="539" spans="3:23">
      <c r="C539" s="942"/>
      <c r="D539" s="942"/>
      <c r="E539" s="943"/>
      <c r="F539" s="886"/>
      <c r="G539" s="886"/>
      <c r="H539" s="886"/>
      <c r="I539" s="886"/>
      <c r="J539" s="886"/>
      <c r="K539" s="886"/>
      <c r="L539" s="886"/>
      <c r="M539" s="886"/>
      <c r="N539" s="886"/>
      <c r="O539" s="886"/>
      <c r="P539" s="886"/>
      <c r="Q539" s="886"/>
      <c r="R539" s="886"/>
      <c r="S539" s="886"/>
      <c r="T539" s="886"/>
      <c r="U539" s="886"/>
      <c r="V539" s="886"/>
      <c r="W539" s="886"/>
    </row>
    <row r="540" spans="3:23">
      <c r="C540" s="942"/>
      <c r="D540" s="942"/>
      <c r="E540" s="943"/>
      <c r="F540" s="886"/>
      <c r="G540" s="886"/>
      <c r="H540" s="886"/>
      <c r="I540" s="886"/>
      <c r="J540" s="886"/>
      <c r="K540" s="886"/>
      <c r="L540" s="886"/>
      <c r="M540" s="886"/>
      <c r="N540" s="886"/>
      <c r="O540" s="886"/>
      <c r="P540" s="886"/>
      <c r="Q540" s="886"/>
      <c r="R540" s="886"/>
      <c r="S540" s="886"/>
      <c r="T540" s="886"/>
      <c r="U540" s="886"/>
      <c r="V540" s="886"/>
      <c r="W540" s="886"/>
    </row>
    <row r="541" spans="3:23">
      <c r="C541" s="942"/>
      <c r="D541" s="942"/>
      <c r="E541" s="943"/>
      <c r="F541" s="886"/>
      <c r="G541" s="886"/>
      <c r="H541" s="886"/>
      <c r="I541" s="886"/>
      <c r="J541" s="886"/>
      <c r="K541" s="886"/>
      <c r="L541" s="886"/>
      <c r="M541" s="886"/>
      <c r="N541" s="886"/>
      <c r="O541" s="886"/>
      <c r="P541" s="886"/>
      <c r="Q541" s="886"/>
      <c r="R541" s="886"/>
      <c r="S541" s="886"/>
      <c r="T541" s="886"/>
      <c r="U541" s="886"/>
      <c r="V541" s="886"/>
      <c r="W541" s="886"/>
    </row>
    <row r="542" spans="3:23">
      <c r="C542" s="942"/>
      <c r="D542" s="942"/>
      <c r="E542" s="943"/>
      <c r="F542" s="886"/>
      <c r="G542" s="886"/>
      <c r="H542" s="886"/>
      <c r="I542" s="886"/>
      <c r="J542" s="886"/>
      <c r="K542" s="886"/>
      <c r="L542" s="886"/>
      <c r="M542" s="886"/>
      <c r="N542" s="886"/>
      <c r="O542" s="886"/>
      <c r="P542" s="886"/>
      <c r="Q542" s="886"/>
      <c r="R542" s="886"/>
      <c r="S542" s="886"/>
      <c r="T542" s="886"/>
      <c r="U542" s="886"/>
      <c r="V542" s="886"/>
      <c r="W542" s="886"/>
    </row>
    <row r="543" spans="3:23">
      <c r="C543" s="942"/>
      <c r="D543" s="942"/>
      <c r="E543" s="943"/>
      <c r="F543" s="886"/>
      <c r="G543" s="886"/>
      <c r="H543" s="886"/>
      <c r="I543" s="886"/>
      <c r="J543" s="886"/>
      <c r="K543" s="886"/>
      <c r="L543" s="886"/>
      <c r="M543" s="886"/>
      <c r="N543" s="886"/>
      <c r="O543" s="886"/>
      <c r="P543" s="886"/>
      <c r="Q543" s="886"/>
      <c r="R543" s="886"/>
      <c r="S543" s="886"/>
      <c r="T543" s="886"/>
      <c r="U543" s="886"/>
      <c r="V543" s="886"/>
      <c r="W543" s="886"/>
    </row>
    <row r="544" spans="3:23">
      <c r="C544" s="942"/>
      <c r="D544" s="942"/>
      <c r="E544" s="943"/>
      <c r="F544" s="886"/>
      <c r="G544" s="886"/>
      <c r="H544" s="886"/>
      <c r="I544" s="886"/>
      <c r="J544" s="886"/>
      <c r="K544" s="886"/>
      <c r="L544" s="886"/>
      <c r="M544" s="886"/>
      <c r="N544" s="886"/>
      <c r="O544" s="886"/>
      <c r="P544" s="886"/>
      <c r="Q544" s="886"/>
      <c r="R544" s="886"/>
      <c r="S544" s="886"/>
      <c r="T544" s="886"/>
      <c r="U544" s="886"/>
      <c r="V544" s="886"/>
      <c r="W544" s="886"/>
    </row>
    <row r="545" spans="3:23">
      <c r="C545" s="942"/>
      <c r="D545" s="942"/>
      <c r="E545" s="943"/>
      <c r="F545" s="886"/>
      <c r="G545" s="886"/>
      <c r="H545" s="886"/>
      <c r="I545" s="886"/>
      <c r="J545" s="886"/>
      <c r="K545" s="886"/>
      <c r="L545" s="886"/>
      <c r="M545" s="886"/>
      <c r="N545" s="886"/>
      <c r="O545" s="886"/>
      <c r="P545" s="886"/>
      <c r="Q545" s="886"/>
      <c r="R545" s="886"/>
      <c r="S545" s="886"/>
      <c r="T545" s="886"/>
      <c r="U545" s="886"/>
      <c r="V545" s="886"/>
      <c r="W545" s="886"/>
    </row>
    <row r="546" spans="3:23">
      <c r="C546" s="942"/>
      <c r="D546" s="942"/>
      <c r="E546" s="943"/>
      <c r="F546" s="886"/>
      <c r="G546" s="886"/>
      <c r="H546" s="886"/>
      <c r="I546" s="886"/>
      <c r="J546" s="886"/>
      <c r="K546" s="886"/>
      <c r="L546" s="886"/>
      <c r="M546" s="886"/>
      <c r="N546" s="886"/>
      <c r="O546" s="886"/>
      <c r="P546" s="886"/>
      <c r="Q546" s="886"/>
      <c r="R546" s="886"/>
      <c r="S546" s="886"/>
      <c r="T546" s="886"/>
      <c r="U546" s="886"/>
      <c r="V546" s="886"/>
      <c r="W546" s="886"/>
    </row>
    <row r="547" spans="3:23">
      <c r="C547" s="942"/>
      <c r="D547" s="942"/>
      <c r="E547" s="943"/>
      <c r="F547" s="886"/>
      <c r="G547" s="886"/>
      <c r="H547" s="886"/>
      <c r="I547" s="886"/>
      <c r="J547" s="886"/>
      <c r="K547" s="886"/>
      <c r="L547" s="886"/>
      <c r="M547" s="886"/>
      <c r="N547" s="886"/>
      <c r="O547" s="886"/>
      <c r="P547" s="886"/>
      <c r="Q547" s="886"/>
      <c r="R547" s="886"/>
      <c r="S547" s="886"/>
      <c r="T547" s="886"/>
      <c r="U547" s="886"/>
      <c r="V547" s="886"/>
      <c r="W547" s="886"/>
    </row>
    <row r="548" spans="3:23">
      <c r="C548" s="942"/>
      <c r="D548" s="942"/>
      <c r="E548" s="943"/>
      <c r="F548" s="886"/>
      <c r="G548" s="886"/>
      <c r="H548" s="886"/>
      <c r="I548" s="886"/>
      <c r="J548" s="886"/>
      <c r="K548" s="886"/>
      <c r="L548" s="886"/>
      <c r="M548" s="886"/>
      <c r="N548" s="886"/>
      <c r="O548" s="886"/>
      <c r="P548" s="886"/>
      <c r="Q548" s="886"/>
      <c r="R548" s="886"/>
      <c r="S548" s="886"/>
      <c r="T548" s="886"/>
      <c r="U548" s="886"/>
      <c r="V548" s="886"/>
      <c r="W548" s="886"/>
    </row>
    <row r="549" spans="3:23">
      <c r="C549" s="942"/>
      <c r="D549" s="942"/>
      <c r="E549" s="943"/>
      <c r="F549" s="886"/>
      <c r="G549" s="886"/>
      <c r="H549" s="886"/>
      <c r="I549" s="886"/>
      <c r="J549" s="886"/>
      <c r="K549" s="886"/>
      <c r="L549" s="886"/>
      <c r="M549" s="886"/>
      <c r="N549" s="886"/>
      <c r="O549" s="886"/>
      <c r="P549" s="886"/>
      <c r="Q549" s="886"/>
      <c r="R549" s="886"/>
      <c r="S549" s="886"/>
      <c r="T549" s="886"/>
      <c r="U549" s="886"/>
      <c r="V549" s="886"/>
      <c r="W549" s="886"/>
    </row>
    <row r="550" spans="3:23">
      <c r="C550" s="942"/>
      <c r="D550" s="942"/>
      <c r="E550" s="943"/>
      <c r="F550" s="886"/>
      <c r="G550" s="886"/>
      <c r="H550" s="886"/>
      <c r="I550" s="886"/>
      <c r="J550" s="886"/>
      <c r="K550" s="886"/>
      <c r="L550" s="886"/>
      <c r="M550" s="886"/>
      <c r="N550" s="886"/>
      <c r="O550" s="886"/>
      <c r="P550" s="886"/>
      <c r="Q550" s="886"/>
      <c r="R550" s="886"/>
      <c r="S550" s="886"/>
      <c r="T550" s="886"/>
      <c r="U550" s="886"/>
      <c r="V550" s="886"/>
      <c r="W550" s="886"/>
    </row>
    <row r="551" spans="3:23">
      <c r="C551" s="942"/>
      <c r="D551" s="942"/>
      <c r="E551" s="943"/>
      <c r="F551" s="886"/>
      <c r="G551" s="886"/>
      <c r="H551" s="886"/>
      <c r="I551" s="886"/>
      <c r="J551" s="886"/>
      <c r="K551" s="886"/>
      <c r="L551" s="886"/>
      <c r="M551" s="886"/>
      <c r="N551" s="886"/>
      <c r="O551" s="886"/>
      <c r="P551" s="886"/>
      <c r="Q551" s="886"/>
      <c r="R551" s="886"/>
      <c r="S551" s="886"/>
      <c r="T551" s="886"/>
      <c r="U551" s="886"/>
      <c r="V551" s="886"/>
      <c r="W551" s="886"/>
    </row>
    <row r="552" spans="3:23">
      <c r="C552" s="942"/>
      <c r="D552" s="942"/>
      <c r="E552" s="943"/>
      <c r="F552" s="886"/>
      <c r="G552" s="886"/>
      <c r="H552" s="886"/>
      <c r="I552" s="886"/>
      <c r="J552" s="886"/>
      <c r="K552" s="886"/>
      <c r="L552" s="886"/>
      <c r="M552" s="886"/>
      <c r="N552" s="886"/>
      <c r="O552" s="886"/>
      <c r="P552" s="886"/>
      <c r="Q552" s="886"/>
      <c r="R552" s="886"/>
      <c r="S552" s="886"/>
      <c r="T552" s="886"/>
      <c r="U552" s="886"/>
      <c r="V552" s="886"/>
      <c r="W552" s="886"/>
    </row>
    <row r="553" spans="3:23">
      <c r="C553" s="942"/>
      <c r="D553" s="942"/>
      <c r="E553" s="943"/>
      <c r="F553" s="886"/>
      <c r="G553" s="886"/>
      <c r="H553" s="886"/>
      <c r="I553" s="886"/>
      <c r="J553" s="886"/>
      <c r="K553" s="886"/>
      <c r="L553" s="886"/>
      <c r="M553" s="886"/>
      <c r="N553" s="886"/>
      <c r="O553" s="886"/>
      <c r="P553" s="886"/>
      <c r="Q553" s="886"/>
      <c r="R553" s="886"/>
      <c r="S553" s="886"/>
      <c r="T553" s="886"/>
      <c r="U553" s="886"/>
      <c r="V553" s="886"/>
      <c r="W553" s="886"/>
    </row>
    <row r="554" spans="3:23">
      <c r="C554" s="942"/>
      <c r="D554" s="942"/>
      <c r="E554" s="943"/>
      <c r="F554" s="886"/>
      <c r="G554" s="886"/>
      <c r="H554" s="886"/>
      <c r="I554" s="886"/>
      <c r="J554" s="886"/>
      <c r="K554" s="886"/>
      <c r="L554" s="886"/>
      <c r="M554" s="886"/>
      <c r="N554" s="886"/>
      <c r="O554" s="886"/>
      <c r="P554" s="886"/>
      <c r="Q554" s="886"/>
      <c r="R554" s="886"/>
      <c r="S554" s="886"/>
      <c r="T554" s="886"/>
      <c r="U554" s="886"/>
      <c r="V554" s="886"/>
      <c r="W554" s="886"/>
    </row>
    <row r="555" spans="3:23">
      <c r="C555" s="942"/>
      <c r="D555" s="942"/>
      <c r="E555" s="943"/>
      <c r="F555" s="886"/>
      <c r="G555" s="886"/>
      <c r="H555" s="886"/>
      <c r="I555" s="886"/>
      <c r="J555" s="886"/>
      <c r="K555" s="886"/>
      <c r="L555" s="886"/>
      <c r="M555" s="886"/>
      <c r="N555" s="886"/>
      <c r="O555" s="886"/>
      <c r="P555" s="886"/>
      <c r="Q555" s="886"/>
      <c r="R555" s="886"/>
      <c r="S555" s="886"/>
      <c r="T555" s="886"/>
      <c r="U555" s="886"/>
      <c r="V555" s="886"/>
      <c r="W555" s="886"/>
    </row>
    <row r="556" spans="3:23">
      <c r="C556" s="942"/>
      <c r="D556" s="942"/>
      <c r="E556" s="943"/>
      <c r="F556" s="886"/>
      <c r="G556" s="886"/>
      <c r="H556" s="886"/>
      <c r="I556" s="886"/>
      <c r="J556" s="886"/>
      <c r="K556" s="886"/>
      <c r="L556" s="886"/>
      <c r="M556" s="886"/>
      <c r="N556" s="886"/>
      <c r="O556" s="886"/>
      <c r="P556" s="886"/>
      <c r="Q556" s="886"/>
      <c r="R556" s="886"/>
      <c r="S556" s="886"/>
      <c r="T556" s="886"/>
      <c r="U556" s="886"/>
      <c r="V556" s="886"/>
      <c r="W556" s="886"/>
    </row>
    <row r="557" spans="3:23">
      <c r="C557" s="942"/>
      <c r="D557" s="942"/>
      <c r="E557" s="943"/>
      <c r="F557" s="886"/>
      <c r="G557" s="886"/>
      <c r="H557" s="886"/>
      <c r="I557" s="886"/>
      <c r="J557" s="886"/>
      <c r="K557" s="886"/>
      <c r="L557" s="886"/>
      <c r="M557" s="886"/>
      <c r="N557" s="886"/>
      <c r="O557" s="886"/>
      <c r="P557" s="886"/>
      <c r="Q557" s="886"/>
      <c r="R557" s="886"/>
      <c r="S557" s="886"/>
      <c r="T557" s="886"/>
      <c r="U557" s="886"/>
      <c r="V557" s="886"/>
      <c r="W557" s="886"/>
    </row>
    <row r="558" spans="3:23">
      <c r="C558" s="942"/>
      <c r="D558" s="942"/>
      <c r="E558" s="943"/>
      <c r="F558" s="886"/>
      <c r="G558" s="886"/>
      <c r="H558" s="886"/>
      <c r="I558" s="886"/>
      <c r="J558" s="886"/>
      <c r="K558" s="886"/>
      <c r="L558" s="886"/>
      <c r="M558" s="886"/>
      <c r="N558" s="886"/>
      <c r="O558" s="886"/>
      <c r="P558" s="886"/>
      <c r="Q558" s="886"/>
      <c r="R558" s="886"/>
      <c r="S558" s="886"/>
      <c r="T558" s="886"/>
      <c r="U558" s="886"/>
      <c r="V558" s="886"/>
      <c r="W558" s="886"/>
    </row>
    <row r="559" spans="3:23">
      <c r="C559" s="942"/>
      <c r="D559" s="942"/>
      <c r="E559" s="943"/>
      <c r="F559" s="886"/>
      <c r="G559" s="886"/>
      <c r="H559" s="886"/>
      <c r="I559" s="886"/>
      <c r="J559" s="886"/>
      <c r="K559" s="886"/>
      <c r="L559" s="886"/>
      <c r="M559" s="886"/>
      <c r="N559" s="886"/>
      <c r="O559" s="886"/>
      <c r="P559" s="886"/>
      <c r="Q559" s="886"/>
      <c r="R559" s="886"/>
      <c r="S559" s="886"/>
      <c r="T559" s="886"/>
      <c r="U559" s="886"/>
      <c r="V559" s="886"/>
      <c r="W559" s="886"/>
    </row>
    <row r="560" spans="3:23">
      <c r="C560" s="942"/>
      <c r="D560" s="942"/>
      <c r="E560" s="943"/>
      <c r="F560" s="886"/>
      <c r="G560" s="886"/>
      <c r="H560" s="886"/>
      <c r="I560" s="886"/>
      <c r="J560" s="886"/>
      <c r="K560" s="886"/>
      <c r="L560" s="886"/>
      <c r="M560" s="886"/>
      <c r="N560" s="886"/>
      <c r="O560" s="886"/>
      <c r="P560" s="886"/>
      <c r="Q560" s="886"/>
      <c r="R560" s="886"/>
      <c r="S560" s="886"/>
      <c r="T560" s="886"/>
      <c r="U560" s="886"/>
      <c r="V560" s="886"/>
      <c r="W560" s="886"/>
    </row>
    <row r="561" spans="3:23">
      <c r="C561" s="942"/>
      <c r="D561" s="942"/>
      <c r="E561" s="943"/>
      <c r="F561" s="886"/>
      <c r="G561" s="886"/>
      <c r="H561" s="886"/>
      <c r="I561" s="886"/>
      <c r="J561" s="886"/>
      <c r="K561" s="886"/>
      <c r="L561" s="886"/>
      <c r="M561" s="886"/>
      <c r="N561" s="886"/>
      <c r="O561" s="886"/>
      <c r="P561" s="886"/>
      <c r="Q561" s="886"/>
      <c r="R561" s="886"/>
      <c r="S561" s="886"/>
      <c r="T561" s="886"/>
      <c r="U561" s="886"/>
      <c r="V561" s="886"/>
      <c r="W561" s="886"/>
    </row>
    <row r="562" spans="3:23">
      <c r="C562" s="942"/>
      <c r="D562" s="942"/>
      <c r="E562" s="943"/>
      <c r="F562" s="886"/>
      <c r="G562" s="886"/>
      <c r="H562" s="886"/>
      <c r="I562" s="886"/>
      <c r="J562" s="886"/>
      <c r="K562" s="886"/>
      <c r="L562" s="886"/>
      <c r="M562" s="886"/>
      <c r="N562" s="886"/>
      <c r="O562" s="886"/>
      <c r="P562" s="886"/>
      <c r="Q562" s="886"/>
      <c r="R562" s="886"/>
      <c r="S562" s="886"/>
      <c r="T562" s="886"/>
      <c r="U562" s="886"/>
      <c r="V562" s="886"/>
      <c r="W562" s="886"/>
    </row>
    <row r="563" spans="3:23">
      <c r="C563" s="942"/>
      <c r="D563" s="942"/>
      <c r="E563" s="943"/>
      <c r="F563" s="886"/>
      <c r="G563" s="886"/>
      <c r="H563" s="886"/>
      <c r="I563" s="886"/>
      <c r="J563" s="886"/>
      <c r="K563" s="886"/>
      <c r="L563" s="886"/>
      <c r="M563" s="886"/>
      <c r="N563" s="886"/>
      <c r="O563" s="886"/>
      <c r="P563" s="886"/>
      <c r="Q563" s="886"/>
      <c r="R563" s="886"/>
      <c r="S563" s="886"/>
      <c r="T563" s="886"/>
      <c r="U563" s="886"/>
      <c r="V563" s="886"/>
      <c r="W563" s="886"/>
    </row>
    <row r="564" spans="3:23">
      <c r="C564" s="942"/>
      <c r="D564" s="942"/>
      <c r="E564" s="943"/>
      <c r="F564" s="886"/>
      <c r="G564" s="886"/>
      <c r="H564" s="886"/>
      <c r="I564" s="886"/>
      <c r="J564" s="886"/>
      <c r="K564" s="886"/>
      <c r="L564" s="886"/>
      <c r="M564" s="886"/>
      <c r="N564" s="886"/>
      <c r="O564" s="886"/>
      <c r="P564" s="886"/>
      <c r="Q564" s="886"/>
      <c r="R564" s="886"/>
      <c r="S564" s="886"/>
      <c r="T564" s="886"/>
      <c r="U564" s="886"/>
      <c r="V564" s="886"/>
      <c r="W564" s="886"/>
    </row>
    <row r="565" spans="3:23">
      <c r="C565" s="942"/>
      <c r="D565" s="942"/>
      <c r="E565" s="943"/>
      <c r="F565" s="886"/>
      <c r="G565" s="886"/>
      <c r="H565" s="886"/>
      <c r="I565" s="886"/>
      <c r="J565" s="886"/>
      <c r="K565" s="886"/>
      <c r="L565" s="886"/>
      <c r="M565" s="886"/>
      <c r="N565" s="886"/>
      <c r="O565" s="886"/>
      <c r="P565" s="886"/>
      <c r="Q565" s="886"/>
      <c r="R565" s="886"/>
      <c r="S565" s="886"/>
      <c r="T565" s="886"/>
      <c r="U565" s="886"/>
      <c r="V565" s="886"/>
      <c r="W565" s="886"/>
    </row>
    <row r="566" spans="3:23">
      <c r="C566" s="942"/>
      <c r="D566" s="942"/>
      <c r="E566" s="943"/>
      <c r="F566" s="886"/>
      <c r="G566" s="886"/>
      <c r="H566" s="886"/>
      <c r="I566" s="886"/>
      <c r="J566" s="886"/>
      <c r="K566" s="886"/>
      <c r="L566" s="886"/>
      <c r="M566" s="886"/>
      <c r="N566" s="886"/>
      <c r="O566" s="886"/>
      <c r="P566" s="886"/>
      <c r="Q566" s="886"/>
      <c r="R566" s="886"/>
      <c r="S566" s="886"/>
      <c r="T566" s="886"/>
      <c r="U566" s="886"/>
      <c r="V566" s="886"/>
      <c r="W566" s="886"/>
    </row>
    <row r="567" spans="3:23">
      <c r="C567" s="942"/>
      <c r="D567" s="942"/>
      <c r="E567" s="943"/>
      <c r="F567" s="886"/>
      <c r="G567" s="886"/>
      <c r="H567" s="886"/>
      <c r="I567" s="886"/>
      <c r="J567" s="886"/>
      <c r="K567" s="886"/>
      <c r="L567" s="886"/>
      <c r="M567" s="886"/>
      <c r="N567" s="886"/>
      <c r="O567" s="886"/>
      <c r="P567" s="886"/>
      <c r="Q567" s="886"/>
      <c r="R567" s="886"/>
      <c r="S567" s="886"/>
      <c r="T567" s="886"/>
      <c r="U567" s="886"/>
      <c r="V567" s="886"/>
      <c r="W567" s="886"/>
    </row>
    <row r="568" spans="3:23">
      <c r="C568" s="942"/>
      <c r="D568" s="942"/>
      <c r="E568" s="943"/>
      <c r="F568" s="886"/>
      <c r="G568" s="886"/>
      <c r="H568" s="886"/>
      <c r="I568" s="886"/>
      <c r="J568" s="886"/>
      <c r="K568" s="886"/>
      <c r="L568" s="886"/>
      <c r="M568" s="886"/>
      <c r="N568" s="886"/>
      <c r="O568" s="886"/>
      <c r="P568" s="886"/>
      <c r="Q568" s="886"/>
      <c r="R568" s="886"/>
      <c r="S568" s="886"/>
      <c r="T568" s="886"/>
      <c r="U568" s="886"/>
      <c r="V568" s="886"/>
      <c r="W568" s="886"/>
    </row>
    <row r="569" spans="3:23">
      <c r="C569" s="942"/>
      <c r="D569" s="942"/>
      <c r="E569" s="943"/>
      <c r="F569" s="886"/>
      <c r="G569" s="886"/>
      <c r="H569" s="886"/>
      <c r="I569" s="886"/>
      <c r="J569" s="886"/>
      <c r="K569" s="886"/>
      <c r="L569" s="886"/>
      <c r="M569" s="886"/>
      <c r="N569" s="886"/>
      <c r="O569" s="886"/>
      <c r="P569" s="886"/>
      <c r="Q569" s="886"/>
      <c r="R569" s="886"/>
      <c r="S569" s="886"/>
      <c r="T569" s="886"/>
      <c r="U569" s="886"/>
      <c r="V569" s="886"/>
      <c r="W569" s="886"/>
    </row>
    <row r="570" spans="3:23">
      <c r="C570" s="942"/>
      <c r="D570" s="942"/>
      <c r="E570" s="943"/>
      <c r="F570" s="886"/>
      <c r="G570" s="886"/>
      <c r="H570" s="886"/>
      <c r="I570" s="886"/>
      <c r="J570" s="886"/>
      <c r="K570" s="886"/>
      <c r="L570" s="886"/>
      <c r="M570" s="886"/>
      <c r="N570" s="886"/>
      <c r="O570" s="886"/>
      <c r="P570" s="886"/>
      <c r="Q570" s="886"/>
      <c r="R570" s="886"/>
      <c r="S570" s="886"/>
      <c r="T570" s="886"/>
      <c r="U570" s="886"/>
      <c r="V570" s="886"/>
      <c r="W570" s="886"/>
    </row>
    <row r="571" spans="3:23">
      <c r="C571" s="942"/>
      <c r="D571" s="942"/>
      <c r="E571" s="943"/>
      <c r="F571" s="886"/>
      <c r="G571" s="886"/>
      <c r="H571" s="886"/>
      <c r="I571" s="886"/>
      <c r="J571" s="886"/>
      <c r="K571" s="886"/>
      <c r="L571" s="886"/>
      <c r="M571" s="886"/>
      <c r="N571" s="886"/>
      <c r="O571" s="886"/>
      <c r="P571" s="886"/>
      <c r="Q571" s="886"/>
      <c r="R571" s="886"/>
      <c r="S571" s="886"/>
      <c r="T571" s="886"/>
      <c r="U571" s="886"/>
      <c r="V571" s="886"/>
      <c r="W571" s="886"/>
    </row>
    <row r="572" spans="3:23">
      <c r="C572" s="942"/>
      <c r="D572" s="942"/>
      <c r="E572" s="943"/>
      <c r="F572" s="886"/>
      <c r="G572" s="886"/>
      <c r="H572" s="886"/>
      <c r="I572" s="886"/>
      <c r="J572" s="886"/>
      <c r="K572" s="886"/>
      <c r="L572" s="886"/>
      <c r="M572" s="886"/>
      <c r="N572" s="886"/>
      <c r="O572" s="886"/>
      <c r="P572" s="886"/>
      <c r="Q572" s="886"/>
      <c r="R572" s="886"/>
      <c r="S572" s="886"/>
      <c r="T572" s="886"/>
      <c r="U572" s="886"/>
      <c r="V572" s="886"/>
      <c r="W572" s="886"/>
    </row>
    <row r="573" spans="3:23">
      <c r="C573" s="942"/>
      <c r="D573" s="942"/>
      <c r="E573" s="943"/>
      <c r="F573" s="886"/>
      <c r="G573" s="886"/>
      <c r="H573" s="886"/>
      <c r="I573" s="886"/>
      <c r="J573" s="886"/>
      <c r="K573" s="886"/>
      <c r="L573" s="886"/>
      <c r="M573" s="886"/>
      <c r="N573" s="886"/>
      <c r="O573" s="886"/>
      <c r="P573" s="886"/>
      <c r="Q573" s="886"/>
      <c r="R573" s="886"/>
      <c r="S573" s="886"/>
      <c r="T573" s="886"/>
      <c r="U573" s="886"/>
      <c r="V573" s="886"/>
      <c r="W573" s="886"/>
    </row>
    <row r="574" spans="3:23">
      <c r="C574" s="942"/>
      <c r="D574" s="942"/>
      <c r="E574" s="943"/>
      <c r="F574" s="886"/>
      <c r="G574" s="886"/>
      <c r="H574" s="886"/>
      <c r="I574" s="886"/>
      <c r="J574" s="886"/>
      <c r="K574" s="886"/>
      <c r="L574" s="886"/>
      <c r="M574" s="886"/>
      <c r="N574" s="886"/>
      <c r="O574" s="886"/>
      <c r="P574" s="886"/>
      <c r="Q574" s="886"/>
      <c r="R574" s="886"/>
      <c r="S574" s="886"/>
      <c r="T574" s="886"/>
      <c r="U574" s="886"/>
      <c r="V574" s="886"/>
      <c r="W574" s="886"/>
    </row>
    <row r="575" spans="3:23">
      <c r="C575" s="942"/>
      <c r="D575" s="942"/>
      <c r="E575" s="943"/>
      <c r="F575" s="886"/>
      <c r="G575" s="886"/>
      <c r="H575" s="886"/>
      <c r="I575" s="886"/>
      <c r="J575" s="886"/>
      <c r="K575" s="886"/>
      <c r="L575" s="886"/>
      <c r="M575" s="886"/>
      <c r="N575" s="886"/>
      <c r="O575" s="886"/>
      <c r="P575" s="886"/>
      <c r="Q575" s="886"/>
      <c r="R575" s="886"/>
      <c r="S575" s="886"/>
      <c r="T575" s="886"/>
      <c r="U575" s="886"/>
      <c r="V575" s="886"/>
      <c r="W575" s="886"/>
    </row>
    <row r="576" spans="3:23">
      <c r="C576" s="942"/>
      <c r="D576" s="942"/>
      <c r="E576" s="943"/>
      <c r="F576" s="886"/>
      <c r="G576" s="886"/>
      <c r="H576" s="886"/>
      <c r="I576" s="886"/>
      <c r="J576" s="886"/>
      <c r="K576" s="886"/>
      <c r="L576" s="886"/>
      <c r="M576" s="886"/>
      <c r="N576" s="886"/>
      <c r="O576" s="886"/>
      <c r="P576" s="886"/>
      <c r="Q576" s="886"/>
      <c r="R576" s="886"/>
      <c r="S576" s="886"/>
      <c r="T576" s="886"/>
      <c r="U576" s="886"/>
      <c r="V576" s="886"/>
      <c r="W576" s="886"/>
    </row>
    <row r="577" spans="3:23">
      <c r="C577" s="942"/>
      <c r="D577" s="942"/>
      <c r="E577" s="943"/>
      <c r="F577" s="886"/>
      <c r="G577" s="886"/>
      <c r="H577" s="886"/>
      <c r="I577" s="886"/>
      <c r="J577" s="886"/>
      <c r="K577" s="886"/>
      <c r="L577" s="886"/>
      <c r="M577" s="886"/>
      <c r="N577" s="886"/>
      <c r="O577" s="886"/>
      <c r="P577" s="886"/>
      <c r="Q577" s="886"/>
      <c r="R577" s="886"/>
      <c r="S577" s="886"/>
      <c r="T577" s="886"/>
      <c r="U577" s="886"/>
      <c r="V577" s="886"/>
      <c r="W577" s="886"/>
    </row>
    <row r="578" spans="3:23">
      <c r="C578" s="942"/>
      <c r="D578" s="942"/>
      <c r="E578" s="943"/>
      <c r="F578" s="886"/>
      <c r="G578" s="886"/>
      <c r="H578" s="886"/>
      <c r="I578" s="886"/>
      <c r="J578" s="886"/>
      <c r="K578" s="886"/>
      <c r="L578" s="886"/>
      <c r="M578" s="886"/>
      <c r="N578" s="886"/>
      <c r="O578" s="886"/>
      <c r="P578" s="886"/>
      <c r="Q578" s="886"/>
      <c r="R578" s="886"/>
      <c r="S578" s="886"/>
      <c r="T578" s="886"/>
      <c r="U578" s="886"/>
      <c r="V578" s="886"/>
      <c r="W578" s="886"/>
    </row>
    <row r="579" spans="3:23">
      <c r="C579" s="942"/>
      <c r="D579" s="942"/>
      <c r="E579" s="943"/>
      <c r="F579" s="886"/>
      <c r="G579" s="886"/>
      <c r="H579" s="886"/>
      <c r="I579" s="886"/>
      <c r="J579" s="886"/>
      <c r="K579" s="886"/>
      <c r="L579" s="886"/>
      <c r="M579" s="886"/>
      <c r="N579" s="886"/>
      <c r="O579" s="886"/>
      <c r="P579" s="886"/>
      <c r="Q579" s="886"/>
      <c r="R579" s="886"/>
      <c r="S579" s="886"/>
      <c r="T579" s="886"/>
      <c r="U579" s="886"/>
      <c r="V579" s="886"/>
      <c r="W579" s="886"/>
    </row>
    <row r="580" spans="3:23">
      <c r="C580" s="942"/>
      <c r="D580" s="942"/>
      <c r="E580" s="943"/>
      <c r="F580" s="886"/>
      <c r="G580" s="886"/>
      <c r="H580" s="886"/>
      <c r="I580" s="886"/>
      <c r="J580" s="886"/>
      <c r="K580" s="886"/>
      <c r="L580" s="886"/>
      <c r="M580" s="886"/>
      <c r="N580" s="886"/>
      <c r="O580" s="886"/>
      <c r="P580" s="886"/>
      <c r="Q580" s="886"/>
      <c r="R580" s="886"/>
      <c r="S580" s="886"/>
      <c r="T580" s="886"/>
      <c r="U580" s="886"/>
      <c r="V580" s="886"/>
      <c r="W580" s="886"/>
    </row>
    <row r="581" spans="3:23">
      <c r="C581" s="942"/>
      <c r="D581" s="942"/>
      <c r="E581" s="943"/>
      <c r="F581" s="886"/>
      <c r="G581" s="886"/>
      <c r="H581" s="886"/>
      <c r="I581" s="886"/>
      <c r="J581" s="886"/>
      <c r="K581" s="886"/>
      <c r="L581" s="886"/>
      <c r="M581" s="886"/>
      <c r="N581" s="886"/>
      <c r="O581" s="886"/>
      <c r="P581" s="886"/>
      <c r="Q581" s="886"/>
      <c r="R581" s="886"/>
      <c r="S581" s="886"/>
      <c r="T581" s="886"/>
      <c r="U581" s="886"/>
      <c r="V581" s="886"/>
      <c r="W581" s="886"/>
    </row>
    <row r="582" spans="3:23">
      <c r="C582" s="942"/>
      <c r="D582" s="942"/>
      <c r="E582" s="943"/>
      <c r="F582" s="886"/>
      <c r="G582" s="886"/>
      <c r="H582" s="886"/>
      <c r="I582" s="886"/>
      <c r="J582" s="886"/>
      <c r="K582" s="886"/>
      <c r="L582" s="886"/>
      <c r="M582" s="886"/>
      <c r="N582" s="886"/>
      <c r="O582" s="886"/>
      <c r="P582" s="886"/>
      <c r="Q582" s="886"/>
      <c r="R582" s="886"/>
      <c r="S582" s="886"/>
      <c r="T582" s="886"/>
      <c r="U582" s="886"/>
      <c r="V582" s="886"/>
      <c r="W582" s="886"/>
    </row>
    <row r="583" spans="3:23">
      <c r="C583" s="942"/>
      <c r="D583" s="942"/>
      <c r="E583" s="943"/>
      <c r="F583" s="886"/>
      <c r="G583" s="886"/>
      <c r="H583" s="886"/>
      <c r="I583" s="886"/>
      <c r="J583" s="886"/>
      <c r="K583" s="886"/>
      <c r="L583" s="886"/>
      <c r="M583" s="886"/>
      <c r="N583" s="886"/>
      <c r="O583" s="886"/>
      <c r="P583" s="886"/>
      <c r="Q583" s="886"/>
      <c r="R583" s="886"/>
      <c r="S583" s="886"/>
      <c r="T583" s="886"/>
      <c r="U583" s="886"/>
      <c r="V583" s="886"/>
      <c r="W583" s="886"/>
    </row>
    <row r="584" spans="3:23">
      <c r="C584" s="942"/>
      <c r="D584" s="942"/>
      <c r="E584" s="943"/>
      <c r="F584" s="886"/>
      <c r="G584" s="886"/>
      <c r="H584" s="886"/>
      <c r="I584" s="886"/>
      <c r="J584" s="886"/>
      <c r="K584" s="886"/>
      <c r="L584" s="886"/>
      <c r="M584" s="886"/>
      <c r="N584" s="886"/>
      <c r="O584" s="886"/>
      <c r="P584" s="886"/>
      <c r="Q584" s="886"/>
      <c r="R584" s="886"/>
      <c r="S584" s="886"/>
      <c r="T584" s="886"/>
      <c r="U584" s="886"/>
      <c r="V584" s="886"/>
      <c r="W584" s="886"/>
    </row>
    <row r="585" spans="3:23">
      <c r="C585" s="942"/>
      <c r="D585" s="942"/>
      <c r="E585" s="943"/>
      <c r="F585" s="886"/>
      <c r="G585" s="886"/>
      <c r="H585" s="886"/>
      <c r="I585" s="886"/>
      <c r="J585" s="886"/>
      <c r="K585" s="886"/>
      <c r="L585" s="886"/>
      <c r="M585" s="886"/>
      <c r="N585" s="886"/>
      <c r="O585" s="886"/>
      <c r="P585" s="886"/>
      <c r="Q585" s="886"/>
      <c r="R585" s="886"/>
      <c r="S585" s="886"/>
      <c r="T585" s="886"/>
      <c r="U585" s="886"/>
      <c r="V585" s="886"/>
      <c r="W585" s="886"/>
    </row>
    <row r="586" spans="3:23">
      <c r="C586" s="942"/>
      <c r="D586" s="942"/>
      <c r="E586" s="943"/>
      <c r="F586" s="886"/>
      <c r="G586" s="886"/>
      <c r="H586" s="886"/>
      <c r="I586" s="886"/>
      <c r="J586" s="886"/>
      <c r="K586" s="886"/>
      <c r="L586" s="886"/>
      <c r="M586" s="886"/>
      <c r="N586" s="886"/>
      <c r="O586" s="886"/>
      <c r="P586" s="886"/>
      <c r="Q586" s="886"/>
      <c r="R586" s="886"/>
      <c r="S586" s="886"/>
      <c r="T586" s="886"/>
      <c r="U586" s="886"/>
      <c r="V586" s="886"/>
      <c r="W586" s="886"/>
    </row>
    <row r="587" spans="3:23">
      <c r="C587" s="942"/>
      <c r="D587" s="942"/>
      <c r="E587" s="943"/>
      <c r="F587" s="886"/>
      <c r="G587" s="886"/>
      <c r="H587" s="886"/>
      <c r="I587" s="886"/>
      <c r="J587" s="886"/>
      <c r="K587" s="886"/>
      <c r="L587" s="886"/>
      <c r="M587" s="886"/>
      <c r="N587" s="886"/>
      <c r="O587" s="886"/>
      <c r="P587" s="886"/>
      <c r="Q587" s="886"/>
      <c r="R587" s="886"/>
      <c r="S587" s="886"/>
      <c r="T587" s="886"/>
      <c r="U587" s="886"/>
      <c r="V587" s="886"/>
      <c r="W587" s="886"/>
    </row>
    <row r="588" spans="3:23">
      <c r="C588" s="942"/>
      <c r="D588" s="942"/>
      <c r="E588" s="943"/>
      <c r="F588" s="886"/>
      <c r="G588" s="886"/>
      <c r="H588" s="886"/>
      <c r="I588" s="886"/>
      <c r="J588" s="886"/>
      <c r="K588" s="886"/>
      <c r="L588" s="886"/>
      <c r="M588" s="886"/>
      <c r="N588" s="886"/>
      <c r="O588" s="886"/>
      <c r="P588" s="886"/>
      <c r="Q588" s="886"/>
      <c r="R588" s="886"/>
      <c r="S588" s="886"/>
      <c r="T588" s="886"/>
      <c r="U588" s="886"/>
      <c r="V588" s="886"/>
      <c r="W588" s="886"/>
    </row>
    <row r="589" spans="3:23">
      <c r="C589" s="942"/>
      <c r="D589" s="942"/>
      <c r="E589" s="943"/>
      <c r="F589" s="886"/>
      <c r="G589" s="886"/>
      <c r="H589" s="886"/>
      <c r="I589" s="886"/>
      <c r="J589" s="886"/>
      <c r="K589" s="886"/>
      <c r="L589" s="886"/>
      <c r="M589" s="886"/>
      <c r="N589" s="886"/>
      <c r="O589" s="886"/>
      <c r="P589" s="886"/>
      <c r="Q589" s="886"/>
      <c r="R589" s="886"/>
      <c r="S589" s="886"/>
      <c r="T589" s="886"/>
      <c r="U589" s="886"/>
      <c r="V589" s="886"/>
      <c r="W589" s="886"/>
    </row>
    <row r="590" spans="3:23">
      <c r="C590" s="942"/>
      <c r="D590" s="942"/>
      <c r="E590" s="943"/>
      <c r="F590" s="886"/>
      <c r="G590" s="886"/>
      <c r="H590" s="886"/>
      <c r="I590" s="886"/>
      <c r="J590" s="886"/>
      <c r="K590" s="886"/>
      <c r="L590" s="886"/>
      <c r="M590" s="886"/>
      <c r="N590" s="886"/>
      <c r="O590" s="886"/>
      <c r="P590" s="886"/>
      <c r="Q590" s="886"/>
      <c r="R590" s="886"/>
      <c r="S590" s="886"/>
      <c r="T590" s="886"/>
      <c r="U590" s="886"/>
      <c r="V590" s="886"/>
      <c r="W590" s="886"/>
    </row>
    <row r="591" spans="3:23">
      <c r="C591" s="942"/>
      <c r="D591" s="942"/>
      <c r="E591" s="943"/>
      <c r="F591" s="886"/>
      <c r="G591" s="886"/>
      <c r="H591" s="886"/>
      <c r="I591" s="886"/>
      <c r="J591" s="886"/>
      <c r="K591" s="886"/>
      <c r="L591" s="886"/>
      <c r="M591" s="886"/>
      <c r="N591" s="886"/>
      <c r="O591" s="886"/>
      <c r="P591" s="886"/>
      <c r="Q591" s="886"/>
      <c r="R591" s="886"/>
      <c r="S591" s="886"/>
      <c r="T591" s="886"/>
      <c r="U591" s="886"/>
      <c r="V591" s="886"/>
      <c r="W591" s="886"/>
    </row>
    <row r="592" spans="3:23">
      <c r="C592" s="942"/>
      <c r="D592" s="942"/>
      <c r="E592" s="943"/>
      <c r="F592" s="886"/>
      <c r="G592" s="886"/>
      <c r="H592" s="886"/>
      <c r="I592" s="886"/>
      <c r="J592" s="886"/>
      <c r="K592" s="886"/>
      <c r="L592" s="886"/>
      <c r="M592" s="886"/>
      <c r="N592" s="886"/>
      <c r="O592" s="886"/>
      <c r="P592" s="886"/>
      <c r="Q592" s="886"/>
      <c r="R592" s="886"/>
      <c r="S592" s="886"/>
      <c r="T592" s="886"/>
      <c r="U592" s="886"/>
      <c r="V592" s="886"/>
      <c r="W592" s="886"/>
    </row>
    <row r="593" spans="3:23">
      <c r="C593" s="942"/>
      <c r="D593" s="942"/>
      <c r="E593" s="943"/>
      <c r="F593" s="886"/>
      <c r="G593" s="886"/>
      <c r="H593" s="886"/>
      <c r="I593" s="886"/>
      <c r="J593" s="886"/>
      <c r="K593" s="886"/>
      <c r="L593" s="886"/>
      <c r="M593" s="886"/>
      <c r="N593" s="886"/>
      <c r="O593" s="886"/>
      <c r="P593" s="886"/>
      <c r="Q593" s="886"/>
      <c r="R593" s="886"/>
      <c r="S593" s="886"/>
      <c r="T593" s="886"/>
      <c r="U593" s="886"/>
      <c r="V593" s="886"/>
      <c r="W593" s="886"/>
    </row>
    <row r="594" spans="3:23">
      <c r="C594" s="942"/>
      <c r="D594" s="942"/>
      <c r="E594" s="943"/>
      <c r="F594" s="886"/>
      <c r="G594" s="886"/>
      <c r="H594" s="886"/>
      <c r="I594" s="886"/>
      <c r="J594" s="886"/>
      <c r="K594" s="886"/>
      <c r="L594" s="886"/>
      <c r="M594" s="886"/>
      <c r="N594" s="886"/>
      <c r="O594" s="886"/>
      <c r="P594" s="886"/>
      <c r="Q594" s="886"/>
      <c r="R594" s="886"/>
      <c r="S594" s="886"/>
      <c r="T594" s="886"/>
      <c r="U594" s="886"/>
      <c r="V594" s="886"/>
      <c r="W594" s="886"/>
    </row>
    <row r="595" spans="3:23">
      <c r="C595" s="942"/>
      <c r="D595" s="942"/>
      <c r="E595" s="943"/>
      <c r="F595" s="886"/>
      <c r="G595" s="886"/>
      <c r="H595" s="886"/>
      <c r="I595" s="886"/>
      <c r="J595" s="886"/>
      <c r="K595" s="886"/>
      <c r="L595" s="886"/>
      <c r="M595" s="886"/>
      <c r="N595" s="886"/>
      <c r="O595" s="886"/>
      <c r="P595" s="886"/>
      <c r="Q595" s="886"/>
      <c r="R595" s="886"/>
      <c r="S595" s="886"/>
      <c r="T595" s="886"/>
      <c r="U595" s="886"/>
      <c r="V595" s="886"/>
      <c r="W595" s="886"/>
    </row>
    <row r="596" spans="3:23">
      <c r="C596" s="942"/>
      <c r="D596" s="942"/>
      <c r="E596" s="943"/>
      <c r="F596" s="886"/>
      <c r="G596" s="886"/>
      <c r="H596" s="886"/>
      <c r="I596" s="886"/>
      <c r="J596" s="886"/>
      <c r="K596" s="886"/>
      <c r="L596" s="886"/>
      <c r="M596" s="886"/>
      <c r="N596" s="886"/>
      <c r="O596" s="886"/>
      <c r="P596" s="886"/>
      <c r="Q596" s="886"/>
      <c r="R596" s="886"/>
      <c r="S596" s="886"/>
      <c r="T596" s="886"/>
      <c r="U596" s="886"/>
      <c r="V596" s="886"/>
      <c r="W596" s="886"/>
    </row>
    <row r="597" spans="3:23">
      <c r="C597" s="942"/>
      <c r="D597" s="942"/>
      <c r="E597" s="943"/>
      <c r="F597" s="886"/>
      <c r="G597" s="886"/>
      <c r="H597" s="886"/>
      <c r="I597" s="886"/>
      <c r="J597" s="886"/>
      <c r="K597" s="886"/>
      <c r="L597" s="886"/>
      <c r="M597" s="886"/>
      <c r="N597" s="886"/>
      <c r="O597" s="886"/>
      <c r="P597" s="886"/>
      <c r="Q597" s="886"/>
      <c r="R597" s="886"/>
      <c r="S597" s="886"/>
      <c r="T597" s="886"/>
      <c r="U597" s="886"/>
      <c r="V597" s="886"/>
      <c r="W597" s="886"/>
    </row>
    <row r="598" spans="3:23">
      <c r="C598" s="942"/>
      <c r="D598" s="942"/>
      <c r="E598" s="943"/>
      <c r="F598" s="886"/>
      <c r="G598" s="886"/>
      <c r="H598" s="886"/>
      <c r="I598" s="886"/>
      <c r="J598" s="886"/>
      <c r="K598" s="886"/>
      <c r="L598" s="886"/>
      <c r="M598" s="886"/>
      <c r="N598" s="886"/>
      <c r="O598" s="886"/>
      <c r="P598" s="886"/>
      <c r="Q598" s="886"/>
      <c r="R598" s="886"/>
      <c r="S598" s="886"/>
      <c r="T598" s="886"/>
      <c r="U598" s="886"/>
      <c r="V598" s="886"/>
      <c r="W598" s="886"/>
    </row>
    <row r="599" spans="3:23">
      <c r="C599" s="942"/>
      <c r="D599" s="942"/>
      <c r="E599" s="943"/>
      <c r="F599" s="886"/>
      <c r="G599" s="886"/>
      <c r="H599" s="886"/>
      <c r="I599" s="886"/>
      <c r="J599" s="886"/>
      <c r="K599" s="886"/>
      <c r="L599" s="886"/>
      <c r="M599" s="886"/>
      <c r="N599" s="886"/>
      <c r="O599" s="886"/>
      <c r="P599" s="886"/>
      <c r="Q599" s="886"/>
      <c r="R599" s="886"/>
      <c r="S599" s="886"/>
      <c r="T599" s="886"/>
      <c r="U599" s="886"/>
      <c r="V599" s="886"/>
      <c r="W599" s="886"/>
    </row>
    <row r="600" spans="3:23">
      <c r="C600" s="942"/>
      <c r="D600" s="942"/>
      <c r="E600" s="943"/>
      <c r="F600" s="886"/>
      <c r="G600" s="886"/>
      <c r="H600" s="886"/>
      <c r="I600" s="886"/>
      <c r="J600" s="886"/>
      <c r="K600" s="886"/>
      <c r="L600" s="886"/>
      <c r="M600" s="886"/>
      <c r="N600" s="886"/>
      <c r="O600" s="886"/>
      <c r="P600" s="886"/>
      <c r="Q600" s="886"/>
      <c r="R600" s="886"/>
      <c r="S600" s="886"/>
      <c r="T600" s="886"/>
      <c r="U600" s="886"/>
      <c r="V600" s="886"/>
      <c r="W600" s="886"/>
    </row>
    <row r="601" spans="3:23">
      <c r="C601" s="942"/>
      <c r="D601" s="942"/>
      <c r="E601" s="943"/>
      <c r="F601" s="886"/>
      <c r="G601" s="886"/>
      <c r="H601" s="886"/>
      <c r="I601" s="886"/>
      <c r="J601" s="886"/>
      <c r="K601" s="886"/>
      <c r="L601" s="886"/>
      <c r="M601" s="886"/>
      <c r="N601" s="886"/>
      <c r="O601" s="886"/>
      <c r="P601" s="886"/>
      <c r="Q601" s="886"/>
      <c r="R601" s="886"/>
      <c r="S601" s="886"/>
      <c r="T601" s="886"/>
      <c r="U601" s="886"/>
      <c r="V601" s="886"/>
      <c r="W601" s="886"/>
    </row>
    <row r="602" spans="3:23">
      <c r="C602" s="942"/>
      <c r="D602" s="942"/>
      <c r="E602" s="943"/>
      <c r="F602" s="886"/>
      <c r="G602" s="886"/>
      <c r="H602" s="886"/>
      <c r="I602" s="886"/>
      <c r="J602" s="886"/>
      <c r="K602" s="886"/>
      <c r="L602" s="886"/>
      <c r="M602" s="886"/>
      <c r="N602" s="886"/>
      <c r="O602" s="886"/>
      <c r="P602" s="886"/>
      <c r="Q602" s="886"/>
      <c r="R602" s="886"/>
      <c r="S602" s="886"/>
      <c r="T602" s="886"/>
      <c r="U602" s="886"/>
      <c r="V602" s="886"/>
      <c r="W602" s="886"/>
    </row>
    <row r="603" spans="3:23">
      <c r="C603" s="942"/>
      <c r="D603" s="942"/>
      <c r="E603" s="943"/>
      <c r="F603" s="886"/>
      <c r="G603" s="886"/>
      <c r="H603" s="886"/>
      <c r="I603" s="886"/>
      <c r="J603" s="886"/>
      <c r="K603" s="886"/>
      <c r="L603" s="886"/>
      <c r="M603" s="886"/>
      <c r="N603" s="886"/>
      <c r="O603" s="886"/>
      <c r="P603" s="886"/>
      <c r="Q603" s="886"/>
      <c r="R603" s="886"/>
      <c r="S603" s="886"/>
      <c r="T603" s="886"/>
      <c r="U603" s="886"/>
      <c r="V603" s="886"/>
      <c r="W603" s="886"/>
    </row>
    <row r="604" spans="3:23">
      <c r="C604" s="942"/>
      <c r="D604" s="942"/>
      <c r="E604" s="943"/>
      <c r="F604" s="886"/>
      <c r="G604" s="886"/>
      <c r="H604" s="886"/>
      <c r="I604" s="886"/>
      <c r="J604" s="886"/>
      <c r="K604" s="886"/>
      <c r="L604" s="886"/>
      <c r="M604" s="886"/>
      <c r="N604" s="886"/>
      <c r="O604" s="886"/>
      <c r="P604" s="886"/>
      <c r="Q604" s="886"/>
      <c r="R604" s="886"/>
      <c r="S604" s="886"/>
      <c r="T604" s="886"/>
      <c r="U604" s="886"/>
      <c r="V604" s="886"/>
      <c r="W604" s="886"/>
    </row>
    <row r="605" spans="3:23">
      <c r="C605" s="942"/>
      <c r="D605" s="942"/>
      <c r="E605" s="943"/>
      <c r="F605" s="886"/>
      <c r="G605" s="886"/>
      <c r="H605" s="886"/>
      <c r="I605" s="886"/>
      <c r="J605" s="886"/>
      <c r="K605" s="886"/>
      <c r="L605" s="886"/>
      <c r="M605" s="886"/>
      <c r="N605" s="886"/>
      <c r="O605" s="886"/>
      <c r="P605" s="886"/>
      <c r="Q605" s="886"/>
      <c r="R605" s="886"/>
      <c r="S605" s="886"/>
      <c r="T605" s="886"/>
      <c r="U605" s="886"/>
      <c r="V605" s="886"/>
      <c r="W605" s="886"/>
    </row>
    <row r="606" spans="3:23">
      <c r="C606" s="942"/>
      <c r="D606" s="942"/>
      <c r="E606" s="943"/>
      <c r="F606" s="886"/>
      <c r="G606" s="886"/>
      <c r="H606" s="886"/>
      <c r="I606" s="886"/>
      <c r="J606" s="886"/>
      <c r="K606" s="886"/>
      <c r="L606" s="886"/>
      <c r="M606" s="886"/>
      <c r="N606" s="886"/>
      <c r="O606" s="886"/>
      <c r="P606" s="886"/>
      <c r="Q606" s="886"/>
      <c r="R606" s="886"/>
      <c r="S606" s="886"/>
      <c r="T606" s="886"/>
      <c r="U606" s="886"/>
      <c r="V606" s="886"/>
      <c r="W606" s="886"/>
    </row>
    <row r="607" spans="3:23">
      <c r="C607" s="942"/>
      <c r="D607" s="942"/>
      <c r="E607" s="943"/>
      <c r="F607" s="886"/>
      <c r="G607" s="886"/>
      <c r="H607" s="886"/>
      <c r="I607" s="886"/>
      <c r="J607" s="886"/>
      <c r="K607" s="886"/>
      <c r="L607" s="886"/>
      <c r="M607" s="886"/>
      <c r="N607" s="886"/>
      <c r="O607" s="886"/>
      <c r="P607" s="886"/>
      <c r="Q607" s="886"/>
      <c r="R607" s="886"/>
      <c r="S607" s="886"/>
      <c r="T607" s="886"/>
      <c r="U607" s="886"/>
      <c r="V607" s="886"/>
      <c r="W607" s="886"/>
    </row>
    <row r="608" spans="3:23">
      <c r="C608" s="942"/>
      <c r="D608" s="942"/>
      <c r="E608" s="943"/>
      <c r="F608" s="886"/>
      <c r="G608" s="886"/>
      <c r="H608" s="886"/>
      <c r="I608" s="886"/>
      <c r="J608" s="886"/>
      <c r="K608" s="886"/>
      <c r="L608" s="886"/>
      <c r="M608" s="886"/>
      <c r="N608" s="886"/>
      <c r="O608" s="886"/>
      <c r="P608" s="886"/>
      <c r="Q608" s="886"/>
      <c r="R608" s="886"/>
      <c r="S608" s="886"/>
      <c r="T608" s="886"/>
      <c r="U608" s="886"/>
      <c r="V608" s="886"/>
      <c r="W608" s="886"/>
    </row>
    <row r="609" spans="3:23">
      <c r="C609" s="942"/>
      <c r="D609" s="942"/>
      <c r="E609" s="943"/>
      <c r="F609" s="886"/>
      <c r="G609" s="886"/>
      <c r="H609" s="886"/>
      <c r="I609" s="886"/>
      <c r="J609" s="886"/>
      <c r="K609" s="886"/>
      <c r="L609" s="886"/>
      <c r="M609" s="886"/>
      <c r="N609" s="886"/>
      <c r="O609" s="886"/>
      <c r="P609" s="886"/>
      <c r="Q609" s="886"/>
      <c r="R609" s="886"/>
      <c r="S609" s="886"/>
      <c r="T609" s="886"/>
      <c r="U609" s="886"/>
      <c r="V609" s="886"/>
      <c r="W609" s="886"/>
    </row>
    <row r="610" spans="3:23">
      <c r="C610" s="942"/>
      <c r="D610" s="942"/>
      <c r="E610" s="943"/>
      <c r="F610" s="886"/>
      <c r="G610" s="886"/>
      <c r="H610" s="886"/>
      <c r="I610" s="886"/>
      <c r="J610" s="886"/>
      <c r="K610" s="886"/>
      <c r="L610" s="886"/>
      <c r="M610" s="886"/>
      <c r="N610" s="886"/>
      <c r="O610" s="886"/>
      <c r="P610" s="886"/>
      <c r="Q610" s="886"/>
      <c r="R610" s="886"/>
      <c r="S610" s="886"/>
      <c r="T610" s="886"/>
      <c r="U610" s="886"/>
      <c r="V610" s="886"/>
      <c r="W610" s="886"/>
    </row>
    <row r="611" spans="3:23">
      <c r="C611" s="942"/>
      <c r="D611" s="942"/>
      <c r="E611" s="943"/>
      <c r="F611" s="886"/>
      <c r="G611" s="886"/>
      <c r="H611" s="886"/>
      <c r="I611" s="886"/>
      <c r="J611" s="886"/>
      <c r="K611" s="886"/>
      <c r="L611" s="886"/>
      <c r="M611" s="886"/>
      <c r="N611" s="886"/>
      <c r="O611" s="886"/>
      <c r="P611" s="886"/>
      <c r="Q611" s="886"/>
      <c r="R611" s="886"/>
      <c r="S611" s="886"/>
      <c r="T611" s="886"/>
      <c r="U611" s="886"/>
      <c r="V611" s="886"/>
      <c r="W611" s="886"/>
    </row>
    <row r="612" spans="3:23">
      <c r="C612" s="942"/>
      <c r="D612" s="942"/>
      <c r="E612" s="943"/>
      <c r="F612" s="886"/>
      <c r="G612" s="886"/>
      <c r="H612" s="886"/>
      <c r="I612" s="886"/>
      <c r="J612" s="886"/>
      <c r="K612" s="886"/>
      <c r="L612" s="886"/>
      <c r="M612" s="886"/>
      <c r="N612" s="886"/>
      <c r="O612" s="886"/>
      <c r="P612" s="886"/>
      <c r="Q612" s="886"/>
      <c r="R612" s="886"/>
      <c r="S612" s="886"/>
      <c r="T612" s="886"/>
      <c r="U612" s="886"/>
      <c r="V612" s="886"/>
      <c r="W612" s="886"/>
    </row>
    <row r="613" spans="3:23">
      <c r="C613" s="942"/>
      <c r="D613" s="942"/>
      <c r="E613" s="943"/>
      <c r="F613" s="886"/>
      <c r="G613" s="886"/>
      <c r="H613" s="886"/>
      <c r="I613" s="886"/>
      <c r="J613" s="886"/>
      <c r="K613" s="886"/>
      <c r="L613" s="886"/>
      <c r="M613" s="886"/>
      <c r="N613" s="886"/>
      <c r="O613" s="886"/>
      <c r="P613" s="886"/>
      <c r="Q613" s="886"/>
      <c r="R613" s="886"/>
      <c r="S613" s="886"/>
      <c r="T613" s="886"/>
      <c r="U613" s="886"/>
      <c r="V613" s="886"/>
      <c r="W613" s="886"/>
    </row>
    <row r="614" spans="3:23">
      <c r="C614" s="942"/>
      <c r="D614" s="942"/>
      <c r="E614" s="943"/>
      <c r="F614" s="886"/>
      <c r="G614" s="886"/>
      <c r="H614" s="886"/>
      <c r="I614" s="886"/>
      <c r="J614" s="886"/>
      <c r="K614" s="886"/>
      <c r="L614" s="886"/>
      <c r="M614" s="886"/>
      <c r="N614" s="886"/>
      <c r="O614" s="886"/>
      <c r="P614" s="886"/>
      <c r="Q614" s="886"/>
      <c r="R614" s="886"/>
      <c r="S614" s="886"/>
      <c r="T614" s="886"/>
      <c r="U614" s="886"/>
      <c r="V614" s="886"/>
      <c r="W614" s="886"/>
    </row>
    <row r="615" spans="3:23">
      <c r="C615" s="942"/>
      <c r="D615" s="942"/>
      <c r="E615" s="943"/>
      <c r="F615" s="886"/>
      <c r="G615" s="886"/>
      <c r="H615" s="886"/>
      <c r="I615" s="886"/>
      <c r="J615" s="886"/>
      <c r="K615" s="886"/>
      <c r="L615" s="886"/>
      <c r="M615" s="886"/>
      <c r="N615" s="886"/>
      <c r="O615" s="886"/>
      <c r="P615" s="886"/>
      <c r="Q615" s="886"/>
      <c r="R615" s="886"/>
      <c r="S615" s="886"/>
      <c r="T615" s="886"/>
      <c r="U615" s="886"/>
      <c r="V615" s="886"/>
      <c r="W615" s="886"/>
    </row>
    <row r="616" spans="3:23">
      <c r="C616" s="942"/>
      <c r="D616" s="942"/>
      <c r="E616" s="943"/>
      <c r="F616" s="886"/>
      <c r="G616" s="886"/>
      <c r="H616" s="886"/>
      <c r="I616" s="886"/>
      <c r="J616" s="886"/>
      <c r="K616" s="886"/>
      <c r="L616" s="886"/>
      <c r="M616" s="886"/>
      <c r="N616" s="886"/>
      <c r="O616" s="886"/>
      <c r="P616" s="886"/>
      <c r="Q616" s="886"/>
      <c r="R616" s="886"/>
      <c r="S616" s="886"/>
      <c r="T616" s="886"/>
      <c r="U616" s="886"/>
      <c r="V616" s="886"/>
      <c r="W616" s="886"/>
    </row>
    <row r="617" spans="3:23">
      <c r="C617" s="942"/>
      <c r="D617" s="942"/>
      <c r="E617" s="943"/>
      <c r="F617" s="886"/>
      <c r="G617" s="886"/>
      <c r="H617" s="886"/>
      <c r="I617" s="886"/>
      <c r="J617" s="886"/>
      <c r="K617" s="886"/>
      <c r="L617" s="886"/>
      <c r="M617" s="886"/>
      <c r="N617" s="886"/>
      <c r="O617" s="886"/>
      <c r="P617" s="886"/>
      <c r="Q617" s="886"/>
      <c r="R617" s="886"/>
      <c r="S617" s="886"/>
      <c r="T617" s="886"/>
      <c r="U617" s="886"/>
      <c r="V617" s="886"/>
      <c r="W617" s="886"/>
    </row>
    <row r="618" spans="3:23">
      <c r="C618" s="942"/>
      <c r="D618" s="942"/>
      <c r="E618" s="943"/>
      <c r="F618" s="886"/>
      <c r="G618" s="886"/>
      <c r="H618" s="886"/>
      <c r="I618" s="886"/>
      <c r="J618" s="886"/>
      <c r="K618" s="886"/>
      <c r="L618" s="886"/>
      <c r="M618" s="886"/>
      <c r="N618" s="886"/>
      <c r="O618" s="886"/>
      <c r="P618" s="886"/>
      <c r="Q618" s="886"/>
      <c r="R618" s="886"/>
      <c r="S618" s="886"/>
      <c r="T618" s="886"/>
      <c r="U618" s="886"/>
      <c r="V618" s="886"/>
      <c r="W618" s="886"/>
    </row>
    <row r="619" spans="3:23">
      <c r="C619" s="942"/>
      <c r="D619" s="942"/>
      <c r="E619" s="943"/>
      <c r="F619" s="886"/>
      <c r="G619" s="886"/>
      <c r="H619" s="886"/>
      <c r="I619" s="886"/>
      <c r="J619" s="886"/>
      <c r="K619" s="886"/>
      <c r="L619" s="886"/>
      <c r="M619" s="886"/>
      <c r="N619" s="886"/>
      <c r="O619" s="886"/>
      <c r="P619" s="886"/>
      <c r="Q619" s="886"/>
      <c r="R619" s="886"/>
      <c r="S619" s="886"/>
      <c r="T619" s="886"/>
      <c r="U619" s="886"/>
      <c r="V619" s="886"/>
      <c r="W619" s="886"/>
    </row>
    <row r="620" spans="3:23">
      <c r="C620" s="942"/>
      <c r="D620" s="942"/>
      <c r="E620" s="943"/>
      <c r="F620" s="886"/>
      <c r="G620" s="886"/>
      <c r="H620" s="886"/>
      <c r="I620" s="886"/>
      <c r="J620" s="886"/>
      <c r="K620" s="886"/>
      <c r="L620" s="886"/>
      <c r="M620" s="886"/>
      <c r="N620" s="886"/>
      <c r="O620" s="886"/>
      <c r="P620" s="886"/>
      <c r="Q620" s="886"/>
      <c r="R620" s="886"/>
      <c r="S620" s="886"/>
      <c r="T620" s="886"/>
      <c r="U620" s="886"/>
      <c r="V620" s="886"/>
      <c r="W620" s="886"/>
    </row>
    <row r="621" spans="3:23">
      <c r="C621" s="942"/>
      <c r="D621" s="942"/>
      <c r="E621" s="943"/>
      <c r="F621" s="886"/>
      <c r="G621" s="886"/>
      <c r="H621" s="886"/>
      <c r="I621" s="886"/>
      <c r="J621" s="886"/>
      <c r="K621" s="886"/>
      <c r="L621" s="886"/>
      <c r="M621" s="886"/>
      <c r="N621" s="886"/>
      <c r="O621" s="886"/>
      <c r="P621" s="886"/>
      <c r="Q621" s="886"/>
      <c r="R621" s="886"/>
      <c r="S621" s="886"/>
      <c r="T621" s="886"/>
      <c r="U621" s="886"/>
      <c r="V621" s="886"/>
      <c r="W621" s="886"/>
    </row>
    <row r="622" spans="3:23">
      <c r="C622" s="942"/>
      <c r="D622" s="942"/>
      <c r="E622" s="943"/>
      <c r="F622" s="886"/>
      <c r="G622" s="886"/>
      <c r="H622" s="886"/>
      <c r="I622" s="886"/>
      <c r="J622" s="886"/>
      <c r="K622" s="886"/>
      <c r="L622" s="886"/>
      <c r="M622" s="886"/>
      <c r="N622" s="886"/>
      <c r="O622" s="886"/>
      <c r="P622" s="886"/>
      <c r="Q622" s="886"/>
      <c r="R622" s="886"/>
      <c r="S622" s="886"/>
      <c r="T622" s="886"/>
      <c r="U622" s="886"/>
      <c r="V622" s="886"/>
      <c r="W622" s="886"/>
    </row>
    <row r="623" spans="3:23">
      <c r="C623" s="942"/>
      <c r="D623" s="942"/>
      <c r="E623" s="943"/>
      <c r="F623" s="886"/>
      <c r="G623" s="886"/>
      <c r="H623" s="886"/>
      <c r="I623" s="886"/>
      <c r="J623" s="886"/>
      <c r="K623" s="886"/>
      <c r="L623" s="886"/>
      <c r="M623" s="886"/>
      <c r="N623" s="886"/>
      <c r="O623" s="886"/>
      <c r="P623" s="886"/>
      <c r="Q623" s="886"/>
      <c r="R623" s="886"/>
      <c r="S623" s="886"/>
      <c r="T623" s="886"/>
      <c r="U623" s="886"/>
      <c r="V623" s="886"/>
      <c r="W623" s="886"/>
    </row>
    <row r="624" spans="3:23">
      <c r="C624" s="942"/>
      <c r="D624" s="942"/>
      <c r="E624" s="943"/>
      <c r="F624" s="886"/>
      <c r="G624" s="886"/>
      <c r="H624" s="886"/>
      <c r="I624" s="886"/>
      <c r="J624" s="886"/>
      <c r="K624" s="886"/>
      <c r="L624" s="886"/>
      <c r="M624" s="886"/>
      <c r="N624" s="886"/>
      <c r="O624" s="886"/>
      <c r="P624" s="886"/>
      <c r="Q624" s="886"/>
      <c r="R624" s="886"/>
      <c r="S624" s="886"/>
      <c r="T624" s="886"/>
      <c r="U624" s="886"/>
      <c r="V624" s="886"/>
      <c r="W624" s="886"/>
    </row>
    <row r="625" spans="3:23">
      <c r="C625" s="942"/>
      <c r="D625" s="942"/>
      <c r="E625" s="943"/>
      <c r="F625" s="886"/>
      <c r="G625" s="886"/>
      <c r="H625" s="886"/>
      <c r="I625" s="886"/>
      <c r="J625" s="886"/>
      <c r="K625" s="886"/>
      <c r="L625" s="886"/>
      <c r="M625" s="886"/>
      <c r="N625" s="886"/>
      <c r="O625" s="886"/>
      <c r="P625" s="886"/>
      <c r="Q625" s="886"/>
      <c r="R625" s="886"/>
      <c r="S625" s="886"/>
      <c r="T625" s="886"/>
      <c r="U625" s="886"/>
      <c r="V625" s="886"/>
      <c r="W625" s="886"/>
    </row>
    <row r="626" spans="3:23">
      <c r="C626" s="942"/>
      <c r="D626" s="942"/>
      <c r="E626" s="943"/>
      <c r="F626" s="886"/>
      <c r="G626" s="886"/>
      <c r="H626" s="886"/>
      <c r="I626" s="886"/>
      <c r="J626" s="886"/>
      <c r="K626" s="886"/>
      <c r="L626" s="886"/>
      <c r="M626" s="886"/>
      <c r="N626" s="886"/>
      <c r="O626" s="886"/>
      <c r="P626" s="886"/>
      <c r="Q626" s="886"/>
      <c r="R626" s="886"/>
      <c r="S626" s="886"/>
      <c r="T626" s="886"/>
      <c r="U626" s="886"/>
      <c r="V626" s="886"/>
      <c r="W626" s="886"/>
    </row>
    <row r="627" spans="3:23">
      <c r="C627" s="942"/>
      <c r="D627" s="942"/>
      <c r="E627" s="943"/>
      <c r="F627" s="886"/>
      <c r="G627" s="886"/>
      <c r="H627" s="886"/>
      <c r="I627" s="886"/>
      <c r="J627" s="886"/>
      <c r="K627" s="886"/>
      <c r="L627" s="886"/>
      <c r="M627" s="886"/>
      <c r="N627" s="886"/>
      <c r="O627" s="886"/>
      <c r="P627" s="886"/>
      <c r="Q627" s="886"/>
      <c r="R627" s="886"/>
      <c r="S627" s="886"/>
      <c r="T627" s="886"/>
      <c r="U627" s="886"/>
      <c r="V627" s="886"/>
      <c r="W627" s="886"/>
    </row>
    <row r="628" spans="3:23">
      <c r="C628" s="942"/>
      <c r="D628" s="942"/>
      <c r="E628" s="943"/>
      <c r="F628" s="886"/>
      <c r="G628" s="886"/>
      <c r="H628" s="886"/>
      <c r="I628" s="886"/>
      <c r="J628" s="886"/>
      <c r="K628" s="886"/>
      <c r="L628" s="886"/>
      <c r="M628" s="886"/>
      <c r="N628" s="886"/>
      <c r="O628" s="886"/>
      <c r="P628" s="886"/>
      <c r="Q628" s="886"/>
      <c r="R628" s="886"/>
      <c r="S628" s="886"/>
      <c r="T628" s="886"/>
      <c r="U628" s="886"/>
      <c r="V628" s="886"/>
      <c r="W628" s="886"/>
    </row>
    <row r="629" spans="3:23">
      <c r="C629" s="942"/>
      <c r="D629" s="942"/>
      <c r="E629" s="943"/>
      <c r="F629" s="886"/>
      <c r="G629" s="886"/>
      <c r="H629" s="886"/>
      <c r="I629" s="886"/>
      <c r="J629" s="886"/>
      <c r="K629" s="886"/>
      <c r="L629" s="886"/>
      <c r="M629" s="886"/>
      <c r="N629" s="886"/>
      <c r="O629" s="886"/>
      <c r="P629" s="886"/>
      <c r="Q629" s="886"/>
      <c r="R629" s="886"/>
      <c r="S629" s="886"/>
      <c r="T629" s="886"/>
      <c r="U629" s="886"/>
      <c r="V629" s="886"/>
      <c r="W629" s="886"/>
    </row>
    <row r="630" spans="3:23">
      <c r="C630" s="942"/>
      <c r="D630" s="942"/>
      <c r="E630" s="943"/>
      <c r="F630" s="886"/>
      <c r="G630" s="886"/>
      <c r="H630" s="886"/>
      <c r="I630" s="886"/>
      <c r="J630" s="886"/>
      <c r="K630" s="886"/>
      <c r="L630" s="886"/>
      <c r="M630" s="886"/>
      <c r="N630" s="886"/>
      <c r="O630" s="886"/>
      <c r="P630" s="886"/>
      <c r="Q630" s="886"/>
      <c r="R630" s="886"/>
      <c r="S630" s="886"/>
      <c r="T630" s="886"/>
      <c r="U630" s="886"/>
      <c r="V630" s="886"/>
      <c r="W630" s="886"/>
    </row>
    <row r="631" spans="3:23">
      <c r="C631" s="942"/>
      <c r="D631" s="942"/>
      <c r="E631" s="943"/>
      <c r="F631" s="886"/>
      <c r="G631" s="886"/>
      <c r="H631" s="886"/>
      <c r="I631" s="886"/>
      <c r="J631" s="886"/>
      <c r="K631" s="886"/>
      <c r="L631" s="886"/>
      <c r="M631" s="886"/>
      <c r="N631" s="886"/>
      <c r="O631" s="886"/>
      <c r="P631" s="886"/>
      <c r="Q631" s="886"/>
      <c r="R631" s="886"/>
      <c r="S631" s="886"/>
      <c r="T631" s="886"/>
      <c r="U631" s="886"/>
      <c r="V631" s="886"/>
      <c r="W631" s="886"/>
    </row>
    <row r="632" spans="3:23">
      <c r="C632" s="942"/>
      <c r="D632" s="942"/>
      <c r="E632" s="943"/>
      <c r="F632" s="886"/>
      <c r="G632" s="886"/>
      <c r="H632" s="886"/>
      <c r="I632" s="886"/>
      <c r="J632" s="886"/>
      <c r="K632" s="886"/>
      <c r="L632" s="886"/>
      <c r="M632" s="886"/>
      <c r="N632" s="886"/>
      <c r="O632" s="886"/>
      <c r="P632" s="886"/>
      <c r="Q632" s="886"/>
      <c r="R632" s="886"/>
      <c r="S632" s="886"/>
      <c r="T632" s="886"/>
      <c r="U632" s="886"/>
      <c r="V632" s="886"/>
      <c r="W632" s="886"/>
    </row>
    <row r="633" spans="3:23">
      <c r="C633" s="942"/>
      <c r="D633" s="942"/>
      <c r="E633" s="943"/>
      <c r="F633" s="886"/>
      <c r="G633" s="886"/>
      <c r="H633" s="886"/>
      <c r="I633" s="886"/>
      <c r="J633" s="886"/>
      <c r="K633" s="886"/>
      <c r="L633" s="886"/>
      <c r="M633" s="886"/>
      <c r="N633" s="886"/>
      <c r="O633" s="886"/>
      <c r="P633" s="886"/>
      <c r="Q633" s="886"/>
      <c r="R633" s="886"/>
      <c r="S633" s="886"/>
      <c r="T633" s="886"/>
      <c r="U633" s="886"/>
      <c r="V633" s="886"/>
      <c r="W633" s="886"/>
    </row>
    <row r="634" spans="3:23">
      <c r="C634" s="942"/>
      <c r="D634" s="942"/>
      <c r="E634" s="943"/>
      <c r="F634" s="886"/>
      <c r="G634" s="886"/>
      <c r="H634" s="886"/>
      <c r="I634" s="886"/>
      <c r="J634" s="886"/>
      <c r="K634" s="886"/>
      <c r="L634" s="886"/>
      <c r="M634" s="886"/>
      <c r="N634" s="886"/>
      <c r="O634" s="886"/>
      <c r="P634" s="886"/>
      <c r="Q634" s="886"/>
      <c r="R634" s="886"/>
      <c r="S634" s="886"/>
      <c r="T634" s="886"/>
      <c r="U634" s="886"/>
      <c r="V634" s="886"/>
      <c r="W634" s="886"/>
    </row>
    <row r="635" spans="3:23">
      <c r="C635" s="942"/>
      <c r="D635" s="942"/>
      <c r="E635" s="943"/>
      <c r="F635" s="886"/>
      <c r="G635" s="886"/>
      <c r="H635" s="886"/>
      <c r="I635" s="886"/>
      <c r="J635" s="886"/>
      <c r="K635" s="886"/>
      <c r="L635" s="886"/>
      <c r="M635" s="886"/>
      <c r="N635" s="886"/>
      <c r="O635" s="886"/>
      <c r="P635" s="886"/>
      <c r="Q635" s="886"/>
      <c r="R635" s="886"/>
      <c r="S635" s="886"/>
      <c r="T635" s="886"/>
      <c r="U635" s="886"/>
      <c r="V635" s="886"/>
      <c r="W635" s="886"/>
    </row>
    <row r="636" spans="3:23">
      <c r="C636" s="942"/>
      <c r="D636" s="942"/>
      <c r="E636" s="943"/>
      <c r="F636" s="886"/>
      <c r="G636" s="886"/>
      <c r="H636" s="886"/>
      <c r="I636" s="886"/>
      <c r="J636" s="886"/>
      <c r="K636" s="886"/>
      <c r="L636" s="886"/>
      <c r="M636" s="886"/>
      <c r="N636" s="886"/>
      <c r="O636" s="886"/>
      <c r="P636" s="886"/>
      <c r="Q636" s="886"/>
      <c r="R636" s="886"/>
      <c r="S636" s="886"/>
      <c r="T636" s="886"/>
      <c r="U636" s="886"/>
      <c r="V636" s="886"/>
      <c r="W636" s="886"/>
    </row>
    <row r="637" spans="3:23">
      <c r="C637" s="942"/>
      <c r="D637" s="942"/>
      <c r="E637" s="943"/>
      <c r="F637" s="886"/>
      <c r="G637" s="886"/>
      <c r="H637" s="886"/>
      <c r="I637" s="886"/>
      <c r="J637" s="886"/>
      <c r="K637" s="886"/>
      <c r="L637" s="886"/>
      <c r="M637" s="886"/>
      <c r="N637" s="886"/>
      <c r="O637" s="886"/>
      <c r="P637" s="886"/>
      <c r="Q637" s="886"/>
      <c r="R637" s="886"/>
      <c r="S637" s="886"/>
      <c r="T637" s="886"/>
      <c r="U637" s="886"/>
      <c r="V637" s="886"/>
      <c r="W637" s="886"/>
    </row>
    <row r="638" spans="3:23">
      <c r="C638" s="942"/>
      <c r="D638" s="942"/>
      <c r="E638" s="943"/>
      <c r="F638" s="886"/>
      <c r="G638" s="886"/>
      <c r="H638" s="886"/>
      <c r="I638" s="886"/>
      <c r="J638" s="886"/>
      <c r="K638" s="886"/>
      <c r="L638" s="886"/>
      <c r="M638" s="886"/>
      <c r="N638" s="886"/>
      <c r="O638" s="886"/>
      <c r="P638" s="886"/>
      <c r="Q638" s="886"/>
      <c r="R638" s="886"/>
      <c r="S638" s="886"/>
      <c r="T638" s="886"/>
      <c r="U638" s="886"/>
      <c r="V638" s="886"/>
      <c r="W638" s="886"/>
    </row>
    <row r="639" spans="3:23">
      <c r="C639" s="942"/>
      <c r="D639" s="942"/>
      <c r="E639" s="943"/>
      <c r="F639" s="886"/>
      <c r="G639" s="886"/>
      <c r="H639" s="886"/>
      <c r="I639" s="886"/>
      <c r="J639" s="886"/>
      <c r="K639" s="886"/>
      <c r="L639" s="886"/>
      <c r="M639" s="886"/>
      <c r="N639" s="886"/>
      <c r="O639" s="886"/>
      <c r="P639" s="886"/>
      <c r="Q639" s="886"/>
      <c r="R639" s="886"/>
      <c r="S639" s="886"/>
      <c r="T639" s="886"/>
      <c r="U639" s="886"/>
      <c r="V639" s="886"/>
      <c r="W639" s="886"/>
    </row>
    <row r="640" spans="3:23">
      <c r="C640" s="942"/>
      <c r="D640" s="942"/>
      <c r="E640" s="943"/>
      <c r="F640" s="886"/>
      <c r="G640" s="886"/>
      <c r="H640" s="886"/>
      <c r="I640" s="886"/>
      <c r="J640" s="886"/>
      <c r="K640" s="886"/>
      <c r="L640" s="886"/>
      <c r="M640" s="886"/>
      <c r="N640" s="886"/>
      <c r="O640" s="886"/>
      <c r="P640" s="886"/>
      <c r="Q640" s="886"/>
      <c r="R640" s="886"/>
      <c r="S640" s="886"/>
      <c r="T640" s="886"/>
      <c r="U640" s="886"/>
      <c r="V640" s="886"/>
      <c r="W640" s="886"/>
    </row>
    <row r="641" spans="3:23">
      <c r="C641" s="942"/>
      <c r="D641" s="942"/>
      <c r="E641" s="943"/>
      <c r="F641" s="886"/>
      <c r="G641" s="886"/>
      <c r="H641" s="886"/>
      <c r="I641" s="886"/>
      <c r="J641" s="886"/>
      <c r="K641" s="886"/>
      <c r="L641" s="886"/>
      <c r="M641" s="886"/>
      <c r="N641" s="886"/>
      <c r="O641" s="886"/>
      <c r="P641" s="886"/>
      <c r="Q641" s="886"/>
      <c r="R641" s="886"/>
      <c r="S641" s="886"/>
      <c r="T641" s="886"/>
      <c r="U641" s="886"/>
      <c r="V641" s="886"/>
      <c r="W641" s="886"/>
    </row>
    <row r="642" spans="3:23">
      <c r="C642" s="942"/>
      <c r="D642" s="942"/>
      <c r="E642" s="943"/>
      <c r="F642" s="886"/>
      <c r="G642" s="886"/>
      <c r="H642" s="886"/>
      <c r="I642" s="886"/>
      <c r="J642" s="886"/>
      <c r="K642" s="886"/>
      <c r="L642" s="886"/>
      <c r="M642" s="886"/>
      <c r="N642" s="886"/>
      <c r="O642" s="886"/>
      <c r="P642" s="886"/>
      <c r="Q642" s="886"/>
      <c r="R642" s="886"/>
      <c r="S642" s="886"/>
      <c r="T642" s="886"/>
      <c r="U642" s="886"/>
      <c r="V642" s="886"/>
      <c r="W642" s="886"/>
    </row>
    <row r="643" spans="3:23">
      <c r="C643" s="942"/>
      <c r="D643" s="942"/>
      <c r="E643" s="943"/>
      <c r="F643" s="886"/>
      <c r="G643" s="886"/>
      <c r="H643" s="886"/>
      <c r="I643" s="886"/>
      <c r="J643" s="886"/>
      <c r="K643" s="886"/>
      <c r="L643" s="886"/>
      <c r="M643" s="886"/>
      <c r="N643" s="886"/>
      <c r="O643" s="886"/>
      <c r="P643" s="886"/>
      <c r="Q643" s="886"/>
      <c r="R643" s="886"/>
      <c r="S643" s="886"/>
      <c r="T643" s="886"/>
      <c r="U643" s="886"/>
      <c r="V643" s="886"/>
      <c r="W643" s="886"/>
    </row>
    <row r="644" spans="3:23">
      <c r="C644" s="942"/>
      <c r="D644" s="942"/>
      <c r="E644" s="943"/>
      <c r="F644" s="886"/>
      <c r="G644" s="886"/>
      <c r="H644" s="886"/>
      <c r="I644" s="886"/>
      <c r="J644" s="886"/>
      <c r="K644" s="886"/>
      <c r="L644" s="886"/>
      <c r="M644" s="886"/>
      <c r="N644" s="886"/>
      <c r="O644" s="886"/>
      <c r="P644" s="886"/>
      <c r="Q644" s="886"/>
      <c r="R644" s="886"/>
      <c r="S644" s="886"/>
      <c r="T644" s="886"/>
      <c r="U644" s="886"/>
      <c r="V644" s="886"/>
      <c r="W644" s="886"/>
    </row>
    <row r="645" spans="3:23">
      <c r="C645" s="942"/>
      <c r="D645" s="942"/>
      <c r="E645" s="943"/>
      <c r="F645" s="886"/>
      <c r="G645" s="886"/>
      <c r="H645" s="886"/>
      <c r="I645" s="886"/>
      <c r="J645" s="886"/>
      <c r="K645" s="886"/>
      <c r="L645" s="886"/>
      <c r="M645" s="886"/>
      <c r="N645" s="886"/>
      <c r="O645" s="886"/>
      <c r="P645" s="886"/>
      <c r="Q645" s="886"/>
      <c r="R645" s="886"/>
      <c r="S645" s="886"/>
      <c r="T645" s="886"/>
      <c r="U645" s="886"/>
      <c r="V645" s="886"/>
      <c r="W645" s="886"/>
    </row>
    <row r="646" spans="3:23">
      <c r="C646" s="942"/>
      <c r="D646" s="942"/>
      <c r="E646" s="943"/>
      <c r="F646" s="886"/>
      <c r="G646" s="886"/>
      <c r="H646" s="886"/>
      <c r="I646" s="886"/>
      <c r="J646" s="886"/>
      <c r="K646" s="886"/>
      <c r="L646" s="886"/>
      <c r="M646" s="886"/>
      <c r="N646" s="886"/>
      <c r="O646" s="886"/>
      <c r="P646" s="886"/>
      <c r="Q646" s="886"/>
      <c r="R646" s="886"/>
      <c r="S646" s="886"/>
      <c r="T646" s="886"/>
      <c r="U646" s="886"/>
      <c r="V646" s="886"/>
      <c r="W646" s="886"/>
    </row>
    <row r="647" spans="3:23">
      <c r="C647" s="942"/>
      <c r="D647" s="942"/>
      <c r="E647" s="943"/>
      <c r="F647" s="886"/>
      <c r="G647" s="886"/>
      <c r="H647" s="886"/>
      <c r="I647" s="886"/>
      <c r="J647" s="886"/>
      <c r="K647" s="886"/>
      <c r="L647" s="886"/>
      <c r="M647" s="886"/>
      <c r="N647" s="886"/>
      <c r="O647" s="886"/>
      <c r="P647" s="886"/>
      <c r="Q647" s="886"/>
      <c r="R647" s="886"/>
      <c r="S647" s="886"/>
      <c r="T647" s="886"/>
      <c r="U647" s="886"/>
      <c r="V647" s="886"/>
      <c r="W647" s="886"/>
    </row>
    <row r="648" spans="3:23">
      <c r="C648" s="942"/>
      <c r="D648" s="942"/>
      <c r="E648" s="943"/>
      <c r="F648" s="886"/>
      <c r="G648" s="886"/>
      <c r="H648" s="886"/>
      <c r="I648" s="886"/>
      <c r="J648" s="886"/>
      <c r="K648" s="886"/>
      <c r="L648" s="886"/>
      <c r="M648" s="886"/>
      <c r="N648" s="886"/>
      <c r="O648" s="886"/>
      <c r="P648" s="886"/>
      <c r="Q648" s="886"/>
      <c r="R648" s="886"/>
      <c r="S648" s="886"/>
      <c r="T648" s="886"/>
      <c r="U648" s="886"/>
      <c r="V648" s="886"/>
      <c r="W648" s="886"/>
    </row>
    <row r="649" spans="3:23">
      <c r="C649" s="942"/>
      <c r="D649" s="942"/>
      <c r="E649" s="943"/>
      <c r="F649" s="886"/>
      <c r="G649" s="886"/>
      <c r="H649" s="886"/>
      <c r="I649" s="886"/>
      <c r="J649" s="886"/>
      <c r="K649" s="886"/>
      <c r="L649" s="886"/>
      <c r="M649" s="886"/>
      <c r="N649" s="886"/>
      <c r="O649" s="886"/>
      <c r="P649" s="886"/>
      <c r="Q649" s="886"/>
      <c r="R649" s="886"/>
      <c r="S649" s="886"/>
      <c r="T649" s="886"/>
      <c r="U649" s="886"/>
      <c r="V649" s="886"/>
      <c r="W649" s="886"/>
    </row>
    <row r="650" spans="3:23">
      <c r="C650" s="942"/>
      <c r="D650" s="942"/>
      <c r="E650" s="943"/>
      <c r="F650" s="886"/>
      <c r="G650" s="886"/>
      <c r="H650" s="886"/>
      <c r="I650" s="886"/>
      <c r="J650" s="886"/>
      <c r="K650" s="886"/>
      <c r="L650" s="886"/>
      <c r="M650" s="886"/>
      <c r="N650" s="886"/>
      <c r="O650" s="886"/>
      <c r="P650" s="886"/>
      <c r="Q650" s="886"/>
      <c r="R650" s="886"/>
      <c r="S650" s="886"/>
      <c r="T650" s="886"/>
      <c r="U650" s="886"/>
      <c r="V650" s="886"/>
      <c r="W650" s="886"/>
    </row>
    <row r="651" spans="3:23">
      <c r="C651" s="942"/>
      <c r="D651" s="942"/>
      <c r="E651" s="943"/>
      <c r="F651" s="886"/>
      <c r="G651" s="886"/>
      <c r="H651" s="886"/>
      <c r="I651" s="886"/>
      <c r="J651" s="886"/>
      <c r="K651" s="886"/>
      <c r="L651" s="886"/>
      <c r="M651" s="886"/>
      <c r="N651" s="886"/>
      <c r="O651" s="886"/>
      <c r="P651" s="886"/>
      <c r="Q651" s="886"/>
      <c r="R651" s="886"/>
      <c r="S651" s="886"/>
      <c r="T651" s="886"/>
      <c r="U651" s="886"/>
      <c r="V651" s="886"/>
      <c r="W651" s="886"/>
    </row>
    <row r="652" spans="3:23">
      <c r="C652" s="942"/>
      <c r="D652" s="942"/>
      <c r="E652" s="943"/>
      <c r="F652" s="886"/>
      <c r="G652" s="886"/>
      <c r="H652" s="886"/>
      <c r="I652" s="886"/>
      <c r="J652" s="886"/>
      <c r="K652" s="886"/>
      <c r="L652" s="886"/>
      <c r="M652" s="886"/>
      <c r="N652" s="886"/>
      <c r="O652" s="886"/>
      <c r="P652" s="886"/>
      <c r="Q652" s="886"/>
      <c r="R652" s="886"/>
      <c r="S652" s="886"/>
      <c r="T652" s="886"/>
      <c r="U652" s="886"/>
      <c r="V652" s="886"/>
      <c r="W652" s="886"/>
    </row>
    <row r="653" spans="3:23">
      <c r="C653" s="942"/>
      <c r="D653" s="942"/>
      <c r="E653" s="943"/>
      <c r="F653" s="886"/>
      <c r="G653" s="886"/>
      <c r="H653" s="886"/>
      <c r="I653" s="886"/>
      <c r="J653" s="886"/>
      <c r="K653" s="886"/>
      <c r="L653" s="886"/>
      <c r="M653" s="886"/>
      <c r="N653" s="886"/>
      <c r="O653" s="886"/>
      <c r="P653" s="886"/>
      <c r="Q653" s="886"/>
      <c r="R653" s="886"/>
      <c r="S653" s="886"/>
      <c r="T653" s="886"/>
      <c r="U653" s="886"/>
      <c r="V653" s="886"/>
      <c r="W653" s="886"/>
    </row>
    <row r="654" spans="3:23">
      <c r="C654" s="942"/>
      <c r="D654" s="942"/>
      <c r="E654" s="943"/>
      <c r="F654" s="886"/>
      <c r="G654" s="886"/>
      <c r="H654" s="886"/>
      <c r="I654" s="886"/>
      <c r="J654" s="886"/>
      <c r="K654" s="886"/>
      <c r="L654" s="886"/>
      <c r="M654" s="886"/>
      <c r="N654" s="886"/>
      <c r="O654" s="886"/>
      <c r="P654" s="886"/>
      <c r="Q654" s="886"/>
      <c r="R654" s="886"/>
      <c r="S654" s="886"/>
      <c r="T654" s="886"/>
      <c r="U654" s="886"/>
      <c r="V654" s="886"/>
      <c r="W654" s="886"/>
    </row>
    <row r="655" spans="3:23">
      <c r="C655" s="942"/>
      <c r="D655" s="942"/>
      <c r="E655" s="943"/>
      <c r="F655" s="886"/>
      <c r="G655" s="886"/>
      <c r="H655" s="886"/>
      <c r="I655" s="886"/>
      <c r="J655" s="886"/>
      <c r="K655" s="886"/>
      <c r="L655" s="886"/>
      <c r="M655" s="886"/>
      <c r="N655" s="886"/>
      <c r="O655" s="886"/>
      <c r="P655" s="886"/>
      <c r="Q655" s="886"/>
      <c r="R655" s="886"/>
      <c r="S655" s="886"/>
      <c r="T655" s="886"/>
      <c r="U655" s="886"/>
      <c r="V655" s="886"/>
      <c r="W655" s="886"/>
    </row>
    <row r="656" spans="3:23">
      <c r="C656" s="942"/>
      <c r="D656" s="942"/>
      <c r="E656" s="943"/>
      <c r="F656" s="886"/>
      <c r="G656" s="886"/>
      <c r="H656" s="886"/>
      <c r="I656" s="886"/>
      <c r="J656" s="886"/>
      <c r="K656" s="886"/>
      <c r="L656" s="886"/>
      <c r="M656" s="886"/>
      <c r="N656" s="886"/>
      <c r="O656" s="886"/>
      <c r="P656" s="886"/>
      <c r="Q656" s="886"/>
      <c r="R656" s="886"/>
      <c r="S656" s="886"/>
      <c r="T656" s="886"/>
      <c r="U656" s="886"/>
      <c r="V656" s="886"/>
      <c r="W656" s="886"/>
    </row>
    <row r="657" spans="3:23">
      <c r="C657" s="942"/>
      <c r="D657" s="942"/>
      <c r="E657" s="943"/>
      <c r="F657" s="886"/>
      <c r="G657" s="886"/>
      <c r="H657" s="886"/>
      <c r="I657" s="886"/>
      <c r="J657" s="886"/>
      <c r="K657" s="886"/>
      <c r="L657" s="886"/>
      <c r="M657" s="886"/>
      <c r="N657" s="886"/>
      <c r="O657" s="886"/>
      <c r="P657" s="886"/>
      <c r="Q657" s="886"/>
      <c r="R657" s="886"/>
      <c r="S657" s="886"/>
      <c r="T657" s="886"/>
      <c r="U657" s="886"/>
      <c r="V657" s="886"/>
      <c r="W657" s="886"/>
    </row>
    <row r="658" spans="3:23">
      <c r="C658" s="942"/>
      <c r="D658" s="942"/>
      <c r="E658" s="943"/>
      <c r="F658" s="886"/>
      <c r="G658" s="886"/>
      <c r="H658" s="886"/>
      <c r="I658" s="886"/>
      <c r="J658" s="886"/>
      <c r="K658" s="886"/>
      <c r="L658" s="886"/>
      <c r="M658" s="886"/>
      <c r="N658" s="886"/>
      <c r="O658" s="886"/>
      <c r="P658" s="886"/>
      <c r="Q658" s="886"/>
      <c r="R658" s="886"/>
      <c r="S658" s="886"/>
      <c r="T658" s="886"/>
      <c r="U658" s="886"/>
      <c r="V658" s="886"/>
      <c r="W658" s="886"/>
    </row>
    <row r="659" spans="3:23">
      <c r="C659" s="942"/>
      <c r="D659" s="942"/>
      <c r="E659" s="943"/>
      <c r="F659" s="886"/>
      <c r="G659" s="886"/>
      <c r="H659" s="886"/>
      <c r="I659" s="886"/>
      <c r="J659" s="886"/>
      <c r="K659" s="886"/>
      <c r="L659" s="886"/>
      <c r="M659" s="886"/>
      <c r="N659" s="886"/>
      <c r="O659" s="886"/>
      <c r="P659" s="886"/>
      <c r="Q659" s="886"/>
      <c r="R659" s="886"/>
      <c r="S659" s="886"/>
      <c r="T659" s="886"/>
      <c r="U659" s="886"/>
      <c r="V659" s="886"/>
      <c r="W659" s="886"/>
    </row>
    <row r="660" spans="3:23">
      <c r="C660" s="942"/>
      <c r="D660" s="942"/>
      <c r="E660" s="943"/>
      <c r="F660" s="886"/>
      <c r="G660" s="886"/>
      <c r="H660" s="886"/>
      <c r="I660" s="886"/>
      <c r="J660" s="886"/>
      <c r="K660" s="886"/>
      <c r="L660" s="886"/>
      <c r="M660" s="886"/>
      <c r="N660" s="886"/>
      <c r="O660" s="886"/>
      <c r="P660" s="886"/>
      <c r="Q660" s="886"/>
      <c r="R660" s="886"/>
      <c r="S660" s="886"/>
      <c r="T660" s="886"/>
      <c r="U660" s="886"/>
      <c r="V660" s="886"/>
      <c r="W660" s="886"/>
    </row>
    <row r="661" spans="3:23">
      <c r="C661" s="942"/>
      <c r="D661" s="942"/>
      <c r="E661" s="943"/>
      <c r="F661" s="886"/>
      <c r="G661" s="886"/>
      <c r="H661" s="886"/>
      <c r="I661" s="886"/>
      <c r="J661" s="886"/>
      <c r="K661" s="886"/>
      <c r="L661" s="886"/>
      <c r="M661" s="886"/>
      <c r="N661" s="886"/>
      <c r="O661" s="886"/>
      <c r="P661" s="886"/>
      <c r="Q661" s="886"/>
      <c r="R661" s="886"/>
      <c r="S661" s="886"/>
      <c r="T661" s="886"/>
      <c r="U661" s="886"/>
      <c r="V661" s="886"/>
      <c r="W661" s="886"/>
    </row>
    <row r="662" spans="3:23">
      <c r="C662" s="942"/>
      <c r="D662" s="942"/>
      <c r="E662" s="943"/>
      <c r="F662" s="886"/>
      <c r="G662" s="886"/>
      <c r="H662" s="886"/>
      <c r="I662" s="886"/>
      <c r="J662" s="886"/>
      <c r="K662" s="886"/>
      <c r="L662" s="886"/>
      <c r="M662" s="886"/>
      <c r="N662" s="886"/>
      <c r="O662" s="886"/>
      <c r="P662" s="886"/>
      <c r="Q662" s="886"/>
      <c r="R662" s="886"/>
      <c r="S662" s="886"/>
      <c r="T662" s="886"/>
      <c r="U662" s="886"/>
      <c r="V662" s="886"/>
      <c r="W662" s="886"/>
    </row>
    <row r="663" spans="3:23">
      <c r="C663" s="942"/>
      <c r="D663" s="942"/>
      <c r="E663" s="943"/>
      <c r="F663" s="886"/>
      <c r="G663" s="886"/>
      <c r="H663" s="886"/>
      <c r="I663" s="886"/>
      <c r="J663" s="886"/>
      <c r="K663" s="886"/>
      <c r="L663" s="886"/>
      <c r="M663" s="886"/>
      <c r="N663" s="886"/>
      <c r="O663" s="886"/>
      <c r="P663" s="886"/>
      <c r="Q663" s="886"/>
      <c r="R663" s="886"/>
      <c r="S663" s="886"/>
      <c r="T663" s="886"/>
      <c r="U663" s="886"/>
      <c r="V663" s="886"/>
      <c r="W663" s="886"/>
    </row>
    <row r="664" spans="3:23">
      <c r="C664" s="942"/>
      <c r="D664" s="942"/>
      <c r="E664" s="943"/>
      <c r="F664" s="886"/>
      <c r="G664" s="886"/>
      <c r="H664" s="886"/>
      <c r="I664" s="886"/>
      <c r="J664" s="886"/>
      <c r="K664" s="886"/>
      <c r="L664" s="886"/>
      <c r="M664" s="886"/>
      <c r="N664" s="886"/>
      <c r="O664" s="886"/>
      <c r="P664" s="886"/>
      <c r="Q664" s="886"/>
      <c r="R664" s="886"/>
      <c r="S664" s="886"/>
      <c r="T664" s="886"/>
      <c r="U664" s="886"/>
      <c r="V664" s="886"/>
      <c r="W664" s="886"/>
    </row>
    <row r="665" spans="3:23">
      <c r="C665" s="942"/>
      <c r="D665" s="942"/>
      <c r="E665" s="943"/>
      <c r="F665" s="886"/>
      <c r="G665" s="886"/>
      <c r="H665" s="886"/>
      <c r="I665" s="886"/>
      <c r="J665" s="886"/>
      <c r="K665" s="886"/>
      <c r="L665" s="886"/>
      <c r="M665" s="886"/>
      <c r="N665" s="886"/>
      <c r="O665" s="886"/>
      <c r="P665" s="886"/>
      <c r="Q665" s="886"/>
      <c r="R665" s="886"/>
      <c r="S665" s="886"/>
      <c r="T665" s="886"/>
      <c r="U665" s="886"/>
      <c r="V665" s="886"/>
      <c r="W665" s="886"/>
    </row>
    <row r="666" spans="3:23">
      <c r="C666" s="942"/>
      <c r="D666" s="942"/>
      <c r="E666" s="943"/>
      <c r="F666" s="886"/>
      <c r="G666" s="886"/>
      <c r="H666" s="886"/>
      <c r="I666" s="886"/>
      <c r="J666" s="886"/>
      <c r="K666" s="886"/>
      <c r="L666" s="886"/>
      <c r="M666" s="886"/>
      <c r="N666" s="886"/>
      <c r="O666" s="886"/>
      <c r="P666" s="886"/>
      <c r="Q666" s="886"/>
      <c r="R666" s="886"/>
      <c r="S666" s="886"/>
      <c r="T666" s="886"/>
      <c r="U666" s="886"/>
      <c r="V666" s="886"/>
      <c r="W666" s="886"/>
    </row>
    <row r="667" spans="3:23">
      <c r="C667" s="942"/>
      <c r="D667" s="942"/>
      <c r="E667" s="943"/>
      <c r="F667" s="886"/>
      <c r="G667" s="886"/>
      <c r="H667" s="886"/>
      <c r="I667" s="886"/>
      <c r="J667" s="886"/>
      <c r="K667" s="886"/>
      <c r="L667" s="886"/>
      <c r="M667" s="886"/>
      <c r="N667" s="886"/>
      <c r="O667" s="886"/>
      <c r="P667" s="886"/>
      <c r="Q667" s="886"/>
      <c r="R667" s="886"/>
      <c r="S667" s="886"/>
      <c r="T667" s="886"/>
      <c r="U667" s="886"/>
      <c r="V667" s="886"/>
      <c r="W667" s="886"/>
    </row>
    <row r="668" spans="3:23">
      <c r="C668" s="942"/>
      <c r="D668" s="942"/>
      <c r="E668" s="943"/>
      <c r="F668" s="886"/>
      <c r="G668" s="886"/>
      <c r="H668" s="886"/>
      <c r="I668" s="886"/>
      <c r="J668" s="886"/>
      <c r="K668" s="886"/>
      <c r="L668" s="886"/>
      <c r="M668" s="886"/>
      <c r="N668" s="886"/>
      <c r="O668" s="886"/>
      <c r="P668" s="886"/>
      <c r="Q668" s="886"/>
      <c r="R668" s="886"/>
      <c r="S668" s="886"/>
      <c r="T668" s="886"/>
      <c r="U668" s="886"/>
      <c r="V668" s="886"/>
      <c r="W668" s="886"/>
    </row>
    <row r="669" spans="3:23">
      <c r="C669" s="942"/>
      <c r="D669" s="942"/>
      <c r="E669" s="943"/>
      <c r="F669" s="886"/>
      <c r="G669" s="886"/>
      <c r="H669" s="886"/>
      <c r="I669" s="886"/>
      <c r="J669" s="886"/>
      <c r="K669" s="886"/>
      <c r="L669" s="886"/>
      <c r="M669" s="886"/>
      <c r="N669" s="886"/>
      <c r="O669" s="886"/>
      <c r="P669" s="886"/>
      <c r="Q669" s="886"/>
      <c r="R669" s="886"/>
      <c r="S669" s="886"/>
      <c r="T669" s="886"/>
      <c r="U669" s="886"/>
      <c r="V669" s="886"/>
      <c r="W669" s="886"/>
    </row>
    <row r="670" spans="3:23">
      <c r="C670" s="942"/>
      <c r="D670" s="942"/>
      <c r="E670" s="943"/>
      <c r="F670" s="886"/>
      <c r="G670" s="886"/>
      <c r="H670" s="886"/>
      <c r="I670" s="886"/>
      <c r="J670" s="886"/>
      <c r="K670" s="886"/>
      <c r="L670" s="886"/>
      <c r="M670" s="886"/>
      <c r="N670" s="886"/>
      <c r="O670" s="886"/>
      <c r="P670" s="886"/>
      <c r="Q670" s="886"/>
      <c r="R670" s="886"/>
      <c r="S670" s="886"/>
      <c r="T670" s="886"/>
      <c r="U670" s="886"/>
      <c r="V670" s="886"/>
      <c r="W670" s="886"/>
    </row>
    <row r="671" spans="3:23">
      <c r="C671" s="942"/>
      <c r="D671" s="942"/>
      <c r="E671" s="943"/>
      <c r="F671" s="886"/>
      <c r="G671" s="886"/>
      <c r="H671" s="886"/>
      <c r="I671" s="886"/>
      <c r="J671" s="886"/>
      <c r="K671" s="886"/>
      <c r="L671" s="886"/>
      <c r="M671" s="886"/>
      <c r="N671" s="886"/>
      <c r="O671" s="886"/>
      <c r="P671" s="886"/>
      <c r="Q671" s="886"/>
      <c r="R671" s="886"/>
      <c r="S671" s="886"/>
      <c r="T671" s="886"/>
      <c r="U671" s="886"/>
      <c r="V671" s="886"/>
      <c r="W671" s="886"/>
    </row>
    <row r="672" spans="3:23">
      <c r="C672" s="942"/>
      <c r="D672" s="942"/>
      <c r="E672" s="943"/>
      <c r="F672" s="886"/>
      <c r="G672" s="886"/>
      <c r="H672" s="886"/>
      <c r="I672" s="886"/>
      <c r="J672" s="886"/>
      <c r="K672" s="886"/>
      <c r="L672" s="886"/>
      <c r="M672" s="886"/>
      <c r="N672" s="886"/>
      <c r="O672" s="886"/>
      <c r="P672" s="886"/>
      <c r="Q672" s="886"/>
      <c r="R672" s="886"/>
      <c r="S672" s="886"/>
      <c r="T672" s="886"/>
      <c r="U672" s="886"/>
      <c r="V672" s="886"/>
      <c r="W672" s="886"/>
    </row>
    <row r="673" spans="3:23">
      <c r="C673" s="942"/>
      <c r="D673" s="942"/>
      <c r="E673" s="943"/>
      <c r="F673" s="886"/>
      <c r="G673" s="886"/>
      <c r="H673" s="886"/>
      <c r="I673" s="886"/>
      <c r="J673" s="886"/>
      <c r="K673" s="886"/>
      <c r="L673" s="886"/>
      <c r="M673" s="886"/>
      <c r="N673" s="886"/>
      <c r="O673" s="886"/>
      <c r="P673" s="886"/>
      <c r="Q673" s="886"/>
      <c r="R673" s="886"/>
      <c r="S673" s="886"/>
      <c r="T673" s="886"/>
      <c r="U673" s="886"/>
      <c r="V673" s="886"/>
      <c r="W673" s="886"/>
    </row>
    <row r="674" spans="3:23">
      <c r="C674" s="942"/>
      <c r="D674" s="942"/>
      <c r="E674" s="943"/>
      <c r="F674" s="886"/>
      <c r="G674" s="886"/>
      <c r="H674" s="886"/>
      <c r="I674" s="886"/>
      <c r="J674" s="886"/>
      <c r="K674" s="886"/>
      <c r="L674" s="886"/>
      <c r="M674" s="886"/>
      <c r="N674" s="886"/>
      <c r="O674" s="886"/>
      <c r="P674" s="886"/>
      <c r="Q674" s="886"/>
      <c r="R674" s="886"/>
      <c r="S674" s="886"/>
      <c r="T674" s="886"/>
      <c r="U674" s="886"/>
      <c r="V674" s="886"/>
      <c r="W674" s="886"/>
    </row>
    <row r="675" spans="3:23">
      <c r="C675" s="942"/>
      <c r="D675" s="942"/>
      <c r="E675" s="943"/>
      <c r="F675" s="886"/>
      <c r="G675" s="886"/>
      <c r="H675" s="886"/>
      <c r="I675" s="886"/>
      <c r="J675" s="886"/>
      <c r="K675" s="886"/>
      <c r="L675" s="886"/>
      <c r="M675" s="886"/>
      <c r="N675" s="886"/>
      <c r="O675" s="886"/>
      <c r="P675" s="886"/>
      <c r="Q675" s="886"/>
      <c r="R675" s="886"/>
      <c r="S675" s="886"/>
      <c r="T675" s="886"/>
      <c r="U675" s="886"/>
      <c r="V675" s="886"/>
      <c r="W675" s="886"/>
    </row>
    <row r="676" spans="3:23">
      <c r="C676" s="942"/>
      <c r="D676" s="942"/>
      <c r="E676" s="943"/>
      <c r="F676" s="886"/>
      <c r="G676" s="886"/>
      <c r="H676" s="886"/>
      <c r="I676" s="886"/>
      <c r="J676" s="886"/>
      <c r="K676" s="886"/>
      <c r="L676" s="886"/>
      <c r="M676" s="886"/>
      <c r="N676" s="886"/>
      <c r="O676" s="886"/>
      <c r="P676" s="886"/>
      <c r="Q676" s="886"/>
      <c r="R676" s="886"/>
      <c r="S676" s="886"/>
      <c r="T676" s="886"/>
      <c r="U676" s="886"/>
      <c r="V676" s="886"/>
      <c r="W676" s="886"/>
    </row>
    <row r="677" spans="3:23">
      <c r="C677" s="942"/>
      <c r="D677" s="942"/>
      <c r="E677" s="943"/>
      <c r="F677" s="886"/>
      <c r="G677" s="886"/>
      <c r="H677" s="886"/>
      <c r="I677" s="886"/>
      <c r="J677" s="886"/>
      <c r="K677" s="886"/>
      <c r="L677" s="886"/>
      <c r="M677" s="886"/>
      <c r="N677" s="886"/>
      <c r="O677" s="886"/>
      <c r="P677" s="886"/>
      <c r="Q677" s="886"/>
      <c r="R677" s="886"/>
      <c r="S677" s="886"/>
      <c r="T677" s="886"/>
      <c r="U677" s="886"/>
      <c r="V677" s="886"/>
      <c r="W677" s="886"/>
    </row>
    <row r="678" spans="3:23">
      <c r="C678" s="942"/>
      <c r="D678" s="942"/>
      <c r="E678" s="943"/>
      <c r="F678" s="886"/>
      <c r="G678" s="886"/>
      <c r="H678" s="886"/>
      <c r="I678" s="886"/>
      <c r="J678" s="886"/>
      <c r="K678" s="886"/>
      <c r="L678" s="886"/>
      <c r="M678" s="886"/>
      <c r="N678" s="886"/>
      <c r="O678" s="886"/>
      <c r="P678" s="886"/>
      <c r="Q678" s="886"/>
      <c r="R678" s="886"/>
      <c r="S678" s="886"/>
      <c r="T678" s="886"/>
      <c r="U678" s="886"/>
      <c r="V678" s="886"/>
      <c r="W678" s="886"/>
    </row>
    <row r="679" spans="3:23">
      <c r="C679" s="942"/>
      <c r="D679" s="942"/>
      <c r="E679" s="943"/>
      <c r="F679" s="886"/>
      <c r="G679" s="886"/>
      <c r="H679" s="886"/>
      <c r="I679" s="886"/>
      <c r="J679" s="886"/>
      <c r="K679" s="886"/>
      <c r="L679" s="886"/>
      <c r="M679" s="886"/>
      <c r="N679" s="886"/>
      <c r="O679" s="886"/>
      <c r="P679" s="886"/>
      <c r="Q679" s="886"/>
      <c r="R679" s="886"/>
      <c r="S679" s="886"/>
      <c r="T679" s="886"/>
      <c r="U679" s="886"/>
      <c r="V679" s="886"/>
      <c r="W679" s="886"/>
    </row>
    <row r="680" spans="3:23">
      <c r="C680" s="942"/>
      <c r="D680" s="942"/>
      <c r="E680" s="943"/>
      <c r="F680" s="886"/>
      <c r="G680" s="886"/>
      <c r="H680" s="886"/>
      <c r="I680" s="886"/>
      <c r="J680" s="886"/>
      <c r="K680" s="886"/>
      <c r="L680" s="886"/>
      <c r="M680" s="886"/>
      <c r="N680" s="886"/>
      <c r="O680" s="886"/>
      <c r="P680" s="886"/>
      <c r="Q680" s="886"/>
      <c r="R680" s="886"/>
      <c r="S680" s="886"/>
      <c r="T680" s="886"/>
      <c r="U680" s="886"/>
      <c r="V680" s="886"/>
      <c r="W680" s="886"/>
    </row>
    <row r="681" spans="3:23">
      <c r="C681" s="942"/>
      <c r="D681" s="942"/>
      <c r="E681" s="943"/>
      <c r="F681" s="886"/>
      <c r="G681" s="886"/>
      <c r="H681" s="886"/>
      <c r="I681" s="886"/>
      <c r="J681" s="886"/>
      <c r="K681" s="886"/>
      <c r="L681" s="886"/>
      <c r="M681" s="886"/>
      <c r="N681" s="886"/>
      <c r="O681" s="886"/>
      <c r="P681" s="886"/>
      <c r="Q681" s="886"/>
      <c r="R681" s="886"/>
      <c r="S681" s="886"/>
      <c r="T681" s="886"/>
      <c r="U681" s="886"/>
      <c r="V681" s="886"/>
      <c r="W681" s="886"/>
    </row>
    <row r="682" spans="3:23">
      <c r="C682" s="942"/>
      <c r="D682" s="942"/>
      <c r="E682" s="943"/>
      <c r="F682" s="886"/>
      <c r="G682" s="886"/>
      <c r="H682" s="886"/>
      <c r="I682" s="886"/>
      <c r="J682" s="886"/>
      <c r="K682" s="886"/>
      <c r="L682" s="886"/>
      <c r="M682" s="886"/>
      <c r="N682" s="886"/>
      <c r="O682" s="886"/>
      <c r="P682" s="886"/>
      <c r="Q682" s="886"/>
      <c r="R682" s="886"/>
      <c r="S682" s="886"/>
      <c r="T682" s="886"/>
      <c r="U682" s="886"/>
      <c r="V682" s="886"/>
      <c r="W682" s="886"/>
    </row>
    <row r="683" spans="3:23">
      <c r="C683" s="942"/>
      <c r="D683" s="942"/>
      <c r="E683" s="943"/>
      <c r="F683" s="886"/>
      <c r="G683" s="886"/>
      <c r="H683" s="886"/>
      <c r="I683" s="886"/>
      <c r="J683" s="886"/>
      <c r="K683" s="886"/>
      <c r="L683" s="886"/>
      <c r="M683" s="886"/>
      <c r="N683" s="886"/>
      <c r="O683" s="886"/>
      <c r="P683" s="886"/>
      <c r="Q683" s="886"/>
      <c r="R683" s="886"/>
      <c r="S683" s="886"/>
      <c r="T683" s="886"/>
      <c r="U683" s="886"/>
      <c r="V683" s="886"/>
      <c r="W683" s="886"/>
    </row>
    <row r="684" spans="3:23">
      <c r="C684" s="942"/>
      <c r="D684" s="942"/>
      <c r="E684" s="943"/>
      <c r="F684" s="886"/>
      <c r="G684" s="886"/>
      <c r="H684" s="886"/>
      <c r="I684" s="886"/>
      <c r="J684" s="886"/>
      <c r="K684" s="886"/>
      <c r="L684" s="886"/>
      <c r="M684" s="886"/>
      <c r="N684" s="886"/>
      <c r="O684" s="886"/>
      <c r="P684" s="886"/>
      <c r="Q684" s="886"/>
      <c r="R684" s="886"/>
      <c r="S684" s="886"/>
      <c r="T684" s="886"/>
      <c r="U684" s="886"/>
      <c r="V684" s="886"/>
      <c r="W684" s="886"/>
    </row>
    <row r="685" spans="3:23">
      <c r="C685" s="942"/>
      <c r="D685" s="942"/>
      <c r="E685" s="943"/>
      <c r="F685" s="886"/>
      <c r="G685" s="886"/>
      <c r="H685" s="886"/>
      <c r="I685" s="886"/>
      <c r="J685" s="886"/>
      <c r="K685" s="886"/>
      <c r="L685" s="886"/>
      <c r="M685" s="886"/>
      <c r="N685" s="886"/>
      <c r="O685" s="886"/>
      <c r="P685" s="886"/>
      <c r="Q685" s="886"/>
      <c r="R685" s="886"/>
      <c r="S685" s="886"/>
      <c r="T685" s="886"/>
      <c r="U685" s="886"/>
      <c r="V685" s="886"/>
      <c r="W685" s="886"/>
    </row>
    <row r="686" spans="3:23">
      <c r="C686" s="942"/>
      <c r="D686" s="942"/>
      <c r="E686" s="943"/>
      <c r="F686" s="886"/>
      <c r="G686" s="886"/>
      <c r="H686" s="886"/>
      <c r="I686" s="886"/>
      <c r="J686" s="886"/>
      <c r="K686" s="886"/>
      <c r="L686" s="886"/>
      <c r="M686" s="886"/>
      <c r="N686" s="886"/>
      <c r="O686" s="886"/>
      <c r="P686" s="886"/>
      <c r="Q686" s="886"/>
      <c r="R686" s="886"/>
      <c r="S686" s="886"/>
      <c r="T686" s="886"/>
      <c r="U686" s="886"/>
      <c r="V686" s="886"/>
      <c r="W686" s="886"/>
    </row>
    <row r="687" spans="3:23">
      <c r="C687" s="942"/>
      <c r="D687" s="942"/>
      <c r="E687" s="943"/>
      <c r="F687" s="886"/>
      <c r="G687" s="886"/>
      <c r="H687" s="886"/>
      <c r="I687" s="886"/>
      <c r="J687" s="886"/>
      <c r="K687" s="886"/>
      <c r="L687" s="886"/>
      <c r="M687" s="886"/>
      <c r="N687" s="886"/>
      <c r="O687" s="886"/>
      <c r="P687" s="886"/>
      <c r="Q687" s="886"/>
      <c r="R687" s="886"/>
      <c r="S687" s="886"/>
      <c r="T687" s="886"/>
      <c r="U687" s="886"/>
      <c r="V687" s="886"/>
      <c r="W687" s="886"/>
    </row>
    <row r="688" spans="3:23">
      <c r="C688" s="942"/>
      <c r="D688" s="942"/>
      <c r="E688" s="943"/>
      <c r="F688" s="886"/>
      <c r="G688" s="886"/>
      <c r="H688" s="886"/>
      <c r="I688" s="886"/>
      <c r="J688" s="886"/>
      <c r="K688" s="886"/>
      <c r="L688" s="886"/>
      <c r="M688" s="886"/>
      <c r="N688" s="886"/>
      <c r="O688" s="886"/>
      <c r="P688" s="886"/>
      <c r="Q688" s="886"/>
      <c r="R688" s="886"/>
      <c r="S688" s="886"/>
      <c r="T688" s="886"/>
      <c r="U688" s="886"/>
      <c r="V688" s="886"/>
      <c r="W688" s="886"/>
    </row>
    <row r="689" spans="3:23">
      <c r="C689" s="942"/>
      <c r="D689" s="942"/>
      <c r="E689" s="943"/>
      <c r="F689" s="886"/>
      <c r="G689" s="886"/>
      <c r="H689" s="886"/>
      <c r="I689" s="886"/>
      <c r="J689" s="886"/>
      <c r="K689" s="886"/>
      <c r="L689" s="886"/>
      <c r="M689" s="886"/>
      <c r="N689" s="886"/>
      <c r="O689" s="886"/>
      <c r="P689" s="886"/>
      <c r="Q689" s="886"/>
      <c r="R689" s="886"/>
      <c r="S689" s="886"/>
      <c r="T689" s="886"/>
      <c r="U689" s="886"/>
      <c r="V689" s="886"/>
      <c r="W689" s="886"/>
    </row>
    <row r="690" spans="3:23">
      <c r="C690" s="942"/>
      <c r="D690" s="942"/>
      <c r="E690" s="943"/>
      <c r="F690" s="886"/>
      <c r="G690" s="886"/>
      <c r="H690" s="886"/>
      <c r="I690" s="886"/>
      <c r="J690" s="886"/>
      <c r="K690" s="886"/>
      <c r="L690" s="886"/>
      <c r="M690" s="886"/>
      <c r="N690" s="886"/>
      <c r="O690" s="886"/>
      <c r="P690" s="886"/>
      <c r="Q690" s="886"/>
      <c r="R690" s="886"/>
      <c r="S690" s="886"/>
      <c r="T690" s="886"/>
      <c r="U690" s="886"/>
      <c r="V690" s="886"/>
      <c r="W690" s="886"/>
    </row>
    <row r="691" spans="3:23">
      <c r="C691" s="942"/>
      <c r="D691" s="942"/>
      <c r="E691" s="943"/>
      <c r="F691" s="886"/>
      <c r="G691" s="886"/>
      <c r="H691" s="886"/>
      <c r="I691" s="886"/>
      <c r="J691" s="886"/>
      <c r="K691" s="886"/>
      <c r="L691" s="886"/>
      <c r="M691" s="886"/>
      <c r="N691" s="886"/>
      <c r="O691" s="886"/>
      <c r="P691" s="886"/>
      <c r="Q691" s="886"/>
      <c r="R691" s="886"/>
      <c r="S691" s="886"/>
      <c r="T691" s="886"/>
      <c r="U691" s="886"/>
      <c r="V691" s="886"/>
      <c r="W691" s="886"/>
    </row>
    <row r="692" spans="3:23">
      <c r="C692" s="942"/>
      <c r="D692" s="942"/>
      <c r="E692" s="943"/>
      <c r="F692" s="886"/>
      <c r="G692" s="886"/>
      <c r="H692" s="886"/>
      <c r="I692" s="886"/>
      <c r="J692" s="886"/>
      <c r="K692" s="886"/>
      <c r="L692" s="886"/>
      <c r="M692" s="886"/>
      <c r="N692" s="886"/>
      <c r="O692" s="886"/>
      <c r="P692" s="886"/>
      <c r="Q692" s="886"/>
      <c r="R692" s="886"/>
      <c r="S692" s="886"/>
      <c r="T692" s="886"/>
      <c r="U692" s="886"/>
      <c r="V692" s="886"/>
      <c r="W692" s="886"/>
    </row>
    <row r="693" spans="3:23">
      <c r="C693" s="942"/>
      <c r="D693" s="942"/>
      <c r="E693" s="943"/>
      <c r="F693" s="886"/>
      <c r="G693" s="886"/>
      <c r="H693" s="886"/>
      <c r="I693" s="886"/>
      <c r="J693" s="886"/>
      <c r="K693" s="886"/>
      <c r="L693" s="886"/>
      <c r="M693" s="886"/>
      <c r="N693" s="886"/>
      <c r="O693" s="886"/>
      <c r="P693" s="886"/>
      <c r="Q693" s="886"/>
      <c r="R693" s="886"/>
      <c r="S693" s="886"/>
      <c r="T693" s="886"/>
      <c r="U693" s="886"/>
      <c r="V693" s="886"/>
      <c r="W693" s="886"/>
    </row>
    <row r="694" spans="3:23">
      <c r="C694" s="942"/>
      <c r="D694" s="942"/>
      <c r="E694" s="943"/>
      <c r="F694" s="886"/>
      <c r="G694" s="886"/>
      <c r="H694" s="886"/>
      <c r="I694" s="886"/>
      <c r="J694" s="886"/>
      <c r="K694" s="886"/>
      <c r="L694" s="886"/>
      <c r="M694" s="886"/>
      <c r="N694" s="886"/>
      <c r="O694" s="886"/>
      <c r="P694" s="886"/>
      <c r="Q694" s="886"/>
      <c r="R694" s="886"/>
      <c r="S694" s="886"/>
      <c r="T694" s="886"/>
      <c r="U694" s="886"/>
      <c r="V694" s="886"/>
      <c r="W694" s="886"/>
    </row>
    <row r="695" spans="3:23">
      <c r="C695" s="942"/>
      <c r="D695" s="942"/>
      <c r="E695" s="943"/>
      <c r="F695" s="886"/>
      <c r="G695" s="886"/>
      <c r="H695" s="886"/>
      <c r="I695" s="886"/>
      <c r="J695" s="886"/>
      <c r="K695" s="886"/>
      <c r="L695" s="886"/>
      <c r="M695" s="886"/>
      <c r="N695" s="886"/>
      <c r="O695" s="886"/>
      <c r="P695" s="886"/>
      <c r="Q695" s="886"/>
      <c r="R695" s="886"/>
      <c r="S695" s="886"/>
      <c r="T695" s="886"/>
      <c r="U695" s="886"/>
      <c r="V695" s="886"/>
      <c r="W695" s="886"/>
    </row>
    <row r="696" spans="3:23">
      <c r="C696" s="942"/>
      <c r="D696" s="942"/>
      <c r="E696" s="943"/>
      <c r="F696" s="886"/>
      <c r="G696" s="886"/>
      <c r="H696" s="886"/>
      <c r="I696" s="886"/>
      <c r="J696" s="886"/>
      <c r="K696" s="886"/>
      <c r="L696" s="886"/>
      <c r="M696" s="886"/>
      <c r="N696" s="886"/>
      <c r="O696" s="886"/>
      <c r="P696" s="886"/>
      <c r="Q696" s="886"/>
      <c r="R696" s="886"/>
      <c r="S696" s="886"/>
      <c r="T696" s="886"/>
      <c r="U696" s="886"/>
      <c r="V696" s="886"/>
      <c r="W696" s="886"/>
    </row>
    <row r="697" spans="3:23">
      <c r="C697" s="942"/>
      <c r="D697" s="942"/>
      <c r="E697" s="943"/>
      <c r="F697" s="886"/>
      <c r="G697" s="886"/>
      <c r="H697" s="886"/>
      <c r="I697" s="886"/>
      <c r="J697" s="886"/>
      <c r="K697" s="886"/>
      <c r="L697" s="886"/>
      <c r="M697" s="886"/>
      <c r="N697" s="886"/>
      <c r="O697" s="886"/>
      <c r="P697" s="886"/>
      <c r="Q697" s="886"/>
      <c r="R697" s="886"/>
      <c r="S697" s="886"/>
      <c r="T697" s="886"/>
      <c r="U697" s="886"/>
      <c r="V697" s="886"/>
      <c r="W697" s="886"/>
    </row>
    <row r="698" spans="3:23">
      <c r="C698" s="942"/>
      <c r="D698" s="942"/>
      <c r="E698" s="943"/>
      <c r="F698" s="886"/>
      <c r="G698" s="886"/>
      <c r="H698" s="886"/>
      <c r="I698" s="886"/>
      <c r="J698" s="886"/>
      <c r="K698" s="886"/>
      <c r="L698" s="886"/>
      <c r="M698" s="886"/>
      <c r="N698" s="886"/>
      <c r="O698" s="886"/>
      <c r="P698" s="886"/>
      <c r="Q698" s="886"/>
      <c r="R698" s="886"/>
      <c r="S698" s="886"/>
      <c r="T698" s="886"/>
      <c r="U698" s="886"/>
      <c r="V698" s="886"/>
      <c r="W698" s="886"/>
    </row>
    <row r="699" spans="3:23">
      <c r="C699" s="942"/>
      <c r="D699" s="942"/>
      <c r="E699" s="943"/>
      <c r="F699" s="886"/>
      <c r="G699" s="886"/>
      <c r="H699" s="886"/>
      <c r="I699" s="886"/>
      <c r="J699" s="886"/>
      <c r="K699" s="886"/>
      <c r="L699" s="886"/>
      <c r="M699" s="886"/>
      <c r="N699" s="886"/>
      <c r="O699" s="886"/>
      <c r="P699" s="886"/>
      <c r="Q699" s="886"/>
      <c r="R699" s="886"/>
      <c r="S699" s="886"/>
      <c r="T699" s="886"/>
      <c r="U699" s="886"/>
      <c r="V699" s="886"/>
      <c r="W699" s="886"/>
    </row>
    <row r="700" spans="3:23">
      <c r="C700" s="942"/>
      <c r="D700" s="942"/>
      <c r="E700" s="943"/>
      <c r="F700" s="886"/>
      <c r="G700" s="886"/>
      <c r="H700" s="886"/>
      <c r="I700" s="886"/>
      <c r="J700" s="886"/>
      <c r="K700" s="886"/>
      <c r="L700" s="886"/>
      <c r="M700" s="886"/>
      <c r="N700" s="886"/>
      <c r="O700" s="886"/>
      <c r="P700" s="886"/>
      <c r="Q700" s="886"/>
      <c r="R700" s="886"/>
      <c r="S700" s="886"/>
      <c r="T700" s="886"/>
      <c r="U700" s="886"/>
      <c r="V700" s="886"/>
      <c r="W700" s="886"/>
    </row>
    <row r="701" spans="3:23">
      <c r="C701" s="942"/>
      <c r="D701" s="942"/>
      <c r="E701" s="943"/>
      <c r="F701" s="886"/>
      <c r="G701" s="886"/>
      <c r="H701" s="886"/>
      <c r="I701" s="886"/>
      <c r="J701" s="886"/>
      <c r="K701" s="886"/>
      <c r="L701" s="886"/>
      <c r="M701" s="886"/>
      <c r="N701" s="886"/>
      <c r="O701" s="886"/>
      <c r="P701" s="886"/>
      <c r="Q701" s="886"/>
      <c r="R701" s="886"/>
      <c r="S701" s="886"/>
      <c r="T701" s="886"/>
      <c r="U701" s="886"/>
      <c r="V701" s="886"/>
      <c r="W701" s="886"/>
    </row>
    <row r="702" spans="3:23">
      <c r="C702" s="942"/>
      <c r="D702" s="942"/>
      <c r="E702" s="943"/>
      <c r="F702" s="886"/>
      <c r="G702" s="886"/>
      <c r="H702" s="886"/>
      <c r="I702" s="886"/>
      <c r="J702" s="886"/>
      <c r="K702" s="886"/>
      <c r="L702" s="886"/>
      <c r="M702" s="886"/>
      <c r="N702" s="886"/>
      <c r="O702" s="886"/>
      <c r="P702" s="886"/>
      <c r="Q702" s="886"/>
      <c r="R702" s="886"/>
      <c r="S702" s="886"/>
      <c r="T702" s="886"/>
      <c r="U702" s="886"/>
      <c r="V702" s="886"/>
      <c r="W702" s="886"/>
    </row>
    <row r="703" spans="3:23">
      <c r="C703" s="942"/>
      <c r="D703" s="942"/>
      <c r="E703" s="943"/>
      <c r="F703" s="886"/>
      <c r="G703" s="886"/>
      <c r="H703" s="886"/>
      <c r="I703" s="886"/>
      <c r="J703" s="886"/>
      <c r="K703" s="886"/>
      <c r="L703" s="886"/>
      <c r="M703" s="886"/>
      <c r="N703" s="886"/>
      <c r="O703" s="886"/>
      <c r="P703" s="886"/>
      <c r="Q703" s="886"/>
      <c r="R703" s="886"/>
      <c r="S703" s="886"/>
      <c r="T703" s="886"/>
      <c r="U703" s="886"/>
      <c r="V703" s="886"/>
      <c r="W703" s="886"/>
    </row>
    <row r="704" spans="3:23">
      <c r="C704" s="942"/>
      <c r="D704" s="942"/>
      <c r="E704" s="943"/>
      <c r="F704" s="886"/>
      <c r="G704" s="886"/>
      <c r="H704" s="886"/>
      <c r="I704" s="886"/>
      <c r="J704" s="886"/>
      <c r="K704" s="886"/>
      <c r="L704" s="886"/>
      <c r="M704" s="886"/>
      <c r="N704" s="886"/>
      <c r="O704" s="886"/>
      <c r="P704" s="886"/>
      <c r="Q704" s="886"/>
      <c r="R704" s="886"/>
      <c r="S704" s="886"/>
      <c r="T704" s="886"/>
      <c r="U704" s="886"/>
      <c r="V704" s="886"/>
      <c r="W704" s="886"/>
    </row>
    <row r="705" spans="3:23">
      <c r="C705" s="942"/>
      <c r="D705" s="942"/>
      <c r="E705" s="943"/>
      <c r="F705" s="886"/>
      <c r="G705" s="886"/>
      <c r="H705" s="886"/>
      <c r="I705" s="886"/>
      <c r="J705" s="886"/>
      <c r="K705" s="886"/>
      <c r="L705" s="886"/>
      <c r="M705" s="886"/>
      <c r="N705" s="886"/>
      <c r="O705" s="886"/>
      <c r="P705" s="886"/>
      <c r="Q705" s="886"/>
      <c r="R705" s="886"/>
      <c r="S705" s="886"/>
      <c r="T705" s="886"/>
      <c r="U705" s="886"/>
      <c r="V705" s="886"/>
      <c r="W705" s="886"/>
    </row>
    <row r="706" spans="3:23">
      <c r="C706" s="942"/>
      <c r="D706" s="942"/>
      <c r="E706" s="943"/>
      <c r="F706" s="886"/>
      <c r="G706" s="886"/>
      <c r="H706" s="886"/>
      <c r="I706" s="886"/>
      <c r="J706" s="886"/>
      <c r="K706" s="886"/>
      <c r="L706" s="886"/>
      <c r="M706" s="886"/>
      <c r="N706" s="886"/>
      <c r="O706" s="886"/>
      <c r="P706" s="886"/>
      <c r="Q706" s="886"/>
      <c r="R706" s="886"/>
      <c r="S706" s="886"/>
      <c r="T706" s="886"/>
      <c r="U706" s="886"/>
      <c r="V706" s="886"/>
      <c r="W706" s="886"/>
    </row>
    <row r="707" spans="3:23">
      <c r="C707" s="942"/>
      <c r="D707" s="942"/>
      <c r="E707" s="943"/>
      <c r="F707" s="886"/>
      <c r="G707" s="886"/>
      <c r="H707" s="886"/>
      <c r="I707" s="886"/>
      <c r="J707" s="886"/>
      <c r="K707" s="886"/>
      <c r="L707" s="886"/>
      <c r="M707" s="886"/>
      <c r="N707" s="886"/>
      <c r="O707" s="886"/>
      <c r="P707" s="886"/>
      <c r="Q707" s="886"/>
      <c r="R707" s="886"/>
      <c r="S707" s="886"/>
      <c r="T707" s="886"/>
      <c r="U707" s="886"/>
      <c r="V707" s="886"/>
      <c r="W707" s="886"/>
    </row>
    <row r="708" spans="3:23">
      <c r="C708" s="942"/>
      <c r="D708" s="942"/>
      <c r="E708" s="943"/>
      <c r="F708" s="886"/>
      <c r="G708" s="886"/>
      <c r="H708" s="886"/>
      <c r="I708" s="886"/>
      <c r="J708" s="886"/>
      <c r="K708" s="886"/>
      <c r="L708" s="886"/>
      <c r="M708" s="886"/>
      <c r="N708" s="886"/>
      <c r="O708" s="886"/>
      <c r="P708" s="886"/>
      <c r="Q708" s="886"/>
      <c r="R708" s="886"/>
      <c r="S708" s="886"/>
      <c r="T708" s="886"/>
      <c r="U708" s="886"/>
      <c r="V708" s="886"/>
      <c r="W708" s="886"/>
    </row>
    <row r="709" spans="3:23">
      <c r="C709" s="942"/>
      <c r="D709" s="942"/>
      <c r="E709" s="943"/>
      <c r="F709" s="886"/>
      <c r="G709" s="886"/>
      <c r="H709" s="886"/>
      <c r="I709" s="886"/>
      <c r="J709" s="886"/>
      <c r="K709" s="886"/>
      <c r="L709" s="886"/>
      <c r="M709" s="886"/>
      <c r="N709" s="886"/>
      <c r="O709" s="886"/>
      <c r="P709" s="886"/>
      <c r="Q709" s="886"/>
      <c r="R709" s="886"/>
      <c r="S709" s="886"/>
      <c r="T709" s="886"/>
      <c r="U709" s="886"/>
      <c r="V709" s="886"/>
      <c r="W709" s="886"/>
    </row>
    <row r="710" spans="3:23">
      <c r="C710" s="942"/>
      <c r="D710" s="942"/>
      <c r="E710" s="943"/>
      <c r="F710" s="886"/>
      <c r="G710" s="886"/>
      <c r="H710" s="886"/>
      <c r="I710" s="886"/>
      <c r="J710" s="886"/>
      <c r="K710" s="886"/>
      <c r="L710" s="886"/>
      <c r="M710" s="886"/>
      <c r="N710" s="886"/>
      <c r="O710" s="886"/>
      <c r="P710" s="886"/>
      <c r="Q710" s="886"/>
      <c r="R710" s="886"/>
      <c r="S710" s="886"/>
      <c r="T710" s="886"/>
      <c r="U710" s="886"/>
      <c r="V710" s="886"/>
      <c r="W710" s="886"/>
    </row>
    <row r="711" spans="3:23">
      <c r="C711" s="942"/>
      <c r="D711" s="942"/>
      <c r="E711" s="943"/>
      <c r="F711" s="886"/>
      <c r="G711" s="886"/>
      <c r="H711" s="886"/>
      <c r="I711" s="886"/>
      <c r="J711" s="886"/>
      <c r="K711" s="886"/>
      <c r="L711" s="886"/>
      <c r="M711" s="886"/>
      <c r="N711" s="886"/>
      <c r="O711" s="886"/>
      <c r="P711" s="886"/>
      <c r="Q711" s="886"/>
      <c r="R711" s="886"/>
      <c r="S711" s="886"/>
      <c r="T711" s="886"/>
      <c r="U711" s="886"/>
      <c r="V711" s="886"/>
      <c r="W711" s="886"/>
    </row>
    <row r="712" spans="3:23">
      <c r="C712" s="942"/>
      <c r="D712" s="942"/>
      <c r="E712" s="943"/>
      <c r="F712" s="886"/>
      <c r="G712" s="886"/>
      <c r="H712" s="886"/>
      <c r="I712" s="886"/>
      <c r="J712" s="886"/>
      <c r="K712" s="886"/>
      <c r="L712" s="886"/>
      <c r="M712" s="886"/>
      <c r="N712" s="886"/>
      <c r="O712" s="886"/>
      <c r="P712" s="886"/>
      <c r="Q712" s="886"/>
      <c r="R712" s="886"/>
      <c r="S712" s="886"/>
      <c r="T712" s="886"/>
      <c r="U712" s="886"/>
      <c r="V712" s="886"/>
      <c r="W712" s="886"/>
    </row>
    <row r="713" spans="3:23">
      <c r="C713" s="942"/>
      <c r="D713" s="942"/>
      <c r="E713" s="943"/>
      <c r="F713" s="886"/>
      <c r="G713" s="886"/>
      <c r="H713" s="886"/>
      <c r="I713" s="886"/>
      <c r="J713" s="886"/>
      <c r="K713" s="886"/>
      <c r="L713" s="886"/>
      <c r="M713" s="886"/>
      <c r="N713" s="886"/>
      <c r="O713" s="886"/>
      <c r="P713" s="886"/>
      <c r="Q713" s="886"/>
      <c r="R713" s="886"/>
      <c r="S713" s="886"/>
      <c r="T713" s="886"/>
      <c r="U713" s="886"/>
      <c r="V713" s="886"/>
      <c r="W713" s="886"/>
    </row>
    <row r="714" spans="3:23">
      <c r="C714" s="942"/>
      <c r="D714" s="942"/>
      <c r="E714" s="943"/>
      <c r="F714" s="886"/>
      <c r="G714" s="886"/>
      <c r="H714" s="886"/>
      <c r="I714" s="886"/>
      <c r="J714" s="886"/>
      <c r="K714" s="886"/>
      <c r="L714" s="886"/>
      <c r="M714" s="886"/>
      <c r="N714" s="886"/>
      <c r="O714" s="886"/>
      <c r="P714" s="886"/>
      <c r="Q714" s="886"/>
      <c r="R714" s="886"/>
      <c r="S714" s="886"/>
      <c r="T714" s="886"/>
      <c r="U714" s="886"/>
      <c r="V714" s="886"/>
      <c r="W714" s="886"/>
    </row>
    <row r="715" spans="3:23">
      <c r="C715" s="942"/>
      <c r="D715" s="942"/>
      <c r="E715" s="943"/>
      <c r="F715" s="886"/>
      <c r="G715" s="886"/>
      <c r="H715" s="886"/>
      <c r="I715" s="886"/>
      <c r="J715" s="886"/>
      <c r="K715" s="886"/>
      <c r="L715" s="886"/>
      <c r="M715" s="886"/>
      <c r="N715" s="886"/>
      <c r="O715" s="886"/>
      <c r="P715" s="886"/>
      <c r="Q715" s="886"/>
      <c r="R715" s="886"/>
      <c r="S715" s="886"/>
      <c r="T715" s="886"/>
      <c r="U715" s="886"/>
      <c r="V715" s="886"/>
      <c r="W715" s="886"/>
    </row>
    <row r="716" spans="3:23">
      <c r="C716" s="942"/>
      <c r="D716" s="942"/>
      <c r="E716" s="943"/>
      <c r="F716" s="886"/>
      <c r="G716" s="886"/>
      <c r="H716" s="886"/>
      <c r="I716" s="886"/>
      <c r="J716" s="886"/>
      <c r="K716" s="886"/>
      <c r="L716" s="886"/>
      <c r="M716" s="886"/>
      <c r="N716" s="886"/>
      <c r="O716" s="886"/>
      <c r="P716" s="886"/>
      <c r="Q716" s="886"/>
      <c r="R716" s="886"/>
      <c r="S716" s="886"/>
      <c r="T716" s="886"/>
      <c r="U716" s="886"/>
      <c r="V716" s="886"/>
      <c r="W716" s="886"/>
    </row>
    <row r="717" spans="3:23">
      <c r="C717" s="942"/>
      <c r="D717" s="942"/>
      <c r="E717" s="943"/>
      <c r="F717" s="886"/>
      <c r="G717" s="886"/>
      <c r="H717" s="886"/>
      <c r="I717" s="886"/>
      <c r="J717" s="886"/>
      <c r="K717" s="886"/>
      <c r="L717" s="886"/>
      <c r="M717" s="886"/>
      <c r="N717" s="886"/>
      <c r="O717" s="886"/>
      <c r="P717" s="886"/>
      <c r="Q717" s="886"/>
      <c r="R717" s="886"/>
      <c r="S717" s="886"/>
      <c r="T717" s="886"/>
      <c r="U717" s="886"/>
      <c r="V717" s="886"/>
      <c r="W717" s="886"/>
    </row>
    <row r="718" spans="3:23">
      <c r="C718" s="942"/>
      <c r="D718" s="942"/>
      <c r="E718" s="943"/>
      <c r="F718" s="886"/>
      <c r="G718" s="886"/>
      <c r="H718" s="886"/>
      <c r="I718" s="886"/>
      <c r="J718" s="886"/>
      <c r="K718" s="886"/>
      <c r="L718" s="886"/>
      <c r="M718" s="886"/>
      <c r="N718" s="886"/>
      <c r="O718" s="886"/>
      <c r="P718" s="886"/>
      <c r="Q718" s="886"/>
      <c r="R718" s="886"/>
      <c r="S718" s="886"/>
      <c r="T718" s="886"/>
      <c r="U718" s="886"/>
      <c r="V718" s="886"/>
      <c r="W718" s="886"/>
    </row>
    <row r="719" spans="3:23">
      <c r="C719" s="942"/>
      <c r="D719" s="942"/>
      <c r="E719" s="943"/>
      <c r="F719" s="886"/>
      <c r="G719" s="886"/>
      <c r="H719" s="886"/>
      <c r="I719" s="886"/>
      <c r="J719" s="886"/>
      <c r="K719" s="886"/>
      <c r="L719" s="886"/>
      <c r="M719" s="886"/>
      <c r="N719" s="886"/>
      <c r="O719" s="886"/>
      <c r="P719" s="886"/>
      <c r="Q719" s="886"/>
      <c r="R719" s="886"/>
      <c r="S719" s="886"/>
      <c r="T719" s="886"/>
      <c r="U719" s="886"/>
      <c r="V719" s="886"/>
      <c r="W719" s="886"/>
    </row>
    <row r="720" spans="3:23">
      <c r="C720" s="942"/>
      <c r="D720" s="942"/>
      <c r="E720" s="943"/>
      <c r="F720" s="886"/>
      <c r="G720" s="886"/>
      <c r="H720" s="886"/>
      <c r="I720" s="886"/>
      <c r="J720" s="886"/>
      <c r="K720" s="886"/>
      <c r="L720" s="886"/>
      <c r="M720" s="886"/>
      <c r="N720" s="886"/>
      <c r="O720" s="886"/>
      <c r="P720" s="886"/>
      <c r="Q720" s="886"/>
      <c r="R720" s="886"/>
      <c r="S720" s="886"/>
      <c r="T720" s="886"/>
      <c r="U720" s="886"/>
      <c r="V720" s="886"/>
      <c r="W720" s="886"/>
    </row>
    <row r="721" spans="3:23">
      <c r="C721" s="942"/>
      <c r="D721" s="942"/>
      <c r="E721" s="943"/>
      <c r="F721" s="886"/>
      <c r="G721" s="886"/>
      <c r="H721" s="886"/>
      <c r="I721" s="886"/>
      <c r="J721" s="886"/>
      <c r="K721" s="886"/>
      <c r="L721" s="886"/>
      <c r="M721" s="886"/>
      <c r="N721" s="886"/>
      <c r="O721" s="886"/>
      <c r="P721" s="886"/>
      <c r="Q721" s="886"/>
      <c r="R721" s="886"/>
      <c r="S721" s="886"/>
      <c r="T721" s="886"/>
      <c r="U721" s="886"/>
      <c r="V721" s="886"/>
      <c r="W721" s="886"/>
    </row>
    <row r="722" spans="3:23">
      <c r="C722" s="942"/>
      <c r="D722" s="942"/>
      <c r="E722" s="943"/>
      <c r="F722" s="886"/>
      <c r="G722" s="886"/>
      <c r="H722" s="886"/>
      <c r="I722" s="886"/>
      <c r="J722" s="886"/>
      <c r="K722" s="886"/>
      <c r="L722" s="886"/>
      <c r="M722" s="886"/>
      <c r="N722" s="886"/>
      <c r="O722" s="886"/>
      <c r="P722" s="886"/>
      <c r="Q722" s="886"/>
      <c r="R722" s="886"/>
      <c r="S722" s="886"/>
      <c r="T722" s="886"/>
      <c r="U722" s="886"/>
      <c r="V722" s="886"/>
      <c r="W722" s="886"/>
    </row>
    <row r="723" spans="3:23">
      <c r="C723" s="942"/>
      <c r="D723" s="942"/>
      <c r="E723" s="943"/>
      <c r="F723" s="886"/>
      <c r="G723" s="886"/>
      <c r="H723" s="886"/>
      <c r="I723" s="886"/>
      <c r="J723" s="886"/>
      <c r="K723" s="886"/>
      <c r="L723" s="886"/>
      <c r="M723" s="886"/>
      <c r="N723" s="886"/>
      <c r="O723" s="886"/>
      <c r="P723" s="886"/>
      <c r="Q723" s="886"/>
      <c r="R723" s="886"/>
      <c r="S723" s="886"/>
      <c r="T723" s="886"/>
      <c r="U723" s="886"/>
      <c r="V723" s="886"/>
      <c r="W723" s="886"/>
    </row>
    <row r="724" spans="3:23">
      <c r="C724" s="942"/>
      <c r="D724" s="942"/>
      <c r="E724" s="943"/>
      <c r="F724" s="886"/>
      <c r="G724" s="886"/>
      <c r="H724" s="886"/>
      <c r="I724" s="886"/>
      <c r="J724" s="886"/>
      <c r="K724" s="886"/>
      <c r="L724" s="886"/>
      <c r="M724" s="886"/>
      <c r="N724" s="886"/>
      <c r="O724" s="886"/>
      <c r="P724" s="886"/>
      <c r="Q724" s="886"/>
      <c r="R724" s="886"/>
      <c r="S724" s="886"/>
      <c r="T724" s="886"/>
      <c r="U724" s="886"/>
      <c r="V724" s="886"/>
      <c r="W724" s="886"/>
    </row>
    <row r="725" spans="3:23">
      <c r="C725" s="942"/>
      <c r="D725" s="942"/>
      <c r="E725" s="943"/>
      <c r="F725" s="886"/>
      <c r="G725" s="886"/>
      <c r="H725" s="886"/>
      <c r="I725" s="886"/>
      <c r="J725" s="886"/>
      <c r="K725" s="886"/>
      <c r="L725" s="886"/>
      <c r="M725" s="886"/>
      <c r="N725" s="886"/>
      <c r="O725" s="886"/>
      <c r="P725" s="886"/>
      <c r="Q725" s="886"/>
      <c r="R725" s="886"/>
      <c r="S725" s="886"/>
      <c r="T725" s="886"/>
      <c r="U725" s="886"/>
      <c r="V725" s="886"/>
      <c r="W725" s="886"/>
    </row>
    <row r="726" spans="3:23">
      <c r="C726" s="942"/>
      <c r="D726" s="942"/>
      <c r="E726" s="943"/>
      <c r="F726" s="886"/>
      <c r="G726" s="886"/>
      <c r="H726" s="886"/>
      <c r="I726" s="886"/>
      <c r="J726" s="886"/>
      <c r="K726" s="886"/>
      <c r="L726" s="886"/>
      <c r="M726" s="886"/>
      <c r="N726" s="886"/>
      <c r="O726" s="886"/>
      <c r="P726" s="886"/>
      <c r="Q726" s="886"/>
      <c r="R726" s="886"/>
      <c r="S726" s="886"/>
      <c r="T726" s="886"/>
      <c r="U726" s="886"/>
      <c r="V726" s="886"/>
      <c r="W726" s="886"/>
    </row>
    <row r="727" spans="3:23">
      <c r="C727" s="942"/>
      <c r="D727" s="942"/>
      <c r="E727" s="943"/>
      <c r="F727" s="886"/>
      <c r="G727" s="886"/>
      <c r="H727" s="886"/>
      <c r="I727" s="886"/>
      <c r="J727" s="886"/>
      <c r="K727" s="886"/>
      <c r="L727" s="886"/>
      <c r="M727" s="886"/>
      <c r="N727" s="886"/>
      <c r="O727" s="886"/>
      <c r="P727" s="886"/>
      <c r="Q727" s="886"/>
      <c r="R727" s="886"/>
      <c r="S727" s="886"/>
      <c r="T727" s="886"/>
      <c r="U727" s="886"/>
      <c r="V727" s="886"/>
      <c r="W727" s="886"/>
    </row>
    <row r="728" spans="3:23">
      <c r="C728" s="942"/>
      <c r="D728" s="942"/>
      <c r="E728" s="943"/>
      <c r="F728" s="886"/>
      <c r="G728" s="886"/>
      <c r="H728" s="886"/>
      <c r="I728" s="886"/>
      <c r="J728" s="886"/>
      <c r="K728" s="886"/>
      <c r="L728" s="886"/>
      <c r="M728" s="886"/>
      <c r="N728" s="886"/>
      <c r="O728" s="886"/>
      <c r="P728" s="886"/>
      <c r="Q728" s="886"/>
      <c r="R728" s="886"/>
      <c r="S728" s="886"/>
      <c r="T728" s="886"/>
      <c r="U728" s="886"/>
      <c r="V728" s="886"/>
      <c r="W728" s="886"/>
    </row>
    <row r="729" spans="3:23">
      <c r="C729" s="942"/>
      <c r="D729" s="942"/>
      <c r="E729" s="943"/>
      <c r="F729" s="886"/>
      <c r="G729" s="886"/>
      <c r="H729" s="886"/>
      <c r="I729" s="886"/>
      <c r="J729" s="886"/>
      <c r="K729" s="886"/>
      <c r="L729" s="886"/>
      <c r="M729" s="886"/>
      <c r="N729" s="886"/>
      <c r="O729" s="886"/>
      <c r="P729" s="886"/>
      <c r="Q729" s="886"/>
      <c r="R729" s="886"/>
      <c r="S729" s="886"/>
      <c r="T729" s="886"/>
      <c r="U729" s="886"/>
      <c r="V729" s="886"/>
      <c r="W729" s="886"/>
    </row>
    <row r="730" spans="3:23">
      <c r="C730" s="942"/>
      <c r="D730" s="942"/>
      <c r="E730" s="943"/>
      <c r="F730" s="886"/>
      <c r="G730" s="886"/>
      <c r="H730" s="886"/>
      <c r="I730" s="886"/>
      <c r="J730" s="886"/>
      <c r="K730" s="886"/>
      <c r="L730" s="886"/>
      <c r="M730" s="886"/>
      <c r="N730" s="886"/>
      <c r="O730" s="886"/>
      <c r="P730" s="886"/>
      <c r="Q730" s="886"/>
      <c r="R730" s="886"/>
      <c r="S730" s="886"/>
      <c r="T730" s="886"/>
      <c r="U730" s="886"/>
      <c r="V730" s="886"/>
      <c r="W730" s="886"/>
    </row>
    <row r="731" spans="3:23">
      <c r="C731" s="942"/>
      <c r="D731" s="942"/>
      <c r="E731" s="943"/>
      <c r="F731" s="886"/>
      <c r="G731" s="886"/>
      <c r="H731" s="886"/>
      <c r="I731" s="886"/>
      <c r="J731" s="886"/>
      <c r="K731" s="886"/>
      <c r="L731" s="886"/>
      <c r="M731" s="886"/>
      <c r="N731" s="886"/>
      <c r="O731" s="886"/>
      <c r="P731" s="886"/>
      <c r="Q731" s="886"/>
      <c r="R731" s="886"/>
      <c r="S731" s="886"/>
      <c r="T731" s="886"/>
      <c r="U731" s="886"/>
      <c r="V731" s="886"/>
      <c r="W731" s="886"/>
    </row>
    <row r="732" spans="3:23">
      <c r="C732" s="942"/>
      <c r="D732" s="942"/>
      <c r="E732" s="943"/>
      <c r="F732" s="886"/>
      <c r="G732" s="886"/>
      <c r="H732" s="886"/>
      <c r="I732" s="886"/>
      <c r="J732" s="886"/>
      <c r="K732" s="886"/>
      <c r="L732" s="886"/>
      <c r="M732" s="886"/>
      <c r="N732" s="886"/>
      <c r="O732" s="886"/>
      <c r="P732" s="886"/>
      <c r="Q732" s="886"/>
      <c r="R732" s="886"/>
      <c r="S732" s="886"/>
      <c r="T732" s="886"/>
      <c r="U732" s="886"/>
      <c r="V732" s="886"/>
      <c r="W732" s="886"/>
    </row>
    <row r="733" spans="3:23">
      <c r="C733" s="942"/>
      <c r="D733" s="942"/>
      <c r="E733" s="943"/>
      <c r="F733" s="886"/>
      <c r="G733" s="886"/>
      <c r="H733" s="886"/>
      <c r="I733" s="886"/>
      <c r="J733" s="886"/>
      <c r="K733" s="886"/>
      <c r="L733" s="886"/>
      <c r="M733" s="886"/>
      <c r="N733" s="886"/>
      <c r="O733" s="886"/>
      <c r="P733" s="886"/>
      <c r="Q733" s="886"/>
      <c r="R733" s="886"/>
      <c r="S733" s="886"/>
      <c r="T733" s="886"/>
      <c r="U733" s="886"/>
      <c r="V733" s="886"/>
      <c r="W733" s="886"/>
    </row>
    <row r="734" spans="3:23">
      <c r="C734" s="942"/>
      <c r="D734" s="942"/>
      <c r="E734" s="943"/>
      <c r="F734" s="886"/>
      <c r="G734" s="886"/>
      <c r="H734" s="886"/>
      <c r="I734" s="886"/>
      <c r="J734" s="886"/>
      <c r="K734" s="886"/>
      <c r="L734" s="886"/>
      <c r="M734" s="886"/>
      <c r="N734" s="886"/>
      <c r="O734" s="886"/>
      <c r="P734" s="886"/>
      <c r="Q734" s="886"/>
      <c r="R734" s="886"/>
      <c r="S734" s="886"/>
      <c r="T734" s="886"/>
      <c r="U734" s="886"/>
      <c r="V734" s="886"/>
      <c r="W734" s="886"/>
    </row>
    <row r="735" spans="3:23">
      <c r="C735" s="942"/>
      <c r="D735" s="942"/>
      <c r="E735" s="943"/>
      <c r="F735" s="886"/>
      <c r="G735" s="886"/>
      <c r="H735" s="886"/>
      <c r="I735" s="886"/>
      <c r="J735" s="886"/>
      <c r="K735" s="886"/>
      <c r="L735" s="886"/>
      <c r="M735" s="886"/>
      <c r="N735" s="886"/>
      <c r="O735" s="886"/>
      <c r="P735" s="886"/>
      <c r="Q735" s="886"/>
      <c r="R735" s="886"/>
      <c r="S735" s="886"/>
      <c r="T735" s="886"/>
      <c r="U735" s="886"/>
      <c r="V735" s="886"/>
      <c r="W735" s="886"/>
    </row>
    <row r="736" spans="3:23">
      <c r="C736" s="942"/>
      <c r="D736" s="942"/>
      <c r="E736" s="943"/>
      <c r="F736" s="886"/>
      <c r="G736" s="886"/>
      <c r="H736" s="886"/>
      <c r="I736" s="886"/>
      <c r="J736" s="886"/>
      <c r="K736" s="886"/>
      <c r="L736" s="886"/>
      <c r="M736" s="886"/>
      <c r="N736" s="886"/>
      <c r="O736" s="886"/>
      <c r="P736" s="886"/>
      <c r="Q736" s="886"/>
      <c r="R736" s="886"/>
      <c r="S736" s="886"/>
      <c r="T736" s="886"/>
      <c r="U736" s="886"/>
      <c r="V736" s="886"/>
      <c r="W736" s="886"/>
    </row>
    <row r="737" spans="3:23">
      <c r="C737" s="942"/>
      <c r="D737" s="942"/>
      <c r="E737" s="943"/>
      <c r="F737" s="886"/>
      <c r="G737" s="886"/>
      <c r="H737" s="886"/>
      <c r="I737" s="886"/>
      <c r="J737" s="886"/>
      <c r="K737" s="886"/>
      <c r="L737" s="886"/>
      <c r="M737" s="886"/>
      <c r="N737" s="886"/>
      <c r="O737" s="886"/>
      <c r="P737" s="886"/>
      <c r="Q737" s="886"/>
      <c r="R737" s="886"/>
      <c r="S737" s="886"/>
      <c r="T737" s="886"/>
      <c r="U737" s="886"/>
      <c r="V737" s="886"/>
      <c r="W737" s="886"/>
    </row>
    <row r="738" spans="3:23">
      <c r="C738" s="942"/>
      <c r="D738" s="942"/>
      <c r="E738" s="943"/>
      <c r="F738" s="886"/>
      <c r="G738" s="886"/>
      <c r="H738" s="886"/>
      <c r="I738" s="886"/>
      <c r="J738" s="886"/>
      <c r="K738" s="886"/>
      <c r="L738" s="886"/>
      <c r="M738" s="886"/>
      <c r="N738" s="886"/>
      <c r="O738" s="886"/>
      <c r="P738" s="886"/>
      <c r="Q738" s="886"/>
      <c r="R738" s="886"/>
      <c r="S738" s="886"/>
      <c r="T738" s="886"/>
      <c r="U738" s="886"/>
      <c r="V738" s="886"/>
      <c r="W738" s="886"/>
    </row>
    <row r="739" spans="3:23">
      <c r="C739" s="942"/>
      <c r="D739" s="942"/>
      <c r="E739" s="943"/>
      <c r="F739" s="886"/>
      <c r="G739" s="886"/>
      <c r="H739" s="886"/>
      <c r="I739" s="886"/>
      <c r="J739" s="886"/>
      <c r="K739" s="886"/>
      <c r="L739" s="886"/>
      <c r="M739" s="886"/>
      <c r="N739" s="886"/>
      <c r="O739" s="886"/>
      <c r="P739" s="886"/>
      <c r="Q739" s="886"/>
      <c r="R739" s="886"/>
      <c r="S739" s="886"/>
      <c r="T739" s="886"/>
      <c r="U739" s="886"/>
      <c r="V739" s="886"/>
      <c r="W739" s="886"/>
    </row>
    <row r="740" spans="3:23">
      <c r="C740" s="942"/>
      <c r="D740" s="942"/>
      <c r="E740" s="943"/>
      <c r="F740" s="886"/>
      <c r="G740" s="886"/>
      <c r="H740" s="886"/>
      <c r="I740" s="886"/>
      <c r="J740" s="886"/>
      <c r="K740" s="886"/>
      <c r="L740" s="886"/>
      <c r="M740" s="886"/>
      <c r="N740" s="886"/>
      <c r="O740" s="886"/>
      <c r="P740" s="886"/>
      <c r="Q740" s="886"/>
      <c r="R740" s="886"/>
      <c r="S740" s="886"/>
      <c r="T740" s="886"/>
      <c r="U740" s="886"/>
      <c r="V740" s="886"/>
      <c r="W740" s="886"/>
    </row>
    <row r="741" spans="3:23">
      <c r="C741" s="942"/>
      <c r="D741" s="942"/>
      <c r="E741" s="943"/>
      <c r="F741" s="886"/>
      <c r="G741" s="886"/>
      <c r="H741" s="886"/>
      <c r="I741" s="886"/>
      <c r="J741" s="886"/>
      <c r="K741" s="886"/>
      <c r="L741" s="886"/>
      <c r="M741" s="886"/>
      <c r="N741" s="886"/>
      <c r="O741" s="886"/>
      <c r="P741" s="886"/>
      <c r="Q741" s="886"/>
      <c r="R741" s="886"/>
      <c r="S741" s="886"/>
      <c r="T741" s="886"/>
      <c r="U741" s="886"/>
      <c r="V741" s="886"/>
      <c r="W741" s="886"/>
    </row>
    <row r="742" spans="3:23">
      <c r="C742" s="942"/>
      <c r="D742" s="942"/>
      <c r="E742" s="943"/>
      <c r="F742" s="886"/>
      <c r="G742" s="886"/>
      <c r="H742" s="886"/>
      <c r="I742" s="886"/>
      <c r="J742" s="886"/>
      <c r="K742" s="886"/>
      <c r="L742" s="886"/>
      <c r="M742" s="886"/>
      <c r="N742" s="886"/>
      <c r="O742" s="886"/>
      <c r="P742" s="886"/>
      <c r="Q742" s="886"/>
      <c r="R742" s="886"/>
      <c r="S742" s="886"/>
      <c r="T742" s="886"/>
      <c r="U742" s="886"/>
      <c r="V742" s="886"/>
      <c r="W742" s="886"/>
    </row>
    <row r="743" spans="3:23">
      <c r="C743" s="942"/>
      <c r="D743" s="942"/>
      <c r="E743" s="943"/>
      <c r="F743" s="886"/>
      <c r="G743" s="886"/>
      <c r="H743" s="886"/>
      <c r="I743" s="886"/>
      <c r="J743" s="886"/>
      <c r="K743" s="886"/>
      <c r="L743" s="886"/>
      <c r="M743" s="886"/>
      <c r="N743" s="886"/>
      <c r="O743" s="886"/>
      <c r="P743" s="886"/>
      <c r="Q743" s="886"/>
      <c r="R743" s="886"/>
      <c r="S743" s="886"/>
      <c r="T743" s="886"/>
      <c r="U743" s="886"/>
      <c r="V743" s="886"/>
      <c r="W743" s="886"/>
    </row>
    <row r="744" spans="3:23">
      <c r="C744" s="942"/>
      <c r="D744" s="942"/>
      <c r="E744" s="943"/>
      <c r="F744" s="886"/>
      <c r="G744" s="886"/>
      <c r="H744" s="886"/>
      <c r="I744" s="886"/>
      <c r="J744" s="886"/>
      <c r="K744" s="886"/>
      <c r="L744" s="886"/>
      <c r="M744" s="886"/>
      <c r="N744" s="886"/>
      <c r="O744" s="886"/>
      <c r="P744" s="886"/>
      <c r="Q744" s="886"/>
      <c r="R744" s="886"/>
      <c r="S744" s="886"/>
      <c r="T744" s="886"/>
      <c r="U744" s="886"/>
      <c r="V744" s="886"/>
      <c r="W744" s="886"/>
    </row>
    <row r="745" spans="3:23">
      <c r="C745" s="942"/>
      <c r="D745" s="942"/>
      <c r="E745" s="943"/>
      <c r="F745" s="886"/>
      <c r="G745" s="886"/>
      <c r="H745" s="886"/>
      <c r="I745" s="886"/>
      <c r="J745" s="886"/>
      <c r="K745" s="886"/>
      <c r="L745" s="886"/>
      <c r="M745" s="886"/>
      <c r="N745" s="886"/>
      <c r="O745" s="886"/>
      <c r="P745" s="886"/>
      <c r="Q745" s="886"/>
      <c r="R745" s="886"/>
      <c r="S745" s="886"/>
      <c r="T745" s="886"/>
      <c r="U745" s="886"/>
      <c r="V745" s="886"/>
      <c r="W745" s="886"/>
    </row>
    <row r="746" spans="3:23">
      <c r="C746" s="942"/>
      <c r="D746" s="942"/>
      <c r="E746" s="943"/>
      <c r="F746" s="886"/>
      <c r="G746" s="886"/>
      <c r="H746" s="886"/>
      <c r="I746" s="886"/>
      <c r="J746" s="886"/>
      <c r="K746" s="886"/>
      <c r="L746" s="886"/>
      <c r="M746" s="886"/>
      <c r="N746" s="886"/>
      <c r="O746" s="886"/>
      <c r="P746" s="886"/>
      <c r="Q746" s="886"/>
      <c r="R746" s="886"/>
      <c r="S746" s="886"/>
      <c r="T746" s="886"/>
      <c r="U746" s="886"/>
      <c r="V746" s="886"/>
      <c r="W746" s="886"/>
    </row>
    <row r="747" spans="3:23">
      <c r="C747" s="942"/>
      <c r="D747" s="942"/>
      <c r="E747" s="943"/>
      <c r="F747" s="886"/>
      <c r="G747" s="886"/>
      <c r="H747" s="886"/>
      <c r="I747" s="886"/>
      <c r="J747" s="886"/>
      <c r="K747" s="886"/>
      <c r="L747" s="886"/>
      <c r="M747" s="886"/>
      <c r="N747" s="886"/>
      <c r="O747" s="886"/>
      <c r="P747" s="886"/>
      <c r="Q747" s="886"/>
      <c r="R747" s="886"/>
      <c r="S747" s="886"/>
      <c r="T747" s="886"/>
      <c r="U747" s="886"/>
      <c r="V747" s="886"/>
      <c r="W747" s="886"/>
    </row>
    <row r="748" spans="3:23">
      <c r="C748" s="942"/>
      <c r="D748" s="942"/>
      <c r="E748" s="943"/>
      <c r="F748" s="886"/>
      <c r="G748" s="886"/>
      <c r="H748" s="886"/>
      <c r="I748" s="886"/>
      <c r="J748" s="886"/>
      <c r="K748" s="886"/>
      <c r="L748" s="886"/>
      <c r="M748" s="886"/>
      <c r="N748" s="886"/>
      <c r="O748" s="886"/>
      <c r="P748" s="886"/>
      <c r="Q748" s="886"/>
      <c r="R748" s="886"/>
      <c r="S748" s="886"/>
      <c r="T748" s="886"/>
      <c r="U748" s="886"/>
      <c r="V748" s="886"/>
      <c r="W748" s="886"/>
    </row>
    <row r="749" spans="3:23">
      <c r="C749" s="942"/>
      <c r="D749" s="942"/>
      <c r="E749" s="943"/>
      <c r="F749" s="886"/>
      <c r="G749" s="886"/>
      <c r="H749" s="886"/>
      <c r="I749" s="886"/>
      <c r="J749" s="886"/>
      <c r="K749" s="886"/>
      <c r="L749" s="886"/>
      <c r="M749" s="886"/>
      <c r="N749" s="886"/>
      <c r="O749" s="886"/>
      <c r="P749" s="886"/>
      <c r="Q749" s="886"/>
      <c r="R749" s="886"/>
      <c r="S749" s="886"/>
      <c r="T749" s="886"/>
      <c r="U749" s="886"/>
      <c r="V749" s="886"/>
      <c r="W749" s="886"/>
    </row>
    <row r="750" spans="3:23">
      <c r="C750" s="942"/>
      <c r="D750" s="942"/>
      <c r="E750" s="943"/>
      <c r="F750" s="886"/>
      <c r="G750" s="886"/>
      <c r="H750" s="886"/>
      <c r="I750" s="886"/>
      <c r="J750" s="886"/>
      <c r="K750" s="886"/>
      <c r="L750" s="886"/>
      <c r="M750" s="886"/>
      <c r="N750" s="886"/>
      <c r="O750" s="886"/>
      <c r="P750" s="886"/>
      <c r="Q750" s="886"/>
      <c r="R750" s="886"/>
      <c r="S750" s="886"/>
      <c r="T750" s="886"/>
      <c r="U750" s="886"/>
      <c r="V750" s="886"/>
      <c r="W750" s="886"/>
    </row>
    <row r="751" spans="3:23">
      <c r="C751" s="942"/>
      <c r="D751" s="942"/>
      <c r="E751" s="943"/>
      <c r="F751" s="886"/>
      <c r="G751" s="886"/>
      <c r="H751" s="886"/>
      <c r="I751" s="886"/>
      <c r="J751" s="886"/>
      <c r="K751" s="886"/>
      <c r="L751" s="886"/>
      <c r="M751" s="886"/>
      <c r="N751" s="886"/>
      <c r="O751" s="886"/>
      <c r="P751" s="886"/>
      <c r="Q751" s="886"/>
      <c r="R751" s="886"/>
      <c r="S751" s="886"/>
      <c r="T751" s="886"/>
      <c r="U751" s="886"/>
      <c r="V751" s="886"/>
      <c r="W751" s="886"/>
    </row>
    <row r="752" spans="3:23">
      <c r="C752" s="942"/>
      <c r="D752" s="942"/>
      <c r="E752" s="943"/>
      <c r="F752" s="886"/>
      <c r="G752" s="886"/>
      <c r="H752" s="886"/>
      <c r="I752" s="886"/>
      <c r="J752" s="886"/>
      <c r="K752" s="886"/>
      <c r="L752" s="886"/>
      <c r="M752" s="886"/>
      <c r="N752" s="886"/>
      <c r="O752" s="886"/>
      <c r="P752" s="886"/>
      <c r="Q752" s="886"/>
      <c r="R752" s="886"/>
      <c r="S752" s="886"/>
      <c r="T752" s="886"/>
      <c r="U752" s="886"/>
      <c r="V752" s="886"/>
      <c r="W752" s="886"/>
    </row>
    <row r="753" spans="3:23">
      <c r="C753" s="942"/>
      <c r="D753" s="942"/>
      <c r="E753" s="943"/>
      <c r="F753" s="886"/>
      <c r="G753" s="886"/>
      <c r="H753" s="886"/>
      <c r="I753" s="886"/>
      <c r="J753" s="886"/>
      <c r="K753" s="886"/>
      <c r="L753" s="886"/>
      <c r="M753" s="886"/>
      <c r="N753" s="886"/>
      <c r="O753" s="886"/>
      <c r="P753" s="886"/>
      <c r="Q753" s="886"/>
      <c r="R753" s="886"/>
      <c r="S753" s="886"/>
      <c r="T753" s="886"/>
      <c r="U753" s="886"/>
      <c r="V753" s="886"/>
      <c r="W753" s="886"/>
    </row>
    <row r="754" spans="3:23">
      <c r="C754" s="942"/>
      <c r="D754" s="942"/>
      <c r="E754" s="943"/>
      <c r="F754" s="886"/>
      <c r="G754" s="886"/>
      <c r="H754" s="886"/>
      <c r="I754" s="886"/>
      <c r="J754" s="886"/>
      <c r="K754" s="886"/>
      <c r="L754" s="886"/>
      <c r="M754" s="886"/>
      <c r="N754" s="886"/>
      <c r="O754" s="886"/>
      <c r="P754" s="886"/>
      <c r="Q754" s="886"/>
      <c r="R754" s="886"/>
      <c r="S754" s="886"/>
      <c r="T754" s="886"/>
      <c r="U754" s="886"/>
      <c r="V754" s="886"/>
      <c r="W754" s="886"/>
    </row>
    <row r="755" spans="3:23">
      <c r="C755" s="942"/>
      <c r="D755" s="942"/>
      <c r="E755" s="943"/>
      <c r="F755" s="886"/>
      <c r="G755" s="886"/>
      <c r="H755" s="886"/>
      <c r="I755" s="886"/>
      <c r="J755" s="886"/>
      <c r="K755" s="886"/>
      <c r="L755" s="886"/>
      <c r="M755" s="886"/>
      <c r="N755" s="886"/>
      <c r="O755" s="886"/>
      <c r="P755" s="886"/>
      <c r="Q755" s="886"/>
      <c r="R755" s="886"/>
      <c r="S755" s="886"/>
      <c r="T755" s="886"/>
      <c r="U755" s="886"/>
      <c r="V755" s="886"/>
      <c r="W755" s="886"/>
    </row>
    <row r="756" spans="3:23">
      <c r="C756" s="942"/>
      <c r="D756" s="942"/>
      <c r="E756" s="943"/>
      <c r="F756" s="886"/>
      <c r="G756" s="886"/>
      <c r="H756" s="886"/>
      <c r="I756" s="886"/>
      <c r="J756" s="886"/>
      <c r="K756" s="886"/>
      <c r="L756" s="886"/>
      <c r="M756" s="886"/>
      <c r="N756" s="886"/>
      <c r="O756" s="886"/>
      <c r="P756" s="886"/>
      <c r="Q756" s="886"/>
      <c r="R756" s="886"/>
      <c r="S756" s="886"/>
      <c r="T756" s="886"/>
      <c r="U756" s="886"/>
      <c r="V756" s="886"/>
      <c r="W756" s="886"/>
    </row>
    <row r="757" spans="3:23">
      <c r="C757" s="942"/>
      <c r="D757" s="942"/>
      <c r="E757" s="943"/>
      <c r="F757" s="886"/>
      <c r="G757" s="886"/>
      <c r="H757" s="886"/>
      <c r="I757" s="886"/>
      <c r="J757" s="886"/>
      <c r="K757" s="886"/>
      <c r="L757" s="886"/>
      <c r="M757" s="886"/>
      <c r="N757" s="886"/>
      <c r="O757" s="886"/>
      <c r="P757" s="886"/>
      <c r="Q757" s="886"/>
      <c r="R757" s="886"/>
      <c r="S757" s="886"/>
      <c r="T757" s="886"/>
      <c r="U757" s="886"/>
      <c r="V757" s="886"/>
      <c r="W757" s="886"/>
    </row>
    <row r="758" spans="3:23">
      <c r="C758" s="942"/>
      <c r="D758" s="942"/>
      <c r="E758" s="943"/>
      <c r="F758" s="886"/>
      <c r="G758" s="886"/>
      <c r="H758" s="886"/>
      <c r="I758" s="886"/>
      <c r="J758" s="886"/>
      <c r="K758" s="886"/>
      <c r="L758" s="886"/>
      <c r="M758" s="886"/>
      <c r="N758" s="886"/>
      <c r="O758" s="886"/>
      <c r="P758" s="886"/>
      <c r="Q758" s="886"/>
      <c r="R758" s="886"/>
      <c r="S758" s="886"/>
      <c r="T758" s="886"/>
      <c r="U758" s="886"/>
      <c r="V758" s="886"/>
      <c r="W758" s="886"/>
    </row>
    <row r="759" spans="3:23">
      <c r="C759" s="942"/>
      <c r="D759" s="942"/>
      <c r="E759" s="943"/>
      <c r="F759" s="886"/>
      <c r="G759" s="886"/>
      <c r="H759" s="886"/>
      <c r="I759" s="886"/>
      <c r="J759" s="886"/>
      <c r="K759" s="886"/>
      <c r="L759" s="886"/>
      <c r="M759" s="886"/>
      <c r="N759" s="886"/>
      <c r="O759" s="886"/>
      <c r="P759" s="886"/>
      <c r="Q759" s="886"/>
      <c r="R759" s="886"/>
      <c r="S759" s="886"/>
      <c r="T759" s="886"/>
      <c r="U759" s="886"/>
      <c r="V759" s="886"/>
      <c r="W759" s="886"/>
    </row>
    <row r="760" spans="3:23">
      <c r="C760" s="942"/>
      <c r="D760" s="942"/>
      <c r="E760" s="943"/>
      <c r="F760" s="886"/>
      <c r="G760" s="886"/>
      <c r="H760" s="886"/>
      <c r="I760" s="886"/>
      <c r="J760" s="886"/>
      <c r="K760" s="886"/>
      <c r="L760" s="886"/>
      <c r="M760" s="886"/>
      <c r="N760" s="886"/>
      <c r="O760" s="886"/>
      <c r="P760" s="886"/>
      <c r="Q760" s="886"/>
      <c r="R760" s="886"/>
      <c r="S760" s="886"/>
      <c r="T760" s="886"/>
      <c r="U760" s="886"/>
      <c r="V760" s="886"/>
      <c r="W760" s="886"/>
    </row>
    <row r="761" spans="3:23">
      <c r="C761" s="942"/>
      <c r="D761" s="942"/>
      <c r="E761" s="943"/>
      <c r="F761" s="886"/>
      <c r="G761" s="886"/>
      <c r="H761" s="886"/>
      <c r="I761" s="886"/>
      <c r="J761" s="886"/>
      <c r="K761" s="886"/>
      <c r="L761" s="886"/>
      <c r="M761" s="886"/>
      <c r="N761" s="886"/>
      <c r="O761" s="886"/>
      <c r="P761" s="886"/>
      <c r="Q761" s="886"/>
      <c r="R761" s="886"/>
      <c r="S761" s="886"/>
      <c r="T761" s="886"/>
      <c r="U761" s="886"/>
      <c r="V761" s="886"/>
      <c r="W761" s="886"/>
    </row>
    <row r="762" spans="3:23">
      <c r="C762" s="942"/>
      <c r="D762" s="942"/>
      <c r="E762" s="943"/>
      <c r="F762" s="886"/>
      <c r="G762" s="886"/>
      <c r="H762" s="886"/>
      <c r="I762" s="886"/>
      <c r="J762" s="886"/>
      <c r="K762" s="886"/>
      <c r="L762" s="886"/>
      <c r="M762" s="886"/>
      <c r="N762" s="886"/>
      <c r="O762" s="886"/>
      <c r="P762" s="886"/>
      <c r="Q762" s="886"/>
      <c r="R762" s="886"/>
      <c r="S762" s="886"/>
      <c r="T762" s="886"/>
      <c r="U762" s="886"/>
      <c r="V762" s="886"/>
      <c r="W762" s="886"/>
    </row>
    <row r="763" spans="3:23">
      <c r="C763" s="942"/>
      <c r="D763" s="942"/>
      <c r="E763" s="943"/>
      <c r="F763" s="886"/>
      <c r="G763" s="886"/>
      <c r="H763" s="886"/>
      <c r="I763" s="886"/>
      <c r="J763" s="886"/>
      <c r="K763" s="886"/>
      <c r="L763" s="886"/>
      <c r="M763" s="886"/>
      <c r="N763" s="886"/>
      <c r="O763" s="886"/>
      <c r="P763" s="886"/>
      <c r="Q763" s="886"/>
      <c r="R763" s="886"/>
      <c r="S763" s="886"/>
      <c r="T763" s="886"/>
      <c r="U763" s="886"/>
      <c r="V763" s="886"/>
      <c r="W763" s="886"/>
    </row>
    <row r="764" spans="3:23">
      <c r="C764" s="942"/>
      <c r="D764" s="942"/>
      <c r="E764" s="943"/>
      <c r="F764" s="886"/>
      <c r="G764" s="886"/>
      <c r="H764" s="886"/>
      <c r="I764" s="886"/>
      <c r="J764" s="886"/>
      <c r="K764" s="886"/>
      <c r="L764" s="886"/>
      <c r="M764" s="886"/>
      <c r="N764" s="886"/>
      <c r="O764" s="886"/>
      <c r="P764" s="886"/>
      <c r="Q764" s="886"/>
      <c r="R764" s="886"/>
      <c r="S764" s="886"/>
      <c r="T764" s="886"/>
      <c r="U764" s="886"/>
      <c r="V764" s="886"/>
      <c r="W764" s="886"/>
    </row>
    <row r="765" spans="3:23">
      <c r="C765" s="942"/>
      <c r="D765" s="942"/>
      <c r="E765" s="943"/>
      <c r="F765" s="886"/>
      <c r="G765" s="886"/>
      <c r="H765" s="886"/>
      <c r="I765" s="886"/>
      <c r="J765" s="886"/>
      <c r="K765" s="886"/>
      <c r="L765" s="886"/>
      <c r="M765" s="886"/>
      <c r="N765" s="886"/>
      <c r="O765" s="886"/>
      <c r="P765" s="886"/>
      <c r="Q765" s="886"/>
      <c r="R765" s="886"/>
      <c r="S765" s="886"/>
      <c r="T765" s="886"/>
      <c r="U765" s="886"/>
      <c r="V765" s="886"/>
      <c r="W765" s="886"/>
    </row>
    <row r="766" spans="3:23">
      <c r="C766" s="942"/>
      <c r="D766" s="942"/>
      <c r="E766" s="943"/>
      <c r="F766" s="886"/>
      <c r="G766" s="886"/>
      <c r="H766" s="886"/>
      <c r="I766" s="886"/>
      <c r="J766" s="886"/>
      <c r="K766" s="886"/>
      <c r="L766" s="886"/>
      <c r="M766" s="886"/>
      <c r="N766" s="886"/>
      <c r="O766" s="886"/>
      <c r="P766" s="886"/>
      <c r="Q766" s="886"/>
      <c r="R766" s="886"/>
      <c r="S766" s="886"/>
      <c r="T766" s="886"/>
      <c r="U766" s="886"/>
      <c r="V766" s="886"/>
      <c r="W766" s="886"/>
    </row>
    <row r="767" spans="3:23">
      <c r="C767" s="942"/>
      <c r="D767" s="942"/>
      <c r="E767" s="943"/>
      <c r="F767" s="886"/>
      <c r="G767" s="886"/>
      <c r="H767" s="886"/>
      <c r="I767" s="886"/>
      <c r="J767" s="886"/>
      <c r="K767" s="886"/>
      <c r="L767" s="886"/>
      <c r="M767" s="886"/>
      <c r="N767" s="886"/>
      <c r="O767" s="886"/>
      <c r="P767" s="886"/>
      <c r="Q767" s="886"/>
      <c r="R767" s="886"/>
      <c r="S767" s="886"/>
      <c r="T767" s="886"/>
      <c r="U767" s="886"/>
      <c r="V767" s="886"/>
      <c r="W767" s="886"/>
    </row>
    <row r="768" spans="3:23">
      <c r="C768" s="942"/>
      <c r="D768" s="942"/>
      <c r="E768" s="943"/>
      <c r="F768" s="886"/>
      <c r="G768" s="886"/>
      <c r="H768" s="886"/>
      <c r="I768" s="886"/>
      <c r="J768" s="886"/>
      <c r="K768" s="886"/>
      <c r="L768" s="886"/>
      <c r="M768" s="886"/>
      <c r="N768" s="886"/>
      <c r="O768" s="886"/>
      <c r="P768" s="886"/>
      <c r="Q768" s="886"/>
      <c r="R768" s="886"/>
      <c r="S768" s="886"/>
      <c r="T768" s="886"/>
      <c r="U768" s="886"/>
      <c r="V768" s="886"/>
      <c r="W768" s="886"/>
    </row>
    <row r="769" spans="3:23">
      <c r="C769" s="942"/>
      <c r="D769" s="942"/>
      <c r="E769" s="943"/>
      <c r="F769" s="886"/>
      <c r="G769" s="886"/>
      <c r="H769" s="886"/>
      <c r="I769" s="886"/>
      <c r="J769" s="886"/>
      <c r="K769" s="886"/>
      <c r="L769" s="886"/>
      <c r="M769" s="886"/>
      <c r="N769" s="886"/>
      <c r="O769" s="886"/>
      <c r="P769" s="886"/>
      <c r="Q769" s="886"/>
      <c r="R769" s="886"/>
      <c r="S769" s="886"/>
      <c r="T769" s="886"/>
      <c r="U769" s="886"/>
      <c r="V769" s="886"/>
      <c r="W769" s="886"/>
    </row>
    <row r="770" spans="3:23">
      <c r="C770" s="942"/>
      <c r="D770" s="942"/>
      <c r="E770" s="943"/>
      <c r="F770" s="886"/>
      <c r="G770" s="886"/>
      <c r="H770" s="886"/>
      <c r="I770" s="886"/>
      <c r="J770" s="886"/>
      <c r="K770" s="886"/>
      <c r="L770" s="886"/>
      <c r="M770" s="886"/>
      <c r="N770" s="886"/>
      <c r="O770" s="886"/>
      <c r="P770" s="886"/>
      <c r="Q770" s="886"/>
      <c r="R770" s="886"/>
      <c r="S770" s="886"/>
      <c r="T770" s="886"/>
      <c r="U770" s="886"/>
      <c r="V770" s="886"/>
      <c r="W770" s="886"/>
    </row>
    <row r="771" spans="3:23">
      <c r="C771" s="942"/>
      <c r="D771" s="942"/>
      <c r="E771" s="943"/>
      <c r="F771" s="886"/>
      <c r="G771" s="886"/>
      <c r="H771" s="886"/>
      <c r="I771" s="886"/>
      <c r="J771" s="886"/>
      <c r="K771" s="886"/>
      <c r="L771" s="886"/>
      <c r="M771" s="886"/>
      <c r="N771" s="886"/>
      <c r="O771" s="886"/>
      <c r="P771" s="886"/>
      <c r="Q771" s="886"/>
      <c r="R771" s="886"/>
      <c r="S771" s="886"/>
      <c r="T771" s="886"/>
      <c r="U771" s="886"/>
      <c r="V771" s="886"/>
      <c r="W771" s="886"/>
    </row>
    <row r="772" spans="3:23">
      <c r="C772" s="942"/>
      <c r="D772" s="942"/>
      <c r="E772" s="943"/>
      <c r="F772" s="886"/>
      <c r="G772" s="886"/>
      <c r="H772" s="886"/>
      <c r="I772" s="886"/>
      <c r="J772" s="886"/>
      <c r="K772" s="886"/>
      <c r="L772" s="886"/>
      <c r="M772" s="886"/>
      <c r="N772" s="886"/>
      <c r="O772" s="886"/>
      <c r="P772" s="886"/>
      <c r="Q772" s="886"/>
      <c r="R772" s="886"/>
      <c r="S772" s="886"/>
      <c r="T772" s="886"/>
      <c r="U772" s="886"/>
      <c r="V772" s="886"/>
      <c r="W772" s="886"/>
    </row>
    <row r="773" spans="3:23">
      <c r="C773" s="942"/>
      <c r="D773" s="942"/>
      <c r="E773" s="943"/>
      <c r="F773" s="886"/>
      <c r="G773" s="886"/>
      <c r="H773" s="886"/>
      <c r="I773" s="886"/>
      <c r="J773" s="886"/>
      <c r="K773" s="886"/>
      <c r="L773" s="886"/>
      <c r="M773" s="886"/>
      <c r="N773" s="886"/>
      <c r="O773" s="886"/>
      <c r="P773" s="886"/>
      <c r="Q773" s="886"/>
      <c r="R773" s="886"/>
      <c r="S773" s="886"/>
      <c r="T773" s="886"/>
      <c r="U773" s="886"/>
      <c r="V773" s="886"/>
      <c r="W773" s="886"/>
    </row>
    <row r="774" spans="3:23">
      <c r="C774" s="942"/>
      <c r="D774" s="942"/>
      <c r="E774" s="943"/>
      <c r="F774" s="886"/>
      <c r="G774" s="886"/>
      <c r="H774" s="886"/>
      <c r="I774" s="886"/>
      <c r="J774" s="886"/>
      <c r="K774" s="886"/>
      <c r="L774" s="886"/>
      <c r="M774" s="886"/>
      <c r="N774" s="886"/>
      <c r="O774" s="886"/>
      <c r="P774" s="886"/>
      <c r="Q774" s="886"/>
      <c r="R774" s="886"/>
      <c r="S774" s="886"/>
      <c r="T774" s="886"/>
      <c r="U774" s="886"/>
      <c r="V774" s="886"/>
      <c r="W774" s="886"/>
    </row>
    <row r="775" spans="3:23">
      <c r="C775" s="942"/>
      <c r="D775" s="942"/>
      <c r="E775" s="943"/>
      <c r="F775" s="886"/>
      <c r="G775" s="886"/>
      <c r="H775" s="886"/>
      <c r="I775" s="886"/>
      <c r="J775" s="886"/>
      <c r="K775" s="886"/>
      <c r="L775" s="886"/>
      <c r="M775" s="886"/>
      <c r="N775" s="886"/>
      <c r="O775" s="886"/>
      <c r="P775" s="886"/>
      <c r="Q775" s="886"/>
      <c r="R775" s="886"/>
      <c r="S775" s="886"/>
      <c r="T775" s="886"/>
      <c r="U775" s="886"/>
      <c r="V775" s="886"/>
      <c r="W775" s="886"/>
    </row>
    <row r="776" spans="3:23">
      <c r="C776" s="942"/>
      <c r="D776" s="942"/>
      <c r="E776" s="943"/>
      <c r="F776" s="886"/>
      <c r="G776" s="886"/>
      <c r="H776" s="886"/>
      <c r="I776" s="886"/>
      <c r="J776" s="886"/>
      <c r="K776" s="886"/>
      <c r="L776" s="886"/>
      <c r="M776" s="886"/>
      <c r="N776" s="886"/>
      <c r="O776" s="886"/>
      <c r="P776" s="886"/>
      <c r="Q776" s="886"/>
      <c r="R776" s="886"/>
      <c r="S776" s="886"/>
      <c r="T776" s="886"/>
      <c r="U776" s="886"/>
      <c r="V776" s="886"/>
      <c r="W776" s="886"/>
    </row>
    <row r="777" spans="3:23">
      <c r="C777" s="942"/>
      <c r="D777" s="942"/>
      <c r="E777" s="943"/>
      <c r="F777" s="886"/>
      <c r="G777" s="886"/>
      <c r="H777" s="886"/>
      <c r="I777" s="886"/>
      <c r="J777" s="886"/>
      <c r="K777" s="886"/>
      <c r="L777" s="886"/>
      <c r="M777" s="886"/>
      <c r="N777" s="886"/>
      <c r="O777" s="886"/>
      <c r="P777" s="886"/>
      <c r="Q777" s="886"/>
      <c r="R777" s="886"/>
      <c r="S777" s="886"/>
      <c r="T777" s="886"/>
      <c r="U777" s="886"/>
      <c r="V777" s="886"/>
      <c r="W777" s="886"/>
    </row>
    <row r="778" spans="3:23">
      <c r="C778" s="942"/>
      <c r="D778" s="942"/>
      <c r="E778" s="943"/>
      <c r="F778" s="886"/>
      <c r="G778" s="886"/>
      <c r="H778" s="886"/>
      <c r="I778" s="886"/>
      <c r="J778" s="886"/>
      <c r="K778" s="886"/>
      <c r="L778" s="886"/>
      <c r="M778" s="886"/>
      <c r="N778" s="886"/>
      <c r="O778" s="886"/>
      <c r="P778" s="886"/>
      <c r="Q778" s="886"/>
      <c r="R778" s="886"/>
      <c r="S778" s="886"/>
      <c r="T778" s="886"/>
      <c r="U778" s="886"/>
      <c r="V778" s="886"/>
      <c r="W778" s="886"/>
    </row>
    <row r="779" spans="3:23">
      <c r="C779" s="942"/>
      <c r="D779" s="942"/>
      <c r="E779" s="943"/>
      <c r="F779" s="886"/>
      <c r="G779" s="886"/>
      <c r="H779" s="886"/>
      <c r="I779" s="886"/>
      <c r="J779" s="886"/>
      <c r="K779" s="886"/>
      <c r="L779" s="886"/>
      <c r="M779" s="886"/>
      <c r="N779" s="886"/>
      <c r="O779" s="886"/>
      <c r="P779" s="886"/>
      <c r="Q779" s="886"/>
      <c r="R779" s="886"/>
      <c r="S779" s="886"/>
      <c r="T779" s="886"/>
      <c r="U779" s="886"/>
      <c r="V779" s="886"/>
      <c r="W779" s="886"/>
    </row>
    <row r="780" spans="3:23">
      <c r="C780" s="942"/>
      <c r="D780" s="942"/>
      <c r="E780" s="943"/>
      <c r="F780" s="886"/>
      <c r="G780" s="886"/>
      <c r="H780" s="886"/>
      <c r="I780" s="886"/>
      <c r="J780" s="886"/>
      <c r="K780" s="886"/>
      <c r="L780" s="886"/>
      <c r="M780" s="886"/>
      <c r="N780" s="886"/>
      <c r="O780" s="886"/>
      <c r="P780" s="886"/>
      <c r="Q780" s="886"/>
      <c r="R780" s="886"/>
      <c r="S780" s="886"/>
      <c r="T780" s="886"/>
      <c r="U780" s="886"/>
      <c r="V780" s="886"/>
      <c r="W780" s="886"/>
    </row>
    <row r="781" spans="3:23">
      <c r="C781" s="942"/>
      <c r="D781" s="942"/>
      <c r="E781" s="943"/>
      <c r="F781" s="886"/>
      <c r="G781" s="886"/>
      <c r="H781" s="886"/>
      <c r="I781" s="886"/>
      <c r="J781" s="886"/>
      <c r="K781" s="886"/>
      <c r="L781" s="886"/>
      <c r="M781" s="886"/>
      <c r="N781" s="886"/>
      <c r="O781" s="886"/>
      <c r="P781" s="886"/>
      <c r="Q781" s="886"/>
      <c r="R781" s="886"/>
      <c r="S781" s="886"/>
      <c r="T781" s="886"/>
      <c r="U781" s="886"/>
      <c r="V781" s="886"/>
      <c r="W781" s="886"/>
    </row>
    <row r="782" spans="3:23">
      <c r="C782" s="942"/>
      <c r="D782" s="942"/>
      <c r="E782" s="943"/>
      <c r="F782" s="886"/>
      <c r="G782" s="886"/>
      <c r="H782" s="886"/>
      <c r="I782" s="886"/>
      <c r="J782" s="886"/>
      <c r="K782" s="886"/>
      <c r="L782" s="886"/>
      <c r="M782" s="886"/>
      <c r="N782" s="886"/>
      <c r="O782" s="886"/>
      <c r="P782" s="886"/>
      <c r="Q782" s="886"/>
      <c r="R782" s="886"/>
      <c r="S782" s="886"/>
      <c r="T782" s="886"/>
      <c r="U782" s="886"/>
      <c r="V782" s="886"/>
      <c r="W782" s="886"/>
    </row>
    <row r="783" spans="3:23">
      <c r="C783" s="942"/>
      <c r="D783" s="942"/>
      <c r="E783" s="943"/>
      <c r="F783" s="886"/>
      <c r="G783" s="886"/>
      <c r="H783" s="886"/>
      <c r="I783" s="886"/>
      <c r="J783" s="886"/>
      <c r="K783" s="886"/>
      <c r="L783" s="886"/>
      <c r="M783" s="886"/>
      <c r="N783" s="886"/>
      <c r="O783" s="886"/>
      <c r="P783" s="886"/>
      <c r="Q783" s="886"/>
      <c r="R783" s="886"/>
      <c r="S783" s="886"/>
      <c r="T783" s="886"/>
      <c r="U783" s="886"/>
      <c r="V783" s="886"/>
      <c r="W783" s="886"/>
    </row>
    <row r="784" spans="3:23">
      <c r="C784" s="942"/>
      <c r="D784" s="942"/>
      <c r="E784" s="943"/>
      <c r="F784" s="886"/>
      <c r="G784" s="886"/>
      <c r="H784" s="886"/>
      <c r="I784" s="886"/>
      <c r="J784" s="886"/>
      <c r="K784" s="886"/>
      <c r="L784" s="886"/>
      <c r="M784" s="886"/>
      <c r="N784" s="886"/>
      <c r="O784" s="886"/>
      <c r="P784" s="886"/>
      <c r="Q784" s="886"/>
      <c r="R784" s="886"/>
      <c r="S784" s="886"/>
      <c r="T784" s="886"/>
      <c r="U784" s="886"/>
      <c r="V784" s="886"/>
      <c r="W784" s="886"/>
    </row>
    <row r="785" spans="3:23">
      <c r="C785" s="942"/>
      <c r="D785" s="942"/>
      <c r="E785" s="943"/>
      <c r="F785" s="886"/>
      <c r="G785" s="886"/>
      <c r="H785" s="886"/>
      <c r="I785" s="886"/>
      <c r="J785" s="886"/>
      <c r="K785" s="886"/>
      <c r="L785" s="886"/>
      <c r="M785" s="886"/>
      <c r="N785" s="886"/>
      <c r="O785" s="886"/>
      <c r="P785" s="886"/>
      <c r="Q785" s="886"/>
      <c r="R785" s="886"/>
      <c r="S785" s="886"/>
      <c r="T785" s="886"/>
      <c r="U785" s="886"/>
      <c r="V785" s="886"/>
      <c r="W785" s="886"/>
    </row>
    <row r="786" spans="3:23">
      <c r="C786" s="942"/>
      <c r="D786" s="942"/>
      <c r="E786" s="943"/>
      <c r="F786" s="886"/>
      <c r="G786" s="886"/>
      <c r="H786" s="886"/>
      <c r="I786" s="886"/>
      <c r="J786" s="886"/>
      <c r="K786" s="886"/>
      <c r="L786" s="886"/>
      <c r="M786" s="886"/>
      <c r="N786" s="886"/>
      <c r="O786" s="886"/>
      <c r="P786" s="886"/>
      <c r="Q786" s="886"/>
      <c r="R786" s="886"/>
      <c r="S786" s="886"/>
      <c r="T786" s="886"/>
      <c r="U786" s="886"/>
      <c r="V786" s="886"/>
      <c r="W786" s="886"/>
    </row>
    <row r="787" spans="3:23">
      <c r="C787" s="942"/>
      <c r="D787" s="942"/>
      <c r="E787" s="943"/>
      <c r="F787" s="886"/>
      <c r="G787" s="886"/>
      <c r="H787" s="886"/>
      <c r="I787" s="886"/>
      <c r="J787" s="886"/>
      <c r="K787" s="886"/>
      <c r="L787" s="886"/>
      <c r="M787" s="886"/>
      <c r="N787" s="886"/>
      <c r="O787" s="886"/>
      <c r="P787" s="886"/>
      <c r="Q787" s="886"/>
      <c r="R787" s="886"/>
      <c r="S787" s="886"/>
      <c r="T787" s="886"/>
      <c r="U787" s="886"/>
      <c r="V787" s="886"/>
      <c r="W787" s="886"/>
    </row>
    <row r="788" spans="3:23">
      <c r="C788" s="942"/>
      <c r="D788" s="942"/>
      <c r="E788" s="943"/>
      <c r="F788" s="886"/>
      <c r="G788" s="886"/>
      <c r="H788" s="886"/>
      <c r="I788" s="886"/>
      <c r="J788" s="886"/>
      <c r="K788" s="886"/>
      <c r="L788" s="886"/>
      <c r="M788" s="886"/>
      <c r="N788" s="886"/>
      <c r="O788" s="886"/>
      <c r="P788" s="886"/>
      <c r="Q788" s="886"/>
      <c r="R788" s="886"/>
      <c r="S788" s="886"/>
      <c r="T788" s="886"/>
      <c r="U788" s="886"/>
      <c r="V788" s="886"/>
      <c r="W788" s="886"/>
    </row>
    <row r="789" spans="3:23">
      <c r="C789" s="942"/>
      <c r="D789" s="942"/>
      <c r="E789" s="943"/>
      <c r="F789" s="886"/>
      <c r="G789" s="886"/>
      <c r="H789" s="886"/>
      <c r="I789" s="886"/>
      <c r="J789" s="886"/>
      <c r="K789" s="886"/>
      <c r="L789" s="886"/>
      <c r="M789" s="886"/>
      <c r="N789" s="886"/>
      <c r="O789" s="886"/>
      <c r="P789" s="886"/>
      <c r="Q789" s="886"/>
      <c r="R789" s="886"/>
      <c r="S789" s="886"/>
      <c r="T789" s="886"/>
      <c r="U789" s="886"/>
      <c r="V789" s="886"/>
      <c r="W789" s="886"/>
    </row>
    <row r="790" spans="3:23">
      <c r="C790" s="942"/>
      <c r="D790" s="942"/>
      <c r="E790" s="943"/>
      <c r="F790" s="886"/>
      <c r="G790" s="886"/>
      <c r="H790" s="886"/>
      <c r="I790" s="886"/>
      <c r="J790" s="886"/>
      <c r="K790" s="886"/>
      <c r="L790" s="886"/>
      <c r="M790" s="886"/>
      <c r="N790" s="886"/>
      <c r="O790" s="886"/>
      <c r="P790" s="886"/>
      <c r="Q790" s="886"/>
      <c r="R790" s="886"/>
      <c r="S790" s="886"/>
      <c r="T790" s="886"/>
      <c r="U790" s="886"/>
      <c r="V790" s="886"/>
      <c r="W790" s="886"/>
    </row>
    <row r="791" spans="3:23">
      <c r="C791" s="942"/>
      <c r="D791" s="942"/>
      <c r="E791" s="943"/>
      <c r="F791" s="886"/>
      <c r="G791" s="886"/>
      <c r="H791" s="886"/>
      <c r="I791" s="886"/>
      <c r="J791" s="886"/>
      <c r="K791" s="886"/>
      <c r="L791" s="886"/>
      <c r="M791" s="886"/>
      <c r="N791" s="886"/>
      <c r="O791" s="886"/>
      <c r="P791" s="886"/>
      <c r="Q791" s="886"/>
      <c r="R791" s="886"/>
      <c r="S791" s="886"/>
      <c r="T791" s="886"/>
      <c r="U791" s="886"/>
      <c r="V791" s="886"/>
      <c r="W791" s="886"/>
    </row>
    <row r="792" spans="3:23">
      <c r="C792" s="942"/>
      <c r="D792" s="942"/>
      <c r="E792" s="943"/>
      <c r="F792" s="886"/>
      <c r="G792" s="886"/>
      <c r="H792" s="886"/>
      <c r="I792" s="886"/>
      <c r="J792" s="886"/>
      <c r="K792" s="886"/>
      <c r="L792" s="886"/>
      <c r="M792" s="886"/>
      <c r="N792" s="886"/>
      <c r="O792" s="886"/>
      <c r="P792" s="886"/>
      <c r="Q792" s="886"/>
      <c r="R792" s="886"/>
      <c r="S792" s="886"/>
      <c r="T792" s="886"/>
      <c r="U792" s="886"/>
      <c r="V792" s="886"/>
      <c r="W792" s="886"/>
    </row>
    <row r="793" spans="3:23">
      <c r="C793" s="942"/>
      <c r="D793" s="942"/>
      <c r="E793" s="943"/>
      <c r="F793" s="886"/>
      <c r="G793" s="886"/>
      <c r="H793" s="886"/>
      <c r="I793" s="886"/>
      <c r="J793" s="886"/>
      <c r="K793" s="886"/>
      <c r="L793" s="886"/>
      <c r="M793" s="886"/>
      <c r="N793" s="886"/>
      <c r="O793" s="886"/>
      <c r="P793" s="886"/>
      <c r="Q793" s="886"/>
      <c r="R793" s="886"/>
      <c r="S793" s="886"/>
      <c r="T793" s="886"/>
      <c r="U793" s="886"/>
      <c r="V793" s="886"/>
      <c r="W793" s="886"/>
    </row>
    <row r="794" spans="3:23">
      <c r="C794" s="942"/>
      <c r="D794" s="942"/>
      <c r="E794" s="943"/>
      <c r="F794" s="886"/>
      <c r="G794" s="886"/>
      <c r="H794" s="886"/>
      <c r="I794" s="886"/>
      <c r="J794" s="886"/>
      <c r="K794" s="886"/>
      <c r="L794" s="886"/>
      <c r="M794" s="886"/>
      <c r="N794" s="886"/>
      <c r="O794" s="886"/>
      <c r="P794" s="886"/>
      <c r="Q794" s="886"/>
      <c r="R794" s="886"/>
      <c r="S794" s="886"/>
      <c r="T794" s="886"/>
      <c r="U794" s="886"/>
      <c r="V794" s="886"/>
      <c r="W794" s="886"/>
    </row>
    <row r="795" spans="3:23">
      <c r="C795" s="942"/>
      <c r="D795" s="942"/>
      <c r="E795" s="943"/>
      <c r="F795" s="886"/>
      <c r="G795" s="886"/>
      <c r="H795" s="886"/>
      <c r="I795" s="886"/>
      <c r="J795" s="886"/>
      <c r="K795" s="886"/>
      <c r="L795" s="886"/>
      <c r="M795" s="886"/>
      <c r="N795" s="886"/>
      <c r="O795" s="886"/>
      <c r="P795" s="886"/>
      <c r="Q795" s="886"/>
      <c r="R795" s="886"/>
      <c r="S795" s="886"/>
      <c r="T795" s="886"/>
      <c r="U795" s="886"/>
      <c r="V795" s="886"/>
      <c r="W795" s="886"/>
    </row>
    <row r="796" spans="3:23">
      <c r="C796" s="942"/>
      <c r="D796" s="942"/>
      <c r="E796" s="943"/>
      <c r="F796" s="886"/>
      <c r="G796" s="886"/>
      <c r="H796" s="886"/>
      <c r="I796" s="886"/>
      <c r="J796" s="886"/>
      <c r="K796" s="886"/>
      <c r="L796" s="886"/>
      <c r="M796" s="886"/>
      <c r="N796" s="886"/>
      <c r="O796" s="886"/>
      <c r="P796" s="886"/>
      <c r="Q796" s="886"/>
      <c r="R796" s="886"/>
      <c r="S796" s="886"/>
      <c r="T796" s="886"/>
      <c r="U796" s="886"/>
      <c r="V796" s="886"/>
      <c r="W796" s="886"/>
    </row>
    <row r="797" spans="3:23">
      <c r="C797" s="942"/>
      <c r="D797" s="942"/>
      <c r="E797" s="943"/>
      <c r="F797" s="886"/>
      <c r="G797" s="886"/>
      <c r="H797" s="886"/>
      <c r="I797" s="886"/>
      <c r="J797" s="886"/>
      <c r="K797" s="886"/>
      <c r="L797" s="886"/>
      <c r="M797" s="886"/>
      <c r="N797" s="886"/>
      <c r="O797" s="886"/>
      <c r="P797" s="886"/>
      <c r="Q797" s="886"/>
      <c r="R797" s="886"/>
      <c r="S797" s="886"/>
      <c r="T797" s="886"/>
      <c r="U797" s="886"/>
      <c r="V797" s="886"/>
      <c r="W797" s="886"/>
    </row>
    <row r="798" spans="3:23">
      <c r="C798" s="942"/>
      <c r="D798" s="942"/>
      <c r="E798" s="943"/>
      <c r="F798" s="886"/>
      <c r="G798" s="886"/>
      <c r="H798" s="886"/>
      <c r="I798" s="886"/>
      <c r="J798" s="886"/>
      <c r="K798" s="886"/>
      <c r="L798" s="886"/>
      <c r="M798" s="886"/>
      <c r="N798" s="886"/>
      <c r="O798" s="886"/>
      <c r="P798" s="886"/>
      <c r="Q798" s="886"/>
      <c r="R798" s="886"/>
      <c r="S798" s="886"/>
      <c r="T798" s="886"/>
      <c r="U798" s="886"/>
      <c r="V798" s="886"/>
      <c r="W798" s="886"/>
    </row>
    <row r="799" spans="3:23">
      <c r="C799" s="942"/>
      <c r="D799" s="942"/>
      <c r="E799" s="943"/>
      <c r="F799" s="886"/>
      <c r="G799" s="886"/>
      <c r="H799" s="886"/>
      <c r="I799" s="886"/>
      <c r="J799" s="886"/>
      <c r="K799" s="886"/>
      <c r="L799" s="886"/>
      <c r="M799" s="886"/>
      <c r="N799" s="886"/>
      <c r="O799" s="886"/>
      <c r="P799" s="886"/>
      <c r="Q799" s="886"/>
      <c r="R799" s="886"/>
      <c r="S799" s="886"/>
      <c r="T799" s="886"/>
      <c r="U799" s="886"/>
      <c r="V799" s="886"/>
      <c r="W799" s="886"/>
    </row>
    <row r="800" spans="3:23">
      <c r="C800" s="942"/>
      <c r="D800" s="942"/>
      <c r="E800" s="943"/>
      <c r="F800" s="886"/>
      <c r="G800" s="886"/>
      <c r="H800" s="886"/>
      <c r="I800" s="886"/>
      <c r="J800" s="886"/>
      <c r="K800" s="886"/>
      <c r="L800" s="886"/>
      <c r="M800" s="886"/>
      <c r="N800" s="886"/>
      <c r="O800" s="886"/>
      <c r="P800" s="886"/>
      <c r="Q800" s="886"/>
      <c r="R800" s="886"/>
      <c r="S800" s="886"/>
      <c r="T800" s="886"/>
      <c r="U800" s="886"/>
      <c r="V800" s="886"/>
      <c r="W800" s="886"/>
    </row>
    <row r="801" spans="3:23">
      <c r="C801" s="942"/>
      <c r="D801" s="942"/>
      <c r="E801" s="943"/>
      <c r="F801" s="886"/>
      <c r="G801" s="886"/>
      <c r="H801" s="886"/>
      <c r="I801" s="886"/>
      <c r="J801" s="886"/>
      <c r="K801" s="886"/>
      <c r="L801" s="886"/>
      <c r="M801" s="886"/>
      <c r="N801" s="886"/>
      <c r="O801" s="886"/>
      <c r="P801" s="886"/>
      <c r="Q801" s="886"/>
      <c r="R801" s="886"/>
      <c r="S801" s="886"/>
      <c r="T801" s="886"/>
      <c r="U801" s="886"/>
      <c r="V801" s="886"/>
      <c r="W801" s="886"/>
    </row>
    <row r="802" spans="3:23">
      <c r="C802" s="942"/>
      <c r="D802" s="942"/>
      <c r="E802" s="943"/>
      <c r="F802" s="886"/>
      <c r="G802" s="886"/>
      <c r="H802" s="886"/>
      <c r="I802" s="886"/>
      <c r="J802" s="886"/>
      <c r="K802" s="886"/>
      <c r="L802" s="886"/>
      <c r="M802" s="886"/>
      <c r="N802" s="886"/>
      <c r="O802" s="886"/>
      <c r="P802" s="886"/>
      <c r="Q802" s="886"/>
      <c r="R802" s="886"/>
      <c r="S802" s="886"/>
      <c r="T802" s="886"/>
      <c r="U802" s="886"/>
      <c r="V802" s="886"/>
      <c r="W802" s="886"/>
    </row>
    <row r="803" spans="3:23">
      <c r="C803" s="942"/>
      <c r="D803" s="942"/>
      <c r="E803" s="943"/>
      <c r="F803" s="886"/>
      <c r="G803" s="886"/>
      <c r="H803" s="886"/>
      <c r="I803" s="886"/>
      <c r="J803" s="886"/>
      <c r="K803" s="886"/>
      <c r="L803" s="886"/>
      <c r="M803" s="886"/>
      <c r="N803" s="886"/>
      <c r="O803" s="886"/>
      <c r="P803" s="886"/>
      <c r="Q803" s="886"/>
      <c r="R803" s="886"/>
      <c r="S803" s="886"/>
      <c r="T803" s="886"/>
      <c r="U803" s="886"/>
      <c r="V803" s="886"/>
      <c r="W803" s="886"/>
    </row>
    <row r="804" spans="3:23">
      <c r="C804" s="942"/>
      <c r="D804" s="942"/>
      <c r="E804" s="943"/>
      <c r="F804" s="886"/>
      <c r="G804" s="886"/>
      <c r="H804" s="886"/>
      <c r="I804" s="886"/>
      <c r="J804" s="886"/>
      <c r="K804" s="886"/>
      <c r="L804" s="886"/>
      <c r="M804" s="886"/>
      <c r="N804" s="886"/>
      <c r="O804" s="886"/>
      <c r="P804" s="886"/>
      <c r="Q804" s="886"/>
      <c r="R804" s="886"/>
      <c r="S804" s="886"/>
      <c r="T804" s="886"/>
      <c r="U804" s="886"/>
      <c r="V804" s="886"/>
      <c r="W804" s="886"/>
    </row>
    <row r="805" spans="3:23">
      <c r="C805" s="942"/>
      <c r="D805" s="942"/>
      <c r="E805" s="943"/>
      <c r="F805" s="886"/>
      <c r="G805" s="886"/>
      <c r="H805" s="886"/>
      <c r="I805" s="886"/>
      <c r="J805" s="886"/>
      <c r="K805" s="886"/>
      <c r="L805" s="886"/>
      <c r="M805" s="886"/>
      <c r="N805" s="886"/>
      <c r="O805" s="886"/>
      <c r="P805" s="886"/>
      <c r="Q805" s="886"/>
      <c r="R805" s="886"/>
      <c r="S805" s="886"/>
      <c r="T805" s="886"/>
      <c r="U805" s="886"/>
      <c r="V805" s="886"/>
      <c r="W805" s="886"/>
    </row>
    <row r="806" spans="3:23">
      <c r="C806" s="942"/>
      <c r="D806" s="942"/>
      <c r="E806" s="943"/>
      <c r="F806" s="886"/>
      <c r="G806" s="886"/>
      <c r="H806" s="886"/>
      <c r="I806" s="886"/>
      <c r="J806" s="886"/>
      <c r="K806" s="886"/>
      <c r="L806" s="886"/>
      <c r="M806" s="886"/>
      <c r="N806" s="886"/>
      <c r="O806" s="886"/>
      <c r="P806" s="886"/>
      <c r="Q806" s="886"/>
      <c r="R806" s="886"/>
      <c r="S806" s="886"/>
      <c r="T806" s="886"/>
      <c r="U806" s="886"/>
      <c r="V806" s="886"/>
      <c r="W806" s="886"/>
    </row>
    <row r="807" spans="3:23">
      <c r="C807" s="942"/>
      <c r="D807" s="942"/>
      <c r="E807" s="943"/>
      <c r="F807" s="886"/>
      <c r="G807" s="886"/>
      <c r="H807" s="886"/>
      <c r="I807" s="886"/>
      <c r="J807" s="886"/>
      <c r="K807" s="886"/>
      <c r="L807" s="886"/>
      <c r="M807" s="886"/>
      <c r="N807" s="886"/>
      <c r="O807" s="886"/>
      <c r="P807" s="886"/>
      <c r="Q807" s="886"/>
      <c r="R807" s="886"/>
      <c r="S807" s="886"/>
      <c r="T807" s="886"/>
      <c r="U807" s="886"/>
      <c r="V807" s="886"/>
      <c r="W807" s="886"/>
    </row>
    <row r="808" spans="3:23">
      <c r="C808" s="942"/>
      <c r="D808" s="942"/>
      <c r="E808" s="943"/>
      <c r="F808" s="886"/>
      <c r="G808" s="886"/>
      <c r="H808" s="886"/>
      <c r="I808" s="886"/>
      <c r="J808" s="886"/>
      <c r="K808" s="886"/>
      <c r="L808" s="886"/>
      <c r="M808" s="886"/>
      <c r="N808" s="886"/>
      <c r="O808" s="886"/>
      <c r="P808" s="886"/>
      <c r="Q808" s="886"/>
      <c r="R808" s="886"/>
      <c r="S808" s="886"/>
      <c r="T808" s="886"/>
      <c r="U808" s="886"/>
      <c r="V808" s="886"/>
      <c r="W808" s="886"/>
    </row>
    <row r="809" spans="3:23">
      <c r="C809" s="942"/>
      <c r="D809" s="942"/>
      <c r="E809" s="943"/>
      <c r="F809" s="886"/>
      <c r="G809" s="886"/>
      <c r="H809" s="886"/>
      <c r="I809" s="886"/>
      <c r="J809" s="886"/>
      <c r="K809" s="886"/>
      <c r="L809" s="886"/>
      <c r="M809" s="886"/>
      <c r="N809" s="886"/>
      <c r="O809" s="886"/>
      <c r="P809" s="886"/>
      <c r="Q809" s="886"/>
      <c r="R809" s="886"/>
      <c r="S809" s="886"/>
      <c r="T809" s="886"/>
      <c r="U809" s="886"/>
      <c r="V809" s="886"/>
      <c r="W809" s="886"/>
    </row>
    <row r="810" spans="3:23">
      <c r="C810" s="942"/>
      <c r="D810" s="942"/>
      <c r="E810" s="943"/>
      <c r="F810" s="886"/>
      <c r="G810" s="886"/>
      <c r="H810" s="886"/>
      <c r="I810" s="886"/>
      <c r="J810" s="886"/>
      <c r="K810" s="886"/>
      <c r="L810" s="886"/>
      <c r="M810" s="886"/>
      <c r="N810" s="886"/>
      <c r="O810" s="886"/>
      <c r="P810" s="886"/>
      <c r="Q810" s="886"/>
      <c r="R810" s="886"/>
      <c r="S810" s="886"/>
      <c r="T810" s="886"/>
      <c r="U810" s="886"/>
      <c r="V810" s="886"/>
      <c r="W810" s="886"/>
    </row>
    <row r="811" spans="3:23">
      <c r="C811" s="942"/>
      <c r="D811" s="942"/>
      <c r="E811" s="943"/>
      <c r="F811" s="886"/>
      <c r="G811" s="886"/>
      <c r="H811" s="886"/>
      <c r="I811" s="886"/>
      <c r="J811" s="886"/>
      <c r="K811" s="886"/>
      <c r="L811" s="886"/>
      <c r="M811" s="886"/>
      <c r="N811" s="886"/>
      <c r="O811" s="886"/>
      <c r="P811" s="886"/>
      <c r="Q811" s="886"/>
      <c r="R811" s="886"/>
      <c r="S811" s="886"/>
      <c r="T811" s="886"/>
      <c r="U811" s="886"/>
      <c r="V811" s="886"/>
      <c r="W811" s="886"/>
    </row>
    <row r="812" spans="3:23">
      <c r="C812" s="942"/>
      <c r="D812" s="942"/>
      <c r="E812" s="943"/>
      <c r="F812" s="886"/>
      <c r="G812" s="886"/>
      <c r="H812" s="886"/>
      <c r="I812" s="886"/>
      <c r="J812" s="886"/>
      <c r="K812" s="886"/>
      <c r="L812" s="886"/>
      <c r="M812" s="886"/>
      <c r="N812" s="886"/>
      <c r="O812" s="886"/>
      <c r="P812" s="886"/>
      <c r="Q812" s="886"/>
      <c r="R812" s="886"/>
      <c r="S812" s="886"/>
      <c r="T812" s="886"/>
      <c r="U812" s="886"/>
      <c r="V812" s="886"/>
      <c r="W812" s="886"/>
    </row>
    <row r="813" spans="3:23">
      <c r="C813" s="942"/>
      <c r="D813" s="942"/>
      <c r="E813" s="943"/>
      <c r="F813" s="886"/>
      <c r="G813" s="886"/>
      <c r="H813" s="886"/>
      <c r="I813" s="886"/>
      <c r="J813" s="886"/>
      <c r="K813" s="886"/>
      <c r="L813" s="886"/>
      <c r="M813" s="886"/>
      <c r="N813" s="886"/>
      <c r="O813" s="886"/>
      <c r="P813" s="886"/>
      <c r="Q813" s="886"/>
      <c r="R813" s="886"/>
      <c r="S813" s="886"/>
      <c r="T813" s="886"/>
      <c r="U813" s="886"/>
      <c r="V813" s="886"/>
      <c r="W813" s="886"/>
    </row>
    <row r="814" spans="3:23">
      <c r="C814" s="942"/>
      <c r="D814" s="942"/>
      <c r="E814" s="943"/>
      <c r="F814" s="886"/>
      <c r="G814" s="886"/>
      <c r="H814" s="886"/>
      <c r="I814" s="886"/>
      <c r="J814" s="886"/>
      <c r="K814" s="886"/>
      <c r="L814" s="886"/>
      <c r="M814" s="886"/>
      <c r="N814" s="886"/>
      <c r="O814" s="886"/>
      <c r="P814" s="886"/>
      <c r="Q814" s="886"/>
      <c r="R814" s="886"/>
      <c r="S814" s="886"/>
      <c r="T814" s="886"/>
      <c r="U814" s="886"/>
      <c r="V814" s="886"/>
      <c r="W814" s="886"/>
    </row>
    <row r="815" spans="3:23">
      <c r="C815" s="942"/>
      <c r="D815" s="942"/>
      <c r="E815" s="943"/>
      <c r="F815" s="886"/>
      <c r="G815" s="886"/>
      <c r="H815" s="886"/>
      <c r="I815" s="886"/>
      <c r="J815" s="886"/>
      <c r="K815" s="886"/>
      <c r="L815" s="886"/>
      <c r="M815" s="886"/>
      <c r="N815" s="886"/>
      <c r="O815" s="886"/>
      <c r="P815" s="886"/>
      <c r="Q815" s="886"/>
      <c r="R815" s="886"/>
      <c r="S815" s="886"/>
      <c r="T815" s="886"/>
      <c r="U815" s="886"/>
      <c r="V815" s="886"/>
      <c r="W815" s="886"/>
    </row>
    <row r="816" spans="3:23">
      <c r="C816" s="942"/>
      <c r="D816" s="942"/>
      <c r="E816" s="943"/>
      <c r="F816" s="886"/>
      <c r="G816" s="886"/>
      <c r="H816" s="886"/>
      <c r="I816" s="886"/>
      <c r="J816" s="886"/>
      <c r="K816" s="886"/>
      <c r="L816" s="886"/>
      <c r="M816" s="886"/>
      <c r="N816" s="886"/>
      <c r="O816" s="886"/>
      <c r="P816" s="886"/>
      <c r="Q816" s="886"/>
      <c r="R816" s="886"/>
      <c r="S816" s="886"/>
      <c r="T816" s="886"/>
      <c r="U816" s="886"/>
      <c r="V816" s="886"/>
      <c r="W816" s="886"/>
    </row>
    <row r="817" spans="3:23">
      <c r="C817" s="942"/>
      <c r="D817" s="942"/>
      <c r="E817" s="943"/>
      <c r="F817" s="886"/>
      <c r="G817" s="886"/>
      <c r="H817" s="886"/>
      <c r="I817" s="886"/>
      <c r="J817" s="886"/>
      <c r="K817" s="886"/>
      <c r="L817" s="886"/>
      <c r="M817" s="886"/>
      <c r="N817" s="886"/>
      <c r="O817" s="886"/>
      <c r="P817" s="886"/>
      <c r="Q817" s="886"/>
      <c r="R817" s="886"/>
      <c r="S817" s="886"/>
      <c r="T817" s="886"/>
      <c r="U817" s="886"/>
      <c r="V817" s="886"/>
      <c r="W817" s="886"/>
    </row>
    <row r="818" spans="3:23">
      <c r="C818" s="942"/>
      <c r="D818" s="942"/>
      <c r="E818" s="943"/>
      <c r="F818" s="886"/>
      <c r="G818" s="886"/>
      <c r="H818" s="886"/>
      <c r="I818" s="886"/>
      <c r="J818" s="886"/>
      <c r="K818" s="886"/>
      <c r="L818" s="886"/>
      <c r="M818" s="886"/>
      <c r="N818" s="886"/>
      <c r="O818" s="886"/>
      <c r="P818" s="886"/>
      <c r="Q818" s="886"/>
      <c r="R818" s="886"/>
      <c r="S818" s="886"/>
      <c r="T818" s="886"/>
      <c r="U818" s="886"/>
      <c r="V818" s="886"/>
      <c r="W818" s="886"/>
    </row>
    <row r="819" spans="3:23">
      <c r="C819" s="942"/>
      <c r="D819" s="942"/>
      <c r="E819" s="943"/>
      <c r="F819" s="886"/>
      <c r="G819" s="886"/>
      <c r="H819" s="886"/>
      <c r="I819" s="886"/>
      <c r="J819" s="886"/>
      <c r="K819" s="886"/>
      <c r="L819" s="886"/>
      <c r="M819" s="886"/>
      <c r="N819" s="886"/>
      <c r="O819" s="886"/>
      <c r="P819" s="886"/>
      <c r="Q819" s="886"/>
      <c r="R819" s="886"/>
      <c r="S819" s="886"/>
      <c r="T819" s="886"/>
      <c r="U819" s="886"/>
      <c r="V819" s="886"/>
      <c r="W819" s="886"/>
    </row>
    <row r="820" spans="3:23">
      <c r="C820" s="942"/>
      <c r="D820" s="942"/>
      <c r="E820" s="943"/>
      <c r="F820" s="886"/>
      <c r="G820" s="886"/>
      <c r="H820" s="886"/>
      <c r="I820" s="886"/>
      <c r="J820" s="886"/>
      <c r="K820" s="886"/>
      <c r="L820" s="886"/>
      <c r="M820" s="886"/>
      <c r="N820" s="886"/>
      <c r="O820" s="886"/>
      <c r="P820" s="886"/>
      <c r="Q820" s="886"/>
      <c r="R820" s="886"/>
      <c r="S820" s="886"/>
      <c r="T820" s="886"/>
      <c r="U820" s="886"/>
      <c r="V820" s="886"/>
      <c r="W820" s="886"/>
    </row>
    <row r="821" spans="3:23">
      <c r="C821" s="942"/>
      <c r="D821" s="942"/>
      <c r="E821" s="943"/>
      <c r="F821" s="886"/>
      <c r="G821" s="886"/>
      <c r="H821" s="886"/>
      <c r="I821" s="886"/>
      <c r="J821" s="886"/>
      <c r="K821" s="886"/>
      <c r="L821" s="886"/>
      <c r="M821" s="886"/>
      <c r="N821" s="886"/>
      <c r="O821" s="886"/>
      <c r="P821" s="886"/>
      <c r="Q821" s="886"/>
      <c r="R821" s="886"/>
      <c r="S821" s="886"/>
      <c r="T821" s="886"/>
      <c r="U821" s="886"/>
      <c r="V821" s="886"/>
      <c r="W821" s="886"/>
    </row>
    <row r="822" spans="3:23">
      <c r="C822" s="942"/>
      <c r="D822" s="942"/>
      <c r="E822" s="943"/>
      <c r="F822" s="886"/>
      <c r="G822" s="886"/>
      <c r="H822" s="886"/>
      <c r="I822" s="886"/>
      <c r="J822" s="886"/>
      <c r="K822" s="886"/>
      <c r="L822" s="886"/>
      <c r="M822" s="886"/>
      <c r="N822" s="886"/>
      <c r="O822" s="886"/>
      <c r="P822" s="886"/>
      <c r="Q822" s="886"/>
      <c r="R822" s="886"/>
      <c r="S822" s="886"/>
      <c r="T822" s="886"/>
      <c r="U822" s="886"/>
      <c r="V822" s="886"/>
      <c r="W822" s="886"/>
    </row>
    <row r="823" spans="3:23">
      <c r="C823" s="942"/>
      <c r="D823" s="942"/>
      <c r="E823" s="943"/>
      <c r="F823" s="886"/>
      <c r="G823" s="886"/>
      <c r="H823" s="886"/>
      <c r="I823" s="886"/>
      <c r="J823" s="886"/>
      <c r="K823" s="886"/>
      <c r="L823" s="886"/>
      <c r="M823" s="886"/>
      <c r="N823" s="886"/>
      <c r="O823" s="886"/>
      <c r="P823" s="886"/>
      <c r="Q823" s="886"/>
      <c r="R823" s="886"/>
      <c r="S823" s="886"/>
      <c r="T823" s="886"/>
      <c r="U823" s="886"/>
      <c r="V823" s="886"/>
      <c r="W823" s="886"/>
    </row>
    <row r="824" spans="3:23">
      <c r="C824" s="942"/>
      <c r="D824" s="942"/>
      <c r="E824" s="943"/>
      <c r="F824" s="886"/>
      <c r="G824" s="886"/>
      <c r="H824" s="886"/>
      <c r="I824" s="886"/>
      <c r="J824" s="886"/>
      <c r="K824" s="886"/>
      <c r="L824" s="886"/>
      <c r="M824" s="886"/>
      <c r="N824" s="886"/>
      <c r="O824" s="886"/>
      <c r="P824" s="886"/>
      <c r="Q824" s="886"/>
      <c r="R824" s="886"/>
      <c r="S824" s="886"/>
      <c r="T824" s="886"/>
      <c r="U824" s="886"/>
      <c r="V824" s="886"/>
      <c r="W824" s="886"/>
    </row>
    <row r="825" spans="3:23">
      <c r="C825" s="942"/>
      <c r="D825" s="942"/>
      <c r="E825" s="943"/>
      <c r="F825" s="886"/>
      <c r="G825" s="886"/>
      <c r="H825" s="886"/>
      <c r="I825" s="886"/>
      <c r="J825" s="886"/>
      <c r="K825" s="886"/>
      <c r="L825" s="886"/>
      <c r="M825" s="886"/>
      <c r="N825" s="886"/>
      <c r="O825" s="886"/>
      <c r="P825" s="886"/>
      <c r="Q825" s="886"/>
      <c r="R825" s="886"/>
      <c r="S825" s="886"/>
      <c r="T825" s="886"/>
      <c r="U825" s="886"/>
      <c r="V825" s="886"/>
      <c r="W825" s="886"/>
    </row>
    <row r="826" spans="3:23">
      <c r="C826" s="942"/>
      <c r="D826" s="942"/>
      <c r="E826" s="943"/>
      <c r="F826" s="886"/>
      <c r="G826" s="886"/>
      <c r="H826" s="886"/>
      <c r="I826" s="886"/>
      <c r="J826" s="886"/>
      <c r="K826" s="886"/>
      <c r="L826" s="886"/>
      <c r="M826" s="886"/>
      <c r="N826" s="886"/>
      <c r="O826" s="886"/>
      <c r="P826" s="886"/>
      <c r="Q826" s="886"/>
      <c r="R826" s="886"/>
      <c r="S826" s="886"/>
      <c r="T826" s="886"/>
      <c r="U826" s="886"/>
      <c r="V826" s="886"/>
      <c r="W826" s="886"/>
    </row>
    <row r="827" spans="3:23">
      <c r="C827" s="942"/>
      <c r="D827" s="942"/>
      <c r="E827" s="943"/>
      <c r="F827" s="886"/>
      <c r="G827" s="886"/>
      <c r="H827" s="886"/>
      <c r="I827" s="886"/>
      <c r="J827" s="886"/>
      <c r="K827" s="886"/>
      <c r="L827" s="886"/>
      <c r="M827" s="886"/>
      <c r="N827" s="886"/>
      <c r="O827" s="886"/>
      <c r="P827" s="886"/>
      <c r="Q827" s="886"/>
      <c r="R827" s="886"/>
      <c r="S827" s="886"/>
      <c r="T827" s="886"/>
      <c r="U827" s="886"/>
      <c r="V827" s="886"/>
      <c r="W827" s="886"/>
    </row>
    <row r="828" spans="3:23">
      <c r="C828" s="942"/>
      <c r="D828" s="942"/>
      <c r="E828" s="943"/>
      <c r="F828" s="886"/>
      <c r="G828" s="886"/>
      <c r="H828" s="886"/>
      <c r="I828" s="886"/>
      <c r="J828" s="886"/>
      <c r="K828" s="886"/>
      <c r="L828" s="886"/>
      <c r="M828" s="886"/>
      <c r="N828" s="886"/>
      <c r="O828" s="886"/>
      <c r="P828" s="886"/>
      <c r="Q828" s="886"/>
      <c r="R828" s="886"/>
      <c r="S828" s="886"/>
      <c r="T828" s="886"/>
      <c r="U828" s="886"/>
      <c r="V828" s="886"/>
      <c r="W828" s="886"/>
    </row>
    <row r="829" spans="3:23">
      <c r="C829" s="942"/>
      <c r="D829" s="942"/>
      <c r="E829" s="943"/>
      <c r="F829" s="886"/>
      <c r="G829" s="886"/>
      <c r="H829" s="886"/>
      <c r="I829" s="886"/>
      <c r="J829" s="886"/>
      <c r="K829" s="886"/>
      <c r="L829" s="886"/>
      <c r="M829" s="886"/>
      <c r="N829" s="886"/>
      <c r="O829" s="886"/>
      <c r="P829" s="886"/>
      <c r="Q829" s="886"/>
      <c r="R829" s="886"/>
      <c r="S829" s="886"/>
      <c r="T829" s="886"/>
      <c r="U829" s="886"/>
      <c r="V829" s="886"/>
      <c r="W829" s="886"/>
    </row>
    <row r="830" spans="3:23">
      <c r="C830" s="942"/>
      <c r="D830" s="942"/>
      <c r="E830" s="943"/>
      <c r="F830" s="886"/>
      <c r="G830" s="886"/>
      <c r="H830" s="886"/>
      <c r="I830" s="886"/>
      <c r="J830" s="886"/>
      <c r="K830" s="886"/>
      <c r="L830" s="886"/>
      <c r="M830" s="886"/>
      <c r="N830" s="886"/>
      <c r="O830" s="886"/>
      <c r="P830" s="886"/>
      <c r="Q830" s="886"/>
      <c r="R830" s="886"/>
      <c r="S830" s="886"/>
      <c r="T830" s="886"/>
      <c r="U830" s="886"/>
      <c r="V830" s="886"/>
      <c r="W830" s="886"/>
    </row>
    <row r="831" spans="3:23">
      <c r="C831" s="942"/>
      <c r="D831" s="942"/>
      <c r="E831" s="943"/>
      <c r="F831" s="886"/>
      <c r="G831" s="886"/>
      <c r="H831" s="886"/>
      <c r="I831" s="886"/>
      <c r="J831" s="886"/>
      <c r="K831" s="886"/>
      <c r="L831" s="886"/>
      <c r="M831" s="886"/>
      <c r="N831" s="886"/>
      <c r="O831" s="886"/>
      <c r="P831" s="886"/>
      <c r="Q831" s="886"/>
      <c r="R831" s="886"/>
      <c r="S831" s="886"/>
      <c r="T831" s="886"/>
      <c r="U831" s="886"/>
      <c r="V831" s="886"/>
      <c r="W831" s="886"/>
    </row>
    <row r="832" spans="3:23">
      <c r="C832" s="942"/>
      <c r="D832" s="942"/>
      <c r="E832" s="943"/>
      <c r="F832" s="886"/>
      <c r="G832" s="886"/>
      <c r="H832" s="886"/>
      <c r="I832" s="886"/>
      <c r="J832" s="886"/>
      <c r="K832" s="886"/>
      <c r="L832" s="886"/>
      <c r="M832" s="886"/>
      <c r="N832" s="886"/>
      <c r="O832" s="886"/>
      <c r="P832" s="886"/>
      <c r="Q832" s="886"/>
      <c r="R832" s="886"/>
      <c r="S832" s="886"/>
      <c r="T832" s="886"/>
      <c r="U832" s="886"/>
      <c r="V832" s="886"/>
      <c r="W832" s="886"/>
    </row>
    <row r="833" spans="3:23">
      <c r="C833" s="942"/>
      <c r="D833" s="942"/>
      <c r="E833" s="943"/>
      <c r="F833" s="886"/>
      <c r="G833" s="886"/>
      <c r="H833" s="886"/>
      <c r="I833" s="886"/>
      <c r="J833" s="886"/>
      <c r="K833" s="886"/>
      <c r="L833" s="886"/>
      <c r="M833" s="886"/>
      <c r="N833" s="886"/>
      <c r="O833" s="886"/>
      <c r="P833" s="886"/>
      <c r="Q833" s="886"/>
      <c r="R833" s="886"/>
      <c r="S833" s="886"/>
      <c r="T833" s="886"/>
      <c r="U833" s="886"/>
      <c r="V833" s="886"/>
      <c r="W833" s="886"/>
    </row>
    <row r="834" spans="3:23">
      <c r="C834" s="942"/>
      <c r="D834" s="942"/>
      <c r="E834" s="943"/>
      <c r="F834" s="886"/>
      <c r="G834" s="886"/>
      <c r="H834" s="886"/>
      <c r="I834" s="886"/>
      <c r="J834" s="886"/>
      <c r="K834" s="886"/>
      <c r="L834" s="886"/>
      <c r="M834" s="886"/>
      <c r="N834" s="886"/>
      <c r="O834" s="886"/>
      <c r="P834" s="886"/>
      <c r="Q834" s="886"/>
      <c r="R834" s="886"/>
      <c r="S834" s="886"/>
      <c r="T834" s="886"/>
      <c r="U834" s="886"/>
      <c r="V834" s="886"/>
      <c r="W834" s="886"/>
    </row>
    <row r="835" spans="3:23">
      <c r="C835" s="942"/>
      <c r="D835" s="942"/>
      <c r="E835" s="943"/>
      <c r="F835" s="886"/>
      <c r="G835" s="886"/>
      <c r="H835" s="886"/>
      <c r="I835" s="886"/>
      <c r="J835" s="886"/>
      <c r="K835" s="886"/>
      <c r="L835" s="886"/>
      <c r="M835" s="886"/>
      <c r="N835" s="886"/>
      <c r="O835" s="886"/>
      <c r="P835" s="886"/>
      <c r="Q835" s="886"/>
      <c r="R835" s="886"/>
      <c r="S835" s="886"/>
      <c r="T835" s="886"/>
      <c r="U835" s="886"/>
      <c r="V835" s="886"/>
      <c r="W835" s="886"/>
    </row>
    <row r="836" spans="3:23">
      <c r="C836" s="942"/>
      <c r="D836" s="942"/>
      <c r="E836" s="943"/>
      <c r="F836" s="886"/>
      <c r="G836" s="886"/>
      <c r="H836" s="886"/>
      <c r="I836" s="886"/>
      <c r="J836" s="886"/>
      <c r="K836" s="886"/>
      <c r="L836" s="886"/>
      <c r="M836" s="886"/>
      <c r="N836" s="886"/>
      <c r="O836" s="886"/>
      <c r="P836" s="886"/>
      <c r="Q836" s="886"/>
      <c r="R836" s="886"/>
      <c r="S836" s="886"/>
      <c r="T836" s="886"/>
      <c r="U836" s="886"/>
      <c r="V836" s="886"/>
      <c r="W836" s="886"/>
    </row>
    <row r="837" spans="3:23">
      <c r="C837" s="942"/>
      <c r="D837" s="942"/>
      <c r="E837" s="943"/>
      <c r="F837" s="886"/>
      <c r="G837" s="886"/>
      <c r="H837" s="886"/>
      <c r="I837" s="886"/>
      <c r="J837" s="886"/>
      <c r="K837" s="886"/>
      <c r="L837" s="886"/>
      <c r="M837" s="886"/>
      <c r="N837" s="886"/>
      <c r="O837" s="886"/>
      <c r="P837" s="886"/>
      <c r="Q837" s="886"/>
      <c r="R837" s="886"/>
      <c r="S837" s="886"/>
      <c r="T837" s="886"/>
      <c r="U837" s="886"/>
      <c r="V837" s="886"/>
      <c r="W837" s="886"/>
    </row>
    <row r="838" spans="3:23">
      <c r="C838" s="942"/>
      <c r="D838" s="942"/>
      <c r="E838" s="943"/>
      <c r="F838" s="886"/>
      <c r="G838" s="886"/>
      <c r="H838" s="886"/>
      <c r="I838" s="886"/>
      <c r="J838" s="886"/>
      <c r="K838" s="886"/>
      <c r="L838" s="886"/>
      <c r="M838" s="886"/>
      <c r="N838" s="886"/>
      <c r="O838" s="886"/>
      <c r="P838" s="886"/>
      <c r="Q838" s="886"/>
      <c r="R838" s="886"/>
      <c r="S838" s="886"/>
      <c r="T838" s="886"/>
      <c r="U838" s="886"/>
      <c r="V838" s="886"/>
      <c r="W838" s="886"/>
    </row>
    <row r="839" spans="3:23">
      <c r="C839" s="942"/>
      <c r="D839" s="942"/>
      <c r="E839" s="943"/>
      <c r="F839" s="886"/>
      <c r="G839" s="886"/>
      <c r="H839" s="886"/>
      <c r="I839" s="886"/>
      <c r="J839" s="886"/>
      <c r="K839" s="886"/>
      <c r="L839" s="886"/>
      <c r="M839" s="886"/>
      <c r="N839" s="886"/>
      <c r="O839" s="886"/>
      <c r="P839" s="886"/>
      <c r="Q839" s="886"/>
      <c r="R839" s="886"/>
      <c r="S839" s="886"/>
      <c r="T839" s="886"/>
      <c r="U839" s="886"/>
      <c r="V839" s="886"/>
      <c r="W839" s="886"/>
    </row>
    <row r="840" spans="3:23">
      <c r="C840" s="942"/>
      <c r="D840" s="942"/>
      <c r="E840" s="943"/>
      <c r="F840" s="886"/>
      <c r="G840" s="886"/>
      <c r="H840" s="886"/>
      <c r="I840" s="886"/>
      <c r="J840" s="886"/>
      <c r="K840" s="886"/>
      <c r="L840" s="886"/>
      <c r="M840" s="886"/>
      <c r="N840" s="886"/>
      <c r="O840" s="886"/>
      <c r="P840" s="886"/>
      <c r="Q840" s="886"/>
      <c r="R840" s="886"/>
      <c r="S840" s="886"/>
      <c r="T840" s="886"/>
      <c r="U840" s="886"/>
      <c r="V840" s="886"/>
      <c r="W840" s="886"/>
    </row>
    <row r="841" spans="3:23">
      <c r="C841" s="942"/>
      <c r="D841" s="942"/>
      <c r="E841" s="943"/>
      <c r="F841" s="886"/>
      <c r="G841" s="886"/>
      <c r="H841" s="886"/>
      <c r="I841" s="886"/>
      <c r="J841" s="886"/>
      <c r="K841" s="886"/>
      <c r="L841" s="886"/>
      <c r="M841" s="886"/>
      <c r="N841" s="886"/>
      <c r="O841" s="886"/>
      <c r="P841" s="886"/>
      <c r="Q841" s="886"/>
      <c r="R841" s="886"/>
      <c r="S841" s="886"/>
      <c r="T841" s="886"/>
      <c r="U841" s="886"/>
      <c r="V841" s="886"/>
      <c r="W841" s="886"/>
    </row>
    <row r="842" spans="3:23">
      <c r="C842" s="942"/>
      <c r="D842" s="942"/>
      <c r="E842" s="943"/>
      <c r="F842" s="886"/>
      <c r="G842" s="886"/>
      <c r="H842" s="886"/>
      <c r="I842" s="886"/>
      <c r="J842" s="886"/>
      <c r="K842" s="886"/>
      <c r="L842" s="886"/>
      <c r="M842" s="886"/>
      <c r="N842" s="886"/>
      <c r="O842" s="886"/>
      <c r="P842" s="886"/>
      <c r="Q842" s="886"/>
      <c r="R842" s="886"/>
      <c r="S842" s="886"/>
      <c r="T842" s="886"/>
      <c r="U842" s="886"/>
      <c r="V842" s="886"/>
      <c r="W842" s="886"/>
    </row>
    <row r="843" spans="3:23">
      <c r="C843" s="942"/>
      <c r="D843" s="942"/>
      <c r="E843" s="943"/>
      <c r="F843" s="886"/>
      <c r="G843" s="886"/>
      <c r="H843" s="886"/>
      <c r="I843" s="886"/>
      <c r="J843" s="886"/>
      <c r="K843" s="886"/>
      <c r="L843" s="886"/>
      <c r="M843" s="886"/>
      <c r="N843" s="886"/>
      <c r="O843" s="886"/>
      <c r="P843" s="886"/>
      <c r="Q843" s="886"/>
      <c r="R843" s="886"/>
      <c r="S843" s="886"/>
      <c r="T843" s="886"/>
      <c r="U843" s="886"/>
      <c r="V843" s="886"/>
      <c r="W843" s="886"/>
    </row>
    <row r="844" spans="3:23">
      <c r="C844" s="942"/>
      <c r="D844" s="942"/>
      <c r="E844" s="943"/>
      <c r="F844" s="886"/>
      <c r="G844" s="886"/>
      <c r="H844" s="886"/>
      <c r="I844" s="886"/>
      <c r="J844" s="886"/>
      <c r="K844" s="886"/>
      <c r="L844" s="886"/>
      <c r="M844" s="886"/>
      <c r="N844" s="886"/>
      <c r="O844" s="886"/>
      <c r="P844" s="886"/>
      <c r="Q844" s="886"/>
      <c r="R844" s="886"/>
      <c r="S844" s="886"/>
      <c r="T844" s="886"/>
      <c r="U844" s="886"/>
      <c r="V844" s="886"/>
      <c r="W844" s="886"/>
    </row>
    <row r="845" spans="3:23">
      <c r="C845" s="942"/>
      <c r="D845" s="942"/>
      <c r="E845" s="943"/>
      <c r="F845" s="886"/>
      <c r="G845" s="886"/>
      <c r="H845" s="886"/>
      <c r="I845" s="886"/>
      <c r="J845" s="886"/>
      <c r="K845" s="886"/>
      <c r="L845" s="886"/>
      <c r="M845" s="886"/>
      <c r="N845" s="886"/>
      <c r="O845" s="886"/>
      <c r="P845" s="886"/>
      <c r="Q845" s="886"/>
      <c r="R845" s="886"/>
      <c r="S845" s="886"/>
      <c r="T845" s="886"/>
      <c r="U845" s="886"/>
      <c r="V845" s="886"/>
      <c r="W845" s="886"/>
    </row>
    <row r="846" spans="3:23">
      <c r="C846" s="942"/>
      <c r="D846" s="942"/>
      <c r="E846" s="943"/>
      <c r="F846" s="886"/>
      <c r="G846" s="886"/>
      <c r="H846" s="886"/>
      <c r="I846" s="886"/>
      <c r="J846" s="886"/>
      <c r="K846" s="886"/>
      <c r="L846" s="886"/>
      <c r="M846" s="886"/>
      <c r="N846" s="886"/>
      <c r="O846" s="886"/>
      <c r="P846" s="886"/>
      <c r="Q846" s="886"/>
      <c r="R846" s="886"/>
      <c r="S846" s="886"/>
      <c r="T846" s="886"/>
      <c r="U846" s="886"/>
      <c r="V846" s="886"/>
      <c r="W846" s="886"/>
    </row>
    <row r="847" spans="3:23">
      <c r="C847" s="942"/>
      <c r="D847" s="942"/>
      <c r="E847" s="943"/>
      <c r="F847" s="886"/>
      <c r="G847" s="886"/>
      <c r="H847" s="886"/>
      <c r="I847" s="886"/>
      <c r="J847" s="886"/>
      <c r="K847" s="886"/>
      <c r="L847" s="886"/>
      <c r="M847" s="886"/>
      <c r="N847" s="886"/>
      <c r="O847" s="886"/>
      <c r="P847" s="886"/>
      <c r="Q847" s="886"/>
      <c r="R847" s="886"/>
      <c r="S847" s="886"/>
      <c r="T847" s="886"/>
      <c r="U847" s="886"/>
      <c r="V847" s="886"/>
      <c r="W847" s="886"/>
    </row>
    <row r="848" spans="3:23">
      <c r="C848" s="942"/>
      <c r="D848" s="942"/>
      <c r="E848" s="943"/>
      <c r="F848" s="886"/>
      <c r="G848" s="886"/>
      <c r="H848" s="886"/>
      <c r="I848" s="886"/>
      <c r="J848" s="886"/>
      <c r="K848" s="886"/>
      <c r="L848" s="886"/>
      <c r="M848" s="886"/>
      <c r="N848" s="886"/>
      <c r="O848" s="886"/>
      <c r="P848" s="886"/>
      <c r="Q848" s="886"/>
      <c r="R848" s="886"/>
      <c r="S848" s="886"/>
      <c r="T848" s="886"/>
      <c r="U848" s="886"/>
      <c r="V848" s="886"/>
      <c r="W848" s="886"/>
    </row>
    <row r="849" spans="3:23">
      <c r="C849" s="942"/>
      <c r="D849" s="942"/>
      <c r="E849" s="943"/>
      <c r="F849" s="886"/>
      <c r="G849" s="886"/>
      <c r="H849" s="886"/>
      <c r="I849" s="886"/>
      <c r="J849" s="886"/>
      <c r="K849" s="886"/>
      <c r="L849" s="886"/>
      <c r="M849" s="886"/>
      <c r="N849" s="886"/>
      <c r="O849" s="886"/>
      <c r="P849" s="886"/>
      <c r="Q849" s="886"/>
      <c r="R849" s="886"/>
      <c r="S849" s="886"/>
      <c r="T849" s="886"/>
      <c r="U849" s="886"/>
      <c r="V849" s="886"/>
      <c r="W849" s="886"/>
    </row>
    <row r="850" spans="3:23">
      <c r="C850" s="942"/>
      <c r="D850" s="942"/>
      <c r="E850" s="943"/>
      <c r="F850" s="886"/>
      <c r="G850" s="886"/>
      <c r="H850" s="886"/>
      <c r="I850" s="886"/>
      <c r="J850" s="886"/>
      <c r="K850" s="886"/>
      <c r="L850" s="886"/>
      <c r="M850" s="886"/>
      <c r="N850" s="886"/>
      <c r="O850" s="886"/>
      <c r="P850" s="886"/>
      <c r="Q850" s="886"/>
      <c r="R850" s="886"/>
      <c r="S850" s="886"/>
      <c r="T850" s="886"/>
      <c r="U850" s="886"/>
      <c r="V850" s="886"/>
      <c r="W850" s="886"/>
    </row>
    <row r="851" spans="3:23">
      <c r="C851" s="942"/>
      <c r="D851" s="942"/>
      <c r="E851" s="943"/>
      <c r="F851" s="886"/>
      <c r="G851" s="886"/>
      <c r="H851" s="886"/>
      <c r="I851" s="886"/>
      <c r="J851" s="886"/>
      <c r="K851" s="886"/>
      <c r="L851" s="886"/>
      <c r="M851" s="886"/>
      <c r="N851" s="886"/>
      <c r="O851" s="886"/>
      <c r="P851" s="886"/>
      <c r="Q851" s="886"/>
      <c r="R851" s="886"/>
      <c r="S851" s="886"/>
      <c r="T851" s="886"/>
      <c r="U851" s="886"/>
      <c r="V851" s="886"/>
      <c r="W851" s="886"/>
    </row>
    <row r="852" spans="3:23">
      <c r="C852" s="942"/>
      <c r="D852" s="942"/>
      <c r="E852" s="943"/>
      <c r="F852" s="886"/>
      <c r="G852" s="886"/>
      <c r="H852" s="886"/>
      <c r="I852" s="886"/>
      <c r="J852" s="886"/>
      <c r="K852" s="886"/>
      <c r="L852" s="886"/>
      <c r="M852" s="886"/>
      <c r="N852" s="886"/>
      <c r="O852" s="886"/>
      <c r="P852" s="886"/>
      <c r="Q852" s="886"/>
      <c r="R852" s="886"/>
      <c r="S852" s="886"/>
      <c r="T852" s="886"/>
      <c r="U852" s="886"/>
      <c r="V852" s="886"/>
      <c r="W852" s="886"/>
    </row>
    <row r="853" spans="3:23">
      <c r="C853" s="942"/>
      <c r="D853" s="942"/>
      <c r="E853" s="943"/>
      <c r="F853" s="886"/>
      <c r="G853" s="886"/>
      <c r="H853" s="886"/>
      <c r="I853" s="886"/>
      <c r="J853" s="886"/>
      <c r="K853" s="886"/>
      <c r="L853" s="886"/>
      <c r="M853" s="886"/>
      <c r="N853" s="886"/>
      <c r="O853" s="886"/>
      <c r="P853" s="886"/>
      <c r="Q853" s="886"/>
      <c r="R853" s="886"/>
      <c r="S853" s="886"/>
      <c r="T853" s="886"/>
      <c r="U853" s="886"/>
      <c r="V853" s="886"/>
      <c r="W853" s="886"/>
    </row>
    <row r="854" spans="3:23">
      <c r="C854" s="942"/>
      <c r="D854" s="942"/>
      <c r="E854" s="943"/>
      <c r="F854" s="886"/>
      <c r="G854" s="886"/>
      <c r="H854" s="886"/>
      <c r="I854" s="886"/>
      <c r="J854" s="886"/>
      <c r="K854" s="886"/>
      <c r="L854" s="886"/>
      <c r="M854" s="886"/>
      <c r="N854" s="886"/>
      <c r="O854" s="886"/>
      <c r="P854" s="886"/>
      <c r="Q854" s="886"/>
      <c r="R854" s="886"/>
      <c r="S854" s="886"/>
      <c r="T854" s="886"/>
      <c r="U854" s="886"/>
      <c r="V854" s="886"/>
      <c r="W854" s="886"/>
    </row>
    <row r="855" spans="3:23">
      <c r="C855" s="942"/>
      <c r="D855" s="942"/>
      <c r="E855" s="943"/>
      <c r="F855" s="886"/>
      <c r="G855" s="886"/>
      <c r="H855" s="886"/>
      <c r="I855" s="886"/>
      <c r="J855" s="886"/>
      <c r="K855" s="886"/>
      <c r="L855" s="886"/>
      <c r="M855" s="886"/>
      <c r="N855" s="886"/>
      <c r="O855" s="886"/>
      <c r="P855" s="886"/>
      <c r="Q855" s="886"/>
      <c r="R855" s="886"/>
      <c r="S855" s="886"/>
      <c r="T855" s="886"/>
      <c r="U855" s="886"/>
      <c r="V855" s="886"/>
      <c r="W855" s="886"/>
    </row>
    <row r="856" spans="3:23">
      <c r="C856" s="942"/>
      <c r="D856" s="942"/>
      <c r="E856" s="943"/>
      <c r="F856" s="886"/>
      <c r="G856" s="886"/>
      <c r="H856" s="886"/>
      <c r="I856" s="886"/>
      <c r="J856" s="886"/>
      <c r="K856" s="886"/>
      <c r="L856" s="886"/>
      <c r="M856" s="886"/>
      <c r="N856" s="886"/>
      <c r="O856" s="886"/>
      <c r="P856" s="886"/>
      <c r="Q856" s="886"/>
      <c r="R856" s="886"/>
      <c r="S856" s="886"/>
      <c r="T856" s="886"/>
      <c r="U856" s="886"/>
      <c r="V856" s="886"/>
      <c r="W856" s="886"/>
    </row>
    <row r="857" spans="3:23">
      <c r="C857" s="942"/>
      <c r="D857" s="942"/>
      <c r="E857" s="943"/>
      <c r="F857" s="886"/>
      <c r="G857" s="886"/>
      <c r="H857" s="886"/>
      <c r="I857" s="886"/>
      <c r="J857" s="886"/>
      <c r="K857" s="886"/>
      <c r="L857" s="886"/>
      <c r="M857" s="886"/>
      <c r="N857" s="886"/>
      <c r="O857" s="886"/>
      <c r="P857" s="886"/>
      <c r="Q857" s="886"/>
      <c r="R857" s="886"/>
      <c r="S857" s="886"/>
      <c r="T857" s="886"/>
      <c r="U857" s="886"/>
      <c r="V857" s="886"/>
      <c r="W857" s="886"/>
    </row>
    <row r="858" spans="3:23">
      <c r="C858" s="942"/>
      <c r="D858" s="942"/>
      <c r="E858" s="943"/>
      <c r="F858" s="886"/>
      <c r="G858" s="886"/>
      <c r="H858" s="886"/>
      <c r="I858" s="886"/>
      <c r="J858" s="886"/>
      <c r="K858" s="886"/>
      <c r="L858" s="886"/>
      <c r="M858" s="886"/>
      <c r="N858" s="886"/>
      <c r="O858" s="886"/>
      <c r="P858" s="886"/>
      <c r="Q858" s="886"/>
      <c r="R858" s="886"/>
      <c r="S858" s="886"/>
      <c r="T858" s="886"/>
      <c r="U858" s="886"/>
      <c r="V858" s="886"/>
      <c r="W858" s="886"/>
    </row>
    <row r="859" spans="3:23">
      <c r="C859" s="942"/>
      <c r="D859" s="942"/>
      <c r="E859" s="943"/>
      <c r="F859" s="886"/>
      <c r="G859" s="886"/>
      <c r="H859" s="886"/>
      <c r="I859" s="886"/>
      <c r="J859" s="886"/>
      <c r="K859" s="886"/>
      <c r="L859" s="886"/>
      <c r="M859" s="886"/>
      <c r="N859" s="886"/>
      <c r="O859" s="886"/>
      <c r="P859" s="886"/>
      <c r="Q859" s="886"/>
      <c r="R859" s="886"/>
      <c r="S859" s="886"/>
      <c r="T859" s="886"/>
      <c r="U859" s="886"/>
      <c r="V859" s="886"/>
      <c r="W859" s="886"/>
    </row>
    <row r="860" spans="3:23">
      <c r="C860" s="942"/>
      <c r="D860" s="942"/>
      <c r="E860" s="943"/>
      <c r="F860" s="886"/>
      <c r="G860" s="886"/>
      <c r="H860" s="886"/>
      <c r="I860" s="886"/>
      <c r="J860" s="886"/>
      <c r="K860" s="886"/>
      <c r="L860" s="886"/>
      <c r="M860" s="886"/>
      <c r="N860" s="886"/>
      <c r="O860" s="886"/>
      <c r="P860" s="886"/>
      <c r="Q860" s="886"/>
      <c r="R860" s="886"/>
      <c r="S860" s="886"/>
      <c r="T860" s="886"/>
      <c r="U860" s="886"/>
      <c r="V860" s="886"/>
      <c r="W860" s="886"/>
    </row>
    <row r="861" spans="3:23">
      <c r="C861" s="942"/>
      <c r="D861" s="942"/>
      <c r="E861" s="943"/>
      <c r="F861" s="886"/>
      <c r="G861" s="886"/>
      <c r="H861" s="886"/>
      <c r="I861" s="886"/>
      <c r="J861" s="886"/>
      <c r="K861" s="886"/>
      <c r="L861" s="886"/>
      <c r="M861" s="886"/>
      <c r="N861" s="886"/>
      <c r="O861" s="886"/>
      <c r="P861" s="886"/>
      <c r="Q861" s="886"/>
      <c r="R861" s="886"/>
      <c r="S861" s="886"/>
      <c r="T861" s="886"/>
      <c r="U861" s="886"/>
      <c r="V861" s="886"/>
      <c r="W861" s="886"/>
    </row>
    <row r="862" spans="3:23">
      <c r="C862" s="942"/>
      <c r="D862" s="942"/>
      <c r="E862" s="943"/>
      <c r="F862" s="886"/>
      <c r="G862" s="886"/>
      <c r="H862" s="886"/>
      <c r="I862" s="886"/>
      <c r="J862" s="886"/>
      <c r="K862" s="886"/>
      <c r="L862" s="886"/>
      <c r="M862" s="886"/>
      <c r="N862" s="886"/>
      <c r="O862" s="886"/>
      <c r="P862" s="886"/>
      <c r="Q862" s="886"/>
      <c r="R862" s="886"/>
      <c r="S862" s="886"/>
      <c r="T862" s="886"/>
      <c r="U862" s="886"/>
      <c r="V862" s="886"/>
      <c r="W862" s="886"/>
    </row>
    <row r="863" spans="3:23">
      <c r="C863" s="942"/>
      <c r="D863" s="942"/>
      <c r="E863" s="943"/>
      <c r="F863" s="886"/>
      <c r="G863" s="886"/>
      <c r="H863" s="886"/>
      <c r="I863" s="886"/>
      <c r="J863" s="886"/>
      <c r="K863" s="886"/>
      <c r="L863" s="886"/>
      <c r="M863" s="886"/>
      <c r="N863" s="886"/>
      <c r="O863" s="886"/>
      <c r="P863" s="886"/>
      <c r="Q863" s="886"/>
      <c r="R863" s="886"/>
      <c r="S863" s="886"/>
      <c r="T863" s="886"/>
      <c r="U863" s="886"/>
      <c r="V863" s="886"/>
      <c r="W863" s="886"/>
    </row>
    <row r="864" spans="3:23">
      <c r="C864" s="942"/>
      <c r="D864" s="942"/>
      <c r="E864" s="943"/>
      <c r="F864" s="886"/>
      <c r="G864" s="886"/>
      <c r="H864" s="886"/>
      <c r="I864" s="886"/>
      <c r="J864" s="886"/>
      <c r="K864" s="886"/>
      <c r="L864" s="886"/>
      <c r="M864" s="886"/>
      <c r="N864" s="886"/>
      <c r="O864" s="886"/>
      <c r="P864" s="886"/>
      <c r="Q864" s="886"/>
      <c r="R864" s="886"/>
      <c r="S864" s="886"/>
      <c r="T864" s="886"/>
      <c r="U864" s="886"/>
      <c r="V864" s="886"/>
      <c r="W864" s="886"/>
    </row>
    <row r="865" spans="3:23">
      <c r="C865" s="942"/>
      <c r="D865" s="942"/>
      <c r="E865" s="943"/>
      <c r="F865" s="886"/>
      <c r="G865" s="886"/>
      <c r="H865" s="886"/>
      <c r="I865" s="886"/>
      <c r="J865" s="886"/>
      <c r="K865" s="886"/>
      <c r="L865" s="886"/>
      <c r="M865" s="886"/>
      <c r="N865" s="886"/>
      <c r="O865" s="886"/>
      <c r="P865" s="886"/>
      <c r="Q865" s="886"/>
      <c r="R865" s="886"/>
      <c r="S865" s="886"/>
      <c r="T865" s="886"/>
      <c r="U865" s="886"/>
      <c r="V865" s="886"/>
      <c r="W865" s="886"/>
    </row>
    <row r="866" spans="3:23">
      <c r="C866" s="942"/>
      <c r="D866" s="942"/>
      <c r="E866" s="943"/>
      <c r="F866" s="886"/>
      <c r="G866" s="886"/>
      <c r="H866" s="886"/>
      <c r="I866" s="886"/>
      <c r="J866" s="886"/>
      <c r="K866" s="886"/>
      <c r="L866" s="886"/>
      <c r="M866" s="886"/>
      <c r="N866" s="886"/>
      <c r="O866" s="886"/>
      <c r="P866" s="886"/>
      <c r="Q866" s="886"/>
      <c r="R866" s="886"/>
      <c r="S866" s="886"/>
      <c r="T866" s="886"/>
      <c r="U866" s="886"/>
      <c r="V866" s="886"/>
      <c r="W866" s="886"/>
    </row>
    <row r="867" spans="3:23">
      <c r="C867" s="942"/>
      <c r="D867" s="942"/>
      <c r="E867" s="943"/>
      <c r="F867" s="886"/>
      <c r="G867" s="886"/>
      <c r="H867" s="886"/>
      <c r="I867" s="886"/>
      <c r="J867" s="886"/>
      <c r="K867" s="886"/>
      <c r="L867" s="886"/>
      <c r="M867" s="886"/>
      <c r="N867" s="886"/>
      <c r="O867" s="886"/>
      <c r="P867" s="886"/>
      <c r="Q867" s="886"/>
      <c r="R867" s="886"/>
      <c r="S867" s="886"/>
      <c r="T867" s="886"/>
      <c r="U867" s="886"/>
      <c r="V867" s="886"/>
      <c r="W867" s="886"/>
    </row>
    <row r="868" spans="3:23">
      <c r="C868" s="942"/>
      <c r="D868" s="942"/>
      <c r="E868" s="943"/>
      <c r="F868" s="886"/>
      <c r="G868" s="886"/>
      <c r="H868" s="886"/>
      <c r="I868" s="886"/>
      <c r="J868" s="886"/>
      <c r="K868" s="886"/>
      <c r="L868" s="886"/>
      <c r="M868" s="886"/>
      <c r="N868" s="886"/>
      <c r="O868" s="886"/>
      <c r="P868" s="886"/>
      <c r="Q868" s="886"/>
      <c r="R868" s="886"/>
      <c r="S868" s="886"/>
      <c r="T868" s="886"/>
      <c r="U868" s="886"/>
      <c r="V868" s="886"/>
      <c r="W868" s="886"/>
    </row>
    <row r="869" spans="3:23">
      <c r="C869" s="942"/>
      <c r="D869" s="942"/>
      <c r="E869" s="943"/>
      <c r="F869" s="886"/>
      <c r="G869" s="886"/>
      <c r="H869" s="886"/>
      <c r="I869" s="886"/>
      <c r="J869" s="886"/>
      <c r="K869" s="886"/>
      <c r="L869" s="886"/>
      <c r="M869" s="886"/>
      <c r="N869" s="886"/>
      <c r="O869" s="886"/>
      <c r="P869" s="886"/>
      <c r="Q869" s="886"/>
      <c r="R869" s="886"/>
      <c r="S869" s="886"/>
      <c r="T869" s="886"/>
      <c r="U869" s="886"/>
      <c r="V869" s="886"/>
      <c r="W869" s="886"/>
    </row>
    <row r="870" spans="3:23">
      <c r="C870" s="942"/>
      <c r="D870" s="942"/>
      <c r="E870" s="943"/>
      <c r="F870" s="886"/>
      <c r="G870" s="886"/>
      <c r="H870" s="886"/>
      <c r="I870" s="886"/>
      <c r="J870" s="886"/>
      <c r="K870" s="886"/>
      <c r="L870" s="886"/>
      <c r="M870" s="886"/>
      <c r="N870" s="886"/>
      <c r="O870" s="886"/>
      <c r="P870" s="886"/>
      <c r="Q870" s="886"/>
      <c r="R870" s="886"/>
      <c r="S870" s="886"/>
      <c r="T870" s="886"/>
      <c r="U870" s="886"/>
      <c r="V870" s="886"/>
      <c r="W870" s="886"/>
    </row>
    <row r="871" spans="3:23">
      <c r="C871" s="942"/>
      <c r="D871" s="942"/>
      <c r="E871" s="943"/>
      <c r="F871" s="886"/>
      <c r="G871" s="886"/>
      <c r="H871" s="886"/>
      <c r="I871" s="886"/>
      <c r="J871" s="886"/>
      <c r="K871" s="886"/>
      <c r="L871" s="886"/>
      <c r="M871" s="886"/>
      <c r="N871" s="886"/>
      <c r="O871" s="886"/>
      <c r="P871" s="886"/>
      <c r="Q871" s="886"/>
      <c r="R871" s="886"/>
      <c r="S871" s="886"/>
      <c r="T871" s="886"/>
      <c r="U871" s="886"/>
      <c r="V871" s="886"/>
      <c r="W871" s="886"/>
    </row>
    <row r="872" spans="3:23">
      <c r="C872" s="942"/>
      <c r="D872" s="942"/>
      <c r="E872" s="943"/>
      <c r="F872" s="886"/>
      <c r="G872" s="886"/>
      <c r="H872" s="886"/>
      <c r="I872" s="886"/>
      <c r="J872" s="886"/>
      <c r="K872" s="886"/>
      <c r="L872" s="886"/>
      <c r="M872" s="886"/>
      <c r="N872" s="886"/>
      <c r="O872" s="886"/>
      <c r="P872" s="886"/>
      <c r="Q872" s="886"/>
      <c r="R872" s="886"/>
      <c r="S872" s="886"/>
      <c r="T872" s="886"/>
      <c r="U872" s="886"/>
      <c r="V872" s="886"/>
      <c r="W872" s="886"/>
    </row>
    <row r="873" spans="3:23">
      <c r="C873" s="942"/>
      <c r="D873" s="942"/>
      <c r="E873" s="943"/>
      <c r="F873" s="886"/>
      <c r="G873" s="886"/>
      <c r="H873" s="886"/>
      <c r="I873" s="886"/>
      <c r="J873" s="886"/>
      <c r="K873" s="886"/>
      <c r="L873" s="886"/>
      <c r="M873" s="886"/>
      <c r="N873" s="886"/>
      <c r="O873" s="886"/>
      <c r="P873" s="886"/>
      <c r="Q873" s="886"/>
      <c r="R873" s="886"/>
      <c r="S873" s="886"/>
      <c r="T873" s="886"/>
      <c r="U873" s="886"/>
      <c r="V873" s="886"/>
      <c r="W873" s="886"/>
    </row>
    <row r="874" spans="3:23">
      <c r="C874" s="942"/>
      <c r="D874" s="942"/>
      <c r="E874" s="943"/>
      <c r="F874" s="886"/>
      <c r="G874" s="886"/>
      <c r="H874" s="886"/>
      <c r="I874" s="886"/>
      <c r="J874" s="886"/>
      <c r="K874" s="886"/>
      <c r="L874" s="886"/>
      <c r="M874" s="886"/>
      <c r="N874" s="886"/>
      <c r="O874" s="886"/>
      <c r="P874" s="886"/>
      <c r="Q874" s="886"/>
      <c r="R874" s="886"/>
      <c r="S874" s="886"/>
      <c r="T874" s="886"/>
      <c r="U874" s="886"/>
      <c r="V874" s="886"/>
      <c r="W874" s="886"/>
    </row>
    <row r="875" spans="3:23">
      <c r="C875" s="942"/>
      <c r="D875" s="942"/>
      <c r="E875" s="943"/>
      <c r="F875" s="886"/>
      <c r="G875" s="886"/>
      <c r="H875" s="886"/>
      <c r="I875" s="886"/>
      <c r="J875" s="886"/>
      <c r="K875" s="886"/>
      <c r="L875" s="886"/>
      <c r="M875" s="886"/>
      <c r="N875" s="886"/>
      <c r="O875" s="886"/>
      <c r="P875" s="886"/>
      <c r="Q875" s="886"/>
      <c r="R875" s="886"/>
      <c r="S875" s="886"/>
      <c r="T875" s="886"/>
      <c r="U875" s="886"/>
      <c r="V875" s="886"/>
      <c r="W875" s="886"/>
    </row>
    <row r="876" spans="3:23">
      <c r="C876" s="942"/>
      <c r="D876" s="942"/>
      <c r="E876" s="943"/>
      <c r="F876" s="886"/>
      <c r="G876" s="886"/>
      <c r="H876" s="886"/>
      <c r="I876" s="886"/>
      <c r="J876" s="886"/>
      <c r="K876" s="886"/>
      <c r="L876" s="886"/>
      <c r="M876" s="886"/>
      <c r="N876" s="886"/>
      <c r="O876" s="886"/>
      <c r="P876" s="886"/>
      <c r="Q876" s="886"/>
      <c r="R876" s="886"/>
      <c r="S876" s="886"/>
      <c r="T876" s="886"/>
      <c r="U876" s="886"/>
      <c r="V876" s="886"/>
      <c r="W876" s="886"/>
    </row>
    <row r="877" spans="3:23">
      <c r="C877" s="942"/>
      <c r="D877" s="942"/>
      <c r="E877" s="943"/>
      <c r="F877" s="886"/>
      <c r="G877" s="886"/>
      <c r="H877" s="886"/>
      <c r="I877" s="886"/>
      <c r="J877" s="886"/>
      <c r="K877" s="886"/>
      <c r="L877" s="886"/>
      <c r="M877" s="886"/>
      <c r="N877" s="886"/>
      <c r="O877" s="886"/>
      <c r="P877" s="886"/>
      <c r="Q877" s="886"/>
      <c r="R877" s="886"/>
      <c r="S877" s="886"/>
      <c r="T877" s="886"/>
      <c r="U877" s="886"/>
      <c r="V877" s="886"/>
      <c r="W877" s="886"/>
    </row>
    <row r="878" spans="3:23">
      <c r="C878" s="942"/>
      <c r="D878" s="942"/>
      <c r="E878" s="943"/>
      <c r="F878" s="886"/>
      <c r="G878" s="886"/>
      <c r="H878" s="886"/>
      <c r="I878" s="886"/>
      <c r="J878" s="886"/>
      <c r="K878" s="886"/>
      <c r="L878" s="886"/>
      <c r="M878" s="886"/>
      <c r="N878" s="886"/>
      <c r="O878" s="886"/>
      <c r="P878" s="886"/>
      <c r="Q878" s="886"/>
      <c r="R878" s="886"/>
      <c r="S878" s="886"/>
      <c r="T878" s="886"/>
      <c r="U878" s="886"/>
      <c r="V878" s="886"/>
      <c r="W878" s="886"/>
    </row>
    <row r="879" spans="3:23">
      <c r="C879" s="942"/>
      <c r="D879" s="942"/>
      <c r="E879" s="943"/>
      <c r="F879" s="886"/>
      <c r="G879" s="886"/>
      <c r="H879" s="886"/>
      <c r="I879" s="886"/>
      <c r="J879" s="886"/>
      <c r="K879" s="886"/>
      <c r="L879" s="886"/>
      <c r="M879" s="886"/>
      <c r="N879" s="886"/>
      <c r="O879" s="886"/>
      <c r="P879" s="886"/>
      <c r="Q879" s="886"/>
      <c r="R879" s="886"/>
      <c r="S879" s="886"/>
      <c r="T879" s="886"/>
      <c r="U879" s="886"/>
      <c r="V879" s="886"/>
      <c r="W879" s="886"/>
    </row>
    <row r="880" spans="3:23">
      <c r="C880" s="942"/>
      <c r="D880" s="942"/>
      <c r="E880" s="943"/>
      <c r="F880" s="886"/>
      <c r="G880" s="886"/>
      <c r="H880" s="886"/>
      <c r="I880" s="886"/>
      <c r="J880" s="886"/>
      <c r="K880" s="886"/>
      <c r="L880" s="886"/>
      <c r="M880" s="886"/>
      <c r="N880" s="886"/>
      <c r="O880" s="886"/>
      <c r="P880" s="886"/>
      <c r="Q880" s="886"/>
      <c r="R880" s="886"/>
      <c r="S880" s="886"/>
      <c r="T880" s="886"/>
      <c r="U880" s="886"/>
      <c r="V880" s="886"/>
      <c r="W880" s="886"/>
    </row>
    <row r="881" spans="3:23">
      <c r="C881" s="942"/>
      <c r="D881" s="942"/>
      <c r="E881" s="943"/>
      <c r="F881" s="886"/>
      <c r="G881" s="886"/>
      <c r="H881" s="886"/>
      <c r="I881" s="886"/>
      <c r="J881" s="886"/>
      <c r="K881" s="886"/>
      <c r="L881" s="886"/>
      <c r="M881" s="886"/>
      <c r="N881" s="886"/>
      <c r="O881" s="886"/>
      <c r="P881" s="886"/>
      <c r="Q881" s="886"/>
      <c r="R881" s="886"/>
      <c r="S881" s="886"/>
      <c r="T881" s="886"/>
      <c r="U881" s="886"/>
      <c r="V881" s="886"/>
      <c r="W881" s="886"/>
    </row>
    <row r="882" spans="3:23">
      <c r="C882" s="942"/>
      <c r="D882" s="942"/>
      <c r="E882" s="943"/>
      <c r="F882" s="886"/>
      <c r="G882" s="886"/>
      <c r="H882" s="886"/>
      <c r="I882" s="886"/>
      <c r="J882" s="886"/>
      <c r="K882" s="886"/>
      <c r="L882" s="886"/>
      <c r="M882" s="886"/>
      <c r="N882" s="886"/>
      <c r="O882" s="886"/>
      <c r="P882" s="886"/>
      <c r="Q882" s="886"/>
      <c r="R882" s="886"/>
      <c r="S882" s="886"/>
      <c r="T882" s="886"/>
      <c r="U882" s="886"/>
      <c r="V882" s="886"/>
      <c r="W882" s="886"/>
    </row>
    <row r="883" spans="3:23">
      <c r="C883" s="942"/>
      <c r="D883" s="942"/>
      <c r="E883" s="943"/>
      <c r="F883" s="886"/>
      <c r="G883" s="886"/>
      <c r="H883" s="886"/>
      <c r="I883" s="886"/>
      <c r="J883" s="886"/>
      <c r="K883" s="886"/>
      <c r="L883" s="886"/>
      <c r="M883" s="886"/>
      <c r="N883" s="886"/>
      <c r="O883" s="886"/>
      <c r="P883" s="886"/>
      <c r="Q883" s="886"/>
      <c r="R883" s="886"/>
      <c r="S883" s="886"/>
      <c r="T883" s="886"/>
      <c r="U883" s="886"/>
      <c r="V883" s="886"/>
      <c r="W883" s="886"/>
    </row>
    <row r="884" spans="3:23">
      <c r="C884" s="942"/>
      <c r="D884" s="942"/>
      <c r="E884" s="943"/>
      <c r="F884" s="886"/>
      <c r="G884" s="886"/>
      <c r="H884" s="886"/>
      <c r="I884" s="886"/>
      <c r="J884" s="886"/>
      <c r="K884" s="886"/>
      <c r="L884" s="886"/>
      <c r="M884" s="886"/>
      <c r="N884" s="886"/>
      <c r="O884" s="886"/>
      <c r="P884" s="886"/>
      <c r="Q884" s="886"/>
      <c r="R884" s="886"/>
      <c r="S884" s="886"/>
      <c r="T884" s="886"/>
      <c r="U884" s="886"/>
      <c r="V884" s="886"/>
      <c r="W884" s="886"/>
    </row>
    <row r="885" spans="3:23">
      <c r="C885" s="942"/>
      <c r="D885" s="942"/>
      <c r="E885" s="943"/>
      <c r="F885" s="886"/>
      <c r="G885" s="886"/>
      <c r="H885" s="886"/>
      <c r="I885" s="886"/>
      <c r="J885" s="886"/>
      <c r="K885" s="886"/>
      <c r="L885" s="886"/>
      <c r="M885" s="886"/>
      <c r="N885" s="886"/>
      <c r="O885" s="886"/>
      <c r="P885" s="886"/>
      <c r="Q885" s="886"/>
      <c r="R885" s="886"/>
      <c r="S885" s="886"/>
      <c r="T885" s="886"/>
      <c r="U885" s="886"/>
      <c r="V885" s="886"/>
      <c r="W885" s="886"/>
    </row>
    <row r="886" spans="3:23">
      <c r="C886" s="942"/>
      <c r="D886" s="942"/>
      <c r="E886" s="943"/>
      <c r="F886" s="886"/>
      <c r="G886" s="886"/>
      <c r="H886" s="886"/>
      <c r="I886" s="886"/>
      <c r="J886" s="886"/>
      <c r="K886" s="886"/>
      <c r="L886" s="886"/>
      <c r="M886" s="886"/>
      <c r="N886" s="886"/>
      <c r="O886" s="886"/>
      <c r="P886" s="886"/>
      <c r="Q886" s="886"/>
      <c r="R886" s="886"/>
      <c r="S886" s="886"/>
      <c r="T886" s="886"/>
      <c r="U886" s="886"/>
      <c r="V886" s="886"/>
      <c r="W886" s="886"/>
    </row>
    <row r="887" spans="3:23">
      <c r="C887" s="942"/>
      <c r="D887" s="942"/>
      <c r="E887" s="943"/>
      <c r="F887" s="886"/>
      <c r="G887" s="886"/>
      <c r="H887" s="886"/>
      <c r="I887" s="886"/>
      <c r="J887" s="886"/>
      <c r="K887" s="886"/>
      <c r="L887" s="886"/>
      <c r="M887" s="886"/>
      <c r="N887" s="886"/>
      <c r="O887" s="886"/>
      <c r="P887" s="886"/>
      <c r="Q887" s="886"/>
      <c r="R887" s="886"/>
      <c r="S887" s="886"/>
      <c r="T887" s="886"/>
      <c r="U887" s="886"/>
      <c r="V887" s="886"/>
      <c r="W887" s="886"/>
    </row>
    <row r="888" spans="3:23">
      <c r="C888" s="942"/>
      <c r="D888" s="942"/>
      <c r="E888" s="943"/>
      <c r="F888" s="886"/>
      <c r="G888" s="886"/>
      <c r="H888" s="886"/>
      <c r="I888" s="886"/>
      <c r="J888" s="886"/>
      <c r="K888" s="886"/>
      <c r="L888" s="886"/>
      <c r="M888" s="886"/>
      <c r="N888" s="886"/>
      <c r="O888" s="886"/>
      <c r="P888" s="886"/>
      <c r="Q888" s="886"/>
      <c r="R888" s="886"/>
      <c r="S888" s="886"/>
      <c r="T888" s="886"/>
      <c r="U888" s="886"/>
      <c r="V888" s="886"/>
      <c r="W888" s="886"/>
    </row>
    <row r="889" spans="3:23">
      <c r="C889" s="942"/>
      <c r="D889" s="942"/>
      <c r="E889" s="943"/>
      <c r="F889" s="886"/>
      <c r="G889" s="886"/>
      <c r="H889" s="886"/>
      <c r="I889" s="886"/>
      <c r="J889" s="886"/>
      <c r="K889" s="886"/>
      <c r="L889" s="886"/>
      <c r="M889" s="886"/>
      <c r="N889" s="886"/>
      <c r="O889" s="886"/>
      <c r="P889" s="886"/>
      <c r="Q889" s="886"/>
      <c r="R889" s="886"/>
      <c r="S889" s="886"/>
      <c r="T889" s="886"/>
      <c r="U889" s="886"/>
      <c r="V889" s="886"/>
      <c r="W889" s="886"/>
    </row>
    <row r="890" spans="3:23">
      <c r="C890" s="942"/>
      <c r="D890" s="942"/>
      <c r="E890" s="943"/>
      <c r="F890" s="886"/>
      <c r="G890" s="886"/>
      <c r="H890" s="886"/>
      <c r="I890" s="886"/>
      <c r="J890" s="886"/>
      <c r="K890" s="886"/>
      <c r="L890" s="886"/>
      <c r="M890" s="886"/>
      <c r="N890" s="886"/>
      <c r="O890" s="886"/>
      <c r="P890" s="886"/>
      <c r="Q890" s="886"/>
      <c r="R890" s="886"/>
      <c r="S890" s="886"/>
      <c r="T890" s="886"/>
      <c r="U890" s="886"/>
      <c r="V890" s="886"/>
      <c r="W890" s="886"/>
    </row>
    <row r="891" spans="3:23">
      <c r="C891" s="942"/>
      <c r="D891" s="942"/>
      <c r="E891" s="943"/>
      <c r="F891" s="886"/>
      <c r="G891" s="886"/>
      <c r="H891" s="886"/>
      <c r="I891" s="886"/>
      <c r="J891" s="886"/>
      <c r="K891" s="886"/>
      <c r="L891" s="886"/>
      <c r="M891" s="886"/>
      <c r="N891" s="886"/>
      <c r="O891" s="886"/>
      <c r="P891" s="886"/>
      <c r="Q891" s="886"/>
      <c r="R891" s="886"/>
      <c r="S891" s="886"/>
      <c r="T891" s="886"/>
      <c r="U891" s="886"/>
      <c r="V891" s="886"/>
      <c r="W891" s="886"/>
    </row>
    <row r="892" spans="3:23">
      <c r="C892" s="942"/>
      <c r="D892" s="942"/>
      <c r="E892" s="943"/>
      <c r="F892" s="886"/>
      <c r="G892" s="886"/>
      <c r="H892" s="886"/>
      <c r="I892" s="886"/>
      <c r="J892" s="886"/>
      <c r="K892" s="886"/>
      <c r="L892" s="886"/>
      <c r="M892" s="886"/>
      <c r="N892" s="886"/>
      <c r="O892" s="886"/>
      <c r="P892" s="886"/>
      <c r="Q892" s="886"/>
      <c r="R892" s="886"/>
      <c r="S892" s="886"/>
      <c r="T892" s="886"/>
      <c r="U892" s="886"/>
      <c r="V892" s="886"/>
      <c r="W892" s="886"/>
    </row>
    <row r="893" spans="3:23">
      <c r="C893" s="942"/>
      <c r="D893" s="942"/>
      <c r="E893" s="943"/>
      <c r="F893" s="886"/>
      <c r="G893" s="886"/>
      <c r="H893" s="886"/>
      <c r="I893" s="886"/>
      <c r="J893" s="886"/>
      <c r="K893" s="886"/>
      <c r="L893" s="886"/>
      <c r="M893" s="886"/>
      <c r="N893" s="886"/>
      <c r="O893" s="886"/>
      <c r="P893" s="886"/>
      <c r="Q893" s="886"/>
      <c r="R893" s="886"/>
      <c r="S893" s="886"/>
      <c r="T893" s="886"/>
      <c r="U893" s="886"/>
      <c r="V893" s="886"/>
      <c r="W893" s="886"/>
    </row>
    <row r="894" spans="3:23">
      <c r="C894" s="942"/>
      <c r="D894" s="942"/>
      <c r="E894" s="943"/>
      <c r="F894" s="886"/>
      <c r="G894" s="886"/>
      <c r="H894" s="886"/>
      <c r="I894" s="886"/>
      <c r="J894" s="886"/>
      <c r="K894" s="886"/>
      <c r="L894" s="886"/>
      <c r="M894" s="886"/>
      <c r="N894" s="886"/>
      <c r="O894" s="886"/>
      <c r="P894" s="886"/>
      <c r="Q894" s="886"/>
      <c r="R894" s="886"/>
      <c r="S894" s="886"/>
      <c r="T894" s="886"/>
      <c r="U894" s="886"/>
      <c r="V894" s="886"/>
      <c r="W894" s="886"/>
    </row>
    <row r="895" spans="3:23">
      <c r="C895" s="942"/>
      <c r="D895" s="942"/>
      <c r="E895" s="943"/>
      <c r="F895" s="886"/>
      <c r="G895" s="886"/>
      <c r="H895" s="886"/>
      <c r="I895" s="886"/>
      <c r="J895" s="886"/>
      <c r="K895" s="886"/>
      <c r="L895" s="886"/>
      <c r="M895" s="886"/>
      <c r="N895" s="886"/>
      <c r="O895" s="886"/>
      <c r="P895" s="886"/>
      <c r="Q895" s="886"/>
      <c r="R895" s="886"/>
      <c r="S895" s="886"/>
      <c r="T895" s="886"/>
      <c r="U895" s="886"/>
      <c r="V895" s="886"/>
      <c r="W895" s="886"/>
    </row>
    <row r="896" spans="3:23">
      <c r="C896" s="942"/>
      <c r="D896" s="942"/>
      <c r="E896" s="943"/>
      <c r="F896" s="886"/>
      <c r="G896" s="886"/>
      <c r="H896" s="886"/>
      <c r="I896" s="886"/>
      <c r="J896" s="886"/>
      <c r="K896" s="886"/>
      <c r="L896" s="886"/>
      <c r="M896" s="886"/>
      <c r="N896" s="886"/>
      <c r="O896" s="886"/>
      <c r="P896" s="886"/>
      <c r="Q896" s="886"/>
      <c r="R896" s="886"/>
      <c r="S896" s="886"/>
      <c r="T896" s="886"/>
      <c r="U896" s="886"/>
      <c r="V896" s="886"/>
      <c r="W896" s="886"/>
    </row>
    <row r="897" spans="3:23">
      <c r="C897" s="942"/>
      <c r="D897" s="942"/>
      <c r="E897" s="943"/>
      <c r="F897" s="886"/>
      <c r="G897" s="886"/>
      <c r="H897" s="886"/>
      <c r="I897" s="886"/>
      <c r="J897" s="886"/>
      <c r="K897" s="886"/>
      <c r="L897" s="886"/>
      <c r="M897" s="886"/>
      <c r="N897" s="886"/>
      <c r="O897" s="886"/>
      <c r="P897" s="886"/>
      <c r="Q897" s="886"/>
      <c r="R897" s="886"/>
      <c r="S897" s="886"/>
      <c r="T897" s="886"/>
      <c r="U897" s="886"/>
      <c r="V897" s="886"/>
      <c r="W897" s="886"/>
    </row>
    <row r="898" spans="3:23">
      <c r="C898" s="942"/>
      <c r="D898" s="942"/>
      <c r="E898" s="943"/>
      <c r="F898" s="886"/>
      <c r="G898" s="886"/>
      <c r="H898" s="886"/>
      <c r="I898" s="886"/>
      <c r="J898" s="886"/>
      <c r="K898" s="886"/>
      <c r="L898" s="886"/>
      <c r="M898" s="886"/>
      <c r="N898" s="886"/>
      <c r="O898" s="886"/>
      <c r="P898" s="886"/>
      <c r="Q898" s="886"/>
      <c r="R898" s="886"/>
      <c r="S898" s="886"/>
      <c r="T898" s="886"/>
      <c r="U898" s="886"/>
      <c r="V898" s="886"/>
      <c r="W898" s="886"/>
    </row>
    <row r="899" spans="3:23">
      <c r="C899" s="942"/>
      <c r="D899" s="942"/>
      <c r="E899" s="943"/>
      <c r="F899" s="886"/>
      <c r="G899" s="886"/>
      <c r="H899" s="886"/>
      <c r="I899" s="886"/>
      <c r="J899" s="886"/>
      <c r="K899" s="886"/>
      <c r="L899" s="886"/>
      <c r="M899" s="886"/>
      <c r="N899" s="886"/>
      <c r="O899" s="886"/>
      <c r="P899" s="886"/>
      <c r="Q899" s="886"/>
      <c r="R899" s="886"/>
      <c r="S899" s="886"/>
      <c r="T899" s="886"/>
      <c r="U899" s="886"/>
      <c r="V899" s="886"/>
      <c r="W899" s="886"/>
    </row>
    <row r="900" spans="3:23">
      <c r="C900" s="942"/>
      <c r="D900" s="942"/>
      <c r="E900" s="943"/>
      <c r="F900" s="886"/>
      <c r="G900" s="886"/>
      <c r="H900" s="886"/>
      <c r="I900" s="886"/>
      <c r="J900" s="886"/>
      <c r="K900" s="886"/>
      <c r="L900" s="886"/>
      <c r="M900" s="886"/>
      <c r="N900" s="886"/>
      <c r="O900" s="886"/>
      <c r="P900" s="886"/>
      <c r="Q900" s="886"/>
      <c r="R900" s="886"/>
      <c r="S900" s="886"/>
      <c r="T900" s="886"/>
      <c r="U900" s="886"/>
      <c r="V900" s="886"/>
      <c r="W900" s="886"/>
    </row>
    <row r="901" spans="3:23">
      <c r="C901" s="942"/>
      <c r="D901" s="942"/>
      <c r="E901" s="943"/>
      <c r="F901" s="886"/>
      <c r="G901" s="886"/>
      <c r="H901" s="886"/>
      <c r="I901" s="886"/>
      <c r="J901" s="886"/>
      <c r="K901" s="886"/>
      <c r="L901" s="886"/>
      <c r="M901" s="886"/>
      <c r="N901" s="886"/>
      <c r="O901" s="886"/>
      <c r="P901" s="886"/>
      <c r="Q901" s="886"/>
      <c r="R901" s="886"/>
      <c r="S901" s="886"/>
      <c r="T901" s="886"/>
      <c r="U901" s="886"/>
      <c r="V901" s="886"/>
      <c r="W901" s="886"/>
    </row>
    <row r="902" spans="3:23">
      <c r="C902" s="942"/>
      <c r="D902" s="942"/>
      <c r="E902" s="943"/>
      <c r="F902" s="886"/>
      <c r="G902" s="886"/>
      <c r="H902" s="886"/>
      <c r="I902" s="886"/>
      <c r="J902" s="886"/>
      <c r="K902" s="886"/>
      <c r="L902" s="886"/>
      <c r="M902" s="886"/>
      <c r="N902" s="886"/>
      <c r="O902" s="886"/>
      <c r="P902" s="886"/>
      <c r="Q902" s="886"/>
      <c r="R902" s="886"/>
      <c r="S902" s="886"/>
      <c r="T902" s="886"/>
      <c r="U902" s="886"/>
      <c r="V902" s="886"/>
      <c r="W902" s="886"/>
    </row>
    <row r="903" spans="3:23">
      <c r="C903" s="942"/>
      <c r="D903" s="942"/>
      <c r="E903" s="943"/>
      <c r="F903" s="886"/>
      <c r="G903" s="886"/>
      <c r="H903" s="886"/>
      <c r="I903" s="886"/>
      <c r="J903" s="886"/>
      <c r="K903" s="886"/>
      <c r="L903" s="886"/>
      <c r="M903" s="886"/>
      <c r="N903" s="886"/>
      <c r="O903" s="886"/>
      <c r="P903" s="886"/>
      <c r="Q903" s="886"/>
      <c r="R903" s="886"/>
      <c r="S903" s="886"/>
      <c r="T903" s="886"/>
      <c r="U903" s="886"/>
      <c r="V903" s="886"/>
      <c r="W903" s="886"/>
    </row>
    <row r="904" spans="3:23">
      <c r="C904" s="942"/>
      <c r="D904" s="942"/>
      <c r="E904" s="943"/>
      <c r="F904" s="886"/>
      <c r="G904" s="886"/>
      <c r="H904" s="886"/>
      <c r="I904" s="886"/>
      <c r="J904" s="886"/>
      <c r="K904" s="886"/>
      <c r="L904" s="886"/>
      <c r="M904" s="886"/>
      <c r="N904" s="886"/>
      <c r="O904" s="886"/>
      <c r="P904" s="886"/>
      <c r="Q904" s="886"/>
      <c r="R904" s="886"/>
      <c r="S904" s="886"/>
      <c r="T904" s="886"/>
      <c r="U904" s="886"/>
      <c r="V904" s="886"/>
      <c r="W904" s="886"/>
    </row>
    <row r="905" spans="3:23">
      <c r="C905" s="942"/>
      <c r="D905" s="942"/>
      <c r="E905" s="943"/>
      <c r="F905" s="886"/>
      <c r="G905" s="886"/>
      <c r="H905" s="886"/>
      <c r="I905" s="886"/>
      <c r="J905" s="886"/>
      <c r="K905" s="886"/>
      <c r="L905" s="886"/>
      <c r="M905" s="886"/>
      <c r="N905" s="886"/>
      <c r="O905" s="886"/>
      <c r="P905" s="886"/>
      <c r="Q905" s="886"/>
      <c r="R905" s="886"/>
      <c r="S905" s="886"/>
      <c r="T905" s="886"/>
      <c r="U905" s="886"/>
      <c r="V905" s="886"/>
      <c r="W905" s="886"/>
    </row>
    <row r="906" spans="3:23">
      <c r="C906" s="942"/>
      <c r="D906" s="942"/>
      <c r="E906" s="943"/>
      <c r="F906" s="886"/>
      <c r="G906" s="886"/>
      <c r="H906" s="886"/>
      <c r="I906" s="886"/>
      <c r="J906" s="886"/>
      <c r="K906" s="886"/>
      <c r="L906" s="886"/>
      <c r="M906" s="886"/>
      <c r="N906" s="886"/>
      <c r="O906" s="886"/>
      <c r="P906" s="886"/>
      <c r="Q906" s="886"/>
      <c r="R906" s="886"/>
      <c r="S906" s="886"/>
      <c r="T906" s="886"/>
      <c r="U906" s="886"/>
      <c r="V906" s="886"/>
      <c r="W906" s="886"/>
    </row>
    <row r="907" spans="3:23">
      <c r="C907" s="942"/>
      <c r="D907" s="942"/>
      <c r="E907" s="943"/>
      <c r="F907" s="886"/>
      <c r="G907" s="886"/>
      <c r="H907" s="886"/>
      <c r="I907" s="886"/>
      <c r="J907" s="886"/>
      <c r="K907" s="886"/>
      <c r="L907" s="886"/>
      <c r="M907" s="886"/>
      <c r="N907" s="886"/>
      <c r="O907" s="886"/>
      <c r="P907" s="886"/>
      <c r="Q907" s="886"/>
      <c r="R907" s="886"/>
      <c r="S907" s="886"/>
      <c r="T907" s="886"/>
      <c r="U907" s="886"/>
      <c r="V907" s="886"/>
      <c r="W907" s="886"/>
    </row>
    <row r="908" spans="3:23">
      <c r="C908" s="942"/>
      <c r="D908" s="942"/>
      <c r="E908" s="943"/>
      <c r="F908" s="886"/>
      <c r="G908" s="886"/>
      <c r="H908" s="886"/>
      <c r="I908" s="886"/>
      <c r="J908" s="886"/>
      <c r="K908" s="886"/>
      <c r="L908" s="886"/>
      <c r="M908" s="886"/>
      <c r="N908" s="886"/>
      <c r="O908" s="886"/>
      <c r="P908" s="886"/>
      <c r="Q908" s="886"/>
      <c r="R908" s="886"/>
      <c r="S908" s="886"/>
      <c r="T908" s="886"/>
      <c r="U908" s="886"/>
      <c r="V908" s="886"/>
      <c r="W908" s="886"/>
    </row>
    <row r="909" spans="3:23">
      <c r="C909" s="942"/>
      <c r="D909" s="942"/>
      <c r="E909" s="943"/>
      <c r="F909" s="886"/>
      <c r="G909" s="886"/>
      <c r="H909" s="886"/>
      <c r="I909" s="886"/>
      <c r="J909" s="886"/>
      <c r="K909" s="886"/>
      <c r="L909" s="886"/>
      <c r="M909" s="886"/>
      <c r="N909" s="886"/>
      <c r="O909" s="886"/>
      <c r="P909" s="886"/>
      <c r="Q909" s="886"/>
      <c r="R909" s="886"/>
      <c r="S909" s="886"/>
      <c r="T909" s="886"/>
      <c r="U909" s="886"/>
      <c r="V909" s="886"/>
      <c r="W909" s="886"/>
    </row>
    <row r="910" spans="3:23">
      <c r="C910" s="942"/>
      <c r="D910" s="942"/>
      <c r="E910" s="943"/>
      <c r="F910" s="886"/>
      <c r="G910" s="886"/>
      <c r="H910" s="886"/>
      <c r="I910" s="886"/>
      <c r="J910" s="886"/>
      <c r="K910" s="886"/>
      <c r="L910" s="886"/>
      <c r="M910" s="886"/>
      <c r="N910" s="886"/>
      <c r="O910" s="886"/>
      <c r="P910" s="886"/>
      <c r="Q910" s="886"/>
      <c r="R910" s="886"/>
      <c r="S910" s="886"/>
      <c r="T910" s="886"/>
      <c r="U910" s="886"/>
      <c r="V910" s="886"/>
      <c r="W910" s="886"/>
    </row>
    <row r="911" spans="3:23">
      <c r="C911" s="942"/>
      <c r="D911" s="942"/>
      <c r="E911" s="943"/>
      <c r="F911" s="886"/>
      <c r="G911" s="886"/>
      <c r="H911" s="886"/>
      <c r="I911" s="886"/>
      <c r="J911" s="886"/>
      <c r="K911" s="886"/>
      <c r="L911" s="886"/>
      <c r="M911" s="886"/>
      <c r="N911" s="886"/>
      <c r="O911" s="886"/>
      <c r="P911" s="886"/>
      <c r="Q911" s="886"/>
      <c r="R911" s="886"/>
      <c r="S911" s="886"/>
      <c r="T911" s="886"/>
      <c r="U911" s="886"/>
      <c r="V911" s="886"/>
      <c r="W911" s="886"/>
    </row>
    <row r="912" spans="3:23">
      <c r="C912" s="942"/>
      <c r="D912" s="942"/>
      <c r="E912" s="943"/>
      <c r="F912" s="886"/>
      <c r="G912" s="886"/>
      <c r="H912" s="886"/>
      <c r="I912" s="886"/>
      <c r="J912" s="886"/>
      <c r="K912" s="886"/>
      <c r="L912" s="886"/>
      <c r="M912" s="886"/>
      <c r="N912" s="886"/>
      <c r="O912" s="886"/>
      <c r="P912" s="886"/>
      <c r="Q912" s="886"/>
      <c r="R912" s="886"/>
      <c r="S912" s="886"/>
      <c r="T912" s="886"/>
      <c r="U912" s="886"/>
      <c r="V912" s="886"/>
      <c r="W912" s="886"/>
    </row>
    <row r="913" spans="3:23">
      <c r="C913" s="942"/>
      <c r="D913" s="942"/>
      <c r="E913" s="943"/>
      <c r="F913" s="886"/>
      <c r="G913" s="886"/>
      <c r="H913" s="886"/>
      <c r="I913" s="886"/>
      <c r="J913" s="886"/>
      <c r="K913" s="886"/>
      <c r="L913" s="886"/>
      <c r="M913" s="886"/>
      <c r="N913" s="886"/>
      <c r="O913" s="886"/>
      <c r="P913" s="886"/>
      <c r="Q913" s="886"/>
      <c r="R913" s="886"/>
      <c r="S913" s="886"/>
      <c r="T913" s="886"/>
      <c r="U913" s="886"/>
      <c r="V913" s="886"/>
      <c r="W913" s="886"/>
    </row>
    <row r="914" spans="3:23">
      <c r="C914" s="942"/>
      <c r="D914" s="942"/>
      <c r="E914" s="943"/>
      <c r="F914" s="886"/>
      <c r="G914" s="886"/>
      <c r="H914" s="886"/>
      <c r="I914" s="886"/>
      <c r="J914" s="886"/>
      <c r="K914" s="886"/>
      <c r="L914" s="886"/>
      <c r="M914" s="886"/>
      <c r="N914" s="886"/>
      <c r="O914" s="886"/>
      <c r="P914" s="886"/>
      <c r="Q914" s="886"/>
      <c r="R914" s="886"/>
      <c r="S914" s="886"/>
      <c r="T914" s="886"/>
      <c r="U914" s="886"/>
      <c r="V914" s="886"/>
      <c r="W914" s="886"/>
    </row>
    <row r="915" spans="3:23">
      <c r="C915" s="942"/>
      <c r="D915" s="942"/>
      <c r="E915" s="943"/>
      <c r="F915" s="886"/>
      <c r="G915" s="886"/>
      <c r="H915" s="886"/>
      <c r="I915" s="886"/>
      <c r="J915" s="886"/>
      <c r="K915" s="886"/>
      <c r="L915" s="886"/>
      <c r="M915" s="886"/>
      <c r="N915" s="886"/>
      <c r="O915" s="886"/>
      <c r="P915" s="886"/>
      <c r="Q915" s="886"/>
      <c r="R915" s="886"/>
      <c r="S915" s="886"/>
      <c r="T915" s="886"/>
      <c r="U915" s="886"/>
      <c r="V915" s="886"/>
      <c r="W915" s="886"/>
    </row>
    <row r="916" spans="3:23">
      <c r="C916" s="942"/>
      <c r="D916" s="942"/>
      <c r="E916" s="943"/>
      <c r="F916" s="886"/>
      <c r="G916" s="886"/>
      <c r="H916" s="886"/>
      <c r="I916" s="886"/>
      <c r="J916" s="886"/>
      <c r="K916" s="886"/>
      <c r="L916" s="886"/>
      <c r="M916" s="886"/>
      <c r="N916" s="886"/>
      <c r="O916" s="886"/>
      <c r="P916" s="886"/>
      <c r="Q916" s="886"/>
      <c r="R916" s="886"/>
      <c r="S916" s="886"/>
      <c r="T916" s="886"/>
      <c r="U916" s="886"/>
      <c r="V916" s="886"/>
      <c r="W916" s="886"/>
    </row>
    <row r="917" spans="3:23">
      <c r="C917" s="942"/>
      <c r="D917" s="942"/>
      <c r="E917" s="943"/>
      <c r="F917" s="886"/>
      <c r="G917" s="886"/>
      <c r="H917" s="886"/>
      <c r="I917" s="886"/>
      <c r="J917" s="886"/>
      <c r="K917" s="886"/>
      <c r="L917" s="886"/>
      <c r="M917" s="886"/>
      <c r="N917" s="886"/>
      <c r="O917" s="886"/>
      <c r="P917" s="886"/>
      <c r="Q917" s="886"/>
      <c r="R917" s="886"/>
      <c r="S917" s="886"/>
      <c r="T917" s="886"/>
      <c r="U917" s="886"/>
      <c r="V917" s="886"/>
      <c r="W917" s="886"/>
    </row>
    <row r="918" spans="3:23">
      <c r="C918" s="942"/>
      <c r="D918" s="942"/>
      <c r="E918" s="943"/>
      <c r="F918" s="886"/>
      <c r="G918" s="886"/>
      <c r="H918" s="886"/>
      <c r="I918" s="886"/>
      <c r="J918" s="886"/>
      <c r="K918" s="886"/>
      <c r="L918" s="886"/>
      <c r="M918" s="886"/>
      <c r="N918" s="886"/>
      <c r="O918" s="886"/>
      <c r="P918" s="886"/>
      <c r="Q918" s="886"/>
      <c r="R918" s="886"/>
      <c r="S918" s="886"/>
      <c r="T918" s="886"/>
      <c r="U918" s="886"/>
      <c r="V918" s="886"/>
      <c r="W918" s="886"/>
    </row>
    <row r="919" spans="3:23">
      <c r="C919" s="942"/>
      <c r="D919" s="942"/>
      <c r="E919" s="943"/>
      <c r="F919" s="886"/>
      <c r="G919" s="886"/>
      <c r="H919" s="886"/>
      <c r="I919" s="886"/>
      <c r="J919" s="886"/>
      <c r="K919" s="886"/>
      <c r="L919" s="886"/>
      <c r="M919" s="886"/>
      <c r="N919" s="886"/>
      <c r="O919" s="886"/>
      <c r="P919" s="886"/>
      <c r="Q919" s="886"/>
      <c r="R919" s="886"/>
      <c r="S919" s="886"/>
      <c r="T919" s="886"/>
      <c r="U919" s="886"/>
      <c r="V919" s="886"/>
      <c r="W919" s="886"/>
    </row>
    <row r="920" spans="3:23">
      <c r="C920" s="942"/>
      <c r="D920" s="942"/>
      <c r="E920" s="943"/>
      <c r="F920" s="886"/>
      <c r="G920" s="886"/>
      <c r="H920" s="886"/>
      <c r="I920" s="886"/>
      <c r="J920" s="886"/>
      <c r="K920" s="886"/>
      <c r="L920" s="886"/>
      <c r="M920" s="886"/>
      <c r="N920" s="886"/>
      <c r="O920" s="886"/>
      <c r="P920" s="886"/>
      <c r="Q920" s="886"/>
      <c r="R920" s="886"/>
      <c r="S920" s="886"/>
      <c r="T920" s="886"/>
      <c r="U920" s="886"/>
      <c r="V920" s="886"/>
      <c r="W920" s="886"/>
    </row>
    <row r="921" spans="3:23">
      <c r="C921" s="942"/>
      <c r="D921" s="942"/>
      <c r="E921" s="943"/>
      <c r="F921" s="886"/>
      <c r="G921" s="886"/>
      <c r="H921" s="886"/>
      <c r="I921" s="886"/>
      <c r="J921" s="886"/>
      <c r="K921" s="886"/>
      <c r="L921" s="886"/>
      <c r="M921" s="886"/>
      <c r="N921" s="886"/>
      <c r="O921" s="886"/>
      <c r="P921" s="886"/>
      <c r="Q921" s="886"/>
      <c r="R921" s="886"/>
      <c r="S921" s="886"/>
      <c r="T921" s="886"/>
      <c r="U921" s="886"/>
      <c r="V921" s="886"/>
      <c r="W921" s="886"/>
    </row>
    <row r="922" spans="3:23">
      <c r="C922" s="942"/>
      <c r="D922" s="942"/>
      <c r="E922" s="943"/>
      <c r="F922" s="886"/>
      <c r="G922" s="886"/>
      <c r="H922" s="886"/>
      <c r="I922" s="886"/>
      <c r="J922" s="886"/>
      <c r="K922" s="886"/>
      <c r="L922" s="886"/>
      <c r="M922" s="886"/>
      <c r="N922" s="886"/>
      <c r="O922" s="886"/>
      <c r="P922" s="886"/>
      <c r="Q922" s="886"/>
      <c r="R922" s="886"/>
      <c r="S922" s="886"/>
      <c r="T922" s="886"/>
      <c r="U922" s="886"/>
      <c r="V922" s="886"/>
      <c r="W922" s="886"/>
    </row>
    <row r="923" spans="3:23">
      <c r="C923" s="942"/>
      <c r="D923" s="942"/>
      <c r="E923" s="943"/>
      <c r="F923" s="886"/>
      <c r="G923" s="886"/>
      <c r="H923" s="886"/>
      <c r="I923" s="886"/>
      <c r="J923" s="886"/>
      <c r="K923" s="886"/>
      <c r="L923" s="886"/>
      <c r="M923" s="886"/>
      <c r="N923" s="886"/>
      <c r="O923" s="886"/>
      <c r="P923" s="886"/>
      <c r="Q923" s="886"/>
      <c r="R923" s="886"/>
      <c r="S923" s="886"/>
      <c r="T923" s="886"/>
      <c r="U923" s="886"/>
      <c r="V923" s="886"/>
      <c r="W923" s="886"/>
    </row>
    <row r="924" spans="3:23">
      <c r="C924" s="942"/>
      <c r="D924" s="942"/>
      <c r="E924" s="943"/>
      <c r="F924" s="886"/>
      <c r="G924" s="886"/>
      <c r="H924" s="886"/>
      <c r="I924" s="886"/>
      <c r="J924" s="886"/>
      <c r="K924" s="886"/>
      <c r="L924" s="886"/>
      <c r="M924" s="886"/>
      <c r="N924" s="886"/>
      <c r="O924" s="886"/>
      <c r="P924" s="886"/>
      <c r="Q924" s="886"/>
      <c r="R924" s="886"/>
      <c r="S924" s="886"/>
      <c r="T924" s="886"/>
      <c r="U924" s="886"/>
      <c r="V924" s="886"/>
      <c r="W924" s="886"/>
    </row>
    <row r="925" spans="3:23">
      <c r="C925" s="942"/>
      <c r="D925" s="942"/>
      <c r="E925" s="943"/>
      <c r="F925" s="886"/>
      <c r="G925" s="886"/>
      <c r="H925" s="886"/>
      <c r="I925" s="886"/>
      <c r="J925" s="886"/>
      <c r="K925" s="886"/>
      <c r="L925" s="886"/>
      <c r="M925" s="886"/>
      <c r="N925" s="886"/>
      <c r="O925" s="886"/>
      <c r="P925" s="886"/>
      <c r="Q925" s="886"/>
      <c r="R925" s="886"/>
      <c r="S925" s="886"/>
      <c r="T925" s="886"/>
      <c r="U925" s="886"/>
      <c r="V925" s="886"/>
      <c r="W925" s="886"/>
    </row>
    <row r="926" spans="3:23">
      <c r="C926" s="942"/>
      <c r="D926" s="942"/>
      <c r="E926" s="943"/>
      <c r="F926" s="886"/>
      <c r="G926" s="886"/>
      <c r="H926" s="886"/>
      <c r="I926" s="886"/>
      <c r="J926" s="886"/>
      <c r="K926" s="886"/>
      <c r="L926" s="886"/>
      <c r="M926" s="886"/>
      <c r="N926" s="886"/>
      <c r="O926" s="886"/>
      <c r="P926" s="886"/>
      <c r="Q926" s="886"/>
      <c r="R926" s="886"/>
      <c r="S926" s="886"/>
      <c r="T926" s="886"/>
      <c r="U926" s="886"/>
      <c r="V926" s="886"/>
      <c r="W926" s="886"/>
    </row>
    <row r="927" spans="3:23">
      <c r="C927" s="942"/>
      <c r="D927" s="942"/>
      <c r="E927" s="943"/>
      <c r="F927" s="886"/>
      <c r="G927" s="886"/>
      <c r="H927" s="886"/>
      <c r="I927" s="886"/>
      <c r="J927" s="886"/>
      <c r="K927" s="886"/>
      <c r="L927" s="886"/>
      <c r="M927" s="886"/>
      <c r="N927" s="886"/>
      <c r="O927" s="886"/>
      <c r="P927" s="886"/>
      <c r="Q927" s="886"/>
      <c r="R927" s="886"/>
      <c r="S927" s="886"/>
      <c r="T927" s="886"/>
      <c r="U927" s="886"/>
      <c r="V927" s="886"/>
      <c r="W927" s="886"/>
    </row>
    <row r="928" spans="3:23">
      <c r="C928" s="942"/>
      <c r="D928" s="942"/>
      <c r="E928" s="943"/>
      <c r="F928" s="886"/>
      <c r="G928" s="886"/>
      <c r="H928" s="886"/>
      <c r="I928" s="886"/>
      <c r="J928" s="886"/>
      <c r="K928" s="886"/>
      <c r="L928" s="886"/>
      <c r="M928" s="886"/>
      <c r="N928" s="886"/>
      <c r="O928" s="886"/>
      <c r="P928" s="886"/>
      <c r="Q928" s="886"/>
      <c r="R928" s="886"/>
      <c r="S928" s="886"/>
      <c r="T928" s="886"/>
      <c r="U928" s="886"/>
      <c r="V928" s="886"/>
      <c r="W928" s="886"/>
    </row>
    <row r="929" spans="3:23">
      <c r="C929" s="942"/>
      <c r="D929" s="942"/>
      <c r="E929" s="943"/>
      <c r="F929" s="886"/>
      <c r="G929" s="886"/>
      <c r="H929" s="886"/>
      <c r="I929" s="886"/>
      <c r="J929" s="886"/>
      <c r="K929" s="886"/>
      <c r="L929" s="886"/>
      <c r="M929" s="886"/>
      <c r="N929" s="886"/>
      <c r="O929" s="886"/>
      <c r="P929" s="886"/>
      <c r="Q929" s="886"/>
      <c r="R929" s="886"/>
      <c r="S929" s="886"/>
      <c r="T929" s="886"/>
      <c r="U929" s="886"/>
      <c r="V929" s="886"/>
      <c r="W929" s="886"/>
    </row>
    <row r="930" spans="3:23">
      <c r="C930" s="942"/>
      <c r="D930" s="942"/>
      <c r="E930" s="943"/>
      <c r="F930" s="886"/>
      <c r="G930" s="886"/>
      <c r="H930" s="886"/>
      <c r="I930" s="886"/>
      <c r="J930" s="886"/>
      <c r="K930" s="886"/>
      <c r="L930" s="886"/>
      <c r="M930" s="886"/>
      <c r="N930" s="886"/>
      <c r="O930" s="886"/>
      <c r="P930" s="886"/>
      <c r="Q930" s="886"/>
      <c r="R930" s="886"/>
      <c r="S930" s="886"/>
      <c r="T930" s="886"/>
      <c r="U930" s="886"/>
      <c r="V930" s="886"/>
      <c r="W930" s="886"/>
    </row>
    <row r="931" spans="3:23">
      <c r="C931" s="942"/>
      <c r="D931" s="942"/>
      <c r="E931" s="943"/>
      <c r="F931" s="886"/>
      <c r="G931" s="886"/>
      <c r="H931" s="886"/>
      <c r="I931" s="886"/>
      <c r="J931" s="886"/>
      <c r="K931" s="886"/>
      <c r="L931" s="886"/>
      <c r="M931" s="886"/>
      <c r="N931" s="886"/>
      <c r="O931" s="886"/>
      <c r="P931" s="886"/>
      <c r="Q931" s="886"/>
      <c r="R931" s="886"/>
      <c r="S931" s="886"/>
      <c r="T931" s="886"/>
      <c r="U931" s="886"/>
      <c r="V931" s="886"/>
      <c r="W931" s="886"/>
    </row>
    <row r="932" spans="3:23">
      <c r="C932" s="942"/>
      <c r="D932" s="942"/>
      <c r="E932" s="943"/>
      <c r="F932" s="886"/>
      <c r="G932" s="886"/>
      <c r="H932" s="886"/>
      <c r="I932" s="886"/>
      <c r="J932" s="886"/>
      <c r="K932" s="886"/>
      <c r="L932" s="886"/>
      <c r="M932" s="886"/>
      <c r="N932" s="886"/>
      <c r="O932" s="886"/>
      <c r="P932" s="886"/>
      <c r="Q932" s="886"/>
      <c r="R932" s="886"/>
      <c r="S932" s="886"/>
      <c r="T932" s="886"/>
      <c r="U932" s="886"/>
      <c r="V932" s="886"/>
      <c r="W932" s="886"/>
    </row>
    <row r="933" spans="3:23">
      <c r="C933" s="942"/>
      <c r="D933" s="942"/>
      <c r="E933" s="943"/>
      <c r="F933" s="886"/>
      <c r="G933" s="886"/>
      <c r="H933" s="886"/>
      <c r="I933" s="886"/>
      <c r="J933" s="886"/>
      <c r="K933" s="886"/>
      <c r="L933" s="886"/>
      <c r="M933" s="886"/>
      <c r="N933" s="886"/>
      <c r="O933" s="886"/>
      <c r="P933" s="886"/>
      <c r="Q933" s="886"/>
      <c r="R933" s="886"/>
      <c r="S933" s="886"/>
      <c r="T933" s="886"/>
      <c r="U933" s="886"/>
      <c r="V933" s="886"/>
      <c r="W933" s="886"/>
    </row>
    <row r="934" spans="3:23">
      <c r="C934" s="942"/>
      <c r="D934" s="942"/>
      <c r="E934" s="943"/>
      <c r="F934" s="886"/>
      <c r="G934" s="886"/>
      <c r="H934" s="886"/>
      <c r="I934" s="886"/>
      <c r="J934" s="886"/>
      <c r="K934" s="886"/>
      <c r="L934" s="886"/>
      <c r="M934" s="886"/>
      <c r="N934" s="886"/>
      <c r="O934" s="886"/>
      <c r="P934" s="886"/>
      <c r="Q934" s="886"/>
      <c r="R934" s="886"/>
      <c r="S934" s="886"/>
      <c r="T934" s="886"/>
      <c r="U934" s="886"/>
      <c r="V934" s="886"/>
      <c r="W934" s="886"/>
    </row>
    <row r="935" spans="3:23">
      <c r="C935" s="942"/>
      <c r="D935" s="942"/>
      <c r="E935" s="943"/>
      <c r="F935" s="886"/>
      <c r="G935" s="886"/>
      <c r="H935" s="886"/>
      <c r="I935" s="886"/>
      <c r="J935" s="886"/>
      <c r="K935" s="886"/>
      <c r="L935" s="886"/>
      <c r="M935" s="886"/>
      <c r="N935" s="886"/>
      <c r="O935" s="886"/>
      <c r="P935" s="886"/>
      <c r="Q935" s="886"/>
      <c r="R935" s="886"/>
      <c r="S935" s="886"/>
      <c r="T935" s="886"/>
      <c r="U935" s="886"/>
      <c r="V935" s="886"/>
      <c r="W935" s="886"/>
    </row>
    <row r="936" spans="3:23">
      <c r="C936" s="942"/>
      <c r="D936" s="942"/>
      <c r="E936" s="943"/>
      <c r="F936" s="886"/>
      <c r="G936" s="886"/>
      <c r="H936" s="886"/>
      <c r="I936" s="886"/>
      <c r="J936" s="886"/>
      <c r="K936" s="886"/>
      <c r="L936" s="886"/>
      <c r="M936" s="886"/>
      <c r="N936" s="886"/>
      <c r="O936" s="886"/>
      <c r="P936" s="886"/>
      <c r="Q936" s="886"/>
      <c r="R936" s="886"/>
      <c r="S936" s="886"/>
      <c r="T936" s="886"/>
      <c r="U936" s="886"/>
      <c r="V936" s="886"/>
      <c r="W936" s="886"/>
    </row>
    <row r="937" spans="3:23">
      <c r="C937" s="942"/>
      <c r="D937" s="942"/>
      <c r="E937" s="943"/>
      <c r="F937" s="886"/>
      <c r="G937" s="886"/>
      <c r="H937" s="886"/>
      <c r="I937" s="886"/>
      <c r="J937" s="886"/>
      <c r="K937" s="886"/>
      <c r="L937" s="886"/>
      <c r="M937" s="886"/>
      <c r="N937" s="886"/>
      <c r="O937" s="886"/>
      <c r="P937" s="886"/>
      <c r="Q937" s="886"/>
      <c r="R937" s="886"/>
      <c r="S937" s="886"/>
      <c r="T937" s="886"/>
      <c r="U937" s="886"/>
      <c r="V937" s="886"/>
      <c r="W937" s="886"/>
    </row>
    <row r="938" spans="3:23">
      <c r="C938" s="942"/>
      <c r="D938" s="942"/>
      <c r="E938" s="943"/>
      <c r="F938" s="886"/>
      <c r="G938" s="886"/>
      <c r="H938" s="886"/>
      <c r="I938" s="886"/>
      <c r="J938" s="886"/>
      <c r="K938" s="886"/>
      <c r="L938" s="886"/>
      <c r="M938" s="886"/>
      <c r="N938" s="886"/>
      <c r="O938" s="886"/>
      <c r="P938" s="886"/>
      <c r="Q938" s="886"/>
      <c r="R938" s="886"/>
      <c r="S938" s="886"/>
      <c r="T938" s="886"/>
      <c r="U938" s="886"/>
      <c r="V938" s="886"/>
      <c r="W938" s="886"/>
    </row>
    <row r="939" spans="3:23">
      <c r="C939" s="942"/>
      <c r="D939" s="942"/>
      <c r="E939" s="943"/>
      <c r="F939" s="886"/>
      <c r="G939" s="886"/>
      <c r="H939" s="886"/>
      <c r="I939" s="886"/>
      <c r="J939" s="886"/>
      <c r="K939" s="886"/>
      <c r="L939" s="886"/>
      <c r="M939" s="886"/>
      <c r="N939" s="886"/>
      <c r="O939" s="886"/>
      <c r="P939" s="886"/>
      <c r="Q939" s="886"/>
      <c r="R939" s="886"/>
      <c r="S939" s="886"/>
      <c r="T939" s="886"/>
      <c r="U939" s="886"/>
      <c r="V939" s="886"/>
      <c r="W939" s="886"/>
    </row>
    <row r="940" spans="3:23">
      <c r="C940" s="942"/>
      <c r="D940" s="942"/>
      <c r="E940" s="943"/>
      <c r="F940" s="886"/>
      <c r="G940" s="886"/>
      <c r="H940" s="886"/>
      <c r="I940" s="886"/>
      <c r="J940" s="886"/>
      <c r="K940" s="886"/>
      <c r="L940" s="886"/>
      <c r="M940" s="886"/>
      <c r="N940" s="886"/>
      <c r="O940" s="886"/>
      <c r="P940" s="886"/>
      <c r="Q940" s="886"/>
      <c r="R940" s="886"/>
      <c r="S940" s="886"/>
      <c r="T940" s="886"/>
      <c r="U940" s="886"/>
      <c r="V940" s="886"/>
      <c r="W940" s="886"/>
    </row>
    <row r="941" spans="3:23">
      <c r="C941" s="942"/>
      <c r="D941" s="942"/>
      <c r="E941" s="943"/>
      <c r="F941" s="886"/>
      <c r="G941" s="886"/>
      <c r="H941" s="886"/>
      <c r="I941" s="886"/>
      <c r="J941" s="886"/>
      <c r="K941" s="886"/>
      <c r="L941" s="886"/>
      <c r="M941" s="886"/>
      <c r="N941" s="886"/>
      <c r="O941" s="886"/>
      <c r="P941" s="886"/>
      <c r="Q941" s="886"/>
      <c r="R941" s="886"/>
      <c r="S941" s="886"/>
      <c r="T941" s="886"/>
      <c r="U941" s="886"/>
      <c r="V941" s="886"/>
      <c r="W941" s="886"/>
    </row>
    <row r="942" spans="3:23">
      <c r="C942" s="942"/>
      <c r="D942" s="942"/>
      <c r="E942" s="943"/>
      <c r="F942" s="886"/>
      <c r="G942" s="886"/>
      <c r="H942" s="886"/>
      <c r="I942" s="886"/>
      <c r="J942" s="886"/>
      <c r="K942" s="886"/>
      <c r="L942" s="886"/>
      <c r="M942" s="886"/>
      <c r="N942" s="886"/>
      <c r="O942" s="886"/>
      <c r="P942" s="886"/>
      <c r="Q942" s="886"/>
      <c r="R942" s="886"/>
      <c r="S942" s="886"/>
      <c r="T942" s="886"/>
      <c r="U942" s="886"/>
      <c r="V942" s="886"/>
      <c r="W942" s="886"/>
    </row>
    <row r="943" spans="3:23">
      <c r="C943" s="942"/>
      <c r="D943" s="942"/>
      <c r="E943" s="943"/>
      <c r="F943" s="886"/>
      <c r="G943" s="886"/>
      <c r="H943" s="886"/>
      <c r="I943" s="886"/>
      <c r="J943" s="886"/>
      <c r="K943" s="886"/>
      <c r="L943" s="886"/>
      <c r="M943" s="886"/>
      <c r="N943" s="886"/>
      <c r="O943" s="886"/>
      <c r="P943" s="886"/>
      <c r="Q943" s="886"/>
      <c r="R943" s="886"/>
      <c r="S943" s="886"/>
      <c r="T943" s="886"/>
      <c r="U943" s="886"/>
      <c r="V943" s="886"/>
      <c r="W943" s="886"/>
    </row>
    <row r="944" spans="3:23">
      <c r="C944" s="942"/>
      <c r="D944" s="942"/>
      <c r="E944" s="943"/>
      <c r="F944" s="886"/>
      <c r="G944" s="886"/>
      <c r="H944" s="886"/>
      <c r="I944" s="886"/>
      <c r="J944" s="886"/>
      <c r="K944" s="886"/>
      <c r="L944" s="886"/>
      <c r="M944" s="886"/>
      <c r="N944" s="886"/>
      <c r="O944" s="886"/>
      <c r="P944" s="886"/>
      <c r="Q944" s="886"/>
      <c r="R944" s="886"/>
      <c r="S944" s="886"/>
      <c r="T944" s="886"/>
      <c r="U944" s="886"/>
      <c r="V944" s="886"/>
      <c r="W944" s="886"/>
    </row>
    <row r="945" spans="3:23">
      <c r="C945" s="942"/>
      <c r="D945" s="942"/>
      <c r="E945" s="943"/>
      <c r="F945" s="886"/>
      <c r="G945" s="886"/>
      <c r="H945" s="886"/>
      <c r="J945" s="886"/>
      <c r="K945" s="886"/>
      <c r="L945" s="886"/>
      <c r="M945" s="886"/>
      <c r="N945" s="886"/>
      <c r="O945" s="886"/>
      <c r="P945" s="886"/>
      <c r="Q945" s="886"/>
      <c r="R945" s="886"/>
      <c r="S945" s="886"/>
      <c r="T945" s="886"/>
      <c r="U945" s="886"/>
      <c r="V945" s="886"/>
      <c r="W945" s="886"/>
    </row>
    <row r="946" spans="3:23">
      <c r="C946" s="942"/>
      <c r="D946" s="942"/>
      <c r="E946" s="943"/>
      <c r="F946" s="886"/>
      <c r="G946" s="886"/>
      <c r="H946" s="886"/>
      <c r="J946" s="886"/>
      <c r="K946" s="886"/>
      <c r="L946" s="886"/>
      <c r="M946" s="886"/>
      <c r="N946" s="886"/>
      <c r="O946" s="886"/>
      <c r="P946" s="886"/>
      <c r="Q946" s="886"/>
      <c r="R946" s="886"/>
      <c r="S946" s="886"/>
      <c r="T946" s="886"/>
      <c r="U946" s="886"/>
      <c r="V946" s="886"/>
      <c r="W946" s="886"/>
    </row>
    <row r="947" spans="3:23">
      <c r="C947" s="942"/>
      <c r="D947" s="942"/>
      <c r="E947" s="943"/>
      <c r="F947" s="886"/>
      <c r="G947" s="886"/>
      <c r="H947" s="886"/>
      <c r="J947" s="886"/>
      <c r="K947" s="886"/>
      <c r="L947" s="886"/>
      <c r="M947" s="886"/>
      <c r="N947" s="886"/>
      <c r="O947" s="886"/>
      <c r="P947" s="886"/>
      <c r="Q947" s="886"/>
      <c r="R947" s="886"/>
      <c r="S947" s="886"/>
      <c r="T947" s="886"/>
      <c r="U947" s="886"/>
      <c r="V947" s="886"/>
      <c r="W947" s="886"/>
    </row>
    <row r="948" spans="3:23">
      <c r="C948" s="942"/>
      <c r="D948" s="942"/>
      <c r="E948" s="943"/>
      <c r="F948" s="886"/>
      <c r="G948" s="886"/>
      <c r="H948" s="886"/>
      <c r="J948" s="886"/>
      <c r="K948" s="886"/>
      <c r="L948" s="886"/>
      <c r="M948" s="886"/>
      <c r="N948" s="886"/>
      <c r="O948" s="886"/>
      <c r="P948" s="886"/>
      <c r="Q948" s="886"/>
      <c r="R948" s="886"/>
      <c r="S948" s="886"/>
      <c r="T948" s="886"/>
      <c r="U948" s="886"/>
      <c r="V948" s="886"/>
      <c r="W948" s="886"/>
    </row>
    <row r="949" spans="3:23">
      <c r="C949" s="942"/>
      <c r="D949" s="942"/>
      <c r="E949" s="943"/>
      <c r="F949" s="886"/>
      <c r="G949" s="886"/>
      <c r="H949" s="886"/>
      <c r="J949" s="886"/>
      <c r="K949" s="886"/>
      <c r="L949" s="886"/>
      <c r="M949" s="886"/>
      <c r="N949" s="886"/>
      <c r="O949" s="886"/>
      <c r="P949" s="886"/>
      <c r="Q949" s="886"/>
      <c r="R949" s="886"/>
      <c r="S949" s="886"/>
      <c r="T949" s="886"/>
      <c r="U949" s="886"/>
      <c r="V949" s="886"/>
      <c r="W949" s="886"/>
    </row>
    <row r="950" spans="3:23">
      <c r="E950" s="943"/>
      <c r="J950" s="886"/>
      <c r="K950" s="886"/>
      <c r="L950" s="886"/>
      <c r="M950" s="886"/>
      <c r="N950" s="886"/>
      <c r="O950" s="886"/>
      <c r="P950" s="886"/>
      <c r="Q950" s="886"/>
      <c r="R950" s="886"/>
      <c r="S950" s="886"/>
      <c r="T950" s="886"/>
      <c r="U950" s="886"/>
      <c r="V950" s="886"/>
      <c r="W950" s="886"/>
    </row>
    <row r="951" spans="3:23">
      <c r="E951" s="943"/>
      <c r="J951" s="886"/>
      <c r="K951" s="886"/>
      <c r="L951" s="886"/>
      <c r="M951" s="886"/>
      <c r="N951" s="886"/>
      <c r="O951" s="886"/>
      <c r="P951" s="886"/>
      <c r="Q951" s="886"/>
      <c r="R951" s="886"/>
      <c r="S951" s="886"/>
      <c r="T951" s="886"/>
      <c r="U951" s="886"/>
      <c r="V951" s="886"/>
      <c r="W951" s="886"/>
    </row>
    <row r="952" spans="3:23">
      <c r="E952" s="943"/>
      <c r="J952" s="886"/>
      <c r="K952" s="886"/>
      <c r="L952" s="886"/>
      <c r="M952" s="886"/>
      <c r="N952" s="886"/>
      <c r="O952" s="886"/>
      <c r="P952" s="886"/>
      <c r="Q952" s="886"/>
      <c r="R952" s="886"/>
      <c r="S952" s="886"/>
      <c r="T952" s="886"/>
      <c r="U952" s="886"/>
      <c r="V952" s="886"/>
      <c r="W952" s="886"/>
    </row>
    <row r="953" spans="3:23">
      <c r="E953" s="943"/>
      <c r="J953" s="886"/>
      <c r="K953" s="886"/>
      <c r="L953" s="886"/>
      <c r="M953" s="886"/>
      <c r="N953" s="886"/>
      <c r="O953" s="886"/>
      <c r="P953" s="886"/>
      <c r="Q953" s="886"/>
      <c r="R953" s="886"/>
      <c r="S953" s="886"/>
      <c r="T953" s="886"/>
      <c r="U953" s="886"/>
      <c r="V953" s="886"/>
      <c r="W953" s="886"/>
    </row>
    <row r="954" spans="3:23">
      <c r="E954" s="943"/>
      <c r="J954" s="886"/>
      <c r="K954" s="886"/>
      <c r="L954" s="886"/>
      <c r="M954" s="886"/>
      <c r="N954" s="886"/>
      <c r="O954" s="886"/>
      <c r="P954" s="886"/>
      <c r="Q954" s="886"/>
      <c r="R954" s="886"/>
      <c r="S954" s="886"/>
      <c r="T954" s="886"/>
      <c r="U954" s="886"/>
      <c r="V954" s="886"/>
      <c r="W954" s="886"/>
    </row>
    <row r="955" spans="3:23">
      <c r="E955" s="943"/>
    </row>
    <row r="956" spans="3:23">
      <c r="E956" s="943"/>
    </row>
    <row r="957" spans="3:23">
      <c r="E957" s="943"/>
    </row>
    <row r="958" spans="3:23">
      <c r="E958" s="943"/>
    </row>
    <row r="959" spans="3:23">
      <c r="E959" s="943"/>
    </row>
    <row r="960" spans="3:23">
      <c r="E960" s="943"/>
    </row>
    <row r="961" spans="5:5">
      <c r="E961" s="943"/>
    </row>
    <row r="962" spans="5:5">
      <c r="E962" s="943"/>
    </row>
    <row r="963" spans="5:5">
      <c r="E963" s="943"/>
    </row>
    <row r="964" spans="5:5">
      <c r="E964" s="943"/>
    </row>
    <row r="965" spans="5:5">
      <c r="E965" s="943"/>
    </row>
    <row r="966" spans="5:5">
      <c r="E966" s="943"/>
    </row>
    <row r="967" spans="5:5">
      <c r="E967" s="943"/>
    </row>
    <row r="968" spans="5:5">
      <c r="E968" s="943"/>
    </row>
    <row r="969" spans="5:5">
      <c r="E969" s="943"/>
    </row>
    <row r="970" spans="5:5">
      <c r="E970" s="943"/>
    </row>
    <row r="971" spans="5:5">
      <c r="E971" s="943"/>
    </row>
    <row r="972" spans="5:5">
      <c r="E972" s="943"/>
    </row>
    <row r="973" spans="5:5">
      <c r="E973" s="943"/>
    </row>
    <row r="974" spans="5:5">
      <c r="E974" s="943"/>
    </row>
    <row r="975" spans="5:5">
      <c r="E975" s="943"/>
    </row>
    <row r="976" spans="5:5">
      <c r="E976" s="943"/>
    </row>
    <row r="977" spans="5:5">
      <c r="E977" s="943"/>
    </row>
    <row r="978" spans="5:5">
      <c r="E978" s="943"/>
    </row>
    <row r="979" spans="5:5">
      <c r="E979" s="943"/>
    </row>
    <row r="980" spans="5:5">
      <c r="E980" s="943"/>
    </row>
    <row r="981" spans="5:5">
      <c r="E981" s="943"/>
    </row>
    <row r="982" spans="5:5">
      <c r="E982" s="943"/>
    </row>
    <row r="983" spans="5:5">
      <c r="E983" s="943"/>
    </row>
    <row r="984" spans="5:5">
      <c r="E984" s="943"/>
    </row>
    <row r="985" spans="5:5">
      <c r="E985" s="943"/>
    </row>
    <row r="986" spans="5:5">
      <c r="E986" s="943"/>
    </row>
    <row r="987" spans="5:5">
      <c r="E987" s="943"/>
    </row>
    <row r="988" spans="5:5">
      <c r="E988" s="943"/>
    </row>
    <row r="989" spans="5:5">
      <c r="E989" s="943"/>
    </row>
  </sheetData>
  <mergeCells count="14">
    <mergeCell ref="B26:B27"/>
    <mergeCell ref="B29:B30"/>
    <mergeCell ref="C5:D5"/>
    <mergeCell ref="F5:I5"/>
    <mergeCell ref="C2:I2"/>
    <mergeCell ref="C3:D3"/>
    <mergeCell ref="F3:I3"/>
    <mergeCell ref="C4:D4"/>
    <mergeCell ref="F4:I4"/>
    <mergeCell ref="B18:B24"/>
    <mergeCell ref="C7:D7"/>
    <mergeCell ref="F7:H7"/>
    <mergeCell ref="C9:I9"/>
    <mergeCell ref="C15:I15"/>
  </mergeCells>
  <conditionalFormatting sqref="F16:I17">
    <cfRule type="expression" dxfId="4" priority="1">
      <formula>"✔"</formula>
    </cfRule>
  </conditionalFormatting>
  <conditionalFormatting sqref="F25:I26">
    <cfRule type="expression" dxfId="3" priority="2">
      <formula>"✔"</formula>
    </cfRule>
  </conditionalFormatting>
  <conditionalFormatting sqref="F28:I29">
    <cfRule type="expression" dxfId="2" priority="4">
      <formula>"✔"</formula>
    </cfRule>
  </conditionalFormatting>
  <dataValidations count="1">
    <dataValidation type="list" allowBlank="1" showInputMessage="1" showErrorMessage="1" sqref="C18:C24 C29:D29" xr:uid="{E4D5CE1D-18C9-4753-9251-985F14115733}">
      <formula1>GTLI_Features</formula1>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5D9A6E7-8ABE-46BE-982D-CE3709CE8EDF}">
          <x14:formula1>
            <xm:f>'GTLI DB'!$A$8:$A$16</xm:f>
          </x14:formula1>
          <xm:sqref>F8:I8</xm:sqref>
        </x14:dataValidation>
        <x14:dataValidation type="list" allowBlank="1" showInputMessage="1" showErrorMessage="1" xr:uid="{D16C3970-EC1D-43EB-BB5B-2D43C77D6F74}">
          <x14:formula1>
            <xm:f>'GTLI DB'!$D$7:$N$7</xm:f>
          </x14:formula1>
          <xm:sqref>C30 C26:C27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1DF49-D214-4E17-A68C-B33D909A06EF}">
  <dimension ref="A1:Y40"/>
  <sheetViews>
    <sheetView showGridLines="0" zoomScaleNormal="100" workbookViewId="0">
      <pane xSplit="4" ySplit="14" topLeftCell="E15" activePane="bottomRight" state="frozen"/>
      <selection pane="topRight" activeCell="E1" sqref="E1"/>
      <selection pane="bottomLeft" activeCell="A15" sqref="A15"/>
      <selection pane="bottomRight" activeCell="H16" sqref="H16"/>
    </sheetView>
  </sheetViews>
  <sheetFormatPr defaultColWidth="26.5546875" defaultRowHeight="12.6"/>
  <cols>
    <col min="1" max="1" width="2.21875" style="1087" customWidth="1"/>
    <col min="2" max="2" width="26.5546875" style="1087"/>
    <col min="3" max="3" width="33.77734375" style="1087" customWidth="1"/>
    <col min="4" max="4" width="0.88671875" style="1087" customWidth="1"/>
    <col min="5" max="5" width="32.6640625" style="1087" customWidth="1"/>
    <col min="6" max="8" width="33.44140625" style="1087" customWidth="1"/>
    <col min="9" max="9" width="32.21875" style="1087" hidden="1" customWidth="1"/>
    <col min="10" max="16384" width="26.5546875" style="1087"/>
  </cols>
  <sheetData>
    <row r="1" spans="1:9" ht="13.2" thickBot="1"/>
    <row r="2" spans="1:9" ht="13.2" thickBot="1">
      <c r="C2" s="1381" t="s">
        <v>577</v>
      </c>
      <c r="D2" s="1374"/>
      <c r="E2" s="1374"/>
      <c r="F2" s="1374"/>
      <c r="G2" s="1374"/>
      <c r="H2" s="1374"/>
      <c r="I2" s="1374"/>
    </row>
    <row r="3" spans="1:9">
      <c r="B3" s="1152"/>
      <c r="C3" s="1169" t="s">
        <v>337</v>
      </c>
      <c r="D3" s="1167"/>
      <c r="E3" s="1378" t="str">
        <f>'Company Info'!B4</f>
        <v>ABC</v>
      </c>
      <c r="F3" s="1378"/>
      <c r="G3" s="1378"/>
      <c r="H3" s="1378"/>
      <c r="I3" s="1378"/>
    </row>
    <row r="4" spans="1:9">
      <c r="B4" s="1152"/>
      <c r="C4" s="1170" t="s">
        <v>338</v>
      </c>
      <c r="D4" s="1168"/>
      <c r="E4" s="1379" t="s">
        <v>339</v>
      </c>
      <c r="F4" s="1379"/>
      <c r="G4" s="1379"/>
      <c r="H4" s="1379"/>
      <c r="I4" s="1379"/>
    </row>
    <row r="5" spans="1:9" ht="13.2" thickBot="1">
      <c r="B5" s="1152"/>
      <c r="C5" s="1171" t="s">
        <v>341</v>
      </c>
      <c r="E5" s="1380" t="s">
        <v>342</v>
      </c>
      <c r="F5" s="1380"/>
      <c r="G5" s="1380"/>
      <c r="H5" s="1380"/>
      <c r="I5" s="1380"/>
    </row>
    <row r="6" spans="1:9" ht="13.2" thickBot="1"/>
    <row r="7" spans="1:9" ht="13.2" thickBot="1">
      <c r="E7" s="1332" t="s">
        <v>122</v>
      </c>
      <c r="F7" s="1332"/>
      <c r="G7" s="1332"/>
      <c r="H7" s="1332"/>
      <c r="I7" s="1332"/>
    </row>
    <row r="8" spans="1:9" ht="13.2" thickBot="1">
      <c r="E8" s="1163"/>
      <c r="F8" s="1088" t="s">
        <v>578</v>
      </c>
      <c r="G8" s="1089" t="s">
        <v>579</v>
      </c>
      <c r="H8" s="1090" t="s">
        <v>580</v>
      </c>
      <c r="I8" s="1091" t="s">
        <v>581</v>
      </c>
    </row>
    <row r="9" spans="1:9" ht="13.2" thickBot="1">
      <c r="C9" s="1374" t="s">
        <v>347</v>
      </c>
      <c r="D9" s="1374"/>
      <c r="E9" s="1374"/>
      <c r="F9" s="1374"/>
      <c r="G9" s="1374"/>
      <c r="H9" s="1374"/>
      <c r="I9" s="1374"/>
    </row>
    <row r="10" spans="1:9">
      <c r="C10" s="1092" t="s">
        <v>518</v>
      </c>
      <c r="D10" s="1093"/>
      <c r="E10" s="1164" t="s">
        <v>349</v>
      </c>
      <c r="F10" s="1094" t="s">
        <v>582</v>
      </c>
      <c r="G10" s="1094" t="s">
        <v>583</v>
      </c>
      <c r="H10" s="1095" t="s">
        <v>584</v>
      </c>
      <c r="I10" s="1096" t="s">
        <v>82</v>
      </c>
    </row>
    <row r="11" spans="1:9">
      <c r="C11" s="1097" t="s">
        <v>563</v>
      </c>
      <c r="D11" s="1093"/>
      <c r="E11" s="1165" t="s">
        <v>349</v>
      </c>
      <c r="F11" s="1175">
        <f>F12*F13</f>
        <v>99900</v>
      </c>
      <c r="G11" s="1175">
        <f>G12*G13</f>
        <v>299900</v>
      </c>
      <c r="H11" s="1175">
        <f>H12*H13</f>
        <v>799900</v>
      </c>
      <c r="I11" s="1176" t="s">
        <v>82</v>
      </c>
    </row>
    <row r="12" spans="1:9">
      <c r="C12" s="1097" t="s">
        <v>585</v>
      </c>
      <c r="D12" s="1093"/>
      <c r="E12" s="1165" t="s">
        <v>353</v>
      </c>
      <c r="F12" s="1177">
        <v>100</v>
      </c>
      <c r="G12" s="1177">
        <v>100</v>
      </c>
      <c r="H12" s="1178">
        <v>100</v>
      </c>
      <c r="I12" s="1176" t="s">
        <v>82</v>
      </c>
    </row>
    <row r="13" spans="1:9" ht="13.2" thickBot="1">
      <c r="C13" s="1098" t="s">
        <v>586</v>
      </c>
      <c r="D13" s="1093"/>
      <c r="E13" s="1166" t="s">
        <v>349</v>
      </c>
      <c r="F13" s="1179">
        <v>999</v>
      </c>
      <c r="G13" s="1180">
        <v>2999</v>
      </c>
      <c r="H13" s="1181">
        <v>7999</v>
      </c>
      <c r="I13" s="1176" t="s">
        <v>82</v>
      </c>
    </row>
    <row r="14" spans="1:9" ht="13.2" thickBot="1">
      <c r="C14" s="1381" t="s">
        <v>587</v>
      </c>
      <c r="D14" s="1374"/>
      <c r="E14" s="1374"/>
      <c r="F14" s="1374"/>
      <c r="G14" s="1374"/>
      <c r="H14" s="1374"/>
      <c r="I14" s="1374"/>
    </row>
    <row r="15" spans="1:9" ht="13.8" customHeight="1" thickBot="1">
      <c r="A15" s="1152"/>
      <c r="B15" s="1387" t="s">
        <v>1120</v>
      </c>
      <c r="C15" s="1172" t="s">
        <v>121</v>
      </c>
      <c r="E15" s="1185" t="s">
        <v>82</v>
      </c>
      <c r="F15" s="1182" t="s">
        <v>1130</v>
      </c>
      <c r="G15" s="1183" t="s">
        <v>1130</v>
      </c>
      <c r="H15" s="1184" t="s">
        <v>1130</v>
      </c>
      <c r="I15" s="1100" t="s">
        <v>82</v>
      </c>
    </row>
    <row r="16" spans="1:9" ht="13.8" customHeight="1" thickBot="1">
      <c r="A16" s="1152"/>
      <c r="B16" s="1387"/>
      <c r="C16" s="1173" t="s">
        <v>589</v>
      </c>
      <c r="E16" s="1156" t="s">
        <v>590</v>
      </c>
      <c r="F16" s="932" t="s">
        <v>591</v>
      </c>
      <c r="G16" s="933" t="s">
        <v>591</v>
      </c>
      <c r="H16" s="1102" t="s">
        <v>591</v>
      </c>
      <c r="I16" s="1103" t="s">
        <v>82</v>
      </c>
    </row>
    <row r="17" spans="1:25" ht="13.8" customHeight="1" thickBot="1">
      <c r="A17" s="1152"/>
      <c r="B17" s="1387"/>
      <c r="C17" s="1173" t="s">
        <v>592</v>
      </c>
      <c r="E17" s="1156" t="s">
        <v>593</v>
      </c>
      <c r="F17" s="932" t="s">
        <v>483</v>
      </c>
      <c r="G17" s="933" t="s">
        <v>483</v>
      </c>
      <c r="H17" s="1102" t="s">
        <v>483</v>
      </c>
      <c r="I17" s="1103" t="s">
        <v>82</v>
      </c>
    </row>
    <row r="18" spans="1:25" ht="13.8" customHeight="1" thickBot="1">
      <c r="A18" s="1152"/>
      <c r="B18" s="1388"/>
      <c r="C18" s="1174" t="s">
        <v>594</v>
      </c>
      <c r="E18" s="1157" t="s">
        <v>595</v>
      </c>
      <c r="F18" s="1104" t="s">
        <v>483</v>
      </c>
      <c r="G18" s="1105" t="s">
        <v>483</v>
      </c>
      <c r="H18" s="1106" t="s">
        <v>483</v>
      </c>
      <c r="I18" s="1107" t="s">
        <v>82</v>
      </c>
    </row>
    <row r="19" spans="1:25" s="882" customFormat="1" ht="4.2" customHeight="1" thickBot="1">
      <c r="C19" s="953"/>
      <c r="D19" s="942"/>
      <c r="E19" s="887"/>
      <c r="F19" s="953"/>
      <c r="G19" s="953"/>
      <c r="H19" s="953"/>
      <c r="I19" s="1087"/>
      <c r="J19" s="886"/>
      <c r="K19" s="886"/>
      <c r="L19" s="886"/>
      <c r="M19" s="886"/>
      <c r="N19" s="886"/>
      <c r="O19" s="886"/>
      <c r="P19" s="886"/>
      <c r="Q19" s="886"/>
      <c r="R19" s="886"/>
      <c r="S19" s="886"/>
      <c r="T19" s="886"/>
      <c r="U19" s="886"/>
      <c r="V19" s="886"/>
      <c r="W19" s="886"/>
    </row>
    <row r="20" spans="1:25" ht="13.8" customHeight="1">
      <c r="B20" s="1382" t="s">
        <v>535</v>
      </c>
      <c r="C20" s="1384" t="s">
        <v>596</v>
      </c>
      <c r="E20" s="1158" t="s">
        <v>597</v>
      </c>
      <c r="F20" s="928" t="s">
        <v>598</v>
      </c>
      <c r="G20" s="929" t="s">
        <v>598</v>
      </c>
      <c r="H20" s="1108" t="s">
        <v>598</v>
      </c>
      <c r="I20" s="1109" t="s">
        <v>82</v>
      </c>
    </row>
    <row r="21" spans="1:25" ht="13.8" customHeight="1" thickBot="1">
      <c r="B21" s="1382"/>
      <c r="C21" s="1384"/>
      <c r="E21" s="1159" t="s">
        <v>599</v>
      </c>
      <c r="F21" s="936" t="s">
        <v>600</v>
      </c>
      <c r="G21" s="937" t="s">
        <v>600</v>
      </c>
      <c r="H21" s="1110" t="s">
        <v>600</v>
      </c>
      <c r="I21" s="1111" t="s">
        <v>82</v>
      </c>
    </row>
    <row r="22" spans="1:25" s="951" customFormat="1" ht="4.2" customHeight="1" thickBot="1">
      <c r="B22" s="1385"/>
      <c r="C22" s="1151"/>
      <c r="D22" s="1150"/>
      <c r="E22" s="1112"/>
      <c r="F22" s="1113"/>
      <c r="G22" s="1114"/>
      <c r="H22" s="1087"/>
      <c r="I22" s="1087"/>
      <c r="J22" s="1087"/>
      <c r="K22" s="1087"/>
      <c r="L22" s="952"/>
      <c r="M22" s="952"/>
      <c r="N22" s="952"/>
      <c r="O22" s="952"/>
      <c r="P22" s="952"/>
      <c r="Q22" s="952"/>
      <c r="R22" s="952"/>
      <c r="S22" s="952"/>
      <c r="T22" s="952"/>
      <c r="U22" s="952"/>
      <c r="V22" s="952"/>
      <c r="W22" s="952"/>
    </row>
    <row r="23" spans="1:25" ht="13.8" customHeight="1" thickBot="1">
      <c r="B23" s="1386"/>
      <c r="C23" s="1154" t="s">
        <v>601</v>
      </c>
      <c r="D23" s="1152"/>
      <c r="E23" s="1158" t="s">
        <v>602</v>
      </c>
      <c r="F23" s="1395" t="s">
        <v>582</v>
      </c>
      <c r="G23" s="1396" t="s">
        <v>603</v>
      </c>
      <c r="H23" s="1397" t="s">
        <v>604</v>
      </c>
      <c r="I23" s="1392" t="s">
        <v>82</v>
      </c>
    </row>
    <row r="24" spans="1:25" ht="13.8" customHeight="1" thickBot="1">
      <c r="B24" s="1386"/>
      <c r="C24" s="1155" t="s">
        <v>605</v>
      </c>
      <c r="D24" s="1152"/>
      <c r="E24" s="1159" t="s">
        <v>606</v>
      </c>
      <c r="F24" s="1395"/>
      <c r="G24" s="1396"/>
      <c r="H24" s="1397"/>
      <c r="I24" s="1392"/>
    </row>
    <row r="25" spans="1:25" s="951" customFormat="1" ht="4.2" customHeight="1" thickBot="1">
      <c r="B25" s="1385"/>
      <c r="C25" s="887"/>
      <c r="D25" s="1150"/>
      <c r="E25" s="953"/>
      <c r="F25" s="953"/>
      <c r="G25" s="953"/>
      <c r="H25" s="953"/>
      <c r="I25" s="1087"/>
      <c r="J25" s="1087"/>
      <c r="K25" s="1087"/>
      <c r="L25" s="952"/>
      <c r="M25" s="952"/>
      <c r="N25" s="952"/>
      <c r="O25" s="952"/>
      <c r="P25" s="952"/>
      <c r="Q25" s="952"/>
      <c r="R25" s="952"/>
      <c r="S25" s="952"/>
      <c r="T25" s="952"/>
      <c r="U25" s="952"/>
      <c r="V25" s="952"/>
      <c r="W25" s="952"/>
    </row>
    <row r="26" spans="1:25" ht="13.8" customHeight="1" thickBot="1">
      <c r="B26" s="1386"/>
      <c r="C26" s="1153" t="s">
        <v>607</v>
      </c>
      <c r="D26" s="1152"/>
      <c r="E26" s="1160" t="s">
        <v>608</v>
      </c>
      <c r="F26" s="1115" t="s">
        <v>485</v>
      </c>
      <c r="G26" s="1116" t="s">
        <v>603</v>
      </c>
      <c r="H26" s="1117" t="s">
        <v>604</v>
      </c>
      <c r="I26" s="1118" t="s">
        <v>82</v>
      </c>
    </row>
    <row r="27" spans="1:25" s="951" customFormat="1" ht="4.2" customHeight="1" thickBot="1">
      <c r="B27" s="1385"/>
      <c r="C27" s="953"/>
      <c r="D27" s="953"/>
      <c r="E27" s="953"/>
      <c r="F27" s="953"/>
      <c r="G27" s="953"/>
      <c r="H27" s="953"/>
      <c r="I27" s="1087"/>
      <c r="J27" s="1087"/>
      <c r="K27" s="1087"/>
      <c r="L27" s="952"/>
      <c r="M27" s="952"/>
      <c r="N27" s="952"/>
      <c r="O27" s="952"/>
      <c r="P27" s="952"/>
      <c r="Q27" s="952"/>
      <c r="R27" s="952"/>
      <c r="S27" s="952"/>
      <c r="T27" s="952"/>
      <c r="U27" s="952"/>
      <c r="V27" s="952"/>
      <c r="W27" s="952"/>
      <c r="X27" s="952"/>
      <c r="Y27" s="952"/>
    </row>
    <row r="28" spans="1:25" ht="13.8" customHeight="1" thickBot="1">
      <c r="B28" s="1382"/>
      <c r="C28" s="1099" t="s">
        <v>609</v>
      </c>
      <c r="E28" s="1156" t="s">
        <v>610</v>
      </c>
      <c r="F28" s="1389" t="s">
        <v>485</v>
      </c>
      <c r="G28" s="1398" t="s">
        <v>485</v>
      </c>
      <c r="H28" s="1401" t="s">
        <v>604</v>
      </c>
      <c r="I28" s="1392" t="s">
        <v>82</v>
      </c>
    </row>
    <row r="29" spans="1:25" ht="13.8" customHeight="1">
      <c r="B29" s="1382"/>
      <c r="C29" s="1101" t="s">
        <v>611</v>
      </c>
      <c r="E29" s="1156" t="s">
        <v>612</v>
      </c>
      <c r="F29" s="1390"/>
      <c r="G29" s="1399"/>
      <c r="H29" s="1402"/>
      <c r="I29" s="1393"/>
    </row>
    <row r="30" spans="1:25" ht="13.8" customHeight="1" thickBot="1">
      <c r="B30" s="1382"/>
      <c r="C30" s="1119" t="s">
        <v>613</v>
      </c>
      <c r="E30" s="1159" t="s">
        <v>614</v>
      </c>
      <c r="F30" s="1391"/>
      <c r="G30" s="1400"/>
      <c r="H30" s="1403"/>
      <c r="I30" s="1394"/>
    </row>
    <row r="31" spans="1:25" s="882" customFormat="1" ht="4.2" customHeight="1" thickBot="1">
      <c r="C31" s="953"/>
      <c r="D31" s="953"/>
      <c r="E31" s="887"/>
      <c r="F31" s="953"/>
      <c r="G31" s="953"/>
      <c r="H31" s="953"/>
      <c r="I31" s="1087"/>
      <c r="J31" s="1087"/>
      <c r="K31" s="1087"/>
      <c r="L31" s="886"/>
      <c r="M31" s="886"/>
      <c r="N31" s="886"/>
      <c r="O31" s="886"/>
      <c r="P31" s="886"/>
      <c r="Q31" s="886"/>
      <c r="R31" s="886"/>
      <c r="S31" s="886"/>
      <c r="T31" s="886"/>
      <c r="U31" s="886"/>
      <c r="V31" s="886"/>
      <c r="W31" s="886"/>
    </row>
    <row r="32" spans="1:25" ht="13.8" customHeight="1">
      <c r="B32" s="1382" t="s">
        <v>615</v>
      </c>
      <c r="C32" s="1099" t="s">
        <v>616</v>
      </c>
      <c r="E32" s="1161" t="s">
        <v>82</v>
      </c>
      <c r="F32" s="1120" t="s">
        <v>617</v>
      </c>
      <c r="G32" s="1121" t="s">
        <v>617</v>
      </c>
      <c r="H32" s="1122" t="s">
        <v>617</v>
      </c>
      <c r="I32" s="1109" t="s">
        <v>82</v>
      </c>
    </row>
    <row r="33" spans="2:23" ht="13.8" customHeight="1" thickBot="1">
      <c r="B33" s="1383"/>
      <c r="C33" s="1119" t="s">
        <v>618</v>
      </c>
      <c r="E33" s="1162" t="s">
        <v>82</v>
      </c>
      <c r="F33" s="1123" t="s">
        <v>619</v>
      </c>
      <c r="G33" s="1124" t="s">
        <v>619</v>
      </c>
      <c r="H33" s="1125" t="s">
        <v>619</v>
      </c>
      <c r="I33" s="1107" t="s">
        <v>82</v>
      </c>
    </row>
    <row r="34" spans="2:23" s="882" customFormat="1">
      <c r="C34" s="953"/>
      <c r="D34" s="953"/>
      <c r="E34" s="887"/>
      <c r="F34" s="953"/>
      <c r="G34" s="953"/>
      <c r="H34" s="953"/>
      <c r="I34" s="1087"/>
      <c r="J34" s="1087"/>
      <c r="K34" s="1087"/>
      <c r="L34" s="886"/>
      <c r="M34" s="886"/>
      <c r="N34" s="886"/>
      <c r="O34" s="886"/>
      <c r="P34" s="886"/>
      <c r="Q34" s="886"/>
      <c r="R34" s="886"/>
      <c r="S34" s="886"/>
      <c r="T34" s="886"/>
      <c r="U34" s="886"/>
      <c r="V34" s="886"/>
      <c r="W34" s="886"/>
    </row>
    <row r="35" spans="2:23">
      <c r="B35" s="1126" t="s">
        <v>620</v>
      </c>
    </row>
    <row r="36" spans="2:23">
      <c r="B36" s="1127" t="s">
        <v>621</v>
      </c>
    </row>
    <row r="37" spans="2:23">
      <c r="B37" s="1127" t="s">
        <v>622</v>
      </c>
      <c r="E37" s="1128"/>
    </row>
    <row r="38" spans="2:23">
      <c r="B38" s="1129" t="s">
        <v>623</v>
      </c>
    </row>
    <row r="39" spans="2:23">
      <c r="B39" s="1093"/>
      <c r="C39" s="1093"/>
      <c r="D39" s="1093"/>
    </row>
    <row r="40" spans="2:23" ht="13.2" thickBot="1"/>
  </sheetData>
  <mergeCells count="19">
    <mergeCell ref="B32:B33"/>
    <mergeCell ref="C20:C21"/>
    <mergeCell ref="B20:B30"/>
    <mergeCell ref="B15:B18"/>
    <mergeCell ref="E7:I7"/>
    <mergeCell ref="C14:I14"/>
    <mergeCell ref="F28:F30"/>
    <mergeCell ref="I28:I30"/>
    <mergeCell ref="F23:F24"/>
    <mergeCell ref="G23:G24"/>
    <mergeCell ref="H23:H24"/>
    <mergeCell ref="I23:I24"/>
    <mergeCell ref="G28:G30"/>
    <mergeCell ref="H28:H30"/>
    <mergeCell ref="E3:I3"/>
    <mergeCell ref="E4:I4"/>
    <mergeCell ref="E5:I5"/>
    <mergeCell ref="C2:I2"/>
    <mergeCell ref="C9:I9"/>
  </mergeCells>
  <hyperlinks>
    <hyperlink ref="B38" r:id="rId1" xr:uid="{5BCF3087-515B-4CEB-B4BF-362240AABEFD}"/>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408C-4D0B-4B22-9B3A-4C47B10A0EA5}">
  <sheetPr codeName="Sheet12"/>
  <dimension ref="A1:X957"/>
  <sheetViews>
    <sheetView showGridLines="0" tabSelected="1" zoomScaleNormal="100" workbookViewId="0">
      <pane xSplit="5" ySplit="9" topLeftCell="F10" activePane="bottomRight" state="frozen"/>
      <selection pane="topRight" activeCell="G27" sqref="G27"/>
      <selection pane="bottomLeft" activeCell="G27" sqref="G27"/>
      <selection pane="bottomRight" activeCell="F11" sqref="F11"/>
    </sheetView>
  </sheetViews>
  <sheetFormatPr defaultColWidth="14.44140625" defaultRowHeight="12.6"/>
  <cols>
    <col min="1" max="1" width="2.21875" style="882" customWidth="1"/>
    <col min="2" max="2" width="32.33203125" style="882" customWidth="1"/>
    <col min="3" max="3" width="24.33203125" style="882" customWidth="1"/>
    <col min="4" max="4" width="11.77734375" style="883" customWidth="1"/>
    <col min="5" max="5" width="0.77734375" style="882" customWidth="1"/>
    <col min="6" max="9" width="33.21875" style="882" customWidth="1"/>
    <col min="10" max="10" width="39.44140625" style="882" customWidth="1"/>
    <col min="11" max="24" width="8.5546875" style="882" customWidth="1"/>
    <col min="25" max="16384" width="14.44140625" style="882"/>
  </cols>
  <sheetData>
    <row r="1" spans="1:24" ht="13.2" thickBot="1">
      <c r="A1" s="881" t="str">
        <f>Inputs!B5</f>
        <v>Bandana Gupta Class</v>
      </c>
    </row>
    <row r="2" spans="1:24" ht="13.2" thickBot="1">
      <c r="A2" s="884">
        <f>Inputs!B2</f>
        <v>45177</v>
      </c>
      <c r="B2" s="885"/>
      <c r="C2" s="1418" t="s">
        <v>0</v>
      </c>
      <c r="D2" s="1419"/>
      <c r="E2" s="1419"/>
      <c r="F2" s="1419"/>
      <c r="G2" s="1419"/>
      <c r="H2" s="1419"/>
      <c r="I2" s="1420"/>
      <c r="K2" s="886"/>
      <c r="L2" s="886"/>
      <c r="M2" s="886"/>
      <c r="N2" s="886"/>
      <c r="O2" s="886"/>
      <c r="P2" s="886"/>
      <c r="Q2" s="886"/>
      <c r="R2" s="886"/>
      <c r="S2" s="886"/>
      <c r="T2" s="886"/>
      <c r="U2" s="886"/>
      <c r="V2" s="886"/>
      <c r="W2" s="886"/>
      <c r="X2" s="886"/>
    </row>
    <row r="3" spans="1:24">
      <c r="B3" s="885"/>
      <c r="C3" s="1421" t="s">
        <v>337</v>
      </c>
      <c r="D3" s="1422"/>
      <c r="E3" s="1003"/>
      <c r="F3" s="1318" t="str">
        <f>'GHI Features (Option 1)'!G3</f>
        <v>ABC</v>
      </c>
      <c r="G3" s="1423"/>
      <c r="H3" s="1423"/>
      <c r="I3" s="1424"/>
      <c r="J3" s="1004"/>
      <c r="K3" s="886"/>
      <c r="L3" s="886"/>
      <c r="M3" s="886"/>
      <c r="N3" s="886"/>
      <c r="O3" s="886"/>
      <c r="P3" s="886"/>
      <c r="Q3" s="886"/>
      <c r="R3" s="886"/>
      <c r="S3" s="886"/>
      <c r="T3" s="886"/>
      <c r="U3" s="886"/>
      <c r="V3" s="886"/>
      <c r="W3" s="886"/>
      <c r="X3" s="886"/>
    </row>
    <row r="4" spans="1:24">
      <c r="B4" s="885"/>
      <c r="C4" s="1425" t="s">
        <v>338</v>
      </c>
      <c r="D4" s="1426"/>
      <c r="E4" s="1003"/>
      <c r="F4" s="1427" t="str">
        <f>'GHI Features (Option 1)'!G4</f>
        <v>Rollover</v>
      </c>
      <c r="G4" s="1428"/>
      <c r="H4" s="1428"/>
      <c r="I4" s="1429"/>
      <c r="J4" s="1004"/>
      <c r="K4" s="886"/>
      <c r="L4" s="886"/>
      <c r="M4" s="886"/>
      <c r="N4" s="886"/>
      <c r="O4" s="886"/>
      <c r="P4" s="886"/>
      <c r="Q4" s="886"/>
      <c r="R4" s="886"/>
      <c r="S4" s="886"/>
      <c r="T4" s="886"/>
      <c r="U4" s="886"/>
      <c r="V4" s="886"/>
      <c r="W4" s="886"/>
      <c r="X4" s="886"/>
    </row>
    <row r="5" spans="1:24">
      <c r="B5" s="885"/>
      <c r="C5" s="1425" t="s">
        <v>341</v>
      </c>
      <c r="D5" s="1426"/>
      <c r="E5" s="1003"/>
      <c r="F5" s="1427" t="str">
        <f>'GHI Features (Option 1)'!G5</f>
        <v>1-Apr-25 To 31-Mar-26</v>
      </c>
      <c r="G5" s="1428"/>
      <c r="H5" s="1428"/>
      <c r="I5" s="1429"/>
      <c r="J5" s="1004"/>
      <c r="K5" s="886"/>
      <c r="L5" s="886"/>
      <c r="M5" s="886"/>
      <c r="N5" s="886"/>
      <c r="O5" s="886"/>
      <c r="P5" s="886"/>
      <c r="Q5" s="886"/>
      <c r="R5" s="886"/>
      <c r="S5" s="886"/>
      <c r="T5" s="886"/>
      <c r="U5" s="886"/>
      <c r="V5" s="886"/>
      <c r="W5" s="886"/>
      <c r="X5" s="886"/>
    </row>
    <row r="6" spans="1:24" ht="13.2" thickBot="1">
      <c r="B6" s="885"/>
      <c r="C6" s="888"/>
      <c r="D6" s="888"/>
      <c r="E6" s="888"/>
      <c r="F6" s="889"/>
      <c r="G6" s="889"/>
      <c r="H6" s="889"/>
      <c r="I6" s="889"/>
      <c r="J6" s="889"/>
      <c r="K6" s="886"/>
      <c r="L6" s="886"/>
      <c r="M6" s="886"/>
      <c r="N6" s="886"/>
      <c r="O6" s="886"/>
      <c r="P6" s="886"/>
      <c r="Q6" s="886"/>
      <c r="R6" s="886"/>
      <c r="S6" s="886"/>
      <c r="T6" s="886"/>
      <c r="U6" s="886"/>
      <c r="V6" s="886"/>
      <c r="W6" s="886"/>
      <c r="X6" s="886"/>
    </row>
    <row r="7" spans="1:24" ht="13.2" thickBot="1">
      <c r="B7" s="885"/>
      <c r="C7" s="1336"/>
      <c r="D7" s="1336"/>
      <c r="E7" s="888"/>
      <c r="F7" s="1332" t="s">
        <v>67</v>
      </c>
      <c r="G7" s="1333"/>
      <c r="H7" s="1334"/>
      <c r="I7" s="890" t="s">
        <v>68</v>
      </c>
      <c r="J7" s="886"/>
      <c r="K7" s="886"/>
      <c r="L7" s="886"/>
      <c r="M7" s="886"/>
      <c r="N7" s="886"/>
      <c r="O7" s="886"/>
      <c r="P7" s="886"/>
      <c r="Q7" s="886"/>
      <c r="R7" s="886"/>
      <c r="S7" s="886"/>
      <c r="T7" s="886"/>
      <c r="U7" s="886"/>
      <c r="V7" s="886"/>
      <c r="W7" s="886"/>
      <c r="X7" s="886"/>
    </row>
    <row r="8" spans="1:24" ht="13.2" thickBot="1">
      <c r="B8" s="885"/>
      <c r="C8" s="891"/>
      <c r="D8" s="891"/>
      <c r="E8" s="891"/>
      <c r="F8" s="893" t="s">
        <v>487</v>
      </c>
      <c r="G8" s="1005" t="s">
        <v>189</v>
      </c>
      <c r="H8" s="895" t="str">
        <f>Inputs!D14</f>
        <v>Manipal Cigna</v>
      </c>
      <c r="I8" s="1006" t="str">
        <f>Inputs!E14</f>
        <v>IFFCO Tokio</v>
      </c>
      <c r="J8" s="1007"/>
      <c r="L8" s="886"/>
      <c r="M8" s="886"/>
      <c r="N8" s="886"/>
      <c r="O8" s="886"/>
      <c r="P8" s="886"/>
      <c r="Q8" s="886"/>
      <c r="R8" s="886"/>
      <c r="S8" s="886"/>
      <c r="T8" s="886"/>
      <c r="U8" s="886"/>
      <c r="V8" s="886"/>
      <c r="W8" s="886"/>
      <c r="X8" s="886"/>
    </row>
    <row r="9" spans="1:24" ht="13.2" thickBot="1">
      <c r="B9" s="898"/>
      <c r="C9" s="1337" t="s">
        <v>143</v>
      </c>
      <c r="D9" s="1338"/>
      <c r="E9" s="1338"/>
      <c r="F9" s="1414"/>
      <c r="G9" s="1338"/>
      <c r="H9" s="1338"/>
      <c r="I9" s="1415"/>
      <c r="J9" s="886"/>
      <c r="L9" s="886"/>
      <c r="M9" s="886"/>
      <c r="N9" s="886"/>
      <c r="O9" s="886"/>
      <c r="P9" s="886"/>
      <c r="Q9" s="886"/>
      <c r="R9" s="886"/>
      <c r="S9" s="886"/>
      <c r="T9" s="886"/>
      <c r="U9" s="886"/>
      <c r="V9" s="886"/>
      <c r="W9" s="886"/>
      <c r="X9" s="886"/>
    </row>
    <row r="10" spans="1:24">
      <c r="B10" s="1340" t="s">
        <v>523</v>
      </c>
      <c r="C10" s="1406" t="s">
        <v>146</v>
      </c>
      <c r="D10" s="1407"/>
      <c r="E10" s="1008"/>
      <c r="F10" s="1009" t="str">
        <f>INDEX('Technical DB (Health)'!$C$3:$Q$21,MATCH(F$8,'Technical DB (Health)'!$A$3:$A$21,0),MATCH($C10,'Technical DB (Health)'!$C$2:$Q$2,0))</f>
        <v>2001</v>
      </c>
      <c r="G10" s="1010" t="str">
        <f>INDEX('Technical DB (Health)'!$C$3:$Q$21,MATCH(G$8,'Technical DB (Health)'!$A$3:$A$21,0),MATCH($C10,'Technical DB (Health)'!$C$2:$Q$2,0))</f>
        <v>2001</v>
      </c>
      <c r="H10" s="1011" t="str">
        <f>INDEX('Technical DB (Health)'!$C$3:$Q$21,MATCH(H$8,'Technical DB (Health)'!$A$3:$A$21,0),MATCH($C10,'Technical DB (Health)'!$C$2:$Q$2,0))</f>
        <v>2014</v>
      </c>
      <c r="I10" s="1012" t="str">
        <f>INDEX('Technical DB (Health)'!$C$3:$Q$21,MATCH(I$8,'Technical DB (Health)'!$A$3:$A$21,0),MATCH($C10,'Technical DB (Health)'!$C$2:$Q$2,0))</f>
        <v>2000</v>
      </c>
      <c r="J10" s="1013"/>
      <c r="K10" s="973"/>
      <c r="L10" s="886"/>
      <c r="M10" s="886"/>
      <c r="N10" s="886"/>
      <c r="O10" s="886"/>
      <c r="P10" s="886"/>
      <c r="Q10" s="886"/>
      <c r="R10" s="886"/>
      <c r="S10" s="886"/>
      <c r="T10" s="886"/>
      <c r="U10" s="886"/>
      <c r="V10" s="886"/>
      <c r="W10" s="886"/>
      <c r="X10" s="886"/>
    </row>
    <row r="11" spans="1:24" ht="42.6" customHeight="1" thickBot="1">
      <c r="B11" s="1411"/>
      <c r="C11" s="1404" t="s">
        <v>147</v>
      </c>
      <c r="D11" s="1405"/>
      <c r="E11" s="1008"/>
      <c r="F11" s="1014" t="str">
        <f>INDEX('Technical DB (Health)'!$C$3:$Q$21,MATCH(F$8,'Technical DB (Health)'!$A$3:$A$21,0),MATCH($C11,'Technical DB (Health)'!$C$2:$Q$2,0))</f>
        <v>Bajaj Finserv and Allianz SE</v>
      </c>
      <c r="G11" s="1015" t="str">
        <f>INDEX('Technical DB (Health)'!$C$3:$Q$21,MATCH(G$8,'Technical DB (Health)'!$A$3:$A$21,0),MATCH($C11,'Technical DB (Health)'!$C$2:$Q$2,0))</f>
        <v>ICICI Bank</v>
      </c>
      <c r="H11" s="1016" t="str">
        <f>INDEX('Technical DB (Health)'!$C$3:$Q$21,MATCH(H$8,'Technical DB (Health)'!$A$3:$A$21,0),MATCH($C11,'Technical DB (Health)'!$C$2:$Q$2,0))</f>
        <v>Manipal Group, Cigna Holdings</v>
      </c>
      <c r="I11" s="1017" t="str">
        <f>INDEX('Technical DB (Health)'!$C$3:$Q$21,MATCH(I$8,'Technical DB (Health)'!$A$3:$A$21,0),MATCH($C11,'Technical DB (Health)'!$C$2:$Q$2,0))</f>
        <v>IFFCO India, Tokio Marine Insurance (Japan)</v>
      </c>
      <c r="J11" s="1013"/>
      <c r="K11" s="923"/>
      <c r="L11" s="886"/>
      <c r="M11" s="886"/>
      <c r="N11" s="886"/>
      <c r="O11" s="886"/>
      <c r="P11" s="886"/>
      <c r="Q11" s="886"/>
      <c r="R11" s="886"/>
      <c r="S11" s="886"/>
      <c r="T11" s="886"/>
      <c r="U11" s="886"/>
      <c r="V11" s="886"/>
      <c r="W11" s="886"/>
      <c r="X11" s="886"/>
    </row>
    <row r="12" spans="1:24" ht="4.2" customHeight="1" thickBot="1">
      <c r="B12" s="1408"/>
      <c r="C12" s="1408"/>
      <c r="D12" s="1408"/>
      <c r="E12" s="1408"/>
      <c r="F12" s="1408"/>
      <c r="G12" s="1408"/>
      <c r="H12" s="1408"/>
      <c r="I12" s="1408"/>
      <c r="J12" s="886"/>
      <c r="K12" s="886"/>
      <c r="L12" s="886"/>
      <c r="M12" s="886"/>
      <c r="N12" s="886"/>
      <c r="O12" s="886"/>
      <c r="P12" s="886"/>
      <c r="Q12" s="886"/>
      <c r="R12" s="886"/>
      <c r="S12" s="886"/>
      <c r="T12" s="886"/>
      <c r="U12" s="886"/>
    </row>
    <row r="13" spans="1:24">
      <c r="B13" s="1346" t="s">
        <v>524</v>
      </c>
      <c r="C13" s="1409" t="s">
        <v>525</v>
      </c>
      <c r="D13" s="1410"/>
      <c r="E13" s="1008"/>
      <c r="F13" s="1009" t="str">
        <f>INDEX('Technical DB (Health)'!$C$3:$Q$21,MATCH(F$8,'Technical DB (Health)'!$A$3:$A$21,0),MATCH($C13,'Technical DB (Health)'!$C$2:$Q$2,0))</f>
        <v>₹ 3,260 Cr</v>
      </c>
      <c r="G13" s="1018" t="str">
        <f>INDEX('Technical DB (Health)'!$C$3:$Q$21,MATCH(G$8,'Technical DB (Health)'!$A$3:$A$21,0),MATCH($C13,'Technical DB (Health)'!$C$2:$Q$2,0))</f>
        <v>₹ 5,394 Cr</v>
      </c>
      <c r="H13" s="1019" t="str">
        <f>INDEX('Technical DB (Health)'!$C$3:$Q$21,MATCH(H$8,'Technical DB (Health)'!$A$3:$A$21,0),MATCH($C13,'Technical DB (Health)'!$C$2:$Q$2,0))</f>
        <v>₹ 924 Cr</v>
      </c>
      <c r="I13" s="1020" t="str">
        <f>INDEX('Technical DB (Health)'!$C$3:$Q$21,MATCH(I$8,'Technical DB (Health)'!$A$3:$A$21,0),MATCH($C13,'Technical DB (Health)'!$C$2:$Q$2,0))</f>
        <v>₹ 531 Cr</v>
      </c>
      <c r="J13" s="1007"/>
      <c r="L13" s="886"/>
      <c r="M13" s="886"/>
      <c r="N13" s="886"/>
      <c r="O13" s="886"/>
      <c r="P13" s="886"/>
      <c r="Q13" s="886"/>
      <c r="R13" s="886"/>
      <c r="S13" s="886"/>
      <c r="T13" s="886"/>
      <c r="U13" s="886"/>
      <c r="V13" s="886"/>
      <c r="W13" s="886"/>
      <c r="X13" s="886"/>
    </row>
    <row r="14" spans="1:24">
      <c r="B14" s="1347"/>
      <c r="C14" s="1412" t="s">
        <v>526</v>
      </c>
      <c r="D14" s="1413"/>
      <c r="E14" s="1021"/>
      <c r="F14" s="1022">
        <f>INDEX('Technical DB (Health)'!$C$3:$Q$21,MATCH(F$8,'Technical DB (Health)'!$A$3:$A$21,0),MATCH($C14,'Technical DB (Health)'!$C$2:$Q$2,0))</f>
        <v>0.17949999999999999</v>
      </c>
      <c r="G14" s="1023">
        <f>INDEX('Technical DB (Health)'!$C$3:$Q$21,MATCH(G$8,'Technical DB (Health)'!$A$3:$A$21,0),MATCH($C14,'Technical DB (Health)'!$C$2:$Q$2,0))</f>
        <v>9.4799999999999995E-2</v>
      </c>
      <c r="H14" s="1024">
        <f>INDEX('Technical DB (Health)'!$C$3:$Q$21,MATCH(H$8,'Technical DB (Health)'!$A$3:$A$21,0),MATCH($C14,'Technical DB (Health)'!$C$2:$Q$2,0))</f>
        <v>1.5100000000000001E-2</v>
      </c>
      <c r="I14" s="1025">
        <f>INDEX('Technical DB (Health)'!$C$3:$Q$21,MATCH(I$8,'Technical DB (Health)'!$A$3:$A$21,0),MATCH($C14,'Technical DB (Health)'!$C$2:$Q$2,0))</f>
        <v>-0.36080000000000001</v>
      </c>
      <c r="J14" s="886"/>
      <c r="L14" s="886"/>
      <c r="M14" s="886"/>
      <c r="N14" s="886"/>
      <c r="O14" s="886" t="s">
        <v>357</v>
      </c>
      <c r="P14" s="886"/>
      <c r="Q14" s="886"/>
      <c r="R14" s="886"/>
      <c r="S14" s="886"/>
      <c r="T14" s="886"/>
      <c r="U14" s="886"/>
      <c r="V14" s="886"/>
      <c r="W14" s="886"/>
      <c r="X14" s="886"/>
    </row>
    <row r="15" spans="1:24" ht="13.2" thickBot="1">
      <c r="B15" s="1348"/>
      <c r="C15" s="1416" t="s">
        <v>527</v>
      </c>
      <c r="D15" s="1417"/>
      <c r="E15" s="1008"/>
      <c r="F15" s="1026" t="str">
        <f>INDEX('Technical DB (Health)'!$C$3:$Q$21,MATCH(F$8,'Technical DB (Health)'!$A$3:$A$21,0),MATCH($C15,'Technical DB (Health)'!$C$2:$Q$2,0))</f>
        <v>3.52</v>
      </c>
      <c r="G15" s="1027" t="str">
        <f>INDEX('Technical DB (Health)'!$C$3:$Q$21,MATCH(G$8,'Technical DB (Health)'!$A$3:$A$21,0),MATCH($C15,'Technical DB (Health)'!$C$2:$Q$2,0))</f>
        <v>2.70</v>
      </c>
      <c r="H15" s="1028" t="str">
        <f>INDEX('Technical DB (Health)'!$C$3:$Q$21,MATCH(H$8,'Technical DB (Health)'!$A$3:$A$21,0),MATCH($C15,'Technical DB (Health)'!$C$2:$Q$2,0))</f>
        <v>1.91</v>
      </c>
      <c r="I15" s="1029" t="str">
        <f>INDEX('Technical DB (Health)'!$C$3:$Q$21,MATCH(I$8,'Technical DB (Health)'!$A$3:$A$21,0),MATCH($C15,'Technical DB (Health)'!$C$2:$Q$2,0))</f>
        <v>1.86</v>
      </c>
      <c r="J15" s="886"/>
      <c r="K15" s="886"/>
      <c r="L15" s="886"/>
      <c r="M15" s="886"/>
      <c r="N15" s="886"/>
      <c r="O15" s="886"/>
      <c r="P15" s="886"/>
      <c r="Q15" s="886"/>
      <c r="R15" s="886"/>
      <c r="S15" s="886"/>
      <c r="T15" s="886"/>
      <c r="U15" s="886"/>
      <c r="V15" s="886"/>
      <c r="W15" s="886"/>
      <c r="X15" s="886"/>
    </row>
    <row r="16" spans="1:24" ht="4.2" customHeight="1" thickBot="1">
      <c r="B16" s="1408"/>
      <c r="C16" s="1408"/>
      <c r="D16" s="1408"/>
      <c r="E16" s="1408"/>
      <c r="F16" s="1408"/>
      <c r="G16" s="1408"/>
      <c r="H16" s="1408"/>
      <c r="I16" s="1408"/>
      <c r="J16" s="886"/>
      <c r="K16" s="886"/>
      <c r="L16" s="886"/>
      <c r="M16" s="886"/>
      <c r="N16" s="886"/>
      <c r="O16" s="886"/>
      <c r="P16" s="886"/>
      <c r="Q16" s="886"/>
      <c r="R16" s="886"/>
      <c r="S16" s="886"/>
      <c r="T16" s="886"/>
      <c r="U16" s="886"/>
    </row>
    <row r="17" spans="2:24">
      <c r="B17" s="1346" t="s">
        <v>153</v>
      </c>
      <c r="C17" s="1409" t="s">
        <v>154</v>
      </c>
      <c r="D17" s="1410"/>
      <c r="E17" s="1008"/>
      <c r="F17" s="1009" t="str">
        <f>INDEX('Technical DB (Health)'!$C$3:$Q$21,MATCH(F$8,'Technical DB (Health)'!$A$3:$A$21,0),MATCH($C17,'Technical DB (Health)'!$C$2:$Q$2,0))</f>
        <v>10 to 20 days</v>
      </c>
      <c r="G17" s="1018" t="str">
        <f>INDEX('Technical DB (Health)'!$C$3:$Q$21,MATCH(G$8,'Technical DB (Health)'!$A$3:$A$21,0),MATCH($C17,'Technical DB (Health)'!$C$2:$Q$2,0))</f>
        <v>10 to 20 days</v>
      </c>
      <c r="H17" s="1019" t="str">
        <f>INDEX('Technical DB (Health)'!$C$3:$Q$21,MATCH(H$8,'Technical DB (Health)'!$A$3:$A$21,0),MATCH($C17,'Technical DB (Health)'!$C$2:$Q$2,0))</f>
        <v>10 to 20 days</v>
      </c>
      <c r="I17" s="1020" t="str">
        <f>INDEX('Technical DB (Health)'!$C$3:$Q$21,MATCH(I$8,'Technical DB (Health)'!$A$3:$A$21,0),MATCH($C17,'Technical DB (Health)'!$C$2:$Q$2,0))</f>
        <v>10 to 20 days</v>
      </c>
      <c r="J17" s="886"/>
      <c r="K17" s="886"/>
      <c r="L17" s="886"/>
      <c r="M17" s="886"/>
      <c r="N17" s="886"/>
      <c r="O17" s="886"/>
      <c r="P17" s="886"/>
      <c r="Q17" s="886"/>
      <c r="R17" s="886"/>
      <c r="S17" s="886"/>
      <c r="T17" s="886"/>
      <c r="U17" s="886"/>
      <c r="V17" s="886"/>
      <c r="W17" s="886"/>
      <c r="X17" s="886"/>
    </row>
    <row r="18" spans="2:24" ht="13.2" thickBot="1">
      <c r="B18" s="1348"/>
      <c r="C18" s="1404" t="s">
        <v>155</v>
      </c>
      <c r="D18" s="1405"/>
      <c r="E18" s="1030"/>
      <c r="F18" s="1026" t="str">
        <f>INDEX('Technical DB (Health)'!$C$3:$Q$21,MATCH(F$8,'Technical DB (Health)'!$A$3:$A$21,0),MATCH($C18,'Technical DB (Health)'!$C$2:$Q$2,0))</f>
        <v>1 to 3 days</v>
      </c>
      <c r="G18" s="1015" t="str">
        <f>INDEX('Technical DB (Health)'!$C$3:$Q$21,MATCH(G$8,'Technical DB (Health)'!$A$3:$A$21,0),MATCH($C18,'Technical DB (Health)'!$C$2:$Q$2,0))</f>
        <v>1 to 3 days</v>
      </c>
      <c r="H18" s="1016" t="str">
        <f>INDEX('Technical DB (Health)'!$C$3:$Q$21,MATCH(H$8,'Technical DB (Health)'!$A$3:$A$21,0),MATCH($C18,'Technical DB (Health)'!$C$2:$Q$2,0))</f>
        <v>3 to 5 days</v>
      </c>
      <c r="I18" s="1017" t="str">
        <f>INDEX('Technical DB (Health)'!$C$3:$Q$21,MATCH(I$8,'Technical DB (Health)'!$A$3:$A$21,0),MATCH($C18,'Technical DB (Health)'!$C$2:$Q$2,0))</f>
        <v>5 to 10 days</v>
      </c>
      <c r="J18" s="886"/>
      <c r="K18" s="886"/>
      <c r="L18" s="886"/>
      <c r="M18" s="886"/>
      <c r="N18" s="886"/>
      <c r="O18" s="886"/>
      <c r="P18" s="886"/>
      <c r="Q18" s="886"/>
      <c r="R18" s="886"/>
      <c r="S18" s="886"/>
      <c r="T18" s="886"/>
      <c r="U18" s="886"/>
      <c r="V18" s="886"/>
      <c r="W18" s="886"/>
      <c r="X18" s="886"/>
    </row>
    <row r="19" spans="2:24" ht="4.2" customHeight="1" thickBot="1">
      <c r="B19" s="1408"/>
      <c r="C19" s="1408"/>
      <c r="D19" s="1408"/>
      <c r="E19" s="1408"/>
      <c r="F19" s="1408"/>
      <c r="G19" s="1408"/>
      <c r="H19" s="1408"/>
      <c r="I19" s="1408"/>
      <c r="J19" s="886"/>
      <c r="K19" s="886"/>
      <c r="L19" s="886"/>
      <c r="M19" s="886"/>
      <c r="N19" s="886"/>
      <c r="O19" s="886"/>
      <c r="P19" s="886"/>
      <c r="Q19" s="886"/>
      <c r="R19" s="886"/>
      <c r="S19" s="886"/>
      <c r="T19" s="886"/>
      <c r="U19" s="886"/>
    </row>
    <row r="20" spans="2:24">
      <c r="B20" s="1346" t="s">
        <v>528</v>
      </c>
      <c r="C20" s="1409" t="s">
        <v>157</v>
      </c>
      <c r="D20" s="1410"/>
      <c r="E20" s="1031"/>
      <c r="F20" s="1009" t="str">
        <f>INDEX('Technical DB (Health)'!$C$3:$Q$21,MATCH(F$8,'Technical DB (Health)'!$A$3:$A$21,0),MATCH($C20,'Technical DB (Health)'!$C$2:$Q$2,0))</f>
        <v>12000+</v>
      </c>
      <c r="G20" s="1032" t="str">
        <f>INDEX('Technical DB (Health)'!$C$3:$Q$21,MATCH(G$8,'Technical DB (Health)'!$A$3:$A$21,0),MATCH($C20,'Technical DB (Health)'!$C$2:$Q$2,0))</f>
        <v>10,200+</v>
      </c>
      <c r="H20" s="1033" t="str">
        <f>INDEX('Technical DB (Health)'!$C$3:$Q$21,MATCH(H$8,'Technical DB (Health)'!$A$3:$A$21,0),MATCH($C20,'Technical DB (Health)'!$C$2:$Q$2,0))</f>
        <v>8,500+</v>
      </c>
      <c r="I20" s="1034" t="str">
        <f>INDEX('Technical DB (Health)'!$C$3:$Q$21,MATCH(I$8,'Technical DB (Health)'!$A$3:$A$21,0),MATCH($C20,'Technical DB (Health)'!$C$2:$Q$2,0))</f>
        <v>7,000+</v>
      </c>
      <c r="J20" s="886"/>
      <c r="K20" s="886"/>
      <c r="L20" s="886"/>
      <c r="M20" s="886"/>
      <c r="N20" s="886"/>
      <c r="O20" s="886"/>
      <c r="P20" s="886"/>
      <c r="Q20" s="886"/>
      <c r="R20" s="886"/>
      <c r="S20" s="886"/>
      <c r="T20" s="886"/>
      <c r="U20" s="886"/>
      <c r="V20" s="886"/>
      <c r="W20" s="886"/>
      <c r="X20" s="886"/>
    </row>
    <row r="21" spans="2:24">
      <c r="B21" s="1347"/>
      <c r="C21" s="1412" t="s">
        <v>158</v>
      </c>
      <c r="D21" s="1413"/>
      <c r="E21" s="1030"/>
      <c r="F21" s="1035">
        <f>INDEX('Technical DB (Health)'!$C$3:$Q$21,MATCH(F$8,'Technical DB (Health)'!$A$3:$A$21,0),MATCH($C21,'Technical DB (Health)'!$C$2:$Q$2,0))</f>
        <v>0.98</v>
      </c>
      <c r="G21" s="1036">
        <f>INDEX('Technical DB (Health)'!$C$3:$Q$21,MATCH(G$8,'Technical DB (Health)'!$A$3:$A$21,0),MATCH($C21,'Technical DB (Health)'!$C$2:$Q$2,0))</f>
        <v>0.98</v>
      </c>
      <c r="H21" s="1024">
        <f>INDEX('Technical DB (Health)'!$C$3:$Q$21,MATCH(H$8,'Technical DB (Health)'!$A$3:$A$21,0),MATCH($C21,'Technical DB (Health)'!$C$2:$Q$2,0))</f>
        <v>0.98</v>
      </c>
      <c r="I21" s="1025">
        <f>INDEX('Technical DB (Health)'!$C$3:$Q$21,MATCH(I$8,'Technical DB (Health)'!$A$3:$A$21,0),MATCH($C21,'Technical DB (Health)'!$C$2:$Q$2,0))</f>
        <v>0.98</v>
      </c>
      <c r="J21" s="886"/>
      <c r="K21" s="886"/>
      <c r="L21" s="886"/>
      <c r="M21" s="886"/>
      <c r="N21" s="886"/>
      <c r="O21" s="886"/>
      <c r="P21" s="886"/>
      <c r="Q21" s="886"/>
      <c r="R21" s="886"/>
      <c r="S21" s="886"/>
      <c r="T21" s="886"/>
      <c r="U21" s="886"/>
      <c r="V21" s="886"/>
      <c r="W21" s="886"/>
      <c r="X21" s="886"/>
    </row>
    <row r="22" spans="2:24">
      <c r="B22" s="1347"/>
      <c r="C22" s="1412" t="s">
        <v>159</v>
      </c>
      <c r="D22" s="1413"/>
      <c r="E22" s="1030"/>
      <c r="F22" s="1037" t="str">
        <f>INDEX('Technical DB (Health)'!$C$3:$Q$21,MATCH(F$8,'Technical DB (Health)'!$A$3:$A$21,0),MATCH($C22,'Technical DB (Health)'!$C$2:$Q$2,0))</f>
        <v>1 to 3 hours</v>
      </c>
      <c r="G22" s="1036" t="str">
        <f>INDEX('Technical DB (Health)'!$C$3:$Q$21,MATCH(G$8,'Technical DB (Health)'!$A$3:$A$21,0),MATCH($C22,'Technical DB (Health)'!$C$2:$Q$2,0))</f>
        <v>1 to 3 hours</v>
      </c>
      <c r="H22" s="1024" t="str">
        <f>INDEX('Technical DB (Health)'!$C$3:$Q$21,MATCH(H$8,'Technical DB (Health)'!$A$3:$A$21,0),MATCH($C22,'Technical DB (Health)'!$C$2:$Q$2,0))</f>
        <v>2 to 4 hours</v>
      </c>
      <c r="I22" s="1025" t="str">
        <f>INDEX('Technical DB (Health)'!$C$3:$Q$21,MATCH(I$8,'Technical DB (Health)'!$A$3:$A$21,0),MATCH($C22,'Technical DB (Health)'!$C$2:$Q$2,0))</f>
        <v>2 to 4 hours</v>
      </c>
      <c r="J22" s="886"/>
      <c r="K22" s="886"/>
      <c r="L22" s="886"/>
      <c r="M22" s="886"/>
      <c r="N22" s="886"/>
      <c r="O22" s="886"/>
      <c r="P22" s="886"/>
      <c r="Q22" s="886"/>
      <c r="R22" s="886"/>
      <c r="S22" s="886"/>
      <c r="T22" s="886"/>
      <c r="U22" s="886"/>
      <c r="V22" s="886"/>
      <c r="W22" s="886"/>
      <c r="X22" s="886"/>
    </row>
    <row r="23" spans="2:24">
      <c r="B23" s="1347"/>
      <c r="C23" s="1412" t="s">
        <v>160</v>
      </c>
      <c r="D23" s="1413"/>
      <c r="E23" s="1030"/>
      <c r="F23" s="1037" t="str">
        <f>INDEX('Technical DB (Health)'!$C$3:$Q$21,MATCH(F$8,'Technical DB (Health)'!$A$3:$A$21,0),MATCH($C23,'Technical DB (Health)'!$C$2:$Q$2,0))</f>
        <v>15 to 30 days</v>
      </c>
      <c r="G23" s="1036" t="str">
        <f>INDEX('Technical DB (Health)'!$C$3:$Q$21,MATCH(G$8,'Technical DB (Health)'!$A$3:$A$21,0),MATCH($C23,'Technical DB (Health)'!$C$2:$Q$2,0))</f>
        <v>7 to 15 days</v>
      </c>
      <c r="H23" s="1024" t="str">
        <f>INDEX('Technical DB (Health)'!$C$3:$Q$21,MATCH(H$8,'Technical DB (Health)'!$A$3:$A$21,0),MATCH($C23,'Technical DB (Health)'!$C$2:$Q$2,0))</f>
        <v>15 to 30 days</v>
      </c>
      <c r="I23" s="1025" t="str">
        <f>INDEX('Technical DB (Health)'!$C$3:$Q$21,MATCH(I$8,'Technical DB (Health)'!$A$3:$A$21,0),MATCH($C23,'Technical DB (Health)'!$C$2:$Q$2,0))</f>
        <v>15 to 30 days</v>
      </c>
      <c r="J23" s="886"/>
      <c r="K23" s="886"/>
      <c r="L23" s="886"/>
      <c r="M23" s="886"/>
      <c r="N23" s="886"/>
      <c r="O23" s="886"/>
      <c r="P23" s="886"/>
      <c r="Q23" s="886"/>
      <c r="R23" s="886"/>
      <c r="S23" s="886"/>
      <c r="T23" s="886"/>
      <c r="U23" s="886"/>
      <c r="V23" s="886"/>
      <c r="W23" s="886"/>
      <c r="X23" s="886"/>
    </row>
    <row r="24" spans="2:24">
      <c r="B24" s="1347"/>
      <c r="C24" s="1412" t="s">
        <v>161</v>
      </c>
      <c r="D24" s="1413"/>
      <c r="E24" s="1030"/>
      <c r="F24" s="1035">
        <f>INDEX('Technical DB (Health)'!$C$3:$Q$21,MATCH(F$8,'Technical DB (Health)'!$A$3:$A$21,0),MATCH($C24,'Technical DB (Health)'!$C$2:$Q$2,0))</f>
        <v>0.996</v>
      </c>
      <c r="G24" s="1038">
        <f>INDEX('Technical DB (Health)'!$C$3:$Q$21,MATCH(G$8,'Technical DB (Health)'!$A$3:$A$21,0),MATCH($C24,'Technical DB (Health)'!$C$2:$Q$2,0))</f>
        <v>1</v>
      </c>
      <c r="H24" s="1039">
        <f>INDEX('Technical DB (Health)'!$C$3:$Q$21,MATCH(H$8,'Technical DB (Health)'!$A$3:$A$21,0),MATCH($C24,'Technical DB (Health)'!$C$2:$Q$2,0))</f>
        <v>0.999</v>
      </c>
      <c r="I24" s="1040">
        <f>INDEX('Technical DB (Health)'!$C$3:$Q$21,MATCH(I$8,'Technical DB (Health)'!$A$3:$A$21,0),MATCH($C24,'Technical DB (Health)'!$C$2:$Q$2,0))</f>
        <v>0.89890000000000003</v>
      </c>
      <c r="J24" s="886"/>
      <c r="K24" s="886"/>
      <c r="L24" s="886"/>
      <c r="M24" s="886"/>
      <c r="N24" s="886"/>
      <c r="O24" s="886"/>
      <c r="P24" s="886"/>
      <c r="Q24" s="886"/>
      <c r="R24" s="886"/>
      <c r="S24" s="886"/>
      <c r="T24" s="886"/>
      <c r="U24" s="886"/>
      <c r="V24" s="886"/>
      <c r="W24" s="886"/>
      <c r="X24" s="886"/>
    </row>
    <row r="25" spans="2:24">
      <c r="B25" s="1347"/>
      <c r="C25" s="1412" t="s">
        <v>162</v>
      </c>
      <c r="D25" s="1413"/>
      <c r="E25" s="1030"/>
      <c r="F25" s="1037" t="str">
        <f>INDEX('Technical DB (Health)'!$C$3:$Q$21,MATCH(F$8,'Technical DB (Health)'!$A$3:$A$21,0),MATCH($C25,'Technical DB (Health)'!$C$2:$Q$2,0))</f>
        <v>Paperless</v>
      </c>
      <c r="G25" s="1038" t="str">
        <f>INDEX('Technical DB (Health)'!$C$3:$Q$21,MATCH(G$8,'Technical DB (Health)'!$A$3:$A$21,0),MATCH($C25,'Technical DB (Health)'!$C$2:$Q$2,0))</f>
        <v>Paperless</v>
      </c>
      <c r="H25" s="1039" t="str">
        <f>INDEX('Technical DB (Health)'!$C$3:$Q$21,MATCH(H$8,'Technical DB (Health)'!$A$3:$A$21,0),MATCH($C25,'Technical DB (Health)'!$C$2:$Q$2,0))</f>
        <v>Paperless</v>
      </c>
      <c r="I25" s="1040" t="str">
        <f>INDEX('Technical DB (Health)'!$C$3:$Q$21,MATCH(I$8,'Technical DB (Health)'!$A$3:$A$21,0),MATCH($C25,'Technical DB (Health)'!$C$2:$Q$2,0))</f>
        <v>Paper-based</v>
      </c>
      <c r="J25" s="886"/>
      <c r="K25" s="886"/>
      <c r="L25" s="886"/>
      <c r="M25" s="886"/>
      <c r="N25" s="886"/>
      <c r="O25" s="886"/>
      <c r="P25" s="886"/>
      <c r="Q25" s="886"/>
      <c r="R25" s="886"/>
      <c r="S25" s="886"/>
      <c r="T25" s="886"/>
      <c r="U25" s="886"/>
      <c r="V25" s="886"/>
      <c r="W25" s="886"/>
      <c r="X25" s="886"/>
    </row>
    <row r="26" spans="2:24" ht="25.8" thickBot="1">
      <c r="B26" s="1348"/>
      <c r="C26" s="1404" t="s">
        <v>163</v>
      </c>
      <c r="D26" s="1405"/>
      <c r="E26" s="1030"/>
      <c r="F26" s="1026" t="str">
        <f>INDEX('Technical DB (Health)'!$C$3:$Q$21,MATCH(F$8,'Technical DB (Health)'!$A$3:$A$21,0),MATCH($C26,'Technical DB (Health)'!$C$2:$Q$2,0))</f>
        <v>In-house</v>
      </c>
      <c r="G26" s="1015" t="str">
        <f>INDEX('Technical DB (Health)'!$C$3:$Q$21,MATCH(G$8,'Technical DB (Health)'!$A$3:$A$21,0),MATCH($C26,'Technical DB (Health)'!$C$2:$Q$2,0))</f>
        <v>In-house</v>
      </c>
      <c r="H26" s="1016" t="str">
        <f>INDEX('Technical DB (Health)'!$C$3:$Q$21,MATCH(H$8,'Technical DB (Health)'!$A$3:$A$21,0),MATCH($C26,'Technical DB (Health)'!$C$2:$Q$2,0))</f>
        <v>In-house
External Option available</v>
      </c>
      <c r="I26" s="1017" t="str">
        <f>INDEX('Technical DB (Health)'!$C$3:$Q$21,MATCH(I$8,'Technical DB (Health)'!$A$3:$A$21,0),MATCH($C26,'Technical DB (Health)'!$C$2:$Q$2,0))</f>
        <v>In-house
External Option available</v>
      </c>
      <c r="J26" s="886"/>
      <c r="K26" s="886"/>
      <c r="L26" s="886"/>
      <c r="M26" s="886"/>
      <c r="N26" s="886"/>
      <c r="O26" s="886"/>
      <c r="P26" s="886"/>
      <c r="Q26" s="886"/>
      <c r="R26" s="886"/>
      <c r="S26" s="886"/>
      <c r="T26" s="886"/>
      <c r="U26" s="886"/>
      <c r="V26" s="886"/>
      <c r="W26" s="886"/>
      <c r="X26" s="886"/>
    </row>
    <row r="27" spans="2:24">
      <c r="C27" s="941"/>
      <c r="D27" s="943"/>
      <c r="E27" s="886"/>
      <c r="F27" s="886"/>
      <c r="G27" s="886"/>
      <c r="H27" s="886"/>
      <c r="I27" s="886"/>
      <c r="J27" s="886"/>
      <c r="K27" s="886"/>
      <c r="L27" s="886"/>
      <c r="M27" s="886"/>
      <c r="N27" s="886"/>
      <c r="O27" s="886"/>
      <c r="P27" s="886"/>
      <c r="Q27" s="886"/>
      <c r="R27" s="886"/>
      <c r="S27" s="886"/>
      <c r="T27" s="886"/>
      <c r="U27" s="886"/>
      <c r="V27" s="886"/>
      <c r="W27" s="886"/>
      <c r="X27" s="886"/>
    </row>
    <row r="28" spans="2:24">
      <c r="B28" s="941"/>
      <c r="C28" s="942"/>
      <c r="D28" s="943"/>
      <c r="E28" s="886"/>
      <c r="F28" s="886"/>
      <c r="G28" s="886"/>
      <c r="H28" s="886"/>
      <c r="I28" s="886"/>
      <c r="J28" s="886"/>
      <c r="K28" s="886"/>
      <c r="L28" s="886"/>
      <c r="M28" s="886"/>
      <c r="N28" s="886"/>
      <c r="O28" s="886"/>
      <c r="P28" s="886"/>
      <c r="Q28" s="886"/>
      <c r="R28" s="886"/>
      <c r="S28" s="886"/>
      <c r="T28" s="886"/>
      <c r="U28" s="886"/>
      <c r="V28" s="886"/>
      <c r="W28" s="886"/>
      <c r="X28" s="886"/>
    </row>
    <row r="29" spans="2:24">
      <c r="C29" s="942"/>
      <c r="D29" s="943"/>
      <c r="E29" s="886"/>
      <c r="F29" s="886"/>
      <c r="G29" s="886"/>
      <c r="H29" s="886"/>
      <c r="I29" s="886"/>
      <c r="J29" s="886"/>
      <c r="K29" s="886"/>
      <c r="L29" s="886"/>
      <c r="M29" s="886"/>
      <c r="N29" s="886"/>
      <c r="O29" s="886"/>
      <c r="P29" s="886"/>
      <c r="Q29" s="886"/>
      <c r="R29" s="886"/>
      <c r="S29" s="886"/>
      <c r="T29" s="886"/>
      <c r="U29" s="886"/>
      <c r="V29" s="886"/>
      <c r="W29" s="886"/>
      <c r="X29" s="886"/>
    </row>
    <row r="30" spans="2:24">
      <c r="C30" s="942"/>
      <c r="D30" s="943"/>
      <c r="E30" s="886"/>
      <c r="F30" s="886"/>
      <c r="G30" s="886"/>
      <c r="H30" s="886"/>
      <c r="I30" s="886"/>
      <c r="J30" s="886"/>
      <c r="K30" s="886"/>
      <c r="L30" s="886"/>
      <c r="M30" s="886"/>
      <c r="N30" s="886"/>
      <c r="O30" s="886"/>
      <c r="P30" s="886"/>
      <c r="Q30" s="886"/>
      <c r="R30" s="886"/>
      <c r="S30" s="886"/>
      <c r="T30" s="886"/>
      <c r="U30" s="886"/>
      <c r="V30" s="886"/>
      <c r="W30" s="886"/>
      <c r="X30" s="886"/>
    </row>
    <row r="31" spans="2:24">
      <c r="C31" s="942"/>
      <c r="D31" s="943"/>
      <c r="E31" s="886"/>
      <c r="F31" s="886"/>
      <c r="G31" s="886"/>
      <c r="H31" s="886"/>
      <c r="I31" s="886"/>
      <c r="J31" s="886"/>
      <c r="K31" s="886"/>
      <c r="L31" s="886"/>
      <c r="M31" s="886"/>
      <c r="N31" s="886"/>
      <c r="O31" s="886"/>
      <c r="P31" s="886"/>
      <c r="Q31" s="886"/>
      <c r="R31" s="886"/>
      <c r="S31" s="886"/>
      <c r="T31" s="886"/>
      <c r="U31" s="886"/>
      <c r="V31" s="886"/>
      <c r="W31" s="886"/>
      <c r="X31" s="886"/>
    </row>
    <row r="32" spans="2:24">
      <c r="C32" s="942"/>
      <c r="D32" s="943"/>
      <c r="E32" s="886"/>
      <c r="F32" s="886"/>
      <c r="G32" s="886"/>
      <c r="H32" s="886"/>
      <c r="I32" s="886"/>
      <c r="J32" s="886"/>
      <c r="K32" s="886"/>
      <c r="L32" s="886"/>
      <c r="M32" s="886"/>
      <c r="N32" s="886"/>
      <c r="O32" s="886"/>
      <c r="P32" s="886"/>
      <c r="Q32" s="886"/>
      <c r="R32" s="886"/>
      <c r="S32" s="886"/>
      <c r="T32" s="886"/>
      <c r="U32" s="886"/>
      <c r="V32" s="886"/>
      <c r="W32" s="886"/>
      <c r="X32" s="886"/>
    </row>
    <row r="33" spans="3:24">
      <c r="C33" s="942"/>
      <c r="D33" s="943"/>
      <c r="E33" s="886"/>
      <c r="F33" s="886"/>
      <c r="G33" s="886"/>
      <c r="H33" s="886"/>
      <c r="I33" s="886"/>
      <c r="J33" s="886"/>
      <c r="K33" s="886"/>
      <c r="L33" s="886"/>
      <c r="M33" s="886"/>
      <c r="N33" s="886"/>
      <c r="O33" s="886"/>
      <c r="P33" s="886"/>
      <c r="Q33" s="886"/>
      <c r="R33" s="886"/>
      <c r="S33" s="886"/>
      <c r="T33" s="886"/>
      <c r="U33" s="886"/>
      <c r="V33" s="886"/>
      <c r="W33" s="886"/>
      <c r="X33" s="886"/>
    </row>
    <row r="34" spans="3:24">
      <c r="C34" s="942"/>
      <c r="D34" s="943"/>
      <c r="E34" s="886"/>
      <c r="F34" s="886"/>
      <c r="G34" s="886"/>
      <c r="H34" s="886"/>
      <c r="I34" s="886"/>
      <c r="J34" s="886"/>
      <c r="K34" s="886"/>
      <c r="L34" s="886"/>
      <c r="M34" s="886"/>
      <c r="N34" s="886"/>
      <c r="O34" s="886"/>
      <c r="P34" s="886"/>
      <c r="Q34" s="886"/>
      <c r="R34" s="886"/>
      <c r="S34" s="886"/>
      <c r="T34" s="886"/>
      <c r="U34" s="886"/>
      <c r="V34" s="886"/>
      <c r="W34" s="886"/>
      <c r="X34" s="886"/>
    </row>
    <row r="35" spans="3:24">
      <c r="C35" s="942"/>
      <c r="D35" s="943"/>
      <c r="E35" s="886"/>
      <c r="F35" s="886"/>
      <c r="G35" s="886"/>
      <c r="H35" s="886"/>
      <c r="I35" s="886"/>
      <c r="J35" s="886"/>
      <c r="K35" s="886"/>
      <c r="L35" s="886"/>
      <c r="M35" s="886"/>
      <c r="N35" s="886"/>
      <c r="O35" s="886"/>
      <c r="P35" s="886"/>
      <c r="Q35" s="886"/>
      <c r="R35" s="886"/>
      <c r="S35" s="886"/>
      <c r="T35" s="886"/>
      <c r="U35" s="886"/>
      <c r="V35" s="886"/>
      <c r="W35" s="886"/>
      <c r="X35" s="886"/>
    </row>
    <row r="36" spans="3:24">
      <c r="C36" s="942"/>
      <c r="D36" s="943"/>
      <c r="E36" s="886"/>
      <c r="F36" s="886"/>
      <c r="G36" s="886"/>
      <c r="H36" s="886"/>
      <c r="I36" s="886"/>
      <c r="J36" s="886"/>
      <c r="K36" s="886"/>
      <c r="L36" s="886"/>
      <c r="M36" s="886"/>
      <c r="N36" s="886"/>
      <c r="O36" s="886"/>
      <c r="P36" s="886"/>
      <c r="Q36" s="886"/>
      <c r="R36" s="886"/>
      <c r="S36" s="886"/>
      <c r="T36" s="886"/>
      <c r="U36" s="886"/>
      <c r="V36" s="886"/>
      <c r="W36" s="886"/>
      <c r="X36" s="886"/>
    </row>
    <row r="37" spans="3:24">
      <c r="C37" s="942"/>
      <c r="D37" s="943"/>
      <c r="E37" s="886"/>
      <c r="F37" s="886"/>
      <c r="G37" s="886"/>
      <c r="H37" s="886"/>
      <c r="I37" s="886"/>
      <c r="J37" s="886"/>
      <c r="K37" s="886"/>
      <c r="L37" s="886"/>
      <c r="M37" s="886"/>
      <c r="N37" s="886"/>
      <c r="O37" s="886"/>
      <c r="P37" s="886"/>
      <c r="Q37" s="886"/>
      <c r="R37" s="886"/>
      <c r="S37" s="886"/>
      <c r="T37" s="886"/>
      <c r="U37" s="886"/>
      <c r="V37" s="886"/>
      <c r="W37" s="886"/>
      <c r="X37" s="886"/>
    </row>
    <row r="38" spans="3:24">
      <c r="C38" s="942"/>
      <c r="D38" s="943"/>
      <c r="E38" s="886"/>
      <c r="F38" s="886"/>
      <c r="G38" s="886"/>
      <c r="H38" s="886"/>
      <c r="I38" s="886"/>
      <c r="J38" s="886"/>
      <c r="K38" s="886"/>
      <c r="L38" s="886"/>
      <c r="M38" s="886"/>
      <c r="N38" s="886"/>
      <c r="O38" s="886"/>
      <c r="P38" s="886"/>
      <c r="Q38" s="886"/>
      <c r="R38" s="886"/>
      <c r="S38" s="886"/>
      <c r="T38" s="886"/>
      <c r="U38" s="886"/>
      <c r="V38" s="886"/>
      <c r="W38" s="886"/>
      <c r="X38" s="886"/>
    </row>
    <row r="39" spans="3:24">
      <c r="C39" s="942"/>
      <c r="D39" s="943"/>
      <c r="E39" s="886"/>
      <c r="F39" s="886"/>
      <c r="G39" s="886"/>
      <c r="H39" s="886"/>
      <c r="I39" s="886"/>
      <c r="J39" s="886"/>
      <c r="K39" s="886"/>
      <c r="L39" s="886"/>
      <c r="M39" s="886"/>
      <c r="N39" s="886"/>
      <c r="O39" s="886"/>
      <c r="P39" s="886"/>
      <c r="Q39" s="886"/>
      <c r="R39" s="886"/>
      <c r="S39" s="886"/>
      <c r="T39" s="886"/>
      <c r="U39" s="886"/>
      <c r="V39" s="886"/>
      <c r="W39" s="886"/>
      <c r="X39" s="886"/>
    </row>
    <row r="40" spans="3:24">
      <c r="C40" s="942"/>
      <c r="D40" s="943"/>
      <c r="E40" s="886"/>
      <c r="F40" s="886"/>
      <c r="G40" s="886"/>
      <c r="H40" s="886"/>
      <c r="I40" s="886"/>
      <c r="J40" s="886"/>
      <c r="K40" s="886"/>
      <c r="L40" s="886"/>
      <c r="M40" s="886"/>
      <c r="N40" s="886"/>
      <c r="O40" s="886"/>
      <c r="P40" s="886"/>
      <c r="Q40" s="886"/>
      <c r="R40" s="886"/>
      <c r="S40" s="886"/>
      <c r="T40" s="886"/>
      <c r="U40" s="886"/>
      <c r="V40" s="886"/>
      <c r="W40" s="886"/>
      <c r="X40" s="886"/>
    </row>
    <row r="41" spans="3:24">
      <c r="C41" s="942"/>
      <c r="D41" s="943"/>
      <c r="E41" s="886"/>
      <c r="F41" s="886"/>
      <c r="G41" s="886"/>
      <c r="H41" s="886"/>
      <c r="I41" s="886"/>
      <c r="J41" s="886"/>
      <c r="K41" s="886"/>
      <c r="L41" s="886"/>
      <c r="M41" s="886"/>
      <c r="N41" s="886"/>
      <c r="O41" s="886"/>
      <c r="P41" s="886"/>
      <c r="Q41" s="886"/>
      <c r="R41" s="886"/>
      <c r="S41" s="886"/>
      <c r="T41" s="886"/>
      <c r="U41" s="886"/>
      <c r="V41" s="886"/>
      <c r="W41" s="886"/>
      <c r="X41" s="886"/>
    </row>
    <row r="42" spans="3:24">
      <c r="C42" s="942"/>
      <c r="D42" s="943"/>
      <c r="E42" s="886"/>
      <c r="F42" s="886"/>
      <c r="G42" s="886"/>
      <c r="H42" s="886"/>
      <c r="I42" s="886"/>
      <c r="J42" s="886"/>
      <c r="K42" s="886"/>
      <c r="L42" s="886"/>
      <c r="M42" s="886"/>
      <c r="N42" s="886"/>
      <c r="O42" s="886"/>
      <c r="P42" s="886"/>
      <c r="Q42" s="886"/>
      <c r="R42" s="886"/>
      <c r="S42" s="886"/>
      <c r="T42" s="886"/>
      <c r="U42" s="886"/>
      <c r="V42" s="886"/>
      <c r="W42" s="886"/>
      <c r="X42" s="886"/>
    </row>
    <row r="43" spans="3:24">
      <c r="C43" s="942"/>
      <c r="D43" s="943"/>
      <c r="E43" s="886"/>
      <c r="F43" s="886"/>
      <c r="G43" s="886"/>
      <c r="H43" s="886"/>
      <c r="I43" s="886"/>
      <c r="J43" s="886"/>
      <c r="K43" s="886"/>
      <c r="L43" s="886"/>
      <c r="M43" s="886"/>
      <c r="N43" s="886"/>
      <c r="O43" s="886"/>
      <c r="P43" s="886"/>
      <c r="Q43" s="886"/>
      <c r="R43" s="886"/>
      <c r="S43" s="886"/>
      <c r="T43" s="886"/>
      <c r="U43" s="886"/>
      <c r="V43" s="886"/>
      <c r="W43" s="886"/>
      <c r="X43" s="886"/>
    </row>
    <row r="44" spans="3:24">
      <c r="C44" s="942"/>
      <c r="D44" s="943"/>
      <c r="E44" s="886"/>
      <c r="F44" s="886"/>
      <c r="G44" s="886"/>
      <c r="H44" s="886"/>
      <c r="I44" s="886"/>
      <c r="J44" s="886"/>
      <c r="K44" s="886"/>
      <c r="L44" s="886"/>
      <c r="M44" s="886"/>
      <c r="N44" s="886"/>
      <c r="O44" s="886"/>
      <c r="P44" s="886"/>
      <c r="Q44" s="886"/>
      <c r="R44" s="886"/>
      <c r="S44" s="886"/>
      <c r="T44" s="886"/>
      <c r="U44" s="886"/>
      <c r="V44" s="886"/>
      <c r="W44" s="886"/>
      <c r="X44" s="886"/>
    </row>
    <row r="45" spans="3:24">
      <c r="C45" s="942"/>
      <c r="D45" s="943"/>
      <c r="E45" s="886"/>
      <c r="F45" s="886"/>
      <c r="G45" s="886"/>
      <c r="H45" s="886"/>
      <c r="I45" s="886"/>
      <c r="J45" s="886"/>
      <c r="K45" s="886"/>
      <c r="L45" s="886"/>
      <c r="M45" s="886"/>
      <c r="N45" s="886"/>
      <c r="O45" s="886"/>
      <c r="P45" s="886"/>
      <c r="Q45" s="886"/>
      <c r="R45" s="886"/>
      <c r="S45" s="886"/>
      <c r="T45" s="886"/>
      <c r="U45" s="886"/>
      <c r="V45" s="886"/>
      <c r="W45" s="886"/>
      <c r="X45" s="886"/>
    </row>
    <row r="46" spans="3:24">
      <c r="C46" s="942"/>
      <c r="D46" s="943"/>
      <c r="E46" s="886"/>
      <c r="F46" s="886"/>
      <c r="G46" s="886"/>
      <c r="H46" s="886"/>
      <c r="I46" s="886"/>
      <c r="J46" s="886"/>
      <c r="K46" s="886"/>
      <c r="L46" s="886"/>
      <c r="M46" s="886"/>
      <c r="N46" s="886"/>
      <c r="O46" s="886"/>
      <c r="P46" s="886"/>
      <c r="Q46" s="886"/>
      <c r="R46" s="886"/>
      <c r="S46" s="886"/>
      <c r="T46" s="886"/>
      <c r="U46" s="886"/>
      <c r="V46" s="886"/>
      <c r="W46" s="886"/>
      <c r="X46" s="886"/>
    </row>
    <row r="47" spans="3:24">
      <c r="C47" s="942"/>
      <c r="D47" s="943"/>
      <c r="E47" s="886"/>
      <c r="F47" s="886"/>
      <c r="G47" s="886"/>
      <c r="H47" s="886"/>
      <c r="I47" s="886"/>
      <c r="J47" s="886"/>
      <c r="K47" s="886"/>
      <c r="L47" s="886"/>
      <c r="M47" s="886"/>
      <c r="N47" s="886"/>
      <c r="O47" s="886"/>
      <c r="P47" s="886"/>
      <c r="Q47" s="886"/>
      <c r="R47" s="886"/>
      <c r="S47" s="886"/>
      <c r="T47" s="886"/>
      <c r="U47" s="886"/>
      <c r="V47" s="886"/>
      <c r="W47" s="886"/>
      <c r="X47" s="886"/>
    </row>
    <row r="48" spans="3:24">
      <c r="C48" s="942"/>
      <c r="D48" s="943"/>
      <c r="E48" s="886"/>
      <c r="F48" s="886"/>
      <c r="G48" s="886"/>
      <c r="H48" s="886"/>
      <c r="I48" s="886"/>
      <c r="J48" s="886"/>
      <c r="K48" s="886"/>
      <c r="L48" s="886"/>
      <c r="M48" s="886"/>
      <c r="N48" s="886"/>
      <c r="O48" s="886"/>
      <c r="P48" s="886"/>
      <c r="Q48" s="886"/>
      <c r="R48" s="886"/>
      <c r="S48" s="886"/>
      <c r="T48" s="886"/>
      <c r="U48" s="886"/>
      <c r="V48" s="886"/>
      <c r="W48" s="886"/>
      <c r="X48" s="886"/>
    </row>
    <row r="49" spans="3:24">
      <c r="C49" s="942"/>
      <c r="D49" s="943"/>
      <c r="E49" s="886"/>
      <c r="F49" s="886"/>
      <c r="G49" s="886"/>
      <c r="H49" s="886"/>
      <c r="I49" s="886"/>
      <c r="J49" s="886"/>
      <c r="K49" s="886"/>
      <c r="L49" s="886"/>
      <c r="M49" s="886"/>
      <c r="N49" s="886"/>
      <c r="O49" s="886"/>
      <c r="P49" s="886"/>
      <c r="Q49" s="886"/>
      <c r="R49" s="886"/>
      <c r="S49" s="886"/>
      <c r="T49" s="886"/>
      <c r="U49" s="886"/>
      <c r="V49" s="886"/>
      <c r="W49" s="886"/>
      <c r="X49" s="886"/>
    </row>
    <row r="50" spans="3:24">
      <c r="C50" s="942"/>
      <c r="D50" s="943"/>
      <c r="E50" s="886"/>
      <c r="F50" s="886"/>
      <c r="G50" s="886"/>
      <c r="H50" s="886"/>
      <c r="I50" s="886"/>
      <c r="J50" s="886"/>
      <c r="K50" s="886"/>
      <c r="L50" s="886"/>
      <c r="M50" s="886"/>
      <c r="N50" s="886"/>
      <c r="O50" s="886"/>
      <c r="P50" s="886"/>
      <c r="Q50" s="886"/>
      <c r="R50" s="886"/>
      <c r="S50" s="886"/>
      <c r="T50" s="886"/>
      <c r="U50" s="886"/>
      <c r="V50" s="886"/>
      <c r="W50" s="886"/>
      <c r="X50" s="886"/>
    </row>
    <row r="51" spans="3:24">
      <c r="C51" s="942"/>
      <c r="D51" s="943"/>
      <c r="E51" s="886"/>
      <c r="F51" s="886"/>
      <c r="G51" s="886"/>
      <c r="H51" s="886"/>
      <c r="I51" s="886"/>
      <c r="J51" s="886"/>
      <c r="K51" s="886"/>
      <c r="L51" s="886"/>
      <c r="M51" s="886"/>
      <c r="N51" s="886"/>
      <c r="O51" s="886"/>
      <c r="P51" s="886"/>
      <c r="Q51" s="886"/>
      <c r="R51" s="886"/>
      <c r="S51" s="886"/>
      <c r="T51" s="886"/>
      <c r="U51" s="886"/>
      <c r="V51" s="886"/>
      <c r="W51" s="886"/>
      <c r="X51" s="886"/>
    </row>
    <row r="52" spans="3:24">
      <c r="C52" s="942"/>
      <c r="D52" s="943"/>
      <c r="E52" s="886"/>
      <c r="F52" s="886"/>
      <c r="G52" s="886"/>
      <c r="H52" s="886"/>
      <c r="I52" s="886"/>
      <c r="J52" s="886"/>
      <c r="K52" s="886"/>
      <c r="L52" s="886"/>
      <c r="M52" s="886"/>
      <c r="N52" s="886"/>
      <c r="O52" s="886"/>
      <c r="P52" s="886"/>
      <c r="Q52" s="886"/>
      <c r="R52" s="886"/>
      <c r="S52" s="886"/>
      <c r="T52" s="886"/>
      <c r="U52" s="886"/>
      <c r="V52" s="886"/>
      <c r="W52" s="886"/>
      <c r="X52" s="886"/>
    </row>
    <row r="53" spans="3:24">
      <c r="C53" s="942"/>
      <c r="D53" s="944"/>
      <c r="E53" s="944"/>
      <c r="F53" s="886"/>
      <c r="G53" s="886"/>
      <c r="H53" s="886"/>
      <c r="I53" s="886"/>
      <c r="J53" s="886"/>
      <c r="K53" s="886"/>
      <c r="L53" s="886"/>
      <c r="M53" s="886"/>
      <c r="N53" s="886"/>
      <c r="O53" s="886"/>
      <c r="P53" s="886"/>
      <c r="Q53" s="886"/>
      <c r="R53" s="886"/>
      <c r="S53" s="886"/>
      <c r="T53" s="886"/>
      <c r="U53" s="886"/>
      <c r="V53" s="886"/>
      <c r="W53" s="886"/>
      <c r="X53" s="886"/>
    </row>
    <row r="54" spans="3:24">
      <c r="C54" s="942"/>
      <c r="D54" s="944"/>
      <c r="E54" s="944"/>
      <c r="F54" s="886"/>
      <c r="G54" s="886"/>
      <c r="H54" s="886"/>
      <c r="I54" s="886"/>
      <c r="J54" s="886"/>
      <c r="K54" s="886"/>
      <c r="L54" s="886"/>
      <c r="M54" s="886"/>
      <c r="N54" s="886"/>
      <c r="O54" s="886"/>
      <c r="P54" s="886"/>
      <c r="Q54" s="886"/>
      <c r="R54" s="886"/>
      <c r="S54" s="886"/>
      <c r="T54" s="886"/>
      <c r="U54" s="886"/>
      <c r="V54" s="886"/>
      <c r="W54" s="886"/>
      <c r="X54" s="886"/>
    </row>
    <row r="55" spans="3:24">
      <c r="C55" s="942"/>
      <c r="D55" s="944"/>
      <c r="E55" s="944"/>
      <c r="F55" s="886"/>
      <c r="G55" s="886"/>
      <c r="H55" s="886"/>
      <c r="I55" s="886"/>
      <c r="J55" s="886"/>
      <c r="K55" s="886"/>
      <c r="L55" s="886"/>
      <c r="M55" s="886"/>
      <c r="N55" s="886"/>
      <c r="O55" s="886"/>
      <c r="P55" s="886"/>
      <c r="Q55" s="886"/>
      <c r="R55" s="886"/>
      <c r="S55" s="886"/>
      <c r="T55" s="886"/>
      <c r="U55" s="886"/>
      <c r="V55" s="886"/>
      <c r="W55" s="886"/>
      <c r="X55" s="886"/>
    </row>
    <row r="56" spans="3:24">
      <c r="C56" s="942"/>
      <c r="D56" s="944"/>
      <c r="E56" s="944"/>
      <c r="F56" s="886"/>
      <c r="G56" s="886"/>
      <c r="H56" s="886"/>
      <c r="I56" s="886"/>
      <c r="J56" s="886"/>
      <c r="K56" s="886"/>
      <c r="L56" s="886"/>
      <c r="M56" s="886"/>
      <c r="N56" s="886"/>
      <c r="O56" s="886"/>
      <c r="P56" s="886"/>
      <c r="Q56" s="886"/>
      <c r="R56" s="886"/>
      <c r="S56" s="886"/>
      <c r="T56" s="886"/>
      <c r="U56" s="886"/>
      <c r="V56" s="886"/>
      <c r="W56" s="886"/>
      <c r="X56" s="886"/>
    </row>
    <row r="57" spans="3:24">
      <c r="C57" s="942"/>
      <c r="E57" s="883"/>
      <c r="F57" s="886"/>
      <c r="G57" s="886"/>
      <c r="H57" s="886"/>
      <c r="I57" s="886"/>
      <c r="J57" s="886"/>
      <c r="K57" s="886"/>
      <c r="L57" s="886"/>
      <c r="M57" s="886"/>
      <c r="N57" s="886"/>
      <c r="O57" s="886"/>
      <c r="P57" s="886"/>
      <c r="Q57" s="886"/>
      <c r="R57" s="886"/>
      <c r="S57" s="886"/>
      <c r="T57" s="886"/>
      <c r="U57" s="886"/>
      <c r="V57" s="886"/>
      <c r="W57" s="886"/>
      <c r="X57" s="886"/>
    </row>
    <row r="58" spans="3:24">
      <c r="C58" s="942"/>
      <c r="D58" s="944"/>
      <c r="E58" s="944"/>
      <c r="F58" s="886"/>
      <c r="G58" s="886"/>
      <c r="H58" s="886"/>
      <c r="I58" s="886"/>
      <c r="J58" s="886"/>
      <c r="K58" s="886"/>
      <c r="L58" s="886"/>
      <c r="M58" s="886"/>
      <c r="N58" s="886"/>
      <c r="O58" s="886"/>
      <c r="P58" s="886"/>
      <c r="Q58" s="886"/>
      <c r="R58" s="886"/>
      <c r="S58" s="886"/>
      <c r="T58" s="886"/>
      <c r="U58" s="886"/>
      <c r="V58" s="886"/>
      <c r="W58" s="886"/>
      <c r="X58" s="886"/>
    </row>
    <row r="59" spans="3:24">
      <c r="C59" s="942"/>
      <c r="E59" s="883"/>
      <c r="F59" s="886"/>
      <c r="G59" s="886"/>
      <c r="H59" s="886"/>
      <c r="I59" s="886"/>
      <c r="J59" s="886"/>
      <c r="K59" s="886"/>
      <c r="L59" s="886"/>
      <c r="M59" s="886"/>
      <c r="N59" s="886"/>
      <c r="O59" s="886"/>
      <c r="P59" s="886"/>
      <c r="Q59" s="886"/>
      <c r="R59" s="886"/>
      <c r="S59" s="886"/>
      <c r="T59" s="886"/>
      <c r="U59" s="886"/>
      <c r="V59" s="886"/>
      <c r="W59" s="886"/>
      <c r="X59" s="886"/>
    </row>
    <row r="60" spans="3:24">
      <c r="C60" s="942"/>
      <c r="E60" s="883"/>
      <c r="F60" s="886"/>
      <c r="G60" s="886"/>
      <c r="H60" s="886"/>
      <c r="I60" s="886"/>
      <c r="J60" s="886"/>
      <c r="K60" s="886"/>
      <c r="L60" s="886"/>
      <c r="M60" s="886"/>
      <c r="N60" s="886"/>
      <c r="O60" s="886"/>
      <c r="P60" s="886"/>
      <c r="Q60" s="886"/>
      <c r="R60" s="886"/>
      <c r="S60" s="886"/>
      <c r="T60" s="886"/>
      <c r="U60" s="886"/>
      <c r="V60" s="886"/>
      <c r="W60" s="886"/>
      <c r="X60" s="886"/>
    </row>
    <row r="61" spans="3:24">
      <c r="C61" s="942"/>
      <c r="D61" s="944"/>
      <c r="E61" s="944"/>
      <c r="F61" s="886"/>
      <c r="G61" s="886"/>
      <c r="H61" s="886"/>
      <c r="I61" s="886"/>
      <c r="J61" s="886"/>
      <c r="K61" s="886"/>
      <c r="L61" s="886"/>
      <c r="M61" s="886"/>
      <c r="N61" s="886"/>
      <c r="O61" s="886"/>
      <c r="P61" s="886"/>
      <c r="Q61" s="886"/>
      <c r="R61" s="886"/>
      <c r="S61" s="886"/>
      <c r="T61" s="886"/>
      <c r="U61" s="886"/>
      <c r="V61" s="886"/>
      <c r="W61" s="886"/>
      <c r="X61" s="886"/>
    </row>
    <row r="62" spans="3:24">
      <c r="C62" s="942"/>
      <c r="E62" s="883"/>
      <c r="F62" s="886"/>
      <c r="G62" s="886"/>
      <c r="H62" s="886"/>
      <c r="I62" s="886"/>
      <c r="J62" s="886"/>
      <c r="K62" s="886"/>
      <c r="L62" s="886"/>
      <c r="M62" s="886"/>
      <c r="N62" s="886"/>
      <c r="O62" s="886"/>
      <c r="P62" s="886"/>
      <c r="Q62" s="886"/>
      <c r="R62" s="886"/>
      <c r="S62" s="886"/>
      <c r="T62" s="886"/>
      <c r="U62" s="886"/>
      <c r="V62" s="886"/>
      <c r="W62" s="886"/>
      <c r="X62" s="886"/>
    </row>
    <row r="63" spans="3:24">
      <c r="C63" s="942"/>
      <c r="D63" s="944"/>
      <c r="E63" s="944"/>
      <c r="F63" s="886"/>
      <c r="G63" s="886"/>
      <c r="H63" s="886"/>
      <c r="I63" s="886"/>
      <c r="J63" s="886"/>
      <c r="K63" s="886"/>
      <c r="L63" s="886"/>
      <c r="M63" s="886"/>
      <c r="N63" s="886"/>
      <c r="O63" s="886"/>
      <c r="P63" s="886"/>
      <c r="Q63" s="886"/>
      <c r="R63" s="886"/>
      <c r="S63" s="886"/>
      <c r="T63" s="886"/>
      <c r="U63" s="886"/>
      <c r="V63" s="886"/>
      <c r="W63" s="886"/>
      <c r="X63" s="886"/>
    </row>
    <row r="64" spans="3:24">
      <c r="C64" s="942"/>
      <c r="D64" s="944"/>
      <c r="E64" s="944"/>
      <c r="F64" s="886"/>
      <c r="G64" s="886"/>
      <c r="H64" s="886"/>
      <c r="I64" s="886"/>
      <c r="J64" s="886"/>
      <c r="K64" s="886"/>
      <c r="L64" s="886"/>
      <c r="M64" s="886"/>
      <c r="N64" s="886"/>
      <c r="O64" s="886"/>
      <c r="P64" s="886"/>
      <c r="Q64" s="886"/>
      <c r="R64" s="886"/>
      <c r="S64" s="886"/>
      <c r="T64" s="886"/>
      <c r="U64" s="886"/>
      <c r="V64" s="886"/>
      <c r="W64" s="886"/>
      <c r="X64" s="886"/>
    </row>
    <row r="65" spans="3:24">
      <c r="C65" s="942"/>
      <c r="D65" s="944"/>
      <c r="E65" s="944"/>
      <c r="F65" s="886"/>
      <c r="G65" s="886"/>
      <c r="H65" s="886"/>
      <c r="I65" s="886"/>
      <c r="J65" s="886"/>
      <c r="K65" s="886"/>
      <c r="L65" s="886"/>
      <c r="M65" s="886"/>
      <c r="N65" s="886"/>
      <c r="O65" s="886"/>
      <c r="P65" s="886"/>
      <c r="Q65" s="886"/>
      <c r="R65" s="886"/>
      <c r="S65" s="886"/>
      <c r="T65" s="886"/>
      <c r="U65" s="886"/>
      <c r="V65" s="886"/>
      <c r="W65" s="886"/>
      <c r="X65" s="886"/>
    </row>
    <row r="66" spans="3:24">
      <c r="C66" s="942"/>
      <c r="D66" s="944"/>
      <c r="E66" s="944"/>
      <c r="F66" s="886"/>
      <c r="G66" s="886"/>
      <c r="H66" s="886"/>
      <c r="I66" s="886"/>
      <c r="J66" s="886"/>
      <c r="K66" s="886"/>
      <c r="L66" s="886"/>
      <c r="M66" s="886"/>
      <c r="N66" s="886"/>
      <c r="O66" s="886"/>
      <c r="P66" s="886"/>
      <c r="Q66" s="886"/>
      <c r="R66" s="886"/>
      <c r="S66" s="886"/>
      <c r="T66" s="886"/>
      <c r="U66" s="886"/>
      <c r="V66" s="886"/>
      <c r="W66" s="886"/>
      <c r="X66" s="886"/>
    </row>
    <row r="67" spans="3:24">
      <c r="C67" s="942"/>
      <c r="D67" s="944"/>
      <c r="E67" s="944"/>
      <c r="F67" s="886"/>
      <c r="G67" s="886"/>
      <c r="H67" s="886"/>
      <c r="I67" s="886"/>
      <c r="J67" s="886"/>
      <c r="K67" s="886"/>
      <c r="L67" s="886"/>
      <c r="M67" s="886"/>
      <c r="N67" s="886"/>
      <c r="O67" s="886"/>
      <c r="P67" s="886"/>
      <c r="Q67" s="886"/>
      <c r="R67" s="886"/>
      <c r="S67" s="886"/>
      <c r="T67" s="886"/>
      <c r="U67" s="886"/>
      <c r="V67" s="886"/>
      <c r="W67" s="886"/>
      <c r="X67" s="886"/>
    </row>
    <row r="68" spans="3:24">
      <c r="C68" s="942"/>
      <c r="D68" s="944"/>
      <c r="E68" s="944"/>
      <c r="F68" s="886"/>
      <c r="G68" s="886"/>
      <c r="H68" s="886"/>
      <c r="I68" s="886"/>
      <c r="J68" s="886"/>
      <c r="K68" s="886"/>
      <c r="L68" s="886"/>
      <c r="M68" s="886"/>
      <c r="N68" s="886"/>
      <c r="O68" s="886"/>
      <c r="P68" s="886"/>
      <c r="Q68" s="886"/>
      <c r="R68" s="886"/>
      <c r="S68" s="886"/>
      <c r="T68" s="886"/>
      <c r="U68" s="886"/>
      <c r="V68" s="886"/>
      <c r="W68" s="886"/>
      <c r="X68" s="886"/>
    </row>
    <row r="69" spans="3:24">
      <c r="C69" s="942"/>
      <c r="D69" s="944"/>
      <c r="E69" s="944"/>
      <c r="F69" s="886"/>
      <c r="G69" s="886"/>
      <c r="H69" s="886"/>
      <c r="I69" s="886"/>
      <c r="J69" s="886"/>
      <c r="K69" s="886"/>
      <c r="L69" s="886"/>
      <c r="M69" s="886"/>
      <c r="N69" s="886"/>
      <c r="O69" s="886"/>
      <c r="P69" s="886"/>
      <c r="Q69" s="886"/>
      <c r="R69" s="886"/>
      <c r="S69" s="886"/>
      <c r="T69" s="886"/>
      <c r="U69" s="886"/>
      <c r="V69" s="886"/>
      <c r="W69" s="886"/>
      <c r="X69" s="886"/>
    </row>
    <row r="70" spans="3:24">
      <c r="C70" s="942"/>
      <c r="D70" s="944"/>
      <c r="E70" s="944"/>
      <c r="F70" s="886"/>
      <c r="G70" s="886"/>
      <c r="H70" s="886"/>
      <c r="I70" s="886"/>
      <c r="J70" s="886"/>
      <c r="K70" s="886"/>
      <c r="L70" s="886"/>
      <c r="M70" s="886"/>
      <c r="N70" s="886"/>
      <c r="O70" s="886"/>
      <c r="P70" s="886"/>
      <c r="Q70" s="886"/>
      <c r="R70" s="886"/>
      <c r="S70" s="886"/>
      <c r="T70" s="886"/>
      <c r="U70" s="886"/>
      <c r="V70" s="886"/>
      <c r="W70" s="886"/>
      <c r="X70" s="886"/>
    </row>
    <row r="71" spans="3:24">
      <c r="C71" s="942"/>
      <c r="E71" s="883"/>
      <c r="F71" s="886"/>
      <c r="G71" s="886"/>
      <c r="H71" s="886"/>
      <c r="I71" s="886"/>
      <c r="J71" s="886"/>
      <c r="K71" s="886"/>
      <c r="L71" s="886"/>
      <c r="M71" s="886"/>
      <c r="N71" s="886"/>
      <c r="O71" s="886"/>
      <c r="P71" s="886"/>
      <c r="Q71" s="886"/>
      <c r="R71" s="886"/>
      <c r="S71" s="886"/>
      <c r="T71" s="886"/>
      <c r="U71" s="886"/>
      <c r="V71" s="886"/>
      <c r="W71" s="886"/>
      <c r="X71" s="886"/>
    </row>
    <row r="72" spans="3:24">
      <c r="C72" s="942"/>
      <c r="D72" s="944"/>
      <c r="E72" s="944"/>
      <c r="F72" s="886"/>
      <c r="G72" s="886"/>
      <c r="H72" s="886"/>
      <c r="I72" s="886"/>
      <c r="J72" s="886"/>
      <c r="K72" s="886"/>
      <c r="L72" s="886"/>
      <c r="M72" s="886"/>
      <c r="N72" s="886"/>
      <c r="O72" s="886"/>
      <c r="P72" s="886"/>
      <c r="Q72" s="886"/>
      <c r="R72" s="886"/>
      <c r="S72" s="886"/>
      <c r="T72" s="886"/>
      <c r="U72" s="886"/>
      <c r="V72" s="886"/>
      <c r="W72" s="886"/>
      <c r="X72" s="886"/>
    </row>
    <row r="73" spans="3:24">
      <c r="C73" s="942"/>
      <c r="E73" s="883"/>
      <c r="F73" s="886"/>
      <c r="G73" s="886"/>
      <c r="H73" s="886"/>
      <c r="I73" s="886"/>
      <c r="J73" s="886"/>
      <c r="K73" s="886"/>
      <c r="L73" s="886"/>
      <c r="M73" s="886"/>
      <c r="N73" s="886"/>
      <c r="O73" s="886"/>
      <c r="P73" s="886"/>
      <c r="Q73" s="886"/>
      <c r="R73" s="886"/>
      <c r="S73" s="886"/>
      <c r="T73" s="886"/>
      <c r="U73" s="886"/>
      <c r="V73" s="886"/>
      <c r="W73" s="886"/>
      <c r="X73" s="886"/>
    </row>
    <row r="74" spans="3:24">
      <c r="C74" s="942"/>
      <c r="D74" s="944"/>
      <c r="E74" s="944"/>
      <c r="F74" s="886"/>
      <c r="G74" s="886"/>
      <c r="H74" s="886"/>
      <c r="I74" s="886"/>
      <c r="J74" s="886"/>
      <c r="K74" s="886"/>
      <c r="L74" s="886"/>
      <c r="M74" s="886"/>
      <c r="N74" s="886"/>
      <c r="O74" s="886"/>
      <c r="P74" s="886"/>
      <c r="Q74" s="886"/>
      <c r="R74" s="886"/>
      <c r="S74" s="886"/>
      <c r="T74" s="886"/>
      <c r="U74" s="886"/>
      <c r="V74" s="886"/>
      <c r="W74" s="886"/>
      <c r="X74" s="886"/>
    </row>
    <row r="75" spans="3:24">
      <c r="C75" s="942"/>
      <c r="D75" s="944"/>
      <c r="E75" s="944"/>
      <c r="F75" s="886"/>
      <c r="G75" s="886"/>
      <c r="H75" s="886"/>
      <c r="I75" s="886"/>
      <c r="J75" s="886"/>
      <c r="K75" s="886"/>
      <c r="L75" s="886"/>
      <c r="M75" s="886"/>
      <c r="N75" s="886"/>
      <c r="O75" s="886"/>
      <c r="P75" s="886"/>
      <c r="Q75" s="886"/>
      <c r="R75" s="886"/>
      <c r="S75" s="886"/>
      <c r="T75" s="886"/>
      <c r="U75" s="886"/>
      <c r="V75" s="886"/>
      <c r="W75" s="886"/>
      <c r="X75" s="886"/>
    </row>
    <row r="76" spans="3:24">
      <c r="C76" s="942"/>
      <c r="D76" s="944"/>
      <c r="E76" s="944"/>
      <c r="G76" s="886"/>
      <c r="H76" s="886"/>
      <c r="I76" s="886"/>
      <c r="J76" s="886"/>
      <c r="K76" s="886"/>
      <c r="L76" s="886"/>
      <c r="M76" s="886"/>
      <c r="N76" s="886"/>
      <c r="O76" s="886"/>
      <c r="P76" s="886"/>
      <c r="Q76" s="886"/>
      <c r="R76" s="886"/>
      <c r="S76" s="886"/>
      <c r="T76" s="886"/>
      <c r="U76" s="886"/>
      <c r="V76" s="886"/>
      <c r="W76" s="886"/>
      <c r="X76" s="886"/>
    </row>
    <row r="77" spans="3:24">
      <c r="C77" s="942"/>
      <c r="E77" s="883"/>
      <c r="G77" s="944"/>
      <c r="H77" s="886"/>
      <c r="I77" s="886"/>
      <c r="J77" s="886"/>
      <c r="K77" s="886"/>
      <c r="L77" s="886"/>
      <c r="M77" s="886"/>
      <c r="N77" s="886"/>
      <c r="O77" s="886"/>
      <c r="P77" s="886"/>
      <c r="Q77" s="886"/>
      <c r="R77" s="886"/>
      <c r="S77" s="886"/>
      <c r="T77" s="886"/>
      <c r="U77" s="886"/>
      <c r="V77" s="886"/>
      <c r="W77" s="886"/>
      <c r="X77" s="886"/>
    </row>
    <row r="78" spans="3:24">
      <c r="C78" s="942"/>
      <c r="E78" s="883"/>
      <c r="G78" s="944"/>
      <c r="H78" s="886"/>
      <c r="I78" s="886"/>
      <c r="J78" s="886"/>
      <c r="K78" s="886"/>
      <c r="L78" s="886"/>
      <c r="M78" s="886"/>
      <c r="N78" s="886"/>
      <c r="O78" s="886"/>
      <c r="P78" s="886"/>
      <c r="Q78" s="886"/>
      <c r="R78" s="886"/>
      <c r="S78" s="886"/>
      <c r="T78" s="886"/>
      <c r="U78" s="886"/>
      <c r="V78" s="886"/>
      <c r="W78" s="886"/>
      <c r="X78" s="886"/>
    </row>
    <row r="79" spans="3:24">
      <c r="C79" s="942"/>
      <c r="E79" s="883"/>
      <c r="G79" s="944"/>
      <c r="H79" s="886"/>
      <c r="I79" s="886"/>
      <c r="J79" s="886"/>
      <c r="K79" s="886"/>
      <c r="L79" s="886"/>
      <c r="M79" s="886"/>
      <c r="N79" s="886"/>
      <c r="O79" s="886"/>
      <c r="P79" s="886"/>
      <c r="Q79" s="886"/>
      <c r="R79" s="886"/>
      <c r="S79" s="886"/>
      <c r="T79" s="886"/>
      <c r="U79" s="886"/>
      <c r="V79" s="886"/>
      <c r="W79" s="886"/>
      <c r="X79" s="886"/>
    </row>
    <row r="80" spans="3:24">
      <c r="C80" s="942"/>
      <c r="E80" s="883"/>
      <c r="G80" s="883"/>
      <c r="H80" s="886"/>
      <c r="I80" s="886"/>
      <c r="J80" s="886"/>
      <c r="K80" s="886"/>
      <c r="L80" s="886"/>
      <c r="M80" s="886"/>
      <c r="N80" s="886"/>
      <c r="O80" s="886"/>
      <c r="P80" s="886"/>
      <c r="Q80" s="886"/>
      <c r="R80" s="886"/>
      <c r="S80" s="886"/>
      <c r="T80" s="886"/>
      <c r="U80" s="886"/>
      <c r="V80" s="886"/>
      <c r="W80" s="886"/>
      <c r="X80" s="886"/>
    </row>
    <row r="81" spans="3:24">
      <c r="C81" s="942"/>
      <c r="E81" s="883"/>
      <c r="G81" s="944"/>
      <c r="H81" s="886"/>
      <c r="I81" s="886"/>
      <c r="J81" s="886"/>
      <c r="K81" s="886"/>
      <c r="L81" s="886"/>
      <c r="M81" s="886"/>
      <c r="N81" s="886"/>
      <c r="O81" s="886"/>
      <c r="P81" s="886"/>
      <c r="Q81" s="886"/>
      <c r="R81" s="886"/>
      <c r="S81" s="886"/>
      <c r="T81" s="886"/>
      <c r="U81" s="886"/>
      <c r="V81" s="886"/>
      <c r="W81" s="886"/>
      <c r="X81" s="886"/>
    </row>
    <row r="82" spans="3:24">
      <c r="C82" s="942"/>
      <c r="E82" s="883"/>
      <c r="G82" s="944"/>
      <c r="H82" s="886"/>
      <c r="I82" s="886"/>
      <c r="J82" s="886"/>
      <c r="K82" s="886"/>
      <c r="L82" s="886"/>
      <c r="M82" s="886"/>
      <c r="N82" s="886"/>
      <c r="O82" s="886"/>
      <c r="P82" s="886"/>
      <c r="Q82" s="886"/>
      <c r="R82" s="886"/>
      <c r="S82" s="886"/>
      <c r="T82" s="886"/>
      <c r="U82" s="886"/>
      <c r="V82" s="886"/>
      <c r="W82" s="886"/>
      <c r="X82" s="886"/>
    </row>
    <row r="83" spans="3:24">
      <c r="C83" s="942"/>
      <c r="E83" s="883"/>
      <c r="G83" s="883"/>
      <c r="H83" s="886"/>
      <c r="I83" s="886"/>
      <c r="J83" s="886"/>
      <c r="K83" s="886"/>
      <c r="L83" s="886"/>
      <c r="M83" s="886"/>
      <c r="N83" s="886"/>
      <c r="O83" s="886"/>
      <c r="P83" s="886"/>
      <c r="Q83" s="886"/>
      <c r="R83" s="886"/>
      <c r="S83" s="886"/>
      <c r="T83" s="886"/>
      <c r="U83" s="886"/>
      <c r="V83" s="886"/>
      <c r="W83" s="886"/>
      <c r="X83" s="886"/>
    </row>
    <row r="84" spans="3:24">
      <c r="C84" s="942"/>
      <c r="E84" s="883"/>
      <c r="G84" s="944"/>
      <c r="H84" s="886"/>
      <c r="I84" s="886"/>
      <c r="J84" s="886"/>
      <c r="K84" s="886"/>
      <c r="L84" s="886"/>
      <c r="M84" s="886"/>
      <c r="N84" s="886"/>
      <c r="O84" s="886"/>
      <c r="P84" s="886"/>
      <c r="Q84" s="886"/>
      <c r="R84" s="886"/>
      <c r="S84" s="886"/>
      <c r="T84" s="886"/>
      <c r="U84" s="886"/>
      <c r="V84" s="886"/>
      <c r="W84" s="886"/>
      <c r="X84" s="886"/>
    </row>
    <row r="85" spans="3:24">
      <c r="C85" s="942"/>
      <c r="E85" s="883"/>
      <c r="G85" s="944"/>
      <c r="H85" s="886"/>
      <c r="I85" s="886"/>
      <c r="J85" s="886"/>
      <c r="K85" s="886"/>
      <c r="L85" s="886"/>
      <c r="M85" s="886"/>
      <c r="N85" s="886"/>
      <c r="O85" s="886"/>
      <c r="P85" s="886"/>
      <c r="Q85" s="886"/>
      <c r="R85" s="886"/>
      <c r="S85" s="886"/>
      <c r="T85" s="886"/>
      <c r="U85" s="886"/>
      <c r="V85" s="886"/>
      <c r="W85" s="886"/>
      <c r="X85" s="886"/>
    </row>
    <row r="86" spans="3:24">
      <c r="C86" s="942"/>
      <c r="E86" s="883"/>
      <c r="G86" s="944"/>
      <c r="H86" s="886"/>
      <c r="I86" s="886"/>
      <c r="J86" s="886"/>
      <c r="K86" s="886"/>
      <c r="L86" s="886"/>
      <c r="M86" s="886"/>
      <c r="N86" s="886"/>
      <c r="O86" s="886"/>
      <c r="P86" s="886"/>
      <c r="Q86" s="886"/>
      <c r="R86" s="886"/>
      <c r="S86" s="886"/>
      <c r="T86" s="886"/>
      <c r="U86" s="886"/>
      <c r="V86" s="886"/>
      <c r="W86" s="886"/>
      <c r="X86" s="886"/>
    </row>
    <row r="87" spans="3:24">
      <c r="C87" s="942"/>
      <c r="E87" s="883"/>
      <c r="G87" s="944"/>
      <c r="H87" s="886"/>
      <c r="I87" s="886"/>
      <c r="J87" s="886"/>
      <c r="K87" s="886"/>
      <c r="L87" s="886"/>
      <c r="M87" s="886"/>
      <c r="N87" s="886"/>
      <c r="O87" s="886"/>
      <c r="P87" s="886"/>
      <c r="Q87" s="886"/>
      <c r="R87" s="886"/>
      <c r="S87" s="886"/>
      <c r="T87" s="886"/>
      <c r="U87" s="886"/>
      <c r="V87" s="886"/>
      <c r="W87" s="886"/>
      <c r="X87" s="886"/>
    </row>
    <row r="88" spans="3:24">
      <c r="C88" s="942"/>
      <c r="E88" s="883"/>
      <c r="G88" s="944"/>
      <c r="H88" s="886"/>
      <c r="I88" s="886"/>
      <c r="J88" s="886"/>
      <c r="K88" s="886"/>
      <c r="L88" s="886"/>
      <c r="M88" s="886"/>
      <c r="N88" s="886"/>
      <c r="O88" s="886"/>
      <c r="P88" s="886"/>
      <c r="Q88" s="886"/>
      <c r="R88" s="886"/>
      <c r="S88" s="886"/>
      <c r="T88" s="886"/>
      <c r="U88" s="886"/>
      <c r="V88" s="886"/>
      <c r="W88" s="886"/>
      <c r="X88" s="886"/>
    </row>
    <row r="89" spans="3:24">
      <c r="C89" s="942"/>
      <c r="E89" s="883"/>
      <c r="G89" s="944"/>
      <c r="H89" s="886"/>
      <c r="I89" s="886"/>
      <c r="J89" s="886"/>
      <c r="K89" s="886"/>
      <c r="L89" s="886"/>
      <c r="M89" s="886"/>
      <c r="N89" s="886"/>
      <c r="O89" s="886"/>
      <c r="P89" s="886"/>
      <c r="Q89" s="886"/>
      <c r="R89" s="886"/>
      <c r="S89" s="886"/>
      <c r="T89" s="886"/>
      <c r="U89" s="886"/>
      <c r="V89" s="886"/>
      <c r="W89" s="886"/>
      <c r="X89" s="886"/>
    </row>
    <row r="90" spans="3:24">
      <c r="C90" s="942"/>
      <c r="E90" s="883"/>
      <c r="G90" s="944"/>
      <c r="H90" s="886"/>
      <c r="I90" s="886"/>
      <c r="J90" s="886"/>
      <c r="K90" s="886"/>
      <c r="L90" s="886"/>
      <c r="M90" s="886"/>
      <c r="N90" s="886"/>
      <c r="O90" s="886"/>
      <c r="P90" s="886"/>
      <c r="Q90" s="886"/>
      <c r="R90" s="886"/>
      <c r="S90" s="886"/>
      <c r="T90" s="886"/>
      <c r="U90" s="886"/>
      <c r="V90" s="886"/>
      <c r="W90" s="886"/>
      <c r="X90" s="886"/>
    </row>
    <row r="91" spans="3:24">
      <c r="C91" s="942"/>
      <c r="E91" s="883"/>
      <c r="G91" s="944"/>
      <c r="H91" s="886"/>
      <c r="I91" s="886"/>
      <c r="J91" s="886"/>
      <c r="K91" s="886"/>
      <c r="L91" s="886"/>
      <c r="M91" s="886"/>
      <c r="N91" s="886"/>
      <c r="O91" s="886"/>
      <c r="P91" s="886"/>
      <c r="Q91" s="886"/>
      <c r="R91" s="886"/>
      <c r="S91" s="886"/>
      <c r="T91" s="886"/>
      <c r="U91" s="886"/>
      <c r="V91" s="886"/>
      <c r="W91" s="886"/>
      <c r="X91" s="886"/>
    </row>
    <row r="92" spans="3:24">
      <c r="C92" s="942"/>
      <c r="E92" s="883"/>
      <c r="G92" s="883"/>
      <c r="H92" s="886"/>
      <c r="I92" s="886"/>
      <c r="J92" s="886"/>
      <c r="K92" s="886"/>
      <c r="L92" s="886"/>
      <c r="M92" s="886"/>
      <c r="N92" s="886"/>
      <c r="O92" s="886"/>
      <c r="P92" s="886"/>
      <c r="Q92" s="886"/>
      <c r="R92" s="886"/>
      <c r="S92" s="886"/>
      <c r="T92" s="886"/>
      <c r="U92" s="886"/>
      <c r="V92" s="886"/>
      <c r="W92" s="886"/>
      <c r="X92" s="886"/>
    </row>
    <row r="93" spans="3:24">
      <c r="C93" s="942"/>
      <c r="E93" s="883"/>
      <c r="G93" s="944"/>
      <c r="H93" s="886"/>
      <c r="I93" s="886"/>
      <c r="J93" s="886"/>
      <c r="K93" s="886"/>
      <c r="L93" s="886"/>
      <c r="M93" s="886"/>
      <c r="N93" s="886"/>
      <c r="O93" s="886"/>
      <c r="P93" s="886"/>
      <c r="Q93" s="886"/>
      <c r="R93" s="886"/>
      <c r="S93" s="886"/>
      <c r="T93" s="886"/>
      <c r="U93" s="886"/>
      <c r="V93" s="886"/>
      <c r="W93" s="886"/>
      <c r="X93" s="886"/>
    </row>
    <row r="94" spans="3:24">
      <c r="C94" s="942"/>
      <c r="E94" s="883"/>
      <c r="G94" s="883"/>
      <c r="H94" s="886"/>
      <c r="I94" s="886"/>
      <c r="J94" s="886"/>
      <c r="K94" s="886"/>
      <c r="L94" s="886"/>
      <c r="M94" s="886"/>
      <c r="N94" s="886"/>
      <c r="O94" s="886"/>
      <c r="P94" s="886"/>
      <c r="Q94" s="886"/>
      <c r="R94" s="886"/>
      <c r="S94" s="886"/>
      <c r="T94" s="886"/>
      <c r="U94" s="886"/>
      <c r="V94" s="886"/>
      <c r="W94" s="886"/>
      <c r="X94" s="886"/>
    </row>
    <row r="95" spans="3:24">
      <c r="C95" s="942"/>
      <c r="E95" s="883"/>
      <c r="G95" s="944"/>
      <c r="H95" s="886"/>
      <c r="I95" s="886"/>
      <c r="J95" s="886"/>
      <c r="K95" s="886"/>
      <c r="L95" s="886"/>
      <c r="M95" s="886"/>
      <c r="N95" s="886"/>
      <c r="O95" s="886"/>
      <c r="P95" s="886"/>
      <c r="Q95" s="886"/>
      <c r="R95" s="886"/>
      <c r="S95" s="886"/>
      <c r="T95" s="886"/>
      <c r="U95" s="886"/>
      <c r="V95" s="886"/>
      <c r="W95" s="886"/>
      <c r="X95" s="886"/>
    </row>
    <row r="96" spans="3:24">
      <c r="C96" s="942"/>
      <c r="E96" s="883"/>
      <c r="G96" s="944"/>
      <c r="H96" s="886"/>
      <c r="I96" s="886"/>
      <c r="J96" s="886"/>
      <c r="K96" s="886"/>
      <c r="L96" s="886"/>
      <c r="M96" s="886"/>
      <c r="N96" s="886"/>
      <c r="O96" s="886"/>
      <c r="P96" s="886"/>
      <c r="Q96" s="886"/>
      <c r="R96" s="886"/>
      <c r="S96" s="886"/>
      <c r="T96" s="886"/>
      <c r="U96" s="886"/>
      <c r="V96" s="886"/>
      <c r="W96" s="886"/>
      <c r="X96" s="886"/>
    </row>
    <row r="97" spans="3:24">
      <c r="C97" s="942"/>
      <c r="E97" s="883"/>
      <c r="G97" s="944"/>
      <c r="H97" s="886"/>
      <c r="I97" s="886"/>
      <c r="J97" s="886"/>
      <c r="K97" s="886"/>
      <c r="L97" s="886"/>
      <c r="M97" s="886"/>
      <c r="N97" s="886"/>
      <c r="O97" s="886"/>
      <c r="P97" s="886"/>
      <c r="Q97" s="886"/>
      <c r="R97" s="886"/>
      <c r="S97" s="886"/>
      <c r="T97" s="886"/>
      <c r="U97" s="886"/>
      <c r="V97" s="886"/>
      <c r="W97" s="886"/>
      <c r="X97" s="886"/>
    </row>
    <row r="98" spans="3:24">
      <c r="C98" s="942"/>
      <c r="E98" s="883"/>
      <c r="G98" s="883"/>
      <c r="H98" s="886"/>
      <c r="I98" s="886"/>
      <c r="J98" s="886"/>
      <c r="K98" s="886"/>
      <c r="L98" s="886"/>
      <c r="M98" s="886"/>
      <c r="N98" s="886"/>
      <c r="O98" s="886"/>
      <c r="P98" s="886"/>
      <c r="Q98" s="886"/>
      <c r="R98" s="886"/>
      <c r="S98" s="886"/>
      <c r="T98" s="886"/>
      <c r="U98" s="886"/>
      <c r="V98" s="886"/>
      <c r="W98" s="886"/>
      <c r="X98" s="886"/>
    </row>
    <row r="99" spans="3:24">
      <c r="C99" s="942"/>
      <c r="E99" s="883"/>
      <c r="G99" s="944"/>
      <c r="H99" s="886"/>
      <c r="I99" s="886"/>
      <c r="J99" s="886"/>
      <c r="K99" s="886"/>
      <c r="L99" s="886"/>
      <c r="M99" s="886"/>
      <c r="N99" s="886"/>
      <c r="O99" s="886"/>
      <c r="P99" s="886"/>
      <c r="Q99" s="886"/>
      <c r="R99" s="886"/>
      <c r="S99" s="886"/>
      <c r="T99" s="886"/>
      <c r="U99" s="886"/>
      <c r="V99" s="886"/>
      <c r="W99" s="886"/>
      <c r="X99" s="886"/>
    </row>
    <row r="100" spans="3:24">
      <c r="C100" s="942"/>
      <c r="E100" s="883"/>
      <c r="G100" s="883"/>
      <c r="H100" s="886"/>
      <c r="I100" s="886"/>
      <c r="J100" s="886"/>
      <c r="K100" s="886"/>
      <c r="L100" s="886"/>
      <c r="M100" s="886"/>
      <c r="N100" s="886"/>
      <c r="O100" s="886"/>
      <c r="P100" s="886"/>
      <c r="Q100" s="886"/>
      <c r="R100" s="886"/>
      <c r="S100" s="886"/>
      <c r="T100" s="886"/>
      <c r="U100" s="886"/>
      <c r="V100" s="886"/>
      <c r="W100" s="886"/>
      <c r="X100" s="886"/>
    </row>
    <row r="101" spans="3:24">
      <c r="C101" s="942"/>
      <c r="E101" s="883"/>
      <c r="G101" s="944"/>
      <c r="H101" s="886"/>
      <c r="I101" s="886"/>
      <c r="J101" s="886"/>
      <c r="K101" s="886"/>
      <c r="L101" s="886"/>
      <c r="M101" s="886"/>
      <c r="N101" s="886"/>
      <c r="O101" s="886"/>
      <c r="P101" s="886"/>
      <c r="Q101" s="886"/>
      <c r="R101" s="886"/>
      <c r="S101" s="886"/>
      <c r="T101" s="886"/>
      <c r="U101" s="886"/>
      <c r="V101" s="886"/>
      <c r="W101" s="886"/>
      <c r="X101" s="886"/>
    </row>
    <row r="102" spans="3:24">
      <c r="C102" s="942"/>
      <c r="E102" s="883"/>
      <c r="G102" s="883"/>
      <c r="H102" s="886"/>
      <c r="I102" s="886"/>
      <c r="J102" s="886"/>
      <c r="K102" s="886"/>
      <c r="L102" s="886"/>
      <c r="M102" s="886"/>
      <c r="N102" s="886"/>
      <c r="O102" s="886"/>
      <c r="P102" s="886"/>
      <c r="Q102" s="886"/>
      <c r="R102" s="886"/>
      <c r="S102" s="886"/>
      <c r="T102" s="886"/>
      <c r="U102" s="886"/>
      <c r="V102" s="886"/>
      <c r="W102" s="886"/>
      <c r="X102" s="886"/>
    </row>
    <row r="103" spans="3:24">
      <c r="C103" s="942"/>
      <c r="E103" s="883"/>
      <c r="G103" s="944"/>
      <c r="H103" s="886"/>
      <c r="I103" s="886"/>
      <c r="J103" s="886"/>
      <c r="K103" s="886"/>
      <c r="L103" s="886"/>
      <c r="M103" s="886"/>
      <c r="N103" s="886"/>
      <c r="O103" s="886"/>
      <c r="P103" s="886"/>
      <c r="Q103" s="886"/>
      <c r="R103" s="886"/>
      <c r="S103" s="886"/>
      <c r="T103" s="886"/>
      <c r="U103" s="886"/>
      <c r="V103" s="886"/>
      <c r="W103" s="886"/>
      <c r="X103" s="886"/>
    </row>
    <row r="104" spans="3:24">
      <c r="C104" s="942"/>
      <c r="E104" s="883"/>
      <c r="G104" s="883"/>
      <c r="H104" s="886"/>
      <c r="I104" s="886"/>
      <c r="J104" s="886"/>
      <c r="K104" s="886"/>
      <c r="L104" s="886"/>
      <c r="M104" s="886"/>
      <c r="N104" s="886"/>
      <c r="O104" s="886"/>
      <c r="P104" s="886"/>
      <c r="Q104" s="886"/>
      <c r="R104" s="886"/>
      <c r="S104" s="886"/>
      <c r="T104" s="886"/>
      <c r="U104" s="886"/>
      <c r="V104" s="886"/>
      <c r="W104" s="886"/>
      <c r="X104" s="886"/>
    </row>
    <row r="105" spans="3:24">
      <c r="C105" s="942"/>
      <c r="E105" s="883"/>
      <c r="G105" s="944"/>
      <c r="H105" s="886"/>
      <c r="I105" s="886"/>
      <c r="J105" s="886"/>
      <c r="K105" s="886"/>
      <c r="L105" s="886"/>
      <c r="M105" s="886"/>
      <c r="N105" s="886"/>
      <c r="O105" s="886"/>
      <c r="P105" s="886"/>
      <c r="Q105" s="886"/>
      <c r="R105" s="886"/>
      <c r="S105" s="886"/>
      <c r="T105" s="886"/>
      <c r="U105" s="886"/>
      <c r="V105" s="886"/>
      <c r="W105" s="886"/>
      <c r="X105" s="886"/>
    </row>
    <row r="106" spans="3:24">
      <c r="C106" s="942"/>
      <c r="E106" s="883"/>
      <c r="G106" s="883"/>
      <c r="H106" s="886"/>
      <c r="I106" s="886"/>
      <c r="J106" s="886"/>
      <c r="K106" s="886"/>
      <c r="L106" s="886"/>
      <c r="M106" s="886"/>
      <c r="N106" s="886"/>
      <c r="O106" s="886"/>
      <c r="P106" s="886"/>
      <c r="Q106" s="886"/>
      <c r="R106" s="886"/>
      <c r="S106" s="886"/>
      <c r="T106" s="886"/>
      <c r="U106" s="886"/>
      <c r="V106" s="886"/>
      <c r="W106" s="886"/>
      <c r="X106" s="886"/>
    </row>
    <row r="107" spans="3:24">
      <c r="C107" s="942"/>
      <c r="E107" s="883"/>
      <c r="G107" s="944"/>
      <c r="H107" s="886"/>
      <c r="I107" s="886"/>
      <c r="J107" s="886"/>
      <c r="K107" s="886"/>
      <c r="L107" s="886"/>
      <c r="M107" s="886"/>
      <c r="N107" s="886"/>
      <c r="O107" s="886"/>
      <c r="P107" s="886"/>
      <c r="Q107" s="886"/>
      <c r="R107" s="886"/>
      <c r="S107" s="886"/>
      <c r="T107" s="886"/>
      <c r="U107" s="886"/>
      <c r="V107" s="886"/>
      <c r="W107" s="886"/>
      <c r="X107" s="886"/>
    </row>
    <row r="108" spans="3:24">
      <c r="C108" s="942"/>
      <c r="E108" s="883"/>
      <c r="G108" s="944"/>
      <c r="H108" s="886"/>
      <c r="I108" s="886"/>
      <c r="J108" s="886"/>
      <c r="K108" s="886"/>
      <c r="L108" s="886"/>
      <c r="M108" s="886"/>
      <c r="N108" s="886"/>
      <c r="O108" s="886"/>
      <c r="P108" s="886"/>
      <c r="Q108" s="886"/>
      <c r="R108" s="886"/>
      <c r="S108" s="886"/>
      <c r="T108" s="886"/>
      <c r="U108" s="886"/>
      <c r="V108" s="886"/>
      <c r="W108" s="886"/>
      <c r="X108" s="886"/>
    </row>
    <row r="109" spans="3:24">
      <c r="C109" s="942"/>
      <c r="D109" s="945" t="s">
        <v>394</v>
      </c>
      <c r="E109" s="883"/>
      <c r="H109" s="886"/>
      <c r="I109" s="886"/>
      <c r="J109" s="886"/>
      <c r="K109" s="886"/>
      <c r="L109" s="886"/>
      <c r="M109" s="886"/>
      <c r="N109" s="886"/>
      <c r="O109" s="886"/>
      <c r="P109" s="886"/>
      <c r="Q109" s="886"/>
      <c r="R109" s="886"/>
      <c r="S109" s="886"/>
      <c r="T109" s="886"/>
      <c r="U109" s="886"/>
      <c r="V109" s="886"/>
      <c r="W109" s="886"/>
      <c r="X109" s="886"/>
    </row>
    <row r="110" spans="3:24">
      <c r="C110" s="942"/>
      <c r="D110" s="945" t="s">
        <v>395</v>
      </c>
      <c r="E110" s="883"/>
      <c r="H110" s="886"/>
      <c r="I110" s="886"/>
      <c r="J110" s="886"/>
      <c r="K110" s="886"/>
      <c r="L110" s="886"/>
      <c r="M110" s="886"/>
      <c r="N110" s="886"/>
      <c r="O110" s="886"/>
      <c r="P110" s="886"/>
      <c r="Q110" s="886"/>
      <c r="R110" s="886"/>
      <c r="S110" s="886"/>
      <c r="T110" s="886"/>
      <c r="U110" s="886"/>
      <c r="V110" s="886"/>
      <c r="W110" s="886"/>
      <c r="X110" s="886"/>
    </row>
    <row r="111" spans="3:24">
      <c r="C111" s="942"/>
      <c r="D111" s="943"/>
      <c r="E111" s="886"/>
      <c r="F111" s="886"/>
      <c r="G111" s="886"/>
      <c r="H111" s="886"/>
      <c r="I111" s="886"/>
      <c r="J111" s="886"/>
      <c r="K111" s="886"/>
      <c r="L111" s="886"/>
      <c r="M111" s="886"/>
      <c r="N111" s="886"/>
      <c r="O111" s="886"/>
      <c r="P111" s="886"/>
      <c r="Q111" s="886"/>
      <c r="R111" s="886"/>
      <c r="S111" s="886"/>
      <c r="T111" s="886"/>
      <c r="U111" s="886"/>
      <c r="V111" s="886"/>
      <c r="W111" s="886"/>
      <c r="X111" s="886"/>
    </row>
    <row r="112" spans="3:24">
      <c r="C112" s="942"/>
      <c r="D112" s="943"/>
      <c r="E112" s="886"/>
      <c r="F112" s="886"/>
      <c r="G112" s="886"/>
      <c r="H112" s="886"/>
      <c r="I112" s="886"/>
      <c r="J112" s="886"/>
      <c r="K112" s="886"/>
      <c r="L112" s="886"/>
      <c r="M112" s="886"/>
      <c r="N112" s="886"/>
      <c r="O112" s="886"/>
      <c r="P112" s="886"/>
      <c r="Q112" s="886"/>
      <c r="R112" s="886"/>
      <c r="S112" s="886"/>
      <c r="T112" s="886"/>
      <c r="U112" s="886"/>
      <c r="V112" s="886"/>
      <c r="W112" s="886"/>
      <c r="X112" s="886"/>
    </row>
    <row r="113" spans="3:24">
      <c r="C113" s="942"/>
      <c r="D113" s="943"/>
      <c r="E113" s="886"/>
      <c r="F113" s="886"/>
      <c r="G113" s="886"/>
      <c r="H113" s="886"/>
      <c r="I113" s="886"/>
      <c r="J113" s="886"/>
      <c r="K113" s="886"/>
      <c r="L113" s="886"/>
      <c r="M113" s="886"/>
      <c r="N113" s="886"/>
      <c r="O113" s="886"/>
      <c r="P113" s="886"/>
      <c r="Q113" s="886"/>
      <c r="R113" s="886"/>
      <c r="S113" s="886"/>
      <c r="T113" s="886"/>
      <c r="U113" s="886"/>
      <c r="V113" s="886"/>
      <c r="W113" s="886"/>
      <c r="X113" s="886"/>
    </row>
    <row r="114" spans="3:24">
      <c r="C114" s="942"/>
      <c r="D114" s="943"/>
      <c r="E114" s="886"/>
      <c r="F114" s="886"/>
      <c r="G114" s="886"/>
      <c r="H114" s="886"/>
      <c r="I114" s="886"/>
      <c r="J114" s="886"/>
      <c r="K114" s="886"/>
      <c r="L114" s="886"/>
      <c r="M114" s="886"/>
      <c r="N114" s="886"/>
      <c r="O114" s="886"/>
      <c r="P114" s="886"/>
      <c r="Q114" s="886"/>
      <c r="R114" s="886"/>
      <c r="S114" s="886"/>
      <c r="T114" s="886"/>
      <c r="U114" s="886"/>
      <c r="V114" s="886"/>
      <c r="W114" s="886"/>
      <c r="X114" s="886"/>
    </row>
    <row r="115" spans="3:24">
      <c r="C115" s="942"/>
      <c r="D115" s="943"/>
      <c r="E115" s="886"/>
      <c r="F115" s="886"/>
      <c r="G115" s="886"/>
      <c r="H115" s="886"/>
      <c r="I115" s="886"/>
      <c r="J115" s="886"/>
      <c r="K115" s="886"/>
      <c r="L115" s="886"/>
      <c r="M115" s="886"/>
      <c r="N115" s="886"/>
      <c r="O115" s="886"/>
      <c r="P115" s="886"/>
      <c r="Q115" s="886"/>
      <c r="R115" s="886"/>
      <c r="S115" s="886"/>
      <c r="T115" s="886"/>
      <c r="U115" s="886"/>
      <c r="V115" s="886"/>
      <c r="W115" s="886"/>
      <c r="X115" s="886"/>
    </row>
    <row r="116" spans="3:24">
      <c r="C116" s="942"/>
      <c r="D116" s="943"/>
      <c r="E116" s="886"/>
      <c r="F116" s="886"/>
      <c r="G116" s="886"/>
      <c r="H116" s="886"/>
      <c r="I116" s="886"/>
      <c r="J116" s="886"/>
      <c r="K116" s="886"/>
      <c r="L116" s="886"/>
      <c r="M116" s="886"/>
      <c r="N116" s="886"/>
      <c r="O116" s="886"/>
      <c r="P116" s="886"/>
      <c r="Q116" s="886"/>
      <c r="R116" s="886"/>
      <c r="S116" s="886"/>
      <c r="T116" s="886"/>
      <c r="U116" s="886"/>
      <c r="V116" s="886"/>
      <c r="W116" s="886"/>
      <c r="X116" s="886"/>
    </row>
    <row r="117" spans="3:24">
      <c r="C117" s="942"/>
      <c r="D117" s="943"/>
      <c r="E117" s="886"/>
      <c r="F117" s="886"/>
      <c r="G117" s="886"/>
      <c r="H117" s="886"/>
      <c r="I117" s="886"/>
      <c r="J117" s="886"/>
      <c r="K117" s="886"/>
      <c r="L117" s="886"/>
      <c r="M117" s="886"/>
      <c r="N117" s="886"/>
      <c r="O117" s="886"/>
      <c r="P117" s="886"/>
      <c r="Q117" s="886"/>
      <c r="R117" s="886"/>
      <c r="S117" s="886"/>
      <c r="T117" s="886"/>
      <c r="U117" s="886"/>
      <c r="V117" s="886"/>
      <c r="W117" s="886"/>
      <c r="X117" s="886"/>
    </row>
    <row r="118" spans="3:24">
      <c r="C118" s="942"/>
      <c r="D118" s="943"/>
      <c r="E118" s="886"/>
      <c r="F118" s="886"/>
      <c r="G118" s="886"/>
      <c r="H118" s="886"/>
      <c r="I118" s="886"/>
      <c r="J118" s="886"/>
      <c r="K118" s="886"/>
      <c r="L118" s="886"/>
      <c r="M118" s="886"/>
      <c r="N118" s="886"/>
      <c r="O118" s="886"/>
      <c r="P118" s="886"/>
      <c r="Q118" s="886"/>
      <c r="R118" s="886"/>
      <c r="S118" s="886"/>
      <c r="T118" s="886"/>
      <c r="U118" s="886"/>
      <c r="V118" s="886"/>
      <c r="W118" s="886"/>
      <c r="X118" s="886"/>
    </row>
    <row r="119" spans="3:24">
      <c r="C119" s="942"/>
      <c r="D119" s="943"/>
      <c r="E119" s="886"/>
      <c r="F119" s="886"/>
      <c r="G119" s="886"/>
      <c r="H119" s="886"/>
      <c r="I119" s="886"/>
      <c r="J119" s="886"/>
      <c r="K119" s="886"/>
      <c r="L119" s="886"/>
      <c r="M119" s="886"/>
      <c r="N119" s="886"/>
      <c r="O119" s="886"/>
      <c r="P119" s="886"/>
      <c r="Q119" s="886"/>
      <c r="R119" s="886"/>
      <c r="S119" s="886"/>
      <c r="T119" s="886"/>
      <c r="U119" s="886"/>
      <c r="V119" s="886"/>
      <c r="W119" s="886"/>
      <c r="X119" s="886"/>
    </row>
    <row r="120" spans="3:24">
      <c r="C120" s="942"/>
      <c r="D120" s="943"/>
      <c r="E120" s="886"/>
      <c r="F120" s="886"/>
      <c r="G120" s="886"/>
      <c r="H120" s="886"/>
      <c r="I120" s="886"/>
      <c r="J120" s="886"/>
      <c r="K120" s="886"/>
      <c r="L120" s="886"/>
      <c r="M120" s="886"/>
      <c r="N120" s="886"/>
      <c r="O120" s="886"/>
      <c r="P120" s="886"/>
      <c r="Q120" s="886"/>
      <c r="R120" s="886"/>
      <c r="S120" s="886"/>
      <c r="T120" s="886"/>
      <c r="U120" s="886"/>
      <c r="V120" s="886"/>
      <c r="W120" s="886"/>
      <c r="X120" s="886"/>
    </row>
    <row r="121" spans="3:24">
      <c r="C121" s="942"/>
      <c r="D121" s="943"/>
      <c r="E121" s="886"/>
      <c r="F121" s="886"/>
      <c r="G121" s="886"/>
      <c r="H121" s="886"/>
      <c r="I121" s="886"/>
      <c r="J121" s="886"/>
      <c r="K121" s="886"/>
      <c r="L121" s="886"/>
      <c r="M121" s="886"/>
      <c r="N121" s="886"/>
      <c r="O121" s="886"/>
      <c r="P121" s="886"/>
      <c r="Q121" s="886"/>
      <c r="R121" s="886"/>
      <c r="S121" s="886"/>
      <c r="T121" s="886"/>
      <c r="U121" s="886"/>
      <c r="V121" s="886"/>
      <c r="W121" s="886"/>
      <c r="X121" s="886"/>
    </row>
    <row r="122" spans="3:24">
      <c r="C122" s="942"/>
      <c r="D122" s="943"/>
      <c r="E122" s="886"/>
      <c r="F122" s="886"/>
      <c r="G122" s="886"/>
      <c r="H122" s="886"/>
      <c r="I122" s="886"/>
      <c r="J122" s="886"/>
      <c r="K122" s="886"/>
      <c r="L122" s="886"/>
      <c r="M122" s="886"/>
      <c r="N122" s="886"/>
      <c r="O122" s="886"/>
      <c r="P122" s="886"/>
      <c r="Q122" s="886"/>
      <c r="R122" s="886"/>
      <c r="S122" s="886"/>
      <c r="T122" s="886"/>
      <c r="U122" s="886"/>
      <c r="V122" s="886"/>
      <c r="W122" s="886"/>
      <c r="X122" s="886"/>
    </row>
    <row r="123" spans="3:24">
      <c r="C123" s="942"/>
      <c r="D123" s="943"/>
      <c r="E123" s="886"/>
      <c r="F123" s="886"/>
      <c r="G123" s="886"/>
      <c r="H123" s="886"/>
      <c r="I123" s="886"/>
      <c r="J123" s="886"/>
      <c r="K123" s="886"/>
      <c r="L123" s="886"/>
      <c r="M123" s="886"/>
      <c r="N123" s="886"/>
      <c r="O123" s="886"/>
      <c r="P123" s="886"/>
      <c r="Q123" s="886"/>
      <c r="R123" s="886"/>
      <c r="S123" s="886"/>
      <c r="T123" s="886"/>
      <c r="U123" s="886"/>
      <c r="V123" s="886"/>
      <c r="W123" s="886"/>
      <c r="X123" s="886"/>
    </row>
    <row r="124" spans="3:24">
      <c r="C124" s="942"/>
      <c r="D124" s="943"/>
      <c r="E124" s="886"/>
      <c r="F124" s="886"/>
      <c r="G124" s="886"/>
      <c r="H124" s="886"/>
      <c r="I124" s="886"/>
      <c r="J124" s="886"/>
      <c r="K124" s="886"/>
      <c r="L124" s="886"/>
      <c r="M124" s="886"/>
      <c r="N124" s="886"/>
      <c r="O124" s="886"/>
      <c r="P124" s="886"/>
      <c r="Q124" s="886"/>
      <c r="R124" s="886"/>
      <c r="S124" s="886"/>
      <c r="T124" s="886"/>
      <c r="U124" s="886"/>
      <c r="V124" s="886"/>
      <c r="W124" s="886"/>
      <c r="X124" s="886"/>
    </row>
    <row r="125" spans="3:24">
      <c r="C125" s="942"/>
      <c r="D125" s="943"/>
      <c r="E125" s="886"/>
      <c r="F125" s="886"/>
      <c r="G125" s="886"/>
      <c r="H125" s="886"/>
      <c r="I125" s="886"/>
      <c r="J125" s="886"/>
      <c r="K125" s="886"/>
      <c r="L125" s="886"/>
      <c r="M125" s="886"/>
      <c r="N125" s="886"/>
      <c r="O125" s="886"/>
      <c r="P125" s="886"/>
      <c r="Q125" s="886"/>
      <c r="R125" s="886"/>
      <c r="S125" s="886"/>
      <c r="T125" s="886"/>
      <c r="U125" s="886"/>
      <c r="V125" s="886"/>
      <c r="W125" s="886"/>
      <c r="X125" s="886"/>
    </row>
    <row r="126" spans="3:24">
      <c r="C126" s="942"/>
      <c r="D126" s="943"/>
      <c r="E126" s="886"/>
      <c r="F126" s="886"/>
      <c r="G126" s="886"/>
      <c r="H126" s="886"/>
      <c r="I126" s="886"/>
      <c r="J126" s="886"/>
      <c r="K126" s="886"/>
      <c r="L126" s="886"/>
      <c r="M126" s="886"/>
      <c r="N126" s="886"/>
      <c r="O126" s="886"/>
      <c r="P126" s="886"/>
      <c r="Q126" s="886"/>
      <c r="R126" s="886"/>
      <c r="S126" s="886"/>
      <c r="T126" s="886"/>
      <c r="U126" s="886"/>
      <c r="V126" s="886"/>
      <c r="W126" s="886"/>
      <c r="X126" s="886"/>
    </row>
    <row r="127" spans="3:24">
      <c r="C127" s="942"/>
      <c r="D127" s="943"/>
      <c r="E127" s="886"/>
      <c r="F127" s="886"/>
      <c r="G127" s="886"/>
      <c r="H127" s="886"/>
      <c r="I127" s="886"/>
      <c r="J127" s="886"/>
      <c r="K127" s="886"/>
      <c r="L127" s="886"/>
      <c r="M127" s="886"/>
      <c r="N127" s="886"/>
      <c r="O127" s="886"/>
      <c r="P127" s="886"/>
      <c r="Q127" s="886"/>
      <c r="R127" s="886"/>
      <c r="S127" s="886"/>
      <c r="T127" s="886"/>
      <c r="U127" s="886"/>
      <c r="V127" s="886"/>
      <c r="W127" s="886"/>
      <c r="X127" s="886"/>
    </row>
    <row r="128" spans="3:24">
      <c r="C128" s="942"/>
      <c r="D128" s="943"/>
      <c r="E128" s="886"/>
      <c r="F128" s="886"/>
      <c r="G128" s="886"/>
      <c r="H128" s="886"/>
      <c r="I128" s="886"/>
      <c r="J128" s="886"/>
      <c r="K128" s="886"/>
      <c r="L128" s="886"/>
      <c r="M128" s="886"/>
      <c r="N128" s="886"/>
      <c r="O128" s="886"/>
      <c r="P128" s="886"/>
      <c r="Q128" s="886"/>
      <c r="R128" s="886"/>
      <c r="S128" s="886"/>
      <c r="T128" s="886"/>
      <c r="U128" s="886"/>
      <c r="V128" s="886"/>
      <c r="W128" s="886"/>
      <c r="X128" s="886"/>
    </row>
    <row r="129" spans="3:24">
      <c r="C129" s="942"/>
      <c r="D129" s="943"/>
      <c r="E129" s="886"/>
      <c r="F129" s="886"/>
      <c r="G129" s="886"/>
      <c r="H129" s="886"/>
      <c r="I129" s="886"/>
      <c r="J129" s="886"/>
      <c r="K129" s="886"/>
      <c r="L129" s="886"/>
      <c r="M129" s="886"/>
      <c r="N129" s="886"/>
      <c r="O129" s="886"/>
      <c r="P129" s="886"/>
      <c r="Q129" s="886"/>
      <c r="R129" s="886"/>
      <c r="S129" s="886"/>
      <c r="T129" s="886"/>
      <c r="U129" s="886"/>
      <c r="V129" s="886"/>
      <c r="W129" s="886"/>
      <c r="X129" s="886"/>
    </row>
    <row r="130" spans="3:24">
      <c r="C130" s="942"/>
      <c r="D130" s="943"/>
      <c r="E130" s="886"/>
      <c r="F130" s="886"/>
      <c r="G130" s="886"/>
      <c r="H130" s="886"/>
      <c r="I130" s="886"/>
      <c r="J130" s="886"/>
      <c r="K130" s="886"/>
      <c r="L130" s="886"/>
      <c r="M130" s="886"/>
      <c r="N130" s="886"/>
      <c r="O130" s="886"/>
      <c r="P130" s="886"/>
      <c r="Q130" s="886"/>
      <c r="R130" s="886"/>
      <c r="S130" s="886"/>
      <c r="T130" s="886"/>
      <c r="U130" s="886"/>
      <c r="V130" s="886"/>
      <c r="W130" s="886"/>
      <c r="X130" s="886"/>
    </row>
    <row r="131" spans="3:24">
      <c r="C131" s="942"/>
      <c r="D131" s="943"/>
      <c r="E131" s="886"/>
      <c r="F131" s="886"/>
      <c r="G131" s="886"/>
      <c r="H131" s="886"/>
      <c r="I131" s="886"/>
      <c r="J131" s="886"/>
      <c r="K131" s="886"/>
      <c r="L131" s="886"/>
      <c r="M131" s="886"/>
      <c r="N131" s="886"/>
      <c r="O131" s="886"/>
      <c r="P131" s="886"/>
      <c r="Q131" s="886"/>
      <c r="R131" s="886"/>
      <c r="S131" s="886"/>
      <c r="T131" s="886"/>
      <c r="U131" s="886"/>
      <c r="V131" s="886"/>
      <c r="W131" s="886"/>
      <c r="X131" s="886"/>
    </row>
    <row r="132" spans="3:24">
      <c r="C132" s="942"/>
      <c r="D132" s="943"/>
      <c r="E132" s="886"/>
      <c r="F132" s="886"/>
      <c r="G132" s="886"/>
      <c r="H132" s="886"/>
      <c r="I132" s="886"/>
      <c r="J132" s="886"/>
      <c r="K132" s="886"/>
      <c r="L132" s="886"/>
      <c r="M132" s="886"/>
      <c r="N132" s="886"/>
      <c r="O132" s="886"/>
      <c r="P132" s="886"/>
      <c r="Q132" s="886"/>
      <c r="R132" s="886"/>
      <c r="S132" s="886"/>
      <c r="T132" s="886"/>
      <c r="U132" s="886"/>
      <c r="V132" s="886"/>
      <c r="W132" s="886"/>
      <c r="X132" s="886"/>
    </row>
    <row r="133" spans="3:24">
      <c r="C133" s="942"/>
      <c r="D133" s="943"/>
      <c r="E133" s="886"/>
      <c r="F133" s="886"/>
      <c r="G133" s="886"/>
      <c r="H133" s="886"/>
      <c r="I133" s="886"/>
      <c r="J133" s="886"/>
      <c r="K133" s="886"/>
      <c r="L133" s="886"/>
      <c r="M133" s="886"/>
      <c r="N133" s="886"/>
      <c r="O133" s="886"/>
      <c r="P133" s="886"/>
      <c r="Q133" s="886"/>
      <c r="R133" s="886"/>
      <c r="S133" s="886"/>
      <c r="T133" s="886"/>
      <c r="U133" s="886"/>
      <c r="V133" s="886"/>
      <c r="W133" s="886"/>
      <c r="X133" s="886"/>
    </row>
    <row r="134" spans="3:24">
      <c r="C134" s="942"/>
      <c r="D134" s="943"/>
      <c r="E134" s="886"/>
      <c r="F134" s="886"/>
      <c r="G134" s="886"/>
      <c r="H134" s="886"/>
      <c r="I134" s="886"/>
      <c r="J134" s="886"/>
      <c r="K134" s="886"/>
      <c r="L134" s="886"/>
      <c r="M134" s="886"/>
      <c r="N134" s="886"/>
      <c r="O134" s="886"/>
      <c r="P134" s="886"/>
      <c r="Q134" s="886"/>
      <c r="R134" s="886"/>
      <c r="S134" s="886"/>
      <c r="T134" s="886"/>
      <c r="U134" s="886"/>
      <c r="V134" s="886"/>
      <c r="W134" s="886"/>
      <c r="X134" s="886"/>
    </row>
    <row r="135" spans="3:24">
      <c r="C135" s="942"/>
      <c r="D135" s="943"/>
      <c r="E135" s="886"/>
      <c r="F135" s="886"/>
      <c r="G135" s="886"/>
      <c r="H135" s="886"/>
      <c r="I135" s="886"/>
      <c r="J135" s="886"/>
      <c r="K135" s="886"/>
      <c r="L135" s="886"/>
      <c r="M135" s="886"/>
      <c r="N135" s="886"/>
      <c r="O135" s="886"/>
      <c r="P135" s="886"/>
      <c r="Q135" s="886"/>
      <c r="R135" s="886"/>
      <c r="S135" s="886"/>
      <c r="T135" s="886"/>
      <c r="U135" s="886"/>
      <c r="V135" s="886"/>
      <c r="W135" s="886"/>
      <c r="X135" s="886"/>
    </row>
    <row r="136" spans="3:24">
      <c r="C136" s="942"/>
      <c r="D136" s="943"/>
      <c r="E136" s="886"/>
      <c r="F136" s="886"/>
      <c r="G136" s="886"/>
      <c r="H136" s="886"/>
      <c r="I136" s="886"/>
      <c r="J136" s="886"/>
      <c r="K136" s="886"/>
      <c r="L136" s="886"/>
      <c r="M136" s="886"/>
      <c r="N136" s="886"/>
      <c r="O136" s="886"/>
      <c r="P136" s="886"/>
      <c r="Q136" s="886"/>
      <c r="R136" s="886"/>
      <c r="S136" s="886"/>
      <c r="T136" s="886"/>
      <c r="U136" s="886"/>
      <c r="V136" s="886"/>
      <c r="W136" s="886"/>
      <c r="X136" s="886"/>
    </row>
    <row r="137" spans="3:24">
      <c r="C137" s="942"/>
      <c r="D137" s="943"/>
      <c r="E137" s="886"/>
      <c r="F137" s="886"/>
      <c r="G137" s="886"/>
      <c r="H137" s="886"/>
      <c r="I137" s="886"/>
      <c r="J137" s="886"/>
      <c r="K137" s="886"/>
      <c r="L137" s="886"/>
      <c r="M137" s="886"/>
      <c r="N137" s="886"/>
      <c r="O137" s="886"/>
      <c r="P137" s="886"/>
      <c r="Q137" s="886"/>
      <c r="R137" s="886"/>
      <c r="S137" s="886"/>
      <c r="T137" s="886"/>
      <c r="U137" s="886"/>
      <c r="V137" s="886"/>
      <c r="W137" s="886"/>
      <c r="X137" s="886"/>
    </row>
    <row r="138" spans="3:24">
      <c r="C138" s="942"/>
      <c r="D138" s="943"/>
      <c r="E138" s="886"/>
      <c r="F138" s="886"/>
      <c r="G138" s="886"/>
      <c r="H138" s="886"/>
      <c r="I138" s="886"/>
      <c r="J138" s="886"/>
      <c r="K138" s="886"/>
      <c r="L138" s="886"/>
      <c r="M138" s="886"/>
      <c r="N138" s="886"/>
      <c r="O138" s="886"/>
      <c r="P138" s="886"/>
      <c r="Q138" s="886"/>
      <c r="R138" s="886"/>
      <c r="S138" s="886"/>
      <c r="T138" s="886"/>
      <c r="U138" s="886"/>
      <c r="V138" s="886"/>
      <c r="W138" s="886"/>
      <c r="X138" s="886"/>
    </row>
    <row r="139" spans="3:24">
      <c r="C139" s="942"/>
      <c r="D139" s="943"/>
      <c r="E139" s="886"/>
      <c r="F139" s="886"/>
      <c r="G139" s="886"/>
      <c r="H139" s="886"/>
      <c r="I139" s="886"/>
      <c r="J139" s="886"/>
      <c r="K139" s="886"/>
      <c r="L139" s="886"/>
      <c r="M139" s="886"/>
      <c r="N139" s="886"/>
      <c r="O139" s="886"/>
      <c r="P139" s="886"/>
      <c r="Q139" s="886"/>
      <c r="R139" s="886"/>
      <c r="S139" s="886"/>
      <c r="T139" s="886"/>
      <c r="U139" s="886"/>
      <c r="V139" s="886"/>
      <c r="W139" s="886"/>
      <c r="X139" s="886"/>
    </row>
    <row r="140" spans="3:24">
      <c r="C140" s="942"/>
      <c r="D140" s="943"/>
      <c r="E140" s="886"/>
      <c r="F140" s="886"/>
      <c r="G140" s="886"/>
      <c r="H140" s="886"/>
      <c r="I140" s="886"/>
      <c r="J140" s="886"/>
      <c r="K140" s="886"/>
      <c r="L140" s="886"/>
      <c r="M140" s="886"/>
      <c r="N140" s="886"/>
      <c r="O140" s="886"/>
      <c r="P140" s="886"/>
      <c r="Q140" s="886"/>
      <c r="R140" s="886"/>
      <c r="S140" s="886"/>
      <c r="T140" s="886"/>
      <c r="U140" s="886"/>
      <c r="V140" s="886"/>
      <c r="W140" s="886"/>
      <c r="X140" s="886"/>
    </row>
    <row r="141" spans="3:24">
      <c r="C141" s="942"/>
      <c r="D141" s="943"/>
      <c r="E141" s="886"/>
      <c r="F141" s="886"/>
      <c r="G141" s="886"/>
      <c r="H141" s="886"/>
      <c r="I141" s="886"/>
      <c r="J141" s="886"/>
      <c r="K141" s="886"/>
      <c r="L141" s="886"/>
      <c r="M141" s="886"/>
      <c r="N141" s="886"/>
      <c r="O141" s="886"/>
      <c r="P141" s="886"/>
      <c r="Q141" s="886"/>
      <c r="R141" s="886"/>
      <c r="S141" s="886"/>
      <c r="T141" s="886"/>
      <c r="U141" s="886"/>
      <c r="V141" s="886"/>
      <c r="W141" s="886"/>
      <c r="X141" s="886"/>
    </row>
    <row r="142" spans="3:24">
      <c r="C142" s="942"/>
      <c r="D142" s="943"/>
      <c r="E142" s="886"/>
      <c r="F142" s="886"/>
      <c r="G142" s="886"/>
      <c r="H142" s="886"/>
      <c r="I142" s="886"/>
      <c r="J142" s="886"/>
      <c r="K142" s="886"/>
      <c r="L142" s="886"/>
      <c r="M142" s="886"/>
      <c r="N142" s="886"/>
      <c r="O142" s="886"/>
      <c r="P142" s="886"/>
      <c r="Q142" s="886"/>
      <c r="R142" s="886"/>
      <c r="S142" s="886"/>
      <c r="T142" s="886"/>
      <c r="U142" s="886"/>
      <c r="V142" s="886"/>
      <c r="W142" s="886"/>
      <c r="X142" s="886"/>
    </row>
    <row r="143" spans="3:24">
      <c r="C143" s="942"/>
      <c r="D143" s="943"/>
      <c r="E143" s="886"/>
      <c r="F143" s="886"/>
      <c r="G143" s="886"/>
      <c r="H143" s="886"/>
      <c r="I143" s="886"/>
      <c r="J143" s="886"/>
      <c r="K143" s="886"/>
      <c r="L143" s="886"/>
      <c r="M143" s="886"/>
      <c r="N143" s="886"/>
      <c r="O143" s="886"/>
      <c r="P143" s="886"/>
      <c r="Q143" s="886"/>
      <c r="R143" s="886"/>
      <c r="S143" s="886"/>
      <c r="T143" s="886"/>
      <c r="U143" s="886"/>
      <c r="V143" s="886"/>
      <c r="W143" s="886"/>
      <c r="X143" s="886"/>
    </row>
    <row r="144" spans="3:24">
      <c r="C144" s="942"/>
      <c r="D144" s="943"/>
      <c r="E144" s="886"/>
      <c r="F144" s="886"/>
      <c r="G144" s="886"/>
      <c r="H144" s="886"/>
      <c r="I144" s="886"/>
      <c r="J144" s="886"/>
      <c r="K144" s="886"/>
      <c r="L144" s="886"/>
      <c r="M144" s="886"/>
      <c r="N144" s="886"/>
      <c r="O144" s="886"/>
      <c r="P144" s="886"/>
      <c r="Q144" s="886"/>
      <c r="R144" s="886"/>
      <c r="S144" s="886"/>
      <c r="T144" s="886"/>
      <c r="U144" s="886"/>
      <c r="V144" s="886"/>
      <c r="W144" s="886"/>
      <c r="X144" s="886"/>
    </row>
    <row r="145" spans="3:24">
      <c r="C145" s="942"/>
      <c r="D145" s="943"/>
      <c r="E145" s="886"/>
      <c r="F145" s="886"/>
      <c r="G145" s="886"/>
      <c r="H145" s="886"/>
      <c r="I145" s="886"/>
      <c r="J145" s="886"/>
      <c r="K145" s="886"/>
      <c r="L145" s="886"/>
      <c r="M145" s="886"/>
      <c r="N145" s="886"/>
      <c r="O145" s="886"/>
      <c r="P145" s="886"/>
      <c r="Q145" s="886"/>
      <c r="R145" s="886"/>
      <c r="S145" s="886"/>
      <c r="T145" s="886"/>
      <c r="U145" s="886"/>
      <c r="V145" s="886"/>
      <c r="W145" s="886"/>
      <c r="X145" s="886"/>
    </row>
    <row r="146" spans="3:24">
      <c r="C146" s="942"/>
      <c r="D146" s="943"/>
      <c r="E146" s="886"/>
      <c r="F146" s="886"/>
      <c r="G146" s="886"/>
      <c r="H146" s="886"/>
      <c r="I146" s="886"/>
      <c r="J146" s="886"/>
      <c r="K146" s="886"/>
      <c r="L146" s="886"/>
      <c r="M146" s="886"/>
      <c r="N146" s="886"/>
      <c r="O146" s="886"/>
      <c r="P146" s="886"/>
      <c r="Q146" s="886"/>
      <c r="R146" s="886"/>
      <c r="S146" s="886"/>
      <c r="T146" s="886"/>
      <c r="U146" s="886"/>
      <c r="V146" s="886"/>
      <c r="W146" s="886"/>
      <c r="X146" s="886"/>
    </row>
    <row r="147" spans="3:24">
      <c r="C147" s="942"/>
      <c r="D147" s="943"/>
      <c r="E147" s="886"/>
      <c r="F147" s="886"/>
      <c r="G147" s="886"/>
      <c r="H147" s="886"/>
      <c r="I147" s="886"/>
      <c r="J147" s="886"/>
      <c r="K147" s="886"/>
      <c r="L147" s="886"/>
      <c r="M147" s="886"/>
      <c r="N147" s="886"/>
      <c r="O147" s="886"/>
      <c r="P147" s="886"/>
      <c r="Q147" s="886"/>
      <c r="R147" s="886"/>
      <c r="S147" s="886"/>
      <c r="T147" s="886"/>
      <c r="U147" s="886"/>
      <c r="V147" s="886"/>
      <c r="W147" s="886"/>
      <c r="X147" s="886"/>
    </row>
    <row r="148" spans="3:24">
      <c r="C148" s="942"/>
      <c r="D148" s="943"/>
      <c r="E148" s="886"/>
      <c r="F148" s="886"/>
      <c r="G148" s="886"/>
      <c r="H148" s="886"/>
      <c r="I148" s="886"/>
      <c r="J148" s="886"/>
      <c r="K148" s="886"/>
      <c r="L148" s="886"/>
      <c r="M148" s="886"/>
      <c r="N148" s="886"/>
      <c r="O148" s="886"/>
      <c r="P148" s="886"/>
      <c r="Q148" s="886"/>
      <c r="R148" s="886"/>
      <c r="S148" s="886"/>
      <c r="T148" s="886"/>
      <c r="U148" s="886"/>
      <c r="V148" s="886"/>
      <c r="W148" s="886"/>
      <c r="X148" s="886"/>
    </row>
    <row r="149" spans="3:24">
      <c r="C149" s="942"/>
      <c r="D149" s="943"/>
      <c r="E149" s="886"/>
      <c r="F149" s="886"/>
      <c r="G149" s="886"/>
      <c r="H149" s="886"/>
      <c r="I149" s="886"/>
      <c r="J149" s="886"/>
      <c r="K149" s="886"/>
      <c r="L149" s="886"/>
      <c r="M149" s="886"/>
      <c r="N149" s="886"/>
      <c r="O149" s="886"/>
      <c r="P149" s="886"/>
      <c r="Q149" s="886"/>
      <c r="R149" s="886"/>
      <c r="S149" s="886"/>
      <c r="T149" s="886"/>
      <c r="U149" s="886"/>
      <c r="V149" s="886"/>
      <c r="W149" s="886"/>
      <c r="X149" s="886"/>
    </row>
    <row r="150" spans="3:24">
      <c r="C150" s="942"/>
      <c r="D150" s="943"/>
      <c r="E150" s="886"/>
      <c r="F150" s="886"/>
      <c r="G150" s="886"/>
      <c r="H150" s="886"/>
      <c r="I150" s="886"/>
      <c r="J150" s="886"/>
      <c r="K150" s="886"/>
      <c r="L150" s="886"/>
      <c r="M150" s="886"/>
      <c r="N150" s="886"/>
      <c r="O150" s="886"/>
      <c r="P150" s="886"/>
      <c r="Q150" s="886"/>
      <c r="R150" s="886"/>
      <c r="S150" s="886"/>
      <c r="T150" s="886"/>
      <c r="U150" s="886"/>
      <c r="V150" s="886"/>
      <c r="W150" s="886"/>
      <c r="X150" s="886"/>
    </row>
    <row r="151" spans="3:24">
      <c r="C151" s="942"/>
      <c r="D151" s="943"/>
      <c r="E151" s="886"/>
      <c r="F151" s="886"/>
      <c r="G151" s="886"/>
      <c r="H151" s="886"/>
      <c r="I151" s="886"/>
      <c r="J151" s="886"/>
      <c r="K151" s="886"/>
      <c r="L151" s="886"/>
      <c r="M151" s="886"/>
      <c r="N151" s="886"/>
      <c r="O151" s="886"/>
      <c r="P151" s="886"/>
      <c r="Q151" s="886"/>
      <c r="R151" s="886"/>
      <c r="S151" s="886"/>
      <c r="T151" s="886"/>
      <c r="U151" s="886"/>
      <c r="V151" s="886"/>
      <c r="W151" s="886"/>
      <c r="X151" s="886"/>
    </row>
    <row r="152" spans="3:24">
      <c r="C152" s="942"/>
      <c r="D152" s="943"/>
      <c r="E152" s="886"/>
      <c r="F152" s="886"/>
      <c r="G152" s="886"/>
      <c r="H152" s="886"/>
      <c r="I152" s="886"/>
      <c r="J152" s="886"/>
      <c r="K152" s="886"/>
      <c r="L152" s="886"/>
      <c r="M152" s="886"/>
      <c r="N152" s="886"/>
      <c r="O152" s="886"/>
      <c r="P152" s="886"/>
      <c r="Q152" s="886"/>
      <c r="R152" s="886"/>
      <c r="S152" s="886"/>
      <c r="T152" s="886"/>
      <c r="U152" s="886"/>
      <c r="V152" s="886"/>
      <c r="W152" s="886"/>
      <c r="X152" s="886"/>
    </row>
    <row r="153" spans="3:24">
      <c r="C153" s="942"/>
      <c r="D153" s="943"/>
      <c r="E153" s="886"/>
      <c r="F153" s="886"/>
      <c r="G153" s="886"/>
      <c r="H153" s="886"/>
      <c r="I153" s="886"/>
      <c r="J153" s="886"/>
      <c r="K153" s="886"/>
      <c r="L153" s="886"/>
      <c r="M153" s="886"/>
      <c r="N153" s="886"/>
      <c r="O153" s="886"/>
      <c r="P153" s="886"/>
      <c r="Q153" s="886"/>
      <c r="R153" s="886"/>
      <c r="S153" s="886"/>
      <c r="T153" s="886"/>
      <c r="U153" s="886"/>
      <c r="V153" s="886"/>
      <c r="W153" s="886"/>
      <c r="X153" s="886"/>
    </row>
    <row r="154" spans="3:24">
      <c r="C154" s="942"/>
      <c r="D154" s="943"/>
      <c r="E154" s="886"/>
      <c r="F154" s="886"/>
      <c r="G154" s="886"/>
      <c r="H154" s="886"/>
      <c r="I154" s="886"/>
      <c r="J154" s="886"/>
      <c r="K154" s="886"/>
      <c r="L154" s="886"/>
      <c r="M154" s="886"/>
      <c r="N154" s="886"/>
      <c r="O154" s="886"/>
      <c r="P154" s="886"/>
      <c r="Q154" s="886"/>
      <c r="R154" s="886"/>
      <c r="S154" s="886"/>
      <c r="T154" s="886"/>
      <c r="U154" s="886"/>
      <c r="V154" s="886"/>
      <c r="W154" s="886"/>
      <c r="X154" s="886"/>
    </row>
    <row r="155" spans="3:24">
      <c r="C155" s="942"/>
      <c r="D155" s="943"/>
      <c r="E155" s="886"/>
      <c r="F155" s="886"/>
      <c r="G155" s="886"/>
      <c r="H155" s="886"/>
      <c r="I155" s="886"/>
      <c r="J155" s="886"/>
      <c r="K155" s="886"/>
      <c r="L155" s="886"/>
      <c r="M155" s="886"/>
      <c r="N155" s="886"/>
      <c r="O155" s="886"/>
      <c r="P155" s="886"/>
      <c r="Q155" s="886"/>
      <c r="R155" s="886"/>
      <c r="S155" s="886"/>
      <c r="T155" s="886"/>
      <c r="U155" s="886"/>
      <c r="V155" s="886"/>
      <c r="W155" s="886"/>
      <c r="X155" s="886"/>
    </row>
    <row r="156" spans="3:24">
      <c r="C156" s="942"/>
      <c r="D156" s="943"/>
      <c r="E156" s="886"/>
      <c r="F156" s="886"/>
      <c r="G156" s="886"/>
      <c r="H156" s="886"/>
      <c r="I156" s="886"/>
      <c r="J156" s="886"/>
      <c r="K156" s="886"/>
      <c r="L156" s="886"/>
      <c r="M156" s="886"/>
      <c r="N156" s="886"/>
      <c r="O156" s="886"/>
      <c r="P156" s="886"/>
      <c r="Q156" s="886"/>
      <c r="R156" s="886"/>
      <c r="S156" s="886"/>
      <c r="T156" s="886"/>
      <c r="U156" s="886"/>
      <c r="V156" s="886"/>
      <c r="W156" s="886"/>
      <c r="X156" s="886"/>
    </row>
    <row r="157" spans="3:24">
      <c r="C157" s="942"/>
      <c r="D157" s="943"/>
      <c r="E157" s="886"/>
      <c r="F157" s="886"/>
      <c r="G157" s="886"/>
      <c r="H157" s="886"/>
      <c r="I157" s="886"/>
      <c r="J157" s="886"/>
      <c r="K157" s="886"/>
      <c r="L157" s="886"/>
      <c r="M157" s="886"/>
      <c r="N157" s="886"/>
      <c r="O157" s="886"/>
      <c r="P157" s="886"/>
      <c r="Q157" s="886"/>
      <c r="R157" s="886"/>
      <c r="S157" s="886"/>
      <c r="T157" s="886"/>
      <c r="U157" s="886"/>
      <c r="V157" s="886"/>
      <c r="W157" s="886"/>
      <c r="X157" s="886"/>
    </row>
    <row r="158" spans="3:24">
      <c r="C158" s="942"/>
      <c r="D158" s="943"/>
      <c r="E158" s="886"/>
      <c r="F158" s="886"/>
      <c r="G158" s="886"/>
      <c r="H158" s="886"/>
      <c r="I158" s="886"/>
      <c r="J158" s="886"/>
      <c r="K158" s="886"/>
      <c r="L158" s="886"/>
      <c r="M158" s="886"/>
      <c r="N158" s="886"/>
      <c r="O158" s="886"/>
      <c r="P158" s="886"/>
      <c r="Q158" s="886"/>
      <c r="R158" s="886"/>
      <c r="S158" s="886"/>
      <c r="T158" s="886"/>
      <c r="U158" s="886"/>
      <c r="V158" s="886"/>
      <c r="W158" s="886"/>
      <c r="X158" s="886"/>
    </row>
    <row r="159" spans="3:24">
      <c r="C159" s="942"/>
      <c r="D159" s="943"/>
      <c r="E159" s="886"/>
      <c r="F159" s="886"/>
      <c r="G159" s="886"/>
      <c r="H159" s="886"/>
      <c r="I159" s="886"/>
      <c r="J159" s="886"/>
      <c r="K159" s="886"/>
      <c r="L159" s="886"/>
      <c r="M159" s="886"/>
      <c r="N159" s="886"/>
      <c r="O159" s="886"/>
      <c r="P159" s="886"/>
      <c r="Q159" s="886"/>
      <c r="R159" s="886"/>
      <c r="S159" s="886"/>
      <c r="T159" s="886"/>
      <c r="U159" s="886"/>
      <c r="V159" s="886"/>
      <c r="W159" s="886"/>
      <c r="X159" s="886"/>
    </row>
    <row r="160" spans="3:24">
      <c r="C160" s="942"/>
      <c r="D160" s="943"/>
      <c r="E160" s="886"/>
      <c r="F160" s="886"/>
      <c r="G160" s="886"/>
      <c r="H160" s="886"/>
      <c r="I160" s="886"/>
      <c r="J160" s="886"/>
      <c r="K160" s="886"/>
      <c r="L160" s="886"/>
      <c r="M160" s="886"/>
      <c r="N160" s="886"/>
      <c r="O160" s="886"/>
      <c r="P160" s="886"/>
      <c r="Q160" s="886"/>
      <c r="R160" s="886"/>
      <c r="S160" s="886"/>
      <c r="T160" s="886"/>
      <c r="U160" s="886"/>
      <c r="V160" s="886"/>
      <c r="W160" s="886"/>
      <c r="X160" s="886"/>
    </row>
    <row r="161" spans="3:24">
      <c r="C161" s="942"/>
      <c r="D161" s="943"/>
      <c r="E161" s="886"/>
      <c r="F161" s="886"/>
      <c r="G161" s="886"/>
      <c r="H161" s="886"/>
      <c r="I161" s="886"/>
      <c r="J161" s="886"/>
      <c r="K161" s="886"/>
      <c r="L161" s="886"/>
      <c r="M161" s="886"/>
      <c r="N161" s="886"/>
      <c r="O161" s="886"/>
      <c r="P161" s="886"/>
      <c r="Q161" s="886"/>
      <c r="R161" s="886"/>
      <c r="S161" s="886"/>
      <c r="T161" s="886"/>
      <c r="U161" s="886"/>
      <c r="V161" s="886"/>
      <c r="W161" s="886"/>
      <c r="X161" s="886"/>
    </row>
    <row r="162" spans="3:24">
      <c r="C162" s="942"/>
      <c r="D162" s="943"/>
      <c r="E162" s="886"/>
      <c r="F162" s="886"/>
      <c r="G162" s="886"/>
      <c r="H162" s="886"/>
      <c r="I162" s="886"/>
      <c r="J162" s="886"/>
      <c r="K162" s="886"/>
      <c r="L162" s="886"/>
      <c r="M162" s="886"/>
      <c r="N162" s="886"/>
      <c r="O162" s="886"/>
      <c r="P162" s="886"/>
      <c r="Q162" s="886"/>
      <c r="R162" s="886"/>
      <c r="S162" s="886"/>
      <c r="T162" s="886"/>
      <c r="U162" s="886"/>
      <c r="V162" s="886"/>
      <c r="W162" s="886"/>
      <c r="X162" s="886"/>
    </row>
    <row r="163" spans="3:24">
      <c r="C163" s="942"/>
      <c r="D163" s="943"/>
      <c r="E163" s="886"/>
      <c r="F163" s="886"/>
      <c r="G163" s="886"/>
      <c r="H163" s="886"/>
      <c r="I163" s="886"/>
      <c r="J163" s="886"/>
      <c r="K163" s="886"/>
      <c r="L163" s="886"/>
      <c r="M163" s="886"/>
      <c r="N163" s="886"/>
      <c r="O163" s="886"/>
      <c r="P163" s="886"/>
      <c r="Q163" s="886"/>
      <c r="R163" s="886"/>
      <c r="S163" s="886"/>
      <c r="T163" s="886"/>
      <c r="U163" s="886"/>
      <c r="V163" s="886"/>
      <c r="W163" s="886"/>
      <c r="X163" s="886"/>
    </row>
    <row r="164" spans="3:24">
      <c r="C164" s="942"/>
      <c r="D164" s="943"/>
      <c r="E164" s="886"/>
      <c r="F164" s="886"/>
      <c r="G164" s="886"/>
      <c r="H164" s="886"/>
      <c r="I164" s="886"/>
      <c r="J164" s="886"/>
      <c r="K164" s="886"/>
      <c r="L164" s="886"/>
      <c r="M164" s="886"/>
      <c r="N164" s="886"/>
      <c r="O164" s="886"/>
      <c r="P164" s="886"/>
      <c r="Q164" s="886"/>
      <c r="R164" s="886"/>
      <c r="S164" s="886"/>
      <c r="T164" s="886"/>
      <c r="U164" s="886"/>
      <c r="V164" s="886"/>
      <c r="W164" s="886"/>
      <c r="X164" s="886"/>
    </row>
    <row r="165" spans="3:24">
      <c r="C165" s="942"/>
      <c r="D165" s="943"/>
      <c r="E165" s="886"/>
      <c r="F165" s="886"/>
      <c r="G165" s="886"/>
      <c r="H165" s="886"/>
      <c r="I165" s="886"/>
      <c r="J165" s="886"/>
      <c r="K165" s="886"/>
      <c r="L165" s="886"/>
      <c r="M165" s="886"/>
      <c r="N165" s="886"/>
      <c r="O165" s="886"/>
      <c r="P165" s="886"/>
      <c r="Q165" s="886"/>
      <c r="R165" s="886"/>
      <c r="S165" s="886"/>
      <c r="T165" s="886"/>
      <c r="U165" s="886"/>
      <c r="V165" s="886"/>
      <c r="W165" s="886"/>
      <c r="X165" s="886"/>
    </row>
    <row r="166" spans="3:24">
      <c r="C166" s="942"/>
      <c r="D166" s="943"/>
      <c r="E166" s="886"/>
      <c r="F166" s="886"/>
      <c r="G166" s="886"/>
      <c r="H166" s="886"/>
      <c r="I166" s="886"/>
      <c r="J166" s="886"/>
      <c r="K166" s="886"/>
      <c r="L166" s="886"/>
      <c r="M166" s="886"/>
      <c r="N166" s="886"/>
      <c r="O166" s="886"/>
      <c r="P166" s="886"/>
      <c r="Q166" s="886"/>
      <c r="R166" s="886"/>
      <c r="S166" s="886"/>
      <c r="T166" s="886"/>
      <c r="U166" s="886"/>
      <c r="V166" s="886"/>
      <c r="W166" s="886"/>
      <c r="X166" s="886"/>
    </row>
    <row r="167" spans="3:24">
      <c r="C167" s="942"/>
      <c r="D167" s="943"/>
      <c r="E167" s="886"/>
      <c r="F167" s="886"/>
      <c r="G167" s="886"/>
      <c r="H167" s="886"/>
      <c r="I167" s="886"/>
      <c r="J167" s="886"/>
      <c r="K167" s="886"/>
      <c r="L167" s="886"/>
      <c r="M167" s="886"/>
      <c r="N167" s="886"/>
      <c r="O167" s="886"/>
      <c r="P167" s="886"/>
      <c r="Q167" s="886"/>
      <c r="R167" s="886"/>
      <c r="S167" s="886"/>
      <c r="T167" s="886"/>
      <c r="U167" s="886"/>
      <c r="V167" s="886"/>
      <c r="W167" s="886"/>
      <c r="X167" s="886"/>
    </row>
    <row r="168" spans="3:24">
      <c r="C168" s="942"/>
      <c r="D168" s="943"/>
      <c r="E168" s="886"/>
      <c r="F168" s="886"/>
      <c r="G168" s="886"/>
      <c r="H168" s="886"/>
      <c r="I168" s="886"/>
      <c r="J168" s="886"/>
      <c r="K168" s="886"/>
      <c r="L168" s="886"/>
      <c r="M168" s="886"/>
      <c r="N168" s="886"/>
      <c r="O168" s="886"/>
      <c r="P168" s="886"/>
      <c r="Q168" s="886"/>
      <c r="R168" s="886"/>
      <c r="S168" s="886"/>
      <c r="T168" s="886"/>
      <c r="U168" s="886"/>
      <c r="V168" s="886"/>
      <c r="W168" s="886"/>
      <c r="X168" s="886"/>
    </row>
    <row r="169" spans="3:24">
      <c r="C169" s="942"/>
      <c r="D169" s="943"/>
      <c r="E169" s="886"/>
      <c r="F169" s="886"/>
      <c r="G169" s="886"/>
      <c r="H169" s="886"/>
      <c r="I169" s="886"/>
      <c r="J169" s="886"/>
      <c r="K169" s="886"/>
      <c r="L169" s="886"/>
      <c r="M169" s="886"/>
      <c r="N169" s="886"/>
      <c r="O169" s="886"/>
      <c r="P169" s="886"/>
      <c r="Q169" s="886"/>
      <c r="R169" s="886"/>
      <c r="S169" s="886"/>
      <c r="T169" s="886"/>
      <c r="U169" s="886"/>
      <c r="V169" s="886"/>
      <c r="W169" s="886"/>
      <c r="X169" s="886"/>
    </row>
    <row r="170" spans="3:24">
      <c r="C170" s="942"/>
      <c r="D170" s="943"/>
      <c r="E170" s="886"/>
      <c r="F170" s="886"/>
      <c r="G170" s="886"/>
      <c r="H170" s="886"/>
      <c r="I170" s="886"/>
      <c r="J170" s="886"/>
      <c r="K170" s="886"/>
      <c r="L170" s="886"/>
      <c r="M170" s="886"/>
      <c r="N170" s="886"/>
      <c r="O170" s="886"/>
      <c r="P170" s="886"/>
      <c r="Q170" s="886"/>
      <c r="R170" s="886"/>
      <c r="S170" s="886"/>
      <c r="T170" s="886"/>
      <c r="U170" s="886"/>
      <c r="V170" s="886"/>
      <c r="W170" s="886"/>
      <c r="X170" s="886"/>
    </row>
    <row r="171" spans="3:24">
      <c r="C171" s="942"/>
      <c r="D171" s="943"/>
      <c r="E171" s="886"/>
      <c r="F171" s="886"/>
      <c r="G171" s="886"/>
      <c r="H171" s="886"/>
      <c r="I171" s="886"/>
      <c r="J171" s="886"/>
      <c r="K171" s="886"/>
      <c r="L171" s="886"/>
      <c r="M171" s="886"/>
      <c r="N171" s="886"/>
      <c r="O171" s="886"/>
      <c r="P171" s="886"/>
      <c r="Q171" s="886"/>
      <c r="R171" s="886"/>
      <c r="S171" s="886"/>
      <c r="T171" s="886"/>
      <c r="U171" s="886"/>
      <c r="V171" s="886"/>
      <c r="W171" s="886"/>
      <c r="X171" s="886"/>
    </row>
    <row r="172" spans="3:24">
      <c r="C172" s="942"/>
      <c r="D172" s="943"/>
      <c r="E172" s="886"/>
      <c r="F172" s="886"/>
      <c r="G172" s="886"/>
      <c r="H172" s="886"/>
      <c r="I172" s="886"/>
      <c r="J172" s="886"/>
      <c r="K172" s="886"/>
      <c r="L172" s="886"/>
      <c r="M172" s="886"/>
      <c r="N172" s="886"/>
      <c r="O172" s="886"/>
      <c r="P172" s="886"/>
      <c r="Q172" s="886"/>
      <c r="R172" s="886"/>
      <c r="S172" s="886"/>
      <c r="T172" s="886"/>
      <c r="U172" s="886"/>
      <c r="V172" s="886"/>
      <c r="W172" s="886"/>
      <c r="X172" s="886"/>
    </row>
    <row r="173" spans="3:24">
      <c r="C173" s="942"/>
      <c r="D173" s="943"/>
      <c r="E173" s="886"/>
      <c r="F173" s="886"/>
      <c r="G173" s="886"/>
      <c r="H173" s="886"/>
      <c r="I173" s="886"/>
      <c r="J173" s="886"/>
      <c r="K173" s="886"/>
      <c r="L173" s="886"/>
      <c r="M173" s="886"/>
      <c r="N173" s="886"/>
      <c r="O173" s="886"/>
      <c r="P173" s="886"/>
      <c r="Q173" s="886"/>
      <c r="R173" s="886"/>
      <c r="S173" s="886"/>
      <c r="T173" s="886"/>
      <c r="U173" s="886"/>
      <c r="V173" s="886"/>
      <c r="W173" s="886"/>
      <c r="X173" s="886"/>
    </row>
    <row r="174" spans="3:24">
      <c r="C174" s="942"/>
      <c r="D174" s="943"/>
      <c r="E174" s="886"/>
      <c r="F174" s="886"/>
      <c r="G174" s="886"/>
      <c r="H174" s="886"/>
      <c r="I174" s="886"/>
      <c r="J174" s="886"/>
      <c r="K174" s="886"/>
      <c r="L174" s="886"/>
      <c r="M174" s="886"/>
      <c r="N174" s="886"/>
      <c r="O174" s="886"/>
      <c r="P174" s="886"/>
      <c r="Q174" s="886"/>
      <c r="R174" s="886"/>
      <c r="S174" s="886"/>
      <c r="T174" s="886"/>
      <c r="U174" s="886"/>
      <c r="V174" s="886"/>
      <c r="W174" s="886"/>
      <c r="X174" s="886"/>
    </row>
    <row r="175" spans="3:24">
      <c r="C175" s="942"/>
      <c r="D175" s="943"/>
      <c r="E175" s="886"/>
      <c r="F175" s="886"/>
      <c r="G175" s="886"/>
      <c r="H175" s="886"/>
      <c r="I175" s="886"/>
      <c r="J175" s="886"/>
      <c r="K175" s="886"/>
      <c r="L175" s="886"/>
      <c r="M175" s="886"/>
      <c r="N175" s="886"/>
      <c r="O175" s="886"/>
      <c r="P175" s="886"/>
      <c r="Q175" s="886"/>
      <c r="R175" s="886"/>
      <c r="S175" s="886"/>
      <c r="T175" s="886"/>
      <c r="U175" s="886"/>
      <c r="V175" s="886"/>
      <c r="W175" s="886"/>
      <c r="X175" s="886"/>
    </row>
    <row r="176" spans="3:24">
      <c r="C176" s="942"/>
      <c r="D176" s="943"/>
      <c r="E176" s="886"/>
      <c r="F176" s="886"/>
      <c r="G176" s="886"/>
      <c r="H176" s="886"/>
      <c r="I176" s="886"/>
      <c r="J176" s="886"/>
      <c r="K176" s="886"/>
      <c r="L176" s="886"/>
      <c r="M176" s="886"/>
      <c r="N176" s="886"/>
      <c r="O176" s="886"/>
      <c r="P176" s="886"/>
      <c r="Q176" s="886"/>
      <c r="R176" s="886"/>
      <c r="S176" s="886"/>
      <c r="T176" s="886"/>
      <c r="U176" s="886"/>
      <c r="V176" s="886"/>
      <c r="W176" s="886"/>
      <c r="X176" s="886"/>
    </row>
    <row r="177" spans="3:24">
      <c r="C177" s="942"/>
      <c r="D177" s="943"/>
      <c r="E177" s="886"/>
      <c r="F177" s="886"/>
      <c r="G177" s="886"/>
      <c r="H177" s="886"/>
      <c r="I177" s="886"/>
      <c r="J177" s="886"/>
      <c r="K177" s="886"/>
      <c r="L177" s="886"/>
      <c r="M177" s="886"/>
      <c r="N177" s="886"/>
      <c r="O177" s="886"/>
      <c r="P177" s="886"/>
      <c r="Q177" s="886"/>
      <c r="R177" s="886"/>
      <c r="S177" s="886"/>
      <c r="T177" s="886"/>
      <c r="U177" s="886"/>
      <c r="V177" s="886"/>
      <c r="W177" s="886"/>
      <c r="X177" s="886"/>
    </row>
    <row r="178" spans="3:24">
      <c r="C178" s="942"/>
      <c r="D178" s="943"/>
      <c r="E178" s="886"/>
      <c r="F178" s="886"/>
      <c r="G178" s="886"/>
      <c r="H178" s="886"/>
      <c r="I178" s="886"/>
      <c r="J178" s="886"/>
      <c r="K178" s="886"/>
      <c r="L178" s="886"/>
      <c r="M178" s="886"/>
      <c r="N178" s="886"/>
      <c r="O178" s="886"/>
      <c r="P178" s="886"/>
      <c r="Q178" s="886"/>
      <c r="R178" s="886"/>
      <c r="S178" s="886"/>
      <c r="T178" s="886"/>
      <c r="U178" s="886"/>
      <c r="V178" s="886"/>
      <c r="W178" s="886"/>
      <c r="X178" s="886"/>
    </row>
    <row r="179" spans="3:24">
      <c r="C179" s="942"/>
      <c r="D179" s="943"/>
      <c r="E179" s="886"/>
      <c r="F179" s="886"/>
      <c r="G179" s="886"/>
      <c r="H179" s="886"/>
      <c r="I179" s="886"/>
      <c r="J179" s="886"/>
      <c r="K179" s="886"/>
      <c r="L179" s="886"/>
      <c r="M179" s="886"/>
      <c r="N179" s="886"/>
      <c r="O179" s="886"/>
      <c r="P179" s="886"/>
      <c r="Q179" s="886"/>
      <c r="R179" s="886"/>
      <c r="S179" s="886"/>
      <c r="T179" s="886"/>
      <c r="U179" s="886"/>
      <c r="V179" s="886"/>
      <c r="W179" s="886"/>
      <c r="X179" s="886"/>
    </row>
    <row r="180" spans="3:24">
      <c r="C180" s="942"/>
      <c r="D180" s="943"/>
      <c r="E180" s="886"/>
      <c r="F180" s="886"/>
      <c r="G180" s="886"/>
      <c r="H180" s="886"/>
      <c r="I180" s="886"/>
      <c r="J180" s="886"/>
      <c r="K180" s="886"/>
      <c r="L180" s="886"/>
      <c r="M180" s="886"/>
      <c r="N180" s="886"/>
      <c r="O180" s="886"/>
      <c r="P180" s="886"/>
      <c r="Q180" s="886"/>
      <c r="R180" s="886"/>
      <c r="S180" s="886"/>
      <c r="T180" s="886"/>
      <c r="U180" s="886"/>
      <c r="V180" s="886"/>
      <c r="W180" s="886"/>
      <c r="X180" s="886"/>
    </row>
    <row r="181" spans="3:24">
      <c r="C181" s="942"/>
      <c r="D181" s="943"/>
      <c r="E181" s="886"/>
      <c r="F181" s="886"/>
      <c r="G181" s="886"/>
      <c r="H181" s="886"/>
      <c r="I181" s="886"/>
      <c r="J181" s="886"/>
      <c r="K181" s="886"/>
      <c r="L181" s="886"/>
      <c r="M181" s="886"/>
      <c r="N181" s="886"/>
      <c r="O181" s="886"/>
      <c r="P181" s="886"/>
      <c r="Q181" s="886"/>
      <c r="R181" s="886"/>
      <c r="S181" s="886"/>
      <c r="T181" s="886"/>
      <c r="U181" s="886"/>
      <c r="V181" s="886"/>
      <c r="W181" s="886"/>
      <c r="X181" s="886"/>
    </row>
    <row r="182" spans="3:24">
      <c r="C182" s="942"/>
      <c r="D182" s="943"/>
      <c r="E182" s="886"/>
      <c r="F182" s="886"/>
      <c r="G182" s="886"/>
      <c r="H182" s="886"/>
      <c r="I182" s="886"/>
      <c r="J182" s="886"/>
      <c r="K182" s="886"/>
      <c r="L182" s="886"/>
      <c r="M182" s="886"/>
      <c r="N182" s="886"/>
      <c r="O182" s="886"/>
      <c r="P182" s="886"/>
      <c r="Q182" s="886"/>
      <c r="R182" s="886"/>
      <c r="S182" s="886"/>
      <c r="T182" s="886"/>
      <c r="U182" s="886"/>
      <c r="V182" s="886"/>
      <c r="W182" s="886"/>
      <c r="X182" s="886"/>
    </row>
    <row r="183" spans="3:24">
      <c r="C183" s="942"/>
      <c r="D183" s="943"/>
      <c r="E183" s="886"/>
      <c r="F183" s="886"/>
      <c r="G183" s="886"/>
      <c r="H183" s="886"/>
      <c r="I183" s="886"/>
      <c r="J183" s="886"/>
      <c r="K183" s="886"/>
      <c r="L183" s="886"/>
      <c r="M183" s="886"/>
      <c r="N183" s="886"/>
      <c r="O183" s="886"/>
      <c r="P183" s="886"/>
      <c r="Q183" s="886"/>
      <c r="R183" s="886"/>
      <c r="S183" s="886"/>
      <c r="T183" s="886"/>
      <c r="U183" s="886"/>
      <c r="V183" s="886"/>
      <c r="W183" s="886"/>
      <c r="X183" s="886"/>
    </row>
    <row r="184" spans="3:24">
      <c r="C184" s="942"/>
      <c r="D184" s="943"/>
      <c r="E184" s="886"/>
      <c r="F184" s="886"/>
      <c r="G184" s="886"/>
      <c r="H184" s="886"/>
      <c r="I184" s="886"/>
      <c r="J184" s="886"/>
      <c r="K184" s="886"/>
      <c r="L184" s="886"/>
      <c r="M184" s="886"/>
      <c r="N184" s="886"/>
      <c r="O184" s="886"/>
      <c r="P184" s="886"/>
      <c r="Q184" s="886"/>
      <c r="R184" s="886"/>
      <c r="S184" s="886"/>
      <c r="T184" s="886"/>
      <c r="U184" s="886"/>
      <c r="V184" s="886"/>
      <c r="W184" s="886"/>
      <c r="X184" s="886"/>
    </row>
    <row r="185" spans="3:24">
      <c r="C185" s="942"/>
      <c r="D185" s="943"/>
      <c r="E185" s="886"/>
      <c r="F185" s="886"/>
      <c r="G185" s="886"/>
      <c r="H185" s="886"/>
      <c r="I185" s="886"/>
      <c r="J185" s="886"/>
      <c r="K185" s="886"/>
      <c r="L185" s="886"/>
      <c r="M185" s="886"/>
      <c r="N185" s="886"/>
      <c r="O185" s="886"/>
      <c r="P185" s="886"/>
      <c r="Q185" s="886"/>
      <c r="R185" s="886"/>
      <c r="S185" s="886"/>
      <c r="T185" s="886"/>
      <c r="U185" s="886"/>
      <c r="V185" s="886"/>
      <c r="W185" s="886"/>
      <c r="X185" s="886"/>
    </row>
    <row r="186" spans="3:24">
      <c r="C186" s="942"/>
      <c r="D186" s="943"/>
      <c r="E186" s="886"/>
      <c r="F186" s="886"/>
      <c r="G186" s="886"/>
      <c r="H186" s="886"/>
      <c r="I186" s="886"/>
      <c r="J186" s="886"/>
      <c r="K186" s="886"/>
      <c r="L186" s="886"/>
      <c r="M186" s="886"/>
      <c r="N186" s="886"/>
      <c r="O186" s="886"/>
      <c r="P186" s="886"/>
      <c r="Q186" s="886"/>
      <c r="R186" s="886"/>
      <c r="S186" s="886"/>
      <c r="T186" s="886"/>
      <c r="U186" s="886"/>
      <c r="V186" s="886"/>
      <c r="W186" s="886"/>
      <c r="X186" s="886"/>
    </row>
    <row r="187" spans="3:24">
      <c r="C187" s="942"/>
      <c r="D187" s="943"/>
      <c r="E187" s="886"/>
      <c r="F187" s="886"/>
      <c r="G187" s="886"/>
      <c r="H187" s="886"/>
      <c r="I187" s="886"/>
      <c r="J187" s="886"/>
      <c r="K187" s="886"/>
      <c r="L187" s="886"/>
      <c r="M187" s="886"/>
      <c r="N187" s="886"/>
      <c r="O187" s="886"/>
      <c r="P187" s="886"/>
      <c r="Q187" s="886"/>
      <c r="R187" s="886"/>
      <c r="S187" s="886"/>
      <c r="T187" s="886"/>
      <c r="U187" s="886"/>
      <c r="V187" s="886"/>
      <c r="W187" s="886"/>
      <c r="X187" s="886"/>
    </row>
    <row r="188" spans="3:24">
      <c r="C188" s="942"/>
      <c r="D188" s="943"/>
      <c r="E188" s="886"/>
      <c r="F188" s="886"/>
      <c r="G188" s="886"/>
      <c r="H188" s="886"/>
      <c r="I188" s="886"/>
      <c r="J188" s="886"/>
      <c r="K188" s="886"/>
      <c r="L188" s="886"/>
      <c r="M188" s="886"/>
      <c r="N188" s="886"/>
      <c r="O188" s="886"/>
      <c r="P188" s="886"/>
      <c r="Q188" s="886"/>
      <c r="R188" s="886"/>
      <c r="S188" s="886"/>
      <c r="T188" s="886"/>
      <c r="U188" s="886"/>
      <c r="V188" s="886"/>
      <c r="W188" s="886"/>
      <c r="X188" s="886"/>
    </row>
    <row r="189" spans="3:24">
      <c r="C189" s="942"/>
      <c r="D189" s="943"/>
      <c r="E189" s="886"/>
      <c r="F189" s="886"/>
      <c r="G189" s="886"/>
      <c r="H189" s="886"/>
      <c r="I189" s="886"/>
      <c r="J189" s="886"/>
      <c r="K189" s="886"/>
      <c r="L189" s="886"/>
      <c r="M189" s="886"/>
      <c r="N189" s="886"/>
      <c r="O189" s="886"/>
      <c r="P189" s="886"/>
      <c r="Q189" s="886"/>
      <c r="R189" s="886"/>
      <c r="S189" s="886"/>
      <c r="T189" s="886"/>
      <c r="U189" s="886"/>
      <c r="V189" s="886"/>
      <c r="W189" s="886"/>
      <c r="X189" s="886"/>
    </row>
    <row r="190" spans="3:24">
      <c r="C190" s="942"/>
      <c r="D190" s="943"/>
      <c r="E190" s="886"/>
      <c r="F190" s="886"/>
      <c r="G190" s="886"/>
      <c r="H190" s="886"/>
      <c r="I190" s="886"/>
      <c r="J190" s="886"/>
      <c r="K190" s="886"/>
      <c r="L190" s="886"/>
      <c r="M190" s="886"/>
      <c r="N190" s="886"/>
      <c r="O190" s="886"/>
      <c r="P190" s="886"/>
      <c r="Q190" s="886"/>
      <c r="R190" s="886"/>
      <c r="S190" s="886"/>
      <c r="T190" s="886"/>
      <c r="U190" s="886"/>
      <c r="V190" s="886"/>
      <c r="W190" s="886"/>
      <c r="X190" s="886"/>
    </row>
    <row r="191" spans="3:24">
      <c r="C191" s="942"/>
      <c r="D191" s="943"/>
      <c r="E191" s="886"/>
      <c r="F191" s="886"/>
      <c r="G191" s="886"/>
      <c r="H191" s="886"/>
      <c r="I191" s="886"/>
      <c r="J191" s="886"/>
      <c r="K191" s="886"/>
      <c r="L191" s="886"/>
      <c r="M191" s="886"/>
      <c r="N191" s="886"/>
      <c r="O191" s="886"/>
      <c r="P191" s="886"/>
      <c r="Q191" s="886"/>
      <c r="R191" s="886"/>
      <c r="S191" s="886"/>
      <c r="T191" s="886"/>
      <c r="U191" s="886"/>
      <c r="V191" s="886"/>
      <c r="W191" s="886"/>
      <c r="X191" s="886"/>
    </row>
    <row r="192" spans="3:24">
      <c r="C192" s="942"/>
      <c r="D192" s="943"/>
      <c r="E192" s="886"/>
      <c r="F192" s="886"/>
      <c r="G192" s="886"/>
      <c r="H192" s="886"/>
      <c r="I192" s="886"/>
      <c r="J192" s="886"/>
      <c r="K192" s="886"/>
      <c r="L192" s="886"/>
      <c r="M192" s="886"/>
      <c r="N192" s="886"/>
      <c r="O192" s="886"/>
      <c r="P192" s="886"/>
      <c r="Q192" s="886"/>
      <c r="R192" s="886"/>
      <c r="S192" s="886"/>
      <c r="T192" s="886"/>
      <c r="U192" s="886"/>
      <c r="V192" s="886"/>
      <c r="W192" s="886"/>
      <c r="X192" s="886"/>
    </row>
    <row r="193" spans="3:24">
      <c r="C193" s="942"/>
      <c r="D193" s="943"/>
      <c r="E193" s="886"/>
      <c r="F193" s="886"/>
      <c r="G193" s="886"/>
      <c r="H193" s="886"/>
      <c r="I193" s="886"/>
      <c r="J193" s="886"/>
      <c r="K193" s="886"/>
      <c r="L193" s="886"/>
      <c r="M193" s="886"/>
      <c r="N193" s="886"/>
      <c r="O193" s="886"/>
      <c r="P193" s="886"/>
      <c r="Q193" s="886"/>
      <c r="R193" s="886"/>
      <c r="S193" s="886"/>
      <c r="T193" s="886"/>
      <c r="U193" s="886"/>
      <c r="V193" s="886"/>
      <c r="W193" s="886"/>
      <c r="X193" s="886"/>
    </row>
    <row r="194" spans="3:24">
      <c r="C194" s="942"/>
      <c r="D194" s="943"/>
      <c r="E194" s="886"/>
      <c r="F194" s="886"/>
      <c r="G194" s="886"/>
      <c r="H194" s="886"/>
      <c r="I194" s="886"/>
      <c r="J194" s="886"/>
      <c r="K194" s="886"/>
      <c r="L194" s="886"/>
      <c r="M194" s="886"/>
      <c r="N194" s="886"/>
      <c r="O194" s="886"/>
      <c r="P194" s="886"/>
      <c r="Q194" s="886"/>
      <c r="R194" s="886"/>
      <c r="S194" s="886"/>
      <c r="T194" s="886"/>
      <c r="U194" s="886"/>
      <c r="V194" s="886"/>
      <c r="W194" s="886"/>
      <c r="X194" s="886"/>
    </row>
    <row r="195" spans="3:24">
      <c r="C195" s="942"/>
      <c r="D195" s="943"/>
      <c r="E195" s="886"/>
      <c r="F195" s="886"/>
      <c r="G195" s="886"/>
      <c r="H195" s="886"/>
      <c r="I195" s="886"/>
      <c r="J195" s="886"/>
      <c r="K195" s="886"/>
      <c r="L195" s="886"/>
      <c r="M195" s="886"/>
      <c r="N195" s="886"/>
      <c r="O195" s="886"/>
      <c r="P195" s="886"/>
      <c r="Q195" s="886"/>
      <c r="R195" s="886"/>
      <c r="S195" s="886"/>
      <c r="T195" s="886"/>
      <c r="U195" s="886"/>
      <c r="V195" s="886"/>
      <c r="W195" s="886"/>
      <c r="X195" s="886"/>
    </row>
    <row r="196" spans="3:24">
      <c r="C196" s="942"/>
      <c r="D196" s="943"/>
      <c r="E196" s="886"/>
      <c r="F196" s="886"/>
      <c r="G196" s="886"/>
      <c r="H196" s="886"/>
      <c r="I196" s="886"/>
      <c r="J196" s="886"/>
      <c r="K196" s="886"/>
      <c r="L196" s="886"/>
      <c r="M196" s="886"/>
      <c r="N196" s="886"/>
      <c r="O196" s="886"/>
      <c r="P196" s="886"/>
      <c r="Q196" s="886"/>
      <c r="R196" s="886"/>
      <c r="S196" s="886"/>
      <c r="T196" s="886"/>
      <c r="U196" s="886"/>
      <c r="V196" s="886"/>
      <c r="W196" s="886"/>
      <c r="X196" s="886"/>
    </row>
    <row r="197" spans="3:24">
      <c r="C197" s="942"/>
      <c r="D197" s="943"/>
      <c r="E197" s="886"/>
      <c r="F197" s="886"/>
      <c r="G197" s="886"/>
      <c r="H197" s="886"/>
      <c r="I197" s="886"/>
      <c r="J197" s="886"/>
      <c r="K197" s="886"/>
      <c r="L197" s="886"/>
      <c r="M197" s="886"/>
      <c r="N197" s="886"/>
      <c r="O197" s="886"/>
      <c r="P197" s="886"/>
      <c r="Q197" s="886"/>
      <c r="R197" s="886"/>
      <c r="S197" s="886"/>
      <c r="T197" s="886"/>
      <c r="U197" s="886"/>
      <c r="V197" s="886"/>
      <c r="W197" s="886"/>
      <c r="X197" s="886"/>
    </row>
    <row r="198" spans="3:24">
      <c r="C198" s="942"/>
      <c r="D198" s="943"/>
      <c r="E198" s="886"/>
      <c r="F198" s="886"/>
      <c r="G198" s="886"/>
      <c r="H198" s="886"/>
      <c r="I198" s="886"/>
      <c r="J198" s="886"/>
      <c r="K198" s="886"/>
      <c r="L198" s="886"/>
      <c r="M198" s="886"/>
      <c r="N198" s="886"/>
      <c r="O198" s="886"/>
      <c r="P198" s="886"/>
      <c r="Q198" s="886"/>
      <c r="R198" s="886"/>
      <c r="S198" s="886"/>
      <c r="T198" s="886"/>
      <c r="U198" s="886"/>
      <c r="V198" s="886"/>
      <c r="W198" s="886"/>
      <c r="X198" s="886"/>
    </row>
    <row r="199" spans="3:24">
      <c r="C199" s="942"/>
      <c r="D199" s="943"/>
      <c r="E199" s="886"/>
      <c r="F199" s="886"/>
      <c r="G199" s="886"/>
      <c r="H199" s="886"/>
      <c r="I199" s="886"/>
      <c r="J199" s="886"/>
      <c r="K199" s="886"/>
      <c r="L199" s="886"/>
      <c r="M199" s="886"/>
      <c r="N199" s="886"/>
      <c r="O199" s="886"/>
      <c r="P199" s="886"/>
      <c r="Q199" s="886"/>
      <c r="R199" s="886"/>
      <c r="S199" s="886"/>
      <c r="T199" s="886"/>
      <c r="U199" s="886"/>
      <c r="V199" s="886"/>
      <c r="W199" s="886"/>
      <c r="X199" s="886"/>
    </row>
    <row r="200" spans="3:24">
      <c r="C200" s="942"/>
      <c r="D200" s="943"/>
      <c r="E200" s="886"/>
      <c r="F200" s="886"/>
      <c r="G200" s="886"/>
      <c r="H200" s="886"/>
      <c r="I200" s="886"/>
      <c r="J200" s="886"/>
      <c r="K200" s="886"/>
      <c r="L200" s="886"/>
      <c r="M200" s="886"/>
      <c r="N200" s="886"/>
      <c r="O200" s="886"/>
      <c r="P200" s="886"/>
      <c r="Q200" s="886"/>
      <c r="R200" s="886"/>
      <c r="S200" s="886"/>
      <c r="T200" s="886"/>
      <c r="U200" s="886"/>
      <c r="V200" s="886"/>
      <c r="W200" s="886"/>
      <c r="X200" s="886"/>
    </row>
    <row r="201" spans="3:24">
      <c r="C201" s="942"/>
      <c r="D201" s="943"/>
      <c r="E201" s="886"/>
      <c r="F201" s="886"/>
      <c r="G201" s="886"/>
      <c r="H201" s="886"/>
      <c r="I201" s="886"/>
      <c r="J201" s="886"/>
      <c r="K201" s="886"/>
      <c r="L201" s="886"/>
      <c r="M201" s="886"/>
      <c r="N201" s="886"/>
      <c r="O201" s="886"/>
      <c r="P201" s="886"/>
      <c r="Q201" s="886"/>
      <c r="R201" s="886"/>
      <c r="S201" s="886"/>
      <c r="T201" s="886"/>
      <c r="U201" s="886"/>
      <c r="V201" s="886"/>
      <c r="W201" s="886"/>
      <c r="X201" s="886"/>
    </row>
    <row r="202" spans="3:24">
      <c r="C202" s="942"/>
      <c r="D202" s="943"/>
      <c r="E202" s="886"/>
      <c r="F202" s="886"/>
      <c r="G202" s="886"/>
      <c r="H202" s="886"/>
      <c r="I202" s="886"/>
      <c r="J202" s="886"/>
      <c r="K202" s="886"/>
      <c r="L202" s="886"/>
      <c r="M202" s="886"/>
      <c r="N202" s="886"/>
      <c r="O202" s="886"/>
      <c r="P202" s="886"/>
      <c r="Q202" s="886"/>
      <c r="R202" s="886"/>
      <c r="S202" s="886"/>
      <c r="T202" s="886"/>
      <c r="U202" s="886"/>
      <c r="V202" s="886"/>
      <c r="W202" s="886"/>
      <c r="X202" s="886"/>
    </row>
    <row r="203" spans="3:24">
      <c r="C203" s="942"/>
      <c r="D203" s="943"/>
      <c r="E203" s="886"/>
      <c r="F203" s="886"/>
      <c r="G203" s="886"/>
      <c r="H203" s="886"/>
      <c r="I203" s="886"/>
      <c r="J203" s="886"/>
      <c r="K203" s="886"/>
      <c r="L203" s="886"/>
      <c r="M203" s="886"/>
      <c r="N203" s="886"/>
      <c r="O203" s="886"/>
      <c r="P203" s="886"/>
      <c r="Q203" s="886"/>
      <c r="R203" s="886"/>
      <c r="S203" s="886"/>
      <c r="T203" s="886"/>
      <c r="U203" s="886"/>
      <c r="V203" s="886"/>
      <c r="W203" s="886"/>
      <c r="X203" s="886"/>
    </row>
    <row r="204" spans="3:24">
      <c r="C204" s="942"/>
      <c r="D204" s="943"/>
      <c r="E204" s="886"/>
      <c r="F204" s="886"/>
      <c r="G204" s="886"/>
      <c r="H204" s="886"/>
      <c r="I204" s="886"/>
      <c r="J204" s="886"/>
      <c r="K204" s="886"/>
      <c r="L204" s="886"/>
      <c r="M204" s="886"/>
      <c r="N204" s="886"/>
      <c r="O204" s="886"/>
      <c r="P204" s="886"/>
      <c r="Q204" s="886"/>
      <c r="R204" s="886"/>
      <c r="S204" s="886"/>
      <c r="T204" s="886"/>
      <c r="U204" s="886"/>
      <c r="V204" s="886"/>
      <c r="W204" s="886"/>
      <c r="X204" s="886"/>
    </row>
    <row r="205" spans="3:24">
      <c r="C205" s="942"/>
      <c r="D205" s="943"/>
      <c r="E205" s="886"/>
      <c r="F205" s="886"/>
      <c r="G205" s="886"/>
      <c r="H205" s="886"/>
      <c r="I205" s="886"/>
      <c r="J205" s="886"/>
      <c r="K205" s="886"/>
      <c r="L205" s="886"/>
      <c r="M205" s="886"/>
      <c r="N205" s="886"/>
      <c r="O205" s="886"/>
      <c r="P205" s="886"/>
      <c r="Q205" s="886"/>
      <c r="R205" s="886"/>
      <c r="S205" s="886"/>
      <c r="T205" s="886"/>
      <c r="U205" s="886"/>
      <c r="V205" s="886"/>
      <c r="W205" s="886"/>
      <c r="X205" s="886"/>
    </row>
    <row r="206" spans="3:24">
      <c r="C206" s="942"/>
      <c r="D206" s="943"/>
      <c r="E206" s="886"/>
      <c r="F206" s="886"/>
      <c r="G206" s="886"/>
      <c r="H206" s="886"/>
      <c r="I206" s="886"/>
      <c r="J206" s="886"/>
      <c r="K206" s="886"/>
      <c r="L206" s="886"/>
      <c r="M206" s="886"/>
      <c r="N206" s="886"/>
      <c r="O206" s="886"/>
      <c r="P206" s="886"/>
      <c r="Q206" s="886"/>
      <c r="R206" s="886"/>
      <c r="S206" s="886"/>
      <c r="T206" s="886"/>
      <c r="U206" s="886"/>
      <c r="V206" s="886"/>
      <c r="W206" s="886"/>
      <c r="X206" s="886"/>
    </row>
    <row r="207" spans="3:24">
      <c r="C207" s="942"/>
      <c r="D207" s="943"/>
      <c r="E207" s="886"/>
      <c r="F207" s="886"/>
      <c r="G207" s="886"/>
      <c r="H207" s="886"/>
      <c r="I207" s="886"/>
      <c r="J207" s="886"/>
      <c r="K207" s="886"/>
      <c r="L207" s="886"/>
      <c r="M207" s="886"/>
      <c r="N207" s="886"/>
      <c r="O207" s="886"/>
      <c r="P207" s="886"/>
      <c r="Q207" s="886"/>
      <c r="R207" s="886"/>
      <c r="S207" s="886"/>
      <c r="T207" s="886"/>
      <c r="U207" s="886"/>
      <c r="V207" s="886"/>
      <c r="W207" s="886"/>
      <c r="X207" s="886"/>
    </row>
    <row r="208" spans="3:24">
      <c r="C208" s="942"/>
      <c r="D208" s="943"/>
      <c r="E208" s="886"/>
      <c r="F208" s="886"/>
      <c r="G208" s="886"/>
      <c r="H208" s="886"/>
      <c r="I208" s="886"/>
      <c r="J208" s="886"/>
      <c r="K208" s="886"/>
      <c r="L208" s="886"/>
      <c r="M208" s="886"/>
      <c r="N208" s="886"/>
      <c r="O208" s="886"/>
      <c r="P208" s="886"/>
      <c r="Q208" s="886"/>
      <c r="R208" s="886"/>
      <c r="S208" s="886"/>
      <c r="T208" s="886"/>
      <c r="U208" s="886"/>
      <c r="V208" s="886"/>
      <c r="W208" s="886"/>
      <c r="X208" s="886"/>
    </row>
    <row r="209" spans="3:24">
      <c r="C209" s="942"/>
      <c r="D209" s="943"/>
      <c r="E209" s="886"/>
      <c r="F209" s="886"/>
      <c r="G209" s="886"/>
      <c r="H209" s="886"/>
      <c r="I209" s="886"/>
      <c r="J209" s="886"/>
      <c r="K209" s="886"/>
      <c r="L209" s="886"/>
      <c r="M209" s="886"/>
      <c r="N209" s="886"/>
      <c r="O209" s="886"/>
      <c r="P209" s="886"/>
      <c r="Q209" s="886"/>
      <c r="R209" s="886"/>
      <c r="S209" s="886"/>
      <c r="T209" s="886"/>
      <c r="U209" s="886"/>
      <c r="V209" s="886"/>
      <c r="W209" s="886"/>
      <c r="X209" s="886"/>
    </row>
    <row r="210" spans="3:24">
      <c r="C210" s="942"/>
      <c r="D210" s="943"/>
      <c r="E210" s="886"/>
      <c r="F210" s="886"/>
      <c r="G210" s="886"/>
      <c r="H210" s="886"/>
      <c r="I210" s="886"/>
      <c r="J210" s="886"/>
      <c r="K210" s="886"/>
      <c r="L210" s="886"/>
      <c r="M210" s="886"/>
      <c r="N210" s="886"/>
      <c r="O210" s="886"/>
      <c r="P210" s="886"/>
      <c r="Q210" s="886"/>
      <c r="R210" s="886"/>
      <c r="S210" s="886"/>
      <c r="T210" s="886"/>
      <c r="U210" s="886"/>
      <c r="V210" s="886"/>
      <c r="W210" s="886"/>
      <c r="X210" s="886"/>
    </row>
    <row r="211" spans="3:24">
      <c r="C211" s="942"/>
      <c r="D211" s="943"/>
      <c r="E211" s="886"/>
      <c r="F211" s="886"/>
      <c r="G211" s="886"/>
      <c r="H211" s="886"/>
      <c r="I211" s="886"/>
      <c r="J211" s="886"/>
      <c r="K211" s="886"/>
      <c r="L211" s="886"/>
      <c r="M211" s="886"/>
      <c r="N211" s="886"/>
      <c r="O211" s="886"/>
      <c r="P211" s="886"/>
      <c r="Q211" s="886"/>
      <c r="R211" s="886"/>
      <c r="S211" s="886"/>
      <c r="T211" s="886"/>
      <c r="U211" s="886"/>
      <c r="V211" s="886"/>
      <c r="W211" s="886"/>
      <c r="X211" s="886"/>
    </row>
    <row r="212" spans="3:24">
      <c r="C212" s="942"/>
      <c r="D212" s="943"/>
      <c r="E212" s="886"/>
      <c r="F212" s="886"/>
      <c r="G212" s="886"/>
      <c r="H212" s="886"/>
      <c r="I212" s="886"/>
      <c r="J212" s="886"/>
      <c r="K212" s="886"/>
      <c r="L212" s="886"/>
      <c r="M212" s="886"/>
      <c r="N212" s="886"/>
      <c r="O212" s="886"/>
      <c r="P212" s="886"/>
      <c r="Q212" s="886"/>
      <c r="R212" s="886"/>
      <c r="S212" s="886"/>
      <c r="T212" s="886"/>
      <c r="U212" s="886"/>
      <c r="V212" s="886"/>
      <c r="W212" s="886"/>
      <c r="X212" s="886"/>
    </row>
    <row r="213" spans="3:24">
      <c r="C213" s="942"/>
      <c r="D213" s="943"/>
      <c r="E213" s="886"/>
      <c r="F213" s="886"/>
      <c r="G213" s="886"/>
      <c r="H213" s="886"/>
      <c r="I213" s="886"/>
      <c r="J213" s="886"/>
      <c r="K213" s="886"/>
      <c r="L213" s="886"/>
      <c r="M213" s="886"/>
      <c r="N213" s="886"/>
      <c r="O213" s="886"/>
      <c r="P213" s="886"/>
      <c r="Q213" s="886"/>
      <c r="R213" s="886"/>
      <c r="S213" s="886"/>
      <c r="T213" s="886"/>
      <c r="U213" s="886"/>
      <c r="V213" s="886"/>
      <c r="W213" s="886"/>
      <c r="X213" s="886"/>
    </row>
    <row r="214" spans="3:24">
      <c r="C214" s="942"/>
      <c r="D214" s="943"/>
      <c r="E214" s="886"/>
      <c r="F214" s="886"/>
      <c r="G214" s="886"/>
      <c r="H214" s="886"/>
      <c r="I214" s="886"/>
      <c r="J214" s="886"/>
      <c r="K214" s="886"/>
      <c r="L214" s="886"/>
      <c r="M214" s="886"/>
      <c r="N214" s="886"/>
      <c r="O214" s="886"/>
      <c r="P214" s="886"/>
      <c r="Q214" s="886"/>
      <c r="R214" s="886"/>
      <c r="S214" s="886"/>
      <c r="T214" s="886"/>
      <c r="U214" s="886"/>
      <c r="V214" s="886"/>
      <c r="W214" s="886"/>
      <c r="X214" s="886"/>
    </row>
    <row r="215" spans="3:24">
      <c r="C215" s="942"/>
      <c r="D215" s="943"/>
      <c r="E215" s="886"/>
      <c r="F215" s="886"/>
      <c r="G215" s="886"/>
      <c r="H215" s="886"/>
      <c r="I215" s="886"/>
      <c r="J215" s="886"/>
      <c r="K215" s="886"/>
      <c r="L215" s="886"/>
      <c r="M215" s="886"/>
      <c r="N215" s="886"/>
      <c r="O215" s="886"/>
      <c r="P215" s="886"/>
      <c r="Q215" s="886"/>
      <c r="R215" s="886"/>
      <c r="S215" s="886"/>
      <c r="T215" s="886"/>
      <c r="U215" s="886"/>
      <c r="V215" s="886"/>
      <c r="W215" s="886"/>
      <c r="X215" s="886"/>
    </row>
    <row r="216" spans="3:24">
      <c r="C216" s="942"/>
      <c r="D216" s="943"/>
      <c r="E216" s="886"/>
      <c r="F216" s="886"/>
      <c r="G216" s="886"/>
      <c r="H216" s="886"/>
      <c r="I216" s="886"/>
      <c r="J216" s="886"/>
      <c r="K216" s="886"/>
      <c r="L216" s="886"/>
      <c r="M216" s="886"/>
      <c r="N216" s="886"/>
      <c r="O216" s="886"/>
      <c r="P216" s="886"/>
      <c r="Q216" s="886"/>
      <c r="R216" s="886"/>
      <c r="S216" s="886"/>
      <c r="T216" s="886"/>
      <c r="U216" s="886"/>
      <c r="V216" s="886"/>
      <c r="W216" s="886"/>
      <c r="X216" s="886"/>
    </row>
    <row r="217" spans="3:24">
      <c r="C217" s="942"/>
      <c r="D217" s="943"/>
      <c r="E217" s="886"/>
      <c r="F217" s="886"/>
      <c r="G217" s="886"/>
      <c r="H217" s="886"/>
      <c r="I217" s="886"/>
      <c r="J217" s="886"/>
      <c r="K217" s="886"/>
      <c r="L217" s="886"/>
      <c r="M217" s="886"/>
      <c r="N217" s="886"/>
      <c r="O217" s="886"/>
      <c r="P217" s="886"/>
      <c r="Q217" s="886"/>
      <c r="R217" s="886"/>
      <c r="S217" s="886"/>
      <c r="T217" s="886"/>
      <c r="U217" s="886"/>
      <c r="V217" s="886"/>
      <c r="W217" s="886"/>
      <c r="X217" s="886"/>
    </row>
    <row r="218" spans="3:24">
      <c r="C218" s="942"/>
      <c r="D218" s="943"/>
      <c r="E218" s="886"/>
      <c r="F218" s="886"/>
      <c r="G218" s="886"/>
      <c r="H218" s="886"/>
      <c r="I218" s="886"/>
      <c r="J218" s="886"/>
      <c r="K218" s="886"/>
      <c r="L218" s="886"/>
      <c r="M218" s="886"/>
      <c r="N218" s="886"/>
      <c r="O218" s="886"/>
      <c r="P218" s="886"/>
      <c r="Q218" s="886"/>
      <c r="R218" s="886"/>
      <c r="S218" s="886"/>
      <c r="T218" s="886"/>
      <c r="U218" s="886"/>
      <c r="V218" s="886"/>
      <c r="W218" s="886"/>
      <c r="X218" s="886"/>
    </row>
    <row r="219" spans="3:24">
      <c r="C219" s="942"/>
      <c r="D219" s="943"/>
      <c r="E219" s="886"/>
      <c r="F219" s="886"/>
      <c r="G219" s="886"/>
      <c r="H219" s="886"/>
      <c r="I219" s="886"/>
      <c r="J219" s="886"/>
      <c r="K219" s="886"/>
      <c r="L219" s="886"/>
      <c r="M219" s="886"/>
      <c r="N219" s="886"/>
      <c r="O219" s="886"/>
      <c r="P219" s="886"/>
      <c r="Q219" s="886"/>
      <c r="R219" s="886"/>
      <c r="S219" s="886"/>
      <c r="T219" s="886"/>
      <c r="U219" s="886"/>
      <c r="V219" s="886"/>
      <c r="W219" s="886"/>
      <c r="X219" s="886"/>
    </row>
    <row r="220" spans="3:24">
      <c r="C220" s="942"/>
      <c r="D220" s="943"/>
      <c r="E220" s="886"/>
      <c r="F220" s="886"/>
      <c r="G220" s="886"/>
      <c r="H220" s="886"/>
      <c r="I220" s="886"/>
      <c r="J220" s="886"/>
      <c r="K220" s="886"/>
      <c r="L220" s="886"/>
      <c r="M220" s="886"/>
      <c r="N220" s="886"/>
      <c r="O220" s="886"/>
      <c r="P220" s="886"/>
      <c r="Q220" s="886"/>
      <c r="R220" s="886"/>
      <c r="S220" s="886"/>
      <c r="T220" s="886"/>
      <c r="U220" s="886"/>
      <c r="V220" s="886"/>
      <c r="W220" s="886"/>
      <c r="X220" s="886"/>
    </row>
    <row r="221" spans="3:24">
      <c r="C221" s="942"/>
      <c r="D221" s="943"/>
      <c r="E221" s="886"/>
      <c r="F221" s="886"/>
      <c r="G221" s="886"/>
      <c r="H221" s="886"/>
      <c r="I221" s="886"/>
      <c r="J221" s="886"/>
      <c r="K221" s="886"/>
      <c r="L221" s="886"/>
      <c r="M221" s="886"/>
      <c r="N221" s="886"/>
      <c r="O221" s="886"/>
      <c r="P221" s="886"/>
      <c r="Q221" s="886"/>
      <c r="R221" s="886"/>
      <c r="S221" s="886"/>
      <c r="T221" s="886"/>
      <c r="U221" s="886"/>
      <c r="V221" s="886"/>
      <c r="W221" s="886"/>
      <c r="X221" s="886"/>
    </row>
    <row r="222" spans="3:24">
      <c r="C222" s="942"/>
      <c r="D222" s="943"/>
      <c r="E222" s="886"/>
      <c r="F222" s="886"/>
      <c r="G222" s="886"/>
      <c r="H222" s="886"/>
      <c r="I222" s="886"/>
      <c r="J222" s="886"/>
      <c r="K222" s="886"/>
      <c r="L222" s="886"/>
      <c r="M222" s="886"/>
      <c r="N222" s="886"/>
      <c r="O222" s="886"/>
      <c r="P222" s="886"/>
      <c r="Q222" s="886"/>
      <c r="R222" s="886"/>
      <c r="S222" s="886"/>
      <c r="T222" s="886"/>
      <c r="U222" s="886"/>
      <c r="V222" s="886"/>
      <c r="W222" s="886"/>
      <c r="X222" s="886"/>
    </row>
    <row r="223" spans="3:24">
      <c r="C223" s="942"/>
      <c r="D223" s="943"/>
      <c r="E223" s="886"/>
      <c r="F223" s="886"/>
      <c r="G223" s="886"/>
      <c r="H223" s="886"/>
      <c r="I223" s="886"/>
      <c r="J223" s="886"/>
      <c r="K223" s="886"/>
      <c r="L223" s="886"/>
      <c r="M223" s="886"/>
      <c r="N223" s="886"/>
      <c r="O223" s="886"/>
      <c r="P223" s="886"/>
      <c r="Q223" s="886"/>
      <c r="R223" s="886"/>
      <c r="S223" s="886"/>
      <c r="T223" s="886"/>
      <c r="U223" s="886"/>
      <c r="V223" s="886"/>
      <c r="W223" s="886"/>
      <c r="X223" s="886"/>
    </row>
    <row r="224" spans="3:24">
      <c r="C224" s="942"/>
      <c r="D224" s="943"/>
      <c r="E224" s="886"/>
      <c r="F224" s="886"/>
      <c r="G224" s="886"/>
      <c r="H224" s="886"/>
      <c r="I224" s="886"/>
      <c r="J224" s="886"/>
      <c r="K224" s="886"/>
      <c r="L224" s="886"/>
      <c r="M224" s="886"/>
      <c r="N224" s="886"/>
      <c r="O224" s="886"/>
      <c r="P224" s="886"/>
      <c r="Q224" s="886"/>
      <c r="R224" s="886"/>
      <c r="S224" s="886"/>
      <c r="T224" s="886"/>
      <c r="U224" s="886"/>
      <c r="V224" s="886"/>
      <c r="W224" s="886"/>
      <c r="X224" s="886"/>
    </row>
    <row r="225" spans="3:24">
      <c r="C225" s="942"/>
      <c r="D225" s="943"/>
      <c r="E225" s="886"/>
      <c r="F225" s="886"/>
      <c r="G225" s="886"/>
      <c r="H225" s="886"/>
      <c r="I225" s="886"/>
      <c r="J225" s="886"/>
      <c r="K225" s="886"/>
      <c r="L225" s="886"/>
      <c r="M225" s="886"/>
      <c r="N225" s="886"/>
      <c r="O225" s="886"/>
      <c r="P225" s="886"/>
      <c r="Q225" s="886"/>
      <c r="R225" s="886"/>
      <c r="S225" s="886"/>
      <c r="T225" s="886"/>
      <c r="U225" s="886"/>
      <c r="V225" s="886"/>
      <c r="W225" s="886"/>
      <c r="X225" s="886"/>
    </row>
    <row r="226" spans="3:24">
      <c r="C226" s="942"/>
      <c r="D226" s="943"/>
      <c r="E226" s="886"/>
      <c r="F226" s="886"/>
      <c r="G226" s="886"/>
      <c r="H226" s="886"/>
      <c r="I226" s="886"/>
      <c r="J226" s="886"/>
      <c r="K226" s="886"/>
      <c r="L226" s="886"/>
      <c r="M226" s="886"/>
      <c r="N226" s="886"/>
      <c r="O226" s="886"/>
      <c r="P226" s="886"/>
      <c r="Q226" s="886"/>
      <c r="R226" s="886"/>
      <c r="S226" s="886"/>
      <c r="T226" s="886"/>
      <c r="U226" s="886"/>
      <c r="V226" s="886"/>
      <c r="W226" s="886"/>
      <c r="X226" s="886"/>
    </row>
    <row r="227" spans="3:24">
      <c r="C227" s="942"/>
      <c r="D227" s="943"/>
      <c r="E227" s="886"/>
      <c r="F227" s="886"/>
      <c r="G227" s="886"/>
      <c r="H227" s="886"/>
      <c r="I227" s="886"/>
      <c r="J227" s="886"/>
      <c r="K227" s="886"/>
      <c r="L227" s="886"/>
      <c r="M227" s="886"/>
      <c r="N227" s="886"/>
      <c r="O227" s="886"/>
      <c r="P227" s="886"/>
      <c r="Q227" s="886"/>
      <c r="R227" s="886"/>
      <c r="S227" s="886"/>
      <c r="T227" s="886"/>
      <c r="U227" s="886"/>
      <c r="V227" s="886"/>
      <c r="W227" s="886"/>
      <c r="X227" s="886"/>
    </row>
    <row r="228" spans="3:24">
      <c r="C228" s="942"/>
      <c r="D228" s="943"/>
      <c r="E228" s="886"/>
      <c r="F228" s="886"/>
      <c r="G228" s="886"/>
      <c r="H228" s="886"/>
      <c r="I228" s="886"/>
      <c r="J228" s="886"/>
      <c r="K228" s="886"/>
      <c r="L228" s="886"/>
      <c r="M228" s="886"/>
      <c r="N228" s="886"/>
      <c r="O228" s="886"/>
      <c r="P228" s="886"/>
      <c r="Q228" s="886"/>
      <c r="R228" s="886"/>
      <c r="S228" s="886"/>
      <c r="T228" s="886"/>
      <c r="U228" s="886"/>
      <c r="V228" s="886"/>
      <c r="W228" s="886"/>
      <c r="X228" s="886"/>
    </row>
    <row r="229" spans="3:24">
      <c r="C229" s="942"/>
      <c r="D229" s="943"/>
      <c r="E229" s="886"/>
      <c r="F229" s="886"/>
      <c r="G229" s="886"/>
      <c r="H229" s="886"/>
      <c r="I229" s="886"/>
      <c r="J229" s="886"/>
      <c r="K229" s="886"/>
      <c r="L229" s="886"/>
      <c r="M229" s="886"/>
      <c r="N229" s="886"/>
      <c r="O229" s="886"/>
      <c r="P229" s="886"/>
      <c r="Q229" s="886"/>
      <c r="R229" s="886"/>
      <c r="S229" s="886"/>
      <c r="T229" s="886"/>
      <c r="U229" s="886"/>
      <c r="V229" s="886"/>
      <c r="W229" s="886"/>
      <c r="X229" s="886"/>
    </row>
    <row r="230" spans="3:24">
      <c r="C230" s="942"/>
      <c r="D230" s="943"/>
      <c r="E230" s="886"/>
      <c r="F230" s="886"/>
      <c r="G230" s="886"/>
      <c r="H230" s="886"/>
      <c r="I230" s="886"/>
      <c r="J230" s="886"/>
      <c r="K230" s="886"/>
      <c r="L230" s="886"/>
      <c r="M230" s="886"/>
      <c r="N230" s="886"/>
      <c r="O230" s="886"/>
      <c r="P230" s="886"/>
      <c r="Q230" s="886"/>
      <c r="R230" s="886"/>
      <c r="S230" s="886"/>
      <c r="T230" s="886"/>
      <c r="U230" s="886"/>
      <c r="V230" s="886"/>
      <c r="W230" s="886"/>
      <c r="X230" s="886"/>
    </row>
    <row r="231" spans="3:24">
      <c r="C231" s="942"/>
      <c r="D231" s="943"/>
      <c r="E231" s="886"/>
      <c r="F231" s="886"/>
      <c r="G231" s="886"/>
      <c r="H231" s="886"/>
      <c r="I231" s="886"/>
      <c r="J231" s="886"/>
      <c r="K231" s="886"/>
      <c r="L231" s="886"/>
      <c r="M231" s="886"/>
      <c r="N231" s="886"/>
      <c r="O231" s="886"/>
      <c r="P231" s="886"/>
      <c r="Q231" s="886"/>
      <c r="R231" s="886"/>
      <c r="S231" s="886"/>
      <c r="T231" s="886"/>
      <c r="U231" s="886"/>
      <c r="V231" s="886"/>
      <c r="W231" s="886"/>
      <c r="X231" s="886"/>
    </row>
    <row r="232" spans="3:24">
      <c r="C232" s="942"/>
      <c r="D232" s="943"/>
      <c r="E232" s="886"/>
      <c r="F232" s="886"/>
      <c r="G232" s="886"/>
      <c r="H232" s="886"/>
      <c r="I232" s="886"/>
      <c r="J232" s="886"/>
      <c r="K232" s="886"/>
      <c r="L232" s="886"/>
      <c r="M232" s="886"/>
      <c r="N232" s="886"/>
      <c r="O232" s="886"/>
      <c r="P232" s="886"/>
      <c r="Q232" s="886"/>
      <c r="R232" s="886"/>
      <c r="S232" s="886"/>
      <c r="T232" s="886"/>
      <c r="U232" s="886"/>
      <c r="V232" s="886"/>
      <c r="W232" s="886"/>
      <c r="X232" s="886"/>
    </row>
    <row r="233" spans="3:24">
      <c r="C233" s="942"/>
      <c r="D233" s="943"/>
      <c r="E233" s="886"/>
      <c r="F233" s="886"/>
      <c r="G233" s="886"/>
      <c r="H233" s="886"/>
      <c r="I233" s="886"/>
      <c r="J233" s="886"/>
      <c r="K233" s="886"/>
      <c r="L233" s="886"/>
      <c r="M233" s="886"/>
      <c r="N233" s="886"/>
      <c r="O233" s="886"/>
      <c r="P233" s="886"/>
      <c r="Q233" s="886"/>
      <c r="R233" s="886"/>
      <c r="S233" s="886"/>
      <c r="T233" s="886"/>
      <c r="U233" s="886"/>
      <c r="V233" s="886"/>
      <c r="W233" s="886"/>
      <c r="X233" s="886"/>
    </row>
    <row r="234" spans="3:24">
      <c r="C234" s="942"/>
      <c r="D234" s="943"/>
      <c r="E234" s="886"/>
      <c r="F234" s="886"/>
      <c r="G234" s="886"/>
      <c r="H234" s="886"/>
      <c r="I234" s="886"/>
      <c r="J234" s="886"/>
      <c r="K234" s="886"/>
      <c r="L234" s="886"/>
      <c r="M234" s="886"/>
      <c r="N234" s="886"/>
      <c r="O234" s="886"/>
      <c r="P234" s="886"/>
      <c r="Q234" s="886"/>
      <c r="R234" s="886"/>
      <c r="S234" s="886"/>
      <c r="T234" s="886"/>
      <c r="U234" s="886"/>
      <c r="V234" s="886"/>
      <c r="W234" s="886"/>
      <c r="X234" s="886"/>
    </row>
    <row r="235" spans="3:24">
      <c r="C235" s="942"/>
      <c r="D235" s="943"/>
      <c r="E235" s="886"/>
      <c r="F235" s="886"/>
      <c r="G235" s="886"/>
      <c r="H235" s="886"/>
      <c r="I235" s="886"/>
      <c r="J235" s="886"/>
      <c r="K235" s="886"/>
      <c r="L235" s="886"/>
      <c r="M235" s="886"/>
      <c r="N235" s="886"/>
      <c r="O235" s="886"/>
      <c r="P235" s="886"/>
      <c r="Q235" s="886"/>
      <c r="R235" s="886"/>
      <c r="S235" s="886"/>
      <c r="T235" s="886"/>
      <c r="U235" s="886"/>
      <c r="V235" s="886"/>
      <c r="W235" s="886"/>
      <c r="X235" s="886"/>
    </row>
    <row r="236" spans="3:24">
      <c r="C236" s="942"/>
      <c r="D236" s="943"/>
      <c r="E236" s="886"/>
      <c r="F236" s="886"/>
      <c r="G236" s="886"/>
      <c r="H236" s="886"/>
      <c r="I236" s="886"/>
      <c r="J236" s="886"/>
      <c r="K236" s="886"/>
      <c r="L236" s="886"/>
      <c r="M236" s="886"/>
      <c r="N236" s="886"/>
      <c r="O236" s="886"/>
      <c r="P236" s="886"/>
      <c r="Q236" s="886"/>
      <c r="R236" s="886"/>
      <c r="S236" s="886"/>
      <c r="T236" s="886"/>
      <c r="U236" s="886"/>
      <c r="V236" s="886"/>
      <c r="W236" s="886"/>
      <c r="X236" s="886"/>
    </row>
    <row r="237" spans="3:24">
      <c r="C237" s="942"/>
      <c r="D237" s="943"/>
      <c r="E237" s="886"/>
      <c r="F237" s="886"/>
      <c r="G237" s="886"/>
      <c r="H237" s="886"/>
      <c r="I237" s="886"/>
      <c r="J237" s="886"/>
      <c r="K237" s="886"/>
      <c r="L237" s="886"/>
      <c r="M237" s="886"/>
      <c r="N237" s="886"/>
      <c r="O237" s="886"/>
      <c r="P237" s="886"/>
      <c r="Q237" s="886"/>
      <c r="R237" s="886"/>
      <c r="S237" s="886"/>
      <c r="T237" s="886"/>
      <c r="U237" s="886"/>
      <c r="V237" s="886"/>
      <c r="W237" s="886"/>
      <c r="X237" s="886"/>
    </row>
    <row r="238" spans="3:24">
      <c r="C238" s="942"/>
      <c r="D238" s="943"/>
      <c r="E238" s="886"/>
      <c r="F238" s="886"/>
      <c r="G238" s="886"/>
      <c r="H238" s="886"/>
      <c r="I238" s="886"/>
      <c r="J238" s="886"/>
      <c r="K238" s="886"/>
      <c r="L238" s="886"/>
      <c r="M238" s="886"/>
      <c r="N238" s="886"/>
      <c r="O238" s="886"/>
      <c r="P238" s="886"/>
      <c r="Q238" s="886"/>
      <c r="R238" s="886"/>
      <c r="S238" s="886"/>
      <c r="T238" s="886"/>
      <c r="U238" s="886"/>
      <c r="V238" s="886"/>
      <c r="W238" s="886"/>
      <c r="X238" s="886"/>
    </row>
    <row r="239" spans="3:24">
      <c r="C239" s="942"/>
      <c r="D239" s="943"/>
      <c r="E239" s="886"/>
      <c r="F239" s="886"/>
      <c r="G239" s="886"/>
      <c r="H239" s="886"/>
      <c r="I239" s="886"/>
      <c r="J239" s="886"/>
      <c r="K239" s="886"/>
      <c r="L239" s="886"/>
      <c r="M239" s="886"/>
      <c r="N239" s="886"/>
      <c r="O239" s="886"/>
      <c r="P239" s="886"/>
      <c r="Q239" s="886"/>
      <c r="R239" s="886"/>
      <c r="S239" s="886"/>
      <c r="T239" s="886"/>
      <c r="U239" s="886"/>
      <c r="V239" s="886"/>
      <c r="W239" s="886"/>
      <c r="X239" s="886"/>
    </row>
    <row r="240" spans="3:24">
      <c r="C240" s="942"/>
      <c r="D240" s="943"/>
      <c r="E240" s="886"/>
      <c r="F240" s="886"/>
      <c r="G240" s="886"/>
      <c r="H240" s="886"/>
      <c r="I240" s="886"/>
      <c r="J240" s="886"/>
      <c r="K240" s="886"/>
      <c r="L240" s="886"/>
      <c r="M240" s="886"/>
      <c r="N240" s="886"/>
      <c r="O240" s="886"/>
      <c r="P240" s="886"/>
      <c r="Q240" s="886"/>
      <c r="R240" s="886"/>
      <c r="S240" s="886"/>
      <c r="T240" s="886"/>
      <c r="U240" s="886"/>
      <c r="V240" s="886"/>
      <c r="W240" s="886"/>
      <c r="X240" s="886"/>
    </row>
    <row r="241" spans="3:24">
      <c r="C241" s="942"/>
      <c r="D241" s="943"/>
      <c r="E241" s="886"/>
      <c r="F241" s="886"/>
      <c r="G241" s="886"/>
      <c r="H241" s="886"/>
      <c r="I241" s="886"/>
      <c r="J241" s="886"/>
      <c r="K241" s="886"/>
      <c r="L241" s="886"/>
      <c r="M241" s="886"/>
      <c r="N241" s="886"/>
      <c r="O241" s="886"/>
      <c r="P241" s="886"/>
      <c r="Q241" s="886"/>
      <c r="R241" s="886"/>
      <c r="S241" s="886"/>
      <c r="T241" s="886"/>
      <c r="U241" s="886"/>
      <c r="V241" s="886"/>
      <c r="W241" s="886"/>
      <c r="X241" s="886"/>
    </row>
    <row r="242" spans="3:24">
      <c r="C242" s="942"/>
      <c r="D242" s="943"/>
      <c r="E242" s="886"/>
      <c r="F242" s="886"/>
      <c r="G242" s="886"/>
      <c r="H242" s="886"/>
      <c r="I242" s="886"/>
      <c r="J242" s="886"/>
      <c r="K242" s="886"/>
      <c r="L242" s="886"/>
      <c r="M242" s="886"/>
      <c r="N242" s="886"/>
      <c r="O242" s="886"/>
      <c r="P242" s="886"/>
      <c r="Q242" s="886"/>
      <c r="R242" s="886"/>
      <c r="S242" s="886"/>
      <c r="T242" s="886"/>
      <c r="U242" s="886"/>
      <c r="V242" s="886"/>
      <c r="W242" s="886"/>
      <c r="X242" s="886"/>
    </row>
    <row r="243" spans="3:24">
      <c r="C243" s="942"/>
      <c r="D243" s="943"/>
      <c r="E243" s="886"/>
      <c r="F243" s="886"/>
      <c r="G243" s="886"/>
      <c r="H243" s="886"/>
      <c r="I243" s="886"/>
      <c r="J243" s="886"/>
      <c r="K243" s="886"/>
      <c r="L243" s="886"/>
      <c r="M243" s="886"/>
      <c r="N243" s="886"/>
      <c r="O243" s="886"/>
      <c r="P243" s="886"/>
      <c r="Q243" s="886"/>
      <c r="R243" s="886"/>
      <c r="S243" s="886"/>
      <c r="T243" s="886"/>
      <c r="U243" s="886"/>
      <c r="V243" s="886"/>
      <c r="W243" s="886"/>
      <c r="X243" s="886"/>
    </row>
    <row r="244" spans="3:24">
      <c r="C244" s="942"/>
      <c r="D244" s="943"/>
      <c r="E244" s="886"/>
      <c r="F244" s="886"/>
      <c r="G244" s="886"/>
      <c r="H244" s="886"/>
      <c r="I244" s="886"/>
      <c r="J244" s="886"/>
      <c r="K244" s="886"/>
      <c r="L244" s="886"/>
      <c r="M244" s="886"/>
      <c r="N244" s="886"/>
      <c r="O244" s="886"/>
      <c r="P244" s="886"/>
      <c r="Q244" s="886"/>
      <c r="R244" s="886"/>
      <c r="S244" s="886"/>
      <c r="T244" s="886"/>
      <c r="U244" s="886"/>
      <c r="V244" s="886"/>
      <c r="W244" s="886"/>
      <c r="X244" s="886"/>
    </row>
    <row r="245" spans="3:24">
      <c r="C245" s="942"/>
      <c r="D245" s="943"/>
      <c r="E245" s="886"/>
      <c r="F245" s="886"/>
      <c r="G245" s="886"/>
      <c r="H245" s="886"/>
      <c r="I245" s="886"/>
      <c r="J245" s="886"/>
      <c r="K245" s="886"/>
      <c r="L245" s="886"/>
      <c r="M245" s="886"/>
      <c r="N245" s="886"/>
      <c r="O245" s="886"/>
      <c r="P245" s="886"/>
      <c r="Q245" s="886"/>
      <c r="R245" s="886"/>
      <c r="S245" s="886"/>
      <c r="T245" s="886"/>
      <c r="U245" s="886"/>
      <c r="V245" s="886"/>
      <c r="W245" s="886"/>
      <c r="X245" s="886"/>
    </row>
    <row r="246" spans="3:24">
      <c r="C246" s="942"/>
      <c r="D246" s="943"/>
      <c r="E246" s="886"/>
      <c r="F246" s="886"/>
      <c r="G246" s="886"/>
      <c r="H246" s="886"/>
      <c r="I246" s="886"/>
      <c r="J246" s="886"/>
      <c r="K246" s="886"/>
      <c r="L246" s="886"/>
      <c r="M246" s="886"/>
      <c r="N246" s="886"/>
      <c r="O246" s="886"/>
      <c r="P246" s="886"/>
      <c r="Q246" s="886"/>
      <c r="R246" s="886"/>
      <c r="S246" s="886"/>
      <c r="T246" s="886"/>
      <c r="U246" s="886"/>
      <c r="V246" s="886"/>
      <c r="W246" s="886"/>
      <c r="X246" s="886"/>
    </row>
    <row r="247" spans="3:24">
      <c r="C247" s="942"/>
      <c r="D247" s="943"/>
      <c r="E247" s="886"/>
      <c r="F247" s="886"/>
      <c r="G247" s="886"/>
      <c r="H247" s="886"/>
      <c r="I247" s="886"/>
      <c r="J247" s="886"/>
      <c r="K247" s="886"/>
      <c r="L247" s="886"/>
      <c r="M247" s="886"/>
      <c r="N247" s="886"/>
      <c r="O247" s="886"/>
      <c r="P247" s="886"/>
      <c r="Q247" s="886"/>
      <c r="R247" s="886"/>
      <c r="S247" s="886"/>
      <c r="T247" s="886"/>
      <c r="U247" s="886"/>
      <c r="V247" s="886"/>
      <c r="W247" s="886"/>
      <c r="X247" s="886"/>
    </row>
    <row r="248" spans="3:24">
      <c r="C248" s="942"/>
      <c r="D248" s="943"/>
      <c r="E248" s="886"/>
      <c r="F248" s="886"/>
      <c r="G248" s="886"/>
      <c r="H248" s="886"/>
      <c r="I248" s="886"/>
      <c r="J248" s="886"/>
      <c r="K248" s="886"/>
      <c r="L248" s="886"/>
      <c r="M248" s="886"/>
      <c r="N248" s="886"/>
      <c r="O248" s="886"/>
      <c r="P248" s="886"/>
      <c r="Q248" s="886"/>
      <c r="R248" s="886"/>
      <c r="S248" s="886"/>
      <c r="T248" s="886"/>
      <c r="U248" s="886"/>
      <c r="V248" s="886"/>
      <c r="W248" s="886"/>
      <c r="X248" s="886"/>
    </row>
    <row r="249" spans="3:24">
      <c r="C249" s="942"/>
      <c r="D249" s="943"/>
      <c r="E249" s="886"/>
      <c r="F249" s="886"/>
      <c r="G249" s="886"/>
      <c r="H249" s="886"/>
      <c r="I249" s="886"/>
      <c r="J249" s="886"/>
      <c r="K249" s="886"/>
      <c r="L249" s="886"/>
      <c r="M249" s="886"/>
      <c r="N249" s="886"/>
      <c r="O249" s="886"/>
      <c r="P249" s="886"/>
      <c r="Q249" s="886"/>
      <c r="R249" s="886"/>
      <c r="S249" s="886"/>
      <c r="T249" s="886"/>
      <c r="U249" s="886"/>
      <c r="V249" s="886"/>
      <c r="W249" s="886"/>
      <c r="X249" s="886"/>
    </row>
    <row r="250" spans="3:24">
      <c r="C250" s="942"/>
      <c r="D250" s="943"/>
      <c r="E250" s="886"/>
      <c r="F250" s="886"/>
      <c r="G250" s="886"/>
      <c r="H250" s="886"/>
      <c r="I250" s="886"/>
      <c r="J250" s="886"/>
      <c r="K250" s="886"/>
      <c r="L250" s="886"/>
      <c r="M250" s="886"/>
      <c r="N250" s="886"/>
      <c r="O250" s="886"/>
      <c r="P250" s="886"/>
      <c r="Q250" s="886"/>
      <c r="R250" s="886"/>
      <c r="S250" s="886"/>
      <c r="T250" s="886"/>
      <c r="U250" s="886"/>
      <c r="V250" s="886"/>
      <c r="W250" s="886"/>
      <c r="X250" s="886"/>
    </row>
    <row r="251" spans="3:24">
      <c r="C251" s="942"/>
      <c r="D251" s="943"/>
      <c r="E251" s="886"/>
      <c r="F251" s="886"/>
      <c r="G251" s="886"/>
      <c r="H251" s="886"/>
      <c r="I251" s="886"/>
      <c r="J251" s="886"/>
      <c r="K251" s="886"/>
      <c r="L251" s="886"/>
      <c r="M251" s="886"/>
      <c r="N251" s="886"/>
      <c r="O251" s="886"/>
      <c r="P251" s="886"/>
      <c r="Q251" s="886"/>
      <c r="R251" s="886"/>
      <c r="S251" s="886"/>
      <c r="T251" s="886"/>
      <c r="U251" s="886"/>
      <c r="V251" s="886"/>
      <c r="W251" s="886"/>
      <c r="X251" s="886"/>
    </row>
    <row r="252" spans="3:24">
      <c r="C252" s="942"/>
      <c r="D252" s="943"/>
      <c r="E252" s="886"/>
      <c r="F252" s="886"/>
      <c r="G252" s="886"/>
      <c r="H252" s="886"/>
      <c r="I252" s="886"/>
      <c r="J252" s="886"/>
      <c r="K252" s="886"/>
      <c r="L252" s="886"/>
      <c r="M252" s="886"/>
      <c r="N252" s="886"/>
      <c r="O252" s="886"/>
      <c r="P252" s="886"/>
      <c r="Q252" s="886"/>
      <c r="R252" s="886"/>
      <c r="S252" s="886"/>
      <c r="T252" s="886"/>
      <c r="U252" s="886"/>
      <c r="V252" s="886"/>
      <c r="W252" s="886"/>
      <c r="X252" s="886"/>
    </row>
    <row r="253" spans="3:24">
      <c r="C253" s="942"/>
      <c r="D253" s="943"/>
      <c r="E253" s="886"/>
      <c r="F253" s="886"/>
      <c r="G253" s="886"/>
      <c r="H253" s="886"/>
      <c r="I253" s="886"/>
      <c r="J253" s="886"/>
      <c r="K253" s="886"/>
      <c r="L253" s="886"/>
      <c r="M253" s="886"/>
      <c r="N253" s="886"/>
      <c r="O253" s="886"/>
      <c r="P253" s="886"/>
      <c r="Q253" s="886"/>
      <c r="R253" s="886"/>
      <c r="S253" s="886"/>
      <c r="T253" s="886"/>
      <c r="U253" s="886"/>
      <c r="V253" s="886"/>
      <c r="W253" s="886"/>
      <c r="X253" s="886"/>
    </row>
    <row r="254" spans="3:24">
      <c r="C254" s="942"/>
      <c r="D254" s="943"/>
      <c r="E254" s="886"/>
      <c r="F254" s="886"/>
      <c r="G254" s="886"/>
      <c r="H254" s="886"/>
      <c r="I254" s="886"/>
      <c r="J254" s="886"/>
      <c r="K254" s="886"/>
      <c r="L254" s="886"/>
      <c r="M254" s="886"/>
      <c r="N254" s="886"/>
      <c r="O254" s="886"/>
      <c r="P254" s="886"/>
      <c r="Q254" s="886"/>
      <c r="R254" s="886"/>
      <c r="S254" s="886"/>
      <c r="T254" s="886"/>
      <c r="U254" s="886"/>
      <c r="V254" s="886"/>
      <c r="W254" s="886"/>
      <c r="X254" s="886"/>
    </row>
    <row r="255" spans="3:24">
      <c r="C255" s="942"/>
      <c r="D255" s="943"/>
      <c r="E255" s="886"/>
      <c r="F255" s="886"/>
      <c r="G255" s="886"/>
      <c r="H255" s="886"/>
      <c r="I255" s="886"/>
      <c r="J255" s="886"/>
      <c r="K255" s="886"/>
      <c r="L255" s="886"/>
      <c r="M255" s="886"/>
      <c r="N255" s="886"/>
      <c r="O255" s="886"/>
      <c r="P255" s="886"/>
      <c r="Q255" s="886"/>
      <c r="R255" s="886"/>
      <c r="S255" s="886"/>
      <c r="T255" s="886"/>
      <c r="U255" s="886"/>
      <c r="V255" s="886"/>
      <c r="W255" s="886"/>
      <c r="X255" s="886"/>
    </row>
    <row r="256" spans="3:24">
      <c r="C256" s="942"/>
      <c r="D256" s="943"/>
      <c r="E256" s="886"/>
      <c r="F256" s="886"/>
      <c r="G256" s="886"/>
      <c r="H256" s="886"/>
      <c r="I256" s="886"/>
      <c r="J256" s="886"/>
      <c r="K256" s="886"/>
      <c r="L256" s="886"/>
      <c r="M256" s="886"/>
      <c r="N256" s="886"/>
      <c r="O256" s="886"/>
      <c r="P256" s="886"/>
      <c r="Q256" s="886"/>
      <c r="R256" s="886"/>
      <c r="S256" s="886"/>
      <c r="T256" s="886"/>
      <c r="U256" s="886"/>
      <c r="V256" s="886"/>
      <c r="W256" s="886"/>
      <c r="X256" s="886"/>
    </row>
    <row r="257" spans="3:24">
      <c r="C257" s="942"/>
      <c r="D257" s="943"/>
      <c r="E257" s="886"/>
      <c r="F257" s="886"/>
      <c r="G257" s="886"/>
      <c r="H257" s="886"/>
      <c r="I257" s="886"/>
      <c r="J257" s="886"/>
      <c r="K257" s="886"/>
      <c r="L257" s="886"/>
      <c r="M257" s="886"/>
      <c r="N257" s="886"/>
      <c r="O257" s="886"/>
      <c r="P257" s="886"/>
      <c r="Q257" s="886"/>
      <c r="R257" s="886"/>
      <c r="S257" s="886"/>
      <c r="T257" s="886"/>
      <c r="U257" s="886"/>
      <c r="V257" s="886"/>
      <c r="W257" s="886"/>
      <c r="X257" s="886"/>
    </row>
    <row r="258" spans="3:24">
      <c r="C258" s="942"/>
      <c r="D258" s="943"/>
      <c r="E258" s="886"/>
      <c r="F258" s="886"/>
      <c r="G258" s="886"/>
      <c r="H258" s="886"/>
      <c r="I258" s="886"/>
      <c r="J258" s="886"/>
      <c r="K258" s="886"/>
      <c r="L258" s="886"/>
      <c r="M258" s="886"/>
      <c r="N258" s="886"/>
      <c r="O258" s="886"/>
      <c r="P258" s="886"/>
      <c r="Q258" s="886"/>
      <c r="R258" s="886"/>
      <c r="S258" s="886"/>
      <c r="T258" s="886"/>
      <c r="U258" s="886"/>
      <c r="V258" s="886"/>
      <c r="W258" s="886"/>
      <c r="X258" s="886"/>
    </row>
    <row r="259" spans="3:24">
      <c r="C259" s="942"/>
      <c r="D259" s="943"/>
      <c r="E259" s="886"/>
      <c r="F259" s="886"/>
      <c r="G259" s="886"/>
      <c r="H259" s="886"/>
      <c r="I259" s="886"/>
      <c r="J259" s="886"/>
      <c r="K259" s="886"/>
      <c r="L259" s="886"/>
      <c r="M259" s="886"/>
      <c r="N259" s="886"/>
      <c r="O259" s="886"/>
      <c r="P259" s="886"/>
      <c r="Q259" s="886"/>
      <c r="R259" s="886"/>
      <c r="S259" s="886"/>
      <c r="T259" s="886"/>
      <c r="U259" s="886"/>
      <c r="V259" s="886"/>
      <c r="W259" s="886"/>
      <c r="X259" s="886"/>
    </row>
    <row r="260" spans="3:24">
      <c r="C260" s="942"/>
      <c r="D260" s="943"/>
      <c r="E260" s="886"/>
      <c r="F260" s="886"/>
      <c r="G260" s="886"/>
      <c r="H260" s="886"/>
      <c r="I260" s="886"/>
      <c r="J260" s="886"/>
      <c r="K260" s="886"/>
      <c r="L260" s="886"/>
      <c r="M260" s="886"/>
      <c r="N260" s="886"/>
      <c r="O260" s="886"/>
      <c r="P260" s="886"/>
      <c r="Q260" s="886"/>
      <c r="R260" s="886"/>
      <c r="S260" s="886"/>
      <c r="T260" s="886"/>
      <c r="U260" s="886"/>
      <c r="V260" s="886"/>
      <c r="W260" s="886"/>
      <c r="X260" s="886"/>
    </row>
    <row r="261" spans="3:24">
      <c r="C261" s="942"/>
      <c r="D261" s="943"/>
      <c r="E261" s="886"/>
      <c r="F261" s="886"/>
      <c r="G261" s="886"/>
      <c r="H261" s="886"/>
      <c r="I261" s="886"/>
      <c r="J261" s="886"/>
      <c r="K261" s="886"/>
      <c r="L261" s="886"/>
      <c r="M261" s="886"/>
      <c r="N261" s="886"/>
      <c r="O261" s="886"/>
      <c r="P261" s="886"/>
      <c r="Q261" s="886"/>
      <c r="R261" s="886"/>
      <c r="S261" s="886"/>
      <c r="T261" s="886"/>
      <c r="U261" s="886"/>
      <c r="V261" s="886"/>
      <c r="W261" s="886"/>
      <c r="X261" s="886"/>
    </row>
    <row r="262" spans="3:24">
      <c r="C262" s="942"/>
      <c r="D262" s="943"/>
      <c r="E262" s="886"/>
      <c r="F262" s="886"/>
      <c r="G262" s="886"/>
      <c r="H262" s="886"/>
      <c r="I262" s="886"/>
      <c r="J262" s="886"/>
      <c r="K262" s="886"/>
      <c r="L262" s="886"/>
      <c r="M262" s="886"/>
      <c r="N262" s="886"/>
      <c r="O262" s="886"/>
      <c r="P262" s="886"/>
      <c r="Q262" s="886"/>
      <c r="R262" s="886"/>
      <c r="S262" s="886"/>
      <c r="T262" s="886"/>
      <c r="U262" s="886"/>
      <c r="V262" s="886"/>
      <c r="W262" s="886"/>
      <c r="X262" s="886"/>
    </row>
    <row r="263" spans="3:24">
      <c r="C263" s="942"/>
      <c r="D263" s="943"/>
      <c r="E263" s="886"/>
      <c r="F263" s="886"/>
      <c r="G263" s="886"/>
      <c r="H263" s="886"/>
      <c r="I263" s="886"/>
      <c r="J263" s="886"/>
      <c r="K263" s="886"/>
      <c r="L263" s="886"/>
      <c r="M263" s="886"/>
      <c r="N263" s="886"/>
      <c r="O263" s="886"/>
      <c r="P263" s="886"/>
      <c r="Q263" s="886"/>
      <c r="R263" s="886"/>
      <c r="S263" s="886"/>
      <c r="T263" s="886"/>
      <c r="U263" s="886"/>
      <c r="V263" s="886"/>
      <c r="W263" s="886"/>
      <c r="X263" s="886"/>
    </row>
    <row r="264" spans="3:24">
      <c r="C264" s="942"/>
      <c r="D264" s="943"/>
      <c r="E264" s="886"/>
      <c r="F264" s="886"/>
      <c r="G264" s="886"/>
      <c r="H264" s="886"/>
      <c r="I264" s="886"/>
      <c r="J264" s="886"/>
      <c r="K264" s="886"/>
      <c r="L264" s="886"/>
      <c r="M264" s="886"/>
      <c r="N264" s="886"/>
      <c r="O264" s="886"/>
      <c r="P264" s="886"/>
      <c r="Q264" s="886"/>
      <c r="R264" s="886"/>
      <c r="S264" s="886"/>
      <c r="T264" s="886"/>
      <c r="U264" s="886"/>
      <c r="V264" s="886"/>
      <c r="W264" s="886"/>
      <c r="X264" s="886"/>
    </row>
    <row r="265" spans="3:24">
      <c r="C265" s="942"/>
      <c r="D265" s="943"/>
      <c r="E265" s="886"/>
      <c r="F265" s="886"/>
      <c r="G265" s="886"/>
      <c r="H265" s="886"/>
      <c r="I265" s="886"/>
      <c r="J265" s="886"/>
      <c r="K265" s="886"/>
      <c r="L265" s="886"/>
      <c r="M265" s="886"/>
      <c r="N265" s="886"/>
      <c r="O265" s="886"/>
      <c r="P265" s="886"/>
      <c r="Q265" s="886"/>
      <c r="R265" s="886"/>
      <c r="S265" s="886"/>
      <c r="T265" s="886"/>
      <c r="U265" s="886"/>
      <c r="V265" s="886"/>
      <c r="W265" s="886"/>
      <c r="X265" s="886"/>
    </row>
    <row r="266" spans="3:24">
      <c r="C266" s="942"/>
      <c r="D266" s="943"/>
      <c r="E266" s="886"/>
      <c r="F266" s="886"/>
      <c r="G266" s="886"/>
      <c r="H266" s="886"/>
      <c r="I266" s="886"/>
      <c r="J266" s="886"/>
      <c r="K266" s="886"/>
      <c r="L266" s="886"/>
      <c r="M266" s="886"/>
      <c r="N266" s="886"/>
      <c r="O266" s="886"/>
      <c r="P266" s="886"/>
      <c r="Q266" s="886"/>
      <c r="R266" s="886"/>
      <c r="S266" s="886"/>
      <c r="T266" s="886"/>
      <c r="U266" s="886"/>
      <c r="V266" s="886"/>
      <c r="W266" s="886"/>
      <c r="X266" s="886"/>
    </row>
    <row r="267" spans="3:24">
      <c r="C267" s="942"/>
      <c r="D267" s="943"/>
      <c r="E267" s="886"/>
      <c r="F267" s="886"/>
      <c r="G267" s="886"/>
      <c r="H267" s="886"/>
      <c r="I267" s="886"/>
      <c r="J267" s="886"/>
      <c r="K267" s="886"/>
      <c r="L267" s="886"/>
      <c r="M267" s="886"/>
      <c r="N267" s="886"/>
      <c r="O267" s="886"/>
      <c r="P267" s="886"/>
      <c r="Q267" s="886"/>
      <c r="R267" s="886"/>
      <c r="S267" s="886"/>
      <c r="T267" s="886"/>
      <c r="U267" s="886"/>
      <c r="V267" s="886"/>
      <c r="W267" s="886"/>
      <c r="X267" s="886"/>
    </row>
    <row r="268" spans="3:24">
      <c r="C268" s="942"/>
      <c r="D268" s="943"/>
      <c r="E268" s="886"/>
      <c r="F268" s="886"/>
      <c r="G268" s="886"/>
      <c r="H268" s="886"/>
      <c r="I268" s="886"/>
      <c r="J268" s="886"/>
      <c r="K268" s="886"/>
      <c r="L268" s="886"/>
      <c r="M268" s="886"/>
      <c r="N268" s="886"/>
      <c r="O268" s="886"/>
      <c r="P268" s="886"/>
      <c r="Q268" s="886"/>
      <c r="R268" s="886"/>
      <c r="S268" s="886"/>
      <c r="T268" s="886"/>
      <c r="U268" s="886"/>
      <c r="V268" s="886"/>
      <c r="W268" s="886"/>
      <c r="X268" s="886"/>
    </row>
    <row r="269" spans="3:24">
      <c r="C269" s="942"/>
      <c r="D269" s="943"/>
      <c r="E269" s="886"/>
      <c r="F269" s="886"/>
      <c r="G269" s="886"/>
      <c r="H269" s="886"/>
      <c r="I269" s="886"/>
      <c r="J269" s="886"/>
      <c r="K269" s="886"/>
      <c r="L269" s="886"/>
      <c r="M269" s="886"/>
      <c r="N269" s="886"/>
      <c r="O269" s="886"/>
      <c r="P269" s="886"/>
      <c r="Q269" s="886"/>
      <c r="R269" s="886"/>
      <c r="S269" s="886"/>
      <c r="T269" s="886"/>
      <c r="U269" s="886"/>
      <c r="V269" s="886"/>
      <c r="W269" s="886"/>
      <c r="X269" s="886"/>
    </row>
    <row r="270" spans="3:24">
      <c r="C270" s="942"/>
      <c r="D270" s="943"/>
      <c r="E270" s="886"/>
      <c r="F270" s="886"/>
      <c r="G270" s="886"/>
      <c r="H270" s="886"/>
      <c r="I270" s="886"/>
      <c r="J270" s="886"/>
      <c r="K270" s="886"/>
      <c r="L270" s="886"/>
      <c r="M270" s="886"/>
      <c r="N270" s="886"/>
      <c r="O270" s="886"/>
      <c r="P270" s="886"/>
      <c r="Q270" s="886"/>
      <c r="R270" s="886"/>
      <c r="S270" s="886"/>
      <c r="T270" s="886"/>
      <c r="U270" s="886"/>
      <c r="V270" s="886"/>
      <c r="W270" s="886"/>
      <c r="X270" s="886"/>
    </row>
    <row r="271" spans="3:24">
      <c r="C271" s="942"/>
      <c r="D271" s="943"/>
      <c r="E271" s="886"/>
      <c r="F271" s="886"/>
      <c r="G271" s="886"/>
      <c r="H271" s="886"/>
      <c r="I271" s="886"/>
      <c r="J271" s="886"/>
      <c r="K271" s="886"/>
      <c r="L271" s="886"/>
      <c r="M271" s="886"/>
      <c r="N271" s="886"/>
      <c r="O271" s="886"/>
      <c r="P271" s="886"/>
      <c r="Q271" s="886"/>
      <c r="R271" s="886"/>
      <c r="S271" s="886"/>
      <c r="T271" s="886"/>
      <c r="U271" s="886"/>
      <c r="V271" s="886"/>
      <c r="W271" s="886"/>
      <c r="X271" s="886"/>
    </row>
    <row r="272" spans="3:24">
      <c r="C272" s="942"/>
      <c r="D272" s="943"/>
      <c r="E272" s="886"/>
      <c r="F272" s="886"/>
      <c r="G272" s="886"/>
      <c r="H272" s="886"/>
      <c r="I272" s="886"/>
      <c r="J272" s="886"/>
      <c r="K272" s="886"/>
      <c r="L272" s="886"/>
      <c r="M272" s="886"/>
      <c r="N272" s="886"/>
      <c r="O272" s="886"/>
      <c r="P272" s="886"/>
      <c r="Q272" s="886"/>
      <c r="R272" s="886"/>
      <c r="S272" s="886"/>
      <c r="T272" s="886"/>
      <c r="U272" s="886"/>
      <c r="V272" s="886"/>
      <c r="W272" s="886"/>
      <c r="X272" s="886"/>
    </row>
    <row r="273" spans="3:24">
      <c r="C273" s="942"/>
      <c r="D273" s="943"/>
      <c r="E273" s="886"/>
      <c r="F273" s="886"/>
      <c r="G273" s="886"/>
      <c r="H273" s="886"/>
      <c r="I273" s="886"/>
      <c r="J273" s="886"/>
      <c r="K273" s="886"/>
      <c r="L273" s="886"/>
      <c r="M273" s="886"/>
      <c r="N273" s="886"/>
      <c r="O273" s="886"/>
      <c r="P273" s="886"/>
      <c r="Q273" s="886"/>
      <c r="R273" s="886"/>
      <c r="S273" s="886"/>
      <c r="T273" s="886"/>
      <c r="U273" s="886"/>
      <c r="V273" s="886"/>
      <c r="W273" s="886"/>
      <c r="X273" s="886"/>
    </row>
    <row r="274" spans="3:24">
      <c r="C274" s="942"/>
      <c r="D274" s="943"/>
      <c r="E274" s="886"/>
      <c r="F274" s="886"/>
      <c r="G274" s="886"/>
      <c r="H274" s="886"/>
      <c r="I274" s="886"/>
      <c r="J274" s="886"/>
      <c r="K274" s="886"/>
      <c r="L274" s="886"/>
      <c r="M274" s="886"/>
      <c r="N274" s="886"/>
      <c r="O274" s="886"/>
      <c r="P274" s="886"/>
      <c r="Q274" s="886"/>
      <c r="R274" s="886"/>
      <c r="S274" s="886"/>
      <c r="T274" s="886"/>
      <c r="U274" s="886"/>
      <c r="V274" s="886"/>
      <c r="W274" s="886"/>
      <c r="X274" s="886"/>
    </row>
    <row r="275" spans="3:24">
      <c r="C275" s="942"/>
      <c r="D275" s="943"/>
      <c r="E275" s="886"/>
      <c r="F275" s="886"/>
      <c r="G275" s="886"/>
      <c r="H275" s="886"/>
      <c r="I275" s="886"/>
      <c r="J275" s="886"/>
      <c r="K275" s="886"/>
      <c r="L275" s="886"/>
      <c r="M275" s="886"/>
      <c r="N275" s="886"/>
      <c r="O275" s="886"/>
      <c r="P275" s="886"/>
      <c r="Q275" s="886"/>
      <c r="R275" s="886"/>
      <c r="S275" s="886"/>
      <c r="T275" s="886"/>
      <c r="U275" s="886"/>
      <c r="V275" s="886"/>
      <c r="W275" s="886"/>
      <c r="X275" s="886"/>
    </row>
    <row r="276" spans="3:24">
      <c r="C276" s="942"/>
      <c r="D276" s="943"/>
      <c r="E276" s="886"/>
      <c r="F276" s="886"/>
      <c r="G276" s="886"/>
      <c r="H276" s="886"/>
      <c r="I276" s="886"/>
      <c r="J276" s="886"/>
      <c r="K276" s="886"/>
      <c r="L276" s="886"/>
      <c r="M276" s="886"/>
      <c r="N276" s="886"/>
      <c r="O276" s="886"/>
      <c r="P276" s="886"/>
      <c r="Q276" s="886"/>
      <c r="R276" s="886"/>
      <c r="S276" s="886"/>
      <c r="T276" s="886"/>
      <c r="U276" s="886"/>
      <c r="V276" s="886"/>
      <c r="W276" s="886"/>
      <c r="X276" s="886"/>
    </row>
    <row r="277" spans="3:24">
      <c r="C277" s="942"/>
      <c r="D277" s="943"/>
      <c r="E277" s="886"/>
      <c r="F277" s="886"/>
      <c r="G277" s="886"/>
      <c r="H277" s="886"/>
      <c r="I277" s="886"/>
      <c r="J277" s="886"/>
      <c r="K277" s="886"/>
      <c r="L277" s="886"/>
      <c r="M277" s="886"/>
      <c r="N277" s="886"/>
      <c r="O277" s="886"/>
      <c r="P277" s="886"/>
      <c r="Q277" s="886"/>
      <c r="R277" s="886"/>
      <c r="S277" s="886"/>
      <c r="T277" s="886"/>
      <c r="U277" s="886"/>
      <c r="V277" s="886"/>
      <c r="W277" s="886"/>
      <c r="X277" s="886"/>
    </row>
    <row r="278" spans="3:24">
      <c r="C278" s="942"/>
      <c r="D278" s="943"/>
      <c r="E278" s="886"/>
      <c r="F278" s="886"/>
      <c r="G278" s="886"/>
      <c r="H278" s="886"/>
      <c r="I278" s="886"/>
      <c r="J278" s="886"/>
      <c r="K278" s="886"/>
      <c r="L278" s="886"/>
      <c r="M278" s="886"/>
      <c r="N278" s="886"/>
      <c r="O278" s="886"/>
      <c r="P278" s="886"/>
      <c r="Q278" s="886"/>
      <c r="R278" s="886"/>
      <c r="S278" s="886"/>
      <c r="T278" s="886"/>
      <c r="U278" s="886"/>
      <c r="V278" s="886"/>
      <c r="W278" s="886"/>
      <c r="X278" s="886"/>
    </row>
    <row r="279" spans="3:24">
      <c r="C279" s="942"/>
      <c r="D279" s="943"/>
      <c r="E279" s="886"/>
      <c r="F279" s="886"/>
      <c r="G279" s="886"/>
      <c r="H279" s="886"/>
      <c r="I279" s="886"/>
      <c r="J279" s="886"/>
      <c r="K279" s="886"/>
      <c r="L279" s="886"/>
      <c r="M279" s="886"/>
      <c r="N279" s="886"/>
      <c r="O279" s="886"/>
      <c r="P279" s="886"/>
      <c r="Q279" s="886"/>
      <c r="R279" s="886"/>
      <c r="S279" s="886"/>
      <c r="T279" s="886"/>
      <c r="U279" s="886"/>
      <c r="V279" s="886"/>
      <c r="W279" s="886"/>
      <c r="X279" s="886"/>
    </row>
    <row r="280" spans="3:24">
      <c r="C280" s="942"/>
      <c r="D280" s="943"/>
      <c r="E280" s="886"/>
      <c r="F280" s="886"/>
      <c r="G280" s="886"/>
      <c r="H280" s="886"/>
      <c r="I280" s="886"/>
      <c r="J280" s="886"/>
      <c r="K280" s="886"/>
      <c r="L280" s="886"/>
      <c r="M280" s="886"/>
      <c r="N280" s="886"/>
      <c r="O280" s="886"/>
      <c r="P280" s="886"/>
      <c r="Q280" s="886"/>
      <c r="R280" s="886"/>
      <c r="S280" s="886"/>
      <c r="T280" s="886"/>
      <c r="U280" s="886"/>
      <c r="V280" s="886"/>
      <c r="W280" s="886"/>
      <c r="X280" s="886"/>
    </row>
    <row r="281" spans="3:24">
      <c r="C281" s="942"/>
      <c r="D281" s="943"/>
      <c r="E281" s="886"/>
      <c r="F281" s="886"/>
      <c r="G281" s="886"/>
      <c r="H281" s="886"/>
      <c r="I281" s="886"/>
      <c r="J281" s="886"/>
      <c r="K281" s="886"/>
      <c r="L281" s="886"/>
      <c r="M281" s="886"/>
      <c r="N281" s="886"/>
      <c r="O281" s="886"/>
      <c r="P281" s="886"/>
      <c r="Q281" s="886"/>
      <c r="R281" s="886"/>
      <c r="S281" s="886"/>
      <c r="T281" s="886"/>
      <c r="U281" s="886"/>
      <c r="V281" s="886"/>
      <c r="W281" s="886"/>
      <c r="X281" s="886"/>
    </row>
    <row r="282" spans="3:24">
      <c r="C282" s="942"/>
      <c r="D282" s="943"/>
      <c r="E282" s="886"/>
      <c r="F282" s="886"/>
      <c r="G282" s="886"/>
      <c r="H282" s="886"/>
      <c r="I282" s="886"/>
      <c r="J282" s="886"/>
      <c r="K282" s="886"/>
      <c r="L282" s="886"/>
      <c r="M282" s="886"/>
      <c r="N282" s="886"/>
      <c r="O282" s="886"/>
      <c r="P282" s="886"/>
      <c r="Q282" s="886"/>
      <c r="R282" s="886"/>
      <c r="S282" s="886"/>
      <c r="T282" s="886"/>
      <c r="U282" s="886"/>
      <c r="V282" s="886"/>
      <c r="W282" s="886"/>
      <c r="X282" s="886"/>
    </row>
    <row r="283" spans="3:24">
      <c r="C283" s="942"/>
      <c r="D283" s="943"/>
      <c r="E283" s="886"/>
      <c r="F283" s="886"/>
      <c r="G283" s="886"/>
      <c r="H283" s="886"/>
      <c r="I283" s="886"/>
      <c r="J283" s="886"/>
      <c r="K283" s="886"/>
      <c r="L283" s="886"/>
      <c r="M283" s="886"/>
      <c r="N283" s="886"/>
      <c r="O283" s="886"/>
      <c r="P283" s="886"/>
      <c r="Q283" s="886"/>
      <c r="R283" s="886"/>
      <c r="S283" s="886"/>
      <c r="T283" s="886"/>
      <c r="U283" s="886"/>
      <c r="V283" s="886"/>
      <c r="W283" s="886"/>
      <c r="X283" s="886"/>
    </row>
    <row r="284" spans="3:24">
      <c r="C284" s="942"/>
      <c r="D284" s="943"/>
      <c r="E284" s="886"/>
      <c r="F284" s="886"/>
      <c r="G284" s="886"/>
      <c r="H284" s="886"/>
      <c r="I284" s="886"/>
      <c r="J284" s="886"/>
      <c r="K284" s="886"/>
      <c r="L284" s="886"/>
      <c r="M284" s="886"/>
      <c r="N284" s="886"/>
      <c r="O284" s="886"/>
      <c r="P284" s="886"/>
      <c r="Q284" s="886"/>
      <c r="R284" s="886"/>
      <c r="S284" s="886"/>
      <c r="T284" s="886"/>
      <c r="U284" s="886"/>
      <c r="V284" s="886"/>
      <c r="W284" s="886"/>
      <c r="X284" s="886"/>
    </row>
    <row r="285" spans="3:24">
      <c r="C285" s="942"/>
      <c r="D285" s="943"/>
      <c r="E285" s="886"/>
      <c r="F285" s="886"/>
      <c r="G285" s="886"/>
      <c r="H285" s="886"/>
      <c r="I285" s="886"/>
      <c r="J285" s="886"/>
      <c r="K285" s="886"/>
      <c r="L285" s="886"/>
      <c r="M285" s="886"/>
      <c r="N285" s="886"/>
      <c r="O285" s="886"/>
      <c r="P285" s="886"/>
      <c r="Q285" s="886"/>
      <c r="R285" s="886"/>
      <c r="S285" s="886"/>
      <c r="T285" s="886"/>
      <c r="U285" s="886"/>
      <c r="V285" s="886"/>
      <c r="W285" s="886"/>
      <c r="X285" s="886"/>
    </row>
    <row r="286" spans="3:24">
      <c r="C286" s="942"/>
      <c r="D286" s="943"/>
      <c r="E286" s="886"/>
      <c r="F286" s="886"/>
      <c r="G286" s="886"/>
      <c r="H286" s="886"/>
      <c r="I286" s="886"/>
      <c r="J286" s="886"/>
      <c r="K286" s="886"/>
      <c r="L286" s="886"/>
      <c r="M286" s="886"/>
      <c r="N286" s="886"/>
      <c r="O286" s="886"/>
      <c r="P286" s="886"/>
      <c r="Q286" s="886"/>
      <c r="R286" s="886"/>
      <c r="S286" s="886"/>
      <c r="T286" s="886"/>
      <c r="U286" s="886"/>
      <c r="V286" s="886"/>
      <c r="W286" s="886"/>
      <c r="X286" s="886"/>
    </row>
    <row r="287" spans="3:24">
      <c r="C287" s="942"/>
      <c r="D287" s="943"/>
      <c r="E287" s="886"/>
      <c r="F287" s="886"/>
      <c r="G287" s="886"/>
      <c r="H287" s="886"/>
      <c r="I287" s="886"/>
      <c r="J287" s="886"/>
      <c r="K287" s="886"/>
      <c r="L287" s="886"/>
      <c r="M287" s="886"/>
      <c r="N287" s="886"/>
      <c r="O287" s="886"/>
      <c r="P287" s="886"/>
      <c r="Q287" s="886"/>
      <c r="R287" s="886"/>
      <c r="S287" s="886"/>
      <c r="T287" s="886"/>
      <c r="U287" s="886"/>
      <c r="V287" s="886"/>
      <c r="W287" s="886"/>
      <c r="X287" s="886"/>
    </row>
    <row r="288" spans="3:24">
      <c r="C288" s="942"/>
      <c r="D288" s="943"/>
      <c r="E288" s="886"/>
      <c r="F288" s="886"/>
      <c r="G288" s="886"/>
      <c r="H288" s="886"/>
      <c r="I288" s="886"/>
      <c r="J288" s="886"/>
      <c r="K288" s="886"/>
      <c r="L288" s="886"/>
      <c r="M288" s="886"/>
      <c r="N288" s="886"/>
      <c r="O288" s="886"/>
      <c r="P288" s="886"/>
      <c r="Q288" s="886"/>
      <c r="R288" s="886"/>
      <c r="S288" s="886"/>
      <c r="T288" s="886"/>
      <c r="U288" s="886"/>
      <c r="V288" s="886"/>
      <c r="W288" s="886"/>
      <c r="X288" s="886"/>
    </row>
    <row r="289" spans="3:24">
      <c r="C289" s="942"/>
      <c r="D289" s="943"/>
      <c r="E289" s="886"/>
      <c r="F289" s="886"/>
      <c r="G289" s="886"/>
      <c r="H289" s="886"/>
      <c r="I289" s="886"/>
      <c r="J289" s="886"/>
      <c r="K289" s="886"/>
      <c r="L289" s="886"/>
      <c r="M289" s="886"/>
      <c r="N289" s="886"/>
      <c r="O289" s="886"/>
      <c r="P289" s="886"/>
      <c r="Q289" s="886"/>
      <c r="R289" s="886"/>
      <c r="S289" s="886"/>
      <c r="T289" s="886"/>
      <c r="U289" s="886"/>
      <c r="V289" s="886"/>
      <c r="W289" s="886"/>
      <c r="X289" s="886"/>
    </row>
    <row r="290" spans="3:24">
      <c r="C290" s="942"/>
      <c r="D290" s="943"/>
      <c r="E290" s="886"/>
      <c r="F290" s="886"/>
      <c r="G290" s="886"/>
      <c r="H290" s="886"/>
      <c r="I290" s="886"/>
      <c r="J290" s="886"/>
      <c r="K290" s="886"/>
      <c r="L290" s="886"/>
      <c r="M290" s="886"/>
      <c r="N290" s="886"/>
      <c r="O290" s="886"/>
      <c r="P290" s="886"/>
      <c r="Q290" s="886"/>
      <c r="R290" s="886"/>
      <c r="S290" s="886"/>
      <c r="T290" s="886"/>
      <c r="U290" s="886"/>
      <c r="V290" s="886"/>
      <c r="W290" s="886"/>
      <c r="X290" s="886"/>
    </row>
    <row r="291" spans="3:24">
      <c r="C291" s="942"/>
      <c r="D291" s="943"/>
      <c r="E291" s="886"/>
      <c r="F291" s="886"/>
      <c r="G291" s="886"/>
      <c r="H291" s="886"/>
      <c r="I291" s="886"/>
      <c r="J291" s="886"/>
      <c r="K291" s="886"/>
      <c r="L291" s="886"/>
      <c r="M291" s="886"/>
      <c r="N291" s="886"/>
      <c r="O291" s="886"/>
      <c r="P291" s="886"/>
      <c r="Q291" s="886"/>
      <c r="R291" s="886"/>
      <c r="S291" s="886"/>
      <c r="T291" s="886"/>
      <c r="U291" s="886"/>
      <c r="V291" s="886"/>
      <c r="W291" s="886"/>
      <c r="X291" s="886"/>
    </row>
    <row r="292" spans="3:24">
      <c r="C292" s="942"/>
      <c r="D292" s="943"/>
      <c r="E292" s="886"/>
      <c r="F292" s="886"/>
      <c r="G292" s="886"/>
      <c r="H292" s="886"/>
      <c r="I292" s="886"/>
      <c r="J292" s="886"/>
      <c r="K292" s="886"/>
      <c r="L292" s="886"/>
      <c r="M292" s="886"/>
      <c r="N292" s="886"/>
      <c r="O292" s="886"/>
      <c r="P292" s="886"/>
      <c r="Q292" s="886"/>
      <c r="R292" s="886"/>
      <c r="S292" s="886"/>
      <c r="T292" s="886"/>
      <c r="U292" s="886"/>
      <c r="V292" s="886"/>
      <c r="W292" s="886"/>
      <c r="X292" s="886"/>
    </row>
    <row r="293" spans="3:24">
      <c r="C293" s="942"/>
      <c r="D293" s="943"/>
      <c r="E293" s="886"/>
      <c r="F293" s="886"/>
      <c r="G293" s="886"/>
      <c r="H293" s="886"/>
      <c r="I293" s="886"/>
      <c r="J293" s="886"/>
      <c r="K293" s="886"/>
      <c r="L293" s="886"/>
      <c r="M293" s="886"/>
      <c r="N293" s="886"/>
      <c r="O293" s="886"/>
      <c r="P293" s="886"/>
      <c r="Q293" s="886"/>
      <c r="R293" s="886"/>
      <c r="S293" s="886"/>
      <c r="T293" s="886"/>
      <c r="U293" s="886"/>
      <c r="V293" s="886"/>
      <c r="W293" s="886"/>
      <c r="X293" s="886"/>
    </row>
    <row r="294" spans="3:24">
      <c r="C294" s="942"/>
      <c r="D294" s="943"/>
      <c r="E294" s="886"/>
      <c r="F294" s="886"/>
      <c r="G294" s="886"/>
      <c r="H294" s="886"/>
      <c r="I294" s="886"/>
      <c r="J294" s="886"/>
      <c r="K294" s="886"/>
      <c r="L294" s="886"/>
      <c r="M294" s="886"/>
      <c r="N294" s="886"/>
      <c r="O294" s="886"/>
      <c r="P294" s="886"/>
      <c r="Q294" s="886"/>
      <c r="R294" s="886"/>
      <c r="S294" s="886"/>
      <c r="T294" s="886"/>
      <c r="U294" s="886"/>
      <c r="V294" s="886"/>
      <c r="W294" s="886"/>
      <c r="X294" s="886"/>
    </row>
    <row r="295" spans="3:24">
      <c r="C295" s="942"/>
      <c r="D295" s="943"/>
      <c r="E295" s="886"/>
      <c r="F295" s="886"/>
      <c r="G295" s="886"/>
      <c r="H295" s="886"/>
      <c r="I295" s="886"/>
      <c r="J295" s="886"/>
      <c r="K295" s="886"/>
      <c r="L295" s="886"/>
      <c r="M295" s="886"/>
      <c r="N295" s="886"/>
      <c r="O295" s="886"/>
      <c r="P295" s="886"/>
      <c r="Q295" s="886"/>
      <c r="R295" s="886"/>
      <c r="S295" s="886"/>
      <c r="T295" s="886"/>
      <c r="U295" s="886"/>
      <c r="V295" s="886"/>
      <c r="W295" s="886"/>
      <c r="X295" s="886"/>
    </row>
    <row r="296" spans="3:24">
      <c r="C296" s="942"/>
      <c r="D296" s="943"/>
      <c r="E296" s="886"/>
      <c r="F296" s="886"/>
      <c r="G296" s="886"/>
      <c r="H296" s="886"/>
      <c r="I296" s="886"/>
      <c r="J296" s="886"/>
      <c r="K296" s="886"/>
      <c r="L296" s="886"/>
      <c r="M296" s="886"/>
      <c r="N296" s="886"/>
      <c r="O296" s="886"/>
      <c r="P296" s="886"/>
      <c r="Q296" s="886"/>
      <c r="R296" s="886"/>
      <c r="S296" s="886"/>
      <c r="T296" s="886"/>
      <c r="U296" s="886"/>
      <c r="V296" s="886"/>
      <c r="W296" s="886"/>
      <c r="X296" s="886"/>
    </row>
    <row r="297" spans="3:24">
      <c r="C297" s="942"/>
      <c r="D297" s="943"/>
      <c r="E297" s="886"/>
      <c r="F297" s="886"/>
      <c r="G297" s="886"/>
      <c r="H297" s="886"/>
      <c r="I297" s="886"/>
      <c r="J297" s="886"/>
      <c r="K297" s="886"/>
      <c r="L297" s="886"/>
      <c r="M297" s="886"/>
      <c r="N297" s="886"/>
      <c r="O297" s="886"/>
      <c r="P297" s="886"/>
      <c r="Q297" s="886"/>
      <c r="R297" s="886"/>
      <c r="S297" s="886"/>
      <c r="T297" s="886"/>
      <c r="U297" s="886"/>
      <c r="V297" s="886"/>
      <c r="W297" s="886"/>
      <c r="X297" s="886"/>
    </row>
    <row r="298" spans="3:24">
      <c r="C298" s="942"/>
      <c r="D298" s="943"/>
      <c r="E298" s="886"/>
      <c r="F298" s="886"/>
      <c r="G298" s="886"/>
      <c r="H298" s="886"/>
      <c r="I298" s="886"/>
      <c r="J298" s="886"/>
      <c r="K298" s="886"/>
      <c r="L298" s="886"/>
      <c r="M298" s="886"/>
      <c r="N298" s="886"/>
      <c r="O298" s="886"/>
      <c r="P298" s="886"/>
      <c r="Q298" s="886"/>
      <c r="R298" s="886"/>
      <c r="S298" s="886"/>
      <c r="T298" s="886"/>
      <c r="U298" s="886"/>
      <c r="V298" s="886"/>
      <c r="W298" s="886"/>
      <c r="X298" s="886"/>
    </row>
    <row r="299" spans="3:24">
      <c r="C299" s="942"/>
      <c r="D299" s="943"/>
      <c r="E299" s="886"/>
      <c r="F299" s="886"/>
      <c r="G299" s="886"/>
      <c r="H299" s="886"/>
      <c r="I299" s="886"/>
      <c r="J299" s="886"/>
      <c r="K299" s="886"/>
      <c r="L299" s="886"/>
      <c r="M299" s="886"/>
      <c r="N299" s="886"/>
      <c r="O299" s="886"/>
      <c r="P299" s="886"/>
      <c r="Q299" s="886"/>
      <c r="R299" s="886"/>
      <c r="S299" s="886"/>
      <c r="T299" s="886"/>
      <c r="U299" s="886"/>
      <c r="V299" s="886"/>
      <c r="W299" s="886"/>
      <c r="X299" s="886"/>
    </row>
    <row r="300" spans="3:24">
      <c r="C300" s="942"/>
      <c r="D300" s="943"/>
      <c r="E300" s="886"/>
      <c r="F300" s="886"/>
      <c r="G300" s="886"/>
      <c r="H300" s="886"/>
      <c r="I300" s="886"/>
      <c r="J300" s="886"/>
      <c r="K300" s="886"/>
      <c r="L300" s="886"/>
      <c r="M300" s="886"/>
      <c r="N300" s="886"/>
      <c r="O300" s="886"/>
      <c r="P300" s="886"/>
      <c r="Q300" s="886"/>
      <c r="R300" s="886"/>
      <c r="S300" s="886"/>
      <c r="T300" s="886"/>
      <c r="U300" s="886"/>
      <c r="V300" s="886"/>
      <c r="W300" s="886"/>
      <c r="X300" s="886"/>
    </row>
    <row r="301" spans="3:24">
      <c r="C301" s="942"/>
      <c r="D301" s="943"/>
      <c r="E301" s="886"/>
      <c r="F301" s="886"/>
      <c r="G301" s="886"/>
      <c r="H301" s="886"/>
      <c r="I301" s="886"/>
      <c r="J301" s="886"/>
      <c r="K301" s="886"/>
      <c r="L301" s="886"/>
      <c r="M301" s="886"/>
      <c r="N301" s="886"/>
      <c r="O301" s="886"/>
      <c r="P301" s="886"/>
      <c r="Q301" s="886"/>
      <c r="R301" s="886"/>
      <c r="S301" s="886"/>
      <c r="T301" s="886"/>
      <c r="U301" s="886"/>
      <c r="V301" s="886"/>
      <c r="W301" s="886"/>
      <c r="X301" s="886"/>
    </row>
    <row r="302" spans="3:24">
      <c r="C302" s="942"/>
      <c r="D302" s="943"/>
      <c r="E302" s="886"/>
      <c r="F302" s="886"/>
      <c r="G302" s="886"/>
      <c r="H302" s="886"/>
      <c r="I302" s="886"/>
      <c r="J302" s="886"/>
      <c r="K302" s="886"/>
      <c r="L302" s="886"/>
      <c r="M302" s="886"/>
      <c r="N302" s="886"/>
      <c r="O302" s="886"/>
      <c r="P302" s="886"/>
      <c r="Q302" s="886"/>
      <c r="R302" s="886"/>
      <c r="S302" s="886"/>
      <c r="T302" s="886"/>
      <c r="U302" s="886"/>
      <c r="V302" s="886"/>
      <c r="W302" s="886"/>
      <c r="X302" s="886"/>
    </row>
    <row r="303" spans="3:24">
      <c r="C303" s="942"/>
      <c r="D303" s="943"/>
      <c r="E303" s="886"/>
      <c r="F303" s="886"/>
      <c r="G303" s="886"/>
      <c r="H303" s="886"/>
      <c r="I303" s="886"/>
      <c r="J303" s="886"/>
      <c r="K303" s="886"/>
      <c r="L303" s="886"/>
      <c r="M303" s="886"/>
      <c r="N303" s="886"/>
      <c r="O303" s="886"/>
      <c r="P303" s="886"/>
      <c r="Q303" s="886"/>
      <c r="R303" s="886"/>
      <c r="S303" s="886"/>
      <c r="T303" s="886"/>
      <c r="U303" s="886"/>
      <c r="V303" s="886"/>
      <c r="W303" s="886"/>
      <c r="X303" s="886"/>
    </row>
    <row r="304" spans="3:24">
      <c r="C304" s="942"/>
      <c r="D304" s="943"/>
      <c r="E304" s="886"/>
      <c r="F304" s="886"/>
      <c r="G304" s="886"/>
      <c r="H304" s="886"/>
      <c r="I304" s="886"/>
      <c r="J304" s="886"/>
      <c r="K304" s="886"/>
      <c r="L304" s="886"/>
      <c r="M304" s="886"/>
      <c r="N304" s="886"/>
      <c r="O304" s="886"/>
      <c r="P304" s="886"/>
      <c r="Q304" s="886"/>
      <c r="R304" s="886"/>
      <c r="S304" s="886"/>
      <c r="T304" s="886"/>
      <c r="U304" s="886"/>
      <c r="V304" s="886"/>
      <c r="W304" s="886"/>
      <c r="X304" s="886"/>
    </row>
    <row r="305" spans="3:24">
      <c r="C305" s="942"/>
      <c r="D305" s="943"/>
      <c r="E305" s="886"/>
      <c r="F305" s="886"/>
      <c r="G305" s="886"/>
      <c r="H305" s="886"/>
      <c r="I305" s="886"/>
      <c r="J305" s="886"/>
      <c r="K305" s="886"/>
      <c r="L305" s="886"/>
      <c r="M305" s="886"/>
      <c r="N305" s="886"/>
      <c r="O305" s="886"/>
      <c r="P305" s="886"/>
      <c r="Q305" s="886"/>
      <c r="R305" s="886"/>
      <c r="S305" s="886"/>
      <c r="T305" s="886"/>
      <c r="U305" s="886"/>
      <c r="V305" s="886"/>
      <c r="W305" s="886"/>
      <c r="X305" s="886"/>
    </row>
    <row r="306" spans="3:24">
      <c r="C306" s="942"/>
      <c r="D306" s="943"/>
      <c r="E306" s="886"/>
      <c r="F306" s="886"/>
      <c r="G306" s="886"/>
      <c r="H306" s="886"/>
      <c r="I306" s="886"/>
      <c r="J306" s="886"/>
      <c r="K306" s="886"/>
      <c r="L306" s="886"/>
      <c r="M306" s="886"/>
      <c r="N306" s="886"/>
      <c r="O306" s="886"/>
      <c r="P306" s="886"/>
      <c r="Q306" s="886"/>
      <c r="R306" s="886"/>
      <c r="S306" s="886"/>
      <c r="T306" s="886"/>
      <c r="U306" s="886"/>
      <c r="V306" s="886"/>
      <c r="W306" s="886"/>
      <c r="X306" s="886"/>
    </row>
    <row r="307" spans="3:24">
      <c r="C307" s="942"/>
      <c r="D307" s="943"/>
      <c r="E307" s="886"/>
      <c r="F307" s="886"/>
      <c r="G307" s="886"/>
      <c r="H307" s="886"/>
      <c r="I307" s="886"/>
      <c r="J307" s="886"/>
      <c r="K307" s="886"/>
      <c r="L307" s="886"/>
      <c r="M307" s="886"/>
      <c r="N307" s="886"/>
      <c r="O307" s="886"/>
      <c r="P307" s="886"/>
      <c r="Q307" s="886"/>
      <c r="R307" s="886"/>
      <c r="S307" s="886"/>
      <c r="T307" s="886"/>
      <c r="U307" s="886"/>
      <c r="V307" s="886"/>
      <c r="W307" s="886"/>
      <c r="X307" s="886"/>
    </row>
    <row r="308" spans="3:24">
      <c r="C308" s="942"/>
      <c r="D308" s="943"/>
      <c r="E308" s="886"/>
      <c r="F308" s="886"/>
      <c r="G308" s="886"/>
      <c r="H308" s="886"/>
      <c r="I308" s="886"/>
      <c r="J308" s="886"/>
      <c r="K308" s="886"/>
      <c r="L308" s="886"/>
      <c r="M308" s="886"/>
      <c r="N308" s="886"/>
      <c r="O308" s="886"/>
      <c r="P308" s="886"/>
      <c r="Q308" s="886"/>
      <c r="R308" s="886"/>
      <c r="S308" s="886"/>
      <c r="T308" s="886"/>
      <c r="U308" s="886"/>
      <c r="V308" s="886"/>
      <c r="W308" s="886"/>
      <c r="X308" s="886"/>
    </row>
    <row r="309" spans="3:24">
      <c r="C309" s="942"/>
      <c r="D309" s="943"/>
      <c r="E309" s="886"/>
      <c r="F309" s="886"/>
      <c r="G309" s="886"/>
      <c r="H309" s="886"/>
      <c r="I309" s="886"/>
      <c r="J309" s="886"/>
      <c r="K309" s="886"/>
      <c r="L309" s="886"/>
      <c r="M309" s="886"/>
      <c r="N309" s="886"/>
      <c r="O309" s="886"/>
      <c r="P309" s="886"/>
      <c r="Q309" s="886"/>
      <c r="R309" s="886"/>
      <c r="S309" s="886"/>
      <c r="T309" s="886"/>
      <c r="U309" s="886"/>
      <c r="V309" s="886"/>
      <c r="W309" s="886"/>
      <c r="X309" s="886"/>
    </row>
    <row r="310" spans="3:24">
      <c r="C310" s="942"/>
      <c r="D310" s="943"/>
      <c r="E310" s="886"/>
      <c r="F310" s="886"/>
      <c r="G310" s="886"/>
      <c r="H310" s="886"/>
      <c r="I310" s="886"/>
      <c r="J310" s="886"/>
      <c r="K310" s="886"/>
      <c r="L310" s="886"/>
      <c r="M310" s="886"/>
      <c r="N310" s="886"/>
      <c r="O310" s="886"/>
      <c r="P310" s="886"/>
      <c r="Q310" s="886"/>
      <c r="R310" s="886"/>
      <c r="S310" s="886"/>
      <c r="T310" s="886"/>
      <c r="U310" s="886"/>
      <c r="V310" s="886"/>
      <c r="W310" s="886"/>
      <c r="X310" s="886"/>
    </row>
    <row r="311" spans="3:24">
      <c r="C311" s="942"/>
      <c r="D311" s="943"/>
      <c r="E311" s="886"/>
      <c r="F311" s="886"/>
      <c r="G311" s="886"/>
      <c r="H311" s="886"/>
      <c r="I311" s="886"/>
      <c r="J311" s="886"/>
      <c r="K311" s="886"/>
      <c r="L311" s="886"/>
      <c r="M311" s="886"/>
      <c r="N311" s="886"/>
      <c r="O311" s="886"/>
      <c r="P311" s="886"/>
      <c r="Q311" s="886"/>
      <c r="R311" s="886"/>
      <c r="S311" s="886"/>
      <c r="T311" s="886"/>
      <c r="U311" s="886"/>
      <c r="V311" s="886"/>
      <c r="W311" s="886"/>
      <c r="X311" s="886"/>
    </row>
    <row r="312" spans="3:24">
      <c r="C312" s="942"/>
      <c r="D312" s="943"/>
      <c r="E312" s="886"/>
      <c r="F312" s="886"/>
      <c r="G312" s="886"/>
      <c r="H312" s="886"/>
      <c r="I312" s="886"/>
      <c r="J312" s="886"/>
      <c r="K312" s="886"/>
      <c r="L312" s="886"/>
      <c r="M312" s="886"/>
      <c r="N312" s="886"/>
      <c r="O312" s="886"/>
      <c r="P312" s="886"/>
      <c r="Q312" s="886"/>
      <c r="R312" s="886"/>
      <c r="S312" s="886"/>
      <c r="T312" s="886"/>
      <c r="U312" s="886"/>
      <c r="V312" s="886"/>
      <c r="W312" s="886"/>
      <c r="X312" s="886"/>
    </row>
    <row r="313" spans="3:24">
      <c r="C313" s="942"/>
      <c r="D313" s="943"/>
      <c r="E313" s="886"/>
      <c r="F313" s="886"/>
      <c r="G313" s="886"/>
      <c r="H313" s="886"/>
      <c r="I313" s="886"/>
      <c r="J313" s="886"/>
      <c r="K313" s="886"/>
      <c r="L313" s="886"/>
      <c r="M313" s="886"/>
      <c r="N313" s="886"/>
      <c r="O313" s="886"/>
      <c r="P313" s="886"/>
      <c r="Q313" s="886"/>
      <c r="R313" s="886"/>
      <c r="S313" s="886"/>
      <c r="T313" s="886"/>
      <c r="U313" s="886"/>
      <c r="V313" s="886"/>
      <c r="W313" s="886"/>
      <c r="X313" s="886"/>
    </row>
    <row r="314" spans="3:24">
      <c r="C314" s="942"/>
      <c r="D314" s="943"/>
      <c r="E314" s="886"/>
      <c r="F314" s="886"/>
      <c r="G314" s="886"/>
      <c r="H314" s="886"/>
      <c r="I314" s="886"/>
      <c r="J314" s="886"/>
      <c r="K314" s="886"/>
      <c r="L314" s="886"/>
      <c r="M314" s="886"/>
      <c r="N314" s="886"/>
      <c r="O314" s="886"/>
      <c r="P314" s="886"/>
      <c r="Q314" s="886"/>
      <c r="R314" s="886"/>
      <c r="S314" s="886"/>
      <c r="T314" s="886"/>
      <c r="U314" s="886"/>
      <c r="V314" s="886"/>
      <c r="W314" s="886"/>
      <c r="X314" s="886"/>
    </row>
    <row r="315" spans="3:24">
      <c r="C315" s="942"/>
      <c r="D315" s="943"/>
      <c r="E315" s="886"/>
      <c r="F315" s="886"/>
      <c r="G315" s="886"/>
      <c r="H315" s="886"/>
      <c r="I315" s="886"/>
      <c r="J315" s="886"/>
      <c r="K315" s="886"/>
      <c r="L315" s="886"/>
      <c r="M315" s="886"/>
      <c r="N315" s="886"/>
      <c r="O315" s="886"/>
      <c r="P315" s="886"/>
      <c r="Q315" s="886"/>
      <c r="R315" s="886"/>
      <c r="S315" s="886"/>
      <c r="T315" s="886"/>
      <c r="U315" s="886"/>
      <c r="V315" s="886"/>
      <c r="W315" s="886"/>
      <c r="X315" s="886"/>
    </row>
    <row r="316" spans="3:24">
      <c r="C316" s="942"/>
      <c r="D316" s="943"/>
      <c r="E316" s="886"/>
      <c r="F316" s="886"/>
      <c r="G316" s="886"/>
      <c r="H316" s="886"/>
      <c r="I316" s="886"/>
      <c r="J316" s="886"/>
      <c r="K316" s="886"/>
      <c r="L316" s="886"/>
      <c r="M316" s="886"/>
      <c r="N316" s="886"/>
      <c r="O316" s="886"/>
      <c r="P316" s="886"/>
      <c r="Q316" s="886"/>
      <c r="R316" s="886"/>
      <c r="S316" s="886"/>
      <c r="T316" s="886"/>
      <c r="U316" s="886"/>
      <c r="V316" s="886"/>
      <c r="W316" s="886"/>
      <c r="X316" s="886"/>
    </row>
    <row r="317" spans="3:24">
      <c r="C317" s="942"/>
      <c r="D317" s="943"/>
      <c r="E317" s="886"/>
      <c r="F317" s="886"/>
      <c r="G317" s="886"/>
      <c r="H317" s="886"/>
      <c r="I317" s="886"/>
      <c r="J317" s="886"/>
      <c r="K317" s="886"/>
      <c r="L317" s="886"/>
      <c r="M317" s="886"/>
      <c r="N317" s="886"/>
      <c r="O317" s="886"/>
      <c r="P317" s="886"/>
      <c r="Q317" s="886"/>
      <c r="R317" s="886"/>
      <c r="S317" s="886"/>
      <c r="T317" s="886"/>
      <c r="U317" s="886"/>
      <c r="V317" s="886"/>
      <c r="W317" s="886"/>
      <c r="X317" s="886"/>
    </row>
    <row r="318" spans="3:24">
      <c r="C318" s="942"/>
      <c r="D318" s="943"/>
      <c r="E318" s="886"/>
      <c r="F318" s="886"/>
      <c r="G318" s="886"/>
      <c r="H318" s="886"/>
      <c r="I318" s="886"/>
      <c r="J318" s="886"/>
      <c r="K318" s="886"/>
      <c r="L318" s="886"/>
      <c r="M318" s="886"/>
      <c r="N318" s="886"/>
      <c r="O318" s="886"/>
      <c r="P318" s="886"/>
      <c r="Q318" s="886"/>
      <c r="R318" s="886"/>
      <c r="S318" s="886"/>
      <c r="T318" s="886"/>
      <c r="U318" s="886"/>
      <c r="V318" s="886"/>
      <c r="W318" s="886"/>
      <c r="X318" s="886"/>
    </row>
    <row r="319" spans="3:24">
      <c r="C319" s="942"/>
      <c r="D319" s="943"/>
      <c r="E319" s="886"/>
      <c r="F319" s="886"/>
      <c r="G319" s="886"/>
      <c r="H319" s="886"/>
      <c r="I319" s="886"/>
      <c r="J319" s="886"/>
      <c r="K319" s="886"/>
      <c r="L319" s="886"/>
      <c r="M319" s="886"/>
      <c r="N319" s="886"/>
      <c r="O319" s="886"/>
      <c r="P319" s="886"/>
      <c r="Q319" s="886"/>
      <c r="R319" s="886"/>
      <c r="S319" s="886"/>
      <c r="T319" s="886"/>
      <c r="U319" s="886"/>
      <c r="V319" s="886"/>
      <c r="W319" s="886"/>
      <c r="X319" s="886"/>
    </row>
    <row r="320" spans="3:24">
      <c r="C320" s="942"/>
      <c r="D320" s="943"/>
      <c r="E320" s="886"/>
      <c r="F320" s="886"/>
      <c r="G320" s="886"/>
      <c r="H320" s="886"/>
      <c r="I320" s="886"/>
      <c r="J320" s="886"/>
      <c r="K320" s="886"/>
      <c r="L320" s="886"/>
      <c r="M320" s="886"/>
      <c r="N320" s="886"/>
      <c r="O320" s="886"/>
      <c r="P320" s="886"/>
      <c r="Q320" s="886"/>
      <c r="R320" s="886"/>
      <c r="S320" s="886"/>
      <c r="T320" s="886"/>
      <c r="U320" s="886"/>
      <c r="V320" s="886"/>
      <c r="W320" s="886"/>
      <c r="X320" s="886"/>
    </row>
    <row r="321" spans="3:24">
      <c r="C321" s="942"/>
      <c r="D321" s="943"/>
      <c r="E321" s="886"/>
      <c r="F321" s="886"/>
      <c r="G321" s="886"/>
      <c r="H321" s="886"/>
      <c r="I321" s="886"/>
      <c r="J321" s="886"/>
      <c r="K321" s="886"/>
      <c r="L321" s="886"/>
      <c r="M321" s="886"/>
      <c r="N321" s="886"/>
      <c r="O321" s="886"/>
      <c r="P321" s="886"/>
      <c r="Q321" s="886"/>
      <c r="R321" s="886"/>
      <c r="S321" s="886"/>
      <c r="T321" s="886"/>
      <c r="U321" s="886"/>
      <c r="V321" s="886"/>
      <c r="W321" s="886"/>
      <c r="X321" s="886"/>
    </row>
    <row r="322" spans="3:24">
      <c r="C322" s="942"/>
      <c r="D322" s="943"/>
      <c r="E322" s="886"/>
      <c r="F322" s="886"/>
      <c r="G322" s="886"/>
      <c r="H322" s="886"/>
      <c r="I322" s="886"/>
      <c r="J322" s="886"/>
      <c r="K322" s="886"/>
      <c r="L322" s="886"/>
      <c r="M322" s="886"/>
      <c r="N322" s="886"/>
      <c r="O322" s="886"/>
      <c r="P322" s="886"/>
      <c r="Q322" s="886"/>
      <c r="R322" s="886"/>
      <c r="S322" s="886"/>
      <c r="T322" s="886"/>
      <c r="U322" s="886"/>
      <c r="V322" s="886"/>
      <c r="W322" s="886"/>
      <c r="X322" s="886"/>
    </row>
    <row r="323" spans="3:24">
      <c r="C323" s="942"/>
      <c r="D323" s="943"/>
      <c r="E323" s="886"/>
      <c r="F323" s="886"/>
      <c r="G323" s="886"/>
      <c r="H323" s="886"/>
      <c r="I323" s="886"/>
      <c r="J323" s="886"/>
      <c r="K323" s="886"/>
      <c r="L323" s="886"/>
      <c r="M323" s="886"/>
      <c r="N323" s="886"/>
      <c r="O323" s="886"/>
      <c r="P323" s="886"/>
      <c r="Q323" s="886"/>
      <c r="R323" s="886"/>
      <c r="S323" s="886"/>
      <c r="T323" s="886"/>
      <c r="U323" s="886"/>
      <c r="V323" s="886"/>
      <c r="W323" s="886"/>
      <c r="X323" s="886"/>
    </row>
    <row r="324" spans="3:24">
      <c r="C324" s="942"/>
      <c r="D324" s="943"/>
      <c r="E324" s="886"/>
      <c r="F324" s="886"/>
      <c r="G324" s="886"/>
      <c r="H324" s="886"/>
      <c r="I324" s="886"/>
      <c r="J324" s="886"/>
      <c r="K324" s="886"/>
      <c r="L324" s="886"/>
      <c r="M324" s="886"/>
      <c r="N324" s="886"/>
      <c r="O324" s="886"/>
      <c r="P324" s="886"/>
      <c r="Q324" s="886"/>
      <c r="R324" s="886"/>
      <c r="S324" s="886"/>
      <c r="T324" s="886"/>
      <c r="U324" s="886"/>
      <c r="V324" s="886"/>
      <c r="W324" s="886"/>
      <c r="X324" s="886"/>
    </row>
    <row r="325" spans="3:24">
      <c r="C325" s="942"/>
      <c r="D325" s="943"/>
      <c r="E325" s="886"/>
      <c r="F325" s="886"/>
      <c r="G325" s="886"/>
      <c r="H325" s="886"/>
      <c r="I325" s="886"/>
      <c r="J325" s="886"/>
      <c r="K325" s="886"/>
      <c r="L325" s="886"/>
      <c r="M325" s="886"/>
      <c r="N325" s="886"/>
      <c r="O325" s="886"/>
      <c r="P325" s="886"/>
      <c r="Q325" s="886"/>
      <c r="R325" s="886"/>
      <c r="S325" s="886"/>
      <c r="T325" s="886"/>
      <c r="U325" s="886"/>
      <c r="V325" s="886"/>
      <c r="W325" s="886"/>
      <c r="X325" s="886"/>
    </row>
    <row r="326" spans="3:24">
      <c r="C326" s="942"/>
      <c r="D326" s="943"/>
      <c r="E326" s="886"/>
      <c r="F326" s="886"/>
      <c r="G326" s="886"/>
      <c r="H326" s="886"/>
      <c r="I326" s="886"/>
      <c r="J326" s="886"/>
      <c r="K326" s="886"/>
      <c r="L326" s="886"/>
      <c r="M326" s="886"/>
      <c r="N326" s="886"/>
      <c r="O326" s="886"/>
      <c r="P326" s="886"/>
      <c r="Q326" s="886"/>
      <c r="R326" s="886"/>
      <c r="S326" s="886"/>
      <c r="T326" s="886"/>
      <c r="U326" s="886"/>
      <c r="V326" s="886"/>
      <c r="W326" s="886"/>
      <c r="X326" s="886"/>
    </row>
    <row r="327" spans="3:24">
      <c r="C327" s="942"/>
      <c r="D327" s="943"/>
      <c r="E327" s="886"/>
      <c r="F327" s="886"/>
      <c r="G327" s="886"/>
      <c r="H327" s="886"/>
      <c r="I327" s="886"/>
      <c r="J327" s="886"/>
      <c r="K327" s="886"/>
      <c r="L327" s="886"/>
      <c r="M327" s="886"/>
      <c r="N327" s="886"/>
      <c r="O327" s="886"/>
      <c r="P327" s="886"/>
      <c r="Q327" s="886"/>
      <c r="R327" s="886"/>
      <c r="S327" s="886"/>
      <c r="T327" s="886"/>
      <c r="U327" s="886"/>
      <c r="V327" s="886"/>
      <c r="W327" s="886"/>
      <c r="X327" s="886"/>
    </row>
    <row r="328" spans="3:24">
      <c r="C328" s="942"/>
      <c r="D328" s="943"/>
      <c r="E328" s="886"/>
      <c r="F328" s="886"/>
      <c r="G328" s="886"/>
      <c r="H328" s="886"/>
      <c r="I328" s="886"/>
      <c r="J328" s="886"/>
      <c r="K328" s="886"/>
      <c r="L328" s="886"/>
      <c r="M328" s="886"/>
      <c r="N328" s="886"/>
      <c r="O328" s="886"/>
      <c r="P328" s="886"/>
      <c r="Q328" s="886"/>
      <c r="R328" s="886"/>
      <c r="S328" s="886"/>
      <c r="T328" s="886"/>
      <c r="U328" s="886"/>
      <c r="V328" s="886"/>
      <c r="W328" s="886"/>
      <c r="X328" s="886"/>
    </row>
    <row r="329" spans="3:24">
      <c r="C329" s="942"/>
      <c r="D329" s="943"/>
      <c r="E329" s="886"/>
      <c r="F329" s="886"/>
      <c r="G329" s="886"/>
      <c r="H329" s="886"/>
      <c r="I329" s="886"/>
      <c r="J329" s="886"/>
      <c r="K329" s="886"/>
      <c r="L329" s="886"/>
      <c r="M329" s="886"/>
      <c r="N329" s="886"/>
      <c r="O329" s="886"/>
      <c r="P329" s="886"/>
      <c r="Q329" s="886"/>
      <c r="R329" s="886"/>
      <c r="S329" s="886"/>
      <c r="T329" s="886"/>
      <c r="U329" s="886"/>
      <c r="V329" s="886"/>
      <c r="W329" s="886"/>
      <c r="X329" s="886"/>
    </row>
    <row r="330" spans="3:24">
      <c r="C330" s="942"/>
      <c r="D330" s="943"/>
      <c r="E330" s="886"/>
      <c r="F330" s="886"/>
      <c r="G330" s="886"/>
      <c r="H330" s="886"/>
      <c r="I330" s="886"/>
      <c r="J330" s="886"/>
      <c r="K330" s="886"/>
      <c r="L330" s="886"/>
      <c r="M330" s="886"/>
      <c r="N330" s="886"/>
      <c r="O330" s="886"/>
      <c r="P330" s="886"/>
      <c r="Q330" s="886"/>
      <c r="R330" s="886"/>
      <c r="S330" s="886"/>
      <c r="T330" s="886"/>
      <c r="U330" s="886"/>
      <c r="V330" s="886"/>
      <c r="W330" s="886"/>
      <c r="X330" s="886"/>
    </row>
    <row r="331" spans="3:24">
      <c r="C331" s="942"/>
      <c r="D331" s="943"/>
      <c r="E331" s="886"/>
      <c r="F331" s="886"/>
      <c r="G331" s="886"/>
      <c r="H331" s="886"/>
      <c r="I331" s="886"/>
      <c r="J331" s="886"/>
      <c r="K331" s="886"/>
      <c r="L331" s="886"/>
      <c r="M331" s="886"/>
      <c r="N331" s="886"/>
      <c r="O331" s="886"/>
      <c r="P331" s="886"/>
      <c r="Q331" s="886"/>
      <c r="R331" s="886"/>
      <c r="S331" s="886"/>
      <c r="T331" s="886"/>
      <c r="U331" s="886"/>
      <c r="V331" s="886"/>
      <c r="W331" s="886"/>
      <c r="X331" s="886"/>
    </row>
    <row r="332" spans="3:24">
      <c r="C332" s="942"/>
      <c r="D332" s="943"/>
      <c r="E332" s="886"/>
      <c r="F332" s="886"/>
      <c r="G332" s="886"/>
      <c r="H332" s="886"/>
      <c r="I332" s="886"/>
      <c r="J332" s="886"/>
      <c r="K332" s="886"/>
      <c r="L332" s="886"/>
      <c r="M332" s="886"/>
      <c r="N332" s="886"/>
      <c r="O332" s="886"/>
      <c r="P332" s="886"/>
      <c r="Q332" s="886"/>
      <c r="R332" s="886"/>
      <c r="S332" s="886"/>
      <c r="T332" s="886"/>
      <c r="U332" s="886"/>
      <c r="V332" s="886"/>
      <c r="W332" s="886"/>
      <c r="X332" s="886"/>
    </row>
    <row r="333" spans="3:24">
      <c r="C333" s="942"/>
      <c r="D333" s="943"/>
      <c r="E333" s="886"/>
      <c r="F333" s="886"/>
      <c r="G333" s="886"/>
      <c r="H333" s="886"/>
      <c r="I333" s="886"/>
      <c r="J333" s="886"/>
      <c r="K333" s="886"/>
      <c r="L333" s="886"/>
      <c r="M333" s="886"/>
      <c r="N333" s="886"/>
      <c r="O333" s="886"/>
      <c r="P333" s="886"/>
      <c r="Q333" s="886"/>
      <c r="R333" s="886"/>
      <c r="S333" s="886"/>
      <c r="T333" s="886"/>
      <c r="U333" s="886"/>
      <c r="V333" s="886"/>
      <c r="W333" s="886"/>
      <c r="X333" s="886"/>
    </row>
    <row r="334" spans="3:24">
      <c r="C334" s="942"/>
      <c r="D334" s="943"/>
      <c r="E334" s="886"/>
      <c r="F334" s="886"/>
      <c r="G334" s="886"/>
      <c r="H334" s="886"/>
      <c r="I334" s="886"/>
      <c r="J334" s="886"/>
      <c r="K334" s="886"/>
      <c r="L334" s="886"/>
      <c r="M334" s="886"/>
      <c r="N334" s="886"/>
      <c r="O334" s="886"/>
      <c r="P334" s="886"/>
      <c r="Q334" s="886"/>
      <c r="R334" s="886"/>
      <c r="S334" s="886"/>
      <c r="T334" s="886"/>
      <c r="U334" s="886"/>
      <c r="V334" s="886"/>
      <c r="W334" s="886"/>
      <c r="X334" s="886"/>
    </row>
    <row r="335" spans="3:24">
      <c r="C335" s="942"/>
      <c r="D335" s="943"/>
      <c r="E335" s="886"/>
      <c r="F335" s="886"/>
      <c r="G335" s="886"/>
      <c r="H335" s="886"/>
      <c r="I335" s="886"/>
      <c r="J335" s="886"/>
      <c r="K335" s="886"/>
      <c r="L335" s="886"/>
      <c r="M335" s="886"/>
      <c r="N335" s="886"/>
      <c r="O335" s="886"/>
      <c r="P335" s="886"/>
      <c r="Q335" s="886"/>
      <c r="R335" s="886"/>
      <c r="S335" s="886"/>
      <c r="T335" s="886"/>
      <c r="U335" s="886"/>
      <c r="V335" s="886"/>
      <c r="W335" s="886"/>
      <c r="X335" s="886"/>
    </row>
    <row r="336" spans="3:24">
      <c r="C336" s="942"/>
      <c r="D336" s="943"/>
      <c r="E336" s="886"/>
      <c r="F336" s="886"/>
      <c r="G336" s="886"/>
      <c r="H336" s="886"/>
      <c r="I336" s="886"/>
      <c r="J336" s="886"/>
      <c r="K336" s="886"/>
      <c r="L336" s="886"/>
      <c r="M336" s="886"/>
      <c r="N336" s="886"/>
      <c r="O336" s="886"/>
      <c r="P336" s="886"/>
      <c r="Q336" s="886"/>
      <c r="R336" s="886"/>
      <c r="S336" s="886"/>
      <c r="T336" s="886"/>
      <c r="U336" s="886"/>
      <c r="V336" s="886"/>
      <c r="W336" s="886"/>
      <c r="X336" s="886"/>
    </row>
    <row r="337" spans="3:24">
      <c r="C337" s="942"/>
      <c r="D337" s="943"/>
      <c r="E337" s="886"/>
      <c r="F337" s="886"/>
      <c r="G337" s="886"/>
      <c r="H337" s="886"/>
      <c r="I337" s="886"/>
      <c r="J337" s="886"/>
      <c r="K337" s="886"/>
      <c r="L337" s="886"/>
      <c r="M337" s="886"/>
      <c r="N337" s="886"/>
      <c r="O337" s="886"/>
      <c r="P337" s="886"/>
      <c r="Q337" s="886"/>
      <c r="R337" s="886"/>
      <c r="S337" s="886"/>
      <c r="T337" s="886"/>
      <c r="U337" s="886"/>
      <c r="V337" s="886"/>
      <c r="W337" s="886"/>
      <c r="X337" s="886"/>
    </row>
    <row r="338" spans="3:24">
      <c r="C338" s="942"/>
      <c r="D338" s="943"/>
      <c r="E338" s="886"/>
      <c r="F338" s="886"/>
      <c r="G338" s="886"/>
      <c r="H338" s="886"/>
      <c r="I338" s="886"/>
      <c r="J338" s="886"/>
      <c r="K338" s="886"/>
      <c r="L338" s="886"/>
      <c r="M338" s="886"/>
      <c r="N338" s="886"/>
      <c r="O338" s="886"/>
      <c r="P338" s="886"/>
      <c r="Q338" s="886"/>
      <c r="R338" s="886"/>
      <c r="S338" s="886"/>
      <c r="T338" s="886"/>
      <c r="U338" s="886"/>
      <c r="V338" s="886"/>
      <c r="W338" s="886"/>
      <c r="X338" s="886"/>
    </row>
    <row r="339" spans="3:24">
      <c r="C339" s="942"/>
      <c r="D339" s="943"/>
      <c r="E339" s="886"/>
      <c r="F339" s="886"/>
      <c r="G339" s="886"/>
      <c r="H339" s="886"/>
      <c r="I339" s="886"/>
      <c r="J339" s="886"/>
      <c r="K339" s="886"/>
      <c r="L339" s="886"/>
      <c r="M339" s="886"/>
      <c r="N339" s="886"/>
      <c r="O339" s="886"/>
      <c r="P339" s="886"/>
      <c r="Q339" s="886"/>
      <c r="R339" s="886"/>
      <c r="S339" s="886"/>
      <c r="T339" s="886"/>
      <c r="U339" s="886"/>
      <c r="V339" s="886"/>
      <c r="W339" s="886"/>
      <c r="X339" s="886"/>
    </row>
    <row r="340" spans="3:24">
      <c r="C340" s="942"/>
      <c r="D340" s="943"/>
      <c r="E340" s="886"/>
      <c r="F340" s="886"/>
      <c r="G340" s="886"/>
      <c r="H340" s="886"/>
      <c r="I340" s="886"/>
      <c r="J340" s="886"/>
      <c r="K340" s="886"/>
      <c r="L340" s="886"/>
      <c r="M340" s="886"/>
      <c r="N340" s="886"/>
      <c r="O340" s="886"/>
      <c r="P340" s="886"/>
      <c r="Q340" s="886"/>
      <c r="R340" s="886"/>
      <c r="S340" s="886"/>
      <c r="T340" s="886"/>
      <c r="U340" s="886"/>
      <c r="V340" s="886"/>
      <c r="W340" s="886"/>
      <c r="X340" s="886"/>
    </row>
    <row r="341" spans="3:24">
      <c r="C341" s="942"/>
      <c r="D341" s="943"/>
      <c r="E341" s="886"/>
      <c r="F341" s="886"/>
      <c r="G341" s="886"/>
      <c r="H341" s="886"/>
      <c r="I341" s="886"/>
      <c r="J341" s="886"/>
      <c r="K341" s="886"/>
      <c r="L341" s="886"/>
      <c r="M341" s="886"/>
      <c r="N341" s="886"/>
      <c r="O341" s="886"/>
      <c r="P341" s="886"/>
      <c r="Q341" s="886"/>
      <c r="R341" s="886"/>
      <c r="S341" s="886"/>
      <c r="T341" s="886"/>
      <c r="U341" s="886"/>
      <c r="V341" s="886"/>
      <c r="W341" s="886"/>
      <c r="X341" s="886"/>
    </row>
    <row r="342" spans="3:24">
      <c r="C342" s="942"/>
      <c r="D342" s="943"/>
      <c r="E342" s="886"/>
      <c r="F342" s="886"/>
      <c r="G342" s="886"/>
      <c r="H342" s="886"/>
      <c r="I342" s="886"/>
      <c r="J342" s="886"/>
      <c r="K342" s="886"/>
      <c r="L342" s="886"/>
      <c r="M342" s="886"/>
      <c r="N342" s="886"/>
      <c r="O342" s="886"/>
      <c r="P342" s="886"/>
      <c r="Q342" s="886"/>
      <c r="R342" s="886"/>
      <c r="S342" s="886"/>
      <c r="T342" s="886"/>
      <c r="U342" s="886"/>
      <c r="V342" s="886"/>
      <c r="W342" s="886"/>
      <c r="X342" s="886"/>
    </row>
    <row r="343" spans="3:24">
      <c r="C343" s="942"/>
      <c r="D343" s="943"/>
      <c r="E343" s="886"/>
      <c r="F343" s="886"/>
      <c r="G343" s="886"/>
      <c r="H343" s="886"/>
      <c r="I343" s="886"/>
      <c r="J343" s="886"/>
      <c r="K343" s="886"/>
      <c r="L343" s="886"/>
      <c r="M343" s="886"/>
      <c r="N343" s="886"/>
      <c r="O343" s="886"/>
      <c r="P343" s="886"/>
      <c r="Q343" s="886"/>
      <c r="R343" s="886"/>
      <c r="S343" s="886"/>
      <c r="T343" s="886"/>
      <c r="U343" s="886"/>
      <c r="V343" s="886"/>
      <c r="W343" s="886"/>
      <c r="X343" s="886"/>
    </row>
    <row r="344" spans="3:24">
      <c r="C344" s="942"/>
      <c r="D344" s="943"/>
      <c r="E344" s="886"/>
      <c r="F344" s="886"/>
      <c r="G344" s="886"/>
      <c r="H344" s="886"/>
      <c r="I344" s="886"/>
      <c r="J344" s="886"/>
      <c r="K344" s="886"/>
      <c r="L344" s="886"/>
      <c r="M344" s="886"/>
      <c r="N344" s="886"/>
      <c r="O344" s="886"/>
      <c r="P344" s="886"/>
      <c r="Q344" s="886"/>
      <c r="R344" s="886"/>
      <c r="S344" s="886"/>
      <c r="T344" s="886"/>
      <c r="U344" s="886"/>
      <c r="V344" s="886"/>
      <c r="W344" s="886"/>
      <c r="X344" s="886"/>
    </row>
    <row r="345" spans="3:24">
      <c r="C345" s="942"/>
      <c r="D345" s="943"/>
      <c r="E345" s="886"/>
      <c r="F345" s="886"/>
      <c r="G345" s="886"/>
      <c r="H345" s="886"/>
      <c r="I345" s="886"/>
      <c r="J345" s="886"/>
      <c r="K345" s="886"/>
      <c r="L345" s="886"/>
      <c r="M345" s="886"/>
      <c r="N345" s="886"/>
      <c r="O345" s="886"/>
      <c r="P345" s="886"/>
      <c r="Q345" s="886"/>
      <c r="R345" s="886"/>
      <c r="S345" s="886"/>
      <c r="T345" s="886"/>
      <c r="U345" s="886"/>
      <c r="V345" s="886"/>
      <c r="W345" s="886"/>
      <c r="X345" s="886"/>
    </row>
    <row r="346" spans="3:24">
      <c r="C346" s="942"/>
      <c r="D346" s="943"/>
      <c r="E346" s="886"/>
      <c r="F346" s="886"/>
      <c r="G346" s="886"/>
      <c r="H346" s="886"/>
      <c r="I346" s="886"/>
      <c r="J346" s="886"/>
      <c r="K346" s="886"/>
      <c r="L346" s="886"/>
      <c r="M346" s="886"/>
      <c r="N346" s="886"/>
      <c r="O346" s="886"/>
      <c r="P346" s="886"/>
      <c r="Q346" s="886"/>
      <c r="R346" s="886"/>
      <c r="S346" s="886"/>
      <c r="T346" s="886"/>
      <c r="U346" s="886"/>
      <c r="V346" s="886"/>
      <c r="W346" s="886"/>
      <c r="X346" s="886"/>
    </row>
    <row r="347" spans="3:24">
      <c r="C347" s="942"/>
      <c r="D347" s="943"/>
      <c r="E347" s="886"/>
      <c r="F347" s="886"/>
      <c r="G347" s="886"/>
      <c r="H347" s="886"/>
      <c r="I347" s="886"/>
      <c r="J347" s="886"/>
      <c r="K347" s="886"/>
      <c r="L347" s="886"/>
      <c r="M347" s="886"/>
      <c r="N347" s="886"/>
      <c r="O347" s="886"/>
      <c r="P347" s="886"/>
      <c r="Q347" s="886"/>
      <c r="R347" s="886"/>
      <c r="S347" s="886"/>
      <c r="T347" s="886"/>
      <c r="U347" s="886"/>
      <c r="V347" s="886"/>
      <c r="W347" s="886"/>
      <c r="X347" s="886"/>
    </row>
    <row r="348" spans="3:24">
      <c r="C348" s="942"/>
      <c r="D348" s="943"/>
      <c r="E348" s="886"/>
      <c r="F348" s="886"/>
      <c r="G348" s="886"/>
      <c r="H348" s="886"/>
      <c r="I348" s="886"/>
      <c r="J348" s="886"/>
      <c r="K348" s="886"/>
      <c r="L348" s="886"/>
      <c r="M348" s="886"/>
      <c r="N348" s="886"/>
      <c r="O348" s="886"/>
      <c r="P348" s="886"/>
      <c r="Q348" s="886"/>
      <c r="R348" s="886"/>
      <c r="S348" s="886"/>
      <c r="T348" s="886"/>
      <c r="U348" s="886"/>
      <c r="V348" s="886"/>
      <c r="W348" s="886"/>
      <c r="X348" s="886"/>
    </row>
    <row r="349" spans="3:24">
      <c r="C349" s="942"/>
      <c r="D349" s="943"/>
      <c r="E349" s="886"/>
      <c r="F349" s="886"/>
      <c r="G349" s="886"/>
      <c r="H349" s="886"/>
      <c r="I349" s="886"/>
      <c r="J349" s="886"/>
      <c r="K349" s="886"/>
      <c r="L349" s="886"/>
      <c r="M349" s="886"/>
      <c r="N349" s="886"/>
      <c r="O349" s="886"/>
      <c r="P349" s="886"/>
      <c r="Q349" s="886"/>
      <c r="R349" s="886"/>
      <c r="S349" s="886"/>
      <c r="T349" s="886"/>
      <c r="U349" s="886"/>
      <c r="V349" s="886"/>
      <c r="W349" s="886"/>
      <c r="X349" s="886"/>
    </row>
    <row r="350" spans="3:24">
      <c r="C350" s="942"/>
      <c r="D350" s="943"/>
      <c r="E350" s="886"/>
      <c r="F350" s="886"/>
      <c r="G350" s="886"/>
      <c r="H350" s="886"/>
      <c r="I350" s="886"/>
      <c r="J350" s="886"/>
      <c r="K350" s="886"/>
      <c r="L350" s="886"/>
      <c r="M350" s="886"/>
      <c r="N350" s="886"/>
      <c r="O350" s="886"/>
      <c r="P350" s="886"/>
      <c r="Q350" s="886"/>
      <c r="R350" s="886"/>
      <c r="S350" s="886"/>
      <c r="T350" s="886"/>
      <c r="U350" s="886"/>
      <c r="V350" s="886"/>
      <c r="W350" s="886"/>
      <c r="X350" s="886"/>
    </row>
    <row r="351" spans="3:24">
      <c r="C351" s="942"/>
      <c r="D351" s="943"/>
      <c r="E351" s="886"/>
      <c r="F351" s="886"/>
      <c r="G351" s="886"/>
      <c r="H351" s="886"/>
      <c r="I351" s="886"/>
      <c r="J351" s="886"/>
      <c r="K351" s="886"/>
      <c r="L351" s="886"/>
      <c r="M351" s="886"/>
      <c r="N351" s="886"/>
      <c r="O351" s="886"/>
      <c r="P351" s="886"/>
      <c r="Q351" s="886"/>
      <c r="R351" s="886"/>
      <c r="S351" s="886"/>
      <c r="T351" s="886"/>
      <c r="U351" s="886"/>
      <c r="V351" s="886"/>
      <c r="W351" s="886"/>
      <c r="X351" s="886"/>
    </row>
    <row r="352" spans="3:24">
      <c r="C352" s="942"/>
      <c r="D352" s="943"/>
      <c r="E352" s="886"/>
      <c r="F352" s="886"/>
      <c r="G352" s="886"/>
      <c r="H352" s="886"/>
      <c r="I352" s="886"/>
      <c r="J352" s="886"/>
      <c r="K352" s="886"/>
      <c r="L352" s="886"/>
      <c r="M352" s="886"/>
      <c r="N352" s="886"/>
      <c r="O352" s="886"/>
      <c r="P352" s="886"/>
      <c r="Q352" s="886"/>
      <c r="R352" s="886"/>
      <c r="S352" s="886"/>
      <c r="T352" s="886"/>
      <c r="U352" s="886"/>
      <c r="V352" s="886"/>
      <c r="W352" s="886"/>
      <c r="X352" s="886"/>
    </row>
    <row r="353" spans="3:24">
      <c r="C353" s="942"/>
      <c r="D353" s="943"/>
      <c r="E353" s="886"/>
      <c r="F353" s="886"/>
      <c r="G353" s="886"/>
      <c r="H353" s="886"/>
      <c r="I353" s="886"/>
      <c r="J353" s="886"/>
      <c r="K353" s="886"/>
      <c r="L353" s="886"/>
      <c r="M353" s="886"/>
      <c r="N353" s="886"/>
      <c r="O353" s="886"/>
      <c r="P353" s="886"/>
      <c r="Q353" s="886"/>
      <c r="R353" s="886"/>
      <c r="S353" s="886"/>
      <c r="T353" s="886"/>
      <c r="U353" s="886"/>
      <c r="V353" s="886"/>
      <c r="W353" s="886"/>
      <c r="X353" s="886"/>
    </row>
    <row r="354" spans="3:24">
      <c r="C354" s="942"/>
      <c r="D354" s="943"/>
      <c r="E354" s="886"/>
      <c r="F354" s="886"/>
      <c r="G354" s="886"/>
      <c r="H354" s="886"/>
      <c r="I354" s="886"/>
      <c r="J354" s="886"/>
      <c r="K354" s="886"/>
      <c r="L354" s="886"/>
      <c r="M354" s="886"/>
      <c r="N354" s="886"/>
      <c r="O354" s="886"/>
      <c r="P354" s="886"/>
      <c r="Q354" s="886"/>
      <c r="R354" s="886"/>
      <c r="S354" s="886"/>
      <c r="T354" s="886"/>
      <c r="U354" s="886"/>
      <c r="V354" s="886"/>
      <c r="W354" s="886"/>
      <c r="X354" s="886"/>
    </row>
    <row r="355" spans="3:24">
      <c r="C355" s="942"/>
      <c r="D355" s="943"/>
      <c r="E355" s="886"/>
      <c r="F355" s="886"/>
      <c r="G355" s="886"/>
      <c r="H355" s="886"/>
      <c r="I355" s="886"/>
      <c r="J355" s="886"/>
      <c r="K355" s="886"/>
      <c r="L355" s="886"/>
      <c r="M355" s="886"/>
      <c r="N355" s="886"/>
      <c r="O355" s="886"/>
      <c r="P355" s="886"/>
      <c r="Q355" s="886"/>
      <c r="R355" s="886"/>
      <c r="S355" s="886"/>
      <c r="T355" s="886"/>
      <c r="U355" s="886"/>
      <c r="V355" s="886"/>
      <c r="W355" s="886"/>
      <c r="X355" s="886"/>
    </row>
    <row r="356" spans="3:24">
      <c r="C356" s="942"/>
      <c r="D356" s="943"/>
      <c r="E356" s="886"/>
      <c r="F356" s="886"/>
      <c r="G356" s="886"/>
      <c r="H356" s="886"/>
      <c r="I356" s="886"/>
      <c r="J356" s="886"/>
      <c r="K356" s="886"/>
      <c r="L356" s="886"/>
      <c r="M356" s="886"/>
      <c r="N356" s="886"/>
      <c r="O356" s="886"/>
      <c r="P356" s="886"/>
      <c r="Q356" s="886"/>
      <c r="R356" s="886"/>
      <c r="S356" s="886"/>
      <c r="T356" s="886"/>
      <c r="U356" s="886"/>
      <c r="V356" s="886"/>
      <c r="W356" s="886"/>
      <c r="X356" s="886"/>
    </row>
    <row r="357" spans="3:24">
      <c r="C357" s="942"/>
      <c r="D357" s="943"/>
      <c r="E357" s="886"/>
      <c r="F357" s="886"/>
      <c r="G357" s="886"/>
      <c r="H357" s="886"/>
      <c r="I357" s="886"/>
      <c r="J357" s="886"/>
      <c r="K357" s="886"/>
      <c r="L357" s="886"/>
      <c r="M357" s="886"/>
      <c r="N357" s="886"/>
      <c r="O357" s="886"/>
      <c r="P357" s="886"/>
      <c r="Q357" s="886"/>
      <c r="R357" s="886"/>
      <c r="S357" s="886"/>
      <c r="T357" s="886"/>
      <c r="U357" s="886"/>
      <c r="V357" s="886"/>
      <c r="W357" s="886"/>
      <c r="X357" s="886"/>
    </row>
    <row r="358" spans="3:24">
      <c r="C358" s="942"/>
      <c r="D358" s="943"/>
      <c r="E358" s="886"/>
      <c r="F358" s="886"/>
      <c r="G358" s="886"/>
      <c r="H358" s="886"/>
      <c r="I358" s="886"/>
      <c r="J358" s="886"/>
      <c r="K358" s="886"/>
      <c r="L358" s="886"/>
      <c r="M358" s="886"/>
      <c r="N358" s="886"/>
      <c r="O358" s="886"/>
      <c r="P358" s="886"/>
      <c r="Q358" s="886"/>
      <c r="R358" s="886"/>
      <c r="S358" s="886"/>
      <c r="T358" s="886"/>
      <c r="U358" s="886"/>
      <c r="V358" s="886"/>
      <c r="W358" s="886"/>
      <c r="X358" s="886"/>
    </row>
    <row r="359" spans="3:24">
      <c r="C359" s="942"/>
      <c r="D359" s="943"/>
      <c r="E359" s="886"/>
      <c r="F359" s="886"/>
      <c r="G359" s="886"/>
      <c r="H359" s="886"/>
      <c r="I359" s="886"/>
      <c r="J359" s="886"/>
      <c r="K359" s="886"/>
      <c r="L359" s="886"/>
      <c r="M359" s="886"/>
      <c r="N359" s="886"/>
      <c r="O359" s="886"/>
      <c r="P359" s="886"/>
      <c r="Q359" s="886"/>
      <c r="R359" s="886"/>
      <c r="S359" s="886"/>
      <c r="T359" s="886"/>
      <c r="U359" s="886"/>
      <c r="V359" s="886"/>
      <c r="W359" s="886"/>
      <c r="X359" s="886"/>
    </row>
    <row r="360" spans="3:24">
      <c r="C360" s="942"/>
      <c r="D360" s="943"/>
      <c r="E360" s="886"/>
      <c r="F360" s="886"/>
      <c r="G360" s="886"/>
      <c r="H360" s="886"/>
      <c r="I360" s="886"/>
      <c r="J360" s="886"/>
      <c r="K360" s="886"/>
      <c r="L360" s="886"/>
      <c r="M360" s="886"/>
      <c r="N360" s="886"/>
      <c r="O360" s="886"/>
      <c r="P360" s="886"/>
      <c r="Q360" s="886"/>
      <c r="R360" s="886"/>
      <c r="S360" s="886"/>
      <c r="T360" s="886"/>
      <c r="U360" s="886"/>
      <c r="V360" s="886"/>
      <c r="W360" s="886"/>
      <c r="X360" s="886"/>
    </row>
    <row r="361" spans="3:24">
      <c r="C361" s="942"/>
      <c r="D361" s="943"/>
      <c r="E361" s="886"/>
      <c r="F361" s="886"/>
      <c r="G361" s="886"/>
      <c r="H361" s="886"/>
      <c r="I361" s="886"/>
      <c r="J361" s="886"/>
      <c r="K361" s="886"/>
      <c r="L361" s="886"/>
      <c r="M361" s="886"/>
      <c r="N361" s="886"/>
      <c r="O361" s="886"/>
      <c r="P361" s="886"/>
      <c r="Q361" s="886"/>
      <c r="R361" s="886"/>
      <c r="S361" s="886"/>
      <c r="T361" s="886"/>
      <c r="U361" s="886"/>
      <c r="V361" s="886"/>
      <c r="W361" s="886"/>
      <c r="X361" s="886"/>
    </row>
    <row r="362" spans="3:24">
      <c r="C362" s="942"/>
      <c r="D362" s="943"/>
      <c r="E362" s="886"/>
      <c r="F362" s="886"/>
      <c r="G362" s="886"/>
      <c r="H362" s="886"/>
      <c r="I362" s="886"/>
      <c r="J362" s="886"/>
      <c r="K362" s="886"/>
      <c r="L362" s="886"/>
      <c r="M362" s="886"/>
      <c r="N362" s="886"/>
      <c r="O362" s="886"/>
      <c r="P362" s="886"/>
      <c r="Q362" s="886"/>
      <c r="R362" s="886"/>
      <c r="S362" s="886"/>
      <c r="T362" s="886"/>
      <c r="U362" s="886"/>
      <c r="V362" s="886"/>
      <c r="W362" s="886"/>
      <c r="X362" s="886"/>
    </row>
    <row r="363" spans="3:24">
      <c r="C363" s="942"/>
      <c r="D363" s="943"/>
      <c r="E363" s="886"/>
      <c r="F363" s="886"/>
      <c r="G363" s="886"/>
      <c r="H363" s="886"/>
      <c r="I363" s="886"/>
      <c r="J363" s="886"/>
      <c r="K363" s="886"/>
      <c r="L363" s="886"/>
      <c r="M363" s="886"/>
      <c r="N363" s="886"/>
      <c r="O363" s="886"/>
      <c r="P363" s="886"/>
      <c r="Q363" s="886"/>
      <c r="R363" s="886"/>
      <c r="S363" s="886"/>
      <c r="T363" s="886"/>
      <c r="U363" s="886"/>
      <c r="V363" s="886"/>
      <c r="W363" s="886"/>
      <c r="X363" s="886"/>
    </row>
    <row r="364" spans="3:24">
      <c r="C364" s="942"/>
      <c r="D364" s="943"/>
      <c r="E364" s="886"/>
      <c r="F364" s="886"/>
      <c r="G364" s="886"/>
      <c r="H364" s="886"/>
      <c r="I364" s="886"/>
      <c r="J364" s="886"/>
      <c r="K364" s="886"/>
      <c r="L364" s="886"/>
      <c r="M364" s="886"/>
      <c r="N364" s="886"/>
      <c r="O364" s="886"/>
      <c r="P364" s="886"/>
      <c r="Q364" s="886"/>
      <c r="R364" s="886"/>
      <c r="S364" s="886"/>
      <c r="T364" s="886"/>
      <c r="U364" s="886"/>
      <c r="V364" s="886"/>
      <c r="W364" s="886"/>
      <c r="X364" s="886"/>
    </row>
    <row r="365" spans="3:24">
      <c r="C365" s="942"/>
      <c r="D365" s="943"/>
      <c r="E365" s="886"/>
      <c r="F365" s="886"/>
      <c r="G365" s="886"/>
      <c r="H365" s="886"/>
      <c r="I365" s="886"/>
      <c r="J365" s="886"/>
      <c r="K365" s="886"/>
      <c r="L365" s="886"/>
      <c r="M365" s="886"/>
      <c r="N365" s="886"/>
      <c r="O365" s="886"/>
      <c r="P365" s="886"/>
      <c r="Q365" s="886"/>
      <c r="R365" s="886"/>
      <c r="S365" s="886"/>
      <c r="T365" s="886"/>
      <c r="U365" s="886"/>
      <c r="V365" s="886"/>
      <c r="W365" s="886"/>
      <c r="X365" s="886"/>
    </row>
    <row r="366" spans="3:24">
      <c r="C366" s="942"/>
      <c r="D366" s="943"/>
      <c r="E366" s="886"/>
      <c r="F366" s="886"/>
      <c r="G366" s="886"/>
      <c r="H366" s="886"/>
      <c r="I366" s="886"/>
      <c r="J366" s="886"/>
      <c r="K366" s="886"/>
      <c r="L366" s="886"/>
      <c r="M366" s="886"/>
      <c r="N366" s="886"/>
      <c r="O366" s="886"/>
      <c r="P366" s="886"/>
      <c r="Q366" s="886"/>
      <c r="R366" s="886"/>
      <c r="S366" s="886"/>
      <c r="T366" s="886"/>
      <c r="U366" s="886"/>
      <c r="V366" s="886"/>
      <c r="W366" s="886"/>
      <c r="X366" s="886"/>
    </row>
    <row r="367" spans="3:24">
      <c r="C367" s="942"/>
      <c r="D367" s="943"/>
      <c r="E367" s="886"/>
      <c r="F367" s="886"/>
      <c r="G367" s="886"/>
      <c r="H367" s="886"/>
      <c r="I367" s="886"/>
      <c r="J367" s="886"/>
      <c r="K367" s="886"/>
      <c r="L367" s="886"/>
      <c r="M367" s="886"/>
      <c r="N367" s="886"/>
      <c r="O367" s="886"/>
      <c r="P367" s="886"/>
      <c r="Q367" s="886"/>
      <c r="R367" s="886"/>
      <c r="S367" s="886"/>
      <c r="T367" s="886"/>
      <c r="U367" s="886"/>
      <c r="V367" s="886"/>
      <c r="W367" s="886"/>
      <c r="X367" s="886"/>
    </row>
    <row r="368" spans="3:24">
      <c r="C368" s="942"/>
      <c r="D368" s="943"/>
      <c r="E368" s="886"/>
      <c r="F368" s="886"/>
      <c r="G368" s="886"/>
      <c r="H368" s="886"/>
      <c r="I368" s="886"/>
      <c r="J368" s="886"/>
      <c r="K368" s="886"/>
      <c r="L368" s="886"/>
      <c r="M368" s="886"/>
      <c r="N368" s="886"/>
      <c r="O368" s="886"/>
      <c r="P368" s="886"/>
      <c r="Q368" s="886"/>
      <c r="R368" s="886"/>
      <c r="S368" s="886"/>
      <c r="T368" s="886"/>
      <c r="U368" s="886"/>
      <c r="V368" s="886"/>
      <c r="W368" s="886"/>
      <c r="X368" s="886"/>
    </row>
    <row r="369" spans="3:24">
      <c r="C369" s="942"/>
      <c r="D369" s="943"/>
      <c r="E369" s="886"/>
      <c r="F369" s="886"/>
      <c r="G369" s="886"/>
      <c r="H369" s="886"/>
      <c r="I369" s="886"/>
      <c r="J369" s="886"/>
      <c r="K369" s="886"/>
      <c r="L369" s="886"/>
      <c r="M369" s="886"/>
      <c r="N369" s="886"/>
      <c r="O369" s="886"/>
      <c r="P369" s="886"/>
      <c r="Q369" s="886"/>
      <c r="R369" s="886"/>
      <c r="S369" s="886"/>
      <c r="T369" s="886"/>
      <c r="U369" s="886"/>
      <c r="V369" s="886"/>
      <c r="W369" s="886"/>
      <c r="X369" s="886"/>
    </row>
    <row r="370" spans="3:24">
      <c r="C370" s="942"/>
      <c r="D370" s="943"/>
      <c r="E370" s="886"/>
      <c r="F370" s="886"/>
      <c r="G370" s="886"/>
      <c r="H370" s="886"/>
      <c r="I370" s="886"/>
      <c r="J370" s="886"/>
      <c r="K370" s="886"/>
      <c r="L370" s="886"/>
      <c r="M370" s="886"/>
      <c r="N370" s="886"/>
      <c r="O370" s="886"/>
      <c r="P370" s="886"/>
      <c r="Q370" s="886"/>
      <c r="R370" s="886"/>
      <c r="S370" s="886"/>
      <c r="T370" s="886"/>
      <c r="U370" s="886"/>
      <c r="V370" s="886"/>
      <c r="W370" s="886"/>
      <c r="X370" s="886"/>
    </row>
    <row r="371" spans="3:24">
      <c r="C371" s="942"/>
      <c r="D371" s="943"/>
      <c r="E371" s="886"/>
      <c r="F371" s="886"/>
      <c r="G371" s="886"/>
      <c r="H371" s="886"/>
      <c r="I371" s="886"/>
      <c r="J371" s="886"/>
      <c r="K371" s="886"/>
      <c r="L371" s="886"/>
      <c r="M371" s="886"/>
      <c r="N371" s="886"/>
      <c r="O371" s="886"/>
      <c r="P371" s="886"/>
      <c r="Q371" s="886"/>
      <c r="R371" s="886"/>
      <c r="S371" s="886"/>
      <c r="T371" s="886"/>
      <c r="U371" s="886"/>
      <c r="V371" s="886"/>
      <c r="W371" s="886"/>
      <c r="X371" s="886"/>
    </row>
    <row r="372" spans="3:24">
      <c r="C372" s="942"/>
      <c r="D372" s="943"/>
      <c r="E372" s="886"/>
      <c r="F372" s="886"/>
      <c r="G372" s="886"/>
      <c r="H372" s="886"/>
      <c r="I372" s="886"/>
      <c r="J372" s="886"/>
      <c r="K372" s="886"/>
      <c r="L372" s="886"/>
      <c r="M372" s="886"/>
      <c r="N372" s="886"/>
      <c r="O372" s="886"/>
      <c r="P372" s="886"/>
      <c r="Q372" s="886"/>
      <c r="R372" s="886"/>
      <c r="S372" s="886"/>
      <c r="T372" s="886"/>
      <c r="U372" s="886"/>
      <c r="V372" s="886"/>
      <c r="W372" s="886"/>
      <c r="X372" s="886"/>
    </row>
    <row r="373" spans="3:24">
      <c r="C373" s="942"/>
      <c r="D373" s="943"/>
      <c r="E373" s="886"/>
      <c r="F373" s="886"/>
      <c r="G373" s="886"/>
      <c r="H373" s="886"/>
      <c r="I373" s="886"/>
      <c r="J373" s="886"/>
      <c r="K373" s="886"/>
      <c r="L373" s="886"/>
      <c r="M373" s="886"/>
      <c r="N373" s="886"/>
      <c r="O373" s="886"/>
      <c r="P373" s="886"/>
      <c r="Q373" s="886"/>
      <c r="R373" s="886"/>
      <c r="S373" s="886"/>
      <c r="T373" s="886"/>
      <c r="U373" s="886"/>
      <c r="V373" s="886"/>
      <c r="W373" s="886"/>
      <c r="X373" s="886"/>
    </row>
    <row r="374" spans="3:24">
      <c r="C374" s="942"/>
      <c r="D374" s="943"/>
      <c r="E374" s="886"/>
      <c r="F374" s="886"/>
      <c r="G374" s="886"/>
      <c r="H374" s="886"/>
      <c r="I374" s="886"/>
      <c r="J374" s="886"/>
      <c r="K374" s="886"/>
      <c r="L374" s="886"/>
      <c r="M374" s="886"/>
      <c r="N374" s="886"/>
      <c r="O374" s="886"/>
      <c r="P374" s="886"/>
      <c r="Q374" s="886"/>
      <c r="R374" s="886"/>
      <c r="S374" s="886"/>
      <c r="T374" s="886"/>
      <c r="U374" s="886"/>
      <c r="V374" s="886"/>
      <c r="W374" s="886"/>
      <c r="X374" s="886"/>
    </row>
    <row r="375" spans="3:24">
      <c r="C375" s="942"/>
      <c r="D375" s="943"/>
      <c r="E375" s="886"/>
      <c r="F375" s="886"/>
      <c r="G375" s="886"/>
      <c r="H375" s="886"/>
      <c r="I375" s="886"/>
      <c r="J375" s="886"/>
      <c r="K375" s="886"/>
      <c r="L375" s="886"/>
      <c r="M375" s="886"/>
      <c r="N375" s="886"/>
      <c r="O375" s="886"/>
      <c r="P375" s="886"/>
      <c r="Q375" s="886"/>
      <c r="R375" s="886"/>
      <c r="S375" s="886"/>
      <c r="T375" s="886"/>
      <c r="U375" s="886"/>
      <c r="V375" s="886"/>
      <c r="W375" s="886"/>
      <c r="X375" s="886"/>
    </row>
    <row r="376" spans="3:24">
      <c r="C376" s="942"/>
      <c r="D376" s="943"/>
      <c r="E376" s="886"/>
      <c r="F376" s="886"/>
      <c r="G376" s="886"/>
      <c r="H376" s="886"/>
      <c r="I376" s="886"/>
      <c r="J376" s="886"/>
      <c r="K376" s="886"/>
      <c r="L376" s="886"/>
      <c r="M376" s="886"/>
      <c r="N376" s="886"/>
      <c r="O376" s="886"/>
      <c r="P376" s="886"/>
      <c r="Q376" s="886"/>
      <c r="R376" s="886"/>
      <c r="S376" s="886"/>
      <c r="T376" s="886"/>
      <c r="U376" s="886"/>
      <c r="V376" s="886"/>
      <c r="W376" s="886"/>
      <c r="X376" s="886"/>
    </row>
    <row r="377" spans="3:24">
      <c r="C377" s="942"/>
      <c r="D377" s="943"/>
      <c r="E377" s="886"/>
      <c r="F377" s="886"/>
      <c r="G377" s="886"/>
      <c r="H377" s="886"/>
      <c r="I377" s="886"/>
      <c r="J377" s="886"/>
      <c r="K377" s="886"/>
      <c r="L377" s="886"/>
      <c r="M377" s="886"/>
      <c r="N377" s="886"/>
      <c r="O377" s="886"/>
      <c r="P377" s="886"/>
      <c r="Q377" s="886"/>
      <c r="R377" s="886"/>
      <c r="S377" s="886"/>
      <c r="T377" s="886"/>
      <c r="U377" s="886"/>
      <c r="V377" s="886"/>
      <c r="W377" s="886"/>
      <c r="X377" s="886"/>
    </row>
    <row r="378" spans="3:24">
      <c r="C378" s="942"/>
      <c r="D378" s="943"/>
      <c r="E378" s="886"/>
      <c r="F378" s="886"/>
      <c r="G378" s="886"/>
      <c r="H378" s="886"/>
      <c r="I378" s="886"/>
      <c r="J378" s="886"/>
      <c r="K378" s="886"/>
      <c r="L378" s="886"/>
      <c r="M378" s="886"/>
      <c r="N378" s="886"/>
      <c r="O378" s="886"/>
      <c r="P378" s="886"/>
      <c r="Q378" s="886"/>
      <c r="R378" s="886"/>
      <c r="S378" s="886"/>
      <c r="T378" s="886"/>
      <c r="U378" s="886"/>
      <c r="V378" s="886"/>
      <c r="W378" s="886"/>
      <c r="X378" s="886"/>
    </row>
    <row r="379" spans="3:24">
      <c r="C379" s="942"/>
      <c r="D379" s="943"/>
      <c r="E379" s="886"/>
      <c r="F379" s="886"/>
      <c r="G379" s="886"/>
      <c r="H379" s="886"/>
      <c r="I379" s="886"/>
      <c r="J379" s="886"/>
      <c r="K379" s="886"/>
      <c r="L379" s="886"/>
      <c r="M379" s="886"/>
      <c r="N379" s="886"/>
      <c r="O379" s="886"/>
      <c r="P379" s="886"/>
      <c r="Q379" s="886"/>
      <c r="R379" s="886"/>
      <c r="S379" s="886"/>
      <c r="T379" s="886"/>
      <c r="U379" s="886"/>
      <c r="V379" s="886"/>
      <c r="W379" s="886"/>
      <c r="X379" s="886"/>
    </row>
    <row r="380" spans="3:24">
      <c r="C380" s="942"/>
      <c r="D380" s="943"/>
      <c r="E380" s="886"/>
      <c r="F380" s="886"/>
      <c r="G380" s="886"/>
      <c r="H380" s="886"/>
      <c r="I380" s="886"/>
      <c r="J380" s="886"/>
      <c r="K380" s="886"/>
      <c r="L380" s="886"/>
      <c r="M380" s="886"/>
      <c r="N380" s="886"/>
      <c r="O380" s="886"/>
      <c r="P380" s="886"/>
      <c r="Q380" s="886"/>
      <c r="R380" s="886"/>
      <c r="S380" s="886"/>
      <c r="T380" s="886"/>
      <c r="U380" s="886"/>
      <c r="V380" s="886"/>
      <c r="W380" s="886"/>
      <c r="X380" s="886"/>
    </row>
    <row r="381" spans="3:24">
      <c r="C381" s="942"/>
      <c r="D381" s="943"/>
      <c r="E381" s="886"/>
      <c r="F381" s="886"/>
      <c r="G381" s="886"/>
      <c r="H381" s="886"/>
      <c r="I381" s="886"/>
      <c r="J381" s="886"/>
      <c r="K381" s="886"/>
      <c r="L381" s="886"/>
      <c r="M381" s="886"/>
      <c r="N381" s="886"/>
      <c r="O381" s="886"/>
      <c r="P381" s="886"/>
      <c r="Q381" s="886"/>
      <c r="R381" s="886"/>
      <c r="S381" s="886"/>
      <c r="T381" s="886"/>
      <c r="U381" s="886"/>
      <c r="V381" s="886"/>
      <c r="W381" s="886"/>
      <c r="X381" s="886"/>
    </row>
    <row r="382" spans="3:24">
      <c r="C382" s="942"/>
      <c r="D382" s="943"/>
      <c r="E382" s="886"/>
      <c r="F382" s="886"/>
      <c r="G382" s="886"/>
      <c r="H382" s="886"/>
      <c r="I382" s="886"/>
      <c r="J382" s="886"/>
      <c r="K382" s="886"/>
      <c r="L382" s="886"/>
      <c r="M382" s="886"/>
      <c r="N382" s="886"/>
      <c r="O382" s="886"/>
      <c r="P382" s="886"/>
      <c r="Q382" s="886"/>
      <c r="R382" s="886"/>
      <c r="S382" s="886"/>
      <c r="T382" s="886"/>
      <c r="U382" s="886"/>
      <c r="V382" s="886"/>
      <c r="W382" s="886"/>
      <c r="X382" s="886"/>
    </row>
    <row r="383" spans="3:24">
      <c r="C383" s="942"/>
      <c r="D383" s="943"/>
      <c r="E383" s="886"/>
      <c r="F383" s="886"/>
      <c r="G383" s="886"/>
      <c r="H383" s="886"/>
      <c r="I383" s="886"/>
      <c r="J383" s="886"/>
      <c r="K383" s="886"/>
      <c r="L383" s="886"/>
      <c r="M383" s="886"/>
      <c r="N383" s="886"/>
      <c r="O383" s="886"/>
      <c r="P383" s="886"/>
      <c r="Q383" s="886"/>
      <c r="R383" s="886"/>
      <c r="S383" s="886"/>
      <c r="T383" s="886"/>
      <c r="U383" s="886"/>
      <c r="V383" s="886"/>
      <c r="W383" s="886"/>
      <c r="X383" s="886"/>
    </row>
    <row r="384" spans="3:24">
      <c r="C384" s="942"/>
      <c r="D384" s="943"/>
      <c r="E384" s="886"/>
      <c r="F384" s="886"/>
      <c r="G384" s="886"/>
      <c r="H384" s="886"/>
      <c r="I384" s="886"/>
      <c r="J384" s="886"/>
      <c r="K384" s="886"/>
      <c r="L384" s="886"/>
      <c r="M384" s="886"/>
      <c r="N384" s="886"/>
      <c r="O384" s="886"/>
      <c r="P384" s="886"/>
      <c r="Q384" s="886"/>
      <c r="R384" s="886"/>
      <c r="S384" s="886"/>
      <c r="T384" s="886"/>
      <c r="U384" s="886"/>
      <c r="V384" s="886"/>
      <c r="W384" s="886"/>
      <c r="X384" s="886"/>
    </row>
    <row r="385" spans="3:24">
      <c r="C385" s="942"/>
      <c r="D385" s="943"/>
      <c r="E385" s="886"/>
      <c r="F385" s="886"/>
      <c r="G385" s="886"/>
      <c r="H385" s="886"/>
      <c r="I385" s="886"/>
      <c r="J385" s="886"/>
      <c r="K385" s="886"/>
      <c r="L385" s="886"/>
      <c r="M385" s="886"/>
      <c r="N385" s="886"/>
      <c r="O385" s="886"/>
      <c r="P385" s="886"/>
      <c r="Q385" s="886"/>
      <c r="R385" s="886"/>
      <c r="S385" s="886"/>
      <c r="T385" s="886"/>
      <c r="U385" s="886"/>
      <c r="V385" s="886"/>
      <c r="W385" s="886"/>
      <c r="X385" s="886"/>
    </row>
    <row r="386" spans="3:24">
      <c r="C386" s="942"/>
      <c r="D386" s="943"/>
      <c r="E386" s="886"/>
      <c r="F386" s="886"/>
      <c r="G386" s="886"/>
      <c r="H386" s="886"/>
      <c r="I386" s="886"/>
      <c r="J386" s="886"/>
      <c r="K386" s="886"/>
      <c r="L386" s="886"/>
      <c r="M386" s="886"/>
      <c r="N386" s="886"/>
      <c r="O386" s="886"/>
      <c r="P386" s="886"/>
      <c r="Q386" s="886"/>
      <c r="R386" s="886"/>
      <c r="S386" s="886"/>
      <c r="T386" s="886"/>
      <c r="U386" s="886"/>
      <c r="V386" s="886"/>
      <c r="W386" s="886"/>
      <c r="X386" s="886"/>
    </row>
    <row r="387" spans="3:24">
      <c r="C387" s="942"/>
      <c r="D387" s="943"/>
      <c r="E387" s="886"/>
      <c r="F387" s="886"/>
      <c r="G387" s="886"/>
      <c r="H387" s="886"/>
      <c r="I387" s="886"/>
      <c r="J387" s="886"/>
      <c r="K387" s="886"/>
      <c r="L387" s="886"/>
      <c r="M387" s="886"/>
      <c r="N387" s="886"/>
      <c r="O387" s="886"/>
      <c r="P387" s="886"/>
      <c r="Q387" s="886"/>
      <c r="R387" s="886"/>
      <c r="S387" s="886"/>
      <c r="T387" s="886"/>
      <c r="U387" s="886"/>
      <c r="V387" s="886"/>
      <c r="W387" s="886"/>
      <c r="X387" s="886"/>
    </row>
    <row r="388" spans="3:24">
      <c r="C388" s="942"/>
      <c r="D388" s="943"/>
      <c r="E388" s="886"/>
      <c r="F388" s="886"/>
      <c r="G388" s="886"/>
      <c r="H388" s="886"/>
      <c r="I388" s="886"/>
      <c r="J388" s="886"/>
      <c r="K388" s="886"/>
      <c r="L388" s="886"/>
      <c r="M388" s="886"/>
      <c r="N388" s="886"/>
      <c r="O388" s="886"/>
      <c r="P388" s="886"/>
      <c r="Q388" s="886"/>
      <c r="R388" s="886"/>
      <c r="S388" s="886"/>
      <c r="T388" s="886"/>
      <c r="U388" s="886"/>
      <c r="V388" s="886"/>
      <c r="W388" s="886"/>
      <c r="X388" s="886"/>
    </row>
    <row r="389" spans="3:24">
      <c r="C389" s="942"/>
      <c r="D389" s="943"/>
      <c r="E389" s="886"/>
      <c r="F389" s="886"/>
      <c r="G389" s="886"/>
      <c r="H389" s="886"/>
      <c r="I389" s="886"/>
      <c r="J389" s="886"/>
      <c r="K389" s="886"/>
      <c r="L389" s="886"/>
      <c r="M389" s="886"/>
      <c r="N389" s="886"/>
      <c r="O389" s="886"/>
      <c r="P389" s="886"/>
      <c r="Q389" s="886"/>
      <c r="R389" s="886"/>
      <c r="S389" s="886"/>
      <c r="T389" s="886"/>
      <c r="U389" s="886"/>
      <c r="V389" s="886"/>
      <c r="W389" s="886"/>
      <c r="X389" s="886"/>
    </row>
    <row r="390" spans="3:24">
      <c r="C390" s="942"/>
      <c r="D390" s="943"/>
      <c r="E390" s="886"/>
      <c r="F390" s="886"/>
      <c r="G390" s="886"/>
      <c r="H390" s="886"/>
      <c r="I390" s="886"/>
      <c r="J390" s="886"/>
      <c r="K390" s="886"/>
      <c r="L390" s="886"/>
      <c r="M390" s="886"/>
      <c r="N390" s="886"/>
      <c r="O390" s="886"/>
      <c r="P390" s="886"/>
      <c r="Q390" s="886"/>
      <c r="R390" s="886"/>
      <c r="S390" s="886"/>
      <c r="T390" s="886"/>
      <c r="U390" s="886"/>
      <c r="V390" s="886"/>
      <c r="W390" s="886"/>
      <c r="X390" s="886"/>
    </row>
    <row r="391" spans="3:24">
      <c r="C391" s="942"/>
      <c r="D391" s="943"/>
      <c r="E391" s="886"/>
      <c r="F391" s="886"/>
      <c r="G391" s="886"/>
      <c r="H391" s="886"/>
      <c r="I391" s="886"/>
      <c r="J391" s="886"/>
      <c r="K391" s="886"/>
      <c r="L391" s="886"/>
      <c r="M391" s="886"/>
      <c r="N391" s="886"/>
      <c r="O391" s="886"/>
      <c r="P391" s="886"/>
      <c r="Q391" s="886"/>
      <c r="R391" s="886"/>
      <c r="S391" s="886"/>
      <c r="T391" s="886"/>
      <c r="U391" s="886"/>
      <c r="V391" s="886"/>
      <c r="W391" s="886"/>
      <c r="X391" s="886"/>
    </row>
    <row r="392" spans="3:24">
      <c r="C392" s="942"/>
      <c r="D392" s="943"/>
      <c r="E392" s="886"/>
      <c r="F392" s="886"/>
      <c r="G392" s="886"/>
      <c r="H392" s="886"/>
      <c r="I392" s="886"/>
      <c r="J392" s="886"/>
      <c r="K392" s="886"/>
      <c r="L392" s="886"/>
      <c r="M392" s="886"/>
      <c r="N392" s="886"/>
      <c r="O392" s="886"/>
      <c r="P392" s="886"/>
      <c r="Q392" s="886"/>
      <c r="R392" s="886"/>
      <c r="S392" s="886"/>
      <c r="T392" s="886"/>
      <c r="U392" s="886"/>
      <c r="V392" s="886"/>
      <c r="W392" s="886"/>
      <c r="X392" s="886"/>
    </row>
    <row r="393" spans="3:24">
      <c r="C393" s="942"/>
      <c r="D393" s="943"/>
      <c r="E393" s="886"/>
      <c r="F393" s="886"/>
      <c r="G393" s="886"/>
      <c r="H393" s="886"/>
      <c r="I393" s="886"/>
      <c r="J393" s="886"/>
      <c r="K393" s="886"/>
      <c r="L393" s="886"/>
      <c r="M393" s="886"/>
      <c r="N393" s="886"/>
      <c r="O393" s="886"/>
      <c r="P393" s="886"/>
      <c r="Q393" s="886"/>
      <c r="R393" s="886"/>
      <c r="S393" s="886"/>
      <c r="T393" s="886"/>
      <c r="U393" s="886"/>
      <c r="V393" s="886"/>
      <c r="W393" s="886"/>
      <c r="X393" s="886"/>
    </row>
    <row r="394" spans="3:24">
      <c r="C394" s="942"/>
      <c r="D394" s="943"/>
      <c r="E394" s="886"/>
      <c r="F394" s="886"/>
      <c r="G394" s="886"/>
      <c r="H394" s="886"/>
      <c r="I394" s="886"/>
      <c r="J394" s="886"/>
      <c r="K394" s="886"/>
      <c r="L394" s="886"/>
      <c r="M394" s="886"/>
      <c r="N394" s="886"/>
      <c r="O394" s="886"/>
      <c r="P394" s="886"/>
      <c r="Q394" s="886"/>
      <c r="R394" s="886"/>
      <c r="S394" s="886"/>
      <c r="T394" s="886"/>
      <c r="U394" s="886"/>
      <c r="V394" s="886"/>
      <c r="W394" s="886"/>
      <c r="X394" s="886"/>
    </row>
    <row r="395" spans="3:24">
      <c r="C395" s="942"/>
      <c r="D395" s="943"/>
      <c r="E395" s="886"/>
      <c r="F395" s="886"/>
      <c r="G395" s="886"/>
      <c r="H395" s="886"/>
      <c r="I395" s="886"/>
      <c r="J395" s="886"/>
      <c r="K395" s="886"/>
      <c r="L395" s="886"/>
      <c r="M395" s="886"/>
      <c r="N395" s="886"/>
      <c r="O395" s="886"/>
      <c r="P395" s="886"/>
      <c r="Q395" s="886"/>
      <c r="R395" s="886"/>
      <c r="S395" s="886"/>
      <c r="T395" s="886"/>
      <c r="U395" s="886"/>
      <c r="V395" s="886"/>
      <c r="W395" s="886"/>
      <c r="X395" s="886"/>
    </row>
    <row r="396" spans="3:24">
      <c r="C396" s="942"/>
      <c r="D396" s="943"/>
      <c r="E396" s="886"/>
      <c r="F396" s="886"/>
      <c r="G396" s="886"/>
      <c r="H396" s="886"/>
      <c r="I396" s="886"/>
      <c r="J396" s="886"/>
      <c r="K396" s="886"/>
      <c r="L396" s="886"/>
      <c r="M396" s="886"/>
      <c r="N396" s="886"/>
      <c r="O396" s="886"/>
      <c r="P396" s="886"/>
      <c r="Q396" s="886"/>
      <c r="R396" s="886"/>
      <c r="S396" s="886"/>
      <c r="T396" s="886"/>
      <c r="U396" s="886"/>
      <c r="V396" s="886"/>
      <c r="W396" s="886"/>
      <c r="X396" s="886"/>
    </row>
    <row r="397" spans="3:24">
      <c r="C397" s="942"/>
      <c r="D397" s="943"/>
      <c r="E397" s="886"/>
      <c r="F397" s="886"/>
      <c r="G397" s="886"/>
      <c r="H397" s="886"/>
      <c r="I397" s="886"/>
      <c r="J397" s="886"/>
      <c r="K397" s="886"/>
      <c r="L397" s="886"/>
      <c r="M397" s="886"/>
      <c r="N397" s="886"/>
      <c r="O397" s="886"/>
      <c r="P397" s="886"/>
      <c r="Q397" s="886"/>
      <c r="R397" s="886"/>
      <c r="S397" s="886"/>
      <c r="T397" s="886"/>
      <c r="U397" s="886"/>
      <c r="V397" s="886"/>
      <c r="W397" s="886"/>
      <c r="X397" s="886"/>
    </row>
    <row r="398" spans="3:24">
      <c r="C398" s="942"/>
      <c r="D398" s="943"/>
      <c r="E398" s="886"/>
      <c r="F398" s="886"/>
      <c r="G398" s="886"/>
      <c r="H398" s="886"/>
      <c r="I398" s="886"/>
      <c r="J398" s="886"/>
      <c r="K398" s="886"/>
      <c r="L398" s="886"/>
      <c r="M398" s="886"/>
      <c r="N398" s="886"/>
      <c r="O398" s="886"/>
      <c r="P398" s="886"/>
      <c r="Q398" s="886"/>
      <c r="R398" s="886"/>
      <c r="S398" s="886"/>
      <c r="T398" s="886"/>
      <c r="U398" s="886"/>
      <c r="V398" s="886"/>
      <c r="W398" s="886"/>
      <c r="X398" s="886"/>
    </row>
    <row r="399" spans="3:24">
      <c r="C399" s="942"/>
      <c r="D399" s="943"/>
      <c r="E399" s="886"/>
      <c r="F399" s="886"/>
      <c r="G399" s="886"/>
      <c r="H399" s="886"/>
      <c r="I399" s="886"/>
      <c r="J399" s="886"/>
      <c r="K399" s="886"/>
      <c r="L399" s="886"/>
      <c r="M399" s="886"/>
      <c r="N399" s="886"/>
      <c r="O399" s="886"/>
      <c r="P399" s="886"/>
      <c r="Q399" s="886"/>
      <c r="R399" s="886"/>
      <c r="S399" s="886"/>
      <c r="T399" s="886"/>
      <c r="U399" s="886"/>
      <c r="V399" s="886"/>
      <c r="W399" s="886"/>
      <c r="X399" s="886"/>
    </row>
    <row r="400" spans="3:24">
      <c r="C400" s="942"/>
      <c r="D400" s="943"/>
      <c r="E400" s="886"/>
      <c r="F400" s="886"/>
      <c r="G400" s="886"/>
      <c r="H400" s="886"/>
      <c r="I400" s="886"/>
      <c r="J400" s="886"/>
      <c r="K400" s="886"/>
      <c r="L400" s="886"/>
      <c r="M400" s="886"/>
      <c r="N400" s="886"/>
      <c r="O400" s="886"/>
      <c r="P400" s="886"/>
      <c r="Q400" s="886"/>
      <c r="R400" s="886"/>
      <c r="S400" s="886"/>
      <c r="T400" s="886"/>
      <c r="U400" s="886"/>
      <c r="V400" s="886"/>
      <c r="W400" s="886"/>
      <c r="X400" s="886"/>
    </row>
    <row r="401" spans="3:24">
      <c r="C401" s="942"/>
      <c r="D401" s="943"/>
      <c r="E401" s="886"/>
      <c r="F401" s="886"/>
      <c r="G401" s="886"/>
      <c r="H401" s="886"/>
      <c r="I401" s="886"/>
      <c r="J401" s="886"/>
      <c r="K401" s="886"/>
      <c r="L401" s="886"/>
      <c r="M401" s="886"/>
      <c r="N401" s="886"/>
      <c r="O401" s="886"/>
      <c r="P401" s="886"/>
      <c r="Q401" s="886"/>
      <c r="R401" s="886"/>
      <c r="S401" s="886"/>
      <c r="T401" s="886"/>
      <c r="U401" s="886"/>
      <c r="V401" s="886"/>
      <c r="W401" s="886"/>
      <c r="X401" s="886"/>
    </row>
    <row r="402" spans="3:24">
      <c r="C402" s="942"/>
      <c r="D402" s="943"/>
      <c r="E402" s="886"/>
      <c r="F402" s="886"/>
      <c r="G402" s="886"/>
      <c r="H402" s="886"/>
      <c r="I402" s="886"/>
      <c r="J402" s="886"/>
      <c r="K402" s="886"/>
      <c r="L402" s="886"/>
      <c r="M402" s="886"/>
      <c r="N402" s="886"/>
      <c r="O402" s="886"/>
      <c r="P402" s="886"/>
      <c r="Q402" s="886"/>
      <c r="R402" s="886"/>
      <c r="S402" s="886"/>
      <c r="T402" s="886"/>
      <c r="U402" s="886"/>
      <c r="V402" s="886"/>
      <c r="W402" s="886"/>
      <c r="X402" s="886"/>
    </row>
    <row r="403" spans="3:24">
      <c r="C403" s="942"/>
      <c r="D403" s="943"/>
      <c r="E403" s="886"/>
      <c r="F403" s="886"/>
      <c r="G403" s="886"/>
      <c r="H403" s="886"/>
      <c r="I403" s="886"/>
      <c r="J403" s="886"/>
      <c r="K403" s="886"/>
      <c r="L403" s="886"/>
      <c r="M403" s="886"/>
      <c r="N403" s="886"/>
      <c r="O403" s="886"/>
      <c r="P403" s="886"/>
      <c r="Q403" s="886"/>
      <c r="R403" s="886"/>
      <c r="S403" s="886"/>
      <c r="T403" s="886"/>
      <c r="U403" s="886"/>
      <c r="V403" s="886"/>
      <c r="W403" s="886"/>
      <c r="X403" s="886"/>
    </row>
    <row r="404" spans="3:24">
      <c r="C404" s="942"/>
      <c r="D404" s="943"/>
      <c r="E404" s="886"/>
      <c r="F404" s="886"/>
      <c r="G404" s="886"/>
      <c r="H404" s="886"/>
      <c r="I404" s="886"/>
      <c r="J404" s="886"/>
      <c r="K404" s="886"/>
      <c r="L404" s="886"/>
      <c r="M404" s="886"/>
      <c r="N404" s="886"/>
      <c r="O404" s="886"/>
      <c r="P404" s="886"/>
      <c r="Q404" s="886"/>
      <c r="R404" s="886"/>
      <c r="S404" s="886"/>
      <c r="T404" s="886"/>
      <c r="U404" s="886"/>
      <c r="V404" s="886"/>
      <c r="W404" s="886"/>
      <c r="X404" s="886"/>
    </row>
    <row r="405" spans="3:24">
      <c r="C405" s="942"/>
      <c r="D405" s="943"/>
      <c r="E405" s="886"/>
      <c r="F405" s="886"/>
      <c r="G405" s="886"/>
      <c r="H405" s="886"/>
      <c r="I405" s="886"/>
      <c r="J405" s="886"/>
      <c r="K405" s="886"/>
      <c r="L405" s="886"/>
      <c r="M405" s="886"/>
      <c r="N405" s="886"/>
      <c r="O405" s="886"/>
      <c r="P405" s="886"/>
      <c r="Q405" s="886"/>
      <c r="R405" s="886"/>
      <c r="S405" s="886"/>
      <c r="T405" s="886"/>
      <c r="U405" s="886"/>
      <c r="V405" s="886"/>
      <c r="W405" s="886"/>
      <c r="X405" s="886"/>
    </row>
    <row r="406" spans="3:24">
      <c r="C406" s="942"/>
      <c r="D406" s="943"/>
      <c r="E406" s="886"/>
      <c r="F406" s="886"/>
      <c r="G406" s="886"/>
      <c r="H406" s="886"/>
      <c r="I406" s="886"/>
      <c r="J406" s="886"/>
      <c r="K406" s="886"/>
      <c r="L406" s="886"/>
      <c r="M406" s="886"/>
      <c r="N406" s="886"/>
      <c r="O406" s="886"/>
      <c r="P406" s="886"/>
      <c r="Q406" s="886"/>
      <c r="R406" s="886"/>
      <c r="S406" s="886"/>
      <c r="T406" s="886"/>
      <c r="U406" s="886"/>
      <c r="V406" s="886"/>
      <c r="W406" s="886"/>
      <c r="X406" s="886"/>
    </row>
    <row r="407" spans="3:24">
      <c r="C407" s="942"/>
      <c r="D407" s="943"/>
      <c r="E407" s="886"/>
      <c r="F407" s="886"/>
      <c r="G407" s="886"/>
      <c r="H407" s="886"/>
      <c r="I407" s="886"/>
      <c r="J407" s="886"/>
      <c r="K407" s="886"/>
      <c r="L407" s="886"/>
      <c r="M407" s="886"/>
      <c r="N407" s="886"/>
      <c r="O407" s="886"/>
      <c r="P407" s="886"/>
      <c r="Q407" s="886"/>
      <c r="R407" s="886"/>
      <c r="S407" s="886"/>
      <c r="T407" s="886"/>
      <c r="U407" s="886"/>
      <c r="V407" s="886"/>
      <c r="W407" s="886"/>
      <c r="X407" s="886"/>
    </row>
    <row r="408" spans="3:24">
      <c r="C408" s="942"/>
      <c r="D408" s="943"/>
      <c r="E408" s="886"/>
      <c r="F408" s="886"/>
      <c r="G408" s="886"/>
      <c r="H408" s="886"/>
      <c r="I408" s="886"/>
      <c r="J408" s="886"/>
      <c r="K408" s="886"/>
      <c r="L408" s="886"/>
      <c r="M408" s="886"/>
      <c r="N408" s="886"/>
      <c r="O408" s="886"/>
      <c r="P408" s="886"/>
      <c r="Q408" s="886"/>
      <c r="R408" s="886"/>
      <c r="S408" s="886"/>
      <c r="T408" s="886"/>
      <c r="U408" s="886"/>
      <c r="V408" s="886"/>
      <c r="W408" s="886"/>
      <c r="X408" s="886"/>
    </row>
    <row r="409" spans="3:24">
      <c r="C409" s="942"/>
      <c r="D409" s="943"/>
      <c r="E409" s="886"/>
      <c r="F409" s="886"/>
      <c r="G409" s="886"/>
      <c r="H409" s="886"/>
      <c r="I409" s="886"/>
      <c r="J409" s="886"/>
      <c r="K409" s="886"/>
      <c r="L409" s="886"/>
      <c r="M409" s="886"/>
      <c r="N409" s="886"/>
      <c r="O409" s="886"/>
      <c r="P409" s="886"/>
      <c r="Q409" s="886"/>
      <c r="R409" s="886"/>
      <c r="S409" s="886"/>
      <c r="T409" s="886"/>
      <c r="U409" s="886"/>
      <c r="V409" s="886"/>
      <c r="W409" s="886"/>
      <c r="X409" s="886"/>
    </row>
    <row r="410" spans="3:24">
      <c r="C410" s="942"/>
      <c r="D410" s="943"/>
      <c r="E410" s="886"/>
      <c r="F410" s="886"/>
      <c r="G410" s="886"/>
      <c r="H410" s="886"/>
      <c r="I410" s="886"/>
      <c r="J410" s="886"/>
      <c r="K410" s="886"/>
      <c r="L410" s="886"/>
      <c r="M410" s="886"/>
      <c r="N410" s="886"/>
      <c r="O410" s="886"/>
      <c r="P410" s="886"/>
      <c r="Q410" s="886"/>
      <c r="R410" s="886"/>
      <c r="S410" s="886"/>
      <c r="T410" s="886"/>
      <c r="U410" s="886"/>
      <c r="V410" s="886"/>
      <c r="W410" s="886"/>
      <c r="X410" s="886"/>
    </row>
    <row r="411" spans="3:24">
      <c r="C411" s="942"/>
      <c r="D411" s="943"/>
      <c r="E411" s="886"/>
      <c r="F411" s="886"/>
      <c r="G411" s="886"/>
      <c r="H411" s="886"/>
      <c r="I411" s="886"/>
      <c r="J411" s="886"/>
      <c r="K411" s="886"/>
      <c r="L411" s="886"/>
      <c r="M411" s="886"/>
      <c r="N411" s="886"/>
      <c r="O411" s="886"/>
      <c r="P411" s="886"/>
      <c r="Q411" s="886"/>
      <c r="R411" s="886"/>
      <c r="S411" s="886"/>
      <c r="T411" s="886"/>
      <c r="U411" s="886"/>
      <c r="V411" s="886"/>
      <c r="W411" s="886"/>
      <c r="X411" s="886"/>
    </row>
    <row r="412" spans="3:24">
      <c r="C412" s="942"/>
      <c r="D412" s="943"/>
      <c r="E412" s="886"/>
      <c r="F412" s="886"/>
      <c r="G412" s="886"/>
      <c r="H412" s="886"/>
      <c r="I412" s="886"/>
      <c r="J412" s="886"/>
      <c r="K412" s="886"/>
      <c r="L412" s="886"/>
      <c r="M412" s="886"/>
      <c r="N412" s="886"/>
      <c r="O412" s="886"/>
      <c r="P412" s="886"/>
      <c r="Q412" s="886"/>
      <c r="R412" s="886"/>
      <c r="S412" s="886"/>
      <c r="T412" s="886"/>
      <c r="U412" s="886"/>
      <c r="V412" s="886"/>
      <c r="W412" s="886"/>
      <c r="X412" s="886"/>
    </row>
    <row r="413" spans="3:24">
      <c r="C413" s="942"/>
      <c r="D413" s="943"/>
      <c r="E413" s="886"/>
      <c r="F413" s="886"/>
      <c r="G413" s="886"/>
      <c r="H413" s="886"/>
      <c r="I413" s="886"/>
      <c r="J413" s="886"/>
      <c r="K413" s="886"/>
      <c r="L413" s="886"/>
      <c r="M413" s="886"/>
      <c r="N413" s="886"/>
      <c r="O413" s="886"/>
      <c r="P413" s="886"/>
      <c r="Q413" s="886"/>
      <c r="R413" s="886"/>
      <c r="S413" s="886"/>
      <c r="T413" s="886"/>
      <c r="U413" s="886"/>
      <c r="V413" s="886"/>
      <c r="W413" s="886"/>
      <c r="X413" s="886"/>
    </row>
    <row r="414" spans="3:24">
      <c r="C414" s="942"/>
      <c r="D414" s="943"/>
      <c r="E414" s="886"/>
      <c r="F414" s="886"/>
      <c r="G414" s="886"/>
      <c r="H414" s="886"/>
      <c r="I414" s="886"/>
      <c r="J414" s="886"/>
      <c r="K414" s="886"/>
      <c r="L414" s="886"/>
      <c r="M414" s="886"/>
      <c r="N414" s="886"/>
      <c r="O414" s="886"/>
      <c r="P414" s="886"/>
      <c r="Q414" s="886"/>
      <c r="R414" s="886"/>
      <c r="S414" s="886"/>
      <c r="T414" s="886"/>
      <c r="U414" s="886"/>
      <c r="V414" s="886"/>
      <c r="W414" s="886"/>
      <c r="X414" s="886"/>
    </row>
    <row r="415" spans="3:24">
      <c r="C415" s="942"/>
      <c r="D415" s="943"/>
      <c r="E415" s="886"/>
      <c r="F415" s="886"/>
      <c r="G415" s="886"/>
      <c r="H415" s="886"/>
      <c r="I415" s="886"/>
      <c r="J415" s="886"/>
      <c r="K415" s="886"/>
      <c r="L415" s="886"/>
      <c r="M415" s="886"/>
      <c r="N415" s="886"/>
      <c r="O415" s="886"/>
      <c r="P415" s="886"/>
      <c r="Q415" s="886"/>
      <c r="R415" s="886"/>
      <c r="S415" s="886"/>
      <c r="T415" s="886"/>
      <c r="U415" s="886"/>
      <c r="V415" s="886"/>
      <c r="W415" s="886"/>
      <c r="X415" s="886"/>
    </row>
    <row r="416" spans="3:24">
      <c r="C416" s="942"/>
      <c r="D416" s="943"/>
      <c r="E416" s="886"/>
      <c r="F416" s="886"/>
      <c r="G416" s="886"/>
      <c r="H416" s="886"/>
      <c r="I416" s="886"/>
      <c r="J416" s="886"/>
      <c r="K416" s="886"/>
      <c r="L416" s="886"/>
      <c r="M416" s="886"/>
      <c r="N416" s="886"/>
      <c r="O416" s="886"/>
      <c r="P416" s="886"/>
      <c r="Q416" s="886"/>
      <c r="R416" s="886"/>
      <c r="S416" s="886"/>
      <c r="T416" s="886"/>
      <c r="U416" s="886"/>
      <c r="V416" s="886"/>
      <c r="W416" s="886"/>
      <c r="X416" s="886"/>
    </row>
    <row r="417" spans="3:24">
      <c r="C417" s="942"/>
      <c r="D417" s="943"/>
      <c r="E417" s="886"/>
      <c r="F417" s="886"/>
      <c r="G417" s="886"/>
      <c r="H417" s="886"/>
      <c r="I417" s="886"/>
      <c r="J417" s="886"/>
      <c r="K417" s="886"/>
      <c r="L417" s="886"/>
      <c r="M417" s="886"/>
      <c r="N417" s="886"/>
      <c r="O417" s="886"/>
      <c r="P417" s="886"/>
      <c r="Q417" s="886"/>
      <c r="R417" s="886"/>
      <c r="S417" s="886"/>
      <c r="T417" s="886"/>
      <c r="U417" s="886"/>
      <c r="V417" s="886"/>
      <c r="W417" s="886"/>
      <c r="X417" s="886"/>
    </row>
    <row r="418" spans="3:24">
      <c r="C418" s="942"/>
      <c r="D418" s="943"/>
      <c r="E418" s="886"/>
      <c r="F418" s="886"/>
      <c r="G418" s="886"/>
      <c r="H418" s="886"/>
      <c r="I418" s="886"/>
      <c r="J418" s="886"/>
      <c r="K418" s="886"/>
      <c r="L418" s="886"/>
      <c r="M418" s="886"/>
      <c r="N418" s="886"/>
      <c r="O418" s="886"/>
      <c r="P418" s="886"/>
      <c r="Q418" s="886"/>
      <c r="R418" s="886"/>
      <c r="S418" s="886"/>
      <c r="T418" s="886"/>
      <c r="U418" s="886"/>
      <c r="V418" s="886"/>
      <c r="W418" s="886"/>
      <c r="X418" s="886"/>
    </row>
    <row r="419" spans="3:24">
      <c r="C419" s="942"/>
      <c r="D419" s="943"/>
      <c r="E419" s="886"/>
      <c r="F419" s="886"/>
      <c r="G419" s="886"/>
      <c r="H419" s="886"/>
      <c r="I419" s="886"/>
      <c r="J419" s="886"/>
      <c r="K419" s="886"/>
      <c r="L419" s="886"/>
      <c r="M419" s="886"/>
      <c r="N419" s="886"/>
      <c r="O419" s="886"/>
      <c r="P419" s="886"/>
      <c r="Q419" s="886"/>
      <c r="R419" s="886"/>
      <c r="S419" s="886"/>
      <c r="T419" s="886"/>
      <c r="U419" s="886"/>
      <c r="V419" s="886"/>
      <c r="W419" s="886"/>
      <c r="X419" s="886"/>
    </row>
    <row r="420" spans="3:24">
      <c r="C420" s="942"/>
      <c r="D420" s="943"/>
      <c r="E420" s="886"/>
      <c r="F420" s="886"/>
      <c r="G420" s="886"/>
      <c r="H420" s="886"/>
      <c r="I420" s="886"/>
      <c r="J420" s="886"/>
      <c r="K420" s="886"/>
      <c r="L420" s="886"/>
      <c r="M420" s="886"/>
      <c r="N420" s="886"/>
      <c r="O420" s="886"/>
      <c r="P420" s="886"/>
      <c r="Q420" s="886"/>
      <c r="R420" s="886"/>
      <c r="S420" s="886"/>
      <c r="T420" s="886"/>
      <c r="U420" s="886"/>
      <c r="V420" s="886"/>
      <c r="W420" s="886"/>
      <c r="X420" s="886"/>
    </row>
    <row r="421" spans="3:24">
      <c r="C421" s="942"/>
      <c r="D421" s="943"/>
      <c r="E421" s="886"/>
      <c r="F421" s="886"/>
      <c r="G421" s="886"/>
      <c r="H421" s="886"/>
      <c r="I421" s="886"/>
      <c r="J421" s="886"/>
      <c r="K421" s="886"/>
      <c r="L421" s="886"/>
      <c r="M421" s="886"/>
      <c r="N421" s="886"/>
      <c r="O421" s="886"/>
      <c r="P421" s="886"/>
      <c r="Q421" s="886"/>
      <c r="R421" s="886"/>
      <c r="S421" s="886"/>
      <c r="T421" s="886"/>
      <c r="U421" s="886"/>
      <c r="V421" s="886"/>
      <c r="W421" s="886"/>
      <c r="X421" s="886"/>
    </row>
    <row r="422" spans="3:24">
      <c r="C422" s="942"/>
      <c r="D422" s="943"/>
      <c r="E422" s="886"/>
      <c r="F422" s="886"/>
      <c r="G422" s="886"/>
      <c r="H422" s="886"/>
      <c r="I422" s="886"/>
      <c r="J422" s="886"/>
      <c r="K422" s="886"/>
      <c r="L422" s="886"/>
      <c r="M422" s="886"/>
      <c r="N422" s="886"/>
      <c r="O422" s="886"/>
      <c r="P422" s="886"/>
      <c r="Q422" s="886"/>
      <c r="R422" s="886"/>
      <c r="S422" s="886"/>
      <c r="T422" s="886"/>
      <c r="U422" s="886"/>
      <c r="V422" s="886"/>
      <c r="W422" s="886"/>
      <c r="X422" s="886"/>
    </row>
    <row r="423" spans="3:24">
      <c r="C423" s="942"/>
      <c r="D423" s="943"/>
      <c r="E423" s="886"/>
      <c r="F423" s="886"/>
      <c r="G423" s="886"/>
      <c r="H423" s="886"/>
      <c r="I423" s="886"/>
      <c r="J423" s="886"/>
      <c r="K423" s="886"/>
      <c r="L423" s="886"/>
      <c r="M423" s="886"/>
      <c r="N423" s="886"/>
      <c r="O423" s="886"/>
      <c r="P423" s="886"/>
      <c r="Q423" s="886"/>
      <c r="R423" s="886"/>
      <c r="S423" s="886"/>
      <c r="T423" s="886"/>
      <c r="U423" s="886"/>
      <c r="V423" s="886"/>
      <c r="W423" s="886"/>
      <c r="X423" s="886"/>
    </row>
    <row r="424" spans="3:24">
      <c r="C424" s="942"/>
      <c r="D424" s="943"/>
      <c r="E424" s="886"/>
      <c r="F424" s="886"/>
      <c r="G424" s="886"/>
      <c r="H424" s="886"/>
      <c r="I424" s="886"/>
      <c r="J424" s="886"/>
      <c r="K424" s="886"/>
      <c r="L424" s="886"/>
      <c r="M424" s="886"/>
      <c r="N424" s="886"/>
      <c r="O424" s="886"/>
      <c r="P424" s="886"/>
      <c r="Q424" s="886"/>
      <c r="R424" s="886"/>
      <c r="S424" s="886"/>
      <c r="T424" s="886"/>
      <c r="U424" s="886"/>
      <c r="V424" s="886"/>
      <c r="W424" s="886"/>
      <c r="X424" s="886"/>
    </row>
    <row r="425" spans="3:24">
      <c r="C425" s="942"/>
      <c r="D425" s="943"/>
      <c r="E425" s="886"/>
      <c r="F425" s="886"/>
      <c r="G425" s="886"/>
      <c r="H425" s="886"/>
      <c r="I425" s="886"/>
      <c r="J425" s="886"/>
      <c r="K425" s="886"/>
      <c r="L425" s="886"/>
      <c r="M425" s="886"/>
      <c r="N425" s="886"/>
      <c r="O425" s="886"/>
      <c r="P425" s="886"/>
      <c r="Q425" s="886"/>
      <c r="R425" s="886"/>
      <c r="S425" s="886"/>
      <c r="T425" s="886"/>
      <c r="U425" s="886"/>
      <c r="V425" s="886"/>
      <c r="W425" s="886"/>
      <c r="X425" s="886"/>
    </row>
    <row r="426" spans="3:24">
      <c r="C426" s="942"/>
      <c r="D426" s="943"/>
      <c r="E426" s="886"/>
      <c r="F426" s="886"/>
      <c r="G426" s="886"/>
      <c r="H426" s="886"/>
      <c r="I426" s="886"/>
      <c r="J426" s="886"/>
      <c r="K426" s="886"/>
      <c r="L426" s="886"/>
      <c r="M426" s="886"/>
      <c r="N426" s="886"/>
      <c r="O426" s="886"/>
      <c r="P426" s="886"/>
      <c r="Q426" s="886"/>
      <c r="R426" s="886"/>
      <c r="S426" s="886"/>
      <c r="T426" s="886"/>
      <c r="U426" s="886"/>
      <c r="V426" s="886"/>
      <c r="W426" s="886"/>
      <c r="X426" s="886"/>
    </row>
    <row r="427" spans="3:24">
      <c r="C427" s="942"/>
      <c r="D427" s="943"/>
      <c r="E427" s="886"/>
      <c r="F427" s="886"/>
      <c r="G427" s="886"/>
      <c r="H427" s="886"/>
      <c r="I427" s="886"/>
      <c r="J427" s="886"/>
      <c r="K427" s="886"/>
      <c r="L427" s="886"/>
      <c r="M427" s="886"/>
      <c r="N427" s="886"/>
      <c r="O427" s="886"/>
      <c r="P427" s="886"/>
      <c r="Q427" s="886"/>
      <c r="R427" s="886"/>
      <c r="S427" s="886"/>
      <c r="T427" s="886"/>
      <c r="U427" s="886"/>
      <c r="V427" s="886"/>
      <c r="W427" s="886"/>
      <c r="X427" s="886"/>
    </row>
    <row r="428" spans="3:24">
      <c r="C428" s="942"/>
      <c r="D428" s="943"/>
      <c r="E428" s="886"/>
      <c r="F428" s="886"/>
      <c r="G428" s="886"/>
      <c r="H428" s="886"/>
      <c r="I428" s="886"/>
      <c r="J428" s="886"/>
      <c r="K428" s="886"/>
      <c r="L428" s="886"/>
      <c r="M428" s="886"/>
      <c r="N428" s="886"/>
      <c r="O428" s="886"/>
      <c r="P428" s="886"/>
      <c r="Q428" s="886"/>
      <c r="R428" s="886"/>
      <c r="S428" s="886"/>
      <c r="T428" s="886"/>
      <c r="U428" s="886"/>
      <c r="V428" s="886"/>
      <c r="W428" s="886"/>
      <c r="X428" s="886"/>
    </row>
    <row r="429" spans="3:24">
      <c r="C429" s="942"/>
      <c r="D429" s="943"/>
      <c r="E429" s="886"/>
      <c r="F429" s="886"/>
      <c r="G429" s="886"/>
      <c r="H429" s="886"/>
      <c r="I429" s="886"/>
      <c r="J429" s="886"/>
      <c r="K429" s="886"/>
      <c r="L429" s="886"/>
      <c r="M429" s="886"/>
      <c r="N429" s="886"/>
      <c r="O429" s="886"/>
      <c r="P429" s="886"/>
      <c r="Q429" s="886"/>
      <c r="R429" s="886"/>
      <c r="S429" s="886"/>
      <c r="T429" s="886"/>
      <c r="U429" s="886"/>
      <c r="V429" s="886"/>
      <c r="W429" s="886"/>
      <c r="X429" s="886"/>
    </row>
    <row r="430" spans="3:24">
      <c r="C430" s="942"/>
      <c r="D430" s="943"/>
      <c r="E430" s="886"/>
      <c r="F430" s="886"/>
      <c r="G430" s="886"/>
      <c r="H430" s="886"/>
      <c r="I430" s="886"/>
      <c r="J430" s="886"/>
      <c r="K430" s="886"/>
      <c r="L430" s="886"/>
      <c r="M430" s="886"/>
      <c r="N430" s="886"/>
      <c r="O430" s="886"/>
      <c r="P430" s="886"/>
      <c r="Q430" s="886"/>
      <c r="R430" s="886"/>
      <c r="S430" s="886"/>
      <c r="T430" s="886"/>
      <c r="U430" s="886"/>
      <c r="V430" s="886"/>
      <c r="W430" s="886"/>
      <c r="X430" s="886"/>
    </row>
    <row r="431" spans="3:24">
      <c r="C431" s="942"/>
      <c r="D431" s="943"/>
      <c r="E431" s="886"/>
      <c r="F431" s="886"/>
      <c r="G431" s="886"/>
      <c r="H431" s="886"/>
      <c r="I431" s="886"/>
      <c r="J431" s="886"/>
      <c r="K431" s="886"/>
      <c r="L431" s="886"/>
      <c r="M431" s="886"/>
      <c r="N431" s="886"/>
      <c r="O431" s="886"/>
      <c r="P431" s="886"/>
      <c r="Q431" s="886"/>
      <c r="R431" s="886"/>
      <c r="S431" s="886"/>
      <c r="T431" s="886"/>
      <c r="U431" s="886"/>
      <c r="V431" s="886"/>
      <c r="W431" s="886"/>
      <c r="X431" s="886"/>
    </row>
    <row r="432" spans="3:24">
      <c r="C432" s="942"/>
      <c r="D432" s="943"/>
      <c r="E432" s="886"/>
      <c r="F432" s="886"/>
      <c r="G432" s="886"/>
      <c r="H432" s="886"/>
      <c r="I432" s="886"/>
      <c r="J432" s="886"/>
      <c r="K432" s="886"/>
      <c r="L432" s="886"/>
      <c r="M432" s="886"/>
      <c r="N432" s="886"/>
      <c r="O432" s="886"/>
      <c r="P432" s="886"/>
      <c r="Q432" s="886"/>
      <c r="R432" s="886"/>
      <c r="S432" s="886"/>
      <c r="T432" s="886"/>
      <c r="U432" s="886"/>
      <c r="V432" s="886"/>
      <c r="W432" s="886"/>
      <c r="X432" s="886"/>
    </row>
    <row r="433" spans="3:24">
      <c r="C433" s="942"/>
      <c r="D433" s="943"/>
      <c r="E433" s="886"/>
      <c r="F433" s="886"/>
      <c r="G433" s="886"/>
      <c r="H433" s="886"/>
      <c r="I433" s="886"/>
      <c r="J433" s="886"/>
      <c r="K433" s="886"/>
      <c r="L433" s="886"/>
      <c r="M433" s="886"/>
      <c r="N433" s="886"/>
      <c r="O433" s="886"/>
      <c r="P433" s="886"/>
      <c r="Q433" s="886"/>
      <c r="R433" s="886"/>
      <c r="S433" s="886"/>
      <c r="T433" s="886"/>
      <c r="U433" s="886"/>
      <c r="V433" s="886"/>
      <c r="W433" s="886"/>
      <c r="X433" s="886"/>
    </row>
    <row r="434" spans="3:24">
      <c r="C434" s="942"/>
      <c r="D434" s="943"/>
      <c r="E434" s="886"/>
      <c r="F434" s="886"/>
      <c r="G434" s="886"/>
      <c r="H434" s="886"/>
      <c r="I434" s="886"/>
      <c r="J434" s="886"/>
      <c r="K434" s="886"/>
      <c r="L434" s="886"/>
      <c r="M434" s="886"/>
      <c r="N434" s="886"/>
      <c r="O434" s="886"/>
      <c r="P434" s="886"/>
      <c r="Q434" s="886"/>
      <c r="R434" s="886"/>
      <c r="S434" s="886"/>
      <c r="T434" s="886"/>
      <c r="U434" s="886"/>
      <c r="V434" s="886"/>
      <c r="W434" s="886"/>
      <c r="X434" s="886"/>
    </row>
    <row r="435" spans="3:24">
      <c r="C435" s="942"/>
      <c r="D435" s="943"/>
      <c r="E435" s="886"/>
      <c r="F435" s="886"/>
      <c r="G435" s="886"/>
      <c r="H435" s="886"/>
      <c r="I435" s="886"/>
      <c r="J435" s="886"/>
      <c r="K435" s="886"/>
      <c r="L435" s="886"/>
      <c r="M435" s="886"/>
      <c r="N435" s="886"/>
      <c r="O435" s="886"/>
      <c r="P435" s="886"/>
      <c r="Q435" s="886"/>
      <c r="R435" s="886"/>
      <c r="S435" s="886"/>
      <c r="T435" s="886"/>
      <c r="U435" s="886"/>
      <c r="V435" s="886"/>
      <c r="W435" s="886"/>
      <c r="X435" s="886"/>
    </row>
    <row r="436" spans="3:24">
      <c r="C436" s="942"/>
      <c r="D436" s="943"/>
      <c r="E436" s="886"/>
      <c r="F436" s="886"/>
      <c r="G436" s="886"/>
      <c r="H436" s="886"/>
      <c r="I436" s="886"/>
      <c r="J436" s="886"/>
      <c r="K436" s="886"/>
      <c r="L436" s="886"/>
      <c r="M436" s="886"/>
      <c r="N436" s="886"/>
      <c r="O436" s="886"/>
      <c r="P436" s="886"/>
      <c r="Q436" s="886"/>
      <c r="R436" s="886"/>
      <c r="S436" s="886"/>
      <c r="T436" s="886"/>
      <c r="U436" s="886"/>
      <c r="V436" s="886"/>
      <c r="W436" s="886"/>
      <c r="X436" s="886"/>
    </row>
    <row r="437" spans="3:24">
      <c r="C437" s="942"/>
      <c r="D437" s="943"/>
      <c r="E437" s="886"/>
      <c r="F437" s="886"/>
      <c r="G437" s="886"/>
      <c r="H437" s="886"/>
      <c r="I437" s="886"/>
      <c r="J437" s="886"/>
      <c r="K437" s="886"/>
      <c r="L437" s="886"/>
      <c r="M437" s="886"/>
      <c r="N437" s="886"/>
      <c r="O437" s="886"/>
      <c r="P437" s="886"/>
      <c r="Q437" s="886"/>
      <c r="R437" s="886"/>
      <c r="S437" s="886"/>
      <c r="T437" s="886"/>
      <c r="U437" s="886"/>
      <c r="V437" s="886"/>
      <c r="W437" s="886"/>
      <c r="X437" s="886"/>
    </row>
    <row r="438" spans="3:24">
      <c r="C438" s="942"/>
      <c r="D438" s="943"/>
      <c r="E438" s="886"/>
      <c r="F438" s="886"/>
      <c r="G438" s="886"/>
      <c r="H438" s="886"/>
      <c r="I438" s="886"/>
      <c r="J438" s="886"/>
      <c r="K438" s="886"/>
      <c r="L438" s="886"/>
      <c r="M438" s="886"/>
      <c r="N438" s="886"/>
      <c r="O438" s="886"/>
      <c r="P438" s="886"/>
      <c r="Q438" s="886"/>
      <c r="R438" s="886"/>
      <c r="S438" s="886"/>
      <c r="T438" s="886"/>
      <c r="U438" s="886"/>
      <c r="V438" s="886"/>
      <c r="W438" s="886"/>
      <c r="X438" s="886"/>
    </row>
    <row r="439" spans="3:24">
      <c r="C439" s="942"/>
      <c r="D439" s="943"/>
      <c r="E439" s="886"/>
      <c r="F439" s="886"/>
      <c r="G439" s="886"/>
      <c r="H439" s="886"/>
      <c r="I439" s="886"/>
      <c r="J439" s="886"/>
      <c r="K439" s="886"/>
      <c r="L439" s="886"/>
      <c r="M439" s="886"/>
      <c r="N439" s="886"/>
      <c r="O439" s="886"/>
      <c r="P439" s="886"/>
      <c r="Q439" s="886"/>
      <c r="R439" s="886"/>
      <c r="S439" s="886"/>
      <c r="T439" s="886"/>
      <c r="U439" s="886"/>
      <c r="V439" s="886"/>
      <c r="W439" s="886"/>
      <c r="X439" s="886"/>
    </row>
    <row r="440" spans="3:24">
      <c r="C440" s="942"/>
      <c r="D440" s="943"/>
      <c r="E440" s="886"/>
      <c r="F440" s="886"/>
      <c r="G440" s="886"/>
      <c r="H440" s="886"/>
      <c r="I440" s="886"/>
      <c r="J440" s="886"/>
      <c r="K440" s="886"/>
      <c r="L440" s="886"/>
      <c r="M440" s="886"/>
      <c r="N440" s="886"/>
      <c r="O440" s="886"/>
      <c r="P440" s="886"/>
      <c r="Q440" s="886"/>
      <c r="R440" s="886"/>
      <c r="S440" s="886"/>
      <c r="T440" s="886"/>
      <c r="U440" s="886"/>
      <c r="V440" s="886"/>
      <c r="W440" s="886"/>
      <c r="X440" s="886"/>
    </row>
    <row r="441" spans="3:24">
      <c r="C441" s="942"/>
      <c r="D441" s="943"/>
      <c r="E441" s="886"/>
      <c r="F441" s="886"/>
      <c r="G441" s="886"/>
      <c r="H441" s="886"/>
      <c r="I441" s="886"/>
      <c r="J441" s="886"/>
      <c r="K441" s="886"/>
      <c r="L441" s="886"/>
      <c r="M441" s="886"/>
      <c r="N441" s="886"/>
      <c r="O441" s="886"/>
      <c r="P441" s="886"/>
      <c r="Q441" s="886"/>
      <c r="R441" s="886"/>
      <c r="S441" s="886"/>
      <c r="T441" s="886"/>
      <c r="U441" s="886"/>
      <c r="V441" s="886"/>
      <c r="W441" s="886"/>
      <c r="X441" s="886"/>
    </row>
    <row r="442" spans="3:24">
      <c r="C442" s="942"/>
      <c r="D442" s="943"/>
      <c r="E442" s="886"/>
      <c r="F442" s="886"/>
      <c r="G442" s="886"/>
      <c r="H442" s="886"/>
      <c r="I442" s="886"/>
      <c r="J442" s="886"/>
      <c r="K442" s="886"/>
      <c r="L442" s="886"/>
      <c r="M442" s="886"/>
      <c r="N442" s="886"/>
      <c r="O442" s="886"/>
      <c r="P442" s="886"/>
      <c r="Q442" s="886"/>
      <c r="R442" s="886"/>
      <c r="S442" s="886"/>
      <c r="T442" s="886"/>
      <c r="U442" s="886"/>
      <c r="V442" s="886"/>
      <c r="W442" s="886"/>
      <c r="X442" s="886"/>
    </row>
    <row r="443" spans="3:24">
      <c r="C443" s="942"/>
      <c r="D443" s="943"/>
      <c r="E443" s="886"/>
      <c r="F443" s="886"/>
      <c r="G443" s="886"/>
      <c r="H443" s="886"/>
      <c r="I443" s="886"/>
      <c r="J443" s="886"/>
      <c r="K443" s="886"/>
      <c r="L443" s="886"/>
      <c r="M443" s="886"/>
      <c r="N443" s="886"/>
      <c r="O443" s="886"/>
      <c r="P443" s="886"/>
      <c r="Q443" s="886"/>
      <c r="R443" s="886"/>
      <c r="S443" s="886"/>
      <c r="T443" s="886"/>
      <c r="U443" s="886"/>
      <c r="V443" s="886"/>
      <c r="W443" s="886"/>
      <c r="X443" s="886"/>
    </row>
    <row r="444" spans="3:24">
      <c r="C444" s="942"/>
      <c r="D444" s="943"/>
      <c r="E444" s="886"/>
      <c r="F444" s="886"/>
      <c r="G444" s="886"/>
      <c r="H444" s="886"/>
      <c r="I444" s="886"/>
      <c r="J444" s="886"/>
      <c r="K444" s="886"/>
      <c r="L444" s="886"/>
      <c r="M444" s="886"/>
      <c r="N444" s="886"/>
      <c r="O444" s="886"/>
      <c r="P444" s="886"/>
      <c r="Q444" s="886"/>
      <c r="R444" s="886"/>
      <c r="S444" s="886"/>
      <c r="T444" s="886"/>
      <c r="U444" s="886"/>
      <c r="V444" s="886"/>
      <c r="W444" s="886"/>
      <c r="X444" s="886"/>
    </row>
    <row r="445" spans="3:24">
      <c r="C445" s="942"/>
      <c r="D445" s="943"/>
      <c r="E445" s="886"/>
      <c r="F445" s="886"/>
      <c r="G445" s="886"/>
      <c r="H445" s="886"/>
      <c r="I445" s="886"/>
      <c r="J445" s="886"/>
      <c r="K445" s="886"/>
      <c r="L445" s="886"/>
      <c r="M445" s="886"/>
      <c r="N445" s="886"/>
      <c r="O445" s="886"/>
      <c r="P445" s="886"/>
      <c r="Q445" s="886"/>
      <c r="R445" s="886"/>
      <c r="S445" s="886"/>
      <c r="T445" s="886"/>
      <c r="U445" s="886"/>
      <c r="V445" s="886"/>
      <c r="W445" s="886"/>
      <c r="X445" s="886"/>
    </row>
    <row r="446" spans="3:24">
      <c r="C446" s="942"/>
      <c r="D446" s="943"/>
      <c r="E446" s="886"/>
      <c r="F446" s="886"/>
      <c r="G446" s="886"/>
      <c r="H446" s="886"/>
      <c r="I446" s="886"/>
      <c r="J446" s="886"/>
      <c r="K446" s="886"/>
      <c r="L446" s="886"/>
      <c r="M446" s="886"/>
      <c r="N446" s="886"/>
      <c r="O446" s="886"/>
      <c r="P446" s="886"/>
      <c r="Q446" s="886"/>
      <c r="R446" s="886"/>
      <c r="S446" s="886"/>
      <c r="T446" s="886"/>
      <c r="U446" s="886"/>
      <c r="V446" s="886"/>
      <c r="W446" s="886"/>
      <c r="X446" s="886"/>
    </row>
    <row r="447" spans="3:24">
      <c r="C447" s="942"/>
      <c r="D447" s="943"/>
      <c r="E447" s="886"/>
      <c r="F447" s="886"/>
      <c r="G447" s="886"/>
      <c r="H447" s="886"/>
      <c r="I447" s="886"/>
      <c r="J447" s="886"/>
      <c r="K447" s="886"/>
      <c r="L447" s="886"/>
      <c r="M447" s="886"/>
      <c r="N447" s="886"/>
      <c r="O447" s="886"/>
      <c r="P447" s="886"/>
      <c r="Q447" s="886"/>
      <c r="R447" s="886"/>
      <c r="S447" s="886"/>
      <c r="T447" s="886"/>
      <c r="U447" s="886"/>
      <c r="V447" s="886"/>
      <c r="W447" s="886"/>
      <c r="X447" s="886"/>
    </row>
    <row r="448" spans="3:24">
      <c r="C448" s="942"/>
      <c r="D448" s="943"/>
      <c r="E448" s="886"/>
      <c r="F448" s="886"/>
      <c r="G448" s="886"/>
      <c r="H448" s="886"/>
      <c r="I448" s="886"/>
      <c r="J448" s="886"/>
      <c r="K448" s="886"/>
      <c r="L448" s="886"/>
      <c r="M448" s="886"/>
      <c r="N448" s="886"/>
      <c r="O448" s="886"/>
      <c r="P448" s="886"/>
      <c r="Q448" s="886"/>
      <c r="R448" s="886"/>
      <c r="S448" s="886"/>
      <c r="T448" s="886"/>
      <c r="U448" s="886"/>
      <c r="V448" s="886"/>
      <c r="W448" s="886"/>
      <c r="X448" s="886"/>
    </row>
    <row r="449" spans="3:24">
      <c r="C449" s="942"/>
      <c r="D449" s="943"/>
      <c r="E449" s="886"/>
      <c r="F449" s="886"/>
      <c r="G449" s="886"/>
      <c r="H449" s="886"/>
      <c r="I449" s="886"/>
      <c r="J449" s="886"/>
      <c r="K449" s="886"/>
      <c r="L449" s="886"/>
      <c r="M449" s="886"/>
      <c r="N449" s="886"/>
      <c r="O449" s="886"/>
      <c r="P449" s="886"/>
      <c r="Q449" s="886"/>
      <c r="R449" s="886"/>
      <c r="S449" s="886"/>
      <c r="T449" s="886"/>
      <c r="U449" s="886"/>
      <c r="V449" s="886"/>
      <c r="W449" s="886"/>
      <c r="X449" s="886"/>
    </row>
    <row r="450" spans="3:24">
      <c r="C450" s="942"/>
      <c r="D450" s="943"/>
      <c r="E450" s="886"/>
      <c r="F450" s="886"/>
      <c r="G450" s="886"/>
      <c r="H450" s="886"/>
      <c r="I450" s="886"/>
      <c r="J450" s="886"/>
      <c r="K450" s="886"/>
      <c r="L450" s="886"/>
      <c r="M450" s="886"/>
      <c r="N450" s="886"/>
      <c r="O450" s="886"/>
      <c r="P450" s="886"/>
      <c r="Q450" s="886"/>
      <c r="R450" s="886"/>
      <c r="S450" s="886"/>
      <c r="T450" s="886"/>
      <c r="U450" s="886"/>
      <c r="V450" s="886"/>
      <c r="W450" s="886"/>
      <c r="X450" s="886"/>
    </row>
    <row r="451" spans="3:24">
      <c r="C451" s="942"/>
      <c r="D451" s="943"/>
      <c r="E451" s="886"/>
      <c r="F451" s="886"/>
      <c r="G451" s="886"/>
      <c r="H451" s="886"/>
      <c r="I451" s="886"/>
      <c r="J451" s="886"/>
      <c r="K451" s="886"/>
      <c r="L451" s="886"/>
      <c r="M451" s="886"/>
      <c r="N451" s="886"/>
      <c r="O451" s="886"/>
      <c r="P451" s="886"/>
      <c r="Q451" s="886"/>
      <c r="R451" s="886"/>
      <c r="S451" s="886"/>
      <c r="T451" s="886"/>
      <c r="U451" s="886"/>
      <c r="V451" s="886"/>
      <c r="W451" s="886"/>
      <c r="X451" s="886"/>
    </row>
    <row r="452" spans="3:24">
      <c r="C452" s="942"/>
      <c r="D452" s="943"/>
      <c r="E452" s="886"/>
      <c r="F452" s="886"/>
      <c r="G452" s="886"/>
      <c r="H452" s="886"/>
      <c r="I452" s="886"/>
      <c r="J452" s="886"/>
      <c r="K452" s="886"/>
      <c r="L452" s="886"/>
      <c r="M452" s="886"/>
      <c r="N452" s="886"/>
      <c r="O452" s="886"/>
      <c r="P452" s="886"/>
      <c r="Q452" s="886"/>
      <c r="R452" s="886"/>
      <c r="S452" s="886"/>
      <c r="T452" s="886"/>
      <c r="U452" s="886"/>
      <c r="V452" s="886"/>
      <c r="W452" s="886"/>
      <c r="X452" s="886"/>
    </row>
    <row r="453" spans="3:24">
      <c r="C453" s="942"/>
      <c r="D453" s="943"/>
      <c r="E453" s="886"/>
      <c r="F453" s="886"/>
      <c r="G453" s="886"/>
      <c r="H453" s="886"/>
      <c r="I453" s="886"/>
      <c r="J453" s="886"/>
      <c r="K453" s="886"/>
      <c r="L453" s="886"/>
      <c r="M453" s="886"/>
      <c r="N453" s="886"/>
      <c r="O453" s="886"/>
      <c r="P453" s="886"/>
      <c r="Q453" s="886"/>
      <c r="R453" s="886"/>
      <c r="S453" s="886"/>
      <c r="T453" s="886"/>
      <c r="U453" s="886"/>
      <c r="V453" s="886"/>
      <c r="W453" s="886"/>
      <c r="X453" s="886"/>
    </row>
    <row r="454" spans="3:24">
      <c r="C454" s="942"/>
      <c r="D454" s="943"/>
      <c r="E454" s="886"/>
      <c r="F454" s="886"/>
      <c r="G454" s="886"/>
      <c r="H454" s="886"/>
      <c r="I454" s="886"/>
      <c r="J454" s="886"/>
      <c r="K454" s="886"/>
      <c r="L454" s="886"/>
      <c r="M454" s="886"/>
      <c r="N454" s="886"/>
      <c r="O454" s="886"/>
      <c r="P454" s="886"/>
      <c r="Q454" s="886"/>
      <c r="R454" s="886"/>
      <c r="S454" s="886"/>
      <c r="T454" s="886"/>
      <c r="U454" s="886"/>
      <c r="V454" s="886"/>
      <c r="W454" s="886"/>
      <c r="X454" s="886"/>
    </row>
    <row r="455" spans="3:24">
      <c r="C455" s="942"/>
      <c r="D455" s="943"/>
      <c r="E455" s="886"/>
      <c r="F455" s="886"/>
      <c r="G455" s="886"/>
      <c r="H455" s="886"/>
      <c r="I455" s="886"/>
      <c r="J455" s="886"/>
      <c r="K455" s="886"/>
      <c r="L455" s="886"/>
      <c r="M455" s="886"/>
      <c r="N455" s="886"/>
      <c r="O455" s="886"/>
      <c r="P455" s="886"/>
      <c r="Q455" s="886"/>
      <c r="R455" s="886"/>
      <c r="S455" s="886"/>
      <c r="T455" s="886"/>
      <c r="U455" s="886"/>
      <c r="V455" s="886"/>
      <c r="W455" s="886"/>
      <c r="X455" s="886"/>
    </row>
    <row r="456" spans="3:24">
      <c r="C456" s="942"/>
      <c r="D456" s="943"/>
      <c r="E456" s="886"/>
      <c r="F456" s="886"/>
      <c r="G456" s="886"/>
      <c r="H456" s="886"/>
      <c r="I456" s="886"/>
      <c r="J456" s="886"/>
      <c r="K456" s="886"/>
      <c r="L456" s="886"/>
      <c r="M456" s="886"/>
      <c r="N456" s="886"/>
      <c r="O456" s="886"/>
      <c r="P456" s="886"/>
      <c r="Q456" s="886"/>
      <c r="R456" s="886"/>
      <c r="S456" s="886"/>
      <c r="T456" s="886"/>
      <c r="U456" s="886"/>
      <c r="V456" s="886"/>
      <c r="W456" s="886"/>
      <c r="X456" s="886"/>
    </row>
    <row r="457" spans="3:24">
      <c r="C457" s="942"/>
      <c r="D457" s="943"/>
      <c r="E457" s="886"/>
      <c r="F457" s="886"/>
      <c r="G457" s="886"/>
      <c r="H457" s="886"/>
      <c r="I457" s="886"/>
      <c r="J457" s="886"/>
      <c r="K457" s="886"/>
      <c r="L457" s="886"/>
      <c r="M457" s="886"/>
      <c r="N457" s="886"/>
      <c r="O457" s="886"/>
      <c r="P457" s="886"/>
      <c r="Q457" s="886"/>
      <c r="R457" s="886"/>
      <c r="S457" s="886"/>
      <c r="T457" s="886"/>
      <c r="U457" s="886"/>
      <c r="V457" s="886"/>
      <c r="W457" s="886"/>
      <c r="X457" s="886"/>
    </row>
    <row r="458" spans="3:24">
      <c r="C458" s="942"/>
      <c r="D458" s="943"/>
      <c r="E458" s="886"/>
      <c r="F458" s="886"/>
      <c r="G458" s="886"/>
      <c r="H458" s="886"/>
      <c r="I458" s="886"/>
      <c r="J458" s="886"/>
      <c r="K458" s="886"/>
      <c r="L458" s="886"/>
      <c r="M458" s="886"/>
      <c r="N458" s="886"/>
      <c r="O458" s="886"/>
      <c r="P458" s="886"/>
      <c r="Q458" s="886"/>
      <c r="R458" s="886"/>
      <c r="S458" s="886"/>
      <c r="T458" s="886"/>
      <c r="U458" s="886"/>
      <c r="V458" s="886"/>
      <c r="W458" s="886"/>
      <c r="X458" s="886"/>
    </row>
    <row r="459" spans="3:24">
      <c r="C459" s="942"/>
      <c r="D459" s="943"/>
      <c r="E459" s="886"/>
      <c r="F459" s="886"/>
      <c r="G459" s="886"/>
      <c r="H459" s="886"/>
      <c r="I459" s="886"/>
      <c r="J459" s="886"/>
      <c r="K459" s="886"/>
      <c r="L459" s="886"/>
      <c r="M459" s="886"/>
      <c r="N459" s="886"/>
      <c r="O459" s="886"/>
      <c r="P459" s="886"/>
      <c r="Q459" s="886"/>
      <c r="R459" s="886"/>
      <c r="S459" s="886"/>
      <c r="T459" s="886"/>
      <c r="U459" s="886"/>
      <c r="V459" s="886"/>
      <c r="W459" s="886"/>
      <c r="X459" s="886"/>
    </row>
    <row r="460" spans="3:24">
      <c r="C460" s="942"/>
      <c r="D460" s="943"/>
      <c r="E460" s="886"/>
      <c r="F460" s="886"/>
      <c r="G460" s="886"/>
      <c r="H460" s="886"/>
      <c r="I460" s="886"/>
      <c r="J460" s="886"/>
      <c r="K460" s="886"/>
      <c r="L460" s="886"/>
      <c r="M460" s="886"/>
      <c r="N460" s="886"/>
      <c r="O460" s="886"/>
      <c r="P460" s="886"/>
      <c r="Q460" s="886"/>
      <c r="R460" s="886"/>
      <c r="S460" s="886"/>
      <c r="T460" s="886"/>
      <c r="U460" s="886"/>
      <c r="V460" s="886"/>
      <c r="W460" s="886"/>
      <c r="X460" s="886"/>
    </row>
    <row r="461" spans="3:24">
      <c r="C461" s="942"/>
      <c r="D461" s="943"/>
      <c r="E461" s="886"/>
      <c r="F461" s="886"/>
      <c r="G461" s="886"/>
      <c r="H461" s="886"/>
      <c r="I461" s="886"/>
      <c r="J461" s="886"/>
      <c r="K461" s="886"/>
      <c r="L461" s="886"/>
      <c r="M461" s="886"/>
      <c r="N461" s="886"/>
      <c r="O461" s="886"/>
      <c r="P461" s="886"/>
      <c r="Q461" s="886"/>
      <c r="R461" s="886"/>
      <c r="S461" s="886"/>
      <c r="T461" s="886"/>
      <c r="U461" s="886"/>
      <c r="V461" s="886"/>
      <c r="W461" s="886"/>
      <c r="X461" s="886"/>
    </row>
    <row r="462" spans="3:24">
      <c r="C462" s="942"/>
      <c r="D462" s="943"/>
      <c r="E462" s="886"/>
      <c r="F462" s="886"/>
      <c r="G462" s="886"/>
      <c r="H462" s="886"/>
      <c r="I462" s="886"/>
      <c r="J462" s="886"/>
      <c r="K462" s="886"/>
      <c r="L462" s="886"/>
      <c r="M462" s="886"/>
      <c r="N462" s="886"/>
      <c r="O462" s="886"/>
      <c r="P462" s="886"/>
      <c r="Q462" s="886"/>
      <c r="R462" s="886"/>
      <c r="S462" s="886"/>
      <c r="T462" s="886"/>
      <c r="U462" s="886"/>
      <c r="V462" s="886"/>
      <c r="W462" s="886"/>
      <c r="X462" s="886"/>
    </row>
    <row r="463" spans="3:24">
      <c r="C463" s="942"/>
      <c r="D463" s="943"/>
      <c r="E463" s="886"/>
      <c r="F463" s="886"/>
      <c r="G463" s="886"/>
      <c r="H463" s="886"/>
      <c r="I463" s="886"/>
      <c r="J463" s="886"/>
      <c r="K463" s="886"/>
      <c r="L463" s="886"/>
      <c r="M463" s="886"/>
      <c r="N463" s="886"/>
      <c r="O463" s="886"/>
      <c r="P463" s="886"/>
      <c r="Q463" s="886"/>
      <c r="R463" s="886"/>
      <c r="S463" s="886"/>
      <c r="T463" s="886"/>
      <c r="U463" s="886"/>
      <c r="V463" s="886"/>
      <c r="W463" s="886"/>
      <c r="X463" s="886"/>
    </row>
    <row r="464" spans="3:24">
      <c r="C464" s="942"/>
      <c r="D464" s="943"/>
      <c r="E464" s="886"/>
      <c r="F464" s="886"/>
      <c r="G464" s="886"/>
      <c r="H464" s="886"/>
      <c r="I464" s="886"/>
      <c r="J464" s="886"/>
      <c r="K464" s="886"/>
      <c r="L464" s="886"/>
      <c r="M464" s="886"/>
      <c r="N464" s="886"/>
      <c r="O464" s="886"/>
      <c r="P464" s="886"/>
      <c r="Q464" s="886"/>
      <c r="R464" s="886"/>
      <c r="S464" s="886"/>
      <c r="T464" s="886"/>
      <c r="U464" s="886"/>
      <c r="V464" s="886"/>
      <c r="W464" s="886"/>
      <c r="X464" s="886"/>
    </row>
    <row r="465" spans="3:24">
      <c r="C465" s="942"/>
      <c r="D465" s="943"/>
      <c r="E465" s="886"/>
      <c r="F465" s="886"/>
      <c r="G465" s="886"/>
      <c r="H465" s="886"/>
      <c r="I465" s="886"/>
      <c r="J465" s="886"/>
      <c r="K465" s="886"/>
      <c r="L465" s="886"/>
      <c r="M465" s="886"/>
      <c r="N465" s="886"/>
      <c r="O465" s="886"/>
      <c r="P465" s="886"/>
      <c r="Q465" s="886"/>
      <c r="R465" s="886"/>
      <c r="S465" s="886"/>
      <c r="T465" s="886"/>
      <c r="U465" s="886"/>
      <c r="V465" s="886"/>
      <c r="W465" s="886"/>
      <c r="X465" s="886"/>
    </row>
    <row r="466" spans="3:24">
      <c r="C466" s="942"/>
      <c r="D466" s="943"/>
      <c r="E466" s="886"/>
      <c r="F466" s="886"/>
      <c r="G466" s="886"/>
      <c r="H466" s="886"/>
      <c r="I466" s="886"/>
      <c r="J466" s="886"/>
      <c r="K466" s="886"/>
      <c r="L466" s="886"/>
      <c r="M466" s="886"/>
      <c r="N466" s="886"/>
      <c r="O466" s="886"/>
      <c r="P466" s="886"/>
      <c r="Q466" s="886"/>
      <c r="R466" s="886"/>
      <c r="S466" s="886"/>
      <c r="T466" s="886"/>
      <c r="U466" s="886"/>
      <c r="V466" s="886"/>
      <c r="W466" s="886"/>
      <c r="X466" s="886"/>
    </row>
    <row r="467" spans="3:24">
      <c r="C467" s="942"/>
      <c r="D467" s="943"/>
      <c r="E467" s="886"/>
      <c r="F467" s="886"/>
      <c r="G467" s="886"/>
      <c r="H467" s="886"/>
      <c r="I467" s="886"/>
      <c r="J467" s="886"/>
      <c r="K467" s="886"/>
      <c r="L467" s="886"/>
      <c r="M467" s="886"/>
      <c r="N467" s="886"/>
      <c r="O467" s="886"/>
      <c r="P467" s="886"/>
      <c r="Q467" s="886"/>
      <c r="R467" s="886"/>
      <c r="S467" s="886"/>
      <c r="T467" s="886"/>
      <c r="U467" s="886"/>
      <c r="V467" s="886"/>
      <c r="W467" s="886"/>
      <c r="X467" s="886"/>
    </row>
    <row r="468" spans="3:24">
      <c r="C468" s="942"/>
      <c r="D468" s="943"/>
      <c r="E468" s="886"/>
      <c r="F468" s="886"/>
      <c r="G468" s="886"/>
      <c r="H468" s="886"/>
      <c r="I468" s="886"/>
      <c r="J468" s="886"/>
      <c r="K468" s="886"/>
      <c r="L468" s="886"/>
      <c r="M468" s="886"/>
      <c r="N468" s="886"/>
      <c r="O468" s="886"/>
      <c r="P468" s="886"/>
      <c r="Q468" s="886"/>
      <c r="R468" s="886"/>
      <c r="S468" s="886"/>
      <c r="T468" s="886"/>
      <c r="U468" s="886"/>
      <c r="V468" s="886"/>
      <c r="W468" s="886"/>
      <c r="X468" s="886"/>
    </row>
    <row r="469" spans="3:24">
      <c r="C469" s="942"/>
      <c r="D469" s="943"/>
      <c r="E469" s="886"/>
      <c r="F469" s="886"/>
      <c r="G469" s="886"/>
      <c r="H469" s="886"/>
      <c r="I469" s="886"/>
      <c r="J469" s="886"/>
      <c r="K469" s="886"/>
      <c r="L469" s="886"/>
      <c r="M469" s="886"/>
      <c r="N469" s="886"/>
      <c r="O469" s="886"/>
      <c r="P469" s="886"/>
      <c r="Q469" s="886"/>
      <c r="R469" s="886"/>
      <c r="S469" s="886"/>
      <c r="T469" s="886"/>
      <c r="U469" s="886"/>
      <c r="V469" s="886"/>
      <c r="W469" s="886"/>
      <c r="X469" s="886"/>
    </row>
    <row r="470" spans="3:24">
      <c r="C470" s="942"/>
      <c r="D470" s="943"/>
      <c r="E470" s="886"/>
      <c r="F470" s="886"/>
      <c r="G470" s="886"/>
      <c r="H470" s="886"/>
      <c r="I470" s="886"/>
      <c r="J470" s="886"/>
      <c r="K470" s="886"/>
      <c r="L470" s="886"/>
      <c r="M470" s="886"/>
      <c r="N470" s="886"/>
      <c r="O470" s="886"/>
      <c r="P470" s="886"/>
      <c r="Q470" s="886"/>
      <c r="R470" s="886"/>
      <c r="S470" s="886"/>
      <c r="T470" s="886"/>
      <c r="U470" s="886"/>
      <c r="V470" s="886"/>
      <c r="W470" s="886"/>
      <c r="X470" s="886"/>
    </row>
    <row r="471" spans="3:24">
      <c r="C471" s="942"/>
      <c r="D471" s="943"/>
      <c r="E471" s="886"/>
      <c r="F471" s="886"/>
      <c r="G471" s="886"/>
      <c r="H471" s="886"/>
      <c r="I471" s="886"/>
      <c r="J471" s="886"/>
      <c r="K471" s="886"/>
      <c r="L471" s="886"/>
      <c r="M471" s="886"/>
      <c r="N471" s="886"/>
      <c r="O471" s="886"/>
      <c r="P471" s="886"/>
      <c r="Q471" s="886"/>
      <c r="R471" s="886"/>
      <c r="S471" s="886"/>
      <c r="T471" s="886"/>
      <c r="U471" s="886"/>
      <c r="V471" s="886"/>
      <c r="W471" s="886"/>
      <c r="X471" s="886"/>
    </row>
    <row r="472" spans="3:24">
      <c r="C472" s="942"/>
      <c r="D472" s="943"/>
      <c r="E472" s="886"/>
      <c r="F472" s="886"/>
      <c r="G472" s="886"/>
      <c r="H472" s="886"/>
      <c r="I472" s="886"/>
      <c r="J472" s="886"/>
      <c r="K472" s="886"/>
      <c r="L472" s="886"/>
      <c r="M472" s="886"/>
      <c r="N472" s="886"/>
      <c r="O472" s="886"/>
      <c r="P472" s="886"/>
      <c r="Q472" s="886"/>
      <c r="R472" s="886"/>
      <c r="S472" s="886"/>
      <c r="T472" s="886"/>
      <c r="U472" s="886"/>
      <c r="V472" s="886"/>
      <c r="W472" s="886"/>
      <c r="X472" s="886"/>
    </row>
    <row r="473" spans="3:24">
      <c r="C473" s="942"/>
      <c r="D473" s="943"/>
      <c r="E473" s="886"/>
      <c r="F473" s="886"/>
      <c r="G473" s="886"/>
      <c r="H473" s="886"/>
      <c r="I473" s="886"/>
      <c r="J473" s="886"/>
      <c r="K473" s="886"/>
      <c r="L473" s="886"/>
      <c r="M473" s="886"/>
      <c r="N473" s="886"/>
      <c r="O473" s="886"/>
      <c r="P473" s="886"/>
      <c r="Q473" s="886"/>
      <c r="R473" s="886"/>
      <c r="S473" s="886"/>
      <c r="T473" s="886"/>
      <c r="U473" s="886"/>
      <c r="V473" s="886"/>
      <c r="W473" s="886"/>
      <c r="X473" s="886"/>
    </row>
    <row r="474" spans="3:24">
      <c r="C474" s="942"/>
      <c r="D474" s="943"/>
      <c r="E474" s="886"/>
      <c r="F474" s="886"/>
      <c r="G474" s="886"/>
      <c r="H474" s="886"/>
      <c r="I474" s="886"/>
      <c r="J474" s="886"/>
      <c r="K474" s="886"/>
      <c r="L474" s="886"/>
      <c r="M474" s="886"/>
      <c r="N474" s="886"/>
      <c r="O474" s="886"/>
      <c r="P474" s="886"/>
      <c r="Q474" s="886"/>
      <c r="R474" s="886"/>
      <c r="S474" s="886"/>
      <c r="T474" s="886"/>
      <c r="U474" s="886"/>
      <c r="V474" s="886"/>
      <c r="W474" s="886"/>
      <c r="X474" s="886"/>
    </row>
    <row r="475" spans="3:24">
      <c r="C475" s="942"/>
      <c r="D475" s="943"/>
      <c r="E475" s="886"/>
      <c r="F475" s="886"/>
      <c r="G475" s="886"/>
      <c r="H475" s="886"/>
      <c r="I475" s="886"/>
      <c r="J475" s="886"/>
      <c r="K475" s="886"/>
      <c r="L475" s="886"/>
      <c r="M475" s="886"/>
      <c r="N475" s="886"/>
      <c r="O475" s="886"/>
      <c r="P475" s="886"/>
      <c r="Q475" s="886"/>
      <c r="R475" s="886"/>
      <c r="S475" s="886"/>
      <c r="T475" s="886"/>
      <c r="U475" s="886"/>
      <c r="V475" s="886"/>
      <c r="W475" s="886"/>
      <c r="X475" s="886"/>
    </row>
    <row r="476" spans="3:24">
      <c r="C476" s="942"/>
      <c r="D476" s="943"/>
      <c r="E476" s="886"/>
      <c r="F476" s="886"/>
      <c r="G476" s="886"/>
      <c r="H476" s="886"/>
      <c r="I476" s="886"/>
      <c r="J476" s="886"/>
      <c r="K476" s="886"/>
      <c r="L476" s="886"/>
      <c r="M476" s="886"/>
      <c r="N476" s="886"/>
      <c r="O476" s="886"/>
      <c r="P476" s="886"/>
      <c r="Q476" s="886"/>
      <c r="R476" s="886"/>
      <c r="S476" s="886"/>
      <c r="T476" s="886"/>
      <c r="U476" s="886"/>
      <c r="V476" s="886"/>
      <c r="W476" s="886"/>
      <c r="X476" s="886"/>
    </row>
    <row r="477" spans="3:24">
      <c r="C477" s="942"/>
      <c r="D477" s="943"/>
      <c r="E477" s="886"/>
      <c r="F477" s="886"/>
      <c r="G477" s="886"/>
      <c r="H477" s="886"/>
      <c r="I477" s="886"/>
      <c r="J477" s="886"/>
      <c r="K477" s="886"/>
      <c r="L477" s="886"/>
      <c r="M477" s="886"/>
      <c r="N477" s="886"/>
      <c r="O477" s="886"/>
      <c r="P477" s="886"/>
      <c r="Q477" s="886"/>
      <c r="R477" s="886"/>
      <c r="S477" s="886"/>
      <c r="T477" s="886"/>
      <c r="U477" s="886"/>
      <c r="V477" s="886"/>
      <c r="W477" s="886"/>
      <c r="X477" s="886"/>
    </row>
    <row r="478" spans="3:24">
      <c r="C478" s="942"/>
      <c r="D478" s="943"/>
      <c r="E478" s="886"/>
      <c r="F478" s="886"/>
      <c r="G478" s="886"/>
      <c r="H478" s="886"/>
      <c r="I478" s="886"/>
      <c r="J478" s="886"/>
      <c r="K478" s="886"/>
      <c r="L478" s="886"/>
      <c r="M478" s="886"/>
      <c r="N478" s="886"/>
      <c r="O478" s="886"/>
      <c r="P478" s="886"/>
      <c r="Q478" s="886"/>
      <c r="R478" s="886"/>
      <c r="S478" s="886"/>
      <c r="T478" s="886"/>
      <c r="U478" s="886"/>
      <c r="V478" s="886"/>
      <c r="W478" s="886"/>
      <c r="X478" s="886"/>
    </row>
    <row r="479" spans="3:24">
      <c r="C479" s="942"/>
      <c r="D479" s="943"/>
      <c r="E479" s="886"/>
      <c r="F479" s="886"/>
      <c r="G479" s="886"/>
      <c r="H479" s="886"/>
      <c r="I479" s="886"/>
      <c r="J479" s="886"/>
      <c r="K479" s="886"/>
      <c r="L479" s="886"/>
      <c r="M479" s="886"/>
      <c r="N479" s="886"/>
      <c r="O479" s="886"/>
      <c r="P479" s="886"/>
      <c r="Q479" s="886"/>
      <c r="R479" s="886"/>
      <c r="S479" s="886"/>
      <c r="T479" s="886"/>
      <c r="U479" s="886"/>
      <c r="V479" s="886"/>
      <c r="W479" s="886"/>
      <c r="X479" s="886"/>
    </row>
    <row r="480" spans="3:24">
      <c r="C480" s="942"/>
      <c r="D480" s="943"/>
      <c r="E480" s="886"/>
      <c r="F480" s="886"/>
      <c r="G480" s="886"/>
      <c r="H480" s="886"/>
      <c r="I480" s="886"/>
      <c r="J480" s="886"/>
      <c r="K480" s="886"/>
      <c r="L480" s="886"/>
      <c r="M480" s="886"/>
      <c r="N480" s="886"/>
      <c r="O480" s="886"/>
      <c r="P480" s="886"/>
      <c r="Q480" s="886"/>
      <c r="R480" s="886"/>
      <c r="S480" s="886"/>
      <c r="T480" s="886"/>
      <c r="U480" s="886"/>
      <c r="V480" s="886"/>
      <c r="W480" s="886"/>
      <c r="X480" s="886"/>
    </row>
    <row r="481" spans="3:24">
      <c r="C481" s="942"/>
      <c r="D481" s="943"/>
      <c r="E481" s="886"/>
      <c r="F481" s="886"/>
      <c r="G481" s="886"/>
      <c r="H481" s="886"/>
      <c r="I481" s="886"/>
      <c r="J481" s="886"/>
      <c r="K481" s="886"/>
      <c r="L481" s="886"/>
      <c r="M481" s="886"/>
      <c r="N481" s="886"/>
      <c r="O481" s="886"/>
      <c r="P481" s="886"/>
      <c r="Q481" s="886"/>
      <c r="R481" s="886"/>
      <c r="S481" s="886"/>
      <c r="T481" s="886"/>
      <c r="U481" s="886"/>
      <c r="V481" s="886"/>
      <c r="W481" s="886"/>
      <c r="X481" s="886"/>
    </row>
    <row r="482" spans="3:24">
      <c r="C482" s="942"/>
      <c r="D482" s="943"/>
      <c r="E482" s="886"/>
      <c r="F482" s="886"/>
      <c r="G482" s="886"/>
      <c r="H482" s="886"/>
      <c r="I482" s="886"/>
      <c r="J482" s="886"/>
      <c r="K482" s="886"/>
      <c r="L482" s="886"/>
      <c r="M482" s="886"/>
      <c r="N482" s="886"/>
      <c r="O482" s="886"/>
      <c r="P482" s="886"/>
      <c r="Q482" s="886"/>
      <c r="R482" s="886"/>
      <c r="S482" s="886"/>
      <c r="T482" s="886"/>
      <c r="U482" s="886"/>
      <c r="V482" s="886"/>
      <c r="W482" s="886"/>
      <c r="X482" s="886"/>
    </row>
    <row r="483" spans="3:24">
      <c r="C483" s="942"/>
      <c r="D483" s="943"/>
      <c r="E483" s="886"/>
      <c r="F483" s="886"/>
      <c r="G483" s="886"/>
      <c r="H483" s="886"/>
      <c r="I483" s="886"/>
      <c r="J483" s="886"/>
      <c r="K483" s="886"/>
      <c r="L483" s="886"/>
      <c r="M483" s="886"/>
      <c r="N483" s="886"/>
      <c r="O483" s="886"/>
      <c r="P483" s="886"/>
      <c r="Q483" s="886"/>
      <c r="R483" s="886"/>
      <c r="S483" s="886"/>
      <c r="T483" s="886"/>
      <c r="U483" s="886"/>
      <c r="V483" s="886"/>
      <c r="W483" s="886"/>
      <c r="X483" s="886"/>
    </row>
    <row r="484" spans="3:24">
      <c r="C484" s="942"/>
      <c r="D484" s="943"/>
      <c r="E484" s="886"/>
      <c r="F484" s="886"/>
      <c r="G484" s="886"/>
      <c r="H484" s="886"/>
      <c r="I484" s="886"/>
      <c r="J484" s="886"/>
      <c r="K484" s="886"/>
      <c r="L484" s="886"/>
      <c r="M484" s="886"/>
      <c r="N484" s="886"/>
      <c r="O484" s="886"/>
      <c r="P484" s="886"/>
      <c r="Q484" s="886"/>
      <c r="R484" s="886"/>
      <c r="S484" s="886"/>
      <c r="T484" s="886"/>
      <c r="U484" s="886"/>
      <c r="V484" s="886"/>
      <c r="W484" s="886"/>
      <c r="X484" s="886"/>
    </row>
    <row r="485" spans="3:24">
      <c r="C485" s="942"/>
      <c r="D485" s="943"/>
      <c r="E485" s="886"/>
      <c r="F485" s="886"/>
      <c r="G485" s="886"/>
      <c r="H485" s="886"/>
      <c r="I485" s="886"/>
      <c r="J485" s="886"/>
      <c r="K485" s="886"/>
      <c r="L485" s="886"/>
      <c r="M485" s="886"/>
      <c r="N485" s="886"/>
      <c r="O485" s="886"/>
      <c r="P485" s="886"/>
      <c r="Q485" s="886"/>
      <c r="R485" s="886"/>
      <c r="S485" s="886"/>
      <c r="T485" s="886"/>
      <c r="U485" s="886"/>
      <c r="V485" s="886"/>
      <c r="W485" s="886"/>
      <c r="X485" s="886"/>
    </row>
    <row r="486" spans="3:24">
      <c r="C486" s="942"/>
      <c r="D486" s="943"/>
      <c r="E486" s="886"/>
      <c r="F486" s="886"/>
      <c r="G486" s="886"/>
      <c r="H486" s="886"/>
      <c r="I486" s="886"/>
      <c r="J486" s="886"/>
      <c r="K486" s="886"/>
      <c r="L486" s="886"/>
      <c r="M486" s="886"/>
      <c r="N486" s="886"/>
      <c r="O486" s="886"/>
      <c r="P486" s="886"/>
      <c r="Q486" s="886"/>
      <c r="R486" s="886"/>
      <c r="S486" s="886"/>
      <c r="T486" s="886"/>
      <c r="U486" s="886"/>
      <c r="V486" s="886"/>
      <c r="W486" s="886"/>
      <c r="X486" s="886"/>
    </row>
    <row r="487" spans="3:24">
      <c r="C487" s="942"/>
      <c r="D487" s="943"/>
      <c r="E487" s="886"/>
      <c r="F487" s="886"/>
      <c r="G487" s="886"/>
      <c r="H487" s="886"/>
      <c r="I487" s="886"/>
      <c r="J487" s="886"/>
      <c r="K487" s="886"/>
      <c r="L487" s="886"/>
      <c r="M487" s="886"/>
      <c r="N487" s="886"/>
      <c r="O487" s="886"/>
      <c r="P487" s="886"/>
      <c r="Q487" s="886"/>
      <c r="R487" s="886"/>
      <c r="S487" s="886"/>
      <c r="T487" s="886"/>
      <c r="U487" s="886"/>
      <c r="V487" s="886"/>
      <c r="W487" s="886"/>
      <c r="X487" s="886"/>
    </row>
    <row r="488" spans="3:24">
      <c r="C488" s="942"/>
      <c r="D488" s="943"/>
      <c r="E488" s="886"/>
      <c r="F488" s="886"/>
      <c r="G488" s="886"/>
      <c r="H488" s="886"/>
      <c r="I488" s="886"/>
      <c r="J488" s="886"/>
      <c r="K488" s="886"/>
      <c r="L488" s="886"/>
      <c r="M488" s="886"/>
      <c r="N488" s="886"/>
      <c r="O488" s="886"/>
      <c r="P488" s="886"/>
      <c r="Q488" s="886"/>
      <c r="R488" s="886"/>
      <c r="S488" s="886"/>
      <c r="T488" s="886"/>
      <c r="U488" s="886"/>
      <c r="V488" s="886"/>
      <c r="W488" s="886"/>
      <c r="X488" s="886"/>
    </row>
    <row r="489" spans="3:24">
      <c r="C489" s="942"/>
      <c r="D489" s="943"/>
      <c r="E489" s="886"/>
      <c r="F489" s="886"/>
      <c r="G489" s="886"/>
      <c r="H489" s="886"/>
      <c r="I489" s="886"/>
      <c r="J489" s="886"/>
      <c r="K489" s="886"/>
      <c r="L489" s="886"/>
      <c r="M489" s="886"/>
      <c r="N489" s="886"/>
      <c r="O489" s="886"/>
      <c r="P489" s="886"/>
      <c r="Q489" s="886"/>
      <c r="R489" s="886"/>
      <c r="S489" s="886"/>
      <c r="T489" s="886"/>
      <c r="U489" s="886"/>
      <c r="V489" s="886"/>
      <c r="W489" s="886"/>
      <c r="X489" s="886"/>
    </row>
    <row r="490" spans="3:24">
      <c r="C490" s="942"/>
      <c r="D490" s="943"/>
      <c r="E490" s="886"/>
      <c r="F490" s="886"/>
      <c r="G490" s="886"/>
      <c r="H490" s="886"/>
      <c r="I490" s="886"/>
      <c r="J490" s="886"/>
      <c r="K490" s="886"/>
      <c r="L490" s="886"/>
      <c r="M490" s="886"/>
      <c r="N490" s="886"/>
      <c r="O490" s="886"/>
      <c r="P490" s="886"/>
      <c r="Q490" s="886"/>
      <c r="R490" s="886"/>
      <c r="S490" s="886"/>
      <c r="T490" s="886"/>
      <c r="U490" s="886"/>
      <c r="V490" s="886"/>
      <c r="W490" s="886"/>
      <c r="X490" s="886"/>
    </row>
    <row r="491" spans="3:24">
      <c r="C491" s="942"/>
      <c r="D491" s="943"/>
      <c r="E491" s="886"/>
      <c r="F491" s="886"/>
      <c r="G491" s="886"/>
      <c r="H491" s="886"/>
      <c r="I491" s="886"/>
      <c r="J491" s="886"/>
      <c r="K491" s="886"/>
      <c r="L491" s="886"/>
      <c r="M491" s="886"/>
      <c r="N491" s="886"/>
      <c r="O491" s="886"/>
      <c r="P491" s="886"/>
      <c r="Q491" s="886"/>
      <c r="R491" s="886"/>
      <c r="S491" s="886"/>
      <c r="T491" s="886"/>
      <c r="U491" s="886"/>
      <c r="V491" s="886"/>
      <c r="W491" s="886"/>
      <c r="X491" s="886"/>
    </row>
    <row r="492" spans="3:24">
      <c r="C492" s="942"/>
      <c r="D492" s="943"/>
      <c r="E492" s="886"/>
      <c r="F492" s="886"/>
      <c r="G492" s="886"/>
      <c r="H492" s="886"/>
      <c r="I492" s="886"/>
      <c r="J492" s="886"/>
      <c r="K492" s="886"/>
      <c r="L492" s="886"/>
      <c r="M492" s="886"/>
      <c r="N492" s="886"/>
      <c r="O492" s="886"/>
      <c r="P492" s="886"/>
      <c r="Q492" s="886"/>
      <c r="R492" s="886"/>
      <c r="S492" s="886"/>
      <c r="T492" s="886"/>
      <c r="U492" s="886"/>
      <c r="V492" s="886"/>
      <c r="W492" s="886"/>
      <c r="X492" s="886"/>
    </row>
    <row r="493" spans="3:24">
      <c r="C493" s="942"/>
      <c r="D493" s="943"/>
      <c r="E493" s="886"/>
      <c r="F493" s="886"/>
      <c r="G493" s="886"/>
      <c r="H493" s="886"/>
      <c r="I493" s="886"/>
      <c r="J493" s="886"/>
      <c r="K493" s="886"/>
      <c r="L493" s="886"/>
      <c r="M493" s="886"/>
      <c r="N493" s="886"/>
      <c r="O493" s="886"/>
      <c r="P493" s="886"/>
      <c r="Q493" s="886"/>
      <c r="R493" s="886"/>
      <c r="S493" s="886"/>
      <c r="T493" s="886"/>
      <c r="U493" s="886"/>
      <c r="V493" s="886"/>
      <c r="W493" s="886"/>
      <c r="X493" s="886"/>
    </row>
    <row r="494" spans="3:24">
      <c r="C494" s="942"/>
      <c r="D494" s="943"/>
      <c r="E494" s="886"/>
      <c r="F494" s="886"/>
      <c r="G494" s="886"/>
      <c r="H494" s="886"/>
      <c r="I494" s="886"/>
      <c r="J494" s="886"/>
      <c r="K494" s="886"/>
      <c r="L494" s="886"/>
      <c r="M494" s="886"/>
      <c r="N494" s="886"/>
      <c r="O494" s="886"/>
      <c r="P494" s="886"/>
      <c r="Q494" s="886"/>
      <c r="R494" s="886"/>
      <c r="S494" s="886"/>
      <c r="T494" s="886"/>
      <c r="U494" s="886"/>
      <c r="V494" s="886"/>
      <c r="W494" s="886"/>
      <c r="X494" s="886"/>
    </row>
    <row r="495" spans="3:24">
      <c r="C495" s="942"/>
      <c r="D495" s="943"/>
      <c r="E495" s="886"/>
      <c r="F495" s="886"/>
      <c r="G495" s="886"/>
      <c r="H495" s="886"/>
      <c r="I495" s="886"/>
      <c r="J495" s="886"/>
      <c r="K495" s="886"/>
      <c r="L495" s="886"/>
      <c r="M495" s="886"/>
      <c r="N495" s="886"/>
      <c r="O495" s="886"/>
      <c r="P495" s="886"/>
      <c r="Q495" s="886"/>
      <c r="R495" s="886"/>
      <c r="S495" s="886"/>
      <c r="T495" s="886"/>
      <c r="U495" s="886"/>
      <c r="V495" s="886"/>
      <c r="W495" s="886"/>
      <c r="X495" s="886"/>
    </row>
    <row r="496" spans="3:24">
      <c r="C496" s="942"/>
      <c r="D496" s="943"/>
      <c r="E496" s="886"/>
      <c r="F496" s="886"/>
      <c r="G496" s="886"/>
      <c r="H496" s="886"/>
      <c r="I496" s="886"/>
      <c r="J496" s="886"/>
      <c r="K496" s="886"/>
      <c r="L496" s="886"/>
      <c r="M496" s="886"/>
      <c r="N496" s="886"/>
      <c r="O496" s="886"/>
      <c r="P496" s="886"/>
      <c r="Q496" s="886"/>
      <c r="R496" s="886"/>
      <c r="S496" s="886"/>
      <c r="T496" s="886"/>
      <c r="U496" s="886"/>
      <c r="V496" s="886"/>
      <c r="W496" s="886"/>
      <c r="X496" s="886"/>
    </row>
    <row r="497" spans="3:24">
      <c r="C497" s="942"/>
      <c r="D497" s="943"/>
      <c r="E497" s="886"/>
      <c r="F497" s="886"/>
      <c r="G497" s="886"/>
      <c r="H497" s="886"/>
      <c r="I497" s="886"/>
      <c r="J497" s="886"/>
      <c r="K497" s="886"/>
      <c r="L497" s="886"/>
      <c r="M497" s="886"/>
      <c r="N497" s="886"/>
      <c r="O497" s="886"/>
      <c r="P497" s="886"/>
      <c r="Q497" s="886"/>
      <c r="R497" s="886"/>
      <c r="S497" s="886"/>
      <c r="T497" s="886"/>
      <c r="U497" s="886"/>
      <c r="V497" s="886"/>
      <c r="W497" s="886"/>
      <c r="X497" s="886"/>
    </row>
    <row r="498" spans="3:24">
      <c r="C498" s="942"/>
      <c r="D498" s="943"/>
      <c r="E498" s="886"/>
      <c r="F498" s="886"/>
      <c r="G498" s="886"/>
      <c r="H498" s="886"/>
      <c r="I498" s="886"/>
      <c r="J498" s="886"/>
      <c r="K498" s="886"/>
      <c r="L498" s="886"/>
      <c r="M498" s="886"/>
      <c r="N498" s="886"/>
      <c r="O498" s="886"/>
      <c r="P498" s="886"/>
      <c r="Q498" s="886"/>
      <c r="R498" s="886"/>
      <c r="S498" s="886"/>
      <c r="T498" s="886"/>
      <c r="U498" s="886"/>
      <c r="V498" s="886"/>
      <c r="W498" s="886"/>
      <c r="X498" s="886"/>
    </row>
    <row r="499" spans="3:24">
      <c r="C499" s="942"/>
      <c r="D499" s="943"/>
      <c r="E499" s="886"/>
      <c r="F499" s="886"/>
      <c r="G499" s="886"/>
      <c r="H499" s="886"/>
      <c r="I499" s="886"/>
      <c r="J499" s="886"/>
      <c r="K499" s="886"/>
      <c r="L499" s="886"/>
      <c r="M499" s="886"/>
      <c r="N499" s="886"/>
      <c r="O499" s="886"/>
      <c r="P499" s="886"/>
      <c r="Q499" s="886"/>
      <c r="R499" s="886"/>
      <c r="S499" s="886"/>
      <c r="T499" s="886"/>
      <c r="U499" s="886"/>
      <c r="V499" s="886"/>
      <c r="W499" s="886"/>
      <c r="X499" s="886"/>
    </row>
    <row r="500" spans="3:24">
      <c r="C500" s="942"/>
      <c r="D500" s="943"/>
      <c r="E500" s="886"/>
      <c r="F500" s="886"/>
      <c r="G500" s="886"/>
      <c r="H500" s="886"/>
      <c r="I500" s="886"/>
      <c r="J500" s="886"/>
      <c r="K500" s="886"/>
      <c r="L500" s="886"/>
      <c r="M500" s="886"/>
      <c r="N500" s="886"/>
      <c r="O500" s="886"/>
      <c r="P500" s="886"/>
      <c r="Q500" s="886"/>
      <c r="R500" s="886"/>
      <c r="S500" s="886"/>
      <c r="T500" s="886"/>
      <c r="U500" s="886"/>
      <c r="V500" s="886"/>
      <c r="W500" s="886"/>
      <c r="X500" s="886"/>
    </row>
    <row r="501" spans="3:24">
      <c r="C501" s="942"/>
      <c r="D501" s="943"/>
      <c r="E501" s="886"/>
      <c r="F501" s="886"/>
      <c r="G501" s="886"/>
      <c r="H501" s="886"/>
      <c r="I501" s="886"/>
      <c r="J501" s="886"/>
      <c r="K501" s="886"/>
      <c r="L501" s="886"/>
      <c r="M501" s="886"/>
      <c r="N501" s="886"/>
      <c r="O501" s="886"/>
      <c r="P501" s="886"/>
      <c r="Q501" s="886"/>
      <c r="R501" s="886"/>
      <c r="S501" s="886"/>
      <c r="T501" s="886"/>
      <c r="U501" s="886"/>
      <c r="V501" s="886"/>
      <c r="W501" s="886"/>
      <c r="X501" s="886"/>
    </row>
    <row r="502" spans="3:24">
      <c r="C502" s="942"/>
      <c r="D502" s="943"/>
      <c r="E502" s="886"/>
      <c r="F502" s="886"/>
      <c r="G502" s="886"/>
      <c r="H502" s="886"/>
      <c r="I502" s="886"/>
      <c r="J502" s="886"/>
      <c r="K502" s="886"/>
      <c r="L502" s="886"/>
      <c r="M502" s="886"/>
      <c r="N502" s="886"/>
      <c r="O502" s="886"/>
      <c r="P502" s="886"/>
      <c r="Q502" s="886"/>
      <c r="R502" s="886"/>
      <c r="S502" s="886"/>
      <c r="T502" s="886"/>
      <c r="U502" s="886"/>
      <c r="V502" s="886"/>
      <c r="W502" s="886"/>
      <c r="X502" s="886"/>
    </row>
    <row r="503" spans="3:24">
      <c r="C503" s="942"/>
      <c r="D503" s="943"/>
      <c r="E503" s="886"/>
      <c r="F503" s="886"/>
      <c r="G503" s="886"/>
      <c r="H503" s="886"/>
      <c r="I503" s="886"/>
      <c r="J503" s="886"/>
      <c r="K503" s="886"/>
      <c r="L503" s="886"/>
      <c r="M503" s="886"/>
      <c r="N503" s="886"/>
      <c r="O503" s="886"/>
      <c r="P503" s="886"/>
      <c r="Q503" s="886"/>
      <c r="R503" s="886"/>
      <c r="S503" s="886"/>
      <c r="T503" s="886"/>
      <c r="U503" s="886"/>
      <c r="V503" s="886"/>
      <c r="W503" s="886"/>
      <c r="X503" s="886"/>
    </row>
    <row r="504" spans="3:24">
      <c r="C504" s="942"/>
      <c r="D504" s="943"/>
      <c r="E504" s="886"/>
      <c r="F504" s="886"/>
      <c r="G504" s="886"/>
      <c r="H504" s="886"/>
      <c r="I504" s="886"/>
      <c r="J504" s="886"/>
      <c r="K504" s="886"/>
      <c r="L504" s="886"/>
      <c r="M504" s="886"/>
      <c r="N504" s="886"/>
      <c r="O504" s="886"/>
      <c r="P504" s="886"/>
      <c r="Q504" s="886"/>
      <c r="R504" s="886"/>
      <c r="S504" s="886"/>
      <c r="T504" s="886"/>
      <c r="U504" s="886"/>
      <c r="V504" s="886"/>
      <c r="W504" s="886"/>
      <c r="X504" s="886"/>
    </row>
    <row r="505" spans="3:24">
      <c r="C505" s="942"/>
      <c r="D505" s="943"/>
      <c r="E505" s="886"/>
      <c r="F505" s="886"/>
      <c r="G505" s="886"/>
      <c r="H505" s="886"/>
      <c r="I505" s="886"/>
      <c r="J505" s="886"/>
      <c r="K505" s="886"/>
      <c r="L505" s="886"/>
      <c r="M505" s="886"/>
      <c r="N505" s="886"/>
      <c r="O505" s="886"/>
      <c r="P505" s="886"/>
      <c r="Q505" s="886"/>
      <c r="R505" s="886"/>
      <c r="S505" s="886"/>
      <c r="T505" s="886"/>
      <c r="U505" s="886"/>
      <c r="V505" s="886"/>
      <c r="W505" s="886"/>
      <c r="X505" s="886"/>
    </row>
    <row r="506" spans="3:24">
      <c r="C506" s="942"/>
      <c r="D506" s="943"/>
      <c r="E506" s="886"/>
      <c r="F506" s="886"/>
      <c r="G506" s="886"/>
      <c r="H506" s="886"/>
      <c r="I506" s="886"/>
      <c r="J506" s="886"/>
      <c r="K506" s="886"/>
      <c r="L506" s="886"/>
      <c r="M506" s="886"/>
      <c r="N506" s="886"/>
      <c r="O506" s="886"/>
      <c r="P506" s="886"/>
      <c r="Q506" s="886"/>
      <c r="R506" s="886"/>
      <c r="S506" s="886"/>
      <c r="T506" s="886"/>
      <c r="U506" s="886"/>
      <c r="V506" s="886"/>
      <c r="W506" s="886"/>
      <c r="X506" s="886"/>
    </row>
    <row r="507" spans="3:24">
      <c r="C507" s="942"/>
      <c r="D507" s="943"/>
      <c r="E507" s="886"/>
      <c r="F507" s="886"/>
      <c r="G507" s="886"/>
      <c r="H507" s="886"/>
      <c r="I507" s="886"/>
      <c r="J507" s="886"/>
      <c r="K507" s="886"/>
      <c r="L507" s="886"/>
      <c r="M507" s="886"/>
      <c r="N507" s="886"/>
      <c r="O507" s="886"/>
      <c r="P507" s="886"/>
      <c r="Q507" s="886"/>
      <c r="R507" s="886"/>
      <c r="S507" s="886"/>
      <c r="T507" s="886"/>
      <c r="U507" s="886"/>
      <c r="V507" s="886"/>
      <c r="W507" s="886"/>
      <c r="X507" s="886"/>
    </row>
    <row r="508" spans="3:24">
      <c r="C508" s="942"/>
      <c r="D508" s="943"/>
      <c r="E508" s="886"/>
      <c r="F508" s="886"/>
      <c r="G508" s="886"/>
      <c r="H508" s="886"/>
      <c r="I508" s="886"/>
      <c r="J508" s="886"/>
      <c r="K508" s="886"/>
      <c r="L508" s="886"/>
      <c r="M508" s="886"/>
      <c r="N508" s="886"/>
      <c r="O508" s="886"/>
      <c r="P508" s="886"/>
      <c r="Q508" s="886"/>
      <c r="R508" s="886"/>
      <c r="S508" s="886"/>
      <c r="T508" s="886"/>
      <c r="U508" s="886"/>
      <c r="V508" s="886"/>
      <c r="W508" s="886"/>
      <c r="X508" s="886"/>
    </row>
    <row r="509" spans="3:24">
      <c r="C509" s="942"/>
      <c r="D509" s="943"/>
      <c r="E509" s="886"/>
      <c r="F509" s="886"/>
      <c r="G509" s="886"/>
      <c r="H509" s="886"/>
      <c r="I509" s="886"/>
      <c r="J509" s="886"/>
      <c r="K509" s="886"/>
      <c r="L509" s="886"/>
      <c r="M509" s="886"/>
      <c r="N509" s="886"/>
      <c r="O509" s="886"/>
      <c r="P509" s="886"/>
      <c r="Q509" s="886"/>
      <c r="R509" s="886"/>
      <c r="S509" s="886"/>
      <c r="T509" s="886"/>
      <c r="U509" s="886"/>
      <c r="V509" s="886"/>
      <c r="W509" s="886"/>
      <c r="X509" s="886"/>
    </row>
    <row r="510" spans="3:24">
      <c r="C510" s="942"/>
      <c r="D510" s="943"/>
      <c r="E510" s="886"/>
      <c r="F510" s="886"/>
      <c r="G510" s="886"/>
      <c r="H510" s="886"/>
      <c r="I510" s="886"/>
      <c r="J510" s="886"/>
      <c r="K510" s="886"/>
      <c r="L510" s="886"/>
      <c r="M510" s="886"/>
      <c r="N510" s="886"/>
      <c r="O510" s="886"/>
      <c r="P510" s="886"/>
      <c r="Q510" s="886"/>
      <c r="R510" s="886"/>
      <c r="S510" s="886"/>
      <c r="T510" s="886"/>
      <c r="U510" s="886"/>
      <c r="V510" s="886"/>
      <c r="W510" s="886"/>
      <c r="X510" s="886"/>
    </row>
    <row r="511" spans="3:24">
      <c r="C511" s="942"/>
      <c r="D511" s="943"/>
      <c r="E511" s="886"/>
      <c r="F511" s="886"/>
      <c r="G511" s="886"/>
      <c r="H511" s="886"/>
      <c r="I511" s="886"/>
      <c r="J511" s="886"/>
      <c r="K511" s="886"/>
      <c r="L511" s="886"/>
      <c r="M511" s="886"/>
      <c r="N511" s="886"/>
      <c r="O511" s="886"/>
      <c r="P511" s="886"/>
      <c r="Q511" s="886"/>
      <c r="R511" s="886"/>
      <c r="S511" s="886"/>
      <c r="T511" s="886"/>
      <c r="U511" s="886"/>
      <c r="V511" s="886"/>
      <c r="W511" s="886"/>
      <c r="X511" s="886"/>
    </row>
    <row r="512" spans="3:24">
      <c r="C512" s="942"/>
      <c r="D512" s="943"/>
      <c r="E512" s="886"/>
      <c r="F512" s="886"/>
      <c r="G512" s="886"/>
      <c r="H512" s="886"/>
      <c r="I512" s="886"/>
      <c r="J512" s="886"/>
      <c r="K512" s="886"/>
      <c r="L512" s="886"/>
      <c r="M512" s="886"/>
      <c r="N512" s="886"/>
      <c r="O512" s="886"/>
      <c r="P512" s="886"/>
      <c r="Q512" s="886"/>
      <c r="R512" s="886"/>
      <c r="S512" s="886"/>
      <c r="T512" s="886"/>
      <c r="U512" s="886"/>
      <c r="V512" s="886"/>
      <c r="W512" s="886"/>
      <c r="X512" s="886"/>
    </row>
    <row r="513" spans="3:24">
      <c r="C513" s="942"/>
      <c r="D513" s="943"/>
      <c r="E513" s="886"/>
      <c r="F513" s="886"/>
      <c r="G513" s="886"/>
      <c r="H513" s="886"/>
      <c r="I513" s="886"/>
      <c r="J513" s="886"/>
      <c r="K513" s="886"/>
      <c r="L513" s="886"/>
      <c r="M513" s="886"/>
      <c r="N513" s="886"/>
      <c r="O513" s="886"/>
      <c r="P513" s="886"/>
      <c r="Q513" s="886"/>
      <c r="R513" s="886"/>
      <c r="S513" s="886"/>
      <c r="T513" s="886"/>
      <c r="U513" s="886"/>
      <c r="V513" s="886"/>
      <c r="W513" s="886"/>
      <c r="X513" s="886"/>
    </row>
    <row r="514" spans="3:24">
      <c r="C514" s="942"/>
      <c r="D514" s="943"/>
      <c r="E514" s="886"/>
      <c r="F514" s="886"/>
      <c r="G514" s="886"/>
      <c r="H514" s="886"/>
      <c r="I514" s="886"/>
      <c r="J514" s="886"/>
      <c r="K514" s="886"/>
      <c r="L514" s="886"/>
      <c r="M514" s="886"/>
      <c r="N514" s="886"/>
      <c r="O514" s="886"/>
      <c r="P514" s="886"/>
      <c r="Q514" s="886"/>
      <c r="R514" s="886"/>
      <c r="S514" s="886"/>
      <c r="T514" s="886"/>
      <c r="U514" s="886"/>
      <c r="V514" s="886"/>
      <c r="W514" s="886"/>
      <c r="X514" s="886"/>
    </row>
    <row r="515" spans="3:24">
      <c r="C515" s="942"/>
      <c r="D515" s="943"/>
      <c r="E515" s="886"/>
      <c r="F515" s="886"/>
      <c r="G515" s="886"/>
      <c r="H515" s="886"/>
      <c r="I515" s="886"/>
      <c r="J515" s="886"/>
      <c r="K515" s="886"/>
      <c r="L515" s="886"/>
      <c r="M515" s="886"/>
      <c r="N515" s="886"/>
      <c r="O515" s="886"/>
      <c r="P515" s="886"/>
      <c r="Q515" s="886"/>
      <c r="R515" s="886"/>
      <c r="S515" s="886"/>
      <c r="T515" s="886"/>
      <c r="U515" s="886"/>
      <c r="V515" s="886"/>
      <c r="W515" s="886"/>
      <c r="X515" s="886"/>
    </row>
    <row r="516" spans="3:24">
      <c r="C516" s="942"/>
      <c r="D516" s="943"/>
      <c r="E516" s="886"/>
      <c r="F516" s="886"/>
      <c r="G516" s="886"/>
      <c r="H516" s="886"/>
      <c r="I516" s="886"/>
      <c r="J516" s="886"/>
      <c r="K516" s="886"/>
      <c r="L516" s="886"/>
      <c r="M516" s="886"/>
      <c r="N516" s="886"/>
      <c r="O516" s="886"/>
      <c r="P516" s="886"/>
      <c r="Q516" s="886"/>
      <c r="R516" s="886"/>
      <c r="S516" s="886"/>
      <c r="T516" s="886"/>
      <c r="U516" s="886"/>
      <c r="V516" s="886"/>
      <c r="W516" s="886"/>
      <c r="X516" s="886"/>
    </row>
    <row r="517" spans="3:24">
      <c r="C517" s="942"/>
      <c r="D517" s="943"/>
      <c r="E517" s="886"/>
      <c r="F517" s="886"/>
      <c r="G517" s="886"/>
      <c r="H517" s="886"/>
      <c r="I517" s="886"/>
      <c r="J517" s="886"/>
      <c r="K517" s="886"/>
      <c r="L517" s="886"/>
      <c r="M517" s="886"/>
      <c r="N517" s="886"/>
      <c r="O517" s="886"/>
      <c r="P517" s="886"/>
      <c r="Q517" s="886"/>
      <c r="R517" s="886"/>
      <c r="S517" s="886"/>
      <c r="T517" s="886"/>
      <c r="U517" s="886"/>
      <c r="V517" s="886"/>
      <c r="W517" s="886"/>
      <c r="X517" s="886"/>
    </row>
    <row r="518" spans="3:24">
      <c r="C518" s="942"/>
      <c r="D518" s="943"/>
      <c r="E518" s="886"/>
      <c r="F518" s="886"/>
      <c r="G518" s="886"/>
      <c r="H518" s="886"/>
      <c r="I518" s="886"/>
      <c r="J518" s="886"/>
      <c r="K518" s="886"/>
      <c r="L518" s="886"/>
      <c r="M518" s="886"/>
      <c r="N518" s="886"/>
      <c r="O518" s="886"/>
      <c r="P518" s="886"/>
      <c r="Q518" s="886"/>
      <c r="R518" s="886"/>
      <c r="S518" s="886"/>
      <c r="T518" s="886"/>
      <c r="U518" s="886"/>
      <c r="V518" s="886"/>
      <c r="W518" s="886"/>
      <c r="X518" s="886"/>
    </row>
    <row r="519" spans="3:24">
      <c r="C519" s="942"/>
      <c r="D519" s="943"/>
      <c r="E519" s="886"/>
      <c r="F519" s="886"/>
      <c r="G519" s="886"/>
      <c r="H519" s="886"/>
      <c r="I519" s="886"/>
      <c r="J519" s="886"/>
      <c r="K519" s="886"/>
      <c r="L519" s="886"/>
      <c r="M519" s="886"/>
      <c r="N519" s="886"/>
      <c r="O519" s="886"/>
      <c r="P519" s="886"/>
      <c r="Q519" s="886"/>
      <c r="R519" s="886"/>
      <c r="S519" s="886"/>
      <c r="T519" s="886"/>
      <c r="U519" s="886"/>
      <c r="V519" s="886"/>
      <c r="W519" s="886"/>
      <c r="X519" s="886"/>
    </row>
    <row r="520" spans="3:24">
      <c r="C520" s="942"/>
      <c r="D520" s="943"/>
      <c r="E520" s="886"/>
      <c r="F520" s="886"/>
      <c r="G520" s="886"/>
      <c r="H520" s="886"/>
      <c r="I520" s="886"/>
      <c r="J520" s="886"/>
      <c r="K520" s="886"/>
      <c r="L520" s="886"/>
      <c r="M520" s="886"/>
      <c r="N520" s="886"/>
      <c r="O520" s="886"/>
      <c r="P520" s="886"/>
      <c r="Q520" s="886"/>
      <c r="R520" s="886"/>
      <c r="S520" s="886"/>
      <c r="T520" s="886"/>
      <c r="U520" s="886"/>
      <c r="V520" s="886"/>
      <c r="W520" s="886"/>
      <c r="X520" s="886"/>
    </row>
    <row r="521" spans="3:24">
      <c r="C521" s="942"/>
      <c r="D521" s="943"/>
      <c r="E521" s="886"/>
      <c r="F521" s="886"/>
      <c r="G521" s="886"/>
      <c r="H521" s="886"/>
      <c r="I521" s="886"/>
      <c r="J521" s="886"/>
      <c r="K521" s="886"/>
      <c r="L521" s="886"/>
      <c r="M521" s="886"/>
      <c r="N521" s="886"/>
      <c r="O521" s="886"/>
      <c r="P521" s="886"/>
      <c r="Q521" s="886"/>
      <c r="R521" s="886"/>
      <c r="S521" s="886"/>
      <c r="T521" s="886"/>
      <c r="U521" s="886"/>
      <c r="V521" s="886"/>
      <c r="W521" s="886"/>
      <c r="X521" s="886"/>
    </row>
    <row r="522" spans="3:24">
      <c r="C522" s="942"/>
      <c r="D522" s="943"/>
      <c r="E522" s="886"/>
      <c r="F522" s="886"/>
      <c r="G522" s="886"/>
      <c r="H522" s="886"/>
      <c r="I522" s="886"/>
      <c r="J522" s="886"/>
      <c r="K522" s="886"/>
      <c r="L522" s="886"/>
      <c r="M522" s="886"/>
      <c r="N522" s="886"/>
      <c r="O522" s="886"/>
      <c r="P522" s="886"/>
      <c r="Q522" s="886"/>
      <c r="R522" s="886"/>
      <c r="S522" s="886"/>
      <c r="T522" s="886"/>
      <c r="U522" s="886"/>
      <c r="V522" s="886"/>
      <c r="W522" s="886"/>
      <c r="X522" s="886"/>
    </row>
    <row r="523" spans="3:24">
      <c r="C523" s="942"/>
      <c r="D523" s="943"/>
      <c r="E523" s="886"/>
      <c r="F523" s="886"/>
      <c r="G523" s="886"/>
      <c r="H523" s="886"/>
      <c r="I523" s="886"/>
      <c r="J523" s="886"/>
      <c r="K523" s="886"/>
      <c r="L523" s="886"/>
      <c r="M523" s="886"/>
      <c r="N523" s="886"/>
      <c r="O523" s="886"/>
      <c r="P523" s="886"/>
      <c r="Q523" s="886"/>
      <c r="R523" s="886"/>
      <c r="S523" s="886"/>
      <c r="T523" s="886"/>
      <c r="U523" s="886"/>
      <c r="V523" s="886"/>
      <c r="W523" s="886"/>
      <c r="X523" s="886"/>
    </row>
    <row r="524" spans="3:24">
      <c r="C524" s="942"/>
      <c r="D524" s="943"/>
      <c r="E524" s="886"/>
      <c r="F524" s="886"/>
      <c r="G524" s="886"/>
      <c r="H524" s="886"/>
      <c r="I524" s="886"/>
      <c r="J524" s="886"/>
      <c r="K524" s="886"/>
      <c r="L524" s="886"/>
      <c r="M524" s="886"/>
      <c r="N524" s="886"/>
      <c r="O524" s="886"/>
      <c r="P524" s="886"/>
      <c r="Q524" s="886"/>
      <c r="R524" s="886"/>
      <c r="S524" s="886"/>
      <c r="T524" s="886"/>
      <c r="U524" s="886"/>
      <c r="V524" s="886"/>
      <c r="W524" s="886"/>
      <c r="X524" s="886"/>
    </row>
    <row r="525" spans="3:24">
      <c r="C525" s="942"/>
      <c r="D525" s="943"/>
      <c r="E525" s="886"/>
      <c r="F525" s="886"/>
      <c r="G525" s="886"/>
      <c r="H525" s="886"/>
      <c r="I525" s="886"/>
      <c r="J525" s="886"/>
      <c r="K525" s="886"/>
      <c r="L525" s="886"/>
      <c r="M525" s="886"/>
      <c r="N525" s="886"/>
      <c r="O525" s="886"/>
      <c r="P525" s="886"/>
      <c r="Q525" s="886"/>
      <c r="R525" s="886"/>
      <c r="S525" s="886"/>
      <c r="T525" s="886"/>
      <c r="U525" s="886"/>
      <c r="V525" s="886"/>
      <c r="W525" s="886"/>
      <c r="X525" s="886"/>
    </row>
    <row r="526" spans="3:24">
      <c r="C526" s="942"/>
      <c r="D526" s="943"/>
      <c r="E526" s="886"/>
      <c r="F526" s="886"/>
      <c r="G526" s="886"/>
      <c r="H526" s="886"/>
      <c r="I526" s="886"/>
      <c r="J526" s="886"/>
      <c r="K526" s="886"/>
      <c r="L526" s="886"/>
      <c r="M526" s="886"/>
      <c r="N526" s="886"/>
      <c r="O526" s="886"/>
      <c r="P526" s="886"/>
      <c r="Q526" s="886"/>
      <c r="R526" s="886"/>
      <c r="S526" s="886"/>
      <c r="T526" s="886"/>
      <c r="U526" s="886"/>
      <c r="V526" s="886"/>
      <c r="W526" s="886"/>
      <c r="X526" s="886"/>
    </row>
    <row r="527" spans="3:24">
      <c r="C527" s="942"/>
      <c r="D527" s="943"/>
      <c r="E527" s="886"/>
      <c r="F527" s="886"/>
      <c r="G527" s="886"/>
      <c r="H527" s="886"/>
      <c r="I527" s="886"/>
      <c r="J527" s="886"/>
      <c r="K527" s="886"/>
      <c r="L527" s="886"/>
      <c r="M527" s="886"/>
      <c r="N527" s="886"/>
      <c r="O527" s="886"/>
      <c r="P527" s="886"/>
      <c r="Q527" s="886"/>
      <c r="R527" s="886"/>
      <c r="S527" s="886"/>
      <c r="T527" s="886"/>
      <c r="U527" s="886"/>
      <c r="V527" s="886"/>
      <c r="W527" s="886"/>
      <c r="X527" s="886"/>
    </row>
    <row r="528" spans="3:24">
      <c r="C528" s="942"/>
      <c r="D528" s="943"/>
      <c r="E528" s="886"/>
      <c r="F528" s="886"/>
      <c r="G528" s="886"/>
      <c r="H528" s="886"/>
      <c r="I528" s="886"/>
      <c r="J528" s="886"/>
      <c r="K528" s="886"/>
      <c r="L528" s="886"/>
      <c r="M528" s="886"/>
      <c r="N528" s="886"/>
      <c r="O528" s="886"/>
      <c r="P528" s="886"/>
      <c r="Q528" s="886"/>
      <c r="R528" s="886"/>
      <c r="S528" s="886"/>
      <c r="T528" s="886"/>
      <c r="U528" s="886"/>
      <c r="V528" s="886"/>
      <c r="W528" s="886"/>
      <c r="X528" s="886"/>
    </row>
    <row r="529" spans="3:24">
      <c r="C529" s="942"/>
      <c r="D529" s="943"/>
      <c r="E529" s="886"/>
      <c r="F529" s="886"/>
      <c r="G529" s="886"/>
      <c r="H529" s="886"/>
      <c r="I529" s="886"/>
      <c r="J529" s="886"/>
      <c r="K529" s="886"/>
      <c r="L529" s="886"/>
      <c r="M529" s="886"/>
      <c r="N529" s="886"/>
      <c r="O529" s="886"/>
      <c r="P529" s="886"/>
      <c r="Q529" s="886"/>
      <c r="R529" s="886"/>
      <c r="S529" s="886"/>
      <c r="T529" s="886"/>
      <c r="U529" s="886"/>
      <c r="V529" s="886"/>
      <c r="W529" s="886"/>
      <c r="X529" s="886"/>
    </row>
    <row r="530" spans="3:24">
      <c r="C530" s="942"/>
      <c r="D530" s="943"/>
      <c r="E530" s="886"/>
      <c r="F530" s="886"/>
      <c r="G530" s="886"/>
      <c r="H530" s="886"/>
      <c r="I530" s="886"/>
      <c r="J530" s="886"/>
      <c r="K530" s="886"/>
      <c r="L530" s="886"/>
      <c r="M530" s="886"/>
      <c r="N530" s="886"/>
      <c r="O530" s="886"/>
      <c r="P530" s="886"/>
      <c r="Q530" s="886"/>
      <c r="R530" s="886"/>
      <c r="S530" s="886"/>
      <c r="T530" s="886"/>
      <c r="U530" s="886"/>
      <c r="V530" s="886"/>
      <c r="W530" s="886"/>
      <c r="X530" s="886"/>
    </row>
    <row r="531" spans="3:24">
      <c r="C531" s="942"/>
      <c r="D531" s="943"/>
      <c r="E531" s="886"/>
      <c r="F531" s="886"/>
      <c r="G531" s="886"/>
      <c r="H531" s="886"/>
      <c r="I531" s="886"/>
      <c r="J531" s="886"/>
      <c r="K531" s="886"/>
      <c r="L531" s="886"/>
      <c r="M531" s="886"/>
      <c r="N531" s="886"/>
      <c r="O531" s="886"/>
      <c r="P531" s="886"/>
      <c r="Q531" s="886"/>
      <c r="R531" s="886"/>
      <c r="S531" s="886"/>
      <c r="T531" s="886"/>
      <c r="U531" s="886"/>
      <c r="V531" s="886"/>
      <c r="W531" s="886"/>
      <c r="X531" s="886"/>
    </row>
    <row r="532" spans="3:24">
      <c r="C532" s="942"/>
      <c r="D532" s="943"/>
      <c r="E532" s="886"/>
      <c r="F532" s="886"/>
      <c r="G532" s="886"/>
      <c r="H532" s="886"/>
      <c r="I532" s="886"/>
      <c r="J532" s="886"/>
      <c r="K532" s="886"/>
      <c r="L532" s="886"/>
      <c r="M532" s="886"/>
      <c r="N532" s="886"/>
      <c r="O532" s="886"/>
      <c r="P532" s="886"/>
      <c r="Q532" s="886"/>
      <c r="R532" s="886"/>
      <c r="S532" s="886"/>
      <c r="T532" s="886"/>
      <c r="U532" s="886"/>
      <c r="V532" s="886"/>
      <c r="W532" s="886"/>
      <c r="X532" s="886"/>
    </row>
    <row r="533" spans="3:24">
      <c r="C533" s="942"/>
      <c r="D533" s="943"/>
      <c r="E533" s="886"/>
      <c r="F533" s="886"/>
      <c r="G533" s="886"/>
      <c r="H533" s="886"/>
      <c r="I533" s="886"/>
      <c r="J533" s="886"/>
      <c r="K533" s="886"/>
      <c r="L533" s="886"/>
      <c r="M533" s="886"/>
      <c r="N533" s="886"/>
      <c r="O533" s="886"/>
      <c r="P533" s="886"/>
      <c r="Q533" s="886"/>
      <c r="R533" s="886"/>
      <c r="S533" s="886"/>
      <c r="T533" s="886"/>
      <c r="U533" s="886"/>
      <c r="V533" s="886"/>
      <c r="W533" s="886"/>
      <c r="X533" s="886"/>
    </row>
    <row r="534" spans="3:24">
      <c r="C534" s="942"/>
      <c r="D534" s="943"/>
      <c r="E534" s="886"/>
      <c r="F534" s="886"/>
      <c r="G534" s="886"/>
      <c r="H534" s="886"/>
      <c r="I534" s="886"/>
      <c r="J534" s="886"/>
      <c r="K534" s="886"/>
      <c r="L534" s="886"/>
      <c r="M534" s="886"/>
      <c r="N534" s="886"/>
      <c r="O534" s="886"/>
      <c r="P534" s="886"/>
      <c r="Q534" s="886"/>
      <c r="R534" s="886"/>
      <c r="S534" s="886"/>
      <c r="T534" s="886"/>
      <c r="U534" s="886"/>
      <c r="V534" s="886"/>
      <c r="W534" s="886"/>
      <c r="X534" s="886"/>
    </row>
    <row r="535" spans="3:24">
      <c r="C535" s="942"/>
      <c r="D535" s="943"/>
      <c r="E535" s="886"/>
      <c r="F535" s="886"/>
      <c r="G535" s="886"/>
      <c r="H535" s="886"/>
      <c r="I535" s="886"/>
      <c r="J535" s="886"/>
      <c r="K535" s="886"/>
      <c r="L535" s="886"/>
      <c r="M535" s="886"/>
      <c r="N535" s="886"/>
      <c r="O535" s="886"/>
      <c r="P535" s="886"/>
      <c r="Q535" s="886"/>
      <c r="R535" s="886"/>
      <c r="S535" s="886"/>
      <c r="T535" s="886"/>
      <c r="U535" s="886"/>
      <c r="V535" s="886"/>
      <c r="W535" s="886"/>
      <c r="X535" s="886"/>
    </row>
    <row r="536" spans="3:24">
      <c r="C536" s="942"/>
      <c r="D536" s="943"/>
      <c r="E536" s="886"/>
      <c r="F536" s="886"/>
      <c r="G536" s="886"/>
      <c r="H536" s="886"/>
      <c r="I536" s="886"/>
      <c r="J536" s="886"/>
      <c r="K536" s="886"/>
      <c r="L536" s="886"/>
      <c r="M536" s="886"/>
      <c r="N536" s="886"/>
      <c r="O536" s="886"/>
      <c r="P536" s="886"/>
      <c r="Q536" s="886"/>
      <c r="R536" s="886"/>
      <c r="S536" s="886"/>
      <c r="T536" s="886"/>
      <c r="U536" s="886"/>
      <c r="V536" s="886"/>
      <c r="W536" s="886"/>
      <c r="X536" s="886"/>
    </row>
    <row r="537" spans="3:24">
      <c r="C537" s="942"/>
      <c r="D537" s="943"/>
      <c r="E537" s="886"/>
      <c r="F537" s="886"/>
      <c r="G537" s="886"/>
      <c r="H537" s="886"/>
      <c r="I537" s="886"/>
      <c r="J537" s="886"/>
      <c r="K537" s="886"/>
      <c r="L537" s="886"/>
      <c r="M537" s="886"/>
      <c r="N537" s="886"/>
      <c r="O537" s="886"/>
      <c r="P537" s="886"/>
      <c r="Q537" s="886"/>
      <c r="R537" s="886"/>
      <c r="S537" s="886"/>
      <c r="T537" s="886"/>
      <c r="U537" s="886"/>
      <c r="V537" s="886"/>
      <c r="W537" s="886"/>
      <c r="X537" s="886"/>
    </row>
    <row r="538" spans="3:24">
      <c r="C538" s="942"/>
      <c r="D538" s="943"/>
      <c r="E538" s="886"/>
      <c r="F538" s="886"/>
      <c r="G538" s="886"/>
      <c r="H538" s="886"/>
      <c r="I538" s="886"/>
      <c r="J538" s="886"/>
      <c r="K538" s="886"/>
      <c r="L538" s="886"/>
      <c r="M538" s="886"/>
      <c r="N538" s="886"/>
      <c r="O538" s="886"/>
      <c r="P538" s="886"/>
      <c r="Q538" s="886"/>
      <c r="R538" s="886"/>
      <c r="S538" s="886"/>
      <c r="T538" s="886"/>
      <c r="U538" s="886"/>
      <c r="V538" s="886"/>
      <c r="W538" s="886"/>
      <c r="X538" s="886"/>
    </row>
    <row r="539" spans="3:24">
      <c r="C539" s="942"/>
      <c r="D539" s="943"/>
      <c r="E539" s="886"/>
      <c r="F539" s="886"/>
      <c r="G539" s="886"/>
      <c r="H539" s="886"/>
      <c r="I539" s="886"/>
      <c r="J539" s="886"/>
      <c r="K539" s="886"/>
      <c r="L539" s="886"/>
      <c r="M539" s="886"/>
      <c r="N539" s="886"/>
      <c r="O539" s="886"/>
      <c r="P539" s="886"/>
      <c r="Q539" s="886"/>
      <c r="R539" s="886"/>
      <c r="S539" s="886"/>
      <c r="T539" s="886"/>
      <c r="U539" s="886"/>
      <c r="V539" s="886"/>
      <c r="W539" s="886"/>
      <c r="X539" s="886"/>
    </row>
    <row r="540" spans="3:24">
      <c r="C540" s="942"/>
      <c r="D540" s="943"/>
      <c r="E540" s="886"/>
      <c r="F540" s="886"/>
      <c r="G540" s="886"/>
      <c r="H540" s="886"/>
      <c r="I540" s="886"/>
      <c r="J540" s="886"/>
      <c r="K540" s="886"/>
      <c r="L540" s="886"/>
      <c r="M540" s="886"/>
      <c r="N540" s="886"/>
      <c r="O540" s="886"/>
      <c r="P540" s="886"/>
      <c r="Q540" s="886"/>
      <c r="R540" s="886"/>
      <c r="S540" s="886"/>
      <c r="T540" s="886"/>
      <c r="U540" s="886"/>
      <c r="V540" s="886"/>
      <c r="W540" s="886"/>
      <c r="X540" s="886"/>
    </row>
    <row r="541" spans="3:24">
      <c r="C541" s="942"/>
      <c r="D541" s="943"/>
      <c r="E541" s="886"/>
      <c r="F541" s="886"/>
      <c r="G541" s="886"/>
      <c r="H541" s="886"/>
      <c r="I541" s="886"/>
      <c r="J541" s="886"/>
      <c r="K541" s="886"/>
      <c r="L541" s="886"/>
      <c r="M541" s="886"/>
      <c r="N541" s="886"/>
      <c r="O541" s="886"/>
      <c r="P541" s="886"/>
      <c r="Q541" s="886"/>
      <c r="R541" s="886"/>
      <c r="S541" s="886"/>
      <c r="T541" s="886"/>
      <c r="U541" s="886"/>
      <c r="V541" s="886"/>
      <c r="W541" s="886"/>
      <c r="X541" s="886"/>
    </row>
    <row r="542" spans="3:24">
      <c r="C542" s="942"/>
      <c r="D542" s="943"/>
      <c r="E542" s="886"/>
      <c r="F542" s="886"/>
      <c r="G542" s="886"/>
      <c r="H542" s="886"/>
      <c r="I542" s="886"/>
      <c r="J542" s="886"/>
      <c r="K542" s="886"/>
      <c r="L542" s="886"/>
      <c r="M542" s="886"/>
      <c r="N542" s="886"/>
      <c r="O542" s="886"/>
      <c r="P542" s="886"/>
      <c r="Q542" s="886"/>
      <c r="R542" s="886"/>
      <c r="S542" s="886"/>
      <c r="T542" s="886"/>
      <c r="U542" s="886"/>
      <c r="V542" s="886"/>
      <c r="W542" s="886"/>
      <c r="X542" s="886"/>
    </row>
    <row r="543" spans="3:24">
      <c r="C543" s="942"/>
      <c r="D543" s="943"/>
      <c r="E543" s="886"/>
      <c r="F543" s="886"/>
      <c r="G543" s="886"/>
      <c r="H543" s="886"/>
      <c r="I543" s="886"/>
      <c r="J543" s="886"/>
      <c r="K543" s="886"/>
      <c r="L543" s="886"/>
      <c r="M543" s="886"/>
      <c r="N543" s="886"/>
      <c r="O543" s="886"/>
      <c r="P543" s="886"/>
      <c r="Q543" s="886"/>
      <c r="R543" s="886"/>
      <c r="S543" s="886"/>
      <c r="T543" s="886"/>
      <c r="U543" s="886"/>
      <c r="V543" s="886"/>
      <c r="W543" s="886"/>
      <c r="X543" s="886"/>
    </row>
    <row r="544" spans="3:24">
      <c r="C544" s="942"/>
      <c r="D544" s="943"/>
      <c r="E544" s="886"/>
      <c r="F544" s="886"/>
      <c r="G544" s="886"/>
      <c r="H544" s="886"/>
      <c r="I544" s="886"/>
      <c r="J544" s="886"/>
      <c r="K544" s="886"/>
      <c r="L544" s="886"/>
      <c r="M544" s="886"/>
      <c r="N544" s="886"/>
      <c r="O544" s="886"/>
      <c r="P544" s="886"/>
      <c r="Q544" s="886"/>
      <c r="R544" s="886"/>
      <c r="S544" s="886"/>
      <c r="T544" s="886"/>
      <c r="U544" s="886"/>
      <c r="V544" s="886"/>
      <c r="W544" s="886"/>
      <c r="X544" s="886"/>
    </row>
    <row r="545" spans="3:24">
      <c r="C545" s="942"/>
      <c r="D545" s="943"/>
      <c r="E545" s="886"/>
      <c r="F545" s="886"/>
      <c r="G545" s="886"/>
      <c r="H545" s="886"/>
      <c r="I545" s="886"/>
      <c r="J545" s="886"/>
      <c r="K545" s="886"/>
      <c r="L545" s="886"/>
      <c r="M545" s="886"/>
      <c r="N545" s="886"/>
      <c r="O545" s="886"/>
      <c r="P545" s="886"/>
      <c r="Q545" s="886"/>
      <c r="R545" s="886"/>
      <c r="S545" s="886"/>
      <c r="T545" s="886"/>
      <c r="U545" s="886"/>
      <c r="V545" s="886"/>
      <c r="W545" s="886"/>
      <c r="X545" s="886"/>
    </row>
    <row r="546" spans="3:24">
      <c r="C546" s="942"/>
      <c r="D546" s="943"/>
      <c r="E546" s="886"/>
      <c r="F546" s="886"/>
      <c r="G546" s="886"/>
      <c r="H546" s="886"/>
      <c r="I546" s="886"/>
      <c r="J546" s="886"/>
      <c r="K546" s="886"/>
      <c r="L546" s="886"/>
      <c r="M546" s="886"/>
      <c r="N546" s="886"/>
      <c r="O546" s="886"/>
      <c r="P546" s="886"/>
      <c r="Q546" s="886"/>
      <c r="R546" s="886"/>
      <c r="S546" s="886"/>
      <c r="T546" s="886"/>
      <c r="U546" s="886"/>
      <c r="V546" s="886"/>
      <c r="W546" s="886"/>
      <c r="X546" s="886"/>
    </row>
    <row r="547" spans="3:24">
      <c r="C547" s="942"/>
      <c r="D547" s="943"/>
      <c r="E547" s="886"/>
      <c r="F547" s="886"/>
      <c r="G547" s="886"/>
      <c r="H547" s="886"/>
      <c r="I547" s="886"/>
      <c r="J547" s="886"/>
      <c r="K547" s="886"/>
      <c r="L547" s="886"/>
      <c r="M547" s="886"/>
      <c r="N547" s="886"/>
      <c r="O547" s="886"/>
      <c r="P547" s="886"/>
      <c r="Q547" s="886"/>
      <c r="R547" s="886"/>
      <c r="S547" s="886"/>
      <c r="T547" s="886"/>
      <c r="U547" s="886"/>
      <c r="V547" s="886"/>
      <c r="W547" s="886"/>
      <c r="X547" s="886"/>
    </row>
    <row r="548" spans="3:24">
      <c r="C548" s="942"/>
      <c r="D548" s="943"/>
      <c r="E548" s="886"/>
      <c r="F548" s="886"/>
      <c r="G548" s="886"/>
      <c r="H548" s="886"/>
      <c r="I548" s="886"/>
      <c r="J548" s="886"/>
      <c r="K548" s="886"/>
      <c r="L548" s="886"/>
      <c r="M548" s="886"/>
      <c r="N548" s="886"/>
      <c r="O548" s="886"/>
      <c r="P548" s="886"/>
      <c r="Q548" s="886"/>
      <c r="R548" s="886"/>
      <c r="S548" s="886"/>
      <c r="T548" s="886"/>
      <c r="U548" s="886"/>
      <c r="V548" s="886"/>
      <c r="W548" s="886"/>
      <c r="X548" s="886"/>
    </row>
    <row r="549" spans="3:24">
      <c r="C549" s="942"/>
      <c r="D549" s="943"/>
      <c r="E549" s="886"/>
      <c r="F549" s="886"/>
      <c r="G549" s="886"/>
      <c r="H549" s="886"/>
      <c r="I549" s="886"/>
      <c r="J549" s="886"/>
      <c r="K549" s="886"/>
      <c r="L549" s="886"/>
      <c r="M549" s="886"/>
      <c r="N549" s="886"/>
      <c r="O549" s="886"/>
      <c r="P549" s="886"/>
      <c r="Q549" s="886"/>
      <c r="R549" s="886"/>
      <c r="S549" s="886"/>
      <c r="T549" s="886"/>
      <c r="U549" s="886"/>
      <c r="V549" s="886"/>
      <c r="W549" s="886"/>
      <c r="X549" s="886"/>
    </row>
    <row r="550" spans="3:24">
      <c r="C550" s="942"/>
      <c r="D550" s="943"/>
      <c r="E550" s="886"/>
      <c r="F550" s="886"/>
      <c r="G550" s="886"/>
      <c r="H550" s="886"/>
      <c r="I550" s="886"/>
      <c r="J550" s="886"/>
      <c r="K550" s="886"/>
      <c r="L550" s="886"/>
      <c r="M550" s="886"/>
      <c r="N550" s="886"/>
      <c r="O550" s="886"/>
      <c r="P550" s="886"/>
      <c r="Q550" s="886"/>
      <c r="R550" s="886"/>
      <c r="S550" s="886"/>
      <c r="T550" s="886"/>
      <c r="U550" s="886"/>
      <c r="V550" s="886"/>
      <c r="W550" s="886"/>
      <c r="X550" s="886"/>
    </row>
    <row r="551" spans="3:24">
      <c r="C551" s="942"/>
      <c r="D551" s="943"/>
      <c r="E551" s="886"/>
      <c r="F551" s="886"/>
      <c r="G551" s="886"/>
      <c r="H551" s="886"/>
      <c r="I551" s="886"/>
      <c r="J551" s="886"/>
      <c r="K551" s="886"/>
      <c r="L551" s="886"/>
      <c r="M551" s="886"/>
      <c r="N551" s="886"/>
      <c r="O551" s="886"/>
      <c r="P551" s="886"/>
      <c r="Q551" s="886"/>
      <c r="R551" s="886"/>
      <c r="S551" s="886"/>
      <c r="T551" s="886"/>
      <c r="U551" s="886"/>
      <c r="V551" s="886"/>
      <c r="W551" s="886"/>
      <c r="X551" s="886"/>
    </row>
    <row r="552" spans="3:24">
      <c r="C552" s="942"/>
      <c r="D552" s="943"/>
      <c r="E552" s="886"/>
      <c r="F552" s="886"/>
      <c r="G552" s="886"/>
      <c r="H552" s="886"/>
      <c r="I552" s="886"/>
      <c r="J552" s="886"/>
      <c r="K552" s="886"/>
      <c r="L552" s="886"/>
      <c r="M552" s="886"/>
      <c r="N552" s="886"/>
      <c r="O552" s="886"/>
      <c r="P552" s="886"/>
      <c r="Q552" s="886"/>
      <c r="R552" s="886"/>
      <c r="S552" s="886"/>
      <c r="T552" s="886"/>
      <c r="U552" s="886"/>
      <c r="V552" s="886"/>
      <c r="W552" s="886"/>
      <c r="X552" s="886"/>
    </row>
    <row r="553" spans="3:24">
      <c r="C553" s="942"/>
      <c r="D553" s="943"/>
      <c r="E553" s="886"/>
      <c r="F553" s="886"/>
      <c r="G553" s="886"/>
      <c r="H553" s="886"/>
      <c r="I553" s="886"/>
      <c r="J553" s="886"/>
      <c r="K553" s="886"/>
      <c r="L553" s="886"/>
      <c r="M553" s="886"/>
      <c r="N553" s="886"/>
      <c r="O553" s="886"/>
      <c r="P553" s="886"/>
      <c r="Q553" s="886"/>
      <c r="R553" s="886"/>
      <c r="S553" s="886"/>
      <c r="T553" s="886"/>
      <c r="U553" s="886"/>
      <c r="V553" s="886"/>
      <c r="W553" s="886"/>
      <c r="X553" s="886"/>
    </row>
    <row r="554" spans="3:24">
      <c r="C554" s="942"/>
      <c r="D554" s="943"/>
      <c r="E554" s="886"/>
      <c r="F554" s="886"/>
      <c r="G554" s="886"/>
      <c r="H554" s="886"/>
      <c r="I554" s="886"/>
      <c r="J554" s="886"/>
      <c r="K554" s="886"/>
      <c r="L554" s="886"/>
      <c r="M554" s="886"/>
      <c r="N554" s="886"/>
      <c r="O554" s="886"/>
      <c r="P554" s="886"/>
      <c r="Q554" s="886"/>
      <c r="R554" s="886"/>
      <c r="S554" s="886"/>
      <c r="T554" s="886"/>
      <c r="U554" s="886"/>
      <c r="V554" s="886"/>
      <c r="W554" s="886"/>
      <c r="X554" s="886"/>
    </row>
    <row r="555" spans="3:24">
      <c r="C555" s="942"/>
      <c r="D555" s="943"/>
      <c r="E555" s="886"/>
      <c r="F555" s="886"/>
      <c r="G555" s="886"/>
      <c r="H555" s="886"/>
      <c r="I555" s="886"/>
      <c r="J555" s="886"/>
      <c r="K555" s="886"/>
      <c r="L555" s="886"/>
      <c r="M555" s="886"/>
      <c r="N555" s="886"/>
      <c r="O555" s="886"/>
      <c r="P555" s="886"/>
      <c r="Q555" s="886"/>
      <c r="R555" s="886"/>
      <c r="S555" s="886"/>
      <c r="T555" s="886"/>
      <c r="U555" s="886"/>
      <c r="V555" s="886"/>
      <c r="W555" s="886"/>
      <c r="X555" s="886"/>
    </row>
    <row r="556" spans="3:24">
      <c r="C556" s="942"/>
      <c r="D556" s="943"/>
      <c r="E556" s="886"/>
      <c r="F556" s="886"/>
      <c r="G556" s="886"/>
      <c r="H556" s="886"/>
      <c r="I556" s="886"/>
      <c r="J556" s="886"/>
      <c r="K556" s="886"/>
      <c r="L556" s="886"/>
      <c r="M556" s="886"/>
      <c r="N556" s="886"/>
      <c r="O556" s="886"/>
      <c r="P556" s="886"/>
      <c r="Q556" s="886"/>
      <c r="R556" s="886"/>
      <c r="S556" s="886"/>
      <c r="T556" s="886"/>
      <c r="U556" s="886"/>
      <c r="V556" s="886"/>
      <c r="W556" s="886"/>
      <c r="X556" s="886"/>
    </row>
    <row r="557" spans="3:24">
      <c r="C557" s="942"/>
      <c r="D557" s="943"/>
      <c r="E557" s="886"/>
      <c r="F557" s="886"/>
      <c r="G557" s="886"/>
      <c r="H557" s="886"/>
      <c r="I557" s="886"/>
      <c r="J557" s="886"/>
      <c r="K557" s="886"/>
      <c r="L557" s="886"/>
      <c r="M557" s="886"/>
      <c r="N557" s="886"/>
      <c r="O557" s="886"/>
      <c r="P557" s="886"/>
      <c r="Q557" s="886"/>
      <c r="R557" s="886"/>
      <c r="S557" s="886"/>
      <c r="T557" s="886"/>
      <c r="U557" s="886"/>
      <c r="V557" s="886"/>
      <c r="W557" s="886"/>
      <c r="X557" s="886"/>
    </row>
    <row r="558" spans="3:24">
      <c r="C558" s="942"/>
      <c r="D558" s="943"/>
      <c r="E558" s="886"/>
      <c r="F558" s="886"/>
      <c r="G558" s="886"/>
      <c r="H558" s="886"/>
      <c r="I558" s="886"/>
      <c r="J558" s="886"/>
      <c r="K558" s="886"/>
      <c r="L558" s="886"/>
      <c r="M558" s="886"/>
      <c r="N558" s="886"/>
      <c r="O558" s="886"/>
      <c r="P558" s="886"/>
      <c r="Q558" s="886"/>
      <c r="R558" s="886"/>
      <c r="S558" s="886"/>
      <c r="T558" s="886"/>
      <c r="U558" s="886"/>
      <c r="V558" s="886"/>
      <c r="W558" s="886"/>
      <c r="X558" s="886"/>
    </row>
    <row r="559" spans="3:24">
      <c r="C559" s="942"/>
      <c r="D559" s="943"/>
      <c r="E559" s="886"/>
      <c r="F559" s="886"/>
      <c r="G559" s="886"/>
      <c r="H559" s="886"/>
      <c r="I559" s="886"/>
      <c r="J559" s="886"/>
      <c r="K559" s="886"/>
      <c r="L559" s="886"/>
      <c r="M559" s="886"/>
      <c r="N559" s="886"/>
      <c r="O559" s="886"/>
      <c r="P559" s="886"/>
      <c r="Q559" s="886"/>
      <c r="R559" s="886"/>
      <c r="S559" s="886"/>
      <c r="T559" s="886"/>
      <c r="U559" s="886"/>
      <c r="V559" s="886"/>
      <c r="W559" s="886"/>
      <c r="X559" s="886"/>
    </row>
    <row r="560" spans="3:24">
      <c r="C560" s="942"/>
      <c r="D560" s="943"/>
      <c r="E560" s="886"/>
      <c r="F560" s="886"/>
      <c r="G560" s="886"/>
      <c r="H560" s="886"/>
      <c r="I560" s="886"/>
      <c r="J560" s="886"/>
      <c r="K560" s="886"/>
      <c r="L560" s="886"/>
      <c r="M560" s="886"/>
      <c r="N560" s="886"/>
      <c r="O560" s="886"/>
      <c r="P560" s="886"/>
      <c r="Q560" s="886"/>
      <c r="R560" s="886"/>
      <c r="S560" s="886"/>
      <c r="T560" s="886"/>
      <c r="U560" s="886"/>
      <c r="V560" s="886"/>
      <c r="W560" s="886"/>
      <c r="X560" s="886"/>
    </row>
    <row r="561" spans="3:24">
      <c r="C561" s="942"/>
      <c r="D561" s="943"/>
      <c r="E561" s="886"/>
      <c r="F561" s="886"/>
      <c r="G561" s="886"/>
      <c r="H561" s="886"/>
      <c r="I561" s="886"/>
      <c r="J561" s="886"/>
      <c r="K561" s="886"/>
      <c r="L561" s="886"/>
      <c r="M561" s="886"/>
      <c r="N561" s="886"/>
      <c r="O561" s="886"/>
      <c r="P561" s="886"/>
      <c r="Q561" s="886"/>
      <c r="R561" s="886"/>
      <c r="S561" s="886"/>
      <c r="T561" s="886"/>
      <c r="U561" s="886"/>
      <c r="V561" s="886"/>
      <c r="W561" s="886"/>
      <c r="X561" s="886"/>
    </row>
    <row r="562" spans="3:24">
      <c r="C562" s="942"/>
      <c r="D562" s="943"/>
      <c r="E562" s="886"/>
      <c r="F562" s="886"/>
      <c r="G562" s="886"/>
      <c r="H562" s="886"/>
      <c r="I562" s="886"/>
      <c r="J562" s="886"/>
      <c r="K562" s="886"/>
      <c r="L562" s="886"/>
      <c r="M562" s="886"/>
      <c r="N562" s="886"/>
      <c r="O562" s="886"/>
      <c r="P562" s="886"/>
      <c r="Q562" s="886"/>
      <c r="R562" s="886"/>
      <c r="S562" s="886"/>
      <c r="T562" s="886"/>
      <c r="U562" s="886"/>
      <c r="V562" s="886"/>
      <c r="W562" s="886"/>
      <c r="X562" s="886"/>
    </row>
    <row r="563" spans="3:24">
      <c r="C563" s="942"/>
      <c r="D563" s="943"/>
      <c r="E563" s="886"/>
      <c r="F563" s="886"/>
      <c r="G563" s="886"/>
      <c r="H563" s="886"/>
      <c r="I563" s="886"/>
      <c r="J563" s="886"/>
      <c r="K563" s="886"/>
      <c r="L563" s="886"/>
      <c r="M563" s="886"/>
      <c r="N563" s="886"/>
      <c r="O563" s="886"/>
      <c r="P563" s="886"/>
      <c r="Q563" s="886"/>
      <c r="R563" s="886"/>
      <c r="S563" s="886"/>
      <c r="T563" s="886"/>
      <c r="U563" s="886"/>
      <c r="V563" s="886"/>
      <c r="W563" s="886"/>
      <c r="X563" s="886"/>
    </row>
    <row r="564" spans="3:24">
      <c r="C564" s="942"/>
      <c r="D564" s="943"/>
      <c r="E564" s="886"/>
      <c r="F564" s="886"/>
      <c r="G564" s="886"/>
      <c r="H564" s="886"/>
      <c r="I564" s="886"/>
      <c r="J564" s="886"/>
      <c r="K564" s="886"/>
      <c r="L564" s="886"/>
      <c r="M564" s="886"/>
      <c r="N564" s="886"/>
      <c r="O564" s="886"/>
      <c r="P564" s="886"/>
      <c r="Q564" s="886"/>
      <c r="R564" s="886"/>
      <c r="S564" s="886"/>
      <c r="T564" s="886"/>
      <c r="U564" s="886"/>
      <c r="V564" s="886"/>
      <c r="W564" s="886"/>
      <c r="X564" s="886"/>
    </row>
    <row r="565" spans="3:24">
      <c r="C565" s="942"/>
      <c r="D565" s="943"/>
      <c r="E565" s="886"/>
      <c r="F565" s="886"/>
      <c r="G565" s="886"/>
      <c r="H565" s="886"/>
      <c r="I565" s="886"/>
      <c r="J565" s="886"/>
      <c r="K565" s="886"/>
      <c r="L565" s="886"/>
      <c r="M565" s="886"/>
      <c r="N565" s="886"/>
      <c r="O565" s="886"/>
      <c r="P565" s="886"/>
      <c r="Q565" s="886"/>
      <c r="R565" s="886"/>
      <c r="S565" s="886"/>
      <c r="T565" s="886"/>
      <c r="U565" s="886"/>
      <c r="V565" s="886"/>
      <c r="W565" s="886"/>
      <c r="X565" s="886"/>
    </row>
    <row r="566" spans="3:24">
      <c r="C566" s="942"/>
      <c r="D566" s="943"/>
      <c r="E566" s="886"/>
      <c r="F566" s="886"/>
      <c r="G566" s="886"/>
      <c r="H566" s="886"/>
      <c r="I566" s="886"/>
      <c r="J566" s="886"/>
      <c r="K566" s="886"/>
      <c r="L566" s="886"/>
      <c r="M566" s="886"/>
      <c r="N566" s="886"/>
      <c r="O566" s="886"/>
      <c r="P566" s="886"/>
      <c r="Q566" s="886"/>
      <c r="R566" s="886"/>
      <c r="S566" s="886"/>
      <c r="T566" s="886"/>
      <c r="U566" s="886"/>
      <c r="V566" s="886"/>
      <c r="W566" s="886"/>
      <c r="X566" s="886"/>
    </row>
    <row r="567" spans="3:24">
      <c r="C567" s="942"/>
      <c r="D567" s="943"/>
      <c r="E567" s="886"/>
      <c r="F567" s="886"/>
      <c r="G567" s="886"/>
      <c r="H567" s="886"/>
      <c r="I567" s="886"/>
      <c r="J567" s="886"/>
      <c r="K567" s="886"/>
      <c r="L567" s="886"/>
      <c r="M567" s="886"/>
      <c r="N567" s="886"/>
      <c r="O567" s="886"/>
      <c r="P567" s="886"/>
      <c r="Q567" s="886"/>
      <c r="R567" s="886"/>
      <c r="S567" s="886"/>
      <c r="T567" s="886"/>
      <c r="U567" s="886"/>
      <c r="V567" s="886"/>
      <c r="W567" s="886"/>
      <c r="X567" s="886"/>
    </row>
    <row r="568" spans="3:24">
      <c r="C568" s="942"/>
      <c r="D568" s="943"/>
      <c r="E568" s="886"/>
      <c r="F568" s="886"/>
      <c r="G568" s="886"/>
      <c r="H568" s="886"/>
      <c r="I568" s="886"/>
      <c r="J568" s="886"/>
      <c r="K568" s="886"/>
      <c r="L568" s="886"/>
      <c r="M568" s="886"/>
      <c r="N568" s="886"/>
      <c r="O568" s="886"/>
      <c r="P568" s="886"/>
      <c r="Q568" s="886"/>
      <c r="R568" s="886"/>
      <c r="S568" s="886"/>
      <c r="T568" s="886"/>
      <c r="U568" s="886"/>
      <c r="V568" s="886"/>
      <c r="W568" s="886"/>
      <c r="X568" s="886"/>
    </row>
    <row r="569" spans="3:24">
      <c r="C569" s="942"/>
      <c r="D569" s="943"/>
      <c r="E569" s="886"/>
      <c r="F569" s="886"/>
      <c r="G569" s="886"/>
      <c r="H569" s="886"/>
      <c r="I569" s="886"/>
      <c r="J569" s="886"/>
      <c r="K569" s="886"/>
      <c r="L569" s="886"/>
      <c r="M569" s="886"/>
      <c r="N569" s="886"/>
      <c r="O569" s="886"/>
      <c r="P569" s="886"/>
      <c r="Q569" s="886"/>
      <c r="R569" s="886"/>
      <c r="S569" s="886"/>
      <c r="T569" s="886"/>
      <c r="U569" s="886"/>
      <c r="V569" s="886"/>
      <c r="W569" s="886"/>
      <c r="X569" s="886"/>
    </row>
    <row r="570" spans="3:24">
      <c r="C570" s="942"/>
      <c r="D570" s="943"/>
      <c r="E570" s="886"/>
      <c r="F570" s="886"/>
      <c r="G570" s="886"/>
      <c r="H570" s="886"/>
      <c r="I570" s="886"/>
      <c r="J570" s="886"/>
      <c r="K570" s="886"/>
      <c r="L570" s="886"/>
      <c r="M570" s="886"/>
      <c r="N570" s="886"/>
      <c r="O570" s="886"/>
      <c r="P570" s="886"/>
      <c r="Q570" s="886"/>
      <c r="R570" s="886"/>
      <c r="S570" s="886"/>
      <c r="T570" s="886"/>
      <c r="U570" s="886"/>
      <c r="V570" s="886"/>
      <c r="W570" s="886"/>
      <c r="X570" s="886"/>
    </row>
    <row r="571" spans="3:24">
      <c r="C571" s="942"/>
      <c r="D571" s="943"/>
      <c r="E571" s="886"/>
      <c r="F571" s="886"/>
      <c r="G571" s="886"/>
      <c r="H571" s="886"/>
      <c r="I571" s="886"/>
      <c r="J571" s="886"/>
      <c r="K571" s="886"/>
      <c r="L571" s="886"/>
      <c r="M571" s="886"/>
      <c r="N571" s="886"/>
      <c r="O571" s="886"/>
      <c r="P571" s="886"/>
      <c r="Q571" s="886"/>
      <c r="R571" s="886"/>
      <c r="S571" s="886"/>
      <c r="T571" s="886"/>
      <c r="U571" s="886"/>
      <c r="V571" s="886"/>
      <c r="W571" s="886"/>
      <c r="X571" s="886"/>
    </row>
    <row r="572" spans="3:24">
      <c r="C572" s="942"/>
      <c r="D572" s="943"/>
      <c r="E572" s="886"/>
      <c r="F572" s="886"/>
      <c r="G572" s="886"/>
      <c r="H572" s="886"/>
      <c r="I572" s="886"/>
      <c r="J572" s="886"/>
      <c r="K572" s="886"/>
      <c r="L572" s="886"/>
      <c r="M572" s="886"/>
      <c r="N572" s="886"/>
      <c r="O572" s="886"/>
      <c r="P572" s="886"/>
      <c r="Q572" s="886"/>
      <c r="R572" s="886"/>
      <c r="S572" s="886"/>
      <c r="T572" s="886"/>
      <c r="U572" s="886"/>
      <c r="V572" s="886"/>
      <c r="W572" s="886"/>
      <c r="X572" s="886"/>
    </row>
    <row r="573" spans="3:24">
      <c r="C573" s="942"/>
      <c r="D573" s="943"/>
      <c r="E573" s="886"/>
      <c r="F573" s="886"/>
      <c r="G573" s="886"/>
      <c r="H573" s="886"/>
      <c r="I573" s="886"/>
      <c r="J573" s="886"/>
      <c r="K573" s="886"/>
      <c r="L573" s="886"/>
      <c r="M573" s="886"/>
      <c r="N573" s="886"/>
      <c r="O573" s="886"/>
      <c r="P573" s="886"/>
      <c r="Q573" s="886"/>
      <c r="R573" s="886"/>
      <c r="S573" s="886"/>
      <c r="T573" s="886"/>
      <c r="U573" s="886"/>
      <c r="V573" s="886"/>
      <c r="W573" s="886"/>
      <c r="X573" s="886"/>
    </row>
    <row r="574" spans="3:24">
      <c r="C574" s="942"/>
      <c r="D574" s="943"/>
      <c r="E574" s="886"/>
      <c r="F574" s="886"/>
      <c r="G574" s="886"/>
      <c r="H574" s="886"/>
      <c r="I574" s="886"/>
      <c r="J574" s="886"/>
      <c r="K574" s="886"/>
      <c r="L574" s="886"/>
      <c r="M574" s="886"/>
      <c r="N574" s="886"/>
      <c r="O574" s="886"/>
      <c r="P574" s="886"/>
      <c r="Q574" s="886"/>
      <c r="R574" s="886"/>
      <c r="S574" s="886"/>
      <c r="T574" s="886"/>
      <c r="U574" s="886"/>
      <c r="V574" s="886"/>
      <c r="W574" s="886"/>
      <c r="X574" s="886"/>
    </row>
    <row r="575" spans="3:24">
      <c r="C575" s="942"/>
      <c r="D575" s="943"/>
      <c r="E575" s="886"/>
      <c r="F575" s="886"/>
      <c r="G575" s="886"/>
      <c r="H575" s="886"/>
      <c r="I575" s="886"/>
      <c r="J575" s="886"/>
      <c r="K575" s="886"/>
      <c r="L575" s="886"/>
      <c r="M575" s="886"/>
      <c r="N575" s="886"/>
      <c r="O575" s="886"/>
      <c r="P575" s="886"/>
      <c r="Q575" s="886"/>
      <c r="R575" s="886"/>
      <c r="S575" s="886"/>
      <c r="T575" s="886"/>
      <c r="U575" s="886"/>
      <c r="V575" s="886"/>
      <c r="W575" s="886"/>
      <c r="X575" s="886"/>
    </row>
    <row r="576" spans="3:24">
      <c r="C576" s="942"/>
      <c r="D576" s="943"/>
      <c r="E576" s="886"/>
      <c r="F576" s="886"/>
      <c r="G576" s="886"/>
      <c r="H576" s="886"/>
      <c r="I576" s="886"/>
      <c r="J576" s="886"/>
      <c r="K576" s="886"/>
      <c r="L576" s="886"/>
      <c r="M576" s="886"/>
      <c r="N576" s="886"/>
      <c r="O576" s="886"/>
      <c r="P576" s="886"/>
      <c r="Q576" s="886"/>
      <c r="R576" s="886"/>
      <c r="S576" s="886"/>
      <c r="T576" s="886"/>
      <c r="U576" s="886"/>
      <c r="V576" s="886"/>
      <c r="W576" s="886"/>
      <c r="X576" s="886"/>
    </row>
    <row r="577" spans="3:24">
      <c r="C577" s="942"/>
      <c r="D577" s="943"/>
      <c r="E577" s="886"/>
      <c r="F577" s="886"/>
      <c r="G577" s="886"/>
      <c r="H577" s="886"/>
      <c r="I577" s="886"/>
      <c r="J577" s="886"/>
      <c r="K577" s="886"/>
      <c r="L577" s="886"/>
      <c r="M577" s="886"/>
      <c r="N577" s="886"/>
      <c r="O577" s="886"/>
      <c r="P577" s="886"/>
      <c r="Q577" s="886"/>
      <c r="R577" s="886"/>
      <c r="S577" s="886"/>
      <c r="T577" s="886"/>
      <c r="U577" s="886"/>
      <c r="V577" s="886"/>
      <c r="W577" s="886"/>
      <c r="X577" s="886"/>
    </row>
    <row r="578" spans="3:24">
      <c r="C578" s="942"/>
      <c r="D578" s="943"/>
      <c r="E578" s="886"/>
      <c r="F578" s="886"/>
      <c r="G578" s="886"/>
      <c r="H578" s="886"/>
      <c r="I578" s="886"/>
      <c r="J578" s="886"/>
      <c r="K578" s="886"/>
      <c r="L578" s="886"/>
      <c r="M578" s="886"/>
      <c r="N578" s="886"/>
      <c r="O578" s="886"/>
      <c r="P578" s="886"/>
      <c r="Q578" s="886"/>
      <c r="R578" s="886"/>
      <c r="S578" s="886"/>
      <c r="T578" s="886"/>
      <c r="U578" s="886"/>
      <c r="V578" s="886"/>
      <c r="W578" s="886"/>
      <c r="X578" s="886"/>
    </row>
    <row r="579" spans="3:24">
      <c r="C579" s="942"/>
      <c r="D579" s="943"/>
      <c r="E579" s="886"/>
      <c r="F579" s="886"/>
      <c r="G579" s="886"/>
      <c r="H579" s="886"/>
      <c r="I579" s="886"/>
      <c r="J579" s="886"/>
      <c r="K579" s="886"/>
      <c r="L579" s="886"/>
      <c r="M579" s="886"/>
      <c r="N579" s="886"/>
      <c r="O579" s="886"/>
      <c r="P579" s="886"/>
      <c r="Q579" s="886"/>
      <c r="R579" s="886"/>
      <c r="S579" s="886"/>
      <c r="T579" s="886"/>
      <c r="U579" s="886"/>
      <c r="V579" s="886"/>
      <c r="W579" s="886"/>
      <c r="X579" s="886"/>
    </row>
    <row r="580" spans="3:24">
      <c r="C580" s="942"/>
      <c r="D580" s="943"/>
      <c r="E580" s="886"/>
      <c r="F580" s="886"/>
      <c r="G580" s="886"/>
      <c r="H580" s="886"/>
      <c r="I580" s="886"/>
      <c r="J580" s="886"/>
      <c r="K580" s="886"/>
      <c r="L580" s="886"/>
      <c r="M580" s="886"/>
      <c r="N580" s="886"/>
      <c r="O580" s="886"/>
      <c r="P580" s="886"/>
      <c r="Q580" s="886"/>
      <c r="R580" s="886"/>
      <c r="S580" s="886"/>
      <c r="T580" s="886"/>
      <c r="U580" s="886"/>
      <c r="V580" s="886"/>
      <c r="W580" s="886"/>
      <c r="X580" s="886"/>
    </row>
    <row r="581" spans="3:24">
      <c r="C581" s="942"/>
      <c r="D581" s="943"/>
      <c r="E581" s="886"/>
      <c r="F581" s="886"/>
      <c r="G581" s="886"/>
      <c r="H581" s="886"/>
      <c r="I581" s="886"/>
      <c r="J581" s="886"/>
      <c r="K581" s="886"/>
      <c r="L581" s="886"/>
      <c r="M581" s="886"/>
      <c r="N581" s="886"/>
      <c r="O581" s="886"/>
      <c r="P581" s="886"/>
      <c r="Q581" s="886"/>
      <c r="R581" s="886"/>
      <c r="S581" s="886"/>
      <c r="T581" s="886"/>
      <c r="U581" s="886"/>
      <c r="V581" s="886"/>
      <c r="W581" s="886"/>
      <c r="X581" s="886"/>
    </row>
    <row r="582" spans="3:24">
      <c r="C582" s="942"/>
      <c r="D582" s="943"/>
      <c r="E582" s="886"/>
      <c r="F582" s="886"/>
      <c r="G582" s="886"/>
      <c r="H582" s="886"/>
      <c r="I582" s="886"/>
      <c r="J582" s="886"/>
      <c r="K582" s="886"/>
      <c r="L582" s="886"/>
      <c r="M582" s="886"/>
      <c r="N582" s="886"/>
      <c r="O582" s="886"/>
      <c r="P582" s="886"/>
      <c r="Q582" s="886"/>
      <c r="R582" s="886"/>
      <c r="S582" s="886"/>
      <c r="T582" s="886"/>
      <c r="U582" s="886"/>
      <c r="V582" s="886"/>
      <c r="W582" s="886"/>
      <c r="X582" s="886"/>
    </row>
    <row r="583" spans="3:24">
      <c r="C583" s="942"/>
      <c r="D583" s="943"/>
      <c r="E583" s="886"/>
      <c r="F583" s="886"/>
      <c r="G583" s="886"/>
      <c r="H583" s="886"/>
      <c r="I583" s="886"/>
      <c r="J583" s="886"/>
      <c r="K583" s="886"/>
      <c r="L583" s="886"/>
      <c r="M583" s="886"/>
      <c r="N583" s="886"/>
      <c r="O583" s="886"/>
      <c r="P583" s="886"/>
      <c r="Q583" s="886"/>
      <c r="R583" s="886"/>
      <c r="S583" s="886"/>
      <c r="T583" s="886"/>
      <c r="U583" s="886"/>
      <c r="V583" s="886"/>
      <c r="W583" s="886"/>
      <c r="X583" s="886"/>
    </row>
    <row r="584" spans="3:24">
      <c r="C584" s="942"/>
      <c r="D584" s="943"/>
      <c r="E584" s="886"/>
      <c r="F584" s="886"/>
      <c r="G584" s="886"/>
      <c r="H584" s="886"/>
      <c r="I584" s="886"/>
      <c r="J584" s="886"/>
      <c r="K584" s="886"/>
      <c r="L584" s="886"/>
      <c r="M584" s="886"/>
      <c r="N584" s="886"/>
      <c r="O584" s="886"/>
      <c r="P584" s="886"/>
      <c r="Q584" s="886"/>
      <c r="R584" s="886"/>
      <c r="S584" s="886"/>
      <c r="T584" s="886"/>
      <c r="U584" s="886"/>
      <c r="V584" s="886"/>
      <c r="W584" s="886"/>
      <c r="X584" s="886"/>
    </row>
    <row r="585" spans="3:24">
      <c r="C585" s="942"/>
      <c r="D585" s="943"/>
      <c r="E585" s="886"/>
      <c r="F585" s="886"/>
      <c r="G585" s="886"/>
      <c r="H585" s="886"/>
      <c r="I585" s="886"/>
      <c r="J585" s="886"/>
      <c r="K585" s="886"/>
      <c r="L585" s="886"/>
      <c r="M585" s="886"/>
      <c r="N585" s="886"/>
      <c r="O585" s="886"/>
      <c r="P585" s="886"/>
      <c r="Q585" s="886"/>
      <c r="R585" s="886"/>
      <c r="S585" s="886"/>
      <c r="T585" s="886"/>
      <c r="U585" s="886"/>
      <c r="V585" s="886"/>
      <c r="W585" s="886"/>
      <c r="X585" s="886"/>
    </row>
    <row r="586" spans="3:24">
      <c r="C586" s="942"/>
      <c r="D586" s="943"/>
      <c r="E586" s="886"/>
      <c r="F586" s="886"/>
      <c r="G586" s="886"/>
      <c r="H586" s="886"/>
      <c r="I586" s="886"/>
      <c r="J586" s="886"/>
      <c r="K586" s="886"/>
      <c r="L586" s="886"/>
      <c r="M586" s="886"/>
      <c r="N586" s="886"/>
      <c r="O586" s="886"/>
      <c r="P586" s="886"/>
      <c r="Q586" s="886"/>
      <c r="R586" s="886"/>
      <c r="S586" s="886"/>
      <c r="T586" s="886"/>
      <c r="U586" s="886"/>
      <c r="V586" s="886"/>
      <c r="W586" s="886"/>
      <c r="X586" s="886"/>
    </row>
    <row r="587" spans="3:24">
      <c r="C587" s="942"/>
      <c r="D587" s="943"/>
      <c r="E587" s="886"/>
      <c r="F587" s="886"/>
      <c r="G587" s="886"/>
      <c r="H587" s="886"/>
      <c r="I587" s="886"/>
      <c r="J587" s="886"/>
      <c r="K587" s="886"/>
      <c r="L587" s="886"/>
      <c r="M587" s="886"/>
      <c r="N587" s="886"/>
      <c r="O587" s="886"/>
      <c r="P587" s="886"/>
      <c r="Q587" s="886"/>
      <c r="R587" s="886"/>
      <c r="S587" s="886"/>
      <c r="T587" s="886"/>
      <c r="U587" s="886"/>
      <c r="V587" s="886"/>
      <c r="W587" s="886"/>
      <c r="X587" s="886"/>
    </row>
    <row r="588" spans="3:24">
      <c r="C588" s="942"/>
      <c r="D588" s="943"/>
      <c r="E588" s="886"/>
      <c r="F588" s="886"/>
      <c r="G588" s="886"/>
      <c r="H588" s="886"/>
      <c r="I588" s="886"/>
      <c r="J588" s="886"/>
      <c r="K588" s="886"/>
      <c r="L588" s="886"/>
      <c r="M588" s="886"/>
      <c r="N588" s="886"/>
      <c r="O588" s="886"/>
      <c r="P588" s="886"/>
      <c r="Q588" s="886"/>
      <c r="R588" s="886"/>
      <c r="S588" s="886"/>
      <c r="T588" s="886"/>
      <c r="U588" s="886"/>
      <c r="V588" s="886"/>
      <c r="W588" s="886"/>
      <c r="X588" s="886"/>
    </row>
    <row r="589" spans="3:24">
      <c r="C589" s="942"/>
      <c r="D589" s="943"/>
      <c r="E589" s="886"/>
      <c r="F589" s="886"/>
      <c r="G589" s="886"/>
      <c r="H589" s="886"/>
      <c r="I589" s="886"/>
      <c r="J589" s="886"/>
      <c r="K589" s="886"/>
      <c r="L589" s="886"/>
      <c r="M589" s="886"/>
      <c r="N589" s="886"/>
      <c r="O589" s="886"/>
      <c r="P589" s="886"/>
      <c r="Q589" s="886"/>
      <c r="R589" s="886"/>
      <c r="S589" s="886"/>
      <c r="T589" s="886"/>
      <c r="U589" s="886"/>
      <c r="V589" s="886"/>
      <c r="W589" s="886"/>
      <c r="X589" s="886"/>
    </row>
    <row r="590" spans="3:24">
      <c r="C590" s="942"/>
      <c r="D590" s="943"/>
      <c r="E590" s="886"/>
      <c r="F590" s="886"/>
      <c r="G590" s="886"/>
      <c r="H590" s="886"/>
      <c r="I590" s="886"/>
      <c r="J590" s="886"/>
      <c r="K590" s="886"/>
      <c r="L590" s="886"/>
      <c r="M590" s="886"/>
      <c r="N590" s="886"/>
      <c r="O590" s="886"/>
      <c r="P590" s="886"/>
      <c r="Q590" s="886"/>
      <c r="R590" s="886"/>
      <c r="S590" s="886"/>
      <c r="T590" s="886"/>
      <c r="U590" s="886"/>
      <c r="V590" s="886"/>
      <c r="W590" s="886"/>
      <c r="X590" s="886"/>
    </row>
    <row r="591" spans="3:24">
      <c r="C591" s="942"/>
      <c r="D591" s="943"/>
      <c r="E591" s="886"/>
      <c r="F591" s="886"/>
      <c r="G591" s="886"/>
      <c r="H591" s="886"/>
      <c r="I591" s="886"/>
      <c r="J591" s="886"/>
      <c r="K591" s="886"/>
      <c r="L591" s="886"/>
      <c r="M591" s="886"/>
      <c r="N591" s="886"/>
      <c r="O591" s="886"/>
      <c r="P591" s="886"/>
      <c r="Q591" s="886"/>
      <c r="R591" s="886"/>
      <c r="S591" s="886"/>
      <c r="T591" s="886"/>
      <c r="U591" s="886"/>
      <c r="V591" s="886"/>
      <c r="W591" s="886"/>
      <c r="X591" s="886"/>
    </row>
    <row r="592" spans="3:24">
      <c r="C592" s="942"/>
      <c r="D592" s="943"/>
      <c r="E592" s="886"/>
      <c r="F592" s="886"/>
      <c r="G592" s="886"/>
      <c r="H592" s="886"/>
      <c r="I592" s="886"/>
      <c r="J592" s="886"/>
      <c r="K592" s="886"/>
      <c r="L592" s="886"/>
      <c r="M592" s="886"/>
      <c r="N592" s="886"/>
      <c r="O592" s="886"/>
      <c r="P592" s="886"/>
      <c r="Q592" s="886"/>
      <c r="R592" s="886"/>
      <c r="S592" s="886"/>
      <c r="T592" s="886"/>
      <c r="U592" s="886"/>
      <c r="V592" s="886"/>
      <c r="W592" s="886"/>
      <c r="X592" s="886"/>
    </row>
    <row r="593" spans="3:24">
      <c r="C593" s="942"/>
      <c r="D593" s="943"/>
      <c r="E593" s="886"/>
      <c r="F593" s="886"/>
      <c r="G593" s="886"/>
      <c r="H593" s="886"/>
      <c r="I593" s="886"/>
      <c r="J593" s="886"/>
      <c r="K593" s="886"/>
      <c r="L593" s="886"/>
      <c r="M593" s="886"/>
      <c r="N593" s="886"/>
      <c r="O593" s="886"/>
      <c r="P593" s="886"/>
      <c r="Q593" s="886"/>
      <c r="R593" s="886"/>
      <c r="S593" s="886"/>
      <c r="T593" s="886"/>
      <c r="U593" s="886"/>
      <c r="V593" s="886"/>
      <c r="W593" s="886"/>
      <c r="X593" s="886"/>
    </row>
    <row r="594" spans="3:24">
      <c r="C594" s="942"/>
      <c r="D594" s="943"/>
      <c r="E594" s="886"/>
      <c r="F594" s="886"/>
      <c r="G594" s="886"/>
      <c r="H594" s="886"/>
      <c r="I594" s="886"/>
      <c r="J594" s="886"/>
      <c r="K594" s="886"/>
      <c r="L594" s="886"/>
      <c r="M594" s="886"/>
      <c r="N594" s="886"/>
      <c r="O594" s="886"/>
      <c r="P594" s="886"/>
      <c r="Q594" s="886"/>
      <c r="R594" s="886"/>
      <c r="S594" s="886"/>
      <c r="T594" s="886"/>
      <c r="U594" s="886"/>
      <c r="V594" s="886"/>
      <c r="W594" s="886"/>
      <c r="X594" s="886"/>
    </row>
    <row r="595" spans="3:24">
      <c r="C595" s="942"/>
      <c r="D595" s="943"/>
      <c r="E595" s="886"/>
      <c r="F595" s="886"/>
      <c r="G595" s="886"/>
      <c r="H595" s="886"/>
      <c r="I595" s="886"/>
      <c r="J595" s="886"/>
      <c r="K595" s="886"/>
      <c r="L595" s="886"/>
      <c r="M595" s="886"/>
      <c r="N595" s="886"/>
      <c r="O595" s="886"/>
      <c r="P595" s="886"/>
      <c r="Q595" s="886"/>
      <c r="R595" s="886"/>
      <c r="S595" s="886"/>
      <c r="T595" s="886"/>
      <c r="U595" s="886"/>
      <c r="V595" s="886"/>
      <c r="W595" s="886"/>
      <c r="X595" s="886"/>
    </row>
    <row r="596" spans="3:24">
      <c r="C596" s="942"/>
      <c r="D596" s="943"/>
      <c r="E596" s="886"/>
      <c r="F596" s="886"/>
      <c r="G596" s="886"/>
      <c r="H596" s="886"/>
      <c r="I596" s="886"/>
      <c r="J596" s="886"/>
      <c r="K596" s="886"/>
      <c r="L596" s="886"/>
      <c r="M596" s="886"/>
      <c r="N596" s="886"/>
      <c r="O596" s="886"/>
      <c r="P596" s="886"/>
      <c r="Q596" s="886"/>
      <c r="R596" s="886"/>
      <c r="S596" s="886"/>
      <c r="T596" s="886"/>
      <c r="U596" s="886"/>
      <c r="V596" s="886"/>
      <c r="W596" s="886"/>
      <c r="X596" s="886"/>
    </row>
    <row r="597" spans="3:24">
      <c r="C597" s="942"/>
      <c r="D597" s="943"/>
      <c r="E597" s="886"/>
      <c r="F597" s="886"/>
      <c r="G597" s="886"/>
      <c r="H597" s="886"/>
      <c r="I597" s="886"/>
      <c r="J597" s="886"/>
      <c r="K597" s="886"/>
      <c r="L597" s="886"/>
      <c r="M597" s="886"/>
      <c r="N597" s="886"/>
      <c r="O597" s="886"/>
      <c r="P597" s="886"/>
      <c r="Q597" s="886"/>
      <c r="R597" s="886"/>
      <c r="S597" s="886"/>
      <c r="T597" s="886"/>
      <c r="U597" s="886"/>
      <c r="V597" s="886"/>
      <c r="W597" s="886"/>
      <c r="X597" s="886"/>
    </row>
    <row r="598" spans="3:24">
      <c r="C598" s="942"/>
      <c r="D598" s="943"/>
      <c r="E598" s="886"/>
      <c r="F598" s="886"/>
      <c r="G598" s="886"/>
      <c r="H598" s="886"/>
      <c r="I598" s="886"/>
      <c r="J598" s="886"/>
      <c r="K598" s="886"/>
      <c r="L598" s="886"/>
      <c r="M598" s="886"/>
      <c r="N598" s="886"/>
      <c r="O598" s="886"/>
      <c r="P598" s="886"/>
      <c r="Q598" s="886"/>
      <c r="R598" s="886"/>
      <c r="S598" s="886"/>
      <c r="T598" s="886"/>
      <c r="U598" s="886"/>
      <c r="V598" s="886"/>
      <c r="W598" s="886"/>
      <c r="X598" s="886"/>
    </row>
    <row r="599" spans="3:24">
      <c r="C599" s="942"/>
      <c r="D599" s="943"/>
      <c r="E599" s="886"/>
      <c r="F599" s="886"/>
      <c r="G599" s="886"/>
      <c r="H599" s="886"/>
      <c r="I599" s="886"/>
      <c r="J599" s="886"/>
      <c r="K599" s="886"/>
      <c r="L599" s="886"/>
      <c r="M599" s="886"/>
      <c r="N599" s="886"/>
      <c r="O599" s="886"/>
      <c r="P599" s="886"/>
      <c r="Q599" s="886"/>
      <c r="R599" s="886"/>
      <c r="S599" s="886"/>
      <c r="T599" s="886"/>
      <c r="U599" s="886"/>
      <c r="V599" s="886"/>
      <c r="W599" s="886"/>
      <c r="X599" s="886"/>
    </row>
    <row r="600" spans="3:24">
      <c r="C600" s="942"/>
      <c r="D600" s="943"/>
      <c r="E600" s="886"/>
      <c r="F600" s="886"/>
      <c r="G600" s="886"/>
      <c r="H600" s="886"/>
      <c r="I600" s="886"/>
      <c r="J600" s="886"/>
      <c r="K600" s="886"/>
      <c r="L600" s="886"/>
      <c r="M600" s="886"/>
      <c r="N600" s="886"/>
      <c r="O600" s="886"/>
      <c r="P600" s="886"/>
      <c r="Q600" s="886"/>
      <c r="R600" s="886"/>
      <c r="S600" s="886"/>
      <c r="T600" s="886"/>
      <c r="U600" s="886"/>
      <c r="V600" s="886"/>
      <c r="W600" s="886"/>
      <c r="X600" s="886"/>
    </row>
    <row r="601" spans="3:24">
      <c r="C601" s="942"/>
      <c r="D601" s="943"/>
      <c r="E601" s="886"/>
      <c r="F601" s="886"/>
      <c r="G601" s="886"/>
      <c r="H601" s="886"/>
      <c r="I601" s="886"/>
      <c r="J601" s="886"/>
      <c r="K601" s="886"/>
      <c r="L601" s="886"/>
      <c r="M601" s="886"/>
      <c r="N601" s="886"/>
      <c r="O601" s="886"/>
      <c r="P601" s="886"/>
      <c r="Q601" s="886"/>
      <c r="R601" s="886"/>
      <c r="S601" s="886"/>
      <c r="T601" s="886"/>
      <c r="U601" s="886"/>
      <c r="V601" s="886"/>
      <c r="W601" s="886"/>
      <c r="X601" s="886"/>
    </row>
    <row r="602" spans="3:24">
      <c r="C602" s="942"/>
      <c r="D602" s="943"/>
      <c r="E602" s="886"/>
      <c r="F602" s="886"/>
      <c r="G602" s="886"/>
      <c r="H602" s="886"/>
      <c r="I602" s="886"/>
      <c r="J602" s="886"/>
      <c r="K602" s="886"/>
      <c r="L602" s="886"/>
      <c r="M602" s="886"/>
      <c r="N602" s="886"/>
      <c r="O602" s="886"/>
      <c r="P602" s="886"/>
      <c r="Q602" s="886"/>
      <c r="R602" s="886"/>
      <c r="S602" s="886"/>
      <c r="T602" s="886"/>
      <c r="U602" s="886"/>
      <c r="V602" s="886"/>
      <c r="W602" s="886"/>
      <c r="X602" s="886"/>
    </row>
    <row r="603" spans="3:24">
      <c r="C603" s="942"/>
      <c r="D603" s="943"/>
      <c r="E603" s="886"/>
      <c r="F603" s="886"/>
      <c r="G603" s="886"/>
      <c r="H603" s="886"/>
      <c r="I603" s="886"/>
      <c r="J603" s="886"/>
      <c r="K603" s="886"/>
      <c r="L603" s="886"/>
      <c r="M603" s="886"/>
      <c r="N603" s="886"/>
      <c r="O603" s="886"/>
      <c r="P603" s="886"/>
      <c r="Q603" s="886"/>
      <c r="R603" s="886"/>
      <c r="S603" s="886"/>
      <c r="T603" s="886"/>
      <c r="U603" s="886"/>
      <c r="V603" s="886"/>
      <c r="W603" s="886"/>
      <c r="X603" s="886"/>
    </row>
    <row r="604" spans="3:24">
      <c r="C604" s="942"/>
      <c r="D604" s="943"/>
      <c r="E604" s="886"/>
      <c r="F604" s="886"/>
      <c r="G604" s="886"/>
      <c r="H604" s="886"/>
      <c r="I604" s="886"/>
      <c r="J604" s="886"/>
      <c r="K604" s="886"/>
      <c r="L604" s="886"/>
      <c r="M604" s="886"/>
      <c r="N604" s="886"/>
      <c r="O604" s="886"/>
      <c r="P604" s="886"/>
      <c r="Q604" s="886"/>
      <c r="R604" s="886"/>
      <c r="S604" s="886"/>
      <c r="T604" s="886"/>
      <c r="U604" s="886"/>
      <c r="V604" s="886"/>
      <c r="W604" s="886"/>
      <c r="X604" s="886"/>
    </row>
    <row r="605" spans="3:24">
      <c r="C605" s="942"/>
      <c r="D605" s="943"/>
      <c r="E605" s="886"/>
      <c r="F605" s="886"/>
      <c r="G605" s="886"/>
      <c r="H605" s="886"/>
      <c r="I605" s="886"/>
      <c r="J605" s="886"/>
      <c r="K605" s="886"/>
      <c r="L605" s="886"/>
      <c r="M605" s="886"/>
      <c r="N605" s="886"/>
      <c r="O605" s="886"/>
      <c r="P605" s="886"/>
      <c r="Q605" s="886"/>
      <c r="R605" s="886"/>
      <c r="S605" s="886"/>
      <c r="T605" s="886"/>
      <c r="U605" s="886"/>
      <c r="V605" s="886"/>
      <c r="W605" s="886"/>
      <c r="X605" s="886"/>
    </row>
    <row r="606" spans="3:24">
      <c r="C606" s="942"/>
      <c r="D606" s="943"/>
      <c r="E606" s="886"/>
      <c r="F606" s="886"/>
      <c r="G606" s="886"/>
      <c r="H606" s="886"/>
      <c r="I606" s="886"/>
      <c r="J606" s="886"/>
      <c r="K606" s="886"/>
      <c r="L606" s="886"/>
      <c r="M606" s="886"/>
      <c r="N606" s="886"/>
      <c r="O606" s="886"/>
      <c r="P606" s="886"/>
      <c r="Q606" s="886"/>
      <c r="R606" s="886"/>
      <c r="S606" s="886"/>
      <c r="T606" s="886"/>
      <c r="U606" s="886"/>
      <c r="V606" s="886"/>
      <c r="W606" s="886"/>
      <c r="X606" s="886"/>
    </row>
    <row r="607" spans="3:24">
      <c r="C607" s="942"/>
      <c r="D607" s="943"/>
      <c r="E607" s="886"/>
      <c r="F607" s="886"/>
      <c r="G607" s="886"/>
      <c r="H607" s="886"/>
      <c r="I607" s="886"/>
      <c r="J607" s="886"/>
      <c r="K607" s="886"/>
      <c r="L607" s="886"/>
      <c r="M607" s="886"/>
      <c r="N607" s="886"/>
      <c r="O607" s="886"/>
      <c r="P607" s="886"/>
      <c r="Q607" s="886"/>
      <c r="R607" s="886"/>
      <c r="S607" s="886"/>
      <c r="T607" s="886"/>
      <c r="U607" s="886"/>
      <c r="V607" s="886"/>
      <c r="W607" s="886"/>
      <c r="X607" s="886"/>
    </row>
    <row r="608" spans="3:24">
      <c r="C608" s="942"/>
      <c r="D608" s="943"/>
      <c r="E608" s="886"/>
      <c r="F608" s="886"/>
      <c r="G608" s="886"/>
      <c r="H608" s="886"/>
      <c r="I608" s="886"/>
      <c r="J608" s="886"/>
      <c r="K608" s="886"/>
      <c r="L608" s="886"/>
      <c r="M608" s="886"/>
      <c r="N608" s="886"/>
      <c r="O608" s="886"/>
      <c r="P608" s="886"/>
      <c r="Q608" s="886"/>
      <c r="R608" s="886"/>
      <c r="S608" s="886"/>
      <c r="T608" s="886"/>
      <c r="U608" s="886"/>
      <c r="V608" s="886"/>
      <c r="W608" s="886"/>
      <c r="X608" s="886"/>
    </row>
    <row r="609" spans="3:24">
      <c r="C609" s="942"/>
      <c r="D609" s="943"/>
      <c r="E609" s="886"/>
      <c r="F609" s="886"/>
      <c r="G609" s="886"/>
      <c r="H609" s="886"/>
      <c r="I609" s="886"/>
      <c r="J609" s="886"/>
      <c r="K609" s="886"/>
      <c r="L609" s="886"/>
      <c r="M609" s="886"/>
      <c r="N609" s="886"/>
      <c r="O609" s="886"/>
      <c r="P609" s="886"/>
      <c r="Q609" s="886"/>
      <c r="R609" s="886"/>
      <c r="S609" s="886"/>
      <c r="T609" s="886"/>
      <c r="U609" s="886"/>
      <c r="V609" s="886"/>
      <c r="W609" s="886"/>
      <c r="X609" s="886"/>
    </row>
    <row r="610" spans="3:24">
      <c r="C610" s="942"/>
      <c r="D610" s="943"/>
      <c r="E610" s="886"/>
      <c r="F610" s="886"/>
      <c r="G610" s="886"/>
      <c r="H610" s="886"/>
      <c r="I610" s="886"/>
      <c r="J610" s="886"/>
      <c r="K610" s="886"/>
      <c r="L610" s="886"/>
      <c r="M610" s="886"/>
      <c r="N610" s="886"/>
      <c r="O610" s="886"/>
      <c r="P610" s="886"/>
      <c r="Q610" s="886"/>
      <c r="R610" s="886"/>
      <c r="S610" s="886"/>
      <c r="T610" s="886"/>
      <c r="U610" s="886"/>
      <c r="V610" s="886"/>
      <c r="W610" s="886"/>
      <c r="X610" s="886"/>
    </row>
    <row r="611" spans="3:24">
      <c r="C611" s="942"/>
      <c r="D611" s="943"/>
      <c r="E611" s="886"/>
      <c r="F611" s="886"/>
      <c r="G611" s="886"/>
      <c r="H611" s="886"/>
      <c r="I611" s="886"/>
      <c r="J611" s="886"/>
      <c r="K611" s="886"/>
      <c r="L611" s="886"/>
      <c r="M611" s="886"/>
      <c r="N611" s="886"/>
      <c r="O611" s="886"/>
      <c r="P611" s="886"/>
      <c r="Q611" s="886"/>
      <c r="R611" s="886"/>
      <c r="S611" s="886"/>
      <c r="T611" s="886"/>
      <c r="U611" s="886"/>
      <c r="V611" s="886"/>
      <c r="W611" s="886"/>
      <c r="X611" s="886"/>
    </row>
    <row r="612" spans="3:24">
      <c r="C612" s="942"/>
      <c r="D612" s="943"/>
      <c r="E612" s="886"/>
      <c r="F612" s="886"/>
      <c r="G612" s="886"/>
      <c r="H612" s="886"/>
      <c r="I612" s="886"/>
      <c r="J612" s="886"/>
      <c r="K612" s="886"/>
      <c r="L612" s="886"/>
      <c r="M612" s="886"/>
      <c r="N612" s="886"/>
      <c r="O612" s="886"/>
      <c r="P612" s="886"/>
      <c r="Q612" s="886"/>
      <c r="R612" s="886"/>
      <c r="S612" s="886"/>
      <c r="T612" s="886"/>
      <c r="U612" s="886"/>
      <c r="V612" s="886"/>
      <c r="W612" s="886"/>
      <c r="X612" s="886"/>
    </row>
    <row r="613" spans="3:24">
      <c r="C613" s="942"/>
      <c r="D613" s="943"/>
      <c r="E613" s="886"/>
      <c r="F613" s="886"/>
      <c r="G613" s="886"/>
      <c r="H613" s="886"/>
      <c r="I613" s="886"/>
      <c r="J613" s="886"/>
      <c r="K613" s="886"/>
      <c r="L613" s="886"/>
      <c r="M613" s="886"/>
      <c r="N613" s="886"/>
      <c r="O613" s="886"/>
      <c r="P613" s="886"/>
      <c r="Q613" s="886"/>
      <c r="R613" s="886"/>
      <c r="S613" s="886"/>
      <c r="T613" s="886"/>
      <c r="U613" s="886"/>
      <c r="V613" s="886"/>
      <c r="W613" s="886"/>
      <c r="X613" s="886"/>
    </row>
    <row r="614" spans="3:24">
      <c r="C614" s="942"/>
      <c r="D614" s="943"/>
      <c r="E614" s="886"/>
      <c r="F614" s="886"/>
      <c r="G614" s="886"/>
      <c r="H614" s="886"/>
      <c r="I614" s="886"/>
      <c r="J614" s="886"/>
      <c r="K614" s="886"/>
      <c r="L614" s="886"/>
      <c r="M614" s="886"/>
      <c r="N614" s="886"/>
      <c r="O614" s="886"/>
      <c r="P614" s="886"/>
      <c r="Q614" s="886"/>
      <c r="R614" s="886"/>
      <c r="S614" s="886"/>
      <c r="T614" s="886"/>
      <c r="U614" s="886"/>
      <c r="V614" s="886"/>
      <c r="W614" s="886"/>
      <c r="X614" s="886"/>
    </row>
    <row r="615" spans="3:24">
      <c r="C615" s="942"/>
      <c r="D615" s="943"/>
      <c r="E615" s="886"/>
      <c r="F615" s="886"/>
      <c r="G615" s="886"/>
      <c r="H615" s="886"/>
      <c r="I615" s="886"/>
      <c r="J615" s="886"/>
      <c r="K615" s="886"/>
      <c r="L615" s="886"/>
      <c r="M615" s="886"/>
      <c r="N615" s="886"/>
      <c r="O615" s="886"/>
      <c r="P615" s="886"/>
      <c r="Q615" s="886"/>
      <c r="R615" s="886"/>
      <c r="S615" s="886"/>
      <c r="T615" s="886"/>
      <c r="U615" s="886"/>
      <c r="V615" s="886"/>
      <c r="W615" s="886"/>
      <c r="X615" s="886"/>
    </row>
    <row r="616" spans="3:24">
      <c r="C616" s="942"/>
      <c r="D616" s="943"/>
      <c r="E616" s="886"/>
      <c r="F616" s="886"/>
      <c r="G616" s="886"/>
      <c r="H616" s="886"/>
      <c r="I616" s="886"/>
      <c r="J616" s="886"/>
      <c r="K616" s="886"/>
      <c r="L616" s="886"/>
      <c r="M616" s="886"/>
      <c r="N616" s="886"/>
      <c r="O616" s="886"/>
      <c r="P616" s="886"/>
      <c r="Q616" s="886"/>
      <c r="R616" s="886"/>
      <c r="S616" s="886"/>
      <c r="T616" s="886"/>
      <c r="U616" s="886"/>
      <c r="V616" s="886"/>
      <c r="W616" s="886"/>
      <c r="X616" s="886"/>
    </row>
    <row r="617" spans="3:24">
      <c r="C617" s="942"/>
      <c r="D617" s="943"/>
      <c r="E617" s="886"/>
      <c r="F617" s="886"/>
      <c r="G617" s="886"/>
      <c r="H617" s="886"/>
      <c r="I617" s="886"/>
      <c r="J617" s="886"/>
      <c r="K617" s="886"/>
      <c r="L617" s="886"/>
      <c r="M617" s="886"/>
      <c r="N617" s="886"/>
      <c r="O617" s="886"/>
      <c r="P617" s="886"/>
      <c r="Q617" s="886"/>
      <c r="R617" s="886"/>
      <c r="S617" s="886"/>
      <c r="T617" s="886"/>
      <c r="U617" s="886"/>
      <c r="V617" s="886"/>
      <c r="W617" s="886"/>
      <c r="X617" s="886"/>
    </row>
    <row r="618" spans="3:24">
      <c r="C618" s="942"/>
      <c r="D618" s="943"/>
      <c r="E618" s="886"/>
      <c r="F618" s="886"/>
      <c r="G618" s="886"/>
      <c r="H618" s="886"/>
      <c r="I618" s="886"/>
      <c r="J618" s="886"/>
      <c r="K618" s="886"/>
      <c r="L618" s="886"/>
      <c r="M618" s="886"/>
      <c r="N618" s="886"/>
      <c r="O618" s="886"/>
      <c r="P618" s="886"/>
      <c r="Q618" s="886"/>
      <c r="R618" s="886"/>
      <c r="S618" s="886"/>
      <c r="T618" s="886"/>
      <c r="U618" s="886"/>
      <c r="V618" s="886"/>
      <c r="W618" s="886"/>
      <c r="X618" s="886"/>
    </row>
    <row r="619" spans="3:24">
      <c r="C619" s="942"/>
      <c r="D619" s="943"/>
      <c r="E619" s="886"/>
      <c r="F619" s="886"/>
      <c r="G619" s="886"/>
      <c r="H619" s="886"/>
      <c r="I619" s="886"/>
      <c r="J619" s="886"/>
      <c r="K619" s="886"/>
      <c r="L619" s="886"/>
      <c r="M619" s="886"/>
      <c r="N619" s="886"/>
      <c r="O619" s="886"/>
      <c r="P619" s="886"/>
      <c r="Q619" s="886"/>
      <c r="R619" s="886"/>
      <c r="S619" s="886"/>
      <c r="T619" s="886"/>
      <c r="U619" s="886"/>
      <c r="V619" s="886"/>
      <c r="W619" s="886"/>
      <c r="X619" s="886"/>
    </row>
    <row r="620" spans="3:24">
      <c r="C620" s="942"/>
      <c r="D620" s="943"/>
      <c r="E620" s="886"/>
      <c r="F620" s="886"/>
      <c r="G620" s="886"/>
      <c r="H620" s="886"/>
      <c r="I620" s="886"/>
      <c r="J620" s="886"/>
      <c r="K620" s="886"/>
      <c r="L620" s="886"/>
      <c r="M620" s="886"/>
      <c r="N620" s="886"/>
      <c r="O620" s="886"/>
      <c r="P620" s="886"/>
      <c r="Q620" s="886"/>
      <c r="R620" s="886"/>
      <c r="S620" s="886"/>
      <c r="T620" s="886"/>
      <c r="U620" s="886"/>
      <c r="V620" s="886"/>
      <c r="W620" s="886"/>
      <c r="X620" s="886"/>
    </row>
    <row r="621" spans="3:24">
      <c r="C621" s="942"/>
      <c r="D621" s="943"/>
      <c r="E621" s="886"/>
      <c r="F621" s="886"/>
      <c r="G621" s="886"/>
      <c r="H621" s="886"/>
      <c r="I621" s="886"/>
      <c r="J621" s="886"/>
      <c r="K621" s="886"/>
      <c r="L621" s="886"/>
      <c r="M621" s="886"/>
      <c r="N621" s="886"/>
      <c r="O621" s="886"/>
      <c r="P621" s="886"/>
      <c r="Q621" s="886"/>
      <c r="R621" s="886"/>
      <c r="S621" s="886"/>
      <c r="T621" s="886"/>
      <c r="U621" s="886"/>
      <c r="V621" s="886"/>
      <c r="W621" s="886"/>
      <c r="X621" s="886"/>
    </row>
    <row r="622" spans="3:24">
      <c r="C622" s="942"/>
      <c r="D622" s="943"/>
      <c r="E622" s="886"/>
      <c r="F622" s="886"/>
      <c r="G622" s="886"/>
      <c r="H622" s="886"/>
      <c r="I622" s="886"/>
      <c r="J622" s="886"/>
      <c r="K622" s="886"/>
      <c r="L622" s="886"/>
      <c r="M622" s="886"/>
      <c r="N622" s="886"/>
      <c r="O622" s="886"/>
      <c r="P622" s="886"/>
      <c r="Q622" s="886"/>
      <c r="R622" s="886"/>
      <c r="S622" s="886"/>
      <c r="T622" s="886"/>
      <c r="U622" s="886"/>
      <c r="V622" s="886"/>
      <c r="W622" s="886"/>
      <c r="X622" s="886"/>
    </row>
    <row r="623" spans="3:24">
      <c r="C623" s="942"/>
      <c r="D623" s="943"/>
      <c r="E623" s="886"/>
      <c r="F623" s="886"/>
      <c r="G623" s="886"/>
      <c r="H623" s="886"/>
      <c r="I623" s="886"/>
      <c r="J623" s="886"/>
      <c r="K623" s="886"/>
      <c r="L623" s="886"/>
      <c r="M623" s="886"/>
      <c r="N623" s="886"/>
      <c r="O623" s="886"/>
      <c r="P623" s="886"/>
      <c r="Q623" s="886"/>
      <c r="R623" s="886"/>
      <c r="S623" s="886"/>
      <c r="T623" s="886"/>
      <c r="U623" s="886"/>
      <c r="V623" s="886"/>
      <c r="W623" s="886"/>
      <c r="X623" s="886"/>
    </row>
    <row r="624" spans="3:24">
      <c r="C624" s="942"/>
      <c r="D624" s="943"/>
      <c r="E624" s="886"/>
      <c r="F624" s="886"/>
      <c r="G624" s="886"/>
      <c r="H624" s="886"/>
      <c r="I624" s="886"/>
      <c r="J624" s="886"/>
      <c r="K624" s="886"/>
      <c r="L624" s="886"/>
      <c r="M624" s="886"/>
      <c r="N624" s="886"/>
      <c r="O624" s="886"/>
      <c r="P624" s="886"/>
      <c r="Q624" s="886"/>
      <c r="R624" s="886"/>
      <c r="S624" s="886"/>
      <c r="T624" s="886"/>
      <c r="U624" s="886"/>
      <c r="V624" s="886"/>
      <c r="W624" s="886"/>
      <c r="X624" s="886"/>
    </row>
    <row r="625" spans="3:24">
      <c r="C625" s="942"/>
      <c r="D625" s="943"/>
      <c r="E625" s="886"/>
      <c r="F625" s="886"/>
      <c r="G625" s="886"/>
      <c r="H625" s="886"/>
      <c r="I625" s="886"/>
      <c r="J625" s="886"/>
      <c r="K625" s="886"/>
      <c r="L625" s="886"/>
      <c r="M625" s="886"/>
      <c r="N625" s="886"/>
      <c r="O625" s="886"/>
      <c r="P625" s="886"/>
      <c r="Q625" s="886"/>
      <c r="R625" s="886"/>
      <c r="S625" s="886"/>
      <c r="T625" s="886"/>
      <c r="U625" s="886"/>
      <c r="V625" s="886"/>
      <c r="W625" s="886"/>
      <c r="X625" s="886"/>
    </row>
    <row r="626" spans="3:24">
      <c r="C626" s="942"/>
      <c r="D626" s="943"/>
      <c r="E626" s="886"/>
      <c r="F626" s="886"/>
      <c r="G626" s="886"/>
      <c r="H626" s="886"/>
      <c r="I626" s="886"/>
      <c r="J626" s="886"/>
      <c r="K626" s="886"/>
      <c r="L626" s="886"/>
      <c r="M626" s="886"/>
      <c r="N626" s="886"/>
      <c r="O626" s="886"/>
      <c r="P626" s="886"/>
      <c r="Q626" s="886"/>
      <c r="R626" s="886"/>
      <c r="S626" s="886"/>
      <c r="T626" s="886"/>
      <c r="U626" s="886"/>
      <c r="V626" s="886"/>
      <c r="W626" s="886"/>
      <c r="X626" s="886"/>
    </row>
    <row r="627" spans="3:24">
      <c r="C627" s="942"/>
      <c r="D627" s="943"/>
      <c r="E627" s="886"/>
      <c r="F627" s="886"/>
      <c r="G627" s="886"/>
      <c r="H627" s="886"/>
      <c r="I627" s="886"/>
      <c r="J627" s="886"/>
      <c r="K627" s="886"/>
      <c r="L627" s="886"/>
      <c r="M627" s="886"/>
      <c r="N627" s="886"/>
      <c r="O627" s="886"/>
      <c r="P627" s="886"/>
      <c r="Q627" s="886"/>
      <c r="R627" s="886"/>
      <c r="S627" s="886"/>
      <c r="T627" s="886"/>
      <c r="U627" s="886"/>
      <c r="V627" s="886"/>
      <c r="W627" s="886"/>
      <c r="X627" s="886"/>
    </row>
    <row r="628" spans="3:24">
      <c r="C628" s="942"/>
      <c r="D628" s="943"/>
      <c r="E628" s="886"/>
      <c r="F628" s="886"/>
      <c r="G628" s="886"/>
      <c r="H628" s="886"/>
      <c r="I628" s="886"/>
      <c r="J628" s="886"/>
      <c r="K628" s="886"/>
      <c r="L628" s="886"/>
      <c r="M628" s="886"/>
      <c r="N628" s="886"/>
      <c r="O628" s="886"/>
      <c r="P628" s="886"/>
      <c r="Q628" s="886"/>
      <c r="R628" s="886"/>
      <c r="S628" s="886"/>
      <c r="T628" s="886"/>
      <c r="U628" s="886"/>
      <c r="V628" s="886"/>
      <c r="W628" s="886"/>
      <c r="X628" s="886"/>
    </row>
    <row r="629" spans="3:24">
      <c r="C629" s="942"/>
      <c r="D629" s="943"/>
      <c r="E629" s="886"/>
      <c r="F629" s="886"/>
      <c r="G629" s="886"/>
      <c r="H629" s="886"/>
      <c r="I629" s="886"/>
      <c r="J629" s="886"/>
      <c r="K629" s="886"/>
      <c r="L629" s="886"/>
      <c r="M629" s="886"/>
      <c r="N629" s="886"/>
      <c r="O629" s="886"/>
      <c r="P629" s="886"/>
      <c r="Q629" s="886"/>
      <c r="R629" s="886"/>
      <c r="S629" s="886"/>
      <c r="T629" s="886"/>
      <c r="U629" s="886"/>
      <c r="V629" s="886"/>
      <c r="W629" s="886"/>
      <c r="X629" s="886"/>
    </row>
    <row r="630" spans="3:24">
      <c r="C630" s="942"/>
      <c r="D630" s="943"/>
      <c r="E630" s="886"/>
      <c r="F630" s="886"/>
      <c r="G630" s="886"/>
      <c r="H630" s="886"/>
      <c r="I630" s="886"/>
      <c r="J630" s="886"/>
      <c r="K630" s="886"/>
      <c r="L630" s="886"/>
      <c r="M630" s="886"/>
      <c r="N630" s="886"/>
      <c r="O630" s="886"/>
      <c r="P630" s="886"/>
      <c r="Q630" s="886"/>
      <c r="R630" s="886"/>
      <c r="S630" s="886"/>
      <c r="T630" s="886"/>
      <c r="U630" s="886"/>
      <c r="V630" s="886"/>
      <c r="W630" s="886"/>
      <c r="X630" s="886"/>
    </row>
    <row r="631" spans="3:24">
      <c r="C631" s="942"/>
      <c r="D631" s="943"/>
      <c r="E631" s="886"/>
      <c r="F631" s="886"/>
      <c r="G631" s="886"/>
      <c r="H631" s="886"/>
      <c r="I631" s="886"/>
      <c r="J631" s="886"/>
      <c r="K631" s="886"/>
      <c r="L631" s="886"/>
      <c r="M631" s="886"/>
      <c r="N631" s="886"/>
      <c r="O631" s="886"/>
      <c r="P631" s="886"/>
      <c r="Q631" s="886"/>
      <c r="R631" s="886"/>
      <c r="S631" s="886"/>
      <c r="T631" s="886"/>
      <c r="U631" s="886"/>
      <c r="V631" s="886"/>
      <c r="W631" s="886"/>
      <c r="X631" s="886"/>
    </row>
    <row r="632" spans="3:24">
      <c r="C632" s="942"/>
      <c r="D632" s="943"/>
      <c r="E632" s="886"/>
      <c r="F632" s="886"/>
      <c r="G632" s="886"/>
      <c r="H632" s="886"/>
      <c r="I632" s="886"/>
      <c r="J632" s="886"/>
      <c r="K632" s="886"/>
      <c r="L632" s="886"/>
      <c r="M632" s="886"/>
      <c r="N632" s="886"/>
      <c r="O632" s="886"/>
      <c r="P632" s="886"/>
      <c r="Q632" s="886"/>
      <c r="R632" s="886"/>
      <c r="S632" s="886"/>
      <c r="T632" s="886"/>
      <c r="U632" s="886"/>
      <c r="V632" s="886"/>
      <c r="W632" s="886"/>
      <c r="X632" s="886"/>
    </row>
    <row r="633" spans="3:24">
      <c r="C633" s="942"/>
      <c r="D633" s="943"/>
      <c r="E633" s="886"/>
      <c r="F633" s="886"/>
      <c r="G633" s="886"/>
      <c r="H633" s="886"/>
      <c r="I633" s="886"/>
      <c r="J633" s="886"/>
      <c r="K633" s="886"/>
      <c r="L633" s="886"/>
      <c r="M633" s="886"/>
      <c r="N633" s="886"/>
      <c r="O633" s="886"/>
      <c r="P633" s="886"/>
      <c r="Q633" s="886"/>
      <c r="R633" s="886"/>
      <c r="S633" s="886"/>
      <c r="T633" s="886"/>
      <c r="U633" s="886"/>
      <c r="V633" s="886"/>
      <c r="W633" s="886"/>
      <c r="X633" s="886"/>
    </row>
    <row r="634" spans="3:24">
      <c r="C634" s="942"/>
      <c r="D634" s="943"/>
      <c r="E634" s="886"/>
      <c r="F634" s="886"/>
      <c r="G634" s="886"/>
      <c r="H634" s="886"/>
      <c r="I634" s="886"/>
      <c r="J634" s="886"/>
      <c r="K634" s="886"/>
      <c r="L634" s="886"/>
      <c r="M634" s="886"/>
      <c r="N634" s="886"/>
      <c r="O634" s="886"/>
      <c r="P634" s="886"/>
      <c r="Q634" s="886"/>
      <c r="R634" s="886"/>
      <c r="S634" s="886"/>
      <c r="T634" s="886"/>
      <c r="U634" s="886"/>
      <c r="V634" s="886"/>
      <c r="W634" s="886"/>
      <c r="X634" s="886"/>
    </row>
    <row r="635" spans="3:24">
      <c r="C635" s="942"/>
      <c r="D635" s="943"/>
      <c r="E635" s="886"/>
      <c r="F635" s="886"/>
      <c r="G635" s="886"/>
      <c r="H635" s="886"/>
      <c r="I635" s="886"/>
      <c r="J635" s="886"/>
      <c r="K635" s="886"/>
      <c r="L635" s="886"/>
      <c r="M635" s="886"/>
      <c r="N635" s="886"/>
      <c r="O635" s="886"/>
      <c r="P635" s="886"/>
      <c r="Q635" s="886"/>
      <c r="R635" s="886"/>
      <c r="S635" s="886"/>
      <c r="T635" s="886"/>
      <c r="U635" s="886"/>
      <c r="V635" s="886"/>
      <c r="W635" s="886"/>
      <c r="X635" s="886"/>
    </row>
    <row r="636" spans="3:24">
      <c r="C636" s="942"/>
      <c r="D636" s="943"/>
      <c r="E636" s="886"/>
      <c r="F636" s="886"/>
      <c r="G636" s="886"/>
      <c r="H636" s="886"/>
      <c r="I636" s="886"/>
      <c r="J636" s="886"/>
      <c r="K636" s="886"/>
      <c r="L636" s="886"/>
      <c r="M636" s="886"/>
      <c r="N636" s="886"/>
      <c r="O636" s="886"/>
      <c r="P636" s="886"/>
      <c r="Q636" s="886"/>
      <c r="R636" s="886"/>
      <c r="S636" s="886"/>
      <c r="T636" s="886"/>
      <c r="U636" s="886"/>
      <c r="V636" s="886"/>
      <c r="W636" s="886"/>
      <c r="X636" s="886"/>
    </row>
    <row r="637" spans="3:24">
      <c r="C637" s="942"/>
      <c r="D637" s="943"/>
      <c r="E637" s="886"/>
      <c r="F637" s="886"/>
      <c r="G637" s="886"/>
      <c r="H637" s="886"/>
      <c r="I637" s="886"/>
      <c r="J637" s="886"/>
      <c r="K637" s="886"/>
      <c r="L637" s="886"/>
      <c r="M637" s="886"/>
      <c r="N637" s="886"/>
      <c r="O637" s="886"/>
      <c r="P637" s="886"/>
      <c r="Q637" s="886"/>
      <c r="R637" s="886"/>
      <c r="S637" s="886"/>
      <c r="T637" s="886"/>
      <c r="U637" s="886"/>
      <c r="V637" s="886"/>
      <c r="W637" s="886"/>
      <c r="X637" s="886"/>
    </row>
    <row r="638" spans="3:24">
      <c r="C638" s="942"/>
      <c r="D638" s="943"/>
      <c r="E638" s="886"/>
      <c r="F638" s="886"/>
      <c r="G638" s="886"/>
      <c r="H638" s="886"/>
      <c r="I638" s="886"/>
      <c r="J638" s="886"/>
      <c r="K638" s="886"/>
      <c r="L638" s="886"/>
      <c r="M638" s="886"/>
      <c r="N638" s="886"/>
      <c r="O638" s="886"/>
      <c r="P638" s="886"/>
      <c r="Q638" s="886"/>
      <c r="R638" s="886"/>
      <c r="S638" s="886"/>
      <c r="T638" s="886"/>
      <c r="U638" s="886"/>
      <c r="V638" s="886"/>
      <c r="W638" s="886"/>
      <c r="X638" s="886"/>
    </row>
    <row r="639" spans="3:24">
      <c r="C639" s="942"/>
      <c r="D639" s="943"/>
      <c r="E639" s="886"/>
      <c r="F639" s="886"/>
      <c r="G639" s="886"/>
      <c r="H639" s="886"/>
      <c r="I639" s="886"/>
      <c r="J639" s="886"/>
      <c r="K639" s="886"/>
      <c r="L639" s="886"/>
      <c r="M639" s="886"/>
      <c r="N639" s="886"/>
      <c r="O639" s="886"/>
      <c r="P639" s="886"/>
      <c r="Q639" s="886"/>
      <c r="R639" s="886"/>
      <c r="S639" s="886"/>
      <c r="T639" s="886"/>
      <c r="U639" s="886"/>
      <c r="V639" s="886"/>
      <c r="W639" s="886"/>
      <c r="X639" s="886"/>
    </row>
    <row r="640" spans="3:24">
      <c r="C640" s="942"/>
      <c r="D640" s="943"/>
      <c r="E640" s="886"/>
      <c r="F640" s="886"/>
      <c r="G640" s="886"/>
      <c r="H640" s="886"/>
      <c r="I640" s="886"/>
      <c r="J640" s="886"/>
      <c r="K640" s="886"/>
      <c r="L640" s="886"/>
      <c r="M640" s="886"/>
      <c r="N640" s="886"/>
      <c r="O640" s="886"/>
      <c r="P640" s="886"/>
      <c r="Q640" s="886"/>
      <c r="R640" s="886"/>
      <c r="S640" s="886"/>
      <c r="T640" s="886"/>
      <c r="U640" s="886"/>
      <c r="V640" s="886"/>
      <c r="W640" s="886"/>
      <c r="X640" s="886"/>
    </row>
    <row r="641" spans="3:24">
      <c r="C641" s="942"/>
      <c r="D641" s="943"/>
      <c r="E641" s="886"/>
      <c r="F641" s="886"/>
      <c r="G641" s="886"/>
      <c r="H641" s="886"/>
      <c r="I641" s="886"/>
      <c r="J641" s="886"/>
      <c r="K641" s="886"/>
      <c r="L641" s="886"/>
      <c r="M641" s="886"/>
      <c r="N641" s="886"/>
      <c r="O641" s="886"/>
      <c r="P641" s="886"/>
      <c r="Q641" s="886"/>
      <c r="R641" s="886"/>
      <c r="S641" s="886"/>
      <c r="T641" s="886"/>
      <c r="U641" s="886"/>
      <c r="V641" s="886"/>
      <c r="W641" s="886"/>
      <c r="X641" s="886"/>
    </row>
    <row r="642" spans="3:24">
      <c r="C642" s="942"/>
      <c r="D642" s="943"/>
      <c r="E642" s="886"/>
      <c r="F642" s="886"/>
      <c r="G642" s="886"/>
      <c r="H642" s="886"/>
      <c r="I642" s="886"/>
      <c r="J642" s="886"/>
      <c r="K642" s="886"/>
      <c r="L642" s="886"/>
      <c r="M642" s="886"/>
      <c r="N642" s="886"/>
      <c r="O642" s="886"/>
      <c r="P642" s="886"/>
      <c r="Q642" s="886"/>
      <c r="R642" s="886"/>
      <c r="S642" s="886"/>
      <c r="T642" s="886"/>
      <c r="U642" s="886"/>
      <c r="V642" s="886"/>
      <c r="W642" s="886"/>
      <c r="X642" s="886"/>
    </row>
    <row r="643" spans="3:24">
      <c r="C643" s="942"/>
      <c r="D643" s="943"/>
      <c r="E643" s="886"/>
      <c r="F643" s="886"/>
      <c r="G643" s="886"/>
      <c r="H643" s="886"/>
      <c r="I643" s="886"/>
      <c r="J643" s="886"/>
      <c r="K643" s="886"/>
      <c r="L643" s="886"/>
      <c r="M643" s="886"/>
      <c r="N643" s="886"/>
      <c r="O643" s="886"/>
      <c r="P643" s="886"/>
      <c r="Q643" s="886"/>
      <c r="R643" s="886"/>
      <c r="S643" s="886"/>
      <c r="T643" s="886"/>
      <c r="U643" s="886"/>
      <c r="V643" s="886"/>
      <c r="W643" s="886"/>
      <c r="X643" s="886"/>
    </row>
    <row r="644" spans="3:24">
      <c r="C644" s="942"/>
      <c r="D644" s="943"/>
      <c r="E644" s="886"/>
      <c r="F644" s="886"/>
      <c r="G644" s="886"/>
      <c r="H644" s="886"/>
      <c r="I644" s="886"/>
      <c r="J644" s="886"/>
      <c r="K644" s="886"/>
      <c r="L644" s="886"/>
      <c r="M644" s="886"/>
      <c r="N644" s="886"/>
      <c r="O644" s="886"/>
      <c r="P644" s="886"/>
      <c r="Q644" s="886"/>
      <c r="R644" s="886"/>
      <c r="S644" s="886"/>
      <c r="T644" s="886"/>
      <c r="U644" s="886"/>
      <c r="V644" s="886"/>
      <c r="W644" s="886"/>
      <c r="X644" s="886"/>
    </row>
    <row r="645" spans="3:24">
      <c r="C645" s="942"/>
      <c r="D645" s="943"/>
      <c r="E645" s="886"/>
      <c r="F645" s="886"/>
      <c r="G645" s="886"/>
      <c r="H645" s="886"/>
      <c r="I645" s="886"/>
      <c r="J645" s="886"/>
      <c r="K645" s="886"/>
      <c r="L645" s="886"/>
      <c r="M645" s="886"/>
      <c r="N645" s="886"/>
      <c r="O645" s="886"/>
      <c r="P645" s="886"/>
      <c r="Q645" s="886"/>
      <c r="R645" s="886"/>
      <c r="S645" s="886"/>
      <c r="T645" s="886"/>
      <c r="U645" s="886"/>
      <c r="V645" s="886"/>
      <c r="W645" s="886"/>
      <c r="X645" s="886"/>
    </row>
    <row r="646" spans="3:24">
      <c r="C646" s="942"/>
      <c r="D646" s="943"/>
      <c r="E646" s="886"/>
      <c r="F646" s="886"/>
      <c r="G646" s="886"/>
      <c r="H646" s="886"/>
      <c r="I646" s="886"/>
      <c r="J646" s="886"/>
      <c r="K646" s="886"/>
      <c r="L646" s="886"/>
      <c r="M646" s="886"/>
      <c r="N646" s="886"/>
      <c r="O646" s="886"/>
      <c r="P646" s="886"/>
      <c r="Q646" s="886"/>
      <c r="R646" s="886"/>
      <c r="S646" s="886"/>
      <c r="T646" s="886"/>
      <c r="U646" s="886"/>
      <c r="V646" s="886"/>
      <c r="W646" s="886"/>
      <c r="X646" s="886"/>
    </row>
    <row r="647" spans="3:24">
      <c r="C647" s="942"/>
      <c r="D647" s="943"/>
      <c r="E647" s="886"/>
      <c r="F647" s="886"/>
      <c r="G647" s="886"/>
      <c r="H647" s="886"/>
      <c r="I647" s="886"/>
      <c r="J647" s="886"/>
      <c r="K647" s="886"/>
      <c r="L647" s="886"/>
      <c r="M647" s="886"/>
      <c r="N647" s="886"/>
      <c r="O647" s="886"/>
      <c r="P647" s="886"/>
      <c r="Q647" s="886"/>
      <c r="R647" s="886"/>
      <c r="S647" s="886"/>
      <c r="T647" s="886"/>
      <c r="U647" s="886"/>
      <c r="V647" s="886"/>
      <c r="W647" s="886"/>
      <c r="X647" s="886"/>
    </row>
    <row r="648" spans="3:24">
      <c r="C648" s="942"/>
      <c r="D648" s="943"/>
      <c r="E648" s="886"/>
      <c r="F648" s="886"/>
      <c r="G648" s="886"/>
      <c r="H648" s="886"/>
      <c r="I648" s="886"/>
      <c r="J648" s="886"/>
      <c r="K648" s="886"/>
      <c r="L648" s="886"/>
      <c r="M648" s="886"/>
      <c r="N648" s="886"/>
      <c r="O648" s="886"/>
      <c r="P648" s="886"/>
      <c r="Q648" s="886"/>
      <c r="R648" s="886"/>
      <c r="S648" s="886"/>
      <c r="T648" s="886"/>
      <c r="U648" s="886"/>
      <c r="V648" s="886"/>
      <c r="W648" s="886"/>
      <c r="X648" s="886"/>
    </row>
    <row r="649" spans="3:24">
      <c r="C649" s="942"/>
      <c r="D649" s="943"/>
      <c r="E649" s="886"/>
      <c r="F649" s="886"/>
      <c r="G649" s="886"/>
      <c r="H649" s="886"/>
      <c r="I649" s="886"/>
      <c r="J649" s="886"/>
      <c r="K649" s="886"/>
      <c r="L649" s="886"/>
      <c r="M649" s="886"/>
      <c r="N649" s="886"/>
      <c r="O649" s="886"/>
      <c r="P649" s="886"/>
      <c r="Q649" s="886"/>
      <c r="R649" s="886"/>
      <c r="S649" s="886"/>
      <c r="T649" s="886"/>
      <c r="U649" s="886"/>
      <c r="V649" s="886"/>
      <c r="W649" s="886"/>
      <c r="X649" s="886"/>
    </row>
    <row r="650" spans="3:24">
      <c r="C650" s="942"/>
      <c r="D650" s="943"/>
      <c r="E650" s="886"/>
      <c r="F650" s="886"/>
      <c r="G650" s="886"/>
      <c r="H650" s="886"/>
      <c r="I650" s="886"/>
      <c r="J650" s="886"/>
      <c r="K650" s="886"/>
      <c r="L650" s="886"/>
      <c r="M650" s="886"/>
      <c r="N650" s="886"/>
      <c r="O650" s="886"/>
      <c r="P650" s="886"/>
      <c r="Q650" s="886"/>
      <c r="R650" s="886"/>
      <c r="S650" s="886"/>
      <c r="T650" s="886"/>
      <c r="U650" s="886"/>
      <c r="V650" s="886"/>
      <c r="W650" s="886"/>
      <c r="X650" s="886"/>
    </row>
    <row r="651" spans="3:24">
      <c r="C651" s="942"/>
      <c r="D651" s="943"/>
      <c r="E651" s="886"/>
      <c r="F651" s="886"/>
      <c r="G651" s="886"/>
      <c r="H651" s="886"/>
      <c r="I651" s="886"/>
      <c r="J651" s="886"/>
      <c r="K651" s="886"/>
      <c r="L651" s="886"/>
      <c r="M651" s="886"/>
      <c r="N651" s="886"/>
      <c r="O651" s="886"/>
      <c r="P651" s="886"/>
      <c r="Q651" s="886"/>
      <c r="R651" s="886"/>
      <c r="S651" s="886"/>
      <c r="T651" s="886"/>
      <c r="U651" s="886"/>
      <c r="V651" s="886"/>
      <c r="W651" s="886"/>
      <c r="X651" s="886"/>
    </row>
    <row r="652" spans="3:24">
      <c r="C652" s="942"/>
      <c r="D652" s="943"/>
      <c r="E652" s="886"/>
      <c r="F652" s="886"/>
      <c r="G652" s="886"/>
      <c r="H652" s="886"/>
      <c r="I652" s="886"/>
      <c r="J652" s="886"/>
      <c r="K652" s="886"/>
      <c r="L652" s="886"/>
      <c r="M652" s="886"/>
      <c r="N652" s="886"/>
      <c r="O652" s="886"/>
      <c r="P652" s="886"/>
      <c r="Q652" s="886"/>
      <c r="R652" s="886"/>
      <c r="S652" s="886"/>
      <c r="T652" s="886"/>
      <c r="U652" s="886"/>
      <c r="V652" s="886"/>
      <c r="W652" s="886"/>
      <c r="X652" s="886"/>
    </row>
    <row r="653" spans="3:24">
      <c r="C653" s="942"/>
      <c r="D653" s="943"/>
      <c r="E653" s="886"/>
      <c r="F653" s="886"/>
      <c r="G653" s="886"/>
      <c r="H653" s="886"/>
      <c r="I653" s="886"/>
      <c r="J653" s="886"/>
      <c r="K653" s="886"/>
      <c r="L653" s="886"/>
      <c r="M653" s="886"/>
      <c r="N653" s="886"/>
      <c r="O653" s="886"/>
      <c r="P653" s="886"/>
      <c r="Q653" s="886"/>
      <c r="R653" s="886"/>
      <c r="S653" s="886"/>
      <c r="T653" s="886"/>
      <c r="U653" s="886"/>
      <c r="V653" s="886"/>
      <c r="W653" s="886"/>
      <c r="X653" s="886"/>
    </row>
    <row r="654" spans="3:24">
      <c r="C654" s="942"/>
      <c r="D654" s="943"/>
      <c r="E654" s="886"/>
      <c r="F654" s="886"/>
      <c r="G654" s="886"/>
      <c r="H654" s="886"/>
      <c r="I654" s="886"/>
      <c r="J654" s="886"/>
      <c r="K654" s="886"/>
      <c r="L654" s="886"/>
      <c r="M654" s="886"/>
      <c r="N654" s="886"/>
      <c r="O654" s="886"/>
      <c r="P654" s="886"/>
      <c r="Q654" s="886"/>
      <c r="R654" s="886"/>
      <c r="S654" s="886"/>
      <c r="T654" s="886"/>
      <c r="U654" s="886"/>
      <c r="V654" s="886"/>
      <c r="W654" s="886"/>
      <c r="X654" s="886"/>
    </row>
    <row r="655" spans="3:24">
      <c r="C655" s="942"/>
      <c r="D655" s="943"/>
      <c r="E655" s="886"/>
      <c r="F655" s="886"/>
      <c r="G655" s="886"/>
      <c r="H655" s="886"/>
      <c r="I655" s="886"/>
      <c r="J655" s="886"/>
      <c r="K655" s="886"/>
      <c r="L655" s="886"/>
      <c r="M655" s="886"/>
      <c r="N655" s="886"/>
      <c r="O655" s="886"/>
      <c r="P655" s="886"/>
      <c r="Q655" s="886"/>
      <c r="R655" s="886"/>
      <c r="S655" s="886"/>
      <c r="T655" s="886"/>
      <c r="U655" s="886"/>
      <c r="V655" s="886"/>
      <c r="W655" s="886"/>
      <c r="X655" s="886"/>
    </row>
    <row r="656" spans="3:24">
      <c r="C656" s="942"/>
      <c r="D656" s="943"/>
      <c r="E656" s="886"/>
      <c r="F656" s="886"/>
      <c r="G656" s="886"/>
      <c r="H656" s="886"/>
      <c r="I656" s="886"/>
      <c r="J656" s="886"/>
      <c r="K656" s="886"/>
      <c r="L656" s="886"/>
      <c r="M656" s="886"/>
      <c r="N656" s="886"/>
      <c r="O656" s="886"/>
      <c r="P656" s="886"/>
      <c r="Q656" s="886"/>
      <c r="R656" s="886"/>
      <c r="S656" s="886"/>
      <c r="T656" s="886"/>
      <c r="U656" s="886"/>
      <c r="V656" s="886"/>
      <c r="W656" s="886"/>
      <c r="X656" s="886"/>
    </row>
    <row r="657" spans="3:24">
      <c r="C657" s="942"/>
      <c r="D657" s="943"/>
      <c r="E657" s="886"/>
      <c r="F657" s="886"/>
      <c r="G657" s="886"/>
      <c r="H657" s="886"/>
      <c r="I657" s="886"/>
      <c r="J657" s="886"/>
      <c r="K657" s="886"/>
      <c r="L657" s="886"/>
      <c r="M657" s="886"/>
      <c r="N657" s="886"/>
      <c r="O657" s="886"/>
      <c r="P657" s="886"/>
      <c r="Q657" s="886"/>
      <c r="R657" s="886"/>
      <c r="S657" s="886"/>
      <c r="T657" s="886"/>
      <c r="U657" s="886"/>
      <c r="V657" s="886"/>
      <c r="W657" s="886"/>
      <c r="X657" s="886"/>
    </row>
    <row r="658" spans="3:24">
      <c r="C658" s="942"/>
      <c r="D658" s="943"/>
      <c r="E658" s="886"/>
      <c r="F658" s="886"/>
      <c r="G658" s="886"/>
      <c r="H658" s="886"/>
      <c r="I658" s="886"/>
      <c r="J658" s="886"/>
      <c r="K658" s="886"/>
      <c r="L658" s="886"/>
      <c r="M658" s="886"/>
      <c r="N658" s="886"/>
      <c r="O658" s="886"/>
      <c r="P658" s="886"/>
      <c r="Q658" s="886"/>
      <c r="R658" s="886"/>
      <c r="S658" s="886"/>
      <c r="T658" s="886"/>
      <c r="U658" s="886"/>
      <c r="V658" s="886"/>
      <c r="W658" s="886"/>
      <c r="X658" s="886"/>
    </row>
    <row r="659" spans="3:24">
      <c r="C659" s="942"/>
      <c r="D659" s="943"/>
      <c r="E659" s="886"/>
      <c r="F659" s="886"/>
      <c r="G659" s="886"/>
      <c r="H659" s="886"/>
      <c r="I659" s="886"/>
      <c r="J659" s="886"/>
      <c r="K659" s="886"/>
      <c r="L659" s="886"/>
      <c r="M659" s="886"/>
      <c r="N659" s="886"/>
      <c r="O659" s="886"/>
      <c r="P659" s="886"/>
      <c r="Q659" s="886"/>
      <c r="R659" s="886"/>
      <c r="S659" s="886"/>
      <c r="T659" s="886"/>
      <c r="U659" s="886"/>
      <c r="V659" s="886"/>
      <c r="W659" s="886"/>
      <c r="X659" s="886"/>
    </row>
    <row r="660" spans="3:24">
      <c r="C660" s="942"/>
      <c r="D660" s="943"/>
      <c r="E660" s="886"/>
      <c r="F660" s="886"/>
      <c r="G660" s="886"/>
      <c r="H660" s="886"/>
      <c r="I660" s="886"/>
      <c r="J660" s="886"/>
      <c r="K660" s="886"/>
      <c r="L660" s="886"/>
      <c r="M660" s="886"/>
      <c r="N660" s="886"/>
      <c r="O660" s="886"/>
      <c r="P660" s="886"/>
      <c r="Q660" s="886"/>
      <c r="R660" s="886"/>
      <c r="S660" s="886"/>
      <c r="T660" s="886"/>
      <c r="U660" s="886"/>
      <c r="V660" s="886"/>
      <c r="W660" s="886"/>
      <c r="X660" s="886"/>
    </row>
    <row r="661" spans="3:24">
      <c r="C661" s="942"/>
      <c r="D661" s="943"/>
      <c r="E661" s="886"/>
      <c r="F661" s="886"/>
      <c r="G661" s="886"/>
      <c r="H661" s="886"/>
      <c r="I661" s="886"/>
      <c r="J661" s="886"/>
      <c r="K661" s="886"/>
      <c r="L661" s="886"/>
      <c r="M661" s="886"/>
      <c r="N661" s="886"/>
      <c r="O661" s="886"/>
      <c r="P661" s="886"/>
      <c r="Q661" s="886"/>
      <c r="R661" s="886"/>
      <c r="S661" s="886"/>
      <c r="T661" s="886"/>
      <c r="U661" s="886"/>
      <c r="V661" s="886"/>
      <c r="W661" s="886"/>
      <c r="X661" s="886"/>
    </row>
    <row r="662" spans="3:24">
      <c r="C662" s="942"/>
      <c r="D662" s="943"/>
      <c r="E662" s="886"/>
      <c r="F662" s="886"/>
      <c r="G662" s="886"/>
      <c r="H662" s="886"/>
      <c r="I662" s="886"/>
      <c r="J662" s="886"/>
      <c r="K662" s="886"/>
      <c r="L662" s="886"/>
      <c r="M662" s="886"/>
      <c r="N662" s="886"/>
      <c r="O662" s="886"/>
      <c r="P662" s="886"/>
      <c r="Q662" s="886"/>
      <c r="R662" s="886"/>
      <c r="S662" s="886"/>
      <c r="T662" s="886"/>
      <c r="U662" s="886"/>
      <c r="V662" s="886"/>
      <c r="W662" s="886"/>
      <c r="X662" s="886"/>
    </row>
    <row r="663" spans="3:24">
      <c r="C663" s="942"/>
      <c r="D663" s="943"/>
      <c r="E663" s="886"/>
      <c r="F663" s="886"/>
      <c r="G663" s="886"/>
      <c r="H663" s="886"/>
      <c r="I663" s="886"/>
      <c r="J663" s="886"/>
      <c r="K663" s="886"/>
      <c r="L663" s="886"/>
      <c r="M663" s="886"/>
      <c r="N663" s="886"/>
      <c r="O663" s="886"/>
      <c r="P663" s="886"/>
      <c r="Q663" s="886"/>
      <c r="R663" s="886"/>
      <c r="S663" s="886"/>
      <c r="T663" s="886"/>
      <c r="U663" s="886"/>
      <c r="V663" s="886"/>
      <c r="W663" s="886"/>
      <c r="X663" s="886"/>
    </row>
    <row r="664" spans="3:24">
      <c r="C664" s="942"/>
      <c r="D664" s="943"/>
      <c r="E664" s="886"/>
      <c r="F664" s="886"/>
      <c r="G664" s="886"/>
      <c r="H664" s="886"/>
      <c r="I664" s="886"/>
      <c r="J664" s="886"/>
      <c r="K664" s="886"/>
      <c r="L664" s="886"/>
      <c r="M664" s="886"/>
      <c r="N664" s="886"/>
      <c r="O664" s="886"/>
      <c r="P664" s="886"/>
      <c r="Q664" s="886"/>
      <c r="R664" s="886"/>
      <c r="S664" s="886"/>
      <c r="T664" s="886"/>
      <c r="U664" s="886"/>
      <c r="V664" s="886"/>
      <c r="W664" s="886"/>
      <c r="X664" s="886"/>
    </row>
    <row r="665" spans="3:24">
      <c r="C665" s="942"/>
      <c r="D665" s="943"/>
      <c r="E665" s="886"/>
      <c r="F665" s="886"/>
      <c r="G665" s="886"/>
      <c r="H665" s="886"/>
      <c r="I665" s="886"/>
      <c r="J665" s="886"/>
      <c r="K665" s="886"/>
      <c r="L665" s="886"/>
      <c r="M665" s="886"/>
      <c r="N665" s="886"/>
      <c r="O665" s="886"/>
      <c r="P665" s="886"/>
      <c r="Q665" s="886"/>
      <c r="R665" s="886"/>
      <c r="S665" s="886"/>
      <c r="T665" s="886"/>
      <c r="U665" s="886"/>
      <c r="V665" s="886"/>
      <c r="W665" s="886"/>
      <c r="X665" s="886"/>
    </row>
    <row r="666" spans="3:24">
      <c r="C666" s="942"/>
      <c r="D666" s="943"/>
      <c r="E666" s="886"/>
      <c r="F666" s="886"/>
      <c r="G666" s="886"/>
      <c r="H666" s="886"/>
      <c r="I666" s="886"/>
      <c r="J666" s="886"/>
      <c r="K666" s="886"/>
      <c r="L666" s="886"/>
      <c r="M666" s="886"/>
      <c r="N666" s="886"/>
      <c r="O666" s="886"/>
      <c r="P666" s="886"/>
      <c r="Q666" s="886"/>
      <c r="R666" s="886"/>
      <c r="S666" s="886"/>
      <c r="T666" s="886"/>
      <c r="U666" s="886"/>
      <c r="V666" s="886"/>
      <c r="W666" s="886"/>
      <c r="X666" s="886"/>
    </row>
    <row r="667" spans="3:24">
      <c r="C667" s="942"/>
      <c r="D667" s="943"/>
      <c r="E667" s="886"/>
      <c r="F667" s="886"/>
      <c r="G667" s="886"/>
      <c r="H667" s="886"/>
      <c r="I667" s="886"/>
      <c r="J667" s="886"/>
      <c r="K667" s="886"/>
      <c r="L667" s="886"/>
      <c r="M667" s="886"/>
      <c r="N667" s="886"/>
      <c r="O667" s="886"/>
      <c r="P667" s="886"/>
      <c r="Q667" s="886"/>
      <c r="R667" s="886"/>
      <c r="S667" s="886"/>
      <c r="T667" s="886"/>
      <c r="U667" s="886"/>
      <c r="V667" s="886"/>
      <c r="W667" s="886"/>
      <c r="X667" s="886"/>
    </row>
    <row r="668" spans="3:24">
      <c r="C668" s="942"/>
      <c r="D668" s="943"/>
      <c r="E668" s="886"/>
      <c r="F668" s="886"/>
      <c r="G668" s="886"/>
      <c r="H668" s="886"/>
      <c r="I668" s="886"/>
      <c r="J668" s="886"/>
      <c r="K668" s="886"/>
      <c r="L668" s="886"/>
      <c r="M668" s="886"/>
      <c r="N668" s="886"/>
      <c r="O668" s="886"/>
      <c r="P668" s="886"/>
      <c r="Q668" s="886"/>
      <c r="R668" s="886"/>
      <c r="S668" s="886"/>
      <c r="T668" s="886"/>
      <c r="U668" s="886"/>
      <c r="V668" s="886"/>
      <c r="W668" s="886"/>
      <c r="X668" s="886"/>
    </row>
    <row r="669" spans="3:24">
      <c r="C669" s="942"/>
      <c r="D669" s="943"/>
      <c r="E669" s="886"/>
      <c r="F669" s="886"/>
      <c r="G669" s="886"/>
      <c r="H669" s="886"/>
      <c r="I669" s="886"/>
      <c r="J669" s="886"/>
      <c r="K669" s="886"/>
      <c r="L669" s="886"/>
      <c r="M669" s="886"/>
      <c r="N669" s="886"/>
      <c r="O669" s="886"/>
      <c r="P669" s="886"/>
      <c r="Q669" s="886"/>
      <c r="R669" s="886"/>
      <c r="S669" s="886"/>
      <c r="T669" s="886"/>
      <c r="U669" s="886"/>
      <c r="V669" s="886"/>
      <c r="W669" s="886"/>
      <c r="X669" s="886"/>
    </row>
    <row r="670" spans="3:24">
      <c r="C670" s="942"/>
      <c r="D670" s="943"/>
      <c r="E670" s="886"/>
      <c r="F670" s="886"/>
      <c r="G670" s="886"/>
      <c r="H670" s="886"/>
      <c r="I670" s="886"/>
      <c r="J670" s="886"/>
      <c r="K670" s="886"/>
      <c r="L670" s="886"/>
      <c r="M670" s="886"/>
      <c r="N670" s="886"/>
      <c r="O670" s="886"/>
      <c r="P670" s="886"/>
      <c r="Q670" s="886"/>
      <c r="R670" s="886"/>
      <c r="S670" s="886"/>
      <c r="T670" s="886"/>
      <c r="U670" s="886"/>
      <c r="V670" s="886"/>
      <c r="W670" s="886"/>
      <c r="X670" s="886"/>
    </row>
    <row r="671" spans="3:24">
      <c r="C671" s="942"/>
      <c r="D671" s="943"/>
      <c r="E671" s="886"/>
      <c r="F671" s="886"/>
      <c r="G671" s="886"/>
      <c r="H671" s="886"/>
      <c r="I671" s="886"/>
      <c r="J671" s="886"/>
      <c r="K671" s="886"/>
      <c r="L671" s="886"/>
      <c r="M671" s="886"/>
      <c r="N671" s="886"/>
      <c r="O671" s="886"/>
      <c r="P671" s="886"/>
      <c r="Q671" s="886"/>
      <c r="R671" s="886"/>
      <c r="S671" s="886"/>
      <c r="T671" s="886"/>
      <c r="U671" s="886"/>
      <c r="V671" s="886"/>
      <c r="W671" s="886"/>
      <c r="X671" s="886"/>
    </row>
    <row r="672" spans="3:24">
      <c r="C672" s="942"/>
      <c r="D672" s="943"/>
      <c r="E672" s="886"/>
      <c r="F672" s="886"/>
      <c r="G672" s="886"/>
      <c r="H672" s="886"/>
      <c r="I672" s="886"/>
      <c r="J672" s="886"/>
      <c r="K672" s="886"/>
      <c r="L672" s="886"/>
      <c r="M672" s="886"/>
      <c r="N672" s="886"/>
      <c r="O672" s="886"/>
      <c r="P672" s="886"/>
      <c r="Q672" s="886"/>
      <c r="R672" s="886"/>
      <c r="S672" s="886"/>
      <c r="T672" s="886"/>
      <c r="U672" s="886"/>
      <c r="V672" s="886"/>
      <c r="W672" s="886"/>
      <c r="X672" s="886"/>
    </row>
    <row r="673" spans="3:24">
      <c r="C673" s="942"/>
      <c r="D673" s="943"/>
      <c r="E673" s="886"/>
      <c r="F673" s="886"/>
      <c r="G673" s="886"/>
      <c r="H673" s="886"/>
      <c r="I673" s="886"/>
      <c r="J673" s="886"/>
      <c r="K673" s="886"/>
      <c r="L673" s="886"/>
      <c r="M673" s="886"/>
      <c r="N673" s="886"/>
      <c r="O673" s="886"/>
      <c r="P673" s="886"/>
      <c r="Q673" s="886"/>
      <c r="R673" s="886"/>
      <c r="S673" s="886"/>
      <c r="T673" s="886"/>
      <c r="U673" s="886"/>
      <c r="V673" s="886"/>
      <c r="W673" s="886"/>
      <c r="X673" s="886"/>
    </row>
    <row r="674" spans="3:24">
      <c r="C674" s="942"/>
      <c r="D674" s="943"/>
      <c r="E674" s="886"/>
      <c r="F674" s="886"/>
      <c r="G674" s="886"/>
      <c r="H674" s="886"/>
      <c r="I674" s="886"/>
      <c r="J674" s="886"/>
      <c r="K674" s="886"/>
      <c r="L674" s="886"/>
      <c r="M674" s="886"/>
      <c r="N674" s="886"/>
      <c r="O674" s="886"/>
      <c r="P674" s="886"/>
      <c r="Q674" s="886"/>
      <c r="R674" s="886"/>
      <c r="S674" s="886"/>
      <c r="T674" s="886"/>
      <c r="U674" s="886"/>
      <c r="V674" s="886"/>
      <c r="W674" s="886"/>
      <c r="X674" s="886"/>
    </row>
    <row r="675" spans="3:24">
      <c r="C675" s="942"/>
      <c r="D675" s="943"/>
      <c r="E675" s="886"/>
      <c r="F675" s="886"/>
      <c r="G675" s="886"/>
      <c r="H675" s="886"/>
      <c r="I675" s="886"/>
      <c r="J675" s="886"/>
      <c r="K675" s="886"/>
      <c r="L675" s="886"/>
      <c r="M675" s="886"/>
      <c r="N675" s="886"/>
      <c r="O675" s="886"/>
      <c r="P675" s="886"/>
      <c r="Q675" s="886"/>
      <c r="R675" s="886"/>
      <c r="S675" s="886"/>
      <c r="T675" s="886"/>
      <c r="U675" s="886"/>
      <c r="V675" s="886"/>
      <c r="W675" s="886"/>
      <c r="X675" s="886"/>
    </row>
    <row r="676" spans="3:24">
      <c r="C676" s="942"/>
      <c r="D676" s="943"/>
      <c r="E676" s="886"/>
      <c r="F676" s="886"/>
      <c r="G676" s="886"/>
      <c r="H676" s="886"/>
      <c r="I676" s="886"/>
      <c r="J676" s="886"/>
      <c r="K676" s="886"/>
      <c r="L676" s="886"/>
      <c r="M676" s="886"/>
      <c r="N676" s="886"/>
      <c r="O676" s="886"/>
      <c r="P676" s="886"/>
      <c r="Q676" s="886"/>
      <c r="R676" s="886"/>
      <c r="S676" s="886"/>
      <c r="T676" s="886"/>
      <c r="U676" s="886"/>
      <c r="V676" s="886"/>
      <c r="W676" s="886"/>
      <c r="X676" s="886"/>
    </row>
    <row r="677" spans="3:24">
      <c r="C677" s="942"/>
      <c r="D677" s="943"/>
      <c r="E677" s="886"/>
      <c r="F677" s="886"/>
      <c r="G677" s="886"/>
      <c r="H677" s="886"/>
      <c r="I677" s="886"/>
      <c r="J677" s="886"/>
      <c r="K677" s="886"/>
      <c r="L677" s="886"/>
      <c r="M677" s="886"/>
      <c r="N677" s="886"/>
      <c r="O677" s="886"/>
      <c r="P677" s="886"/>
      <c r="Q677" s="886"/>
      <c r="R677" s="886"/>
      <c r="S677" s="886"/>
      <c r="T677" s="886"/>
      <c r="U677" s="886"/>
      <c r="V677" s="886"/>
      <c r="W677" s="886"/>
      <c r="X677" s="886"/>
    </row>
    <row r="678" spans="3:24">
      <c r="C678" s="942"/>
      <c r="D678" s="943"/>
      <c r="E678" s="886"/>
      <c r="F678" s="886"/>
      <c r="G678" s="886"/>
      <c r="H678" s="886"/>
      <c r="I678" s="886"/>
      <c r="J678" s="886"/>
      <c r="K678" s="886"/>
      <c r="L678" s="886"/>
      <c r="M678" s="886"/>
      <c r="N678" s="886"/>
      <c r="O678" s="886"/>
      <c r="P678" s="886"/>
      <c r="Q678" s="886"/>
      <c r="R678" s="886"/>
      <c r="S678" s="886"/>
      <c r="T678" s="886"/>
      <c r="U678" s="886"/>
      <c r="V678" s="886"/>
      <c r="W678" s="886"/>
      <c r="X678" s="886"/>
    </row>
    <row r="679" spans="3:24">
      <c r="C679" s="942"/>
      <c r="D679" s="943"/>
      <c r="E679" s="886"/>
      <c r="F679" s="886"/>
      <c r="G679" s="886"/>
      <c r="H679" s="886"/>
      <c r="I679" s="886"/>
      <c r="J679" s="886"/>
      <c r="K679" s="886"/>
      <c r="L679" s="886"/>
      <c r="M679" s="886"/>
      <c r="N679" s="886"/>
      <c r="O679" s="886"/>
      <c r="P679" s="886"/>
      <c r="Q679" s="886"/>
      <c r="R679" s="886"/>
      <c r="S679" s="886"/>
      <c r="T679" s="886"/>
      <c r="U679" s="886"/>
      <c r="V679" s="886"/>
      <c r="W679" s="886"/>
      <c r="X679" s="886"/>
    </row>
    <row r="680" spans="3:24">
      <c r="C680" s="942"/>
      <c r="D680" s="943"/>
      <c r="E680" s="886"/>
      <c r="F680" s="886"/>
      <c r="G680" s="886"/>
      <c r="H680" s="886"/>
      <c r="I680" s="886"/>
      <c r="J680" s="886"/>
      <c r="K680" s="886"/>
      <c r="L680" s="886"/>
      <c r="M680" s="886"/>
      <c r="N680" s="886"/>
      <c r="O680" s="886"/>
      <c r="P680" s="886"/>
      <c r="Q680" s="886"/>
      <c r="R680" s="886"/>
      <c r="S680" s="886"/>
      <c r="T680" s="886"/>
      <c r="U680" s="886"/>
      <c r="V680" s="886"/>
      <c r="W680" s="886"/>
      <c r="X680" s="886"/>
    </row>
    <row r="681" spans="3:24">
      <c r="C681" s="942"/>
      <c r="D681" s="943"/>
      <c r="E681" s="886"/>
      <c r="F681" s="886"/>
      <c r="G681" s="886"/>
      <c r="H681" s="886"/>
      <c r="I681" s="886"/>
      <c r="J681" s="886"/>
      <c r="K681" s="886"/>
      <c r="L681" s="886"/>
      <c r="M681" s="886"/>
      <c r="N681" s="886"/>
      <c r="O681" s="886"/>
      <c r="P681" s="886"/>
      <c r="Q681" s="886"/>
      <c r="R681" s="886"/>
      <c r="S681" s="886"/>
      <c r="T681" s="886"/>
      <c r="U681" s="886"/>
      <c r="V681" s="886"/>
      <c r="W681" s="886"/>
      <c r="X681" s="886"/>
    </row>
    <row r="682" spans="3:24">
      <c r="C682" s="942"/>
      <c r="D682" s="943"/>
      <c r="E682" s="886"/>
      <c r="F682" s="886"/>
      <c r="G682" s="886"/>
      <c r="H682" s="886"/>
      <c r="I682" s="886"/>
      <c r="J682" s="886"/>
      <c r="K682" s="886"/>
      <c r="L682" s="886"/>
      <c r="M682" s="886"/>
      <c r="N682" s="886"/>
      <c r="O682" s="886"/>
      <c r="P682" s="886"/>
      <c r="Q682" s="886"/>
      <c r="R682" s="886"/>
      <c r="S682" s="886"/>
      <c r="T682" s="886"/>
      <c r="U682" s="886"/>
      <c r="V682" s="886"/>
      <c r="W682" s="886"/>
      <c r="X682" s="886"/>
    </row>
    <row r="683" spans="3:24">
      <c r="C683" s="942"/>
      <c r="D683" s="943"/>
      <c r="E683" s="886"/>
      <c r="F683" s="886"/>
      <c r="G683" s="886"/>
      <c r="H683" s="886"/>
      <c r="I683" s="886"/>
      <c r="J683" s="886"/>
      <c r="K683" s="886"/>
      <c r="L683" s="886"/>
      <c r="M683" s="886"/>
      <c r="N683" s="886"/>
      <c r="O683" s="886"/>
      <c r="P683" s="886"/>
      <c r="Q683" s="886"/>
      <c r="R683" s="886"/>
      <c r="S683" s="886"/>
      <c r="T683" s="886"/>
      <c r="U683" s="886"/>
      <c r="V683" s="886"/>
      <c r="W683" s="886"/>
      <c r="X683" s="886"/>
    </row>
    <row r="684" spans="3:24">
      <c r="C684" s="942"/>
      <c r="D684" s="943"/>
      <c r="E684" s="886"/>
      <c r="F684" s="886"/>
      <c r="G684" s="886"/>
      <c r="H684" s="886"/>
      <c r="I684" s="886"/>
      <c r="J684" s="886"/>
      <c r="K684" s="886"/>
      <c r="L684" s="886"/>
      <c r="M684" s="886"/>
      <c r="N684" s="886"/>
      <c r="O684" s="886"/>
      <c r="P684" s="886"/>
      <c r="Q684" s="886"/>
      <c r="R684" s="886"/>
      <c r="S684" s="886"/>
      <c r="T684" s="886"/>
      <c r="U684" s="886"/>
      <c r="V684" s="886"/>
      <c r="W684" s="886"/>
      <c r="X684" s="886"/>
    </row>
    <row r="685" spans="3:24">
      <c r="C685" s="942"/>
      <c r="D685" s="943"/>
      <c r="E685" s="886"/>
      <c r="F685" s="886"/>
      <c r="G685" s="886"/>
      <c r="H685" s="886"/>
      <c r="I685" s="886"/>
      <c r="J685" s="886"/>
      <c r="K685" s="886"/>
      <c r="L685" s="886"/>
      <c r="M685" s="886"/>
      <c r="N685" s="886"/>
      <c r="O685" s="886"/>
      <c r="P685" s="886"/>
      <c r="Q685" s="886"/>
      <c r="R685" s="886"/>
      <c r="S685" s="886"/>
      <c r="T685" s="886"/>
      <c r="U685" s="886"/>
      <c r="V685" s="886"/>
      <c r="W685" s="886"/>
      <c r="X685" s="886"/>
    </row>
    <row r="686" spans="3:24">
      <c r="C686" s="942"/>
      <c r="D686" s="943"/>
      <c r="E686" s="886"/>
      <c r="F686" s="886"/>
      <c r="G686" s="886"/>
      <c r="H686" s="886"/>
      <c r="I686" s="886"/>
      <c r="J686" s="886"/>
      <c r="K686" s="886"/>
      <c r="L686" s="886"/>
      <c r="M686" s="886"/>
      <c r="N686" s="886"/>
      <c r="O686" s="886"/>
      <c r="P686" s="886"/>
      <c r="Q686" s="886"/>
      <c r="R686" s="886"/>
      <c r="S686" s="886"/>
      <c r="T686" s="886"/>
      <c r="U686" s="886"/>
      <c r="V686" s="886"/>
      <c r="W686" s="886"/>
      <c r="X686" s="886"/>
    </row>
    <row r="687" spans="3:24">
      <c r="C687" s="942"/>
      <c r="D687" s="943"/>
      <c r="E687" s="886"/>
      <c r="F687" s="886"/>
      <c r="G687" s="886"/>
      <c r="H687" s="886"/>
      <c r="I687" s="886"/>
      <c r="J687" s="886"/>
      <c r="K687" s="886"/>
      <c r="L687" s="886"/>
      <c r="M687" s="886"/>
      <c r="N687" s="886"/>
      <c r="O687" s="886"/>
      <c r="P687" s="886"/>
      <c r="Q687" s="886"/>
      <c r="R687" s="886"/>
      <c r="S687" s="886"/>
      <c r="T687" s="886"/>
      <c r="U687" s="886"/>
      <c r="V687" s="886"/>
      <c r="W687" s="886"/>
      <c r="X687" s="886"/>
    </row>
    <row r="688" spans="3:24">
      <c r="C688" s="942"/>
      <c r="D688" s="943"/>
      <c r="E688" s="886"/>
      <c r="F688" s="886"/>
      <c r="G688" s="886"/>
      <c r="H688" s="886"/>
      <c r="I688" s="886"/>
      <c r="J688" s="886"/>
      <c r="K688" s="886"/>
      <c r="L688" s="886"/>
      <c r="M688" s="886"/>
      <c r="N688" s="886"/>
      <c r="O688" s="886"/>
      <c r="P688" s="886"/>
      <c r="Q688" s="886"/>
      <c r="R688" s="886"/>
      <c r="S688" s="886"/>
      <c r="T688" s="886"/>
      <c r="U688" s="886"/>
      <c r="V688" s="886"/>
      <c r="W688" s="886"/>
      <c r="X688" s="886"/>
    </row>
    <row r="689" spans="3:24">
      <c r="C689" s="942"/>
      <c r="D689" s="943"/>
      <c r="E689" s="886"/>
      <c r="F689" s="886"/>
      <c r="G689" s="886"/>
      <c r="H689" s="886"/>
      <c r="I689" s="886"/>
      <c r="J689" s="886"/>
      <c r="K689" s="886"/>
      <c r="L689" s="886"/>
      <c r="M689" s="886"/>
      <c r="N689" s="886"/>
      <c r="O689" s="886"/>
      <c r="P689" s="886"/>
      <c r="Q689" s="886"/>
      <c r="R689" s="886"/>
      <c r="S689" s="886"/>
      <c r="T689" s="886"/>
      <c r="U689" s="886"/>
      <c r="V689" s="886"/>
      <c r="W689" s="886"/>
      <c r="X689" s="886"/>
    </row>
    <row r="690" spans="3:24">
      <c r="C690" s="942"/>
      <c r="D690" s="943"/>
      <c r="E690" s="886"/>
      <c r="F690" s="886"/>
      <c r="G690" s="886"/>
      <c r="H690" s="886"/>
      <c r="I690" s="886"/>
      <c r="J690" s="886"/>
      <c r="K690" s="886"/>
      <c r="L690" s="886"/>
      <c r="M690" s="886"/>
      <c r="N690" s="886"/>
      <c r="O690" s="886"/>
      <c r="P690" s="886"/>
      <c r="Q690" s="886"/>
      <c r="R690" s="886"/>
      <c r="S690" s="886"/>
      <c r="T690" s="886"/>
      <c r="U690" s="886"/>
      <c r="V690" s="886"/>
      <c r="W690" s="886"/>
      <c r="X690" s="886"/>
    </row>
    <row r="691" spans="3:24">
      <c r="C691" s="942"/>
      <c r="D691" s="943"/>
      <c r="E691" s="886"/>
      <c r="F691" s="886"/>
      <c r="G691" s="886"/>
      <c r="H691" s="886"/>
      <c r="I691" s="886"/>
      <c r="J691" s="886"/>
      <c r="K691" s="886"/>
      <c r="L691" s="886"/>
      <c r="M691" s="886"/>
      <c r="N691" s="886"/>
      <c r="O691" s="886"/>
      <c r="P691" s="886"/>
      <c r="Q691" s="886"/>
      <c r="R691" s="886"/>
      <c r="S691" s="886"/>
      <c r="T691" s="886"/>
      <c r="U691" s="886"/>
      <c r="V691" s="886"/>
      <c r="W691" s="886"/>
      <c r="X691" s="886"/>
    </row>
    <row r="692" spans="3:24">
      <c r="C692" s="942"/>
      <c r="D692" s="943"/>
      <c r="E692" s="886"/>
      <c r="F692" s="886"/>
      <c r="G692" s="886"/>
      <c r="H692" s="886"/>
      <c r="I692" s="886"/>
      <c r="J692" s="886"/>
      <c r="K692" s="886"/>
      <c r="L692" s="886"/>
      <c r="M692" s="886"/>
      <c r="N692" s="886"/>
      <c r="O692" s="886"/>
      <c r="P692" s="886"/>
      <c r="Q692" s="886"/>
      <c r="R692" s="886"/>
      <c r="S692" s="886"/>
      <c r="T692" s="886"/>
      <c r="U692" s="886"/>
      <c r="V692" s="886"/>
      <c r="W692" s="886"/>
      <c r="X692" s="886"/>
    </row>
    <row r="693" spans="3:24">
      <c r="C693" s="942"/>
      <c r="D693" s="943"/>
      <c r="E693" s="886"/>
      <c r="F693" s="886"/>
      <c r="G693" s="886"/>
      <c r="H693" s="886"/>
      <c r="I693" s="886"/>
      <c r="J693" s="886"/>
      <c r="K693" s="886"/>
      <c r="L693" s="886"/>
      <c r="M693" s="886"/>
      <c r="N693" s="886"/>
      <c r="O693" s="886"/>
      <c r="P693" s="886"/>
      <c r="Q693" s="886"/>
      <c r="R693" s="886"/>
      <c r="S693" s="886"/>
      <c r="T693" s="886"/>
      <c r="U693" s="886"/>
      <c r="V693" s="886"/>
      <c r="W693" s="886"/>
      <c r="X693" s="886"/>
    </row>
    <row r="694" spans="3:24">
      <c r="C694" s="942"/>
      <c r="D694" s="943"/>
      <c r="E694" s="886"/>
      <c r="F694" s="886"/>
      <c r="G694" s="886"/>
      <c r="H694" s="886"/>
      <c r="I694" s="886"/>
      <c r="J694" s="886"/>
      <c r="K694" s="886"/>
      <c r="L694" s="886"/>
      <c r="M694" s="886"/>
      <c r="N694" s="886"/>
      <c r="O694" s="886"/>
      <c r="P694" s="886"/>
      <c r="Q694" s="886"/>
      <c r="R694" s="886"/>
      <c r="S694" s="886"/>
      <c r="T694" s="886"/>
      <c r="U694" s="886"/>
      <c r="V694" s="886"/>
      <c r="W694" s="886"/>
      <c r="X694" s="886"/>
    </row>
    <row r="695" spans="3:24">
      <c r="C695" s="942"/>
      <c r="D695" s="943"/>
      <c r="E695" s="886"/>
      <c r="F695" s="886"/>
      <c r="G695" s="886"/>
      <c r="H695" s="886"/>
      <c r="I695" s="886"/>
      <c r="J695" s="886"/>
      <c r="K695" s="886"/>
      <c r="L695" s="886"/>
      <c r="M695" s="886"/>
      <c r="N695" s="886"/>
      <c r="O695" s="886"/>
      <c r="P695" s="886"/>
      <c r="Q695" s="886"/>
      <c r="R695" s="886"/>
      <c r="S695" s="886"/>
      <c r="T695" s="886"/>
      <c r="U695" s="886"/>
      <c r="V695" s="886"/>
      <c r="W695" s="886"/>
      <c r="X695" s="886"/>
    </row>
    <row r="696" spans="3:24">
      <c r="C696" s="942"/>
      <c r="D696" s="943"/>
      <c r="E696" s="886"/>
      <c r="F696" s="886"/>
      <c r="G696" s="886"/>
      <c r="H696" s="886"/>
      <c r="I696" s="886"/>
      <c r="J696" s="886"/>
      <c r="K696" s="886"/>
      <c r="L696" s="886"/>
      <c r="M696" s="886"/>
      <c r="N696" s="886"/>
      <c r="O696" s="886"/>
      <c r="P696" s="886"/>
      <c r="Q696" s="886"/>
      <c r="R696" s="886"/>
      <c r="S696" s="886"/>
      <c r="T696" s="886"/>
      <c r="U696" s="886"/>
      <c r="V696" s="886"/>
      <c r="W696" s="886"/>
      <c r="X696" s="886"/>
    </row>
    <row r="697" spans="3:24">
      <c r="C697" s="942"/>
      <c r="D697" s="943"/>
      <c r="E697" s="886"/>
      <c r="F697" s="886"/>
      <c r="G697" s="886"/>
      <c r="H697" s="886"/>
      <c r="I697" s="886"/>
      <c r="J697" s="886"/>
      <c r="K697" s="886"/>
      <c r="L697" s="886"/>
      <c r="M697" s="886"/>
      <c r="N697" s="886"/>
      <c r="O697" s="886"/>
      <c r="P697" s="886"/>
      <c r="Q697" s="886"/>
      <c r="R697" s="886"/>
      <c r="S697" s="886"/>
      <c r="T697" s="886"/>
      <c r="U697" s="886"/>
      <c r="V697" s="886"/>
      <c r="W697" s="886"/>
      <c r="X697" s="886"/>
    </row>
    <row r="698" spans="3:24">
      <c r="C698" s="942"/>
      <c r="D698" s="943"/>
      <c r="E698" s="886"/>
      <c r="F698" s="886"/>
      <c r="G698" s="886"/>
      <c r="H698" s="886"/>
      <c r="I698" s="886"/>
      <c r="J698" s="886"/>
      <c r="K698" s="886"/>
      <c r="L698" s="886"/>
      <c r="M698" s="886"/>
      <c r="N698" s="886"/>
      <c r="O698" s="886"/>
      <c r="P698" s="886"/>
      <c r="Q698" s="886"/>
      <c r="R698" s="886"/>
      <c r="S698" s="886"/>
      <c r="T698" s="886"/>
      <c r="U698" s="886"/>
      <c r="V698" s="886"/>
      <c r="W698" s="886"/>
      <c r="X698" s="886"/>
    </row>
    <row r="699" spans="3:24">
      <c r="C699" s="942"/>
      <c r="D699" s="943"/>
      <c r="E699" s="886"/>
      <c r="F699" s="886"/>
      <c r="G699" s="886"/>
      <c r="H699" s="886"/>
      <c r="I699" s="886"/>
      <c r="J699" s="886"/>
      <c r="K699" s="886"/>
      <c r="L699" s="886"/>
      <c r="M699" s="886"/>
      <c r="N699" s="886"/>
      <c r="O699" s="886"/>
      <c r="P699" s="886"/>
      <c r="Q699" s="886"/>
      <c r="R699" s="886"/>
      <c r="S699" s="886"/>
      <c r="T699" s="886"/>
      <c r="U699" s="886"/>
      <c r="V699" s="886"/>
      <c r="W699" s="886"/>
      <c r="X699" s="886"/>
    </row>
    <row r="700" spans="3:24">
      <c r="C700" s="942"/>
      <c r="D700" s="943"/>
      <c r="E700" s="886"/>
      <c r="F700" s="886"/>
      <c r="G700" s="886"/>
      <c r="H700" s="886"/>
      <c r="I700" s="886"/>
      <c r="J700" s="886"/>
      <c r="K700" s="886"/>
      <c r="L700" s="886"/>
      <c r="M700" s="886"/>
      <c r="N700" s="886"/>
      <c r="O700" s="886"/>
      <c r="P700" s="886"/>
      <c r="Q700" s="886"/>
      <c r="R700" s="886"/>
      <c r="S700" s="886"/>
      <c r="T700" s="886"/>
      <c r="U700" s="886"/>
      <c r="V700" s="886"/>
      <c r="W700" s="886"/>
      <c r="X700" s="886"/>
    </row>
    <row r="701" spans="3:24">
      <c r="C701" s="942"/>
      <c r="D701" s="943"/>
      <c r="E701" s="886"/>
      <c r="F701" s="886"/>
      <c r="G701" s="886"/>
      <c r="H701" s="886"/>
      <c r="I701" s="886"/>
      <c r="J701" s="886"/>
      <c r="K701" s="886"/>
      <c r="L701" s="886"/>
      <c r="M701" s="886"/>
      <c r="N701" s="886"/>
      <c r="O701" s="886"/>
      <c r="P701" s="886"/>
      <c r="Q701" s="886"/>
      <c r="R701" s="886"/>
      <c r="S701" s="886"/>
      <c r="T701" s="886"/>
      <c r="U701" s="886"/>
      <c r="V701" s="886"/>
      <c r="W701" s="886"/>
      <c r="X701" s="886"/>
    </row>
    <row r="702" spans="3:24">
      <c r="C702" s="942"/>
      <c r="D702" s="943"/>
      <c r="E702" s="886"/>
      <c r="F702" s="886"/>
      <c r="G702" s="886"/>
      <c r="H702" s="886"/>
      <c r="I702" s="886"/>
      <c r="J702" s="886"/>
      <c r="K702" s="886"/>
      <c r="L702" s="886"/>
      <c r="M702" s="886"/>
      <c r="N702" s="886"/>
      <c r="O702" s="886"/>
      <c r="P702" s="886"/>
      <c r="Q702" s="886"/>
      <c r="R702" s="886"/>
      <c r="S702" s="886"/>
      <c r="T702" s="886"/>
      <c r="U702" s="886"/>
      <c r="V702" s="886"/>
      <c r="W702" s="886"/>
      <c r="X702" s="886"/>
    </row>
    <row r="703" spans="3:24">
      <c r="C703" s="942"/>
      <c r="D703" s="943"/>
      <c r="E703" s="886"/>
      <c r="F703" s="886"/>
      <c r="G703" s="886"/>
      <c r="H703" s="886"/>
      <c r="I703" s="886"/>
      <c r="J703" s="886"/>
      <c r="K703" s="886"/>
      <c r="L703" s="886"/>
      <c r="M703" s="886"/>
      <c r="N703" s="886"/>
      <c r="O703" s="886"/>
      <c r="P703" s="886"/>
      <c r="Q703" s="886"/>
      <c r="R703" s="886"/>
      <c r="S703" s="886"/>
      <c r="T703" s="886"/>
      <c r="U703" s="886"/>
      <c r="V703" s="886"/>
      <c r="W703" s="886"/>
      <c r="X703" s="886"/>
    </row>
    <row r="704" spans="3:24">
      <c r="C704" s="942"/>
      <c r="D704" s="943"/>
      <c r="E704" s="886"/>
      <c r="F704" s="886"/>
      <c r="G704" s="886"/>
      <c r="H704" s="886"/>
      <c r="I704" s="886"/>
      <c r="J704" s="886"/>
      <c r="K704" s="886"/>
      <c r="L704" s="886"/>
      <c r="M704" s="886"/>
      <c r="N704" s="886"/>
      <c r="O704" s="886"/>
      <c r="P704" s="886"/>
      <c r="Q704" s="886"/>
      <c r="R704" s="886"/>
      <c r="S704" s="886"/>
      <c r="T704" s="886"/>
      <c r="U704" s="886"/>
      <c r="V704" s="886"/>
      <c r="W704" s="886"/>
      <c r="X704" s="886"/>
    </row>
    <row r="705" spans="3:24">
      <c r="C705" s="942"/>
      <c r="D705" s="943"/>
      <c r="E705" s="886"/>
      <c r="F705" s="886"/>
      <c r="G705" s="886"/>
      <c r="H705" s="886"/>
      <c r="I705" s="886"/>
      <c r="J705" s="886"/>
      <c r="K705" s="886"/>
      <c r="L705" s="886"/>
      <c r="M705" s="886"/>
      <c r="N705" s="886"/>
      <c r="O705" s="886"/>
      <c r="P705" s="886"/>
      <c r="Q705" s="886"/>
      <c r="R705" s="886"/>
      <c r="S705" s="886"/>
      <c r="T705" s="886"/>
      <c r="U705" s="886"/>
      <c r="V705" s="886"/>
      <c r="W705" s="886"/>
      <c r="X705" s="886"/>
    </row>
    <row r="706" spans="3:24">
      <c r="C706" s="942"/>
      <c r="D706" s="943"/>
      <c r="E706" s="886"/>
      <c r="F706" s="886"/>
      <c r="G706" s="886"/>
      <c r="H706" s="886"/>
      <c r="I706" s="886"/>
      <c r="J706" s="886"/>
      <c r="K706" s="886"/>
      <c r="L706" s="886"/>
      <c r="M706" s="886"/>
      <c r="N706" s="886"/>
      <c r="O706" s="886"/>
      <c r="P706" s="886"/>
      <c r="Q706" s="886"/>
      <c r="R706" s="886"/>
      <c r="S706" s="886"/>
      <c r="T706" s="886"/>
      <c r="U706" s="886"/>
      <c r="V706" s="886"/>
      <c r="W706" s="886"/>
      <c r="X706" s="886"/>
    </row>
    <row r="707" spans="3:24">
      <c r="C707" s="942"/>
      <c r="D707" s="943"/>
      <c r="E707" s="886"/>
      <c r="F707" s="886"/>
      <c r="G707" s="886"/>
      <c r="H707" s="886"/>
      <c r="I707" s="886"/>
      <c r="J707" s="886"/>
      <c r="K707" s="886"/>
      <c r="L707" s="886"/>
      <c r="M707" s="886"/>
      <c r="N707" s="886"/>
      <c r="O707" s="886"/>
      <c r="P707" s="886"/>
      <c r="Q707" s="886"/>
      <c r="R707" s="886"/>
      <c r="S707" s="886"/>
      <c r="T707" s="886"/>
      <c r="U707" s="886"/>
      <c r="V707" s="886"/>
      <c r="W707" s="886"/>
      <c r="X707" s="886"/>
    </row>
    <row r="708" spans="3:24">
      <c r="C708" s="942"/>
      <c r="D708" s="943"/>
      <c r="E708" s="886"/>
      <c r="F708" s="886"/>
      <c r="G708" s="886"/>
      <c r="H708" s="886"/>
      <c r="I708" s="886"/>
      <c r="J708" s="886"/>
      <c r="K708" s="886"/>
      <c r="L708" s="886"/>
      <c r="M708" s="886"/>
      <c r="N708" s="886"/>
      <c r="O708" s="886"/>
      <c r="P708" s="886"/>
      <c r="Q708" s="886"/>
      <c r="R708" s="886"/>
      <c r="S708" s="886"/>
      <c r="T708" s="886"/>
      <c r="U708" s="886"/>
      <c r="V708" s="886"/>
      <c r="W708" s="886"/>
      <c r="X708" s="886"/>
    </row>
    <row r="709" spans="3:24">
      <c r="C709" s="942"/>
      <c r="D709" s="943"/>
      <c r="E709" s="886"/>
      <c r="F709" s="886"/>
      <c r="G709" s="886"/>
      <c r="H709" s="886"/>
      <c r="I709" s="886"/>
      <c r="J709" s="886"/>
      <c r="K709" s="886"/>
      <c r="L709" s="886"/>
      <c r="M709" s="886"/>
      <c r="N709" s="886"/>
      <c r="O709" s="886"/>
      <c r="P709" s="886"/>
      <c r="Q709" s="886"/>
      <c r="R709" s="886"/>
      <c r="S709" s="886"/>
      <c r="T709" s="886"/>
      <c r="U709" s="886"/>
      <c r="V709" s="886"/>
      <c r="W709" s="886"/>
      <c r="X709" s="886"/>
    </row>
    <row r="710" spans="3:24">
      <c r="C710" s="942"/>
      <c r="D710" s="943"/>
      <c r="E710" s="886"/>
      <c r="F710" s="886"/>
      <c r="G710" s="886"/>
      <c r="H710" s="886"/>
      <c r="I710" s="886"/>
      <c r="J710" s="886"/>
      <c r="K710" s="886"/>
      <c r="L710" s="886"/>
      <c r="M710" s="886"/>
      <c r="N710" s="886"/>
      <c r="O710" s="886"/>
      <c r="P710" s="886"/>
      <c r="Q710" s="886"/>
      <c r="R710" s="886"/>
      <c r="S710" s="886"/>
      <c r="T710" s="886"/>
      <c r="U710" s="886"/>
      <c r="V710" s="886"/>
      <c r="W710" s="886"/>
      <c r="X710" s="886"/>
    </row>
    <row r="711" spans="3:24">
      <c r="C711" s="942"/>
      <c r="D711" s="943"/>
      <c r="E711" s="886"/>
      <c r="F711" s="886"/>
      <c r="G711" s="886"/>
      <c r="H711" s="886"/>
      <c r="I711" s="886"/>
      <c r="J711" s="886"/>
      <c r="K711" s="886"/>
      <c r="L711" s="886"/>
      <c r="M711" s="886"/>
      <c r="N711" s="886"/>
      <c r="O711" s="886"/>
      <c r="P711" s="886"/>
      <c r="Q711" s="886"/>
      <c r="R711" s="886"/>
      <c r="S711" s="886"/>
      <c r="T711" s="886"/>
      <c r="U711" s="886"/>
      <c r="V711" s="886"/>
      <c r="W711" s="886"/>
      <c r="X711" s="886"/>
    </row>
    <row r="712" spans="3:24">
      <c r="C712" s="942"/>
      <c r="D712" s="943"/>
      <c r="E712" s="886"/>
      <c r="F712" s="886"/>
      <c r="G712" s="886"/>
      <c r="H712" s="886"/>
      <c r="I712" s="886"/>
      <c r="J712" s="886"/>
      <c r="K712" s="886"/>
      <c r="L712" s="886"/>
      <c r="M712" s="886"/>
      <c r="N712" s="886"/>
      <c r="O712" s="886"/>
      <c r="P712" s="886"/>
      <c r="Q712" s="886"/>
      <c r="R712" s="886"/>
      <c r="S712" s="886"/>
      <c r="T712" s="886"/>
      <c r="U712" s="886"/>
      <c r="V712" s="886"/>
      <c r="W712" s="886"/>
      <c r="X712" s="886"/>
    </row>
    <row r="713" spans="3:24">
      <c r="C713" s="942"/>
      <c r="D713" s="943"/>
      <c r="E713" s="886"/>
      <c r="F713" s="886"/>
      <c r="G713" s="886"/>
      <c r="H713" s="886"/>
      <c r="I713" s="886"/>
      <c r="J713" s="886"/>
      <c r="K713" s="886"/>
      <c r="L713" s="886"/>
      <c r="M713" s="886"/>
      <c r="N713" s="886"/>
      <c r="O713" s="886"/>
      <c r="P713" s="886"/>
      <c r="Q713" s="886"/>
      <c r="R713" s="886"/>
      <c r="S713" s="886"/>
      <c r="T713" s="886"/>
      <c r="U713" s="886"/>
      <c r="V713" s="886"/>
      <c r="W713" s="886"/>
      <c r="X713" s="886"/>
    </row>
    <row r="714" spans="3:24">
      <c r="C714" s="942"/>
      <c r="D714" s="943"/>
      <c r="E714" s="886"/>
      <c r="F714" s="886"/>
      <c r="G714" s="886"/>
      <c r="H714" s="886"/>
      <c r="I714" s="886"/>
      <c r="J714" s="886"/>
      <c r="K714" s="886"/>
      <c r="L714" s="886"/>
      <c r="M714" s="886"/>
      <c r="N714" s="886"/>
      <c r="O714" s="886"/>
      <c r="P714" s="886"/>
      <c r="Q714" s="886"/>
      <c r="R714" s="886"/>
      <c r="S714" s="886"/>
      <c r="T714" s="886"/>
      <c r="U714" s="886"/>
      <c r="V714" s="886"/>
      <c r="W714" s="886"/>
      <c r="X714" s="886"/>
    </row>
    <row r="715" spans="3:24">
      <c r="C715" s="942"/>
      <c r="D715" s="943"/>
      <c r="E715" s="886"/>
      <c r="F715" s="886"/>
      <c r="G715" s="886"/>
      <c r="H715" s="886"/>
      <c r="I715" s="886"/>
      <c r="J715" s="886"/>
      <c r="K715" s="886"/>
      <c r="L715" s="886"/>
      <c r="M715" s="886"/>
      <c r="N715" s="886"/>
      <c r="O715" s="886"/>
      <c r="P715" s="886"/>
      <c r="Q715" s="886"/>
      <c r="R715" s="886"/>
      <c r="S715" s="886"/>
      <c r="T715" s="886"/>
      <c r="U715" s="886"/>
      <c r="V715" s="886"/>
      <c r="W715" s="886"/>
      <c r="X715" s="886"/>
    </row>
    <row r="716" spans="3:24">
      <c r="C716" s="942"/>
      <c r="D716" s="943"/>
      <c r="E716" s="886"/>
      <c r="F716" s="886"/>
      <c r="G716" s="886"/>
      <c r="H716" s="886"/>
      <c r="I716" s="886"/>
      <c r="J716" s="886"/>
      <c r="K716" s="886"/>
      <c r="L716" s="886"/>
      <c r="M716" s="886"/>
      <c r="N716" s="886"/>
      <c r="O716" s="886"/>
      <c r="P716" s="886"/>
      <c r="Q716" s="886"/>
      <c r="R716" s="886"/>
      <c r="S716" s="886"/>
      <c r="T716" s="886"/>
      <c r="U716" s="886"/>
      <c r="V716" s="886"/>
      <c r="W716" s="886"/>
      <c r="X716" s="886"/>
    </row>
    <row r="717" spans="3:24">
      <c r="C717" s="942"/>
      <c r="D717" s="943"/>
      <c r="E717" s="886"/>
      <c r="F717" s="886"/>
      <c r="G717" s="886"/>
      <c r="H717" s="886"/>
      <c r="I717" s="886"/>
      <c r="J717" s="886"/>
      <c r="K717" s="886"/>
      <c r="L717" s="886"/>
      <c r="M717" s="886"/>
      <c r="N717" s="886"/>
      <c r="O717" s="886"/>
      <c r="P717" s="886"/>
      <c r="Q717" s="886"/>
      <c r="R717" s="886"/>
      <c r="S717" s="886"/>
      <c r="T717" s="886"/>
      <c r="U717" s="886"/>
      <c r="V717" s="886"/>
      <c r="W717" s="886"/>
      <c r="X717" s="886"/>
    </row>
    <row r="718" spans="3:24">
      <c r="C718" s="942"/>
      <c r="D718" s="943"/>
      <c r="E718" s="886"/>
      <c r="F718" s="886"/>
      <c r="G718" s="886"/>
      <c r="H718" s="886"/>
      <c r="I718" s="886"/>
      <c r="J718" s="886"/>
      <c r="K718" s="886"/>
      <c r="L718" s="886"/>
      <c r="M718" s="886"/>
      <c r="N718" s="886"/>
      <c r="O718" s="886"/>
      <c r="P718" s="886"/>
      <c r="Q718" s="886"/>
      <c r="R718" s="886"/>
      <c r="S718" s="886"/>
      <c r="T718" s="886"/>
      <c r="U718" s="886"/>
      <c r="V718" s="886"/>
      <c r="W718" s="886"/>
      <c r="X718" s="886"/>
    </row>
    <row r="719" spans="3:24">
      <c r="C719" s="942"/>
      <c r="D719" s="943"/>
      <c r="E719" s="886"/>
      <c r="F719" s="886"/>
      <c r="G719" s="886"/>
      <c r="H719" s="886"/>
      <c r="I719" s="886"/>
      <c r="J719" s="886"/>
      <c r="K719" s="886"/>
      <c r="L719" s="886"/>
      <c r="M719" s="886"/>
      <c r="N719" s="886"/>
      <c r="O719" s="886"/>
      <c r="P719" s="886"/>
      <c r="Q719" s="886"/>
      <c r="R719" s="886"/>
      <c r="S719" s="886"/>
      <c r="T719" s="886"/>
      <c r="U719" s="886"/>
      <c r="V719" s="886"/>
      <c r="W719" s="886"/>
      <c r="X719" s="886"/>
    </row>
    <row r="720" spans="3:24">
      <c r="C720" s="942"/>
      <c r="D720" s="943"/>
      <c r="E720" s="886"/>
      <c r="F720" s="886"/>
      <c r="G720" s="886"/>
      <c r="H720" s="886"/>
      <c r="I720" s="886"/>
      <c r="J720" s="886"/>
      <c r="K720" s="886"/>
      <c r="L720" s="886"/>
      <c r="M720" s="886"/>
      <c r="N720" s="886"/>
      <c r="O720" s="886"/>
      <c r="P720" s="886"/>
      <c r="Q720" s="886"/>
      <c r="R720" s="886"/>
      <c r="S720" s="886"/>
      <c r="T720" s="886"/>
      <c r="U720" s="886"/>
      <c r="V720" s="886"/>
      <c r="W720" s="886"/>
      <c r="X720" s="886"/>
    </row>
    <row r="721" spans="3:24">
      <c r="C721" s="942"/>
      <c r="D721" s="943"/>
      <c r="E721" s="886"/>
      <c r="F721" s="886"/>
      <c r="G721" s="886"/>
      <c r="H721" s="886"/>
      <c r="I721" s="886"/>
      <c r="J721" s="886"/>
      <c r="K721" s="886"/>
      <c r="L721" s="886"/>
      <c r="M721" s="886"/>
      <c r="N721" s="886"/>
      <c r="O721" s="886"/>
      <c r="P721" s="886"/>
      <c r="Q721" s="886"/>
      <c r="R721" s="886"/>
      <c r="S721" s="886"/>
      <c r="T721" s="886"/>
      <c r="U721" s="886"/>
      <c r="V721" s="886"/>
      <c r="W721" s="886"/>
      <c r="X721" s="886"/>
    </row>
    <row r="722" spans="3:24">
      <c r="C722" s="942"/>
      <c r="D722" s="943"/>
      <c r="E722" s="886"/>
      <c r="F722" s="886"/>
      <c r="G722" s="886"/>
      <c r="H722" s="886"/>
      <c r="I722" s="886"/>
      <c r="J722" s="886"/>
      <c r="K722" s="886"/>
      <c r="L722" s="886"/>
      <c r="M722" s="886"/>
      <c r="N722" s="886"/>
      <c r="O722" s="886"/>
      <c r="P722" s="886"/>
      <c r="Q722" s="886"/>
      <c r="R722" s="886"/>
      <c r="S722" s="886"/>
      <c r="T722" s="886"/>
      <c r="U722" s="886"/>
      <c r="V722" s="886"/>
      <c r="W722" s="886"/>
      <c r="X722" s="886"/>
    </row>
    <row r="723" spans="3:24">
      <c r="C723" s="942"/>
      <c r="D723" s="943"/>
      <c r="E723" s="886"/>
      <c r="F723" s="886"/>
      <c r="G723" s="886"/>
      <c r="H723" s="886"/>
      <c r="I723" s="886"/>
      <c r="J723" s="886"/>
      <c r="K723" s="886"/>
      <c r="L723" s="886"/>
      <c r="M723" s="886"/>
      <c r="N723" s="886"/>
      <c r="O723" s="886"/>
      <c r="P723" s="886"/>
      <c r="Q723" s="886"/>
      <c r="R723" s="886"/>
      <c r="S723" s="886"/>
      <c r="T723" s="886"/>
      <c r="U723" s="886"/>
      <c r="V723" s="886"/>
      <c r="W723" s="886"/>
      <c r="X723" s="886"/>
    </row>
    <row r="724" spans="3:24">
      <c r="C724" s="942"/>
      <c r="D724" s="943"/>
      <c r="E724" s="886"/>
      <c r="F724" s="886"/>
      <c r="G724" s="886"/>
      <c r="H724" s="886"/>
      <c r="I724" s="886"/>
      <c r="J724" s="886"/>
      <c r="K724" s="886"/>
      <c r="L724" s="886"/>
      <c r="M724" s="886"/>
      <c r="N724" s="886"/>
      <c r="O724" s="886"/>
      <c r="P724" s="886"/>
      <c r="Q724" s="886"/>
      <c r="R724" s="886"/>
      <c r="S724" s="886"/>
      <c r="T724" s="886"/>
      <c r="U724" s="886"/>
      <c r="V724" s="886"/>
      <c r="W724" s="886"/>
      <c r="X724" s="886"/>
    </row>
    <row r="725" spans="3:24">
      <c r="C725" s="942"/>
      <c r="D725" s="943"/>
      <c r="E725" s="886"/>
      <c r="F725" s="886"/>
      <c r="G725" s="886"/>
      <c r="H725" s="886"/>
      <c r="I725" s="886"/>
      <c r="J725" s="886"/>
      <c r="K725" s="886"/>
      <c r="L725" s="886"/>
      <c r="M725" s="886"/>
      <c r="N725" s="886"/>
      <c r="O725" s="886"/>
      <c r="P725" s="886"/>
      <c r="Q725" s="886"/>
      <c r="R725" s="886"/>
      <c r="S725" s="886"/>
      <c r="T725" s="886"/>
      <c r="U725" s="886"/>
      <c r="V725" s="886"/>
      <c r="W725" s="886"/>
      <c r="X725" s="886"/>
    </row>
    <row r="726" spans="3:24">
      <c r="C726" s="942"/>
      <c r="D726" s="943"/>
      <c r="E726" s="886"/>
      <c r="F726" s="886"/>
      <c r="G726" s="886"/>
      <c r="H726" s="886"/>
      <c r="I726" s="886"/>
      <c r="J726" s="886"/>
      <c r="K726" s="886"/>
      <c r="L726" s="886"/>
      <c r="M726" s="886"/>
      <c r="N726" s="886"/>
      <c r="O726" s="886"/>
      <c r="P726" s="886"/>
      <c r="Q726" s="886"/>
      <c r="R726" s="886"/>
      <c r="S726" s="886"/>
      <c r="T726" s="886"/>
      <c r="U726" s="886"/>
      <c r="V726" s="886"/>
      <c r="W726" s="886"/>
      <c r="X726" s="886"/>
    </row>
    <row r="727" spans="3:24">
      <c r="C727" s="942"/>
      <c r="D727" s="943"/>
      <c r="E727" s="886"/>
      <c r="F727" s="886"/>
      <c r="G727" s="886"/>
      <c r="H727" s="886"/>
      <c r="I727" s="886"/>
      <c r="J727" s="886"/>
      <c r="K727" s="886"/>
      <c r="L727" s="886"/>
      <c r="M727" s="886"/>
      <c r="N727" s="886"/>
      <c r="O727" s="886"/>
      <c r="P727" s="886"/>
      <c r="Q727" s="886"/>
      <c r="R727" s="886"/>
      <c r="S727" s="886"/>
      <c r="T727" s="886"/>
      <c r="U727" s="886"/>
      <c r="V727" s="886"/>
      <c r="W727" s="886"/>
      <c r="X727" s="886"/>
    </row>
    <row r="728" spans="3:24">
      <c r="C728" s="942"/>
      <c r="D728" s="943"/>
      <c r="E728" s="886"/>
      <c r="F728" s="886"/>
      <c r="G728" s="886"/>
      <c r="H728" s="886"/>
      <c r="I728" s="886"/>
      <c r="J728" s="886"/>
      <c r="K728" s="886"/>
      <c r="L728" s="886"/>
      <c r="M728" s="886"/>
      <c r="N728" s="886"/>
      <c r="O728" s="886"/>
      <c r="P728" s="886"/>
      <c r="Q728" s="886"/>
      <c r="R728" s="886"/>
      <c r="S728" s="886"/>
      <c r="T728" s="886"/>
      <c r="U728" s="886"/>
      <c r="V728" s="886"/>
      <c r="W728" s="886"/>
      <c r="X728" s="886"/>
    </row>
    <row r="729" spans="3:24">
      <c r="C729" s="942"/>
      <c r="D729" s="943"/>
      <c r="E729" s="886"/>
      <c r="F729" s="886"/>
      <c r="G729" s="886"/>
      <c r="H729" s="886"/>
      <c r="I729" s="886"/>
      <c r="J729" s="886"/>
      <c r="K729" s="886"/>
      <c r="L729" s="886"/>
      <c r="M729" s="886"/>
      <c r="N729" s="886"/>
      <c r="O729" s="886"/>
      <c r="P729" s="886"/>
      <c r="Q729" s="886"/>
      <c r="R729" s="886"/>
      <c r="S729" s="886"/>
      <c r="T729" s="886"/>
      <c r="U729" s="886"/>
      <c r="V729" s="886"/>
      <c r="W729" s="886"/>
      <c r="X729" s="886"/>
    </row>
    <row r="730" spans="3:24">
      <c r="C730" s="942"/>
      <c r="D730" s="943"/>
      <c r="E730" s="886"/>
      <c r="F730" s="886"/>
      <c r="G730" s="886"/>
      <c r="H730" s="886"/>
      <c r="I730" s="886"/>
      <c r="J730" s="886"/>
      <c r="K730" s="886"/>
      <c r="L730" s="886"/>
      <c r="M730" s="886"/>
      <c r="N730" s="886"/>
      <c r="O730" s="886"/>
      <c r="P730" s="886"/>
      <c r="Q730" s="886"/>
      <c r="R730" s="886"/>
      <c r="S730" s="886"/>
      <c r="T730" s="886"/>
      <c r="U730" s="886"/>
      <c r="V730" s="886"/>
      <c r="W730" s="886"/>
      <c r="X730" s="886"/>
    </row>
    <row r="731" spans="3:24">
      <c r="C731" s="942"/>
      <c r="D731" s="943"/>
      <c r="E731" s="886"/>
      <c r="F731" s="886"/>
      <c r="G731" s="886"/>
      <c r="H731" s="886"/>
      <c r="I731" s="886"/>
      <c r="J731" s="886"/>
      <c r="K731" s="886"/>
      <c r="L731" s="886"/>
      <c r="M731" s="886"/>
      <c r="N731" s="886"/>
      <c r="O731" s="886"/>
      <c r="P731" s="886"/>
      <c r="Q731" s="886"/>
      <c r="R731" s="886"/>
      <c r="S731" s="886"/>
      <c r="T731" s="886"/>
      <c r="U731" s="886"/>
      <c r="V731" s="886"/>
      <c r="W731" s="886"/>
      <c r="X731" s="886"/>
    </row>
    <row r="732" spans="3:24">
      <c r="C732" s="942"/>
      <c r="D732" s="943"/>
      <c r="E732" s="886"/>
      <c r="F732" s="886"/>
      <c r="G732" s="886"/>
      <c r="H732" s="886"/>
      <c r="I732" s="886"/>
      <c r="J732" s="886"/>
      <c r="K732" s="886"/>
      <c r="L732" s="886"/>
      <c r="M732" s="886"/>
      <c r="N732" s="886"/>
      <c r="O732" s="886"/>
      <c r="P732" s="886"/>
      <c r="Q732" s="886"/>
      <c r="R732" s="886"/>
      <c r="S732" s="886"/>
      <c r="T732" s="886"/>
      <c r="U732" s="886"/>
      <c r="V732" s="886"/>
      <c r="W732" s="886"/>
      <c r="X732" s="886"/>
    </row>
    <row r="733" spans="3:24">
      <c r="C733" s="942"/>
      <c r="D733" s="943"/>
      <c r="E733" s="886"/>
      <c r="F733" s="886"/>
      <c r="G733" s="886"/>
      <c r="H733" s="886"/>
      <c r="I733" s="886"/>
      <c r="J733" s="886"/>
      <c r="K733" s="886"/>
      <c r="L733" s="886"/>
      <c r="M733" s="886"/>
      <c r="N733" s="886"/>
      <c r="O733" s="886"/>
      <c r="P733" s="886"/>
      <c r="Q733" s="886"/>
      <c r="R733" s="886"/>
      <c r="S733" s="886"/>
      <c r="T733" s="886"/>
      <c r="U733" s="886"/>
      <c r="V733" s="886"/>
      <c r="W733" s="886"/>
      <c r="X733" s="886"/>
    </row>
    <row r="734" spans="3:24">
      <c r="C734" s="942"/>
      <c r="D734" s="943"/>
      <c r="E734" s="886"/>
      <c r="F734" s="886"/>
      <c r="G734" s="886"/>
      <c r="H734" s="886"/>
      <c r="I734" s="886"/>
      <c r="J734" s="886"/>
      <c r="K734" s="886"/>
      <c r="L734" s="886"/>
      <c r="M734" s="886"/>
      <c r="N734" s="886"/>
      <c r="O734" s="886"/>
      <c r="P734" s="886"/>
      <c r="Q734" s="886"/>
      <c r="R734" s="886"/>
      <c r="S734" s="886"/>
      <c r="T734" s="886"/>
      <c r="U734" s="886"/>
      <c r="V734" s="886"/>
      <c r="W734" s="886"/>
      <c r="X734" s="886"/>
    </row>
    <row r="735" spans="3:24">
      <c r="C735" s="942"/>
      <c r="D735" s="943"/>
      <c r="E735" s="886"/>
      <c r="F735" s="886"/>
      <c r="G735" s="886"/>
      <c r="H735" s="886"/>
      <c r="I735" s="886"/>
      <c r="J735" s="886"/>
      <c r="K735" s="886"/>
      <c r="L735" s="886"/>
      <c r="M735" s="886"/>
      <c r="N735" s="886"/>
      <c r="O735" s="886"/>
      <c r="P735" s="886"/>
      <c r="Q735" s="886"/>
      <c r="R735" s="886"/>
      <c r="S735" s="886"/>
      <c r="T735" s="886"/>
      <c r="U735" s="886"/>
      <c r="V735" s="886"/>
      <c r="W735" s="886"/>
      <c r="X735" s="886"/>
    </row>
    <row r="736" spans="3:24">
      <c r="C736" s="942"/>
      <c r="D736" s="943"/>
      <c r="E736" s="886"/>
      <c r="F736" s="886"/>
      <c r="G736" s="886"/>
      <c r="H736" s="886"/>
      <c r="I736" s="886"/>
      <c r="J736" s="886"/>
      <c r="K736" s="886"/>
      <c r="L736" s="886"/>
      <c r="M736" s="886"/>
      <c r="N736" s="886"/>
      <c r="O736" s="886"/>
      <c r="P736" s="886"/>
      <c r="Q736" s="886"/>
      <c r="R736" s="886"/>
      <c r="S736" s="886"/>
      <c r="T736" s="886"/>
      <c r="U736" s="886"/>
      <c r="V736" s="886"/>
      <c r="W736" s="886"/>
      <c r="X736" s="886"/>
    </row>
    <row r="737" spans="3:24">
      <c r="C737" s="942"/>
      <c r="D737" s="943"/>
      <c r="E737" s="886"/>
      <c r="F737" s="886"/>
      <c r="G737" s="886"/>
      <c r="H737" s="886"/>
      <c r="I737" s="886"/>
      <c r="J737" s="886"/>
      <c r="K737" s="886"/>
      <c r="L737" s="886"/>
      <c r="M737" s="886"/>
      <c r="N737" s="886"/>
      <c r="O737" s="886"/>
      <c r="P737" s="886"/>
      <c r="Q737" s="886"/>
      <c r="R737" s="886"/>
      <c r="S737" s="886"/>
      <c r="T737" s="886"/>
      <c r="U737" s="886"/>
      <c r="V737" s="886"/>
      <c r="W737" s="886"/>
      <c r="X737" s="886"/>
    </row>
    <row r="738" spans="3:24">
      <c r="C738" s="942"/>
      <c r="D738" s="943"/>
      <c r="E738" s="886"/>
      <c r="F738" s="886"/>
      <c r="G738" s="886"/>
      <c r="H738" s="886"/>
      <c r="I738" s="886"/>
      <c r="J738" s="886"/>
      <c r="K738" s="886"/>
      <c r="L738" s="886"/>
      <c r="M738" s="886"/>
      <c r="N738" s="886"/>
      <c r="O738" s="886"/>
      <c r="P738" s="886"/>
      <c r="Q738" s="886"/>
      <c r="R738" s="886"/>
      <c r="S738" s="886"/>
      <c r="T738" s="886"/>
      <c r="U738" s="886"/>
      <c r="V738" s="886"/>
      <c r="W738" s="886"/>
      <c r="X738" s="886"/>
    </row>
    <row r="739" spans="3:24">
      <c r="C739" s="942"/>
      <c r="D739" s="943"/>
      <c r="E739" s="886"/>
      <c r="F739" s="886"/>
      <c r="G739" s="886"/>
      <c r="H739" s="886"/>
      <c r="I739" s="886"/>
      <c r="J739" s="886"/>
      <c r="K739" s="886"/>
      <c r="L739" s="886"/>
      <c r="M739" s="886"/>
      <c r="N739" s="886"/>
      <c r="O739" s="886"/>
      <c r="P739" s="886"/>
      <c r="Q739" s="886"/>
      <c r="R739" s="886"/>
      <c r="S739" s="886"/>
      <c r="T739" s="886"/>
      <c r="U739" s="886"/>
      <c r="V739" s="886"/>
      <c r="W739" s="886"/>
      <c r="X739" s="886"/>
    </row>
    <row r="740" spans="3:24">
      <c r="C740" s="942"/>
      <c r="D740" s="943"/>
      <c r="E740" s="886"/>
      <c r="F740" s="886"/>
      <c r="G740" s="886"/>
      <c r="H740" s="886"/>
      <c r="I740" s="886"/>
      <c r="J740" s="886"/>
      <c r="K740" s="886"/>
      <c r="L740" s="886"/>
      <c r="M740" s="886"/>
      <c r="N740" s="886"/>
      <c r="O740" s="886"/>
      <c r="P740" s="886"/>
      <c r="Q740" s="886"/>
      <c r="R740" s="886"/>
      <c r="S740" s="886"/>
      <c r="T740" s="886"/>
      <c r="U740" s="886"/>
      <c r="V740" s="886"/>
      <c r="W740" s="886"/>
      <c r="X740" s="886"/>
    </row>
    <row r="741" spans="3:24">
      <c r="C741" s="942"/>
      <c r="D741" s="943"/>
      <c r="E741" s="886"/>
      <c r="F741" s="886"/>
      <c r="G741" s="886"/>
      <c r="H741" s="886"/>
      <c r="I741" s="886"/>
      <c r="J741" s="886"/>
      <c r="K741" s="886"/>
      <c r="L741" s="886"/>
      <c r="M741" s="886"/>
      <c r="N741" s="886"/>
      <c r="O741" s="886"/>
      <c r="P741" s="886"/>
      <c r="Q741" s="886"/>
      <c r="R741" s="886"/>
      <c r="S741" s="886"/>
      <c r="T741" s="886"/>
      <c r="U741" s="886"/>
      <c r="V741" s="886"/>
      <c r="W741" s="886"/>
      <c r="X741" s="886"/>
    </row>
    <row r="742" spans="3:24">
      <c r="C742" s="942"/>
      <c r="D742" s="943"/>
      <c r="E742" s="886"/>
      <c r="F742" s="886"/>
      <c r="G742" s="886"/>
      <c r="H742" s="886"/>
      <c r="I742" s="886"/>
      <c r="J742" s="886"/>
      <c r="K742" s="886"/>
      <c r="L742" s="886"/>
      <c r="M742" s="886"/>
      <c r="N742" s="886"/>
      <c r="O742" s="886"/>
      <c r="P742" s="886"/>
      <c r="Q742" s="886"/>
      <c r="R742" s="886"/>
      <c r="S742" s="886"/>
      <c r="T742" s="886"/>
      <c r="U742" s="886"/>
      <c r="V742" s="886"/>
      <c r="W742" s="886"/>
      <c r="X742" s="886"/>
    </row>
    <row r="743" spans="3:24">
      <c r="C743" s="942"/>
      <c r="D743" s="943"/>
      <c r="E743" s="886"/>
      <c r="F743" s="886"/>
      <c r="G743" s="886"/>
      <c r="H743" s="886"/>
      <c r="I743" s="886"/>
      <c r="J743" s="886"/>
      <c r="K743" s="886"/>
      <c r="L743" s="886"/>
      <c r="M743" s="886"/>
      <c r="N743" s="886"/>
      <c r="O743" s="886"/>
      <c r="P743" s="886"/>
      <c r="Q743" s="886"/>
      <c r="R743" s="886"/>
      <c r="S743" s="886"/>
      <c r="T743" s="886"/>
      <c r="U743" s="886"/>
      <c r="V743" s="886"/>
      <c r="W743" s="886"/>
      <c r="X743" s="886"/>
    </row>
    <row r="744" spans="3:24">
      <c r="C744" s="942"/>
      <c r="D744" s="943"/>
      <c r="E744" s="886"/>
      <c r="F744" s="886"/>
      <c r="G744" s="886"/>
      <c r="H744" s="886"/>
      <c r="I744" s="886"/>
      <c r="J744" s="886"/>
      <c r="K744" s="886"/>
      <c r="L744" s="886"/>
      <c r="M744" s="886"/>
      <c r="N744" s="886"/>
      <c r="O744" s="886"/>
      <c r="P744" s="886"/>
      <c r="Q744" s="886"/>
      <c r="R744" s="886"/>
      <c r="S744" s="886"/>
      <c r="T744" s="886"/>
      <c r="U744" s="886"/>
      <c r="V744" s="886"/>
      <c r="W744" s="886"/>
      <c r="X744" s="886"/>
    </row>
    <row r="745" spans="3:24">
      <c r="C745" s="942"/>
      <c r="D745" s="943"/>
      <c r="E745" s="886"/>
      <c r="F745" s="886"/>
      <c r="G745" s="886"/>
      <c r="H745" s="886"/>
      <c r="I745" s="886"/>
      <c r="J745" s="886"/>
      <c r="K745" s="886"/>
      <c r="L745" s="886"/>
      <c r="M745" s="886"/>
      <c r="N745" s="886"/>
      <c r="O745" s="886"/>
      <c r="P745" s="886"/>
      <c r="Q745" s="886"/>
      <c r="R745" s="886"/>
      <c r="S745" s="886"/>
      <c r="T745" s="886"/>
      <c r="U745" s="886"/>
      <c r="V745" s="886"/>
      <c r="W745" s="886"/>
      <c r="X745" s="886"/>
    </row>
    <row r="746" spans="3:24">
      <c r="C746" s="942"/>
      <c r="D746" s="943"/>
      <c r="E746" s="886"/>
      <c r="F746" s="886"/>
      <c r="G746" s="886"/>
      <c r="H746" s="886"/>
      <c r="I746" s="886"/>
      <c r="J746" s="886"/>
      <c r="K746" s="886"/>
      <c r="L746" s="886"/>
      <c r="M746" s="886"/>
      <c r="N746" s="886"/>
      <c r="O746" s="886"/>
      <c r="P746" s="886"/>
      <c r="Q746" s="886"/>
      <c r="R746" s="886"/>
      <c r="S746" s="886"/>
      <c r="T746" s="886"/>
      <c r="U746" s="886"/>
      <c r="V746" s="886"/>
      <c r="W746" s="886"/>
      <c r="X746" s="886"/>
    </row>
    <row r="747" spans="3:24">
      <c r="C747" s="942"/>
      <c r="D747" s="943"/>
      <c r="E747" s="886"/>
      <c r="F747" s="886"/>
      <c r="G747" s="886"/>
      <c r="H747" s="886"/>
      <c r="I747" s="886"/>
      <c r="J747" s="886"/>
      <c r="K747" s="886"/>
      <c r="L747" s="886"/>
      <c r="M747" s="886"/>
      <c r="N747" s="886"/>
      <c r="O747" s="886"/>
      <c r="P747" s="886"/>
      <c r="Q747" s="886"/>
      <c r="R747" s="886"/>
      <c r="S747" s="886"/>
      <c r="T747" s="886"/>
      <c r="U747" s="886"/>
      <c r="V747" s="886"/>
      <c r="W747" s="886"/>
      <c r="X747" s="886"/>
    </row>
    <row r="748" spans="3:24">
      <c r="C748" s="942"/>
      <c r="D748" s="943"/>
      <c r="E748" s="886"/>
      <c r="F748" s="886"/>
      <c r="G748" s="886"/>
      <c r="H748" s="886"/>
      <c r="I748" s="886"/>
      <c r="J748" s="886"/>
      <c r="K748" s="886"/>
      <c r="L748" s="886"/>
      <c r="M748" s="886"/>
      <c r="N748" s="886"/>
      <c r="O748" s="886"/>
      <c r="P748" s="886"/>
      <c r="Q748" s="886"/>
      <c r="R748" s="886"/>
      <c r="S748" s="886"/>
      <c r="T748" s="886"/>
      <c r="U748" s="886"/>
      <c r="V748" s="886"/>
      <c r="W748" s="886"/>
      <c r="X748" s="886"/>
    </row>
    <row r="749" spans="3:24">
      <c r="C749" s="942"/>
      <c r="D749" s="943"/>
      <c r="E749" s="886"/>
      <c r="F749" s="886"/>
      <c r="G749" s="886"/>
      <c r="H749" s="886"/>
      <c r="I749" s="886"/>
      <c r="J749" s="886"/>
      <c r="K749" s="886"/>
      <c r="L749" s="886"/>
      <c r="M749" s="886"/>
      <c r="N749" s="886"/>
      <c r="O749" s="886"/>
      <c r="P749" s="886"/>
      <c r="Q749" s="886"/>
      <c r="R749" s="886"/>
      <c r="S749" s="886"/>
      <c r="T749" s="886"/>
      <c r="U749" s="886"/>
      <c r="V749" s="886"/>
      <c r="W749" s="886"/>
      <c r="X749" s="886"/>
    </row>
    <row r="750" spans="3:24">
      <c r="C750" s="942"/>
      <c r="D750" s="943"/>
      <c r="E750" s="886"/>
      <c r="F750" s="886"/>
      <c r="G750" s="886"/>
      <c r="H750" s="886"/>
      <c r="I750" s="886"/>
      <c r="J750" s="886"/>
      <c r="K750" s="886"/>
      <c r="L750" s="886"/>
      <c r="M750" s="886"/>
      <c r="N750" s="886"/>
      <c r="O750" s="886"/>
      <c r="P750" s="886"/>
      <c r="Q750" s="886"/>
      <c r="R750" s="886"/>
      <c r="S750" s="886"/>
      <c r="T750" s="886"/>
      <c r="U750" s="886"/>
      <c r="V750" s="886"/>
      <c r="W750" s="886"/>
      <c r="X750" s="886"/>
    </row>
    <row r="751" spans="3:24">
      <c r="C751" s="942"/>
      <c r="D751" s="943"/>
      <c r="E751" s="886"/>
      <c r="F751" s="886"/>
      <c r="G751" s="886"/>
      <c r="H751" s="886"/>
      <c r="I751" s="886"/>
      <c r="J751" s="886"/>
      <c r="K751" s="886"/>
      <c r="L751" s="886"/>
      <c r="M751" s="886"/>
      <c r="N751" s="886"/>
      <c r="O751" s="886"/>
      <c r="P751" s="886"/>
      <c r="Q751" s="886"/>
      <c r="R751" s="886"/>
      <c r="S751" s="886"/>
      <c r="T751" s="886"/>
      <c r="U751" s="886"/>
      <c r="V751" s="886"/>
      <c r="W751" s="886"/>
      <c r="X751" s="886"/>
    </row>
    <row r="752" spans="3:24">
      <c r="C752" s="942"/>
      <c r="D752" s="943"/>
      <c r="E752" s="886"/>
      <c r="F752" s="886"/>
      <c r="G752" s="886"/>
      <c r="H752" s="886"/>
      <c r="I752" s="886"/>
      <c r="J752" s="886"/>
      <c r="K752" s="886"/>
      <c r="L752" s="886"/>
      <c r="M752" s="886"/>
      <c r="N752" s="886"/>
      <c r="O752" s="886"/>
      <c r="P752" s="886"/>
      <c r="Q752" s="886"/>
      <c r="R752" s="886"/>
      <c r="S752" s="886"/>
      <c r="T752" s="886"/>
      <c r="U752" s="886"/>
      <c r="V752" s="886"/>
      <c r="W752" s="886"/>
      <c r="X752" s="886"/>
    </row>
    <row r="753" spans="3:24">
      <c r="C753" s="942"/>
      <c r="D753" s="943"/>
      <c r="E753" s="886"/>
      <c r="F753" s="886"/>
      <c r="G753" s="886"/>
      <c r="H753" s="886"/>
      <c r="I753" s="886"/>
      <c r="J753" s="886"/>
      <c r="K753" s="886"/>
      <c r="L753" s="886"/>
      <c r="M753" s="886"/>
      <c r="N753" s="886"/>
      <c r="O753" s="886"/>
      <c r="P753" s="886"/>
      <c r="Q753" s="886"/>
      <c r="R753" s="886"/>
      <c r="S753" s="886"/>
      <c r="T753" s="886"/>
      <c r="U753" s="886"/>
      <c r="V753" s="886"/>
      <c r="W753" s="886"/>
      <c r="X753" s="886"/>
    </row>
    <row r="754" spans="3:24">
      <c r="C754" s="942"/>
      <c r="D754" s="943"/>
      <c r="E754" s="886"/>
      <c r="F754" s="886"/>
      <c r="G754" s="886"/>
      <c r="H754" s="886"/>
      <c r="I754" s="886"/>
      <c r="J754" s="886"/>
      <c r="K754" s="886"/>
      <c r="L754" s="886"/>
      <c r="M754" s="886"/>
      <c r="N754" s="886"/>
      <c r="O754" s="886"/>
      <c r="P754" s="886"/>
      <c r="Q754" s="886"/>
      <c r="R754" s="886"/>
      <c r="S754" s="886"/>
      <c r="T754" s="886"/>
      <c r="U754" s="886"/>
      <c r="V754" s="886"/>
      <c r="W754" s="886"/>
      <c r="X754" s="886"/>
    </row>
    <row r="755" spans="3:24">
      <c r="C755" s="942"/>
      <c r="D755" s="943"/>
      <c r="E755" s="886"/>
      <c r="F755" s="886"/>
      <c r="G755" s="886"/>
      <c r="H755" s="886"/>
      <c r="I755" s="886"/>
      <c r="J755" s="886"/>
      <c r="K755" s="886"/>
      <c r="L755" s="886"/>
      <c r="M755" s="886"/>
      <c r="N755" s="886"/>
      <c r="O755" s="886"/>
      <c r="P755" s="886"/>
      <c r="Q755" s="886"/>
      <c r="R755" s="886"/>
      <c r="S755" s="886"/>
      <c r="T755" s="886"/>
      <c r="U755" s="886"/>
      <c r="V755" s="886"/>
      <c r="W755" s="886"/>
      <c r="X755" s="886"/>
    </row>
    <row r="756" spans="3:24">
      <c r="C756" s="942"/>
      <c r="D756" s="943"/>
      <c r="E756" s="886"/>
      <c r="F756" s="886"/>
      <c r="G756" s="886"/>
      <c r="H756" s="886"/>
      <c r="I756" s="886"/>
      <c r="J756" s="886"/>
      <c r="K756" s="886"/>
      <c r="L756" s="886"/>
      <c r="M756" s="886"/>
      <c r="N756" s="886"/>
      <c r="O756" s="886"/>
      <c r="P756" s="886"/>
      <c r="Q756" s="886"/>
      <c r="R756" s="886"/>
      <c r="S756" s="886"/>
      <c r="T756" s="886"/>
      <c r="U756" s="886"/>
      <c r="V756" s="886"/>
      <c r="W756" s="886"/>
      <c r="X756" s="886"/>
    </row>
    <row r="757" spans="3:24">
      <c r="C757" s="942"/>
      <c r="D757" s="943"/>
      <c r="E757" s="886"/>
      <c r="F757" s="886"/>
      <c r="G757" s="886"/>
      <c r="H757" s="886"/>
      <c r="I757" s="886"/>
      <c r="J757" s="886"/>
      <c r="K757" s="886"/>
      <c r="L757" s="886"/>
      <c r="M757" s="886"/>
      <c r="N757" s="886"/>
      <c r="O757" s="886"/>
      <c r="P757" s="886"/>
      <c r="Q757" s="886"/>
      <c r="R757" s="886"/>
      <c r="S757" s="886"/>
      <c r="T757" s="886"/>
      <c r="U757" s="886"/>
      <c r="V757" s="886"/>
      <c r="W757" s="886"/>
      <c r="X757" s="886"/>
    </row>
    <row r="758" spans="3:24">
      <c r="C758" s="942"/>
      <c r="D758" s="943"/>
      <c r="E758" s="886"/>
      <c r="F758" s="886"/>
      <c r="G758" s="886"/>
      <c r="H758" s="886"/>
      <c r="I758" s="886"/>
      <c r="J758" s="886"/>
      <c r="K758" s="886"/>
      <c r="L758" s="886"/>
      <c r="M758" s="886"/>
      <c r="N758" s="886"/>
      <c r="O758" s="886"/>
      <c r="P758" s="886"/>
      <c r="Q758" s="886"/>
      <c r="R758" s="886"/>
      <c r="S758" s="886"/>
      <c r="T758" s="886"/>
      <c r="U758" s="886"/>
      <c r="V758" s="886"/>
      <c r="W758" s="886"/>
      <c r="X758" s="886"/>
    </row>
    <row r="759" spans="3:24">
      <c r="C759" s="942"/>
      <c r="D759" s="943"/>
      <c r="E759" s="886"/>
      <c r="F759" s="886"/>
      <c r="G759" s="886"/>
      <c r="H759" s="886"/>
      <c r="I759" s="886"/>
      <c r="J759" s="886"/>
      <c r="K759" s="886"/>
      <c r="L759" s="886"/>
      <c r="M759" s="886"/>
      <c r="N759" s="886"/>
      <c r="O759" s="886"/>
      <c r="P759" s="886"/>
      <c r="Q759" s="886"/>
      <c r="R759" s="886"/>
      <c r="S759" s="886"/>
      <c r="T759" s="886"/>
      <c r="U759" s="886"/>
      <c r="V759" s="886"/>
      <c r="W759" s="886"/>
      <c r="X759" s="886"/>
    </row>
    <row r="760" spans="3:24">
      <c r="C760" s="942"/>
      <c r="D760" s="943"/>
      <c r="E760" s="886"/>
      <c r="F760" s="886"/>
      <c r="G760" s="886"/>
      <c r="H760" s="886"/>
      <c r="I760" s="886"/>
      <c r="J760" s="886"/>
      <c r="K760" s="886"/>
      <c r="L760" s="886"/>
      <c r="M760" s="886"/>
      <c r="N760" s="886"/>
      <c r="O760" s="886"/>
      <c r="P760" s="886"/>
      <c r="Q760" s="886"/>
      <c r="R760" s="886"/>
      <c r="S760" s="886"/>
      <c r="T760" s="886"/>
      <c r="U760" s="886"/>
      <c r="V760" s="886"/>
      <c r="W760" s="886"/>
      <c r="X760" s="886"/>
    </row>
    <row r="761" spans="3:24">
      <c r="C761" s="942"/>
      <c r="D761" s="943"/>
      <c r="E761" s="886"/>
      <c r="F761" s="886"/>
      <c r="G761" s="886"/>
      <c r="H761" s="886"/>
      <c r="I761" s="886"/>
      <c r="J761" s="886"/>
      <c r="K761" s="886"/>
      <c r="L761" s="886"/>
      <c r="M761" s="886"/>
      <c r="N761" s="886"/>
      <c r="O761" s="886"/>
      <c r="P761" s="886"/>
      <c r="Q761" s="886"/>
      <c r="R761" s="886"/>
      <c r="S761" s="886"/>
      <c r="T761" s="886"/>
      <c r="U761" s="886"/>
      <c r="V761" s="886"/>
      <c r="W761" s="886"/>
      <c r="X761" s="886"/>
    </row>
    <row r="762" spans="3:24">
      <c r="C762" s="942"/>
      <c r="D762" s="943"/>
      <c r="E762" s="886"/>
      <c r="F762" s="886"/>
      <c r="G762" s="886"/>
      <c r="H762" s="886"/>
      <c r="I762" s="886"/>
      <c r="J762" s="886"/>
      <c r="K762" s="886"/>
      <c r="L762" s="886"/>
      <c r="M762" s="886"/>
      <c r="N762" s="886"/>
      <c r="O762" s="886"/>
      <c r="P762" s="886"/>
      <c r="Q762" s="886"/>
      <c r="R762" s="886"/>
      <c r="S762" s="886"/>
      <c r="T762" s="886"/>
      <c r="U762" s="886"/>
      <c r="V762" s="886"/>
      <c r="W762" s="886"/>
      <c r="X762" s="886"/>
    </row>
    <row r="763" spans="3:24">
      <c r="C763" s="942"/>
      <c r="D763" s="943"/>
      <c r="E763" s="886"/>
      <c r="F763" s="886"/>
      <c r="G763" s="886"/>
      <c r="H763" s="886"/>
      <c r="I763" s="886"/>
      <c r="J763" s="886"/>
      <c r="K763" s="886"/>
      <c r="L763" s="886"/>
      <c r="M763" s="886"/>
      <c r="N763" s="886"/>
      <c r="O763" s="886"/>
      <c r="P763" s="886"/>
      <c r="Q763" s="886"/>
      <c r="R763" s="886"/>
      <c r="S763" s="886"/>
      <c r="T763" s="886"/>
      <c r="U763" s="886"/>
      <c r="V763" s="886"/>
      <c r="W763" s="886"/>
      <c r="X763" s="886"/>
    </row>
    <row r="764" spans="3:24">
      <c r="C764" s="942"/>
      <c r="D764" s="943"/>
      <c r="E764" s="886"/>
      <c r="F764" s="886"/>
      <c r="G764" s="886"/>
      <c r="H764" s="886"/>
      <c r="I764" s="886"/>
      <c r="J764" s="886"/>
      <c r="K764" s="886"/>
      <c r="L764" s="886"/>
      <c r="M764" s="886"/>
      <c r="N764" s="886"/>
      <c r="O764" s="886"/>
      <c r="P764" s="886"/>
      <c r="Q764" s="886"/>
      <c r="R764" s="886"/>
      <c r="S764" s="886"/>
      <c r="T764" s="886"/>
      <c r="U764" s="886"/>
      <c r="V764" s="886"/>
      <c r="W764" s="886"/>
      <c r="X764" s="886"/>
    </row>
    <row r="765" spans="3:24">
      <c r="C765" s="942"/>
      <c r="D765" s="943"/>
      <c r="E765" s="886"/>
      <c r="F765" s="886"/>
      <c r="G765" s="886"/>
      <c r="H765" s="886"/>
      <c r="I765" s="886"/>
      <c r="J765" s="886"/>
      <c r="K765" s="886"/>
      <c r="L765" s="886"/>
      <c r="M765" s="886"/>
      <c r="N765" s="886"/>
      <c r="O765" s="886"/>
      <c r="P765" s="886"/>
      <c r="Q765" s="886"/>
      <c r="R765" s="886"/>
      <c r="S765" s="886"/>
      <c r="T765" s="886"/>
      <c r="U765" s="886"/>
      <c r="V765" s="886"/>
      <c r="W765" s="886"/>
      <c r="X765" s="886"/>
    </row>
    <row r="766" spans="3:24">
      <c r="C766" s="942"/>
      <c r="D766" s="943"/>
      <c r="E766" s="886"/>
      <c r="F766" s="886"/>
      <c r="G766" s="886"/>
      <c r="H766" s="886"/>
      <c r="I766" s="886"/>
      <c r="J766" s="886"/>
      <c r="K766" s="886"/>
      <c r="L766" s="886"/>
      <c r="M766" s="886"/>
      <c r="N766" s="886"/>
      <c r="O766" s="886"/>
      <c r="P766" s="886"/>
      <c r="Q766" s="886"/>
      <c r="R766" s="886"/>
      <c r="S766" s="886"/>
      <c r="T766" s="886"/>
      <c r="U766" s="886"/>
      <c r="V766" s="886"/>
      <c r="W766" s="886"/>
      <c r="X766" s="886"/>
    </row>
    <row r="767" spans="3:24">
      <c r="C767" s="942"/>
      <c r="D767" s="943"/>
      <c r="E767" s="886"/>
      <c r="F767" s="886"/>
      <c r="G767" s="886"/>
      <c r="H767" s="886"/>
      <c r="I767" s="886"/>
      <c r="J767" s="886"/>
      <c r="K767" s="886"/>
      <c r="L767" s="886"/>
      <c r="M767" s="886"/>
      <c r="N767" s="886"/>
      <c r="O767" s="886"/>
      <c r="P767" s="886"/>
      <c r="Q767" s="886"/>
      <c r="R767" s="886"/>
      <c r="S767" s="886"/>
      <c r="T767" s="886"/>
      <c r="U767" s="886"/>
      <c r="V767" s="886"/>
      <c r="W767" s="886"/>
      <c r="X767" s="886"/>
    </row>
    <row r="768" spans="3:24">
      <c r="C768" s="942"/>
      <c r="D768" s="943"/>
      <c r="E768" s="886"/>
      <c r="F768" s="886"/>
      <c r="G768" s="886"/>
      <c r="H768" s="886"/>
      <c r="I768" s="886"/>
      <c r="J768" s="886"/>
      <c r="K768" s="886"/>
      <c r="L768" s="886"/>
      <c r="M768" s="886"/>
      <c r="N768" s="886"/>
      <c r="O768" s="886"/>
      <c r="P768" s="886"/>
      <c r="Q768" s="886"/>
      <c r="R768" s="886"/>
      <c r="S768" s="886"/>
      <c r="T768" s="886"/>
      <c r="U768" s="886"/>
      <c r="V768" s="886"/>
      <c r="W768" s="886"/>
      <c r="X768" s="886"/>
    </row>
    <row r="769" spans="3:24">
      <c r="C769" s="942"/>
      <c r="D769" s="943"/>
      <c r="E769" s="886"/>
      <c r="F769" s="886"/>
      <c r="G769" s="886"/>
      <c r="H769" s="886"/>
      <c r="I769" s="886"/>
      <c r="J769" s="886"/>
      <c r="K769" s="886"/>
      <c r="L769" s="886"/>
      <c r="M769" s="886"/>
      <c r="N769" s="886"/>
      <c r="O769" s="886"/>
      <c r="P769" s="886"/>
      <c r="Q769" s="886"/>
      <c r="R769" s="886"/>
      <c r="S769" s="886"/>
      <c r="T769" s="886"/>
      <c r="U769" s="886"/>
      <c r="V769" s="886"/>
      <c r="W769" s="886"/>
      <c r="X769" s="886"/>
    </row>
    <row r="770" spans="3:24">
      <c r="C770" s="942"/>
      <c r="D770" s="943"/>
      <c r="E770" s="886"/>
      <c r="F770" s="886"/>
      <c r="G770" s="886"/>
      <c r="H770" s="886"/>
      <c r="I770" s="886"/>
      <c r="J770" s="886"/>
      <c r="K770" s="886"/>
      <c r="L770" s="886"/>
      <c r="M770" s="886"/>
      <c r="N770" s="886"/>
      <c r="O770" s="886"/>
      <c r="P770" s="886"/>
      <c r="Q770" s="886"/>
      <c r="R770" s="886"/>
      <c r="S770" s="886"/>
      <c r="T770" s="886"/>
      <c r="U770" s="886"/>
      <c r="V770" s="886"/>
      <c r="W770" s="886"/>
      <c r="X770" s="886"/>
    </row>
    <row r="771" spans="3:24">
      <c r="C771" s="942"/>
      <c r="D771" s="943"/>
      <c r="E771" s="886"/>
      <c r="F771" s="886"/>
      <c r="G771" s="886"/>
      <c r="H771" s="886"/>
      <c r="I771" s="886"/>
      <c r="J771" s="886"/>
      <c r="K771" s="886"/>
      <c r="L771" s="886"/>
      <c r="M771" s="886"/>
      <c r="N771" s="886"/>
      <c r="O771" s="886"/>
      <c r="P771" s="886"/>
      <c r="Q771" s="886"/>
      <c r="R771" s="886"/>
      <c r="S771" s="886"/>
      <c r="T771" s="886"/>
      <c r="U771" s="886"/>
      <c r="V771" s="886"/>
      <c r="W771" s="886"/>
      <c r="X771" s="886"/>
    </row>
    <row r="772" spans="3:24">
      <c r="C772" s="942"/>
      <c r="D772" s="943"/>
      <c r="E772" s="886"/>
      <c r="F772" s="886"/>
      <c r="G772" s="886"/>
      <c r="H772" s="886"/>
      <c r="I772" s="886"/>
      <c r="J772" s="886"/>
      <c r="K772" s="886"/>
      <c r="L772" s="886"/>
      <c r="M772" s="886"/>
      <c r="N772" s="886"/>
      <c r="O772" s="886"/>
      <c r="P772" s="886"/>
      <c r="Q772" s="886"/>
      <c r="R772" s="886"/>
      <c r="S772" s="886"/>
      <c r="T772" s="886"/>
      <c r="U772" s="886"/>
      <c r="V772" s="886"/>
      <c r="W772" s="886"/>
      <c r="X772" s="886"/>
    </row>
    <row r="773" spans="3:24">
      <c r="C773" s="942"/>
      <c r="D773" s="943"/>
      <c r="E773" s="886"/>
      <c r="F773" s="886"/>
      <c r="G773" s="886"/>
      <c r="H773" s="886"/>
      <c r="I773" s="886"/>
      <c r="J773" s="886"/>
      <c r="K773" s="886"/>
      <c r="L773" s="886"/>
      <c r="M773" s="886"/>
      <c r="N773" s="886"/>
      <c r="O773" s="886"/>
      <c r="P773" s="886"/>
      <c r="Q773" s="886"/>
      <c r="R773" s="886"/>
      <c r="S773" s="886"/>
      <c r="T773" s="886"/>
      <c r="U773" s="886"/>
      <c r="V773" s="886"/>
      <c r="W773" s="886"/>
      <c r="X773" s="886"/>
    </row>
    <row r="774" spans="3:24">
      <c r="C774" s="942"/>
      <c r="D774" s="943"/>
      <c r="E774" s="886"/>
      <c r="F774" s="886"/>
      <c r="G774" s="886"/>
      <c r="H774" s="886"/>
      <c r="I774" s="886"/>
      <c r="J774" s="886"/>
      <c r="K774" s="886"/>
      <c r="L774" s="886"/>
      <c r="M774" s="886"/>
      <c r="N774" s="886"/>
      <c r="O774" s="886"/>
      <c r="P774" s="886"/>
      <c r="Q774" s="886"/>
      <c r="R774" s="886"/>
      <c r="S774" s="886"/>
      <c r="T774" s="886"/>
      <c r="U774" s="886"/>
      <c r="V774" s="886"/>
      <c r="W774" s="886"/>
      <c r="X774" s="886"/>
    </row>
    <row r="775" spans="3:24">
      <c r="C775" s="942"/>
      <c r="D775" s="943"/>
      <c r="E775" s="886"/>
      <c r="F775" s="886"/>
      <c r="G775" s="886"/>
      <c r="H775" s="886"/>
      <c r="I775" s="886"/>
      <c r="J775" s="886"/>
      <c r="K775" s="886"/>
      <c r="L775" s="886"/>
      <c r="M775" s="886"/>
      <c r="N775" s="886"/>
      <c r="O775" s="886"/>
      <c r="P775" s="886"/>
      <c r="Q775" s="886"/>
      <c r="R775" s="886"/>
      <c r="S775" s="886"/>
      <c r="T775" s="886"/>
      <c r="U775" s="886"/>
      <c r="V775" s="886"/>
      <c r="W775" s="886"/>
      <c r="X775" s="886"/>
    </row>
    <row r="776" spans="3:24">
      <c r="C776" s="942"/>
      <c r="D776" s="943"/>
      <c r="E776" s="886"/>
      <c r="F776" s="886"/>
      <c r="G776" s="886"/>
      <c r="H776" s="886"/>
      <c r="I776" s="886"/>
      <c r="J776" s="886"/>
      <c r="K776" s="886"/>
      <c r="L776" s="886"/>
      <c r="M776" s="886"/>
      <c r="N776" s="886"/>
      <c r="O776" s="886"/>
      <c r="P776" s="886"/>
      <c r="Q776" s="886"/>
      <c r="R776" s="886"/>
      <c r="S776" s="886"/>
      <c r="T776" s="886"/>
      <c r="U776" s="886"/>
      <c r="V776" s="886"/>
      <c r="W776" s="886"/>
      <c r="X776" s="886"/>
    </row>
    <row r="777" spans="3:24">
      <c r="C777" s="942"/>
      <c r="D777" s="943"/>
      <c r="E777" s="886"/>
      <c r="F777" s="886"/>
      <c r="G777" s="886"/>
      <c r="H777" s="886"/>
      <c r="I777" s="886"/>
      <c r="J777" s="886"/>
      <c r="K777" s="886"/>
      <c r="L777" s="886"/>
      <c r="M777" s="886"/>
      <c r="N777" s="886"/>
      <c r="O777" s="886"/>
      <c r="P777" s="886"/>
      <c r="Q777" s="886"/>
      <c r="R777" s="886"/>
      <c r="S777" s="886"/>
      <c r="T777" s="886"/>
      <c r="U777" s="886"/>
      <c r="V777" s="886"/>
      <c r="W777" s="886"/>
      <c r="X777" s="886"/>
    </row>
    <row r="778" spans="3:24">
      <c r="C778" s="942"/>
      <c r="D778" s="943"/>
      <c r="E778" s="886"/>
      <c r="F778" s="886"/>
      <c r="G778" s="886"/>
      <c r="H778" s="886"/>
      <c r="I778" s="886"/>
      <c r="J778" s="886"/>
      <c r="K778" s="886"/>
      <c r="L778" s="886"/>
      <c r="M778" s="886"/>
      <c r="N778" s="886"/>
      <c r="O778" s="886"/>
      <c r="P778" s="886"/>
      <c r="Q778" s="886"/>
      <c r="R778" s="886"/>
      <c r="S778" s="886"/>
      <c r="T778" s="886"/>
      <c r="U778" s="886"/>
      <c r="V778" s="886"/>
      <c r="W778" s="886"/>
      <c r="X778" s="886"/>
    </row>
    <row r="779" spans="3:24">
      <c r="C779" s="942"/>
      <c r="D779" s="943"/>
      <c r="E779" s="886"/>
      <c r="F779" s="886"/>
      <c r="G779" s="886"/>
      <c r="H779" s="886"/>
      <c r="I779" s="886"/>
      <c r="J779" s="886"/>
      <c r="K779" s="886"/>
      <c r="L779" s="886"/>
      <c r="M779" s="886"/>
      <c r="N779" s="886"/>
      <c r="O779" s="886"/>
      <c r="P779" s="886"/>
      <c r="Q779" s="886"/>
      <c r="R779" s="886"/>
      <c r="S779" s="886"/>
      <c r="T779" s="886"/>
      <c r="U779" s="886"/>
      <c r="V779" s="886"/>
      <c r="W779" s="886"/>
      <c r="X779" s="886"/>
    </row>
    <row r="780" spans="3:24">
      <c r="C780" s="942"/>
      <c r="D780" s="943"/>
      <c r="E780" s="886"/>
      <c r="F780" s="886"/>
      <c r="G780" s="886"/>
      <c r="H780" s="886"/>
      <c r="I780" s="886"/>
      <c r="J780" s="886"/>
      <c r="K780" s="886"/>
      <c r="L780" s="886"/>
      <c r="M780" s="886"/>
      <c r="N780" s="886"/>
      <c r="O780" s="886"/>
      <c r="P780" s="886"/>
      <c r="Q780" s="886"/>
      <c r="R780" s="886"/>
      <c r="S780" s="886"/>
      <c r="T780" s="886"/>
      <c r="U780" s="886"/>
      <c r="V780" s="886"/>
      <c r="W780" s="886"/>
      <c r="X780" s="886"/>
    </row>
    <row r="781" spans="3:24">
      <c r="C781" s="942"/>
      <c r="D781" s="943"/>
      <c r="E781" s="886"/>
      <c r="F781" s="886"/>
      <c r="G781" s="886"/>
      <c r="H781" s="886"/>
      <c r="I781" s="886"/>
      <c r="J781" s="886"/>
      <c r="K781" s="886"/>
      <c r="L781" s="886"/>
      <c r="M781" s="886"/>
      <c r="N781" s="886"/>
      <c r="O781" s="886"/>
      <c r="P781" s="886"/>
      <c r="Q781" s="886"/>
      <c r="R781" s="886"/>
      <c r="S781" s="886"/>
      <c r="T781" s="886"/>
      <c r="U781" s="886"/>
      <c r="V781" s="886"/>
      <c r="W781" s="886"/>
      <c r="X781" s="886"/>
    </row>
    <row r="782" spans="3:24">
      <c r="C782" s="942"/>
      <c r="D782" s="943"/>
      <c r="E782" s="886"/>
      <c r="F782" s="886"/>
      <c r="G782" s="886"/>
      <c r="H782" s="886"/>
      <c r="I782" s="886"/>
      <c r="J782" s="886"/>
      <c r="K782" s="886"/>
      <c r="L782" s="886"/>
      <c r="M782" s="886"/>
      <c r="N782" s="886"/>
      <c r="O782" s="886"/>
      <c r="P782" s="886"/>
      <c r="Q782" s="886"/>
      <c r="R782" s="886"/>
      <c r="S782" s="886"/>
      <c r="T782" s="886"/>
      <c r="U782" s="886"/>
      <c r="V782" s="886"/>
      <c r="W782" s="886"/>
      <c r="X782" s="886"/>
    </row>
    <row r="783" spans="3:24">
      <c r="C783" s="942"/>
      <c r="D783" s="943"/>
      <c r="E783" s="886"/>
      <c r="F783" s="886"/>
      <c r="G783" s="886"/>
      <c r="H783" s="886"/>
      <c r="I783" s="886"/>
      <c r="J783" s="886"/>
      <c r="K783" s="886"/>
      <c r="L783" s="886"/>
      <c r="M783" s="886"/>
      <c r="N783" s="886"/>
      <c r="O783" s="886"/>
      <c r="P783" s="886"/>
      <c r="Q783" s="886"/>
      <c r="R783" s="886"/>
      <c r="S783" s="886"/>
      <c r="T783" s="886"/>
      <c r="U783" s="886"/>
      <c r="V783" s="886"/>
      <c r="W783" s="886"/>
      <c r="X783" s="886"/>
    </row>
    <row r="784" spans="3:24">
      <c r="C784" s="942"/>
      <c r="D784" s="943"/>
      <c r="E784" s="886"/>
      <c r="F784" s="886"/>
      <c r="G784" s="886"/>
      <c r="H784" s="886"/>
      <c r="I784" s="886"/>
      <c r="J784" s="886"/>
      <c r="K784" s="886"/>
      <c r="L784" s="886"/>
      <c r="M784" s="886"/>
      <c r="N784" s="886"/>
      <c r="O784" s="886"/>
      <c r="P784" s="886"/>
      <c r="Q784" s="886"/>
      <c r="R784" s="886"/>
      <c r="S784" s="886"/>
      <c r="T784" s="886"/>
      <c r="U784" s="886"/>
      <c r="V784" s="886"/>
      <c r="W784" s="886"/>
      <c r="X784" s="886"/>
    </row>
    <row r="785" spans="3:24">
      <c r="C785" s="942"/>
      <c r="D785" s="943"/>
      <c r="E785" s="886"/>
      <c r="F785" s="886"/>
      <c r="G785" s="886"/>
      <c r="H785" s="886"/>
      <c r="I785" s="886"/>
      <c r="J785" s="886"/>
      <c r="K785" s="886"/>
      <c r="L785" s="886"/>
      <c r="M785" s="886"/>
      <c r="N785" s="886"/>
      <c r="O785" s="886"/>
      <c r="P785" s="886"/>
      <c r="Q785" s="886"/>
      <c r="R785" s="886"/>
      <c r="S785" s="886"/>
      <c r="T785" s="886"/>
      <c r="U785" s="886"/>
      <c r="V785" s="886"/>
      <c r="W785" s="886"/>
      <c r="X785" s="886"/>
    </row>
    <row r="786" spans="3:24">
      <c r="C786" s="942"/>
      <c r="D786" s="943"/>
      <c r="E786" s="886"/>
      <c r="F786" s="886"/>
      <c r="G786" s="886"/>
      <c r="H786" s="886"/>
      <c r="I786" s="886"/>
      <c r="J786" s="886"/>
      <c r="K786" s="886"/>
      <c r="L786" s="886"/>
      <c r="M786" s="886"/>
      <c r="N786" s="886"/>
      <c r="O786" s="886"/>
      <c r="P786" s="886"/>
      <c r="Q786" s="886"/>
      <c r="R786" s="886"/>
      <c r="S786" s="886"/>
      <c r="T786" s="886"/>
      <c r="U786" s="886"/>
      <c r="V786" s="886"/>
      <c r="W786" s="886"/>
      <c r="X786" s="886"/>
    </row>
    <row r="787" spans="3:24">
      <c r="C787" s="942"/>
      <c r="D787" s="943"/>
      <c r="E787" s="886"/>
      <c r="F787" s="886"/>
      <c r="G787" s="886"/>
      <c r="H787" s="886"/>
      <c r="I787" s="886"/>
      <c r="J787" s="886"/>
      <c r="K787" s="886"/>
      <c r="L787" s="886"/>
      <c r="M787" s="886"/>
      <c r="N787" s="886"/>
      <c r="O787" s="886"/>
      <c r="P787" s="886"/>
      <c r="Q787" s="886"/>
      <c r="R787" s="886"/>
      <c r="S787" s="886"/>
      <c r="T787" s="886"/>
      <c r="U787" s="886"/>
      <c r="V787" s="886"/>
      <c r="W787" s="886"/>
      <c r="X787" s="886"/>
    </row>
    <row r="788" spans="3:24">
      <c r="C788" s="942"/>
      <c r="D788" s="943"/>
      <c r="E788" s="886"/>
      <c r="F788" s="886"/>
      <c r="G788" s="886"/>
      <c r="H788" s="886"/>
      <c r="I788" s="886"/>
      <c r="J788" s="886"/>
      <c r="K788" s="886"/>
      <c r="L788" s="886"/>
      <c r="M788" s="886"/>
      <c r="N788" s="886"/>
      <c r="O788" s="886"/>
      <c r="P788" s="886"/>
      <c r="Q788" s="886"/>
      <c r="R788" s="886"/>
      <c r="S788" s="886"/>
      <c r="T788" s="886"/>
      <c r="U788" s="886"/>
      <c r="V788" s="886"/>
      <c r="W788" s="886"/>
      <c r="X788" s="886"/>
    </row>
    <row r="789" spans="3:24">
      <c r="C789" s="942"/>
      <c r="D789" s="943"/>
      <c r="E789" s="886"/>
      <c r="F789" s="886"/>
      <c r="G789" s="886"/>
      <c r="H789" s="886"/>
      <c r="I789" s="886"/>
      <c r="J789" s="886"/>
      <c r="K789" s="886"/>
      <c r="L789" s="886"/>
      <c r="M789" s="886"/>
      <c r="N789" s="886"/>
      <c r="O789" s="886"/>
      <c r="P789" s="886"/>
      <c r="Q789" s="886"/>
      <c r="R789" s="886"/>
      <c r="S789" s="886"/>
      <c r="T789" s="886"/>
      <c r="U789" s="886"/>
      <c r="V789" s="886"/>
      <c r="W789" s="886"/>
      <c r="X789" s="886"/>
    </row>
    <row r="790" spans="3:24">
      <c r="C790" s="942"/>
      <c r="D790" s="943"/>
      <c r="E790" s="886"/>
      <c r="F790" s="886"/>
      <c r="G790" s="886"/>
      <c r="H790" s="886"/>
      <c r="I790" s="886"/>
      <c r="J790" s="886"/>
      <c r="K790" s="886"/>
      <c r="L790" s="886"/>
      <c r="M790" s="886"/>
      <c r="N790" s="886"/>
      <c r="O790" s="886"/>
      <c r="P790" s="886"/>
      <c r="Q790" s="886"/>
      <c r="R790" s="886"/>
      <c r="S790" s="886"/>
      <c r="T790" s="886"/>
      <c r="U790" s="886"/>
      <c r="V790" s="886"/>
      <c r="W790" s="886"/>
      <c r="X790" s="886"/>
    </row>
    <row r="791" spans="3:24">
      <c r="C791" s="942"/>
      <c r="D791" s="943"/>
      <c r="E791" s="886"/>
      <c r="F791" s="886"/>
      <c r="G791" s="886"/>
      <c r="H791" s="886"/>
      <c r="I791" s="886"/>
      <c r="J791" s="886"/>
      <c r="K791" s="886"/>
      <c r="L791" s="886"/>
      <c r="M791" s="886"/>
      <c r="N791" s="886"/>
      <c r="O791" s="886"/>
      <c r="P791" s="886"/>
      <c r="Q791" s="886"/>
      <c r="R791" s="886"/>
      <c r="S791" s="886"/>
      <c r="T791" s="886"/>
      <c r="U791" s="886"/>
      <c r="V791" s="886"/>
      <c r="W791" s="886"/>
      <c r="X791" s="886"/>
    </row>
    <row r="792" spans="3:24">
      <c r="C792" s="942"/>
      <c r="D792" s="943"/>
      <c r="E792" s="886"/>
      <c r="F792" s="886"/>
      <c r="G792" s="886"/>
      <c r="H792" s="886"/>
      <c r="I792" s="886"/>
      <c r="J792" s="886"/>
      <c r="K792" s="886"/>
      <c r="L792" s="886"/>
      <c r="M792" s="886"/>
      <c r="N792" s="886"/>
      <c r="O792" s="886"/>
      <c r="P792" s="886"/>
      <c r="Q792" s="886"/>
      <c r="R792" s="886"/>
      <c r="S792" s="886"/>
      <c r="T792" s="886"/>
      <c r="U792" s="886"/>
      <c r="V792" s="886"/>
      <c r="W792" s="886"/>
      <c r="X792" s="886"/>
    </row>
    <row r="793" spans="3:24">
      <c r="C793" s="942"/>
      <c r="D793" s="943"/>
      <c r="E793" s="886"/>
      <c r="F793" s="886"/>
      <c r="G793" s="886"/>
      <c r="H793" s="886"/>
      <c r="I793" s="886"/>
      <c r="J793" s="886"/>
      <c r="K793" s="886"/>
      <c r="L793" s="886"/>
      <c r="M793" s="886"/>
      <c r="N793" s="886"/>
      <c r="O793" s="886"/>
      <c r="P793" s="886"/>
      <c r="Q793" s="886"/>
      <c r="R793" s="886"/>
      <c r="S793" s="886"/>
      <c r="T793" s="886"/>
      <c r="U793" s="886"/>
      <c r="V793" s="886"/>
      <c r="W793" s="886"/>
      <c r="X793" s="886"/>
    </row>
    <row r="794" spans="3:24">
      <c r="C794" s="942"/>
      <c r="D794" s="943"/>
      <c r="E794" s="886"/>
      <c r="F794" s="886"/>
      <c r="G794" s="886"/>
      <c r="H794" s="886"/>
      <c r="I794" s="886"/>
      <c r="J794" s="886"/>
      <c r="K794" s="886"/>
      <c r="L794" s="886"/>
      <c r="M794" s="886"/>
      <c r="N794" s="886"/>
      <c r="O794" s="886"/>
      <c r="P794" s="886"/>
      <c r="Q794" s="886"/>
      <c r="R794" s="886"/>
      <c r="S794" s="886"/>
      <c r="T794" s="886"/>
      <c r="U794" s="886"/>
      <c r="V794" s="886"/>
      <c r="W794" s="886"/>
      <c r="X794" s="886"/>
    </row>
    <row r="795" spans="3:24">
      <c r="C795" s="942"/>
      <c r="D795" s="943"/>
      <c r="E795" s="886"/>
      <c r="F795" s="886"/>
      <c r="G795" s="886"/>
      <c r="H795" s="886"/>
      <c r="I795" s="886"/>
      <c r="J795" s="886"/>
      <c r="K795" s="886"/>
      <c r="L795" s="886"/>
      <c r="M795" s="886"/>
      <c r="N795" s="886"/>
      <c r="O795" s="886"/>
      <c r="P795" s="886"/>
      <c r="Q795" s="886"/>
      <c r="R795" s="886"/>
      <c r="S795" s="886"/>
      <c r="T795" s="886"/>
      <c r="U795" s="886"/>
      <c r="V795" s="886"/>
      <c r="W795" s="886"/>
      <c r="X795" s="886"/>
    </row>
    <row r="796" spans="3:24">
      <c r="C796" s="942"/>
      <c r="D796" s="943"/>
      <c r="E796" s="886"/>
      <c r="F796" s="886"/>
      <c r="G796" s="886"/>
      <c r="H796" s="886"/>
      <c r="I796" s="886"/>
      <c r="J796" s="886"/>
      <c r="K796" s="886"/>
      <c r="L796" s="886"/>
      <c r="M796" s="886"/>
      <c r="N796" s="886"/>
      <c r="O796" s="886"/>
      <c r="P796" s="886"/>
      <c r="Q796" s="886"/>
      <c r="R796" s="886"/>
      <c r="S796" s="886"/>
      <c r="T796" s="886"/>
      <c r="U796" s="886"/>
      <c r="V796" s="886"/>
      <c r="W796" s="886"/>
      <c r="X796" s="886"/>
    </row>
    <row r="797" spans="3:24">
      <c r="C797" s="942"/>
      <c r="D797" s="943"/>
      <c r="E797" s="886"/>
      <c r="F797" s="886"/>
      <c r="G797" s="886"/>
      <c r="H797" s="886"/>
      <c r="I797" s="886"/>
      <c r="J797" s="886"/>
      <c r="K797" s="886"/>
      <c r="L797" s="886"/>
      <c r="M797" s="886"/>
      <c r="N797" s="886"/>
      <c r="O797" s="886"/>
      <c r="P797" s="886"/>
      <c r="Q797" s="886"/>
      <c r="R797" s="886"/>
      <c r="S797" s="886"/>
      <c r="T797" s="886"/>
      <c r="U797" s="886"/>
      <c r="V797" s="886"/>
      <c r="W797" s="886"/>
      <c r="X797" s="886"/>
    </row>
    <row r="798" spans="3:24">
      <c r="C798" s="942"/>
      <c r="D798" s="943"/>
      <c r="E798" s="886"/>
      <c r="F798" s="886"/>
      <c r="G798" s="886"/>
      <c r="H798" s="886"/>
      <c r="I798" s="886"/>
      <c r="J798" s="886"/>
      <c r="K798" s="886"/>
      <c r="L798" s="886"/>
      <c r="M798" s="886"/>
      <c r="N798" s="886"/>
      <c r="O798" s="886"/>
      <c r="P798" s="886"/>
      <c r="Q798" s="886"/>
      <c r="R798" s="886"/>
      <c r="S798" s="886"/>
      <c r="T798" s="886"/>
      <c r="U798" s="886"/>
      <c r="V798" s="886"/>
      <c r="W798" s="886"/>
      <c r="X798" s="886"/>
    </row>
    <row r="799" spans="3:24">
      <c r="C799" s="942"/>
      <c r="D799" s="943"/>
      <c r="E799" s="886"/>
      <c r="F799" s="886"/>
      <c r="G799" s="886"/>
      <c r="H799" s="886"/>
      <c r="I799" s="886"/>
      <c r="J799" s="886"/>
      <c r="K799" s="886"/>
      <c r="L799" s="886"/>
      <c r="M799" s="886"/>
      <c r="N799" s="886"/>
      <c r="O799" s="886"/>
      <c r="P799" s="886"/>
      <c r="Q799" s="886"/>
      <c r="R799" s="886"/>
      <c r="S799" s="886"/>
      <c r="T799" s="886"/>
      <c r="U799" s="886"/>
      <c r="V799" s="886"/>
      <c r="W799" s="886"/>
      <c r="X799" s="886"/>
    </row>
    <row r="800" spans="3:24">
      <c r="C800" s="942"/>
      <c r="D800" s="943"/>
      <c r="E800" s="886"/>
      <c r="F800" s="886"/>
      <c r="G800" s="886"/>
      <c r="H800" s="886"/>
      <c r="I800" s="886"/>
      <c r="J800" s="886"/>
      <c r="K800" s="886"/>
      <c r="L800" s="886"/>
      <c r="M800" s="886"/>
      <c r="N800" s="886"/>
      <c r="O800" s="886"/>
      <c r="P800" s="886"/>
      <c r="Q800" s="886"/>
      <c r="R800" s="886"/>
      <c r="S800" s="886"/>
      <c r="T800" s="886"/>
      <c r="U800" s="886"/>
      <c r="V800" s="886"/>
      <c r="W800" s="886"/>
      <c r="X800" s="886"/>
    </row>
    <row r="801" spans="3:24">
      <c r="C801" s="942"/>
      <c r="D801" s="943"/>
      <c r="E801" s="886"/>
      <c r="F801" s="886"/>
      <c r="G801" s="886"/>
      <c r="H801" s="886"/>
      <c r="I801" s="886"/>
      <c r="J801" s="886"/>
      <c r="K801" s="886"/>
      <c r="L801" s="886"/>
      <c r="M801" s="886"/>
      <c r="N801" s="886"/>
      <c r="O801" s="886"/>
      <c r="P801" s="886"/>
      <c r="Q801" s="886"/>
      <c r="R801" s="886"/>
      <c r="S801" s="886"/>
      <c r="T801" s="886"/>
      <c r="U801" s="886"/>
      <c r="V801" s="886"/>
      <c r="W801" s="886"/>
      <c r="X801" s="886"/>
    </row>
    <row r="802" spans="3:24">
      <c r="C802" s="942"/>
      <c r="D802" s="943"/>
      <c r="E802" s="886"/>
      <c r="F802" s="886"/>
      <c r="G802" s="886"/>
      <c r="H802" s="886"/>
      <c r="I802" s="886"/>
      <c r="J802" s="886"/>
      <c r="K802" s="886"/>
      <c r="L802" s="886"/>
      <c r="M802" s="886"/>
      <c r="N802" s="886"/>
      <c r="O802" s="886"/>
      <c r="P802" s="886"/>
      <c r="Q802" s="886"/>
      <c r="R802" s="886"/>
      <c r="S802" s="886"/>
      <c r="T802" s="886"/>
      <c r="U802" s="886"/>
      <c r="V802" s="886"/>
      <c r="W802" s="886"/>
      <c r="X802" s="886"/>
    </row>
    <row r="803" spans="3:24">
      <c r="C803" s="942"/>
      <c r="D803" s="943"/>
      <c r="E803" s="886"/>
      <c r="F803" s="886"/>
      <c r="G803" s="886"/>
      <c r="H803" s="886"/>
      <c r="I803" s="886"/>
      <c r="J803" s="886"/>
      <c r="K803" s="886"/>
      <c r="L803" s="886"/>
      <c r="M803" s="886"/>
      <c r="N803" s="886"/>
      <c r="O803" s="886"/>
      <c r="P803" s="886"/>
      <c r="Q803" s="886"/>
      <c r="R803" s="886"/>
      <c r="S803" s="886"/>
      <c r="T803" s="886"/>
      <c r="U803" s="886"/>
      <c r="V803" s="886"/>
      <c r="W803" s="886"/>
      <c r="X803" s="886"/>
    </row>
    <row r="804" spans="3:24">
      <c r="C804" s="942"/>
      <c r="D804" s="943"/>
      <c r="E804" s="886"/>
      <c r="F804" s="886"/>
      <c r="G804" s="886"/>
      <c r="H804" s="886"/>
      <c r="I804" s="886"/>
      <c r="J804" s="886"/>
      <c r="K804" s="886"/>
      <c r="L804" s="886"/>
      <c r="M804" s="886"/>
      <c r="N804" s="886"/>
      <c r="O804" s="886"/>
      <c r="P804" s="886"/>
      <c r="Q804" s="886"/>
      <c r="R804" s="886"/>
      <c r="S804" s="886"/>
      <c r="T804" s="886"/>
      <c r="U804" s="886"/>
      <c r="V804" s="886"/>
      <c r="W804" s="886"/>
      <c r="X804" s="886"/>
    </row>
    <row r="805" spans="3:24">
      <c r="C805" s="942"/>
      <c r="D805" s="943"/>
      <c r="E805" s="886"/>
      <c r="F805" s="886"/>
      <c r="G805" s="886"/>
      <c r="H805" s="886"/>
      <c r="I805" s="886"/>
      <c r="J805" s="886"/>
      <c r="K805" s="886"/>
      <c r="L805" s="886"/>
      <c r="M805" s="886"/>
      <c r="N805" s="886"/>
      <c r="O805" s="886"/>
      <c r="P805" s="886"/>
      <c r="Q805" s="886"/>
      <c r="R805" s="886"/>
      <c r="S805" s="886"/>
      <c r="T805" s="886"/>
      <c r="U805" s="886"/>
      <c r="V805" s="886"/>
      <c r="W805" s="886"/>
      <c r="X805" s="886"/>
    </row>
    <row r="806" spans="3:24">
      <c r="C806" s="942"/>
      <c r="D806" s="943"/>
      <c r="E806" s="886"/>
      <c r="F806" s="886"/>
      <c r="G806" s="886"/>
      <c r="H806" s="886"/>
      <c r="I806" s="886"/>
      <c r="J806" s="886"/>
      <c r="K806" s="886"/>
      <c r="L806" s="886"/>
      <c r="M806" s="886"/>
      <c r="N806" s="886"/>
      <c r="O806" s="886"/>
      <c r="P806" s="886"/>
      <c r="Q806" s="886"/>
      <c r="R806" s="886"/>
      <c r="S806" s="886"/>
      <c r="T806" s="886"/>
      <c r="U806" s="886"/>
      <c r="V806" s="886"/>
      <c r="W806" s="886"/>
      <c r="X806" s="886"/>
    </row>
    <row r="807" spans="3:24">
      <c r="C807" s="942"/>
      <c r="D807" s="943"/>
      <c r="E807" s="886"/>
      <c r="F807" s="886"/>
      <c r="G807" s="886"/>
      <c r="H807" s="886"/>
      <c r="I807" s="886"/>
      <c r="J807" s="886"/>
      <c r="K807" s="886"/>
      <c r="L807" s="886"/>
      <c r="M807" s="886"/>
      <c r="N807" s="886"/>
      <c r="O807" s="886"/>
      <c r="P807" s="886"/>
      <c r="Q807" s="886"/>
      <c r="R807" s="886"/>
      <c r="S807" s="886"/>
      <c r="T807" s="886"/>
      <c r="U807" s="886"/>
      <c r="V807" s="886"/>
      <c r="W807" s="886"/>
      <c r="X807" s="886"/>
    </row>
    <row r="808" spans="3:24">
      <c r="C808" s="942"/>
      <c r="D808" s="943"/>
      <c r="E808" s="886"/>
      <c r="F808" s="886"/>
      <c r="G808" s="886"/>
      <c r="H808" s="886"/>
      <c r="I808" s="886"/>
      <c r="J808" s="886"/>
      <c r="K808" s="886"/>
      <c r="L808" s="886"/>
      <c r="M808" s="886"/>
      <c r="N808" s="886"/>
      <c r="O808" s="886"/>
      <c r="P808" s="886"/>
      <c r="Q808" s="886"/>
      <c r="R808" s="886"/>
      <c r="S808" s="886"/>
      <c r="T808" s="886"/>
      <c r="U808" s="886"/>
      <c r="V808" s="886"/>
      <c r="W808" s="886"/>
      <c r="X808" s="886"/>
    </row>
    <row r="809" spans="3:24">
      <c r="C809" s="942"/>
      <c r="D809" s="943"/>
      <c r="E809" s="886"/>
      <c r="F809" s="886"/>
      <c r="G809" s="886"/>
      <c r="H809" s="886"/>
      <c r="I809" s="886"/>
      <c r="J809" s="886"/>
      <c r="K809" s="886"/>
      <c r="L809" s="886"/>
      <c r="M809" s="886"/>
      <c r="N809" s="886"/>
      <c r="O809" s="886"/>
      <c r="P809" s="886"/>
      <c r="Q809" s="886"/>
      <c r="R809" s="886"/>
      <c r="S809" s="886"/>
      <c r="T809" s="886"/>
      <c r="U809" s="886"/>
      <c r="V809" s="886"/>
      <c r="W809" s="886"/>
      <c r="X809" s="886"/>
    </row>
    <row r="810" spans="3:24">
      <c r="C810" s="942"/>
      <c r="D810" s="943"/>
      <c r="E810" s="886"/>
      <c r="F810" s="886"/>
      <c r="G810" s="886"/>
      <c r="H810" s="886"/>
      <c r="I810" s="886"/>
      <c r="J810" s="886"/>
      <c r="K810" s="886"/>
      <c r="L810" s="886"/>
      <c r="M810" s="886"/>
      <c r="N810" s="886"/>
      <c r="O810" s="886"/>
      <c r="P810" s="886"/>
      <c r="Q810" s="886"/>
      <c r="R810" s="886"/>
      <c r="S810" s="886"/>
      <c r="T810" s="886"/>
      <c r="U810" s="886"/>
      <c r="V810" s="886"/>
      <c r="W810" s="886"/>
      <c r="X810" s="886"/>
    </row>
    <row r="811" spans="3:24">
      <c r="C811" s="942"/>
      <c r="D811" s="943"/>
      <c r="E811" s="886"/>
      <c r="F811" s="886"/>
      <c r="G811" s="886"/>
      <c r="H811" s="886"/>
      <c r="I811" s="886"/>
      <c r="J811" s="886"/>
      <c r="K811" s="886"/>
      <c r="L811" s="886"/>
      <c r="M811" s="886"/>
      <c r="N811" s="886"/>
      <c r="O811" s="886"/>
      <c r="P811" s="886"/>
      <c r="Q811" s="886"/>
      <c r="R811" s="886"/>
      <c r="S811" s="886"/>
      <c r="T811" s="886"/>
      <c r="U811" s="886"/>
      <c r="V811" s="886"/>
      <c r="W811" s="886"/>
      <c r="X811" s="886"/>
    </row>
    <row r="812" spans="3:24">
      <c r="C812" s="942"/>
      <c r="D812" s="943"/>
      <c r="E812" s="886"/>
      <c r="F812" s="886"/>
      <c r="G812" s="886"/>
      <c r="H812" s="886"/>
      <c r="I812" s="886"/>
      <c r="J812" s="886"/>
      <c r="K812" s="886"/>
      <c r="L812" s="886"/>
      <c r="M812" s="886"/>
      <c r="N812" s="886"/>
      <c r="O812" s="886"/>
      <c r="P812" s="886"/>
      <c r="Q812" s="886"/>
      <c r="R812" s="886"/>
      <c r="S812" s="886"/>
      <c r="T812" s="886"/>
      <c r="U812" s="886"/>
      <c r="V812" s="886"/>
      <c r="W812" s="886"/>
      <c r="X812" s="886"/>
    </row>
    <row r="813" spans="3:24">
      <c r="C813" s="942"/>
      <c r="D813" s="943"/>
      <c r="E813" s="886"/>
      <c r="F813" s="886"/>
      <c r="G813" s="886"/>
      <c r="H813" s="886"/>
      <c r="I813" s="886"/>
      <c r="J813" s="886"/>
      <c r="K813" s="886"/>
      <c r="L813" s="886"/>
      <c r="M813" s="886"/>
      <c r="N813" s="886"/>
      <c r="O813" s="886"/>
      <c r="P813" s="886"/>
      <c r="Q813" s="886"/>
      <c r="R813" s="886"/>
      <c r="S813" s="886"/>
      <c r="T813" s="886"/>
      <c r="U813" s="886"/>
      <c r="V813" s="886"/>
      <c r="W813" s="886"/>
      <c r="X813" s="886"/>
    </row>
    <row r="814" spans="3:24">
      <c r="C814" s="942"/>
      <c r="D814" s="943"/>
      <c r="E814" s="886"/>
      <c r="F814" s="886"/>
      <c r="G814" s="886"/>
      <c r="H814" s="886"/>
      <c r="I814" s="886"/>
      <c r="J814" s="886"/>
      <c r="K814" s="886"/>
      <c r="L814" s="886"/>
      <c r="M814" s="886"/>
      <c r="N814" s="886"/>
      <c r="O814" s="886"/>
      <c r="P814" s="886"/>
      <c r="Q814" s="886"/>
      <c r="R814" s="886"/>
      <c r="S814" s="886"/>
      <c r="T814" s="886"/>
      <c r="U814" s="886"/>
      <c r="V814" s="886"/>
      <c r="W814" s="886"/>
      <c r="X814" s="886"/>
    </row>
    <row r="815" spans="3:24">
      <c r="C815" s="942"/>
      <c r="D815" s="943"/>
      <c r="E815" s="886"/>
      <c r="F815" s="886"/>
      <c r="G815" s="886"/>
      <c r="H815" s="886"/>
      <c r="I815" s="886"/>
      <c r="J815" s="886"/>
      <c r="K815" s="886"/>
      <c r="L815" s="886"/>
      <c r="M815" s="886"/>
      <c r="N815" s="886"/>
      <c r="O815" s="886"/>
      <c r="P815" s="886"/>
      <c r="Q815" s="886"/>
      <c r="R815" s="886"/>
      <c r="S815" s="886"/>
      <c r="T815" s="886"/>
      <c r="U815" s="886"/>
      <c r="V815" s="886"/>
      <c r="W815" s="886"/>
      <c r="X815" s="886"/>
    </row>
    <row r="816" spans="3:24">
      <c r="C816" s="942"/>
      <c r="D816" s="943"/>
      <c r="E816" s="886"/>
      <c r="F816" s="886"/>
      <c r="G816" s="886"/>
      <c r="H816" s="886"/>
      <c r="I816" s="886"/>
      <c r="J816" s="886"/>
      <c r="K816" s="886"/>
      <c r="L816" s="886"/>
      <c r="M816" s="886"/>
      <c r="N816" s="886"/>
      <c r="O816" s="886"/>
      <c r="P816" s="886"/>
      <c r="Q816" s="886"/>
      <c r="R816" s="886"/>
      <c r="S816" s="886"/>
      <c r="T816" s="886"/>
      <c r="U816" s="886"/>
      <c r="V816" s="886"/>
      <c r="W816" s="886"/>
      <c r="X816" s="886"/>
    </row>
    <row r="817" spans="3:24">
      <c r="C817" s="942"/>
      <c r="D817" s="943"/>
      <c r="E817" s="886"/>
      <c r="F817" s="886"/>
      <c r="G817" s="886"/>
      <c r="H817" s="886"/>
      <c r="I817" s="886"/>
      <c r="J817" s="886"/>
      <c r="K817" s="886"/>
      <c r="L817" s="886"/>
      <c r="M817" s="886"/>
      <c r="N817" s="886"/>
      <c r="O817" s="886"/>
      <c r="P817" s="886"/>
      <c r="Q817" s="886"/>
      <c r="R817" s="886"/>
      <c r="S817" s="886"/>
      <c r="T817" s="886"/>
      <c r="U817" s="886"/>
      <c r="V817" s="886"/>
      <c r="W817" s="886"/>
      <c r="X817" s="886"/>
    </row>
    <row r="818" spans="3:24">
      <c r="C818" s="942"/>
      <c r="D818" s="943"/>
      <c r="E818" s="886"/>
      <c r="F818" s="886"/>
      <c r="G818" s="886"/>
      <c r="H818" s="886"/>
      <c r="I818" s="886"/>
      <c r="J818" s="886"/>
      <c r="K818" s="886"/>
      <c r="L818" s="886"/>
      <c r="M818" s="886"/>
      <c r="N818" s="886"/>
      <c r="O818" s="886"/>
      <c r="P818" s="886"/>
      <c r="Q818" s="886"/>
      <c r="R818" s="886"/>
      <c r="S818" s="886"/>
      <c r="T818" s="886"/>
      <c r="U818" s="886"/>
      <c r="V818" s="886"/>
      <c r="W818" s="886"/>
      <c r="X818" s="886"/>
    </row>
    <row r="819" spans="3:24">
      <c r="C819" s="942"/>
      <c r="D819" s="943"/>
      <c r="E819" s="886"/>
      <c r="F819" s="886"/>
      <c r="G819" s="886"/>
      <c r="H819" s="886"/>
      <c r="I819" s="886"/>
      <c r="J819" s="886"/>
      <c r="K819" s="886"/>
      <c r="L819" s="886"/>
      <c r="M819" s="886"/>
      <c r="N819" s="886"/>
      <c r="O819" s="886"/>
      <c r="P819" s="886"/>
      <c r="Q819" s="886"/>
      <c r="R819" s="886"/>
      <c r="S819" s="886"/>
      <c r="T819" s="886"/>
      <c r="U819" s="886"/>
      <c r="V819" s="886"/>
      <c r="W819" s="886"/>
      <c r="X819" s="886"/>
    </row>
    <row r="820" spans="3:24">
      <c r="C820" s="942"/>
      <c r="D820" s="943"/>
      <c r="E820" s="886"/>
      <c r="F820" s="886"/>
      <c r="G820" s="886"/>
      <c r="H820" s="886"/>
      <c r="I820" s="886"/>
      <c r="J820" s="886"/>
      <c r="K820" s="886"/>
      <c r="L820" s="886"/>
      <c r="M820" s="886"/>
      <c r="N820" s="886"/>
      <c r="O820" s="886"/>
      <c r="P820" s="886"/>
      <c r="Q820" s="886"/>
      <c r="R820" s="886"/>
      <c r="S820" s="886"/>
      <c r="T820" s="886"/>
      <c r="U820" s="886"/>
      <c r="V820" s="886"/>
      <c r="W820" s="886"/>
      <c r="X820" s="886"/>
    </row>
    <row r="821" spans="3:24">
      <c r="C821" s="942"/>
      <c r="D821" s="943"/>
      <c r="E821" s="886"/>
      <c r="F821" s="886"/>
      <c r="G821" s="886"/>
      <c r="H821" s="886"/>
      <c r="I821" s="886"/>
      <c r="J821" s="886"/>
      <c r="K821" s="886"/>
      <c r="L821" s="886"/>
      <c r="M821" s="886"/>
      <c r="N821" s="886"/>
      <c r="O821" s="886"/>
      <c r="P821" s="886"/>
      <c r="Q821" s="886"/>
      <c r="R821" s="886"/>
      <c r="S821" s="886"/>
      <c r="T821" s="886"/>
      <c r="U821" s="886"/>
      <c r="V821" s="886"/>
      <c r="W821" s="886"/>
      <c r="X821" s="886"/>
    </row>
    <row r="822" spans="3:24">
      <c r="C822" s="942"/>
      <c r="D822" s="943"/>
      <c r="E822" s="886"/>
      <c r="F822" s="886"/>
      <c r="G822" s="886"/>
      <c r="H822" s="886"/>
      <c r="I822" s="886"/>
      <c r="J822" s="886"/>
      <c r="K822" s="886"/>
      <c r="L822" s="886"/>
      <c r="M822" s="886"/>
      <c r="N822" s="886"/>
      <c r="O822" s="886"/>
      <c r="P822" s="886"/>
      <c r="Q822" s="886"/>
      <c r="R822" s="886"/>
      <c r="S822" s="886"/>
      <c r="T822" s="886"/>
      <c r="U822" s="886"/>
      <c r="V822" s="886"/>
      <c r="W822" s="886"/>
      <c r="X822" s="886"/>
    </row>
    <row r="823" spans="3:24">
      <c r="C823" s="942"/>
      <c r="D823" s="943"/>
      <c r="E823" s="886"/>
      <c r="F823" s="886"/>
      <c r="G823" s="886"/>
      <c r="H823" s="886"/>
      <c r="I823" s="886"/>
      <c r="J823" s="886"/>
      <c r="K823" s="886"/>
      <c r="L823" s="886"/>
      <c r="M823" s="886"/>
      <c r="N823" s="886"/>
      <c r="O823" s="886"/>
      <c r="P823" s="886"/>
      <c r="Q823" s="886"/>
      <c r="R823" s="886"/>
      <c r="S823" s="886"/>
      <c r="T823" s="886"/>
      <c r="U823" s="886"/>
      <c r="V823" s="886"/>
      <c r="W823" s="886"/>
      <c r="X823" s="886"/>
    </row>
    <row r="824" spans="3:24">
      <c r="C824" s="942"/>
      <c r="D824" s="943"/>
      <c r="E824" s="886"/>
      <c r="F824" s="886"/>
      <c r="G824" s="886"/>
      <c r="H824" s="886"/>
      <c r="I824" s="886"/>
      <c r="J824" s="886"/>
      <c r="K824" s="886"/>
      <c r="L824" s="886"/>
      <c r="M824" s="886"/>
      <c r="N824" s="886"/>
      <c r="O824" s="886"/>
      <c r="P824" s="886"/>
      <c r="Q824" s="886"/>
      <c r="R824" s="886"/>
      <c r="S824" s="886"/>
      <c r="T824" s="886"/>
      <c r="U824" s="886"/>
      <c r="V824" s="886"/>
      <c r="W824" s="886"/>
      <c r="X824" s="886"/>
    </row>
    <row r="825" spans="3:24">
      <c r="C825" s="942"/>
      <c r="D825" s="943"/>
      <c r="E825" s="886"/>
      <c r="F825" s="886"/>
      <c r="G825" s="886"/>
      <c r="H825" s="886"/>
      <c r="I825" s="886"/>
      <c r="J825" s="886"/>
      <c r="K825" s="886"/>
      <c r="L825" s="886"/>
      <c r="M825" s="886"/>
      <c r="N825" s="886"/>
      <c r="O825" s="886"/>
      <c r="P825" s="886"/>
      <c r="Q825" s="886"/>
      <c r="R825" s="886"/>
      <c r="S825" s="886"/>
      <c r="T825" s="886"/>
      <c r="U825" s="886"/>
      <c r="V825" s="886"/>
      <c r="W825" s="886"/>
      <c r="X825" s="886"/>
    </row>
    <row r="826" spans="3:24">
      <c r="C826" s="942"/>
      <c r="D826" s="943"/>
      <c r="E826" s="886"/>
      <c r="F826" s="886"/>
      <c r="G826" s="886"/>
      <c r="H826" s="886"/>
      <c r="I826" s="886"/>
      <c r="J826" s="886"/>
      <c r="K826" s="886"/>
      <c r="L826" s="886"/>
      <c r="M826" s="886"/>
      <c r="N826" s="886"/>
      <c r="O826" s="886"/>
      <c r="P826" s="886"/>
      <c r="Q826" s="886"/>
      <c r="R826" s="886"/>
      <c r="S826" s="886"/>
      <c r="T826" s="886"/>
      <c r="U826" s="886"/>
      <c r="V826" s="886"/>
      <c r="W826" s="886"/>
      <c r="X826" s="886"/>
    </row>
    <row r="827" spans="3:24">
      <c r="C827" s="942"/>
      <c r="D827" s="943"/>
      <c r="E827" s="886"/>
      <c r="F827" s="886"/>
      <c r="G827" s="886"/>
      <c r="H827" s="886"/>
      <c r="I827" s="886"/>
      <c r="J827" s="886"/>
      <c r="K827" s="886"/>
      <c r="L827" s="886"/>
      <c r="M827" s="886"/>
      <c r="N827" s="886"/>
      <c r="O827" s="886"/>
      <c r="P827" s="886"/>
      <c r="Q827" s="886"/>
      <c r="R827" s="886"/>
      <c r="S827" s="886"/>
      <c r="T827" s="886"/>
      <c r="U827" s="886"/>
      <c r="V827" s="886"/>
      <c r="W827" s="886"/>
      <c r="X827" s="886"/>
    </row>
    <row r="828" spans="3:24">
      <c r="C828" s="942"/>
      <c r="D828" s="943"/>
      <c r="E828" s="886"/>
      <c r="F828" s="886"/>
      <c r="G828" s="886"/>
      <c r="H828" s="886"/>
      <c r="I828" s="886"/>
      <c r="J828" s="886"/>
      <c r="K828" s="886"/>
      <c r="L828" s="886"/>
      <c r="M828" s="886"/>
      <c r="N828" s="886"/>
      <c r="O828" s="886"/>
      <c r="P828" s="886"/>
      <c r="Q828" s="886"/>
      <c r="R828" s="886"/>
      <c r="S828" s="886"/>
      <c r="T828" s="886"/>
      <c r="U828" s="886"/>
      <c r="V828" s="886"/>
      <c r="W828" s="886"/>
      <c r="X828" s="886"/>
    </row>
    <row r="829" spans="3:24">
      <c r="C829" s="942"/>
      <c r="D829" s="943"/>
      <c r="E829" s="886"/>
      <c r="F829" s="886"/>
      <c r="G829" s="886"/>
      <c r="H829" s="886"/>
      <c r="I829" s="886"/>
      <c r="J829" s="886"/>
      <c r="K829" s="886"/>
      <c r="L829" s="886"/>
      <c r="M829" s="886"/>
      <c r="N829" s="886"/>
      <c r="O829" s="886"/>
      <c r="P829" s="886"/>
      <c r="Q829" s="886"/>
      <c r="R829" s="886"/>
      <c r="S829" s="886"/>
      <c r="T829" s="886"/>
      <c r="U829" s="886"/>
      <c r="V829" s="886"/>
      <c r="W829" s="886"/>
      <c r="X829" s="886"/>
    </row>
    <row r="830" spans="3:24">
      <c r="C830" s="942"/>
      <c r="D830" s="943"/>
      <c r="E830" s="886"/>
      <c r="F830" s="886"/>
      <c r="G830" s="886"/>
      <c r="H830" s="886"/>
      <c r="I830" s="886"/>
      <c r="J830" s="886"/>
      <c r="K830" s="886"/>
      <c r="L830" s="886"/>
      <c r="M830" s="886"/>
      <c r="N830" s="886"/>
      <c r="O830" s="886"/>
      <c r="P830" s="886"/>
      <c r="Q830" s="886"/>
      <c r="R830" s="886"/>
      <c r="S830" s="886"/>
      <c r="T830" s="886"/>
      <c r="U830" s="886"/>
      <c r="V830" s="886"/>
      <c r="W830" s="886"/>
      <c r="X830" s="886"/>
    </row>
    <row r="831" spans="3:24">
      <c r="C831" s="942"/>
      <c r="D831" s="943"/>
      <c r="E831" s="886"/>
      <c r="F831" s="886"/>
      <c r="G831" s="886"/>
      <c r="H831" s="886"/>
      <c r="I831" s="886"/>
      <c r="J831" s="886"/>
      <c r="K831" s="886"/>
      <c r="L831" s="886"/>
      <c r="M831" s="886"/>
      <c r="N831" s="886"/>
      <c r="O831" s="886"/>
      <c r="P831" s="886"/>
      <c r="Q831" s="886"/>
      <c r="R831" s="886"/>
      <c r="S831" s="886"/>
      <c r="T831" s="886"/>
      <c r="U831" s="886"/>
      <c r="V831" s="886"/>
      <c r="W831" s="886"/>
      <c r="X831" s="886"/>
    </row>
    <row r="832" spans="3:24">
      <c r="C832" s="942"/>
      <c r="D832" s="943"/>
      <c r="E832" s="886"/>
      <c r="F832" s="886"/>
      <c r="G832" s="886"/>
      <c r="H832" s="886"/>
      <c r="I832" s="886"/>
      <c r="J832" s="886"/>
      <c r="K832" s="886"/>
      <c r="L832" s="886"/>
      <c r="M832" s="886"/>
      <c r="N832" s="886"/>
      <c r="O832" s="886"/>
      <c r="P832" s="886"/>
      <c r="Q832" s="886"/>
      <c r="R832" s="886"/>
      <c r="S832" s="886"/>
      <c r="T832" s="886"/>
      <c r="U832" s="886"/>
      <c r="V832" s="886"/>
      <c r="W832" s="886"/>
      <c r="X832" s="886"/>
    </row>
    <row r="833" spans="3:24">
      <c r="C833" s="942"/>
      <c r="D833" s="943"/>
      <c r="E833" s="886"/>
      <c r="F833" s="886"/>
      <c r="G833" s="886"/>
      <c r="H833" s="886"/>
      <c r="I833" s="886"/>
      <c r="J833" s="886"/>
      <c r="K833" s="886"/>
      <c r="L833" s="886"/>
      <c r="M833" s="886"/>
      <c r="N833" s="886"/>
      <c r="O833" s="886"/>
      <c r="P833" s="886"/>
      <c r="Q833" s="886"/>
      <c r="R833" s="886"/>
      <c r="S833" s="886"/>
      <c r="T833" s="886"/>
      <c r="U833" s="886"/>
      <c r="V833" s="886"/>
      <c r="W833" s="886"/>
      <c r="X833" s="886"/>
    </row>
    <row r="834" spans="3:24">
      <c r="C834" s="942"/>
      <c r="D834" s="943"/>
      <c r="E834" s="886"/>
      <c r="F834" s="886"/>
      <c r="G834" s="886"/>
      <c r="H834" s="886"/>
      <c r="I834" s="886"/>
      <c r="J834" s="886"/>
      <c r="K834" s="886"/>
      <c r="L834" s="886"/>
      <c r="M834" s="886"/>
      <c r="N834" s="886"/>
      <c r="O834" s="886"/>
      <c r="P834" s="886"/>
      <c r="Q834" s="886"/>
      <c r="R834" s="886"/>
      <c r="S834" s="886"/>
      <c r="T834" s="886"/>
      <c r="U834" s="886"/>
      <c r="V834" s="886"/>
      <c r="W834" s="886"/>
      <c r="X834" s="886"/>
    </row>
    <row r="835" spans="3:24">
      <c r="C835" s="942"/>
      <c r="D835" s="943"/>
      <c r="E835" s="886"/>
      <c r="F835" s="886"/>
      <c r="G835" s="886"/>
      <c r="H835" s="886"/>
      <c r="I835" s="886"/>
      <c r="J835" s="886"/>
      <c r="K835" s="886"/>
      <c r="L835" s="886"/>
      <c r="M835" s="886"/>
      <c r="N835" s="886"/>
      <c r="O835" s="886"/>
      <c r="P835" s="886"/>
      <c r="Q835" s="886"/>
      <c r="R835" s="886"/>
      <c r="S835" s="886"/>
      <c r="T835" s="886"/>
      <c r="U835" s="886"/>
      <c r="V835" s="886"/>
      <c r="W835" s="886"/>
      <c r="X835" s="886"/>
    </row>
    <row r="836" spans="3:24">
      <c r="C836" s="942"/>
      <c r="D836" s="943"/>
      <c r="E836" s="886"/>
      <c r="F836" s="886"/>
      <c r="G836" s="886"/>
      <c r="H836" s="886"/>
      <c r="I836" s="886"/>
      <c r="J836" s="886"/>
      <c r="K836" s="886"/>
      <c r="L836" s="886"/>
      <c r="M836" s="886"/>
      <c r="N836" s="886"/>
      <c r="O836" s="886"/>
      <c r="P836" s="886"/>
      <c r="Q836" s="886"/>
      <c r="R836" s="886"/>
      <c r="S836" s="886"/>
      <c r="T836" s="886"/>
      <c r="U836" s="886"/>
      <c r="V836" s="886"/>
      <c r="W836" s="886"/>
      <c r="X836" s="886"/>
    </row>
    <row r="837" spans="3:24">
      <c r="C837" s="942"/>
      <c r="D837" s="943"/>
      <c r="E837" s="886"/>
      <c r="F837" s="886"/>
      <c r="G837" s="886"/>
      <c r="H837" s="886"/>
      <c r="I837" s="886"/>
      <c r="J837" s="886"/>
      <c r="K837" s="886"/>
      <c r="L837" s="886"/>
      <c r="M837" s="886"/>
      <c r="N837" s="886"/>
      <c r="O837" s="886"/>
      <c r="P837" s="886"/>
      <c r="Q837" s="886"/>
      <c r="R837" s="886"/>
      <c r="S837" s="886"/>
      <c r="T837" s="886"/>
      <c r="U837" s="886"/>
      <c r="V837" s="886"/>
      <c r="W837" s="886"/>
      <c r="X837" s="886"/>
    </row>
    <row r="838" spans="3:24">
      <c r="C838" s="942"/>
      <c r="D838" s="943"/>
      <c r="E838" s="886"/>
      <c r="F838" s="886"/>
      <c r="G838" s="886"/>
      <c r="H838" s="886"/>
      <c r="I838" s="886"/>
      <c r="J838" s="886"/>
      <c r="K838" s="886"/>
      <c r="L838" s="886"/>
      <c r="M838" s="886"/>
      <c r="N838" s="886"/>
      <c r="O838" s="886"/>
      <c r="P838" s="886"/>
      <c r="Q838" s="886"/>
      <c r="R838" s="886"/>
      <c r="S838" s="886"/>
      <c r="T838" s="886"/>
      <c r="U838" s="886"/>
      <c r="V838" s="886"/>
      <c r="W838" s="886"/>
      <c r="X838" s="886"/>
    </row>
    <row r="839" spans="3:24">
      <c r="C839" s="942"/>
      <c r="D839" s="943"/>
      <c r="E839" s="886"/>
      <c r="F839" s="886"/>
      <c r="G839" s="886"/>
      <c r="H839" s="886"/>
      <c r="I839" s="886"/>
      <c r="J839" s="886"/>
      <c r="K839" s="886"/>
      <c r="L839" s="886"/>
      <c r="M839" s="886"/>
      <c r="N839" s="886"/>
      <c r="O839" s="886"/>
      <c r="P839" s="886"/>
      <c r="Q839" s="886"/>
      <c r="R839" s="886"/>
      <c r="S839" s="886"/>
      <c r="T839" s="886"/>
      <c r="U839" s="886"/>
      <c r="V839" s="886"/>
      <c r="W839" s="886"/>
      <c r="X839" s="886"/>
    </row>
    <row r="840" spans="3:24">
      <c r="C840" s="942"/>
      <c r="D840" s="943"/>
      <c r="E840" s="886"/>
      <c r="F840" s="886"/>
      <c r="G840" s="886"/>
      <c r="H840" s="886"/>
      <c r="I840" s="886"/>
      <c r="J840" s="886"/>
      <c r="K840" s="886"/>
      <c r="L840" s="886"/>
      <c r="M840" s="886"/>
      <c r="N840" s="886"/>
      <c r="O840" s="886"/>
      <c r="P840" s="886"/>
      <c r="Q840" s="886"/>
      <c r="R840" s="886"/>
      <c r="S840" s="886"/>
      <c r="T840" s="886"/>
      <c r="U840" s="886"/>
      <c r="V840" s="886"/>
      <c r="W840" s="886"/>
      <c r="X840" s="886"/>
    </row>
    <row r="841" spans="3:24">
      <c r="C841" s="942"/>
      <c r="D841" s="943"/>
      <c r="E841" s="886"/>
      <c r="F841" s="886"/>
      <c r="G841" s="886"/>
      <c r="H841" s="886"/>
      <c r="I841" s="886"/>
      <c r="J841" s="886"/>
      <c r="K841" s="886"/>
      <c r="L841" s="886"/>
      <c r="M841" s="886"/>
      <c r="N841" s="886"/>
      <c r="O841" s="886"/>
      <c r="P841" s="886"/>
      <c r="Q841" s="886"/>
      <c r="R841" s="886"/>
      <c r="S841" s="886"/>
      <c r="T841" s="886"/>
      <c r="U841" s="886"/>
      <c r="V841" s="886"/>
      <c r="W841" s="886"/>
      <c r="X841" s="886"/>
    </row>
    <row r="842" spans="3:24">
      <c r="C842" s="942"/>
      <c r="D842" s="943"/>
      <c r="E842" s="886"/>
      <c r="F842" s="886"/>
      <c r="G842" s="886"/>
      <c r="H842" s="886"/>
      <c r="I842" s="886"/>
      <c r="J842" s="886"/>
      <c r="K842" s="886"/>
      <c r="L842" s="886"/>
      <c r="M842" s="886"/>
      <c r="N842" s="886"/>
      <c r="O842" s="886"/>
      <c r="P842" s="886"/>
      <c r="Q842" s="886"/>
      <c r="R842" s="886"/>
      <c r="S842" s="886"/>
      <c r="T842" s="886"/>
      <c r="U842" s="886"/>
      <c r="V842" s="886"/>
      <c r="W842" s="886"/>
      <c r="X842" s="886"/>
    </row>
    <row r="843" spans="3:24">
      <c r="C843" s="942"/>
      <c r="D843" s="943"/>
      <c r="E843" s="886"/>
      <c r="F843" s="886"/>
      <c r="G843" s="886"/>
      <c r="H843" s="886"/>
      <c r="I843" s="886"/>
      <c r="J843" s="886"/>
      <c r="K843" s="886"/>
      <c r="L843" s="886"/>
      <c r="M843" s="886"/>
      <c r="N843" s="886"/>
      <c r="O843" s="886"/>
      <c r="P843" s="886"/>
      <c r="Q843" s="886"/>
      <c r="R843" s="886"/>
      <c r="S843" s="886"/>
      <c r="T843" s="886"/>
      <c r="U843" s="886"/>
      <c r="V843" s="886"/>
      <c r="W843" s="886"/>
      <c r="X843" s="886"/>
    </row>
    <row r="844" spans="3:24">
      <c r="C844" s="942"/>
      <c r="D844" s="943"/>
      <c r="E844" s="886"/>
      <c r="F844" s="886"/>
      <c r="G844" s="886"/>
      <c r="H844" s="886"/>
      <c r="I844" s="886"/>
      <c r="J844" s="886"/>
      <c r="K844" s="886"/>
      <c r="L844" s="886"/>
      <c r="M844" s="886"/>
      <c r="N844" s="886"/>
      <c r="O844" s="886"/>
      <c r="P844" s="886"/>
      <c r="Q844" s="886"/>
      <c r="R844" s="886"/>
      <c r="S844" s="886"/>
      <c r="T844" s="886"/>
      <c r="U844" s="886"/>
      <c r="V844" s="886"/>
      <c r="W844" s="886"/>
      <c r="X844" s="886"/>
    </row>
    <row r="845" spans="3:24">
      <c r="C845" s="942"/>
      <c r="D845" s="943"/>
      <c r="E845" s="886"/>
      <c r="F845" s="886"/>
      <c r="G845" s="886"/>
      <c r="H845" s="886"/>
      <c r="I845" s="886"/>
      <c r="J845" s="886"/>
      <c r="K845" s="886"/>
      <c r="L845" s="886"/>
      <c r="M845" s="886"/>
      <c r="N845" s="886"/>
      <c r="O845" s="886"/>
      <c r="P845" s="886"/>
      <c r="Q845" s="886"/>
      <c r="R845" s="886"/>
      <c r="S845" s="886"/>
      <c r="T845" s="886"/>
      <c r="U845" s="886"/>
      <c r="V845" s="886"/>
      <c r="W845" s="886"/>
      <c r="X845" s="886"/>
    </row>
    <row r="846" spans="3:24">
      <c r="C846" s="942"/>
      <c r="D846" s="943"/>
      <c r="E846" s="886"/>
      <c r="F846" s="886"/>
      <c r="G846" s="886"/>
      <c r="H846" s="886"/>
      <c r="I846" s="886"/>
      <c r="J846" s="886"/>
      <c r="K846" s="886"/>
      <c r="L846" s="886"/>
      <c r="M846" s="886"/>
      <c r="N846" s="886"/>
      <c r="O846" s="886"/>
      <c r="P846" s="886"/>
      <c r="Q846" s="886"/>
      <c r="R846" s="886"/>
      <c r="S846" s="886"/>
      <c r="T846" s="886"/>
      <c r="U846" s="886"/>
      <c r="V846" s="886"/>
      <c r="W846" s="886"/>
      <c r="X846" s="886"/>
    </row>
    <row r="847" spans="3:24">
      <c r="C847" s="942"/>
      <c r="D847" s="943"/>
      <c r="E847" s="886"/>
      <c r="F847" s="886"/>
      <c r="G847" s="886"/>
      <c r="H847" s="886"/>
      <c r="I847" s="886"/>
      <c r="J847" s="886"/>
      <c r="K847" s="886"/>
      <c r="L847" s="886"/>
      <c r="M847" s="886"/>
      <c r="N847" s="886"/>
      <c r="O847" s="886"/>
      <c r="P847" s="886"/>
      <c r="Q847" s="886"/>
      <c r="R847" s="886"/>
      <c r="S847" s="886"/>
      <c r="T847" s="886"/>
      <c r="U847" s="886"/>
      <c r="V847" s="886"/>
      <c r="W847" s="886"/>
      <c r="X847" s="886"/>
    </row>
    <row r="848" spans="3:24">
      <c r="C848" s="942"/>
      <c r="D848" s="943"/>
      <c r="E848" s="886"/>
      <c r="F848" s="886"/>
      <c r="G848" s="886"/>
      <c r="H848" s="886"/>
      <c r="I848" s="886"/>
      <c r="J848" s="886"/>
      <c r="K848" s="886"/>
      <c r="L848" s="886"/>
      <c r="M848" s="886"/>
      <c r="N848" s="886"/>
      <c r="O848" s="886"/>
      <c r="P848" s="886"/>
      <c r="Q848" s="886"/>
      <c r="R848" s="886"/>
      <c r="S848" s="886"/>
      <c r="T848" s="886"/>
      <c r="U848" s="886"/>
      <c r="V848" s="886"/>
      <c r="W848" s="886"/>
      <c r="X848" s="886"/>
    </row>
    <row r="849" spans="3:24">
      <c r="C849" s="942"/>
      <c r="D849" s="943"/>
      <c r="E849" s="886"/>
      <c r="F849" s="886"/>
      <c r="G849" s="886"/>
      <c r="H849" s="886"/>
      <c r="I849" s="886"/>
      <c r="J849" s="886"/>
      <c r="K849" s="886"/>
      <c r="L849" s="886"/>
      <c r="M849" s="886"/>
      <c r="N849" s="886"/>
      <c r="O849" s="886"/>
      <c r="P849" s="886"/>
      <c r="Q849" s="886"/>
      <c r="R849" s="886"/>
      <c r="S849" s="886"/>
      <c r="T849" s="886"/>
      <c r="U849" s="886"/>
      <c r="V849" s="886"/>
      <c r="W849" s="886"/>
      <c r="X849" s="886"/>
    </row>
    <row r="850" spans="3:24">
      <c r="C850" s="942"/>
      <c r="D850" s="943"/>
      <c r="E850" s="886"/>
      <c r="F850" s="886"/>
      <c r="G850" s="886"/>
      <c r="H850" s="886"/>
      <c r="I850" s="886"/>
      <c r="J850" s="886"/>
      <c r="K850" s="886"/>
      <c r="L850" s="886"/>
      <c r="M850" s="886"/>
      <c r="N850" s="886"/>
      <c r="O850" s="886"/>
      <c r="P850" s="886"/>
      <c r="Q850" s="886"/>
      <c r="R850" s="886"/>
      <c r="S850" s="886"/>
      <c r="T850" s="886"/>
      <c r="U850" s="886"/>
      <c r="V850" s="886"/>
      <c r="W850" s="886"/>
      <c r="X850" s="886"/>
    </row>
    <row r="851" spans="3:24">
      <c r="C851" s="942"/>
      <c r="D851" s="943"/>
      <c r="E851" s="886"/>
      <c r="F851" s="886"/>
      <c r="G851" s="886"/>
      <c r="H851" s="886"/>
      <c r="I851" s="886"/>
      <c r="J851" s="886"/>
      <c r="K851" s="886"/>
      <c r="L851" s="886"/>
      <c r="M851" s="886"/>
      <c r="N851" s="886"/>
      <c r="O851" s="886"/>
      <c r="P851" s="886"/>
      <c r="Q851" s="886"/>
      <c r="R851" s="886"/>
      <c r="S851" s="886"/>
      <c r="T851" s="886"/>
      <c r="U851" s="886"/>
      <c r="V851" s="886"/>
      <c r="W851" s="886"/>
      <c r="X851" s="886"/>
    </row>
    <row r="852" spans="3:24">
      <c r="C852" s="942"/>
      <c r="D852" s="943"/>
      <c r="E852" s="886"/>
      <c r="F852" s="886"/>
      <c r="G852" s="886"/>
      <c r="H852" s="886"/>
      <c r="I852" s="886"/>
      <c r="J852" s="886"/>
      <c r="K852" s="886"/>
      <c r="L852" s="886"/>
      <c r="M852" s="886"/>
      <c r="N852" s="886"/>
      <c r="O852" s="886"/>
      <c r="P852" s="886"/>
      <c r="Q852" s="886"/>
      <c r="R852" s="886"/>
      <c r="S852" s="886"/>
      <c r="T852" s="886"/>
      <c r="U852" s="886"/>
      <c r="V852" s="886"/>
      <c r="W852" s="886"/>
      <c r="X852" s="886"/>
    </row>
    <row r="853" spans="3:24">
      <c r="C853" s="942"/>
      <c r="D853" s="943"/>
      <c r="E853" s="886"/>
      <c r="F853" s="886"/>
      <c r="G853" s="886"/>
      <c r="H853" s="886"/>
      <c r="I853" s="886"/>
      <c r="J853" s="886"/>
      <c r="K853" s="886"/>
      <c r="L853" s="886"/>
      <c r="M853" s="886"/>
      <c r="N853" s="886"/>
      <c r="O853" s="886"/>
      <c r="P853" s="886"/>
      <c r="Q853" s="886"/>
      <c r="R853" s="886"/>
      <c r="S853" s="886"/>
      <c r="T853" s="886"/>
      <c r="U853" s="886"/>
      <c r="V853" s="886"/>
      <c r="W853" s="886"/>
      <c r="X853" s="886"/>
    </row>
    <row r="854" spans="3:24">
      <c r="C854" s="942"/>
      <c r="D854" s="943"/>
      <c r="E854" s="886"/>
      <c r="F854" s="886"/>
      <c r="G854" s="886"/>
      <c r="H854" s="886"/>
      <c r="I854" s="886"/>
      <c r="J854" s="886"/>
      <c r="K854" s="886"/>
      <c r="L854" s="886"/>
      <c r="M854" s="886"/>
      <c r="N854" s="886"/>
      <c r="O854" s="886"/>
      <c r="P854" s="886"/>
      <c r="Q854" s="886"/>
      <c r="R854" s="886"/>
      <c r="S854" s="886"/>
      <c r="T854" s="886"/>
      <c r="U854" s="886"/>
      <c r="V854" s="886"/>
      <c r="W854" s="886"/>
      <c r="X854" s="886"/>
    </row>
    <row r="855" spans="3:24">
      <c r="C855" s="942"/>
      <c r="D855" s="943"/>
      <c r="E855" s="886"/>
      <c r="F855" s="886"/>
      <c r="G855" s="886"/>
      <c r="H855" s="886"/>
      <c r="I855" s="886"/>
      <c r="J855" s="886"/>
      <c r="K855" s="886"/>
      <c r="L855" s="886"/>
      <c r="M855" s="886"/>
      <c r="N855" s="886"/>
      <c r="O855" s="886"/>
      <c r="P855" s="886"/>
      <c r="Q855" s="886"/>
      <c r="R855" s="886"/>
      <c r="S855" s="886"/>
      <c r="T855" s="886"/>
      <c r="U855" s="886"/>
      <c r="V855" s="886"/>
      <c r="W855" s="886"/>
      <c r="X855" s="886"/>
    </row>
    <row r="856" spans="3:24">
      <c r="C856" s="942"/>
      <c r="D856" s="943"/>
      <c r="E856" s="886"/>
      <c r="F856" s="886"/>
      <c r="G856" s="886"/>
      <c r="H856" s="886"/>
      <c r="I856" s="886"/>
      <c r="J856" s="886"/>
      <c r="K856" s="886"/>
      <c r="L856" s="886"/>
      <c r="M856" s="886"/>
      <c r="N856" s="886"/>
      <c r="O856" s="886"/>
      <c r="P856" s="886"/>
      <c r="Q856" s="886"/>
      <c r="R856" s="886"/>
      <c r="S856" s="886"/>
      <c r="T856" s="886"/>
      <c r="U856" s="886"/>
      <c r="V856" s="886"/>
      <c r="W856" s="886"/>
      <c r="X856" s="886"/>
    </row>
    <row r="857" spans="3:24">
      <c r="C857" s="942"/>
      <c r="D857" s="943"/>
      <c r="E857" s="886"/>
      <c r="F857" s="886"/>
      <c r="G857" s="886"/>
      <c r="H857" s="886"/>
      <c r="I857" s="886"/>
      <c r="J857" s="886"/>
      <c r="K857" s="886"/>
      <c r="L857" s="886"/>
      <c r="M857" s="886"/>
      <c r="N857" s="886"/>
      <c r="O857" s="886"/>
      <c r="P857" s="886"/>
      <c r="Q857" s="886"/>
      <c r="R857" s="886"/>
      <c r="S857" s="886"/>
      <c r="T857" s="886"/>
      <c r="U857" s="886"/>
      <c r="V857" s="886"/>
      <c r="W857" s="886"/>
      <c r="X857" s="886"/>
    </row>
    <row r="858" spans="3:24">
      <c r="C858" s="942"/>
      <c r="D858" s="943"/>
      <c r="E858" s="886"/>
      <c r="F858" s="886"/>
      <c r="G858" s="886"/>
      <c r="H858" s="886"/>
      <c r="I858" s="886"/>
      <c r="J858" s="886"/>
      <c r="K858" s="886"/>
      <c r="L858" s="886"/>
      <c r="M858" s="886"/>
      <c r="N858" s="886"/>
      <c r="O858" s="886"/>
      <c r="P858" s="886"/>
      <c r="Q858" s="886"/>
      <c r="R858" s="886"/>
      <c r="S858" s="886"/>
      <c r="T858" s="886"/>
      <c r="U858" s="886"/>
      <c r="V858" s="886"/>
      <c r="W858" s="886"/>
      <c r="X858" s="886"/>
    </row>
    <row r="859" spans="3:24">
      <c r="C859" s="942"/>
      <c r="D859" s="943"/>
      <c r="E859" s="886"/>
      <c r="F859" s="886"/>
      <c r="G859" s="886"/>
      <c r="H859" s="886"/>
      <c r="I859" s="886"/>
      <c r="J859" s="886"/>
      <c r="K859" s="886"/>
      <c r="L859" s="886"/>
      <c r="M859" s="886"/>
      <c r="N859" s="886"/>
      <c r="O859" s="886"/>
      <c r="P859" s="886"/>
      <c r="Q859" s="886"/>
      <c r="R859" s="886"/>
      <c r="S859" s="886"/>
      <c r="T859" s="886"/>
      <c r="U859" s="886"/>
      <c r="V859" s="886"/>
      <c r="W859" s="886"/>
      <c r="X859" s="886"/>
    </row>
    <row r="860" spans="3:24">
      <c r="C860" s="942"/>
      <c r="D860" s="943"/>
      <c r="E860" s="886"/>
      <c r="F860" s="886"/>
      <c r="G860" s="886"/>
      <c r="H860" s="886"/>
      <c r="I860" s="886"/>
      <c r="J860" s="886"/>
      <c r="K860" s="886"/>
      <c r="L860" s="886"/>
      <c r="M860" s="886"/>
      <c r="N860" s="886"/>
      <c r="O860" s="886"/>
      <c r="P860" s="886"/>
      <c r="Q860" s="886"/>
      <c r="R860" s="886"/>
      <c r="S860" s="886"/>
      <c r="T860" s="886"/>
      <c r="U860" s="886"/>
      <c r="V860" s="886"/>
      <c r="W860" s="886"/>
      <c r="X860" s="886"/>
    </row>
    <row r="861" spans="3:24">
      <c r="C861" s="942"/>
      <c r="D861" s="943"/>
      <c r="E861" s="886"/>
      <c r="F861" s="886"/>
      <c r="G861" s="886"/>
      <c r="H861" s="886"/>
      <c r="I861" s="886"/>
      <c r="J861" s="886"/>
      <c r="K861" s="886"/>
      <c r="L861" s="886"/>
      <c r="M861" s="886"/>
      <c r="N861" s="886"/>
      <c r="O861" s="886"/>
      <c r="P861" s="886"/>
      <c r="Q861" s="886"/>
      <c r="R861" s="886"/>
      <c r="S861" s="886"/>
      <c r="T861" s="886"/>
      <c r="U861" s="886"/>
      <c r="V861" s="886"/>
      <c r="W861" s="886"/>
      <c r="X861" s="886"/>
    </row>
    <row r="862" spans="3:24">
      <c r="C862" s="942"/>
      <c r="D862" s="943"/>
      <c r="E862" s="886"/>
      <c r="F862" s="886"/>
      <c r="G862" s="886"/>
      <c r="H862" s="886"/>
      <c r="I862" s="886"/>
      <c r="J862" s="886"/>
      <c r="K862" s="886"/>
      <c r="L862" s="886"/>
      <c r="M862" s="886"/>
      <c r="N862" s="886"/>
      <c r="O862" s="886"/>
      <c r="P862" s="886"/>
      <c r="Q862" s="886"/>
      <c r="R862" s="886"/>
      <c r="S862" s="886"/>
      <c r="T862" s="886"/>
      <c r="U862" s="886"/>
      <c r="V862" s="886"/>
      <c r="W862" s="886"/>
      <c r="X862" s="886"/>
    </row>
    <row r="863" spans="3:24">
      <c r="C863" s="942"/>
      <c r="D863" s="943"/>
      <c r="E863" s="886"/>
      <c r="F863" s="886"/>
      <c r="G863" s="886"/>
      <c r="H863" s="886"/>
      <c r="I863" s="886"/>
      <c r="J863" s="886"/>
      <c r="K863" s="886"/>
      <c r="L863" s="886"/>
      <c r="M863" s="886"/>
      <c r="N863" s="886"/>
      <c r="O863" s="886"/>
      <c r="P863" s="886"/>
      <c r="Q863" s="886"/>
      <c r="R863" s="886"/>
      <c r="S863" s="886"/>
      <c r="T863" s="886"/>
      <c r="U863" s="886"/>
      <c r="V863" s="886"/>
      <c r="W863" s="886"/>
      <c r="X863" s="886"/>
    </row>
    <row r="864" spans="3:24">
      <c r="C864" s="942"/>
      <c r="D864" s="943"/>
      <c r="E864" s="886"/>
      <c r="F864" s="886"/>
      <c r="G864" s="886"/>
      <c r="H864" s="886"/>
      <c r="I864" s="886"/>
      <c r="J864" s="886"/>
      <c r="K864" s="886"/>
      <c r="L864" s="886"/>
      <c r="M864" s="886"/>
      <c r="N864" s="886"/>
      <c r="O864" s="886"/>
      <c r="P864" s="886"/>
      <c r="Q864" s="886"/>
      <c r="R864" s="886"/>
      <c r="S864" s="886"/>
      <c r="T864" s="886"/>
      <c r="U864" s="886"/>
      <c r="V864" s="886"/>
      <c r="W864" s="886"/>
      <c r="X864" s="886"/>
    </row>
    <row r="865" spans="3:24">
      <c r="C865" s="942"/>
      <c r="D865" s="943"/>
      <c r="E865" s="886"/>
      <c r="F865" s="886"/>
      <c r="G865" s="886"/>
      <c r="H865" s="886"/>
      <c r="I865" s="886"/>
      <c r="J865" s="886"/>
      <c r="K865" s="886"/>
      <c r="L865" s="886"/>
      <c r="M865" s="886"/>
      <c r="N865" s="886"/>
      <c r="O865" s="886"/>
      <c r="P865" s="886"/>
      <c r="Q865" s="886"/>
      <c r="R865" s="886"/>
      <c r="S865" s="886"/>
      <c r="T865" s="886"/>
      <c r="U865" s="886"/>
      <c r="V865" s="886"/>
      <c r="W865" s="886"/>
      <c r="X865" s="886"/>
    </row>
    <row r="866" spans="3:24">
      <c r="C866" s="942"/>
      <c r="D866" s="943"/>
      <c r="E866" s="886"/>
      <c r="F866" s="886"/>
      <c r="G866" s="886"/>
      <c r="H866" s="886"/>
      <c r="I866" s="886"/>
      <c r="J866" s="886"/>
      <c r="K866" s="886"/>
      <c r="L866" s="886"/>
      <c r="M866" s="886"/>
      <c r="N866" s="886"/>
      <c r="O866" s="886"/>
      <c r="P866" s="886"/>
      <c r="Q866" s="886"/>
      <c r="R866" s="886"/>
      <c r="S866" s="886"/>
      <c r="T866" s="886"/>
      <c r="U866" s="886"/>
      <c r="V866" s="886"/>
      <c r="W866" s="886"/>
      <c r="X866" s="886"/>
    </row>
    <row r="867" spans="3:24">
      <c r="C867" s="942"/>
      <c r="D867" s="943"/>
      <c r="E867" s="886"/>
      <c r="F867" s="886"/>
      <c r="G867" s="886"/>
      <c r="H867" s="886"/>
      <c r="I867" s="886"/>
      <c r="J867" s="886"/>
      <c r="K867" s="886"/>
      <c r="L867" s="886"/>
      <c r="M867" s="886"/>
      <c r="N867" s="886"/>
      <c r="O867" s="886"/>
      <c r="P867" s="886"/>
      <c r="Q867" s="886"/>
      <c r="R867" s="886"/>
      <c r="S867" s="886"/>
      <c r="T867" s="886"/>
      <c r="U867" s="886"/>
      <c r="V867" s="886"/>
      <c r="W867" s="886"/>
      <c r="X867" s="886"/>
    </row>
    <row r="868" spans="3:24">
      <c r="C868" s="942"/>
      <c r="D868" s="943"/>
      <c r="E868" s="886"/>
      <c r="F868" s="886"/>
      <c r="G868" s="886"/>
      <c r="H868" s="886"/>
      <c r="I868" s="886"/>
      <c r="J868" s="886"/>
      <c r="K868" s="886"/>
      <c r="L868" s="886"/>
      <c r="M868" s="886"/>
      <c r="N868" s="886"/>
      <c r="O868" s="886"/>
      <c r="P868" s="886"/>
      <c r="Q868" s="886"/>
      <c r="R868" s="886"/>
      <c r="S868" s="886"/>
      <c r="T868" s="886"/>
      <c r="U868" s="886"/>
      <c r="V868" s="886"/>
      <c r="W868" s="886"/>
      <c r="X868" s="886"/>
    </row>
    <row r="869" spans="3:24">
      <c r="C869" s="942"/>
      <c r="D869" s="943"/>
      <c r="E869" s="886"/>
      <c r="F869" s="886"/>
      <c r="G869" s="886"/>
      <c r="H869" s="886"/>
      <c r="I869" s="886"/>
      <c r="J869" s="886"/>
      <c r="K869" s="886"/>
      <c r="L869" s="886"/>
      <c r="M869" s="886"/>
      <c r="N869" s="886"/>
      <c r="O869" s="886"/>
      <c r="P869" s="886"/>
      <c r="Q869" s="886"/>
      <c r="R869" s="886"/>
      <c r="S869" s="886"/>
      <c r="T869" s="886"/>
      <c r="U869" s="886"/>
      <c r="V869" s="886"/>
      <c r="W869" s="886"/>
      <c r="X869" s="886"/>
    </row>
    <row r="870" spans="3:24">
      <c r="C870" s="942"/>
      <c r="D870" s="943"/>
      <c r="E870" s="886"/>
      <c r="F870" s="886"/>
      <c r="G870" s="886"/>
      <c r="H870" s="886"/>
      <c r="I870" s="886"/>
      <c r="J870" s="886"/>
      <c r="K870" s="886"/>
      <c r="L870" s="886"/>
      <c r="M870" s="886"/>
      <c r="N870" s="886"/>
      <c r="O870" s="886"/>
      <c r="P870" s="886"/>
      <c r="Q870" s="886"/>
      <c r="R870" s="886"/>
      <c r="S870" s="886"/>
      <c r="T870" s="886"/>
      <c r="U870" s="886"/>
      <c r="V870" s="886"/>
      <c r="W870" s="886"/>
      <c r="X870" s="886"/>
    </row>
    <row r="871" spans="3:24">
      <c r="C871" s="942"/>
      <c r="D871" s="943"/>
      <c r="E871" s="886"/>
      <c r="F871" s="886"/>
      <c r="G871" s="886"/>
      <c r="H871" s="886"/>
      <c r="I871" s="886"/>
      <c r="J871" s="886"/>
      <c r="K871" s="886"/>
      <c r="L871" s="886"/>
      <c r="M871" s="886"/>
      <c r="N871" s="886"/>
      <c r="O871" s="886"/>
      <c r="P871" s="886"/>
      <c r="Q871" s="886"/>
      <c r="R871" s="886"/>
      <c r="S871" s="886"/>
      <c r="T871" s="886"/>
      <c r="U871" s="886"/>
      <c r="V871" s="886"/>
      <c r="W871" s="886"/>
      <c r="X871" s="886"/>
    </row>
    <row r="872" spans="3:24">
      <c r="C872" s="942"/>
      <c r="D872" s="943"/>
      <c r="E872" s="886"/>
      <c r="F872" s="886"/>
      <c r="G872" s="886"/>
      <c r="H872" s="886"/>
      <c r="I872" s="886"/>
      <c r="J872" s="886"/>
      <c r="K872" s="886"/>
      <c r="L872" s="886"/>
      <c r="M872" s="886"/>
      <c r="N872" s="886"/>
      <c r="O872" s="886"/>
      <c r="P872" s="886"/>
      <c r="Q872" s="886"/>
      <c r="R872" s="886"/>
      <c r="S872" s="886"/>
      <c r="T872" s="886"/>
      <c r="U872" s="886"/>
      <c r="V872" s="886"/>
      <c r="W872" s="886"/>
      <c r="X872" s="886"/>
    </row>
    <row r="873" spans="3:24">
      <c r="C873" s="942"/>
      <c r="D873" s="943"/>
      <c r="E873" s="886"/>
      <c r="F873" s="886"/>
      <c r="G873" s="886"/>
      <c r="H873" s="886"/>
      <c r="I873" s="886"/>
      <c r="J873" s="886"/>
      <c r="K873" s="886"/>
      <c r="L873" s="886"/>
      <c r="M873" s="886"/>
      <c r="N873" s="886"/>
      <c r="O873" s="886"/>
      <c r="P873" s="886"/>
      <c r="Q873" s="886"/>
      <c r="R873" s="886"/>
      <c r="S873" s="886"/>
      <c r="T873" s="886"/>
      <c r="U873" s="886"/>
      <c r="V873" s="886"/>
      <c r="W873" s="886"/>
      <c r="X873" s="886"/>
    </row>
    <row r="874" spans="3:24">
      <c r="C874" s="942"/>
      <c r="D874" s="943"/>
      <c r="E874" s="886"/>
      <c r="F874" s="886"/>
      <c r="G874" s="886"/>
      <c r="H874" s="886"/>
      <c r="I874" s="886"/>
      <c r="J874" s="886"/>
      <c r="K874" s="886"/>
      <c r="L874" s="886"/>
      <c r="M874" s="886"/>
      <c r="N874" s="886"/>
      <c r="O874" s="886"/>
      <c r="P874" s="886"/>
      <c r="Q874" s="886"/>
      <c r="R874" s="886"/>
      <c r="S874" s="886"/>
      <c r="T874" s="886"/>
      <c r="U874" s="886"/>
      <c r="V874" s="886"/>
      <c r="W874" s="886"/>
      <c r="X874" s="886"/>
    </row>
    <row r="875" spans="3:24">
      <c r="C875" s="942"/>
      <c r="D875" s="943"/>
      <c r="E875" s="886"/>
      <c r="F875" s="886"/>
      <c r="G875" s="886"/>
      <c r="H875" s="886"/>
      <c r="I875" s="886"/>
      <c r="J875" s="886"/>
      <c r="K875" s="886"/>
      <c r="L875" s="886"/>
      <c r="M875" s="886"/>
      <c r="N875" s="886"/>
      <c r="O875" s="886"/>
      <c r="P875" s="886"/>
      <c r="Q875" s="886"/>
      <c r="R875" s="886"/>
      <c r="S875" s="886"/>
      <c r="T875" s="886"/>
      <c r="U875" s="886"/>
      <c r="V875" s="886"/>
      <c r="W875" s="886"/>
      <c r="X875" s="886"/>
    </row>
    <row r="876" spans="3:24">
      <c r="C876" s="942"/>
      <c r="D876" s="943"/>
      <c r="E876" s="886"/>
      <c r="F876" s="886"/>
      <c r="G876" s="886"/>
      <c r="H876" s="886"/>
      <c r="I876" s="886"/>
      <c r="J876" s="886"/>
      <c r="K876" s="886"/>
      <c r="L876" s="886"/>
      <c r="M876" s="886"/>
      <c r="N876" s="886"/>
      <c r="O876" s="886"/>
      <c r="P876" s="886"/>
      <c r="Q876" s="886"/>
      <c r="R876" s="886"/>
      <c r="S876" s="886"/>
      <c r="T876" s="886"/>
      <c r="U876" s="886"/>
      <c r="V876" s="886"/>
      <c r="W876" s="886"/>
      <c r="X876" s="886"/>
    </row>
    <row r="877" spans="3:24">
      <c r="C877" s="942"/>
      <c r="D877" s="943"/>
      <c r="E877" s="886"/>
      <c r="F877" s="886"/>
      <c r="G877" s="886"/>
      <c r="H877" s="886"/>
      <c r="I877" s="886"/>
      <c r="J877" s="886"/>
      <c r="K877" s="886"/>
      <c r="L877" s="886"/>
      <c r="M877" s="886"/>
      <c r="N877" s="886"/>
      <c r="O877" s="886"/>
      <c r="P877" s="886"/>
      <c r="Q877" s="886"/>
      <c r="R877" s="886"/>
      <c r="S877" s="886"/>
      <c r="T877" s="886"/>
      <c r="U877" s="886"/>
      <c r="V877" s="886"/>
      <c r="W877" s="886"/>
      <c r="X877" s="886"/>
    </row>
    <row r="878" spans="3:24">
      <c r="C878" s="942"/>
      <c r="D878" s="943"/>
      <c r="E878" s="886"/>
      <c r="F878" s="886"/>
      <c r="G878" s="886"/>
      <c r="H878" s="886"/>
      <c r="I878" s="886"/>
      <c r="J878" s="886"/>
      <c r="K878" s="886"/>
      <c r="L878" s="886"/>
      <c r="M878" s="886"/>
      <c r="N878" s="886"/>
      <c r="O878" s="886"/>
      <c r="P878" s="886"/>
      <c r="Q878" s="886"/>
      <c r="R878" s="886"/>
      <c r="S878" s="886"/>
      <c r="T878" s="886"/>
      <c r="U878" s="886"/>
      <c r="V878" s="886"/>
      <c r="W878" s="886"/>
      <c r="X878" s="886"/>
    </row>
    <row r="879" spans="3:24">
      <c r="C879" s="942"/>
      <c r="D879" s="943"/>
      <c r="E879" s="886"/>
      <c r="F879" s="886"/>
      <c r="G879" s="886"/>
      <c r="H879" s="886"/>
      <c r="I879" s="886"/>
      <c r="J879" s="886"/>
      <c r="K879" s="886"/>
      <c r="L879" s="886"/>
      <c r="M879" s="886"/>
      <c r="N879" s="886"/>
      <c r="O879" s="886"/>
      <c r="P879" s="886"/>
      <c r="Q879" s="886"/>
      <c r="R879" s="886"/>
      <c r="S879" s="886"/>
      <c r="T879" s="886"/>
      <c r="U879" s="886"/>
      <c r="V879" s="886"/>
      <c r="W879" s="886"/>
      <c r="X879" s="886"/>
    </row>
    <row r="880" spans="3:24">
      <c r="C880" s="942"/>
      <c r="D880" s="943"/>
      <c r="E880" s="886"/>
      <c r="F880" s="886"/>
      <c r="G880" s="886"/>
      <c r="H880" s="886"/>
      <c r="I880" s="886"/>
      <c r="J880" s="886"/>
      <c r="K880" s="886"/>
      <c r="L880" s="886"/>
      <c r="M880" s="886"/>
      <c r="N880" s="886"/>
      <c r="O880" s="886"/>
      <c r="P880" s="886"/>
      <c r="Q880" s="886"/>
      <c r="R880" s="886"/>
      <c r="S880" s="886"/>
      <c r="T880" s="886"/>
      <c r="U880" s="886"/>
      <c r="V880" s="886"/>
      <c r="W880" s="886"/>
      <c r="X880" s="886"/>
    </row>
    <row r="881" spans="3:24">
      <c r="C881" s="942"/>
      <c r="D881" s="943"/>
      <c r="E881" s="886"/>
      <c r="F881" s="886"/>
      <c r="G881" s="886"/>
      <c r="H881" s="886"/>
      <c r="I881" s="886"/>
      <c r="J881" s="886"/>
      <c r="K881" s="886"/>
      <c r="L881" s="886"/>
      <c r="M881" s="886"/>
      <c r="N881" s="886"/>
      <c r="O881" s="886"/>
      <c r="P881" s="886"/>
      <c r="Q881" s="886"/>
      <c r="R881" s="886"/>
      <c r="S881" s="886"/>
      <c r="T881" s="886"/>
      <c r="U881" s="886"/>
      <c r="V881" s="886"/>
      <c r="W881" s="886"/>
      <c r="X881" s="886"/>
    </row>
    <row r="882" spans="3:24">
      <c r="C882" s="942"/>
      <c r="D882" s="943"/>
      <c r="E882" s="886"/>
      <c r="F882" s="886"/>
      <c r="G882" s="886"/>
      <c r="H882" s="886"/>
      <c r="I882" s="886"/>
      <c r="J882" s="886"/>
      <c r="K882" s="886"/>
      <c r="L882" s="886"/>
      <c r="M882" s="886"/>
      <c r="N882" s="886"/>
      <c r="O882" s="886"/>
      <c r="P882" s="886"/>
      <c r="Q882" s="886"/>
      <c r="R882" s="886"/>
      <c r="S882" s="886"/>
      <c r="T882" s="886"/>
      <c r="U882" s="886"/>
      <c r="V882" s="886"/>
      <c r="W882" s="886"/>
      <c r="X882" s="886"/>
    </row>
    <row r="883" spans="3:24">
      <c r="C883" s="942"/>
      <c r="D883" s="943"/>
      <c r="E883" s="886"/>
      <c r="F883" s="886"/>
      <c r="G883" s="886"/>
      <c r="H883" s="886"/>
      <c r="I883" s="886"/>
      <c r="J883" s="886"/>
      <c r="K883" s="886"/>
      <c r="L883" s="886"/>
      <c r="M883" s="886"/>
      <c r="N883" s="886"/>
      <c r="O883" s="886"/>
      <c r="P883" s="886"/>
      <c r="Q883" s="886"/>
      <c r="R883" s="886"/>
      <c r="S883" s="886"/>
      <c r="T883" s="886"/>
      <c r="U883" s="886"/>
      <c r="V883" s="886"/>
      <c r="W883" s="886"/>
      <c r="X883" s="886"/>
    </row>
    <row r="884" spans="3:24">
      <c r="C884" s="942"/>
      <c r="D884" s="943"/>
      <c r="E884" s="886"/>
      <c r="F884" s="886"/>
      <c r="G884" s="886"/>
      <c r="H884" s="886"/>
      <c r="I884" s="886"/>
      <c r="J884" s="886"/>
      <c r="K884" s="886"/>
      <c r="L884" s="886"/>
      <c r="M884" s="886"/>
      <c r="N884" s="886"/>
      <c r="O884" s="886"/>
      <c r="P884" s="886"/>
      <c r="Q884" s="886"/>
      <c r="R884" s="886"/>
      <c r="S884" s="886"/>
      <c r="T884" s="886"/>
      <c r="U884" s="886"/>
      <c r="V884" s="886"/>
      <c r="W884" s="886"/>
      <c r="X884" s="886"/>
    </row>
    <row r="885" spans="3:24">
      <c r="C885" s="942"/>
      <c r="D885" s="943"/>
      <c r="E885" s="886"/>
      <c r="F885" s="886"/>
      <c r="G885" s="886"/>
      <c r="H885" s="886"/>
      <c r="I885" s="886"/>
      <c r="J885" s="886"/>
      <c r="K885" s="886"/>
      <c r="L885" s="886"/>
      <c r="M885" s="886"/>
      <c r="N885" s="886"/>
      <c r="O885" s="886"/>
      <c r="P885" s="886"/>
      <c r="Q885" s="886"/>
      <c r="R885" s="886"/>
      <c r="S885" s="886"/>
      <c r="T885" s="886"/>
      <c r="U885" s="886"/>
      <c r="V885" s="886"/>
      <c r="W885" s="886"/>
      <c r="X885" s="886"/>
    </row>
    <row r="886" spans="3:24">
      <c r="C886" s="942"/>
      <c r="D886" s="943"/>
      <c r="E886" s="886"/>
      <c r="F886" s="886"/>
      <c r="G886" s="886"/>
      <c r="H886" s="886"/>
      <c r="I886" s="886"/>
      <c r="J886" s="886"/>
      <c r="K886" s="886"/>
      <c r="L886" s="886"/>
      <c r="M886" s="886"/>
      <c r="N886" s="886"/>
      <c r="O886" s="886"/>
      <c r="P886" s="886"/>
      <c r="Q886" s="886"/>
      <c r="R886" s="886"/>
      <c r="S886" s="886"/>
      <c r="T886" s="886"/>
      <c r="U886" s="886"/>
      <c r="V886" s="886"/>
      <c r="W886" s="886"/>
      <c r="X886" s="886"/>
    </row>
    <row r="887" spans="3:24">
      <c r="C887" s="942"/>
      <c r="D887" s="943"/>
      <c r="E887" s="886"/>
      <c r="F887" s="886"/>
      <c r="G887" s="886"/>
      <c r="H887" s="886"/>
      <c r="I887" s="886"/>
      <c r="J887" s="886"/>
      <c r="K887" s="886"/>
      <c r="L887" s="886"/>
      <c r="M887" s="886"/>
      <c r="N887" s="886"/>
      <c r="O887" s="886"/>
      <c r="P887" s="886"/>
      <c r="Q887" s="886"/>
      <c r="R887" s="886"/>
      <c r="S887" s="886"/>
      <c r="T887" s="886"/>
      <c r="U887" s="886"/>
      <c r="V887" s="886"/>
      <c r="W887" s="886"/>
      <c r="X887" s="886"/>
    </row>
    <row r="888" spans="3:24">
      <c r="C888" s="942"/>
      <c r="D888" s="943"/>
      <c r="E888" s="886"/>
      <c r="F888" s="886"/>
      <c r="G888" s="886"/>
      <c r="H888" s="886"/>
      <c r="I888" s="886"/>
      <c r="J888" s="886"/>
      <c r="K888" s="886"/>
      <c r="L888" s="886"/>
      <c r="M888" s="886"/>
      <c r="N888" s="886"/>
      <c r="O888" s="886"/>
      <c r="P888" s="886"/>
      <c r="Q888" s="886"/>
      <c r="R888" s="886"/>
      <c r="S888" s="886"/>
      <c r="T888" s="886"/>
      <c r="U888" s="886"/>
      <c r="V888" s="886"/>
      <c r="W888" s="886"/>
      <c r="X888" s="886"/>
    </row>
    <row r="889" spans="3:24">
      <c r="C889" s="942"/>
      <c r="D889" s="943"/>
      <c r="E889" s="886"/>
      <c r="F889" s="886"/>
      <c r="G889" s="886"/>
      <c r="H889" s="886"/>
      <c r="I889" s="886"/>
      <c r="J889" s="886"/>
      <c r="K889" s="886"/>
      <c r="L889" s="886"/>
      <c r="M889" s="886"/>
      <c r="N889" s="886"/>
      <c r="O889" s="886"/>
      <c r="P889" s="886"/>
      <c r="Q889" s="886"/>
      <c r="R889" s="886"/>
      <c r="S889" s="886"/>
      <c r="T889" s="886"/>
      <c r="U889" s="886"/>
      <c r="V889" s="886"/>
      <c r="W889" s="886"/>
      <c r="X889" s="886"/>
    </row>
    <row r="890" spans="3:24">
      <c r="C890" s="942"/>
      <c r="D890" s="943"/>
      <c r="E890" s="886"/>
      <c r="F890" s="886"/>
      <c r="G890" s="886"/>
      <c r="H890" s="886"/>
      <c r="I890" s="886"/>
      <c r="J890" s="886"/>
      <c r="K890" s="886"/>
      <c r="L890" s="886"/>
      <c r="M890" s="886"/>
      <c r="N890" s="886"/>
      <c r="O890" s="886"/>
      <c r="P890" s="886"/>
      <c r="Q890" s="886"/>
      <c r="R890" s="886"/>
      <c r="S890" s="886"/>
      <c r="T890" s="886"/>
      <c r="U890" s="886"/>
      <c r="V890" s="886"/>
      <c r="W890" s="886"/>
      <c r="X890" s="886"/>
    </row>
    <row r="891" spans="3:24">
      <c r="C891" s="942"/>
      <c r="D891" s="943"/>
      <c r="E891" s="886"/>
      <c r="F891" s="886"/>
      <c r="G891" s="886"/>
      <c r="H891" s="886"/>
      <c r="I891" s="886"/>
      <c r="J891" s="886"/>
      <c r="K891" s="886"/>
      <c r="L891" s="886"/>
      <c r="M891" s="886"/>
      <c r="N891" s="886"/>
      <c r="O891" s="886"/>
      <c r="P891" s="886"/>
      <c r="Q891" s="886"/>
      <c r="R891" s="886"/>
      <c r="S891" s="886"/>
      <c r="T891" s="886"/>
      <c r="U891" s="886"/>
      <c r="V891" s="886"/>
      <c r="W891" s="886"/>
      <c r="X891" s="886"/>
    </row>
    <row r="892" spans="3:24">
      <c r="C892" s="942"/>
      <c r="D892" s="943"/>
      <c r="E892" s="886"/>
      <c r="F892" s="886"/>
      <c r="G892" s="886"/>
      <c r="H892" s="886"/>
      <c r="I892" s="886"/>
      <c r="J892" s="886"/>
      <c r="K892" s="886"/>
      <c r="L892" s="886"/>
      <c r="M892" s="886"/>
      <c r="N892" s="886"/>
      <c r="O892" s="886"/>
      <c r="P892" s="886"/>
      <c r="Q892" s="886"/>
      <c r="R892" s="886"/>
      <c r="S892" s="886"/>
      <c r="T892" s="886"/>
      <c r="U892" s="886"/>
      <c r="V892" s="886"/>
      <c r="W892" s="886"/>
      <c r="X892" s="886"/>
    </row>
    <row r="893" spans="3:24">
      <c r="C893" s="942"/>
      <c r="D893" s="943"/>
      <c r="E893" s="886"/>
      <c r="F893" s="886"/>
      <c r="G893" s="886"/>
      <c r="H893" s="886"/>
      <c r="I893" s="886"/>
      <c r="J893" s="886"/>
      <c r="K893" s="886"/>
      <c r="L893" s="886"/>
      <c r="M893" s="886"/>
      <c r="N893" s="886"/>
      <c r="O893" s="886"/>
      <c r="P893" s="886"/>
      <c r="Q893" s="886"/>
      <c r="R893" s="886"/>
      <c r="S893" s="886"/>
      <c r="T893" s="886"/>
      <c r="U893" s="886"/>
      <c r="V893" s="886"/>
      <c r="W893" s="886"/>
      <c r="X893" s="886"/>
    </row>
    <row r="894" spans="3:24">
      <c r="C894" s="942"/>
      <c r="D894" s="943"/>
      <c r="E894" s="886"/>
      <c r="F894" s="886"/>
      <c r="G894" s="886"/>
      <c r="H894" s="886"/>
      <c r="I894" s="886"/>
      <c r="J894" s="886"/>
      <c r="K894" s="886"/>
      <c r="L894" s="886"/>
      <c r="M894" s="886"/>
      <c r="N894" s="886"/>
      <c r="O894" s="886"/>
      <c r="P894" s="886"/>
      <c r="Q894" s="886"/>
      <c r="R894" s="886"/>
      <c r="S894" s="886"/>
      <c r="T894" s="886"/>
      <c r="U894" s="886"/>
      <c r="V894" s="886"/>
      <c r="W894" s="886"/>
      <c r="X894" s="886"/>
    </row>
    <row r="895" spans="3:24">
      <c r="C895" s="942"/>
      <c r="D895" s="943"/>
      <c r="E895" s="886"/>
      <c r="F895" s="886"/>
      <c r="G895" s="886"/>
      <c r="H895" s="886"/>
      <c r="I895" s="886"/>
      <c r="J895" s="886"/>
      <c r="K895" s="886"/>
      <c r="L895" s="886"/>
      <c r="M895" s="886"/>
      <c r="N895" s="886"/>
      <c r="O895" s="886"/>
      <c r="P895" s="886"/>
      <c r="Q895" s="886"/>
      <c r="R895" s="886"/>
      <c r="S895" s="886"/>
      <c r="T895" s="886"/>
      <c r="U895" s="886"/>
      <c r="V895" s="886"/>
      <c r="W895" s="886"/>
      <c r="X895" s="886"/>
    </row>
    <row r="896" spans="3:24">
      <c r="C896" s="942"/>
      <c r="D896" s="943"/>
      <c r="E896" s="886"/>
      <c r="F896" s="886"/>
      <c r="G896" s="886"/>
      <c r="H896" s="886"/>
      <c r="I896" s="886"/>
      <c r="J896" s="886"/>
      <c r="K896" s="886"/>
      <c r="L896" s="886"/>
      <c r="M896" s="886"/>
      <c r="N896" s="886"/>
      <c r="O896" s="886"/>
      <c r="P896" s="886"/>
      <c r="Q896" s="886"/>
      <c r="R896" s="886"/>
      <c r="S896" s="886"/>
      <c r="T896" s="886"/>
      <c r="U896" s="886"/>
      <c r="V896" s="886"/>
      <c r="W896" s="886"/>
      <c r="X896" s="886"/>
    </row>
    <row r="897" spans="3:24">
      <c r="C897" s="942"/>
      <c r="D897" s="943"/>
      <c r="E897" s="886"/>
      <c r="F897" s="886"/>
      <c r="G897" s="886"/>
      <c r="H897" s="886"/>
      <c r="I897" s="886"/>
      <c r="J897" s="886"/>
      <c r="K897" s="886"/>
      <c r="L897" s="886"/>
      <c r="M897" s="886"/>
      <c r="N897" s="886"/>
      <c r="O897" s="886"/>
      <c r="P897" s="886"/>
      <c r="Q897" s="886"/>
      <c r="R897" s="886"/>
      <c r="S897" s="886"/>
      <c r="T897" s="886"/>
      <c r="U897" s="886"/>
      <c r="V897" s="886"/>
      <c r="W897" s="886"/>
      <c r="X897" s="886"/>
    </row>
    <row r="898" spans="3:24">
      <c r="C898" s="942"/>
      <c r="D898" s="943"/>
      <c r="E898" s="886"/>
      <c r="F898" s="886"/>
      <c r="G898" s="886"/>
      <c r="H898" s="886"/>
      <c r="I898" s="886"/>
      <c r="J898" s="886"/>
      <c r="K898" s="886"/>
      <c r="L898" s="886"/>
      <c r="M898" s="886"/>
      <c r="N898" s="886"/>
      <c r="O898" s="886"/>
      <c r="P898" s="886"/>
      <c r="Q898" s="886"/>
      <c r="R898" s="886"/>
      <c r="S898" s="886"/>
      <c r="T898" s="886"/>
      <c r="U898" s="886"/>
      <c r="V898" s="886"/>
      <c r="W898" s="886"/>
      <c r="X898" s="886"/>
    </row>
    <row r="899" spans="3:24">
      <c r="C899" s="942"/>
      <c r="D899" s="943"/>
      <c r="E899" s="886"/>
      <c r="F899" s="886"/>
      <c r="G899" s="886"/>
      <c r="H899" s="886"/>
      <c r="I899" s="886"/>
      <c r="J899" s="886"/>
      <c r="K899" s="886"/>
      <c r="L899" s="886"/>
      <c r="M899" s="886"/>
      <c r="N899" s="886"/>
      <c r="O899" s="886"/>
      <c r="P899" s="886"/>
      <c r="Q899" s="886"/>
      <c r="R899" s="886"/>
      <c r="S899" s="886"/>
      <c r="T899" s="886"/>
      <c r="U899" s="886"/>
      <c r="V899" s="886"/>
      <c r="W899" s="886"/>
      <c r="X899" s="886"/>
    </row>
    <row r="900" spans="3:24">
      <c r="C900" s="942"/>
      <c r="D900" s="943"/>
      <c r="E900" s="886"/>
      <c r="F900" s="886"/>
      <c r="G900" s="886"/>
      <c r="H900" s="886"/>
      <c r="I900" s="886"/>
      <c r="J900" s="886"/>
      <c r="K900" s="886"/>
      <c r="L900" s="886"/>
      <c r="M900" s="886"/>
      <c r="N900" s="886"/>
      <c r="O900" s="886"/>
      <c r="P900" s="886"/>
      <c r="Q900" s="886"/>
      <c r="R900" s="886"/>
      <c r="S900" s="886"/>
      <c r="T900" s="886"/>
      <c r="U900" s="886"/>
      <c r="V900" s="886"/>
      <c r="W900" s="886"/>
      <c r="X900" s="886"/>
    </row>
    <row r="901" spans="3:24">
      <c r="C901" s="942"/>
      <c r="D901" s="943"/>
      <c r="E901" s="886"/>
      <c r="F901" s="886"/>
      <c r="G901" s="886"/>
      <c r="H901" s="886"/>
      <c r="I901" s="886"/>
      <c r="J901" s="886"/>
      <c r="K901" s="886"/>
      <c r="L901" s="886"/>
      <c r="M901" s="886"/>
      <c r="N901" s="886"/>
      <c r="O901" s="886"/>
      <c r="P901" s="886"/>
      <c r="Q901" s="886"/>
      <c r="R901" s="886"/>
      <c r="S901" s="886"/>
      <c r="T901" s="886"/>
      <c r="U901" s="886"/>
      <c r="V901" s="886"/>
      <c r="W901" s="886"/>
      <c r="X901" s="886"/>
    </row>
    <row r="902" spans="3:24">
      <c r="C902" s="942"/>
      <c r="D902" s="943"/>
      <c r="E902" s="886"/>
      <c r="F902" s="886"/>
      <c r="G902" s="886"/>
      <c r="H902" s="886"/>
      <c r="I902" s="886"/>
      <c r="J902" s="886"/>
      <c r="K902" s="886"/>
      <c r="L902" s="886"/>
      <c r="M902" s="886"/>
      <c r="N902" s="886"/>
      <c r="O902" s="886"/>
      <c r="P902" s="886"/>
      <c r="Q902" s="886"/>
      <c r="R902" s="886"/>
      <c r="S902" s="886"/>
      <c r="T902" s="886"/>
      <c r="U902" s="886"/>
      <c r="V902" s="886"/>
      <c r="W902" s="886"/>
      <c r="X902" s="886"/>
    </row>
    <row r="903" spans="3:24">
      <c r="C903" s="942"/>
      <c r="D903" s="943"/>
      <c r="E903" s="886"/>
      <c r="F903" s="886"/>
      <c r="G903" s="886"/>
      <c r="H903" s="886"/>
      <c r="I903" s="886"/>
      <c r="J903" s="886"/>
      <c r="K903" s="886"/>
      <c r="L903" s="886"/>
      <c r="M903" s="886"/>
      <c r="N903" s="886"/>
      <c r="O903" s="886"/>
      <c r="P903" s="886"/>
      <c r="Q903" s="886"/>
      <c r="R903" s="886"/>
      <c r="S903" s="886"/>
      <c r="T903" s="886"/>
      <c r="U903" s="886"/>
      <c r="V903" s="886"/>
      <c r="W903" s="886"/>
      <c r="X903" s="886"/>
    </row>
    <row r="904" spans="3:24">
      <c r="C904" s="942"/>
      <c r="D904" s="943"/>
      <c r="E904" s="886"/>
      <c r="F904" s="886"/>
      <c r="G904" s="886"/>
      <c r="H904" s="886"/>
      <c r="I904" s="886"/>
      <c r="J904" s="886"/>
      <c r="K904" s="886"/>
      <c r="L904" s="886"/>
      <c r="M904" s="886"/>
      <c r="N904" s="886"/>
      <c r="O904" s="886"/>
      <c r="P904" s="886"/>
      <c r="Q904" s="886"/>
      <c r="R904" s="886"/>
      <c r="S904" s="886"/>
      <c r="T904" s="886"/>
      <c r="U904" s="886"/>
      <c r="V904" s="886"/>
      <c r="W904" s="886"/>
      <c r="X904" s="886"/>
    </row>
    <row r="905" spans="3:24">
      <c r="C905" s="942"/>
      <c r="D905" s="943"/>
      <c r="E905" s="886"/>
      <c r="F905" s="886"/>
      <c r="G905" s="886"/>
      <c r="H905" s="886"/>
      <c r="I905" s="886"/>
      <c r="J905" s="886"/>
      <c r="K905" s="886"/>
      <c r="L905" s="886"/>
      <c r="M905" s="886"/>
      <c r="N905" s="886"/>
      <c r="O905" s="886"/>
      <c r="P905" s="886"/>
      <c r="Q905" s="886"/>
      <c r="R905" s="886"/>
      <c r="S905" s="886"/>
      <c r="T905" s="886"/>
      <c r="U905" s="886"/>
      <c r="V905" s="886"/>
      <c r="W905" s="886"/>
      <c r="X905" s="886"/>
    </row>
    <row r="906" spans="3:24">
      <c r="C906" s="942"/>
      <c r="D906" s="943"/>
      <c r="E906" s="886"/>
      <c r="F906" s="886"/>
      <c r="G906" s="886"/>
      <c r="H906" s="886"/>
      <c r="I906" s="886"/>
      <c r="J906" s="886"/>
      <c r="K906" s="886"/>
      <c r="L906" s="886"/>
      <c r="M906" s="886"/>
      <c r="N906" s="886"/>
      <c r="O906" s="886"/>
      <c r="P906" s="886"/>
      <c r="Q906" s="886"/>
      <c r="R906" s="886"/>
      <c r="S906" s="886"/>
      <c r="T906" s="886"/>
      <c r="U906" s="886"/>
      <c r="V906" s="886"/>
      <c r="W906" s="886"/>
      <c r="X906" s="886"/>
    </row>
    <row r="907" spans="3:24">
      <c r="C907" s="942"/>
      <c r="D907" s="943"/>
      <c r="E907" s="886"/>
      <c r="F907" s="886"/>
      <c r="G907" s="886"/>
      <c r="H907" s="886"/>
      <c r="I907" s="886"/>
      <c r="J907" s="886"/>
      <c r="K907" s="886"/>
      <c r="L907" s="886"/>
      <c r="M907" s="886"/>
      <c r="N907" s="886"/>
      <c r="O907" s="886"/>
      <c r="P907" s="886"/>
      <c r="Q907" s="886"/>
      <c r="R907" s="886"/>
      <c r="S907" s="886"/>
      <c r="T907" s="886"/>
      <c r="U907" s="886"/>
      <c r="V907" s="886"/>
      <c r="W907" s="886"/>
      <c r="X907" s="886"/>
    </row>
    <row r="908" spans="3:24">
      <c r="C908" s="942"/>
      <c r="D908" s="943"/>
      <c r="E908" s="886"/>
      <c r="F908" s="886"/>
      <c r="G908" s="886"/>
      <c r="H908" s="886"/>
      <c r="I908" s="886"/>
      <c r="J908" s="886"/>
      <c r="K908" s="886"/>
      <c r="L908" s="886"/>
      <c r="M908" s="886"/>
      <c r="N908" s="886"/>
      <c r="O908" s="886"/>
      <c r="P908" s="886"/>
      <c r="Q908" s="886"/>
      <c r="R908" s="886"/>
      <c r="S908" s="886"/>
      <c r="T908" s="886"/>
      <c r="U908" s="886"/>
      <c r="V908" s="886"/>
      <c r="W908" s="886"/>
      <c r="X908" s="886"/>
    </row>
    <row r="909" spans="3:24">
      <c r="C909" s="942"/>
      <c r="D909" s="943"/>
      <c r="E909" s="886"/>
      <c r="F909" s="886"/>
      <c r="G909" s="886"/>
      <c r="H909" s="886"/>
      <c r="I909" s="886"/>
      <c r="J909" s="886"/>
      <c r="K909" s="886"/>
      <c r="L909" s="886"/>
      <c r="M909" s="886"/>
      <c r="N909" s="886"/>
      <c r="O909" s="886"/>
      <c r="P909" s="886"/>
      <c r="Q909" s="886"/>
      <c r="R909" s="886"/>
      <c r="S909" s="886"/>
      <c r="T909" s="886"/>
      <c r="U909" s="886"/>
      <c r="V909" s="886"/>
      <c r="W909" s="886"/>
      <c r="X909" s="886"/>
    </row>
    <row r="910" spans="3:24">
      <c r="C910" s="942"/>
      <c r="D910" s="943"/>
      <c r="E910" s="886"/>
      <c r="F910" s="886"/>
      <c r="G910" s="886"/>
      <c r="H910" s="886"/>
      <c r="I910" s="886"/>
      <c r="J910" s="886"/>
      <c r="K910" s="886"/>
      <c r="L910" s="886"/>
      <c r="M910" s="886"/>
      <c r="N910" s="886"/>
      <c r="O910" s="886"/>
      <c r="P910" s="886"/>
      <c r="Q910" s="886"/>
      <c r="R910" s="886"/>
      <c r="S910" s="886"/>
      <c r="T910" s="886"/>
      <c r="U910" s="886"/>
      <c r="V910" s="886"/>
      <c r="W910" s="886"/>
      <c r="X910" s="886"/>
    </row>
    <row r="911" spans="3:24">
      <c r="C911" s="942"/>
      <c r="D911" s="943"/>
      <c r="E911" s="886"/>
      <c r="F911" s="886"/>
      <c r="G911" s="886"/>
      <c r="H911" s="886"/>
      <c r="I911" s="886"/>
      <c r="J911" s="886"/>
      <c r="K911" s="886"/>
      <c r="L911" s="886"/>
      <c r="M911" s="886"/>
      <c r="N911" s="886"/>
      <c r="O911" s="886"/>
      <c r="P911" s="886"/>
      <c r="Q911" s="886"/>
      <c r="R911" s="886"/>
      <c r="S911" s="886"/>
      <c r="T911" s="886"/>
      <c r="U911" s="886"/>
      <c r="V911" s="886"/>
      <c r="W911" s="886"/>
      <c r="X911" s="886"/>
    </row>
    <row r="912" spans="3:24">
      <c r="C912" s="942"/>
      <c r="D912" s="943"/>
      <c r="E912" s="886"/>
      <c r="F912" s="886"/>
      <c r="G912" s="886"/>
      <c r="H912" s="886"/>
      <c r="I912" s="886"/>
      <c r="J912" s="886"/>
      <c r="K912" s="886"/>
      <c r="L912" s="886"/>
      <c r="M912" s="886"/>
      <c r="N912" s="886"/>
      <c r="O912" s="886"/>
      <c r="P912" s="886"/>
      <c r="Q912" s="886"/>
      <c r="R912" s="886"/>
      <c r="S912" s="886"/>
      <c r="T912" s="886"/>
      <c r="U912" s="886"/>
      <c r="V912" s="886"/>
      <c r="W912" s="886"/>
      <c r="X912" s="886"/>
    </row>
    <row r="913" spans="3:24">
      <c r="C913" s="942"/>
      <c r="D913" s="943"/>
      <c r="E913" s="886"/>
      <c r="F913" s="886"/>
      <c r="G913" s="886"/>
      <c r="H913" s="886"/>
      <c r="I913" s="886"/>
      <c r="J913" s="886"/>
      <c r="K913" s="886"/>
      <c r="L913" s="886"/>
      <c r="M913" s="886"/>
      <c r="N913" s="886"/>
      <c r="O913" s="886"/>
      <c r="P913" s="886"/>
      <c r="Q913" s="886"/>
      <c r="R913" s="886"/>
      <c r="S913" s="886"/>
      <c r="T913" s="886"/>
      <c r="U913" s="886"/>
      <c r="V913" s="886"/>
      <c r="W913" s="886"/>
      <c r="X913" s="886"/>
    </row>
    <row r="914" spans="3:24">
      <c r="C914" s="942"/>
      <c r="D914" s="943"/>
      <c r="E914" s="886"/>
      <c r="F914" s="886"/>
      <c r="G914" s="886"/>
      <c r="H914" s="886"/>
      <c r="I914" s="886"/>
      <c r="J914" s="886"/>
      <c r="K914" s="886"/>
      <c r="L914" s="886"/>
      <c r="M914" s="886"/>
      <c r="N914" s="886"/>
      <c r="O914" s="886"/>
      <c r="P914" s="886"/>
      <c r="Q914" s="886"/>
      <c r="R914" s="886"/>
      <c r="S914" s="886"/>
      <c r="T914" s="886"/>
      <c r="U914" s="886"/>
      <c r="V914" s="886"/>
      <c r="W914" s="886"/>
      <c r="X914" s="886"/>
    </row>
    <row r="915" spans="3:24">
      <c r="C915" s="942"/>
      <c r="D915" s="943"/>
      <c r="E915" s="886"/>
      <c r="F915" s="886"/>
      <c r="G915" s="886"/>
      <c r="H915" s="886"/>
      <c r="I915" s="886"/>
      <c r="J915" s="886"/>
      <c r="K915" s="886"/>
      <c r="L915" s="886"/>
      <c r="M915" s="886"/>
      <c r="N915" s="886"/>
      <c r="O915" s="886"/>
      <c r="P915" s="886"/>
      <c r="Q915" s="886"/>
      <c r="R915" s="886"/>
      <c r="S915" s="886"/>
      <c r="T915" s="886"/>
      <c r="U915" s="886"/>
      <c r="V915" s="886"/>
      <c r="W915" s="886"/>
      <c r="X915" s="886"/>
    </row>
    <row r="916" spans="3:24">
      <c r="C916" s="942"/>
      <c r="D916" s="943"/>
      <c r="E916" s="886"/>
      <c r="F916" s="886"/>
      <c r="G916" s="886"/>
      <c r="H916" s="886"/>
      <c r="I916" s="886"/>
      <c r="J916" s="886"/>
      <c r="K916" s="886"/>
      <c r="L916" s="886"/>
      <c r="M916" s="886"/>
      <c r="N916" s="886"/>
      <c r="O916" s="886"/>
      <c r="P916" s="886"/>
      <c r="Q916" s="886"/>
      <c r="R916" s="886"/>
      <c r="S916" s="886"/>
      <c r="T916" s="886"/>
      <c r="U916" s="886"/>
      <c r="V916" s="886"/>
      <c r="W916" s="886"/>
      <c r="X916" s="886"/>
    </row>
    <row r="917" spans="3:24">
      <c r="C917" s="942"/>
      <c r="D917" s="943"/>
      <c r="E917" s="886"/>
      <c r="F917" s="886"/>
      <c r="G917" s="886"/>
      <c r="H917" s="886"/>
      <c r="I917" s="886"/>
      <c r="J917" s="886"/>
      <c r="K917" s="886"/>
      <c r="L917" s="886"/>
      <c r="M917" s="886"/>
      <c r="N917" s="886"/>
      <c r="O917" s="886"/>
      <c r="P917" s="886"/>
      <c r="Q917" s="886"/>
      <c r="R917" s="886"/>
      <c r="S917" s="886"/>
      <c r="T917" s="886"/>
      <c r="U917" s="886"/>
      <c r="V917" s="886"/>
      <c r="W917" s="886"/>
      <c r="X917" s="886"/>
    </row>
    <row r="918" spans="3:24">
      <c r="C918" s="942"/>
      <c r="D918" s="943"/>
      <c r="E918" s="886"/>
      <c r="F918" s="886"/>
      <c r="G918" s="886"/>
      <c r="H918" s="886"/>
      <c r="I918" s="886"/>
      <c r="J918" s="886"/>
      <c r="K918" s="886"/>
      <c r="L918" s="886"/>
      <c r="M918" s="886"/>
      <c r="N918" s="886"/>
      <c r="O918" s="886"/>
      <c r="P918" s="886"/>
      <c r="Q918" s="886"/>
      <c r="R918" s="886"/>
      <c r="S918" s="886"/>
      <c r="T918" s="886"/>
      <c r="U918" s="886"/>
      <c r="V918" s="886"/>
      <c r="W918" s="886"/>
      <c r="X918" s="886"/>
    </row>
    <row r="919" spans="3:24">
      <c r="C919" s="942"/>
      <c r="D919" s="943"/>
      <c r="E919" s="886"/>
      <c r="F919" s="886"/>
      <c r="G919" s="886"/>
      <c r="H919" s="886"/>
      <c r="I919" s="886"/>
      <c r="J919" s="886"/>
      <c r="K919" s="886"/>
      <c r="L919" s="886"/>
      <c r="M919" s="886"/>
      <c r="N919" s="886"/>
      <c r="O919" s="886"/>
      <c r="P919" s="886"/>
      <c r="Q919" s="886"/>
      <c r="R919" s="886"/>
      <c r="S919" s="886"/>
      <c r="T919" s="886"/>
      <c r="U919" s="886"/>
      <c r="V919" s="886"/>
      <c r="W919" s="886"/>
      <c r="X919" s="886"/>
    </row>
    <row r="920" spans="3:24">
      <c r="C920" s="942"/>
      <c r="D920" s="943"/>
      <c r="E920" s="886"/>
      <c r="F920" s="886"/>
      <c r="G920" s="886"/>
      <c r="H920" s="886"/>
      <c r="I920" s="886"/>
      <c r="J920" s="886"/>
      <c r="K920" s="886"/>
      <c r="L920" s="886"/>
      <c r="M920" s="886"/>
      <c r="N920" s="886"/>
      <c r="O920" s="886"/>
      <c r="P920" s="886"/>
      <c r="Q920" s="886"/>
      <c r="R920" s="886"/>
      <c r="S920" s="886"/>
      <c r="T920" s="886"/>
      <c r="U920" s="886"/>
      <c r="V920" s="886"/>
      <c r="W920" s="886"/>
      <c r="X920" s="886"/>
    </row>
    <row r="921" spans="3:24">
      <c r="C921" s="942"/>
      <c r="D921" s="943"/>
      <c r="E921" s="886"/>
      <c r="F921" s="886"/>
      <c r="G921" s="886"/>
      <c r="H921" s="886"/>
      <c r="I921" s="886"/>
      <c r="J921" s="886"/>
      <c r="K921" s="886"/>
      <c r="L921" s="886"/>
      <c r="M921" s="886"/>
      <c r="N921" s="886"/>
      <c r="O921" s="886"/>
      <c r="P921" s="886"/>
      <c r="Q921" s="886"/>
      <c r="R921" s="886"/>
      <c r="S921" s="886"/>
      <c r="T921" s="886"/>
      <c r="U921" s="886"/>
      <c r="V921" s="886"/>
      <c r="W921" s="886"/>
      <c r="X921" s="886"/>
    </row>
    <row r="922" spans="3:24">
      <c r="C922" s="942"/>
      <c r="D922" s="943"/>
      <c r="E922" s="886"/>
      <c r="F922" s="886"/>
      <c r="G922" s="886"/>
      <c r="H922" s="886"/>
      <c r="I922" s="886"/>
      <c r="J922" s="886"/>
      <c r="K922" s="886"/>
      <c r="L922" s="886"/>
      <c r="M922" s="886"/>
      <c r="N922" s="886"/>
      <c r="O922" s="886"/>
      <c r="P922" s="886"/>
      <c r="Q922" s="886"/>
      <c r="R922" s="886"/>
      <c r="S922" s="886"/>
      <c r="T922" s="886"/>
      <c r="U922" s="886"/>
      <c r="V922" s="886"/>
      <c r="W922" s="886"/>
      <c r="X922" s="886"/>
    </row>
    <row r="923" spans="3:24">
      <c r="C923" s="942"/>
      <c r="D923" s="943"/>
      <c r="E923" s="886"/>
      <c r="F923" s="886"/>
      <c r="G923" s="886"/>
      <c r="H923" s="886"/>
      <c r="I923" s="886"/>
      <c r="J923" s="886"/>
      <c r="K923" s="886"/>
      <c r="L923" s="886"/>
      <c r="M923" s="886"/>
      <c r="N923" s="886"/>
      <c r="O923" s="886"/>
      <c r="P923" s="886"/>
      <c r="Q923" s="886"/>
      <c r="R923" s="886"/>
      <c r="S923" s="886"/>
      <c r="T923" s="886"/>
      <c r="U923" s="886"/>
      <c r="V923" s="886"/>
      <c r="W923" s="886"/>
      <c r="X923" s="886"/>
    </row>
    <row r="924" spans="3:24">
      <c r="C924" s="942"/>
      <c r="D924" s="943"/>
      <c r="E924" s="886"/>
      <c r="F924" s="886"/>
      <c r="G924" s="886"/>
      <c r="H924" s="886"/>
      <c r="I924" s="886"/>
      <c r="J924" s="886"/>
      <c r="K924" s="886"/>
      <c r="L924" s="886"/>
      <c r="M924" s="886"/>
      <c r="N924" s="886"/>
      <c r="O924" s="886"/>
      <c r="P924" s="886"/>
      <c r="Q924" s="886"/>
      <c r="R924" s="886"/>
      <c r="S924" s="886"/>
      <c r="T924" s="886"/>
      <c r="U924" s="886"/>
      <c r="V924" s="886"/>
      <c r="W924" s="886"/>
      <c r="X924" s="886"/>
    </row>
    <row r="925" spans="3:24">
      <c r="C925" s="942"/>
      <c r="D925" s="943"/>
      <c r="E925" s="886"/>
      <c r="F925" s="886"/>
      <c r="G925" s="886"/>
      <c r="H925" s="886"/>
      <c r="I925" s="886"/>
      <c r="J925" s="886"/>
      <c r="K925" s="886"/>
      <c r="L925" s="886"/>
      <c r="M925" s="886"/>
      <c r="N925" s="886"/>
      <c r="O925" s="886"/>
      <c r="P925" s="886"/>
      <c r="Q925" s="886"/>
      <c r="R925" s="886"/>
      <c r="S925" s="886"/>
      <c r="T925" s="886"/>
      <c r="U925" s="886"/>
      <c r="V925" s="886"/>
      <c r="W925" s="886"/>
      <c r="X925" s="886"/>
    </row>
    <row r="926" spans="3:24">
      <c r="C926" s="942"/>
      <c r="D926" s="943"/>
      <c r="E926" s="886"/>
      <c r="F926" s="886"/>
      <c r="G926" s="886"/>
      <c r="H926" s="886"/>
      <c r="I926" s="886"/>
      <c r="J926" s="886"/>
      <c r="K926" s="886"/>
      <c r="L926" s="886"/>
      <c r="M926" s="886"/>
      <c r="N926" s="886"/>
      <c r="O926" s="886"/>
      <c r="P926" s="886"/>
      <c r="Q926" s="886"/>
      <c r="R926" s="886"/>
      <c r="S926" s="886"/>
      <c r="T926" s="886"/>
      <c r="U926" s="886"/>
      <c r="V926" s="886"/>
      <c r="W926" s="886"/>
      <c r="X926" s="886"/>
    </row>
    <row r="927" spans="3:24">
      <c r="C927" s="942"/>
      <c r="D927" s="943"/>
      <c r="E927" s="886"/>
      <c r="F927" s="886"/>
      <c r="G927" s="886"/>
      <c r="H927" s="886"/>
      <c r="I927" s="886"/>
      <c r="J927" s="886"/>
      <c r="K927" s="886"/>
      <c r="L927" s="886"/>
      <c r="M927" s="886"/>
      <c r="N927" s="886"/>
      <c r="O927" s="886"/>
      <c r="P927" s="886"/>
      <c r="Q927" s="886"/>
      <c r="R927" s="886"/>
      <c r="S927" s="886"/>
      <c r="T927" s="886"/>
      <c r="U927" s="886"/>
      <c r="V927" s="886"/>
      <c r="W927" s="886"/>
      <c r="X927" s="886"/>
    </row>
    <row r="928" spans="3:24">
      <c r="C928" s="942"/>
      <c r="D928" s="943"/>
      <c r="E928" s="886"/>
      <c r="F928" s="886"/>
      <c r="G928" s="886"/>
      <c r="H928" s="886"/>
      <c r="I928" s="886"/>
      <c r="J928" s="886"/>
      <c r="K928" s="886"/>
      <c r="L928" s="886"/>
      <c r="M928" s="886"/>
      <c r="N928" s="886"/>
      <c r="O928" s="886"/>
      <c r="P928" s="886"/>
      <c r="Q928" s="886"/>
      <c r="R928" s="886"/>
      <c r="S928" s="886"/>
      <c r="T928" s="886"/>
      <c r="U928" s="886"/>
      <c r="V928" s="886"/>
      <c r="W928" s="886"/>
      <c r="X928" s="886"/>
    </row>
    <row r="929" spans="3:24">
      <c r="C929" s="942"/>
      <c r="D929" s="943"/>
      <c r="E929" s="886"/>
      <c r="F929" s="886"/>
      <c r="G929" s="886"/>
      <c r="H929" s="886"/>
      <c r="I929" s="886"/>
      <c r="J929" s="886"/>
      <c r="K929" s="886"/>
      <c r="L929" s="886"/>
      <c r="M929" s="886"/>
      <c r="N929" s="886"/>
      <c r="O929" s="886"/>
      <c r="P929" s="886"/>
      <c r="Q929" s="886"/>
      <c r="R929" s="886"/>
      <c r="S929" s="886"/>
      <c r="T929" s="886"/>
      <c r="U929" s="886"/>
      <c r="V929" s="886"/>
      <c r="W929" s="886"/>
      <c r="X929" s="886"/>
    </row>
    <row r="930" spans="3:24">
      <c r="C930" s="942"/>
      <c r="D930" s="943"/>
      <c r="E930" s="886"/>
      <c r="F930" s="886"/>
      <c r="G930" s="886"/>
      <c r="H930" s="886"/>
      <c r="I930" s="886"/>
      <c r="J930" s="886"/>
      <c r="K930" s="886"/>
      <c r="L930" s="886"/>
      <c r="M930" s="886"/>
      <c r="N930" s="886"/>
      <c r="O930" s="886"/>
      <c r="P930" s="886"/>
      <c r="Q930" s="886"/>
      <c r="R930" s="886"/>
      <c r="S930" s="886"/>
      <c r="T930" s="886"/>
      <c r="U930" s="886"/>
      <c r="V930" s="886"/>
      <c r="W930" s="886"/>
      <c r="X930" s="886"/>
    </row>
    <row r="931" spans="3:24">
      <c r="C931" s="942"/>
      <c r="D931" s="943"/>
      <c r="E931" s="886"/>
      <c r="F931" s="886"/>
      <c r="G931" s="886"/>
      <c r="H931" s="886"/>
      <c r="I931" s="886"/>
      <c r="J931" s="886"/>
      <c r="K931" s="886"/>
      <c r="L931" s="886"/>
      <c r="M931" s="886"/>
      <c r="N931" s="886"/>
      <c r="O931" s="886"/>
      <c r="P931" s="886"/>
      <c r="Q931" s="886"/>
      <c r="R931" s="886"/>
      <c r="S931" s="886"/>
      <c r="T931" s="886"/>
      <c r="U931" s="886"/>
      <c r="V931" s="886"/>
      <c r="W931" s="886"/>
      <c r="X931" s="886"/>
    </row>
    <row r="932" spans="3:24">
      <c r="C932" s="942"/>
      <c r="D932" s="943"/>
      <c r="E932" s="886"/>
      <c r="F932" s="886"/>
      <c r="G932" s="886"/>
      <c r="H932" s="886"/>
      <c r="I932" s="886"/>
      <c r="J932" s="886"/>
      <c r="K932" s="886"/>
      <c r="L932" s="886"/>
      <c r="M932" s="886"/>
      <c r="N932" s="886"/>
      <c r="O932" s="886"/>
      <c r="P932" s="886"/>
      <c r="Q932" s="886"/>
      <c r="R932" s="886"/>
      <c r="S932" s="886"/>
      <c r="T932" s="886"/>
      <c r="U932" s="886"/>
      <c r="V932" s="886"/>
      <c r="W932" s="886"/>
      <c r="X932" s="886"/>
    </row>
    <row r="933" spans="3:24">
      <c r="C933" s="942"/>
      <c r="D933" s="943"/>
      <c r="E933" s="886"/>
      <c r="F933" s="886"/>
      <c r="G933" s="886"/>
      <c r="H933" s="886"/>
      <c r="I933" s="886"/>
      <c r="J933" s="886"/>
      <c r="K933" s="886"/>
      <c r="L933" s="886"/>
      <c r="M933" s="886"/>
      <c r="N933" s="886"/>
      <c r="O933" s="886"/>
      <c r="P933" s="886"/>
      <c r="Q933" s="886"/>
      <c r="R933" s="886"/>
      <c r="S933" s="886"/>
      <c r="T933" s="886"/>
      <c r="U933" s="886"/>
      <c r="V933" s="886"/>
      <c r="W933" s="886"/>
      <c r="X933" s="886"/>
    </row>
    <row r="934" spans="3:24">
      <c r="C934" s="942"/>
      <c r="D934" s="943"/>
      <c r="E934" s="886"/>
      <c r="F934" s="886"/>
      <c r="G934" s="886"/>
      <c r="H934" s="886"/>
      <c r="I934" s="886"/>
      <c r="J934" s="886"/>
      <c r="K934" s="886"/>
      <c r="L934" s="886"/>
      <c r="M934" s="886"/>
      <c r="N934" s="886"/>
      <c r="O934" s="886"/>
      <c r="P934" s="886"/>
      <c r="Q934" s="886"/>
      <c r="R934" s="886"/>
      <c r="S934" s="886"/>
      <c r="T934" s="886"/>
      <c r="U934" s="886"/>
      <c r="V934" s="886"/>
      <c r="W934" s="886"/>
      <c r="X934" s="886"/>
    </row>
    <row r="935" spans="3:24">
      <c r="C935" s="942"/>
      <c r="D935" s="943"/>
      <c r="E935" s="886"/>
      <c r="F935" s="886"/>
      <c r="G935" s="886"/>
      <c r="H935" s="886"/>
      <c r="I935" s="886"/>
      <c r="J935" s="886"/>
      <c r="K935" s="886"/>
      <c r="L935" s="886"/>
      <c r="M935" s="886"/>
      <c r="N935" s="886"/>
      <c r="O935" s="886"/>
      <c r="P935" s="886"/>
      <c r="Q935" s="886"/>
      <c r="R935" s="886"/>
      <c r="S935" s="886"/>
      <c r="T935" s="886"/>
      <c r="U935" s="886"/>
      <c r="V935" s="886"/>
      <c r="W935" s="886"/>
      <c r="X935" s="886"/>
    </row>
    <row r="936" spans="3:24">
      <c r="C936" s="942"/>
      <c r="D936" s="943"/>
      <c r="E936" s="886"/>
      <c r="F936" s="886"/>
      <c r="G936" s="886"/>
      <c r="H936" s="886"/>
      <c r="I936" s="886"/>
      <c r="J936" s="886"/>
      <c r="K936" s="886"/>
      <c r="L936" s="886"/>
      <c r="M936" s="886"/>
      <c r="N936" s="886"/>
      <c r="O936" s="886"/>
      <c r="P936" s="886"/>
      <c r="Q936" s="886"/>
      <c r="R936" s="886"/>
      <c r="S936" s="886"/>
      <c r="T936" s="886"/>
      <c r="U936" s="886"/>
      <c r="V936" s="886"/>
      <c r="W936" s="886"/>
      <c r="X936" s="886"/>
    </row>
    <row r="937" spans="3:24">
      <c r="C937" s="942"/>
      <c r="D937" s="943"/>
      <c r="E937" s="886"/>
      <c r="F937" s="886"/>
      <c r="G937" s="886"/>
      <c r="H937" s="886"/>
      <c r="I937" s="886"/>
      <c r="J937" s="886"/>
      <c r="K937" s="886"/>
      <c r="L937" s="886"/>
      <c r="M937" s="886"/>
      <c r="N937" s="886"/>
      <c r="O937" s="886"/>
      <c r="P937" s="886"/>
      <c r="Q937" s="886"/>
      <c r="R937" s="886"/>
      <c r="S937" s="886"/>
      <c r="T937" s="886"/>
      <c r="U937" s="886"/>
      <c r="V937" s="886"/>
      <c r="W937" s="886"/>
      <c r="X937" s="886"/>
    </row>
    <row r="938" spans="3:24">
      <c r="C938" s="942"/>
      <c r="D938" s="943"/>
      <c r="E938" s="886"/>
      <c r="F938" s="886"/>
      <c r="G938" s="886"/>
      <c r="H938" s="886"/>
      <c r="I938" s="886"/>
      <c r="J938" s="886"/>
      <c r="K938" s="886"/>
      <c r="L938" s="886"/>
      <c r="M938" s="886"/>
      <c r="N938" s="886"/>
      <c r="O938" s="886"/>
      <c r="P938" s="886"/>
      <c r="Q938" s="886"/>
      <c r="R938" s="886"/>
      <c r="S938" s="886"/>
      <c r="T938" s="886"/>
      <c r="U938" s="886"/>
      <c r="V938" s="886"/>
      <c r="W938" s="886"/>
      <c r="X938" s="886"/>
    </row>
    <row r="939" spans="3:24">
      <c r="C939" s="942"/>
      <c r="D939" s="943"/>
      <c r="E939" s="886"/>
      <c r="F939" s="886"/>
      <c r="G939" s="886"/>
      <c r="H939" s="886"/>
      <c r="I939" s="886"/>
      <c r="J939" s="886"/>
      <c r="K939" s="886"/>
      <c r="L939" s="886"/>
      <c r="M939" s="886"/>
      <c r="N939" s="886"/>
      <c r="O939" s="886"/>
      <c r="P939" s="886"/>
      <c r="Q939" s="886"/>
      <c r="R939" s="886"/>
      <c r="S939" s="886"/>
      <c r="T939" s="886"/>
      <c r="U939" s="886"/>
      <c r="V939" s="886"/>
      <c r="W939" s="886"/>
      <c r="X939" s="886"/>
    </row>
    <row r="940" spans="3:24">
      <c r="C940" s="942"/>
      <c r="D940" s="943"/>
      <c r="E940" s="886"/>
      <c r="F940" s="886"/>
      <c r="G940" s="886"/>
      <c r="H940" s="886"/>
      <c r="I940" s="886"/>
      <c r="J940" s="886"/>
      <c r="K940" s="886"/>
      <c r="L940" s="886"/>
      <c r="M940" s="886"/>
      <c r="N940" s="886"/>
      <c r="O940" s="886"/>
      <c r="P940" s="886"/>
      <c r="Q940" s="886"/>
      <c r="R940" s="886"/>
      <c r="S940" s="886"/>
      <c r="T940" s="886"/>
      <c r="U940" s="886"/>
      <c r="V940" s="886"/>
      <c r="W940" s="886"/>
      <c r="X940" s="886"/>
    </row>
    <row r="941" spans="3:24">
      <c r="C941" s="942"/>
      <c r="D941" s="943"/>
      <c r="E941" s="886"/>
      <c r="F941" s="886"/>
      <c r="G941" s="886"/>
      <c r="H941" s="886"/>
      <c r="I941" s="886"/>
      <c r="J941" s="886"/>
      <c r="K941" s="886"/>
      <c r="L941" s="886"/>
      <c r="M941" s="886"/>
      <c r="N941" s="886"/>
      <c r="O941" s="886"/>
      <c r="P941" s="886"/>
      <c r="Q941" s="886"/>
      <c r="R941" s="886"/>
      <c r="S941" s="886"/>
      <c r="T941" s="886"/>
      <c r="U941" s="886"/>
      <c r="V941" s="886"/>
      <c r="W941" s="886"/>
      <c r="X941" s="886"/>
    </row>
    <row r="942" spans="3:24">
      <c r="C942" s="942"/>
      <c r="D942" s="943"/>
      <c r="E942" s="886"/>
      <c r="F942" s="886"/>
      <c r="G942" s="886"/>
      <c r="H942" s="886"/>
      <c r="I942" s="886"/>
      <c r="J942" s="886"/>
      <c r="K942" s="886"/>
      <c r="L942" s="886"/>
      <c r="M942" s="886"/>
      <c r="N942" s="886"/>
      <c r="O942" s="886"/>
      <c r="P942" s="886"/>
      <c r="Q942" s="886"/>
      <c r="R942" s="886"/>
      <c r="S942" s="886"/>
      <c r="T942" s="886"/>
      <c r="U942" s="886"/>
      <c r="V942" s="886"/>
      <c r="W942" s="886"/>
      <c r="X942" s="886"/>
    </row>
    <row r="943" spans="3:24">
      <c r="C943" s="942"/>
      <c r="D943" s="943"/>
      <c r="E943" s="886"/>
      <c r="F943" s="886"/>
      <c r="G943" s="886"/>
      <c r="H943" s="886"/>
      <c r="I943" s="886"/>
      <c r="J943" s="886"/>
      <c r="K943" s="886"/>
      <c r="L943" s="886"/>
      <c r="M943" s="886"/>
      <c r="N943" s="886"/>
      <c r="O943" s="886"/>
      <c r="P943" s="886"/>
      <c r="Q943" s="886"/>
      <c r="R943" s="886"/>
      <c r="S943" s="886"/>
      <c r="T943" s="886"/>
      <c r="U943" s="886"/>
      <c r="V943" s="886"/>
      <c r="W943" s="886"/>
      <c r="X943" s="886"/>
    </row>
    <row r="944" spans="3:24">
      <c r="C944" s="942"/>
      <c r="D944" s="943"/>
      <c r="E944" s="886"/>
      <c r="F944" s="886"/>
      <c r="G944" s="886"/>
      <c r="H944" s="886"/>
      <c r="I944" s="886"/>
      <c r="J944" s="886"/>
      <c r="K944" s="886"/>
      <c r="L944" s="886"/>
      <c r="M944" s="886"/>
      <c r="N944" s="886"/>
      <c r="O944" s="886"/>
      <c r="P944" s="886"/>
      <c r="Q944" s="886"/>
      <c r="R944" s="886"/>
      <c r="S944" s="886"/>
      <c r="T944" s="886"/>
      <c r="U944" s="886"/>
      <c r="V944" s="886"/>
      <c r="W944" s="886"/>
      <c r="X944" s="886"/>
    </row>
    <row r="945" spans="3:24">
      <c r="C945" s="942"/>
      <c r="D945" s="943"/>
      <c r="E945" s="886"/>
      <c r="F945" s="886"/>
      <c r="G945" s="886"/>
      <c r="H945" s="886"/>
      <c r="I945" s="886"/>
      <c r="J945" s="886"/>
      <c r="K945" s="886"/>
      <c r="L945" s="886"/>
      <c r="M945" s="886"/>
      <c r="N945" s="886"/>
      <c r="O945" s="886"/>
      <c r="P945" s="886"/>
      <c r="Q945" s="886"/>
      <c r="R945" s="886"/>
      <c r="S945" s="886"/>
      <c r="T945" s="886"/>
      <c r="U945" s="886"/>
      <c r="V945" s="886"/>
      <c r="W945" s="886"/>
      <c r="X945" s="886"/>
    </row>
    <row r="946" spans="3:24">
      <c r="C946" s="942"/>
      <c r="D946" s="943"/>
      <c r="E946" s="886"/>
      <c r="F946" s="886"/>
      <c r="G946" s="886"/>
      <c r="H946" s="886"/>
      <c r="I946" s="886"/>
      <c r="J946" s="886"/>
      <c r="K946" s="886"/>
      <c r="L946" s="886"/>
      <c r="M946" s="886"/>
      <c r="N946" s="886"/>
      <c r="O946" s="886"/>
      <c r="P946" s="886"/>
      <c r="Q946" s="886"/>
      <c r="R946" s="886"/>
      <c r="S946" s="886"/>
      <c r="T946" s="886"/>
      <c r="U946" s="886"/>
      <c r="V946" s="886"/>
      <c r="W946" s="886"/>
      <c r="X946" s="886"/>
    </row>
    <row r="947" spans="3:24">
      <c r="C947" s="942"/>
      <c r="D947" s="943"/>
      <c r="E947" s="886"/>
      <c r="F947" s="886"/>
      <c r="G947" s="886"/>
      <c r="H947" s="886"/>
      <c r="I947" s="886"/>
      <c r="J947" s="886"/>
      <c r="K947" s="886"/>
      <c r="L947" s="886"/>
      <c r="M947" s="886"/>
      <c r="N947" s="886"/>
      <c r="O947" s="886"/>
      <c r="P947" s="886"/>
      <c r="Q947" s="886"/>
      <c r="R947" s="886"/>
      <c r="S947" s="886"/>
      <c r="T947" s="886"/>
      <c r="U947" s="886"/>
      <c r="V947" s="886"/>
      <c r="W947" s="886"/>
      <c r="X947" s="886"/>
    </row>
    <row r="948" spans="3:24">
      <c r="C948" s="942"/>
      <c r="D948" s="943"/>
      <c r="E948" s="886"/>
      <c r="F948" s="886"/>
      <c r="G948" s="886"/>
      <c r="H948" s="886"/>
      <c r="J948" s="886"/>
      <c r="K948" s="886"/>
      <c r="L948" s="886"/>
      <c r="M948" s="886"/>
      <c r="N948" s="886"/>
      <c r="O948" s="886"/>
      <c r="P948" s="886"/>
      <c r="Q948" s="886"/>
      <c r="R948" s="886"/>
      <c r="S948" s="886"/>
      <c r="T948" s="886"/>
      <c r="U948" s="886"/>
      <c r="V948" s="886"/>
      <c r="W948" s="886"/>
      <c r="X948" s="886"/>
    </row>
    <row r="949" spans="3:24">
      <c r="C949" s="942"/>
      <c r="D949" s="943"/>
      <c r="E949" s="886"/>
      <c r="F949" s="886"/>
      <c r="G949" s="886"/>
      <c r="H949" s="886"/>
      <c r="J949" s="886"/>
      <c r="K949" s="886"/>
      <c r="L949" s="886"/>
      <c r="M949" s="886"/>
      <c r="N949" s="886"/>
      <c r="O949" s="886"/>
      <c r="P949" s="886"/>
      <c r="Q949" s="886"/>
      <c r="R949" s="886"/>
      <c r="S949" s="886"/>
      <c r="T949" s="886"/>
      <c r="U949" s="886"/>
      <c r="V949" s="886"/>
      <c r="W949" s="886"/>
      <c r="X949" s="886"/>
    </row>
    <row r="950" spans="3:24">
      <c r="C950" s="942"/>
      <c r="D950" s="943"/>
      <c r="E950" s="886"/>
      <c r="F950" s="886"/>
      <c r="G950" s="886"/>
      <c r="H950" s="886"/>
      <c r="J950" s="886"/>
      <c r="K950" s="886"/>
      <c r="L950" s="886"/>
      <c r="M950" s="886"/>
      <c r="N950" s="886"/>
      <c r="O950" s="886"/>
      <c r="P950" s="886"/>
      <c r="Q950" s="886"/>
      <c r="R950" s="886"/>
      <c r="S950" s="886"/>
      <c r="T950" s="886"/>
      <c r="U950" s="886"/>
      <c r="V950" s="886"/>
      <c r="W950" s="886"/>
      <c r="X950" s="886"/>
    </row>
    <row r="951" spans="3:24">
      <c r="C951" s="942"/>
      <c r="D951" s="943"/>
      <c r="E951" s="886"/>
      <c r="F951" s="886"/>
      <c r="G951" s="886"/>
      <c r="H951" s="886"/>
      <c r="J951" s="886"/>
      <c r="K951" s="886"/>
      <c r="L951" s="886"/>
      <c r="M951" s="886"/>
      <c r="N951" s="886"/>
      <c r="O951" s="886"/>
      <c r="P951" s="886"/>
      <c r="Q951" s="886"/>
      <c r="R951" s="886"/>
      <c r="S951" s="886"/>
      <c r="T951" s="886"/>
      <c r="U951" s="886"/>
      <c r="V951" s="886"/>
      <c r="W951" s="886"/>
      <c r="X951" s="886"/>
    </row>
    <row r="952" spans="3:24">
      <c r="C952" s="942"/>
      <c r="D952" s="943"/>
      <c r="E952" s="886"/>
      <c r="F952" s="886"/>
      <c r="G952" s="886"/>
      <c r="H952" s="886"/>
      <c r="J952" s="886"/>
      <c r="K952" s="886"/>
      <c r="L952" s="886"/>
      <c r="M952" s="886"/>
      <c r="N952" s="886"/>
      <c r="O952" s="886"/>
      <c r="P952" s="886"/>
      <c r="Q952" s="886"/>
      <c r="R952" s="886"/>
      <c r="S952" s="886"/>
      <c r="T952" s="886"/>
      <c r="U952" s="886"/>
      <c r="V952" s="886"/>
      <c r="W952" s="886"/>
      <c r="X952" s="886"/>
    </row>
    <row r="953" spans="3:24">
      <c r="K953" s="886"/>
      <c r="L953" s="886"/>
      <c r="M953" s="886"/>
      <c r="N953" s="886"/>
      <c r="O953" s="886"/>
      <c r="P953" s="886"/>
      <c r="Q953" s="886"/>
      <c r="R953" s="886"/>
      <c r="S953" s="886"/>
      <c r="T953" s="886"/>
      <c r="U953" s="886"/>
      <c r="V953" s="886"/>
      <c r="W953" s="886"/>
      <c r="X953" s="886"/>
    </row>
    <row r="954" spans="3:24">
      <c r="K954" s="886"/>
      <c r="L954" s="886"/>
      <c r="M954" s="886"/>
      <c r="N954" s="886"/>
      <c r="O954" s="886"/>
      <c r="P954" s="886"/>
      <c r="Q954" s="886"/>
      <c r="R954" s="886"/>
      <c r="S954" s="886"/>
      <c r="T954" s="886"/>
      <c r="U954" s="886"/>
      <c r="V954" s="886"/>
      <c r="W954" s="886"/>
      <c r="X954" s="886"/>
    </row>
    <row r="955" spans="3:24">
      <c r="K955" s="886"/>
      <c r="L955" s="886"/>
      <c r="M955" s="886"/>
      <c r="N955" s="886"/>
      <c r="O955" s="886"/>
      <c r="P955" s="886"/>
      <c r="Q955" s="886"/>
      <c r="R955" s="886"/>
      <c r="S955" s="886"/>
      <c r="T955" s="886"/>
      <c r="U955" s="886"/>
      <c r="V955" s="886"/>
      <c r="W955" s="886"/>
      <c r="X955" s="886"/>
    </row>
    <row r="956" spans="3:24">
      <c r="K956" s="886"/>
      <c r="L956" s="886"/>
      <c r="M956" s="886"/>
      <c r="N956" s="886"/>
      <c r="O956" s="886"/>
      <c r="P956" s="886"/>
      <c r="Q956" s="886"/>
      <c r="R956" s="886"/>
      <c r="S956" s="886"/>
      <c r="T956" s="886"/>
      <c r="U956" s="886"/>
      <c r="V956" s="886"/>
      <c r="W956" s="886"/>
      <c r="X956" s="886"/>
    </row>
    <row r="957" spans="3:24">
      <c r="K957" s="886"/>
      <c r="L957" s="886"/>
      <c r="M957" s="886"/>
      <c r="N957" s="886"/>
      <c r="O957" s="886"/>
      <c r="P957" s="886"/>
      <c r="Q957" s="886"/>
      <c r="R957" s="886"/>
      <c r="S957" s="886"/>
      <c r="T957" s="886"/>
      <c r="U957" s="886"/>
      <c r="V957" s="886"/>
      <c r="W957" s="886"/>
      <c r="X957" s="886"/>
    </row>
  </sheetData>
  <mergeCells count="31">
    <mergeCell ref="C7:D7"/>
    <mergeCell ref="F7:H7"/>
    <mergeCell ref="C2:I2"/>
    <mergeCell ref="C3:D3"/>
    <mergeCell ref="F3:I3"/>
    <mergeCell ref="C4:D4"/>
    <mergeCell ref="F4:I4"/>
    <mergeCell ref="C5:D5"/>
    <mergeCell ref="F5:I5"/>
    <mergeCell ref="C9:I9"/>
    <mergeCell ref="C25:D25"/>
    <mergeCell ref="C23:D23"/>
    <mergeCell ref="C24:D24"/>
    <mergeCell ref="C15:D15"/>
    <mergeCell ref="C17:D17"/>
    <mergeCell ref="C18:D18"/>
    <mergeCell ref="C26:D26"/>
    <mergeCell ref="C10:D10"/>
    <mergeCell ref="C11:D11"/>
    <mergeCell ref="B12:I12"/>
    <mergeCell ref="B19:I19"/>
    <mergeCell ref="B16:I16"/>
    <mergeCell ref="B13:B15"/>
    <mergeCell ref="B20:B26"/>
    <mergeCell ref="C20:D20"/>
    <mergeCell ref="B10:B11"/>
    <mergeCell ref="C13:D13"/>
    <mergeCell ref="C14:D14"/>
    <mergeCell ref="B17:B18"/>
    <mergeCell ref="C21:D21"/>
    <mergeCell ref="C22:D22"/>
  </mergeCell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ErrorMessage="1" xr:uid="{D6DCC3ED-EE2B-4AC7-9C71-6A9F82D60FF9}">
          <x14:formula1>
            <xm:f>'Technical DB (Life)'!$A$3:$A$13</xm:f>
          </x14:formula1>
          <xm:sqref>H8:I8</xm:sqref>
        </x14:dataValidation>
        <x14:dataValidation type="list" allowBlank="1" showErrorMessage="1" xr:uid="{C23F7BCF-4EF8-4010-B197-EB7F6456565D}">
          <x14:formula1>
            <xm:f>'Technical DB (Health)'!$A$3:$A$27</xm:f>
          </x14:formula1>
          <xm:sqref>F8 G8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06123-9D8C-4A76-B8BD-CA73E744A598}">
  <dimension ref="A1:X948"/>
  <sheetViews>
    <sheetView showGridLines="0" topLeftCell="B1" zoomScaleNormal="100" workbookViewId="0">
      <pane xSplit="4" ySplit="9" topLeftCell="F10" activePane="bottomRight" state="frozen"/>
      <selection activeCell="B1" sqref="B1"/>
      <selection pane="topRight" activeCell="F1" sqref="F1"/>
      <selection pane="bottomLeft" activeCell="B10" sqref="B10"/>
      <selection pane="bottomRight" activeCell="F8" sqref="F8"/>
    </sheetView>
  </sheetViews>
  <sheetFormatPr defaultColWidth="14.44140625" defaultRowHeight="12.6"/>
  <cols>
    <col min="1" max="1" width="2.21875" style="882" customWidth="1"/>
    <col min="2" max="2" width="32.33203125" style="882" customWidth="1"/>
    <col min="3" max="3" width="29.77734375" style="882" customWidth="1"/>
    <col min="4" max="4" width="10.109375" style="883" customWidth="1"/>
    <col min="5" max="5" width="0.88671875" style="882" customWidth="1"/>
    <col min="6" max="9" width="32.88671875" style="882" customWidth="1"/>
    <col min="10" max="10" width="39.44140625" style="882" customWidth="1"/>
    <col min="11" max="24" width="8.5546875" style="882" customWidth="1"/>
    <col min="25" max="16384" width="14.44140625" style="882"/>
  </cols>
  <sheetData>
    <row r="1" spans="1:24" ht="13.2" thickBot="1">
      <c r="A1" s="881" t="str">
        <f>Inputs!B5</f>
        <v>Bandana Gupta Class</v>
      </c>
    </row>
    <row r="2" spans="1:24" ht="13.2" thickBot="1">
      <c r="A2" s="884">
        <f>Inputs!B2</f>
        <v>45177</v>
      </c>
      <c r="B2" s="885"/>
      <c r="C2" s="1418" t="s">
        <v>0</v>
      </c>
      <c r="D2" s="1419"/>
      <c r="E2" s="1419"/>
      <c r="F2" s="1419"/>
      <c r="G2" s="1419"/>
      <c r="H2" s="1419"/>
      <c r="I2" s="1420"/>
      <c r="K2" s="886"/>
      <c r="L2" s="886"/>
      <c r="M2" s="886"/>
      <c r="N2" s="886"/>
      <c r="O2" s="886"/>
      <c r="P2" s="886"/>
      <c r="Q2" s="886"/>
      <c r="R2" s="886"/>
      <c r="S2" s="886"/>
      <c r="T2" s="886"/>
      <c r="U2" s="886"/>
      <c r="V2" s="886"/>
      <c r="W2" s="886"/>
      <c r="X2" s="886"/>
    </row>
    <row r="3" spans="1:24">
      <c r="B3" s="885"/>
      <c r="C3" s="1421" t="s">
        <v>337</v>
      </c>
      <c r="D3" s="1422"/>
      <c r="E3" s="1003"/>
      <c r="F3" s="1318" t="str">
        <f>'GTLI Features (Option 1)'!F3</f>
        <v>ABC</v>
      </c>
      <c r="G3" s="1423"/>
      <c r="H3" s="1423"/>
      <c r="I3" s="1424"/>
      <c r="J3" s="1004"/>
      <c r="K3" s="886"/>
      <c r="L3" s="886"/>
      <c r="M3" s="886"/>
      <c r="N3" s="886"/>
      <c r="O3" s="886"/>
      <c r="P3" s="886"/>
      <c r="Q3" s="886"/>
      <c r="R3" s="886"/>
      <c r="S3" s="886"/>
      <c r="T3" s="886"/>
      <c r="U3" s="886"/>
      <c r="V3" s="886"/>
      <c r="W3" s="886"/>
      <c r="X3" s="886"/>
    </row>
    <row r="4" spans="1:24">
      <c r="B4" s="885"/>
      <c r="C4" s="1425" t="s">
        <v>338</v>
      </c>
      <c r="D4" s="1426"/>
      <c r="E4" s="1003"/>
      <c r="F4" s="1321" t="str">
        <f>'GTLI Features (Option 1)'!F4</f>
        <v>Rollover</v>
      </c>
      <c r="G4" s="1428"/>
      <c r="H4" s="1428"/>
      <c r="I4" s="1429"/>
      <c r="J4" s="1066"/>
      <c r="K4" s="886"/>
      <c r="L4" s="886"/>
      <c r="M4" s="886"/>
      <c r="N4" s="886"/>
      <c r="O4" s="886"/>
      <c r="P4" s="886"/>
      <c r="Q4" s="886"/>
      <c r="R4" s="886"/>
      <c r="S4" s="886"/>
      <c r="T4" s="886"/>
      <c r="U4" s="886"/>
      <c r="V4" s="886"/>
      <c r="W4" s="886"/>
      <c r="X4" s="886"/>
    </row>
    <row r="5" spans="1:24">
      <c r="B5" s="885"/>
      <c r="C5" s="1425" t="s">
        <v>341</v>
      </c>
      <c r="D5" s="1426"/>
      <c r="E5" s="1003"/>
      <c r="F5" s="1321" t="str">
        <f>'GTLI Features (Option 1)'!F5</f>
        <v>1-Apr-25 To 31-Mar-26</v>
      </c>
      <c r="G5" s="1428"/>
      <c r="H5" s="1428"/>
      <c r="I5" s="1429"/>
      <c r="J5" s="1066"/>
      <c r="K5" s="886"/>
      <c r="L5" s="886"/>
      <c r="M5" s="886"/>
      <c r="N5" s="886"/>
      <c r="O5" s="886"/>
      <c r="P5" s="886"/>
      <c r="Q5" s="886"/>
      <c r="R5" s="886"/>
      <c r="S5" s="886"/>
      <c r="T5" s="886"/>
      <c r="U5" s="886"/>
      <c r="V5" s="886"/>
      <c r="W5" s="886"/>
      <c r="X5" s="886"/>
    </row>
    <row r="6" spans="1:24" ht="13.2" thickBot="1">
      <c r="B6" s="885"/>
      <c r="C6" s="888"/>
      <c r="D6" s="888"/>
      <c r="E6" s="888"/>
      <c r="F6" s="889"/>
      <c r="G6" s="889"/>
      <c r="H6" s="889"/>
      <c r="I6" s="889"/>
      <c r="J6" s="889"/>
      <c r="K6" s="886"/>
      <c r="L6" s="886"/>
      <c r="M6" s="886"/>
      <c r="N6" s="886"/>
      <c r="O6" s="886"/>
      <c r="P6" s="886"/>
      <c r="Q6" s="886"/>
      <c r="R6" s="886"/>
      <c r="S6" s="886"/>
      <c r="T6" s="886"/>
      <c r="U6" s="886"/>
      <c r="V6" s="886"/>
      <c r="W6" s="886"/>
      <c r="X6" s="886"/>
    </row>
    <row r="7" spans="1:24" ht="13.2" thickBot="1">
      <c r="B7" s="885"/>
      <c r="C7" s="1336"/>
      <c r="D7" s="1336"/>
      <c r="E7" s="888"/>
      <c r="F7" s="1332" t="s">
        <v>67</v>
      </c>
      <c r="G7" s="1333"/>
      <c r="H7" s="1334"/>
      <c r="I7" s="890" t="s">
        <v>68</v>
      </c>
      <c r="J7" s="886"/>
      <c r="K7" s="886"/>
      <c r="L7" s="886"/>
      <c r="M7" s="886"/>
      <c r="N7" s="886"/>
      <c r="O7" s="886"/>
      <c r="P7" s="886"/>
      <c r="Q7" s="886"/>
      <c r="R7" s="886"/>
      <c r="S7" s="886"/>
      <c r="T7" s="886"/>
      <c r="U7" s="886"/>
      <c r="V7" s="886"/>
      <c r="W7" s="886"/>
      <c r="X7" s="886"/>
    </row>
    <row r="8" spans="1:24" ht="13.2" thickBot="1">
      <c r="B8" s="885"/>
      <c r="C8" s="891"/>
      <c r="D8" s="891"/>
      <c r="E8" s="891"/>
      <c r="F8" s="893" t="s">
        <v>517</v>
      </c>
      <c r="G8" s="1005" t="s">
        <v>94</v>
      </c>
      <c r="H8" s="895" t="s">
        <v>823</v>
      </c>
      <c r="I8" s="1006" t="s">
        <v>517</v>
      </c>
      <c r="J8" s="1007"/>
      <c r="L8" s="886"/>
      <c r="M8" s="886"/>
      <c r="N8" s="886"/>
      <c r="O8" s="886"/>
      <c r="P8" s="886"/>
      <c r="Q8" s="886"/>
      <c r="R8" s="886"/>
      <c r="S8" s="886"/>
      <c r="T8" s="886"/>
      <c r="U8" s="886"/>
      <c r="V8" s="886"/>
      <c r="W8" s="886"/>
      <c r="X8" s="886"/>
    </row>
    <row r="9" spans="1:24" ht="13.2" thickBot="1">
      <c r="B9" s="898"/>
      <c r="C9" s="1337" t="s">
        <v>143</v>
      </c>
      <c r="D9" s="1338"/>
      <c r="E9" s="1338"/>
      <c r="F9" s="1414"/>
      <c r="G9" s="1414"/>
      <c r="H9" s="1414"/>
      <c r="I9" s="1435"/>
      <c r="J9" s="886"/>
      <c r="L9" s="886"/>
      <c r="M9" s="886"/>
      <c r="N9" s="886"/>
      <c r="O9" s="886"/>
      <c r="P9" s="886"/>
      <c r="Q9" s="886"/>
      <c r="R9" s="886"/>
      <c r="S9" s="886"/>
      <c r="T9" s="886"/>
      <c r="U9" s="886"/>
      <c r="V9" s="886"/>
      <c r="W9" s="886"/>
      <c r="X9" s="886"/>
    </row>
    <row r="10" spans="1:24">
      <c r="B10" s="1340" t="s">
        <v>523</v>
      </c>
      <c r="C10" s="1406" t="s">
        <v>146</v>
      </c>
      <c r="D10" s="1407"/>
      <c r="E10" s="1008"/>
      <c r="F10" s="1009">
        <f>INDEX('Technical DB (Life)'!$B$3:$J$38,MATCH(F$8,'Technical DB (Life)'!$A$3:$A$38,0),MATCH($C10,'Technical DB (Life)'!$B$2:$J$2,0))</f>
        <v>2000</v>
      </c>
      <c r="G10" s="1067">
        <f>INDEX('Technical DB (Life)'!$B$3:$J$38,MATCH(G$8,'Technical DB (Life)'!$A$3:$A$38,0),MATCH($C10,'Technical DB (Life)'!$B$2:$J$2,0))</f>
        <v>2007</v>
      </c>
      <c r="H10" s="1019">
        <f>INDEX('Technical DB (Life)'!$B$3:$J$38,MATCH(H$8,'Technical DB (Life)'!$A$3:$A$38,0),MATCH($C10,'Technical DB (Life)'!$B$2:$J$2,0))</f>
        <v>2021</v>
      </c>
      <c r="I10" s="1020">
        <f>INDEX('Technical DB (Life)'!$B$3:$J$38,MATCH(I$8,'Technical DB (Life)'!$A$3:$A$38,0),MATCH($C10,'Technical DB (Life)'!$B$2:$J$2,0))</f>
        <v>2000</v>
      </c>
      <c r="J10" s="1013"/>
      <c r="K10" s="973"/>
      <c r="L10" s="886"/>
      <c r="M10" s="886"/>
      <c r="N10" s="886"/>
      <c r="O10" s="886"/>
      <c r="P10" s="886"/>
      <c r="Q10" s="886"/>
      <c r="R10" s="886"/>
      <c r="S10" s="886"/>
      <c r="T10" s="886"/>
      <c r="U10" s="886"/>
      <c r="V10" s="886"/>
      <c r="W10" s="886"/>
      <c r="X10" s="886"/>
    </row>
    <row r="11" spans="1:24" ht="31.2" customHeight="1" thickBot="1">
      <c r="B11" s="1411"/>
      <c r="C11" s="1404" t="s">
        <v>147</v>
      </c>
      <c r="D11" s="1405"/>
      <c r="E11" s="1008"/>
      <c r="F11" s="1026" t="str">
        <f>INDEX('Technical DB (Life)'!$B$3:$J$38,MATCH(F$8,'Technical DB (Life)'!$A$3:$A$38,0),MATCH($C11,'Technical DB (Life)'!$B$2:$J$2,0))</f>
        <v>ICICI Bank, Prudential Corporation Group</v>
      </c>
      <c r="G11" s="1068" t="str">
        <f>INDEX('Technical DB (Life)'!$B$3:$J$38,MATCH(G$8,'Technical DB (Life)'!$A$3:$A$38,0),MATCH($C11,'Technical DB (Life)'!$B$2:$J$2,0))</f>
        <v>Piramal Group, Prudential International Group</v>
      </c>
      <c r="H11" s="1016" t="str">
        <f>INDEX('Technical DB (Life)'!$B$3:$J$38,MATCH(H$8,'Technical DB (Life)'!$A$3:$A$38,0),MATCH($C11,'Technical DB (Life)'!$B$2:$J$2,0))</f>
        <v>Fairfax Group</v>
      </c>
      <c r="I11" s="1017" t="str">
        <f>INDEX('Technical DB (Life)'!$B$3:$J$38,MATCH(I$8,'Technical DB (Life)'!$A$3:$A$38,0),MATCH($C11,'Technical DB (Life)'!$B$2:$J$2,0))</f>
        <v>ICICI Bank, Prudential Corporation Group</v>
      </c>
      <c r="J11" s="1013"/>
      <c r="K11" s="923"/>
      <c r="L11" s="886"/>
      <c r="M11" s="886"/>
      <c r="N11" s="886"/>
      <c r="O11" s="886"/>
      <c r="P11" s="886"/>
      <c r="Q11" s="886"/>
      <c r="R11" s="886"/>
      <c r="S11" s="886"/>
      <c r="T11" s="886"/>
      <c r="U11" s="886"/>
      <c r="V11" s="886"/>
      <c r="W11" s="886"/>
      <c r="X11" s="886"/>
    </row>
    <row r="12" spans="1:24" ht="4.2" customHeight="1" thickBot="1">
      <c r="B12" s="1408"/>
      <c r="C12" s="1408"/>
      <c r="D12" s="1408"/>
      <c r="E12" s="1408"/>
      <c r="F12" s="1408"/>
      <c r="G12" s="1408"/>
      <c r="H12" s="1408"/>
      <c r="I12" s="1408"/>
      <c r="J12" s="886"/>
      <c r="K12" s="886"/>
      <c r="L12" s="886"/>
      <c r="M12" s="886"/>
      <c r="N12" s="886"/>
      <c r="O12" s="886"/>
      <c r="P12" s="886"/>
      <c r="Q12" s="886"/>
      <c r="R12" s="886"/>
      <c r="S12" s="886"/>
      <c r="T12" s="886"/>
      <c r="U12" s="886"/>
    </row>
    <row r="13" spans="1:24">
      <c r="B13" s="1346" t="s">
        <v>524</v>
      </c>
      <c r="C13" s="1430" t="s">
        <v>815</v>
      </c>
      <c r="D13" s="1431"/>
      <c r="E13" s="1008"/>
      <c r="F13" s="1069" t="str">
        <f>INDEX('Technical DB (Life)'!$B$3:$J$38,MATCH(F$8,'Technical DB (Life)'!$A$3:$A$38,0),MATCH($C13,'Technical DB (Life)'!$B$2:$J$2,0))</f>
        <v>₹ 6,815 Cr</v>
      </c>
      <c r="G13" s="1018" t="str">
        <f>INDEX('Technical DB (Life)'!$B$3:$J$38,MATCH(G$8,'Technical DB (Life)'!$A$3:$A$38,0),MATCH($C13,'Technical DB (Life)'!$B$2:$J$2,0))</f>
        <v>₹ 134 Cr</v>
      </c>
      <c r="H13" s="1019" t="str">
        <f>INDEX('Technical DB (Life)'!$B$3:$J$38,MATCH(H$8,'Technical DB (Life)'!$A$3:$A$38,0),MATCH($C13,'Technical DB (Life)'!$B$2:$J$2,0))</f>
        <v>₹ 331 Cr</v>
      </c>
      <c r="I13" s="1020" t="str">
        <f>INDEX('Technical DB (Life)'!$B$3:$J$38,MATCH(I$8,'Technical DB (Life)'!$A$3:$A$38,0),MATCH($C13,'Technical DB (Life)'!$B$2:$J$2,0))</f>
        <v>₹ 6,815 Cr</v>
      </c>
      <c r="J13" s="1007"/>
      <c r="L13" s="886"/>
      <c r="M13" s="886"/>
      <c r="N13" s="886"/>
      <c r="O13" s="886"/>
      <c r="P13" s="886"/>
      <c r="Q13" s="886"/>
      <c r="R13" s="886"/>
      <c r="S13" s="886"/>
      <c r="T13" s="886"/>
      <c r="U13" s="886"/>
      <c r="V13" s="886"/>
      <c r="W13" s="886"/>
      <c r="X13" s="886"/>
    </row>
    <row r="14" spans="1:24">
      <c r="B14" s="1347"/>
      <c r="C14" s="1432" t="s">
        <v>816</v>
      </c>
      <c r="D14" s="1433"/>
      <c r="E14" s="1021"/>
      <c r="F14" s="1070">
        <f>INDEX('Technical DB (Life)'!$B$3:$J$38,MATCH(F$8,'Technical DB (Life)'!$A$3:$A$38,0),MATCH($C14,'Technical DB (Life)'!$B$2:$J$2,0))</f>
        <v>0.96409999999999996</v>
      </c>
      <c r="G14" s="1071">
        <f>INDEX('Technical DB (Life)'!$B$3:$J$38,MATCH(F$8,'Technical DB (Life)'!$A$3:$A$38,0),MATCH($C14,'Technical DB (Life)'!$B$2:$J$2,0))</f>
        <v>0.96409999999999996</v>
      </c>
      <c r="H14" s="1072">
        <f>INDEX('Technical DB (Life)'!$B$3:$J$38,MATCH(G$8,'Technical DB (Life)'!$A$3:$A$38,0),MATCH($C14,'Technical DB (Life)'!$B$2:$J$2,0))</f>
        <v>1.0354000000000001</v>
      </c>
      <c r="I14" s="1073">
        <f>INDEX('Technical DB (Life)'!$B$3:$J$38,MATCH(I$8,'Technical DB (Life)'!$A$3:$A$38,0),MATCH($C14,'Technical DB (Life)'!$B$2:$J$2,0))</f>
        <v>0.96409999999999996</v>
      </c>
      <c r="J14" s="886"/>
      <c r="L14" s="886"/>
      <c r="M14" s="886"/>
      <c r="N14" s="886"/>
      <c r="O14" s="886" t="s">
        <v>357</v>
      </c>
      <c r="P14" s="886"/>
      <c r="Q14" s="886"/>
      <c r="R14" s="886"/>
      <c r="S14" s="886"/>
      <c r="T14" s="886"/>
      <c r="U14" s="886"/>
      <c r="V14" s="886"/>
      <c r="W14" s="886"/>
      <c r="X14" s="886"/>
    </row>
    <row r="15" spans="1:24" ht="13.2" thickBot="1">
      <c r="B15" s="1348"/>
      <c r="C15" s="1416" t="s">
        <v>527</v>
      </c>
      <c r="D15" s="1434"/>
      <c r="E15" s="1008"/>
      <c r="F15" s="1074">
        <f>INDEX('Technical DB (Life)'!$B$3:$J$38,MATCH(F$8,'Technical DB (Life)'!$A$3:$A$38,0),MATCH($C15,'Technical DB (Life)'!$B$2:$J$2,0))</f>
        <v>1.92</v>
      </c>
      <c r="G15" s="1075">
        <f>INDEX('Technical DB (Life)'!$B$3:$J$38,MATCH(F$8,'Technical DB (Life)'!$A$3:$A$38,0),MATCH($C15,'Technical DB (Life)'!$B$2:$J$2,0))</f>
        <v>1.92</v>
      </c>
      <c r="H15" s="1076">
        <f>INDEX('Technical DB (Life)'!$B$3:$J$38,MATCH(G$8,'Technical DB (Life)'!$A$3:$A$38,0),MATCH($C15,'Technical DB (Life)'!$B$2:$J$2,0))</f>
        <v>2.62</v>
      </c>
      <c r="I15" s="1077">
        <f>INDEX('Technical DB (Life)'!$B$3:$J$38,MATCH(I$8,'Technical DB (Life)'!$A$3:$A$38,0),MATCH($C15,'Technical DB (Life)'!$B$2:$J$2,0))</f>
        <v>1.92</v>
      </c>
      <c r="J15" s="886"/>
      <c r="K15" s="886"/>
      <c r="L15" s="886"/>
      <c r="M15" s="886"/>
      <c r="N15" s="886"/>
      <c r="O15" s="886"/>
      <c r="P15" s="886"/>
      <c r="Q15" s="886"/>
      <c r="R15" s="886"/>
      <c r="S15" s="886"/>
      <c r="T15" s="886"/>
      <c r="U15" s="886"/>
      <c r="V15" s="886"/>
      <c r="W15" s="886"/>
      <c r="X15" s="886"/>
    </row>
    <row r="16" spans="1:24" ht="4.2" customHeight="1" thickBot="1">
      <c r="B16" s="1408"/>
      <c r="C16" s="1408"/>
      <c r="D16" s="1408"/>
      <c r="E16" s="1408"/>
      <c r="F16" s="1408"/>
      <c r="G16" s="1408"/>
      <c r="H16" s="1408"/>
      <c r="I16" s="1408"/>
      <c r="J16" s="886"/>
      <c r="K16" s="886"/>
      <c r="L16" s="886"/>
      <c r="M16" s="886"/>
      <c r="N16" s="886"/>
      <c r="O16" s="886"/>
      <c r="P16" s="886"/>
      <c r="Q16" s="886"/>
      <c r="R16" s="886"/>
      <c r="S16" s="886"/>
      <c r="T16" s="886"/>
      <c r="U16" s="886"/>
    </row>
    <row r="17" spans="2:24">
      <c r="B17" s="1346" t="s">
        <v>153</v>
      </c>
      <c r="C17" s="1409" t="s">
        <v>154</v>
      </c>
      <c r="D17" s="1410"/>
      <c r="E17" s="1030"/>
      <c r="F17" s="1078" t="str">
        <f>INDEX('Technical DB (Life)'!$B$3:$J$38,MATCH(F$8,'Technical DB (Life)'!$A$3:$A$38,0),MATCH($C17,'Technical DB (Life)'!$B$2:$J$2,0))</f>
        <v>15 to 30 Days</v>
      </c>
      <c r="G17" s="1079" t="str">
        <f>INDEX('Technical DB (Life)'!$B$3:$J$38,MATCH(G$8,'Technical DB (Life)'!$A$3:$A$38,0),MATCH($C17,'Technical DB (Life)'!$B$2:$J$2,0))</f>
        <v>7 to 15 Days</v>
      </c>
      <c r="H17" s="1080" t="str">
        <f>INDEX('Technical DB (Life)'!$B$3:$J$38,MATCH(H$8,'Technical DB (Life)'!$A$3:$A$38,0),MATCH($C17,'Technical DB (Life)'!$B$2:$J$2,0))</f>
        <v>15 to 30 Days</v>
      </c>
      <c r="I17" s="1081" t="str">
        <f>INDEX('Technical DB (Life)'!$B$3:$J$38,MATCH(I$8,'Technical DB (Life)'!$A$3:$A$38,0),MATCH($C17,'Technical DB (Life)'!$B$2:$J$2,0))</f>
        <v>15 to 30 Days</v>
      </c>
      <c r="J17" s="886"/>
      <c r="K17" s="886"/>
      <c r="L17" s="886"/>
      <c r="M17" s="886"/>
      <c r="N17" s="886"/>
      <c r="O17" s="886"/>
      <c r="P17" s="886"/>
      <c r="Q17" s="886"/>
      <c r="R17" s="886"/>
      <c r="S17" s="886"/>
      <c r="T17" s="886"/>
      <c r="U17" s="886"/>
      <c r="V17" s="886"/>
      <c r="W17" s="886"/>
      <c r="X17" s="886"/>
    </row>
    <row r="18" spans="2:24" ht="13.2" thickBot="1">
      <c r="B18" s="1348"/>
      <c r="C18" s="1404" t="s">
        <v>155</v>
      </c>
      <c r="D18" s="1405"/>
      <c r="E18" s="1030"/>
      <c r="F18" s="1082" t="str">
        <f>INDEX('Technical DB (Life)'!$B$3:$J$38,MATCH(F$8,'Technical DB (Life)'!$A$3:$A$38,0),MATCH($C18,'Technical DB (Life)'!$B$2:$J$2,0))</f>
        <v>1 to 3 Days</v>
      </c>
      <c r="G18" s="1083" t="str">
        <f>INDEX('Technical DB (Life)'!$B$3:$J$38,MATCH(G$8,'Technical DB (Life)'!$A$3:$A$38,0),MATCH($C18,'Technical DB (Life)'!$B$2:$J$2,0))</f>
        <v>3 to 5 Days</v>
      </c>
      <c r="H18" s="1084" t="str">
        <f>INDEX('Technical DB (Life)'!$B$3:$J$38,MATCH(G$8,'Technical DB (Life)'!$A$3:$A$38,0),MATCH($C18,'Technical DB (Life)'!$B$2:$J$2,0))</f>
        <v>3 to 5 Days</v>
      </c>
      <c r="I18" s="1085" t="str">
        <f>INDEX('Technical DB (Life)'!$B$3:$J$38,MATCH(I$8,'Technical DB (Life)'!$A$3:$A$38,0),MATCH($C18,'Technical DB (Life)'!$B$2:$J$2,0))</f>
        <v>1 to 3 Days</v>
      </c>
      <c r="J18" s="886"/>
      <c r="K18" s="886"/>
      <c r="L18" s="886"/>
      <c r="M18" s="886"/>
      <c r="N18" s="886"/>
      <c r="O18" s="886"/>
      <c r="P18" s="886"/>
      <c r="Q18" s="886"/>
      <c r="R18" s="886"/>
      <c r="S18" s="886"/>
      <c r="T18" s="886"/>
      <c r="U18" s="886"/>
      <c r="V18" s="886"/>
      <c r="W18" s="886"/>
      <c r="X18" s="886"/>
    </row>
    <row r="19" spans="2:24" ht="4.2" customHeight="1" thickBot="1"/>
    <row r="20" spans="2:24">
      <c r="B20" s="1347" t="s">
        <v>528</v>
      </c>
      <c r="C20" s="1409" t="s">
        <v>158</v>
      </c>
      <c r="D20" s="1410"/>
      <c r="E20" s="1030"/>
      <c r="F20" s="1086">
        <f>INDEX('Technical DB (Life)'!$B$3:$J$38,MATCH(F$8,'Technical DB (Life)'!$A$3:$A$38,0),MATCH($C20,'Technical DB (Life)'!$B$2:$J$2,0))</f>
        <v>0.96850000000000003</v>
      </c>
      <c r="G20" s="1079">
        <f>INDEX('Technical DB (Life)'!$B$3:$J$38,MATCH(G$8,'Technical DB (Life)'!$A$3:$A$38,0),MATCH($C20,'Technical DB (Life)'!$B$2:$J$2,0))</f>
        <v>0.92749999999999999</v>
      </c>
      <c r="H20" s="1080">
        <f>INDEX('Technical DB (Life)'!$B$3:$J$38,MATCH(H$8,'Technical DB (Life)'!$A$3:$A$38,0),MATCH($C20,'Technical DB (Life)'!$B$2:$J$2,0))</f>
        <v>0.57540000000000002</v>
      </c>
      <c r="I20" s="1081">
        <f>INDEX('Technical DB (Life)'!$B$3:$J$38,MATCH(I$8,'Technical DB (Life)'!$A$3:$A$38,0),MATCH($C20,'Technical DB (Life)'!$B$2:$J$2,0))</f>
        <v>0.96850000000000003</v>
      </c>
      <c r="J20" s="886"/>
      <c r="K20" s="886"/>
      <c r="L20" s="886"/>
      <c r="M20" s="886"/>
      <c r="N20" s="886"/>
      <c r="O20" s="886"/>
      <c r="P20" s="886"/>
      <c r="Q20" s="886"/>
      <c r="R20" s="886"/>
      <c r="S20" s="886"/>
      <c r="T20" s="886"/>
      <c r="U20" s="886"/>
      <c r="V20" s="886"/>
      <c r="W20" s="886"/>
      <c r="X20" s="886"/>
    </row>
    <row r="21" spans="2:24" ht="13.2" thickBot="1">
      <c r="B21" s="1347"/>
      <c r="C21" s="1404" t="s">
        <v>1119</v>
      </c>
      <c r="D21" s="1405"/>
      <c r="E21" s="1030"/>
      <c r="F21" s="1082">
        <f>INDEX('Technical DB (Life)'!$B$3:$J$38,MATCH(F$8,'Technical DB (Life)'!$A$3:$A$38,0),MATCH($C21,'Technical DB (Life)'!$B$2:$J$2,0))</f>
        <v>0.98899999999999999</v>
      </c>
      <c r="G21" s="1083">
        <f>INDEX('Technical DB (Life)'!$B$3:$J$38,MATCH(G$8,'Technical DB (Life)'!$A$3:$A$38,0),MATCH($C21,'Technical DB (Life)'!$B$2:$J$2,0))</f>
        <v>0.97950000000000004</v>
      </c>
      <c r="H21" s="1084">
        <f>INDEX('Technical DB (Life)'!$B$3:$J$38,MATCH(G$8,'Technical DB (Life)'!$A$3:$A$38,0),MATCH($C21,'Technical DB (Life)'!$B$2:$J$2,0))</f>
        <v>0.97950000000000004</v>
      </c>
      <c r="I21" s="1085">
        <f>INDEX('Technical DB (Life)'!$B$3:$J$38,MATCH(I$8,'Technical DB (Life)'!$A$3:$A$38,0),MATCH($C21,'Technical DB (Life)'!$B$2:$J$2,0))</f>
        <v>0.98899999999999999</v>
      </c>
      <c r="J21" s="886"/>
      <c r="K21" s="886"/>
      <c r="L21" s="886"/>
      <c r="M21" s="886"/>
      <c r="N21" s="886"/>
      <c r="O21" s="886"/>
      <c r="P21" s="886"/>
      <c r="Q21" s="886"/>
      <c r="R21" s="886"/>
      <c r="S21" s="886"/>
      <c r="T21" s="886"/>
      <c r="U21" s="886"/>
      <c r="V21" s="886"/>
      <c r="W21" s="886"/>
      <c r="X21" s="886"/>
    </row>
    <row r="22" spans="2:24">
      <c r="C22" s="942"/>
      <c r="D22" s="943"/>
      <c r="E22" s="886"/>
      <c r="F22" s="886"/>
      <c r="G22" s="886"/>
      <c r="H22" s="886"/>
      <c r="I22" s="886"/>
      <c r="J22" s="886"/>
      <c r="K22" s="886"/>
      <c r="L22" s="886"/>
      <c r="M22" s="886"/>
      <c r="N22" s="886"/>
      <c r="O22" s="886"/>
      <c r="P22" s="886"/>
      <c r="Q22" s="886"/>
      <c r="R22" s="886"/>
      <c r="S22" s="886"/>
      <c r="T22" s="886"/>
      <c r="U22" s="886"/>
      <c r="V22" s="886"/>
      <c r="W22" s="886"/>
      <c r="X22" s="886"/>
    </row>
    <row r="23" spans="2:24">
      <c r="C23" s="942"/>
      <c r="D23" s="943"/>
      <c r="E23" s="886"/>
      <c r="F23" s="886"/>
      <c r="G23" s="886"/>
      <c r="H23" s="886"/>
      <c r="I23" s="886"/>
      <c r="J23" s="886"/>
      <c r="K23" s="886"/>
      <c r="L23" s="886"/>
      <c r="M23" s="886"/>
      <c r="N23" s="886"/>
      <c r="O23" s="886"/>
      <c r="P23" s="886"/>
      <c r="Q23" s="886"/>
      <c r="R23" s="886"/>
      <c r="S23" s="886"/>
      <c r="T23" s="886"/>
      <c r="U23" s="886"/>
      <c r="V23" s="886"/>
      <c r="W23" s="886"/>
      <c r="X23" s="886"/>
    </row>
    <row r="26" spans="2:24">
      <c r="C26" s="942"/>
      <c r="D26" s="943"/>
      <c r="E26" s="886"/>
      <c r="F26" s="886"/>
      <c r="G26" s="886"/>
      <c r="H26" s="886"/>
      <c r="I26" s="886"/>
      <c r="J26" s="886"/>
      <c r="K26" s="886"/>
      <c r="L26" s="886"/>
      <c r="M26" s="886"/>
      <c r="N26" s="886"/>
      <c r="O26" s="886"/>
      <c r="P26" s="886"/>
      <c r="Q26" s="886"/>
      <c r="R26" s="886"/>
      <c r="S26" s="886"/>
      <c r="T26" s="886"/>
      <c r="U26" s="886"/>
      <c r="V26" s="886"/>
      <c r="W26" s="886"/>
      <c r="X26" s="886"/>
    </row>
    <row r="27" spans="2:24">
      <c r="C27" s="942"/>
      <c r="D27" s="943"/>
      <c r="E27" s="886"/>
      <c r="F27" s="886"/>
      <c r="G27" s="886"/>
      <c r="H27" s="886"/>
      <c r="I27" s="886"/>
      <c r="J27" s="886"/>
      <c r="K27" s="886"/>
      <c r="L27" s="886"/>
      <c r="M27" s="886"/>
      <c r="N27" s="886"/>
      <c r="O27" s="886"/>
      <c r="P27" s="886"/>
      <c r="Q27" s="886"/>
      <c r="R27" s="886"/>
      <c r="S27" s="886"/>
      <c r="T27" s="886"/>
      <c r="U27" s="886"/>
      <c r="V27" s="886"/>
      <c r="W27" s="886"/>
      <c r="X27" s="886"/>
    </row>
    <row r="28" spans="2:24">
      <c r="C28" s="942"/>
      <c r="D28" s="943"/>
      <c r="E28" s="886"/>
      <c r="F28" s="886"/>
      <c r="G28" s="886"/>
      <c r="H28" s="886"/>
      <c r="I28" s="886"/>
      <c r="J28" s="886"/>
      <c r="K28" s="886"/>
      <c r="L28" s="886"/>
      <c r="M28" s="886"/>
      <c r="N28" s="886"/>
      <c r="O28" s="886"/>
      <c r="P28" s="886"/>
      <c r="Q28" s="886"/>
      <c r="R28" s="886"/>
      <c r="S28" s="886"/>
      <c r="T28" s="886"/>
      <c r="U28" s="886"/>
      <c r="V28" s="886"/>
      <c r="W28" s="886"/>
      <c r="X28" s="886"/>
    </row>
    <row r="29" spans="2:24">
      <c r="C29" s="942"/>
      <c r="D29" s="943"/>
      <c r="E29" s="886"/>
      <c r="F29" s="886"/>
      <c r="G29" s="886"/>
      <c r="H29" s="886"/>
      <c r="I29" s="886"/>
      <c r="J29" s="886"/>
      <c r="K29" s="886"/>
      <c r="L29" s="886"/>
      <c r="M29" s="886"/>
      <c r="N29" s="886"/>
      <c r="O29" s="886"/>
      <c r="P29" s="886"/>
      <c r="Q29" s="886"/>
      <c r="R29" s="886"/>
      <c r="S29" s="886"/>
      <c r="T29" s="886"/>
      <c r="U29" s="886"/>
      <c r="V29" s="886"/>
      <c r="W29" s="886"/>
      <c r="X29" s="886"/>
    </row>
    <row r="30" spans="2:24">
      <c r="C30" s="942"/>
      <c r="D30" s="943"/>
      <c r="E30" s="886"/>
      <c r="F30" s="886"/>
      <c r="G30" s="886"/>
      <c r="H30" s="886"/>
      <c r="I30" s="886"/>
      <c r="J30" s="886"/>
      <c r="K30" s="886"/>
      <c r="L30" s="886"/>
      <c r="M30" s="886"/>
      <c r="N30" s="886"/>
      <c r="O30" s="886"/>
      <c r="P30" s="886"/>
      <c r="Q30" s="886"/>
      <c r="R30" s="886"/>
      <c r="S30" s="886"/>
      <c r="T30" s="886"/>
      <c r="U30" s="886"/>
      <c r="V30" s="886"/>
      <c r="W30" s="886"/>
      <c r="X30" s="886"/>
    </row>
    <row r="31" spans="2:24">
      <c r="C31" s="942"/>
      <c r="D31" s="943"/>
      <c r="E31" s="886"/>
      <c r="F31" s="886"/>
      <c r="G31" s="886"/>
      <c r="H31" s="886"/>
      <c r="I31" s="886"/>
      <c r="J31" s="886"/>
      <c r="K31" s="886"/>
      <c r="L31" s="886"/>
      <c r="M31" s="886"/>
      <c r="N31" s="886"/>
      <c r="O31" s="886"/>
      <c r="P31" s="886"/>
      <c r="Q31" s="886"/>
      <c r="R31" s="886"/>
      <c r="S31" s="886"/>
      <c r="T31" s="886"/>
      <c r="U31" s="886"/>
      <c r="V31" s="886"/>
      <c r="W31" s="886"/>
      <c r="X31" s="886"/>
    </row>
    <row r="32" spans="2:24">
      <c r="C32" s="942"/>
      <c r="D32" s="943"/>
      <c r="E32" s="886"/>
      <c r="F32" s="886"/>
      <c r="G32" s="886"/>
      <c r="H32" s="886"/>
      <c r="I32" s="886"/>
      <c r="J32" s="886"/>
      <c r="K32" s="886"/>
      <c r="L32" s="886"/>
      <c r="M32" s="886"/>
      <c r="N32" s="886"/>
      <c r="O32" s="886"/>
      <c r="P32" s="886"/>
      <c r="Q32" s="886"/>
      <c r="R32" s="886"/>
      <c r="S32" s="886"/>
      <c r="T32" s="886"/>
      <c r="U32" s="886"/>
      <c r="V32" s="886"/>
      <c r="W32" s="886"/>
      <c r="X32" s="886"/>
    </row>
    <row r="33" spans="3:24">
      <c r="C33" s="942"/>
      <c r="D33" s="943"/>
      <c r="E33" s="886"/>
      <c r="F33" s="886"/>
      <c r="G33" s="886"/>
      <c r="H33" s="886"/>
      <c r="I33" s="886"/>
      <c r="J33" s="886"/>
      <c r="K33" s="886"/>
      <c r="L33" s="886"/>
      <c r="M33" s="886"/>
      <c r="N33" s="886"/>
      <c r="O33" s="886"/>
      <c r="P33" s="886"/>
      <c r="Q33" s="886"/>
      <c r="R33" s="886"/>
      <c r="S33" s="886"/>
      <c r="T33" s="886"/>
      <c r="U33" s="886"/>
      <c r="V33" s="886"/>
      <c r="W33" s="886"/>
      <c r="X33" s="886"/>
    </row>
    <row r="34" spans="3:24">
      <c r="C34" s="942"/>
      <c r="D34" s="943"/>
      <c r="E34" s="886"/>
      <c r="F34" s="886"/>
      <c r="G34" s="886"/>
      <c r="H34" s="886"/>
      <c r="I34" s="886"/>
      <c r="J34" s="886"/>
      <c r="K34" s="886"/>
      <c r="L34" s="886"/>
      <c r="M34" s="886"/>
      <c r="N34" s="886"/>
      <c r="O34" s="886"/>
      <c r="P34" s="886"/>
      <c r="Q34" s="886"/>
      <c r="R34" s="886"/>
      <c r="S34" s="886"/>
      <c r="T34" s="886"/>
      <c r="U34" s="886"/>
      <c r="V34" s="886"/>
      <c r="W34" s="886"/>
      <c r="X34" s="886"/>
    </row>
    <row r="35" spans="3:24">
      <c r="C35" s="942"/>
      <c r="D35" s="943"/>
      <c r="E35" s="886"/>
      <c r="F35" s="886"/>
      <c r="G35" s="886"/>
      <c r="H35" s="886"/>
      <c r="I35" s="886"/>
      <c r="J35" s="886"/>
      <c r="K35" s="886"/>
      <c r="L35" s="886"/>
      <c r="M35" s="886"/>
      <c r="N35" s="886"/>
      <c r="O35" s="886"/>
      <c r="P35" s="886"/>
      <c r="Q35" s="886"/>
      <c r="R35" s="886"/>
      <c r="S35" s="886"/>
      <c r="T35" s="886"/>
      <c r="U35" s="886"/>
      <c r="V35" s="886"/>
      <c r="W35" s="886"/>
      <c r="X35" s="886"/>
    </row>
    <row r="36" spans="3:24">
      <c r="C36" s="942"/>
      <c r="D36" s="943"/>
      <c r="E36" s="886"/>
      <c r="F36" s="886"/>
      <c r="G36" s="886"/>
      <c r="H36" s="886"/>
      <c r="I36" s="886"/>
      <c r="J36" s="886"/>
      <c r="K36" s="886"/>
      <c r="L36" s="886"/>
      <c r="M36" s="886"/>
      <c r="N36" s="886"/>
      <c r="O36" s="886"/>
      <c r="P36" s="886"/>
      <c r="Q36" s="886"/>
      <c r="R36" s="886"/>
      <c r="S36" s="886"/>
      <c r="T36" s="886"/>
      <c r="U36" s="886"/>
      <c r="V36" s="886"/>
      <c r="W36" s="886"/>
      <c r="X36" s="886"/>
    </row>
    <row r="37" spans="3:24">
      <c r="C37" s="942"/>
      <c r="D37" s="943"/>
      <c r="E37" s="886"/>
      <c r="F37" s="886"/>
      <c r="G37" s="886"/>
      <c r="H37" s="886"/>
      <c r="I37" s="886"/>
      <c r="J37" s="886"/>
      <c r="K37" s="886"/>
      <c r="L37" s="886"/>
      <c r="M37" s="886"/>
      <c r="N37" s="886"/>
      <c r="O37" s="886"/>
      <c r="P37" s="886"/>
      <c r="Q37" s="886"/>
      <c r="R37" s="886"/>
      <c r="S37" s="886"/>
      <c r="T37" s="886"/>
      <c r="U37" s="886"/>
      <c r="V37" s="886"/>
      <c r="W37" s="886"/>
      <c r="X37" s="886"/>
    </row>
    <row r="38" spans="3:24">
      <c r="C38" s="942"/>
      <c r="D38" s="943"/>
      <c r="E38" s="886"/>
      <c r="F38" s="886"/>
      <c r="G38" s="886"/>
      <c r="H38" s="886"/>
      <c r="I38" s="886"/>
      <c r="J38" s="886"/>
      <c r="K38" s="886"/>
      <c r="L38" s="886"/>
      <c r="M38" s="886"/>
      <c r="N38" s="886"/>
      <c r="O38" s="886"/>
      <c r="P38" s="886"/>
      <c r="Q38" s="886"/>
      <c r="R38" s="886"/>
      <c r="S38" s="886"/>
      <c r="T38" s="886"/>
      <c r="U38" s="886"/>
      <c r="V38" s="886"/>
      <c r="W38" s="886"/>
      <c r="X38" s="886"/>
    </row>
    <row r="39" spans="3:24">
      <c r="C39" s="942"/>
      <c r="D39" s="943"/>
      <c r="E39" s="886"/>
      <c r="F39" s="886"/>
      <c r="G39" s="886"/>
      <c r="H39" s="886"/>
      <c r="I39" s="886"/>
      <c r="J39" s="886"/>
      <c r="K39" s="886"/>
      <c r="L39" s="886"/>
      <c r="M39" s="886"/>
      <c r="N39" s="886"/>
      <c r="O39" s="886"/>
      <c r="P39" s="886"/>
      <c r="Q39" s="886"/>
      <c r="R39" s="886"/>
      <c r="S39" s="886"/>
      <c r="T39" s="886"/>
      <c r="U39" s="886"/>
      <c r="V39" s="886"/>
      <c r="W39" s="886"/>
      <c r="X39" s="886"/>
    </row>
    <row r="40" spans="3:24">
      <c r="C40" s="942"/>
      <c r="D40" s="943"/>
      <c r="E40" s="886"/>
      <c r="F40" s="886"/>
      <c r="G40" s="886"/>
      <c r="H40" s="886"/>
      <c r="I40" s="886"/>
      <c r="J40" s="886"/>
      <c r="K40" s="886"/>
      <c r="L40" s="886"/>
      <c r="M40" s="886"/>
      <c r="N40" s="886"/>
      <c r="O40" s="886"/>
      <c r="P40" s="886"/>
      <c r="Q40" s="886"/>
      <c r="R40" s="886"/>
      <c r="S40" s="886"/>
      <c r="T40" s="886"/>
      <c r="U40" s="886"/>
      <c r="V40" s="886"/>
      <c r="W40" s="886"/>
      <c r="X40" s="886"/>
    </row>
    <row r="41" spans="3:24">
      <c r="C41" s="942"/>
      <c r="D41" s="943"/>
      <c r="E41" s="886"/>
      <c r="F41" s="886"/>
      <c r="G41" s="886"/>
      <c r="H41" s="886"/>
      <c r="I41" s="886"/>
      <c r="J41" s="886"/>
      <c r="K41" s="886"/>
      <c r="L41" s="886"/>
      <c r="M41" s="886"/>
      <c r="N41" s="886"/>
      <c r="O41" s="886"/>
      <c r="P41" s="886"/>
      <c r="Q41" s="886"/>
      <c r="R41" s="886"/>
      <c r="S41" s="886"/>
      <c r="T41" s="886"/>
      <c r="U41" s="886"/>
      <c r="V41" s="886"/>
      <c r="W41" s="886"/>
      <c r="X41" s="886"/>
    </row>
    <row r="42" spans="3:24">
      <c r="C42" s="942"/>
      <c r="D42" s="943"/>
      <c r="E42" s="886"/>
      <c r="F42" s="886"/>
      <c r="G42" s="886"/>
      <c r="H42" s="886"/>
      <c r="I42" s="886"/>
      <c r="J42" s="886"/>
      <c r="K42" s="886"/>
      <c r="L42" s="886"/>
      <c r="M42" s="886"/>
      <c r="N42" s="886"/>
      <c r="O42" s="886"/>
      <c r="P42" s="886"/>
      <c r="Q42" s="886"/>
      <c r="R42" s="886"/>
      <c r="S42" s="886"/>
      <c r="T42" s="886"/>
      <c r="U42" s="886"/>
      <c r="V42" s="886"/>
      <c r="W42" s="886"/>
      <c r="X42" s="886"/>
    </row>
    <row r="43" spans="3:24">
      <c r="C43" s="942"/>
      <c r="D43" s="943"/>
      <c r="E43" s="886"/>
      <c r="F43" s="886"/>
      <c r="G43" s="886"/>
      <c r="H43" s="886"/>
      <c r="I43" s="886"/>
      <c r="J43" s="886"/>
      <c r="K43" s="886"/>
      <c r="L43" s="886"/>
      <c r="M43" s="886"/>
      <c r="N43" s="886"/>
      <c r="O43" s="886"/>
      <c r="P43" s="886"/>
      <c r="Q43" s="886"/>
      <c r="R43" s="886"/>
      <c r="S43" s="886"/>
      <c r="T43" s="886"/>
      <c r="U43" s="886"/>
      <c r="V43" s="886"/>
      <c r="W43" s="886"/>
      <c r="X43" s="886"/>
    </row>
    <row r="44" spans="3:24">
      <c r="C44" s="942"/>
      <c r="D44" s="944"/>
      <c r="E44" s="944"/>
      <c r="F44" s="886"/>
      <c r="G44" s="886"/>
      <c r="H44" s="886"/>
      <c r="I44" s="886"/>
      <c r="J44" s="886"/>
      <c r="K44" s="886"/>
      <c r="L44" s="886"/>
      <c r="M44" s="886"/>
      <c r="N44" s="886"/>
      <c r="O44" s="886"/>
      <c r="P44" s="886"/>
      <c r="Q44" s="886"/>
      <c r="R44" s="886"/>
      <c r="S44" s="886"/>
      <c r="T44" s="886"/>
      <c r="U44" s="886"/>
      <c r="V44" s="886"/>
      <c r="W44" s="886"/>
      <c r="X44" s="886"/>
    </row>
    <row r="45" spans="3:24">
      <c r="C45" s="942"/>
      <c r="D45" s="944"/>
      <c r="E45" s="944"/>
      <c r="F45" s="886"/>
      <c r="G45" s="886"/>
      <c r="H45" s="886"/>
      <c r="I45" s="886"/>
      <c r="J45" s="886"/>
      <c r="K45" s="886"/>
      <c r="L45" s="886"/>
      <c r="M45" s="886"/>
      <c r="N45" s="886"/>
      <c r="O45" s="886"/>
      <c r="P45" s="886"/>
      <c r="Q45" s="886"/>
      <c r="R45" s="886"/>
      <c r="S45" s="886"/>
      <c r="T45" s="886"/>
      <c r="U45" s="886"/>
      <c r="V45" s="886"/>
      <c r="W45" s="886"/>
      <c r="X45" s="886"/>
    </row>
    <row r="46" spans="3:24">
      <c r="C46" s="942"/>
      <c r="D46" s="944"/>
      <c r="E46" s="944"/>
      <c r="F46" s="886"/>
      <c r="G46" s="886"/>
      <c r="H46" s="886"/>
      <c r="I46" s="886"/>
      <c r="J46" s="886"/>
      <c r="K46" s="886"/>
      <c r="L46" s="886"/>
      <c r="M46" s="886"/>
      <c r="N46" s="886"/>
      <c r="O46" s="886"/>
      <c r="P46" s="886"/>
      <c r="Q46" s="886"/>
      <c r="R46" s="886"/>
      <c r="S46" s="886"/>
      <c r="T46" s="886"/>
      <c r="U46" s="886"/>
      <c r="V46" s="886"/>
      <c r="W46" s="886"/>
      <c r="X46" s="886"/>
    </row>
    <row r="47" spans="3:24">
      <c r="C47" s="942"/>
      <c r="D47" s="944"/>
      <c r="E47" s="944"/>
      <c r="F47" s="886"/>
      <c r="G47" s="886"/>
      <c r="H47" s="886"/>
      <c r="I47" s="886"/>
      <c r="J47" s="886"/>
      <c r="K47" s="886"/>
      <c r="L47" s="886"/>
      <c r="M47" s="886"/>
      <c r="N47" s="886"/>
      <c r="O47" s="886"/>
      <c r="P47" s="886"/>
      <c r="Q47" s="886"/>
      <c r="R47" s="886"/>
      <c r="S47" s="886"/>
      <c r="T47" s="886"/>
      <c r="U47" s="886"/>
      <c r="V47" s="886"/>
      <c r="W47" s="886"/>
      <c r="X47" s="886"/>
    </row>
    <row r="48" spans="3:24">
      <c r="C48" s="942"/>
      <c r="E48" s="883"/>
      <c r="F48" s="886"/>
      <c r="G48" s="886"/>
      <c r="H48" s="886"/>
      <c r="I48" s="886"/>
      <c r="J48" s="886"/>
      <c r="K48" s="886"/>
      <c r="L48" s="886"/>
      <c r="M48" s="886"/>
      <c r="N48" s="886"/>
      <c r="O48" s="886"/>
      <c r="P48" s="886"/>
      <c r="Q48" s="886"/>
      <c r="R48" s="886"/>
      <c r="S48" s="886"/>
      <c r="T48" s="886"/>
      <c r="U48" s="886"/>
      <c r="V48" s="886"/>
      <c r="W48" s="886"/>
      <c r="X48" s="886"/>
    </row>
    <row r="49" spans="3:24">
      <c r="C49" s="942"/>
      <c r="D49" s="944"/>
      <c r="E49" s="944"/>
      <c r="F49" s="886"/>
      <c r="G49" s="886"/>
      <c r="H49" s="886"/>
      <c r="I49" s="886"/>
      <c r="J49" s="886"/>
      <c r="K49" s="886"/>
      <c r="L49" s="886"/>
      <c r="M49" s="886"/>
      <c r="N49" s="886"/>
      <c r="O49" s="886"/>
      <c r="P49" s="886"/>
      <c r="Q49" s="886"/>
      <c r="R49" s="886"/>
      <c r="S49" s="886"/>
      <c r="T49" s="886"/>
      <c r="U49" s="886"/>
      <c r="V49" s="886"/>
      <c r="W49" s="886"/>
      <c r="X49" s="886"/>
    </row>
    <row r="50" spans="3:24">
      <c r="C50" s="942"/>
      <c r="E50" s="883"/>
      <c r="F50" s="886"/>
      <c r="G50" s="886"/>
      <c r="H50" s="886"/>
      <c r="I50" s="886"/>
      <c r="J50" s="886"/>
      <c r="K50" s="886"/>
      <c r="L50" s="886"/>
      <c r="M50" s="886"/>
      <c r="N50" s="886"/>
      <c r="O50" s="886"/>
      <c r="P50" s="886"/>
      <c r="Q50" s="886"/>
      <c r="R50" s="886"/>
      <c r="S50" s="886"/>
      <c r="T50" s="886"/>
      <c r="U50" s="886"/>
      <c r="V50" s="886"/>
      <c r="W50" s="886"/>
      <c r="X50" s="886"/>
    </row>
    <row r="51" spans="3:24">
      <c r="C51" s="942"/>
      <c r="E51" s="883"/>
      <c r="F51" s="886"/>
      <c r="G51" s="886"/>
      <c r="H51" s="886"/>
      <c r="I51" s="886"/>
      <c r="J51" s="886"/>
      <c r="K51" s="886"/>
      <c r="L51" s="886"/>
      <c r="M51" s="886"/>
      <c r="N51" s="886"/>
      <c r="O51" s="886"/>
      <c r="P51" s="886"/>
      <c r="Q51" s="886"/>
      <c r="R51" s="886"/>
      <c r="S51" s="886"/>
      <c r="T51" s="886"/>
      <c r="U51" s="886"/>
      <c r="V51" s="886"/>
      <c r="W51" s="886"/>
      <c r="X51" s="886"/>
    </row>
    <row r="52" spans="3:24">
      <c r="C52" s="942"/>
      <c r="D52" s="944"/>
      <c r="E52" s="944"/>
      <c r="F52" s="886"/>
      <c r="G52" s="886"/>
      <c r="H52" s="886"/>
      <c r="I52" s="886"/>
      <c r="J52" s="886"/>
      <c r="K52" s="886"/>
      <c r="L52" s="886"/>
      <c r="M52" s="886"/>
      <c r="N52" s="886"/>
      <c r="O52" s="886"/>
      <c r="P52" s="886"/>
      <c r="Q52" s="886"/>
      <c r="R52" s="886"/>
      <c r="S52" s="886"/>
      <c r="T52" s="886"/>
      <c r="U52" s="886"/>
      <c r="V52" s="886"/>
      <c r="W52" s="886"/>
      <c r="X52" s="886"/>
    </row>
    <row r="53" spans="3:24">
      <c r="C53" s="942"/>
      <c r="E53" s="883"/>
      <c r="F53" s="886"/>
      <c r="G53" s="886"/>
      <c r="H53" s="886"/>
      <c r="I53" s="886"/>
      <c r="J53" s="886"/>
      <c r="K53" s="886"/>
      <c r="L53" s="886"/>
      <c r="M53" s="886"/>
      <c r="N53" s="886"/>
      <c r="O53" s="886"/>
      <c r="P53" s="886"/>
      <c r="Q53" s="886"/>
      <c r="R53" s="886"/>
      <c r="S53" s="886"/>
      <c r="T53" s="886"/>
      <c r="U53" s="886"/>
      <c r="V53" s="886"/>
      <c r="W53" s="886"/>
      <c r="X53" s="886"/>
    </row>
    <row r="54" spans="3:24">
      <c r="C54" s="942"/>
      <c r="D54" s="944"/>
      <c r="E54" s="944"/>
      <c r="F54" s="886"/>
      <c r="G54" s="886"/>
      <c r="H54" s="886"/>
      <c r="I54" s="886"/>
      <c r="J54" s="886"/>
      <c r="K54" s="886"/>
      <c r="L54" s="886"/>
      <c r="M54" s="886"/>
      <c r="N54" s="886"/>
      <c r="O54" s="886"/>
      <c r="P54" s="886"/>
      <c r="Q54" s="886"/>
      <c r="R54" s="886"/>
      <c r="S54" s="886"/>
      <c r="T54" s="886"/>
      <c r="U54" s="886"/>
      <c r="V54" s="886"/>
      <c r="W54" s="886"/>
      <c r="X54" s="886"/>
    </row>
    <row r="55" spans="3:24">
      <c r="C55" s="942"/>
      <c r="D55" s="944"/>
      <c r="E55" s="944"/>
      <c r="F55" s="886"/>
      <c r="G55" s="886"/>
      <c r="H55" s="886"/>
      <c r="I55" s="886"/>
      <c r="J55" s="886"/>
      <c r="K55" s="886"/>
      <c r="L55" s="886"/>
      <c r="M55" s="886"/>
      <c r="N55" s="886"/>
      <c r="O55" s="886"/>
      <c r="P55" s="886"/>
      <c r="Q55" s="886"/>
      <c r="R55" s="886"/>
      <c r="S55" s="886"/>
      <c r="T55" s="886"/>
      <c r="U55" s="886"/>
      <c r="V55" s="886"/>
      <c r="W55" s="886"/>
      <c r="X55" s="886"/>
    </row>
    <row r="56" spans="3:24">
      <c r="C56" s="942"/>
      <c r="D56" s="944"/>
      <c r="E56" s="944"/>
      <c r="F56" s="886"/>
      <c r="G56" s="886"/>
      <c r="H56" s="886"/>
      <c r="I56" s="886"/>
      <c r="J56" s="886"/>
      <c r="K56" s="886"/>
      <c r="L56" s="886"/>
      <c r="M56" s="886"/>
      <c r="N56" s="886"/>
      <c r="O56" s="886"/>
      <c r="P56" s="886"/>
      <c r="Q56" s="886"/>
      <c r="R56" s="886"/>
      <c r="S56" s="886"/>
      <c r="T56" s="886"/>
      <c r="U56" s="886"/>
      <c r="V56" s="886"/>
      <c r="W56" s="886"/>
      <c r="X56" s="886"/>
    </row>
    <row r="57" spans="3:24">
      <c r="C57" s="942"/>
      <c r="D57" s="944"/>
      <c r="E57" s="944"/>
      <c r="F57" s="886"/>
      <c r="G57" s="886"/>
      <c r="H57" s="886"/>
      <c r="I57" s="886"/>
      <c r="J57" s="886"/>
      <c r="K57" s="886"/>
      <c r="L57" s="886"/>
      <c r="M57" s="886"/>
      <c r="N57" s="886"/>
      <c r="O57" s="886"/>
      <c r="P57" s="886"/>
      <c r="Q57" s="886"/>
      <c r="R57" s="886"/>
      <c r="S57" s="886"/>
      <c r="T57" s="886"/>
      <c r="U57" s="886"/>
      <c r="V57" s="886"/>
      <c r="W57" s="886"/>
      <c r="X57" s="886"/>
    </row>
    <row r="58" spans="3:24">
      <c r="C58" s="942"/>
      <c r="D58" s="944"/>
      <c r="E58" s="944"/>
      <c r="F58" s="886"/>
      <c r="G58" s="886"/>
      <c r="H58" s="886"/>
      <c r="I58" s="886"/>
      <c r="J58" s="886"/>
      <c r="K58" s="886"/>
      <c r="L58" s="886"/>
      <c r="M58" s="886"/>
      <c r="N58" s="886"/>
      <c r="O58" s="886"/>
      <c r="P58" s="886"/>
      <c r="Q58" s="886"/>
      <c r="R58" s="886"/>
      <c r="S58" s="886"/>
      <c r="T58" s="886"/>
      <c r="U58" s="886"/>
      <c r="V58" s="886"/>
      <c r="W58" s="886"/>
      <c r="X58" s="886"/>
    </row>
    <row r="59" spans="3:24">
      <c r="C59" s="942"/>
      <c r="D59" s="944"/>
      <c r="E59" s="944"/>
      <c r="F59" s="886"/>
      <c r="G59" s="886"/>
      <c r="H59" s="886"/>
      <c r="I59" s="886"/>
      <c r="J59" s="886"/>
      <c r="K59" s="886"/>
      <c r="L59" s="886"/>
      <c r="M59" s="886"/>
      <c r="N59" s="886"/>
      <c r="O59" s="886"/>
      <c r="P59" s="886"/>
      <c r="Q59" s="886"/>
      <c r="R59" s="886"/>
      <c r="S59" s="886"/>
      <c r="T59" s="886"/>
      <c r="U59" s="886"/>
      <c r="V59" s="886"/>
      <c r="W59" s="886"/>
      <c r="X59" s="886"/>
    </row>
    <row r="60" spans="3:24">
      <c r="C60" s="942"/>
      <c r="D60" s="944"/>
      <c r="E60" s="944"/>
      <c r="F60" s="886"/>
      <c r="G60" s="886"/>
      <c r="H60" s="886"/>
      <c r="I60" s="886"/>
      <c r="J60" s="886"/>
      <c r="K60" s="886"/>
      <c r="L60" s="886"/>
      <c r="M60" s="886"/>
      <c r="N60" s="886"/>
      <c r="O60" s="886"/>
      <c r="P60" s="886"/>
      <c r="Q60" s="886"/>
      <c r="R60" s="886"/>
      <c r="S60" s="886"/>
      <c r="T60" s="886"/>
      <c r="U60" s="886"/>
      <c r="V60" s="886"/>
      <c r="W60" s="886"/>
      <c r="X60" s="886"/>
    </row>
    <row r="61" spans="3:24">
      <c r="C61" s="942"/>
      <c r="D61" s="944"/>
      <c r="E61" s="944"/>
      <c r="F61" s="886"/>
      <c r="G61" s="886"/>
      <c r="H61" s="886"/>
      <c r="I61" s="886"/>
      <c r="J61" s="886"/>
      <c r="K61" s="886"/>
      <c r="L61" s="886"/>
      <c r="M61" s="886"/>
      <c r="N61" s="886"/>
      <c r="O61" s="886"/>
      <c r="P61" s="886"/>
      <c r="Q61" s="886"/>
      <c r="R61" s="886"/>
      <c r="S61" s="886"/>
      <c r="T61" s="886"/>
      <c r="U61" s="886"/>
      <c r="V61" s="886"/>
      <c r="W61" s="886"/>
      <c r="X61" s="886"/>
    </row>
    <row r="62" spans="3:24">
      <c r="C62" s="942"/>
      <c r="E62" s="883"/>
      <c r="F62" s="886"/>
      <c r="G62" s="886"/>
      <c r="H62" s="886"/>
      <c r="I62" s="886"/>
      <c r="J62" s="886"/>
      <c r="K62" s="886"/>
      <c r="L62" s="886"/>
      <c r="M62" s="886"/>
      <c r="N62" s="886"/>
      <c r="O62" s="886"/>
      <c r="P62" s="886"/>
      <c r="Q62" s="886"/>
      <c r="R62" s="886"/>
      <c r="S62" s="886"/>
      <c r="T62" s="886"/>
      <c r="U62" s="886"/>
      <c r="V62" s="886"/>
      <c r="W62" s="886"/>
      <c r="X62" s="886"/>
    </row>
    <row r="63" spans="3:24">
      <c r="C63" s="942"/>
      <c r="D63" s="944"/>
      <c r="E63" s="944"/>
      <c r="F63" s="886"/>
      <c r="G63" s="886"/>
      <c r="H63" s="886"/>
      <c r="I63" s="886"/>
      <c r="J63" s="886"/>
      <c r="K63" s="886"/>
      <c r="L63" s="886"/>
      <c r="M63" s="886"/>
      <c r="N63" s="886"/>
      <c r="O63" s="886"/>
      <c r="P63" s="886"/>
      <c r="Q63" s="886"/>
      <c r="R63" s="886"/>
      <c r="S63" s="886"/>
      <c r="T63" s="886"/>
      <c r="U63" s="886"/>
      <c r="V63" s="886"/>
      <c r="W63" s="886"/>
      <c r="X63" s="886"/>
    </row>
    <row r="64" spans="3:24">
      <c r="C64" s="942"/>
      <c r="E64" s="883"/>
      <c r="F64" s="886"/>
      <c r="G64" s="886"/>
      <c r="H64" s="886"/>
      <c r="I64" s="886"/>
      <c r="J64" s="886"/>
      <c r="K64" s="886"/>
      <c r="L64" s="886"/>
      <c r="M64" s="886"/>
      <c r="N64" s="886"/>
      <c r="O64" s="886"/>
      <c r="P64" s="886"/>
      <c r="Q64" s="886"/>
      <c r="R64" s="886"/>
      <c r="S64" s="886"/>
      <c r="T64" s="886"/>
      <c r="U64" s="886"/>
      <c r="V64" s="886"/>
      <c r="W64" s="886"/>
      <c r="X64" s="886"/>
    </row>
    <row r="65" spans="3:24">
      <c r="C65" s="942"/>
      <c r="D65" s="944"/>
      <c r="E65" s="944"/>
      <c r="F65" s="886"/>
      <c r="G65" s="886"/>
      <c r="H65" s="886"/>
      <c r="I65" s="886"/>
      <c r="J65" s="886"/>
      <c r="K65" s="886"/>
      <c r="L65" s="886"/>
      <c r="M65" s="886"/>
      <c r="N65" s="886"/>
      <c r="O65" s="886"/>
      <c r="P65" s="886"/>
      <c r="Q65" s="886"/>
      <c r="R65" s="886"/>
      <c r="S65" s="886"/>
      <c r="T65" s="886"/>
      <c r="U65" s="886"/>
      <c r="V65" s="886"/>
      <c r="W65" s="886"/>
      <c r="X65" s="886"/>
    </row>
    <row r="66" spans="3:24">
      <c r="C66" s="942"/>
      <c r="D66" s="944"/>
      <c r="E66" s="944"/>
      <c r="F66" s="886"/>
      <c r="G66" s="886"/>
      <c r="H66" s="886"/>
      <c r="I66" s="886"/>
      <c r="J66" s="886"/>
      <c r="K66" s="886"/>
      <c r="L66" s="886"/>
      <c r="M66" s="886"/>
      <c r="N66" s="886"/>
      <c r="O66" s="886"/>
      <c r="P66" s="886"/>
      <c r="Q66" s="886"/>
      <c r="R66" s="886"/>
      <c r="S66" s="886"/>
      <c r="T66" s="886"/>
      <c r="U66" s="886"/>
      <c r="V66" s="886"/>
      <c r="W66" s="886"/>
      <c r="X66" s="886"/>
    </row>
    <row r="67" spans="3:24">
      <c r="C67" s="942"/>
      <c r="D67" s="944"/>
      <c r="E67" s="944"/>
      <c r="G67" s="886"/>
      <c r="H67" s="886"/>
      <c r="I67" s="886"/>
      <c r="J67" s="886"/>
      <c r="K67" s="886"/>
      <c r="L67" s="886"/>
      <c r="M67" s="886"/>
      <c r="N67" s="886"/>
      <c r="O67" s="886"/>
      <c r="P67" s="886"/>
      <c r="Q67" s="886"/>
      <c r="R67" s="886"/>
      <c r="S67" s="886"/>
      <c r="T67" s="886"/>
      <c r="U67" s="886"/>
      <c r="V67" s="886"/>
      <c r="W67" s="886"/>
      <c r="X67" s="886"/>
    </row>
    <row r="68" spans="3:24">
      <c r="C68" s="942"/>
      <c r="E68" s="883"/>
      <c r="G68" s="944"/>
      <c r="H68" s="886"/>
      <c r="I68" s="886"/>
      <c r="J68" s="886"/>
      <c r="K68" s="886"/>
      <c r="L68" s="886"/>
      <c r="M68" s="886"/>
      <c r="N68" s="886"/>
      <c r="O68" s="886"/>
      <c r="P68" s="886"/>
      <c r="Q68" s="886"/>
      <c r="R68" s="886"/>
      <c r="S68" s="886"/>
      <c r="T68" s="886"/>
      <c r="U68" s="886"/>
      <c r="V68" s="886"/>
      <c r="W68" s="886"/>
      <c r="X68" s="886"/>
    </row>
    <row r="69" spans="3:24">
      <c r="C69" s="942"/>
      <c r="E69" s="883"/>
      <c r="G69" s="944"/>
      <c r="H69" s="886"/>
      <c r="I69" s="886"/>
      <c r="J69" s="886"/>
      <c r="K69" s="886"/>
      <c r="L69" s="886"/>
      <c r="M69" s="886"/>
      <c r="N69" s="886"/>
      <c r="O69" s="886"/>
      <c r="P69" s="886"/>
      <c r="Q69" s="886"/>
      <c r="R69" s="886"/>
      <c r="S69" s="886"/>
      <c r="T69" s="886"/>
      <c r="U69" s="886"/>
      <c r="V69" s="886"/>
      <c r="W69" s="886"/>
      <c r="X69" s="886"/>
    </row>
    <row r="70" spans="3:24">
      <c r="C70" s="942"/>
      <c r="E70" s="883"/>
      <c r="G70" s="944"/>
      <c r="H70" s="886"/>
      <c r="I70" s="886"/>
      <c r="J70" s="886"/>
      <c r="K70" s="886"/>
      <c r="L70" s="886"/>
      <c r="M70" s="886"/>
      <c r="N70" s="886"/>
      <c r="O70" s="886"/>
      <c r="P70" s="886"/>
      <c r="Q70" s="886"/>
      <c r="R70" s="886"/>
      <c r="S70" s="886"/>
      <c r="T70" s="886"/>
      <c r="U70" s="886"/>
      <c r="V70" s="886"/>
      <c r="W70" s="886"/>
      <c r="X70" s="886"/>
    </row>
    <row r="71" spans="3:24">
      <c r="C71" s="942"/>
      <c r="E71" s="883"/>
      <c r="G71" s="883"/>
      <c r="H71" s="886"/>
      <c r="I71" s="886"/>
      <c r="J71" s="886"/>
      <c r="K71" s="886"/>
      <c r="L71" s="886"/>
      <c r="M71" s="886"/>
      <c r="N71" s="886"/>
      <c r="O71" s="886"/>
      <c r="P71" s="886"/>
      <c r="Q71" s="886"/>
      <c r="R71" s="886"/>
      <c r="S71" s="886"/>
      <c r="T71" s="886"/>
      <c r="U71" s="886"/>
      <c r="V71" s="886"/>
      <c r="W71" s="886"/>
      <c r="X71" s="886"/>
    </row>
    <row r="72" spans="3:24">
      <c r="C72" s="942"/>
      <c r="E72" s="883"/>
      <c r="G72" s="944"/>
      <c r="H72" s="886"/>
      <c r="I72" s="886"/>
      <c r="J72" s="886"/>
      <c r="K72" s="886"/>
      <c r="L72" s="886"/>
      <c r="M72" s="886"/>
      <c r="N72" s="886"/>
      <c r="O72" s="886"/>
      <c r="P72" s="886"/>
      <c r="Q72" s="886"/>
      <c r="R72" s="886"/>
      <c r="S72" s="886"/>
      <c r="T72" s="886"/>
      <c r="U72" s="886"/>
      <c r="V72" s="886"/>
      <c r="W72" s="886"/>
      <c r="X72" s="886"/>
    </row>
    <row r="73" spans="3:24">
      <c r="C73" s="942"/>
      <c r="E73" s="883"/>
      <c r="G73" s="944"/>
      <c r="H73" s="886"/>
      <c r="I73" s="886"/>
      <c r="J73" s="886"/>
      <c r="K73" s="886"/>
      <c r="L73" s="886"/>
      <c r="M73" s="886"/>
      <c r="N73" s="886"/>
      <c r="O73" s="886"/>
      <c r="P73" s="886"/>
      <c r="Q73" s="886"/>
      <c r="R73" s="886"/>
      <c r="S73" s="886"/>
      <c r="T73" s="886"/>
      <c r="U73" s="886"/>
      <c r="V73" s="886"/>
      <c r="W73" s="886"/>
      <c r="X73" s="886"/>
    </row>
    <row r="74" spans="3:24">
      <c r="C74" s="942"/>
      <c r="E74" s="883"/>
      <c r="G74" s="883"/>
      <c r="H74" s="886"/>
      <c r="I74" s="886"/>
      <c r="J74" s="886"/>
      <c r="K74" s="886"/>
      <c r="L74" s="886"/>
      <c r="M74" s="886"/>
      <c r="N74" s="886"/>
      <c r="O74" s="886"/>
      <c r="P74" s="886"/>
      <c r="Q74" s="886"/>
      <c r="R74" s="886"/>
      <c r="S74" s="886"/>
      <c r="T74" s="886"/>
      <c r="U74" s="886"/>
      <c r="V74" s="886"/>
      <c r="W74" s="886"/>
      <c r="X74" s="886"/>
    </row>
    <row r="75" spans="3:24">
      <c r="C75" s="942"/>
      <c r="E75" s="883"/>
      <c r="G75" s="944"/>
      <c r="H75" s="886"/>
      <c r="I75" s="886"/>
      <c r="J75" s="886"/>
      <c r="K75" s="886"/>
      <c r="L75" s="886"/>
      <c r="M75" s="886"/>
      <c r="N75" s="886"/>
      <c r="O75" s="886"/>
      <c r="P75" s="886"/>
      <c r="Q75" s="886"/>
      <c r="R75" s="886"/>
      <c r="S75" s="886"/>
      <c r="T75" s="886"/>
      <c r="U75" s="886"/>
      <c r="V75" s="886"/>
      <c r="W75" s="886"/>
      <c r="X75" s="886"/>
    </row>
    <row r="76" spans="3:24">
      <c r="C76" s="942"/>
      <c r="E76" s="883"/>
      <c r="G76" s="944"/>
      <c r="H76" s="886"/>
      <c r="I76" s="886"/>
      <c r="J76" s="886"/>
      <c r="K76" s="886"/>
      <c r="L76" s="886"/>
      <c r="M76" s="886"/>
      <c r="N76" s="886"/>
      <c r="O76" s="886"/>
      <c r="P76" s="886"/>
      <c r="Q76" s="886"/>
      <c r="R76" s="886"/>
      <c r="S76" s="886"/>
      <c r="T76" s="886"/>
      <c r="U76" s="886"/>
      <c r="V76" s="886"/>
      <c r="W76" s="886"/>
      <c r="X76" s="886"/>
    </row>
    <row r="77" spans="3:24">
      <c r="C77" s="942"/>
      <c r="E77" s="883"/>
      <c r="G77" s="944"/>
      <c r="H77" s="886"/>
      <c r="I77" s="886"/>
      <c r="J77" s="886"/>
      <c r="K77" s="886"/>
      <c r="L77" s="886"/>
      <c r="M77" s="886"/>
      <c r="N77" s="886"/>
      <c r="O77" s="886"/>
      <c r="P77" s="886"/>
      <c r="Q77" s="886"/>
      <c r="R77" s="886"/>
      <c r="S77" s="886"/>
      <c r="T77" s="886"/>
      <c r="U77" s="886"/>
      <c r="V77" s="886"/>
      <c r="W77" s="886"/>
      <c r="X77" s="886"/>
    </row>
    <row r="78" spans="3:24">
      <c r="C78" s="942"/>
      <c r="E78" s="883"/>
      <c r="G78" s="944"/>
      <c r="H78" s="886"/>
      <c r="I78" s="886"/>
      <c r="J78" s="886"/>
      <c r="K78" s="886"/>
      <c r="L78" s="886"/>
      <c r="M78" s="886"/>
      <c r="N78" s="886"/>
      <c r="O78" s="886"/>
      <c r="P78" s="886"/>
      <c r="Q78" s="886"/>
      <c r="R78" s="886"/>
      <c r="S78" s="886"/>
      <c r="T78" s="886"/>
      <c r="U78" s="886"/>
      <c r="V78" s="886"/>
      <c r="W78" s="886"/>
      <c r="X78" s="886"/>
    </row>
    <row r="79" spans="3:24">
      <c r="C79" s="942"/>
      <c r="E79" s="883"/>
      <c r="G79" s="944"/>
      <c r="H79" s="886"/>
      <c r="I79" s="886"/>
      <c r="J79" s="886"/>
      <c r="K79" s="886"/>
      <c r="L79" s="886"/>
      <c r="M79" s="886"/>
      <c r="N79" s="886"/>
      <c r="O79" s="886"/>
      <c r="P79" s="886"/>
      <c r="Q79" s="886"/>
      <c r="R79" s="886"/>
      <c r="S79" s="886"/>
      <c r="T79" s="886"/>
      <c r="U79" s="886"/>
      <c r="V79" s="886"/>
      <c r="W79" s="886"/>
      <c r="X79" s="886"/>
    </row>
    <row r="80" spans="3:24">
      <c r="C80" s="942"/>
      <c r="E80" s="883"/>
      <c r="G80" s="944"/>
      <c r="H80" s="886"/>
      <c r="I80" s="886"/>
      <c r="J80" s="886"/>
      <c r="K80" s="886"/>
      <c r="L80" s="886"/>
      <c r="M80" s="886"/>
      <c r="N80" s="886"/>
      <c r="O80" s="886"/>
      <c r="P80" s="886"/>
      <c r="Q80" s="886"/>
      <c r="R80" s="886"/>
      <c r="S80" s="886"/>
      <c r="T80" s="886"/>
      <c r="U80" s="886"/>
      <c r="V80" s="886"/>
      <c r="W80" s="886"/>
      <c r="X80" s="886"/>
    </row>
    <row r="81" spans="3:24">
      <c r="C81" s="942"/>
      <c r="E81" s="883"/>
      <c r="G81" s="944"/>
      <c r="H81" s="886"/>
      <c r="I81" s="886"/>
      <c r="J81" s="886"/>
      <c r="K81" s="886"/>
      <c r="L81" s="886"/>
      <c r="M81" s="886"/>
      <c r="N81" s="886"/>
      <c r="O81" s="886"/>
      <c r="P81" s="886"/>
      <c r="Q81" s="886"/>
      <c r="R81" s="886"/>
      <c r="S81" s="886"/>
      <c r="T81" s="886"/>
      <c r="U81" s="886"/>
      <c r="V81" s="886"/>
      <c r="W81" s="886"/>
      <c r="X81" s="886"/>
    </row>
    <row r="82" spans="3:24">
      <c r="C82" s="942"/>
      <c r="E82" s="883"/>
      <c r="G82" s="944"/>
      <c r="H82" s="886"/>
      <c r="I82" s="886"/>
      <c r="J82" s="886"/>
      <c r="K82" s="886"/>
      <c r="L82" s="886"/>
      <c r="M82" s="886"/>
      <c r="N82" s="886"/>
      <c r="O82" s="886"/>
      <c r="P82" s="886"/>
      <c r="Q82" s="886"/>
      <c r="R82" s="886"/>
      <c r="S82" s="886"/>
      <c r="T82" s="886"/>
      <c r="U82" s="886"/>
      <c r="V82" s="886"/>
      <c r="W82" s="886"/>
      <c r="X82" s="886"/>
    </row>
    <row r="83" spans="3:24">
      <c r="C83" s="942"/>
      <c r="E83" s="883"/>
      <c r="G83" s="883"/>
      <c r="H83" s="886"/>
      <c r="I83" s="886"/>
      <c r="J83" s="886"/>
      <c r="K83" s="886"/>
      <c r="L83" s="886"/>
      <c r="M83" s="886"/>
      <c r="N83" s="886"/>
      <c r="O83" s="886"/>
      <c r="P83" s="886"/>
      <c r="Q83" s="886"/>
      <c r="R83" s="886"/>
      <c r="S83" s="886"/>
      <c r="T83" s="886"/>
      <c r="U83" s="886"/>
      <c r="V83" s="886"/>
      <c r="W83" s="886"/>
      <c r="X83" s="886"/>
    </row>
    <row r="84" spans="3:24">
      <c r="C84" s="942"/>
      <c r="E84" s="883"/>
      <c r="G84" s="944"/>
      <c r="H84" s="886"/>
      <c r="I84" s="886"/>
      <c r="J84" s="886"/>
      <c r="K84" s="886"/>
      <c r="L84" s="886"/>
      <c r="M84" s="886"/>
      <c r="N84" s="886"/>
      <c r="O84" s="886"/>
      <c r="P84" s="886"/>
      <c r="Q84" s="886"/>
      <c r="R84" s="886"/>
      <c r="S84" s="886"/>
      <c r="T84" s="886"/>
      <c r="U84" s="886"/>
      <c r="V84" s="886"/>
      <c r="W84" s="886"/>
      <c r="X84" s="886"/>
    </row>
    <row r="85" spans="3:24">
      <c r="C85" s="942"/>
      <c r="E85" s="883"/>
      <c r="G85" s="883"/>
      <c r="H85" s="886"/>
      <c r="I85" s="886"/>
      <c r="J85" s="886"/>
      <c r="K85" s="886"/>
      <c r="L85" s="886"/>
      <c r="M85" s="886"/>
      <c r="N85" s="886"/>
      <c r="O85" s="886"/>
      <c r="P85" s="886"/>
      <c r="Q85" s="886"/>
      <c r="R85" s="886"/>
      <c r="S85" s="886"/>
      <c r="T85" s="886"/>
      <c r="U85" s="886"/>
      <c r="V85" s="886"/>
      <c r="W85" s="886"/>
      <c r="X85" s="886"/>
    </row>
    <row r="86" spans="3:24">
      <c r="C86" s="942"/>
      <c r="E86" s="883"/>
      <c r="G86" s="944"/>
      <c r="H86" s="886"/>
      <c r="I86" s="886"/>
      <c r="J86" s="886"/>
      <c r="K86" s="886"/>
      <c r="L86" s="886"/>
      <c r="M86" s="886"/>
      <c r="N86" s="886"/>
      <c r="O86" s="886"/>
      <c r="P86" s="886"/>
      <c r="Q86" s="886"/>
      <c r="R86" s="886"/>
      <c r="S86" s="886"/>
      <c r="T86" s="886"/>
      <c r="U86" s="886"/>
      <c r="V86" s="886"/>
      <c r="W86" s="886"/>
      <c r="X86" s="886"/>
    </row>
    <row r="87" spans="3:24">
      <c r="C87" s="942"/>
      <c r="E87" s="883"/>
      <c r="G87" s="944"/>
      <c r="H87" s="886"/>
      <c r="I87" s="886"/>
      <c r="J87" s="886"/>
      <c r="K87" s="886"/>
      <c r="L87" s="886"/>
      <c r="M87" s="886"/>
      <c r="N87" s="886"/>
      <c r="O87" s="886"/>
      <c r="P87" s="886"/>
      <c r="Q87" s="886"/>
      <c r="R87" s="886"/>
      <c r="S87" s="886"/>
      <c r="T87" s="886"/>
      <c r="U87" s="886"/>
      <c r="V87" s="886"/>
      <c r="W87" s="886"/>
      <c r="X87" s="886"/>
    </row>
    <row r="88" spans="3:24">
      <c r="C88" s="942"/>
      <c r="E88" s="883"/>
      <c r="G88" s="944"/>
      <c r="H88" s="886"/>
      <c r="I88" s="886"/>
      <c r="J88" s="886"/>
      <c r="K88" s="886"/>
      <c r="L88" s="886"/>
      <c r="M88" s="886"/>
      <c r="N88" s="886"/>
      <c r="O88" s="886"/>
      <c r="P88" s="886"/>
      <c r="Q88" s="886"/>
      <c r="R88" s="886"/>
      <c r="S88" s="886"/>
      <c r="T88" s="886"/>
      <c r="U88" s="886"/>
      <c r="V88" s="886"/>
      <c r="W88" s="886"/>
      <c r="X88" s="886"/>
    </row>
    <row r="89" spans="3:24">
      <c r="C89" s="942"/>
      <c r="E89" s="883"/>
      <c r="G89" s="883"/>
      <c r="H89" s="886"/>
      <c r="I89" s="886"/>
      <c r="J89" s="886"/>
      <c r="K89" s="886"/>
      <c r="L89" s="886"/>
      <c r="M89" s="886"/>
      <c r="N89" s="886"/>
      <c r="O89" s="886"/>
      <c r="P89" s="886"/>
      <c r="Q89" s="886"/>
      <c r="R89" s="886"/>
      <c r="S89" s="886"/>
      <c r="T89" s="886"/>
      <c r="U89" s="886"/>
      <c r="V89" s="886"/>
      <c r="W89" s="886"/>
      <c r="X89" s="886"/>
    </row>
    <row r="90" spans="3:24">
      <c r="C90" s="942"/>
      <c r="E90" s="883"/>
      <c r="G90" s="944"/>
      <c r="H90" s="886"/>
      <c r="I90" s="886"/>
      <c r="J90" s="886"/>
      <c r="K90" s="886"/>
      <c r="L90" s="886"/>
      <c r="M90" s="886"/>
      <c r="N90" s="886"/>
      <c r="O90" s="886"/>
      <c r="P90" s="886"/>
      <c r="Q90" s="886"/>
      <c r="R90" s="886"/>
      <c r="S90" s="886"/>
      <c r="T90" s="886"/>
      <c r="U90" s="886"/>
      <c r="V90" s="886"/>
      <c r="W90" s="886"/>
      <c r="X90" s="886"/>
    </row>
    <row r="91" spans="3:24">
      <c r="C91" s="942"/>
      <c r="E91" s="883"/>
      <c r="G91" s="883"/>
      <c r="H91" s="886"/>
      <c r="I91" s="886"/>
      <c r="J91" s="886"/>
      <c r="K91" s="886"/>
      <c r="L91" s="886"/>
      <c r="M91" s="886"/>
      <c r="N91" s="886"/>
      <c r="O91" s="886"/>
      <c r="P91" s="886"/>
      <c r="Q91" s="886"/>
      <c r="R91" s="886"/>
      <c r="S91" s="886"/>
      <c r="T91" s="886"/>
      <c r="U91" s="886"/>
      <c r="V91" s="886"/>
      <c r="W91" s="886"/>
      <c r="X91" s="886"/>
    </row>
    <row r="92" spans="3:24">
      <c r="C92" s="942"/>
      <c r="E92" s="883"/>
      <c r="G92" s="944"/>
      <c r="H92" s="886"/>
      <c r="I92" s="886"/>
      <c r="J92" s="886"/>
      <c r="K92" s="886"/>
      <c r="L92" s="886"/>
      <c r="M92" s="886"/>
      <c r="N92" s="886"/>
      <c r="O92" s="886"/>
      <c r="P92" s="886"/>
      <c r="Q92" s="886"/>
      <c r="R92" s="886"/>
      <c r="S92" s="886"/>
      <c r="T92" s="886"/>
      <c r="U92" s="886"/>
      <c r="V92" s="886"/>
      <c r="W92" s="886"/>
      <c r="X92" s="886"/>
    </row>
    <row r="93" spans="3:24">
      <c r="C93" s="942"/>
      <c r="E93" s="883"/>
      <c r="G93" s="883"/>
      <c r="H93" s="886"/>
      <c r="I93" s="886"/>
      <c r="J93" s="886"/>
      <c r="K93" s="886"/>
      <c r="L93" s="886"/>
      <c r="M93" s="886"/>
      <c r="N93" s="886"/>
      <c r="O93" s="886"/>
      <c r="P93" s="886"/>
      <c r="Q93" s="886"/>
      <c r="R93" s="886"/>
      <c r="S93" s="886"/>
      <c r="T93" s="886"/>
      <c r="U93" s="886"/>
      <c r="V93" s="886"/>
      <c r="W93" s="886"/>
      <c r="X93" s="886"/>
    </row>
    <row r="94" spans="3:24">
      <c r="C94" s="942"/>
      <c r="E94" s="883"/>
      <c r="G94" s="944"/>
      <c r="H94" s="886"/>
      <c r="I94" s="886"/>
      <c r="J94" s="886"/>
      <c r="K94" s="886"/>
      <c r="L94" s="886"/>
      <c r="M94" s="886"/>
      <c r="N94" s="886"/>
      <c r="O94" s="886"/>
      <c r="P94" s="886"/>
      <c r="Q94" s="886"/>
      <c r="R94" s="886"/>
      <c r="S94" s="886"/>
      <c r="T94" s="886"/>
      <c r="U94" s="886"/>
      <c r="V94" s="886"/>
      <c r="W94" s="886"/>
      <c r="X94" s="886"/>
    </row>
    <row r="95" spans="3:24">
      <c r="C95" s="942"/>
      <c r="E95" s="883"/>
      <c r="G95" s="883"/>
      <c r="H95" s="886"/>
      <c r="I95" s="886"/>
      <c r="J95" s="886"/>
      <c r="K95" s="886"/>
      <c r="L95" s="886"/>
      <c r="M95" s="886"/>
      <c r="N95" s="886"/>
      <c r="O95" s="886"/>
      <c r="P95" s="886"/>
      <c r="Q95" s="886"/>
      <c r="R95" s="886"/>
      <c r="S95" s="886"/>
      <c r="T95" s="886"/>
      <c r="U95" s="886"/>
      <c r="V95" s="886"/>
      <c r="W95" s="886"/>
      <c r="X95" s="886"/>
    </row>
    <row r="96" spans="3:24">
      <c r="C96" s="942"/>
      <c r="E96" s="883"/>
      <c r="G96" s="944"/>
      <c r="H96" s="886"/>
      <c r="I96" s="886"/>
      <c r="J96" s="886"/>
      <c r="K96" s="886"/>
      <c r="L96" s="886"/>
      <c r="M96" s="886"/>
      <c r="N96" s="886"/>
      <c r="O96" s="886"/>
      <c r="P96" s="886"/>
      <c r="Q96" s="886"/>
      <c r="R96" s="886"/>
      <c r="S96" s="886"/>
      <c r="T96" s="886"/>
      <c r="U96" s="886"/>
      <c r="V96" s="886"/>
      <c r="W96" s="886"/>
      <c r="X96" s="886"/>
    </row>
    <row r="97" spans="3:24">
      <c r="C97" s="942"/>
      <c r="E97" s="883"/>
      <c r="G97" s="883"/>
      <c r="H97" s="886"/>
      <c r="I97" s="886"/>
      <c r="J97" s="886"/>
      <c r="K97" s="886"/>
      <c r="L97" s="886"/>
      <c r="M97" s="886"/>
      <c r="N97" s="886"/>
      <c r="O97" s="886"/>
      <c r="P97" s="886"/>
      <c r="Q97" s="886"/>
      <c r="R97" s="886"/>
      <c r="S97" s="886"/>
      <c r="T97" s="886"/>
      <c r="U97" s="886"/>
      <c r="V97" s="886"/>
      <c r="W97" s="886"/>
      <c r="X97" s="886"/>
    </row>
    <row r="98" spans="3:24">
      <c r="C98" s="942"/>
      <c r="E98" s="883"/>
      <c r="G98" s="944"/>
      <c r="H98" s="886"/>
      <c r="I98" s="886"/>
      <c r="J98" s="886"/>
      <c r="K98" s="886"/>
      <c r="L98" s="886"/>
      <c r="M98" s="886"/>
      <c r="N98" s="886"/>
      <c r="O98" s="886"/>
      <c r="P98" s="886"/>
      <c r="Q98" s="886"/>
      <c r="R98" s="886"/>
      <c r="S98" s="886"/>
      <c r="T98" s="886"/>
      <c r="U98" s="886"/>
      <c r="V98" s="886"/>
      <c r="W98" s="886"/>
      <c r="X98" s="886"/>
    </row>
    <row r="99" spans="3:24">
      <c r="C99" s="942"/>
      <c r="E99" s="883"/>
      <c r="G99" s="944"/>
      <c r="H99" s="886"/>
      <c r="I99" s="886"/>
      <c r="J99" s="886"/>
      <c r="K99" s="886"/>
      <c r="L99" s="886"/>
      <c r="M99" s="886"/>
      <c r="N99" s="886"/>
      <c r="O99" s="886"/>
      <c r="P99" s="886"/>
      <c r="Q99" s="886"/>
      <c r="R99" s="886"/>
      <c r="S99" s="886"/>
      <c r="T99" s="886"/>
      <c r="U99" s="886"/>
      <c r="V99" s="886"/>
      <c r="W99" s="886"/>
      <c r="X99" s="886"/>
    </row>
    <row r="100" spans="3:24" ht="25.2">
      <c r="C100" s="942"/>
      <c r="D100" s="945" t="s">
        <v>394</v>
      </c>
      <c r="E100" s="883"/>
      <c r="H100" s="886"/>
      <c r="I100" s="886"/>
      <c r="J100" s="886"/>
      <c r="K100" s="886"/>
      <c r="L100" s="886"/>
      <c r="M100" s="886"/>
      <c r="N100" s="886"/>
      <c r="O100" s="886"/>
      <c r="P100" s="886"/>
      <c r="Q100" s="886"/>
      <c r="R100" s="886"/>
      <c r="S100" s="886"/>
      <c r="T100" s="886"/>
      <c r="U100" s="886"/>
      <c r="V100" s="886"/>
      <c r="W100" s="886"/>
      <c r="X100" s="886"/>
    </row>
    <row r="101" spans="3:24">
      <c r="C101" s="942"/>
      <c r="D101" s="945" t="s">
        <v>395</v>
      </c>
      <c r="E101" s="883"/>
      <c r="H101" s="886"/>
      <c r="I101" s="886"/>
      <c r="J101" s="886"/>
      <c r="K101" s="886"/>
      <c r="L101" s="886"/>
      <c r="M101" s="886"/>
      <c r="N101" s="886"/>
      <c r="O101" s="886"/>
      <c r="P101" s="886"/>
      <c r="Q101" s="886"/>
      <c r="R101" s="886"/>
      <c r="S101" s="886"/>
      <c r="T101" s="886"/>
      <c r="U101" s="886"/>
      <c r="V101" s="886"/>
      <c r="W101" s="886"/>
      <c r="X101" s="886"/>
    </row>
    <row r="102" spans="3:24">
      <c r="C102" s="942"/>
      <c r="D102" s="943"/>
      <c r="E102" s="886"/>
      <c r="F102" s="886"/>
      <c r="G102" s="886"/>
      <c r="H102" s="886"/>
      <c r="I102" s="886"/>
      <c r="J102" s="886"/>
      <c r="K102" s="886"/>
      <c r="L102" s="886"/>
      <c r="M102" s="886"/>
      <c r="N102" s="886"/>
      <c r="O102" s="886"/>
      <c r="P102" s="886"/>
      <c r="Q102" s="886"/>
      <c r="R102" s="886"/>
      <c r="S102" s="886"/>
      <c r="T102" s="886"/>
      <c r="U102" s="886"/>
      <c r="V102" s="886"/>
      <c r="W102" s="886"/>
      <c r="X102" s="886"/>
    </row>
    <row r="103" spans="3:24">
      <c r="C103" s="942"/>
      <c r="D103" s="943"/>
      <c r="E103" s="886"/>
      <c r="F103" s="886"/>
      <c r="G103" s="886"/>
      <c r="H103" s="886"/>
      <c r="I103" s="886"/>
      <c r="J103" s="886"/>
      <c r="K103" s="886"/>
      <c r="L103" s="886"/>
      <c r="M103" s="886"/>
      <c r="N103" s="886"/>
      <c r="O103" s="886"/>
      <c r="P103" s="886"/>
      <c r="Q103" s="886"/>
      <c r="R103" s="886"/>
      <c r="S103" s="886"/>
      <c r="T103" s="886"/>
      <c r="U103" s="886"/>
      <c r="V103" s="886"/>
      <c r="W103" s="886"/>
      <c r="X103" s="886"/>
    </row>
    <row r="104" spans="3:24">
      <c r="C104" s="942"/>
      <c r="D104" s="943"/>
      <c r="E104" s="886"/>
      <c r="F104" s="886"/>
      <c r="G104" s="886"/>
      <c r="H104" s="886"/>
      <c r="I104" s="886"/>
      <c r="J104" s="886"/>
      <c r="K104" s="886"/>
      <c r="L104" s="886"/>
      <c r="M104" s="886"/>
      <c r="N104" s="886"/>
      <c r="O104" s="886"/>
      <c r="P104" s="886"/>
      <c r="Q104" s="886"/>
      <c r="R104" s="886"/>
      <c r="S104" s="886"/>
      <c r="T104" s="886"/>
      <c r="U104" s="886"/>
      <c r="V104" s="886"/>
      <c r="W104" s="886"/>
      <c r="X104" s="886"/>
    </row>
    <row r="105" spans="3:24">
      <c r="C105" s="942"/>
      <c r="D105" s="943"/>
      <c r="E105" s="886"/>
      <c r="F105" s="886"/>
      <c r="G105" s="886"/>
      <c r="H105" s="886"/>
      <c r="I105" s="886"/>
      <c r="J105" s="886"/>
      <c r="K105" s="886"/>
      <c r="L105" s="886"/>
      <c r="M105" s="886"/>
      <c r="N105" s="886"/>
      <c r="O105" s="886"/>
      <c r="P105" s="886"/>
      <c r="Q105" s="886"/>
      <c r="R105" s="886"/>
      <c r="S105" s="886"/>
      <c r="T105" s="886"/>
      <c r="U105" s="886"/>
      <c r="V105" s="886"/>
      <c r="W105" s="886"/>
      <c r="X105" s="886"/>
    </row>
    <row r="106" spans="3:24">
      <c r="C106" s="942"/>
      <c r="D106" s="943"/>
      <c r="E106" s="886"/>
      <c r="F106" s="886"/>
      <c r="G106" s="886"/>
      <c r="H106" s="886"/>
      <c r="I106" s="886"/>
      <c r="J106" s="886"/>
      <c r="K106" s="886"/>
      <c r="L106" s="886"/>
      <c r="M106" s="886"/>
      <c r="N106" s="886"/>
      <c r="O106" s="886"/>
      <c r="P106" s="886"/>
      <c r="Q106" s="886"/>
      <c r="R106" s="886"/>
      <c r="S106" s="886"/>
      <c r="T106" s="886"/>
      <c r="U106" s="886"/>
      <c r="V106" s="886"/>
      <c r="W106" s="886"/>
      <c r="X106" s="886"/>
    </row>
    <row r="107" spans="3:24">
      <c r="C107" s="942"/>
      <c r="D107" s="943"/>
      <c r="E107" s="886"/>
      <c r="F107" s="886"/>
      <c r="G107" s="886"/>
      <c r="H107" s="886"/>
      <c r="I107" s="886"/>
      <c r="J107" s="886"/>
      <c r="K107" s="886"/>
      <c r="L107" s="886"/>
      <c r="M107" s="886"/>
      <c r="N107" s="886"/>
      <c r="O107" s="886"/>
      <c r="P107" s="886"/>
      <c r="Q107" s="886"/>
      <c r="R107" s="886"/>
      <c r="S107" s="886"/>
      <c r="T107" s="886"/>
      <c r="U107" s="886"/>
      <c r="V107" s="886"/>
      <c r="W107" s="886"/>
      <c r="X107" s="886"/>
    </row>
    <row r="108" spans="3:24">
      <c r="C108" s="942"/>
      <c r="D108" s="943"/>
      <c r="E108" s="886"/>
      <c r="F108" s="886"/>
      <c r="G108" s="886"/>
      <c r="H108" s="886"/>
      <c r="I108" s="886"/>
      <c r="J108" s="886"/>
      <c r="K108" s="886"/>
      <c r="L108" s="886"/>
      <c r="M108" s="886"/>
      <c r="N108" s="886"/>
      <c r="O108" s="886"/>
      <c r="P108" s="886"/>
      <c r="Q108" s="886"/>
      <c r="R108" s="886"/>
      <c r="S108" s="886"/>
      <c r="T108" s="886"/>
      <c r="U108" s="886"/>
      <c r="V108" s="886"/>
      <c r="W108" s="886"/>
      <c r="X108" s="886"/>
    </row>
    <row r="109" spans="3:24">
      <c r="C109" s="942"/>
      <c r="D109" s="943"/>
      <c r="E109" s="886"/>
      <c r="F109" s="886"/>
      <c r="G109" s="886"/>
      <c r="H109" s="886"/>
      <c r="I109" s="886"/>
      <c r="J109" s="886"/>
      <c r="K109" s="886"/>
      <c r="L109" s="886"/>
      <c r="M109" s="886"/>
      <c r="N109" s="886"/>
      <c r="O109" s="886"/>
      <c r="P109" s="886"/>
      <c r="Q109" s="886"/>
      <c r="R109" s="886"/>
      <c r="S109" s="886"/>
      <c r="T109" s="886"/>
      <c r="U109" s="886"/>
      <c r="V109" s="886"/>
      <c r="W109" s="886"/>
      <c r="X109" s="886"/>
    </row>
    <row r="110" spans="3:24">
      <c r="C110" s="942"/>
      <c r="D110" s="943"/>
      <c r="E110" s="886"/>
      <c r="F110" s="886"/>
      <c r="G110" s="886"/>
      <c r="H110" s="886"/>
      <c r="I110" s="886"/>
      <c r="J110" s="886"/>
      <c r="K110" s="886"/>
      <c r="L110" s="886"/>
      <c r="M110" s="886"/>
      <c r="N110" s="886"/>
      <c r="O110" s="886"/>
      <c r="P110" s="886"/>
      <c r="Q110" s="886"/>
      <c r="R110" s="886"/>
      <c r="S110" s="886"/>
      <c r="T110" s="886"/>
      <c r="U110" s="886"/>
      <c r="V110" s="886"/>
      <c r="W110" s="886"/>
      <c r="X110" s="886"/>
    </row>
    <row r="111" spans="3:24">
      <c r="C111" s="942"/>
      <c r="D111" s="943"/>
      <c r="E111" s="886"/>
      <c r="F111" s="886"/>
      <c r="G111" s="886"/>
      <c r="H111" s="886"/>
      <c r="I111" s="886"/>
      <c r="J111" s="886"/>
      <c r="K111" s="886"/>
      <c r="L111" s="886"/>
      <c r="M111" s="886"/>
      <c r="N111" s="886"/>
      <c r="O111" s="886"/>
      <c r="P111" s="886"/>
      <c r="Q111" s="886"/>
      <c r="R111" s="886"/>
      <c r="S111" s="886"/>
      <c r="T111" s="886"/>
      <c r="U111" s="886"/>
      <c r="V111" s="886"/>
      <c r="W111" s="886"/>
      <c r="X111" s="886"/>
    </row>
    <row r="112" spans="3:24">
      <c r="C112" s="942"/>
      <c r="D112" s="943"/>
      <c r="E112" s="886"/>
      <c r="F112" s="886"/>
      <c r="G112" s="886"/>
      <c r="H112" s="886"/>
      <c r="I112" s="886"/>
      <c r="J112" s="886"/>
      <c r="K112" s="886"/>
      <c r="L112" s="886"/>
      <c r="M112" s="886"/>
      <c r="N112" s="886"/>
      <c r="O112" s="886"/>
      <c r="P112" s="886"/>
      <c r="Q112" s="886"/>
      <c r="R112" s="886"/>
      <c r="S112" s="886"/>
      <c r="T112" s="886"/>
      <c r="U112" s="886"/>
      <c r="V112" s="886"/>
      <c r="W112" s="886"/>
      <c r="X112" s="886"/>
    </row>
    <row r="113" spans="3:24">
      <c r="C113" s="942"/>
      <c r="D113" s="943"/>
      <c r="E113" s="886"/>
      <c r="F113" s="886"/>
      <c r="G113" s="886"/>
      <c r="H113" s="886"/>
      <c r="I113" s="886"/>
      <c r="J113" s="886"/>
      <c r="K113" s="886"/>
      <c r="L113" s="886"/>
      <c r="M113" s="886"/>
      <c r="N113" s="886"/>
      <c r="O113" s="886"/>
      <c r="P113" s="886"/>
      <c r="Q113" s="886"/>
      <c r="R113" s="886"/>
      <c r="S113" s="886"/>
      <c r="T113" s="886"/>
      <c r="U113" s="886"/>
      <c r="V113" s="886"/>
      <c r="W113" s="886"/>
      <c r="X113" s="886"/>
    </row>
    <row r="114" spans="3:24">
      <c r="C114" s="942"/>
      <c r="D114" s="943"/>
      <c r="E114" s="886"/>
      <c r="F114" s="886"/>
      <c r="G114" s="886"/>
      <c r="H114" s="886"/>
      <c r="I114" s="886"/>
      <c r="J114" s="886"/>
      <c r="K114" s="886"/>
      <c r="L114" s="886"/>
      <c r="M114" s="886"/>
      <c r="N114" s="886"/>
      <c r="O114" s="886"/>
      <c r="P114" s="886"/>
      <c r="Q114" s="886"/>
      <c r="R114" s="886"/>
      <c r="S114" s="886"/>
      <c r="T114" s="886"/>
      <c r="U114" s="886"/>
      <c r="V114" s="886"/>
      <c r="W114" s="886"/>
      <c r="X114" s="886"/>
    </row>
    <row r="115" spans="3:24">
      <c r="C115" s="942"/>
      <c r="D115" s="943"/>
      <c r="E115" s="886"/>
      <c r="F115" s="886"/>
      <c r="G115" s="886"/>
      <c r="H115" s="886"/>
      <c r="I115" s="886"/>
      <c r="J115" s="886"/>
      <c r="K115" s="886"/>
      <c r="L115" s="886"/>
      <c r="M115" s="886"/>
      <c r="N115" s="886"/>
      <c r="O115" s="886"/>
      <c r="P115" s="886"/>
      <c r="Q115" s="886"/>
      <c r="R115" s="886"/>
      <c r="S115" s="886"/>
      <c r="T115" s="886"/>
      <c r="U115" s="886"/>
      <c r="V115" s="886"/>
      <c r="W115" s="886"/>
      <c r="X115" s="886"/>
    </row>
    <row r="116" spans="3:24">
      <c r="C116" s="942"/>
      <c r="D116" s="943"/>
      <c r="E116" s="886"/>
      <c r="F116" s="886"/>
      <c r="G116" s="886"/>
      <c r="H116" s="886"/>
      <c r="I116" s="886"/>
      <c r="J116" s="886"/>
      <c r="K116" s="886"/>
      <c r="L116" s="886"/>
      <c r="M116" s="886"/>
      <c r="N116" s="886"/>
      <c r="O116" s="886"/>
      <c r="P116" s="886"/>
      <c r="Q116" s="886"/>
      <c r="R116" s="886"/>
      <c r="S116" s="886"/>
      <c r="T116" s="886"/>
      <c r="U116" s="886"/>
      <c r="V116" s="886"/>
      <c r="W116" s="886"/>
      <c r="X116" s="886"/>
    </row>
    <row r="117" spans="3:24">
      <c r="C117" s="942"/>
      <c r="D117" s="943"/>
      <c r="E117" s="886"/>
      <c r="F117" s="886"/>
      <c r="G117" s="886"/>
      <c r="H117" s="886"/>
      <c r="I117" s="886"/>
      <c r="J117" s="886"/>
      <c r="K117" s="886"/>
      <c r="L117" s="886"/>
      <c r="M117" s="886"/>
      <c r="N117" s="886"/>
      <c r="O117" s="886"/>
      <c r="P117" s="886"/>
      <c r="Q117" s="886"/>
      <c r="R117" s="886"/>
      <c r="S117" s="886"/>
      <c r="T117" s="886"/>
      <c r="U117" s="886"/>
      <c r="V117" s="886"/>
      <c r="W117" s="886"/>
      <c r="X117" s="886"/>
    </row>
    <row r="118" spans="3:24">
      <c r="C118" s="942"/>
      <c r="D118" s="943"/>
      <c r="E118" s="886"/>
      <c r="F118" s="886"/>
      <c r="G118" s="886"/>
      <c r="H118" s="886"/>
      <c r="I118" s="886"/>
      <c r="J118" s="886"/>
      <c r="K118" s="886"/>
      <c r="L118" s="886"/>
      <c r="M118" s="886"/>
      <c r="N118" s="886"/>
      <c r="O118" s="886"/>
      <c r="P118" s="886"/>
      <c r="Q118" s="886"/>
      <c r="R118" s="886"/>
      <c r="S118" s="886"/>
      <c r="T118" s="886"/>
      <c r="U118" s="886"/>
      <c r="V118" s="886"/>
      <c r="W118" s="886"/>
      <c r="X118" s="886"/>
    </row>
    <row r="119" spans="3:24">
      <c r="C119" s="942"/>
      <c r="D119" s="943"/>
      <c r="E119" s="886"/>
      <c r="F119" s="886"/>
      <c r="G119" s="886"/>
      <c r="H119" s="886"/>
      <c r="I119" s="886"/>
      <c r="J119" s="886"/>
      <c r="K119" s="886"/>
      <c r="L119" s="886"/>
      <c r="M119" s="886"/>
      <c r="N119" s="886"/>
      <c r="O119" s="886"/>
      <c r="P119" s="886"/>
      <c r="Q119" s="886"/>
      <c r="R119" s="886"/>
      <c r="S119" s="886"/>
      <c r="T119" s="886"/>
      <c r="U119" s="886"/>
      <c r="V119" s="886"/>
      <c r="W119" s="886"/>
      <c r="X119" s="886"/>
    </row>
    <row r="120" spans="3:24">
      <c r="C120" s="942"/>
      <c r="D120" s="943"/>
      <c r="E120" s="886"/>
      <c r="F120" s="886"/>
      <c r="G120" s="886"/>
      <c r="H120" s="886"/>
      <c r="I120" s="886"/>
      <c r="J120" s="886"/>
      <c r="K120" s="886"/>
      <c r="L120" s="886"/>
      <c r="M120" s="886"/>
      <c r="N120" s="886"/>
      <c r="O120" s="886"/>
      <c r="P120" s="886"/>
      <c r="Q120" s="886"/>
      <c r="R120" s="886"/>
      <c r="S120" s="886"/>
      <c r="T120" s="886"/>
      <c r="U120" s="886"/>
      <c r="V120" s="886"/>
      <c r="W120" s="886"/>
      <c r="X120" s="886"/>
    </row>
    <row r="121" spans="3:24">
      <c r="C121" s="942"/>
      <c r="D121" s="943"/>
      <c r="E121" s="886"/>
      <c r="F121" s="886"/>
      <c r="G121" s="886"/>
      <c r="H121" s="886"/>
      <c r="I121" s="886"/>
      <c r="J121" s="886"/>
      <c r="K121" s="886"/>
      <c r="L121" s="886"/>
      <c r="M121" s="886"/>
      <c r="N121" s="886"/>
      <c r="O121" s="886"/>
      <c r="P121" s="886"/>
      <c r="Q121" s="886"/>
      <c r="R121" s="886"/>
      <c r="S121" s="886"/>
      <c r="T121" s="886"/>
      <c r="U121" s="886"/>
      <c r="V121" s="886"/>
      <c r="W121" s="886"/>
      <c r="X121" s="886"/>
    </row>
    <row r="122" spans="3:24">
      <c r="C122" s="942"/>
      <c r="D122" s="943"/>
      <c r="E122" s="886"/>
      <c r="F122" s="886"/>
      <c r="G122" s="886"/>
      <c r="H122" s="886"/>
      <c r="I122" s="886"/>
      <c r="J122" s="886"/>
      <c r="K122" s="886"/>
      <c r="L122" s="886"/>
      <c r="M122" s="886"/>
      <c r="N122" s="886"/>
      <c r="O122" s="886"/>
      <c r="P122" s="886"/>
      <c r="Q122" s="886"/>
      <c r="R122" s="886"/>
      <c r="S122" s="886"/>
      <c r="T122" s="886"/>
      <c r="U122" s="886"/>
      <c r="V122" s="886"/>
      <c r="W122" s="886"/>
      <c r="X122" s="886"/>
    </row>
    <row r="123" spans="3:24">
      <c r="C123" s="942"/>
      <c r="D123" s="943"/>
      <c r="E123" s="886"/>
      <c r="F123" s="886"/>
      <c r="G123" s="886"/>
      <c r="H123" s="886"/>
      <c r="I123" s="886"/>
      <c r="J123" s="886"/>
      <c r="K123" s="886"/>
      <c r="L123" s="886"/>
      <c r="M123" s="886"/>
      <c r="N123" s="886"/>
      <c r="O123" s="886"/>
      <c r="P123" s="886"/>
      <c r="Q123" s="886"/>
      <c r="R123" s="886"/>
      <c r="S123" s="886"/>
      <c r="T123" s="886"/>
      <c r="U123" s="886"/>
      <c r="V123" s="886"/>
      <c r="W123" s="886"/>
      <c r="X123" s="886"/>
    </row>
    <row r="124" spans="3:24">
      <c r="C124" s="942"/>
      <c r="D124" s="943"/>
      <c r="E124" s="886"/>
      <c r="F124" s="886"/>
      <c r="G124" s="886"/>
      <c r="H124" s="886"/>
      <c r="I124" s="886"/>
      <c r="J124" s="886"/>
      <c r="K124" s="886"/>
      <c r="L124" s="886"/>
      <c r="M124" s="886"/>
      <c r="N124" s="886"/>
      <c r="O124" s="886"/>
      <c r="P124" s="886"/>
      <c r="Q124" s="886"/>
      <c r="R124" s="886"/>
      <c r="S124" s="886"/>
      <c r="T124" s="886"/>
      <c r="U124" s="886"/>
      <c r="V124" s="886"/>
      <c r="W124" s="886"/>
      <c r="X124" s="886"/>
    </row>
    <row r="125" spans="3:24">
      <c r="C125" s="942"/>
      <c r="D125" s="943"/>
      <c r="E125" s="886"/>
      <c r="F125" s="886"/>
      <c r="G125" s="886"/>
      <c r="H125" s="886"/>
      <c r="I125" s="886"/>
      <c r="J125" s="886"/>
      <c r="K125" s="886"/>
      <c r="L125" s="886"/>
      <c r="M125" s="886"/>
      <c r="N125" s="886"/>
      <c r="O125" s="886"/>
      <c r="P125" s="886"/>
      <c r="Q125" s="886"/>
      <c r="R125" s="886"/>
      <c r="S125" s="886"/>
      <c r="T125" s="886"/>
      <c r="U125" s="886"/>
      <c r="V125" s="886"/>
      <c r="W125" s="886"/>
      <c r="X125" s="886"/>
    </row>
    <row r="126" spans="3:24">
      <c r="C126" s="942"/>
      <c r="D126" s="943"/>
      <c r="E126" s="886"/>
      <c r="F126" s="886"/>
      <c r="G126" s="886"/>
      <c r="H126" s="886"/>
      <c r="I126" s="886"/>
      <c r="J126" s="886"/>
      <c r="K126" s="886"/>
      <c r="L126" s="886"/>
      <c r="M126" s="886"/>
      <c r="N126" s="886"/>
      <c r="O126" s="886"/>
      <c r="P126" s="886"/>
      <c r="Q126" s="886"/>
      <c r="R126" s="886"/>
      <c r="S126" s="886"/>
      <c r="T126" s="886"/>
      <c r="U126" s="886"/>
      <c r="V126" s="886"/>
      <c r="W126" s="886"/>
      <c r="X126" s="886"/>
    </row>
    <row r="127" spans="3:24">
      <c r="C127" s="942"/>
      <c r="D127" s="943"/>
      <c r="E127" s="886"/>
      <c r="F127" s="886"/>
      <c r="G127" s="886"/>
      <c r="H127" s="886"/>
      <c r="I127" s="886"/>
      <c r="J127" s="886"/>
      <c r="K127" s="886"/>
      <c r="L127" s="886"/>
      <c r="M127" s="886"/>
      <c r="N127" s="886"/>
      <c r="O127" s="886"/>
      <c r="P127" s="886"/>
      <c r="Q127" s="886"/>
      <c r="R127" s="886"/>
      <c r="S127" s="886"/>
      <c r="T127" s="886"/>
      <c r="U127" s="886"/>
      <c r="V127" s="886"/>
      <c r="W127" s="886"/>
      <c r="X127" s="886"/>
    </row>
    <row r="128" spans="3:24">
      <c r="C128" s="942"/>
      <c r="D128" s="943"/>
      <c r="E128" s="886"/>
      <c r="F128" s="886"/>
      <c r="G128" s="886"/>
      <c r="H128" s="886"/>
      <c r="I128" s="886"/>
      <c r="J128" s="886"/>
      <c r="K128" s="886"/>
      <c r="L128" s="886"/>
      <c r="M128" s="886"/>
      <c r="N128" s="886"/>
      <c r="O128" s="886"/>
      <c r="P128" s="886"/>
      <c r="Q128" s="886"/>
      <c r="R128" s="886"/>
      <c r="S128" s="886"/>
      <c r="T128" s="886"/>
      <c r="U128" s="886"/>
      <c r="V128" s="886"/>
      <c r="W128" s="886"/>
      <c r="X128" s="886"/>
    </row>
    <row r="129" spans="3:24">
      <c r="C129" s="942"/>
      <c r="D129" s="943"/>
      <c r="E129" s="886"/>
      <c r="F129" s="886"/>
      <c r="G129" s="886"/>
      <c r="H129" s="886"/>
      <c r="I129" s="886"/>
      <c r="J129" s="886"/>
      <c r="K129" s="886"/>
      <c r="L129" s="886"/>
      <c r="M129" s="886"/>
      <c r="N129" s="886"/>
      <c r="O129" s="886"/>
      <c r="P129" s="886"/>
      <c r="Q129" s="886"/>
      <c r="R129" s="886"/>
      <c r="S129" s="886"/>
      <c r="T129" s="886"/>
      <c r="U129" s="886"/>
      <c r="V129" s="886"/>
      <c r="W129" s="886"/>
      <c r="X129" s="886"/>
    </row>
    <row r="130" spans="3:24">
      <c r="C130" s="942"/>
      <c r="D130" s="943"/>
      <c r="E130" s="886"/>
      <c r="F130" s="886"/>
      <c r="G130" s="886"/>
      <c r="H130" s="886"/>
      <c r="I130" s="886"/>
      <c r="J130" s="886"/>
      <c r="K130" s="886"/>
      <c r="L130" s="886"/>
      <c r="M130" s="886"/>
      <c r="N130" s="886"/>
      <c r="O130" s="886"/>
      <c r="P130" s="886"/>
      <c r="Q130" s="886"/>
      <c r="R130" s="886"/>
      <c r="S130" s="886"/>
      <c r="T130" s="886"/>
      <c r="U130" s="886"/>
      <c r="V130" s="886"/>
      <c r="W130" s="886"/>
      <c r="X130" s="886"/>
    </row>
    <row r="131" spans="3:24">
      <c r="C131" s="942"/>
      <c r="D131" s="943"/>
      <c r="E131" s="886"/>
      <c r="F131" s="886"/>
      <c r="G131" s="886"/>
      <c r="H131" s="886"/>
      <c r="I131" s="886"/>
      <c r="J131" s="886"/>
      <c r="K131" s="886"/>
      <c r="L131" s="886"/>
      <c r="M131" s="886"/>
      <c r="N131" s="886"/>
      <c r="O131" s="886"/>
      <c r="P131" s="886"/>
      <c r="Q131" s="886"/>
      <c r="R131" s="886"/>
      <c r="S131" s="886"/>
      <c r="T131" s="886"/>
      <c r="U131" s="886"/>
      <c r="V131" s="886"/>
      <c r="W131" s="886"/>
      <c r="X131" s="886"/>
    </row>
    <row r="132" spans="3:24">
      <c r="C132" s="942"/>
      <c r="D132" s="943"/>
      <c r="E132" s="886"/>
      <c r="F132" s="886"/>
      <c r="G132" s="886"/>
      <c r="H132" s="886"/>
      <c r="I132" s="886"/>
      <c r="J132" s="886"/>
      <c r="K132" s="886"/>
      <c r="L132" s="886"/>
      <c r="M132" s="886"/>
      <c r="N132" s="886"/>
      <c r="O132" s="886"/>
      <c r="P132" s="886"/>
      <c r="Q132" s="886"/>
      <c r="R132" s="886"/>
      <c r="S132" s="886"/>
      <c r="T132" s="886"/>
      <c r="U132" s="886"/>
      <c r="V132" s="886"/>
      <c r="W132" s="886"/>
      <c r="X132" s="886"/>
    </row>
    <row r="133" spans="3:24">
      <c r="C133" s="942"/>
      <c r="D133" s="943"/>
      <c r="E133" s="886"/>
      <c r="F133" s="886"/>
      <c r="G133" s="886"/>
      <c r="H133" s="886"/>
      <c r="I133" s="886"/>
      <c r="J133" s="886"/>
      <c r="K133" s="886"/>
      <c r="L133" s="886"/>
      <c r="M133" s="886"/>
      <c r="N133" s="886"/>
      <c r="O133" s="886"/>
      <c r="P133" s="886"/>
      <c r="Q133" s="886"/>
      <c r="R133" s="886"/>
      <c r="S133" s="886"/>
      <c r="T133" s="886"/>
      <c r="U133" s="886"/>
      <c r="V133" s="886"/>
      <c r="W133" s="886"/>
      <c r="X133" s="886"/>
    </row>
    <row r="134" spans="3:24">
      <c r="C134" s="942"/>
      <c r="D134" s="943"/>
      <c r="E134" s="886"/>
      <c r="F134" s="886"/>
      <c r="G134" s="886"/>
      <c r="H134" s="886"/>
      <c r="I134" s="886"/>
      <c r="J134" s="886"/>
      <c r="K134" s="886"/>
      <c r="L134" s="886"/>
      <c r="M134" s="886"/>
      <c r="N134" s="886"/>
      <c r="O134" s="886"/>
      <c r="P134" s="886"/>
      <c r="Q134" s="886"/>
      <c r="R134" s="886"/>
      <c r="S134" s="886"/>
      <c r="T134" s="886"/>
      <c r="U134" s="886"/>
      <c r="V134" s="886"/>
      <c r="W134" s="886"/>
      <c r="X134" s="886"/>
    </row>
    <row r="135" spans="3:24">
      <c r="C135" s="942"/>
      <c r="D135" s="943"/>
      <c r="E135" s="886"/>
      <c r="F135" s="886"/>
      <c r="G135" s="886"/>
      <c r="H135" s="886"/>
      <c r="I135" s="886"/>
      <c r="J135" s="886"/>
      <c r="K135" s="886"/>
      <c r="L135" s="886"/>
      <c r="M135" s="886"/>
      <c r="N135" s="886"/>
      <c r="O135" s="886"/>
      <c r="P135" s="886"/>
      <c r="Q135" s="886"/>
      <c r="R135" s="886"/>
      <c r="S135" s="886"/>
      <c r="T135" s="886"/>
      <c r="U135" s="886"/>
      <c r="V135" s="886"/>
      <c r="W135" s="886"/>
      <c r="X135" s="886"/>
    </row>
    <row r="136" spans="3:24">
      <c r="C136" s="942"/>
      <c r="D136" s="943"/>
      <c r="E136" s="886"/>
      <c r="F136" s="886"/>
      <c r="G136" s="886"/>
      <c r="H136" s="886"/>
      <c r="I136" s="886"/>
      <c r="J136" s="886"/>
      <c r="K136" s="886"/>
      <c r="L136" s="886"/>
      <c r="M136" s="886"/>
      <c r="N136" s="886"/>
      <c r="O136" s="886"/>
      <c r="P136" s="886"/>
      <c r="Q136" s="886"/>
      <c r="R136" s="886"/>
      <c r="S136" s="886"/>
      <c r="T136" s="886"/>
      <c r="U136" s="886"/>
      <c r="V136" s="886"/>
      <c r="W136" s="886"/>
      <c r="X136" s="886"/>
    </row>
    <row r="137" spans="3:24">
      <c r="C137" s="942"/>
      <c r="D137" s="943"/>
      <c r="E137" s="886"/>
      <c r="F137" s="886"/>
      <c r="G137" s="886"/>
      <c r="H137" s="886"/>
      <c r="I137" s="886"/>
      <c r="J137" s="886"/>
      <c r="K137" s="886"/>
      <c r="L137" s="886"/>
      <c r="M137" s="886"/>
      <c r="N137" s="886"/>
      <c r="O137" s="886"/>
      <c r="P137" s="886"/>
      <c r="Q137" s="886"/>
      <c r="R137" s="886"/>
      <c r="S137" s="886"/>
      <c r="T137" s="886"/>
      <c r="U137" s="886"/>
      <c r="V137" s="886"/>
      <c r="W137" s="886"/>
      <c r="X137" s="886"/>
    </row>
    <row r="138" spans="3:24">
      <c r="C138" s="942"/>
      <c r="D138" s="943"/>
      <c r="E138" s="886"/>
      <c r="F138" s="886"/>
      <c r="G138" s="886"/>
      <c r="H138" s="886"/>
      <c r="I138" s="886"/>
      <c r="J138" s="886"/>
      <c r="K138" s="886"/>
      <c r="L138" s="886"/>
      <c r="M138" s="886"/>
      <c r="N138" s="886"/>
      <c r="O138" s="886"/>
      <c r="P138" s="886"/>
      <c r="Q138" s="886"/>
      <c r="R138" s="886"/>
      <c r="S138" s="886"/>
      <c r="T138" s="886"/>
      <c r="U138" s="886"/>
      <c r="V138" s="886"/>
      <c r="W138" s="886"/>
      <c r="X138" s="886"/>
    </row>
    <row r="139" spans="3:24">
      <c r="C139" s="942"/>
      <c r="D139" s="943"/>
      <c r="E139" s="886"/>
      <c r="F139" s="886"/>
      <c r="G139" s="886"/>
      <c r="H139" s="886"/>
      <c r="I139" s="886"/>
      <c r="J139" s="886"/>
      <c r="K139" s="886"/>
      <c r="L139" s="886"/>
      <c r="M139" s="886"/>
      <c r="N139" s="886"/>
      <c r="O139" s="886"/>
      <c r="P139" s="886"/>
      <c r="Q139" s="886"/>
      <c r="R139" s="886"/>
      <c r="S139" s="886"/>
      <c r="T139" s="886"/>
      <c r="U139" s="886"/>
      <c r="V139" s="886"/>
      <c r="W139" s="886"/>
      <c r="X139" s="886"/>
    </row>
    <row r="140" spans="3:24">
      <c r="C140" s="942"/>
      <c r="D140" s="943"/>
      <c r="E140" s="886"/>
      <c r="F140" s="886"/>
      <c r="G140" s="886"/>
      <c r="H140" s="886"/>
      <c r="I140" s="886"/>
      <c r="J140" s="886"/>
      <c r="K140" s="886"/>
      <c r="L140" s="886"/>
      <c r="M140" s="886"/>
      <c r="N140" s="886"/>
      <c r="O140" s="886"/>
      <c r="P140" s="886"/>
      <c r="Q140" s="886"/>
      <c r="R140" s="886"/>
      <c r="S140" s="886"/>
      <c r="T140" s="886"/>
      <c r="U140" s="886"/>
      <c r="V140" s="886"/>
      <c r="W140" s="886"/>
      <c r="X140" s="886"/>
    </row>
    <row r="141" spans="3:24">
      <c r="C141" s="942"/>
      <c r="D141" s="943"/>
      <c r="E141" s="886"/>
      <c r="F141" s="886"/>
      <c r="G141" s="886"/>
      <c r="H141" s="886"/>
      <c r="I141" s="886"/>
      <c r="J141" s="886"/>
      <c r="K141" s="886"/>
      <c r="L141" s="886"/>
      <c r="M141" s="886"/>
      <c r="N141" s="886"/>
      <c r="O141" s="886"/>
      <c r="P141" s="886"/>
      <c r="Q141" s="886"/>
      <c r="R141" s="886"/>
      <c r="S141" s="886"/>
      <c r="T141" s="886"/>
      <c r="U141" s="886"/>
      <c r="V141" s="886"/>
      <c r="W141" s="886"/>
      <c r="X141" s="886"/>
    </row>
    <row r="142" spans="3:24">
      <c r="C142" s="942"/>
      <c r="D142" s="943"/>
      <c r="E142" s="886"/>
      <c r="F142" s="886"/>
      <c r="G142" s="886"/>
      <c r="H142" s="886"/>
      <c r="I142" s="886"/>
      <c r="J142" s="886"/>
      <c r="K142" s="886"/>
      <c r="L142" s="886"/>
      <c r="M142" s="886"/>
      <c r="N142" s="886"/>
      <c r="O142" s="886"/>
      <c r="P142" s="886"/>
      <c r="Q142" s="886"/>
      <c r="R142" s="886"/>
      <c r="S142" s="886"/>
      <c r="T142" s="886"/>
      <c r="U142" s="886"/>
      <c r="V142" s="886"/>
      <c r="W142" s="886"/>
      <c r="X142" s="886"/>
    </row>
    <row r="143" spans="3:24">
      <c r="C143" s="942"/>
      <c r="D143" s="943"/>
      <c r="E143" s="886"/>
      <c r="F143" s="886"/>
      <c r="G143" s="886"/>
      <c r="H143" s="886"/>
      <c r="I143" s="886"/>
      <c r="J143" s="886"/>
      <c r="K143" s="886"/>
      <c r="L143" s="886"/>
      <c r="M143" s="886"/>
      <c r="N143" s="886"/>
      <c r="O143" s="886"/>
      <c r="P143" s="886"/>
      <c r="Q143" s="886"/>
      <c r="R143" s="886"/>
      <c r="S143" s="886"/>
      <c r="T143" s="886"/>
      <c r="U143" s="886"/>
      <c r="V143" s="886"/>
      <c r="W143" s="886"/>
      <c r="X143" s="886"/>
    </row>
    <row r="144" spans="3:24">
      <c r="C144" s="942"/>
      <c r="D144" s="943"/>
      <c r="E144" s="886"/>
      <c r="F144" s="886"/>
      <c r="G144" s="886"/>
      <c r="H144" s="886"/>
      <c r="I144" s="886"/>
      <c r="J144" s="886"/>
      <c r="K144" s="886"/>
      <c r="L144" s="886"/>
      <c r="M144" s="886"/>
      <c r="N144" s="886"/>
      <c r="O144" s="886"/>
      <c r="P144" s="886"/>
      <c r="Q144" s="886"/>
      <c r="R144" s="886"/>
      <c r="S144" s="886"/>
      <c r="T144" s="886"/>
      <c r="U144" s="886"/>
      <c r="V144" s="886"/>
      <c r="W144" s="886"/>
      <c r="X144" s="886"/>
    </row>
    <row r="145" spans="3:24">
      <c r="C145" s="942"/>
      <c r="D145" s="943"/>
      <c r="E145" s="886"/>
      <c r="F145" s="886"/>
      <c r="G145" s="886"/>
      <c r="H145" s="886"/>
      <c r="I145" s="886"/>
      <c r="J145" s="886"/>
      <c r="K145" s="886"/>
      <c r="L145" s="886"/>
      <c r="M145" s="886"/>
      <c r="N145" s="886"/>
      <c r="O145" s="886"/>
      <c r="P145" s="886"/>
      <c r="Q145" s="886"/>
      <c r="R145" s="886"/>
      <c r="S145" s="886"/>
      <c r="T145" s="886"/>
      <c r="U145" s="886"/>
      <c r="V145" s="886"/>
      <c r="W145" s="886"/>
      <c r="X145" s="886"/>
    </row>
    <row r="146" spans="3:24">
      <c r="C146" s="942"/>
      <c r="D146" s="943"/>
      <c r="E146" s="886"/>
      <c r="F146" s="886"/>
      <c r="G146" s="886"/>
      <c r="H146" s="886"/>
      <c r="I146" s="886"/>
      <c r="J146" s="886"/>
      <c r="K146" s="886"/>
      <c r="L146" s="886"/>
      <c r="M146" s="886"/>
      <c r="N146" s="886"/>
      <c r="O146" s="886"/>
      <c r="P146" s="886"/>
      <c r="Q146" s="886"/>
      <c r="R146" s="886"/>
      <c r="S146" s="886"/>
      <c r="T146" s="886"/>
      <c r="U146" s="886"/>
      <c r="V146" s="886"/>
      <c r="W146" s="886"/>
      <c r="X146" s="886"/>
    </row>
    <row r="147" spans="3:24">
      <c r="C147" s="942"/>
      <c r="D147" s="943"/>
      <c r="E147" s="886"/>
      <c r="F147" s="886"/>
      <c r="G147" s="886"/>
      <c r="H147" s="886"/>
      <c r="I147" s="886"/>
      <c r="J147" s="886"/>
      <c r="K147" s="886"/>
      <c r="L147" s="886"/>
      <c r="M147" s="886"/>
      <c r="N147" s="886"/>
      <c r="O147" s="886"/>
      <c r="P147" s="886"/>
      <c r="Q147" s="886"/>
      <c r="R147" s="886"/>
      <c r="S147" s="886"/>
      <c r="T147" s="886"/>
      <c r="U147" s="886"/>
      <c r="V147" s="886"/>
      <c r="W147" s="886"/>
      <c r="X147" s="886"/>
    </row>
    <row r="148" spans="3:24">
      <c r="C148" s="942"/>
      <c r="D148" s="943"/>
      <c r="E148" s="886"/>
      <c r="F148" s="886"/>
      <c r="G148" s="886"/>
      <c r="H148" s="886"/>
      <c r="I148" s="886"/>
      <c r="J148" s="886"/>
      <c r="K148" s="886"/>
      <c r="L148" s="886"/>
      <c r="M148" s="886"/>
      <c r="N148" s="886"/>
      <c r="O148" s="886"/>
      <c r="P148" s="886"/>
      <c r="Q148" s="886"/>
      <c r="R148" s="886"/>
      <c r="S148" s="886"/>
      <c r="T148" s="886"/>
      <c r="U148" s="886"/>
      <c r="V148" s="886"/>
      <c r="W148" s="886"/>
      <c r="X148" s="886"/>
    </row>
    <row r="149" spans="3:24">
      <c r="C149" s="942"/>
      <c r="D149" s="943"/>
      <c r="E149" s="886"/>
      <c r="F149" s="886"/>
      <c r="G149" s="886"/>
      <c r="H149" s="886"/>
      <c r="I149" s="886"/>
      <c r="J149" s="886"/>
      <c r="K149" s="886"/>
      <c r="L149" s="886"/>
      <c r="M149" s="886"/>
      <c r="N149" s="886"/>
      <c r="O149" s="886"/>
      <c r="P149" s="886"/>
      <c r="Q149" s="886"/>
      <c r="R149" s="886"/>
      <c r="S149" s="886"/>
      <c r="T149" s="886"/>
      <c r="U149" s="886"/>
      <c r="V149" s="886"/>
      <c r="W149" s="886"/>
      <c r="X149" s="886"/>
    </row>
    <row r="150" spans="3:24">
      <c r="C150" s="942"/>
      <c r="D150" s="943"/>
      <c r="E150" s="886"/>
      <c r="F150" s="886"/>
      <c r="G150" s="886"/>
      <c r="H150" s="886"/>
      <c r="I150" s="886"/>
      <c r="J150" s="886"/>
      <c r="K150" s="886"/>
      <c r="L150" s="886"/>
      <c r="M150" s="886"/>
      <c r="N150" s="886"/>
      <c r="O150" s="886"/>
      <c r="P150" s="886"/>
      <c r="Q150" s="886"/>
      <c r="R150" s="886"/>
      <c r="S150" s="886"/>
      <c r="T150" s="886"/>
      <c r="U150" s="886"/>
      <c r="V150" s="886"/>
      <c r="W150" s="886"/>
      <c r="X150" s="886"/>
    </row>
    <row r="151" spans="3:24">
      <c r="C151" s="942"/>
      <c r="D151" s="943"/>
      <c r="E151" s="886"/>
      <c r="F151" s="886"/>
      <c r="G151" s="886"/>
      <c r="H151" s="886"/>
      <c r="I151" s="886"/>
      <c r="J151" s="886"/>
      <c r="K151" s="886"/>
      <c r="L151" s="886"/>
      <c r="M151" s="886"/>
      <c r="N151" s="886"/>
      <c r="O151" s="886"/>
      <c r="P151" s="886"/>
      <c r="Q151" s="886"/>
      <c r="R151" s="886"/>
      <c r="S151" s="886"/>
      <c r="T151" s="886"/>
      <c r="U151" s="886"/>
      <c r="V151" s="886"/>
      <c r="W151" s="886"/>
      <c r="X151" s="886"/>
    </row>
    <row r="152" spans="3:24">
      <c r="C152" s="942"/>
      <c r="D152" s="943"/>
      <c r="E152" s="886"/>
      <c r="F152" s="886"/>
      <c r="G152" s="886"/>
      <c r="H152" s="886"/>
      <c r="I152" s="886"/>
      <c r="J152" s="886"/>
      <c r="K152" s="886"/>
      <c r="L152" s="886"/>
      <c r="M152" s="886"/>
      <c r="N152" s="886"/>
      <c r="O152" s="886"/>
      <c r="P152" s="886"/>
      <c r="Q152" s="886"/>
      <c r="R152" s="886"/>
      <c r="S152" s="886"/>
      <c r="T152" s="886"/>
      <c r="U152" s="886"/>
      <c r="V152" s="886"/>
      <c r="W152" s="886"/>
      <c r="X152" s="886"/>
    </row>
    <row r="153" spans="3:24">
      <c r="C153" s="942"/>
      <c r="D153" s="943"/>
      <c r="E153" s="886"/>
      <c r="F153" s="886"/>
      <c r="G153" s="886"/>
      <c r="H153" s="886"/>
      <c r="I153" s="886"/>
      <c r="J153" s="886"/>
      <c r="K153" s="886"/>
      <c r="L153" s="886"/>
      <c r="M153" s="886"/>
      <c r="N153" s="886"/>
      <c r="O153" s="886"/>
      <c r="P153" s="886"/>
      <c r="Q153" s="886"/>
      <c r="R153" s="886"/>
      <c r="S153" s="886"/>
      <c r="T153" s="886"/>
      <c r="U153" s="886"/>
      <c r="V153" s="886"/>
      <c r="W153" s="886"/>
      <c r="X153" s="886"/>
    </row>
    <row r="154" spans="3:24">
      <c r="C154" s="942"/>
      <c r="D154" s="943"/>
      <c r="E154" s="886"/>
      <c r="F154" s="886"/>
      <c r="G154" s="886"/>
      <c r="H154" s="886"/>
      <c r="I154" s="886"/>
      <c r="J154" s="886"/>
      <c r="K154" s="886"/>
      <c r="L154" s="886"/>
      <c r="M154" s="886"/>
      <c r="N154" s="886"/>
      <c r="O154" s="886"/>
      <c r="P154" s="886"/>
      <c r="Q154" s="886"/>
      <c r="R154" s="886"/>
      <c r="S154" s="886"/>
      <c r="T154" s="886"/>
      <c r="U154" s="886"/>
      <c r="V154" s="886"/>
      <c r="W154" s="886"/>
      <c r="X154" s="886"/>
    </row>
    <row r="155" spans="3:24">
      <c r="C155" s="942"/>
      <c r="D155" s="943"/>
      <c r="E155" s="886"/>
      <c r="F155" s="886"/>
      <c r="G155" s="886"/>
      <c r="H155" s="886"/>
      <c r="I155" s="886"/>
      <c r="J155" s="886"/>
      <c r="K155" s="886"/>
      <c r="L155" s="886"/>
      <c r="M155" s="886"/>
      <c r="N155" s="886"/>
      <c r="O155" s="886"/>
      <c r="P155" s="886"/>
      <c r="Q155" s="886"/>
      <c r="R155" s="886"/>
      <c r="S155" s="886"/>
      <c r="T155" s="886"/>
      <c r="U155" s="886"/>
      <c r="V155" s="886"/>
      <c r="W155" s="886"/>
      <c r="X155" s="886"/>
    </row>
    <row r="156" spans="3:24">
      <c r="C156" s="942"/>
      <c r="D156" s="943"/>
      <c r="E156" s="886"/>
      <c r="F156" s="886"/>
      <c r="G156" s="886"/>
      <c r="H156" s="886"/>
      <c r="I156" s="886"/>
      <c r="J156" s="886"/>
      <c r="K156" s="886"/>
      <c r="L156" s="886"/>
      <c r="M156" s="886"/>
      <c r="N156" s="886"/>
      <c r="O156" s="886"/>
      <c r="P156" s="886"/>
      <c r="Q156" s="886"/>
      <c r="R156" s="886"/>
      <c r="S156" s="886"/>
      <c r="T156" s="886"/>
      <c r="U156" s="886"/>
      <c r="V156" s="886"/>
      <c r="W156" s="886"/>
      <c r="X156" s="886"/>
    </row>
    <row r="157" spans="3:24">
      <c r="C157" s="942"/>
      <c r="D157" s="943"/>
      <c r="E157" s="886"/>
      <c r="F157" s="886"/>
      <c r="G157" s="886"/>
      <c r="H157" s="886"/>
      <c r="I157" s="886"/>
      <c r="J157" s="886"/>
      <c r="K157" s="886"/>
      <c r="L157" s="886"/>
      <c r="M157" s="886"/>
      <c r="N157" s="886"/>
      <c r="O157" s="886"/>
      <c r="P157" s="886"/>
      <c r="Q157" s="886"/>
      <c r="R157" s="886"/>
      <c r="S157" s="886"/>
      <c r="T157" s="886"/>
      <c r="U157" s="886"/>
      <c r="V157" s="886"/>
      <c r="W157" s="886"/>
      <c r="X157" s="886"/>
    </row>
    <row r="158" spans="3:24">
      <c r="C158" s="942"/>
      <c r="D158" s="943"/>
      <c r="E158" s="886"/>
      <c r="F158" s="886"/>
      <c r="G158" s="886"/>
      <c r="H158" s="886"/>
      <c r="I158" s="886"/>
      <c r="J158" s="886"/>
      <c r="K158" s="886"/>
      <c r="L158" s="886"/>
      <c r="M158" s="886"/>
      <c r="N158" s="886"/>
      <c r="O158" s="886"/>
      <c r="P158" s="886"/>
      <c r="Q158" s="886"/>
      <c r="R158" s="886"/>
      <c r="S158" s="886"/>
      <c r="T158" s="886"/>
      <c r="U158" s="886"/>
      <c r="V158" s="886"/>
      <c r="W158" s="886"/>
      <c r="X158" s="886"/>
    </row>
    <row r="159" spans="3:24">
      <c r="C159" s="942"/>
      <c r="D159" s="943"/>
      <c r="E159" s="886"/>
      <c r="F159" s="886"/>
      <c r="G159" s="886"/>
      <c r="H159" s="886"/>
      <c r="I159" s="886"/>
      <c r="J159" s="886"/>
      <c r="K159" s="886"/>
      <c r="L159" s="886"/>
      <c r="M159" s="886"/>
      <c r="N159" s="886"/>
      <c r="O159" s="886"/>
      <c r="P159" s="886"/>
      <c r="Q159" s="886"/>
      <c r="R159" s="886"/>
      <c r="S159" s="886"/>
      <c r="T159" s="886"/>
      <c r="U159" s="886"/>
      <c r="V159" s="886"/>
      <c r="W159" s="886"/>
      <c r="X159" s="886"/>
    </row>
    <row r="160" spans="3:24">
      <c r="C160" s="942"/>
      <c r="D160" s="943"/>
      <c r="E160" s="886"/>
      <c r="F160" s="886"/>
      <c r="G160" s="886"/>
      <c r="H160" s="886"/>
      <c r="I160" s="886"/>
      <c r="J160" s="886"/>
      <c r="K160" s="886"/>
      <c r="L160" s="886"/>
      <c r="M160" s="886"/>
      <c r="N160" s="886"/>
      <c r="O160" s="886"/>
      <c r="P160" s="886"/>
      <c r="Q160" s="886"/>
      <c r="R160" s="886"/>
      <c r="S160" s="886"/>
      <c r="T160" s="886"/>
      <c r="U160" s="886"/>
      <c r="V160" s="886"/>
      <c r="W160" s="886"/>
      <c r="X160" s="886"/>
    </row>
    <row r="161" spans="3:24">
      <c r="C161" s="942"/>
      <c r="D161" s="943"/>
      <c r="E161" s="886"/>
      <c r="F161" s="886"/>
      <c r="G161" s="886"/>
      <c r="H161" s="886"/>
      <c r="I161" s="886"/>
      <c r="J161" s="886"/>
      <c r="K161" s="886"/>
      <c r="L161" s="886"/>
      <c r="M161" s="886"/>
      <c r="N161" s="886"/>
      <c r="O161" s="886"/>
      <c r="P161" s="886"/>
      <c r="Q161" s="886"/>
      <c r="R161" s="886"/>
      <c r="S161" s="886"/>
      <c r="T161" s="886"/>
      <c r="U161" s="886"/>
      <c r="V161" s="886"/>
      <c r="W161" s="886"/>
      <c r="X161" s="886"/>
    </row>
    <row r="162" spans="3:24">
      <c r="C162" s="942"/>
      <c r="D162" s="943"/>
      <c r="E162" s="886"/>
      <c r="F162" s="886"/>
      <c r="G162" s="886"/>
      <c r="H162" s="886"/>
      <c r="I162" s="886"/>
      <c r="J162" s="886"/>
      <c r="K162" s="886"/>
      <c r="L162" s="886"/>
      <c r="M162" s="886"/>
      <c r="N162" s="886"/>
      <c r="O162" s="886"/>
      <c r="P162" s="886"/>
      <c r="Q162" s="886"/>
      <c r="R162" s="886"/>
      <c r="S162" s="886"/>
      <c r="T162" s="886"/>
      <c r="U162" s="886"/>
      <c r="V162" s="886"/>
      <c r="W162" s="886"/>
      <c r="X162" s="886"/>
    </row>
    <row r="163" spans="3:24">
      <c r="C163" s="942"/>
      <c r="D163" s="943"/>
      <c r="E163" s="886"/>
      <c r="F163" s="886"/>
      <c r="G163" s="886"/>
      <c r="H163" s="886"/>
      <c r="I163" s="886"/>
      <c r="J163" s="886"/>
      <c r="K163" s="886"/>
      <c r="L163" s="886"/>
      <c r="M163" s="886"/>
      <c r="N163" s="886"/>
      <c r="O163" s="886"/>
      <c r="P163" s="886"/>
      <c r="Q163" s="886"/>
      <c r="R163" s="886"/>
      <c r="S163" s="886"/>
      <c r="T163" s="886"/>
      <c r="U163" s="886"/>
      <c r="V163" s="886"/>
      <c r="W163" s="886"/>
      <c r="X163" s="886"/>
    </row>
    <row r="164" spans="3:24">
      <c r="C164" s="942"/>
      <c r="D164" s="943"/>
      <c r="E164" s="886"/>
      <c r="F164" s="886"/>
      <c r="G164" s="886"/>
      <c r="H164" s="886"/>
      <c r="I164" s="886"/>
      <c r="J164" s="886"/>
      <c r="K164" s="886"/>
      <c r="L164" s="886"/>
      <c r="M164" s="886"/>
      <c r="N164" s="886"/>
      <c r="O164" s="886"/>
      <c r="P164" s="886"/>
      <c r="Q164" s="886"/>
      <c r="R164" s="886"/>
      <c r="S164" s="886"/>
      <c r="T164" s="886"/>
      <c r="U164" s="886"/>
      <c r="V164" s="886"/>
      <c r="W164" s="886"/>
      <c r="X164" s="886"/>
    </row>
    <row r="165" spans="3:24">
      <c r="C165" s="942"/>
      <c r="D165" s="943"/>
      <c r="E165" s="886"/>
      <c r="F165" s="886"/>
      <c r="G165" s="886"/>
      <c r="H165" s="886"/>
      <c r="I165" s="886"/>
      <c r="J165" s="886"/>
      <c r="K165" s="886"/>
      <c r="L165" s="886"/>
      <c r="M165" s="886"/>
      <c r="N165" s="886"/>
      <c r="O165" s="886"/>
      <c r="P165" s="886"/>
      <c r="Q165" s="886"/>
      <c r="R165" s="886"/>
      <c r="S165" s="886"/>
      <c r="T165" s="886"/>
      <c r="U165" s="886"/>
      <c r="V165" s="886"/>
      <c r="W165" s="886"/>
      <c r="X165" s="886"/>
    </row>
    <row r="166" spans="3:24">
      <c r="C166" s="942"/>
      <c r="D166" s="943"/>
      <c r="E166" s="886"/>
      <c r="F166" s="886"/>
      <c r="G166" s="886"/>
      <c r="H166" s="886"/>
      <c r="I166" s="886"/>
      <c r="J166" s="886"/>
      <c r="K166" s="886"/>
      <c r="L166" s="886"/>
      <c r="M166" s="886"/>
      <c r="N166" s="886"/>
      <c r="O166" s="886"/>
      <c r="P166" s="886"/>
      <c r="Q166" s="886"/>
      <c r="R166" s="886"/>
      <c r="S166" s="886"/>
      <c r="T166" s="886"/>
      <c r="U166" s="886"/>
      <c r="V166" s="886"/>
      <c r="W166" s="886"/>
      <c r="X166" s="886"/>
    </row>
    <row r="167" spans="3:24">
      <c r="C167" s="942"/>
      <c r="D167" s="943"/>
      <c r="E167" s="886"/>
      <c r="F167" s="886"/>
      <c r="G167" s="886"/>
      <c r="H167" s="886"/>
      <c r="I167" s="886"/>
      <c r="J167" s="886"/>
      <c r="K167" s="886"/>
      <c r="L167" s="886"/>
      <c r="M167" s="886"/>
      <c r="N167" s="886"/>
      <c r="O167" s="886"/>
      <c r="P167" s="886"/>
      <c r="Q167" s="886"/>
      <c r="R167" s="886"/>
      <c r="S167" s="886"/>
      <c r="T167" s="886"/>
      <c r="U167" s="886"/>
      <c r="V167" s="886"/>
      <c r="W167" s="886"/>
      <c r="X167" s="886"/>
    </row>
    <row r="168" spans="3:24">
      <c r="C168" s="942"/>
      <c r="D168" s="943"/>
      <c r="E168" s="886"/>
      <c r="F168" s="886"/>
      <c r="G168" s="886"/>
      <c r="H168" s="886"/>
      <c r="I168" s="886"/>
      <c r="J168" s="886"/>
      <c r="K168" s="886"/>
      <c r="L168" s="886"/>
      <c r="M168" s="886"/>
      <c r="N168" s="886"/>
      <c r="O168" s="886"/>
      <c r="P168" s="886"/>
      <c r="Q168" s="886"/>
      <c r="R168" s="886"/>
      <c r="S168" s="886"/>
      <c r="T168" s="886"/>
      <c r="U168" s="886"/>
      <c r="V168" s="886"/>
      <c r="W168" s="886"/>
      <c r="X168" s="886"/>
    </row>
    <row r="169" spans="3:24">
      <c r="C169" s="942"/>
      <c r="D169" s="943"/>
      <c r="E169" s="886"/>
      <c r="F169" s="886"/>
      <c r="G169" s="886"/>
      <c r="H169" s="886"/>
      <c r="I169" s="886"/>
      <c r="J169" s="886"/>
      <c r="K169" s="886"/>
      <c r="L169" s="886"/>
      <c r="M169" s="886"/>
      <c r="N169" s="886"/>
      <c r="O169" s="886"/>
      <c r="P169" s="886"/>
      <c r="Q169" s="886"/>
      <c r="R169" s="886"/>
      <c r="S169" s="886"/>
      <c r="T169" s="886"/>
      <c r="U169" s="886"/>
      <c r="V169" s="886"/>
      <c r="W169" s="886"/>
      <c r="X169" s="886"/>
    </row>
    <row r="170" spans="3:24">
      <c r="C170" s="942"/>
      <c r="D170" s="943"/>
      <c r="E170" s="886"/>
      <c r="F170" s="886"/>
      <c r="G170" s="886"/>
      <c r="H170" s="886"/>
      <c r="I170" s="886"/>
      <c r="J170" s="886"/>
      <c r="K170" s="886"/>
      <c r="L170" s="886"/>
      <c r="M170" s="886"/>
      <c r="N170" s="886"/>
      <c r="O170" s="886"/>
      <c r="P170" s="886"/>
      <c r="Q170" s="886"/>
      <c r="R170" s="886"/>
      <c r="S170" s="886"/>
      <c r="T170" s="886"/>
      <c r="U170" s="886"/>
      <c r="V170" s="886"/>
      <c r="W170" s="886"/>
      <c r="X170" s="886"/>
    </row>
    <row r="171" spans="3:24">
      <c r="C171" s="942"/>
      <c r="D171" s="943"/>
      <c r="E171" s="886"/>
      <c r="F171" s="886"/>
      <c r="G171" s="886"/>
      <c r="H171" s="886"/>
      <c r="I171" s="886"/>
      <c r="J171" s="886"/>
      <c r="K171" s="886"/>
      <c r="L171" s="886"/>
      <c r="M171" s="886"/>
      <c r="N171" s="886"/>
      <c r="O171" s="886"/>
      <c r="P171" s="886"/>
      <c r="Q171" s="886"/>
      <c r="R171" s="886"/>
      <c r="S171" s="886"/>
      <c r="T171" s="886"/>
      <c r="U171" s="886"/>
      <c r="V171" s="886"/>
      <c r="W171" s="886"/>
      <c r="X171" s="886"/>
    </row>
    <row r="172" spans="3:24">
      <c r="C172" s="942"/>
      <c r="D172" s="943"/>
      <c r="E172" s="886"/>
      <c r="F172" s="886"/>
      <c r="G172" s="886"/>
      <c r="H172" s="886"/>
      <c r="I172" s="886"/>
      <c r="J172" s="886"/>
      <c r="K172" s="886"/>
      <c r="L172" s="886"/>
      <c r="M172" s="886"/>
      <c r="N172" s="886"/>
      <c r="O172" s="886"/>
      <c r="P172" s="886"/>
      <c r="Q172" s="886"/>
      <c r="R172" s="886"/>
      <c r="S172" s="886"/>
      <c r="T172" s="886"/>
      <c r="U172" s="886"/>
      <c r="V172" s="886"/>
      <c r="W172" s="886"/>
      <c r="X172" s="886"/>
    </row>
    <row r="173" spans="3:24">
      <c r="C173" s="942"/>
      <c r="D173" s="943"/>
      <c r="E173" s="886"/>
      <c r="F173" s="886"/>
      <c r="G173" s="886"/>
      <c r="H173" s="886"/>
      <c r="I173" s="886"/>
      <c r="J173" s="886"/>
      <c r="K173" s="886"/>
      <c r="L173" s="886"/>
      <c r="M173" s="886"/>
      <c r="N173" s="886"/>
      <c r="O173" s="886"/>
      <c r="P173" s="886"/>
      <c r="Q173" s="886"/>
      <c r="R173" s="886"/>
      <c r="S173" s="886"/>
      <c r="T173" s="886"/>
      <c r="U173" s="886"/>
      <c r="V173" s="886"/>
      <c r="W173" s="886"/>
      <c r="X173" s="886"/>
    </row>
    <row r="174" spans="3:24">
      <c r="C174" s="942"/>
      <c r="D174" s="943"/>
      <c r="E174" s="886"/>
      <c r="F174" s="886"/>
      <c r="G174" s="886"/>
      <c r="H174" s="886"/>
      <c r="I174" s="886"/>
      <c r="J174" s="886"/>
      <c r="K174" s="886"/>
      <c r="L174" s="886"/>
      <c r="M174" s="886"/>
      <c r="N174" s="886"/>
      <c r="O174" s="886"/>
      <c r="P174" s="886"/>
      <c r="Q174" s="886"/>
      <c r="R174" s="886"/>
      <c r="S174" s="886"/>
      <c r="T174" s="886"/>
      <c r="U174" s="886"/>
      <c r="V174" s="886"/>
      <c r="W174" s="886"/>
      <c r="X174" s="886"/>
    </row>
    <row r="175" spans="3:24">
      <c r="C175" s="942"/>
      <c r="D175" s="943"/>
      <c r="E175" s="886"/>
      <c r="F175" s="886"/>
      <c r="G175" s="886"/>
      <c r="H175" s="886"/>
      <c r="I175" s="886"/>
      <c r="J175" s="886"/>
      <c r="K175" s="886"/>
      <c r="L175" s="886"/>
      <c r="M175" s="886"/>
      <c r="N175" s="886"/>
      <c r="O175" s="886"/>
      <c r="P175" s="886"/>
      <c r="Q175" s="886"/>
      <c r="R175" s="886"/>
      <c r="S175" s="886"/>
      <c r="T175" s="886"/>
      <c r="U175" s="886"/>
      <c r="V175" s="886"/>
      <c r="W175" s="886"/>
      <c r="X175" s="886"/>
    </row>
    <row r="176" spans="3:24">
      <c r="C176" s="942"/>
      <c r="D176" s="943"/>
      <c r="E176" s="886"/>
      <c r="F176" s="886"/>
      <c r="G176" s="886"/>
      <c r="H176" s="886"/>
      <c r="I176" s="886"/>
      <c r="J176" s="886"/>
      <c r="K176" s="886"/>
      <c r="L176" s="886"/>
      <c r="M176" s="886"/>
      <c r="N176" s="886"/>
      <c r="O176" s="886"/>
      <c r="P176" s="886"/>
      <c r="Q176" s="886"/>
      <c r="R176" s="886"/>
      <c r="S176" s="886"/>
      <c r="T176" s="886"/>
      <c r="U176" s="886"/>
      <c r="V176" s="886"/>
      <c r="W176" s="886"/>
      <c r="X176" s="886"/>
    </row>
    <row r="177" spans="3:24">
      <c r="C177" s="942"/>
      <c r="D177" s="943"/>
      <c r="E177" s="886"/>
      <c r="F177" s="886"/>
      <c r="G177" s="886"/>
      <c r="H177" s="886"/>
      <c r="I177" s="886"/>
      <c r="J177" s="886"/>
      <c r="K177" s="886"/>
      <c r="L177" s="886"/>
      <c r="M177" s="886"/>
      <c r="N177" s="886"/>
      <c r="O177" s="886"/>
      <c r="P177" s="886"/>
      <c r="Q177" s="886"/>
      <c r="R177" s="886"/>
      <c r="S177" s="886"/>
      <c r="T177" s="886"/>
      <c r="U177" s="886"/>
      <c r="V177" s="886"/>
      <c r="W177" s="886"/>
      <c r="X177" s="886"/>
    </row>
    <row r="178" spans="3:24">
      <c r="C178" s="942"/>
      <c r="D178" s="943"/>
      <c r="E178" s="886"/>
      <c r="F178" s="886"/>
      <c r="G178" s="886"/>
      <c r="H178" s="886"/>
      <c r="I178" s="886"/>
      <c r="J178" s="886"/>
      <c r="K178" s="886"/>
      <c r="L178" s="886"/>
      <c r="M178" s="886"/>
      <c r="N178" s="886"/>
      <c r="O178" s="886"/>
      <c r="P178" s="886"/>
      <c r="Q178" s="886"/>
      <c r="R178" s="886"/>
      <c r="S178" s="886"/>
      <c r="T178" s="886"/>
      <c r="U178" s="886"/>
      <c r="V178" s="886"/>
      <c r="W178" s="886"/>
      <c r="X178" s="886"/>
    </row>
    <row r="179" spans="3:24">
      <c r="C179" s="942"/>
      <c r="D179" s="943"/>
      <c r="E179" s="886"/>
      <c r="F179" s="886"/>
      <c r="G179" s="886"/>
      <c r="H179" s="886"/>
      <c r="I179" s="886"/>
      <c r="J179" s="886"/>
      <c r="K179" s="886"/>
      <c r="L179" s="886"/>
      <c r="M179" s="886"/>
      <c r="N179" s="886"/>
      <c r="O179" s="886"/>
      <c r="P179" s="886"/>
      <c r="Q179" s="886"/>
      <c r="R179" s="886"/>
      <c r="S179" s="886"/>
      <c r="T179" s="886"/>
      <c r="U179" s="886"/>
      <c r="V179" s="886"/>
      <c r="W179" s="886"/>
      <c r="X179" s="886"/>
    </row>
    <row r="180" spans="3:24">
      <c r="C180" s="942"/>
      <c r="D180" s="943"/>
      <c r="E180" s="886"/>
      <c r="F180" s="886"/>
      <c r="G180" s="886"/>
      <c r="H180" s="886"/>
      <c r="I180" s="886"/>
      <c r="J180" s="886"/>
      <c r="K180" s="886"/>
      <c r="L180" s="886"/>
      <c r="M180" s="886"/>
      <c r="N180" s="886"/>
      <c r="O180" s="886"/>
      <c r="P180" s="886"/>
      <c r="Q180" s="886"/>
      <c r="R180" s="886"/>
      <c r="S180" s="886"/>
      <c r="T180" s="886"/>
      <c r="U180" s="886"/>
      <c r="V180" s="886"/>
      <c r="W180" s="886"/>
      <c r="X180" s="886"/>
    </row>
    <row r="181" spans="3:24">
      <c r="C181" s="942"/>
      <c r="D181" s="943"/>
      <c r="E181" s="886"/>
      <c r="F181" s="886"/>
      <c r="G181" s="886"/>
      <c r="H181" s="886"/>
      <c r="I181" s="886"/>
      <c r="J181" s="886"/>
      <c r="K181" s="886"/>
      <c r="L181" s="886"/>
      <c r="M181" s="886"/>
      <c r="N181" s="886"/>
      <c r="O181" s="886"/>
      <c r="P181" s="886"/>
      <c r="Q181" s="886"/>
      <c r="R181" s="886"/>
      <c r="S181" s="886"/>
      <c r="T181" s="886"/>
      <c r="U181" s="886"/>
      <c r="V181" s="886"/>
      <c r="W181" s="886"/>
      <c r="X181" s="886"/>
    </row>
    <row r="182" spans="3:24">
      <c r="C182" s="942"/>
      <c r="D182" s="943"/>
      <c r="E182" s="886"/>
      <c r="F182" s="886"/>
      <c r="G182" s="886"/>
      <c r="H182" s="886"/>
      <c r="I182" s="886"/>
      <c r="J182" s="886"/>
      <c r="K182" s="886"/>
      <c r="L182" s="886"/>
      <c r="M182" s="886"/>
      <c r="N182" s="886"/>
      <c r="O182" s="886"/>
      <c r="P182" s="886"/>
      <c r="Q182" s="886"/>
      <c r="R182" s="886"/>
      <c r="S182" s="886"/>
      <c r="T182" s="886"/>
      <c r="U182" s="886"/>
      <c r="V182" s="886"/>
      <c r="W182" s="886"/>
      <c r="X182" s="886"/>
    </row>
    <row r="183" spans="3:24">
      <c r="C183" s="942"/>
      <c r="D183" s="943"/>
      <c r="E183" s="886"/>
      <c r="F183" s="886"/>
      <c r="G183" s="886"/>
      <c r="H183" s="886"/>
      <c r="I183" s="886"/>
      <c r="J183" s="886"/>
      <c r="K183" s="886"/>
      <c r="L183" s="886"/>
      <c r="M183" s="886"/>
      <c r="N183" s="886"/>
      <c r="O183" s="886"/>
      <c r="P183" s="886"/>
      <c r="Q183" s="886"/>
      <c r="R183" s="886"/>
      <c r="S183" s="886"/>
      <c r="T183" s="886"/>
      <c r="U183" s="886"/>
      <c r="V183" s="886"/>
      <c r="W183" s="886"/>
      <c r="X183" s="886"/>
    </row>
    <row r="184" spans="3:24">
      <c r="C184" s="942"/>
      <c r="D184" s="943"/>
      <c r="E184" s="886"/>
      <c r="F184" s="886"/>
      <c r="G184" s="886"/>
      <c r="H184" s="886"/>
      <c r="I184" s="886"/>
      <c r="J184" s="886"/>
      <c r="K184" s="886"/>
      <c r="L184" s="886"/>
      <c r="M184" s="886"/>
      <c r="N184" s="886"/>
      <c r="O184" s="886"/>
      <c r="P184" s="886"/>
      <c r="Q184" s="886"/>
      <c r="R184" s="886"/>
      <c r="S184" s="886"/>
      <c r="T184" s="886"/>
      <c r="U184" s="886"/>
      <c r="V184" s="886"/>
      <c r="W184" s="886"/>
      <c r="X184" s="886"/>
    </row>
    <row r="185" spans="3:24">
      <c r="C185" s="942"/>
      <c r="D185" s="943"/>
      <c r="E185" s="886"/>
      <c r="F185" s="886"/>
      <c r="G185" s="886"/>
      <c r="H185" s="886"/>
      <c r="I185" s="886"/>
      <c r="J185" s="886"/>
      <c r="K185" s="886"/>
      <c r="L185" s="886"/>
      <c r="M185" s="886"/>
      <c r="N185" s="886"/>
      <c r="O185" s="886"/>
      <c r="P185" s="886"/>
      <c r="Q185" s="886"/>
      <c r="R185" s="886"/>
      <c r="S185" s="886"/>
      <c r="T185" s="886"/>
      <c r="U185" s="886"/>
      <c r="V185" s="886"/>
      <c r="W185" s="886"/>
      <c r="X185" s="886"/>
    </row>
    <row r="186" spans="3:24">
      <c r="C186" s="942"/>
      <c r="D186" s="943"/>
      <c r="E186" s="886"/>
      <c r="F186" s="886"/>
      <c r="G186" s="886"/>
      <c r="H186" s="886"/>
      <c r="I186" s="886"/>
      <c r="J186" s="886"/>
      <c r="K186" s="886"/>
      <c r="L186" s="886"/>
      <c r="M186" s="886"/>
      <c r="N186" s="886"/>
      <c r="O186" s="886"/>
      <c r="P186" s="886"/>
      <c r="Q186" s="886"/>
      <c r="R186" s="886"/>
      <c r="S186" s="886"/>
      <c r="T186" s="886"/>
      <c r="U186" s="886"/>
      <c r="V186" s="886"/>
      <c r="W186" s="886"/>
      <c r="X186" s="886"/>
    </row>
    <row r="187" spans="3:24">
      <c r="C187" s="942"/>
      <c r="D187" s="943"/>
      <c r="E187" s="886"/>
      <c r="F187" s="886"/>
      <c r="G187" s="886"/>
      <c r="H187" s="886"/>
      <c r="I187" s="886"/>
      <c r="J187" s="886"/>
      <c r="K187" s="886"/>
      <c r="L187" s="886"/>
      <c r="M187" s="886"/>
      <c r="N187" s="886"/>
      <c r="O187" s="886"/>
      <c r="P187" s="886"/>
      <c r="Q187" s="886"/>
      <c r="R187" s="886"/>
      <c r="S187" s="886"/>
      <c r="T187" s="886"/>
      <c r="U187" s="886"/>
      <c r="V187" s="886"/>
      <c r="W187" s="886"/>
      <c r="X187" s="886"/>
    </row>
    <row r="188" spans="3:24">
      <c r="C188" s="942"/>
      <c r="D188" s="943"/>
      <c r="E188" s="886"/>
      <c r="F188" s="886"/>
      <c r="G188" s="886"/>
      <c r="H188" s="886"/>
      <c r="I188" s="886"/>
      <c r="J188" s="886"/>
      <c r="K188" s="886"/>
      <c r="L188" s="886"/>
      <c r="M188" s="886"/>
      <c r="N188" s="886"/>
      <c r="O188" s="886"/>
      <c r="P188" s="886"/>
      <c r="Q188" s="886"/>
      <c r="R188" s="886"/>
      <c r="S188" s="886"/>
      <c r="T188" s="886"/>
      <c r="U188" s="886"/>
      <c r="V188" s="886"/>
      <c r="W188" s="886"/>
      <c r="X188" s="886"/>
    </row>
    <row r="189" spans="3:24">
      <c r="C189" s="942"/>
      <c r="D189" s="943"/>
      <c r="E189" s="886"/>
      <c r="F189" s="886"/>
      <c r="G189" s="886"/>
      <c r="H189" s="886"/>
      <c r="I189" s="886"/>
      <c r="J189" s="886"/>
      <c r="K189" s="886"/>
      <c r="L189" s="886"/>
      <c r="M189" s="886"/>
      <c r="N189" s="886"/>
      <c r="O189" s="886"/>
      <c r="P189" s="886"/>
      <c r="Q189" s="886"/>
      <c r="R189" s="886"/>
      <c r="S189" s="886"/>
      <c r="T189" s="886"/>
      <c r="U189" s="886"/>
      <c r="V189" s="886"/>
      <c r="W189" s="886"/>
      <c r="X189" s="886"/>
    </row>
    <row r="190" spans="3:24">
      <c r="C190" s="942"/>
      <c r="D190" s="943"/>
      <c r="E190" s="886"/>
      <c r="F190" s="886"/>
      <c r="G190" s="886"/>
      <c r="H190" s="886"/>
      <c r="I190" s="886"/>
      <c r="J190" s="886"/>
      <c r="K190" s="886"/>
      <c r="L190" s="886"/>
      <c r="M190" s="886"/>
      <c r="N190" s="886"/>
      <c r="O190" s="886"/>
      <c r="P190" s="886"/>
      <c r="Q190" s="886"/>
      <c r="R190" s="886"/>
      <c r="S190" s="886"/>
      <c r="T190" s="886"/>
      <c r="U190" s="886"/>
      <c r="V190" s="886"/>
      <c r="W190" s="886"/>
      <c r="X190" s="886"/>
    </row>
    <row r="191" spans="3:24">
      <c r="C191" s="942"/>
      <c r="D191" s="943"/>
      <c r="E191" s="886"/>
      <c r="F191" s="886"/>
      <c r="G191" s="886"/>
      <c r="H191" s="886"/>
      <c r="I191" s="886"/>
      <c r="J191" s="886"/>
      <c r="K191" s="886"/>
      <c r="L191" s="886"/>
      <c r="M191" s="886"/>
      <c r="N191" s="886"/>
      <c r="O191" s="886"/>
      <c r="P191" s="886"/>
      <c r="Q191" s="886"/>
      <c r="R191" s="886"/>
      <c r="S191" s="886"/>
      <c r="T191" s="886"/>
      <c r="U191" s="886"/>
      <c r="V191" s="886"/>
      <c r="W191" s="886"/>
      <c r="X191" s="886"/>
    </row>
    <row r="192" spans="3:24">
      <c r="C192" s="942"/>
      <c r="D192" s="943"/>
      <c r="E192" s="886"/>
      <c r="F192" s="886"/>
      <c r="G192" s="886"/>
      <c r="H192" s="886"/>
      <c r="I192" s="886"/>
      <c r="J192" s="886"/>
      <c r="K192" s="886"/>
      <c r="L192" s="886"/>
      <c r="M192" s="886"/>
      <c r="N192" s="886"/>
      <c r="O192" s="886"/>
      <c r="P192" s="886"/>
      <c r="Q192" s="886"/>
      <c r="R192" s="886"/>
      <c r="S192" s="886"/>
      <c r="T192" s="886"/>
      <c r="U192" s="886"/>
      <c r="V192" s="886"/>
      <c r="W192" s="886"/>
      <c r="X192" s="886"/>
    </row>
    <row r="193" spans="3:24">
      <c r="C193" s="942"/>
      <c r="D193" s="943"/>
      <c r="E193" s="886"/>
      <c r="F193" s="886"/>
      <c r="G193" s="886"/>
      <c r="H193" s="886"/>
      <c r="I193" s="886"/>
      <c r="J193" s="886"/>
      <c r="K193" s="886"/>
      <c r="L193" s="886"/>
      <c r="M193" s="886"/>
      <c r="N193" s="886"/>
      <c r="O193" s="886"/>
      <c r="P193" s="886"/>
      <c r="Q193" s="886"/>
      <c r="R193" s="886"/>
      <c r="S193" s="886"/>
      <c r="T193" s="886"/>
      <c r="U193" s="886"/>
      <c r="V193" s="886"/>
      <c r="W193" s="886"/>
      <c r="X193" s="886"/>
    </row>
    <row r="194" spans="3:24">
      <c r="C194" s="942"/>
      <c r="D194" s="943"/>
      <c r="E194" s="886"/>
      <c r="F194" s="886"/>
      <c r="G194" s="886"/>
      <c r="H194" s="886"/>
      <c r="I194" s="886"/>
      <c r="J194" s="886"/>
      <c r="K194" s="886"/>
      <c r="L194" s="886"/>
      <c r="M194" s="886"/>
      <c r="N194" s="886"/>
      <c r="O194" s="886"/>
      <c r="P194" s="886"/>
      <c r="Q194" s="886"/>
      <c r="R194" s="886"/>
      <c r="S194" s="886"/>
      <c r="T194" s="886"/>
      <c r="U194" s="886"/>
      <c r="V194" s="886"/>
      <c r="W194" s="886"/>
      <c r="X194" s="886"/>
    </row>
    <row r="195" spans="3:24">
      <c r="C195" s="942"/>
      <c r="D195" s="943"/>
      <c r="E195" s="886"/>
      <c r="F195" s="886"/>
      <c r="G195" s="886"/>
      <c r="H195" s="886"/>
      <c r="I195" s="886"/>
      <c r="J195" s="886"/>
      <c r="K195" s="886"/>
      <c r="L195" s="886"/>
      <c r="M195" s="886"/>
      <c r="N195" s="886"/>
      <c r="O195" s="886"/>
      <c r="P195" s="886"/>
      <c r="Q195" s="886"/>
      <c r="R195" s="886"/>
      <c r="S195" s="886"/>
      <c r="T195" s="886"/>
      <c r="U195" s="886"/>
      <c r="V195" s="886"/>
      <c r="W195" s="886"/>
      <c r="X195" s="886"/>
    </row>
    <row r="196" spans="3:24">
      <c r="C196" s="942"/>
      <c r="D196" s="943"/>
      <c r="E196" s="886"/>
      <c r="F196" s="886"/>
      <c r="G196" s="886"/>
      <c r="H196" s="886"/>
      <c r="I196" s="886"/>
      <c r="J196" s="886"/>
      <c r="K196" s="886"/>
      <c r="L196" s="886"/>
      <c r="M196" s="886"/>
      <c r="N196" s="886"/>
      <c r="O196" s="886"/>
      <c r="P196" s="886"/>
      <c r="Q196" s="886"/>
      <c r="R196" s="886"/>
      <c r="S196" s="886"/>
      <c r="T196" s="886"/>
      <c r="U196" s="886"/>
      <c r="V196" s="886"/>
      <c r="W196" s="886"/>
      <c r="X196" s="886"/>
    </row>
    <row r="197" spans="3:24">
      <c r="C197" s="942"/>
      <c r="D197" s="943"/>
      <c r="E197" s="886"/>
      <c r="F197" s="886"/>
      <c r="G197" s="886"/>
      <c r="H197" s="886"/>
      <c r="I197" s="886"/>
      <c r="J197" s="886"/>
      <c r="K197" s="886"/>
      <c r="L197" s="886"/>
      <c r="M197" s="886"/>
      <c r="N197" s="886"/>
      <c r="O197" s="886"/>
      <c r="P197" s="886"/>
      <c r="Q197" s="886"/>
      <c r="R197" s="886"/>
      <c r="S197" s="886"/>
      <c r="T197" s="886"/>
      <c r="U197" s="886"/>
      <c r="V197" s="886"/>
      <c r="W197" s="886"/>
      <c r="X197" s="886"/>
    </row>
    <row r="198" spans="3:24">
      <c r="C198" s="942"/>
      <c r="D198" s="943"/>
      <c r="E198" s="886"/>
      <c r="F198" s="886"/>
      <c r="G198" s="886"/>
      <c r="H198" s="886"/>
      <c r="I198" s="886"/>
      <c r="J198" s="886"/>
      <c r="K198" s="886"/>
      <c r="L198" s="886"/>
      <c r="M198" s="886"/>
      <c r="N198" s="886"/>
      <c r="O198" s="886"/>
      <c r="P198" s="886"/>
      <c r="Q198" s="886"/>
      <c r="R198" s="886"/>
      <c r="S198" s="886"/>
      <c r="T198" s="886"/>
      <c r="U198" s="886"/>
      <c r="V198" s="886"/>
      <c r="W198" s="886"/>
      <c r="X198" s="886"/>
    </row>
    <row r="199" spans="3:24">
      <c r="C199" s="942"/>
      <c r="D199" s="943"/>
      <c r="E199" s="886"/>
      <c r="F199" s="886"/>
      <c r="G199" s="886"/>
      <c r="H199" s="886"/>
      <c r="I199" s="886"/>
      <c r="J199" s="886"/>
      <c r="K199" s="886"/>
      <c r="L199" s="886"/>
      <c r="M199" s="886"/>
      <c r="N199" s="886"/>
      <c r="O199" s="886"/>
      <c r="P199" s="886"/>
      <c r="Q199" s="886"/>
      <c r="R199" s="886"/>
      <c r="S199" s="886"/>
      <c r="T199" s="886"/>
      <c r="U199" s="886"/>
      <c r="V199" s="886"/>
      <c r="W199" s="886"/>
      <c r="X199" s="886"/>
    </row>
    <row r="200" spans="3:24">
      <c r="C200" s="942"/>
      <c r="D200" s="943"/>
      <c r="E200" s="886"/>
      <c r="F200" s="886"/>
      <c r="G200" s="886"/>
      <c r="H200" s="886"/>
      <c r="I200" s="886"/>
      <c r="J200" s="886"/>
      <c r="K200" s="886"/>
      <c r="L200" s="886"/>
      <c r="M200" s="886"/>
      <c r="N200" s="886"/>
      <c r="O200" s="886"/>
      <c r="P200" s="886"/>
      <c r="Q200" s="886"/>
      <c r="R200" s="886"/>
      <c r="S200" s="886"/>
      <c r="T200" s="886"/>
      <c r="U200" s="886"/>
      <c r="V200" s="886"/>
      <c r="W200" s="886"/>
      <c r="X200" s="886"/>
    </row>
    <row r="201" spans="3:24">
      <c r="C201" s="942"/>
      <c r="D201" s="943"/>
      <c r="E201" s="886"/>
      <c r="F201" s="886"/>
      <c r="G201" s="886"/>
      <c r="H201" s="886"/>
      <c r="I201" s="886"/>
      <c r="J201" s="886"/>
      <c r="K201" s="886"/>
      <c r="L201" s="886"/>
      <c r="M201" s="886"/>
      <c r="N201" s="886"/>
      <c r="O201" s="886"/>
      <c r="P201" s="886"/>
      <c r="Q201" s="886"/>
      <c r="R201" s="886"/>
      <c r="S201" s="886"/>
      <c r="T201" s="886"/>
      <c r="U201" s="886"/>
      <c r="V201" s="886"/>
      <c r="W201" s="886"/>
      <c r="X201" s="886"/>
    </row>
    <row r="202" spans="3:24">
      <c r="C202" s="942"/>
      <c r="D202" s="943"/>
      <c r="E202" s="886"/>
      <c r="F202" s="886"/>
      <c r="G202" s="886"/>
      <c r="H202" s="886"/>
      <c r="I202" s="886"/>
      <c r="J202" s="886"/>
      <c r="K202" s="886"/>
      <c r="L202" s="886"/>
      <c r="M202" s="886"/>
      <c r="N202" s="886"/>
      <c r="O202" s="886"/>
      <c r="P202" s="886"/>
      <c r="Q202" s="886"/>
      <c r="R202" s="886"/>
      <c r="S202" s="886"/>
      <c r="T202" s="886"/>
      <c r="U202" s="886"/>
      <c r="V202" s="886"/>
      <c r="W202" s="886"/>
      <c r="X202" s="886"/>
    </row>
    <row r="203" spans="3:24">
      <c r="C203" s="942"/>
      <c r="D203" s="943"/>
      <c r="E203" s="886"/>
      <c r="F203" s="886"/>
      <c r="G203" s="886"/>
      <c r="H203" s="886"/>
      <c r="I203" s="886"/>
      <c r="J203" s="886"/>
      <c r="K203" s="886"/>
      <c r="L203" s="886"/>
      <c r="M203" s="886"/>
      <c r="N203" s="886"/>
      <c r="O203" s="886"/>
      <c r="P203" s="886"/>
      <c r="Q203" s="886"/>
      <c r="R203" s="886"/>
      <c r="S203" s="886"/>
      <c r="T203" s="886"/>
      <c r="U203" s="886"/>
      <c r="V203" s="886"/>
      <c r="W203" s="886"/>
      <c r="X203" s="886"/>
    </row>
    <row r="204" spans="3:24">
      <c r="C204" s="942"/>
      <c r="D204" s="943"/>
      <c r="E204" s="886"/>
      <c r="F204" s="886"/>
      <c r="G204" s="886"/>
      <c r="H204" s="886"/>
      <c r="I204" s="886"/>
      <c r="J204" s="886"/>
      <c r="K204" s="886"/>
      <c r="L204" s="886"/>
      <c r="M204" s="886"/>
      <c r="N204" s="886"/>
      <c r="O204" s="886"/>
      <c r="P204" s="886"/>
      <c r="Q204" s="886"/>
      <c r="R204" s="886"/>
      <c r="S204" s="886"/>
      <c r="T204" s="886"/>
      <c r="U204" s="886"/>
      <c r="V204" s="886"/>
      <c r="W204" s="886"/>
      <c r="X204" s="886"/>
    </row>
    <row r="205" spans="3:24">
      <c r="C205" s="942"/>
      <c r="D205" s="943"/>
      <c r="E205" s="886"/>
      <c r="F205" s="886"/>
      <c r="G205" s="886"/>
      <c r="H205" s="886"/>
      <c r="I205" s="886"/>
      <c r="J205" s="886"/>
      <c r="K205" s="886"/>
      <c r="L205" s="886"/>
      <c r="M205" s="886"/>
      <c r="N205" s="886"/>
      <c r="O205" s="886"/>
      <c r="P205" s="886"/>
      <c r="Q205" s="886"/>
      <c r="R205" s="886"/>
      <c r="S205" s="886"/>
      <c r="T205" s="886"/>
      <c r="U205" s="886"/>
      <c r="V205" s="886"/>
      <c r="W205" s="886"/>
      <c r="X205" s="886"/>
    </row>
    <row r="206" spans="3:24">
      <c r="C206" s="942"/>
      <c r="D206" s="943"/>
      <c r="E206" s="886"/>
      <c r="F206" s="886"/>
      <c r="G206" s="886"/>
      <c r="H206" s="886"/>
      <c r="I206" s="886"/>
      <c r="J206" s="886"/>
      <c r="K206" s="886"/>
      <c r="L206" s="886"/>
      <c r="M206" s="886"/>
      <c r="N206" s="886"/>
      <c r="O206" s="886"/>
      <c r="P206" s="886"/>
      <c r="Q206" s="886"/>
      <c r="R206" s="886"/>
      <c r="S206" s="886"/>
      <c r="T206" s="886"/>
      <c r="U206" s="886"/>
      <c r="V206" s="886"/>
      <c r="W206" s="886"/>
      <c r="X206" s="886"/>
    </row>
    <row r="207" spans="3:24">
      <c r="C207" s="942"/>
      <c r="D207" s="943"/>
      <c r="E207" s="886"/>
      <c r="F207" s="886"/>
      <c r="G207" s="886"/>
      <c r="H207" s="886"/>
      <c r="I207" s="886"/>
      <c r="J207" s="886"/>
      <c r="K207" s="886"/>
      <c r="L207" s="886"/>
      <c r="M207" s="886"/>
      <c r="N207" s="886"/>
      <c r="O207" s="886"/>
      <c r="P207" s="886"/>
      <c r="Q207" s="886"/>
      <c r="R207" s="886"/>
      <c r="S207" s="886"/>
      <c r="T207" s="886"/>
      <c r="U207" s="886"/>
      <c r="V207" s="886"/>
      <c r="W207" s="886"/>
      <c r="X207" s="886"/>
    </row>
    <row r="208" spans="3:24">
      <c r="C208" s="942"/>
      <c r="D208" s="943"/>
      <c r="E208" s="886"/>
      <c r="F208" s="886"/>
      <c r="G208" s="886"/>
      <c r="H208" s="886"/>
      <c r="I208" s="886"/>
      <c r="J208" s="886"/>
      <c r="K208" s="886"/>
      <c r="L208" s="886"/>
      <c r="M208" s="886"/>
      <c r="N208" s="886"/>
      <c r="O208" s="886"/>
      <c r="P208" s="886"/>
      <c r="Q208" s="886"/>
      <c r="R208" s="886"/>
      <c r="S208" s="886"/>
      <c r="T208" s="886"/>
      <c r="U208" s="886"/>
      <c r="V208" s="886"/>
      <c r="W208" s="886"/>
      <c r="X208" s="886"/>
    </row>
    <row r="209" spans="3:24">
      <c r="C209" s="942"/>
      <c r="D209" s="943"/>
      <c r="E209" s="886"/>
      <c r="F209" s="886"/>
      <c r="G209" s="886"/>
      <c r="H209" s="886"/>
      <c r="I209" s="886"/>
      <c r="J209" s="886"/>
      <c r="K209" s="886"/>
      <c r="L209" s="886"/>
      <c r="M209" s="886"/>
      <c r="N209" s="886"/>
      <c r="O209" s="886"/>
      <c r="P209" s="886"/>
      <c r="Q209" s="886"/>
      <c r="R209" s="886"/>
      <c r="S209" s="886"/>
      <c r="T209" s="886"/>
      <c r="U209" s="886"/>
      <c r="V209" s="886"/>
      <c r="W209" s="886"/>
      <c r="X209" s="886"/>
    </row>
    <row r="210" spans="3:24">
      <c r="C210" s="942"/>
      <c r="D210" s="943"/>
      <c r="E210" s="886"/>
      <c r="F210" s="886"/>
      <c r="G210" s="886"/>
      <c r="H210" s="886"/>
      <c r="I210" s="886"/>
      <c r="J210" s="886"/>
      <c r="K210" s="886"/>
      <c r="L210" s="886"/>
      <c r="M210" s="886"/>
      <c r="N210" s="886"/>
      <c r="O210" s="886"/>
      <c r="P210" s="886"/>
      <c r="Q210" s="886"/>
      <c r="R210" s="886"/>
      <c r="S210" s="886"/>
      <c r="T210" s="886"/>
      <c r="U210" s="886"/>
      <c r="V210" s="886"/>
      <c r="W210" s="886"/>
      <c r="X210" s="886"/>
    </row>
    <row r="211" spans="3:24">
      <c r="C211" s="942"/>
      <c r="D211" s="943"/>
      <c r="E211" s="886"/>
      <c r="F211" s="886"/>
      <c r="G211" s="886"/>
      <c r="H211" s="886"/>
      <c r="I211" s="886"/>
      <c r="J211" s="886"/>
      <c r="K211" s="886"/>
      <c r="L211" s="886"/>
      <c r="M211" s="886"/>
      <c r="N211" s="886"/>
      <c r="O211" s="886"/>
      <c r="P211" s="886"/>
      <c r="Q211" s="886"/>
      <c r="R211" s="886"/>
      <c r="S211" s="886"/>
      <c r="T211" s="886"/>
      <c r="U211" s="886"/>
      <c r="V211" s="886"/>
      <c r="W211" s="886"/>
      <c r="X211" s="886"/>
    </row>
    <row r="212" spans="3:24">
      <c r="C212" s="942"/>
      <c r="D212" s="943"/>
      <c r="E212" s="886"/>
      <c r="F212" s="886"/>
      <c r="G212" s="886"/>
      <c r="H212" s="886"/>
      <c r="I212" s="886"/>
      <c r="J212" s="886"/>
      <c r="K212" s="886"/>
      <c r="L212" s="886"/>
      <c r="M212" s="886"/>
      <c r="N212" s="886"/>
      <c r="O212" s="886"/>
      <c r="P212" s="886"/>
      <c r="Q212" s="886"/>
      <c r="R212" s="886"/>
      <c r="S212" s="886"/>
      <c r="T212" s="886"/>
      <c r="U212" s="886"/>
      <c r="V212" s="886"/>
      <c r="W212" s="886"/>
      <c r="X212" s="886"/>
    </row>
    <row r="213" spans="3:24">
      <c r="C213" s="942"/>
      <c r="D213" s="943"/>
      <c r="E213" s="886"/>
      <c r="F213" s="886"/>
      <c r="G213" s="886"/>
      <c r="H213" s="886"/>
      <c r="I213" s="886"/>
      <c r="J213" s="886"/>
      <c r="K213" s="886"/>
      <c r="L213" s="886"/>
      <c r="M213" s="886"/>
      <c r="N213" s="886"/>
      <c r="O213" s="886"/>
      <c r="P213" s="886"/>
      <c r="Q213" s="886"/>
      <c r="R213" s="886"/>
      <c r="S213" s="886"/>
      <c r="T213" s="886"/>
      <c r="U213" s="886"/>
      <c r="V213" s="886"/>
      <c r="W213" s="886"/>
      <c r="X213" s="886"/>
    </row>
    <row r="214" spans="3:24">
      <c r="C214" s="942"/>
      <c r="D214" s="943"/>
      <c r="E214" s="886"/>
      <c r="F214" s="886"/>
      <c r="G214" s="886"/>
      <c r="H214" s="886"/>
      <c r="I214" s="886"/>
      <c r="J214" s="886"/>
      <c r="K214" s="886"/>
      <c r="L214" s="886"/>
      <c r="M214" s="886"/>
      <c r="N214" s="886"/>
      <c r="O214" s="886"/>
      <c r="P214" s="886"/>
      <c r="Q214" s="886"/>
      <c r="R214" s="886"/>
      <c r="S214" s="886"/>
      <c r="T214" s="886"/>
      <c r="U214" s="886"/>
      <c r="V214" s="886"/>
      <c r="W214" s="886"/>
      <c r="X214" s="886"/>
    </row>
    <row r="215" spans="3:24">
      <c r="C215" s="942"/>
      <c r="D215" s="943"/>
      <c r="E215" s="886"/>
      <c r="F215" s="886"/>
      <c r="G215" s="886"/>
      <c r="H215" s="886"/>
      <c r="I215" s="886"/>
      <c r="J215" s="886"/>
      <c r="K215" s="886"/>
      <c r="L215" s="886"/>
      <c r="M215" s="886"/>
      <c r="N215" s="886"/>
      <c r="O215" s="886"/>
      <c r="P215" s="886"/>
      <c r="Q215" s="886"/>
      <c r="R215" s="886"/>
      <c r="S215" s="886"/>
      <c r="T215" s="886"/>
      <c r="U215" s="886"/>
      <c r="V215" s="886"/>
      <c r="W215" s="886"/>
      <c r="X215" s="886"/>
    </row>
    <row r="216" spans="3:24">
      <c r="C216" s="942"/>
      <c r="D216" s="943"/>
      <c r="E216" s="886"/>
      <c r="F216" s="886"/>
      <c r="G216" s="886"/>
      <c r="H216" s="886"/>
      <c r="I216" s="886"/>
      <c r="J216" s="886"/>
      <c r="K216" s="886"/>
      <c r="L216" s="886"/>
      <c r="M216" s="886"/>
      <c r="N216" s="886"/>
      <c r="O216" s="886"/>
      <c r="P216" s="886"/>
      <c r="Q216" s="886"/>
      <c r="R216" s="886"/>
      <c r="S216" s="886"/>
      <c r="T216" s="886"/>
      <c r="U216" s="886"/>
      <c r="V216" s="886"/>
      <c r="W216" s="886"/>
      <c r="X216" s="886"/>
    </row>
    <row r="217" spans="3:24">
      <c r="C217" s="942"/>
      <c r="D217" s="943"/>
      <c r="E217" s="886"/>
      <c r="F217" s="886"/>
      <c r="G217" s="886"/>
      <c r="H217" s="886"/>
      <c r="I217" s="886"/>
      <c r="J217" s="886"/>
      <c r="K217" s="886"/>
      <c r="L217" s="886"/>
      <c r="M217" s="886"/>
      <c r="N217" s="886"/>
      <c r="O217" s="886"/>
      <c r="P217" s="886"/>
      <c r="Q217" s="886"/>
      <c r="R217" s="886"/>
      <c r="S217" s="886"/>
      <c r="T217" s="886"/>
      <c r="U217" s="886"/>
      <c r="V217" s="886"/>
      <c r="W217" s="886"/>
      <c r="X217" s="886"/>
    </row>
    <row r="218" spans="3:24">
      <c r="C218" s="942"/>
      <c r="D218" s="943"/>
      <c r="E218" s="886"/>
      <c r="F218" s="886"/>
      <c r="G218" s="886"/>
      <c r="H218" s="886"/>
      <c r="I218" s="886"/>
      <c r="J218" s="886"/>
      <c r="K218" s="886"/>
      <c r="L218" s="886"/>
      <c r="M218" s="886"/>
      <c r="N218" s="886"/>
      <c r="O218" s="886"/>
      <c r="P218" s="886"/>
      <c r="Q218" s="886"/>
      <c r="R218" s="886"/>
      <c r="S218" s="886"/>
      <c r="T218" s="886"/>
      <c r="U218" s="886"/>
      <c r="V218" s="886"/>
      <c r="W218" s="886"/>
      <c r="X218" s="886"/>
    </row>
    <row r="219" spans="3:24">
      <c r="C219" s="942"/>
      <c r="D219" s="943"/>
      <c r="E219" s="886"/>
      <c r="F219" s="886"/>
      <c r="G219" s="886"/>
      <c r="H219" s="886"/>
      <c r="I219" s="886"/>
      <c r="J219" s="886"/>
      <c r="K219" s="886"/>
      <c r="L219" s="886"/>
      <c r="M219" s="886"/>
      <c r="N219" s="886"/>
      <c r="O219" s="886"/>
      <c r="P219" s="886"/>
      <c r="Q219" s="886"/>
      <c r="R219" s="886"/>
      <c r="S219" s="886"/>
      <c r="T219" s="886"/>
      <c r="U219" s="886"/>
      <c r="V219" s="886"/>
      <c r="W219" s="886"/>
      <c r="X219" s="886"/>
    </row>
    <row r="220" spans="3:24">
      <c r="C220" s="942"/>
      <c r="D220" s="943"/>
      <c r="E220" s="886"/>
      <c r="F220" s="886"/>
      <c r="G220" s="886"/>
      <c r="H220" s="886"/>
      <c r="I220" s="886"/>
      <c r="J220" s="886"/>
      <c r="K220" s="886"/>
      <c r="L220" s="886"/>
      <c r="M220" s="886"/>
      <c r="N220" s="886"/>
      <c r="O220" s="886"/>
      <c r="P220" s="886"/>
      <c r="Q220" s="886"/>
      <c r="R220" s="886"/>
      <c r="S220" s="886"/>
      <c r="T220" s="886"/>
      <c r="U220" s="886"/>
      <c r="V220" s="886"/>
      <c r="W220" s="886"/>
      <c r="X220" s="886"/>
    </row>
    <row r="221" spans="3:24">
      <c r="C221" s="942"/>
      <c r="D221" s="943"/>
      <c r="E221" s="886"/>
      <c r="F221" s="886"/>
      <c r="G221" s="886"/>
      <c r="H221" s="886"/>
      <c r="I221" s="886"/>
      <c r="J221" s="886"/>
      <c r="K221" s="886"/>
      <c r="L221" s="886"/>
      <c r="M221" s="886"/>
      <c r="N221" s="886"/>
      <c r="O221" s="886"/>
      <c r="P221" s="886"/>
      <c r="Q221" s="886"/>
      <c r="R221" s="886"/>
      <c r="S221" s="886"/>
      <c r="T221" s="886"/>
      <c r="U221" s="886"/>
      <c r="V221" s="886"/>
      <c r="W221" s="886"/>
      <c r="X221" s="886"/>
    </row>
    <row r="222" spans="3:24">
      <c r="C222" s="942"/>
      <c r="D222" s="943"/>
      <c r="E222" s="886"/>
      <c r="F222" s="886"/>
      <c r="G222" s="886"/>
      <c r="H222" s="886"/>
      <c r="I222" s="886"/>
      <c r="J222" s="886"/>
      <c r="K222" s="886"/>
      <c r="L222" s="886"/>
      <c r="M222" s="886"/>
      <c r="N222" s="886"/>
      <c r="O222" s="886"/>
      <c r="P222" s="886"/>
      <c r="Q222" s="886"/>
      <c r="R222" s="886"/>
      <c r="S222" s="886"/>
      <c r="T222" s="886"/>
      <c r="U222" s="886"/>
      <c r="V222" s="886"/>
      <c r="W222" s="886"/>
      <c r="X222" s="886"/>
    </row>
    <row r="223" spans="3:24">
      <c r="C223" s="942"/>
      <c r="D223" s="943"/>
      <c r="E223" s="886"/>
      <c r="F223" s="886"/>
      <c r="G223" s="886"/>
      <c r="H223" s="886"/>
      <c r="I223" s="886"/>
      <c r="J223" s="886"/>
      <c r="K223" s="886"/>
      <c r="L223" s="886"/>
      <c r="M223" s="886"/>
      <c r="N223" s="886"/>
      <c r="O223" s="886"/>
      <c r="P223" s="886"/>
      <c r="Q223" s="886"/>
      <c r="R223" s="886"/>
      <c r="S223" s="886"/>
      <c r="T223" s="886"/>
      <c r="U223" s="886"/>
      <c r="V223" s="886"/>
      <c r="W223" s="886"/>
      <c r="X223" s="886"/>
    </row>
    <row r="224" spans="3:24">
      <c r="C224" s="942"/>
      <c r="D224" s="943"/>
      <c r="E224" s="886"/>
      <c r="F224" s="886"/>
      <c r="G224" s="886"/>
      <c r="H224" s="886"/>
      <c r="I224" s="886"/>
      <c r="J224" s="886"/>
      <c r="K224" s="886"/>
      <c r="L224" s="886"/>
      <c r="M224" s="886"/>
      <c r="N224" s="886"/>
      <c r="O224" s="886"/>
      <c r="P224" s="886"/>
      <c r="Q224" s="886"/>
      <c r="R224" s="886"/>
      <c r="S224" s="886"/>
      <c r="T224" s="886"/>
      <c r="U224" s="886"/>
      <c r="V224" s="886"/>
      <c r="W224" s="886"/>
      <c r="X224" s="886"/>
    </row>
    <row r="225" spans="3:24">
      <c r="C225" s="942"/>
      <c r="D225" s="943"/>
      <c r="E225" s="886"/>
      <c r="F225" s="886"/>
      <c r="G225" s="886"/>
      <c r="H225" s="886"/>
      <c r="I225" s="886"/>
      <c r="J225" s="886"/>
      <c r="K225" s="886"/>
      <c r="L225" s="886"/>
      <c r="M225" s="886"/>
      <c r="N225" s="886"/>
      <c r="O225" s="886"/>
      <c r="P225" s="886"/>
      <c r="Q225" s="886"/>
      <c r="R225" s="886"/>
      <c r="S225" s="886"/>
      <c r="T225" s="886"/>
      <c r="U225" s="886"/>
      <c r="V225" s="886"/>
      <c r="W225" s="886"/>
      <c r="X225" s="886"/>
    </row>
    <row r="226" spans="3:24">
      <c r="C226" s="942"/>
      <c r="D226" s="943"/>
      <c r="E226" s="886"/>
      <c r="F226" s="886"/>
      <c r="G226" s="886"/>
      <c r="H226" s="886"/>
      <c r="I226" s="886"/>
      <c r="J226" s="886"/>
      <c r="K226" s="886"/>
      <c r="L226" s="886"/>
      <c r="M226" s="886"/>
      <c r="N226" s="886"/>
      <c r="O226" s="886"/>
      <c r="P226" s="886"/>
      <c r="Q226" s="886"/>
      <c r="R226" s="886"/>
      <c r="S226" s="886"/>
      <c r="T226" s="886"/>
      <c r="U226" s="886"/>
      <c r="V226" s="886"/>
      <c r="W226" s="886"/>
      <c r="X226" s="886"/>
    </row>
    <row r="227" spans="3:24">
      <c r="C227" s="942"/>
      <c r="D227" s="943"/>
      <c r="E227" s="886"/>
      <c r="F227" s="886"/>
      <c r="G227" s="886"/>
      <c r="H227" s="886"/>
      <c r="I227" s="886"/>
      <c r="J227" s="886"/>
      <c r="K227" s="886"/>
      <c r="L227" s="886"/>
      <c r="M227" s="886"/>
      <c r="N227" s="886"/>
      <c r="O227" s="886"/>
      <c r="P227" s="886"/>
      <c r="Q227" s="886"/>
      <c r="R227" s="886"/>
      <c r="S227" s="886"/>
      <c r="T227" s="886"/>
      <c r="U227" s="886"/>
      <c r="V227" s="886"/>
      <c r="W227" s="886"/>
      <c r="X227" s="886"/>
    </row>
    <row r="228" spans="3:24">
      <c r="C228" s="942"/>
      <c r="D228" s="943"/>
      <c r="E228" s="886"/>
      <c r="F228" s="886"/>
      <c r="G228" s="886"/>
      <c r="H228" s="886"/>
      <c r="I228" s="886"/>
      <c r="J228" s="886"/>
      <c r="K228" s="886"/>
      <c r="L228" s="886"/>
      <c r="M228" s="886"/>
      <c r="N228" s="886"/>
      <c r="O228" s="886"/>
      <c r="P228" s="886"/>
      <c r="Q228" s="886"/>
      <c r="R228" s="886"/>
      <c r="S228" s="886"/>
      <c r="T228" s="886"/>
      <c r="U228" s="886"/>
      <c r="V228" s="886"/>
      <c r="W228" s="886"/>
      <c r="X228" s="886"/>
    </row>
    <row r="229" spans="3:24">
      <c r="C229" s="942"/>
      <c r="D229" s="943"/>
      <c r="E229" s="886"/>
      <c r="F229" s="886"/>
      <c r="G229" s="886"/>
      <c r="H229" s="886"/>
      <c r="I229" s="886"/>
      <c r="J229" s="886"/>
      <c r="K229" s="886"/>
      <c r="L229" s="886"/>
      <c r="M229" s="886"/>
      <c r="N229" s="886"/>
      <c r="O229" s="886"/>
      <c r="P229" s="886"/>
      <c r="Q229" s="886"/>
      <c r="R229" s="886"/>
      <c r="S229" s="886"/>
      <c r="T229" s="886"/>
      <c r="U229" s="886"/>
      <c r="V229" s="886"/>
      <c r="W229" s="886"/>
      <c r="X229" s="886"/>
    </row>
    <row r="230" spans="3:24">
      <c r="C230" s="942"/>
      <c r="D230" s="943"/>
      <c r="E230" s="886"/>
      <c r="F230" s="886"/>
      <c r="G230" s="886"/>
      <c r="H230" s="886"/>
      <c r="I230" s="886"/>
      <c r="J230" s="886"/>
      <c r="K230" s="886"/>
      <c r="L230" s="886"/>
      <c r="M230" s="886"/>
      <c r="N230" s="886"/>
      <c r="O230" s="886"/>
      <c r="P230" s="886"/>
      <c r="Q230" s="886"/>
      <c r="R230" s="886"/>
      <c r="S230" s="886"/>
      <c r="T230" s="886"/>
      <c r="U230" s="886"/>
      <c r="V230" s="886"/>
      <c r="W230" s="886"/>
      <c r="X230" s="886"/>
    </row>
    <row r="231" spans="3:24">
      <c r="C231" s="942"/>
      <c r="D231" s="943"/>
      <c r="E231" s="886"/>
      <c r="F231" s="886"/>
      <c r="G231" s="886"/>
      <c r="H231" s="886"/>
      <c r="I231" s="886"/>
      <c r="J231" s="886"/>
      <c r="K231" s="886"/>
      <c r="L231" s="886"/>
      <c r="M231" s="886"/>
      <c r="N231" s="886"/>
      <c r="O231" s="886"/>
      <c r="P231" s="886"/>
      <c r="Q231" s="886"/>
      <c r="R231" s="886"/>
      <c r="S231" s="886"/>
      <c r="T231" s="886"/>
      <c r="U231" s="886"/>
      <c r="V231" s="886"/>
      <c r="W231" s="886"/>
      <c r="X231" s="886"/>
    </row>
    <row r="232" spans="3:24">
      <c r="C232" s="942"/>
      <c r="D232" s="943"/>
      <c r="E232" s="886"/>
      <c r="F232" s="886"/>
      <c r="G232" s="886"/>
      <c r="H232" s="886"/>
      <c r="I232" s="886"/>
      <c r="J232" s="886"/>
      <c r="K232" s="886"/>
      <c r="L232" s="886"/>
      <c r="M232" s="886"/>
      <c r="N232" s="886"/>
      <c r="O232" s="886"/>
      <c r="P232" s="886"/>
      <c r="Q232" s="886"/>
      <c r="R232" s="886"/>
      <c r="S232" s="886"/>
      <c r="T232" s="886"/>
      <c r="U232" s="886"/>
      <c r="V232" s="886"/>
      <c r="W232" s="886"/>
      <c r="X232" s="886"/>
    </row>
    <row r="233" spans="3:24">
      <c r="C233" s="942"/>
      <c r="D233" s="943"/>
      <c r="E233" s="886"/>
      <c r="F233" s="886"/>
      <c r="G233" s="886"/>
      <c r="H233" s="886"/>
      <c r="I233" s="886"/>
      <c r="J233" s="886"/>
      <c r="K233" s="886"/>
      <c r="L233" s="886"/>
      <c r="M233" s="886"/>
      <c r="N233" s="886"/>
      <c r="O233" s="886"/>
      <c r="P233" s="886"/>
      <c r="Q233" s="886"/>
      <c r="R233" s="886"/>
      <c r="S233" s="886"/>
      <c r="T233" s="886"/>
      <c r="U233" s="886"/>
      <c r="V233" s="886"/>
      <c r="W233" s="886"/>
      <c r="X233" s="886"/>
    </row>
    <row r="234" spans="3:24">
      <c r="C234" s="942"/>
      <c r="D234" s="943"/>
      <c r="E234" s="886"/>
      <c r="F234" s="886"/>
      <c r="G234" s="886"/>
      <c r="H234" s="886"/>
      <c r="I234" s="886"/>
      <c r="J234" s="886"/>
      <c r="K234" s="886"/>
      <c r="L234" s="886"/>
      <c r="M234" s="886"/>
      <c r="N234" s="886"/>
      <c r="O234" s="886"/>
      <c r="P234" s="886"/>
      <c r="Q234" s="886"/>
      <c r="R234" s="886"/>
      <c r="S234" s="886"/>
      <c r="T234" s="886"/>
      <c r="U234" s="886"/>
      <c r="V234" s="886"/>
      <c r="W234" s="886"/>
      <c r="X234" s="886"/>
    </row>
    <row r="235" spans="3:24">
      <c r="C235" s="942"/>
      <c r="D235" s="943"/>
      <c r="E235" s="886"/>
      <c r="F235" s="886"/>
      <c r="G235" s="886"/>
      <c r="H235" s="886"/>
      <c r="I235" s="886"/>
      <c r="J235" s="886"/>
      <c r="K235" s="886"/>
      <c r="L235" s="886"/>
      <c r="M235" s="886"/>
      <c r="N235" s="886"/>
      <c r="O235" s="886"/>
      <c r="P235" s="886"/>
      <c r="Q235" s="886"/>
      <c r="R235" s="886"/>
      <c r="S235" s="886"/>
      <c r="T235" s="886"/>
      <c r="U235" s="886"/>
      <c r="V235" s="886"/>
      <c r="W235" s="886"/>
      <c r="X235" s="886"/>
    </row>
    <row r="236" spans="3:24">
      <c r="C236" s="942"/>
      <c r="D236" s="943"/>
      <c r="E236" s="886"/>
      <c r="F236" s="886"/>
      <c r="G236" s="886"/>
      <c r="H236" s="886"/>
      <c r="I236" s="886"/>
      <c r="J236" s="886"/>
      <c r="K236" s="886"/>
      <c r="L236" s="886"/>
      <c r="M236" s="886"/>
      <c r="N236" s="886"/>
      <c r="O236" s="886"/>
      <c r="P236" s="886"/>
      <c r="Q236" s="886"/>
      <c r="R236" s="886"/>
      <c r="S236" s="886"/>
      <c r="T236" s="886"/>
      <c r="U236" s="886"/>
      <c r="V236" s="886"/>
      <c r="W236" s="886"/>
      <c r="X236" s="886"/>
    </row>
    <row r="237" spans="3:24">
      <c r="C237" s="942"/>
      <c r="D237" s="943"/>
      <c r="E237" s="886"/>
      <c r="F237" s="886"/>
      <c r="G237" s="886"/>
      <c r="H237" s="886"/>
      <c r="I237" s="886"/>
      <c r="J237" s="886"/>
      <c r="K237" s="886"/>
      <c r="L237" s="886"/>
      <c r="M237" s="886"/>
      <c r="N237" s="886"/>
      <c r="O237" s="886"/>
      <c r="P237" s="886"/>
      <c r="Q237" s="886"/>
      <c r="R237" s="886"/>
      <c r="S237" s="886"/>
      <c r="T237" s="886"/>
      <c r="U237" s="886"/>
      <c r="V237" s="886"/>
      <c r="W237" s="886"/>
      <c r="X237" s="886"/>
    </row>
    <row r="238" spans="3:24">
      <c r="C238" s="942"/>
      <c r="D238" s="943"/>
      <c r="E238" s="886"/>
      <c r="F238" s="886"/>
      <c r="G238" s="886"/>
      <c r="H238" s="886"/>
      <c r="I238" s="886"/>
      <c r="J238" s="886"/>
      <c r="K238" s="886"/>
      <c r="L238" s="886"/>
      <c r="M238" s="886"/>
      <c r="N238" s="886"/>
      <c r="O238" s="886"/>
      <c r="P238" s="886"/>
      <c r="Q238" s="886"/>
      <c r="R238" s="886"/>
      <c r="S238" s="886"/>
      <c r="T238" s="886"/>
      <c r="U238" s="886"/>
      <c r="V238" s="886"/>
      <c r="W238" s="886"/>
      <c r="X238" s="886"/>
    </row>
    <row r="239" spans="3:24">
      <c r="C239" s="942"/>
      <c r="D239" s="943"/>
      <c r="E239" s="886"/>
      <c r="F239" s="886"/>
      <c r="G239" s="886"/>
      <c r="H239" s="886"/>
      <c r="I239" s="886"/>
      <c r="J239" s="886"/>
      <c r="K239" s="886"/>
      <c r="L239" s="886"/>
      <c r="M239" s="886"/>
      <c r="N239" s="886"/>
      <c r="O239" s="886"/>
      <c r="P239" s="886"/>
      <c r="Q239" s="886"/>
      <c r="R239" s="886"/>
      <c r="S239" s="886"/>
      <c r="T239" s="886"/>
      <c r="U239" s="886"/>
      <c r="V239" s="886"/>
      <c r="W239" s="886"/>
      <c r="X239" s="886"/>
    </row>
    <row r="240" spans="3:24">
      <c r="C240" s="942"/>
      <c r="D240" s="943"/>
      <c r="E240" s="886"/>
      <c r="F240" s="886"/>
      <c r="G240" s="886"/>
      <c r="H240" s="886"/>
      <c r="I240" s="886"/>
      <c r="J240" s="886"/>
      <c r="K240" s="886"/>
      <c r="L240" s="886"/>
      <c r="M240" s="886"/>
      <c r="N240" s="886"/>
      <c r="O240" s="886"/>
      <c r="P240" s="886"/>
      <c r="Q240" s="886"/>
      <c r="R240" s="886"/>
      <c r="S240" s="886"/>
      <c r="T240" s="886"/>
      <c r="U240" s="886"/>
      <c r="V240" s="886"/>
      <c r="W240" s="886"/>
      <c r="X240" s="886"/>
    </row>
    <row r="241" spans="3:24">
      <c r="C241" s="942"/>
      <c r="D241" s="943"/>
      <c r="E241" s="886"/>
      <c r="F241" s="886"/>
      <c r="G241" s="886"/>
      <c r="H241" s="886"/>
      <c r="I241" s="886"/>
      <c r="J241" s="886"/>
      <c r="K241" s="886"/>
      <c r="L241" s="886"/>
      <c r="M241" s="886"/>
      <c r="N241" s="886"/>
      <c r="O241" s="886"/>
      <c r="P241" s="886"/>
      <c r="Q241" s="886"/>
      <c r="R241" s="886"/>
      <c r="S241" s="886"/>
      <c r="T241" s="886"/>
      <c r="U241" s="886"/>
      <c r="V241" s="886"/>
      <c r="W241" s="886"/>
      <c r="X241" s="886"/>
    </row>
    <row r="242" spans="3:24">
      <c r="C242" s="942"/>
      <c r="D242" s="943"/>
      <c r="E242" s="886"/>
      <c r="F242" s="886"/>
      <c r="G242" s="886"/>
      <c r="H242" s="886"/>
      <c r="I242" s="886"/>
      <c r="J242" s="886"/>
      <c r="K242" s="886"/>
      <c r="L242" s="886"/>
      <c r="M242" s="886"/>
      <c r="N242" s="886"/>
      <c r="O242" s="886"/>
      <c r="P242" s="886"/>
      <c r="Q242" s="886"/>
      <c r="R242" s="886"/>
      <c r="S242" s="886"/>
      <c r="T242" s="886"/>
      <c r="U242" s="886"/>
      <c r="V242" s="886"/>
      <c r="W242" s="886"/>
      <c r="X242" s="886"/>
    </row>
    <row r="243" spans="3:24">
      <c r="C243" s="942"/>
      <c r="D243" s="943"/>
      <c r="E243" s="886"/>
      <c r="F243" s="886"/>
      <c r="G243" s="886"/>
      <c r="H243" s="886"/>
      <c r="I243" s="886"/>
      <c r="J243" s="886"/>
      <c r="K243" s="886"/>
      <c r="L243" s="886"/>
      <c r="M243" s="886"/>
      <c r="N243" s="886"/>
      <c r="O243" s="886"/>
      <c r="P243" s="886"/>
      <c r="Q243" s="886"/>
      <c r="R243" s="886"/>
      <c r="S243" s="886"/>
      <c r="T243" s="886"/>
      <c r="U243" s="886"/>
      <c r="V243" s="886"/>
      <c r="W243" s="886"/>
      <c r="X243" s="886"/>
    </row>
    <row r="244" spans="3:24">
      <c r="C244" s="942"/>
      <c r="D244" s="943"/>
      <c r="E244" s="886"/>
      <c r="F244" s="886"/>
      <c r="G244" s="886"/>
      <c r="H244" s="886"/>
      <c r="I244" s="886"/>
      <c r="J244" s="886"/>
      <c r="K244" s="886"/>
      <c r="L244" s="886"/>
      <c r="M244" s="886"/>
      <c r="N244" s="886"/>
      <c r="O244" s="886"/>
      <c r="P244" s="886"/>
      <c r="Q244" s="886"/>
      <c r="R244" s="886"/>
      <c r="S244" s="886"/>
      <c r="T244" s="886"/>
      <c r="U244" s="886"/>
      <c r="V244" s="886"/>
      <c r="W244" s="886"/>
      <c r="X244" s="886"/>
    </row>
    <row r="245" spans="3:24">
      <c r="C245" s="942"/>
      <c r="D245" s="943"/>
      <c r="E245" s="886"/>
      <c r="F245" s="886"/>
      <c r="G245" s="886"/>
      <c r="H245" s="886"/>
      <c r="I245" s="886"/>
      <c r="J245" s="886"/>
      <c r="K245" s="886"/>
      <c r="L245" s="886"/>
      <c r="M245" s="886"/>
      <c r="N245" s="886"/>
      <c r="O245" s="886"/>
      <c r="P245" s="886"/>
      <c r="Q245" s="886"/>
      <c r="R245" s="886"/>
      <c r="S245" s="886"/>
      <c r="T245" s="886"/>
      <c r="U245" s="886"/>
      <c r="V245" s="886"/>
      <c r="W245" s="886"/>
      <c r="X245" s="886"/>
    </row>
    <row r="246" spans="3:24">
      <c r="C246" s="942"/>
      <c r="D246" s="943"/>
      <c r="E246" s="886"/>
      <c r="F246" s="886"/>
      <c r="G246" s="886"/>
      <c r="H246" s="886"/>
      <c r="I246" s="886"/>
      <c r="J246" s="886"/>
      <c r="K246" s="886"/>
      <c r="L246" s="886"/>
      <c r="M246" s="886"/>
      <c r="N246" s="886"/>
      <c r="O246" s="886"/>
      <c r="P246" s="886"/>
      <c r="Q246" s="886"/>
      <c r="R246" s="886"/>
      <c r="S246" s="886"/>
      <c r="T246" s="886"/>
      <c r="U246" s="886"/>
      <c r="V246" s="886"/>
      <c r="W246" s="886"/>
      <c r="X246" s="886"/>
    </row>
    <row r="247" spans="3:24">
      <c r="C247" s="942"/>
      <c r="D247" s="943"/>
      <c r="E247" s="886"/>
      <c r="F247" s="886"/>
      <c r="G247" s="886"/>
      <c r="H247" s="886"/>
      <c r="I247" s="886"/>
      <c r="J247" s="886"/>
      <c r="K247" s="886"/>
      <c r="L247" s="886"/>
      <c r="M247" s="886"/>
      <c r="N247" s="886"/>
      <c r="O247" s="886"/>
      <c r="P247" s="886"/>
      <c r="Q247" s="886"/>
      <c r="R247" s="886"/>
      <c r="S247" s="886"/>
      <c r="T247" s="886"/>
      <c r="U247" s="886"/>
      <c r="V247" s="886"/>
      <c r="W247" s="886"/>
      <c r="X247" s="886"/>
    </row>
    <row r="248" spans="3:24">
      <c r="C248" s="942"/>
      <c r="D248" s="943"/>
      <c r="E248" s="886"/>
      <c r="F248" s="886"/>
      <c r="G248" s="886"/>
      <c r="H248" s="886"/>
      <c r="I248" s="886"/>
      <c r="J248" s="886"/>
      <c r="K248" s="886"/>
      <c r="L248" s="886"/>
      <c r="M248" s="886"/>
      <c r="N248" s="886"/>
      <c r="O248" s="886"/>
      <c r="P248" s="886"/>
      <c r="Q248" s="886"/>
      <c r="R248" s="886"/>
      <c r="S248" s="886"/>
      <c r="T248" s="886"/>
      <c r="U248" s="886"/>
      <c r="V248" s="886"/>
      <c r="W248" s="886"/>
      <c r="X248" s="886"/>
    </row>
    <row r="249" spans="3:24">
      <c r="C249" s="942"/>
      <c r="D249" s="943"/>
      <c r="E249" s="886"/>
      <c r="F249" s="886"/>
      <c r="G249" s="886"/>
      <c r="H249" s="886"/>
      <c r="I249" s="886"/>
      <c r="J249" s="886"/>
      <c r="K249" s="886"/>
      <c r="L249" s="886"/>
      <c r="M249" s="886"/>
      <c r="N249" s="886"/>
      <c r="O249" s="886"/>
      <c r="P249" s="886"/>
      <c r="Q249" s="886"/>
      <c r="R249" s="886"/>
      <c r="S249" s="886"/>
      <c r="T249" s="886"/>
      <c r="U249" s="886"/>
      <c r="V249" s="886"/>
      <c r="W249" s="886"/>
      <c r="X249" s="886"/>
    </row>
    <row r="250" spans="3:24">
      <c r="C250" s="942"/>
      <c r="D250" s="943"/>
      <c r="E250" s="886"/>
      <c r="F250" s="886"/>
      <c r="G250" s="886"/>
      <c r="H250" s="886"/>
      <c r="I250" s="886"/>
      <c r="J250" s="886"/>
      <c r="K250" s="886"/>
      <c r="L250" s="886"/>
      <c r="M250" s="886"/>
      <c r="N250" s="886"/>
      <c r="O250" s="886"/>
      <c r="P250" s="886"/>
      <c r="Q250" s="886"/>
      <c r="R250" s="886"/>
      <c r="S250" s="886"/>
      <c r="T250" s="886"/>
      <c r="U250" s="886"/>
      <c r="V250" s="886"/>
      <c r="W250" s="886"/>
      <c r="X250" s="886"/>
    </row>
    <row r="251" spans="3:24">
      <c r="C251" s="942"/>
      <c r="D251" s="943"/>
      <c r="E251" s="886"/>
      <c r="F251" s="886"/>
      <c r="G251" s="886"/>
      <c r="H251" s="886"/>
      <c r="I251" s="886"/>
      <c r="J251" s="886"/>
      <c r="K251" s="886"/>
      <c r="L251" s="886"/>
      <c r="M251" s="886"/>
      <c r="N251" s="886"/>
      <c r="O251" s="886"/>
      <c r="P251" s="886"/>
      <c r="Q251" s="886"/>
      <c r="R251" s="886"/>
      <c r="S251" s="886"/>
      <c r="T251" s="886"/>
      <c r="U251" s="886"/>
      <c r="V251" s="886"/>
      <c r="W251" s="886"/>
      <c r="X251" s="886"/>
    </row>
    <row r="252" spans="3:24">
      <c r="C252" s="942"/>
      <c r="D252" s="943"/>
      <c r="E252" s="886"/>
      <c r="F252" s="886"/>
      <c r="G252" s="886"/>
      <c r="H252" s="886"/>
      <c r="I252" s="886"/>
      <c r="J252" s="886"/>
      <c r="K252" s="886"/>
      <c r="L252" s="886"/>
      <c r="M252" s="886"/>
      <c r="N252" s="886"/>
      <c r="O252" s="886"/>
      <c r="P252" s="886"/>
      <c r="Q252" s="886"/>
      <c r="R252" s="886"/>
      <c r="S252" s="886"/>
      <c r="T252" s="886"/>
      <c r="U252" s="886"/>
      <c r="V252" s="886"/>
      <c r="W252" s="886"/>
      <c r="X252" s="886"/>
    </row>
    <row r="253" spans="3:24">
      <c r="C253" s="942"/>
      <c r="D253" s="943"/>
      <c r="E253" s="886"/>
      <c r="F253" s="886"/>
      <c r="G253" s="886"/>
      <c r="H253" s="886"/>
      <c r="I253" s="886"/>
      <c r="J253" s="886"/>
      <c r="K253" s="886"/>
      <c r="L253" s="886"/>
      <c r="M253" s="886"/>
      <c r="N253" s="886"/>
      <c r="O253" s="886"/>
      <c r="P253" s="886"/>
      <c r="Q253" s="886"/>
      <c r="R253" s="886"/>
      <c r="S253" s="886"/>
      <c r="T253" s="886"/>
      <c r="U253" s="886"/>
      <c r="V253" s="886"/>
      <c r="W253" s="886"/>
      <c r="X253" s="886"/>
    </row>
    <row r="254" spans="3:24">
      <c r="C254" s="942"/>
      <c r="D254" s="943"/>
      <c r="E254" s="886"/>
      <c r="F254" s="886"/>
      <c r="G254" s="886"/>
      <c r="H254" s="886"/>
      <c r="I254" s="886"/>
      <c r="J254" s="886"/>
      <c r="K254" s="886"/>
      <c r="L254" s="886"/>
      <c r="M254" s="886"/>
      <c r="N254" s="886"/>
      <c r="O254" s="886"/>
      <c r="P254" s="886"/>
      <c r="Q254" s="886"/>
      <c r="R254" s="886"/>
      <c r="S254" s="886"/>
      <c r="T254" s="886"/>
      <c r="U254" s="886"/>
      <c r="V254" s="886"/>
      <c r="W254" s="886"/>
      <c r="X254" s="886"/>
    </row>
    <row r="255" spans="3:24">
      <c r="C255" s="942"/>
      <c r="D255" s="943"/>
      <c r="E255" s="886"/>
      <c r="F255" s="886"/>
      <c r="G255" s="886"/>
      <c r="H255" s="886"/>
      <c r="I255" s="886"/>
      <c r="J255" s="886"/>
      <c r="K255" s="886"/>
      <c r="L255" s="886"/>
      <c r="M255" s="886"/>
      <c r="N255" s="886"/>
      <c r="O255" s="886"/>
      <c r="P255" s="886"/>
      <c r="Q255" s="886"/>
      <c r="R255" s="886"/>
      <c r="S255" s="886"/>
      <c r="T255" s="886"/>
      <c r="U255" s="886"/>
      <c r="V255" s="886"/>
      <c r="W255" s="886"/>
      <c r="X255" s="886"/>
    </row>
    <row r="256" spans="3:24">
      <c r="C256" s="942"/>
      <c r="D256" s="943"/>
      <c r="E256" s="886"/>
      <c r="F256" s="886"/>
      <c r="G256" s="886"/>
      <c r="H256" s="886"/>
      <c r="I256" s="886"/>
      <c r="J256" s="886"/>
      <c r="K256" s="886"/>
      <c r="L256" s="886"/>
      <c r="M256" s="886"/>
      <c r="N256" s="886"/>
      <c r="O256" s="886"/>
      <c r="P256" s="886"/>
      <c r="Q256" s="886"/>
      <c r="R256" s="886"/>
      <c r="S256" s="886"/>
      <c r="T256" s="886"/>
      <c r="U256" s="886"/>
      <c r="V256" s="886"/>
      <c r="W256" s="886"/>
      <c r="X256" s="886"/>
    </row>
    <row r="257" spans="3:24">
      <c r="C257" s="942"/>
      <c r="D257" s="943"/>
      <c r="E257" s="886"/>
      <c r="F257" s="886"/>
      <c r="G257" s="886"/>
      <c r="H257" s="886"/>
      <c r="I257" s="886"/>
      <c r="J257" s="886"/>
      <c r="K257" s="886"/>
      <c r="L257" s="886"/>
      <c r="M257" s="886"/>
      <c r="N257" s="886"/>
      <c r="O257" s="886"/>
      <c r="P257" s="886"/>
      <c r="Q257" s="886"/>
      <c r="R257" s="886"/>
      <c r="S257" s="886"/>
      <c r="T257" s="886"/>
      <c r="U257" s="886"/>
      <c r="V257" s="886"/>
      <c r="W257" s="886"/>
      <c r="X257" s="886"/>
    </row>
    <row r="258" spans="3:24">
      <c r="C258" s="942"/>
      <c r="D258" s="943"/>
      <c r="E258" s="886"/>
      <c r="F258" s="886"/>
      <c r="G258" s="886"/>
      <c r="H258" s="886"/>
      <c r="I258" s="886"/>
      <c r="J258" s="886"/>
      <c r="K258" s="886"/>
      <c r="L258" s="886"/>
      <c r="M258" s="886"/>
      <c r="N258" s="886"/>
      <c r="O258" s="886"/>
      <c r="P258" s="886"/>
      <c r="Q258" s="886"/>
      <c r="R258" s="886"/>
      <c r="S258" s="886"/>
      <c r="T258" s="886"/>
      <c r="U258" s="886"/>
      <c r="V258" s="886"/>
      <c r="W258" s="886"/>
      <c r="X258" s="886"/>
    </row>
    <row r="259" spans="3:24">
      <c r="C259" s="942"/>
      <c r="D259" s="943"/>
      <c r="E259" s="886"/>
      <c r="F259" s="886"/>
      <c r="G259" s="886"/>
      <c r="H259" s="886"/>
      <c r="I259" s="886"/>
      <c r="J259" s="886"/>
      <c r="K259" s="886"/>
      <c r="L259" s="886"/>
      <c r="M259" s="886"/>
      <c r="N259" s="886"/>
      <c r="O259" s="886"/>
      <c r="P259" s="886"/>
      <c r="Q259" s="886"/>
      <c r="R259" s="886"/>
      <c r="S259" s="886"/>
      <c r="T259" s="886"/>
      <c r="U259" s="886"/>
      <c r="V259" s="886"/>
      <c r="W259" s="886"/>
      <c r="X259" s="886"/>
    </row>
    <row r="260" spans="3:24">
      <c r="C260" s="942"/>
      <c r="D260" s="943"/>
      <c r="E260" s="886"/>
      <c r="F260" s="886"/>
      <c r="G260" s="886"/>
      <c r="H260" s="886"/>
      <c r="I260" s="886"/>
      <c r="J260" s="886"/>
      <c r="K260" s="886"/>
      <c r="L260" s="886"/>
      <c r="M260" s="886"/>
      <c r="N260" s="886"/>
      <c r="O260" s="886"/>
      <c r="P260" s="886"/>
      <c r="Q260" s="886"/>
      <c r="R260" s="886"/>
      <c r="S260" s="886"/>
      <c r="T260" s="886"/>
      <c r="U260" s="886"/>
      <c r="V260" s="886"/>
      <c r="W260" s="886"/>
      <c r="X260" s="886"/>
    </row>
    <row r="261" spans="3:24">
      <c r="C261" s="942"/>
      <c r="D261" s="943"/>
      <c r="E261" s="886"/>
      <c r="F261" s="886"/>
      <c r="G261" s="886"/>
      <c r="H261" s="886"/>
      <c r="I261" s="886"/>
      <c r="J261" s="886"/>
      <c r="K261" s="886"/>
      <c r="L261" s="886"/>
      <c r="M261" s="886"/>
      <c r="N261" s="886"/>
      <c r="O261" s="886"/>
      <c r="P261" s="886"/>
      <c r="Q261" s="886"/>
      <c r="R261" s="886"/>
      <c r="S261" s="886"/>
      <c r="T261" s="886"/>
      <c r="U261" s="886"/>
      <c r="V261" s="886"/>
      <c r="W261" s="886"/>
      <c r="X261" s="886"/>
    </row>
    <row r="262" spans="3:24">
      <c r="C262" s="942"/>
      <c r="D262" s="943"/>
      <c r="E262" s="886"/>
      <c r="F262" s="886"/>
      <c r="G262" s="886"/>
      <c r="H262" s="886"/>
      <c r="I262" s="886"/>
      <c r="J262" s="886"/>
      <c r="K262" s="886"/>
      <c r="L262" s="886"/>
      <c r="M262" s="886"/>
      <c r="N262" s="886"/>
      <c r="O262" s="886"/>
      <c r="P262" s="886"/>
      <c r="Q262" s="886"/>
      <c r="R262" s="886"/>
      <c r="S262" s="886"/>
      <c r="T262" s="886"/>
      <c r="U262" s="886"/>
      <c r="V262" s="886"/>
      <c r="W262" s="886"/>
      <c r="X262" s="886"/>
    </row>
    <row r="263" spans="3:24">
      <c r="C263" s="942"/>
      <c r="D263" s="943"/>
      <c r="E263" s="886"/>
      <c r="F263" s="886"/>
      <c r="G263" s="886"/>
      <c r="H263" s="886"/>
      <c r="I263" s="886"/>
      <c r="J263" s="886"/>
      <c r="K263" s="886"/>
      <c r="L263" s="886"/>
      <c r="M263" s="886"/>
      <c r="N263" s="886"/>
      <c r="O263" s="886"/>
      <c r="P263" s="886"/>
      <c r="Q263" s="886"/>
      <c r="R263" s="886"/>
      <c r="S263" s="886"/>
      <c r="T263" s="886"/>
      <c r="U263" s="886"/>
      <c r="V263" s="886"/>
      <c r="W263" s="886"/>
      <c r="X263" s="886"/>
    </row>
    <row r="264" spans="3:24">
      <c r="C264" s="942"/>
      <c r="D264" s="943"/>
      <c r="E264" s="886"/>
      <c r="F264" s="886"/>
      <c r="G264" s="886"/>
      <c r="H264" s="886"/>
      <c r="I264" s="886"/>
      <c r="J264" s="886"/>
      <c r="K264" s="886"/>
      <c r="L264" s="886"/>
      <c r="M264" s="886"/>
      <c r="N264" s="886"/>
      <c r="O264" s="886"/>
      <c r="P264" s="886"/>
      <c r="Q264" s="886"/>
      <c r="R264" s="886"/>
      <c r="S264" s="886"/>
      <c r="T264" s="886"/>
      <c r="U264" s="886"/>
      <c r="V264" s="886"/>
      <c r="W264" s="886"/>
      <c r="X264" s="886"/>
    </row>
    <row r="265" spans="3:24">
      <c r="C265" s="942"/>
      <c r="D265" s="943"/>
      <c r="E265" s="886"/>
      <c r="F265" s="886"/>
      <c r="G265" s="886"/>
      <c r="H265" s="886"/>
      <c r="I265" s="886"/>
      <c r="J265" s="886"/>
      <c r="K265" s="886"/>
      <c r="L265" s="886"/>
      <c r="M265" s="886"/>
      <c r="N265" s="886"/>
      <c r="O265" s="886"/>
      <c r="P265" s="886"/>
      <c r="Q265" s="886"/>
      <c r="R265" s="886"/>
      <c r="S265" s="886"/>
      <c r="T265" s="886"/>
      <c r="U265" s="886"/>
      <c r="V265" s="886"/>
      <c r="W265" s="886"/>
      <c r="X265" s="886"/>
    </row>
    <row r="266" spans="3:24">
      <c r="C266" s="942"/>
      <c r="D266" s="943"/>
      <c r="E266" s="886"/>
      <c r="F266" s="886"/>
      <c r="G266" s="886"/>
      <c r="H266" s="886"/>
      <c r="I266" s="886"/>
      <c r="J266" s="886"/>
      <c r="K266" s="886"/>
      <c r="L266" s="886"/>
      <c r="M266" s="886"/>
      <c r="N266" s="886"/>
      <c r="O266" s="886"/>
      <c r="P266" s="886"/>
      <c r="Q266" s="886"/>
      <c r="R266" s="886"/>
      <c r="S266" s="886"/>
      <c r="T266" s="886"/>
      <c r="U266" s="886"/>
      <c r="V266" s="886"/>
      <c r="W266" s="886"/>
      <c r="X266" s="886"/>
    </row>
    <row r="267" spans="3:24">
      <c r="C267" s="942"/>
      <c r="D267" s="943"/>
      <c r="E267" s="886"/>
      <c r="F267" s="886"/>
      <c r="G267" s="886"/>
      <c r="H267" s="886"/>
      <c r="I267" s="886"/>
      <c r="J267" s="886"/>
      <c r="K267" s="886"/>
      <c r="L267" s="886"/>
      <c r="M267" s="886"/>
      <c r="N267" s="886"/>
      <c r="O267" s="886"/>
      <c r="P267" s="886"/>
      <c r="Q267" s="886"/>
      <c r="R267" s="886"/>
      <c r="S267" s="886"/>
      <c r="T267" s="886"/>
      <c r="U267" s="886"/>
      <c r="V267" s="886"/>
      <c r="W267" s="886"/>
      <c r="X267" s="886"/>
    </row>
    <row r="268" spans="3:24">
      <c r="C268" s="942"/>
      <c r="D268" s="943"/>
      <c r="E268" s="886"/>
      <c r="F268" s="886"/>
      <c r="G268" s="886"/>
      <c r="H268" s="886"/>
      <c r="I268" s="886"/>
      <c r="J268" s="886"/>
      <c r="K268" s="886"/>
      <c r="L268" s="886"/>
      <c r="M268" s="886"/>
      <c r="N268" s="886"/>
      <c r="O268" s="886"/>
      <c r="P268" s="886"/>
      <c r="Q268" s="886"/>
      <c r="R268" s="886"/>
      <c r="S268" s="886"/>
      <c r="T268" s="886"/>
      <c r="U268" s="886"/>
      <c r="V268" s="886"/>
      <c r="W268" s="886"/>
      <c r="X268" s="886"/>
    </row>
    <row r="269" spans="3:24">
      <c r="C269" s="942"/>
      <c r="D269" s="943"/>
      <c r="E269" s="886"/>
      <c r="F269" s="886"/>
      <c r="G269" s="886"/>
      <c r="H269" s="886"/>
      <c r="I269" s="886"/>
      <c r="J269" s="886"/>
      <c r="K269" s="886"/>
      <c r="L269" s="886"/>
      <c r="M269" s="886"/>
      <c r="N269" s="886"/>
      <c r="O269" s="886"/>
      <c r="P269" s="886"/>
      <c r="Q269" s="886"/>
      <c r="R269" s="886"/>
      <c r="S269" s="886"/>
      <c r="T269" s="886"/>
      <c r="U269" s="886"/>
      <c r="V269" s="886"/>
      <c r="W269" s="886"/>
      <c r="X269" s="886"/>
    </row>
    <row r="270" spans="3:24">
      <c r="C270" s="942"/>
      <c r="D270" s="943"/>
      <c r="E270" s="886"/>
      <c r="F270" s="886"/>
      <c r="G270" s="886"/>
      <c r="H270" s="886"/>
      <c r="I270" s="886"/>
      <c r="J270" s="886"/>
      <c r="K270" s="886"/>
      <c r="L270" s="886"/>
      <c r="M270" s="886"/>
      <c r="N270" s="886"/>
      <c r="O270" s="886"/>
      <c r="P270" s="886"/>
      <c r="Q270" s="886"/>
      <c r="R270" s="886"/>
      <c r="S270" s="886"/>
      <c r="T270" s="886"/>
      <c r="U270" s="886"/>
      <c r="V270" s="886"/>
      <c r="W270" s="886"/>
      <c r="X270" s="886"/>
    </row>
    <row r="271" spans="3:24">
      <c r="C271" s="942"/>
      <c r="D271" s="943"/>
      <c r="E271" s="886"/>
      <c r="F271" s="886"/>
      <c r="G271" s="886"/>
      <c r="H271" s="886"/>
      <c r="I271" s="886"/>
      <c r="J271" s="886"/>
      <c r="K271" s="886"/>
      <c r="L271" s="886"/>
      <c r="M271" s="886"/>
      <c r="N271" s="886"/>
      <c r="O271" s="886"/>
      <c r="P271" s="886"/>
      <c r="Q271" s="886"/>
      <c r="R271" s="886"/>
      <c r="S271" s="886"/>
      <c r="T271" s="886"/>
      <c r="U271" s="886"/>
      <c r="V271" s="886"/>
      <c r="W271" s="886"/>
      <c r="X271" s="886"/>
    </row>
    <row r="272" spans="3:24">
      <c r="C272" s="942"/>
      <c r="D272" s="943"/>
      <c r="E272" s="886"/>
      <c r="F272" s="886"/>
      <c r="G272" s="886"/>
      <c r="H272" s="886"/>
      <c r="I272" s="886"/>
      <c r="J272" s="886"/>
      <c r="K272" s="886"/>
      <c r="L272" s="886"/>
      <c r="M272" s="886"/>
      <c r="N272" s="886"/>
      <c r="O272" s="886"/>
      <c r="P272" s="886"/>
      <c r="Q272" s="886"/>
      <c r="R272" s="886"/>
      <c r="S272" s="886"/>
      <c r="T272" s="886"/>
      <c r="U272" s="886"/>
      <c r="V272" s="886"/>
      <c r="W272" s="886"/>
      <c r="X272" s="886"/>
    </row>
    <row r="273" spans="3:24">
      <c r="C273" s="942"/>
      <c r="D273" s="943"/>
      <c r="E273" s="886"/>
      <c r="F273" s="886"/>
      <c r="G273" s="886"/>
      <c r="H273" s="886"/>
      <c r="I273" s="886"/>
      <c r="J273" s="886"/>
      <c r="K273" s="886"/>
      <c r="L273" s="886"/>
      <c r="M273" s="886"/>
      <c r="N273" s="886"/>
      <c r="O273" s="886"/>
      <c r="P273" s="886"/>
      <c r="Q273" s="886"/>
      <c r="R273" s="886"/>
      <c r="S273" s="886"/>
      <c r="T273" s="886"/>
      <c r="U273" s="886"/>
      <c r="V273" s="886"/>
      <c r="W273" s="886"/>
      <c r="X273" s="886"/>
    </row>
    <row r="274" spans="3:24">
      <c r="C274" s="942"/>
      <c r="D274" s="943"/>
      <c r="E274" s="886"/>
      <c r="F274" s="886"/>
      <c r="G274" s="886"/>
      <c r="H274" s="886"/>
      <c r="I274" s="886"/>
      <c r="J274" s="886"/>
      <c r="K274" s="886"/>
      <c r="L274" s="886"/>
      <c r="M274" s="886"/>
      <c r="N274" s="886"/>
      <c r="O274" s="886"/>
      <c r="P274" s="886"/>
      <c r="Q274" s="886"/>
      <c r="R274" s="886"/>
      <c r="S274" s="886"/>
      <c r="T274" s="886"/>
      <c r="U274" s="886"/>
      <c r="V274" s="886"/>
      <c r="W274" s="886"/>
      <c r="X274" s="886"/>
    </row>
    <row r="275" spans="3:24">
      <c r="C275" s="942"/>
      <c r="D275" s="943"/>
      <c r="E275" s="886"/>
      <c r="F275" s="886"/>
      <c r="G275" s="886"/>
      <c r="H275" s="886"/>
      <c r="I275" s="886"/>
      <c r="J275" s="886"/>
      <c r="K275" s="886"/>
      <c r="L275" s="886"/>
      <c r="M275" s="886"/>
      <c r="N275" s="886"/>
      <c r="O275" s="886"/>
      <c r="P275" s="886"/>
      <c r="Q275" s="886"/>
      <c r="R275" s="886"/>
      <c r="S275" s="886"/>
      <c r="T275" s="886"/>
      <c r="U275" s="886"/>
      <c r="V275" s="886"/>
      <c r="W275" s="886"/>
      <c r="X275" s="886"/>
    </row>
    <row r="276" spans="3:24">
      <c r="C276" s="942"/>
      <c r="D276" s="943"/>
      <c r="E276" s="886"/>
      <c r="F276" s="886"/>
      <c r="G276" s="886"/>
      <c r="H276" s="886"/>
      <c r="I276" s="886"/>
      <c r="J276" s="886"/>
      <c r="K276" s="886"/>
      <c r="L276" s="886"/>
      <c r="M276" s="886"/>
      <c r="N276" s="886"/>
      <c r="O276" s="886"/>
      <c r="P276" s="886"/>
      <c r="Q276" s="886"/>
      <c r="R276" s="886"/>
      <c r="S276" s="886"/>
      <c r="T276" s="886"/>
      <c r="U276" s="886"/>
      <c r="V276" s="886"/>
      <c r="W276" s="886"/>
      <c r="X276" s="886"/>
    </row>
    <row r="277" spans="3:24">
      <c r="C277" s="942"/>
      <c r="D277" s="943"/>
      <c r="E277" s="886"/>
      <c r="F277" s="886"/>
      <c r="G277" s="886"/>
      <c r="H277" s="886"/>
      <c r="I277" s="886"/>
      <c r="J277" s="886"/>
      <c r="K277" s="886"/>
      <c r="L277" s="886"/>
      <c r="M277" s="886"/>
      <c r="N277" s="886"/>
      <c r="O277" s="886"/>
      <c r="P277" s="886"/>
      <c r="Q277" s="886"/>
      <c r="R277" s="886"/>
      <c r="S277" s="886"/>
      <c r="T277" s="886"/>
      <c r="U277" s="886"/>
      <c r="V277" s="886"/>
      <c r="W277" s="886"/>
      <c r="X277" s="886"/>
    </row>
    <row r="278" spans="3:24">
      <c r="C278" s="942"/>
      <c r="D278" s="943"/>
      <c r="E278" s="886"/>
      <c r="F278" s="886"/>
      <c r="G278" s="886"/>
      <c r="H278" s="886"/>
      <c r="I278" s="886"/>
      <c r="J278" s="886"/>
      <c r="K278" s="886"/>
      <c r="L278" s="886"/>
      <c r="M278" s="886"/>
      <c r="N278" s="886"/>
      <c r="O278" s="886"/>
      <c r="P278" s="886"/>
      <c r="Q278" s="886"/>
      <c r="R278" s="886"/>
      <c r="S278" s="886"/>
      <c r="T278" s="886"/>
      <c r="U278" s="886"/>
      <c r="V278" s="886"/>
      <c r="W278" s="886"/>
      <c r="X278" s="886"/>
    </row>
    <row r="279" spans="3:24">
      <c r="C279" s="942"/>
      <c r="D279" s="943"/>
      <c r="E279" s="886"/>
      <c r="F279" s="886"/>
      <c r="G279" s="886"/>
      <c r="H279" s="886"/>
      <c r="I279" s="886"/>
      <c r="J279" s="886"/>
      <c r="K279" s="886"/>
      <c r="L279" s="886"/>
      <c r="M279" s="886"/>
      <c r="N279" s="886"/>
      <c r="O279" s="886"/>
      <c r="P279" s="886"/>
      <c r="Q279" s="886"/>
      <c r="R279" s="886"/>
      <c r="S279" s="886"/>
      <c r="T279" s="886"/>
      <c r="U279" s="886"/>
      <c r="V279" s="886"/>
      <c r="W279" s="886"/>
      <c r="X279" s="886"/>
    </row>
    <row r="280" spans="3:24">
      <c r="C280" s="942"/>
      <c r="D280" s="943"/>
      <c r="E280" s="886"/>
      <c r="F280" s="886"/>
      <c r="G280" s="886"/>
      <c r="H280" s="886"/>
      <c r="I280" s="886"/>
      <c r="J280" s="886"/>
      <c r="K280" s="886"/>
      <c r="L280" s="886"/>
      <c r="M280" s="886"/>
      <c r="N280" s="886"/>
      <c r="O280" s="886"/>
      <c r="P280" s="886"/>
      <c r="Q280" s="886"/>
      <c r="R280" s="886"/>
      <c r="S280" s="886"/>
      <c r="T280" s="886"/>
      <c r="U280" s="886"/>
      <c r="V280" s="886"/>
      <c r="W280" s="886"/>
      <c r="X280" s="886"/>
    </row>
    <row r="281" spans="3:24">
      <c r="C281" s="942"/>
      <c r="D281" s="943"/>
      <c r="E281" s="886"/>
      <c r="F281" s="886"/>
      <c r="G281" s="886"/>
      <c r="H281" s="886"/>
      <c r="I281" s="886"/>
      <c r="J281" s="886"/>
      <c r="K281" s="886"/>
      <c r="L281" s="886"/>
      <c r="M281" s="886"/>
      <c r="N281" s="886"/>
      <c r="O281" s="886"/>
      <c r="P281" s="886"/>
      <c r="Q281" s="886"/>
      <c r="R281" s="886"/>
      <c r="S281" s="886"/>
      <c r="T281" s="886"/>
      <c r="U281" s="886"/>
      <c r="V281" s="886"/>
      <c r="W281" s="886"/>
      <c r="X281" s="886"/>
    </row>
    <row r="282" spans="3:24">
      <c r="C282" s="942"/>
      <c r="D282" s="943"/>
      <c r="E282" s="886"/>
      <c r="F282" s="886"/>
      <c r="G282" s="886"/>
      <c r="H282" s="886"/>
      <c r="I282" s="886"/>
      <c r="J282" s="886"/>
      <c r="K282" s="886"/>
      <c r="L282" s="886"/>
      <c r="M282" s="886"/>
      <c r="N282" s="886"/>
      <c r="O282" s="886"/>
      <c r="P282" s="886"/>
      <c r="Q282" s="886"/>
      <c r="R282" s="886"/>
      <c r="S282" s="886"/>
      <c r="T282" s="886"/>
      <c r="U282" s="886"/>
      <c r="V282" s="886"/>
      <c r="W282" s="886"/>
      <c r="X282" s="886"/>
    </row>
    <row r="283" spans="3:24">
      <c r="C283" s="942"/>
      <c r="D283" s="943"/>
      <c r="E283" s="886"/>
      <c r="F283" s="886"/>
      <c r="G283" s="886"/>
      <c r="H283" s="886"/>
      <c r="I283" s="886"/>
      <c r="J283" s="886"/>
      <c r="K283" s="886"/>
      <c r="L283" s="886"/>
      <c r="M283" s="886"/>
      <c r="N283" s="886"/>
      <c r="O283" s="886"/>
      <c r="P283" s="886"/>
      <c r="Q283" s="886"/>
      <c r="R283" s="886"/>
      <c r="S283" s="886"/>
      <c r="T283" s="886"/>
      <c r="U283" s="886"/>
      <c r="V283" s="886"/>
      <c r="W283" s="886"/>
      <c r="X283" s="886"/>
    </row>
    <row r="284" spans="3:24">
      <c r="C284" s="942"/>
      <c r="D284" s="943"/>
      <c r="E284" s="886"/>
      <c r="F284" s="886"/>
      <c r="G284" s="886"/>
      <c r="H284" s="886"/>
      <c r="I284" s="886"/>
      <c r="J284" s="886"/>
      <c r="K284" s="886"/>
      <c r="L284" s="886"/>
      <c r="M284" s="886"/>
      <c r="N284" s="886"/>
      <c r="O284" s="886"/>
      <c r="P284" s="886"/>
      <c r="Q284" s="886"/>
      <c r="R284" s="886"/>
      <c r="S284" s="886"/>
      <c r="T284" s="886"/>
      <c r="U284" s="886"/>
      <c r="V284" s="886"/>
      <c r="W284" s="886"/>
      <c r="X284" s="886"/>
    </row>
    <row r="285" spans="3:24">
      <c r="C285" s="942"/>
      <c r="D285" s="943"/>
      <c r="E285" s="886"/>
      <c r="F285" s="886"/>
      <c r="G285" s="886"/>
      <c r="H285" s="886"/>
      <c r="I285" s="886"/>
      <c r="J285" s="886"/>
      <c r="K285" s="886"/>
      <c r="L285" s="886"/>
      <c r="M285" s="886"/>
      <c r="N285" s="886"/>
      <c r="O285" s="886"/>
      <c r="P285" s="886"/>
      <c r="Q285" s="886"/>
      <c r="R285" s="886"/>
      <c r="S285" s="886"/>
      <c r="T285" s="886"/>
      <c r="U285" s="886"/>
      <c r="V285" s="886"/>
      <c r="W285" s="886"/>
      <c r="X285" s="886"/>
    </row>
    <row r="286" spans="3:24">
      <c r="C286" s="942"/>
      <c r="D286" s="943"/>
      <c r="E286" s="886"/>
      <c r="F286" s="886"/>
      <c r="G286" s="886"/>
      <c r="H286" s="886"/>
      <c r="I286" s="886"/>
      <c r="J286" s="886"/>
      <c r="K286" s="886"/>
      <c r="L286" s="886"/>
      <c r="M286" s="886"/>
      <c r="N286" s="886"/>
      <c r="O286" s="886"/>
      <c r="P286" s="886"/>
      <c r="Q286" s="886"/>
      <c r="R286" s="886"/>
      <c r="S286" s="886"/>
      <c r="T286" s="886"/>
      <c r="U286" s="886"/>
      <c r="V286" s="886"/>
      <c r="W286" s="886"/>
      <c r="X286" s="886"/>
    </row>
    <row r="287" spans="3:24">
      <c r="C287" s="942"/>
      <c r="D287" s="943"/>
      <c r="E287" s="886"/>
      <c r="F287" s="886"/>
      <c r="G287" s="886"/>
      <c r="H287" s="886"/>
      <c r="I287" s="886"/>
      <c r="J287" s="886"/>
      <c r="K287" s="886"/>
      <c r="L287" s="886"/>
      <c r="M287" s="886"/>
      <c r="N287" s="886"/>
      <c r="O287" s="886"/>
      <c r="P287" s="886"/>
      <c r="Q287" s="886"/>
      <c r="R287" s="886"/>
      <c r="S287" s="886"/>
      <c r="T287" s="886"/>
      <c r="U287" s="886"/>
      <c r="V287" s="886"/>
      <c r="W287" s="886"/>
      <c r="X287" s="886"/>
    </row>
    <row r="288" spans="3:24">
      <c r="C288" s="942"/>
      <c r="D288" s="943"/>
      <c r="E288" s="886"/>
      <c r="F288" s="886"/>
      <c r="G288" s="886"/>
      <c r="H288" s="886"/>
      <c r="I288" s="886"/>
      <c r="J288" s="886"/>
      <c r="K288" s="886"/>
      <c r="L288" s="886"/>
      <c r="M288" s="886"/>
      <c r="N288" s="886"/>
      <c r="O288" s="886"/>
      <c r="P288" s="886"/>
      <c r="Q288" s="886"/>
      <c r="R288" s="886"/>
      <c r="S288" s="886"/>
      <c r="T288" s="886"/>
      <c r="U288" s="886"/>
      <c r="V288" s="886"/>
      <c r="W288" s="886"/>
      <c r="X288" s="886"/>
    </row>
    <row r="289" spans="3:24">
      <c r="C289" s="942"/>
      <c r="D289" s="943"/>
      <c r="E289" s="886"/>
      <c r="F289" s="886"/>
      <c r="G289" s="886"/>
      <c r="H289" s="886"/>
      <c r="I289" s="886"/>
      <c r="J289" s="886"/>
      <c r="K289" s="886"/>
      <c r="L289" s="886"/>
      <c r="M289" s="886"/>
      <c r="N289" s="886"/>
      <c r="O289" s="886"/>
      <c r="P289" s="886"/>
      <c r="Q289" s="886"/>
      <c r="R289" s="886"/>
      <c r="S289" s="886"/>
      <c r="T289" s="886"/>
      <c r="U289" s="886"/>
      <c r="V289" s="886"/>
      <c r="W289" s="886"/>
      <c r="X289" s="886"/>
    </row>
    <row r="290" spans="3:24">
      <c r="C290" s="942"/>
      <c r="D290" s="943"/>
      <c r="E290" s="886"/>
      <c r="F290" s="886"/>
      <c r="G290" s="886"/>
      <c r="H290" s="886"/>
      <c r="I290" s="886"/>
      <c r="J290" s="886"/>
      <c r="K290" s="886"/>
      <c r="L290" s="886"/>
      <c r="M290" s="886"/>
      <c r="N290" s="886"/>
      <c r="O290" s="886"/>
      <c r="P290" s="886"/>
      <c r="Q290" s="886"/>
      <c r="R290" s="886"/>
      <c r="S290" s="886"/>
      <c r="T290" s="886"/>
      <c r="U290" s="886"/>
      <c r="V290" s="886"/>
      <c r="W290" s="886"/>
      <c r="X290" s="886"/>
    </row>
    <row r="291" spans="3:24">
      <c r="C291" s="942"/>
      <c r="D291" s="943"/>
      <c r="E291" s="886"/>
      <c r="F291" s="886"/>
      <c r="G291" s="886"/>
      <c r="H291" s="886"/>
      <c r="I291" s="886"/>
      <c r="J291" s="886"/>
      <c r="K291" s="886"/>
      <c r="L291" s="886"/>
      <c r="M291" s="886"/>
      <c r="N291" s="886"/>
      <c r="O291" s="886"/>
      <c r="P291" s="886"/>
      <c r="Q291" s="886"/>
      <c r="R291" s="886"/>
      <c r="S291" s="886"/>
      <c r="T291" s="886"/>
      <c r="U291" s="886"/>
      <c r="V291" s="886"/>
      <c r="W291" s="886"/>
      <c r="X291" s="886"/>
    </row>
    <row r="292" spans="3:24">
      <c r="C292" s="942"/>
      <c r="D292" s="943"/>
      <c r="E292" s="886"/>
      <c r="F292" s="886"/>
      <c r="G292" s="886"/>
      <c r="H292" s="886"/>
      <c r="I292" s="886"/>
      <c r="J292" s="886"/>
      <c r="K292" s="886"/>
      <c r="L292" s="886"/>
      <c r="M292" s="886"/>
      <c r="N292" s="886"/>
      <c r="O292" s="886"/>
      <c r="P292" s="886"/>
      <c r="Q292" s="886"/>
      <c r="R292" s="886"/>
      <c r="S292" s="886"/>
      <c r="T292" s="886"/>
      <c r="U292" s="886"/>
      <c r="V292" s="886"/>
      <c r="W292" s="886"/>
      <c r="X292" s="886"/>
    </row>
    <row r="293" spans="3:24">
      <c r="C293" s="942"/>
      <c r="D293" s="943"/>
      <c r="E293" s="886"/>
      <c r="F293" s="886"/>
      <c r="G293" s="886"/>
      <c r="H293" s="886"/>
      <c r="I293" s="886"/>
      <c r="J293" s="886"/>
      <c r="K293" s="886"/>
      <c r="L293" s="886"/>
      <c r="M293" s="886"/>
      <c r="N293" s="886"/>
      <c r="O293" s="886"/>
      <c r="P293" s="886"/>
      <c r="Q293" s="886"/>
      <c r="R293" s="886"/>
      <c r="S293" s="886"/>
      <c r="T293" s="886"/>
      <c r="U293" s="886"/>
      <c r="V293" s="886"/>
      <c r="W293" s="886"/>
      <c r="X293" s="886"/>
    </row>
    <row r="294" spans="3:24">
      <c r="C294" s="942"/>
      <c r="D294" s="943"/>
      <c r="E294" s="886"/>
      <c r="F294" s="886"/>
      <c r="G294" s="886"/>
      <c r="H294" s="886"/>
      <c r="I294" s="886"/>
      <c r="J294" s="886"/>
      <c r="K294" s="886"/>
      <c r="L294" s="886"/>
      <c r="M294" s="886"/>
      <c r="N294" s="886"/>
      <c r="O294" s="886"/>
      <c r="P294" s="886"/>
      <c r="Q294" s="886"/>
      <c r="R294" s="886"/>
      <c r="S294" s="886"/>
      <c r="T294" s="886"/>
      <c r="U294" s="886"/>
      <c r="V294" s="886"/>
      <c r="W294" s="886"/>
      <c r="X294" s="886"/>
    </row>
    <row r="295" spans="3:24">
      <c r="C295" s="942"/>
      <c r="D295" s="943"/>
      <c r="E295" s="886"/>
      <c r="F295" s="886"/>
      <c r="G295" s="886"/>
      <c r="H295" s="886"/>
      <c r="I295" s="886"/>
      <c r="J295" s="886"/>
      <c r="K295" s="886"/>
      <c r="L295" s="886"/>
      <c r="M295" s="886"/>
      <c r="N295" s="886"/>
      <c r="O295" s="886"/>
      <c r="P295" s="886"/>
      <c r="Q295" s="886"/>
      <c r="R295" s="886"/>
      <c r="S295" s="886"/>
      <c r="T295" s="886"/>
      <c r="U295" s="886"/>
      <c r="V295" s="886"/>
      <c r="W295" s="886"/>
      <c r="X295" s="886"/>
    </row>
    <row r="296" spans="3:24">
      <c r="C296" s="942"/>
      <c r="D296" s="943"/>
      <c r="E296" s="886"/>
      <c r="F296" s="886"/>
      <c r="G296" s="886"/>
      <c r="H296" s="886"/>
      <c r="I296" s="886"/>
      <c r="J296" s="886"/>
      <c r="K296" s="886"/>
      <c r="L296" s="886"/>
      <c r="M296" s="886"/>
      <c r="N296" s="886"/>
      <c r="O296" s="886"/>
      <c r="P296" s="886"/>
      <c r="Q296" s="886"/>
      <c r="R296" s="886"/>
      <c r="S296" s="886"/>
      <c r="T296" s="886"/>
      <c r="U296" s="886"/>
      <c r="V296" s="886"/>
      <c r="W296" s="886"/>
      <c r="X296" s="886"/>
    </row>
    <row r="297" spans="3:24">
      <c r="C297" s="942"/>
      <c r="D297" s="943"/>
      <c r="E297" s="886"/>
      <c r="F297" s="886"/>
      <c r="G297" s="886"/>
      <c r="H297" s="886"/>
      <c r="I297" s="886"/>
      <c r="J297" s="886"/>
      <c r="K297" s="886"/>
      <c r="L297" s="886"/>
      <c r="M297" s="886"/>
      <c r="N297" s="886"/>
      <c r="O297" s="886"/>
      <c r="P297" s="886"/>
      <c r="Q297" s="886"/>
      <c r="R297" s="886"/>
      <c r="S297" s="886"/>
      <c r="T297" s="886"/>
      <c r="U297" s="886"/>
      <c r="V297" s="886"/>
      <c r="W297" s="886"/>
      <c r="X297" s="886"/>
    </row>
    <row r="298" spans="3:24">
      <c r="C298" s="942"/>
      <c r="D298" s="943"/>
      <c r="E298" s="886"/>
      <c r="F298" s="886"/>
      <c r="G298" s="886"/>
      <c r="H298" s="886"/>
      <c r="I298" s="886"/>
      <c r="J298" s="886"/>
      <c r="K298" s="886"/>
      <c r="L298" s="886"/>
      <c r="M298" s="886"/>
      <c r="N298" s="886"/>
      <c r="O298" s="886"/>
      <c r="P298" s="886"/>
      <c r="Q298" s="886"/>
      <c r="R298" s="886"/>
      <c r="S298" s="886"/>
      <c r="T298" s="886"/>
      <c r="U298" s="886"/>
      <c r="V298" s="886"/>
      <c r="W298" s="886"/>
      <c r="X298" s="886"/>
    </row>
    <row r="299" spans="3:24">
      <c r="C299" s="942"/>
      <c r="D299" s="943"/>
      <c r="E299" s="886"/>
      <c r="F299" s="886"/>
      <c r="G299" s="886"/>
      <c r="H299" s="886"/>
      <c r="I299" s="886"/>
      <c r="J299" s="886"/>
      <c r="K299" s="886"/>
      <c r="L299" s="886"/>
      <c r="M299" s="886"/>
      <c r="N299" s="886"/>
      <c r="O299" s="886"/>
      <c r="P299" s="886"/>
      <c r="Q299" s="886"/>
      <c r="R299" s="886"/>
      <c r="S299" s="886"/>
      <c r="T299" s="886"/>
      <c r="U299" s="886"/>
      <c r="V299" s="886"/>
      <c r="W299" s="886"/>
      <c r="X299" s="886"/>
    </row>
    <row r="300" spans="3:24">
      <c r="C300" s="942"/>
      <c r="D300" s="943"/>
      <c r="E300" s="886"/>
      <c r="F300" s="886"/>
      <c r="G300" s="886"/>
      <c r="H300" s="886"/>
      <c r="I300" s="886"/>
      <c r="J300" s="886"/>
      <c r="K300" s="886"/>
      <c r="L300" s="886"/>
      <c r="M300" s="886"/>
      <c r="N300" s="886"/>
      <c r="O300" s="886"/>
      <c r="P300" s="886"/>
      <c r="Q300" s="886"/>
      <c r="R300" s="886"/>
      <c r="S300" s="886"/>
      <c r="T300" s="886"/>
      <c r="U300" s="886"/>
      <c r="V300" s="886"/>
      <c r="W300" s="886"/>
      <c r="X300" s="886"/>
    </row>
    <row r="301" spans="3:24">
      <c r="C301" s="942"/>
      <c r="D301" s="943"/>
      <c r="E301" s="886"/>
      <c r="F301" s="886"/>
      <c r="G301" s="886"/>
      <c r="H301" s="886"/>
      <c r="I301" s="886"/>
      <c r="J301" s="886"/>
      <c r="K301" s="886"/>
      <c r="L301" s="886"/>
      <c r="M301" s="886"/>
      <c r="N301" s="886"/>
      <c r="O301" s="886"/>
      <c r="P301" s="886"/>
      <c r="Q301" s="886"/>
      <c r="R301" s="886"/>
      <c r="S301" s="886"/>
      <c r="T301" s="886"/>
      <c r="U301" s="886"/>
      <c r="V301" s="886"/>
      <c r="W301" s="886"/>
      <c r="X301" s="886"/>
    </row>
    <row r="302" spans="3:24">
      <c r="C302" s="942"/>
      <c r="D302" s="943"/>
      <c r="E302" s="886"/>
      <c r="F302" s="886"/>
      <c r="G302" s="886"/>
      <c r="H302" s="886"/>
      <c r="I302" s="886"/>
      <c r="J302" s="886"/>
      <c r="K302" s="886"/>
      <c r="L302" s="886"/>
      <c r="M302" s="886"/>
      <c r="N302" s="886"/>
      <c r="O302" s="886"/>
      <c r="P302" s="886"/>
      <c r="Q302" s="886"/>
      <c r="R302" s="886"/>
      <c r="S302" s="886"/>
      <c r="T302" s="886"/>
      <c r="U302" s="886"/>
      <c r="V302" s="886"/>
      <c r="W302" s="886"/>
      <c r="X302" s="886"/>
    </row>
    <row r="303" spans="3:24">
      <c r="C303" s="942"/>
      <c r="D303" s="943"/>
      <c r="E303" s="886"/>
      <c r="F303" s="886"/>
      <c r="G303" s="886"/>
      <c r="H303" s="886"/>
      <c r="I303" s="886"/>
      <c r="J303" s="886"/>
      <c r="K303" s="886"/>
      <c r="L303" s="886"/>
      <c r="M303" s="886"/>
      <c r="N303" s="886"/>
      <c r="O303" s="886"/>
      <c r="P303" s="886"/>
      <c r="Q303" s="886"/>
      <c r="R303" s="886"/>
      <c r="S303" s="886"/>
      <c r="T303" s="886"/>
      <c r="U303" s="886"/>
      <c r="V303" s="886"/>
      <c r="W303" s="886"/>
      <c r="X303" s="886"/>
    </row>
    <row r="304" spans="3:24">
      <c r="C304" s="942"/>
      <c r="D304" s="943"/>
      <c r="E304" s="886"/>
      <c r="F304" s="886"/>
      <c r="G304" s="886"/>
      <c r="H304" s="886"/>
      <c r="I304" s="886"/>
      <c r="J304" s="886"/>
      <c r="K304" s="886"/>
      <c r="L304" s="886"/>
      <c r="M304" s="886"/>
      <c r="N304" s="886"/>
      <c r="O304" s="886"/>
      <c r="P304" s="886"/>
      <c r="Q304" s="886"/>
      <c r="R304" s="886"/>
      <c r="S304" s="886"/>
      <c r="T304" s="886"/>
      <c r="U304" s="886"/>
      <c r="V304" s="886"/>
      <c r="W304" s="886"/>
      <c r="X304" s="886"/>
    </row>
    <row r="305" spans="3:24">
      <c r="C305" s="942"/>
      <c r="D305" s="943"/>
      <c r="E305" s="886"/>
      <c r="F305" s="886"/>
      <c r="G305" s="886"/>
      <c r="H305" s="886"/>
      <c r="I305" s="886"/>
      <c r="J305" s="886"/>
      <c r="K305" s="886"/>
      <c r="L305" s="886"/>
      <c r="M305" s="886"/>
      <c r="N305" s="886"/>
      <c r="O305" s="886"/>
      <c r="P305" s="886"/>
      <c r="Q305" s="886"/>
      <c r="R305" s="886"/>
      <c r="S305" s="886"/>
      <c r="T305" s="886"/>
      <c r="U305" s="886"/>
      <c r="V305" s="886"/>
      <c r="W305" s="886"/>
      <c r="X305" s="886"/>
    </row>
    <row r="306" spans="3:24">
      <c r="C306" s="942"/>
      <c r="D306" s="943"/>
      <c r="E306" s="886"/>
      <c r="F306" s="886"/>
      <c r="G306" s="886"/>
      <c r="H306" s="886"/>
      <c r="I306" s="886"/>
      <c r="J306" s="886"/>
      <c r="K306" s="886"/>
      <c r="L306" s="886"/>
      <c r="M306" s="886"/>
      <c r="N306" s="886"/>
      <c r="O306" s="886"/>
      <c r="P306" s="886"/>
      <c r="Q306" s="886"/>
      <c r="R306" s="886"/>
      <c r="S306" s="886"/>
      <c r="T306" s="886"/>
      <c r="U306" s="886"/>
      <c r="V306" s="886"/>
      <c r="W306" s="886"/>
      <c r="X306" s="886"/>
    </row>
    <row r="307" spans="3:24">
      <c r="C307" s="942"/>
      <c r="D307" s="943"/>
      <c r="E307" s="886"/>
      <c r="F307" s="886"/>
      <c r="G307" s="886"/>
      <c r="H307" s="886"/>
      <c r="I307" s="886"/>
      <c r="J307" s="886"/>
      <c r="K307" s="886"/>
      <c r="L307" s="886"/>
      <c r="M307" s="886"/>
      <c r="N307" s="886"/>
      <c r="O307" s="886"/>
      <c r="P307" s="886"/>
      <c r="Q307" s="886"/>
      <c r="R307" s="886"/>
      <c r="S307" s="886"/>
      <c r="T307" s="886"/>
      <c r="U307" s="886"/>
      <c r="V307" s="886"/>
      <c r="W307" s="886"/>
      <c r="X307" s="886"/>
    </row>
    <row r="308" spans="3:24">
      <c r="C308" s="942"/>
      <c r="D308" s="943"/>
      <c r="E308" s="886"/>
      <c r="F308" s="886"/>
      <c r="G308" s="886"/>
      <c r="H308" s="886"/>
      <c r="I308" s="886"/>
      <c r="J308" s="886"/>
      <c r="K308" s="886"/>
      <c r="L308" s="886"/>
      <c r="M308" s="886"/>
      <c r="N308" s="886"/>
      <c r="O308" s="886"/>
      <c r="P308" s="886"/>
      <c r="Q308" s="886"/>
      <c r="R308" s="886"/>
      <c r="S308" s="886"/>
      <c r="T308" s="886"/>
      <c r="U308" s="886"/>
      <c r="V308" s="886"/>
      <c r="W308" s="886"/>
      <c r="X308" s="886"/>
    </row>
    <row r="309" spans="3:24">
      <c r="C309" s="942"/>
      <c r="D309" s="943"/>
      <c r="E309" s="886"/>
      <c r="F309" s="886"/>
      <c r="G309" s="886"/>
      <c r="H309" s="886"/>
      <c r="I309" s="886"/>
      <c r="J309" s="886"/>
      <c r="K309" s="886"/>
      <c r="L309" s="886"/>
      <c r="M309" s="886"/>
      <c r="N309" s="886"/>
      <c r="O309" s="886"/>
      <c r="P309" s="886"/>
      <c r="Q309" s="886"/>
      <c r="R309" s="886"/>
      <c r="S309" s="886"/>
      <c r="T309" s="886"/>
      <c r="U309" s="886"/>
      <c r="V309" s="886"/>
      <c r="W309" s="886"/>
      <c r="X309" s="886"/>
    </row>
    <row r="310" spans="3:24">
      <c r="C310" s="942"/>
      <c r="D310" s="943"/>
      <c r="E310" s="886"/>
      <c r="F310" s="886"/>
      <c r="G310" s="886"/>
      <c r="H310" s="886"/>
      <c r="I310" s="886"/>
      <c r="J310" s="886"/>
      <c r="K310" s="886"/>
      <c r="L310" s="886"/>
      <c r="M310" s="886"/>
      <c r="N310" s="886"/>
      <c r="O310" s="886"/>
      <c r="P310" s="886"/>
      <c r="Q310" s="886"/>
      <c r="R310" s="886"/>
      <c r="S310" s="886"/>
      <c r="T310" s="886"/>
      <c r="U310" s="886"/>
      <c r="V310" s="886"/>
      <c r="W310" s="886"/>
      <c r="X310" s="886"/>
    </row>
    <row r="311" spans="3:24">
      <c r="C311" s="942"/>
      <c r="D311" s="943"/>
      <c r="E311" s="886"/>
      <c r="F311" s="886"/>
      <c r="G311" s="886"/>
      <c r="H311" s="886"/>
      <c r="I311" s="886"/>
      <c r="J311" s="886"/>
      <c r="K311" s="886"/>
      <c r="L311" s="886"/>
      <c r="M311" s="886"/>
      <c r="N311" s="886"/>
      <c r="O311" s="886"/>
      <c r="P311" s="886"/>
      <c r="Q311" s="886"/>
      <c r="R311" s="886"/>
      <c r="S311" s="886"/>
      <c r="T311" s="886"/>
      <c r="U311" s="886"/>
      <c r="V311" s="886"/>
      <c r="W311" s="886"/>
      <c r="X311" s="886"/>
    </row>
    <row r="312" spans="3:24">
      <c r="C312" s="942"/>
      <c r="D312" s="943"/>
      <c r="E312" s="886"/>
      <c r="F312" s="886"/>
      <c r="G312" s="886"/>
      <c r="H312" s="886"/>
      <c r="I312" s="886"/>
      <c r="J312" s="886"/>
      <c r="K312" s="886"/>
      <c r="L312" s="886"/>
      <c r="M312" s="886"/>
      <c r="N312" s="886"/>
      <c r="O312" s="886"/>
      <c r="P312" s="886"/>
      <c r="Q312" s="886"/>
      <c r="R312" s="886"/>
      <c r="S312" s="886"/>
      <c r="T312" s="886"/>
      <c r="U312" s="886"/>
      <c r="V312" s="886"/>
      <c r="W312" s="886"/>
      <c r="X312" s="886"/>
    </row>
    <row r="313" spans="3:24">
      <c r="C313" s="942"/>
      <c r="D313" s="943"/>
      <c r="E313" s="886"/>
      <c r="F313" s="886"/>
      <c r="G313" s="886"/>
      <c r="H313" s="886"/>
      <c r="I313" s="886"/>
      <c r="J313" s="886"/>
      <c r="K313" s="886"/>
      <c r="L313" s="886"/>
      <c r="M313" s="886"/>
      <c r="N313" s="886"/>
      <c r="O313" s="886"/>
      <c r="P313" s="886"/>
      <c r="Q313" s="886"/>
      <c r="R313" s="886"/>
      <c r="S313" s="886"/>
      <c r="T313" s="886"/>
      <c r="U313" s="886"/>
      <c r="V313" s="886"/>
      <c r="W313" s="886"/>
      <c r="X313" s="886"/>
    </row>
    <row r="314" spans="3:24">
      <c r="C314" s="942"/>
      <c r="D314" s="943"/>
      <c r="E314" s="886"/>
      <c r="F314" s="886"/>
      <c r="G314" s="886"/>
      <c r="H314" s="886"/>
      <c r="I314" s="886"/>
      <c r="J314" s="886"/>
      <c r="K314" s="886"/>
      <c r="L314" s="886"/>
      <c r="M314" s="886"/>
      <c r="N314" s="886"/>
      <c r="O314" s="886"/>
      <c r="P314" s="886"/>
      <c r="Q314" s="886"/>
      <c r="R314" s="886"/>
      <c r="S314" s="886"/>
      <c r="T314" s="886"/>
      <c r="U314" s="886"/>
      <c r="V314" s="886"/>
      <c r="W314" s="886"/>
      <c r="X314" s="886"/>
    </row>
    <row r="315" spans="3:24">
      <c r="C315" s="942"/>
      <c r="D315" s="943"/>
      <c r="E315" s="886"/>
      <c r="F315" s="886"/>
      <c r="G315" s="886"/>
      <c r="H315" s="886"/>
      <c r="I315" s="886"/>
      <c r="J315" s="886"/>
      <c r="K315" s="886"/>
      <c r="L315" s="886"/>
      <c r="M315" s="886"/>
      <c r="N315" s="886"/>
      <c r="O315" s="886"/>
      <c r="P315" s="886"/>
      <c r="Q315" s="886"/>
      <c r="R315" s="886"/>
      <c r="S315" s="886"/>
      <c r="T315" s="886"/>
      <c r="U315" s="886"/>
      <c r="V315" s="886"/>
      <c r="W315" s="886"/>
      <c r="X315" s="886"/>
    </row>
    <row r="316" spans="3:24">
      <c r="C316" s="942"/>
      <c r="D316" s="943"/>
      <c r="E316" s="886"/>
      <c r="F316" s="886"/>
      <c r="G316" s="886"/>
      <c r="H316" s="886"/>
      <c r="I316" s="886"/>
      <c r="J316" s="886"/>
      <c r="K316" s="886"/>
      <c r="L316" s="886"/>
      <c r="M316" s="886"/>
      <c r="N316" s="886"/>
      <c r="O316" s="886"/>
      <c r="P316" s="886"/>
      <c r="Q316" s="886"/>
      <c r="R316" s="886"/>
      <c r="S316" s="886"/>
      <c r="T316" s="886"/>
      <c r="U316" s="886"/>
      <c r="V316" s="886"/>
      <c r="W316" s="886"/>
      <c r="X316" s="886"/>
    </row>
    <row r="317" spans="3:24">
      <c r="C317" s="942"/>
      <c r="D317" s="943"/>
      <c r="E317" s="886"/>
      <c r="F317" s="886"/>
      <c r="G317" s="886"/>
      <c r="H317" s="886"/>
      <c r="I317" s="886"/>
      <c r="J317" s="886"/>
      <c r="K317" s="886"/>
      <c r="L317" s="886"/>
      <c r="M317" s="886"/>
      <c r="N317" s="886"/>
      <c r="O317" s="886"/>
      <c r="P317" s="886"/>
      <c r="Q317" s="886"/>
      <c r="R317" s="886"/>
      <c r="S317" s="886"/>
      <c r="T317" s="886"/>
      <c r="U317" s="886"/>
      <c r="V317" s="886"/>
      <c r="W317" s="886"/>
      <c r="X317" s="886"/>
    </row>
    <row r="318" spans="3:24">
      <c r="C318" s="942"/>
      <c r="D318" s="943"/>
      <c r="E318" s="886"/>
      <c r="F318" s="886"/>
      <c r="G318" s="886"/>
      <c r="H318" s="886"/>
      <c r="I318" s="886"/>
      <c r="J318" s="886"/>
      <c r="K318" s="886"/>
      <c r="L318" s="886"/>
      <c r="M318" s="886"/>
      <c r="N318" s="886"/>
      <c r="O318" s="886"/>
      <c r="P318" s="886"/>
      <c r="Q318" s="886"/>
      <c r="R318" s="886"/>
      <c r="S318" s="886"/>
      <c r="T318" s="886"/>
      <c r="U318" s="886"/>
      <c r="V318" s="886"/>
      <c r="W318" s="886"/>
      <c r="X318" s="886"/>
    </row>
    <row r="319" spans="3:24">
      <c r="C319" s="942"/>
      <c r="D319" s="943"/>
      <c r="E319" s="886"/>
      <c r="F319" s="886"/>
      <c r="G319" s="886"/>
      <c r="H319" s="886"/>
      <c r="I319" s="886"/>
      <c r="J319" s="886"/>
      <c r="K319" s="886"/>
      <c r="L319" s="886"/>
      <c r="M319" s="886"/>
      <c r="N319" s="886"/>
      <c r="O319" s="886"/>
      <c r="P319" s="886"/>
      <c r="Q319" s="886"/>
      <c r="R319" s="886"/>
      <c r="S319" s="886"/>
      <c r="T319" s="886"/>
      <c r="U319" s="886"/>
      <c r="V319" s="886"/>
      <c r="W319" s="886"/>
      <c r="X319" s="886"/>
    </row>
    <row r="320" spans="3:24">
      <c r="C320" s="942"/>
      <c r="D320" s="943"/>
      <c r="E320" s="886"/>
      <c r="F320" s="886"/>
      <c r="G320" s="886"/>
      <c r="H320" s="886"/>
      <c r="I320" s="886"/>
      <c r="J320" s="886"/>
      <c r="K320" s="886"/>
      <c r="L320" s="886"/>
      <c r="M320" s="886"/>
      <c r="N320" s="886"/>
      <c r="O320" s="886"/>
      <c r="P320" s="886"/>
      <c r="Q320" s="886"/>
      <c r="R320" s="886"/>
      <c r="S320" s="886"/>
      <c r="T320" s="886"/>
      <c r="U320" s="886"/>
      <c r="V320" s="886"/>
      <c r="W320" s="886"/>
      <c r="X320" s="886"/>
    </row>
    <row r="321" spans="3:24">
      <c r="C321" s="942"/>
      <c r="D321" s="943"/>
      <c r="E321" s="886"/>
      <c r="F321" s="886"/>
      <c r="G321" s="886"/>
      <c r="H321" s="886"/>
      <c r="I321" s="886"/>
      <c r="J321" s="886"/>
      <c r="K321" s="886"/>
      <c r="L321" s="886"/>
      <c r="M321" s="886"/>
      <c r="N321" s="886"/>
      <c r="O321" s="886"/>
      <c r="P321" s="886"/>
      <c r="Q321" s="886"/>
      <c r="R321" s="886"/>
      <c r="S321" s="886"/>
      <c r="T321" s="886"/>
      <c r="U321" s="886"/>
      <c r="V321" s="886"/>
      <c r="W321" s="886"/>
      <c r="X321" s="886"/>
    </row>
    <row r="322" spans="3:24">
      <c r="C322" s="942"/>
      <c r="D322" s="943"/>
      <c r="E322" s="886"/>
      <c r="F322" s="886"/>
      <c r="G322" s="886"/>
      <c r="H322" s="886"/>
      <c r="I322" s="886"/>
      <c r="J322" s="886"/>
      <c r="K322" s="886"/>
      <c r="L322" s="886"/>
      <c r="M322" s="886"/>
      <c r="N322" s="886"/>
      <c r="O322" s="886"/>
      <c r="P322" s="886"/>
      <c r="Q322" s="886"/>
      <c r="R322" s="886"/>
      <c r="S322" s="886"/>
      <c r="T322" s="886"/>
      <c r="U322" s="886"/>
      <c r="V322" s="886"/>
      <c r="W322" s="886"/>
      <c r="X322" s="886"/>
    </row>
    <row r="323" spans="3:24">
      <c r="C323" s="942"/>
      <c r="D323" s="943"/>
      <c r="E323" s="886"/>
      <c r="F323" s="886"/>
      <c r="G323" s="886"/>
      <c r="H323" s="886"/>
      <c r="I323" s="886"/>
      <c r="J323" s="886"/>
      <c r="K323" s="886"/>
      <c r="L323" s="886"/>
      <c r="M323" s="886"/>
      <c r="N323" s="886"/>
      <c r="O323" s="886"/>
      <c r="P323" s="886"/>
      <c r="Q323" s="886"/>
      <c r="R323" s="886"/>
      <c r="S323" s="886"/>
      <c r="T323" s="886"/>
      <c r="U323" s="886"/>
      <c r="V323" s="886"/>
      <c r="W323" s="886"/>
      <c r="X323" s="886"/>
    </row>
    <row r="324" spans="3:24">
      <c r="C324" s="942"/>
      <c r="D324" s="943"/>
      <c r="E324" s="886"/>
      <c r="F324" s="886"/>
      <c r="G324" s="886"/>
      <c r="H324" s="886"/>
      <c r="I324" s="886"/>
      <c r="J324" s="886"/>
      <c r="K324" s="886"/>
      <c r="L324" s="886"/>
      <c r="M324" s="886"/>
      <c r="N324" s="886"/>
      <c r="O324" s="886"/>
      <c r="P324" s="886"/>
      <c r="Q324" s="886"/>
      <c r="R324" s="886"/>
      <c r="S324" s="886"/>
      <c r="T324" s="886"/>
      <c r="U324" s="886"/>
      <c r="V324" s="886"/>
      <c r="W324" s="886"/>
      <c r="X324" s="886"/>
    </row>
    <row r="325" spans="3:24">
      <c r="C325" s="942"/>
      <c r="D325" s="943"/>
      <c r="E325" s="886"/>
      <c r="F325" s="886"/>
      <c r="G325" s="886"/>
      <c r="H325" s="886"/>
      <c r="I325" s="886"/>
      <c r="J325" s="886"/>
      <c r="K325" s="886"/>
      <c r="L325" s="886"/>
      <c r="M325" s="886"/>
      <c r="N325" s="886"/>
      <c r="O325" s="886"/>
      <c r="P325" s="886"/>
      <c r="Q325" s="886"/>
      <c r="R325" s="886"/>
      <c r="S325" s="886"/>
      <c r="T325" s="886"/>
      <c r="U325" s="886"/>
      <c r="V325" s="886"/>
      <c r="W325" s="886"/>
      <c r="X325" s="886"/>
    </row>
    <row r="326" spans="3:24">
      <c r="C326" s="942"/>
      <c r="D326" s="943"/>
      <c r="E326" s="886"/>
      <c r="F326" s="886"/>
      <c r="G326" s="886"/>
      <c r="H326" s="886"/>
      <c r="I326" s="886"/>
      <c r="J326" s="886"/>
      <c r="K326" s="886"/>
      <c r="L326" s="886"/>
      <c r="M326" s="886"/>
      <c r="N326" s="886"/>
      <c r="O326" s="886"/>
      <c r="P326" s="886"/>
      <c r="Q326" s="886"/>
      <c r="R326" s="886"/>
      <c r="S326" s="886"/>
      <c r="T326" s="886"/>
      <c r="U326" s="886"/>
      <c r="V326" s="886"/>
      <c r="W326" s="886"/>
      <c r="X326" s="886"/>
    </row>
    <row r="327" spans="3:24">
      <c r="C327" s="942"/>
      <c r="D327" s="943"/>
      <c r="E327" s="886"/>
      <c r="F327" s="886"/>
      <c r="G327" s="886"/>
      <c r="H327" s="886"/>
      <c r="I327" s="886"/>
      <c r="J327" s="886"/>
      <c r="K327" s="886"/>
      <c r="L327" s="886"/>
      <c r="M327" s="886"/>
      <c r="N327" s="886"/>
      <c r="O327" s="886"/>
      <c r="P327" s="886"/>
      <c r="Q327" s="886"/>
      <c r="R327" s="886"/>
      <c r="S327" s="886"/>
      <c r="T327" s="886"/>
      <c r="U327" s="886"/>
      <c r="V327" s="886"/>
      <c r="W327" s="886"/>
      <c r="X327" s="886"/>
    </row>
    <row r="328" spans="3:24">
      <c r="C328" s="942"/>
      <c r="D328" s="943"/>
      <c r="E328" s="886"/>
      <c r="F328" s="886"/>
      <c r="G328" s="886"/>
      <c r="H328" s="886"/>
      <c r="I328" s="886"/>
      <c r="J328" s="886"/>
      <c r="K328" s="886"/>
      <c r="L328" s="886"/>
      <c r="M328" s="886"/>
      <c r="N328" s="886"/>
      <c r="O328" s="886"/>
      <c r="P328" s="886"/>
      <c r="Q328" s="886"/>
      <c r="R328" s="886"/>
      <c r="S328" s="886"/>
      <c r="T328" s="886"/>
      <c r="U328" s="886"/>
      <c r="V328" s="886"/>
      <c r="W328" s="886"/>
      <c r="X328" s="886"/>
    </row>
    <row r="329" spans="3:24">
      <c r="C329" s="942"/>
      <c r="D329" s="943"/>
      <c r="E329" s="886"/>
      <c r="F329" s="886"/>
      <c r="G329" s="886"/>
      <c r="H329" s="886"/>
      <c r="I329" s="886"/>
      <c r="J329" s="886"/>
      <c r="K329" s="886"/>
      <c r="L329" s="886"/>
      <c r="M329" s="886"/>
      <c r="N329" s="886"/>
      <c r="O329" s="886"/>
      <c r="P329" s="886"/>
      <c r="Q329" s="886"/>
      <c r="R329" s="886"/>
      <c r="S329" s="886"/>
      <c r="T329" s="886"/>
      <c r="U329" s="886"/>
      <c r="V329" s="886"/>
      <c r="W329" s="886"/>
      <c r="X329" s="886"/>
    </row>
    <row r="330" spans="3:24">
      <c r="C330" s="942"/>
      <c r="D330" s="943"/>
      <c r="E330" s="886"/>
      <c r="F330" s="886"/>
      <c r="G330" s="886"/>
      <c r="H330" s="886"/>
      <c r="I330" s="886"/>
      <c r="J330" s="886"/>
      <c r="K330" s="886"/>
      <c r="L330" s="886"/>
      <c r="M330" s="886"/>
      <c r="N330" s="886"/>
      <c r="O330" s="886"/>
      <c r="P330" s="886"/>
      <c r="Q330" s="886"/>
      <c r="R330" s="886"/>
      <c r="S330" s="886"/>
      <c r="T330" s="886"/>
      <c r="U330" s="886"/>
      <c r="V330" s="886"/>
      <c r="W330" s="886"/>
      <c r="X330" s="886"/>
    </row>
    <row r="331" spans="3:24">
      <c r="C331" s="942"/>
      <c r="D331" s="943"/>
      <c r="E331" s="886"/>
      <c r="F331" s="886"/>
      <c r="G331" s="886"/>
      <c r="H331" s="886"/>
      <c r="I331" s="886"/>
      <c r="J331" s="886"/>
      <c r="K331" s="886"/>
      <c r="L331" s="886"/>
      <c r="M331" s="886"/>
      <c r="N331" s="886"/>
      <c r="O331" s="886"/>
      <c r="P331" s="886"/>
      <c r="Q331" s="886"/>
      <c r="R331" s="886"/>
      <c r="S331" s="886"/>
      <c r="T331" s="886"/>
      <c r="U331" s="886"/>
      <c r="V331" s="886"/>
      <c r="W331" s="886"/>
      <c r="X331" s="886"/>
    </row>
    <row r="332" spans="3:24">
      <c r="C332" s="942"/>
      <c r="D332" s="943"/>
      <c r="E332" s="886"/>
      <c r="F332" s="886"/>
      <c r="G332" s="886"/>
      <c r="H332" s="886"/>
      <c r="I332" s="886"/>
      <c r="J332" s="886"/>
      <c r="K332" s="886"/>
      <c r="L332" s="886"/>
      <c r="M332" s="886"/>
      <c r="N332" s="886"/>
      <c r="O332" s="886"/>
      <c r="P332" s="886"/>
      <c r="Q332" s="886"/>
      <c r="R332" s="886"/>
      <c r="S332" s="886"/>
      <c r="T332" s="886"/>
      <c r="U332" s="886"/>
      <c r="V332" s="886"/>
      <c r="W332" s="886"/>
      <c r="X332" s="886"/>
    </row>
    <row r="333" spans="3:24">
      <c r="C333" s="942"/>
      <c r="D333" s="943"/>
      <c r="E333" s="886"/>
      <c r="F333" s="886"/>
      <c r="G333" s="886"/>
      <c r="H333" s="886"/>
      <c r="I333" s="886"/>
      <c r="J333" s="886"/>
      <c r="K333" s="886"/>
      <c r="L333" s="886"/>
      <c r="M333" s="886"/>
      <c r="N333" s="886"/>
      <c r="O333" s="886"/>
      <c r="P333" s="886"/>
      <c r="Q333" s="886"/>
      <c r="R333" s="886"/>
      <c r="S333" s="886"/>
      <c r="T333" s="886"/>
      <c r="U333" s="886"/>
      <c r="V333" s="886"/>
      <c r="W333" s="886"/>
      <c r="X333" s="886"/>
    </row>
    <row r="334" spans="3:24">
      <c r="C334" s="942"/>
      <c r="D334" s="943"/>
      <c r="E334" s="886"/>
      <c r="F334" s="886"/>
      <c r="G334" s="886"/>
      <c r="H334" s="886"/>
      <c r="I334" s="886"/>
      <c r="J334" s="886"/>
      <c r="K334" s="886"/>
      <c r="L334" s="886"/>
      <c r="M334" s="886"/>
      <c r="N334" s="886"/>
      <c r="O334" s="886"/>
      <c r="P334" s="886"/>
      <c r="Q334" s="886"/>
      <c r="R334" s="886"/>
      <c r="S334" s="886"/>
      <c r="T334" s="886"/>
      <c r="U334" s="886"/>
      <c r="V334" s="886"/>
      <c r="W334" s="886"/>
      <c r="X334" s="886"/>
    </row>
    <row r="335" spans="3:24">
      <c r="C335" s="942"/>
      <c r="D335" s="943"/>
      <c r="E335" s="886"/>
      <c r="F335" s="886"/>
      <c r="G335" s="886"/>
      <c r="H335" s="886"/>
      <c r="I335" s="886"/>
      <c r="J335" s="886"/>
      <c r="K335" s="886"/>
      <c r="L335" s="886"/>
      <c r="M335" s="886"/>
      <c r="N335" s="886"/>
      <c r="O335" s="886"/>
      <c r="P335" s="886"/>
      <c r="Q335" s="886"/>
      <c r="R335" s="886"/>
      <c r="S335" s="886"/>
      <c r="T335" s="886"/>
      <c r="U335" s="886"/>
      <c r="V335" s="886"/>
      <c r="W335" s="886"/>
      <c r="X335" s="886"/>
    </row>
    <row r="336" spans="3:24">
      <c r="C336" s="942"/>
      <c r="D336" s="943"/>
      <c r="E336" s="886"/>
      <c r="F336" s="886"/>
      <c r="G336" s="886"/>
      <c r="H336" s="886"/>
      <c r="I336" s="886"/>
      <c r="J336" s="886"/>
      <c r="K336" s="886"/>
      <c r="L336" s="886"/>
      <c r="M336" s="886"/>
      <c r="N336" s="886"/>
      <c r="O336" s="886"/>
      <c r="P336" s="886"/>
      <c r="Q336" s="886"/>
      <c r="R336" s="886"/>
      <c r="S336" s="886"/>
      <c r="T336" s="886"/>
      <c r="U336" s="886"/>
      <c r="V336" s="886"/>
      <c r="W336" s="886"/>
      <c r="X336" s="886"/>
    </row>
    <row r="337" spans="3:24">
      <c r="C337" s="942"/>
      <c r="D337" s="943"/>
      <c r="E337" s="886"/>
      <c r="F337" s="886"/>
      <c r="G337" s="886"/>
      <c r="H337" s="886"/>
      <c r="I337" s="886"/>
      <c r="J337" s="886"/>
      <c r="K337" s="886"/>
      <c r="L337" s="886"/>
      <c r="M337" s="886"/>
      <c r="N337" s="886"/>
      <c r="O337" s="886"/>
      <c r="P337" s="886"/>
      <c r="Q337" s="886"/>
      <c r="R337" s="886"/>
      <c r="S337" s="886"/>
      <c r="T337" s="886"/>
      <c r="U337" s="886"/>
      <c r="V337" s="886"/>
      <c r="W337" s="886"/>
      <c r="X337" s="886"/>
    </row>
    <row r="338" spans="3:24">
      <c r="C338" s="942"/>
      <c r="D338" s="943"/>
      <c r="E338" s="886"/>
      <c r="F338" s="886"/>
      <c r="G338" s="886"/>
      <c r="H338" s="886"/>
      <c r="I338" s="886"/>
      <c r="J338" s="886"/>
      <c r="K338" s="886"/>
      <c r="L338" s="886"/>
      <c r="M338" s="886"/>
      <c r="N338" s="886"/>
      <c r="O338" s="886"/>
      <c r="P338" s="886"/>
      <c r="Q338" s="886"/>
      <c r="R338" s="886"/>
      <c r="S338" s="886"/>
      <c r="T338" s="886"/>
      <c r="U338" s="886"/>
      <c r="V338" s="886"/>
      <c r="W338" s="886"/>
      <c r="X338" s="886"/>
    </row>
    <row r="339" spans="3:24">
      <c r="C339" s="942"/>
      <c r="D339" s="943"/>
      <c r="E339" s="886"/>
      <c r="F339" s="886"/>
      <c r="G339" s="886"/>
      <c r="H339" s="886"/>
      <c r="I339" s="886"/>
      <c r="J339" s="886"/>
      <c r="K339" s="886"/>
      <c r="L339" s="886"/>
      <c r="M339" s="886"/>
      <c r="N339" s="886"/>
      <c r="O339" s="886"/>
      <c r="P339" s="886"/>
      <c r="Q339" s="886"/>
      <c r="R339" s="886"/>
      <c r="S339" s="886"/>
      <c r="T339" s="886"/>
      <c r="U339" s="886"/>
      <c r="V339" s="886"/>
      <c r="W339" s="886"/>
      <c r="X339" s="886"/>
    </row>
    <row r="340" spans="3:24">
      <c r="C340" s="942"/>
      <c r="D340" s="943"/>
      <c r="E340" s="886"/>
      <c r="F340" s="886"/>
      <c r="G340" s="886"/>
      <c r="H340" s="886"/>
      <c r="I340" s="886"/>
      <c r="J340" s="886"/>
      <c r="K340" s="886"/>
      <c r="L340" s="886"/>
      <c r="M340" s="886"/>
      <c r="N340" s="886"/>
      <c r="O340" s="886"/>
      <c r="P340" s="886"/>
      <c r="Q340" s="886"/>
      <c r="R340" s="886"/>
      <c r="S340" s="886"/>
      <c r="T340" s="886"/>
      <c r="U340" s="886"/>
      <c r="V340" s="886"/>
      <c r="W340" s="886"/>
      <c r="X340" s="886"/>
    </row>
    <row r="341" spans="3:24">
      <c r="C341" s="942"/>
      <c r="D341" s="943"/>
      <c r="E341" s="886"/>
      <c r="F341" s="886"/>
      <c r="G341" s="886"/>
      <c r="H341" s="886"/>
      <c r="I341" s="886"/>
      <c r="J341" s="886"/>
      <c r="K341" s="886"/>
      <c r="L341" s="886"/>
      <c r="M341" s="886"/>
      <c r="N341" s="886"/>
      <c r="O341" s="886"/>
      <c r="P341" s="886"/>
      <c r="Q341" s="886"/>
      <c r="R341" s="886"/>
      <c r="S341" s="886"/>
      <c r="T341" s="886"/>
      <c r="U341" s="886"/>
      <c r="V341" s="886"/>
      <c r="W341" s="886"/>
      <c r="X341" s="886"/>
    </row>
    <row r="342" spans="3:24">
      <c r="C342" s="942"/>
      <c r="D342" s="943"/>
      <c r="E342" s="886"/>
      <c r="F342" s="886"/>
      <c r="G342" s="886"/>
      <c r="H342" s="886"/>
      <c r="I342" s="886"/>
      <c r="J342" s="886"/>
      <c r="K342" s="886"/>
      <c r="L342" s="886"/>
      <c r="M342" s="886"/>
      <c r="N342" s="886"/>
      <c r="O342" s="886"/>
      <c r="P342" s="886"/>
      <c r="Q342" s="886"/>
      <c r="R342" s="886"/>
      <c r="S342" s="886"/>
      <c r="T342" s="886"/>
      <c r="U342" s="886"/>
      <c r="V342" s="886"/>
      <c r="W342" s="886"/>
      <c r="X342" s="886"/>
    </row>
    <row r="343" spans="3:24">
      <c r="C343" s="942"/>
      <c r="D343" s="943"/>
      <c r="E343" s="886"/>
      <c r="F343" s="886"/>
      <c r="G343" s="886"/>
      <c r="H343" s="886"/>
      <c r="I343" s="886"/>
      <c r="J343" s="886"/>
      <c r="K343" s="886"/>
      <c r="L343" s="886"/>
      <c r="M343" s="886"/>
      <c r="N343" s="886"/>
      <c r="O343" s="886"/>
      <c r="P343" s="886"/>
      <c r="Q343" s="886"/>
      <c r="R343" s="886"/>
      <c r="S343" s="886"/>
      <c r="T343" s="886"/>
      <c r="U343" s="886"/>
      <c r="V343" s="886"/>
      <c r="W343" s="886"/>
      <c r="X343" s="886"/>
    </row>
    <row r="344" spans="3:24">
      <c r="C344" s="942"/>
      <c r="D344" s="943"/>
      <c r="E344" s="886"/>
      <c r="F344" s="886"/>
      <c r="G344" s="886"/>
      <c r="H344" s="886"/>
      <c r="I344" s="886"/>
      <c r="J344" s="886"/>
      <c r="K344" s="886"/>
      <c r="L344" s="886"/>
      <c r="M344" s="886"/>
      <c r="N344" s="886"/>
      <c r="O344" s="886"/>
      <c r="P344" s="886"/>
      <c r="Q344" s="886"/>
      <c r="R344" s="886"/>
      <c r="S344" s="886"/>
      <c r="T344" s="886"/>
      <c r="U344" s="886"/>
      <c r="V344" s="886"/>
      <c r="W344" s="886"/>
      <c r="X344" s="886"/>
    </row>
    <row r="345" spans="3:24">
      <c r="C345" s="942"/>
      <c r="D345" s="943"/>
      <c r="E345" s="886"/>
      <c r="F345" s="886"/>
      <c r="G345" s="886"/>
      <c r="H345" s="886"/>
      <c r="I345" s="886"/>
      <c r="J345" s="886"/>
      <c r="K345" s="886"/>
      <c r="L345" s="886"/>
      <c r="M345" s="886"/>
      <c r="N345" s="886"/>
      <c r="O345" s="886"/>
      <c r="P345" s="886"/>
      <c r="Q345" s="886"/>
      <c r="R345" s="886"/>
      <c r="S345" s="886"/>
      <c r="T345" s="886"/>
      <c r="U345" s="886"/>
      <c r="V345" s="886"/>
      <c r="W345" s="886"/>
      <c r="X345" s="886"/>
    </row>
    <row r="346" spans="3:24">
      <c r="C346" s="942"/>
      <c r="D346" s="943"/>
      <c r="E346" s="886"/>
      <c r="F346" s="886"/>
      <c r="G346" s="886"/>
      <c r="H346" s="886"/>
      <c r="I346" s="886"/>
      <c r="J346" s="886"/>
      <c r="K346" s="886"/>
      <c r="L346" s="886"/>
      <c r="M346" s="886"/>
      <c r="N346" s="886"/>
      <c r="O346" s="886"/>
      <c r="P346" s="886"/>
      <c r="Q346" s="886"/>
      <c r="R346" s="886"/>
      <c r="S346" s="886"/>
      <c r="T346" s="886"/>
      <c r="U346" s="886"/>
      <c r="V346" s="886"/>
      <c r="W346" s="886"/>
      <c r="X346" s="886"/>
    </row>
    <row r="347" spans="3:24">
      <c r="C347" s="942"/>
      <c r="D347" s="943"/>
      <c r="E347" s="886"/>
      <c r="F347" s="886"/>
      <c r="G347" s="886"/>
      <c r="H347" s="886"/>
      <c r="I347" s="886"/>
      <c r="J347" s="886"/>
      <c r="K347" s="886"/>
      <c r="L347" s="886"/>
      <c r="M347" s="886"/>
      <c r="N347" s="886"/>
      <c r="O347" s="886"/>
      <c r="P347" s="886"/>
      <c r="Q347" s="886"/>
      <c r="R347" s="886"/>
      <c r="S347" s="886"/>
      <c r="T347" s="886"/>
      <c r="U347" s="886"/>
      <c r="V347" s="886"/>
      <c r="W347" s="886"/>
      <c r="X347" s="886"/>
    </row>
    <row r="348" spans="3:24">
      <c r="C348" s="942"/>
      <c r="D348" s="943"/>
      <c r="E348" s="886"/>
      <c r="F348" s="886"/>
      <c r="G348" s="886"/>
      <c r="H348" s="886"/>
      <c r="I348" s="886"/>
      <c r="J348" s="886"/>
      <c r="K348" s="886"/>
      <c r="L348" s="886"/>
      <c r="M348" s="886"/>
      <c r="N348" s="886"/>
      <c r="O348" s="886"/>
      <c r="P348" s="886"/>
      <c r="Q348" s="886"/>
      <c r="R348" s="886"/>
      <c r="S348" s="886"/>
      <c r="T348" s="886"/>
      <c r="U348" s="886"/>
      <c r="V348" s="886"/>
      <c r="W348" s="886"/>
      <c r="X348" s="886"/>
    </row>
    <row r="349" spans="3:24">
      <c r="C349" s="942"/>
      <c r="D349" s="943"/>
      <c r="E349" s="886"/>
      <c r="F349" s="886"/>
      <c r="G349" s="886"/>
      <c r="H349" s="886"/>
      <c r="I349" s="886"/>
      <c r="J349" s="886"/>
      <c r="K349" s="886"/>
      <c r="L349" s="886"/>
      <c r="M349" s="886"/>
      <c r="N349" s="886"/>
      <c r="O349" s="886"/>
      <c r="P349" s="886"/>
      <c r="Q349" s="886"/>
      <c r="R349" s="886"/>
      <c r="S349" s="886"/>
      <c r="T349" s="886"/>
      <c r="U349" s="886"/>
      <c r="V349" s="886"/>
      <c r="W349" s="886"/>
      <c r="X349" s="886"/>
    </row>
    <row r="350" spans="3:24">
      <c r="C350" s="942"/>
      <c r="D350" s="943"/>
      <c r="E350" s="886"/>
      <c r="F350" s="886"/>
      <c r="G350" s="886"/>
      <c r="H350" s="886"/>
      <c r="I350" s="886"/>
      <c r="J350" s="886"/>
      <c r="K350" s="886"/>
      <c r="L350" s="886"/>
      <c r="M350" s="886"/>
      <c r="N350" s="886"/>
      <c r="O350" s="886"/>
      <c r="P350" s="886"/>
      <c r="Q350" s="886"/>
      <c r="R350" s="886"/>
      <c r="S350" s="886"/>
      <c r="T350" s="886"/>
      <c r="U350" s="886"/>
      <c r="V350" s="886"/>
      <c r="W350" s="886"/>
      <c r="X350" s="886"/>
    </row>
    <row r="351" spans="3:24">
      <c r="C351" s="942"/>
      <c r="D351" s="943"/>
      <c r="E351" s="886"/>
      <c r="F351" s="886"/>
      <c r="G351" s="886"/>
      <c r="H351" s="886"/>
      <c r="I351" s="886"/>
      <c r="J351" s="886"/>
      <c r="K351" s="886"/>
      <c r="L351" s="886"/>
      <c r="M351" s="886"/>
      <c r="N351" s="886"/>
      <c r="O351" s="886"/>
      <c r="P351" s="886"/>
      <c r="Q351" s="886"/>
      <c r="R351" s="886"/>
      <c r="S351" s="886"/>
      <c r="T351" s="886"/>
      <c r="U351" s="886"/>
      <c r="V351" s="886"/>
      <c r="W351" s="886"/>
      <c r="X351" s="886"/>
    </row>
    <row r="352" spans="3:24">
      <c r="C352" s="942"/>
      <c r="D352" s="943"/>
      <c r="E352" s="886"/>
      <c r="F352" s="886"/>
      <c r="G352" s="886"/>
      <c r="H352" s="886"/>
      <c r="I352" s="886"/>
      <c r="J352" s="886"/>
      <c r="K352" s="886"/>
      <c r="L352" s="886"/>
      <c r="M352" s="886"/>
      <c r="N352" s="886"/>
      <c r="O352" s="886"/>
      <c r="P352" s="886"/>
      <c r="Q352" s="886"/>
      <c r="R352" s="886"/>
      <c r="S352" s="886"/>
      <c r="T352" s="886"/>
      <c r="U352" s="886"/>
      <c r="V352" s="886"/>
      <c r="W352" s="886"/>
      <c r="X352" s="886"/>
    </row>
    <row r="353" spans="3:24">
      <c r="C353" s="942"/>
      <c r="D353" s="943"/>
      <c r="E353" s="886"/>
      <c r="F353" s="886"/>
      <c r="G353" s="886"/>
      <c r="H353" s="886"/>
      <c r="I353" s="886"/>
      <c r="J353" s="886"/>
      <c r="K353" s="886"/>
      <c r="L353" s="886"/>
      <c r="M353" s="886"/>
      <c r="N353" s="886"/>
      <c r="O353" s="886"/>
      <c r="P353" s="886"/>
      <c r="Q353" s="886"/>
      <c r="R353" s="886"/>
      <c r="S353" s="886"/>
      <c r="T353" s="886"/>
      <c r="U353" s="886"/>
      <c r="V353" s="886"/>
      <c r="W353" s="886"/>
      <c r="X353" s="886"/>
    </row>
    <row r="354" spans="3:24">
      <c r="C354" s="942"/>
      <c r="D354" s="943"/>
      <c r="E354" s="886"/>
      <c r="F354" s="886"/>
      <c r="G354" s="886"/>
      <c r="H354" s="886"/>
      <c r="I354" s="886"/>
      <c r="J354" s="886"/>
      <c r="K354" s="886"/>
      <c r="L354" s="886"/>
      <c r="M354" s="886"/>
      <c r="N354" s="886"/>
      <c r="O354" s="886"/>
      <c r="P354" s="886"/>
      <c r="Q354" s="886"/>
      <c r="R354" s="886"/>
      <c r="S354" s="886"/>
      <c r="T354" s="886"/>
      <c r="U354" s="886"/>
      <c r="V354" s="886"/>
      <c r="W354" s="886"/>
      <c r="X354" s="886"/>
    </row>
    <row r="355" spans="3:24">
      <c r="C355" s="942"/>
      <c r="D355" s="943"/>
      <c r="E355" s="886"/>
      <c r="F355" s="886"/>
      <c r="G355" s="886"/>
      <c r="H355" s="886"/>
      <c r="I355" s="886"/>
      <c r="J355" s="886"/>
      <c r="K355" s="886"/>
      <c r="L355" s="886"/>
      <c r="M355" s="886"/>
      <c r="N355" s="886"/>
      <c r="O355" s="886"/>
      <c r="P355" s="886"/>
      <c r="Q355" s="886"/>
      <c r="R355" s="886"/>
      <c r="S355" s="886"/>
      <c r="T355" s="886"/>
      <c r="U355" s="886"/>
      <c r="V355" s="886"/>
      <c r="W355" s="886"/>
      <c r="X355" s="886"/>
    </row>
    <row r="356" spans="3:24">
      <c r="C356" s="942"/>
      <c r="D356" s="943"/>
      <c r="E356" s="886"/>
      <c r="F356" s="886"/>
      <c r="G356" s="886"/>
      <c r="H356" s="886"/>
      <c r="I356" s="886"/>
      <c r="J356" s="886"/>
      <c r="K356" s="886"/>
      <c r="L356" s="886"/>
      <c r="M356" s="886"/>
      <c r="N356" s="886"/>
      <c r="O356" s="886"/>
      <c r="P356" s="886"/>
      <c r="Q356" s="886"/>
      <c r="R356" s="886"/>
      <c r="S356" s="886"/>
      <c r="T356" s="886"/>
      <c r="U356" s="886"/>
      <c r="V356" s="886"/>
      <c r="W356" s="886"/>
      <c r="X356" s="886"/>
    </row>
    <row r="357" spans="3:24">
      <c r="C357" s="942"/>
      <c r="D357" s="943"/>
      <c r="E357" s="886"/>
      <c r="F357" s="886"/>
      <c r="G357" s="886"/>
      <c r="H357" s="886"/>
      <c r="I357" s="886"/>
      <c r="J357" s="886"/>
      <c r="K357" s="886"/>
      <c r="L357" s="886"/>
      <c r="M357" s="886"/>
      <c r="N357" s="886"/>
      <c r="O357" s="886"/>
      <c r="P357" s="886"/>
      <c r="Q357" s="886"/>
      <c r="R357" s="886"/>
      <c r="S357" s="886"/>
      <c r="T357" s="886"/>
      <c r="U357" s="886"/>
      <c r="V357" s="886"/>
      <c r="W357" s="886"/>
      <c r="X357" s="886"/>
    </row>
    <row r="358" spans="3:24">
      <c r="C358" s="942"/>
      <c r="D358" s="943"/>
      <c r="E358" s="886"/>
      <c r="F358" s="886"/>
      <c r="G358" s="886"/>
      <c r="H358" s="886"/>
      <c r="I358" s="886"/>
      <c r="J358" s="886"/>
      <c r="K358" s="886"/>
      <c r="L358" s="886"/>
      <c r="M358" s="886"/>
      <c r="N358" s="886"/>
      <c r="O358" s="886"/>
      <c r="P358" s="886"/>
      <c r="Q358" s="886"/>
      <c r="R358" s="886"/>
      <c r="S358" s="886"/>
      <c r="T358" s="886"/>
      <c r="U358" s="886"/>
      <c r="V358" s="886"/>
      <c r="W358" s="886"/>
      <c r="X358" s="886"/>
    </row>
    <row r="359" spans="3:24">
      <c r="C359" s="942"/>
      <c r="D359" s="943"/>
      <c r="E359" s="886"/>
      <c r="F359" s="886"/>
      <c r="G359" s="886"/>
      <c r="H359" s="886"/>
      <c r="I359" s="886"/>
      <c r="J359" s="886"/>
      <c r="K359" s="886"/>
      <c r="L359" s="886"/>
      <c r="M359" s="886"/>
      <c r="N359" s="886"/>
      <c r="O359" s="886"/>
      <c r="P359" s="886"/>
      <c r="Q359" s="886"/>
      <c r="R359" s="886"/>
      <c r="S359" s="886"/>
      <c r="T359" s="886"/>
      <c r="U359" s="886"/>
      <c r="V359" s="886"/>
      <c r="W359" s="886"/>
      <c r="X359" s="886"/>
    </row>
    <row r="360" spans="3:24">
      <c r="C360" s="942"/>
      <c r="D360" s="943"/>
      <c r="E360" s="886"/>
      <c r="F360" s="886"/>
      <c r="G360" s="886"/>
      <c r="H360" s="886"/>
      <c r="I360" s="886"/>
      <c r="J360" s="886"/>
      <c r="K360" s="886"/>
      <c r="L360" s="886"/>
      <c r="M360" s="886"/>
      <c r="N360" s="886"/>
      <c r="O360" s="886"/>
      <c r="P360" s="886"/>
      <c r="Q360" s="886"/>
      <c r="R360" s="886"/>
      <c r="S360" s="886"/>
      <c r="T360" s="886"/>
      <c r="U360" s="886"/>
      <c r="V360" s="886"/>
      <c r="W360" s="886"/>
      <c r="X360" s="886"/>
    </row>
    <row r="361" spans="3:24">
      <c r="C361" s="942"/>
      <c r="D361" s="943"/>
      <c r="E361" s="886"/>
      <c r="F361" s="886"/>
      <c r="G361" s="886"/>
      <c r="H361" s="886"/>
      <c r="I361" s="886"/>
      <c r="J361" s="886"/>
      <c r="K361" s="886"/>
      <c r="L361" s="886"/>
      <c r="M361" s="886"/>
      <c r="N361" s="886"/>
      <c r="O361" s="886"/>
      <c r="P361" s="886"/>
      <c r="Q361" s="886"/>
      <c r="R361" s="886"/>
      <c r="S361" s="886"/>
      <c r="T361" s="886"/>
      <c r="U361" s="886"/>
      <c r="V361" s="886"/>
      <c r="W361" s="886"/>
      <c r="X361" s="886"/>
    </row>
    <row r="362" spans="3:24">
      <c r="C362" s="942"/>
      <c r="D362" s="943"/>
      <c r="E362" s="886"/>
      <c r="F362" s="886"/>
      <c r="G362" s="886"/>
      <c r="H362" s="886"/>
      <c r="I362" s="886"/>
      <c r="J362" s="886"/>
      <c r="K362" s="886"/>
      <c r="L362" s="886"/>
      <c r="M362" s="886"/>
      <c r="N362" s="886"/>
      <c r="O362" s="886"/>
      <c r="P362" s="886"/>
      <c r="Q362" s="886"/>
      <c r="R362" s="886"/>
      <c r="S362" s="886"/>
      <c r="T362" s="886"/>
      <c r="U362" s="886"/>
      <c r="V362" s="886"/>
      <c r="W362" s="886"/>
      <c r="X362" s="886"/>
    </row>
    <row r="363" spans="3:24">
      <c r="C363" s="942"/>
      <c r="D363" s="943"/>
      <c r="E363" s="886"/>
      <c r="F363" s="886"/>
      <c r="G363" s="886"/>
      <c r="H363" s="886"/>
      <c r="I363" s="886"/>
      <c r="J363" s="886"/>
      <c r="K363" s="886"/>
      <c r="L363" s="886"/>
      <c r="M363" s="886"/>
      <c r="N363" s="886"/>
      <c r="O363" s="886"/>
      <c r="P363" s="886"/>
      <c r="Q363" s="886"/>
      <c r="R363" s="886"/>
      <c r="S363" s="886"/>
      <c r="T363" s="886"/>
      <c r="U363" s="886"/>
      <c r="V363" s="886"/>
      <c r="W363" s="886"/>
      <c r="X363" s="886"/>
    </row>
    <row r="364" spans="3:24">
      <c r="C364" s="942"/>
      <c r="D364" s="943"/>
      <c r="E364" s="886"/>
      <c r="F364" s="886"/>
      <c r="G364" s="886"/>
      <c r="H364" s="886"/>
      <c r="I364" s="886"/>
      <c r="J364" s="886"/>
      <c r="K364" s="886"/>
      <c r="L364" s="886"/>
      <c r="M364" s="886"/>
      <c r="N364" s="886"/>
      <c r="O364" s="886"/>
      <c r="P364" s="886"/>
      <c r="Q364" s="886"/>
      <c r="R364" s="886"/>
      <c r="S364" s="886"/>
      <c r="T364" s="886"/>
      <c r="U364" s="886"/>
      <c r="V364" s="886"/>
      <c r="W364" s="886"/>
      <c r="X364" s="886"/>
    </row>
    <row r="365" spans="3:24">
      <c r="C365" s="942"/>
      <c r="D365" s="943"/>
      <c r="E365" s="886"/>
      <c r="F365" s="886"/>
      <c r="G365" s="886"/>
      <c r="H365" s="886"/>
      <c r="I365" s="886"/>
      <c r="J365" s="886"/>
      <c r="K365" s="886"/>
      <c r="L365" s="886"/>
      <c r="M365" s="886"/>
      <c r="N365" s="886"/>
      <c r="O365" s="886"/>
      <c r="P365" s="886"/>
      <c r="Q365" s="886"/>
      <c r="R365" s="886"/>
      <c r="S365" s="886"/>
      <c r="T365" s="886"/>
      <c r="U365" s="886"/>
      <c r="V365" s="886"/>
      <c r="W365" s="886"/>
      <c r="X365" s="886"/>
    </row>
    <row r="366" spans="3:24">
      <c r="C366" s="942"/>
      <c r="D366" s="943"/>
      <c r="E366" s="886"/>
      <c r="F366" s="886"/>
      <c r="G366" s="886"/>
      <c r="H366" s="886"/>
      <c r="I366" s="886"/>
      <c r="J366" s="886"/>
      <c r="K366" s="886"/>
      <c r="L366" s="886"/>
      <c r="M366" s="886"/>
      <c r="N366" s="886"/>
      <c r="O366" s="886"/>
      <c r="P366" s="886"/>
      <c r="Q366" s="886"/>
      <c r="R366" s="886"/>
      <c r="S366" s="886"/>
      <c r="T366" s="886"/>
      <c r="U366" s="886"/>
      <c r="V366" s="886"/>
      <c r="W366" s="886"/>
      <c r="X366" s="886"/>
    </row>
    <row r="367" spans="3:24">
      <c r="C367" s="942"/>
      <c r="D367" s="943"/>
      <c r="E367" s="886"/>
      <c r="F367" s="886"/>
      <c r="G367" s="886"/>
      <c r="H367" s="886"/>
      <c r="I367" s="886"/>
      <c r="J367" s="886"/>
      <c r="K367" s="886"/>
      <c r="L367" s="886"/>
      <c r="M367" s="886"/>
      <c r="N367" s="886"/>
      <c r="O367" s="886"/>
      <c r="P367" s="886"/>
      <c r="Q367" s="886"/>
      <c r="R367" s="886"/>
      <c r="S367" s="886"/>
      <c r="T367" s="886"/>
      <c r="U367" s="886"/>
      <c r="V367" s="886"/>
      <c r="W367" s="886"/>
      <c r="X367" s="886"/>
    </row>
    <row r="368" spans="3:24">
      <c r="C368" s="942"/>
      <c r="D368" s="943"/>
      <c r="E368" s="886"/>
      <c r="F368" s="886"/>
      <c r="G368" s="886"/>
      <c r="H368" s="886"/>
      <c r="I368" s="886"/>
      <c r="J368" s="886"/>
      <c r="K368" s="886"/>
      <c r="L368" s="886"/>
      <c r="M368" s="886"/>
      <c r="N368" s="886"/>
      <c r="O368" s="886"/>
      <c r="P368" s="886"/>
      <c r="Q368" s="886"/>
      <c r="R368" s="886"/>
      <c r="S368" s="886"/>
      <c r="T368" s="886"/>
      <c r="U368" s="886"/>
      <c r="V368" s="886"/>
      <c r="W368" s="886"/>
      <c r="X368" s="886"/>
    </row>
    <row r="369" spans="3:24">
      <c r="C369" s="942"/>
      <c r="D369" s="943"/>
      <c r="E369" s="886"/>
      <c r="F369" s="886"/>
      <c r="G369" s="886"/>
      <c r="H369" s="886"/>
      <c r="I369" s="886"/>
      <c r="J369" s="886"/>
      <c r="K369" s="886"/>
      <c r="L369" s="886"/>
      <c r="M369" s="886"/>
      <c r="N369" s="886"/>
      <c r="O369" s="886"/>
      <c r="P369" s="886"/>
      <c r="Q369" s="886"/>
      <c r="R369" s="886"/>
      <c r="S369" s="886"/>
      <c r="T369" s="886"/>
      <c r="U369" s="886"/>
      <c r="V369" s="886"/>
      <c r="W369" s="886"/>
      <c r="X369" s="886"/>
    </row>
    <row r="370" spans="3:24">
      <c r="C370" s="942"/>
      <c r="D370" s="943"/>
      <c r="E370" s="886"/>
      <c r="F370" s="886"/>
      <c r="G370" s="886"/>
      <c r="H370" s="886"/>
      <c r="I370" s="886"/>
      <c r="J370" s="886"/>
      <c r="K370" s="886"/>
      <c r="L370" s="886"/>
      <c r="M370" s="886"/>
      <c r="N370" s="886"/>
      <c r="O370" s="886"/>
      <c r="P370" s="886"/>
      <c r="Q370" s="886"/>
      <c r="R370" s="886"/>
      <c r="S370" s="886"/>
      <c r="T370" s="886"/>
      <c r="U370" s="886"/>
      <c r="V370" s="886"/>
      <c r="W370" s="886"/>
      <c r="X370" s="886"/>
    </row>
    <row r="371" spans="3:24">
      <c r="C371" s="942"/>
      <c r="D371" s="943"/>
      <c r="E371" s="886"/>
      <c r="F371" s="886"/>
      <c r="G371" s="886"/>
      <c r="H371" s="886"/>
      <c r="I371" s="886"/>
      <c r="J371" s="886"/>
      <c r="K371" s="886"/>
      <c r="L371" s="886"/>
      <c r="M371" s="886"/>
      <c r="N371" s="886"/>
      <c r="O371" s="886"/>
      <c r="P371" s="886"/>
      <c r="Q371" s="886"/>
      <c r="R371" s="886"/>
      <c r="S371" s="886"/>
      <c r="T371" s="886"/>
      <c r="U371" s="886"/>
      <c r="V371" s="886"/>
      <c r="W371" s="886"/>
      <c r="X371" s="886"/>
    </row>
    <row r="372" spans="3:24">
      <c r="C372" s="942"/>
      <c r="D372" s="943"/>
      <c r="E372" s="886"/>
      <c r="F372" s="886"/>
      <c r="G372" s="886"/>
      <c r="H372" s="886"/>
      <c r="I372" s="886"/>
      <c r="J372" s="886"/>
      <c r="K372" s="886"/>
      <c r="L372" s="886"/>
      <c r="M372" s="886"/>
      <c r="N372" s="886"/>
      <c r="O372" s="886"/>
      <c r="P372" s="886"/>
      <c r="Q372" s="886"/>
      <c r="R372" s="886"/>
      <c r="S372" s="886"/>
      <c r="T372" s="886"/>
      <c r="U372" s="886"/>
      <c r="V372" s="886"/>
      <c r="W372" s="886"/>
      <c r="X372" s="886"/>
    </row>
    <row r="373" spans="3:24">
      <c r="C373" s="942"/>
      <c r="D373" s="943"/>
      <c r="E373" s="886"/>
      <c r="F373" s="886"/>
      <c r="G373" s="886"/>
      <c r="H373" s="886"/>
      <c r="I373" s="886"/>
      <c r="J373" s="886"/>
      <c r="K373" s="886"/>
      <c r="L373" s="886"/>
      <c r="M373" s="886"/>
      <c r="N373" s="886"/>
      <c r="O373" s="886"/>
      <c r="P373" s="886"/>
      <c r="Q373" s="886"/>
      <c r="R373" s="886"/>
      <c r="S373" s="886"/>
      <c r="T373" s="886"/>
      <c r="U373" s="886"/>
      <c r="V373" s="886"/>
      <c r="W373" s="886"/>
      <c r="X373" s="886"/>
    </row>
    <row r="374" spans="3:24">
      <c r="C374" s="942"/>
      <c r="D374" s="943"/>
      <c r="E374" s="886"/>
      <c r="F374" s="886"/>
      <c r="G374" s="886"/>
      <c r="H374" s="886"/>
      <c r="I374" s="886"/>
      <c r="J374" s="886"/>
      <c r="K374" s="886"/>
      <c r="L374" s="886"/>
      <c r="M374" s="886"/>
      <c r="N374" s="886"/>
      <c r="O374" s="886"/>
      <c r="P374" s="886"/>
      <c r="Q374" s="886"/>
      <c r="R374" s="886"/>
      <c r="S374" s="886"/>
      <c r="T374" s="886"/>
      <c r="U374" s="886"/>
      <c r="V374" s="886"/>
      <c r="W374" s="886"/>
      <c r="X374" s="886"/>
    </row>
    <row r="375" spans="3:24">
      <c r="C375" s="942"/>
      <c r="D375" s="943"/>
      <c r="E375" s="886"/>
      <c r="F375" s="886"/>
      <c r="G375" s="886"/>
      <c r="H375" s="886"/>
      <c r="I375" s="886"/>
      <c r="J375" s="886"/>
      <c r="K375" s="886"/>
      <c r="L375" s="886"/>
      <c r="M375" s="886"/>
      <c r="N375" s="886"/>
      <c r="O375" s="886"/>
      <c r="P375" s="886"/>
      <c r="Q375" s="886"/>
      <c r="R375" s="886"/>
      <c r="S375" s="886"/>
      <c r="T375" s="886"/>
      <c r="U375" s="886"/>
      <c r="V375" s="886"/>
      <c r="W375" s="886"/>
      <c r="X375" s="886"/>
    </row>
    <row r="376" spans="3:24">
      <c r="C376" s="942"/>
      <c r="D376" s="943"/>
      <c r="E376" s="886"/>
      <c r="F376" s="886"/>
      <c r="G376" s="886"/>
      <c r="H376" s="886"/>
      <c r="I376" s="886"/>
      <c r="J376" s="886"/>
      <c r="K376" s="886"/>
      <c r="L376" s="886"/>
      <c r="M376" s="886"/>
      <c r="N376" s="886"/>
      <c r="O376" s="886"/>
      <c r="P376" s="886"/>
      <c r="Q376" s="886"/>
      <c r="R376" s="886"/>
      <c r="S376" s="886"/>
      <c r="T376" s="886"/>
      <c r="U376" s="886"/>
      <c r="V376" s="886"/>
      <c r="W376" s="886"/>
      <c r="X376" s="886"/>
    </row>
    <row r="377" spans="3:24">
      <c r="C377" s="942"/>
      <c r="D377" s="943"/>
      <c r="E377" s="886"/>
      <c r="F377" s="886"/>
      <c r="G377" s="886"/>
      <c r="H377" s="886"/>
      <c r="I377" s="886"/>
      <c r="J377" s="886"/>
      <c r="K377" s="886"/>
      <c r="L377" s="886"/>
      <c r="M377" s="886"/>
      <c r="N377" s="886"/>
      <c r="O377" s="886"/>
      <c r="P377" s="886"/>
      <c r="Q377" s="886"/>
      <c r="R377" s="886"/>
      <c r="S377" s="886"/>
      <c r="T377" s="886"/>
      <c r="U377" s="886"/>
      <c r="V377" s="886"/>
      <c r="W377" s="886"/>
      <c r="X377" s="886"/>
    </row>
    <row r="378" spans="3:24">
      <c r="C378" s="942"/>
      <c r="D378" s="943"/>
      <c r="E378" s="886"/>
      <c r="F378" s="886"/>
      <c r="G378" s="886"/>
      <c r="H378" s="886"/>
      <c r="I378" s="886"/>
      <c r="J378" s="886"/>
      <c r="K378" s="886"/>
      <c r="L378" s="886"/>
      <c r="M378" s="886"/>
      <c r="N378" s="886"/>
      <c r="O378" s="886"/>
      <c r="P378" s="886"/>
      <c r="Q378" s="886"/>
      <c r="R378" s="886"/>
      <c r="S378" s="886"/>
      <c r="T378" s="886"/>
      <c r="U378" s="886"/>
      <c r="V378" s="886"/>
      <c r="W378" s="886"/>
      <c r="X378" s="886"/>
    </row>
    <row r="379" spans="3:24">
      <c r="C379" s="942"/>
      <c r="D379" s="943"/>
      <c r="E379" s="886"/>
      <c r="F379" s="886"/>
      <c r="G379" s="886"/>
      <c r="H379" s="886"/>
      <c r="I379" s="886"/>
      <c r="J379" s="886"/>
      <c r="K379" s="886"/>
      <c r="L379" s="886"/>
      <c r="M379" s="886"/>
      <c r="N379" s="886"/>
      <c r="O379" s="886"/>
      <c r="P379" s="886"/>
      <c r="Q379" s="886"/>
      <c r="R379" s="886"/>
      <c r="S379" s="886"/>
      <c r="T379" s="886"/>
      <c r="U379" s="886"/>
      <c r="V379" s="886"/>
      <c r="W379" s="886"/>
      <c r="X379" s="886"/>
    </row>
    <row r="380" spans="3:24">
      <c r="C380" s="942"/>
      <c r="D380" s="943"/>
      <c r="E380" s="886"/>
      <c r="F380" s="886"/>
      <c r="G380" s="886"/>
      <c r="H380" s="886"/>
      <c r="I380" s="886"/>
      <c r="J380" s="886"/>
      <c r="K380" s="886"/>
      <c r="L380" s="886"/>
      <c r="M380" s="886"/>
      <c r="N380" s="886"/>
      <c r="O380" s="886"/>
      <c r="P380" s="886"/>
      <c r="Q380" s="886"/>
      <c r="R380" s="886"/>
      <c r="S380" s="886"/>
      <c r="T380" s="886"/>
      <c r="U380" s="886"/>
      <c r="V380" s="886"/>
      <c r="W380" s="886"/>
      <c r="X380" s="886"/>
    </row>
    <row r="381" spans="3:24">
      <c r="C381" s="942"/>
      <c r="D381" s="943"/>
      <c r="E381" s="886"/>
      <c r="F381" s="886"/>
      <c r="G381" s="886"/>
      <c r="H381" s="886"/>
      <c r="I381" s="886"/>
      <c r="J381" s="886"/>
      <c r="K381" s="886"/>
      <c r="L381" s="886"/>
      <c r="M381" s="886"/>
      <c r="N381" s="886"/>
      <c r="O381" s="886"/>
      <c r="P381" s="886"/>
      <c r="Q381" s="886"/>
      <c r="R381" s="886"/>
      <c r="S381" s="886"/>
      <c r="T381" s="886"/>
      <c r="U381" s="886"/>
      <c r="V381" s="886"/>
      <c r="W381" s="886"/>
      <c r="X381" s="886"/>
    </row>
    <row r="382" spans="3:24">
      <c r="C382" s="942"/>
      <c r="D382" s="943"/>
      <c r="E382" s="886"/>
      <c r="F382" s="886"/>
      <c r="G382" s="886"/>
      <c r="H382" s="886"/>
      <c r="I382" s="886"/>
      <c r="J382" s="886"/>
      <c r="K382" s="886"/>
      <c r="L382" s="886"/>
      <c r="M382" s="886"/>
      <c r="N382" s="886"/>
      <c r="O382" s="886"/>
      <c r="P382" s="886"/>
      <c r="Q382" s="886"/>
      <c r="R382" s="886"/>
      <c r="S382" s="886"/>
      <c r="T382" s="886"/>
      <c r="U382" s="886"/>
      <c r="V382" s="886"/>
      <c r="W382" s="886"/>
      <c r="X382" s="886"/>
    </row>
    <row r="383" spans="3:24">
      <c r="C383" s="942"/>
      <c r="D383" s="943"/>
      <c r="E383" s="886"/>
      <c r="F383" s="886"/>
      <c r="G383" s="886"/>
      <c r="H383" s="886"/>
      <c r="I383" s="886"/>
      <c r="J383" s="886"/>
      <c r="K383" s="886"/>
      <c r="L383" s="886"/>
      <c r="M383" s="886"/>
      <c r="N383" s="886"/>
      <c r="O383" s="886"/>
      <c r="P383" s="886"/>
      <c r="Q383" s="886"/>
      <c r="R383" s="886"/>
      <c r="S383" s="886"/>
      <c r="T383" s="886"/>
      <c r="U383" s="886"/>
      <c r="V383" s="886"/>
      <c r="W383" s="886"/>
      <c r="X383" s="886"/>
    </row>
    <row r="384" spans="3:24">
      <c r="C384" s="942"/>
      <c r="D384" s="943"/>
      <c r="E384" s="886"/>
      <c r="F384" s="886"/>
      <c r="G384" s="886"/>
      <c r="H384" s="886"/>
      <c r="I384" s="886"/>
      <c r="J384" s="886"/>
      <c r="K384" s="886"/>
      <c r="L384" s="886"/>
      <c r="M384" s="886"/>
      <c r="N384" s="886"/>
      <c r="O384" s="886"/>
      <c r="P384" s="886"/>
      <c r="Q384" s="886"/>
      <c r="R384" s="886"/>
      <c r="S384" s="886"/>
      <c r="T384" s="886"/>
      <c r="U384" s="886"/>
      <c r="V384" s="886"/>
      <c r="W384" s="886"/>
      <c r="X384" s="886"/>
    </row>
    <row r="385" spans="3:24">
      <c r="C385" s="942"/>
      <c r="D385" s="943"/>
      <c r="E385" s="886"/>
      <c r="F385" s="886"/>
      <c r="G385" s="886"/>
      <c r="H385" s="886"/>
      <c r="I385" s="886"/>
      <c r="J385" s="886"/>
      <c r="K385" s="886"/>
      <c r="L385" s="886"/>
      <c r="M385" s="886"/>
      <c r="N385" s="886"/>
      <c r="O385" s="886"/>
      <c r="P385" s="886"/>
      <c r="Q385" s="886"/>
      <c r="R385" s="886"/>
      <c r="S385" s="886"/>
      <c r="T385" s="886"/>
      <c r="U385" s="886"/>
      <c r="V385" s="886"/>
      <c r="W385" s="886"/>
      <c r="X385" s="886"/>
    </row>
    <row r="386" spans="3:24">
      <c r="C386" s="942"/>
      <c r="D386" s="943"/>
      <c r="E386" s="886"/>
      <c r="F386" s="886"/>
      <c r="G386" s="886"/>
      <c r="H386" s="886"/>
      <c r="I386" s="886"/>
      <c r="J386" s="886"/>
      <c r="K386" s="886"/>
      <c r="L386" s="886"/>
      <c r="M386" s="886"/>
      <c r="N386" s="886"/>
      <c r="O386" s="886"/>
      <c r="P386" s="886"/>
      <c r="Q386" s="886"/>
      <c r="R386" s="886"/>
      <c r="S386" s="886"/>
      <c r="T386" s="886"/>
      <c r="U386" s="886"/>
      <c r="V386" s="886"/>
      <c r="W386" s="886"/>
      <c r="X386" s="886"/>
    </row>
    <row r="387" spans="3:24">
      <c r="C387" s="942"/>
      <c r="D387" s="943"/>
      <c r="E387" s="886"/>
      <c r="F387" s="886"/>
      <c r="G387" s="886"/>
      <c r="H387" s="886"/>
      <c r="I387" s="886"/>
      <c r="J387" s="886"/>
      <c r="K387" s="886"/>
      <c r="L387" s="886"/>
      <c r="M387" s="886"/>
      <c r="N387" s="886"/>
      <c r="O387" s="886"/>
      <c r="P387" s="886"/>
      <c r="Q387" s="886"/>
      <c r="R387" s="886"/>
      <c r="S387" s="886"/>
      <c r="T387" s="886"/>
      <c r="U387" s="886"/>
      <c r="V387" s="886"/>
      <c r="W387" s="886"/>
      <c r="X387" s="886"/>
    </row>
    <row r="388" spans="3:24">
      <c r="C388" s="942"/>
      <c r="D388" s="943"/>
      <c r="E388" s="886"/>
      <c r="F388" s="886"/>
      <c r="G388" s="886"/>
      <c r="H388" s="886"/>
      <c r="I388" s="886"/>
      <c r="J388" s="886"/>
      <c r="K388" s="886"/>
      <c r="L388" s="886"/>
      <c r="M388" s="886"/>
      <c r="N388" s="886"/>
      <c r="O388" s="886"/>
      <c r="P388" s="886"/>
      <c r="Q388" s="886"/>
      <c r="R388" s="886"/>
      <c r="S388" s="886"/>
      <c r="T388" s="886"/>
      <c r="U388" s="886"/>
      <c r="V388" s="886"/>
      <c r="W388" s="886"/>
      <c r="X388" s="886"/>
    </row>
    <row r="389" spans="3:24">
      <c r="C389" s="942"/>
      <c r="D389" s="943"/>
      <c r="E389" s="886"/>
      <c r="F389" s="886"/>
      <c r="G389" s="886"/>
      <c r="H389" s="886"/>
      <c r="I389" s="886"/>
      <c r="J389" s="886"/>
      <c r="K389" s="886"/>
      <c r="L389" s="886"/>
      <c r="M389" s="886"/>
      <c r="N389" s="886"/>
      <c r="O389" s="886"/>
      <c r="P389" s="886"/>
      <c r="Q389" s="886"/>
      <c r="R389" s="886"/>
      <c r="S389" s="886"/>
      <c r="T389" s="886"/>
      <c r="U389" s="886"/>
      <c r="V389" s="886"/>
      <c r="W389" s="886"/>
      <c r="X389" s="886"/>
    </row>
    <row r="390" spans="3:24">
      <c r="C390" s="942"/>
      <c r="D390" s="943"/>
      <c r="E390" s="886"/>
      <c r="F390" s="886"/>
      <c r="G390" s="886"/>
      <c r="H390" s="886"/>
      <c r="I390" s="886"/>
      <c r="J390" s="886"/>
      <c r="K390" s="886"/>
      <c r="L390" s="886"/>
      <c r="M390" s="886"/>
      <c r="N390" s="886"/>
      <c r="O390" s="886"/>
      <c r="P390" s="886"/>
      <c r="Q390" s="886"/>
      <c r="R390" s="886"/>
      <c r="S390" s="886"/>
      <c r="T390" s="886"/>
      <c r="U390" s="886"/>
      <c r="V390" s="886"/>
      <c r="W390" s="886"/>
      <c r="X390" s="886"/>
    </row>
    <row r="391" spans="3:24">
      <c r="C391" s="942"/>
      <c r="D391" s="943"/>
      <c r="E391" s="886"/>
      <c r="F391" s="886"/>
      <c r="G391" s="886"/>
      <c r="H391" s="886"/>
      <c r="I391" s="886"/>
      <c r="J391" s="886"/>
      <c r="K391" s="886"/>
      <c r="L391" s="886"/>
      <c r="M391" s="886"/>
      <c r="N391" s="886"/>
      <c r="O391" s="886"/>
      <c r="P391" s="886"/>
      <c r="Q391" s="886"/>
      <c r="R391" s="886"/>
      <c r="S391" s="886"/>
      <c r="T391" s="886"/>
      <c r="U391" s="886"/>
      <c r="V391" s="886"/>
      <c r="W391" s="886"/>
      <c r="X391" s="886"/>
    </row>
    <row r="392" spans="3:24">
      <c r="C392" s="942"/>
      <c r="D392" s="943"/>
      <c r="E392" s="886"/>
      <c r="F392" s="886"/>
      <c r="G392" s="886"/>
      <c r="H392" s="886"/>
      <c r="I392" s="886"/>
      <c r="J392" s="886"/>
      <c r="K392" s="886"/>
      <c r="L392" s="886"/>
      <c r="M392" s="886"/>
      <c r="N392" s="886"/>
      <c r="O392" s="886"/>
      <c r="P392" s="886"/>
      <c r="Q392" s="886"/>
      <c r="R392" s="886"/>
      <c r="S392" s="886"/>
      <c r="T392" s="886"/>
      <c r="U392" s="886"/>
      <c r="V392" s="886"/>
      <c r="W392" s="886"/>
      <c r="X392" s="886"/>
    </row>
    <row r="393" spans="3:24">
      <c r="C393" s="942"/>
      <c r="D393" s="943"/>
      <c r="E393" s="886"/>
      <c r="F393" s="886"/>
      <c r="G393" s="886"/>
      <c r="H393" s="886"/>
      <c r="I393" s="886"/>
      <c r="J393" s="886"/>
      <c r="K393" s="886"/>
      <c r="L393" s="886"/>
      <c r="M393" s="886"/>
      <c r="N393" s="886"/>
      <c r="O393" s="886"/>
      <c r="P393" s="886"/>
      <c r="Q393" s="886"/>
      <c r="R393" s="886"/>
      <c r="S393" s="886"/>
      <c r="T393" s="886"/>
      <c r="U393" s="886"/>
      <c r="V393" s="886"/>
      <c r="W393" s="886"/>
      <c r="X393" s="886"/>
    </row>
    <row r="394" spans="3:24">
      <c r="C394" s="942"/>
      <c r="D394" s="943"/>
      <c r="E394" s="886"/>
      <c r="F394" s="886"/>
      <c r="G394" s="886"/>
      <c r="H394" s="886"/>
      <c r="I394" s="886"/>
      <c r="J394" s="886"/>
      <c r="K394" s="886"/>
      <c r="L394" s="886"/>
      <c r="M394" s="886"/>
      <c r="N394" s="886"/>
      <c r="O394" s="886"/>
      <c r="P394" s="886"/>
      <c r="Q394" s="886"/>
      <c r="R394" s="886"/>
      <c r="S394" s="886"/>
      <c r="T394" s="886"/>
      <c r="U394" s="886"/>
      <c r="V394" s="886"/>
      <c r="W394" s="886"/>
      <c r="X394" s="886"/>
    </row>
    <row r="395" spans="3:24">
      <c r="C395" s="942"/>
      <c r="D395" s="943"/>
      <c r="E395" s="886"/>
      <c r="F395" s="886"/>
      <c r="G395" s="886"/>
      <c r="H395" s="886"/>
      <c r="I395" s="886"/>
      <c r="J395" s="886"/>
      <c r="K395" s="886"/>
      <c r="L395" s="886"/>
      <c r="M395" s="886"/>
      <c r="N395" s="886"/>
      <c r="O395" s="886"/>
      <c r="P395" s="886"/>
      <c r="Q395" s="886"/>
      <c r="R395" s="886"/>
      <c r="S395" s="886"/>
      <c r="T395" s="886"/>
      <c r="U395" s="886"/>
      <c r="V395" s="886"/>
      <c r="W395" s="886"/>
      <c r="X395" s="886"/>
    </row>
    <row r="396" spans="3:24">
      <c r="C396" s="942"/>
      <c r="D396" s="943"/>
      <c r="E396" s="886"/>
      <c r="F396" s="886"/>
      <c r="G396" s="886"/>
      <c r="H396" s="886"/>
      <c r="I396" s="886"/>
      <c r="J396" s="886"/>
      <c r="K396" s="886"/>
      <c r="L396" s="886"/>
      <c r="M396" s="886"/>
      <c r="N396" s="886"/>
      <c r="O396" s="886"/>
      <c r="P396" s="886"/>
      <c r="Q396" s="886"/>
      <c r="R396" s="886"/>
      <c r="S396" s="886"/>
      <c r="T396" s="886"/>
      <c r="U396" s="886"/>
      <c r="V396" s="886"/>
      <c r="W396" s="886"/>
      <c r="X396" s="886"/>
    </row>
    <row r="397" spans="3:24">
      <c r="C397" s="942"/>
      <c r="D397" s="943"/>
      <c r="E397" s="886"/>
      <c r="F397" s="886"/>
      <c r="G397" s="886"/>
      <c r="H397" s="886"/>
      <c r="I397" s="886"/>
      <c r="J397" s="886"/>
      <c r="K397" s="886"/>
      <c r="L397" s="886"/>
      <c r="M397" s="886"/>
      <c r="N397" s="886"/>
      <c r="O397" s="886"/>
      <c r="P397" s="886"/>
      <c r="Q397" s="886"/>
      <c r="R397" s="886"/>
      <c r="S397" s="886"/>
      <c r="T397" s="886"/>
      <c r="U397" s="886"/>
      <c r="V397" s="886"/>
      <c r="W397" s="886"/>
      <c r="X397" s="886"/>
    </row>
    <row r="398" spans="3:24">
      <c r="C398" s="942"/>
      <c r="D398" s="943"/>
      <c r="E398" s="886"/>
      <c r="F398" s="886"/>
      <c r="G398" s="886"/>
      <c r="H398" s="886"/>
      <c r="I398" s="886"/>
      <c r="J398" s="886"/>
      <c r="K398" s="886"/>
      <c r="L398" s="886"/>
      <c r="M398" s="886"/>
      <c r="N398" s="886"/>
      <c r="O398" s="886"/>
      <c r="P398" s="886"/>
      <c r="Q398" s="886"/>
      <c r="R398" s="886"/>
      <c r="S398" s="886"/>
      <c r="T398" s="886"/>
      <c r="U398" s="886"/>
      <c r="V398" s="886"/>
      <c r="W398" s="886"/>
      <c r="X398" s="886"/>
    </row>
    <row r="399" spans="3:24">
      <c r="C399" s="942"/>
      <c r="D399" s="943"/>
      <c r="E399" s="886"/>
      <c r="F399" s="886"/>
      <c r="G399" s="886"/>
      <c r="H399" s="886"/>
      <c r="I399" s="886"/>
      <c r="J399" s="886"/>
      <c r="K399" s="886"/>
      <c r="L399" s="886"/>
      <c r="M399" s="886"/>
      <c r="N399" s="886"/>
      <c r="O399" s="886"/>
      <c r="P399" s="886"/>
      <c r="Q399" s="886"/>
      <c r="R399" s="886"/>
      <c r="S399" s="886"/>
      <c r="T399" s="886"/>
      <c r="U399" s="886"/>
      <c r="V399" s="886"/>
      <c r="W399" s="886"/>
      <c r="X399" s="886"/>
    </row>
    <row r="400" spans="3:24">
      <c r="C400" s="942"/>
      <c r="D400" s="943"/>
      <c r="E400" s="886"/>
      <c r="F400" s="886"/>
      <c r="G400" s="886"/>
      <c r="H400" s="886"/>
      <c r="I400" s="886"/>
      <c r="J400" s="886"/>
      <c r="K400" s="886"/>
      <c r="L400" s="886"/>
      <c r="M400" s="886"/>
      <c r="N400" s="886"/>
      <c r="O400" s="886"/>
      <c r="P400" s="886"/>
      <c r="Q400" s="886"/>
      <c r="R400" s="886"/>
      <c r="S400" s="886"/>
      <c r="T400" s="886"/>
      <c r="U400" s="886"/>
      <c r="V400" s="886"/>
      <c r="W400" s="886"/>
      <c r="X400" s="886"/>
    </row>
    <row r="401" spans="3:24">
      <c r="C401" s="942"/>
      <c r="D401" s="943"/>
      <c r="E401" s="886"/>
      <c r="F401" s="886"/>
      <c r="G401" s="886"/>
      <c r="H401" s="886"/>
      <c r="I401" s="886"/>
      <c r="J401" s="886"/>
      <c r="K401" s="886"/>
      <c r="L401" s="886"/>
      <c r="M401" s="886"/>
      <c r="N401" s="886"/>
      <c r="O401" s="886"/>
      <c r="P401" s="886"/>
      <c r="Q401" s="886"/>
      <c r="R401" s="886"/>
      <c r="S401" s="886"/>
      <c r="T401" s="886"/>
      <c r="U401" s="886"/>
      <c r="V401" s="886"/>
      <c r="W401" s="886"/>
      <c r="X401" s="886"/>
    </row>
    <row r="402" spans="3:24">
      <c r="C402" s="942"/>
      <c r="D402" s="943"/>
      <c r="E402" s="886"/>
      <c r="F402" s="886"/>
      <c r="G402" s="886"/>
      <c r="H402" s="886"/>
      <c r="I402" s="886"/>
      <c r="J402" s="886"/>
      <c r="K402" s="886"/>
      <c r="L402" s="886"/>
      <c r="M402" s="886"/>
      <c r="N402" s="886"/>
      <c r="O402" s="886"/>
      <c r="P402" s="886"/>
      <c r="Q402" s="886"/>
      <c r="R402" s="886"/>
      <c r="S402" s="886"/>
      <c r="T402" s="886"/>
      <c r="U402" s="886"/>
      <c r="V402" s="886"/>
      <c r="W402" s="886"/>
      <c r="X402" s="886"/>
    </row>
    <row r="403" spans="3:24">
      <c r="C403" s="942"/>
      <c r="D403" s="943"/>
      <c r="E403" s="886"/>
      <c r="F403" s="886"/>
      <c r="G403" s="886"/>
      <c r="H403" s="886"/>
      <c r="I403" s="886"/>
      <c r="J403" s="886"/>
      <c r="K403" s="886"/>
      <c r="L403" s="886"/>
      <c r="M403" s="886"/>
      <c r="N403" s="886"/>
      <c r="O403" s="886"/>
      <c r="P403" s="886"/>
      <c r="Q403" s="886"/>
      <c r="R403" s="886"/>
      <c r="S403" s="886"/>
      <c r="T403" s="886"/>
      <c r="U403" s="886"/>
      <c r="V403" s="886"/>
      <c r="W403" s="886"/>
      <c r="X403" s="886"/>
    </row>
    <row r="404" spans="3:24">
      <c r="C404" s="942"/>
      <c r="D404" s="943"/>
      <c r="E404" s="886"/>
      <c r="F404" s="886"/>
      <c r="G404" s="886"/>
      <c r="H404" s="886"/>
      <c r="I404" s="886"/>
      <c r="J404" s="886"/>
      <c r="K404" s="886"/>
      <c r="L404" s="886"/>
      <c r="M404" s="886"/>
      <c r="N404" s="886"/>
      <c r="O404" s="886"/>
      <c r="P404" s="886"/>
      <c r="Q404" s="886"/>
      <c r="R404" s="886"/>
      <c r="S404" s="886"/>
      <c r="T404" s="886"/>
      <c r="U404" s="886"/>
      <c r="V404" s="886"/>
      <c r="W404" s="886"/>
      <c r="X404" s="886"/>
    </row>
    <row r="405" spans="3:24">
      <c r="C405" s="942"/>
      <c r="D405" s="943"/>
      <c r="E405" s="886"/>
      <c r="F405" s="886"/>
      <c r="G405" s="886"/>
      <c r="H405" s="886"/>
      <c r="I405" s="886"/>
      <c r="J405" s="886"/>
      <c r="K405" s="886"/>
      <c r="L405" s="886"/>
      <c r="M405" s="886"/>
      <c r="N405" s="886"/>
      <c r="O405" s="886"/>
      <c r="P405" s="886"/>
      <c r="Q405" s="886"/>
      <c r="R405" s="886"/>
      <c r="S405" s="886"/>
      <c r="T405" s="886"/>
      <c r="U405" s="886"/>
      <c r="V405" s="886"/>
      <c r="W405" s="886"/>
      <c r="X405" s="886"/>
    </row>
    <row r="406" spans="3:24">
      <c r="C406" s="942"/>
      <c r="D406" s="943"/>
      <c r="E406" s="886"/>
      <c r="F406" s="886"/>
      <c r="G406" s="886"/>
      <c r="H406" s="886"/>
      <c r="I406" s="886"/>
      <c r="J406" s="886"/>
      <c r="K406" s="886"/>
      <c r="L406" s="886"/>
      <c r="M406" s="886"/>
      <c r="N406" s="886"/>
      <c r="O406" s="886"/>
      <c r="P406" s="886"/>
      <c r="Q406" s="886"/>
      <c r="R406" s="886"/>
      <c r="S406" s="886"/>
      <c r="T406" s="886"/>
      <c r="U406" s="886"/>
      <c r="V406" s="886"/>
      <c r="W406" s="886"/>
      <c r="X406" s="886"/>
    </row>
    <row r="407" spans="3:24">
      <c r="C407" s="942"/>
      <c r="D407" s="943"/>
      <c r="E407" s="886"/>
      <c r="F407" s="886"/>
      <c r="G407" s="886"/>
      <c r="H407" s="886"/>
      <c r="I407" s="886"/>
      <c r="J407" s="886"/>
      <c r="K407" s="886"/>
      <c r="L407" s="886"/>
      <c r="M407" s="886"/>
      <c r="N407" s="886"/>
      <c r="O407" s="886"/>
      <c r="P407" s="886"/>
      <c r="Q407" s="886"/>
      <c r="R407" s="886"/>
      <c r="S407" s="886"/>
      <c r="T407" s="886"/>
      <c r="U407" s="886"/>
      <c r="V407" s="886"/>
      <c r="W407" s="886"/>
      <c r="X407" s="886"/>
    </row>
    <row r="408" spans="3:24">
      <c r="C408" s="942"/>
      <c r="D408" s="943"/>
      <c r="E408" s="886"/>
      <c r="F408" s="886"/>
      <c r="G408" s="886"/>
      <c r="H408" s="886"/>
      <c r="I408" s="886"/>
      <c r="J408" s="886"/>
      <c r="K408" s="886"/>
      <c r="L408" s="886"/>
      <c r="M408" s="886"/>
      <c r="N408" s="886"/>
      <c r="O408" s="886"/>
      <c r="P408" s="886"/>
      <c r="Q408" s="886"/>
      <c r="R408" s="886"/>
      <c r="S408" s="886"/>
      <c r="T408" s="886"/>
      <c r="U408" s="886"/>
      <c r="V408" s="886"/>
      <c r="W408" s="886"/>
      <c r="X408" s="886"/>
    </row>
    <row r="409" spans="3:24">
      <c r="C409" s="942"/>
      <c r="D409" s="943"/>
      <c r="E409" s="886"/>
      <c r="F409" s="886"/>
      <c r="G409" s="886"/>
      <c r="H409" s="886"/>
      <c r="I409" s="886"/>
      <c r="J409" s="886"/>
      <c r="K409" s="886"/>
      <c r="L409" s="886"/>
      <c r="M409" s="886"/>
      <c r="N409" s="886"/>
      <c r="O409" s="886"/>
      <c r="P409" s="886"/>
      <c r="Q409" s="886"/>
      <c r="R409" s="886"/>
      <c r="S409" s="886"/>
      <c r="T409" s="886"/>
      <c r="U409" s="886"/>
      <c r="V409" s="886"/>
      <c r="W409" s="886"/>
      <c r="X409" s="886"/>
    </row>
    <row r="410" spans="3:24">
      <c r="C410" s="942"/>
      <c r="D410" s="943"/>
      <c r="E410" s="886"/>
      <c r="F410" s="886"/>
      <c r="G410" s="886"/>
      <c r="H410" s="886"/>
      <c r="I410" s="886"/>
      <c r="J410" s="886"/>
      <c r="K410" s="886"/>
      <c r="L410" s="886"/>
      <c r="M410" s="886"/>
      <c r="N410" s="886"/>
      <c r="O410" s="886"/>
      <c r="P410" s="886"/>
      <c r="Q410" s="886"/>
      <c r="R410" s="886"/>
      <c r="S410" s="886"/>
      <c r="T410" s="886"/>
      <c r="U410" s="886"/>
      <c r="V410" s="886"/>
      <c r="W410" s="886"/>
      <c r="X410" s="886"/>
    </row>
    <row r="411" spans="3:24">
      <c r="C411" s="942"/>
      <c r="D411" s="943"/>
      <c r="E411" s="886"/>
      <c r="F411" s="886"/>
      <c r="G411" s="886"/>
      <c r="H411" s="886"/>
      <c r="I411" s="886"/>
      <c r="J411" s="886"/>
      <c r="K411" s="886"/>
      <c r="L411" s="886"/>
      <c r="M411" s="886"/>
      <c r="N411" s="886"/>
      <c r="O411" s="886"/>
      <c r="P411" s="886"/>
      <c r="Q411" s="886"/>
      <c r="R411" s="886"/>
      <c r="S411" s="886"/>
      <c r="T411" s="886"/>
      <c r="U411" s="886"/>
      <c r="V411" s="886"/>
      <c r="W411" s="886"/>
      <c r="X411" s="886"/>
    </row>
    <row r="412" spans="3:24">
      <c r="C412" s="942"/>
      <c r="D412" s="943"/>
      <c r="E412" s="886"/>
      <c r="F412" s="886"/>
      <c r="G412" s="886"/>
      <c r="H412" s="886"/>
      <c r="I412" s="886"/>
      <c r="J412" s="886"/>
      <c r="K412" s="886"/>
      <c r="L412" s="886"/>
      <c r="M412" s="886"/>
      <c r="N412" s="886"/>
      <c r="O412" s="886"/>
      <c r="P412" s="886"/>
      <c r="Q412" s="886"/>
      <c r="R412" s="886"/>
      <c r="S412" s="886"/>
      <c r="T412" s="886"/>
      <c r="U412" s="886"/>
      <c r="V412" s="886"/>
      <c r="W412" s="886"/>
      <c r="X412" s="886"/>
    </row>
    <row r="413" spans="3:24">
      <c r="C413" s="942"/>
      <c r="D413" s="943"/>
      <c r="E413" s="886"/>
      <c r="F413" s="886"/>
      <c r="G413" s="886"/>
      <c r="H413" s="886"/>
      <c r="I413" s="886"/>
      <c r="J413" s="886"/>
      <c r="K413" s="886"/>
      <c r="L413" s="886"/>
      <c r="M413" s="886"/>
      <c r="N413" s="886"/>
      <c r="O413" s="886"/>
      <c r="P413" s="886"/>
      <c r="Q413" s="886"/>
      <c r="R413" s="886"/>
      <c r="S413" s="886"/>
      <c r="T413" s="886"/>
      <c r="U413" s="886"/>
      <c r="V413" s="886"/>
      <c r="W413" s="886"/>
      <c r="X413" s="886"/>
    </row>
    <row r="414" spans="3:24">
      <c r="C414" s="942"/>
      <c r="D414" s="943"/>
      <c r="E414" s="886"/>
      <c r="F414" s="886"/>
      <c r="G414" s="886"/>
      <c r="H414" s="886"/>
      <c r="I414" s="886"/>
      <c r="J414" s="886"/>
      <c r="K414" s="886"/>
      <c r="L414" s="886"/>
      <c r="M414" s="886"/>
      <c r="N414" s="886"/>
      <c r="O414" s="886"/>
      <c r="P414" s="886"/>
      <c r="Q414" s="886"/>
      <c r="R414" s="886"/>
      <c r="S414" s="886"/>
      <c r="T414" s="886"/>
      <c r="U414" s="886"/>
      <c r="V414" s="886"/>
      <c r="W414" s="886"/>
      <c r="X414" s="886"/>
    </row>
    <row r="415" spans="3:24">
      <c r="C415" s="942"/>
      <c r="D415" s="943"/>
      <c r="E415" s="886"/>
      <c r="F415" s="886"/>
      <c r="G415" s="886"/>
      <c r="H415" s="886"/>
      <c r="I415" s="886"/>
      <c r="J415" s="886"/>
      <c r="K415" s="886"/>
      <c r="L415" s="886"/>
      <c r="M415" s="886"/>
      <c r="N415" s="886"/>
      <c r="O415" s="886"/>
      <c r="P415" s="886"/>
      <c r="Q415" s="886"/>
      <c r="R415" s="886"/>
      <c r="S415" s="886"/>
      <c r="T415" s="886"/>
      <c r="U415" s="886"/>
      <c r="V415" s="886"/>
      <c r="W415" s="886"/>
      <c r="X415" s="886"/>
    </row>
    <row r="416" spans="3:24">
      <c r="C416" s="942"/>
      <c r="D416" s="943"/>
      <c r="E416" s="886"/>
      <c r="F416" s="886"/>
      <c r="G416" s="886"/>
      <c r="H416" s="886"/>
      <c r="I416" s="886"/>
      <c r="J416" s="886"/>
      <c r="K416" s="886"/>
      <c r="L416" s="886"/>
      <c r="M416" s="886"/>
      <c r="N416" s="886"/>
      <c r="O416" s="886"/>
      <c r="P416" s="886"/>
      <c r="Q416" s="886"/>
      <c r="R416" s="886"/>
      <c r="S416" s="886"/>
      <c r="T416" s="886"/>
      <c r="U416" s="886"/>
      <c r="V416" s="886"/>
      <c r="W416" s="886"/>
      <c r="X416" s="886"/>
    </row>
    <row r="417" spans="3:24">
      <c r="C417" s="942"/>
      <c r="D417" s="943"/>
      <c r="E417" s="886"/>
      <c r="F417" s="886"/>
      <c r="G417" s="886"/>
      <c r="H417" s="886"/>
      <c r="I417" s="886"/>
      <c r="J417" s="886"/>
      <c r="K417" s="886"/>
      <c r="L417" s="886"/>
      <c r="M417" s="886"/>
      <c r="N417" s="886"/>
      <c r="O417" s="886"/>
      <c r="P417" s="886"/>
      <c r="Q417" s="886"/>
      <c r="R417" s="886"/>
      <c r="S417" s="886"/>
      <c r="T417" s="886"/>
      <c r="U417" s="886"/>
      <c r="V417" s="886"/>
      <c r="W417" s="886"/>
      <c r="X417" s="886"/>
    </row>
    <row r="418" spans="3:24">
      <c r="C418" s="942"/>
      <c r="D418" s="943"/>
      <c r="E418" s="886"/>
      <c r="F418" s="886"/>
      <c r="G418" s="886"/>
      <c r="H418" s="886"/>
      <c r="I418" s="886"/>
      <c r="J418" s="886"/>
      <c r="K418" s="886"/>
      <c r="L418" s="886"/>
      <c r="M418" s="886"/>
      <c r="N418" s="886"/>
      <c r="O418" s="886"/>
      <c r="P418" s="886"/>
      <c r="Q418" s="886"/>
      <c r="R418" s="886"/>
      <c r="S418" s="886"/>
      <c r="T418" s="886"/>
      <c r="U418" s="886"/>
      <c r="V418" s="886"/>
      <c r="W418" s="886"/>
      <c r="X418" s="886"/>
    </row>
    <row r="419" spans="3:24">
      <c r="C419" s="942"/>
      <c r="D419" s="943"/>
      <c r="E419" s="886"/>
      <c r="F419" s="886"/>
      <c r="G419" s="886"/>
      <c r="H419" s="886"/>
      <c r="I419" s="886"/>
      <c r="J419" s="886"/>
      <c r="K419" s="886"/>
      <c r="L419" s="886"/>
      <c r="M419" s="886"/>
      <c r="N419" s="886"/>
      <c r="O419" s="886"/>
      <c r="P419" s="886"/>
      <c r="Q419" s="886"/>
      <c r="R419" s="886"/>
      <c r="S419" s="886"/>
      <c r="T419" s="886"/>
      <c r="U419" s="886"/>
      <c r="V419" s="886"/>
      <c r="W419" s="886"/>
      <c r="X419" s="886"/>
    </row>
    <row r="420" spans="3:24">
      <c r="C420" s="942"/>
      <c r="D420" s="943"/>
      <c r="E420" s="886"/>
      <c r="F420" s="886"/>
      <c r="G420" s="886"/>
      <c r="H420" s="886"/>
      <c r="I420" s="886"/>
      <c r="J420" s="886"/>
      <c r="K420" s="886"/>
      <c r="L420" s="886"/>
      <c r="M420" s="886"/>
      <c r="N420" s="886"/>
      <c r="O420" s="886"/>
      <c r="P420" s="886"/>
      <c r="Q420" s="886"/>
      <c r="R420" s="886"/>
      <c r="S420" s="886"/>
      <c r="T420" s="886"/>
      <c r="U420" s="886"/>
      <c r="V420" s="886"/>
      <c r="W420" s="886"/>
      <c r="X420" s="886"/>
    </row>
    <row r="421" spans="3:24">
      <c r="C421" s="942"/>
      <c r="D421" s="943"/>
      <c r="E421" s="886"/>
      <c r="F421" s="886"/>
      <c r="G421" s="886"/>
      <c r="H421" s="886"/>
      <c r="I421" s="886"/>
      <c r="J421" s="886"/>
      <c r="K421" s="886"/>
      <c r="L421" s="886"/>
      <c r="M421" s="886"/>
      <c r="N421" s="886"/>
      <c r="O421" s="886"/>
      <c r="P421" s="886"/>
      <c r="Q421" s="886"/>
      <c r="R421" s="886"/>
      <c r="S421" s="886"/>
      <c r="T421" s="886"/>
      <c r="U421" s="886"/>
      <c r="V421" s="886"/>
      <c r="W421" s="886"/>
      <c r="X421" s="886"/>
    </row>
    <row r="422" spans="3:24">
      <c r="C422" s="942"/>
      <c r="D422" s="943"/>
      <c r="E422" s="886"/>
      <c r="F422" s="886"/>
      <c r="G422" s="886"/>
      <c r="H422" s="886"/>
      <c r="I422" s="886"/>
      <c r="J422" s="886"/>
      <c r="K422" s="886"/>
      <c r="L422" s="886"/>
      <c r="M422" s="886"/>
      <c r="N422" s="886"/>
      <c r="O422" s="886"/>
      <c r="P422" s="886"/>
      <c r="Q422" s="886"/>
      <c r="R422" s="886"/>
      <c r="S422" s="886"/>
      <c r="T422" s="886"/>
      <c r="U422" s="886"/>
      <c r="V422" s="886"/>
      <c r="W422" s="886"/>
      <c r="X422" s="886"/>
    </row>
    <row r="423" spans="3:24">
      <c r="C423" s="942"/>
      <c r="D423" s="943"/>
      <c r="E423" s="886"/>
      <c r="F423" s="886"/>
      <c r="G423" s="886"/>
      <c r="H423" s="886"/>
      <c r="I423" s="886"/>
      <c r="J423" s="886"/>
      <c r="K423" s="886"/>
      <c r="L423" s="886"/>
      <c r="M423" s="886"/>
      <c r="N423" s="886"/>
      <c r="O423" s="886"/>
      <c r="P423" s="886"/>
      <c r="Q423" s="886"/>
      <c r="R423" s="886"/>
      <c r="S423" s="886"/>
      <c r="T423" s="886"/>
      <c r="U423" s="886"/>
      <c r="V423" s="886"/>
      <c r="W423" s="886"/>
      <c r="X423" s="886"/>
    </row>
    <row r="424" spans="3:24">
      <c r="C424" s="942"/>
      <c r="D424" s="943"/>
      <c r="E424" s="886"/>
      <c r="F424" s="886"/>
      <c r="G424" s="886"/>
      <c r="H424" s="886"/>
      <c r="I424" s="886"/>
      <c r="J424" s="886"/>
      <c r="K424" s="886"/>
      <c r="L424" s="886"/>
      <c r="M424" s="886"/>
      <c r="N424" s="886"/>
      <c r="O424" s="886"/>
      <c r="P424" s="886"/>
      <c r="Q424" s="886"/>
      <c r="R424" s="886"/>
      <c r="S424" s="886"/>
      <c r="T424" s="886"/>
      <c r="U424" s="886"/>
      <c r="V424" s="886"/>
      <c r="W424" s="886"/>
      <c r="X424" s="886"/>
    </row>
    <row r="425" spans="3:24">
      <c r="C425" s="942"/>
      <c r="D425" s="943"/>
      <c r="E425" s="886"/>
      <c r="F425" s="886"/>
      <c r="G425" s="886"/>
      <c r="H425" s="886"/>
      <c r="I425" s="886"/>
      <c r="J425" s="886"/>
      <c r="K425" s="886"/>
      <c r="L425" s="886"/>
      <c r="M425" s="886"/>
      <c r="N425" s="886"/>
      <c r="O425" s="886"/>
      <c r="P425" s="886"/>
      <c r="Q425" s="886"/>
      <c r="R425" s="886"/>
      <c r="S425" s="886"/>
      <c r="T425" s="886"/>
      <c r="U425" s="886"/>
      <c r="V425" s="886"/>
      <c r="W425" s="886"/>
      <c r="X425" s="886"/>
    </row>
    <row r="426" spans="3:24">
      <c r="C426" s="942"/>
      <c r="D426" s="943"/>
      <c r="E426" s="886"/>
      <c r="F426" s="886"/>
      <c r="G426" s="886"/>
      <c r="H426" s="886"/>
      <c r="I426" s="886"/>
      <c r="J426" s="886"/>
      <c r="K426" s="886"/>
      <c r="L426" s="886"/>
      <c r="M426" s="886"/>
      <c r="N426" s="886"/>
      <c r="O426" s="886"/>
      <c r="P426" s="886"/>
      <c r="Q426" s="886"/>
      <c r="R426" s="886"/>
      <c r="S426" s="886"/>
      <c r="T426" s="886"/>
      <c r="U426" s="886"/>
      <c r="V426" s="886"/>
      <c r="W426" s="886"/>
      <c r="X426" s="886"/>
    </row>
    <row r="427" spans="3:24">
      <c r="C427" s="942"/>
      <c r="D427" s="943"/>
      <c r="E427" s="886"/>
      <c r="F427" s="886"/>
      <c r="G427" s="886"/>
      <c r="H427" s="886"/>
      <c r="I427" s="886"/>
      <c r="J427" s="886"/>
      <c r="K427" s="886"/>
      <c r="L427" s="886"/>
      <c r="M427" s="886"/>
      <c r="N427" s="886"/>
      <c r="O427" s="886"/>
      <c r="P427" s="886"/>
      <c r="Q427" s="886"/>
      <c r="R427" s="886"/>
      <c r="S427" s="886"/>
      <c r="T427" s="886"/>
      <c r="U427" s="886"/>
      <c r="V427" s="886"/>
      <c r="W427" s="886"/>
      <c r="X427" s="886"/>
    </row>
    <row r="428" spans="3:24">
      <c r="C428" s="942"/>
      <c r="D428" s="943"/>
      <c r="E428" s="886"/>
      <c r="F428" s="886"/>
      <c r="G428" s="886"/>
      <c r="H428" s="886"/>
      <c r="I428" s="886"/>
      <c r="J428" s="886"/>
      <c r="K428" s="886"/>
      <c r="L428" s="886"/>
      <c r="M428" s="886"/>
      <c r="N428" s="886"/>
      <c r="O428" s="886"/>
      <c r="P428" s="886"/>
      <c r="Q428" s="886"/>
      <c r="R428" s="886"/>
      <c r="S428" s="886"/>
      <c r="T428" s="886"/>
      <c r="U428" s="886"/>
      <c r="V428" s="886"/>
      <c r="W428" s="886"/>
      <c r="X428" s="886"/>
    </row>
    <row r="429" spans="3:24">
      <c r="C429" s="942"/>
      <c r="D429" s="943"/>
      <c r="E429" s="886"/>
      <c r="F429" s="886"/>
      <c r="G429" s="886"/>
      <c r="H429" s="886"/>
      <c r="I429" s="886"/>
      <c r="J429" s="886"/>
      <c r="K429" s="886"/>
      <c r="L429" s="886"/>
      <c r="M429" s="886"/>
      <c r="N429" s="886"/>
      <c r="O429" s="886"/>
      <c r="P429" s="886"/>
      <c r="Q429" s="886"/>
      <c r="R429" s="886"/>
      <c r="S429" s="886"/>
      <c r="T429" s="886"/>
      <c r="U429" s="886"/>
      <c r="V429" s="886"/>
      <c r="W429" s="886"/>
      <c r="X429" s="886"/>
    </row>
    <row r="430" spans="3:24">
      <c r="C430" s="942"/>
      <c r="D430" s="943"/>
      <c r="E430" s="886"/>
      <c r="F430" s="886"/>
      <c r="G430" s="886"/>
      <c r="H430" s="886"/>
      <c r="I430" s="886"/>
      <c r="J430" s="886"/>
      <c r="K430" s="886"/>
      <c r="L430" s="886"/>
      <c r="M430" s="886"/>
      <c r="N430" s="886"/>
      <c r="O430" s="886"/>
      <c r="P430" s="886"/>
      <c r="Q430" s="886"/>
      <c r="R430" s="886"/>
      <c r="S430" s="886"/>
      <c r="T430" s="886"/>
      <c r="U430" s="886"/>
      <c r="V430" s="886"/>
      <c r="W430" s="886"/>
      <c r="X430" s="886"/>
    </row>
    <row r="431" spans="3:24">
      <c r="C431" s="942"/>
      <c r="D431" s="943"/>
      <c r="E431" s="886"/>
      <c r="F431" s="886"/>
      <c r="G431" s="886"/>
      <c r="H431" s="886"/>
      <c r="I431" s="886"/>
      <c r="J431" s="886"/>
      <c r="K431" s="886"/>
      <c r="L431" s="886"/>
      <c r="M431" s="886"/>
      <c r="N431" s="886"/>
      <c r="O431" s="886"/>
      <c r="P431" s="886"/>
      <c r="Q431" s="886"/>
      <c r="R431" s="886"/>
      <c r="S431" s="886"/>
      <c r="T431" s="886"/>
      <c r="U431" s="886"/>
      <c r="V431" s="886"/>
      <c r="W431" s="886"/>
      <c r="X431" s="886"/>
    </row>
    <row r="432" spans="3:24">
      <c r="C432" s="942"/>
      <c r="D432" s="943"/>
      <c r="E432" s="886"/>
      <c r="F432" s="886"/>
      <c r="G432" s="886"/>
      <c r="H432" s="886"/>
      <c r="I432" s="886"/>
      <c r="J432" s="886"/>
      <c r="K432" s="886"/>
      <c r="L432" s="886"/>
      <c r="M432" s="886"/>
      <c r="N432" s="886"/>
      <c r="O432" s="886"/>
      <c r="P432" s="886"/>
      <c r="Q432" s="886"/>
      <c r="R432" s="886"/>
      <c r="S432" s="886"/>
      <c r="T432" s="886"/>
      <c r="U432" s="886"/>
      <c r="V432" s="886"/>
      <c r="W432" s="886"/>
      <c r="X432" s="886"/>
    </row>
    <row r="433" spans="3:24">
      <c r="C433" s="942"/>
      <c r="D433" s="943"/>
      <c r="E433" s="886"/>
      <c r="F433" s="886"/>
      <c r="G433" s="886"/>
      <c r="H433" s="886"/>
      <c r="I433" s="886"/>
      <c r="J433" s="886"/>
      <c r="K433" s="886"/>
      <c r="L433" s="886"/>
      <c r="M433" s="886"/>
      <c r="N433" s="886"/>
      <c r="O433" s="886"/>
      <c r="P433" s="886"/>
      <c r="Q433" s="886"/>
      <c r="R433" s="886"/>
      <c r="S433" s="886"/>
      <c r="T433" s="886"/>
      <c r="U433" s="886"/>
      <c r="V433" s="886"/>
      <c r="W433" s="886"/>
      <c r="X433" s="886"/>
    </row>
    <row r="434" spans="3:24">
      <c r="C434" s="942"/>
      <c r="D434" s="943"/>
      <c r="E434" s="886"/>
      <c r="F434" s="886"/>
      <c r="G434" s="886"/>
      <c r="H434" s="886"/>
      <c r="I434" s="886"/>
      <c r="J434" s="886"/>
      <c r="K434" s="886"/>
      <c r="L434" s="886"/>
      <c r="M434" s="886"/>
      <c r="N434" s="886"/>
      <c r="O434" s="886"/>
      <c r="P434" s="886"/>
      <c r="Q434" s="886"/>
      <c r="R434" s="886"/>
      <c r="S434" s="886"/>
      <c r="T434" s="886"/>
      <c r="U434" s="886"/>
      <c r="V434" s="886"/>
      <c r="W434" s="886"/>
      <c r="X434" s="886"/>
    </row>
    <row r="435" spans="3:24">
      <c r="C435" s="942"/>
      <c r="D435" s="943"/>
      <c r="E435" s="886"/>
      <c r="F435" s="886"/>
      <c r="G435" s="886"/>
      <c r="H435" s="886"/>
      <c r="I435" s="886"/>
      <c r="J435" s="886"/>
      <c r="K435" s="886"/>
      <c r="L435" s="886"/>
      <c r="M435" s="886"/>
      <c r="N435" s="886"/>
      <c r="O435" s="886"/>
      <c r="P435" s="886"/>
      <c r="Q435" s="886"/>
      <c r="R435" s="886"/>
      <c r="S435" s="886"/>
      <c r="T435" s="886"/>
      <c r="U435" s="886"/>
      <c r="V435" s="886"/>
      <c r="W435" s="886"/>
      <c r="X435" s="886"/>
    </row>
    <row r="436" spans="3:24">
      <c r="C436" s="942"/>
      <c r="D436" s="943"/>
      <c r="E436" s="886"/>
      <c r="F436" s="886"/>
      <c r="G436" s="886"/>
      <c r="H436" s="886"/>
      <c r="I436" s="886"/>
      <c r="J436" s="886"/>
      <c r="K436" s="886"/>
      <c r="L436" s="886"/>
      <c r="M436" s="886"/>
      <c r="N436" s="886"/>
      <c r="O436" s="886"/>
      <c r="P436" s="886"/>
      <c r="Q436" s="886"/>
      <c r="R436" s="886"/>
      <c r="S436" s="886"/>
      <c r="T436" s="886"/>
      <c r="U436" s="886"/>
      <c r="V436" s="886"/>
      <c r="W436" s="886"/>
      <c r="X436" s="886"/>
    </row>
    <row r="437" spans="3:24">
      <c r="C437" s="942"/>
      <c r="D437" s="943"/>
      <c r="E437" s="886"/>
      <c r="F437" s="886"/>
      <c r="G437" s="886"/>
      <c r="H437" s="886"/>
      <c r="I437" s="886"/>
      <c r="J437" s="886"/>
      <c r="K437" s="886"/>
      <c r="L437" s="886"/>
      <c r="M437" s="886"/>
      <c r="N437" s="886"/>
      <c r="O437" s="886"/>
      <c r="P437" s="886"/>
      <c r="Q437" s="886"/>
      <c r="R437" s="886"/>
      <c r="S437" s="886"/>
      <c r="T437" s="886"/>
      <c r="U437" s="886"/>
      <c r="V437" s="886"/>
      <c r="W437" s="886"/>
      <c r="X437" s="886"/>
    </row>
    <row r="438" spans="3:24">
      <c r="C438" s="942"/>
      <c r="D438" s="943"/>
      <c r="E438" s="886"/>
      <c r="F438" s="886"/>
      <c r="G438" s="886"/>
      <c r="H438" s="886"/>
      <c r="I438" s="886"/>
      <c r="J438" s="886"/>
      <c r="K438" s="886"/>
      <c r="L438" s="886"/>
      <c r="M438" s="886"/>
      <c r="N438" s="886"/>
      <c r="O438" s="886"/>
      <c r="P438" s="886"/>
      <c r="Q438" s="886"/>
      <c r="R438" s="886"/>
      <c r="S438" s="886"/>
      <c r="T438" s="886"/>
      <c r="U438" s="886"/>
      <c r="V438" s="886"/>
      <c r="W438" s="886"/>
      <c r="X438" s="886"/>
    </row>
    <row r="439" spans="3:24">
      <c r="C439" s="942"/>
      <c r="D439" s="943"/>
      <c r="E439" s="886"/>
      <c r="F439" s="886"/>
      <c r="G439" s="886"/>
      <c r="H439" s="886"/>
      <c r="I439" s="886"/>
      <c r="J439" s="886"/>
      <c r="K439" s="886"/>
      <c r="L439" s="886"/>
      <c r="M439" s="886"/>
      <c r="N439" s="886"/>
      <c r="O439" s="886"/>
      <c r="P439" s="886"/>
      <c r="Q439" s="886"/>
      <c r="R439" s="886"/>
      <c r="S439" s="886"/>
      <c r="T439" s="886"/>
      <c r="U439" s="886"/>
      <c r="V439" s="886"/>
      <c r="W439" s="886"/>
      <c r="X439" s="886"/>
    </row>
    <row r="440" spans="3:24">
      <c r="C440" s="942"/>
      <c r="D440" s="943"/>
      <c r="E440" s="886"/>
      <c r="F440" s="886"/>
      <c r="G440" s="886"/>
      <c r="H440" s="886"/>
      <c r="I440" s="886"/>
      <c r="J440" s="886"/>
      <c r="K440" s="886"/>
      <c r="L440" s="886"/>
      <c r="M440" s="886"/>
      <c r="N440" s="886"/>
      <c r="O440" s="886"/>
      <c r="P440" s="886"/>
      <c r="Q440" s="886"/>
      <c r="R440" s="886"/>
      <c r="S440" s="886"/>
      <c r="T440" s="886"/>
      <c r="U440" s="886"/>
      <c r="V440" s="886"/>
      <c r="W440" s="886"/>
      <c r="X440" s="886"/>
    </row>
    <row r="441" spans="3:24">
      <c r="C441" s="942"/>
      <c r="D441" s="943"/>
      <c r="E441" s="886"/>
      <c r="F441" s="886"/>
      <c r="G441" s="886"/>
      <c r="H441" s="886"/>
      <c r="I441" s="886"/>
      <c r="J441" s="886"/>
      <c r="K441" s="886"/>
      <c r="L441" s="886"/>
      <c r="M441" s="886"/>
      <c r="N441" s="886"/>
      <c r="O441" s="886"/>
      <c r="P441" s="886"/>
      <c r="Q441" s="886"/>
      <c r="R441" s="886"/>
      <c r="S441" s="886"/>
      <c r="T441" s="886"/>
      <c r="U441" s="886"/>
      <c r="V441" s="886"/>
      <c r="W441" s="886"/>
      <c r="X441" s="886"/>
    </row>
    <row r="442" spans="3:24">
      <c r="C442" s="942"/>
      <c r="D442" s="943"/>
      <c r="E442" s="886"/>
      <c r="F442" s="886"/>
      <c r="G442" s="886"/>
      <c r="H442" s="886"/>
      <c r="I442" s="886"/>
      <c r="J442" s="886"/>
      <c r="K442" s="886"/>
      <c r="L442" s="886"/>
      <c r="M442" s="886"/>
      <c r="N442" s="886"/>
      <c r="O442" s="886"/>
      <c r="P442" s="886"/>
      <c r="Q442" s="886"/>
      <c r="R442" s="886"/>
      <c r="S442" s="886"/>
      <c r="T442" s="886"/>
      <c r="U442" s="886"/>
      <c r="V442" s="886"/>
      <c r="W442" s="886"/>
      <c r="X442" s="886"/>
    </row>
    <row r="443" spans="3:24">
      <c r="C443" s="942"/>
      <c r="D443" s="943"/>
      <c r="E443" s="886"/>
      <c r="F443" s="886"/>
      <c r="G443" s="886"/>
      <c r="H443" s="886"/>
      <c r="I443" s="886"/>
      <c r="J443" s="886"/>
      <c r="K443" s="886"/>
      <c r="L443" s="886"/>
      <c r="M443" s="886"/>
      <c r="N443" s="886"/>
      <c r="O443" s="886"/>
      <c r="P443" s="886"/>
      <c r="Q443" s="886"/>
      <c r="R443" s="886"/>
      <c r="S443" s="886"/>
      <c r="T443" s="886"/>
      <c r="U443" s="886"/>
      <c r="V443" s="886"/>
      <c r="W443" s="886"/>
      <c r="X443" s="886"/>
    </row>
    <row r="444" spans="3:24">
      <c r="C444" s="942"/>
      <c r="D444" s="943"/>
      <c r="E444" s="886"/>
      <c r="F444" s="886"/>
      <c r="G444" s="886"/>
      <c r="H444" s="886"/>
      <c r="I444" s="886"/>
      <c r="J444" s="886"/>
      <c r="K444" s="886"/>
      <c r="L444" s="886"/>
      <c r="M444" s="886"/>
      <c r="N444" s="886"/>
      <c r="O444" s="886"/>
      <c r="P444" s="886"/>
      <c r="Q444" s="886"/>
      <c r="R444" s="886"/>
      <c r="S444" s="886"/>
      <c r="T444" s="886"/>
      <c r="U444" s="886"/>
      <c r="V444" s="886"/>
      <c r="W444" s="886"/>
      <c r="X444" s="886"/>
    </row>
    <row r="445" spans="3:24">
      <c r="C445" s="942"/>
      <c r="D445" s="943"/>
      <c r="E445" s="886"/>
      <c r="F445" s="886"/>
      <c r="G445" s="886"/>
      <c r="H445" s="886"/>
      <c r="I445" s="886"/>
      <c r="J445" s="886"/>
      <c r="K445" s="886"/>
      <c r="L445" s="886"/>
      <c r="M445" s="886"/>
      <c r="N445" s="886"/>
      <c r="O445" s="886"/>
      <c r="P445" s="886"/>
      <c r="Q445" s="886"/>
      <c r="R445" s="886"/>
      <c r="S445" s="886"/>
      <c r="T445" s="886"/>
      <c r="U445" s="886"/>
      <c r="V445" s="886"/>
      <c r="W445" s="886"/>
      <c r="X445" s="886"/>
    </row>
    <row r="446" spans="3:24">
      <c r="C446" s="942"/>
      <c r="D446" s="943"/>
      <c r="E446" s="886"/>
      <c r="F446" s="886"/>
      <c r="G446" s="886"/>
      <c r="H446" s="886"/>
      <c r="I446" s="886"/>
      <c r="J446" s="886"/>
      <c r="K446" s="886"/>
      <c r="L446" s="886"/>
      <c r="M446" s="886"/>
      <c r="N446" s="886"/>
      <c r="O446" s="886"/>
      <c r="P446" s="886"/>
      <c r="Q446" s="886"/>
      <c r="R446" s="886"/>
      <c r="S446" s="886"/>
      <c r="T446" s="886"/>
      <c r="U446" s="886"/>
      <c r="V446" s="886"/>
      <c r="W446" s="886"/>
      <c r="X446" s="886"/>
    </row>
    <row r="447" spans="3:24">
      <c r="C447" s="942"/>
      <c r="D447" s="943"/>
      <c r="E447" s="886"/>
      <c r="F447" s="886"/>
      <c r="G447" s="886"/>
      <c r="H447" s="886"/>
      <c r="I447" s="886"/>
      <c r="J447" s="886"/>
      <c r="K447" s="886"/>
      <c r="L447" s="886"/>
      <c r="M447" s="886"/>
      <c r="N447" s="886"/>
      <c r="O447" s="886"/>
      <c r="P447" s="886"/>
      <c r="Q447" s="886"/>
      <c r="R447" s="886"/>
      <c r="S447" s="886"/>
      <c r="T447" s="886"/>
      <c r="U447" s="886"/>
      <c r="V447" s="886"/>
      <c r="W447" s="886"/>
      <c r="X447" s="886"/>
    </row>
    <row r="448" spans="3:24">
      <c r="C448" s="942"/>
      <c r="D448" s="943"/>
      <c r="E448" s="886"/>
      <c r="F448" s="886"/>
      <c r="G448" s="886"/>
      <c r="H448" s="886"/>
      <c r="I448" s="886"/>
      <c r="J448" s="886"/>
      <c r="K448" s="886"/>
      <c r="L448" s="886"/>
      <c r="M448" s="886"/>
      <c r="N448" s="886"/>
      <c r="O448" s="886"/>
      <c r="P448" s="886"/>
      <c r="Q448" s="886"/>
      <c r="R448" s="886"/>
      <c r="S448" s="886"/>
      <c r="T448" s="886"/>
      <c r="U448" s="886"/>
      <c r="V448" s="886"/>
      <c r="W448" s="886"/>
      <c r="X448" s="886"/>
    </row>
    <row r="449" spans="3:24">
      <c r="C449" s="942"/>
      <c r="D449" s="943"/>
      <c r="E449" s="886"/>
      <c r="F449" s="886"/>
      <c r="G449" s="886"/>
      <c r="H449" s="886"/>
      <c r="I449" s="886"/>
      <c r="J449" s="886"/>
      <c r="K449" s="886"/>
      <c r="L449" s="886"/>
      <c r="M449" s="886"/>
      <c r="N449" s="886"/>
      <c r="O449" s="886"/>
      <c r="P449" s="886"/>
      <c r="Q449" s="886"/>
      <c r="R449" s="886"/>
      <c r="S449" s="886"/>
      <c r="T449" s="886"/>
      <c r="U449" s="886"/>
      <c r="V449" s="886"/>
      <c r="W449" s="886"/>
      <c r="X449" s="886"/>
    </row>
    <row r="450" spans="3:24">
      <c r="C450" s="942"/>
      <c r="D450" s="943"/>
      <c r="E450" s="886"/>
      <c r="F450" s="886"/>
      <c r="G450" s="886"/>
      <c r="H450" s="886"/>
      <c r="I450" s="886"/>
      <c r="J450" s="886"/>
      <c r="K450" s="886"/>
      <c r="L450" s="886"/>
      <c r="M450" s="886"/>
      <c r="N450" s="886"/>
      <c r="O450" s="886"/>
      <c r="P450" s="886"/>
      <c r="Q450" s="886"/>
      <c r="R450" s="886"/>
      <c r="S450" s="886"/>
      <c r="T450" s="886"/>
      <c r="U450" s="886"/>
      <c r="V450" s="886"/>
      <c r="W450" s="886"/>
      <c r="X450" s="886"/>
    </row>
    <row r="451" spans="3:24">
      <c r="C451" s="942"/>
      <c r="D451" s="943"/>
      <c r="E451" s="886"/>
      <c r="F451" s="886"/>
      <c r="G451" s="886"/>
      <c r="H451" s="886"/>
      <c r="I451" s="886"/>
      <c r="J451" s="886"/>
      <c r="K451" s="886"/>
      <c r="L451" s="886"/>
      <c r="M451" s="886"/>
      <c r="N451" s="886"/>
      <c r="O451" s="886"/>
      <c r="P451" s="886"/>
      <c r="Q451" s="886"/>
      <c r="R451" s="886"/>
      <c r="S451" s="886"/>
      <c r="T451" s="886"/>
      <c r="U451" s="886"/>
      <c r="V451" s="886"/>
      <c r="W451" s="886"/>
      <c r="X451" s="886"/>
    </row>
    <row r="452" spans="3:24">
      <c r="C452" s="942"/>
      <c r="D452" s="943"/>
      <c r="E452" s="886"/>
      <c r="F452" s="886"/>
      <c r="G452" s="886"/>
      <c r="H452" s="886"/>
      <c r="I452" s="886"/>
      <c r="J452" s="886"/>
      <c r="K452" s="886"/>
      <c r="L452" s="886"/>
      <c r="M452" s="886"/>
      <c r="N452" s="886"/>
      <c r="O452" s="886"/>
      <c r="P452" s="886"/>
      <c r="Q452" s="886"/>
      <c r="R452" s="886"/>
      <c r="S452" s="886"/>
      <c r="T452" s="886"/>
      <c r="U452" s="886"/>
      <c r="V452" s="886"/>
      <c r="W452" s="886"/>
      <c r="X452" s="886"/>
    </row>
    <row r="453" spans="3:24">
      <c r="C453" s="942"/>
      <c r="D453" s="943"/>
      <c r="E453" s="886"/>
      <c r="F453" s="886"/>
      <c r="G453" s="886"/>
      <c r="H453" s="886"/>
      <c r="I453" s="886"/>
      <c r="J453" s="886"/>
      <c r="K453" s="886"/>
      <c r="L453" s="886"/>
      <c r="M453" s="886"/>
      <c r="N453" s="886"/>
      <c r="O453" s="886"/>
      <c r="P453" s="886"/>
      <c r="Q453" s="886"/>
      <c r="R453" s="886"/>
      <c r="S453" s="886"/>
      <c r="T453" s="886"/>
      <c r="U453" s="886"/>
      <c r="V453" s="886"/>
      <c r="W453" s="886"/>
      <c r="X453" s="886"/>
    </row>
    <row r="454" spans="3:24">
      <c r="C454" s="942"/>
      <c r="D454" s="943"/>
      <c r="E454" s="886"/>
      <c r="F454" s="886"/>
      <c r="G454" s="886"/>
      <c r="H454" s="886"/>
      <c r="I454" s="886"/>
      <c r="J454" s="886"/>
      <c r="K454" s="886"/>
      <c r="L454" s="886"/>
      <c r="M454" s="886"/>
      <c r="N454" s="886"/>
      <c r="O454" s="886"/>
      <c r="P454" s="886"/>
      <c r="Q454" s="886"/>
      <c r="R454" s="886"/>
      <c r="S454" s="886"/>
      <c r="T454" s="886"/>
      <c r="U454" s="886"/>
      <c r="V454" s="886"/>
      <c r="W454" s="886"/>
      <c r="X454" s="886"/>
    </row>
    <row r="455" spans="3:24">
      <c r="C455" s="942"/>
      <c r="D455" s="943"/>
      <c r="E455" s="886"/>
      <c r="F455" s="886"/>
      <c r="G455" s="886"/>
      <c r="H455" s="886"/>
      <c r="I455" s="886"/>
      <c r="J455" s="886"/>
      <c r="K455" s="886"/>
      <c r="L455" s="886"/>
      <c r="M455" s="886"/>
      <c r="N455" s="886"/>
      <c r="O455" s="886"/>
      <c r="P455" s="886"/>
      <c r="Q455" s="886"/>
      <c r="R455" s="886"/>
      <c r="S455" s="886"/>
      <c r="T455" s="886"/>
      <c r="U455" s="886"/>
      <c r="V455" s="886"/>
      <c r="W455" s="886"/>
      <c r="X455" s="886"/>
    </row>
    <row r="456" spans="3:24">
      <c r="C456" s="942"/>
      <c r="D456" s="943"/>
      <c r="E456" s="886"/>
      <c r="F456" s="886"/>
      <c r="G456" s="886"/>
      <c r="H456" s="886"/>
      <c r="I456" s="886"/>
      <c r="J456" s="886"/>
      <c r="K456" s="886"/>
      <c r="L456" s="886"/>
      <c r="M456" s="886"/>
      <c r="N456" s="886"/>
      <c r="O456" s="886"/>
      <c r="P456" s="886"/>
      <c r="Q456" s="886"/>
      <c r="R456" s="886"/>
      <c r="S456" s="886"/>
      <c r="T456" s="886"/>
      <c r="U456" s="886"/>
      <c r="V456" s="886"/>
      <c r="W456" s="886"/>
      <c r="X456" s="886"/>
    </row>
    <row r="457" spans="3:24">
      <c r="C457" s="942"/>
      <c r="D457" s="943"/>
      <c r="E457" s="886"/>
      <c r="F457" s="886"/>
      <c r="G457" s="886"/>
      <c r="H457" s="886"/>
      <c r="I457" s="886"/>
      <c r="J457" s="886"/>
      <c r="K457" s="886"/>
      <c r="L457" s="886"/>
      <c r="M457" s="886"/>
      <c r="N457" s="886"/>
      <c r="O457" s="886"/>
      <c r="P457" s="886"/>
      <c r="Q457" s="886"/>
      <c r="R457" s="886"/>
      <c r="S457" s="886"/>
      <c r="T457" s="886"/>
      <c r="U457" s="886"/>
      <c r="V457" s="886"/>
      <c r="W457" s="886"/>
      <c r="X457" s="886"/>
    </row>
    <row r="458" spans="3:24">
      <c r="C458" s="942"/>
      <c r="D458" s="943"/>
      <c r="E458" s="886"/>
      <c r="F458" s="886"/>
      <c r="G458" s="886"/>
      <c r="H458" s="886"/>
      <c r="I458" s="886"/>
      <c r="J458" s="886"/>
      <c r="K458" s="886"/>
      <c r="L458" s="886"/>
      <c r="M458" s="886"/>
      <c r="N458" s="886"/>
      <c r="O458" s="886"/>
      <c r="P458" s="886"/>
      <c r="Q458" s="886"/>
      <c r="R458" s="886"/>
      <c r="S458" s="886"/>
      <c r="T458" s="886"/>
      <c r="U458" s="886"/>
      <c r="V458" s="886"/>
      <c r="W458" s="886"/>
      <c r="X458" s="886"/>
    </row>
    <row r="459" spans="3:24">
      <c r="C459" s="942"/>
      <c r="D459" s="943"/>
      <c r="E459" s="886"/>
      <c r="F459" s="886"/>
      <c r="G459" s="886"/>
      <c r="H459" s="886"/>
      <c r="I459" s="886"/>
      <c r="J459" s="886"/>
      <c r="K459" s="886"/>
      <c r="L459" s="886"/>
      <c r="M459" s="886"/>
      <c r="N459" s="886"/>
      <c r="O459" s="886"/>
      <c r="P459" s="886"/>
      <c r="Q459" s="886"/>
      <c r="R459" s="886"/>
      <c r="S459" s="886"/>
      <c r="T459" s="886"/>
      <c r="U459" s="886"/>
      <c r="V459" s="886"/>
      <c r="W459" s="886"/>
      <c r="X459" s="886"/>
    </row>
    <row r="460" spans="3:24">
      <c r="C460" s="942"/>
      <c r="D460" s="943"/>
      <c r="E460" s="886"/>
      <c r="F460" s="886"/>
      <c r="G460" s="886"/>
      <c r="H460" s="886"/>
      <c r="I460" s="886"/>
      <c r="J460" s="886"/>
      <c r="K460" s="886"/>
      <c r="L460" s="886"/>
      <c r="M460" s="886"/>
      <c r="N460" s="886"/>
      <c r="O460" s="886"/>
      <c r="P460" s="886"/>
      <c r="Q460" s="886"/>
      <c r="R460" s="886"/>
      <c r="S460" s="886"/>
      <c r="T460" s="886"/>
      <c r="U460" s="886"/>
      <c r="V460" s="886"/>
      <c r="W460" s="886"/>
      <c r="X460" s="886"/>
    </row>
    <row r="461" spans="3:24">
      <c r="C461" s="942"/>
      <c r="D461" s="943"/>
      <c r="E461" s="886"/>
      <c r="F461" s="886"/>
      <c r="G461" s="886"/>
      <c r="H461" s="886"/>
      <c r="I461" s="886"/>
      <c r="J461" s="886"/>
      <c r="K461" s="886"/>
      <c r="L461" s="886"/>
      <c r="M461" s="886"/>
      <c r="N461" s="886"/>
      <c r="O461" s="886"/>
      <c r="P461" s="886"/>
      <c r="Q461" s="886"/>
      <c r="R461" s="886"/>
      <c r="S461" s="886"/>
      <c r="T461" s="886"/>
      <c r="U461" s="886"/>
      <c r="V461" s="886"/>
      <c r="W461" s="886"/>
      <c r="X461" s="886"/>
    </row>
    <row r="462" spans="3:24">
      <c r="C462" s="942"/>
      <c r="D462" s="943"/>
      <c r="E462" s="886"/>
      <c r="F462" s="886"/>
      <c r="G462" s="886"/>
      <c r="H462" s="886"/>
      <c r="I462" s="886"/>
      <c r="J462" s="886"/>
      <c r="K462" s="886"/>
      <c r="L462" s="886"/>
      <c r="M462" s="886"/>
      <c r="N462" s="886"/>
      <c r="O462" s="886"/>
      <c r="P462" s="886"/>
      <c r="Q462" s="886"/>
      <c r="R462" s="886"/>
      <c r="S462" s="886"/>
      <c r="T462" s="886"/>
      <c r="U462" s="886"/>
      <c r="V462" s="886"/>
      <c r="W462" s="886"/>
      <c r="X462" s="886"/>
    </row>
    <row r="463" spans="3:24">
      <c r="C463" s="942"/>
      <c r="D463" s="943"/>
      <c r="E463" s="886"/>
      <c r="F463" s="886"/>
      <c r="G463" s="886"/>
      <c r="H463" s="886"/>
      <c r="I463" s="886"/>
      <c r="J463" s="886"/>
      <c r="K463" s="886"/>
      <c r="L463" s="886"/>
      <c r="M463" s="886"/>
      <c r="N463" s="886"/>
      <c r="O463" s="886"/>
      <c r="P463" s="886"/>
      <c r="Q463" s="886"/>
      <c r="R463" s="886"/>
      <c r="S463" s="886"/>
      <c r="T463" s="886"/>
      <c r="U463" s="886"/>
      <c r="V463" s="886"/>
      <c r="W463" s="886"/>
      <c r="X463" s="886"/>
    </row>
    <row r="464" spans="3:24">
      <c r="C464" s="942"/>
      <c r="D464" s="943"/>
      <c r="E464" s="886"/>
      <c r="F464" s="886"/>
      <c r="G464" s="886"/>
      <c r="H464" s="886"/>
      <c r="I464" s="886"/>
      <c r="J464" s="886"/>
      <c r="K464" s="886"/>
      <c r="L464" s="886"/>
      <c r="M464" s="886"/>
      <c r="N464" s="886"/>
      <c r="O464" s="886"/>
      <c r="P464" s="886"/>
      <c r="Q464" s="886"/>
      <c r="R464" s="886"/>
      <c r="S464" s="886"/>
      <c r="T464" s="886"/>
      <c r="U464" s="886"/>
      <c r="V464" s="886"/>
      <c r="W464" s="886"/>
      <c r="X464" s="886"/>
    </row>
    <row r="465" spans="3:24">
      <c r="C465" s="942"/>
      <c r="D465" s="943"/>
      <c r="E465" s="886"/>
      <c r="F465" s="886"/>
      <c r="G465" s="886"/>
      <c r="H465" s="886"/>
      <c r="I465" s="886"/>
      <c r="J465" s="886"/>
      <c r="K465" s="886"/>
      <c r="L465" s="886"/>
      <c r="M465" s="886"/>
      <c r="N465" s="886"/>
      <c r="O465" s="886"/>
      <c r="P465" s="886"/>
      <c r="Q465" s="886"/>
      <c r="R465" s="886"/>
      <c r="S465" s="886"/>
      <c r="T465" s="886"/>
      <c r="U465" s="886"/>
      <c r="V465" s="886"/>
      <c r="W465" s="886"/>
      <c r="X465" s="886"/>
    </row>
    <row r="466" spans="3:24">
      <c r="C466" s="942"/>
      <c r="D466" s="943"/>
      <c r="E466" s="886"/>
      <c r="F466" s="886"/>
      <c r="G466" s="886"/>
      <c r="H466" s="886"/>
      <c r="I466" s="886"/>
      <c r="J466" s="886"/>
      <c r="K466" s="886"/>
      <c r="L466" s="886"/>
      <c r="M466" s="886"/>
      <c r="N466" s="886"/>
      <c r="O466" s="886"/>
      <c r="P466" s="886"/>
      <c r="Q466" s="886"/>
      <c r="R466" s="886"/>
      <c r="S466" s="886"/>
      <c r="T466" s="886"/>
      <c r="U466" s="886"/>
      <c r="V466" s="886"/>
      <c r="W466" s="886"/>
      <c r="X466" s="886"/>
    </row>
    <row r="467" spans="3:24">
      <c r="C467" s="942"/>
      <c r="D467" s="943"/>
      <c r="E467" s="886"/>
      <c r="F467" s="886"/>
      <c r="G467" s="886"/>
      <c r="H467" s="886"/>
      <c r="I467" s="886"/>
      <c r="J467" s="886"/>
      <c r="K467" s="886"/>
      <c r="L467" s="886"/>
      <c r="M467" s="886"/>
      <c r="N467" s="886"/>
      <c r="O467" s="886"/>
      <c r="P467" s="886"/>
      <c r="Q467" s="886"/>
      <c r="R467" s="886"/>
      <c r="S467" s="886"/>
      <c r="T467" s="886"/>
      <c r="U467" s="886"/>
      <c r="V467" s="886"/>
      <c r="W467" s="886"/>
      <c r="X467" s="886"/>
    </row>
    <row r="468" spans="3:24">
      <c r="C468" s="942"/>
      <c r="D468" s="943"/>
      <c r="E468" s="886"/>
      <c r="F468" s="886"/>
      <c r="G468" s="886"/>
      <c r="H468" s="886"/>
      <c r="I468" s="886"/>
      <c r="J468" s="886"/>
      <c r="K468" s="886"/>
      <c r="L468" s="886"/>
      <c r="M468" s="886"/>
      <c r="N468" s="886"/>
      <c r="O468" s="886"/>
      <c r="P468" s="886"/>
      <c r="Q468" s="886"/>
      <c r="R468" s="886"/>
      <c r="S468" s="886"/>
      <c r="T468" s="886"/>
      <c r="U468" s="886"/>
      <c r="V468" s="886"/>
      <c r="W468" s="886"/>
      <c r="X468" s="886"/>
    </row>
    <row r="469" spans="3:24">
      <c r="C469" s="942"/>
      <c r="D469" s="943"/>
      <c r="E469" s="886"/>
      <c r="F469" s="886"/>
      <c r="G469" s="886"/>
      <c r="H469" s="886"/>
      <c r="I469" s="886"/>
      <c r="J469" s="886"/>
      <c r="K469" s="886"/>
      <c r="L469" s="886"/>
      <c r="M469" s="886"/>
      <c r="N469" s="886"/>
      <c r="O469" s="886"/>
      <c r="P469" s="886"/>
      <c r="Q469" s="886"/>
      <c r="R469" s="886"/>
      <c r="S469" s="886"/>
      <c r="T469" s="886"/>
      <c r="U469" s="886"/>
      <c r="V469" s="886"/>
      <c r="W469" s="886"/>
      <c r="X469" s="886"/>
    </row>
    <row r="470" spans="3:24">
      <c r="C470" s="942"/>
      <c r="D470" s="943"/>
      <c r="E470" s="886"/>
      <c r="F470" s="886"/>
      <c r="G470" s="886"/>
      <c r="H470" s="886"/>
      <c r="I470" s="886"/>
      <c r="J470" s="886"/>
      <c r="K470" s="886"/>
      <c r="L470" s="886"/>
      <c r="M470" s="886"/>
      <c r="N470" s="886"/>
      <c r="O470" s="886"/>
      <c r="P470" s="886"/>
      <c r="Q470" s="886"/>
      <c r="R470" s="886"/>
      <c r="S470" s="886"/>
      <c r="T470" s="886"/>
      <c r="U470" s="886"/>
      <c r="V470" s="886"/>
      <c r="W470" s="886"/>
      <c r="X470" s="886"/>
    </row>
    <row r="471" spans="3:24">
      <c r="C471" s="942"/>
      <c r="D471" s="943"/>
      <c r="E471" s="886"/>
      <c r="F471" s="886"/>
      <c r="G471" s="886"/>
      <c r="H471" s="886"/>
      <c r="I471" s="886"/>
      <c r="J471" s="886"/>
      <c r="K471" s="886"/>
      <c r="L471" s="886"/>
      <c r="M471" s="886"/>
      <c r="N471" s="886"/>
      <c r="O471" s="886"/>
      <c r="P471" s="886"/>
      <c r="Q471" s="886"/>
      <c r="R471" s="886"/>
      <c r="S471" s="886"/>
      <c r="T471" s="886"/>
      <c r="U471" s="886"/>
      <c r="V471" s="886"/>
      <c r="W471" s="886"/>
      <c r="X471" s="886"/>
    </row>
    <row r="472" spans="3:24">
      <c r="C472" s="942"/>
      <c r="D472" s="943"/>
      <c r="E472" s="886"/>
      <c r="F472" s="886"/>
      <c r="G472" s="886"/>
      <c r="H472" s="886"/>
      <c r="I472" s="886"/>
      <c r="J472" s="886"/>
      <c r="K472" s="886"/>
      <c r="L472" s="886"/>
      <c r="M472" s="886"/>
      <c r="N472" s="886"/>
      <c r="O472" s="886"/>
      <c r="P472" s="886"/>
      <c r="Q472" s="886"/>
      <c r="R472" s="886"/>
      <c r="S472" s="886"/>
      <c r="T472" s="886"/>
      <c r="U472" s="886"/>
      <c r="V472" s="886"/>
      <c r="W472" s="886"/>
      <c r="X472" s="886"/>
    </row>
    <row r="473" spans="3:24">
      <c r="C473" s="942"/>
      <c r="D473" s="943"/>
      <c r="E473" s="886"/>
      <c r="F473" s="886"/>
      <c r="G473" s="886"/>
      <c r="H473" s="886"/>
      <c r="I473" s="886"/>
      <c r="J473" s="886"/>
      <c r="K473" s="886"/>
      <c r="L473" s="886"/>
      <c r="M473" s="886"/>
      <c r="N473" s="886"/>
      <c r="O473" s="886"/>
      <c r="P473" s="886"/>
      <c r="Q473" s="886"/>
      <c r="R473" s="886"/>
      <c r="S473" s="886"/>
      <c r="T473" s="886"/>
      <c r="U473" s="886"/>
      <c r="V473" s="886"/>
      <c r="W473" s="886"/>
      <c r="X473" s="886"/>
    </row>
    <row r="474" spans="3:24">
      <c r="C474" s="942"/>
      <c r="D474" s="943"/>
      <c r="E474" s="886"/>
      <c r="F474" s="886"/>
      <c r="G474" s="886"/>
      <c r="H474" s="886"/>
      <c r="I474" s="886"/>
      <c r="J474" s="886"/>
      <c r="K474" s="886"/>
      <c r="L474" s="886"/>
      <c r="M474" s="886"/>
      <c r="N474" s="886"/>
      <c r="O474" s="886"/>
      <c r="P474" s="886"/>
      <c r="Q474" s="886"/>
      <c r="R474" s="886"/>
      <c r="S474" s="886"/>
      <c r="T474" s="886"/>
      <c r="U474" s="886"/>
      <c r="V474" s="886"/>
      <c r="W474" s="886"/>
      <c r="X474" s="886"/>
    </row>
    <row r="475" spans="3:24">
      <c r="C475" s="942"/>
      <c r="D475" s="943"/>
      <c r="E475" s="886"/>
      <c r="F475" s="886"/>
      <c r="G475" s="886"/>
      <c r="H475" s="886"/>
      <c r="I475" s="886"/>
      <c r="J475" s="886"/>
      <c r="K475" s="886"/>
      <c r="L475" s="886"/>
      <c r="M475" s="886"/>
      <c r="N475" s="886"/>
      <c r="O475" s="886"/>
      <c r="P475" s="886"/>
      <c r="Q475" s="886"/>
      <c r="R475" s="886"/>
      <c r="S475" s="886"/>
      <c r="T475" s="886"/>
      <c r="U475" s="886"/>
      <c r="V475" s="886"/>
      <c r="W475" s="886"/>
      <c r="X475" s="886"/>
    </row>
    <row r="476" spans="3:24">
      <c r="C476" s="942"/>
      <c r="D476" s="943"/>
      <c r="E476" s="886"/>
      <c r="F476" s="886"/>
      <c r="G476" s="886"/>
      <c r="H476" s="886"/>
      <c r="I476" s="886"/>
      <c r="J476" s="886"/>
      <c r="K476" s="886"/>
      <c r="L476" s="886"/>
      <c r="M476" s="886"/>
      <c r="N476" s="886"/>
      <c r="O476" s="886"/>
      <c r="P476" s="886"/>
      <c r="Q476" s="886"/>
      <c r="R476" s="886"/>
      <c r="S476" s="886"/>
      <c r="T476" s="886"/>
      <c r="U476" s="886"/>
      <c r="V476" s="886"/>
      <c r="W476" s="886"/>
      <c r="X476" s="886"/>
    </row>
    <row r="477" spans="3:24">
      <c r="C477" s="942"/>
      <c r="D477" s="943"/>
      <c r="E477" s="886"/>
      <c r="F477" s="886"/>
      <c r="G477" s="886"/>
      <c r="H477" s="886"/>
      <c r="I477" s="886"/>
      <c r="J477" s="886"/>
      <c r="K477" s="886"/>
      <c r="L477" s="886"/>
      <c r="M477" s="886"/>
      <c r="N477" s="886"/>
      <c r="O477" s="886"/>
      <c r="P477" s="886"/>
      <c r="Q477" s="886"/>
      <c r="R477" s="886"/>
      <c r="S477" s="886"/>
      <c r="T477" s="886"/>
      <c r="U477" s="886"/>
      <c r="V477" s="886"/>
      <c r="W477" s="886"/>
      <c r="X477" s="886"/>
    </row>
    <row r="478" spans="3:24">
      <c r="C478" s="942"/>
      <c r="D478" s="943"/>
      <c r="E478" s="886"/>
      <c r="F478" s="886"/>
      <c r="G478" s="886"/>
      <c r="H478" s="886"/>
      <c r="I478" s="886"/>
      <c r="J478" s="886"/>
      <c r="K478" s="886"/>
      <c r="L478" s="886"/>
      <c r="M478" s="886"/>
      <c r="N478" s="886"/>
      <c r="O478" s="886"/>
      <c r="P478" s="886"/>
      <c r="Q478" s="886"/>
      <c r="R478" s="886"/>
      <c r="S478" s="886"/>
      <c r="T478" s="886"/>
      <c r="U478" s="886"/>
      <c r="V478" s="886"/>
      <c r="W478" s="886"/>
      <c r="X478" s="886"/>
    </row>
    <row r="479" spans="3:24">
      <c r="C479" s="942"/>
      <c r="D479" s="943"/>
      <c r="E479" s="886"/>
      <c r="F479" s="886"/>
      <c r="G479" s="886"/>
      <c r="H479" s="886"/>
      <c r="I479" s="886"/>
      <c r="J479" s="886"/>
      <c r="K479" s="886"/>
      <c r="L479" s="886"/>
      <c r="M479" s="886"/>
      <c r="N479" s="886"/>
      <c r="O479" s="886"/>
      <c r="P479" s="886"/>
      <c r="Q479" s="886"/>
      <c r="R479" s="886"/>
      <c r="S479" s="886"/>
      <c r="T479" s="886"/>
      <c r="U479" s="886"/>
      <c r="V479" s="886"/>
      <c r="W479" s="886"/>
      <c r="X479" s="886"/>
    </row>
    <row r="480" spans="3:24">
      <c r="C480" s="942"/>
      <c r="D480" s="943"/>
      <c r="E480" s="886"/>
      <c r="F480" s="886"/>
      <c r="G480" s="886"/>
      <c r="H480" s="886"/>
      <c r="I480" s="886"/>
      <c r="J480" s="886"/>
      <c r="K480" s="886"/>
      <c r="L480" s="886"/>
      <c r="M480" s="886"/>
      <c r="N480" s="886"/>
      <c r="O480" s="886"/>
      <c r="P480" s="886"/>
      <c r="Q480" s="886"/>
      <c r="R480" s="886"/>
      <c r="S480" s="886"/>
      <c r="T480" s="886"/>
      <c r="U480" s="886"/>
      <c r="V480" s="886"/>
      <c r="W480" s="886"/>
      <c r="X480" s="886"/>
    </row>
    <row r="481" spans="3:24">
      <c r="C481" s="942"/>
      <c r="D481" s="943"/>
      <c r="E481" s="886"/>
      <c r="F481" s="886"/>
      <c r="G481" s="886"/>
      <c r="H481" s="886"/>
      <c r="I481" s="886"/>
      <c r="J481" s="886"/>
      <c r="K481" s="886"/>
      <c r="L481" s="886"/>
      <c r="M481" s="886"/>
      <c r="N481" s="886"/>
      <c r="O481" s="886"/>
      <c r="P481" s="886"/>
      <c r="Q481" s="886"/>
      <c r="R481" s="886"/>
      <c r="S481" s="886"/>
      <c r="T481" s="886"/>
      <c r="U481" s="886"/>
      <c r="V481" s="886"/>
      <c r="W481" s="886"/>
      <c r="X481" s="886"/>
    </row>
    <row r="482" spans="3:24">
      <c r="C482" s="942"/>
      <c r="D482" s="943"/>
      <c r="E482" s="886"/>
      <c r="F482" s="886"/>
      <c r="G482" s="886"/>
      <c r="H482" s="886"/>
      <c r="I482" s="886"/>
      <c r="J482" s="886"/>
      <c r="K482" s="886"/>
      <c r="L482" s="886"/>
      <c r="M482" s="886"/>
      <c r="N482" s="886"/>
      <c r="O482" s="886"/>
      <c r="P482" s="886"/>
      <c r="Q482" s="886"/>
      <c r="R482" s="886"/>
      <c r="S482" s="886"/>
      <c r="T482" s="886"/>
      <c r="U482" s="886"/>
      <c r="V482" s="886"/>
      <c r="W482" s="886"/>
      <c r="X482" s="886"/>
    </row>
    <row r="483" spans="3:24">
      <c r="C483" s="942"/>
      <c r="D483" s="943"/>
      <c r="E483" s="886"/>
      <c r="F483" s="886"/>
      <c r="G483" s="886"/>
      <c r="H483" s="886"/>
      <c r="I483" s="886"/>
      <c r="J483" s="886"/>
      <c r="K483" s="886"/>
      <c r="L483" s="886"/>
      <c r="M483" s="886"/>
      <c r="N483" s="886"/>
      <c r="O483" s="886"/>
      <c r="P483" s="886"/>
      <c r="Q483" s="886"/>
      <c r="R483" s="886"/>
      <c r="S483" s="886"/>
      <c r="T483" s="886"/>
      <c r="U483" s="886"/>
      <c r="V483" s="886"/>
      <c r="W483" s="886"/>
      <c r="X483" s="886"/>
    </row>
    <row r="484" spans="3:24">
      <c r="C484" s="942"/>
      <c r="D484" s="943"/>
      <c r="E484" s="886"/>
      <c r="F484" s="886"/>
      <c r="G484" s="886"/>
      <c r="H484" s="886"/>
      <c r="I484" s="886"/>
      <c r="J484" s="886"/>
      <c r="K484" s="886"/>
      <c r="L484" s="886"/>
      <c r="M484" s="886"/>
      <c r="N484" s="886"/>
      <c r="O484" s="886"/>
      <c r="P484" s="886"/>
      <c r="Q484" s="886"/>
      <c r="R484" s="886"/>
      <c r="S484" s="886"/>
      <c r="T484" s="886"/>
      <c r="U484" s="886"/>
      <c r="V484" s="886"/>
      <c r="W484" s="886"/>
      <c r="X484" s="886"/>
    </row>
    <row r="485" spans="3:24">
      <c r="C485" s="942"/>
      <c r="D485" s="943"/>
      <c r="E485" s="886"/>
      <c r="F485" s="886"/>
      <c r="G485" s="886"/>
      <c r="H485" s="886"/>
      <c r="I485" s="886"/>
      <c r="J485" s="886"/>
      <c r="K485" s="886"/>
      <c r="L485" s="886"/>
      <c r="M485" s="886"/>
      <c r="N485" s="886"/>
      <c r="O485" s="886"/>
      <c r="P485" s="886"/>
      <c r="Q485" s="886"/>
      <c r="R485" s="886"/>
      <c r="S485" s="886"/>
      <c r="T485" s="886"/>
      <c r="U485" s="886"/>
      <c r="V485" s="886"/>
      <c r="W485" s="886"/>
      <c r="X485" s="886"/>
    </row>
    <row r="486" spans="3:24">
      <c r="C486" s="942"/>
      <c r="D486" s="943"/>
      <c r="E486" s="886"/>
      <c r="F486" s="886"/>
      <c r="G486" s="886"/>
      <c r="H486" s="886"/>
      <c r="I486" s="886"/>
      <c r="J486" s="886"/>
      <c r="K486" s="886"/>
      <c r="L486" s="886"/>
      <c r="M486" s="886"/>
      <c r="N486" s="886"/>
      <c r="O486" s="886"/>
      <c r="P486" s="886"/>
      <c r="Q486" s="886"/>
      <c r="R486" s="886"/>
      <c r="S486" s="886"/>
      <c r="T486" s="886"/>
      <c r="U486" s="886"/>
      <c r="V486" s="886"/>
      <c r="W486" s="886"/>
      <c r="X486" s="886"/>
    </row>
    <row r="487" spans="3:24">
      <c r="C487" s="942"/>
      <c r="D487" s="943"/>
      <c r="E487" s="886"/>
      <c r="F487" s="886"/>
      <c r="G487" s="886"/>
      <c r="H487" s="886"/>
      <c r="I487" s="886"/>
      <c r="J487" s="886"/>
      <c r="K487" s="886"/>
      <c r="L487" s="886"/>
      <c r="M487" s="886"/>
      <c r="N487" s="886"/>
      <c r="O487" s="886"/>
      <c r="P487" s="886"/>
      <c r="Q487" s="886"/>
      <c r="R487" s="886"/>
      <c r="S487" s="886"/>
      <c r="T487" s="886"/>
      <c r="U487" s="886"/>
      <c r="V487" s="886"/>
      <c r="W487" s="886"/>
      <c r="X487" s="886"/>
    </row>
    <row r="488" spans="3:24">
      <c r="C488" s="942"/>
      <c r="D488" s="943"/>
      <c r="E488" s="886"/>
      <c r="F488" s="886"/>
      <c r="G488" s="886"/>
      <c r="H488" s="886"/>
      <c r="I488" s="886"/>
      <c r="J488" s="886"/>
      <c r="K488" s="886"/>
      <c r="L488" s="886"/>
      <c r="M488" s="886"/>
      <c r="N488" s="886"/>
      <c r="O488" s="886"/>
      <c r="P488" s="886"/>
      <c r="Q488" s="886"/>
      <c r="R488" s="886"/>
      <c r="S488" s="886"/>
      <c r="T488" s="886"/>
      <c r="U488" s="886"/>
      <c r="V488" s="886"/>
      <c r="W488" s="886"/>
      <c r="X488" s="886"/>
    </row>
    <row r="489" spans="3:24">
      <c r="C489" s="942"/>
      <c r="D489" s="943"/>
      <c r="E489" s="886"/>
      <c r="F489" s="886"/>
      <c r="G489" s="886"/>
      <c r="H489" s="886"/>
      <c r="I489" s="886"/>
      <c r="J489" s="886"/>
      <c r="K489" s="886"/>
      <c r="L489" s="886"/>
      <c r="M489" s="886"/>
      <c r="N489" s="886"/>
      <c r="O489" s="886"/>
      <c r="P489" s="886"/>
      <c r="Q489" s="886"/>
      <c r="R489" s="886"/>
      <c r="S489" s="886"/>
      <c r="T489" s="886"/>
      <c r="U489" s="886"/>
      <c r="V489" s="886"/>
      <c r="W489" s="886"/>
      <c r="X489" s="886"/>
    </row>
    <row r="490" spans="3:24">
      <c r="C490" s="942"/>
      <c r="D490" s="943"/>
      <c r="E490" s="886"/>
      <c r="F490" s="886"/>
      <c r="G490" s="886"/>
      <c r="H490" s="886"/>
      <c r="I490" s="886"/>
      <c r="J490" s="886"/>
      <c r="K490" s="886"/>
      <c r="L490" s="886"/>
      <c r="M490" s="886"/>
      <c r="N490" s="886"/>
      <c r="O490" s="886"/>
      <c r="P490" s="886"/>
      <c r="Q490" s="886"/>
      <c r="R490" s="886"/>
      <c r="S490" s="886"/>
      <c r="T490" s="886"/>
      <c r="U490" s="886"/>
      <c r="V490" s="886"/>
      <c r="W490" s="886"/>
      <c r="X490" s="886"/>
    </row>
    <row r="491" spans="3:24">
      <c r="C491" s="942"/>
      <c r="D491" s="943"/>
      <c r="E491" s="886"/>
      <c r="F491" s="886"/>
      <c r="G491" s="886"/>
      <c r="H491" s="886"/>
      <c r="I491" s="886"/>
      <c r="J491" s="886"/>
      <c r="K491" s="886"/>
      <c r="L491" s="886"/>
      <c r="M491" s="886"/>
      <c r="N491" s="886"/>
      <c r="O491" s="886"/>
      <c r="P491" s="886"/>
      <c r="Q491" s="886"/>
      <c r="R491" s="886"/>
      <c r="S491" s="886"/>
      <c r="T491" s="886"/>
      <c r="U491" s="886"/>
      <c r="V491" s="886"/>
      <c r="W491" s="886"/>
      <c r="X491" s="886"/>
    </row>
    <row r="492" spans="3:24">
      <c r="C492" s="942"/>
      <c r="D492" s="943"/>
      <c r="E492" s="886"/>
      <c r="F492" s="886"/>
      <c r="G492" s="886"/>
      <c r="H492" s="886"/>
      <c r="I492" s="886"/>
      <c r="J492" s="886"/>
      <c r="K492" s="886"/>
      <c r="L492" s="886"/>
      <c r="M492" s="886"/>
      <c r="N492" s="886"/>
      <c r="O492" s="886"/>
      <c r="P492" s="886"/>
      <c r="Q492" s="886"/>
      <c r="R492" s="886"/>
      <c r="S492" s="886"/>
      <c r="T492" s="886"/>
      <c r="U492" s="886"/>
      <c r="V492" s="886"/>
      <c r="W492" s="886"/>
      <c r="X492" s="886"/>
    </row>
    <row r="493" spans="3:24">
      <c r="C493" s="942"/>
      <c r="D493" s="943"/>
      <c r="E493" s="886"/>
      <c r="F493" s="886"/>
      <c r="G493" s="886"/>
      <c r="H493" s="886"/>
      <c r="I493" s="886"/>
      <c r="J493" s="886"/>
      <c r="K493" s="886"/>
      <c r="L493" s="886"/>
      <c r="M493" s="886"/>
      <c r="N493" s="886"/>
      <c r="O493" s="886"/>
      <c r="P493" s="886"/>
      <c r="Q493" s="886"/>
      <c r="R493" s="886"/>
      <c r="S493" s="886"/>
      <c r="T493" s="886"/>
      <c r="U493" s="886"/>
      <c r="V493" s="886"/>
      <c r="W493" s="886"/>
      <c r="X493" s="886"/>
    </row>
    <row r="494" spans="3:24">
      <c r="C494" s="942"/>
      <c r="D494" s="943"/>
      <c r="E494" s="886"/>
      <c r="F494" s="886"/>
      <c r="G494" s="886"/>
      <c r="H494" s="886"/>
      <c r="I494" s="886"/>
      <c r="J494" s="886"/>
      <c r="K494" s="886"/>
      <c r="L494" s="886"/>
      <c r="M494" s="886"/>
      <c r="N494" s="886"/>
      <c r="O494" s="886"/>
      <c r="P494" s="886"/>
      <c r="Q494" s="886"/>
      <c r="R494" s="886"/>
      <c r="S494" s="886"/>
      <c r="T494" s="886"/>
      <c r="U494" s="886"/>
      <c r="V494" s="886"/>
      <c r="W494" s="886"/>
      <c r="X494" s="886"/>
    </row>
    <row r="495" spans="3:24">
      <c r="C495" s="942"/>
      <c r="D495" s="943"/>
      <c r="E495" s="886"/>
      <c r="F495" s="886"/>
      <c r="G495" s="886"/>
      <c r="H495" s="886"/>
      <c r="I495" s="886"/>
      <c r="J495" s="886"/>
      <c r="K495" s="886"/>
      <c r="L495" s="886"/>
      <c r="M495" s="886"/>
      <c r="N495" s="886"/>
      <c r="O495" s="886"/>
      <c r="P495" s="886"/>
      <c r="Q495" s="886"/>
      <c r="R495" s="886"/>
      <c r="S495" s="886"/>
      <c r="T495" s="886"/>
      <c r="U495" s="886"/>
      <c r="V495" s="886"/>
      <c r="W495" s="886"/>
      <c r="X495" s="886"/>
    </row>
    <row r="496" spans="3:24">
      <c r="C496" s="942"/>
      <c r="D496" s="943"/>
      <c r="E496" s="886"/>
      <c r="F496" s="886"/>
      <c r="G496" s="886"/>
      <c r="H496" s="886"/>
      <c r="I496" s="886"/>
      <c r="J496" s="886"/>
      <c r="K496" s="886"/>
      <c r="L496" s="886"/>
      <c r="M496" s="886"/>
      <c r="N496" s="886"/>
      <c r="O496" s="886"/>
      <c r="P496" s="886"/>
      <c r="Q496" s="886"/>
      <c r="R496" s="886"/>
      <c r="S496" s="886"/>
      <c r="T496" s="886"/>
      <c r="U496" s="886"/>
      <c r="V496" s="886"/>
      <c r="W496" s="886"/>
      <c r="X496" s="886"/>
    </row>
    <row r="497" spans="3:24">
      <c r="C497" s="942"/>
      <c r="D497" s="943"/>
      <c r="E497" s="886"/>
      <c r="F497" s="886"/>
      <c r="G497" s="886"/>
      <c r="H497" s="886"/>
      <c r="I497" s="886"/>
      <c r="J497" s="886"/>
      <c r="K497" s="886"/>
      <c r="L497" s="886"/>
      <c r="M497" s="886"/>
      <c r="N497" s="886"/>
      <c r="O497" s="886"/>
      <c r="P497" s="886"/>
      <c r="Q497" s="886"/>
      <c r="R497" s="886"/>
      <c r="S497" s="886"/>
      <c r="T497" s="886"/>
      <c r="U497" s="886"/>
      <c r="V497" s="886"/>
      <c r="W497" s="886"/>
      <c r="X497" s="886"/>
    </row>
    <row r="498" spans="3:24">
      <c r="C498" s="942"/>
      <c r="D498" s="943"/>
      <c r="E498" s="886"/>
      <c r="F498" s="886"/>
      <c r="G498" s="886"/>
      <c r="H498" s="886"/>
      <c r="I498" s="886"/>
      <c r="J498" s="886"/>
      <c r="K498" s="886"/>
      <c r="L498" s="886"/>
      <c r="M498" s="886"/>
      <c r="N498" s="886"/>
      <c r="O498" s="886"/>
      <c r="P498" s="886"/>
      <c r="Q498" s="886"/>
      <c r="R498" s="886"/>
      <c r="S498" s="886"/>
      <c r="T498" s="886"/>
      <c r="U498" s="886"/>
      <c r="V498" s="886"/>
      <c r="W498" s="886"/>
      <c r="X498" s="886"/>
    </row>
    <row r="499" spans="3:24">
      <c r="C499" s="942"/>
      <c r="D499" s="943"/>
      <c r="E499" s="886"/>
      <c r="F499" s="886"/>
      <c r="G499" s="886"/>
      <c r="H499" s="886"/>
      <c r="I499" s="886"/>
      <c r="J499" s="886"/>
      <c r="K499" s="886"/>
      <c r="L499" s="886"/>
      <c r="M499" s="886"/>
      <c r="N499" s="886"/>
      <c r="O499" s="886"/>
      <c r="P499" s="886"/>
      <c r="Q499" s="886"/>
      <c r="R499" s="886"/>
      <c r="S499" s="886"/>
      <c r="T499" s="886"/>
      <c r="U499" s="886"/>
      <c r="V499" s="886"/>
      <c r="W499" s="886"/>
      <c r="X499" s="886"/>
    </row>
    <row r="500" spans="3:24">
      <c r="C500" s="942"/>
      <c r="D500" s="943"/>
      <c r="E500" s="886"/>
      <c r="F500" s="886"/>
      <c r="G500" s="886"/>
      <c r="H500" s="886"/>
      <c r="I500" s="886"/>
      <c r="J500" s="886"/>
      <c r="K500" s="886"/>
      <c r="L500" s="886"/>
      <c r="M500" s="886"/>
      <c r="N500" s="886"/>
      <c r="O500" s="886"/>
      <c r="P500" s="886"/>
      <c r="Q500" s="886"/>
      <c r="R500" s="886"/>
      <c r="S500" s="886"/>
      <c r="T500" s="886"/>
      <c r="U500" s="886"/>
      <c r="V500" s="886"/>
      <c r="W500" s="886"/>
      <c r="X500" s="886"/>
    </row>
    <row r="501" spans="3:24">
      <c r="C501" s="942"/>
      <c r="D501" s="943"/>
      <c r="E501" s="886"/>
      <c r="F501" s="886"/>
      <c r="G501" s="886"/>
      <c r="H501" s="886"/>
      <c r="I501" s="886"/>
      <c r="J501" s="886"/>
      <c r="K501" s="886"/>
      <c r="L501" s="886"/>
      <c r="M501" s="886"/>
      <c r="N501" s="886"/>
      <c r="O501" s="886"/>
      <c r="P501" s="886"/>
      <c r="Q501" s="886"/>
      <c r="R501" s="886"/>
      <c r="S501" s="886"/>
      <c r="T501" s="886"/>
      <c r="U501" s="886"/>
      <c r="V501" s="886"/>
      <c r="W501" s="886"/>
      <c r="X501" s="886"/>
    </row>
    <row r="502" spans="3:24">
      <c r="C502" s="942"/>
      <c r="D502" s="943"/>
      <c r="E502" s="886"/>
      <c r="F502" s="886"/>
      <c r="G502" s="886"/>
      <c r="H502" s="886"/>
      <c r="I502" s="886"/>
      <c r="J502" s="886"/>
      <c r="K502" s="886"/>
      <c r="L502" s="886"/>
      <c r="M502" s="886"/>
      <c r="N502" s="886"/>
      <c r="O502" s="886"/>
      <c r="P502" s="886"/>
      <c r="Q502" s="886"/>
      <c r="R502" s="886"/>
      <c r="S502" s="886"/>
      <c r="T502" s="886"/>
      <c r="U502" s="886"/>
      <c r="V502" s="886"/>
      <c r="W502" s="886"/>
      <c r="X502" s="886"/>
    </row>
    <row r="503" spans="3:24">
      <c r="C503" s="942"/>
      <c r="D503" s="943"/>
      <c r="E503" s="886"/>
      <c r="F503" s="886"/>
      <c r="G503" s="886"/>
      <c r="H503" s="886"/>
      <c r="I503" s="886"/>
      <c r="J503" s="886"/>
      <c r="K503" s="886"/>
      <c r="L503" s="886"/>
      <c r="M503" s="886"/>
      <c r="N503" s="886"/>
      <c r="O503" s="886"/>
      <c r="P503" s="886"/>
      <c r="Q503" s="886"/>
      <c r="R503" s="886"/>
      <c r="S503" s="886"/>
      <c r="T503" s="886"/>
      <c r="U503" s="886"/>
      <c r="V503" s="886"/>
      <c r="W503" s="886"/>
      <c r="X503" s="886"/>
    </row>
    <row r="504" spans="3:24">
      <c r="C504" s="942"/>
      <c r="D504" s="943"/>
      <c r="E504" s="886"/>
      <c r="F504" s="886"/>
      <c r="G504" s="886"/>
      <c r="H504" s="886"/>
      <c r="I504" s="886"/>
      <c r="J504" s="886"/>
      <c r="K504" s="886"/>
      <c r="L504" s="886"/>
      <c r="M504" s="886"/>
      <c r="N504" s="886"/>
      <c r="O504" s="886"/>
      <c r="P504" s="886"/>
      <c r="Q504" s="886"/>
      <c r="R504" s="886"/>
      <c r="S504" s="886"/>
      <c r="T504" s="886"/>
      <c r="U504" s="886"/>
      <c r="V504" s="886"/>
      <c r="W504" s="886"/>
      <c r="X504" s="886"/>
    </row>
    <row r="505" spans="3:24">
      <c r="C505" s="942"/>
      <c r="D505" s="943"/>
      <c r="E505" s="886"/>
      <c r="F505" s="886"/>
      <c r="G505" s="886"/>
      <c r="H505" s="886"/>
      <c r="I505" s="886"/>
      <c r="J505" s="886"/>
      <c r="K505" s="886"/>
      <c r="L505" s="886"/>
      <c r="M505" s="886"/>
      <c r="N505" s="886"/>
      <c r="O505" s="886"/>
      <c r="P505" s="886"/>
      <c r="Q505" s="886"/>
      <c r="R505" s="886"/>
      <c r="S505" s="886"/>
      <c r="T505" s="886"/>
      <c r="U505" s="886"/>
      <c r="V505" s="886"/>
      <c r="W505" s="886"/>
      <c r="X505" s="886"/>
    </row>
    <row r="506" spans="3:24">
      <c r="C506" s="942"/>
      <c r="D506" s="943"/>
      <c r="E506" s="886"/>
      <c r="F506" s="886"/>
      <c r="G506" s="886"/>
      <c r="H506" s="886"/>
      <c r="I506" s="886"/>
      <c r="J506" s="886"/>
      <c r="K506" s="886"/>
      <c r="L506" s="886"/>
      <c r="M506" s="886"/>
      <c r="N506" s="886"/>
      <c r="O506" s="886"/>
      <c r="P506" s="886"/>
      <c r="Q506" s="886"/>
      <c r="R506" s="886"/>
      <c r="S506" s="886"/>
      <c r="T506" s="886"/>
      <c r="U506" s="886"/>
      <c r="V506" s="886"/>
      <c r="W506" s="886"/>
      <c r="X506" s="886"/>
    </row>
    <row r="507" spans="3:24">
      <c r="C507" s="942"/>
      <c r="D507" s="943"/>
      <c r="E507" s="886"/>
      <c r="F507" s="886"/>
      <c r="G507" s="886"/>
      <c r="H507" s="886"/>
      <c r="I507" s="886"/>
      <c r="J507" s="886"/>
      <c r="K507" s="886"/>
      <c r="L507" s="886"/>
      <c r="M507" s="886"/>
      <c r="N507" s="886"/>
      <c r="O507" s="886"/>
      <c r="P507" s="886"/>
      <c r="Q507" s="886"/>
      <c r="R507" s="886"/>
      <c r="S507" s="886"/>
      <c r="T507" s="886"/>
      <c r="U507" s="886"/>
      <c r="V507" s="886"/>
      <c r="W507" s="886"/>
      <c r="X507" s="886"/>
    </row>
    <row r="508" spans="3:24">
      <c r="C508" s="942"/>
      <c r="D508" s="943"/>
      <c r="E508" s="886"/>
      <c r="F508" s="886"/>
      <c r="G508" s="886"/>
      <c r="H508" s="886"/>
      <c r="I508" s="886"/>
      <c r="J508" s="886"/>
      <c r="K508" s="886"/>
      <c r="L508" s="886"/>
      <c r="M508" s="886"/>
      <c r="N508" s="886"/>
      <c r="O508" s="886"/>
      <c r="P508" s="886"/>
      <c r="Q508" s="886"/>
      <c r="R508" s="886"/>
      <c r="S508" s="886"/>
      <c r="T508" s="886"/>
      <c r="U508" s="886"/>
      <c r="V508" s="886"/>
      <c r="W508" s="886"/>
      <c r="X508" s="886"/>
    </row>
    <row r="509" spans="3:24">
      <c r="C509" s="942"/>
      <c r="D509" s="943"/>
      <c r="E509" s="886"/>
      <c r="F509" s="886"/>
      <c r="G509" s="886"/>
      <c r="H509" s="886"/>
      <c r="I509" s="886"/>
      <c r="J509" s="886"/>
      <c r="K509" s="886"/>
      <c r="L509" s="886"/>
      <c r="M509" s="886"/>
      <c r="N509" s="886"/>
      <c r="O509" s="886"/>
      <c r="P509" s="886"/>
      <c r="Q509" s="886"/>
      <c r="R509" s="886"/>
      <c r="S509" s="886"/>
      <c r="T509" s="886"/>
      <c r="U509" s="886"/>
      <c r="V509" s="886"/>
      <c r="W509" s="886"/>
      <c r="X509" s="886"/>
    </row>
    <row r="510" spans="3:24">
      <c r="C510" s="942"/>
      <c r="D510" s="943"/>
      <c r="E510" s="886"/>
      <c r="F510" s="886"/>
      <c r="G510" s="886"/>
      <c r="H510" s="886"/>
      <c r="I510" s="886"/>
      <c r="J510" s="886"/>
      <c r="K510" s="886"/>
      <c r="L510" s="886"/>
      <c r="M510" s="886"/>
      <c r="N510" s="886"/>
      <c r="O510" s="886"/>
      <c r="P510" s="886"/>
      <c r="Q510" s="886"/>
      <c r="R510" s="886"/>
      <c r="S510" s="886"/>
      <c r="T510" s="886"/>
      <c r="U510" s="886"/>
      <c r="V510" s="886"/>
      <c r="W510" s="886"/>
      <c r="X510" s="886"/>
    </row>
    <row r="511" spans="3:24">
      <c r="C511" s="942"/>
      <c r="D511" s="943"/>
      <c r="E511" s="886"/>
      <c r="F511" s="886"/>
      <c r="G511" s="886"/>
      <c r="H511" s="886"/>
      <c r="I511" s="886"/>
      <c r="J511" s="886"/>
      <c r="K511" s="886"/>
      <c r="L511" s="886"/>
      <c r="M511" s="886"/>
      <c r="N511" s="886"/>
      <c r="O511" s="886"/>
      <c r="P511" s="886"/>
      <c r="Q511" s="886"/>
      <c r="R511" s="886"/>
      <c r="S511" s="886"/>
      <c r="T511" s="886"/>
      <c r="U511" s="886"/>
      <c r="V511" s="886"/>
      <c r="W511" s="886"/>
      <c r="X511" s="886"/>
    </row>
    <row r="512" spans="3:24">
      <c r="C512" s="942"/>
      <c r="D512" s="943"/>
      <c r="E512" s="886"/>
      <c r="F512" s="886"/>
      <c r="G512" s="886"/>
      <c r="H512" s="886"/>
      <c r="I512" s="886"/>
      <c r="J512" s="886"/>
      <c r="K512" s="886"/>
      <c r="L512" s="886"/>
      <c r="M512" s="886"/>
      <c r="N512" s="886"/>
      <c r="O512" s="886"/>
      <c r="P512" s="886"/>
      <c r="Q512" s="886"/>
      <c r="R512" s="886"/>
      <c r="S512" s="886"/>
      <c r="T512" s="886"/>
      <c r="U512" s="886"/>
      <c r="V512" s="886"/>
      <c r="W512" s="886"/>
      <c r="X512" s="886"/>
    </row>
    <row r="513" spans="3:24">
      <c r="C513" s="942"/>
      <c r="D513" s="943"/>
      <c r="E513" s="886"/>
      <c r="F513" s="886"/>
      <c r="G513" s="886"/>
      <c r="H513" s="886"/>
      <c r="I513" s="886"/>
      <c r="J513" s="886"/>
      <c r="K513" s="886"/>
      <c r="L513" s="886"/>
      <c r="M513" s="886"/>
      <c r="N513" s="886"/>
      <c r="O513" s="886"/>
      <c r="P513" s="886"/>
      <c r="Q513" s="886"/>
      <c r="R513" s="886"/>
      <c r="S513" s="886"/>
      <c r="T513" s="886"/>
      <c r="U513" s="886"/>
      <c r="V513" s="886"/>
      <c r="W513" s="886"/>
      <c r="X513" s="886"/>
    </row>
    <row r="514" spans="3:24">
      <c r="C514" s="942"/>
      <c r="D514" s="943"/>
      <c r="E514" s="886"/>
      <c r="F514" s="886"/>
      <c r="G514" s="886"/>
      <c r="H514" s="886"/>
      <c r="I514" s="886"/>
      <c r="J514" s="886"/>
      <c r="K514" s="886"/>
      <c r="L514" s="886"/>
      <c r="M514" s="886"/>
      <c r="N514" s="886"/>
      <c r="O514" s="886"/>
      <c r="P514" s="886"/>
      <c r="Q514" s="886"/>
      <c r="R514" s="886"/>
      <c r="S514" s="886"/>
      <c r="T514" s="886"/>
      <c r="U514" s="886"/>
      <c r="V514" s="886"/>
      <c r="W514" s="886"/>
      <c r="X514" s="886"/>
    </row>
    <row r="515" spans="3:24">
      <c r="C515" s="942"/>
      <c r="D515" s="943"/>
      <c r="E515" s="886"/>
      <c r="F515" s="886"/>
      <c r="G515" s="886"/>
      <c r="H515" s="886"/>
      <c r="I515" s="886"/>
      <c r="J515" s="886"/>
      <c r="K515" s="886"/>
      <c r="L515" s="886"/>
      <c r="M515" s="886"/>
      <c r="N515" s="886"/>
      <c r="O515" s="886"/>
      <c r="P515" s="886"/>
      <c r="Q515" s="886"/>
      <c r="R515" s="886"/>
      <c r="S515" s="886"/>
      <c r="T515" s="886"/>
      <c r="U515" s="886"/>
      <c r="V515" s="886"/>
      <c r="W515" s="886"/>
      <c r="X515" s="886"/>
    </row>
    <row r="516" spans="3:24">
      <c r="C516" s="942"/>
      <c r="D516" s="943"/>
      <c r="E516" s="886"/>
      <c r="F516" s="886"/>
      <c r="G516" s="886"/>
      <c r="H516" s="886"/>
      <c r="I516" s="886"/>
      <c r="J516" s="886"/>
      <c r="K516" s="886"/>
      <c r="L516" s="886"/>
      <c r="M516" s="886"/>
      <c r="N516" s="886"/>
      <c r="O516" s="886"/>
      <c r="P516" s="886"/>
      <c r="Q516" s="886"/>
      <c r="R516" s="886"/>
      <c r="S516" s="886"/>
      <c r="T516" s="886"/>
      <c r="U516" s="886"/>
      <c r="V516" s="886"/>
      <c r="W516" s="886"/>
      <c r="X516" s="886"/>
    </row>
    <row r="517" spans="3:24">
      <c r="C517" s="942"/>
      <c r="D517" s="943"/>
      <c r="E517" s="886"/>
      <c r="F517" s="886"/>
      <c r="G517" s="886"/>
      <c r="H517" s="886"/>
      <c r="I517" s="886"/>
      <c r="J517" s="886"/>
      <c r="K517" s="886"/>
      <c r="L517" s="886"/>
      <c r="M517" s="886"/>
      <c r="N517" s="886"/>
      <c r="O517" s="886"/>
      <c r="P517" s="886"/>
      <c r="Q517" s="886"/>
      <c r="R517" s="886"/>
      <c r="S517" s="886"/>
      <c r="T517" s="886"/>
      <c r="U517" s="886"/>
      <c r="V517" s="886"/>
      <c r="W517" s="886"/>
      <c r="X517" s="886"/>
    </row>
    <row r="518" spans="3:24">
      <c r="C518" s="942"/>
      <c r="D518" s="943"/>
      <c r="E518" s="886"/>
      <c r="F518" s="886"/>
      <c r="G518" s="886"/>
      <c r="H518" s="886"/>
      <c r="I518" s="886"/>
      <c r="J518" s="886"/>
      <c r="K518" s="886"/>
      <c r="L518" s="886"/>
      <c r="M518" s="886"/>
      <c r="N518" s="886"/>
      <c r="O518" s="886"/>
      <c r="P518" s="886"/>
      <c r="Q518" s="886"/>
      <c r="R518" s="886"/>
      <c r="S518" s="886"/>
      <c r="T518" s="886"/>
      <c r="U518" s="886"/>
      <c r="V518" s="886"/>
      <c r="W518" s="886"/>
      <c r="X518" s="886"/>
    </row>
    <row r="519" spans="3:24">
      <c r="C519" s="942"/>
      <c r="D519" s="943"/>
      <c r="E519" s="886"/>
      <c r="F519" s="886"/>
      <c r="G519" s="886"/>
      <c r="H519" s="886"/>
      <c r="I519" s="886"/>
      <c r="J519" s="886"/>
      <c r="K519" s="886"/>
      <c r="L519" s="886"/>
      <c r="M519" s="886"/>
      <c r="N519" s="886"/>
      <c r="O519" s="886"/>
      <c r="P519" s="886"/>
      <c r="Q519" s="886"/>
      <c r="R519" s="886"/>
      <c r="S519" s="886"/>
      <c r="T519" s="886"/>
      <c r="U519" s="886"/>
      <c r="V519" s="886"/>
      <c r="W519" s="886"/>
      <c r="X519" s="886"/>
    </row>
    <row r="520" spans="3:24">
      <c r="C520" s="942"/>
      <c r="D520" s="943"/>
      <c r="E520" s="886"/>
      <c r="F520" s="886"/>
      <c r="G520" s="886"/>
      <c r="H520" s="886"/>
      <c r="I520" s="886"/>
      <c r="J520" s="886"/>
      <c r="K520" s="886"/>
      <c r="L520" s="886"/>
      <c r="M520" s="886"/>
      <c r="N520" s="886"/>
      <c r="O520" s="886"/>
      <c r="P520" s="886"/>
      <c r="Q520" s="886"/>
      <c r="R520" s="886"/>
      <c r="S520" s="886"/>
      <c r="T520" s="886"/>
      <c r="U520" s="886"/>
      <c r="V520" s="886"/>
      <c r="W520" s="886"/>
      <c r="X520" s="886"/>
    </row>
    <row r="521" spans="3:24">
      <c r="C521" s="942"/>
      <c r="D521" s="943"/>
      <c r="E521" s="886"/>
      <c r="F521" s="886"/>
      <c r="G521" s="886"/>
      <c r="H521" s="886"/>
      <c r="I521" s="886"/>
      <c r="J521" s="886"/>
      <c r="K521" s="886"/>
      <c r="L521" s="886"/>
      <c r="M521" s="886"/>
      <c r="N521" s="886"/>
      <c r="O521" s="886"/>
      <c r="P521" s="886"/>
      <c r="Q521" s="886"/>
      <c r="R521" s="886"/>
      <c r="S521" s="886"/>
      <c r="T521" s="886"/>
      <c r="U521" s="886"/>
      <c r="V521" s="886"/>
      <c r="W521" s="886"/>
      <c r="X521" s="886"/>
    </row>
    <row r="522" spans="3:24">
      <c r="C522" s="942"/>
      <c r="D522" s="943"/>
      <c r="E522" s="886"/>
      <c r="F522" s="886"/>
      <c r="G522" s="886"/>
      <c r="H522" s="886"/>
      <c r="I522" s="886"/>
      <c r="J522" s="886"/>
      <c r="K522" s="886"/>
      <c r="L522" s="886"/>
      <c r="M522" s="886"/>
      <c r="N522" s="886"/>
      <c r="O522" s="886"/>
      <c r="P522" s="886"/>
      <c r="Q522" s="886"/>
      <c r="R522" s="886"/>
      <c r="S522" s="886"/>
      <c r="T522" s="886"/>
      <c r="U522" s="886"/>
      <c r="V522" s="886"/>
      <c r="W522" s="886"/>
      <c r="X522" s="886"/>
    </row>
    <row r="523" spans="3:24">
      <c r="C523" s="942"/>
      <c r="D523" s="943"/>
      <c r="E523" s="886"/>
      <c r="F523" s="886"/>
      <c r="G523" s="886"/>
      <c r="H523" s="886"/>
      <c r="I523" s="886"/>
      <c r="J523" s="886"/>
      <c r="K523" s="886"/>
      <c r="L523" s="886"/>
      <c r="M523" s="886"/>
      <c r="N523" s="886"/>
      <c r="O523" s="886"/>
      <c r="P523" s="886"/>
      <c r="Q523" s="886"/>
      <c r="R523" s="886"/>
      <c r="S523" s="886"/>
      <c r="T523" s="886"/>
      <c r="U523" s="886"/>
      <c r="V523" s="886"/>
      <c r="W523" s="886"/>
      <c r="X523" s="886"/>
    </row>
    <row r="524" spans="3:24">
      <c r="C524" s="942"/>
      <c r="D524" s="943"/>
      <c r="E524" s="886"/>
      <c r="F524" s="886"/>
      <c r="G524" s="886"/>
      <c r="H524" s="886"/>
      <c r="I524" s="886"/>
      <c r="J524" s="886"/>
      <c r="K524" s="886"/>
      <c r="L524" s="886"/>
      <c r="M524" s="886"/>
      <c r="N524" s="886"/>
      <c r="O524" s="886"/>
      <c r="P524" s="886"/>
      <c r="Q524" s="886"/>
      <c r="R524" s="886"/>
      <c r="S524" s="886"/>
      <c r="T524" s="886"/>
      <c r="U524" s="886"/>
      <c r="V524" s="886"/>
      <c r="W524" s="886"/>
      <c r="X524" s="886"/>
    </row>
    <row r="525" spans="3:24">
      <c r="C525" s="942"/>
      <c r="D525" s="943"/>
      <c r="E525" s="886"/>
      <c r="F525" s="886"/>
      <c r="G525" s="886"/>
      <c r="H525" s="886"/>
      <c r="I525" s="886"/>
      <c r="J525" s="886"/>
      <c r="K525" s="886"/>
      <c r="L525" s="886"/>
      <c r="M525" s="886"/>
      <c r="N525" s="886"/>
      <c r="O525" s="886"/>
      <c r="P525" s="886"/>
      <c r="Q525" s="886"/>
      <c r="R525" s="886"/>
      <c r="S525" s="886"/>
      <c r="T525" s="886"/>
      <c r="U525" s="886"/>
      <c r="V525" s="886"/>
      <c r="W525" s="886"/>
      <c r="X525" s="886"/>
    </row>
    <row r="526" spans="3:24">
      <c r="C526" s="942"/>
      <c r="D526" s="943"/>
      <c r="E526" s="886"/>
      <c r="F526" s="886"/>
      <c r="G526" s="886"/>
      <c r="H526" s="886"/>
      <c r="I526" s="886"/>
      <c r="J526" s="886"/>
      <c r="K526" s="886"/>
      <c r="L526" s="886"/>
      <c r="M526" s="886"/>
      <c r="N526" s="886"/>
      <c r="O526" s="886"/>
      <c r="P526" s="886"/>
      <c r="Q526" s="886"/>
      <c r="R526" s="886"/>
      <c r="S526" s="886"/>
      <c r="T526" s="886"/>
      <c r="U526" s="886"/>
      <c r="V526" s="886"/>
      <c r="W526" s="886"/>
      <c r="X526" s="886"/>
    </row>
    <row r="527" spans="3:24">
      <c r="C527" s="942"/>
      <c r="D527" s="943"/>
      <c r="E527" s="886"/>
      <c r="F527" s="886"/>
      <c r="G527" s="886"/>
      <c r="H527" s="886"/>
      <c r="I527" s="886"/>
      <c r="J527" s="886"/>
      <c r="K527" s="886"/>
      <c r="L527" s="886"/>
      <c r="M527" s="886"/>
      <c r="N527" s="886"/>
      <c r="O527" s="886"/>
      <c r="P527" s="886"/>
      <c r="Q527" s="886"/>
      <c r="R527" s="886"/>
      <c r="S527" s="886"/>
      <c r="T527" s="886"/>
      <c r="U527" s="886"/>
      <c r="V527" s="886"/>
      <c r="W527" s="886"/>
      <c r="X527" s="886"/>
    </row>
    <row r="528" spans="3:24">
      <c r="C528" s="942"/>
      <c r="D528" s="943"/>
      <c r="E528" s="886"/>
      <c r="F528" s="886"/>
      <c r="G528" s="886"/>
      <c r="H528" s="886"/>
      <c r="I528" s="886"/>
      <c r="J528" s="886"/>
      <c r="K528" s="886"/>
      <c r="L528" s="886"/>
      <c r="M528" s="886"/>
      <c r="N528" s="886"/>
      <c r="O528" s="886"/>
      <c r="P528" s="886"/>
      <c r="Q528" s="886"/>
      <c r="R528" s="886"/>
      <c r="S528" s="886"/>
      <c r="T528" s="886"/>
      <c r="U528" s="886"/>
      <c r="V528" s="886"/>
      <c r="W528" s="886"/>
      <c r="X528" s="886"/>
    </row>
    <row r="529" spans="3:24">
      <c r="C529" s="942"/>
      <c r="D529" s="943"/>
      <c r="E529" s="886"/>
      <c r="F529" s="886"/>
      <c r="G529" s="886"/>
      <c r="H529" s="886"/>
      <c r="I529" s="886"/>
      <c r="J529" s="886"/>
      <c r="K529" s="886"/>
      <c r="L529" s="886"/>
      <c r="M529" s="886"/>
      <c r="N529" s="886"/>
      <c r="O529" s="886"/>
      <c r="P529" s="886"/>
      <c r="Q529" s="886"/>
      <c r="R529" s="886"/>
      <c r="S529" s="886"/>
      <c r="T529" s="886"/>
      <c r="U529" s="886"/>
      <c r="V529" s="886"/>
      <c r="W529" s="886"/>
      <c r="X529" s="886"/>
    </row>
    <row r="530" spans="3:24">
      <c r="C530" s="942"/>
      <c r="D530" s="943"/>
      <c r="E530" s="886"/>
      <c r="F530" s="886"/>
      <c r="G530" s="886"/>
      <c r="H530" s="886"/>
      <c r="I530" s="886"/>
      <c r="J530" s="886"/>
      <c r="K530" s="886"/>
      <c r="L530" s="886"/>
      <c r="M530" s="886"/>
      <c r="N530" s="886"/>
      <c r="O530" s="886"/>
      <c r="P530" s="886"/>
      <c r="Q530" s="886"/>
      <c r="R530" s="886"/>
      <c r="S530" s="886"/>
      <c r="T530" s="886"/>
      <c r="U530" s="886"/>
      <c r="V530" s="886"/>
      <c r="W530" s="886"/>
      <c r="X530" s="886"/>
    </row>
    <row r="531" spans="3:24">
      <c r="C531" s="942"/>
      <c r="D531" s="943"/>
      <c r="E531" s="886"/>
      <c r="F531" s="886"/>
      <c r="G531" s="886"/>
      <c r="H531" s="886"/>
      <c r="I531" s="886"/>
      <c r="J531" s="886"/>
      <c r="K531" s="886"/>
      <c r="L531" s="886"/>
      <c r="M531" s="886"/>
      <c r="N531" s="886"/>
      <c r="O531" s="886"/>
      <c r="P531" s="886"/>
      <c r="Q531" s="886"/>
      <c r="R531" s="886"/>
      <c r="S531" s="886"/>
      <c r="T531" s="886"/>
      <c r="U531" s="886"/>
      <c r="V531" s="886"/>
      <c r="W531" s="886"/>
      <c r="X531" s="886"/>
    </row>
    <row r="532" spans="3:24">
      <c r="C532" s="942"/>
      <c r="D532" s="943"/>
      <c r="E532" s="886"/>
      <c r="F532" s="886"/>
      <c r="G532" s="886"/>
      <c r="H532" s="886"/>
      <c r="I532" s="886"/>
      <c r="J532" s="886"/>
      <c r="K532" s="886"/>
      <c r="L532" s="886"/>
      <c r="M532" s="886"/>
      <c r="N532" s="886"/>
      <c r="O532" s="886"/>
      <c r="P532" s="886"/>
      <c r="Q532" s="886"/>
      <c r="R532" s="886"/>
      <c r="S532" s="886"/>
      <c r="T532" s="886"/>
      <c r="U532" s="886"/>
      <c r="V532" s="886"/>
      <c r="W532" s="886"/>
      <c r="X532" s="886"/>
    </row>
    <row r="533" spans="3:24">
      <c r="C533" s="942"/>
      <c r="D533" s="943"/>
      <c r="E533" s="886"/>
      <c r="F533" s="886"/>
      <c r="G533" s="886"/>
      <c r="H533" s="886"/>
      <c r="I533" s="886"/>
      <c r="J533" s="886"/>
      <c r="K533" s="886"/>
      <c r="L533" s="886"/>
      <c r="M533" s="886"/>
      <c r="N533" s="886"/>
      <c r="O533" s="886"/>
      <c r="P533" s="886"/>
      <c r="Q533" s="886"/>
      <c r="R533" s="886"/>
      <c r="S533" s="886"/>
      <c r="T533" s="886"/>
      <c r="U533" s="886"/>
      <c r="V533" s="886"/>
      <c r="W533" s="886"/>
      <c r="X533" s="886"/>
    </row>
    <row r="534" spans="3:24">
      <c r="C534" s="942"/>
      <c r="D534" s="943"/>
      <c r="E534" s="886"/>
      <c r="F534" s="886"/>
      <c r="G534" s="886"/>
      <c r="H534" s="886"/>
      <c r="I534" s="886"/>
      <c r="J534" s="886"/>
      <c r="K534" s="886"/>
      <c r="L534" s="886"/>
      <c r="M534" s="886"/>
      <c r="N534" s="886"/>
      <c r="O534" s="886"/>
      <c r="P534" s="886"/>
      <c r="Q534" s="886"/>
      <c r="R534" s="886"/>
      <c r="S534" s="886"/>
      <c r="T534" s="886"/>
      <c r="U534" s="886"/>
      <c r="V534" s="886"/>
      <c r="W534" s="886"/>
      <c r="X534" s="886"/>
    </row>
    <row r="535" spans="3:24">
      <c r="C535" s="942"/>
      <c r="D535" s="943"/>
      <c r="E535" s="886"/>
      <c r="F535" s="886"/>
      <c r="G535" s="886"/>
      <c r="H535" s="886"/>
      <c r="I535" s="886"/>
      <c r="J535" s="886"/>
      <c r="K535" s="886"/>
      <c r="L535" s="886"/>
      <c r="M535" s="886"/>
      <c r="N535" s="886"/>
      <c r="O535" s="886"/>
      <c r="P535" s="886"/>
      <c r="Q535" s="886"/>
      <c r="R535" s="886"/>
      <c r="S535" s="886"/>
      <c r="T535" s="886"/>
      <c r="U535" s="886"/>
      <c r="V535" s="886"/>
      <c r="W535" s="886"/>
      <c r="X535" s="886"/>
    </row>
    <row r="536" spans="3:24">
      <c r="C536" s="942"/>
      <c r="D536" s="943"/>
      <c r="E536" s="886"/>
      <c r="F536" s="886"/>
      <c r="G536" s="886"/>
      <c r="H536" s="886"/>
      <c r="I536" s="886"/>
      <c r="J536" s="886"/>
      <c r="K536" s="886"/>
      <c r="L536" s="886"/>
      <c r="M536" s="886"/>
      <c r="N536" s="886"/>
      <c r="O536" s="886"/>
      <c r="P536" s="886"/>
      <c r="Q536" s="886"/>
      <c r="R536" s="886"/>
      <c r="S536" s="886"/>
      <c r="T536" s="886"/>
      <c r="U536" s="886"/>
      <c r="V536" s="886"/>
      <c r="W536" s="886"/>
      <c r="X536" s="886"/>
    </row>
    <row r="537" spans="3:24">
      <c r="C537" s="942"/>
      <c r="D537" s="943"/>
      <c r="E537" s="886"/>
      <c r="F537" s="886"/>
      <c r="G537" s="886"/>
      <c r="H537" s="886"/>
      <c r="I537" s="886"/>
      <c r="J537" s="886"/>
      <c r="K537" s="886"/>
      <c r="L537" s="886"/>
      <c r="M537" s="886"/>
      <c r="N537" s="886"/>
      <c r="O537" s="886"/>
      <c r="P537" s="886"/>
      <c r="Q537" s="886"/>
      <c r="R537" s="886"/>
      <c r="S537" s="886"/>
      <c r="T537" s="886"/>
      <c r="U537" s="886"/>
      <c r="V537" s="886"/>
      <c r="W537" s="886"/>
      <c r="X537" s="886"/>
    </row>
    <row r="538" spans="3:24">
      <c r="C538" s="942"/>
      <c r="D538" s="943"/>
      <c r="E538" s="886"/>
      <c r="F538" s="886"/>
      <c r="G538" s="886"/>
      <c r="H538" s="886"/>
      <c r="I538" s="886"/>
      <c r="J538" s="886"/>
      <c r="K538" s="886"/>
      <c r="L538" s="886"/>
      <c r="M538" s="886"/>
      <c r="N538" s="886"/>
      <c r="O538" s="886"/>
      <c r="P538" s="886"/>
      <c r="Q538" s="886"/>
      <c r="R538" s="886"/>
      <c r="S538" s="886"/>
      <c r="T538" s="886"/>
      <c r="U538" s="886"/>
      <c r="V538" s="886"/>
      <c r="W538" s="886"/>
      <c r="X538" s="886"/>
    </row>
    <row r="539" spans="3:24">
      <c r="C539" s="942"/>
      <c r="D539" s="943"/>
      <c r="E539" s="886"/>
      <c r="F539" s="886"/>
      <c r="G539" s="886"/>
      <c r="H539" s="886"/>
      <c r="I539" s="886"/>
      <c r="J539" s="886"/>
      <c r="K539" s="886"/>
      <c r="L539" s="886"/>
      <c r="M539" s="886"/>
      <c r="N539" s="886"/>
      <c r="O539" s="886"/>
      <c r="P539" s="886"/>
      <c r="Q539" s="886"/>
      <c r="R539" s="886"/>
      <c r="S539" s="886"/>
      <c r="T539" s="886"/>
      <c r="U539" s="886"/>
      <c r="V539" s="886"/>
      <c r="W539" s="886"/>
      <c r="X539" s="886"/>
    </row>
    <row r="540" spans="3:24">
      <c r="C540" s="942"/>
      <c r="D540" s="943"/>
      <c r="E540" s="886"/>
      <c r="F540" s="886"/>
      <c r="G540" s="886"/>
      <c r="H540" s="886"/>
      <c r="I540" s="886"/>
      <c r="J540" s="886"/>
      <c r="K540" s="886"/>
      <c r="L540" s="886"/>
      <c r="M540" s="886"/>
      <c r="N540" s="886"/>
      <c r="O540" s="886"/>
      <c r="P540" s="886"/>
      <c r="Q540" s="886"/>
      <c r="R540" s="886"/>
      <c r="S540" s="886"/>
      <c r="T540" s="886"/>
      <c r="U540" s="886"/>
      <c r="V540" s="886"/>
      <c r="W540" s="886"/>
      <c r="X540" s="886"/>
    </row>
    <row r="541" spans="3:24">
      <c r="C541" s="942"/>
      <c r="D541" s="943"/>
      <c r="E541" s="886"/>
      <c r="F541" s="886"/>
      <c r="G541" s="886"/>
      <c r="H541" s="886"/>
      <c r="I541" s="886"/>
      <c r="J541" s="886"/>
      <c r="K541" s="886"/>
      <c r="L541" s="886"/>
      <c r="M541" s="886"/>
      <c r="N541" s="886"/>
      <c r="O541" s="886"/>
      <c r="P541" s="886"/>
      <c r="Q541" s="886"/>
      <c r="R541" s="886"/>
      <c r="S541" s="886"/>
      <c r="T541" s="886"/>
      <c r="U541" s="886"/>
      <c r="V541" s="886"/>
      <c r="W541" s="886"/>
      <c r="X541" s="886"/>
    </row>
    <row r="542" spans="3:24">
      <c r="C542" s="942"/>
      <c r="D542" s="943"/>
      <c r="E542" s="886"/>
      <c r="F542" s="886"/>
      <c r="G542" s="886"/>
      <c r="H542" s="886"/>
      <c r="I542" s="886"/>
      <c r="J542" s="886"/>
      <c r="K542" s="886"/>
      <c r="L542" s="886"/>
      <c r="M542" s="886"/>
      <c r="N542" s="886"/>
      <c r="O542" s="886"/>
      <c r="P542" s="886"/>
      <c r="Q542" s="886"/>
      <c r="R542" s="886"/>
      <c r="S542" s="886"/>
      <c r="T542" s="886"/>
      <c r="U542" s="886"/>
      <c r="V542" s="886"/>
      <c r="W542" s="886"/>
      <c r="X542" s="886"/>
    </row>
    <row r="543" spans="3:24">
      <c r="C543" s="942"/>
      <c r="D543" s="943"/>
      <c r="E543" s="886"/>
      <c r="F543" s="886"/>
      <c r="G543" s="886"/>
      <c r="H543" s="886"/>
      <c r="I543" s="886"/>
      <c r="J543" s="886"/>
      <c r="K543" s="886"/>
      <c r="L543" s="886"/>
      <c r="M543" s="886"/>
      <c r="N543" s="886"/>
      <c r="O543" s="886"/>
      <c r="P543" s="886"/>
      <c r="Q543" s="886"/>
      <c r="R543" s="886"/>
      <c r="S543" s="886"/>
      <c r="T543" s="886"/>
      <c r="U543" s="886"/>
      <c r="V543" s="886"/>
      <c r="W543" s="886"/>
      <c r="X543" s="886"/>
    </row>
    <row r="544" spans="3:24">
      <c r="C544" s="942"/>
      <c r="D544" s="943"/>
      <c r="E544" s="886"/>
      <c r="F544" s="886"/>
      <c r="G544" s="886"/>
      <c r="H544" s="886"/>
      <c r="I544" s="886"/>
      <c r="J544" s="886"/>
      <c r="K544" s="886"/>
      <c r="L544" s="886"/>
      <c r="M544" s="886"/>
      <c r="N544" s="886"/>
      <c r="O544" s="886"/>
      <c r="P544" s="886"/>
      <c r="Q544" s="886"/>
      <c r="R544" s="886"/>
      <c r="S544" s="886"/>
      <c r="T544" s="886"/>
      <c r="U544" s="886"/>
      <c r="V544" s="886"/>
      <c r="W544" s="886"/>
      <c r="X544" s="886"/>
    </row>
    <row r="545" spans="3:24">
      <c r="C545" s="942"/>
      <c r="D545" s="943"/>
      <c r="E545" s="886"/>
      <c r="F545" s="886"/>
      <c r="G545" s="886"/>
      <c r="H545" s="886"/>
      <c r="I545" s="886"/>
      <c r="J545" s="886"/>
      <c r="K545" s="886"/>
      <c r="L545" s="886"/>
      <c r="M545" s="886"/>
      <c r="N545" s="886"/>
      <c r="O545" s="886"/>
      <c r="P545" s="886"/>
      <c r="Q545" s="886"/>
      <c r="R545" s="886"/>
      <c r="S545" s="886"/>
      <c r="T545" s="886"/>
      <c r="U545" s="886"/>
      <c r="V545" s="886"/>
      <c r="W545" s="886"/>
      <c r="X545" s="886"/>
    </row>
    <row r="546" spans="3:24">
      <c r="C546" s="942"/>
      <c r="D546" s="943"/>
      <c r="E546" s="886"/>
      <c r="F546" s="886"/>
      <c r="G546" s="886"/>
      <c r="H546" s="886"/>
      <c r="I546" s="886"/>
      <c r="J546" s="886"/>
      <c r="K546" s="886"/>
      <c r="L546" s="886"/>
      <c r="M546" s="886"/>
      <c r="N546" s="886"/>
      <c r="O546" s="886"/>
      <c r="P546" s="886"/>
      <c r="Q546" s="886"/>
      <c r="R546" s="886"/>
      <c r="S546" s="886"/>
      <c r="T546" s="886"/>
      <c r="U546" s="886"/>
      <c r="V546" s="886"/>
      <c r="W546" s="886"/>
      <c r="X546" s="886"/>
    </row>
    <row r="547" spans="3:24">
      <c r="C547" s="942"/>
      <c r="D547" s="943"/>
      <c r="E547" s="886"/>
      <c r="F547" s="886"/>
      <c r="G547" s="886"/>
      <c r="H547" s="886"/>
      <c r="I547" s="886"/>
      <c r="J547" s="886"/>
      <c r="K547" s="886"/>
      <c r="L547" s="886"/>
      <c r="M547" s="886"/>
      <c r="N547" s="886"/>
      <c r="O547" s="886"/>
      <c r="P547" s="886"/>
      <c r="Q547" s="886"/>
      <c r="R547" s="886"/>
      <c r="S547" s="886"/>
      <c r="T547" s="886"/>
      <c r="U547" s="886"/>
      <c r="V547" s="886"/>
      <c r="W547" s="886"/>
      <c r="X547" s="886"/>
    </row>
    <row r="548" spans="3:24">
      <c r="C548" s="942"/>
      <c r="D548" s="943"/>
      <c r="E548" s="886"/>
      <c r="F548" s="886"/>
      <c r="G548" s="886"/>
      <c r="H548" s="886"/>
      <c r="I548" s="886"/>
      <c r="J548" s="886"/>
      <c r="K548" s="886"/>
      <c r="L548" s="886"/>
      <c r="M548" s="886"/>
      <c r="N548" s="886"/>
      <c r="O548" s="886"/>
      <c r="P548" s="886"/>
      <c r="Q548" s="886"/>
      <c r="R548" s="886"/>
      <c r="S548" s="886"/>
      <c r="T548" s="886"/>
      <c r="U548" s="886"/>
      <c r="V548" s="886"/>
      <c r="W548" s="886"/>
      <c r="X548" s="886"/>
    </row>
    <row r="549" spans="3:24">
      <c r="C549" s="942"/>
      <c r="D549" s="943"/>
      <c r="E549" s="886"/>
      <c r="F549" s="886"/>
      <c r="G549" s="886"/>
      <c r="H549" s="886"/>
      <c r="I549" s="886"/>
      <c r="J549" s="886"/>
      <c r="K549" s="886"/>
      <c r="L549" s="886"/>
      <c r="M549" s="886"/>
      <c r="N549" s="886"/>
      <c r="O549" s="886"/>
      <c r="P549" s="886"/>
      <c r="Q549" s="886"/>
      <c r="R549" s="886"/>
      <c r="S549" s="886"/>
      <c r="T549" s="886"/>
      <c r="U549" s="886"/>
      <c r="V549" s="886"/>
      <c r="W549" s="886"/>
      <c r="X549" s="886"/>
    </row>
    <row r="550" spans="3:24">
      <c r="C550" s="942"/>
      <c r="D550" s="943"/>
      <c r="E550" s="886"/>
      <c r="F550" s="886"/>
      <c r="G550" s="886"/>
      <c r="H550" s="886"/>
      <c r="I550" s="886"/>
      <c r="J550" s="886"/>
      <c r="K550" s="886"/>
      <c r="L550" s="886"/>
      <c r="M550" s="886"/>
      <c r="N550" s="886"/>
      <c r="O550" s="886"/>
      <c r="P550" s="886"/>
      <c r="Q550" s="886"/>
      <c r="R550" s="886"/>
      <c r="S550" s="886"/>
      <c r="T550" s="886"/>
      <c r="U550" s="886"/>
      <c r="V550" s="886"/>
      <c r="W550" s="886"/>
      <c r="X550" s="886"/>
    </row>
    <row r="551" spans="3:24">
      <c r="C551" s="942"/>
      <c r="D551" s="943"/>
      <c r="E551" s="886"/>
      <c r="F551" s="886"/>
      <c r="G551" s="886"/>
      <c r="H551" s="886"/>
      <c r="I551" s="886"/>
      <c r="J551" s="886"/>
      <c r="K551" s="886"/>
      <c r="L551" s="886"/>
      <c r="M551" s="886"/>
      <c r="N551" s="886"/>
      <c r="O551" s="886"/>
      <c r="P551" s="886"/>
      <c r="Q551" s="886"/>
      <c r="R551" s="886"/>
      <c r="S551" s="886"/>
      <c r="T551" s="886"/>
      <c r="U551" s="886"/>
      <c r="V551" s="886"/>
      <c r="W551" s="886"/>
      <c r="X551" s="886"/>
    </row>
    <row r="552" spans="3:24">
      <c r="C552" s="942"/>
      <c r="D552" s="943"/>
      <c r="E552" s="886"/>
      <c r="F552" s="886"/>
      <c r="G552" s="886"/>
      <c r="H552" s="886"/>
      <c r="I552" s="886"/>
      <c r="J552" s="886"/>
      <c r="K552" s="886"/>
      <c r="L552" s="886"/>
      <c r="M552" s="886"/>
      <c r="N552" s="886"/>
      <c r="O552" s="886"/>
      <c r="P552" s="886"/>
      <c r="Q552" s="886"/>
      <c r="R552" s="886"/>
      <c r="S552" s="886"/>
      <c r="T552" s="886"/>
      <c r="U552" s="886"/>
      <c r="V552" s="886"/>
      <c r="W552" s="886"/>
      <c r="X552" s="886"/>
    </row>
    <row r="553" spans="3:24">
      <c r="C553" s="942"/>
      <c r="D553" s="943"/>
      <c r="E553" s="886"/>
      <c r="F553" s="886"/>
      <c r="G553" s="886"/>
      <c r="H553" s="886"/>
      <c r="I553" s="886"/>
      <c r="J553" s="886"/>
      <c r="K553" s="886"/>
      <c r="L553" s="886"/>
      <c r="M553" s="886"/>
      <c r="N553" s="886"/>
      <c r="O553" s="886"/>
      <c r="P553" s="886"/>
      <c r="Q553" s="886"/>
      <c r="R553" s="886"/>
      <c r="S553" s="886"/>
      <c r="T553" s="886"/>
      <c r="U553" s="886"/>
      <c r="V553" s="886"/>
      <c r="W553" s="886"/>
      <c r="X553" s="886"/>
    </row>
    <row r="554" spans="3:24">
      <c r="C554" s="942"/>
      <c r="D554" s="943"/>
      <c r="E554" s="886"/>
      <c r="F554" s="886"/>
      <c r="G554" s="886"/>
      <c r="H554" s="886"/>
      <c r="I554" s="886"/>
      <c r="J554" s="886"/>
      <c r="K554" s="886"/>
      <c r="L554" s="886"/>
      <c r="M554" s="886"/>
      <c r="N554" s="886"/>
      <c r="O554" s="886"/>
      <c r="P554" s="886"/>
      <c r="Q554" s="886"/>
      <c r="R554" s="886"/>
      <c r="S554" s="886"/>
      <c r="T554" s="886"/>
      <c r="U554" s="886"/>
      <c r="V554" s="886"/>
      <c r="W554" s="886"/>
      <c r="X554" s="886"/>
    </row>
    <row r="555" spans="3:24">
      <c r="C555" s="942"/>
      <c r="D555" s="943"/>
      <c r="E555" s="886"/>
      <c r="F555" s="886"/>
      <c r="G555" s="886"/>
      <c r="H555" s="886"/>
      <c r="I555" s="886"/>
      <c r="J555" s="886"/>
      <c r="K555" s="886"/>
      <c r="L555" s="886"/>
      <c r="M555" s="886"/>
      <c r="N555" s="886"/>
      <c r="O555" s="886"/>
      <c r="P555" s="886"/>
      <c r="Q555" s="886"/>
      <c r="R555" s="886"/>
      <c r="S555" s="886"/>
      <c r="T555" s="886"/>
      <c r="U555" s="886"/>
      <c r="V555" s="886"/>
      <c r="W555" s="886"/>
      <c r="X555" s="886"/>
    </row>
    <row r="556" spans="3:24">
      <c r="C556" s="942"/>
      <c r="D556" s="943"/>
      <c r="E556" s="886"/>
      <c r="F556" s="886"/>
      <c r="G556" s="886"/>
      <c r="H556" s="886"/>
      <c r="I556" s="886"/>
      <c r="J556" s="886"/>
      <c r="K556" s="886"/>
      <c r="L556" s="886"/>
      <c r="M556" s="886"/>
      <c r="N556" s="886"/>
      <c r="O556" s="886"/>
      <c r="P556" s="886"/>
      <c r="Q556" s="886"/>
      <c r="R556" s="886"/>
      <c r="S556" s="886"/>
      <c r="T556" s="886"/>
      <c r="U556" s="886"/>
      <c r="V556" s="886"/>
      <c r="W556" s="886"/>
      <c r="X556" s="886"/>
    </row>
    <row r="557" spans="3:24">
      <c r="C557" s="942"/>
      <c r="D557" s="943"/>
      <c r="E557" s="886"/>
      <c r="F557" s="886"/>
      <c r="G557" s="886"/>
      <c r="H557" s="886"/>
      <c r="I557" s="886"/>
      <c r="J557" s="886"/>
      <c r="K557" s="886"/>
      <c r="L557" s="886"/>
      <c r="M557" s="886"/>
      <c r="N557" s="886"/>
      <c r="O557" s="886"/>
      <c r="P557" s="886"/>
      <c r="Q557" s="886"/>
      <c r="R557" s="886"/>
      <c r="S557" s="886"/>
      <c r="T557" s="886"/>
      <c r="U557" s="886"/>
      <c r="V557" s="886"/>
      <c r="W557" s="886"/>
      <c r="X557" s="886"/>
    </row>
    <row r="558" spans="3:24">
      <c r="C558" s="942"/>
      <c r="D558" s="943"/>
      <c r="E558" s="886"/>
      <c r="F558" s="886"/>
      <c r="G558" s="886"/>
      <c r="H558" s="886"/>
      <c r="I558" s="886"/>
      <c r="J558" s="886"/>
      <c r="K558" s="886"/>
      <c r="L558" s="886"/>
      <c r="M558" s="886"/>
      <c r="N558" s="886"/>
      <c r="O558" s="886"/>
      <c r="P558" s="886"/>
      <c r="Q558" s="886"/>
      <c r="R558" s="886"/>
      <c r="S558" s="886"/>
      <c r="T558" s="886"/>
      <c r="U558" s="886"/>
      <c r="V558" s="886"/>
      <c r="W558" s="886"/>
      <c r="X558" s="886"/>
    </row>
    <row r="559" spans="3:24">
      <c r="C559" s="942"/>
      <c r="D559" s="943"/>
      <c r="E559" s="886"/>
      <c r="F559" s="886"/>
      <c r="G559" s="886"/>
      <c r="H559" s="886"/>
      <c r="I559" s="886"/>
      <c r="J559" s="886"/>
      <c r="K559" s="886"/>
      <c r="L559" s="886"/>
      <c r="M559" s="886"/>
      <c r="N559" s="886"/>
      <c r="O559" s="886"/>
      <c r="P559" s="886"/>
      <c r="Q559" s="886"/>
      <c r="R559" s="886"/>
      <c r="S559" s="886"/>
      <c r="T559" s="886"/>
      <c r="U559" s="886"/>
      <c r="V559" s="886"/>
      <c r="W559" s="886"/>
      <c r="X559" s="886"/>
    </row>
    <row r="560" spans="3:24">
      <c r="C560" s="942"/>
      <c r="D560" s="943"/>
      <c r="E560" s="886"/>
      <c r="F560" s="886"/>
      <c r="G560" s="886"/>
      <c r="H560" s="886"/>
      <c r="I560" s="886"/>
      <c r="J560" s="886"/>
      <c r="K560" s="886"/>
      <c r="L560" s="886"/>
      <c r="M560" s="886"/>
      <c r="N560" s="886"/>
      <c r="O560" s="886"/>
      <c r="P560" s="886"/>
      <c r="Q560" s="886"/>
      <c r="R560" s="886"/>
      <c r="S560" s="886"/>
      <c r="T560" s="886"/>
      <c r="U560" s="886"/>
      <c r="V560" s="886"/>
      <c r="W560" s="886"/>
      <c r="X560" s="886"/>
    </row>
    <row r="561" spans="3:24">
      <c r="C561" s="942"/>
      <c r="D561" s="943"/>
      <c r="E561" s="886"/>
      <c r="F561" s="886"/>
      <c r="G561" s="886"/>
      <c r="H561" s="886"/>
      <c r="I561" s="886"/>
      <c r="J561" s="886"/>
      <c r="K561" s="886"/>
      <c r="L561" s="886"/>
      <c r="M561" s="886"/>
      <c r="N561" s="886"/>
      <c r="O561" s="886"/>
      <c r="P561" s="886"/>
      <c r="Q561" s="886"/>
      <c r="R561" s="886"/>
      <c r="S561" s="886"/>
      <c r="T561" s="886"/>
      <c r="U561" s="886"/>
      <c r="V561" s="886"/>
      <c r="W561" s="886"/>
      <c r="X561" s="886"/>
    </row>
    <row r="562" spans="3:24">
      <c r="C562" s="942"/>
      <c r="D562" s="943"/>
      <c r="E562" s="886"/>
      <c r="F562" s="886"/>
      <c r="G562" s="886"/>
      <c r="H562" s="886"/>
      <c r="I562" s="886"/>
      <c r="J562" s="886"/>
      <c r="K562" s="886"/>
      <c r="L562" s="886"/>
      <c r="M562" s="886"/>
      <c r="N562" s="886"/>
      <c r="O562" s="886"/>
      <c r="P562" s="886"/>
      <c r="Q562" s="886"/>
      <c r="R562" s="886"/>
      <c r="S562" s="886"/>
      <c r="T562" s="886"/>
      <c r="U562" s="886"/>
      <c r="V562" s="886"/>
      <c r="W562" s="886"/>
      <c r="X562" s="886"/>
    </row>
    <row r="563" spans="3:24">
      <c r="C563" s="942"/>
      <c r="D563" s="943"/>
      <c r="E563" s="886"/>
      <c r="F563" s="886"/>
      <c r="G563" s="886"/>
      <c r="H563" s="886"/>
      <c r="I563" s="886"/>
      <c r="J563" s="886"/>
      <c r="K563" s="886"/>
      <c r="L563" s="886"/>
      <c r="M563" s="886"/>
      <c r="N563" s="886"/>
      <c r="O563" s="886"/>
      <c r="P563" s="886"/>
      <c r="Q563" s="886"/>
      <c r="R563" s="886"/>
      <c r="S563" s="886"/>
      <c r="T563" s="886"/>
      <c r="U563" s="886"/>
      <c r="V563" s="886"/>
      <c r="W563" s="886"/>
      <c r="X563" s="886"/>
    </row>
    <row r="564" spans="3:24">
      <c r="C564" s="942"/>
      <c r="D564" s="943"/>
      <c r="E564" s="886"/>
      <c r="F564" s="886"/>
      <c r="G564" s="886"/>
      <c r="H564" s="886"/>
      <c r="I564" s="886"/>
      <c r="J564" s="886"/>
      <c r="K564" s="886"/>
      <c r="L564" s="886"/>
      <c r="M564" s="886"/>
      <c r="N564" s="886"/>
      <c r="O564" s="886"/>
      <c r="P564" s="886"/>
      <c r="Q564" s="886"/>
      <c r="R564" s="886"/>
      <c r="S564" s="886"/>
      <c r="T564" s="886"/>
      <c r="U564" s="886"/>
      <c r="V564" s="886"/>
      <c r="W564" s="886"/>
      <c r="X564" s="886"/>
    </row>
    <row r="565" spans="3:24">
      <c r="C565" s="942"/>
      <c r="D565" s="943"/>
      <c r="E565" s="886"/>
      <c r="F565" s="886"/>
      <c r="G565" s="886"/>
      <c r="H565" s="886"/>
      <c r="I565" s="886"/>
      <c r="J565" s="886"/>
      <c r="K565" s="886"/>
      <c r="L565" s="886"/>
      <c r="M565" s="886"/>
      <c r="N565" s="886"/>
      <c r="O565" s="886"/>
      <c r="P565" s="886"/>
      <c r="Q565" s="886"/>
      <c r="R565" s="886"/>
      <c r="S565" s="886"/>
      <c r="T565" s="886"/>
      <c r="U565" s="886"/>
      <c r="V565" s="886"/>
      <c r="W565" s="886"/>
      <c r="X565" s="886"/>
    </row>
    <row r="566" spans="3:24">
      <c r="C566" s="942"/>
      <c r="D566" s="943"/>
      <c r="E566" s="886"/>
      <c r="F566" s="886"/>
      <c r="G566" s="886"/>
      <c r="H566" s="886"/>
      <c r="I566" s="886"/>
      <c r="J566" s="886"/>
      <c r="K566" s="886"/>
      <c r="L566" s="886"/>
      <c r="M566" s="886"/>
      <c r="N566" s="886"/>
      <c r="O566" s="886"/>
      <c r="P566" s="886"/>
      <c r="Q566" s="886"/>
      <c r="R566" s="886"/>
      <c r="S566" s="886"/>
      <c r="T566" s="886"/>
      <c r="U566" s="886"/>
      <c r="V566" s="886"/>
      <c r="W566" s="886"/>
      <c r="X566" s="886"/>
    </row>
    <row r="567" spans="3:24">
      <c r="C567" s="942"/>
      <c r="D567" s="943"/>
      <c r="E567" s="886"/>
      <c r="F567" s="886"/>
      <c r="G567" s="886"/>
      <c r="H567" s="886"/>
      <c r="I567" s="886"/>
      <c r="J567" s="886"/>
      <c r="K567" s="886"/>
      <c r="L567" s="886"/>
      <c r="M567" s="886"/>
      <c r="N567" s="886"/>
      <c r="O567" s="886"/>
      <c r="P567" s="886"/>
      <c r="Q567" s="886"/>
      <c r="R567" s="886"/>
      <c r="S567" s="886"/>
      <c r="T567" s="886"/>
      <c r="U567" s="886"/>
      <c r="V567" s="886"/>
      <c r="W567" s="886"/>
      <c r="X567" s="886"/>
    </row>
    <row r="568" spans="3:24">
      <c r="C568" s="942"/>
      <c r="D568" s="943"/>
      <c r="E568" s="886"/>
      <c r="F568" s="886"/>
      <c r="G568" s="886"/>
      <c r="H568" s="886"/>
      <c r="I568" s="886"/>
      <c r="J568" s="886"/>
      <c r="K568" s="886"/>
      <c r="L568" s="886"/>
      <c r="M568" s="886"/>
      <c r="N568" s="886"/>
      <c r="O568" s="886"/>
      <c r="P568" s="886"/>
      <c r="Q568" s="886"/>
      <c r="R568" s="886"/>
      <c r="S568" s="886"/>
      <c r="T568" s="886"/>
      <c r="U568" s="886"/>
      <c r="V568" s="886"/>
      <c r="W568" s="886"/>
      <c r="X568" s="886"/>
    </row>
    <row r="569" spans="3:24">
      <c r="C569" s="942"/>
      <c r="D569" s="943"/>
      <c r="E569" s="886"/>
      <c r="F569" s="886"/>
      <c r="G569" s="886"/>
      <c r="H569" s="886"/>
      <c r="I569" s="886"/>
      <c r="J569" s="886"/>
      <c r="K569" s="886"/>
      <c r="L569" s="886"/>
      <c r="M569" s="886"/>
      <c r="N569" s="886"/>
      <c r="O569" s="886"/>
      <c r="P569" s="886"/>
      <c r="Q569" s="886"/>
      <c r="R569" s="886"/>
      <c r="S569" s="886"/>
      <c r="T569" s="886"/>
      <c r="U569" s="886"/>
      <c r="V569" s="886"/>
      <c r="W569" s="886"/>
      <c r="X569" s="886"/>
    </row>
    <row r="570" spans="3:24">
      <c r="C570" s="942"/>
      <c r="D570" s="943"/>
      <c r="E570" s="886"/>
      <c r="F570" s="886"/>
      <c r="G570" s="886"/>
      <c r="H570" s="886"/>
      <c r="I570" s="886"/>
      <c r="J570" s="886"/>
      <c r="K570" s="886"/>
      <c r="L570" s="886"/>
      <c r="M570" s="886"/>
      <c r="N570" s="886"/>
      <c r="O570" s="886"/>
      <c r="P570" s="886"/>
      <c r="Q570" s="886"/>
      <c r="R570" s="886"/>
      <c r="S570" s="886"/>
      <c r="T570" s="886"/>
      <c r="U570" s="886"/>
      <c r="V570" s="886"/>
      <c r="W570" s="886"/>
      <c r="X570" s="886"/>
    </row>
    <row r="571" spans="3:24">
      <c r="C571" s="942"/>
      <c r="D571" s="943"/>
      <c r="E571" s="886"/>
      <c r="F571" s="886"/>
      <c r="G571" s="886"/>
      <c r="H571" s="886"/>
      <c r="I571" s="886"/>
      <c r="J571" s="886"/>
      <c r="K571" s="886"/>
      <c r="L571" s="886"/>
      <c r="M571" s="886"/>
      <c r="N571" s="886"/>
      <c r="O571" s="886"/>
      <c r="P571" s="886"/>
      <c r="Q571" s="886"/>
      <c r="R571" s="886"/>
      <c r="S571" s="886"/>
      <c r="T571" s="886"/>
      <c r="U571" s="886"/>
      <c r="V571" s="886"/>
      <c r="W571" s="886"/>
      <c r="X571" s="886"/>
    </row>
    <row r="572" spans="3:24">
      <c r="C572" s="942"/>
      <c r="D572" s="943"/>
      <c r="E572" s="886"/>
      <c r="F572" s="886"/>
      <c r="G572" s="886"/>
      <c r="H572" s="886"/>
      <c r="I572" s="886"/>
      <c r="J572" s="886"/>
      <c r="K572" s="886"/>
      <c r="L572" s="886"/>
      <c r="M572" s="886"/>
      <c r="N572" s="886"/>
      <c r="O572" s="886"/>
      <c r="P572" s="886"/>
      <c r="Q572" s="886"/>
      <c r="R572" s="886"/>
      <c r="S572" s="886"/>
      <c r="T572" s="886"/>
      <c r="U572" s="886"/>
      <c r="V572" s="886"/>
      <c r="W572" s="886"/>
      <c r="X572" s="886"/>
    </row>
    <row r="573" spans="3:24">
      <c r="C573" s="942"/>
      <c r="D573" s="943"/>
      <c r="E573" s="886"/>
      <c r="F573" s="886"/>
      <c r="G573" s="886"/>
      <c r="H573" s="886"/>
      <c r="I573" s="886"/>
      <c r="J573" s="886"/>
      <c r="K573" s="886"/>
      <c r="L573" s="886"/>
      <c r="M573" s="886"/>
      <c r="N573" s="886"/>
      <c r="O573" s="886"/>
      <c r="P573" s="886"/>
      <c r="Q573" s="886"/>
      <c r="R573" s="886"/>
      <c r="S573" s="886"/>
      <c r="T573" s="886"/>
      <c r="U573" s="886"/>
      <c r="V573" s="886"/>
      <c r="W573" s="886"/>
      <c r="X573" s="886"/>
    </row>
    <row r="574" spans="3:24">
      <c r="C574" s="942"/>
      <c r="D574" s="943"/>
      <c r="E574" s="886"/>
      <c r="F574" s="886"/>
      <c r="G574" s="886"/>
      <c r="H574" s="886"/>
      <c r="I574" s="886"/>
      <c r="J574" s="886"/>
      <c r="K574" s="886"/>
      <c r="L574" s="886"/>
      <c r="M574" s="886"/>
      <c r="N574" s="886"/>
      <c r="O574" s="886"/>
      <c r="P574" s="886"/>
      <c r="Q574" s="886"/>
      <c r="R574" s="886"/>
      <c r="S574" s="886"/>
      <c r="T574" s="886"/>
      <c r="U574" s="886"/>
      <c r="V574" s="886"/>
      <c r="W574" s="886"/>
      <c r="X574" s="886"/>
    </row>
    <row r="575" spans="3:24">
      <c r="C575" s="942"/>
      <c r="D575" s="943"/>
      <c r="E575" s="886"/>
      <c r="F575" s="886"/>
      <c r="G575" s="886"/>
      <c r="H575" s="886"/>
      <c r="I575" s="886"/>
      <c r="J575" s="886"/>
      <c r="K575" s="886"/>
      <c r="L575" s="886"/>
      <c r="M575" s="886"/>
      <c r="N575" s="886"/>
      <c r="O575" s="886"/>
      <c r="P575" s="886"/>
      <c r="Q575" s="886"/>
      <c r="R575" s="886"/>
      <c r="S575" s="886"/>
      <c r="T575" s="886"/>
      <c r="U575" s="886"/>
      <c r="V575" s="886"/>
      <c r="W575" s="886"/>
      <c r="X575" s="886"/>
    </row>
    <row r="576" spans="3:24">
      <c r="C576" s="942"/>
      <c r="D576" s="943"/>
      <c r="E576" s="886"/>
      <c r="F576" s="886"/>
      <c r="G576" s="886"/>
      <c r="H576" s="886"/>
      <c r="I576" s="886"/>
      <c r="J576" s="886"/>
      <c r="K576" s="886"/>
      <c r="L576" s="886"/>
      <c r="M576" s="886"/>
      <c r="N576" s="886"/>
      <c r="O576" s="886"/>
      <c r="P576" s="886"/>
      <c r="Q576" s="886"/>
      <c r="R576" s="886"/>
      <c r="S576" s="886"/>
      <c r="T576" s="886"/>
      <c r="U576" s="886"/>
      <c r="V576" s="886"/>
      <c r="W576" s="886"/>
      <c r="X576" s="886"/>
    </row>
    <row r="577" spans="3:24">
      <c r="C577" s="942"/>
      <c r="D577" s="943"/>
      <c r="E577" s="886"/>
      <c r="F577" s="886"/>
      <c r="G577" s="886"/>
      <c r="H577" s="886"/>
      <c r="I577" s="886"/>
      <c r="J577" s="886"/>
      <c r="K577" s="886"/>
      <c r="L577" s="886"/>
      <c r="M577" s="886"/>
      <c r="N577" s="886"/>
      <c r="O577" s="886"/>
      <c r="P577" s="886"/>
      <c r="Q577" s="886"/>
      <c r="R577" s="886"/>
      <c r="S577" s="886"/>
      <c r="T577" s="886"/>
      <c r="U577" s="886"/>
      <c r="V577" s="886"/>
      <c r="W577" s="886"/>
      <c r="X577" s="886"/>
    </row>
    <row r="578" spans="3:24">
      <c r="C578" s="942"/>
      <c r="D578" s="943"/>
      <c r="E578" s="886"/>
      <c r="F578" s="886"/>
      <c r="G578" s="886"/>
      <c r="H578" s="886"/>
      <c r="I578" s="886"/>
      <c r="J578" s="886"/>
      <c r="K578" s="886"/>
      <c r="L578" s="886"/>
      <c r="M578" s="886"/>
      <c r="N578" s="886"/>
      <c r="O578" s="886"/>
      <c r="P578" s="886"/>
      <c r="Q578" s="886"/>
      <c r="R578" s="886"/>
      <c r="S578" s="886"/>
      <c r="T578" s="886"/>
      <c r="U578" s="886"/>
      <c r="V578" s="886"/>
      <c r="W578" s="886"/>
      <c r="X578" s="886"/>
    </row>
    <row r="579" spans="3:24">
      <c r="C579" s="942"/>
      <c r="D579" s="943"/>
      <c r="E579" s="886"/>
      <c r="F579" s="886"/>
      <c r="G579" s="886"/>
      <c r="H579" s="886"/>
      <c r="I579" s="886"/>
      <c r="J579" s="886"/>
      <c r="K579" s="886"/>
      <c r="L579" s="886"/>
      <c r="M579" s="886"/>
      <c r="N579" s="886"/>
      <c r="O579" s="886"/>
      <c r="P579" s="886"/>
      <c r="Q579" s="886"/>
      <c r="R579" s="886"/>
      <c r="S579" s="886"/>
      <c r="T579" s="886"/>
      <c r="U579" s="886"/>
      <c r="V579" s="886"/>
      <c r="W579" s="886"/>
      <c r="X579" s="886"/>
    </row>
    <row r="580" spans="3:24">
      <c r="C580" s="942"/>
      <c r="D580" s="943"/>
      <c r="E580" s="886"/>
      <c r="F580" s="886"/>
      <c r="G580" s="886"/>
      <c r="H580" s="886"/>
      <c r="I580" s="886"/>
      <c r="J580" s="886"/>
      <c r="K580" s="886"/>
      <c r="L580" s="886"/>
      <c r="M580" s="886"/>
      <c r="N580" s="886"/>
      <c r="O580" s="886"/>
      <c r="P580" s="886"/>
      <c r="Q580" s="886"/>
      <c r="R580" s="886"/>
      <c r="S580" s="886"/>
      <c r="T580" s="886"/>
      <c r="U580" s="886"/>
      <c r="V580" s="886"/>
      <c r="W580" s="886"/>
      <c r="X580" s="886"/>
    </row>
    <row r="581" spans="3:24">
      <c r="C581" s="942"/>
      <c r="D581" s="943"/>
      <c r="E581" s="886"/>
      <c r="F581" s="886"/>
      <c r="G581" s="886"/>
      <c r="H581" s="886"/>
      <c r="I581" s="886"/>
      <c r="J581" s="886"/>
      <c r="K581" s="886"/>
      <c r="L581" s="886"/>
      <c r="M581" s="886"/>
      <c r="N581" s="886"/>
      <c r="O581" s="886"/>
      <c r="P581" s="886"/>
      <c r="Q581" s="886"/>
      <c r="R581" s="886"/>
      <c r="S581" s="886"/>
      <c r="T581" s="886"/>
      <c r="U581" s="886"/>
      <c r="V581" s="886"/>
      <c r="W581" s="886"/>
      <c r="X581" s="886"/>
    </row>
    <row r="582" spans="3:24">
      <c r="C582" s="942"/>
      <c r="D582" s="943"/>
      <c r="E582" s="886"/>
      <c r="F582" s="886"/>
      <c r="G582" s="886"/>
      <c r="H582" s="886"/>
      <c r="I582" s="886"/>
      <c r="J582" s="886"/>
      <c r="K582" s="886"/>
      <c r="L582" s="886"/>
      <c r="M582" s="886"/>
      <c r="N582" s="886"/>
      <c r="O582" s="886"/>
      <c r="P582" s="886"/>
      <c r="Q582" s="886"/>
      <c r="R582" s="886"/>
      <c r="S582" s="886"/>
      <c r="T582" s="886"/>
      <c r="U582" s="886"/>
      <c r="V582" s="886"/>
      <c r="W582" s="886"/>
      <c r="X582" s="886"/>
    </row>
    <row r="583" spans="3:24">
      <c r="C583" s="942"/>
      <c r="D583" s="943"/>
      <c r="E583" s="886"/>
      <c r="F583" s="886"/>
      <c r="G583" s="886"/>
      <c r="H583" s="886"/>
      <c r="I583" s="886"/>
      <c r="J583" s="886"/>
      <c r="K583" s="886"/>
      <c r="L583" s="886"/>
      <c r="M583" s="886"/>
      <c r="N583" s="886"/>
      <c r="O583" s="886"/>
      <c r="P583" s="886"/>
      <c r="Q583" s="886"/>
      <c r="R583" s="886"/>
      <c r="S583" s="886"/>
      <c r="T583" s="886"/>
      <c r="U583" s="886"/>
      <c r="V583" s="886"/>
      <c r="W583" s="886"/>
      <c r="X583" s="886"/>
    </row>
    <row r="584" spans="3:24">
      <c r="C584" s="942"/>
      <c r="D584" s="943"/>
      <c r="E584" s="886"/>
      <c r="F584" s="886"/>
      <c r="G584" s="886"/>
      <c r="H584" s="886"/>
      <c r="I584" s="886"/>
      <c r="J584" s="886"/>
      <c r="K584" s="886"/>
      <c r="L584" s="886"/>
      <c r="M584" s="886"/>
      <c r="N584" s="886"/>
      <c r="O584" s="886"/>
      <c r="P584" s="886"/>
      <c r="Q584" s="886"/>
      <c r="R584" s="886"/>
      <c r="S584" s="886"/>
      <c r="T584" s="886"/>
      <c r="U584" s="886"/>
      <c r="V584" s="886"/>
      <c r="W584" s="886"/>
      <c r="X584" s="886"/>
    </row>
    <row r="585" spans="3:24">
      <c r="C585" s="942"/>
      <c r="D585" s="943"/>
      <c r="E585" s="886"/>
      <c r="F585" s="886"/>
      <c r="G585" s="886"/>
      <c r="H585" s="886"/>
      <c r="I585" s="886"/>
      <c r="J585" s="886"/>
      <c r="K585" s="886"/>
      <c r="L585" s="886"/>
      <c r="M585" s="886"/>
      <c r="N585" s="886"/>
      <c r="O585" s="886"/>
      <c r="P585" s="886"/>
      <c r="Q585" s="886"/>
      <c r="R585" s="886"/>
      <c r="S585" s="886"/>
      <c r="T585" s="886"/>
      <c r="U585" s="886"/>
      <c r="V585" s="886"/>
      <c r="W585" s="886"/>
      <c r="X585" s="886"/>
    </row>
    <row r="586" spans="3:24">
      <c r="C586" s="942"/>
      <c r="D586" s="943"/>
      <c r="E586" s="886"/>
      <c r="F586" s="886"/>
      <c r="G586" s="886"/>
      <c r="H586" s="886"/>
      <c r="I586" s="886"/>
      <c r="J586" s="886"/>
      <c r="K586" s="886"/>
      <c r="L586" s="886"/>
      <c r="M586" s="886"/>
      <c r="N586" s="886"/>
      <c r="O586" s="886"/>
      <c r="P586" s="886"/>
      <c r="Q586" s="886"/>
      <c r="R586" s="886"/>
      <c r="S586" s="886"/>
      <c r="T586" s="886"/>
      <c r="U586" s="886"/>
      <c r="V586" s="886"/>
      <c r="W586" s="886"/>
      <c r="X586" s="886"/>
    </row>
    <row r="587" spans="3:24">
      <c r="C587" s="942"/>
      <c r="D587" s="943"/>
      <c r="E587" s="886"/>
      <c r="F587" s="886"/>
      <c r="G587" s="886"/>
      <c r="H587" s="886"/>
      <c r="I587" s="886"/>
      <c r="J587" s="886"/>
      <c r="K587" s="886"/>
      <c r="L587" s="886"/>
      <c r="M587" s="886"/>
      <c r="N587" s="886"/>
      <c r="O587" s="886"/>
      <c r="P587" s="886"/>
      <c r="Q587" s="886"/>
      <c r="R587" s="886"/>
      <c r="S587" s="886"/>
      <c r="T587" s="886"/>
      <c r="U587" s="886"/>
      <c r="V587" s="886"/>
      <c r="W587" s="886"/>
      <c r="X587" s="886"/>
    </row>
    <row r="588" spans="3:24">
      <c r="C588" s="942"/>
      <c r="D588" s="943"/>
      <c r="E588" s="886"/>
      <c r="F588" s="886"/>
      <c r="G588" s="886"/>
      <c r="H588" s="886"/>
      <c r="I588" s="886"/>
      <c r="J588" s="886"/>
      <c r="K588" s="886"/>
      <c r="L588" s="886"/>
      <c r="M588" s="886"/>
      <c r="N588" s="886"/>
      <c r="O588" s="886"/>
      <c r="P588" s="886"/>
      <c r="Q588" s="886"/>
      <c r="R588" s="886"/>
      <c r="S588" s="886"/>
      <c r="T588" s="886"/>
      <c r="U588" s="886"/>
      <c r="V588" s="886"/>
      <c r="W588" s="886"/>
      <c r="X588" s="886"/>
    </row>
    <row r="589" spans="3:24">
      <c r="C589" s="942"/>
      <c r="D589" s="943"/>
      <c r="E589" s="886"/>
      <c r="F589" s="886"/>
      <c r="G589" s="886"/>
      <c r="H589" s="886"/>
      <c r="I589" s="886"/>
      <c r="J589" s="886"/>
      <c r="K589" s="886"/>
      <c r="L589" s="886"/>
      <c r="M589" s="886"/>
      <c r="N589" s="886"/>
      <c r="O589" s="886"/>
      <c r="P589" s="886"/>
      <c r="Q589" s="886"/>
      <c r="R589" s="886"/>
      <c r="S589" s="886"/>
      <c r="T589" s="886"/>
      <c r="U589" s="886"/>
      <c r="V589" s="886"/>
      <c r="W589" s="886"/>
      <c r="X589" s="886"/>
    </row>
    <row r="590" spans="3:24">
      <c r="C590" s="942"/>
      <c r="D590" s="943"/>
      <c r="E590" s="886"/>
      <c r="F590" s="886"/>
      <c r="G590" s="886"/>
      <c r="H590" s="886"/>
      <c r="I590" s="886"/>
      <c r="J590" s="886"/>
      <c r="K590" s="886"/>
      <c r="L590" s="886"/>
      <c r="M590" s="886"/>
      <c r="N590" s="886"/>
      <c r="O590" s="886"/>
      <c r="P590" s="886"/>
      <c r="Q590" s="886"/>
      <c r="R590" s="886"/>
      <c r="S590" s="886"/>
      <c r="T590" s="886"/>
      <c r="U590" s="886"/>
      <c r="V590" s="886"/>
      <c r="W590" s="886"/>
      <c r="X590" s="886"/>
    </row>
    <row r="591" spans="3:24">
      <c r="C591" s="942"/>
      <c r="D591" s="943"/>
      <c r="E591" s="886"/>
      <c r="F591" s="886"/>
      <c r="G591" s="886"/>
      <c r="H591" s="886"/>
      <c r="I591" s="886"/>
      <c r="J591" s="886"/>
      <c r="K591" s="886"/>
      <c r="L591" s="886"/>
      <c r="M591" s="886"/>
      <c r="N591" s="886"/>
      <c r="O591" s="886"/>
      <c r="P591" s="886"/>
      <c r="Q591" s="886"/>
      <c r="R591" s="886"/>
      <c r="S591" s="886"/>
      <c r="T591" s="886"/>
      <c r="U591" s="886"/>
      <c r="V591" s="886"/>
      <c r="W591" s="886"/>
      <c r="X591" s="886"/>
    </row>
    <row r="592" spans="3:24">
      <c r="C592" s="942"/>
      <c r="D592" s="943"/>
      <c r="E592" s="886"/>
      <c r="F592" s="886"/>
      <c r="G592" s="886"/>
      <c r="H592" s="886"/>
      <c r="I592" s="886"/>
      <c r="J592" s="886"/>
      <c r="K592" s="886"/>
      <c r="L592" s="886"/>
      <c r="M592" s="886"/>
      <c r="N592" s="886"/>
      <c r="O592" s="886"/>
      <c r="P592" s="886"/>
      <c r="Q592" s="886"/>
      <c r="R592" s="886"/>
      <c r="S592" s="886"/>
      <c r="T592" s="886"/>
      <c r="U592" s="886"/>
      <c r="V592" s="886"/>
      <c r="W592" s="886"/>
      <c r="X592" s="886"/>
    </row>
    <row r="593" spans="3:24">
      <c r="C593" s="942"/>
      <c r="D593" s="943"/>
      <c r="E593" s="886"/>
      <c r="F593" s="886"/>
      <c r="G593" s="886"/>
      <c r="H593" s="886"/>
      <c r="I593" s="886"/>
      <c r="J593" s="886"/>
      <c r="K593" s="886"/>
      <c r="L593" s="886"/>
      <c r="M593" s="886"/>
      <c r="N593" s="886"/>
      <c r="O593" s="886"/>
      <c r="P593" s="886"/>
      <c r="Q593" s="886"/>
      <c r="R593" s="886"/>
      <c r="S593" s="886"/>
      <c r="T593" s="886"/>
      <c r="U593" s="886"/>
      <c r="V593" s="886"/>
      <c r="W593" s="886"/>
      <c r="X593" s="886"/>
    </row>
    <row r="594" spans="3:24">
      <c r="C594" s="942"/>
      <c r="D594" s="943"/>
      <c r="E594" s="886"/>
      <c r="F594" s="886"/>
      <c r="G594" s="886"/>
      <c r="H594" s="886"/>
      <c r="I594" s="886"/>
      <c r="J594" s="886"/>
      <c r="K594" s="886"/>
      <c r="L594" s="886"/>
      <c r="M594" s="886"/>
      <c r="N594" s="886"/>
      <c r="O594" s="886"/>
      <c r="P594" s="886"/>
      <c r="Q594" s="886"/>
      <c r="R594" s="886"/>
      <c r="S594" s="886"/>
      <c r="T594" s="886"/>
      <c r="U594" s="886"/>
      <c r="V594" s="886"/>
      <c r="W594" s="886"/>
      <c r="X594" s="886"/>
    </row>
    <row r="595" spans="3:24">
      <c r="C595" s="942"/>
      <c r="D595" s="943"/>
      <c r="E595" s="886"/>
      <c r="F595" s="886"/>
      <c r="G595" s="886"/>
      <c r="H595" s="886"/>
      <c r="I595" s="886"/>
      <c r="J595" s="886"/>
      <c r="K595" s="886"/>
      <c r="L595" s="886"/>
      <c r="M595" s="886"/>
      <c r="N595" s="886"/>
      <c r="O595" s="886"/>
      <c r="P595" s="886"/>
      <c r="Q595" s="886"/>
      <c r="R595" s="886"/>
      <c r="S595" s="886"/>
      <c r="T595" s="886"/>
      <c r="U595" s="886"/>
      <c r="V595" s="886"/>
      <c r="W595" s="886"/>
      <c r="X595" s="886"/>
    </row>
    <row r="596" spans="3:24">
      <c r="C596" s="942"/>
      <c r="D596" s="943"/>
      <c r="E596" s="886"/>
      <c r="F596" s="886"/>
      <c r="G596" s="886"/>
      <c r="H596" s="886"/>
      <c r="I596" s="886"/>
      <c r="J596" s="886"/>
      <c r="K596" s="886"/>
      <c r="L596" s="886"/>
      <c r="M596" s="886"/>
      <c r="N596" s="886"/>
      <c r="O596" s="886"/>
      <c r="P596" s="886"/>
      <c r="Q596" s="886"/>
      <c r="R596" s="886"/>
      <c r="S596" s="886"/>
      <c r="T596" s="886"/>
      <c r="U596" s="886"/>
      <c r="V596" s="886"/>
      <c r="W596" s="886"/>
      <c r="X596" s="886"/>
    </row>
    <row r="597" spans="3:24">
      <c r="C597" s="942"/>
      <c r="D597" s="943"/>
      <c r="E597" s="886"/>
      <c r="F597" s="886"/>
      <c r="G597" s="886"/>
      <c r="H597" s="886"/>
      <c r="I597" s="886"/>
      <c r="J597" s="886"/>
      <c r="K597" s="886"/>
      <c r="L597" s="886"/>
      <c r="M597" s="886"/>
      <c r="N597" s="886"/>
      <c r="O597" s="886"/>
      <c r="P597" s="886"/>
      <c r="Q597" s="886"/>
      <c r="R597" s="886"/>
      <c r="S597" s="886"/>
      <c r="T597" s="886"/>
      <c r="U597" s="886"/>
      <c r="V597" s="886"/>
      <c r="W597" s="886"/>
      <c r="X597" s="886"/>
    </row>
    <row r="598" spans="3:24">
      <c r="C598" s="942"/>
      <c r="D598" s="943"/>
      <c r="E598" s="886"/>
      <c r="F598" s="886"/>
      <c r="G598" s="886"/>
      <c r="H598" s="886"/>
      <c r="I598" s="886"/>
      <c r="J598" s="886"/>
      <c r="K598" s="886"/>
      <c r="L598" s="886"/>
      <c r="M598" s="886"/>
      <c r="N598" s="886"/>
      <c r="O598" s="886"/>
      <c r="P598" s="886"/>
      <c r="Q598" s="886"/>
      <c r="R598" s="886"/>
      <c r="S598" s="886"/>
      <c r="T598" s="886"/>
      <c r="U598" s="886"/>
      <c r="V598" s="886"/>
      <c r="W598" s="886"/>
      <c r="X598" s="886"/>
    </row>
    <row r="599" spans="3:24">
      <c r="C599" s="942"/>
      <c r="D599" s="943"/>
      <c r="E599" s="886"/>
      <c r="F599" s="886"/>
      <c r="G599" s="886"/>
      <c r="H599" s="886"/>
      <c r="I599" s="886"/>
      <c r="J599" s="886"/>
      <c r="K599" s="886"/>
      <c r="L599" s="886"/>
      <c r="M599" s="886"/>
      <c r="N599" s="886"/>
      <c r="O599" s="886"/>
      <c r="P599" s="886"/>
      <c r="Q599" s="886"/>
      <c r="R599" s="886"/>
      <c r="S599" s="886"/>
      <c r="T599" s="886"/>
      <c r="U599" s="886"/>
      <c r="V599" s="886"/>
      <c r="W599" s="886"/>
      <c r="X599" s="886"/>
    </row>
    <row r="600" spans="3:24">
      <c r="C600" s="942"/>
      <c r="D600" s="943"/>
      <c r="E600" s="886"/>
      <c r="F600" s="886"/>
      <c r="G600" s="886"/>
      <c r="H600" s="886"/>
      <c r="I600" s="886"/>
      <c r="J600" s="886"/>
      <c r="K600" s="886"/>
      <c r="L600" s="886"/>
      <c r="M600" s="886"/>
      <c r="N600" s="886"/>
      <c r="O600" s="886"/>
      <c r="P600" s="886"/>
      <c r="Q600" s="886"/>
      <c r="R600" s="886"/>
      <c r="S600" s="886"/>
      <c r="T600" s="886"/>
      <c r="U600" s="886"/>
      <c r="V600" s="886"/>
      <c r="W600" s="886"/>
      <c r="X600" s="886"/>
    </row>
    <row r="601" spans="3:24">
      <c r="C601" s="942"/>
      <c r="D601" s="943"/>
      <c r="E601" s="886"/>
      <c r="F601" s="886"/>
      <c r="G601" s="886"/>
      <c r="H601" s="886"/>
      <c r="I601" s="886"/>
      <c r="J601" s="886"/>
      <c r="K601" s="886"/>
      <c r="L601" s="886"/>
      <c r="M601" s="886"/>
      <c r="N601" s="886"/>
      <c r="O601" s="886"/>
      <c r="P601" s="886"/>
      <c r="Q601" s="886"/>
      <c r="R601" s="886"/>
      <c r="S601" s="886"/>
      <c r="T601" s="886"/>
      <c r="U601" s="886"/>
      <c r="V601" s="886"/>
      <c r="W601" s="886"/>
      <c r="X601" s="886"/>
    </row>
    <row r="602" spans="3:24">
      <c r="C602" s="942"/>
      <c r="D602" s="943"/>
      <c r="E602" s="886"/>
      <c r="F602" s="886"/>
      <c r="G602" s="886"/>
      <c r="H602" s="886"/>
      <c r="I602" s="886"/>
      <c r="J602" s="886"/>
      <c r="K602" s="886"/>
      <c r="L602" s="886"/>
      <c r="M602" s="886"/>
      <c r="N602" s="886"/>
      <c r="O602" s="886"/>
      <c r="P602" s="886"/>
      <c r="Q602" s="886"/>
      <c r="R602" s="886"/>
      <c r="S602" s="886"/>
      <c r="T602" s="886"/>
      <c r="U602" s="886"/>
      <c r="V602" s="886"/>
      <c r="W602" s="886"/>
      <c r="X602" s="886"/>
    </row>
    <row r="603" spans="3:24">
      <c r="C603" s="942"/>
      <c r="D603" s="943"/>
      <c r="E603" s="886"/>
      <c r="F603" s="886"/>
      <c r="G603" s="886"/>
      <c r="H603" s="886"/>
      <c r="I603" s="886"/>
      <c r="J603" s="886"/>
      <c r="K603" s="886"/>
      <c r="L603" s="886"/>
      <c r="M603" s="886"/>
      <c r="N603" s="886"/>
      <c r="O603" s="886"/>
      <c r="P603" s="886"/>
      <c r="Q603" s="886"/>
      <c r="R603" s="886"/>
      <c r="S603" s="886"/>
      <c r="T603" s="886"/>
      <c r="U603" s="886"/>
      <c r="V603" s="886"/>
      <c r="W603" s="886"/>
      <c r="X603" s="886"/>
    </row>
    <row r="604" spans="3:24">
      <c r="C604" s="942"/>
      <c r="D604" s="943"/>
      <c r="E604" s="886"/>
      <c r="F604" s="886"/>
      <c r="G604" s="886"/>
      <c r="H604" s="886"/>
      <c r="I604" s="886"/>
      <c r="J604" s="886"/>
      <c r="K604" s="886"/>
      <c r="L604" s="886"/>
      <c r="M604" s="886"/>
      <c r="N604" s="886"/>
      <c r="O604" s="886"/>
      <c r="P604" s="886"/>
      <c r="Q604" s="886"/>
      <c r="R604" s="886"/>
      <c r="S604" s="886"/>
      <c r="T604" s="886"/>
      <c r="U604" s="886"/>
      <c r="V604" s="886"/>
      <c r="W604" s="886"/>
      <c r="X604" s="886"/>
    </row>
    <row r="605" spans="3:24">
      <c r="C605" s="942"/>
      <c r="D605" s="943"/>
      <c r="E605" s="886"/>
      <c r="F605" s="886"/>
      <c r="G605" s="886"/>
      <c r="H605" s="886"/>
      <c r="I605" s="886"/>
      <c r="J605" s="886"/>
      <c r="K605" s="886"/>
      <c r="L605" s="886"/>
      <c r="M605" s="886"/>
      <c r="N605" s="886"/>
      <c r="O605" s="886"/>
      <c r="P605" s="886"/>
      <c r="Q605" s="886"/>
      <c r="R605" s="886"/>
      <c r="S605" s="886"/>
      <c r="T605" s="886"/>
      <c r="U605" s="886"/>
      <c r="V605" s="886"/>
      <c r="W605" s="886"/>
      <c r="X605" s="886"/>
    </row>
    <row r="606" spans="3:24">
      <c r="C606" s="942"/>
      <c r="D606" s="943"/>
      <c r="E606" s="886"/>
      <c r="F606" s="886"/>
      <c r="G606" s="886"/>
      <c r="H606" s="886"/>
      <c r="I606" s="886"/>
      <c r="J606" s="886"/>
      <c r="K606" s="886"/>
      <c r="L606" s="886"/>
      <c r="M606" s="886"/>
      <c r="N606" s="886"/>
      <c r="O606" s="886"/>
      <c r="P606" s="886"/>
      <c r="Q606" s="886"/>
      <c r="R606" s="886"/>
      <c r="S606" s="886"/>
      <c r="T606" s="886"/>
      <c r="U606" s="886"/>
      <c r="V606" s="886"/>
      <c r="W606" s="886"/>
      <c r="X606" s="886"/>
    </row>
    <row r="607" spans="3:24">
      <c r="C607" s="942"/>
      <c r="D607" s="943"/>
      <c r="E607" s="886"/>
      <c r="F607" s="886"/>
      <c r="G607" s="886"/>
      <c r="H607" s="886"/>
      <c r="I607" s="886"/>
      <c r="J607" s="886"/>
      <c r="K607" s="886"/>
      <c r="L607" s="886"/>
      <c r="M607" s="886"/>
      <c r="N607" s="886"/>
      <c r="O607" s="886"/>
      <c r="P607" s="886"/>
      <c r="Q607" s="886"/>
      <c r="R607" s="886"/>
      <c r="S607" s="886"/>
      <c r="T607" s="886"/>
      <c r="U607" s="886"/>
      <c r="V607" s="886"/>
      <c r="W607" s="886"/>
      <c r="X607" s="886"/>
    </row>
    <row r="608" spans="3:24">
      <c r="C608" s="942"/>
      <c r="D608" s="943"/>
      <c r="E608" s="886"/>
      <c r="F608" s="886"/>
      <c r="G608" s="886"/>
      <c r="H608" s="886"/>
      <c r="I608" s="886"/>
      <c r="J608" s="886"/>
      <c r="K608" s="886"/>
      <c r="L608" s="886"/>
      <c r="M608" s="886"/>
      <c r="N608" s="886"/>
      <c r="O608" s="886"/>
      <c r="P608" s="886"/>
      <c r="Q608" s="886"/>
      <c r="R608" s="886"/>
      <c r="S608" s="886"/>
      <c r="T608" s="886"/>
      <c r="U608" s="886"/>
      <c r="V608" s="886"/>
      <c r="W608" s="886"/>
      <c r="X608" s="886"/>
    </row>
    <row r="609" spans="3:24">
      <c r="C609" s="942"/>
      <c r="D609" s="943"/>
      <c r="E609" s="886"/>
      <c r="F609" s="886"/>
      <c r="G609" s="886"/>
      <c r="H609" s="886"/>
      <c r="I609" s="886"/>
      <c r="J609" s="886"/>
      <c r="K609" s="886"/>
      <c r="L609" s="886"/>
      <c r="M609" s="886"/>
      <c r="N609" s="886"/>
      <c r="O609" s="886"/>
      <c r="P609" s="886"/>
      <c r="Q609" s="886"/>
      <c r="R609" s="886"/>
      <c r="S609" s="886"/>
      <c r="T609" s="886"/>
      <c r="U609" s="886"/>
      <c r="V609" s="886"/>
      <c r="W609" s="886"/>
      <c r="X609" s="886"/>
    </row>
    <row r="610" spans="3:24">
      <c r="C610" s="942"/>
      <c r="D610" s="943"/>
      <c r="E610" s="886"/>
      <c r="F610" s="886"/>
      <c r="G610" s="886"/>
      <c r="H610" s="886"/>
      <c r="I610" s="886"/>
      <c r="J610" s="886"/>
      <c r="K610" s="886"/>
      <c r="L610" s="886"/>
      <c r="M610" s="886"/>
      <c r="N610" s="886"/>
      <c r="O610" s="886"/>
      <c r="P610" s="886"/>
      <c r="Q610" s="886"/>
      <c r="R610" s="886"/>
      <c r="S610" s="886"/>
      <c r="T610" s="886"/>
      <c r="U610" s="886"/>
      <c r="V610" s="886"/>
      <c r="W610" s="886"/>
      <c r="X610" s="886"/>
    </row>
    <row r="611" spans="3:24">
      <c r="C611" s="942"/>
      <c r="D611" s="943"/>
      <c r="E611" s="886"/>
      <c r="F611" s="886"/>
      <c r="G611" s="886"/>
      <c r="H611" s="886"/>
      <c r="I611" s="886"/>
      <c r="J611" s="886"/>
      <c r="K611" s="886"/>
      <c r="L611" s="886"/>
      <c r="M611" s="886"/>
      <c r="N611" s="886"/>
      <c r="O611" s="886"/>
      <c r="P611" s="886"/>
      <c r="Q611" s="886"/>
      <c r="R611" s="886"/>
      <c r="S611" s="886"/>
      <c r="T611" s="886"/>
      <c r="U611" s="886"/>
      <c r="V611" s="886"/>
      <c r="W611" s="886"/>
      <c r="X611" s="886"/>
    </row>
    <row r="612" spans="3:24">
      <c r="C612" s="942"/>
      <c r="D612" s="943"/>
      <c r="E612" s="886"/>
      <c r="F612" s="886"/>
      <c r="G612" s="886"/>
      <c r="H612" s="886"/>
      <c r="I612" s="886"/>
      <c r="J612" s="886"/>
      <c r="K612" s="886"/>
      <c r="L612" s="886"/>
      <c r="M612" s="886"/>
      <c r="N612" s="886"/>
      <c r="O612" s="886"/>
      <c r="P612" s="886"/>
      <c r="Q612" s="886"/>
      <c r="R612" s="886"/>
      <c r="S612" s="886"/>
      <c r="T612" s="886"/>
      <c r="U612" s="886"/>
      <c r="V612" s="886"/>
      <c r="W612" s="886"/>
      <c r="X612" s="886"/>
    </row>
    <row r="613" spans="3:24">
      <c r="C613" s="942"/>
      <c r="D613" s="943"/>
      <c r="E613" s="886"/>
      <c r="F613" s="886"/>
      <c r="G613" s="886"/>
      <c r="H613" s="886"/>
      <c r="I613" s="886"/>
      <c r="J613" s="886"/>
      <c r="K613" s="886"/>
      <c r="L613" s="886"/>
      <c r="M613" s="886"/>
      <c r="N613" s="886"/>
      <c r="O613" s="886"/>
      <c r="P613" s="886"/>
      <c r="Q613" s="886"/>
      <c r="R613" s="886"/>
      <c r="S613" s="886"/>
      <c r="T613" s="886"/>
      <c r="U613" s="886"/>
      <c r="V613" s="886"/>
      <c r="W613" s="886"/>
      <c r="X613" s="886"/>
    </row>
    <row r="614" spans="3:24">
      <c r="C614" s="942"/>
      <c r="D614" s="943"/>
      <c r="E614" s="886"/>
      <c r="F614" s="886"/>
      <c r="G614" s="886"/>
      <c r="H614" s="886"/>
      <c r="I614" s="886"/>
      <c r="J614" s="886"/>
      <c r="K614" s="886"/>
      <c r="L614" s="886"/>
      <c r="M614" s="886"/>
      <c r="N614" s="886"/>
      <c r="O614" s="886"/>
      <c r="P614" s="886"/>
      <c r="Q614" s="886"/>
      <c r="R614" s="886"/>
      <c r="S614" s="886"/>
      <c r="T614" s="886"/>
      <c r="U614" s="886"/>
      <c r="V614" s="886"/>
      <c r="W614" s="886"/>
      <c r="X614" s="886"/>
    </row>
    <row r="615" spans="3:24">
      <c r="C615" s="942"/>
      <c r="D615" s="943"/>
      <c r="E615" s="886"/>
      <c r="F615" s="886"/>
      <c r="G615" s="886"/>
      <c r="H615" s="886"/>
      <c r="I615" s="886"/>
      <c r="J615" s="886"/>
      <c r="K615" s="886"/>
      <c r="L615" s="886"/>
      <c r="M615" s="886"/>
      <c r="N615" s="886"/>
      <c r="O615" s="886"/>
      <c r="P615" s="886"/>
      <c r="Q615" s="886"/>
      <c r="R615" s="886"/>
      <c r="S615" s="886"/>
      <c r="T615" s="886"/>
      <c r="U615" s="886"/>
      <c r="V615" s="886"/>
      <c r="W615" s="886"/>
      <c r="X615" s="886"/>
    </row>
    <row r="616" spans="3:24">
      <c r="C616" s="942"/>
      <c r="D616" s="943"/>
      <c r="E616" s="886"/>
      <c r="F616" s="886"/>
      <c r="G616" s="886"/>
      <c r="H616" s="886"/>
      <c r="I616" s="886"/>
      <c r="J616" s="886"/>
      <c r="K616" s="886"/>
      <c r="L616" s="886"/>
      <c r="M616" s="886"/>
      <c r="N616" s="886"/>
      <c r="O616" s="886"/>
      <c r="P616" s="886"/>
      <c r="Q616" s="886"/>
      <c r="R616" s="886"/>
      <c r="S616" s="886"/>
      <c r="T616" s="886"/>
      <c r="U616" s="886"/>
      <c r="V616" s="886"/>
      <c r="W616" s="886"/>
      <c r="X616" s="886"/>
    </row>
    <row r="617" spans="3:24">
      <c r="C617" s="942"/>
      <c r="D617" s="943"/>
      <c r="E617" s="886"/>
      <c r="F617" s="886"/>
      <c r="G617" s="886"/>
      <c r="H617" s="886"/>
      <c r="I617" s="886"/>
      <c r="J617" s="886"/>
      <c r="K617" s="886"/>
      <c r="L617" s="886"/>
      <c r="M617" s="886"/>
      <c r="N617" s="886"/>
      <c r="O617" s="886"/>
      <c r="P617" s="886"/>
      <c r="Q617" s="886"/>
      <c r="R617" s="886"/>
      <c r="S617" s="886"/>
      <c r="T617" s="886"/>
      <c r="U617" s="886"/>
      <c r="V617" s="886"/>
      <c r="W617" s="886"/>
      <c r="X617" s="886"/>
    </row>
    <row r="618" spans="3:24">
      <c r="C618" s="942"/>
      <c r="D618" s="943"/>
      <c r="E618" s="886"/>
      <c r="F618" s="886"/>
      <c r="G618" s="886"/>
      <c r="H618" s="886"/>
      <c r="I618" s="886"/>
      <c r="J618" s="886"/>
      <c r="K618" s="886"/>
      <c r="L618" s="886"/>
      <c r="M618" s="886"/>
      <c r="N618" s="886"/>
      <c r="O618" s="886"/>
      <c r="P618" s="886"/>
      <c r="Q618" s="886"/>
      <c r="R618" s="886"/>
      <c r="S618" s="886"/>
      <c r="T618" s="886"/>
      <c r="U618" s="886"/>
      <c r="V618" s="886"/>
      <c r="W618" s="886"/>
      <c r="X618" s="886"/>
    </row>
    <row r="619" spans="3:24">
      <c r="C619" s="942"/>
      <c r="D619" s="943"/>
      <c r="E619" s="886"/>
      <c r="F619" s="886"/>
      <c r="G619" s="886"/>
      <c r="H619" s="886"/>
      <c r="I619" s="886"/>
      <c r="J619" s="886"/>
      <c r="K619" s="886"/>
      <c r="L619" s="886"/>
      <c r="M619" s="886"/>
      <c r="N619" s="886"/>
      <c r="O619" s="886"/>
      <c r="P619" s="886"/>
      <c r="Q619" s="886"/>
      <c r="R619" s="886"/>
      <c r="S619" s="886"/>
      <c r="T619" s="886"/>
      <c r="U619" s="886"/>
      <c r="V619" s="886"/>
      <c r="W619" s="886"/>
      <c r="X619" s="886"/>
    </row>
    <row r="620" spans="3:24">
      <c r="C620" s="942"/>
      <c r="D620" s="943"/>
      <c r="E620" s="886"/>
      <c r="F620" s="886"/>
      <c r="G620" s="886"/>
      <c r="H620" s="886"/>
      <c r="I620" s="886"/>
      <c r="J620" s="886"/>
      <c r="K620" s="886"/>
      <c r="L620" s="886"/>
      <c r="M620" s="886"/>
      <c r="N620" s="886"/>
      <c r="O620" s="886"/>
      <c r="P620" s="886"/>
      <c r="Q620" s="886"/>
      <c r="R620" s="886"/>
      <c r="S620" s="886"/>
      <c r="T620" s="886"/>
      <c r="U620" s="886"/>
      <c r="V620" s="886"/>
      <c r="W620" s="886"/>
      <c r="X620" s="886"/>
    </row>
    <row r="621" spans="3:24">
      <c r="C621" s="942"/>
      <c r="D621" s="943"/>
      <c r="E621" s="886"/>
      <c r="F621" s="886"/>
      <c r="G621" s="886"/>
      <c r="H621" s="886"/>
      <c r="I621" s="886"/>
      <c r="J621" s="886"/>
      <c r="K621" s="886"/>
      <c r="L621" s="886"/>
      <c r="M621" s="886"/>
      <c r="N621" s="886"/>
      <c r="O621" s="886"/>
      <c r="P621" s="886"/>
      <c r="Q621" s="886"/>
      <c r="R621" s="886"/>
      <c r="S621" s="886"/>
      <c r="T621" s="886"/>
      <c r="U621" s="886"/>
      <c r="V621" s="886"/>
      <c r="W621" s="886"/>
      <c r="X621" s="886"/>
    </row>
    <row r="622" spans="3:24">
      <c r="C622" s="942"/>
      <c r="D622" s="943"/>
      <c r="E622" s="886"/>
      <c r="F622" s="886"/>
      <c r="G622" s="886"/>
      <c r="H622" s="886"/>
      <c r="I622" s="886"/>
      <c r="J622" s="886"/>
      <c r="K622" s="886"/>
      <c r="L622" s="886"/>
      <c r="M622" s="886"/>
      <c r="N622" s="886"/>
      <c r="O622" s="886"/>
      <c r="P622" s="886"/>
      <c r="Q622" s="886"/>
      <c r="R622" s="886"/>
      <c r="S622" s="886"/>
      <c r="T622" s="886"/>
      <c r="U622" s="886"/>
      <c r="V622" s="886"/>
      <c r="W622" s="886"/>
      <c r="X622" s="886"/>
    </row>
    <row r="623" spans="3:24">
      <c r="C623" s="942"/>
      <c r="D623" s="943"/>
      <c r="E623" s="886"/>
      <c r="F623" s="886"/>
      <c r="G623" s="886"/>
      <c r="H623" s="886"/>
      <c r="I623" s="886"/>
      <c r="J623" s="886"/>
      <c r="K623" s="886"/>
      <c r="L623" s="886"/>
      <c r="M623" s="886"/>
      <c r="N623" s="886"/>
      <c r="O623" s="886"/>
      <c r="P623" s="886"/>
      <c r="Q623" s="886"/>
      <c r="R623" s="886"/>
      <c r="S623" s="886"/>
      <c r="T623" s="886"/>
      <c r="U623" s="886"/>
      <c r="V623" s="886"/>
      <c r="W623" s="886"/>
      <c r="X623" s="886"/>
    </row>
    <row r="624" spans="3:24">
      <c r="C624" s="942"/>
      <c r="D624" s="943"/>
      <c r="E624" s="886"/>
      <c r="F624" s="886"/>
      <c r="G624" s="886"/>
      <c r="H624" s="886"/>
      <c r="I624" s="886"/>
      <c r="J624" s="886"/>
      <c r="K624" s="886"/>
      <c r="L624" s="886"/>
      <c r="M624" s="886"/>
      <c r="N624" s="886"/>
      <c r="O624" s="886"/>
      <c r="P624" s="886"/>
      <c r="Q624" s="886"/>
      <c r="R624" s="886"/>
      <c r="S624" s="886"/>
      <c r="T624" s="886"/>
      <c r="U624" s="886"/>
      <c r="V624" s="886"/>
      <c r="W624" s="886"/>
      <c r="X624" s="886"/>
    </row>
    <row r="625" spans="3:24">
      <c r="C625" s="942"/>
      <c r="D625" s="943"/>
      <c r="E625" s="886"/>
      <c r="F625" s="886"/>
      <c r="G625" s="886"/>
      <c r="H625" s="886"/>
      <c r="I625" s="886"/>
      <c r="J625" s="886"/>
      <c r="K625" s="886"/>
      <c r="L625" s="886"/>
      <c r="M625" s="886"/>
      <c r="N625" s="886"/>
      <c r="O625" s="886"/>
      <c r="P625" s="886"/>
      <c r="Q625" s="886"/>
      <c r="R625" s="886"/>
      <c r="S625" s="886"/>
      <c r="T625" s="886"/>
      <c r="U625" s="886"/>
      <c r="V625" s="886"/>
      <c r="W625" s="886"/>
      <c r="X625" s="886"/>
    </row>
    <row r="626" spans="3:24">
      <c r="C626" s="942"/>
      <c r="D626" s="943"/>
      <c r="E626" s="886"/>
      <c r="F626" s="886"/>
      <c r="G626" s="886"/>
      <c r="H626" s="886"/>
      <c r="I626" s="886"/>
      <c r="J626" s="886"/>
      <c r="K626" s="886"/>
      <c r="L626" s="886"/>
      <c r="M626" s="886"/>
      <c r="N626" s="886"/>
      <c r="O626" s="886"/>
      <c r="P626" s="886"/>
      <c r="Q626" s="886"/>
      <c r="R626" s="886"/>
      <c r="S626" s="886"/>
      <c r="T626" s="886"/>
      <c r="U626" s="886"/>
      <c r="V626" s="886"/>
      <c r="W626" s="886"/>
      <c r="X626" s="886"/>
    </row>
    <row r="627" spans="3:24">
      <c r="C627" s="942"/>
      <c r="D627" s="943"/>
      <c r="E627" s="886"/>
      <c r="F627" s="886"/>
      <c r="G627" s="886"/>
      <c r="H627" s="886"/>
      <c r="I627" s="886"/>
      <c r="J627" s="886"/>
      <c r="K627" s="886"/>
      <c r="L627" s="886"/>
      <c r="M627" s="886"/>
      <c r="N627" s="886"/>
      <c r="O627" s="886"/>
      <c r="P627" s="886"/>
      <c r="Q627" s="886"/>
      <c r="R627" s="886"/>
      <c r="S627" s="886"/>
      <c r="T627" s="886"/>
      <c r="U627" s="886"/>
      <c r="V627" s="886"/>
      <c r="W627" s="886"/>
      <c r="X627" s="886"/>
    </row>
    <row r="628" spans="3:24">
      <c r="C628" s="942"/>
      <c r="D628" s="943"/>
      <c r="E628" s="886"/>
      <c r="F628" s="886"/>
      <c r="G628" s="886"/>
      <c r="H628" s="886"/>
      <c r="I628" s="886"/>
      <c r="J628" s="886"/>
      <c r="K628" s="886"/>
      <c r="L628" s="886"/>
      <c r="M628" s="886"/>
      <c r="N628" s="886"/>
      <c r="O628" s="886"/>
      <c r="P628" s="886"/>
      <c r="Q628" s="886"/>
      <c r="R628" s="886"/>
      <c r="S628" s="886"/>
      <c r="T628" s="886"/>
      <c r="U628" s="886"/>
      <c r="V628" s="886"/>
      <c r="W628" s="886"/>
      <c r="X628" s="886"/>
    </row>
    <row r="629" spans="3:24">
      <c r="C629" s="942"/>
      <c r="D629" s="943"/>
      <c r="E629" s="886"/>
      <c r="F629" s="886"/>
      <c r="G629" s="886"/>
      <c r="H629" s="886"/>
      <c r="I629" s="886"/>
      <c r="J629" s="886"/>
      <c r="K629" s="886"/>
      <c r="L629" s="886"/>
      <c r="M629" s="886"/>
      <c r="N629" s="886"/>
      <c r="O629" s="886"/>
      <c r="P629" s="886"/>
      <c r="Q629" s="886"/>
      <c r="R629" s="886"/>
      <c r="S629" s="886"/>
      <c r="T629" s="886"/>
      <c r="U629" s="886"/>
      <c r="V629" s="886"/>
      <c r="W629" s="886"/>
      <c r="X629" s="886"/>
    </row>
    <row r="630" spans="3:24">
      <c r="C630" s="942"/>
      <c r="D630" s="943"/>
      <c r="E630" s="886"/>
      <c r="F630" s="886"/>
      <c r="G630" s="886"/>
      <c r="H630" s="886"/>
      <c r="I630" s="886"/>
      <c r="J630" s="886"/>
      <c r="K630" s="886"/>
      <c r="L630" s="886"/>
      <c r="M630" s="886"/>
      <c r="N630" s="886"/>
      <c r="O630" s="886"/>
      <c r="P630" s="886"/>
      <c r="Q630" s="886"/>
      <c r="R630" s="886"/>
      <c r="S630" s="886"/>
      <c r="T630" s="886"/>
      <c r="U630" s="886"/>
      <c r="V630" s="886"/>
      <c r="W630" s="886"/>
      <c r="X630" s="886"/>
    </row>
    <row r="631" spans="3:24">
      <c r="C631" s="942"/>
      <c r="D631" s="943"/>
      <c r="E631" s="886"/>
      <c r="F631" s="886"/>
      <c r="G631" s="886"/>
      <c r="H631" s="886"/>
      <c r="I631" s="886"/>
      <c r="J631" s="886"/>
      <c r="K631" s="886"/>
      <c r="L631" s="886"/>
      <c r="M631" s="886"/>
      <c r="N631" s="886"/>
      <c r="O631" s="886"/>
      <c r="P631" s="886"/>
      <c r="Q631" s="886"/>
      <c r="R631" s="886"/>
      <c r="S631" s="886"/>
      <c r="T631" s="886"/>
      <c r="U631" s="886"/>
      <c r="V631" s="886"/>
      <c r="W631" s="886"/>
      <c r="X631" s="886"/>
    </row>
    <row r="632" spans="3:24">
      <c r="C632" s="942"/>
      <c r="D632" s="943"/>
      <c r="E632" s="886"/>
      <c r="F632" s="886"/>
      <c r="G632" s="886"/>
      <c r="H632" s="886"/>
      <c r="I632" s="886"/>
      <c r="J632" s="886"/>
      <c r="K632" s="886"/>
      <c r="L632" s="886"/>
      <c r="M632" s="886"/>
      <c r="N632" s="886"/>
      <c r="O632" s="886"/>
      <c r="P632" s="886"/>
      <c r="Q632" s="886"/>
      <c r="R632" s="886"/>
      <c r="S632" s="886"/>
      <c r="T632" s="886"/>
      <c r="U632" s="886"/>
      <c r="V632" s="886"/>
      <c r="W632" s="886"/>
      <c r="X632" s="886"/>
    </row>
    <row r="633" spans="3:24">
      <c r="C633" s="942"/>
      <c r="D633" s="943"/>
      <c r="E633" s="886"/>
      <c r="F633" s="886"/>
      <c r="G633" s="886"/>
      <c r="H633" s="886"/>
      <c r="I633" s="886"/>
      <c r="J633" s="886"/>
      <c r="K633" s="886"/>
      <c r="L633" s="886"/>
      <c r="M633" s="886"/>
      <c r="N633" s="886"/>
      <c r="O633" s="886"/>
      <c r="P633" s="886"/>
      <c r="Q633" s="886"/>
      <c r="R633" s="886"/>
      <c r="S633" s="886"/>
      <c r="T633" s="886"/>
      <c r="U633" s="886"/>
      <c r="V633" s="886"/>
      <c r="W633" s="886"/>
      <c r="X633" s="886"/>
    </row>
    <row r="634" spans="3:24">
      <c r="C634" s="942"/>
      <c r="D634" s="943"/>
      <c r="E634" s="886"/>
      <c r="F634" s="886"/>
      <c r="G634" s="886"/>
      <c r="H634" s="886"/>
      <c r="I634" s="886"/>
      <c r="J634" s="886"/>
      <c r="K634" s="886"/>
      <c r="L634" s="886"/>
      <c r="M634" s="886"/>
      <c r="N634" s="886"/>
      <c r="O634" s="886"/>
      <c r="P634" s="886"/>
      <c r="Q634" s="886"/>
      <c r="R634" s="886"/>
      <c r="S634" s="886"/>
      <c r="T634" s="886"/>
      <c r="U634" s="886"/>
      <c r="V634" s="886"/>
      <c r="W634" s="886"/>
      <c r="X634" s="886"/>
    </row>
    <row r="635" spans="3:24">
      <c r="C635" s="942"/>
      <c r="D635" s="943"/>
      <c r="E635" s="886"/>
      <c r="F635" s="886"/>
      <c r="G635" s="886"/>
      <c r="H635" s="886"/>
      <c r="I635" s="886"/>
      <c r="J635" s="886"/>
      <c r="K635" s="886"/>
      <c r="L635" s="886"/>
      <c r="M635" s="886"/>
      <c r="N635" s="886"/>
      <c r="O635" s="886"/>
      <c r="P635" s="886"/>
      <c r="Q635" s="886"/>
      <c r="R635" s="886"/>
      <c r="S635" s="886"/>
      <c r="T635" s="886"/>
      <c r="U635" s="886"/>
      <c r="V635" s="886"/>
      <c r="W635" s="886"/>
      <c r="X635" s="886"/>
    </row>
    <row r="636" spans="3:24">
      <c r="C636" s="942"/>
      <c r="D636" s="943"/>
      <c r="E636" s="886"/>
      <c r="F636" s="886"/>
      <c r="G636" s="886"/>
      <c r="H636" s="886"/>
      <c r="I636" s="886"/>
      <c r="J636" s="886"/>
      <c r="K636" s="886"/>
      <c r="L636" s="886"/>
      <c r="M636" s="886"/>
      <c r="N636" s="886"/>
      <c r="O636" s="886"/>
      <c r="P636" s="886"/>
      <c r="Q636" s="886"/>
      <c r="R636" s="886"/>
      <c r="S636" s="886"/>
      <c r="T636" s="886"/>
      <c r="U636" s="886"/>
      <c r="V636" s="886"/>
      <c r="W636" s="886"/>
      <c r="X636" s="886"/>
    </row>
    <row r="637" spans="3:24">
      <c r="C637" s="942"/>
      <c r="D637" s="943"/>
      <c r="E637" s="886"/>
      <c r="F637" s="886"/>
      <c r="G637" s="886"/>
      <c r="H637" s="886"/>
      <c r="I637" s="886"/>
      <c r="J637" s="886"/>
      <c r="K637" s="886"/>
      <c r="L637" s="886"/>
      <c r="M637" s="886"/>
      <c r="N637" s="886"/>
      <c r="O637" s="886"/>
      <c r="P637" s="886"/>
      <c r="Q637" s="886"/>
      <c r="R637" s="886"/>
      <c r="S637" s="886"/>
      <c r="T637" s="886"/>
      <c r="U637" s="886"/>
      <c r="V637" s="886"/>
      <c r="W637" s="886"/>
      <c r="X637" s="886"/>
    </row>
    <row r="638" spans="3:24">
      <c r="C638" s="942"/>
      <c r="D638" s="943"/>
      <c r="E638" s="886"/>
      <c r="F638" s="886"/>
      <c r="G638" s="886"/>
      <c r="H638" s="886"/>
      <c r="I638" s="886"/>
      <c r="J638" s="886"/>
      <c r="K638" s="886"/>
      <c r="L638" s="886"/>
      <c r="M638" s="886"/>
      <c r="N638" s="886"/>
      <c r="O638" s="886"/>
      <c r="P638" s="886"/>
      <c r="Q638" s="886"/>
      <c r="R638" s="886"/>
      <c r="S638" s="886"/>
      <c r="T638" s="886"/>
      <c r="U638" s="886"/>
      <c r="V638" s="886"/>
      <c r="W638" s="886"/>
      <c r="X638" s="886"/>
    </row>
    <row r="639" spans="3:24">
      <c r="C639" s="942"/>
      <c r="D639" s="943"/>
      <c r="E639" s="886"/>
      <c r="F639" s="886"/>
      <c r="G639" s="886"/>
      <c r="H639" s="886"/>
      <c r="I639" s="886"/>
      <c r="J639" s="886"/>
      <c r="K639" s="886"/>
      <c r="L639" s="886"/>
      <c r="M639" s="886"/>
      <c r="N639" s="886"/>
      <c r="O639" s="886"/>
      <c r="P639" s="886"/>
      <c r="Q639" s="886"/>
      <c r="R639" s="886"/>
      <c r="S639" s="886"/>
      <c r="T639" s="886"/>
      <c r="U639" s="886"/>
      <c r="V639" s="886"/>
      <c r="W639" s="886"/>
      <c r="X639" s="886"/>
    </row>
    <row r="640" spans="3:24">
      <c r="C640" s="942"/>
      <c r="D640" s="943"/>
      <c r="E640" s="886"/>
      <c r="F640" s="886"/>
      <c r="G640" s="886"/>
      <c r="H640" s="886"/>
      <c r="I640" s="886"/>
      <c r="J640" s="886"/>
      <c r="K640" s="886"/>
      <c r="L640" s="886"/>
      <c r="M640" s="886"/>
      <c r="N640" s="886"/>
      <c r="O640" s="886"/>
      <c r="P640" s="886"/>
      <c r="Q640" s="886"/>
      <c r="R640" s="886"/>
      <c r="S640" s="886"/>
      <c r="T640" s="886"/>
      <c r="U640" s="886"/>
      <c r="V640" s="886"/>
      <c r="W640" s="886"/>
      <c r="X640" s="886"/>
    </row>
    <row r="641" spans="3:24">
      <c r="C641" s="942"/>
      <c r="D641" s="943"/>
      <c r="E641" s="886"/>
      <c r="F641" s="886"/>
      <c r="G641" s="886"/>
      <c r="H641" s="886"/>
      <c r="I641" s="886"/>
      <c r="J641" s="886"/>
      <c r="K641" s="886"/>
      <c r="L641" s="886"/>
      <c r="M641" s="886"/>
      <c r="N641" s="886"/>
      <c r="O641" s="886"/>
      <c r="P641" s="886"/>
      <c r="Q641" s="886"/>
      <c r="R641" s="886"/>
      <c r="S641" s="886"/>
      <c r="T641" s="886"/>
      <c r="U641" s="886"/>
      <c r="V641" s="886"/>
      <c r="W641" s="886"/>
      <c r="X641" s="886"/>
    </row>
    <row r="642" spans="3:24">
      <c r="C642" s="942"/>
      <c r="D642" s="943"/>
      <c r="E642" s="886"/>
      <c r="F642" s="886"/>
      <c r="G642" s="886"/>
      <c r="H642" s="886"/>
      <c r="I642" s="886"/>
      <c r="J642" s="886"/>
      <c r="K642" s="886"/>
      <c r="L642" s="886"/>
      <c r="M642" s="886"/>
      <c r="N642" s="886"/>
      <c r="O642" s="886"/>
      <c r="P642" s="886"/>
      <c r="Q642" s="886"/>
      <c r="R642" s="886"/>
      <c r="S642" s="886"/>
      <c r="T642" s="886"/>
      <c r="U642" s="886"/>
      <c r="V642" s="886"/>
      <c r="W642" s="886"/>
      <c r="X642" s="886"/>
    </row>
    <row r="643" spans="3:24">
      <c r="C643" s="942"/>
      <c r="D643" s="943"/>
      <c r="E643" s="886"/>
      <c r="F643" s="886"/>
      <c r="G643" s="886"/>
      <c r="H643" s="886"/>
      <c r="I643" s="886"/>
      <c r="J643" s="886"/>
      <c r="K643" s="886"/>
      <c r="L643" s="886"/>
      <c r="M643" s="886"/>
      <c r="N643" s="886"/>
      <c r="O643" s="886"/>
      <c r="P643" s="886"/>
      <c r="Q643" s="886"/>
      <c r="R643" s="886"/>
      <c r="S643" s="886"/>
      <c r="T643" s="886"/>
      <c r="U643" s="886"/>
      <c r="V643" s="886"/>
      <c r="W643" s="886"/>
      <c r="X643" s="886"/>
    </row>
    <row r="644" spans="3:24">
      <c r="C644" s="942"/>
      <c r="D644" s="943"/>
      <c r="E644" s="886"/>
      <c r="F644" s="886"/>
      <c r="G644" s="886"/>
      <c r="H644" s="886"/>
      <c r="I644" s="886"/>
      <c r="J644" s="886"/>
      <c r="K644" s="886"/>
      <c r="L644" s="886"/>
      <c r="M644" s="886"/>
      <c r="N644" s="886"/>
      <c r="O644" s="886"/>
      <c r="P644" s="886"/>
      <c r="Q644" s="886"/>
      <c r="R644" s="886"/>
      <c r="S644" s="886"/>
      <c r="T644" s="886"/>
      <c r="U644" s="886"/>
      <c r="V644" s="886"/>
      <c r="W644" s="886"/>
      <c r="X644" s="886"/>
    </row>
    <row r="645" spans="3:24">
      <c r="C645" s="942"/>
      <c r="D645" s="943"/>
      <c r="E645" s="886"/>
      <c r="F645" s="886"/>
      <c r="G645" s="886"/>
      <c r="H645" s="886"/>
      <c r="I645" s="886"/>
      <c r="J645" s="886"/>
      <c r="K645" s="886"/>
      <c r="L645" s="886"/>
      <c r="M645" s="886"/>
      <c r="N645" s="886"/>
      <c r="O645" s="886"/>
      <c r="P645" s="886"/>
      <c r="Q645" s="886"/>
      <c r="R645" s="886"/>
      <c r="S645" s="886"/>
      <c r="T645" s="886"/>
      <c r="U645" s="886"/>
      <c r="V645" s="886"/>
      <c r="W645" s="886"/>
      <c r="X645" s="886"/>
    </row>
    <row r="646" spans="3:24">
      <c r="C646" s="942"/>
      <c r="D646" s="943"/>
      <c r="E646" s="886"/>
      <c r="F646" s="886"/>
      <c r="G646" s="886"/>
      <c r="H646" s="886"/>
      <c r="I646" s="886"/>
      <c r="J646" s="886"/>
      <c r="K646" s="886"/>
      <c r="L646" s="886"/>
      <c r="M646" s="886"/>
      <c r="N646" s="886"/>
      <c r="O646" s="886"/>
      <c r="P646" s="886"/>
      <c r="Q646" s="886"/>
      <c r="R646" s="886"/>
      <c r="S646" s="886"/>
      <c r="T646" s="886"/>
      <c r="U646" s="886"/>
      <c r="V646" s="886"/>
      <c r="W646" s="886"/>
      <c r="X646" s="886"/>
    </row>
    <row r="647" spans="3:24">
      <c r="C647" s="942"/>
      <c r="D647" s="943"/>
      <c r="E647" s="886"/>
      <c r="F647" s="886"/>
      <c r="G647" s="886"/>
      <c r="H647" s="886"/>
      <c r="I647" s="886"/>
      <c r="J647" s="886"/>
      <c r="K647" s="886"/>
      <c r="L647" s="886"/>
      <c r="M647" s="886"/>
      <c r="N647" s="886"/>
      <c r="O647" s="886"/>
      <c r="P647" s="886"/>
      <c r="Q647" s="886"/>
      <c r="R647" s="886"/>
      <c r="S647" s="886"/>
      <c r="T647" s="886"/>
      <c r="U647" s="886"/>
      <c r="V647" s="886"/>
      <c r="W647" s="886"/>
      <c r="X647" s="886"/>
    </row>
    <row r="648" spans="3:24">
      <c r="C648" s="942"/>
      <c r="D648" s="943"/>
      <c r="E648" s="886"/>
      <c r="F648" s="886"/>
      <c r="G648" s="886"/>
      <c r="H648" s="886"/>
      <c r="I648" s="886"/>
      <c r="J648" s="886"/>
      <c r="K648" s="886"/>
      <c r="L648" s="886"/>
      <c r="M648" s="886"/>
      <c r="N648" s="886"/>
      <c r="O648" s="886"/>
      <c r="P648" s="886"/>
      <c r="Q648" s="886"/>
      <c r="R648" s="886"/>
      <c r="S648" s="886"/>
      <c r="T648" s="886"/>
      <c r="U648" s="886"/>
      <c r="V648" s="886"/>
      <c r="W648" s="886"/>
      <c r="X648" s="886"/>
    </row>
    <row r="649" spans="3:24">
      <c r="C649" s="942"/>
      <c r="D649" s="943"/>
      <c r="E649" s="886"/>
      <c r="F649" s="886"/>
      <c r="G649" s="886"/>
      <c r="H649" s="886"/>
      <c r="I649" s="886"/>
      <c r="J649" s="886"/>
      <c r="K649" s="886"/>
      <c r="L649" s="886"/>
      <c r="M649" s="886"/>
      <c r="N649" s="886"/>
      <c r="O649" s="886"/>
      <c r="P649" s="886"/>
      <c r="Q649" s="886"/>
      <c r="R649" s="886"/>
      <c r="S649" s="886"/>
      <c r="T649" s="886"/>
      <c r="U649" s="886"/>
      <c r="V649" s="886"/>
      <c r="W649" s="886"/>
      <c r="X649" s="886"/>
    </row>
    <row r="650" spans="3:24">
      <c r="C650" s="942"/>
      <c r="D650" s="943"/>
      <c r="E650" s="886"/>
      <c r="F650" s="886"/>
      <c r="G650" s="886"/>
      <c r="H650" s="886"/>
      <c r="I650" s="886"/>
      <c r="J650" s="886"/>
      <c r="K650" s="886"/>
      <c r="L650" s="886"/>
      <c r="M650" s="886"/>
      <c r="N650" s="886"/>
      <c r="O650" s="886"/>
      <c r="P650" s="886"/>
      <c r="Q650" s="886"/>
      <c r="R650" s="886"/>
      <c r="S650" s="886"/>
      <c r="T650" s="886"/>
      <c r="U650" s="886"/>
      <c r="V650" s="886"/>
      <c r="W650" s="886"/>
      <c r="X650" s="886"/>
    </row>
    <row r="651" spans="3:24">
      <c r="C651" s="942"/>
      <c r="D651" s="943"/>
      <c r="E651" s="886"/>
      <c r="F651" s="886"/>
      <c r="G651" s="886"/>
      <c r="H651" s="886"/>
      <c r="I651" s="886"/>
      <c r="J651" s="886"/>
      <c r="K651" s="886"/>
      <c r="L651" s="886"/>
      <c r="M651" s="886"/>
      <c r="N651" s="886"/>
      <c r="O651" s="886"/>
      <c r="P651" s="886"/>
      <c r="Q651" s="886"/>
      <c r="R651" s="886"/>
      <c r="S651" s="886"/>
      <c r="T651" s="886"/>
      <c r="U651" s="886"/>
      <c r="V651" s="886"/>
      <c r="W651" s="886"/>
      <c r="X651" s="886"/>
    </row>
    <row r="652" spans="3:24">
      <c r="C652" s="942"/>
      <c r="D652" s="943"/>
      <c r="E652" s="886"/>
      <c r="F652" s="886"/>
      <c r="G652" s="886"/>
      <c r="H652" s="886"/>
      <c r="I652" s="886"/>
      <c r="J652" s="886"/>
      <c r="K652" s="886"/>
      <c r="L652" s="886"/>
      <c r="M652" s="886"/>
      <c r="N652" s="886"/>
      <c r="O652" s="886"/>
      <c r="P652" s="886"/>
      <c r="Q652" s="886"/>
      <c r="R652" s="886"/>
      <c r="S652" s="886"/>
      <c r="T652" s="886"/>
      <c r="U652" s="886"/>
      <c r="V652" s="886"/>
      <c r="W652" s="886"/>
      <c r="X652" s="886"/>
    </row>
    <row r="653" spans="3:24">
      <c r="C653" s="942"/>
      <c r="D653" s="943"/>
      <c r="E653" s="886"/>
      <c r="F653" s="886"/>
      <c r="G653" s="886"/>
      <c r="H653" s="886"/>
      <c r="I653" s="886"/>
      <c r="J653" s="886"/>
      <c r="K653" s="886"/>
      <c r="L653" s="886"/>
      <c r="M653" s="886"/>
      <c r="N653" s="886"/>
      <c r="O653" s="886"/>
      <c r="P653" s="886"/>
      <c r="Q653" s="886"/>
      <c r="R653" s="886"/>
      <c r="S653" s="886"/>
      <c r="T653" s="886"/>
      <c r="U653" s="886"/>
      <c r="V653" s="886"/>
      <c r="W653" s="886"/>
      <c r="X653" s="886"/>
    </row>
    <row r="654" spans="3:24">
      <c r="C654" s="942"/>
      <c r="D654" s="943"/>
      <c r="E654" s="886"/>
      <c r="F654" s="886"/>
      <c r="G654" s="886"/>
      <c r="H654" s="886"/>
      <c r="I654" s="886"/>
      <c r="J654" s="886"/>
      <c r="K654" s="886"/>
      <c r="L654" s="886"/>
      <c r="M654" s="886"/>
      <c r="N654" s="886"/>
      <c r="O654" s="886"/>
      <c r="P654" s="886"/>
      <c r="Q654" s="886"/>
      <c r="R654" s="886"/>
      <c r="S654" s="886"/>
      <c r="T654" s="886"/>
      <c r="U654" s="886"/>
      <c r="V654" s="886"/>
      <c r="W654" s="886"/>
      <c r="X654" s="886"/>
    </row>
    <row r="655" spans="3:24">
      <c r="C655" s="942"/>
      <c r="D655" s="943"/>
      <c r="E655" s="886"/>
      <c r="F655" s="886"/>
      <c r="G655" s="886"/>
      <c r="H655" s="886"/>
      <c r="I655" s="886"/>
      <c r="J655" s="886"/>
      <c r="K655" s="886"/>
      <c r="L655" s="886"/>
      <c r="M655" s="886"/>
      <c r="N655" s="886"/>
      <c r="O655" s="886"/>
      <c r="P655" s="886"/>
      <c r="Q655" s="886"/>
      <c r="R655" s="886"/>
      <c r="S655" s="886"/>
      <c r="T655" s="886"/>
      <c r="U655" s="886"/>
      <c r="V655" s="886"/>
      <c r="W655" s="886"/>
      <c r="X655" s="886"/>
    </row>
    <row r="656" spans="3:24">
      <c r="C656" s="942"/>
      <c r="D656" s="943"/>
      <c r="E656" s="886"/>
      <c r="F656" s="886"/>
      <c r="G656" s="886"/>
      <c r="H656" s="886"/>
      <c r="I656" s="886"/>
      <c r="J656" s="886"/>
      <c r="K656" s="886"/>
      <c r="L656" s="886"/>
      <c r="M656" s="886"/>
      <c r="N656" s="886"/>
      <c r="O656" s="886"/>
      <c r="P656" s="886"/>
      <c r="Q656" s="886"/>
      <c r="R656" s="886"/>
      <c r="S656" s="886"/>
      <c r="T656" s="886"/>
      <c r="U656" s="886"/>
      <c r="V656" s="886"/>
      <c r="W656" s="886"/>
      <c r="X656" s="886"/>
    </row>
    <row r="657" spans="3:24">
      <c r="C657" s="942"/>
      <c r="D657" s="943"/>
      <c r="E657" s="886"/>
      <c r="F657" s="886"/>
      <c r="G657" s="886"/>
      <c r="H657" s="886"/>
      <c r="I657" s="886"/>
      <c r="J657" s="886"/>
      <c r="K657" s="886"/>
      <c r="L657" s="886"/>
      <c r="M657" s="886"/>
      <c r="N657" s="886"/>
      <c r="O657" s="886"/>
      <c r="P657" s="886"/>
      <c r="Q657" s="886"/>
      <c r="R657" s="886"/>
      <c r="S657" s="886"/>
      <c r="T657" s="886"/>
      <c r="U657" s="886"/>
      <c r="V657" s="886"/>
      <c r="W657" s="886"/>
      <c r="X657" s="886"/>
    </row>
    <row r="658" spans="3:24">
      <c r="C658" s="942"/>
      <c r="D658" s="943"/>
      <c r="E658" s="886"/>
      <c r="F658" s="886"/>
      <c r="G658" s="886"/>
      <c r="H658" s="886"/>
      <c r="I658" s="886"/>
      <c r="J658" s="886"/>
      <c r="K658" s="886"/>
      <c r="L658" s="886"/>
      <c r="M658" s="886"/>
      <c r="N658" s="886"/>
      <c r="O658" s="886"/>
      <c r="P658" s="886"/>
      <c r="Q658" s="886"/>
      <c r="R658" s="886"/>
      <c r="S658" s="886"/>
      <c r="T658" s="886"/>
      <c r="U658" s="886"/>
      <c r="V658" s="886"/>
      <c r="W658" s="886"/>
      <c r="X658" s="886"/>
    </row>
    <row r="659" spans="3:24">
      <c r="C659" s="942"/>
      <c r="D659" s="943"/>
      <c r="E659" s="886"/>
      <c r="F659" s="886"/>
      <c r="G659" s="886"/>
      <c r="H659" s="886"/>
      <c r="I659" s="886"/>
      <c r="J659" s="886"/>
      <c r="K659" s="886"/>
      <c r="L659" s="886"/>
      <c r="M659" s="886"/>
      <c r="N659" s="886"/>
      <c r="O659" s="886"/>
      <c r="P659" s="886"/>
      <c r="Q659" s="886"/>
      <c r="R659" s="886"/>
      <c r="S659" s="886"/>
      <c r="T659" s="886"/>
      <c r="U659" s="886"/>
      <c r="V659" s="886"/>
      <c r="W659" s="886"/>
      <c r="X659" s="886"/>
    </row>
    <row r="660" spans="3:24">
      <c r="C660" s="942"/>
      <c r="D660" s="943"/>
      <c r="E660" s="886"/>
      <c r="F660" s="886"/>
      <c r="G660" s="886"/>
      <c r="H660" s="886"/>
      <c r="I660" s="886"/>
      <c r="J660" s="886"/>
      <c r="K660" s="886"/>
      <c r="L660" s="886"/>
      <c r="M660" s="886"/>
      <c r="N660" s="886"/>
      <c r="O660" s="886"/>
      <c r="P660" s="886"/>
      <c r="Q660" s="886"/>
      <c r="R660" s="886"/>
      <c r="S660" s="886"/>
      <c r="T660" s="886"/>
      <c r="U660" s="886"/>
      <c r="V660" s="886"/>
      <c r="W660" s="886"/>
      <c r="X660" s="886"/>
    </row>
    <row r="661" spans="3:24">
      <c r="C661" s="942"/>
      <c r="D661" s="943"/>
      <c r="E661" s="886"/>
      <c r="F661" s="886"/>
      <c r="G661" s="886"/>
      <c r="H661" s="886"/>
      <c r="I661" s="886"/>
      <c r="J661" s="886"/>
      <c r="K661" s="886"/>
      <c r="L661" s="886"/>
      <c r="M661" s="886"/>
      <c r="N661" s="886"/>
      <c r="O661" s="886"/>
      <c r="P661" s="886"/>
      <c r="Q661" s="886"/>
      <c r="R661" s="886"/>
      <c r="S661" s="886"/>
      <c r="T661" s="886"/>
      <c r="U661" s="886"/>
      <c r="V661" s="886"/>
      <c r="W661" s="886"/>
      <c r="X661" s="886"/>
    </row>
    <row r="662" spans="3:24">
      <c r="C662" s="942"/>
      <c r="D662" s="943"/>
      <c r="E662" s="886"/>
      <c r="F662" s="886"/>
      <c r="G662" s="886"/>
      <c r="H662" s="886"/>
      <c r="I662" s="886"/>
      <c r="J662" s="886"/>
      <c r="K662" s="886"/>
      <c r="L662" s="886"/>
      <c r="M662" s="886"/>
      <c r="N662" s="886"/>
      <c r="O662" s="886"/>
      <c r="P662" s="886"/>
      <c r="Q662" s="886"/>
      <c r="R662" s="886"/>
      <c r="S662" s="886"/>
      <c r="T662" s="886"/>
      <c r="U662" s="886"/>
      <c r="V662" s="886"/>
      <c r="W662" s="886"/>
      <c r="X662" s="886"/>
    </row>
    <row r="663" spans="3:24">
      <c r="C663" s="942"/>
      <c r="D663" s="943"/>
      <c r="E663" s="886"/>
      <c r="F663" s="886"/>
      <c r="G663" s="886"/>
      <c r="H663" s="886"/>
      <c r="I663" s="886"/>
      <c r="J663" s="886"/>
      <c r="K663" s="886"/>
      <c r="L663" s="886"/>
      <c r="M663" s="886"/>
      <c r="N663" s="886"/>
      <c r="O663" s="886"/>
      <c r="P663" s="886"/>
      <c r="Q663" s="886"/>
      <c r="R663" s="886"/>
      <c r="S663" s="886"/>
      <c r="T663" s="886"/>
      <c r="U663" s="886"/>
      <c r="V663" s="886"/>
      <c r="W663" s="886"/>
      <c r="X663" s="886"/>
    </row>
    <row r="664" spans="3:24">
      <c r="C664" s="942"/>
      <c r="D664" s="943"/>
      <c r="E664" s="886"/>
      <c r="F664" s="886"/>
      <c r="G664" s="886"/>
      <c r="H664" s="886"/>
      <c r="I664" s="886"/>
      <c r="J664" s="886"/>
      <c r="K664" s="886"/>
      <c r="L664" s="886"/>
      <c r="M664" s="886"/>
      <c r="N664" s="886"/>
      <c r="O664" s="886"/>
      <c r="P664" s="886"/>
      <c r="Q664" s="886"/>
      <c r="R664" s="886"/>
      <c r="S664" s="886"/>
      <c r="T664" s="886"/>
      <c r="U664" s="886"/>
      <c r="V664" s="886"/>
      <c r="W664" s="886"/>
      <c r="X664" s="886"/>
    </row>
    <row r="665" spans="3:24">
      <c r="C665" s="942"/>
      <c r="D665" s="943"/>
      <c r="E665" s="886"/>
      <c r="F665" s="886"/>
      <c r="G665" s="886"/>
      <c r="H665" s="886"/>
      <c r="I665" s="886"/>
      <c r="J665" s="886"/>
      <c r="K665" s="886"/>
      <c r="L665" s="886"/>
      <c r="M665" s="886"/>
      <c r="N665" s="886"/>
      <c r="O665" s="886"/>
      <c r="P665" s="886"/>
      <c r="Q665" s="886"/>
      <c r="R665" s="886"/>
      <c r="S665" s="886"/>
      <c r="T665" s="886"/>
      <c r="U665" s="886"/>
      <c r="V665" s="886"/>
      <c r="W665" s="886"/>
      <c r="X665" s="886"/>
    </row>
    <row r="666" spans="3:24">
      <c r="C666" s="942"/>
      <c r="D666" s="943"/>
      <c r="E666" s="886"/>
      <c r="F666" s="886"/>
      <c r="G666" s="886"/>
      <c r="H666" s="886"/>
      <c r="I666" s="886"/>
      <c r="J666" s="886"/>
      <c r="K666" s="886"/>
      <c r="L666" s="886"/>
      <c r="M666" s="886"/>
      <c r="N666" s="886"/>
      <c r="O666" s="886"/>
      <c r="P666" s="886"/>
      <c r="Q666" s="886"/>
      <c r="R666" s="886"/>
      <c r="S666" s="886"/>
      <c r="T666" s="886"/>
      <c r="U666" s="886"/>
      <c r="V666" s="886"/>
      <c r="W666" s="886"/>
      <c r="X666" s="886"/>
    </row>
    <row r="667" spans="3:24">
      <c r="C667" s="942"/>
      <c r="D667" s="943"/>
      <c r="E667" s="886"/>
      <c r="F667" s="886"/>
      <c r="G667" s="886"/>
      <c r="H667" s="886"/>
      <c r="I667" s="886"/>
      <c r="J667" s="886"/>
      <c r="K667" s="886"/>
      <c r="L667" s="886"/>
      <c r="M667" s="886"/>
      <c r="N667" s="886"/>
      <c r="O667" s="886"/>
      <c r="P667" s="886"/>
      <c r="Q667" s="886"/>
      <c r="R667" s="886"/>
      <c r="S667" s="886"/>
      <c r="T667" s="886"/>
      <c r="U667" s="886"/>
      <c r="V667" s="886"/>
      <c r="W667" s="886"/>
      <c r="X667" s="886"/>
    </row>
    <row r="668" spans="3:24">
      <c r="C668" s="942"/>
      <c r="D668" s="943"/>
      <c r="E668" s="886"/>
      <c r="F668" s="886"/>
      <c r="G668" s="886"/>
      <c r="H668" s="886"/>
      <c r="I668" s="886"/>
      <c r="J668" s="886"/>
      <c r="K668" s="886"/>
      <c r="L668" s="886"/>
      <c r="M668" s="886"/>
      <c r="N668" s="886"/>
      <c r="O668" s="886"/>
      <c r="P668" s="886"/>
      <c r="Q668" s="886"/>
      <c r="R668" s="886"/>
      <c r="S668" s="886"/>
      <c r="T668" s="886"/>
      <c r="U668" s="886"/>
      <c r="V668" s="886"/>
      <c r="W668" s="886"/>
      <c r="X668" s="886"/>
    </row>
    <row r="669" spans="3:24">
      <c r="C669" s="942"/>
      <c r="D669" s="943"/>
      <c r="E669" s="886"/>
      <c r="F669" s="886"/>
      <c r="G669" s="886"/>
      <c r="H669" s="886"/>
      <c r="I669" s="886"/>
      <c r="J669" s="886"/>
      <c r="K669" s="886"/>
      <c r="L669" s="886"/>
      <c r="M669" s="886"/>
      <c r="N669" s="886"/>
      <c r="O669" s="886"/>
      <c r="P669" s="886"/>
      <c r="Q669" s="886"/>
      <c r="R669" s="886"/>
      <c r="S669" s="886"/>
      <c r="T669" s="886"/>
      <c r="U669" s="886"/>
      <c r="V669" s="886"/>
      <c r="W669" s="886"/>
      <c r="X669" s="886"/>
    </row>
    <row r="670" spans="3:24">
      <c r="C670" s="942"/>
      <c r="D670" s="943"/>
      <c r="E670" s="886"/>
      <c r="F670" s="886"/>
      <c r="G670" s="886"/>
      <c r="H670" s="886"/>
      <c r="I670" s="886"/>
      <c r="J670" s="886"/>
      <c r="K670" s="886"/>
      <c r="L670" s="886"/>
      <c r="M670" s="886"/>
      <c r="N670" s="886"/>
      <c r="O670" s="886"/>
      <c r="P670" s="886"/>
      <c r="Q670" s="886"/>
      <c r="R670" s="886"/>
      <c r="S670" s="886"/>
      <c r="T670" s="886"/>
      <c r="U670" s="886"/>
      <c r="V670" s="886"/>
      <c r="W670" s="886"/>
      <c r="X670" s="886"/>
    </row>
    <row r="671" spans="3:24">
      <c r="C671" s="942"/>
      <c r="D671" s="943"/>
      <c r="E671" s="886"/>
      <c r="F671" s="886"/>
      <c r="G671" s="886"/>
      <c r="H671" s="886"/>
      <c r="I671" s="886"/>
      <c r="J671" s="886"/>
      <c r="K671" s="886"/>
      <c r="L671" s="886"/>
      <c r="M671" s="886"/>
      <c r="N671" s="886"/>
      <c r="O671" s="886"/>
      <c r="P671" s="886"/>
      <c r="Q671" s="886"/>
      <c r="R671" s="886"/>
      <c r="S671" s="886"/>
      <c r="T671" s="886"/>
      <c r="U671" s="886"/>
      <c r="V671" s="886"/>
      <c r="W671" s="886"/>
      <c r="X671" s="886"/>
    </row>
    <row r="672" spans="3:24">
      <c r="C672" s="942"/>
      <c r="D672" s="943"/>
      <c r="E672" s="886"/>
      <c r="F672" s="886"/>
      <c r="G672" s="886"/>
      <c r="H672" s="886"/>
      <c r="I672" s="886"/>
      <c r="J672" s="886"/>
      <c r="K672" s="886"/>
      <c r="L672" s="886"/>
      <c r="M672" s="886"/>
      <c r="N672" s="886"/>
      <c r="O672" s="886"/>
      <c r="P672" s="886"/>
      <c r="Q672" s="886"/>
      <c r="R672" s="886"/>
      <c r="S672" s="886"/>
      <c r="T672" s="886"/>
      <c r="U672" s="886"/>
      <c r="V672" s="886"/>
      <c r="W672" s="886"/>
      <c r="X672" s="886"/>
    </row>
    <row r="673" spans="3:24">
      <c r="C673" s="942"/>
      <c r="D673" s="943"/>
      <c r="E673" s="886"/>
      <c r="F673" s="886"/>
      <c r="G673" s="886"/>
      <c r="H673" s="886"/>
      <c r="I673" s="886"/>
      <c r="J673" s="886"/>
      <c r="K673" s="886"/>
      <c r="L673" s="886"/>
      <c r="M673" s="886"/>
      <c r="N673" s="886"/>
      <c r="O673" s="886"/>
      <c r="P673" s="886"/>
      <c r="Q673" s="886"/>
      <c r="R673" s="886"/>
      <c r="S673" s="886"/>
      <c r="T673" s="886"/>
      <c r="U673" s="886"/>
      <c r="V673" s="886"/>
      <c r="W673" s="886"/>
      <c r="X673" s="886"/>
    </row>
    <row r="674" spans="3:24">
      <c r="C674" s="942"/>
      <c r="D674" s="943"/>
      <c r="E674" s="886"/>
      <c r="F674" s="886"/>
      <c r="G674" s="886"/>
      <c r="H674" s="886"/>
      <c r="I674" s="886"/>
      <c r="J674" s="886"/>
      <c r="K674" s="886"/>
      <c r="L674" s="886"/>
      <c r="M674" s="886"/>
      <c r="N674" s="886"/>
      <c r="O674" s="886"/>
      <c r="P674" s="886"/>
      <c r="Q674" s="886"/>
      <c r="R674" s="886"/>
      <c r="S674" s="886"/>
      <c r="T674" s="886"/>
      <c r="U674" s="886"/>
      <c r="V674" s="886"/>
      <c r="W674" s="886"/>
      <c r="X674" s="886"/>
    </row>
    <row r="675" spans="3:24">
      <c r="C675" s="942"/>
      <c r="D675" s="943"/>
      <c r="E675" s="886"/>
      <c r="F675" s="886"/>
      <c r="G675" s="886"/>
      <c r="H675" s="886"/>
      <c r="I675" s="886"/>
      <c r="J675" s="886"/>
      <c r="K675" s="886"/>
      <c r="L675" s="886"/>
      <c r="M675" s="886"/>
      <c r="N675" s="886"/>
      <c r="O675" s="886"/>
      <c r="P675" s="886"/>
      <c r="Q675" s="886"/>
      <c r="R675" s="886"/>
      <c r="S675" s="886"/>
      <c r="T675" s="886"/>
      <c r="U675" s="886"/>
      <c r="V675" s="886"/>
      <c r="W675" s="886"/>
      <c r="X675" s="886"/>
    </row>
    <row r="676" spans="3:24">
      <c r="C676" s="942"/>
      <c r="D676" s="943"/>
      <c r="E676" s="886"/>
      <c r="F676" s="886"/>
      <c r="G676" s="886"/>
      <c r="H676" s="886"/>
      <c r="I676" s="886"/>
      <c r="J676" s="886"/>
      <c r="K676" s="886"/>
      <c r="L676" s="886"/>
      <c r="M676" s="886"/>
      <c r="N676" s="886"/>
      <c r="O676" s="886"/>
      <c r="P676" s="886"/>
      <c r="Q676" s="886"/>
      <c r="R676" s="886"/>
      <c r="S676" s="886"/>
      <c r="T676" s="886"/>
      <c r="U676" s="886"/>
      <c r="V676" s="886"/>
      <c r="W676" s="886"/>
      <c r="X676" s="886"/>
    </row>
    <row r="677" spans="3:24">
      <c r="C677" s="942"/>
      <c r="D677" s="943"/>
      <c r="E677" s="886"/>
      <c r="F677" s="886"/>
      <c r="G677" s="886"/>
      <c r="H677" s="886"/>
      <c r="I677" s="886"/>
      <c r="J677" s="886"/>
      <c r="K677" s="886"/>
      <c r="L677" s="886"/>
      <c r="M677" s="886"/>
      <c r="N677" s="886"/>
      <c r="O677" s="886"/>
      <c r="P677" s="886"/>
      <c r="Q677" s="886"/>
      <c r="R677" s="886"/>
      <c r="S677" s="886"/>
      <c r="T677" s="886"/>
      <c r="U677" s="886"/>
      <c r="V677" s="886"/>
      <c r="W677" s="886"/>
      <c r="X677" s="886"/>
    </row>
    <row r="678" spans="3:24">
      <c r="C678" s="942"/>
      <c r="D678" s="943"/>
      <c r="E678" s="886"/>
      <c r="F678" s="886"/>
      <c r="G678" s="886"/>
      <c r="H678" s="886"/>
      <c r="I678" s="886"/>
      <c r="J678" s="886"/>
      <c r="K678" s="886"/>
      <c r="L678" s="886"/>
      <c r="M678" s="886"/>
      <c r="N678" s="886"/>
      <c r="O678" s="886"/>
      <c r="P678" s="886"/>
      <c r="Q678" s="886"/>
      <c r="R678" s="886"/>
      <c r="S678" s="886"/>
      <c r="T678" s="886"/>
      <c r="U678" s="886"/>
      <c r="V678" s="886"/>
      <c r="W678" s="886"/>
      <c r="X678" s="886"/>
    </row>
    <row r="679" spans="3:24">
      <c r="C679" s="942"/>
      <c r="D679" s="943"/>
      <c r="E679" s="886"/>
      <c r="F679" s="886"/>
      <c r="G679" s="886"/>
      <c r="H679" s="886"/>
      <c r="I679" s="886"/>
      <c r="J679" s="886"/>
      <c r="K679" s="886"/>
      <c r="L679" s="886"/>
      <c r="M679" s="886"/>
      <c r="N679" s="886"/>
      <c r="O679" s="886"/>
      <c r="P679" s="886"/>
      <c r="Q679" s="886"/>
      <c r="R679" s="886"/>
      <c r="S679" s="886"/>
      <c r="T679" s="886"/>
      <c r="U679" s="886"/>
      <c r="V679" s="886"/>
      <c r="W679" s="886"/>
      <c r="X679" s="886"/>
    </row>
    <row r="680" spans="3:24">
      <c r="C680" s="942"/>
      <c r="D680" s="943"/>
      <c r="E680" s="886"/>
      <c r="F680" s="886"/>
      <c r="G680" s="886"/>
      <c r="H680" s="886"/>
      <c r="I680" s="886"/>
      <c r="J680" s="886"/>
      <c r="K680" s="886"/>
      <c r="L680" s="886"/>
      <c r="M680" s="886"/>
      <c r="N680" s="886"/>
      <c r="O680" s="886"/>
      <c r="P680" s="886"/>
      <c r="Q680" s="886"/>
      <c r="R680" s="886"/>
      <c r="S680" s="886"/>
      <c r="T680" s="886"/>
      <c r="U680" s="886"/>
      <c r="V680" s="886"/>
      <c r="W680" s="886"/>
      <c r="X680" s="886"/>
    </row>
    <row r="681" spans="3:24">
      <c r="C681" s="942"/>
      <c r="D681" s="943"/>
      <c r="E681" s="886"/>
      <c r="F681" s="886"/>
      <c r="G681" s="886"/>
      <c r="H681" s="886"/>
      <c r="I681" s="886"/>
      <c r="J681" s="886"/>
      <c r="K681" s="886"/>
      <c r="L681" s="886"/>
      <c r="M681" s="886"/>
      <c r="N681" s="886"/>
      <c r="O681" s="886"/>
      <c r="P681" s="886"/>
      <c r="Q681" s="886"/>
      <c r="R681" s="886"/>
      <c r="S681" s="886"/>
      <c r="T681" s="886"/>
      <c r="U681" s="886"/>
      <c r="V681" s="886"/>
      <c r="W681" s="886"/>
      <c r="X681" s="886"/>
    </row>
    <row r="682" spans="3:24">
      <c r="C682" s="942"/>
      <c r="D682" s="943"/>
      <c r="E682" s="886"/>
      <c r="F682" s="886"/>
      <c r="G682" s="886"/>
      <c r="H682" s="886"/>
      <c r="I682" s="886"/>
      <c r="J682" s="886"/>
      <c r="K682" s="886"/>
      <c r="L682" s="886"/>
      <c r="M682" s="886"/>
      <c r="N682" s="886"/>
      <c r="O682" s="886"/>
      <c r="P682" s="886"/>
      <c r="Q682" s="886"/>
      <c r="R682" s="886"/>
      <c r="S682" s="886"/>
      <c r="T682" s="886"/>
      <c r="U682" s="886"/>
      <c r="V682" s="886"/>
      <c r="W682" s="886"/>
      <c r="X682" s="886"/>
    </row>
    <row r="683" spans="3:24">
      <c r="C683" s="942"/>
      <c r="D683" s="943"/>
      <c r="E683" s="886"/>
      <c r="F683" s="886"/>
      <c r="G683" s="886"/>
      <c r="H683" s="886"/>
      <c r="I683" s="886"/>
      <c r="J683" s="886"/>
      <c r="K683" s="886"/>
      <c r="L683" s="886"/>
      <c r="M683" s="886"/>
      <c r="N683" s="886"/>
      <c r="O683" s="886"/>
      <c r="P683" s="886"/>
      <c r="Q683" s="886"/>
      <c r="R683" s="886"/>
      <c r="S683" s="886"/>
      <c r="T683" s="886"/>
      <c r="U683" s="886"/>
      <c r="V683" s="886"/>
      <c r="W683" s="886"/>
      <c r="X683" s="886"/>
    </row>
    <row r="684" spans="3:24">
      <c r="C684" s="942"/>
      <c r="D684" s="943"/>
      <c r="E684" s="886"/>
      <c r="F684" s="886"/>
      <c r="G684" s="886"/>
      <c r="H684" s="886"/>
      <c r="I684" s="886"/>
      <c r="J684" s="886"/>
      <c r="K684" s="886"/>
      <c r="L684" s="886"/>
      <c r="M684" s="886"/>
      <c r="N684" s="886"/>
      <c r="O684" s="886"/>
      <c r="P684" s="886"/>
      <c r="Q684" s="886"/>
      <c r="R684" s="886"/>
      <c r="S684" s="886"/>
      <c r="T684" s="886"/>
      <c r="U684" s="886"/>
      <c r="V684" s="886"/>
      <c r="W684" s="886"/>
      <c r="X684" s="886"/>
    </row>
    <row r="685" spans="3:24">
      <c r="C685" s="942"/>
      <c r="D685" s="943"/>
      <c r="E685" s="886"/>
      <c r="F685" s="886"/>
      <c r="G685" s="886"/>
      <c r="H685" s="886"/>
      <c r="I685" s="886"/>
      <c r="J685" s="886"/>
      <c r="K685" s="886"/>
      <c r="L685" s="886"/>
      <c r="M685" s="886"/>
      <c r="N685" s="886"/>
      <c r="O685" s="886"/>
      <c r="P685" s="886"/>
      <c r="Q685" s="886"/>
      <c r="R685" s="886"/>
      <c r="S685" s="886"/>
      <c r="T685" s="886"/>
      <c r="U685" s="886"/>
      <c r="V685" s="886"/>
      <c r="W685" s="886"/>
      <c r="X685" s="886"/>
    </row>
    <row r="686" spans="3:24">
      <c r="C686" s="942"/>
      <c r="D686" s="943"/>
      <c r="E686" s="886"/>
      <c r="F686" s="886"/>
      <c r="G686" s="886"/>
      <c r="H686" s="886"/>
      <c r="I686" s="886"/>
      <c r="J686" s="886"/>
      <c r="K686" s="886"/>
      <c r="L686" s="886"/>
      <c r="M686" s="886"/>
      <c r="N686" s="886"/>
      <c r="O686" s="886"/>
      <c r="P686" s="886"/>
      <c r="Q686" s="886"/>
      <c r="R686" s="886"/>
      <c r="S686" s="886"/>
      <c r="T686" s="886"/>
      <c r="U686" s="886"/>
      <c r="V686" s="886"/>
      <c r="W686" s="886"/>
      <c r="X686" s="886"/>
    </row>
    <row r="687" spans="3:24">
      <c r="C687" s="942"/>
      <c r="D687" s="943"/>
      <c r="E687" s="886"/>
      <c r="F687" s="886"/>
      <c r="G687" s="886"/>
      <c r="H687" s="886"/>
      <c r="I687" s="886"/>
      <c r="J687" s="886"/>
      <c r="K687" s="886"/>
      <c r="L687" s="886"/>
      <c r="M687" s="886"/>
      <c r="N687" s="886"/>
      <c r="O687" s="886"/>
      <c r="P687" s="886"/>
      <c r="Q687" s="886"/>
      <c r="R687" s="886"/>
      <c r="S687" s="886"/>
      <c r="T687" s="886"/>
      <c r="U687" s="886"/>
      <c r="V687" s="886"/>
      <c r="W687" s="886"/>
      <c r="X687" s="886"/>
    </row>
    <row r="688" spans="3:24">
      <c r="C688" s="942"/>
      <c r="D688" s="943"/>
      <c r="E688" s="886"/>
      <c r="F688" s="886"/>
      <c r="G688" s="886"/>
      <c r="H688" s="886"/>
      <c r="I688" s="886"/>
      <c r="J688" s="886"/>
      <c r="K688" s="886"/>
      <c r="L688" s="886"/>
      <c r="M688" s="886"/>
      <c r="N688" s="886"/>
      <c r="O688" s="886"/>
      <c r="P688" s="886"/>
      <c r="Q688" s="886"/>
      <c r="R688" s="886"/>
      <c r="S688" s="886"/>
      <c r="T688" s="886"/>
      <c r="U688" s="886"/>
      <c r="V688" s="886"/>
      <c r="W688" s="886"/>
      <c r="X688" s="886"/>
    </row>
    <row r="689" spans="3:24">
      <c r="C689" s="942"/>
      <c r="D689" s="943"/>
      <c r="E689" s="886"/>
      <c r="F689" s="886"/>
      <c r="G689" s="886"/>
      <c r="H689" s="886"/>
      <c r="I689" s="886"/>
      <c r="J689" s="886"/>
      <c r="K689" s="886"/>
      <c r="L689" s="886"/>
      <c r="M689" s="886"/>
      <c r="N689" s="886"/>
      <c r="O689" s="886"/>
      <c r="P689" s="886"/>
      <c r="Q689" s="886"/>
      <c r="R689" s="886"/>
      <c r="S689" s="886"/>
      <c r="T689" s="886"/>
      <c r="U689" s="886"/>
      <c r="V689" s="886"/>
      <c r="W689" s="886"/>
      <c r="X689" s="886"/>
    </row>
    <row r="690" spans="3:24">
      <c r="C690" s="942"/>
      <c r="D690" s="943"/>
      <c r="E690" s="886"/>
      <c r="F690" s="886"/>
      <c r="G690" s="886"/>
      <c r="H690" s="886"/>
      <c r="I690" s="886"/>
      <c r="J690" s="886"/>
      <c r="K690" s="886"/>
      <c r="L690" s="886"/>
      <c r="M690" s="886"/>
      <c r="N690" s="886"/>
      <c r="O690" s="886"/>
      <c r="P690" s="886"/>
      <c r="Q690" s="886"/>
      <c r="R690" s="886"/>
      <c r="S690" s="886"/>
      <c r="T690" s="886"/>
      <c r="U690" s="886"/>
      <c r="V690" s="886"/>
      <c r="W690" s="886"/>
      <c r="X690" s="886"/>
    </row>
    <row r="691" spans="3:24">
      <c r="C691" s="942"/>
      <c r="D691" s="943"/>
      <c r="E691" s="886"/>
      <c r="F691" s="886"/>
      <c r="G691" s="886"/>
      <c r="H691" s="886"/>
      <c r="I691" s="886"/>
      <c r="J691" s="886"/>
      <c r="K691" s="886"/>
      <c r="L691" s="886"/>
      <c r="M691" s="886"/>
      <c r="N691" s="886"/>
      <c r="O691" s="886"/>
      <c r="P691" s="886"/>
      <c r="Q691" s="886"/>
      <c r="R691" s="886"/>
      <c r="S691" s="886"/>
      <c r="T691" s="886"/>
      <c r="U691" s="886"/>
      <c r="V691" s="886"/>
      <c r="W691" s="886"/>
      <c r="X691" s="886"/>
    </row>
    <row r="692" spans="3:24">
      <c r="C692" s="942"/>
      <c r="D692" s="943"/>
      <c r="E692" s="886"/>
      <c r="F692" s="886"/>
      <c r="G692" s="886"/>
      <c r="H692" s="886"/>
      <c r="I692" s="886"/>
      <c r="J692" s="886"/>
      <c r="K692" s="886"/>
      <c r="L692" s="886"/>
      <c r="M692" s="886"/>
      <c r="N692" s="886"/>
      <c r="O692" s="886"/>
      <c r="P692" s="886"/>
      <c r="Q692" s="886"/>
      <c r="R692" s="886"/>
      <c r="S692" s="886"/>
      <c r="T692" s="886"/>
      <c r="U692" s="886"/>
      <c r="V692" s="886"/>
      <c r="W692" s="886"/>
      <c r="X692" s="886"/>
    </row>
    <row r="693" spans="3:24">
      <c r="C693" s="942"/>
      <c r="D693" s="943"/>
      <c r="E693" s="886"/>
      <c r="F693" s="886"/>
      <c r="G693" s="886"/>
      <c r="H693" s="886"/>
      <c r="I693" s="886"/>
      <c r="J693" s="886"/>
      <c r="K693" s="886"/>
      <c r="L693" s="886"/>
      <c r="M693" s="886"/>
      <c r="N693" s="886"/>
      <c r="O693" s="886"/>
      <c r="P693" s="886"/>
      <c r="Q693" s="886"/>
      <c r="R693" s="886"/>
      <c r="S693" s="886"/>
      <c r="T693" s="886"/>
      <c r="U693" s="886"/>
      <c r="V693" s="886"/>
      <c r="W693" s="886"/>
      <c r="X693" s="886"/>
    </row>
    <row r="694" spans="3:24">
      <c r="C694" s="942"/>
      <c r="D694" s="943"/>
      <c r="E694" s="886"/>
      <c r="F694" s="886"/>
      <c r="G694" s="886"/>
      <c r="H694" s="886"/>
      <c r="I694" s="886"/>
      <c r="J694" s="886"/>
      <c r="K694" s="886"/>
      <c r="L694" s="886"/>
      <c r="M694" s="886"/>
      <c r="N694" s="886"/>
      <c r="O694" s="886"/>
      <c r="P694" s="886"/>
      <c r="Q694" s="886"/>
      <c r="R694" s="886"/>
      <c r="S694" s="886"/>
      <c r="T694" s="886"/>
      <c r="U694" s="886"/>
      <c r="V694" s="886"/>
      <c r="W694" s="886"/>
      <c r="X694" s="886"/>
    </row>
    <row r="695" spans="3:24">
      <c r="C695" s="942"/>
      <c r="D695" s="943"/>
      <c r="E695" s="886"/>
      <c r="F695" s="886"/>
      <c r="G695" s="886"/>
      <c r="H695" s="886"/>
      <c r="I695" s="886"/>
      <c r="J695" s="886"/>
      <c r="K695" s="886"/>
      <c r="L695" s="886"/>
      <c r="M695" s="886"/>
      <c r="N695" s="886"/>
      <c r="O695" s="886"/>
      <c r="P695" s="886"/>
      <c r="Q695" s="886"/>
      <c r="R695" s="886"/>
      <c r="S695" s="886"/>
      <c r="T695" s="886"/>
      <c r="U695" s="886"/>
      <c r="V695" s="886"/>
      <c r="W695" s="886"/>
      <c r="X695" s="886"/>
    </row>
    <row r="696" spans="3:24">
      <c r="C696" s="942"/>
      <c r="D696" s="943"/>
      <c r="E696" s="886"/>
      <c r="F696" s="886"/>
      <c r="G696" s="886"/>
      <c r="H696" s="886"/>
      <c r="I696" s="886"/>
      <c r="J696" s="886"/>
      <c r="K696" s="886"/>
      <c r="L696" s="886"/>
      <c r="M696" s="886"/>
      <c r="N696" s="886"/>
      <c r="O696" s="886"/>
      <c r="P696" s="886"/>
      <c r="Q696" s="886"/>
      <c r="R696" s="886"/>
      <c r="S696" s="886"/>
      <c r="T696" s="886"/>
      <c r="U696" s="886"/>
      <c r="V696" s="886"/>
      <c r="W696" s="886"/>
      <c r="X696" s="886"/>
    </row>
    <row r="697" spans="3:24">
      <c r="C697" s="942"/>
      <c r="D697" s="943"/>
      <c r="E697" s="886"/>
      <c r="F697" s="886"/>
      <c r="G697" s="886"/>
      <c r="H697" s="886"/>
      <c r="I697" s="886"/>
      <c r="J697" s="886"/>
      <c r="K697" s="886"/>
      <c r="L697" s="886"/>
      <c r="M697" s="886"/>
      <c r="N697" s="886"/>
      <c r="O697" s="886"/>
      <c r="P697" s="886"/>
      <c r="Q697" s="886"/>
      <c r="R697" s="886"/>
      <c r="S697" s="886"/>
      <c r="T697" s="886"/>
      <c r="U697" s="886"/>
      <c r="V697" s="886"/>
      <c r="W697" s="886"/>
      <c r="X697" s="886"/>
    </row>
    <row r="698" spans="3:24">
      <c r="C698" s="942"/>
      <c r="D698" s="943"/>
      <c r="E698" s="886"/>
      <c r="F698" s="886"/>
      <c r="G698" s="886"/>
      <c r="H698" s="886"/>
      <c r="I698" s="886"/>
      <c r="J698" s="886"/>
      <c r="K698" s="886"/>
      <c r="L698" s="886"/>
      <c r="M698" s="886"/>
      <c r="N698" s="886"/>
      <c r="O698" s="886"/>
      <c r="P698" s="886"/>
      <c r="Q698" s="886"/>
      <c r="R698" s="886"/>
      <c r="S698" s="886"/>
      <c r="T698" s="886"/>
      <c r="U698" s="886"/>
      <c r="V698" s="886"/>
      <c r="W698" s="886"/>
      <c r="X698" s="886"/>
    </row>
    <row r="699" spans="3:24">
      <c r="C699" s="942"/>
      <c r="D699" s="943"/>
      <c r="E699" s="886"/>
      <c r="F699" s="886"/>
      <c r="G699" s="886"/>
      <c r="H699" s="886"/>
      <c r="I699" s="886"/>
      <c r="J699" s="886"/>
      <c r="K699" s="886"/>
      <c r="L699" s="886"/>
      <c r="M699" s="886"/>
      <c r="N699" s="886"/>
      <c r="O699" s="886"/>
      <c r="P699" s="886"/>
      <c r="Q699" s="886"/>
      <c r="R699" s="886"/>
      <c r="S699" s="886"/>
      <c r="T699" s="886"/>
      <c r="U699" s="886"/>
      <c r="V699" s="886"/>
      <c r="W699" s="886"/>
      <c r="X699" s="886"/>
    </row>
    <row r="700" spans="3:24">
      <c r="C700" s="942"/>
      <c r="D700" s="943"/>
      <c r="E700" s="886"/>
      <c r="F700" s="886"/>
      <c r="G700" s="886"/>
      <c r="H700" s="886"/>
      <c r="I700" s="886"/>
      <c r="J700" s="886"/>
      <c r="K700" s="886"/>
      <c r="L700" s="886"/>
      <c r="M700" s="886"/>
      <c r="N700" s="886"/>
      <c r="O700" s="886"/>
      <c r="P700" s="886"/>
      <c r="Q700" s="886"/>
      <c r="R700" s="886"/>
      <c r="S700" s="886"/>
      <c r="T700" s="886"/>
      <c r="U700" s="886"/>
      <c r="V700" s="886"/>
      <c r="W700" s="886"/>
      <c r="X700" s="886"/>
    </row>
    <row r="701" spans="3:24">
      <c r="C701" s="942"/>
      <c r="D701" s="943"/>
      <c r="E701" s="886"/>
      <c r="F701" s="886"/>
      <c r="G701" s="886"/>
      <c r="H701" s="886"/>
      <c r="I701" s="886"/>
      <c r="J701" s="886"/>
      <c r="K701" s="886"/>
      <c r="L701" s="886"/>
      <c r="M701" s="886"/>
      <c r="N701" s="886"/>
      <c r="O701" s="886"/>
      <c r="P701" s="886"/>
      <c r="Q701" s="886"/>
      <c r="R701" s="886"/>
      <c r="S701" s="886"/>
      <c r="T701" s="886"/>
      <c r="U701" s="886"/>
      <c r="V701" s="886"/>
      <c r="W701" s="886"/>
      <c r="X701" s="886"/>
    </row>
    <row r="702" spans="3:24">
      <c r="C702" s="942"/>
      <c r="D702" s="943"/>
      <c r="E702" s="886"/>
      <c r="F702" s="886"/>
      <c r="G702" s="886"/>
      <c r="H702" s="886"/>
      <c r="I702" s="886"/>
      <c r="J702" s="886"/>
      <c r="K702" s="886"/>
      <c r="L702" s="886"/>
      <c r="M702" s="886"/>
      <c r="N702" s="886"/>
      <c r="O702" s="886"/>
      <c r="P702" s="886"/>
      <c r="Q702" s="886"/>
      <c r="R702" s="886"/>
      <c r="S702" s="886"/>
      <c r="T702" s="886"/>
      <c r="U702" s="886"/>
      <c r="V702" s="886"/>
      <c r="W702" s="886"/>
      <c r="X702" s="886"/>
    </row>
    <row r="703" spans="3:24">
      <c r="C703" s="942"/>
      <c r="D703" s="943"/>
      <c r="E703" s="886"/>
      <c r="F703" s="886"/>
      <c r="G703" s="886"/>
      <c r="H703" s="886"/>
      <c r="I703" s="886"/>
      <c r="J703" s="886"/>
      <c r="K703" s="886"/>
      <c r="L703" s="886"/>
      <c r="M703" s="886"/>
      <c r="N703" s="886"/>
      <c r="O703" s="886"/>
      <c r="P703" s="886"/>
      <c r="Q703" s="886"/>
      <c r="R703" s="886"/>
      <c r="S703" s="886"/>
      <c r="T703" s="886"/>
      <c r="U703" s="886"/>
      <c r="V703" s="886"/>
      <c r="W703" s="886"/>
      <c r="X703" s="886"/>
    </row>
    <row r="704" spans="3:24">
      <c r="C704" s="942"/>
      <c r="D704" s="943"/>
      <c r="E704" s="886"/>
      <c r="F704" s="886"/>
      <c r="G704" s="886"/>
      <c r="H704" s="886"/>
      <c r="I704" s="886"/>
      <c r="J704" s="886"/>
      <c r="K704" s="886"/>
      <c r="L704" s="886"/>
      <c r="M704" s="886"/>
      <c r="N704" s="886"/>
      <c r="O704" s="886"/>
      <c r="P704" s="886"/>
      <c r="Q704" s="886"/>
      <c r="R704" s="886"/>
      <c r="S704" s="886"/>
      <c r="T704" s="886"/>
      <c r="U704" s="886"/>
      <c r="V704" s="886"/>
      <c r="W704" s="886"/>
      <c r="X704" s="886"/>
    </row>
    <row r="705" spans="3:24">
      <c r="C705" s="942"/>
      <c r="D705" s="943"/>
      <c r="E705" s="886"/>
      <c r="F705" s="886"/>
      <c r="G705" s="886"/>
      <c r="H705" s="886"/>
      <c r="I705" s="886"/>
      <c r="J705" s="886"/>
      <c r="K705" s="886"/>
      <c r="L705" s="886"/>
      <c r="M705" s="886"/>
      <c r="N705" s="886"/>
      <c r="O705" s="886"/>
      <c r="P705" s="886"/>
      <c r="Q705" s="886"/>
      <c r="R705" s="886"/>
      <c r="S705" s="886"/>
      <c r="T705" s="886"/>
      <c r="U705" s="886"/>
      <c r="V705" s="886"/>
      <c r="W705" s="886"/>
      <c r="X705" s="886"/>
    </row>
    <row r="706" spans="3:24">
      <c r="C706" s="942"/>
      <c r="D706" s="943"/>
      <c r="E706" s="886"/>
      <c r="F706" s="886"/>
      <c r="G706" s="886"/>
      <c r="H706" s="886"/>
      <c r="I706" s="886"/>
      <c r="J706" s="886"/>
      <c r="K706" s="886"/>
      <c r="L706" s="886"/>
      <c r="M706" s="886"/>
      <c r="N706" s="886"/>
      <c r="O706" s="886"/>
      <c r="P706" s="886"/>
      <c r="Q706" s="886"/>
      <c r="R706" s="886"/>
      <c r="S706" s="886"/>
      <c r="T706" s="886"/>
      <c r="U706" s="886"/>
      <c r="V706" s="886"/>
      <c r="W706" s="886"/>
      <c r="X706" s="886"/>
    </row>
    <row r="707" spans="3:24">
      <c r="C707" s="942"/>
      <c r="D707" s="943"/>
      <c r="E707" s="886"/>
      <c r="F707" s="886"/>
      <c r="G707" s="886"/>
      <c r="H707" s="886"/>
      <c r="I707" s="886"/>
      <c r="J707" s="886"/>
      <c r="K707" s="886"/>
      <c r="L707" s="886"/>
      <c r="M707" s="886"/>
      <c r="N707" s="886"/>
      <c r="O707" s="886"/>
      <c r="P707" s="886"/>
      <c r="Q707" s="886"/>
      <c r="R707" s="886"/>
      <c r="S707" s="886"/>
      <c r="T707" s="886"/>
      <c r="U707" s="886"/>
      <c r="V707" s="886"/>
      <c r="W707" s="886"/>
      <c r="X707" s="886"/>
    </row>
    <row r="708" spans="3:24">
      <c r="C708" s="942"/>
      <c r="D708" s="943"/>
      <c r="E708" s="886"/>
      <c r="F708" s="886"/>
      <c r="G708" s="886"/>
      <c r="H708" s="886"/>
      <c r="I708" s="886"/>
      <c r="J708" s="886"/>
      <c r="K708" s="886"/>
      <c r="L708" s="886"/>
      <c r="M708" s="886"/>
      <c r="N708" s="886"/>
      <c r="O708" s="886"/>
      <c r="P708" s="886"/>
      <c r="Q708" s="886"/>
      <c r="R708" s="886"/>
      <c r="S708" s="886"/>
      <c r="T708" s="886"/>
      <c r="U708" s="886"/>
      <c r="V708" s="886"/>
      <c r="W708" s="886"/>
      <c r="X708" s="886"/>
    </row>
    <row r="709" spans="3:24">
      <c r="C709" s="942"/>
      <c r="D709" s="943"/>
      <c r="E709" s="886"/>
      <c r="F709" s="886"/>
      <c r="G709" s="886"/>
      <c r="H709" s="886"/>
      <c r="I709" s="886"/>
      <c r="J709" s="886"/>
      <c r="K709" s="886"/>
      <c r="L709" s="886"/>
      <c r="M709" s="886"/>
      <c r="N709" s="886"/>
      <c r="O709" s="886"/>
      <c r="P709" s="886"/>
      <c r="Q709" s="886"/>
      <c r="R709" s="886"/>
      <c r="S709" s="886"/>
      <c r="T709" s="886"/>
      <c r="U709" s="886"/>
      <c r="V709" s="886"/>
      <c r="W709" s="886"/>
      <c r="X709" s="886"/>
    </row>
    <row r="710" spans="3:24">
      <c r="C710" s="942"/>
      <c r="D710" s="943"/>
      <c r="E710" s="886"/>
      <c r="F710" s="886"/>
      <c r="G710" s="886"/>
      <c r="H710" s="886"/>
      <c r="I710" s="886"/>
      <c r="J710" s="886"/>
      <c r="K710" s="886"/>
      <c r="L710" s="886"/>
      <c r="M710" s="886"/>
      <c r="N710" s="886"/>
      <c r="O710" s="886"/>
      <c r="P710" s="886"/>
      <c r="Q710" s="886"/>
      <c r="R710" s="886"/>
      <c r="S710" s="886"/>
      <c r="T710" s="886"/>
      <c r="U710" s="886"/>
      <c r="V710" s="886"/>
      <c r="W710" s="886"/>
      <c r="X710" s="886"/>
    </row>
    <row r="711" spans="3:24">
      <c r="C711" s="942"/>
      <c r="D711" s="943"/>
      <c r="E711" s="886"/>
      <c r="F711" s="886"/>
      <c r="G711" s="886"/>
      <c r="H711" s="886"/>
      <c r="I711" s="886"/>
      <c r="J711" s="886"/>
      <c r="K711" s="886"/>
      <c r="L711" s="886"/>
      <c r="M711" s="886"/>
      <c r="N711" s="886"/>
      <c r="O711" s="886"/>
      <c r="P711" s="886"/>
      <c r="Q711" s="886"/>
      <c r="R711" s="886"/>
      <c r="S711" s="886"/>
      <c r="T711" s="886"/>
      <c r="U711" s="886"/>
      <c r="V711" s="886"/>
      <c r="W711" s="886"/>
      <c r="X711" s="886"/>
    </row>
    <row r="712" spans="3:24">
      <c r="C712" s="942"/>
      <c r="D712" s="943"/>
      <c r="E712" s="886"/>
      <c r="F712" s="886"/>
      <c r="G712" s="886"/>
      <c r="H712" s="886"/>
      <c r="I712" s="886"/>
      <c r="J712" s="886"/>
      <c r="K712" s="886"/>
      <c r="L712" s="886"/>
      <c r="M712" s="886"/>
      <c r="N712" s="886"/>
      <c r="O712" s="886"/>
      <c r="P712" s="886"/>
      <c r="Q712" s="886"/>
      <c r="R712" s="886"/>
      <c r="S712" s="886"/>
      <c r="T712" s="886"/>
      <c r="U712" s="886"/>
      <c r="V712" s="886"/>
      <c r="W712" s="886"/>
      <c r="X712" s="886"/>
    </row>
    <row r="713" spans="3:24">
      <c r="C713" s="942"/>
      <c r="D713" s="943"/>
      <c r="E713" s="886"/>
      <c r="F713" s="886"/>
      <c r="G713" s="886"/>
      <c r="H713" s="886"/>
      <c r="I713" s="886"/>
      <c r="J713" s="886"/>
      <c r="K713" s="886"/>
      <c r="L713" s="886"/>
      <c r="M713" s="886"/>
      <c r="N713" s="886"/>
      <c r="O713" s="886"/>
      <c r="P713" s="886"/>
      <c r="Q713" s="886"/>
      <c r="R713" s="886"/>
      <c r="S713" s="886"/>
      <c r="T713" s="886"/>
      <c r="U713" s="886"/>
      <c r="V713" s="886"/>
      <c r="W713" s="886"/>
      <c r="X713" s="886"/>
    </row>
    <row r="714" spans="3:24">
      <c r="C714" s="942"/>
      <c r="D714" s="943"/>
      <c r="E714" s="886"/>
      <c r="F714" s="886"/>
      <c r="G714" s="886"/>
      <c r="H714" s="886"/>
      <c r="I714" s="886"/>
      <c r="J714" s="886"/>
      <c r="K714" s="886"/>
      <c r="L714" s="886"/>
      <c r="M714" s="886"/>
      <c r="N714" s="886"/>
      <c r="O714" s="886"/>
      <c r="P714" s="886"/>
      <c r="Q714" s="886"/>
      <c r="R714" s="886"/>
      <c r="S714" s="886"/>
      <c r="T714" s="886"/>
      <c r="U714" s="886"/>
      <c r="V714" s="886"/>
      <c r="W714" s="886"/>
      <c r="X714" s="886"/>
    </row>
    <row r="715" spans="3:24">
      <c r="C715" s="942"/>
      <c r="D715" s="943"/>
      <c r="E715" s="886"/>
      <c r="F715" s="886"/>
      <c r="G715" s="886"/>
      <c r="H715" s="886"/>
      <c r="I715" s="886"/>
      <c r="J715" s="886"/>
      <c r="K715" s="886"/>
      <c r="L715" s="886"/>
      <c r="M715" s="886"/>
      <c r="N715" s="886"/>
      <c r="O715" s="886"/>
      <c r="P715" s="886"/>
      <c r="Q715" s="886"/>
      <c r="R715" s="886"/>
      <c r="S715" s="886"/>
      <c r="T715" s="886"/>
      <c r="U715" s="886"/>
      <c r="V715" s="886"/>
      <c r="W715" s="886"/>
      <c r="X715" s="886"/>
    </row>
    <row r="716" spans="3:24">
      <c r="C716" s="942"/>
      <c r="D716" s="943"/>
      <c r="E716" s="886"/>
      <c r="F716" s="886"/>
      <c r="G716" s="886"/>
      <c r="H716" s="886"/>
      <c r="I716" s="886"/>
      <c r="J716" s="886"/>
      <c r="K716" s="886"/>
      <c r="L716" s="886"/>
      <c r="M716" s="886"/>
      <c r="N716" s="886"/>
      <c r="O716" s="886"/>
      <c r="P716" s="886"/>
      <c r="Q716" s="886"/>
      <c r="R716" s="886"/>
      <c r="S716" s="886"/>
      <c r="T716" s="886"/>
      <c r="U716" s="886"/>
      <c r="V716" s="886"/>
      <c r="W716" s="886"/>
      <c r="X716" s="886"/>
    </row>
    <row r="717" spans="3:24">
      <c r="C717" s="942"/>
      <c r="D717" s="943"/>
      <c r="E717" s="886"/>
      <c r="F717" s="886"/>
      <c r="G717" s="886"/>
      <c r="H717" s="886"/>
      <c r="I717" s="886"/>
      <c r="J717" s="886"/>
      <c r="K717" s="886"/>
      <c r="L717" s="886"/>
      <c r="M717" s="886"/>
      <c r="N717" s="886"/>
      <c r="O717" s="886"/>
      <c r="P717" s="886"/>
      <c r="Q717" s="886"/>
      <c r="R717" s="886"/>
      <c r="S717" s="886"/>
      <c r="T717" s="886"/>
      <c r="U717" s="886"/>
      <c r="V717" s="886"/>
      <c r="W717" s="886"/>
      <c r="X717" s="886"/>
    </row>
    <row r="718" spans="3:24">
      <c r="C718" s="942"/>
      <c r="D718" s="943"/>
      <c r="E718" s="886"/>
      <c r="F718" s="886"/>
      <c r="G718" s="886"/>
      <c r="H718" s="886"/>
      <c r="I718" s="886"/>
      <c r="J718" s="886"/>
      <c r="K718" s="886"/>
      <c r="L718" s="886"/>
      <c r="M718" s="886"/>
      <c r="N718" s="886"/>
      <c r="O718" s="886"/>
      <c r="P718" s="886"/>
      <c r="Q718" s="886"/>
      <c r="R718" s="886"/>
      <c r="S718" s="886"/>
      <c r="T718" s="886"/>
      <c r="U718" s="886"/>
      <c r="V718" s="886"/>
      <c r="W718" s="886"/>
      <c r="X718" s="886"/>
    </row>
    <row r="719" spans="3:24">
      <c r="C719" s="942"/>
      <c r="D719" s="943"/>
      <c r="E719" s="886"/>
      <c r="F719" s="886"/>
      <c r="G719" s="886"/>
      <c r="H719" s="886"/>
      <c r="I719" s="886"/>
      <c r="J719" s="886"/>
      <c r="K719" s="886"/>
      <c r="L719" s="886"/>
      <c r="M719" s="886"/>
      <c r="N719" s="886"/>
      <c r="O719" s="886"/>
      <c r="P719" s="886"/>
      <c r="Q719" s="886"/>
      <c r="R719" s="886"/>
      <c r="S719" s="886"/>
      <c r="T719" s="886"/>
      <c r="U719" s="886"/>
      <c r="V719" s="886"/>
      <c r="W719" s="886"/>
      <c r="X719" s="886"/>
    </row>
    <row r="720" spans="3:24">
      <c r="C720" s="942"/>
      <c r="D720" s="943"/>
      <c r="E720" s="886"/>
      <c r="F720" s="886"/>
      <c r="G720" s="886"/>
      <c r="H720" s="886"/>
      <c r="I720" s="886"/>
      <c r="J720" s="886"/>
      <c r="K720" s="886"/>
      <c r="L720" s="886"/>
      <c r="M720" s="886"/>
      <c r="N720" s="886"/>
      <c r="O720" s="886"/>
      <c r="P720" s="886"/>
      <c r="Q720" s="886"/>
      <c r="R720" s="886"/>
      <c r="S720" s="886"/>
      <c r="T720" s="886"/>
      <c r="U720" s="886"/>
      <c r="V720" s="886"/>
      <c r="W720" s="886"/>
      <c r="X720" s="886"/>
    </row>
    <row r="721" spans="3:24">
      <c r="C721" s="942"/>
      <c r="D721" s="943"/>
      <c r="E721" s="886"/>
      <c r="F721" s="886"/>
      <c r="G721" s="886"/>
      <c r="H721" s="886"/>
      <c r="I721" s="886"/>
      <c r="J721" s="886"/>
      <c r="K721" s="886"/>
      <c r="L721" s="886"/>
      <c r="M721" s="886"/>
      <c r="N721" s="886"/>
      <c r="O721" s="886"/>
      <c r="P721" s="886"/>
      <c r="Q721" s="886"/>
      <c r="R721" s="886"/>
      <c r="S721" s="886"/>
      <c r="T721" s="886"/>
      <c r="U721" s="886"/>
      <c r="V721" s="886"/>
      <c r="W721" s="886"/>
      <c r="X721" s="886"/>
    </row>
    <row r="722" spans="3:24">
      <c r="C722" s="942"/>
      <c r="D722" s="943"/>
      <c r="E722" s="886"/>
      <c r="F722" s="886"/>
      <c r="G722" s="886"/>
      <c r="H722" s="886"/>
      <c r="I722" s="886"/>
      <c r="J722" s="886"/>
      <c r="K722" s="886"/>
      <c r="L722" s="886"/>
      <c r="M722" s="886"/>
      <c r="N722" s="886"/>
      <c r="O722" s="886"/>
      <c r="P722" s="886"/>
      <c r="Q722" s="886"/>
      <c r="R722" s="886"/>
      <c r="S722" s="886"/>
      <c r="T722" s="886"/>
      <c r="U722" s="886"/>
      <c r="V722" s="886"/>
      <c r="W722" s="886"/>
      <c r="X722" s="886"/>
    </row>
    <row r="723" spans="3:24">
      <c r="C723" s="942"/>
      <c r="D723" s="943"/>
      <c r="E723" s="886"/>
      <c r="F723" s="886"/>
      <c r="G723" s="886"/>
      <c r="H723" s="886"/>
      <c r="I723" s="886"/>
      <c r="J723" s="886"/>
      <c r="K723" s="886"/>
      <c r="L723" s="886"/>
      <c r="M723" s="886"/>
      <c r="N723" s="886"/>
      <c r="O723" s="886"/>
      <c r="P723" s="886"/>
      <c r="Q723" s="886"/>
      <c r="R723" s="886"/>
      <c r="S723" s="886"/>
      <c r="T723" s="886"/>
      <c r="U723" s="886"/>
      <c r="V723" s="886"/>
      <c r="W723" s="886"/>
      <c r="X723" s="886"/>
    </row>
    <row r="724" spans="3:24">
      <c r="C724" s="942"/>
      <c r="D724" s="943"/>
      <c r="E724" s="886"/>
      <c r="F724" s="886"/>
      <c r="G724" s="886"/>
      <c r="H724" s="886"/>
      <c r="I724" s="886"/>
      <c r="J724" s="886"/>
      <c r="K724" s="886"/>
      <c r="L724" s="886"/>
      <c r="M724" s="886"/>
      <c r="N724" s="886"/>
      <c r="O724" s="886"/>
      <c r="P724" s="886"/>
      <c r="Q724" s="886"/>
      <c r="R724" s="886"/>
      <c r="S724" s="886"/>
      <c r="T724" s="886"/>
      <c r="U724" s="886"/>
      <c r="V724" s="886"/>
      <c r="W724" s="886"/>
      <c r="X724" s="886"/>
    </row>
    <row r="725" spans="3:24">
      <c r="C725" s="942"/>
      <c r="D725" s="943"/>
      <c r="E725" s="886"/>
      <c r="F725" s="886"/>
      <c r="G725" s="886"/>
      <c r="H725" s="886"/>
      <c r="I725" s="886"/>
      <c r="J725" s="886"/>
      <c r="K725" s="886"/>
      <c r="L725" s="886"/>
      <c r="M725" s="886"/>
      <c r="N725" s="886"/>
      <c r="O725" s="886"/>
      <c r="P725" s="886"/>
      <c r="Q725" s="886"/>
      <c r="R725" s="886"/>
      <c r="S725" s="886"/>
      <c r="T725" s="886"/>
      <c r="U725" s="886"/>
      <c r="V725" s="886"/>
      <c r="W725" s="886"/>
      <c r="X725" s="886"/>
    </row>
    <row r="726" spans="3:24">
      <c r="C726" s="942"/>
      <c r="D726" s="943"/>
      <c r="E726" s="886"/>
      <c r="F726" s="886"/>
      <c r="G726" s="886"/>
      <c r="H726" s="886"/>
      <c r="I726" s="886"/>
      <c r="J726" s="886"/>
      <c r="K726" s="886"/>
      <c r="L726" s="886"/>
      <c r="M726" s="886"/>
      <c r="N726" s="886"/>
      <c r="O726" s="886"/>
      <c r="P726" s="886"/>
      <c r="Q726" s="886"/>
      <c r="R726" s="886"/>
      <c r="S726" s="886"/>
      <c r="T726" s="886"/>
      <c r="U726" s="886"/>
      <c r="V726" s="886"/>
      <c r="W726" s="886"/>
      <c r="X726" s="886"/>
    </row>
    <row r="727" spans="3:24">
      <c r="C727" s="942"/>
      <c r="D727" s="943"/>
      <c r="E727" s="886"/>
      <c r="F727" s="886"/>
      <c r="G727" s="886"/>
      <c r="H727" s="886"/>
      <c r="I727" s="886"/>
      <c r="J727" s="886"/>
      <c r="K727" s="886"/>
      <c r="L727" s="886"/>
      <c r="M727" s="886"/>
      <c r="N727" s="886"/>
      <c r="O727" s="886"/>
      <c r="P727" s="886"/>
      <c r="Q727" s="886"/>
      <c r="R727" s="886"/>
      <c r="S727" s="886"/>
      <c r="T727" s="886"/>
      <c r="U727" s="886"/>
      <c r="V727" s="886"/>
      <c r="W727" s="886"/>
      <c r="X727" s="886"/>
    </row>
    <row r="728" spans="3:24">
      <c r="C728" s="942"/>
      <c r="D728" s="943"/>
      <c r="E728" s="886"/>
      <c r="F728" s="886"/>
      <c r="G728" s="886"/>
      <c r="H728" s="886"/>
      <c r="I728" s="886"/>
      <c r="J728" s="886"/>
      <c r="K728" s="886"/>
      <c r="L728" s="886"/>
      <c r="M728" s="886"/>
      <c r="N728" s="886"/>
      <c r="O728" s="886"/>
      <c r="P728" s="886"/>
      <c r="Q728" s="886"/>
      <c r="R728" s="886"/>
      <c r="S728" s="886"/>
      <c r="T728" s="886"/>
      <c r="U728" s="886"/>
      <c r="V728" s="886"/>
      <c r="W728" s="886"/>
      <c r="X728" s="886"/>
    </row>
    <row r="729" spans="3:24">
      <c r="C729" s="942"/>
      <c r="D729" s="943"/>
      <c r="E729" s="886"/>
      <c r="F729" s="886"/>
      <c r="G729" s="886"/>
      <c r="H729" s="886"/>
      <c r="I729" s="886"/>
      <c r="J729" s="886"/>
      <c r="K729" s="886"/>
      <c r="L729" s="886"/>
      <c r="M729" s="886"/>
      <c r="N729" s="886"/>
      <c r="O729" s="886"/>
      <c r="P729" s="886"/>
      <c r="Q729" s="886"/>
      <c r="R729" s="886"/>
      <c r="S729" s="886"/>
      <c r="T729" s="886"/>
      <c r="U729" s="886"/>
      <c r="V729" s="886"/>
      <c r="W729" s="886"/>
      <c r="X729" s="886"/>
    </row>
    <row r="730" spans="3:24">
      <c r="C730" s="942"/>
      <c r="D730" s="943"/>
      <c r="E730" s="886"/>
      <c r="F730" s="886"/>
      <c r="G730" s="886"/>
      <c r="H730" s="886"/>
      <c r="I730" s="886"/>
      <c r="J730" s="886"/>
      <c r="K730" s="886"/>
      <c r="L730" s="886"/>
      <c r="M730" s="886"/>
      <c r="N730" s="886"/>
      <c r="O730" s="886"/>
      <c r="P730" s="886"/>
      <c r="Q730" s="886"/>
      <c r="R730" s="886"/>
      <c r="S730" s="886"/>
      <c r="T730" s="886"/>
      <c r="U730" s="886"/>
      <c r="V730" s="886"/>
      <c r="W730" s="886"/>
      <c r="X730" s="886"/>
    </row>
    <row r="731" spans="3:24">
      <c r="C731" s="942"/>
      <c r="D731" s="943"/>
      <c r="E731" s="886"/>
      <c r="F731" s="886"/>
      <c r="G731" s="886"/>
      <c r="H731" s="886"/>
      <c r="I731" s="886"/>
      <c r="J731" s="886"/>
      <c r="K731" s="886"/>
      <c r="L731" s="886"/>
      <c r="M731" s="886"/>
      <c r="N731" s="886"/>
      <c r="O731" s="886"/>
      <c r="P731" s="886"/>
      <c r="Q731" s="886"/>
      <c r="R731" s="886"/>
      <c r="S731" s="886"/>
      <c r="T731" s="886"/>
      <c r="U731" s="886"/>
      <c r="V731" s="886"/>
      <c r="W731" s="886"/>
      <c r="X731" s="886"/>
    </row>
    <row r="732" spans="3:24">
      <c r="C732" s="942"/>
      <c r="D732" s="943"/>
      <c r="E732" s="886"/>
      <c r="F732" s="886"/>
      <c r="G732" s="886"/>
      <c r="H732" s="886"/>
      <c r="I732" s="886"/>
      <c r="J732" s="886"/>
      <c r="K732" s="886"/>
      <c r="L732" s="886"/>
      <c r="M732" s="886"/>
      <c r="N732" s="886"/>
      <c r="O732" s="886"/>
      <c r="P732" s="886"/>
      <c r="Q732" s="886"/>
      <c r="R732" s="886"/>
      <c r="S732" s="886"/>
      <c r="T732" s="886"/>
      <c r="U732" s="886"/>
      <c r="V732" s="886"/>
      <c r="W732" s="886"/>
      <c r="X732" s="886"/>
    </row>
    <row r="733" spans="3:24">
      <c r="C733" s="942"/>
      <c r="D733" s="943"/>
      <c r="E733" s="886"/>
      <c r="F733" s="886"/>
      <c r="G733" s="886"/>
      <c r="H733" s="886"/>
      <c r="I733" s="886"/>
      <c r="J733" s="886"/>
      <c r="K733" s="886"/>
      <c r="L733" s="886"/>
      <c r="M733" s="886"/>
      <c r="N733" s="886"/>
      <c r="O733" s="886"/>
      <c r="P733" s="886"/>
      <c r="Q733" s="886"/>
      <c r="R733" s="886"/>
      <c r="S733" s="886"/>
      <c r="T733" s="886"/>
      <c r="U733" s="886"/>
      <c r="V733" s="886"/>
      <c r="W733" s="886"/>
      <c r="X733" s="886"/>
    </row>
    <row r="734" spans="3:24">
      <c r="C734" s="942"/>
      <c r="D734" s="943"/>
      <c r="E734" s="886"/>
      <c r="F734" s="886"/>
      <c r="G734" s="886"/>
      <c r="H734" s="886"/>
      <c r="I734" s="886"/>
      <c r="J734" s="886"/>
      <c r="K734" s="886"/>
      <c r="L734" s="886"/>
      <c r="M734" s="886"/>
      <c r="N734" s="886"/>
      <c r="O734" s="886"/>
      <c r="P734" s="886"/>
      <c r="Q734" s="886"/>
      <c r="R734" s="886"/>
      <c r="S734" s="886"/>
      <c r="T734" s="886"/>
      <c r="U734" s="886"/>
      <c r="V734" s="886"/>
      <c r="W734" s="886"/>
      <c r="X734" s="886"/>
    </row>
    <row r="735" spans="3:24">
      <c r="C735" s="942"/>
      <c r="D735" s="943"/>
      <c r="E735" s="886"/>
      <c r="F735" s="886"/>
      <c r="G735" s="886"/>
      <c r="H735" s="886"/>
      <c r="I735" s="886"/>
      <c r="J735" s="886"/>
      <c r="K735" s="886"/>
      <c r="L735" s="886"/>
      <c r="M735" s="886"/>
      <c r="N735" s="886"/>
      <c r="O735" s="886"/>
      <c r="P735" s="886"/>
      <c r="Q735" s="886"/>
      <c r="R735" s="886"/>
      <c r="S735" s="886"/>
      <c r="T735" s="886"/>
      <c r="U735" s="886"/>
      <c r="V735" s="886"/>
      <c r="W735" s="886"/>
      <c r="X735" s="886"/>
    </row>
    <row r="736" spans="3:24">
      <c r="C736" s="942"/>
      <c r="D736" s="943"/>
      <c r="E736" s="886"/>
      <c r="F736" s="886"/>
      <c r="G736" s="886"/>
      <c r="H736" s="886"/>
      <c r="I736" s="886"/>
      <c r="J736" s="886"/>
      <c r="K736" s="886"/>
      <c r="L736" s="886"/>
      <c r="M736" s="886"/>
      <c r="N736" s="886"/>
      <c r="O736" s="886"/>
      <c r="P736" s="886"/>
      <c r="Q736" s="886"/>
      <c r="R736" s="886"/>
      <c r="S736" s="886"/>
      <c r="T736" s="886"/>
      <c r="U736" s="886"/>
      <c r="V736" s="886"/>
      <c r="W736" s="886"/>
      <c r="X736" s="886"/>
    </row>
    <row r="737" spans="3:24">
      <c r="C737" s="942"/>
      <c r="D737" s="943"/>
      <c r="E737" s="886"/>
      <c r="F737" s="886"/>
      <c r="G737" s="886"/>
      <c r="H737" s="886"/>
      <c r="I737" s="886"/>
      <c r="J737" s="886"/>
      <c r="K737" s="886"/>
      <c r="L737" s="886"/>
      <c r="M737" s="886"/>
      <c r="N737" s="886"/>
      <c r="O737" s="886"/>
      <c r="P737" s="886"/>
      <c r="Q737" s="886"/>
      <c r="R737" s="886"/>
      <c r="S737" s="886"/>
      <c r="T737" s="886"/>
      <c r="U737" s="886"/>
      <c r="V737" s="886"/>
      <c r="W737" s="886"/>
      <c r="X737" s="886"/>
    </row>
    <row r="738" spans="3:24">
      <c r="C738" s="942"/>
      <c r="D738" s="943"/>
      <c r="E738" s="886"/>
      <c r="F738" s="886"/>
      <c r="G738" s="886"/>
      <c r="H738" s="886"/>
      <c r="I738" s="886"/>
      <c r="J738" s="886"/>
      <c r="K738" s="886"/>
      <c r="L738" s="886"/>
      <c r="M738" s="886"/>
      <c r="N738" s="886"/>
      <c r="O738" s="886"/>
      <c r="P738" s="886"/>
      <c r="Q738" s="886"/>
      <c r="R738" s="886"/>
      <c r="S738" s="886"/>
      <c r="T738" s="886"/>
      <c r="U738" s="886"/>
      <c r="V738" s="886"/>
      <c r="W738" s="886"/>
      <c r="X738" s="886"/>
    </row>
    <row r="739" spans="3:24">
      <c r="C739" s="942"/>
      <c r="D739" s="943"/>
      <c r="E739" s="886"/>
      <c r="F739" s="886"/>
      <c r="G739" s="886"/>
      <c r="H739" s="886"/>
      <c r="I739" s="886"/>
      <c r="J739" s="886"/>
      <c r="K739" s="886"/>
      <c r="L739" s="886"/>
      <c r="M739" s="886"/>
      <c r="N739" s="886"/>
      <c r="O739" s="886"/>
      <c r="P739" s="886"/>
      <c r="Q739" s="886"/>
      <c r="R739" s="886"/>
      <c r="S739" s="886"/>
      <c r="T739" s="886"/>
      <c r="U739" s="886"/>
      <c r="V739" s="886"/>
      <c r="W739" s="886"/>
      <c r="X739" s="886"/>
    </row>
    <row r="740" spans="3:24">
      <c r="C740" s="942"/>
      <c r="D740" s="943"/>
      <c r="E740" s="886"/>
      <c r="F740" s="886"/>
      <c r="G740" s="886"/>
      <c r="H740" s="886"/>
      <c r="I740" s="886"/>
      <c r="J740" s="886"/>
      <c r="K740" s="886"/>
      <c r="L740" s="886"/>
      <c r="M740" s="886"/>
      <c r="N740" s="886"/>
      <c r="O740" s="886"/>
      <c r="P740" s="886"/>
      <c r="Q740" s="886"/>
      <c r="R740" s="886"/>
      <c r="S740" s="886"/>
      <c r="T740" s="886"/>
      <c r="U740" s="886"/>
      <c r="V740" s="886"/>
      <c r="W740" s="886"/>
      <c r="X740" s="886"/>
    </row>
    <row r="741" spans="3:24">
      <c r="C741" s="942"/>
      <c r="D741" s="943"/>
      <c r="E741" s="886"/>
      <c r="F741" s="886"/>
      <c r="G741" s="886"/>
      <c r="H741" s="886"/>
      <c r="I741" s="886"/>
      <c r="J741" s="886"/>
      <c r="K741" s="886"/>
      <c r="L741" s="886"/>
      <c r="M741" s="886"/>
      <c r="N741" s="886"/>
      <c r="O741" s="886"/>
      <c r="P741" s="886"/>
      <c r="Q741" s="886"/>
      <c r="R741" s="886"/>
      <c r="S741" s="886"/>
      <c r="T741" s="886"/>
      <c r="U741" s="886"/>
      <c r="V741" s="886"/>
      <c r="W741" s="886"/>
      <c r="X741" s="886"/>
    </row>
    <row r="742" spans="3:24">
      <c r="C742" s="942"/>
      <c r="D742" s="943"/>
      <c r="E742" s="886"/>
      <c r="F742" s="886"/>
      <c r="G742" s="886"/>
      <c r="H742" s="886"/>
      <c r="I742" s="886"/>
      <c r="J742" s="886"/>
      <c r="K742" s="886"/>
      <c r="L742" s="886"/>
      <c r="M742" s="886"/>
      <c r="N742" s="886"/>
      <c r="O742" s="886"/>
      <c r="P742" s="886"/>
      <c r="Q742" s="886"/>
      <c r="R742" s="886"/>
      <c r="S742" s="886"/>
      <c r="T742" s="886"/>
      <c r="U742" s="886"/>
      <c r="V742" s="886"/>
      <c r="W742" s="886"/>
      <c r="X742" s="886"/>
    </row>
    <row r="743" spans="3:24">
      <c r="C743" s="942"/>
      <c r="D743" s="943"/>
      <c r="E743" s="886"/>
      <c r="F743" s="886"/>
      <c r="G743" s="886"/>
      <c r="H743" s="886"/>
      <c r="I743" s="886"/>
      <c r="J743" s="886"/>
      <c r="K743" s="886"/>
      <c r="L743" s="886"/>
      <c r="M743" s="886"/>
      <c r="N743" s="886"/>
      <c r="O743" s="886"/>
      <c r="P743" s="886"/>
      <c r="Q743" s="886"/>
      <c r="R743" s="886"/>
      <c r="S743" s="886"/>
      <c r="T743" s="886"/>
      <c r="U743" s="886"/>
      <c r="V743" s="886"/>
      <c r="W743" s="886"/>
      <c r="X743" s="886"/>
    </row>
    <row r="744" spans="3:24">
      <c r="C744" s="942"/>
      <c r="D744" s="943"/>
      <c r="E744" s="886"/>
      <c r="F744" s="886"/>
      <c r="G744" s="886"/>
      <c r="H744" s="886"/>
      <c r="I744" s="886"/>
      <c r="J744" s="886"/>
      <c r="K744" s="886"/>
      <c r="L744" s="886"/>
      <c r="M744" s="886"/>
      <c r="N744" s="886"/>
      <c r="O744" s="886"/>
      <c r="P744" s="886"/>
      <c r="Q744" s="886"/>
      <c r="R744" s="886"/>
      <c r="S744" s="886"/>
      <c r="T744" s="886"/>
      <c r="U744" s="886"/>
      <c r="V744" s="886"/>
      <c r="W744" s="886"/>
      <c r="X744" s="886"/>
    </row>
    <row r="745" spans="3:24">
      <c r="C745" s="942"/>
      <c r="D745" s="943"/>
      <c r="E745" s="886"/>
      <c r="F745" s="886"/>
      <c r="G745" s="886"/>
      <c r="H745" s="886"/>
      <c r="I745" s="886"/>
      <c r="J745" s="886"/>
      <c r="K745" s="886"/>
      <c r="L745" s="886"/>
      <c r="M745" s="886"/>
      <c r="N745" s="886"/>
      <c r="O745" s="886"/>
      <c r="P745" s="886"/>
      <c r="Q745" s="886"/>
      <c r="R745" s="886"/>
      <c r="S745" s="886"/>
      <c r="T745" s="886"/>
      <c r="U745" s="886"/>
      <c r="V745" s="886"/>
      <c r="W745" s="886"/>
      <c r="X745" s="886"/>
    </row>
    <row r="746" spans="3:24">
      <c r="C746" s="942"/>
      <c r="D746" s="943"/>
      <c r="E746" s="886"/>
      <c r="F746" s="886"/>
      <c r="G746" s="886"/>
      <c r="H746" s="886"/>
      <c r="I746" s="886"/>
      <c r="J746" s="886"/>
      <c r="K746" s="886"/>
      <c r="L746" s="886"/>
      <c r="M746" s="886"/>
      <c r="N746" s="886"/>
      <c r="O746" s="886"/>
      <c r="P746" s="886"/>
      <c r="Q746" s="886"/>
      <c r="R746" s="886"/>
      <c r="S746" s="886"/>
      <c r="T746" s="886"/>
      <c r="U746" s="886"/>
      <c r="V746" s="886"/>
      <c r="W746" s="886"/>
      <c r="X746" s="886"/>
    </row>
    <row r="747" spans="3:24">
      <c r="C747" s="942"/>
      <c r="D747" s="943"/>
      <c r="E747" s="886"/>
      <c r="F747" s="886"/>
      <c r="G747" s="886"/>
      <c r="H747" s="886"/>
      <c r="I747" s="886"/>
      <c r="J747" s="886"/>
      <c r="K747" s="886"/>
      <c r="L747" s="886"/>
      <c r="M747" s="886"/>
      <c r="N747" s="886"/>
      <c r="O747" s="886"/>
      <c r="P747" s="886"/>
      <c r="Q747" s="886"/>
      <c r="R747" s="886"/>
      <c r="S747" s="886"/>
      <c r="T747" s="886"/>
      <c r="U747" s="886"/>
      <c r="V747" s="886"/>
      <c r="W747" s="886"/>
      <c r="X747" s="886"/>
    </row>
    <row r="748" spans="3:24">
      <c r="C748" s="942"/>
      <c r="D748" s="943"/>
      <c r="E748" s="886"/>
      <c r="F748" s="886"/>
      <c r="G748" s="886"/>
      <c r="H748" s="886"/>
      <c r="I748" s="886"/>
      <c r="J748" s="886"/>
      <c r="K748" s="886"/>
      <c r="L748" s="886"/>
      <c r="M748" s="886"/>
      <c r="N748" s="886"/>
      <c r="O748" s="886"/>
      <c r="P748" s="886"/>
      <c r="Q748" s="886"/>
      <c r="R748" s="886"/>
      <c r="S748" s="886"/>
      <c r="T748" s="886"/>
      <c r="U748" s="886"/>
      <c r="V748" s="886"/>
      <c r="W748" s="886"/>
      <c r="X748" s="886"/>
    </row>
    <row r="749" spans="3:24">
      <c r="C749" s="942"/>
      <c r="D749" s="943"/>
      <c r="E749" s="886"/>
      <c r="F749" s="886"/>
      <c r="G749" s="886"/>
      <c r="H749" s="886"/>
      <c r="I749" s="886"/>
      <c r="J749" s="886"/>
      <c r="K749" s="886"/>
      <c r="L749" s="886"/>
      <c r="M749" s="886"/>
      <c r="N749" s="886"/>
      <c r="O749" s="886"/>
      <c r="P749" s="886"/>
      <c r="Q749" s="886"/>
      <c r="R749" s="886"/>
      <c r="S749" s="886"/>
      <c r="T749" s="886"/>
      <c r="U749" s="886"/>
      <c r="V749" s="886"/>
      <c r="W749" s="886"/>
      <c r="X749" s="886"/>
    </row>
    <row r="750" spans="3:24">
      <c r="C750" s="942"/>
      <c r="D750" s="943"/>
      <c r="E750" s="886"/>
      <c r="F750" s="886"/>
      <c r="G750" s="886"/>
      <c r="H750" s="886"/>
      <c r="I750" s="886"/>
      <c r="J750" s="886"/>
      <c r="K750" s="886"/>
      <c r="L750" s="886"/>
      <c r="M750" s="886"/>
      <c r="N750" s="886"/>
      <c r="O750" s="886"/>
      <c r="P750" s="886"/>
      <c r="Q750" s="886"/>
      <c r="R750" s="886"/>
      <c r="S750" s="886"/>
      <c r="T750" s="886"/>
      <c r="U750" s="886"/>
      <c r="V750" s="886"/>
      <c r="W750" s="886"/>
      <c r="X750" s="886"/>
    </row>
    <row r="751" spans="3:24">
      <c r="C751" s="942"/>
      <c r="D751" s="943"/>
      <c r="E751" s="886"/>
      <c r="F751" s="886"/>
      <c r="G751" s="886"/>
      <c r="H751" s="886"/>
      <c r="I751" s="886"/>
      <c r="J751" s="886"/>
      <c r="K751" s="886"/>
      <c r="L751" s="886"/>
      <c r="M751" s="886"/>
      <c r="N751" s="886"/>
      <c r="O751" s="886"/>
      <c r="P751" s="886"/>
      <c r="Q751" s="886"/>
      <c r="R751" s="886"/>
      <c r="S751" s="886"/>
      <c r="T751" s="886"/>
      <c r="U751" s="886"/>
      <c r="V751" s="886"/>
      <c r="W751" s="886"/>
      <c r="X751" s="886"/>
    </row>
    <row r="752" spans="3:24">
      <c r="C752" s="942"/>
      <c r="D752" s="943"/>
      <c r="E752" s="886"/>
      <c r="F752" s="886"/>
      <c r="G752" s="886"/>
      <c r="H752" s="886"/>
      <c r="I752" s="886"/>
      <c r="J752" s="886"/>
      <c r="K752" s="886"/>
      <c r="L752" s="886"/>
      <c r="M752" s="886"/>
      <c r="N752" s="886"/>
      <c r="O752" s="886"/>
      <c r="P752" s="886"/>
      <c r="Q752" s="886"/>
      <c r="R752" s="886"/>
      <c r="S752" s="886"/>
      <c r="T752" s="886"/>
      <c r="U752" s="886"/>
      <c r="V752" s="886"/>
      <c r="W752" s="886"/>
      <c r="X752" s="886"/>
    </row>
    <row r="753" spans="3:24">
      <c r="C753" s="942"/>
      <c r="D753" s="943"/>
      <c r="E753" s="886"/>
      <c r="F753" s="886"/>
      <c r="G753" s="886"/>
      <c r="H753" s="886"/>
      <c r="I753" s="886"/>
      <c r="J753" s="886"/>
      <c r="K753" s="886"/>
      <c r="L753" s="886"/>
      <c r="M753" s="886"/>
      <c r="N753" s="886"/>
      <c r="O753" s="886"/>
      <c r="P753" s="886"/>
      <c r="Q753" s="886"/>
      <c r="R753" s="886"/>
      <c r="S753" s="886"/>
      <c r="T753" s="886"/>
      <c r="U753" s="886"/>
      <c r="V753" s="886"/>
      <c r="W753" s="886"/>
      <c r="X753" s="886"/>
    </row>
    <row r="754" spans="3:24">
      <c r="C754" s="942"/>
      <c r="D754" s="943"/>
      <c r="E754" s="886"/>
      <c r="F754" s="886"/>
      <c r="G754" s="886"/>
      <c r="H754" s="886"/>
      <c r="I754" s="886"/>
      <c r="J754" s="886"/>
      <c r="K754" s="886"/>
      <c r="L754" s="886"/>
      <c r="M754" s="886"/>
      <c r="N754" s="886"/>
      <c r="O754" s="886"/>
      <c r="P754" s="886"/>
      <c r="Q754" s="886"/>
      <c r="R754" s="886"/>
      <c r="S754" s="886"/>
      <c r="T754" s="886"/>
      <c r="U754" s="886"/>
      <c r="V754" s="886"/>
      <c r="W754" s="886"/>
      <c r="X754" s="886"/>
    </row>
    <row r="755" spans="3:24">
      <c r="C755" s="942"/>
      <c r="D755" s="943"/>
      <c r="E755" s="886"/>
      <c r="F755" s="886"/>
      <c r="G755" s="886"/>
      <c r="H755" s="886"/>
      <c r="I755" s="886"/>
      <c r="J755" s="886"/>
      <c r="K755" s="886"/>
      <c r="L755" s="886"/>
      <c r="M755" s="886"/>
      <c r="N755" s="886"/>
      <c r="O755" s="886"/>
      <c r="P755" s="886"/>
      <c r="Q755" s="886"/>
      <c r="R755" s="886"/>
      <c r="S755" s="886"/>
      <c r="T755" s="886"/>
      <c r="U755" s="886"/>
      <c r="V755" s="886"/>
      <c r="W755" s="886"/>
      <c r="X755" s="886"/>
    </row>
    <row r="756" spans="3:24">
      <c r="C756" s="942"/>
      <c r="D756" s="943"/>
      <c r="E756" s="886"/>
      <c r="F756" s="886"/>
      <c r="G756" s="886"/>
      <c r="H756" s="886"/>
      <c r="I756" s="886"/>
      <c r="J756" s="886"/>
      <c r="K756" s="886"/>
      <c r="L756" s="886"/>
      <c r="M756" s="886"/>
      <c r="N756" s="886"/>
      <c r="O756" s="886"/>
      <c r="P756" s="886"/>
      <c r="Q756" s="886"/>
      <c r="R756" s="886"/>
      <c r="S756" s="886"/>
      <c r="T756" s="886"/>
      <c r="U756" s="886"/>
      <c r="V756" s="886"/>
      <c r="W756" s="886"/>
      <c r="X756" s="886"/>
    </row>
    <row r="757" spans="3:24">
      <c r="C757" s="942"/>
      <c r="D757" s="943"/>
      <c r="E757" s="886"/>
      <c r="F757" s="886"/>
      <c r="G757" s="886"/>
      <c r="H757" s="886"/>
      <c r="I757" s="886"/>
      <c r="J757" s="886"/>
      <c r="K757" s="886"/>
      <c r="L757" s="886"/>
      <c r="M757" s="886"/>
      <c r="N757" s="886"/>
      <c r="O757" s="886"/>
      <c r="P757" s="886"/>
      <c r="Q757" s="886"/>
      <c r="R757" s="886"/>
      <c r="S757" s="886"/>
      <c r="T757" s="886"/>
      <c r="U757" s="886"/>
      <c r="V757" s="886"/>
      <c r="W757" s="886"/>
      <c r="X757" s="886"/>
    </row>
    <row r="758" spans="3:24">
      <c r="C758" s="942"/>
      <c r="D758" s="943"/>
      <c r="E758" s="886"/>
      <c r="F758" s="886"/>
      <c r="G758" s="886"/>
      <c r="H758" s="886"/>
      <c r="I758" s="886"/>
      <c r="J758" s="886"/>
      <c r="K758" s="886"/>
      <c r="L758" s="886"/>
      <c r="M758" s="886"/>
      <c r="N758" s="886"/>
      <c r="O758" s="886"/>
      <c r="P758" s="886"/>
      <c r="Q758" s="886"/>
      <c r="R758" s="886"/>
      <c r="S758" s="886"/>
      <c r="T758" s="886"/>
      <c r="U758" s="886"/>
      <c r="V758" s="886"/>
      <c r="W758" s="886"/>
      <c r="X758" s="886"/>
    </row>
    <row r="759" spans="3:24">
      <c r="C759" s="942"/>
      <c r="D759" s="943"/>
      <c r="E759" s="886"/>
      <c r="F759" s="886"/>
      <c r="G759" s="886"/>
      <c r="H759" s="886"/>
      <c r="I759" s="886"/>
      <c r="J759" s="886"/>
      <c r="K759" s="886"/>
      <c r="L759" s="886"/>
      <c r="M759" s="886"/>
      <c r="N759" s="886"/>
      <c r="O759" s="886"/>
      <c r="P759" s="886"/>
      <c r="Q759" s="886"/>
      <c r="R759" s="886"/>
      <c r="S759" s="886"/>
      <c r="T759" s="886"/>
      <c r="U759" s="886"/>
      <c r="V759" s="886"/>
      <c r="W759" s="886"/>
      <c r="X759" s="886"/>
    </row>
    <row r="760" spans="3:24">
      <c r="C760" s="942"/>
      <c r="D760" s="943"/>
      <c r="E760" s="886"/>
      <c r="F760" s="886"/>
      <c r="G760" s="886"/>
      <c r="H760" s="886"/>
      <c r="I760" s="886"/>
      <c r="J760" s="886"/>
      <c r="K760" s="886"/>
      <c r="L760" s="886"/>
      <c r="M760" s="886"/>
      <c r="N760" s="886"/>
      <c r="O760" s="886"/>
      <c r="P760" s="886"/>
      <c r="Q760" s="886"/>
      <c r="R760" s="886"/>
      <c r="S760" s="886"/>
      <c r="T760" s="886"/>
      <c r="U760" s="886"/>
      <c r="V760" s="886"/>
      <c r="W760" s="886"/>
      <c r="X760" s="886"/>
    </row>
    <row r="761" spans="3:24">
      <c r="C761" s="942"/>
      <c r="D761" s="943"/>
      <c r="E761" s="886"/>
      <c r="F761" s="886"/>
      <c r="G761" s="886"/>
      <c r="H761" s="886"/>
      <c r="I761" s="886"/>
      <c r="J761" s="886"/>
      <c r="K761" s="886"/>
      <c r="L761" s="886"/>
      <c r="M761" s="886"/>
      <c r="N761" s="886"/>
      <c r="O761" s="886"/>
      <c r="P761" s="886"/>
      <c r="Q761" s="886"/>
      <c r="R761" s="886"/>
      <c r="S761" s="886"/>
      <c r="T761" s="886"/>
      <c r="U761" s="886"/>
      <c r="V761" s="886"/>
      <c r="W761" s="886"/>
      <c r="X761" s="886"/>
    </row>
    <row r="762" spans="3:24">
      <c r="C762" s="942"/>
      <c r="D762" s="943"/>
      <c r="E762" s="886"/>
      <c r="F762" s="886"/>
      <c r="G762" s="886"/>
      <c r="H762" s="886"/>
      <c r="I762" s="886"/>
      <c r="J762" s="886"/>
      <c r="K762" s="886"/>
      <c r="L762" s="886"/>
      <c r="M762" s="886"/>
      <c r="N762" s="886"/>
      <c r="O762" s="886"/>
      <c r="P762" s="886"/>
      <c r="Q762" s="886"/>
      <c r="R762" s="886"/>
      <c r="S762" s="886"/>
      <c r="T762" s="886"/>
      <c r="U762" s="886"/>
      <c r="V762" s="886"/>
      <c r="W762" s="886"/>
      <c r="X762" s="886"/>
    </row>
    <row r="763" spans="3:24">
      <c r="C763" s="942"/>
      <c r="D763" s="943"/>
      <c r="E763" s="886"/>
      <c r="F763" s="886"/>
      <c r="G763" s="886"/>
      <c r="H763" s="886"/>
      <c r="I763" s="886"/>
      <c r="J763" s="886"/>
      <c r="K763" s="886"/>
      <c r="L763" s="886"/>
      <c r="M763" s="886"/>
      <c r="N763" s="886"/>
      <c r="O763" s="886"/>
      <c r="P763" s="886"/>
      <c r="Q763" s="886"/>
      <c r="R763" s="886"/>
      <c r="S763" s="886"/>
      <c r="T763" s="886"/>
      <c r="U763" s="886"/>
      <c r="V763" s="886"/>
      <c r="W763" s="886"/>
      <c r="X763" s="886"/>
    </row>
    <row r="764" spans="3:24">
      <c r="C764" s="942"/>
      <c r="D764" s="943"/>
      <c r="E764" s="886"/>
      <c r="F764" s="886"/>
      <c r="G764" s="886"/>
      <c r="H764" s="886"/>
      <c r="I764" s="886"/>
      <c r="J764" s="886"/>
      <c r="K764" s="886"/>
      <c r="L764" s="886"/>
      <c r="M764" s="886"/>
      <c r="N764" s="886"/>
      <c r="O764" s="886"/>
      <c r="P764" s="886"/>
      <c r="Q764" s="886"/>
      <c r="R764" s="886"/>
      <c r="S764" s="886"/>
      <c r="T764" s="886"/>
      <c r="U764" s="886"/>
      <c r="V764" s="886"/>
      <c r="W764" s="886"/>
      <c r="X764" s="886"/>
    </row>
    <row r="765" spans="3:24">
      <c r="C765" s="942"/>
      <c r="D765" s="943"/>
      <c r="E765" s="886"/>
      <c r="F765" s="886"/>
      <c r="G765" s="886"/>
      <c r="H765" s="886"/>
      <c r="I765" s="886"/>
      <c r="J765" s="886"/>
      <c r="K765" s="886"/>
      <c r="L765" s="886"/>
      <c r="M765" s="886"/>
      <c r="N765" s="886"/>
      <c r="O765" s="886"/>
      <c r="P765" s="886"/>
      <c r="Q765" s="886"/>
      <c r="R765" s="886"/>
      <c r="S765" s="886"/>
      <c r="T765" s="886"/>
      <c r="U765" s="886"/>
      <c r="V765" s="886"/>
      <c r="W765" s="886"/>
      <c r="X765" s="886"/>
    </row>
    <row r="766" spans="3:24">
      <c r="C766" s="942"/>
      <c r="D766" s="943"/>
      <c r="E766" s="886"/>
      <c r="F766" s="886"/>
      <c r="G766" s="886"/>
      <c r="H766" s="886"/>
      <c r="I766" s="886"/>
      <c r="J766" s="886"/>
      <c r="K766" s="886"/>
      <c r="L766" s="886"/>
      <c r="M766" s="886"/>
      <c r="N766" s="886"/>
      <c r="O766" s="886"/>
      <c r="P766" s="886"/>
      <c r="Q766" s="886"/>
      <c r="R766" s="886"/>
      <c r="S766" s="886"/>
      <c r="T766" s="886"/>
      <c r="U766" s="886"/>
      <c r="V766" s="886"/>
      <c r="W766" s="886"/>
      <c r="X766" s="886"/>
    </row>
    <row r="767" spans="3:24">
      <c r="C767" s="942"/>
      <c r="D767" s="943"/>
      <c r="E767" s="886"/>
      <c r="F767" s="886"/>
      <c r="G767" s="886"/>
      <c r="H767" s="886"/>
      <c r="I767" s="886"/>
      <c r="J767" s="886"/>
      <c r="K767" s="886"/>
      <c r="L767" s="886"/>
      <c r="M767" s="886"/>
      <c r="N767" s="886"/>
      <c r="O767" s="886"/>
      <c r="P767" s="886"/>
      <c r="Q767" s="886"/>
      <c r="R767" s="886"/>
      <c r="S767" s="886"/>
      <c r="T767" s="886"/>
      <c r="U767" s="886"/>
      <c r="V767" s="886"/>
      <c r="W767" s="886"/>
      <c r="X767" s="886"/>
    </row>
    <row r="768" spans="3:24">
      <c r="C768" s="942"/>
      <c r="D768" s="943"/>
      <c r="E768" s="886"/>
      <c r="F768" s="886"/>
      <c r="G768" s="886"/>
      <c r="H768" s="886"/>
      <c r="I768" s="886"/>
      <c r="J768" s="886"/>
      <c r="K768" s="886"/>
      <c r="L768" s="886"/>
      <c r="M768" s="886"/>
      <c r="N768" s="886"/>
      <c r="O768" s="886"/>
      <c r="P768" s="886"/>
      <c r="Q768" s="886"/>
      <c r="R768" s="886"/>
      <c r="S768" s="886"/>
      <c r="T768" s="886"/>
      <c r="U768" s="886"/>
      <c r="V768" s="886"/>
      <c r="W768" s="886"/>
      <c r="X768" s="886"/>
    </row>
    <row r="769" spans="3:24">
      <c r="C769" s="942"/>
      <c r="D769" s="943"/>
      <c r="E769" s="886"/>
      <c r="F769" s="886"/>
      <c r="G769" s="886"/>
      <c r="H769" s="886"/>
      <c r="I769" s="886"/>
      <c r="J769" s="886"/>
      <c r="K769" s="886"/>
      <c r="L769" s="886"/>
      <c r="M769" s="886"/>
      <c r="N769" s="886"/>
      <c r="O769" s="886"/>
      <c r="P769" s="886"/>
      <c r="Q769" s="886"/>
      <c r="R769" s="886"/>
      <c r="S769" s="886"/>
      <c r="T769" s="886"/>
      <c r="U769" s="886"/>
      <c r="V769" s="886"/>
      <c r="W769" s="886"/>
      <c r="X769" s="886"/>
    </row>
    <row r="770" spans="3:24">
      <c r="C770" s="942"/>
      <c r="D770" s="943"/>
      <c r="E770" s="886"/>
      <c r="F770" s="886"/>
      <c r="G770" s="886"/>
      <c r="H770" s="886"/>
      <c r="I770" s="886"/>
      <c r="J770" s="886"/>
      <c r="K770" s="886"/>
      <c r="L770" s="886"/>
      <c r="M770" s="886"/>
      <c r="N770" s="886"/>
      <c r="O770" s="886"/>
      <c r="P770" s="886"/>
      <c r="Q770" s="886"/>
      <c r="R770" s="886"/>
      <c r="S770" s="886"/>
      <c r="T770" s="886"/>
      <c r="U770" s="886"/>
      <c r="V770" s="886"/>
      <c r="W770" s="886"/>
      <c r="X770" s="886"/>
    </row>
    <row r="771" spans="3:24">
      <c r="C771" s="942"/>
      <c r="D771" s="943"/>
      <c r="E771" s="886"/>
      <c r="F771" s="886"/>
      <c r="G771" s="886"/>
      <c r="H771" s="886"/>
      <c r="I771" s="886"/>
      <c r="J771" s="886"/>
      <c r="K771" s="886"/>
      <c r="L771" s="886"/>
      <c r="M771" s="886"/>
      <c r="N771" s="886"/>
      <c r="O771" s="886"/>
      <c r="P771" s="886"/>
      <c r="Q771" s="886"/>
      <c r="R771" s="886"/>
      <c r="S771" s="886"/>
      <c r="T771" s="886"/>
      <c r="U771" s="886"/>
      <c r="V771" s="886"/>
      <c r="W771" s="886"/>
      <c r="X771" s="886"/>
    </row>
    <row r="772" spans="3:24">
      <c r="C772" s="942"/>
      <c r="D772" s="943"/>
      <c r="E772" s="886"/>
      <c r="F772" s="886"/>
      <c r="G772" s="886"/>
      <c r="H772" s="886"/>
      <c r="I772" s="886"/>
      <c r="J772" s="886"/>
      <c r="K772" s="886"/>
      <c r="L772" s="886"/>
      <c r="M772" s="886"/>
      <c r="N772" s="886"/>
      <c r="O772" s="886"/>
      <c r="P772" s="886"/>
      <c r="Q772" s="886"/>
      <c r="R772" s="886"/>
      <c r="S772" s="886"/>
      <c r="T772" s="886"/>
      <c r="U772" s="886"/>
      <c r="V772" s="886"/>
      <c r="W772" s="886"/>
      <c r="X772" s="886"/>
    </row>
    <row r="773" spans="3:24">
      <c r="C773" s="942"/>
      <c r="D773" s="943"/>
      <c r="E773" s="886"/>
      <c r="F773" s="886"/>
      <c r="G773" s="886"/>
      <c r="H773" s="886"/>
      <c r="I773" s="886"/>
      <c r="J773" s="886"/>
      <c r="K773" s="886"/>
      <c r="L773" s="886"/>
      <c r="M773" s="886"/>
      <c r="N773" s="886"/>
      <c r="O773" s="886"/>
      <c r="P773" s="886"/>
      <c r="Q773" s="886"/>
      <c r="R773" s="886"/>
      <c r="S773" s="886"/>
      <c r="T773" s="886"/>
      <c r="U773" s="886"/>
      <c r="V773" s="886"/>
      <c r="W773" s="886"/>
      <c r="X773" s="886"/>
    </row>
    <row r="774" spans="3:24">
      <c r="C774" s="942"/>
      <c r="D774" s="943"/>
      <c r="E774" s="886"/>
      <c r="F774" s="886"/>
      <c r="G774" s="886"/>
      <c r="H774" s="886"/>
      <c r="I774" s="886"/>
      <c r="J774" s="886"/>
      <c r="K774" s="886"/>
      <c r="L774" s="886"/>
      <c r="M774" s="886"/>
      <c r="N774" s="886"/>
      <c r="O774" s="886"/>
      <c r="P774" s="886"/>
      <c r="Q774" s="886"/>
      <c r="R774" s="886"/>
      <c r="S774" s="886"/>
      <c r="T774" s="886"/>
      <c r="U774" s="886"/>
      <c r="V774" s="886"/>
      <c r="W774" s="886"/>
      <c r="X774" s="886"/>
    </row>
    <row r="775" spans="3:24">
      <c r="C775" s="942"/>
      <c r="D775" s="943"/>
      <c r="E775" s="886"/>
      <c r="F775" s="886"/>
      <c r="G775" s="886"/>
      <c r="H775" s="886"/>
      <c r="I775" s="886"/>
      <c r="J775" s="886"/>
      <c r="K775" s="886"/>
      <c r="L775" s="886"/>
      <c r="M775" s="886"/>
      <c r="N775" s="886"/>
      <c r="O775" s="886"/>
      <c r="P775" s="886"/>
      <c r="Q775" s="886"/>
      <c r="R775" s="886"/>
      <c r="S775" s="886"/>
      <c r="T775" s="886"/>
      <c r="U775" s="886"/>
      <c r="V775" s="886"/>
      <c r="W775" s="886"/>
      <c r="X775" s="886"/>
    </row>
    <row r="776" spans="3:24">
      <c r="C776" s="942"/>
      <c r="D776" s="943"/>
      <c r="E776" s="886"/>
      <c r="F776" s="886"/>
      <c r="G776" s="886"/>
      <c r="H776" s="886"/>
      <c r="I776" s="886"/>
      <c r="J776" s="886"/>
      <c r="K776" s="886"/>
      <c r="L776" s="886"/>
      <c r="M776" s="886"/>
      <c r="N776" s="886"/>
      <c r="O776" s="886"/>
      <c r="P776" s="886"/>
      <c r="Q776" s="886"/>
      <c r="R776" s="886"/>
      <c r="S776" s="886"/>
      <c r="T776" s="886"/>
      <c r="U776" s="886"/>
      <c r="V776" s="886"/>
      <c r="W776" s="886"/>
      <c r="X776" s="886"/>
    </row>
    <row r="777" spans="3:24">
      <c r="C777" s="942"/>
      <c r="D777" s="943"/>
      <c r="E777" s="886"/>
      <c r="F777" s="886"/>
      <c r="G777" s="886"/>
      <c r="H777" s="886"/>
      <c r="I777" s="886"/>
      <c r="J777" s="886"/>
      <c r="K777" s="886"/>
      <c r="L777" s="886"/>
      <c r="M777" s="886"/>
      <c r="N777" s="886"/>
      <c r="O777" s="886"/>
      <c r="P777" s="886"/>
      <c r="Q777" s="886"/>
      <c r="R777" s="886"/>
      <c r="S777" s="886"/>
      <c r="T777" s="886"/>
      <c r="U777" s="886"/>
      <c r="V777" s="886"/>
      <c r="W777" s="886"/>
      <c r="X777" s="886"/>
    </row>
    <row r="778" spans="3:24">
      <c r="C778" s="942"/>
      <c r="D778" s="943"/>
      <c r="E778" s="886"/>
      <c r="F778" s="886"/>
      <c r="G778" s="886"/>
      <c r="H778" s="886"/>
      <c r="I778" s="886"/>
      <c r="J778" s="886"/>
      <c r="K778" s="886"/>
      <c r="L778" s="886"/>
      <c r="M778" s="886"/>
      <c r="N778" s="886"/>
      <c r="O778" s="886"/>
      <c r="P778" s="886"/>
      <c r="Q778" s="886"/>
      <c r="R778" s="886"/>
      <c r="S778" s="886"/>
      <c r="T778" s="886"/>
      <c r="U778" s="886"/>
      <c r="V778" s="886"/>
      <c r="W778" s="886"/>
      <c r="X778" s="886"/>
    </row>
    <row r="779" spans="3:24">
      <c r="C779" s="942"/>
      <c r="D779" s="943"/>
      <c r="E779" s="886"/>
      <c r="F779" s="886"/>
      <c r="G779" s="886"/>
      <c r="H779" s="886"/>
      <c r="I779" s="886"/>
      <c r="J779" s="886"/>
      <c r="K779" s="886"/>
      <c r="L779" s="886"/>
      <c r="M779" s="886"/>
      <c r="N779" s="886"/>
      <c r="O779" s="886"/>
      <c r="P779" s="886"/>
      <c r="Q779" s="886"/>
      <c r="R779" s="886"/>
      <c r="S779" s="886"/>
      <c r="T779" s="886"/>
      <c r="U779" s="886"/>
      <c r="V779" s="886"/>
      <c r="W779" s="886"/>
      <c r="X779" s="886"/>
    </row>
    <row r="780" spans="3:24">
      <c r="C780" s="942"/>
      <c r="D780" s="943"/>
      <c r="E780" s="886"/>
      <c r="F780" s="886"/>
      <c r="G780" s="886"/>
      <c r="H780" s="886"/>
      <c r="I780" s="886"/>
      <c r="J780" s="886"/>
      <c r="K780" s="886"/>
      <c r="L780" s="886"/>
      <c r="M780" s="886"/>
      <c r="N780" s="886"/>
      <c r="O780" s="886"/>
      <c r="P780" s="886"/>
      <c r="Q780" s="886"/>
      <c r="R780" s="886"/>
      <c r="S780" s="886"/>
      <c r="T780" s="886"/>
      <c r="U780" s="886"/>
      <c r="V780" s="886"/>
      <c r="W780" s="886"/>
      <c r="X780" s="886"/>
    </row>
    <row r="781" spans="3:24">
      <c r="C781" s="942"/>
      <c r="D781" s="943"/>
      <c r="E781" s="886"/>
      <c r="F781" s="886"/>
      <c r="G781" s="886"/>
      <c r="H781" s="886"/>
      <c r="I781" s="886"/>
      <c r="J781" s="886"/>
      <c r="K781" s="886"/>
      <c r="L781" s="886"/>
      <c r="M781" s="886"/>
      <c r="N781" s="886"/>
      <c r="O781" s="886"/>
      <c r="P781" s="886"/>
      <c r="Q781" s="886"/>
      <c r="R781" s="886"/>
      <c r="S781" s="886"/>
      <c r="T781" s="886"/>
      <c r="U781" s="886"/>
      <c r="V781" s="886"/>
      <c r="W781" s="886"/>
      <c r="X781" s="886"/>
    </row>
    <row r="782" spans="3:24">
      <c r="C782" s="942"/>
      <c r="D782" s="943"/>
      <c r="E782" s="886"/>
      <c r="F782" s="886"/>
      <c r="G782" s="886"/>
      <c r="H782" s="886"/>
      <c r="I782" s="886"/>
      <c r="J782" s="886"/>
      <c r="K782" s="886"/>
      <c r="L782" s="886"/>
      <c r="M782" s="886"/>
      <c r="N782" s="886"/>
      <c r="O782" s="886"/>
      <c r="P782" s="886"/>
      <c r="Q782" s="886"/>
      <c r="R782" s="886"/>
      <c r="S782" s="886"/>
      <c r="T782" s="886"/>
      <c r="U782" s="886"/>
      <c r="V782" s="886"/>
      <c r="W782" s="886"/>
      <c r="X782" s="886"/>
    </row>
    <row r="783" spans="3:24">
      <c r="C783" s="942"/>
      <c r="D783" s="943"/>
      <c r="E783" s="886"/>
      <c r="F783" s="886"/>
      <c r="G783" s="886"/>
      <c r="H783" s="886"/>
      <c r="I783" s="886"/>
      <c r="J783" s="886"/>
      <c r="K783" s="886"/>
      <c r="L783" s="886"/>
      <c r="M783" s="886"/>
      <c r="N783" s="886"/>
      <c r="O783" s="886"/>
      <c r="P783" s="886"/>
      <c r="Q783" s="886"/>
      <c r="R783" s="886"/>
      <c r="S783" s="886"/>
      <c r="T783" s="886"/>
      <c r="U783" s="886"/>
      <c r="V783" s="886"/>
      <c r="W783" s="886"/>
      <c r="X783" s="886"/>
    </row>
    <row r="784" spans="3:24">
      <c r="C784" s="942"/>
      <c r="D784" s="943"/>
      <c r="E784" s="886"/>
      <c r="F784" s="886"/>
      <c r="G784" s="886"/>
      <c r="H784" s="886"/>
      <c r="I784" s="886"/>
      <c r="J784" s="886"/>
      <c r="K784" s="886"/>
      <c r="L784" s="886"/>
      <c r="M784" s="886"/>
      <c r="N784" s="886"/>
      <c r="O784" s="886"/>
      <c r="P784" s="886"/>
      <c r="Q784" s="886"/>
      <c r="R784" s="886"/>
      <c r="S784" s="886"/>
      <c r="T784" s="886"/>
      <c r="U784" s="886"/>
      <c r="V784" s="886"/>
      <c r="W784" s="886"/>
      <c r="X784" s="886"/>
    </row>
    <row r="785" spans="3:24">
      <c r="C785" s="942"/>
      <c r="D785" s="943"/>
      <c r="E785" s="886"/>
      <c r="F785" s="886"/>
      <c r="G785" s="886"/>
      <c r="H785" s="886"/>
      <c r="I785" s="886"/>
      <c r="J785" s="886"/>
      <c r="K785" s="886"/>
      <c r="L785" s="886"/>
      <c r="M785" s="886"/>
      <c r="N785" s="886"/>
      <c r="O785" s="886"/>
      <c r="P785" s="886"/>
      <c r="Q785" s="886"/>
      <c r="R785" s="886"/>
      <c r="S785" s="886"/>
      <c r="T785" s="886"/>
      <c r="U785" s="886"/>
      <c r="V785" s="886"/>
      <c r="W785" s="886"/>
      <c r="X785" s="886"/>
    </row>
    <row r="786" spans="3:24">
      <c r="C786" s="942"/>
      <c r="D786" s="943"/>
      <c r="E786" s="886"/>
      <c r="F786" s="886"/>
      <c r="G786" s="886"/>
      <c r="H786" s="886"/>
      <c r="I786" s="886"/>
      <c r="J786" s="886"/>
      <c r="K786" s="886"/>
      <c r="L786" s="886"/>
      <c r="M786" s="886"/>
      <c r="N786" s="886"/>
      <c r="O786" s="886"/>
      <c r="P786" s="886"/>
      <c r="Q786" s="886"/>
      <c r="R786" s="886"/>
      <c r="S786" s="886"/>
      <c r="T786" s="886"/>
      <c r="U786" s="886"/>
      <c r="V786" s="886"/>
      <c r="W786" s="886"/>
      <c r="X786" s="886"/>
    </row>
    <row r="787" spans="3:24">
      <c r="C787" s="942"/>
      <c r="D787" s="943"/>
      <c r="E787" s="886"/>
      <c r="F787" s="886"/>
      <c r="G787" s="886"/>
      <c r="H787" s="886"/>
      <c r="I787" s="886"/>
      <c r="J787" s="886"/>
      <c r="K787" s="886"/>
      <c r="L787" s="886"/>
      <c r="M787" s="886"/>
      <c r="N787" s="886"/>
      <c r="O787" s="886"/>
      <c r="P787" s="886"/>
      <c r="Q787" s="886"/>
      <c r="R787" s="886"/>
      <c r="S787" s="886"/>
      <c r="T787" s="886"/>
      <c r="U787" s="886"/>
      <c r="V787" s="886"/>
      <c r="W787" s="886"/>
      <c r="X787" s="886"/>
    </row>
    <row r="788" spans="3:24">
      <c r="C788" s="942"/>
      <c r="D788" s="943"/>
      <c r="E788" s="886"/>
      <c r="F788" s="886"/>
      <c r="G788" s="886"/>
      <c r="H788" s="886"/>
      <c r="I788" s="886"/>
      <c r="J788" s="886"/>
      <c r="K788" s="886"/>
      <c r="L788" s="886"/>
      <c r="M788" s="886"/>
      <c r="N788" s="886"/>
      <c r="O788" s="886"/>
      <c r="P788" s="886"/>
      <c r="Q788" s="886"/>
      <c r="R788" s="886"/>
      <c r="S788" s="886"/>
      <c r="T788" s="886"/>
      <c r="U788" s="886"/>
      <c r="V788" s="886"/>
      <c r="W788" s="886"/>
      <c r="X788" s="886"/>
    </row>
    <row r="789" spans="3:24">
      <c r="C789" s="942"/>
      <c r="D789" s="943"/>
      <c r="E789" s="886"/>
      <c r="F789" s="886"/>
      <c r="G789" s="886"/>
      <c r="H789" s="886"/>
      <c r="I789" s="886"/>
      <c r="J789" s="886"/>
      <c r="K789" s="886"/>
      <c r="L789" s="886"/>
      <c r="M789" s="886"/>
      <c r="N789" s="886"/>
      <c r="O789" s="886"/>
      <c r="P789" s="886"/>
      <c r="Q789" s="886"/>
      <c r="R789" s="886"/>
      <c r="S789" s="886"/>
      <c r="T789" s="886"/>
      <c r="U789" s="886"/>
      <c r="V789" s="886"/>
      <c r="W789" s="886"/>
      <c r="X789" s="886"/>
    </row>
    <row r="790" spans="3:24">
      <c r="C790" s="942"/>
      <c r="D790" s="943"/>
      <c r="E790" s="886"/>
      <c r="F790" s="886"/>
      <c r="G790" s="886"/>
      <c r="H790" s="886"/>
      <c r="I790" s="886"/>
      <c r="J790" s="886"/>
      <c r="K790" s="886"/>
      <c r="L790" s="886"/>
      <c r="M790" s="886"/>
      <c r="N790" s="886"/>
      <c r="O790" s="886"/>
      <c r="P790" s="886"/>
      <c r="Q790" s="886"/>
      <c r="R790" s="886"/>
      <c r="S790" s="886"/>
      <c r="T790" s="886"/>
      <c r="U790" s="886"/>
      <c r="V790" s="886"/>
      <c r="W790" s="886"/>
      <c r="X790" s="886"/>
    </row>
    <row r="791" spans="3:24">
      <c r="C791" s="942"/>
      <c r="D791" s="943"/>
      <c r="E791" s="886"/>
      <c r="F791" s="886"/>
      <c r="G791" s="886"/>
      <c r="H791" s="886"/>
      <c r="I791" s="886"/>
      <c r="J791" s="886"/>
      <c r="K791" s="886"/>
      <c r="L791" s="886"/>
      <c r="M791" s="886"/>
      <c r="N791" s="886"/>
      <c r="O791" s="886"/>
      <c r="P791" s="886"/>
      <c r="Q791" s="886"/>
      <c r="R791" s="886"/>
      <c r="S791" s="886"/>
      <c r="T791" s="886"/>
      <c r="U791" s="886"/>
      <c r="V791" s="886"/>
      <c r="W791" s="886"/>
      <c r="X791" s="886"/>
    </row>
    <row r="792" spans="3:24">
      <c r="C792" s="942"/>
      <c r="D792" s="943"/>
      <c r="E792" s="886"/>
      <c r="F792" s="886"/>
      <c r="G792" s="886"/>
      <c r="H792" s="886"/>
      <c r="I792" s="886"/>
      <c r="J792" s="886"/>
      <c r="K792" s="886"/>
      <c r="L792" s="886"/>
      <c r="M792" s="886"/>
      <c r="N792" s="886"/>
      <c r="O792" s="886"/>
      <c r="P792" s="886"/>
      <c r="Q792" s="886"/>
      <c r="R792" s="886"/>
      <c r="S792" s="886"/>
      <c r="T792" s="886"/>
      <c r="U792" s="886"/>
      <c r="V792" s="886"/>
      <c r="W792" s="886"/>
      <c r="X792" s="886"/>
    </row>
    <row r="793" spans="3:24">
      <c r="C793" s="942"/>
      <c r="D793" s="943"/>
      <c r="E793" s="886"/>
      <c r="F793" s="886"/>
      <c r="G793" s="886"/>
      <c r="H793" s="886"/>
      <c r="I793" s="886"/>
      <c r="J793" s="886"/>
      <c r="K793" s="886"/>
      <c r="L793" s="886"/>
      <c r="M793" s="886"/>
      <c r="N793" s="886"/>
      <c r="O793" s="886"/>
      <c r="P793" s="886"/>
      <c r="Q793" s="886"/>
      <c r="R793" s="886"/>
      <c r="S793" s="886"/>
      <c r="T793" s="886"/>
      <c r="U793" s="886"/>
      <c r="V793" s="886"/>
      <c r="W793" s="886"/>
      <c r="X793" s="886"/>
    </row>
    <row r="794" spans="3:24">
      <c r="C794" s="942"/>
      <c r="D794" s="943"/>
      <c r="E794" s="886"/>
      <c r="F794" s="886"/>
      <c r="G794" s="886"/>
      <c r="H794" s="886"/>
      <c r="I794" s="886"/>
      <c r="J794" s="886"/>
      <c r="K794" s="886"/>
      <c r="L794" s="886"/>
      <c r="M794" s="886"/>
      <c r="N794" s="886"/>
      <c r="O794" s="886"/>
      <c r="P794" s="886"/>
      <c r="Q794" s="886"/>
      <c r="R794" s="886"/>
      <c r="S794" s="886"/>
      <c r="T794" s="886"/>
      <c r="U794" s="886"/>
      <c r="V794" s="886"/>
      <c r="W794" s="886"/>
      <c r="X794" s="886"/>
    </row>
    <row r="795" spans="3:24">
      <c r="C795" s="942"/>
      <c r="D795" s="943"/>
      <c r="E795" s="886"/>
      <c r="F795" s="886"/>
      <c r="G795" s="886"/>
      <c r="H795" s="886"/>
      <c r="I795" s="886"/>
      <c r="J795" s="886"/>
      <c r="K795" s="886"/>
      <c r="L795" s="886"/>
      <c r="M795" s="886"/>
      <c r="N795" s="886"/>
      <c r="O795" s="886"/>
      <c r="P795" s="886"/>
      <c r="Q795" s="886"/>
      <c r="R795" s="886"/>
      <c r="S795" s="886"/>
      <c r="T795" s="886"/>
      <c r="U795" s="886"/>
      <c r="V795" s="886"/>
      <c r="W795" s="886"/>
      <c r="X795" s="886"/>
    </row>
    <row r="796" spans="3:24">
      <c r="C796" s="942"/>
      <c r="D796" s="943"/>
      <c r="E796" s="886"/>
      <c r="F796" s="886"/>
      <c r="G796" s="886"/>
      <c r="H796" s="886"/>
      <c r="I796" s="886"/>
      <c r="J796" s="886"/>
      <c r="K796" s="886"/>
      <c r="L796" s="886"/>
      <c r="M796" s="886"/>
      <c r="N796" s="886"/>
      <c r="O796" s="886"/>
      <c r="P796" s="886"/>
      <c r="Q796" s="886"/>
      <c r="R796" s="886"/>
      <c r="S796" s="886"/>
      <c r="T796" s="886"/>
      <c r="U796" s="886"/>
      <c r="V796" s="886"/>
      <c r="W796" s="886"/>
      <c r="X796" s="886"/>
    </row>
    <row r="797" spans="3:24">
      <c r="C797" s="942"/>
      <c r="D797" s="943"/>
      <c r="E797" s="886"/>
      <c r="F797" s="886"/>
      <c r="G797" s="886"/>
      <c r="H797" s="886"/>
      <c r="I797" s="886"/>
      <c r="J797" s="886"/>
      <c r="K797" s="886"/>
      <c r="L797" s="886"/>
      <c r="M797" s="886"/>
      <c r="N797" s="886"/>
      <c r="O797" s="886"/>
      <c r="P797" s="886"/>
      <c r="Q797" s="886"/>
      <c r="R797" s="886"/>
      <c r="S797" s="886"/>
      <c r="T797" s="886"/>
      <c r="U797" s="886"/>
      <c r="V797" s="886"/>
      <c r="W797" s="886"/>
      <c r="X797" s="886"/>
    </row>
    <row r="798" spans="3:24">
      <c r="C798" s="942"/>
      <c r="D798" s="943"/>
      <c r="E798" s="886"/>
      <c r="F798" s="886"/>
      <c r="G798" s="886"/>
      <c r="H798" s="886"/>
      <c r="I798" s="886"/>
      <c r="J798" s="886"/>
      <c r="K798" s="886"/>
      <c r="L798" s="886"/>
      <c r="M798" s="886"/>
      <c r="N798" s="886"/>
      <c r="O798" s="886"/>
      <c r="P798" s="886"/>
      <c r="Q798" s="886"/>
      <c r="R798" s="886"/>
      <c r="S798" s="886"/>
      <c r="T798" s="886"/>
      <c r="U798" s="886"/>
      <c r="V798" s="886"/>
      <c r="W798" s="886"/>
      <c r="X798" s="886"/>
    </row>
    <row r="799" spans="3:24">
      <c r="C799" s="942"/>
      <c r="D799" s="943"/>
      <c r="E799" s="886"/>
      <c r="F799" s="886"/>
      <c r="G799" s="886"/>
      <c r="H799" s="886"/>
      <c r="I799" s="886"/>
      <c r="J799" s="886"/>
      <c r="K799" s="886"/>
      <c r="L799" s="886"/>
      <c r="M799" s="886"/>
      <c r="N799" s="886"/>
      <c r="O799" s="886"/>
      <c r="P799" s="886"/>
      <c r="Q799" s="886"/>
      <c r="R799" s="886"/>
      <c r="S799" s="886"/>
      <c r="T799" s="886"/>
      <c r="U799" s="886"/>
      <c r="V799" s="886"/>
      <c r="W799" s="886"/>
      <c r="X799" s="886"/>
    </row>
    <row r="800" spans="3:24">
      <c r="C800" s="942"/>
      <c r="D800" s="943"/>
      <c r="E800" s="886"/>
      <c r="F800" s="886"/>
      <c r="G800" s="886"/>
      <c r="H800" s="886"/>
      <c r="I800" s="886"/>
      <c r="J800" s="886"/>
      <c r="K800" s="886"/>
      <c r="L800" s="886"/>
      <c r="M800" s="886"/>
      <c r="N800" s="886"/>
      <c r="O800" s="886"/>
      <c r="P800" s="886"/>
      <c r="Q800" s="886"/>
      <c r="R800" s="886"/>
      <c r="S800" s="886"/>
      <c r="T800" s="886"/>
      <c r="U800" s="886"/>
      <c r="V800" s="886"/>
      <c r="W800" s="886"/>
      <c r="X800" s="886"/>
    </row>
    <row r="801" spans="3:24">
      <c r="C801" s="942"/>
      <c r="D801" s="943"/>
      <c r="E801" s="886"/>
      <c r="F801" s="886"/>
      <c r="G801" s="886"/>
      <c r="H801" s="886"/>
      <c r="I801" s="886"/>
      <c r="J801" s="886"/>
      <c r="K801" s="886"/>
      <c r="L801" s="886"/>
      <c r="M801" s="886"/>
      <c r="N801" s="886"/>
      <c r="O801" s="886"/>
      <c r="P801" s="886"/>
      <c r="Q801" s="886"/>
      <c r="R801" s="886"/>
      <c r="S801" s="886"/>
      <c r="T801" s="886"/>
      <c r="U801" s="886"/>
      <c r="V801" s="886"/>
      <c r="W801" s="886"/>
      <c r="X801" s="886"/>
    </row>
    <row r="802" spans="3:24">
      <c r="C802" s="942"/>
      <c r="D802" s="943"/>
      <c r="E802" s="886"/>
      <c r="F802" s="886"/>
      <c r="G802" s="886"/>
      <c r="H802" s="886"/>
      <c r="I802" s="886"/>
      <c r="J802" s="886"/>
      <c r="K802" s="886"/>
      <c r="L802" s="886"/>
      <c r="M802" s="886"/>
      <c r="N802" s="886"/>
      <c r="O802" s="886"/>
      <c r="P802" s="886"/>
      <c r="Q802" s="886"/>
      <c r="R802" s="886"/>
      <c r="S802" s="886"/>
      <c r="T802" s="886"/>
      <c r="U802" s="886"/>
      <c r="V802" s="886"/>
      <c r="W802" s="886"/>
      <c r="X802" s="886"/>
    </row>
    <row r="803" spans="3:24">
      <c r="C803" s="942"/>
      <c r="D803" s="943"/>
      <c r="E803" s="886"/>
      <c r="F803" s="886"/>
      <c r="G803" s="886"/>
      <c r="H803" s="886"/>
      <c r="I803" s="886"/>
      <c r="J803" s="886"/>
      <c r="K803" s="886"/>
      <c r="L803" s="886"/>
      <c r="M803" s="886"/>
      <c r="N803" s="886"/>
      <c r="O803" s="886"/>
      <c r="P803" s="886"/>
      <c r="Q803" s="886"/>
      <c r="R803" s="886"/>
      <c r="S803" s="886"/>
      <c r="T803" s="886"/>
      <c r="U803" s="886"/>
      <c r="V803" s="886"/>
      <c r="W803" s="886"/>
      <c r="X803" s="886"/>
    </row>
    <row r="804" spans="3:24">
      <c r="C804" s="942"/>
      <c r="D804" s="943"/>
      <c r="E804" s="886"/>
      <c r="F804" s="886"/>
      <c r="G804" s="886"/>
      <c r="H804" s="886"/>
      <c r="I804" s="886"/>
      <c r="J804" s="886"/>
      <c r="K804" s="886"/>
      <c r="L804" s="886"/>
      <c r="M804" s="886"/>
      <c r="N804" s="886"/>
      <c r="O804" s="886"/>
      <c r="P804" s="886"/>
      <c r="Q804" s="886"/>
      <c r="R804" s="886"/>
      <c r="S804" s="886"/>
      <c r="T804" s="886"/>
      <c r="U804" s="886"/>
      <c r="V804" s="886"/>
      <c r="W804" s="886"/>
      <c r="X804" s="886"/>
    </row>
    <row r="805" spans="3:24">
      <c r="C805" s="942"/>
      <c r="D805" s="943"/>
      <c r="E805" s="886"/>
      <c r="F805" s="886"/>
      <c r="G805" s="886"/>
      <c r="H805" s="886"/>
      <c r="I805" s="886"/>
      <c r="J805" s="886"/>
      <c r="K805" s="886"/>
      <c r="L805" s="886"/>
      <c r="M805" s="886"/>
      <c r="N805" s="886"/>
      <c r="O805" s="886"/>
      <c r="P805" s="886"/>
      <c r="Q805" s="886"/>
      <c r="R805" s="886"/>
      <c r="S805" s="886"/>
      <c r="T805" s="886"/>
      <c r="U805" s="886"/>
      <c r="V805" s="886"/>
      <c r="W805" s="886"/>
      <c r="X805" s="886"/>
    </row>
    <row r="806" spans="3:24">
      <c r="C806" s="942"/>
      <c r="D806" s="943"/>
      <c r="E806" s="886"/>
      <c r="F806" s="886"/>
      <c r="G806" s="886"/>
      <c r="H806" s="886"/>
      <c r="I806" s="886"/>
      <c r="J806" s="886"/>
      <c r="K806" s="886"/>
      <c r="L806" s="886"/>
      <c r="M806" s="886"/>
      <c r="N806" s="886"/>
      <c r="O806" s="886"/>
      <c r="P806" s="886"/>
      <c r="Q806" s="886"/>
      <c r="R806" s="886"/>
      <c r="S806" s="886"/>
      <c r="T806" s="886"/>
      <c r="U806" s="886"/>
      <c r="V806" s="886"/>
      <c r="W806" s="886"/>
      <c r="X806" s="886"/>
    </row>
    <row r="807" spans="3:24">
      <c r="C807" s="942"/>
      <c r="D807" s="943"/>
      <c r="E807" s="886"/>
      <c r="F807" s="886"/>
      <c r="G807" s="886"/>
      <c r="H807" s="886"/>
      <c r="I807" s="886"/>
      <c r="J807" s="886"/>
      <c r="K807" s="886"/>
      <c r="L807" s="886"/>
      <c r="M807" s="886"/>
      <c r="N807" s="886"/>
      <c r="O807" s="886"/>
      <c r="P807" s="886"/>
      <c r="Q807" s="886"/>
      <c r="R807" s="886"/>
      <c r="S807" s="886"/>
      <c r="T807" s="886"/>
      <c r="U807" s="886"/>
      <c r="V807" s="886"/>
      <c r="W807" s="886"/>
      <c r="X807" s="886"/>
    </row>
    <row r="808" spans="3:24">
      <c r="C808" s="942"/>
      <c r="D808" s="943"/>
      <c r="E808" s="886"/>
      <c r="F808" s="886"/>
      <c r="G808" s="886"/>
      <c r="H808" s="886"/>
      <c r="I808" s="886"/>
      <c r="J808" s="886"/>
      <c r="K808" s="886"/>
      <c r="L808" s="886"/>
      <c r="M808" s="886"/>
      <c r="N808" s="886"/>
      <c r="O808" s="886"/>
      <c r="P808" s="886"/>
      <c r="Q808" s="886"/>
      <c r="R808" s="886"/>
      <c r="S808" s="886"/>
      <c r="T808" s="886"/>
      <c r="U808" s="886"/>
      <c r="V808" s="886"/>
      <c r="W808" s="886"/>
      <c r="X808" s="886"/>
    </row>
    <row r="809" spans="3:24">
      <c r="C809" s="942"/>
      <c r="D809" s="943"/>
      <c r="E809" s="886"/>
      <c r="F809" s="886"/>
      <c r="G809" s="886"/>
      <c r="H809" s="886"/>
      <c r="I809" s="886"/>
      <c r="J809" s="886"/>
      <c r="K809" s="886"/>
      <c r="L809" s="886"/>
      <c r="M809" s="886"/>
      <c r="N809" s="886"/>
      <c r="O809" s="886"/>
      <c r="P809" s="886"/>
      <c r="Q809" s="886"/>
      <c r="R809" s="886"/>
      <c r="S809" s="886"/>
      <c r="T809" s="886"/>
      <c r="U809" s="886"/>
      <c r="V809" s="886"/>
      <c r="W809" s="886"/>
      <c r="X809" s="886"/>
    </row>
    <row r="810" spans="3:24">
      <c r="C810" s="942"/>
      <c r="D810" s="943"/>
      <c r="E810" s="886"/>
      <c r="F810" s="886"/>
      <c r="G810" s="886"/>
      <c r="H810" s="886"/>
      <c r="I810" s="886"/>
      <c r="J810" s="886"/>
      <c r="K810" s="886"/>
      <c r="L810" s="886"/>
      <c r="M810" s="886"/>
      <c r="N810" s="886"/>
      <c r="O810" s="886"/>
      <c r="P810" s="886"/>
      <c r="Q810" s="886"/>
      <c r="R810" s="886"/>
      <c r="S810" s="886"/>
      <c r="T810" s="886"/>
      <c r="U810" s="886"/>
      <c r="V810" s="886"/>
      <c r="W810" s="886"/>
      <c r="X810" s="886"/>
    </row>
    <row r="811" spans="3:24">
      <c r="C811" s="942"/>
      <c r="D811" s="943"/>
      <c r="E811" s="886"/>
      <c r="F811" s="886"/>
      <c r="G811" s="886"/>
      <c r="H811" s="886"/>
      <c r="I811" s="886"/>
      <c r="J811" s="886"/>
      <c r="K811" s="886"/>
      <c r="L811" s="886"/>
      <c r="M811" s="886"/>
      <c r="N811" s="886"/>
      <c r="O811" s="886"/>
      <c r="P811" s="886"/>
      <c r="Q811" s="886"/>
      <c r="R811" s="886"/>
      <c r="S811" s="886"/>
      <c r="T811" s="886"/>
      <c r="U811" s="886"/>
      <c r="V811" s="886"/>
      <c r="W811" s="886"/>
      <c r="X811" s="886"/>
    </row>
    <row r="812" spans="3:24">
      <c r="C812" s="942"/>
      <c r="D812" s="943"/>
      <c r="E812" s="886"/>
      <c r="F812" s="886"/>
      <c r="G812" s="886"/>
      <c r="H812" s="886"/>
      <c r="I812" s="886"/>
      <c r="J812" s="886"/>
      <c r="K812" s="886"/>
      <c r="L812" s="886"/>
      <c r="M812" s="886"/>
      <c r="N812" s="886"/>
      <c r="O812" s="886"/>
      <c r="P812" s="886"/>
      <c r="Q812" s="886"/>
      <c r="R812" s="886"/>
      <c r="S812" s="886"/>
      <c r="T812" s="886"/>
      <c r="U812" s="886"/>
      <c r="V812" s="886"/>
      <c r="W812" s="886"/>
      <c r="X812" s="886"/>
    </row>
    <row r="813" spans="3:24">
      <c r="C813" s="942"/>
      <c r="D813" s="943"/>
      <c r="E813" s="886"/>
      <c r="F813" s="886"/>
      <c r="G813" s="886"/>
      <c r="H813" s="886"/>
      <c r="I813" s="886"/>
      <c r="J813" s="886"/>
      <c r="K813" s="886"/>
      <c r="L813" s="886"/>
      <c r="M813" s="886"/>
      <c r="N813" s="886"/>
      <c r="O813" s="886"/>
      <c r="P813" s="886"/>
      <c r="Q813" s="886"/>
      <c r="R813" s="886"/>
      <c r="S813" s="886"/>
      <c r="T813" s="886"/>
      <c r="U813" s="886"/>
      <c r="V813" s="886"/>
      <c r="W813" s="886"/>
      <c r="X813" s="886"/>
    </row>
    <row r="814" spans="3:24">
      <c r="C814" s="942"/>
      <c r="D814" s="943"/>
      <c r="E814" s="886"/>
      <c r="F814" s="886"/>
      <c r="G814" s="886"/>
      <c r="H814" s="886"/>
      <c r="I814" s="886"/>
      <c r="J814" s="886"/>
      <c r="K814" s="886"/>
      <c r="L814" s="886"/>
      <c r="M814" s="886"/>
      <c r="N814" s="886"/>
      <c r="O814" s="886"/>
      <c r="P814" s="886"/>
      <c r="Q814" s="886"/>
      <c r="R814" s="886"/>
      <c r="S814" s="886"/>
      <c r="T814" s="886"/>
      <c r="U814" s="886"/>
      <c r="V814" s="886"/>
      <c r="W814" s="886"/>
      <c r="X814" s="886"/>
    </row>
    <row r="815" spans="3:24">
      <c r="C815" s="942"/>
      <c r="D815" s="943"/>
      <c r="E815" s="886"/>
      <c r="F815" s="886"/>
      <c r="G815" s="886"/>
      <c r="H815" s="886"/>
      <c r="I815" s="886"/>
      <c r="J815" s="886"/>
      <c r="K815" s="886"/>
      <c r="L815" s="886"/>
      <c r="M815" s="886"/>
      <c r="N815" s="886"/>
      <c r="O815" s="886"/>
      <c r="P815" s="886"/>
      <c r="Q815" s="886"/>
      <c r="R815" s="886"/>
      <c r="S815" s="886"/>
      <c r="T815" s="886"/>
      <c r="U815" s="886"/>
      <c r="V815" s="886"/>
      <c r="W815" s="886"/>
      <c r="X815" s="886"/>
    </row>
    <row r="816" spans="3:24">
      <c r="C816" s="942"/>
      <c r="D816" s="943"/>
      <c r="E816" s="886"/>
      <c r="F816" s="886"/>
      <c r="G816" s="886"/>
      <c r="H816" s="886"/>
      <c r="I816" s="886"/>
      <c r="J816" s="886"/>
      <c r="K816" s="886"/>
      <c r="L816" s="886"/>
      <c r="M816" s="886"/>
      <c r="N816" s="886"/>
      <c r="O816" s="886"/>
      <c r="P816" s="886"/>
      <c r="Q816" s="886"/>
      <c r="R816" s="886"/>
      <c r="S816" s="886"/>
      <c r="T816" s="886"/>
      <c r="U816" s="886"/>
      <c r="V816" s="886"/>
      <c r="W816" s="886"/>
      <c r="X816" s="886"/>
    </row>
    <row r="817" spans="3:24">
      <c r="C817" s="942"/>
      <c r="D817" s="943"/>
      <c r="E817" s="886"/>
      <c r="F817" s="886"/>
      <c r="G817" s="886"/>
      <c r="H817" s="886"/>
      <c r="I817" s="886"/>
      <c r="J817" s="886"/>
      <c r="K817" s="886"/>
      <c r="L817" s="886"/>
      <c r="M817" s="886"/>
      <c r="N817" s="886"/>
      <c r="O817" s="886"/>
      <c r="P817" s="886"/>
      <c r="Q817" s="886"/>
      <c r="R817" s="886"/>
      <c r="S817" s="886"/>
      <c r="T817" s="886"/>
      <c r="U817" s="886"/>
      <c r="V817" s="886"/>
      <c r="W817" s="886"/>
      <c r="X817" s="886"/>
    </row>
    <row r="818" spans="3:24">
      <c r="C818" s="942"/>
      <c r="D818" s="943"/>
      <c r="E818" s="886"/>
      <c r="F818" s="886"/>
      <c r="G818" s="886"/>
      <c r="H818" s="886"/>
      <c r="I818" s="886"/>
      <c r="J818" s="886"/>
      <c r="K818" s="886"/>
      <c r="L818" s="886"/>
      <c r="M818" s="886"/>
      <c r="N818" s="886"/>
      <c r="O818" s="886"/>
      <c r="P818" s="886"/>
      <c r="Q818" s="886"/>
      <c r="R818" s="886"/>
      <c r="S818" s="886"/>
      <c r="T818" s="886"/>
      <c r="U818" s="886"/>
      <c r="V818" s="886"/>
      <c r="W818" s="886"/>
      <c r="X818" s="886"/>
    </row>
    <row r="819" spans="3:24">
      <c r="C819" s="942"/>
      <c r="D819" s="943"/>
      <c r="E819" s="886"/>
      <c r="F819" s="886"/>
      <c r="G819" s="886"/>
      <c r="H819" s="886"/>
      <c r="I819" s="886"/>
      <c r="J819" s="886"/>
      <c r="K819" s="886"/>
      <c r="L819" s="886"/>
      <c r="M819" s="886"/>
      <c r="N819" s="886"/>
      <c r="O819" s="886"/>
      <c r="P819" s="886"/>
      <c r="Q819" s="886"/>
      <c r="R819" s="886"/>
      <c r="S819" s="886"/>
      <c r="T819" s="886"/>
      <c r="U819" s="886"/>
      <c r="V819" s="886"/>
      <c r="W819" s="886"/>
      <c r="X819" s="886"/>
    </row>
    <row r="820" spans="3:24">
      <c r="C820" s="942"/>
      <c r="D820" s="943"/>
      <c r="E820" s="886"/>
      <c r="F820" s="886"/>
      <c r="G820" s="886"/>
      <c r="H820" s="886"/>
      <c r="I820" s="886"/>
      <c r="J820" s="886"/>
      <c r="K820" s="886"/>
      <c r="L820" s="886"/>
      <c r="M820" s="886"/>
      <c r="N820" s="886"/>
      <c r="O820" s="886"/>
      <c r="P820" s="886"/>
      <c r="Q820" s="886"/>
      <c r="R820" s="886"/>
      <c r="S820" s="886"/>
      <c r="T820" s="886"/>
      <c r="U820" s="886"/>
      <c r="V820" s="886"/>
      <c r="W820" s="886"/>
      <c r="X820" s="886"/>
    </row>
    <row r="821" spans="3:24">
      <c r="C821" s="942"/>
      <c r="D821" s="943"/>
      <c r="E821" s="886"/>
      <c r="F821" s="886"/>
      <c r="G821" s="886"/>
      <c r="H821" s="886"/>
      <c r="I821" s="886"/>
      <c r="J821" s="886"/>
      <c r="K821" s="886"/>
      <c r="L821" s="886"/>
      <c r="M821" s="886"/>
      <c r="N821" s="886"/>
      <c r="O821" s="886"/>
      <c r="P821" s="886"/>
      <c r="Q821" s="886"/>
      <c r="R821" s="886"/>
      <c r="S821" s="886"/>
      <c r="T821" s="886"/>
      <c r="U821" s="886"/>
      <c r="V821" s="886"/>
      <c r="W821" s="886"/>
      <c r="X821" s="886"/>
    </row>
    <row r="822" spans="3:24">
      <c r="C822" s="942"/>
      <c r="D822" s="943"/>
      <c r="E822" s="886"/>
      <c r="F822" s="886"/>
      <c r="G822" s="886"/>
      <c r="H822" s="886"/>
      <c r="I822" s="886"/>
      <c r="J822" s="886"/>
      <c r="K822" s="886"/>
      <c r="L822" s="886"/>
      <c r="M822" s="886"/>
      <c r="N822" s="886"/>
      <c r="O822" s="886"/>
      <c r="P822" s="886"/>
      <c r="Q822" s="886"/>
      <c r="R822" s="886"/>
      <c r="S822" s="886"/>
      <c r="T822" s="886"/>
      <c r="U822" s="886"/>
      <c r="V822" s="886"/>
      <c r="W822" s="886"/>
      <c r="X822" s="886"/>
    </row>
    <row r="823" spans="3:24">
      <c r="C823" s="942"/>
      <c r="D823" s="943"/>
      <c r="E823" s="886"/>
      <c r="F823" s="886"/>
      <c r="G823" s="886"/>
      <c r="H823" s="886"/>
      <c r="I823" s="886"/>
      <c r="J823" s="886"/>
      <c r="K823" s="886"/>
      <c r="L823" s="886"/>
      <c r="M823" s="886"/>
      <c r="N823" s="886"/>
      <c r="O823" s="886"/>
      <c r="P823" s="886"/>
      <c r="Q823" s="886"/>
      <c r="R823" s="886"/>
      <c r="S823" s="886"/>
      <c r="T823" s="886"/>
      <c r="U823" s="886"/>
      <c r="V823" s="886"/>
      <c r="W823" s="886"/>
      <c r="X823" s="886"/>
    </row>
    <row r="824" spans="3:24">
      <c r="C824" s="942"/>
      <c r="D824" s="943"/>
      <c r="E824" s="886"/>
      <c r="F824" s="886"/>
      <c r="G824" s="886"/>
      <c r="H824" s="886"/>
      <c r="I824" s="886"/>
      <c r="J824" s="886"/>
      <c r="K824" s="886"/>
      <c r="L824" s="886"/>
      <c r="M824" s="886"/>
      <c r="N824" s="886"/>
      <c r="O824" s="886"/>
      <c r="P824" s="886"/>
      <c r="Q824" s="886"/>
      <c r="R824" s="886"/>
      <c r="S824" s="886"/>
      <c r="T824" s="886"/>
      <c r="U824" s="886"/>
      <c r="V824" s="886"/>
      <c r="W824" s="886"/>
      <c r="X824" s="886"/>
    </row>
    <row r="825" spans="3:24">
      <c r="C825" s="942"/>
      <c r="D825" s="943"/>
      <c r="E825" s="886"/>
      <c r="F825" s="886"/>
      <c r="G825" s="886"/>
      <c r="H825" s="886"/>
      <c r="I825" s="886"/>
      <c r="J825" s="886"/>
      <c r="K825" s="886"/>
      <c r="L825" s="886"/>
      <c r="M825" s="886"/>
      <c r="N825" s="886"/>
      <c r="O825" s="886"/>
      <c r="P825" s="886"/>
      <c r="Q825" s="886"/>
      <c r="R825" s="886"/>
      <c r="S825" s="886"/>
      <c r="T825" s="886"/>
      <c r="U825" s="886"/>
      <c r="V825" s="886"/>
      <c r="W825" s="886"/>
      <c r="X825" s="886"/>
    </row>
    <row r="826" spans="3:24">
      <c r="C826" s="942"/>
      <c r="D826" s="943"/>
      <c r="E826" s="886"/>
      <c r="F826" s="886"/>
      <c r="G826" s="886"/>
      <c r="H826" s="886"/>
      <c r="I826" s="886"/>
      <c r="J826" s="886"/>
      <c r="K826" s="886"/>
      <c r="L826" s="886"/>
      <c r="M826" s="886"/>
      <c r="N826" s="886"/>
      <c r="O826" s="886"/>
      <c r="P826" s="886"/>
      <c r="Q826" s="886"/>
      <c r="R826" s="886"/>
      <c r="S826" s="886"/>
      <c r="T826" s="886"/>
      <c r="U826" s="886"/>
      <c r="V826" s="886"/>
      <c r="W826" s="886"/>
      <c r="X826" s="886"/>
    </row>
    <row r="827" spans="3:24">
      <c r="C827" s="942"/>
      <c r="D827" s="943"/>
      <c r="E827" s="886"/>
      <c r="F827" s="886"/>
      <c r="G827" s="886"/>
      <c r="H827" s="886"/>
      <c r="I827" s="886"/>
      <c r="J827" s="886"/>
      <c r="K827" s="886"/>
      <c r="L827" s="886"/>
      <c r="M827" s="886"/>
      <c r="N827" s="886"/>
      <c r="O827" s="886"/>
      <c r="P827" s="886"/>
      <c r="Q827" s="886"/>
      <c r="R827" s="886"/>
      <c r="S827" s="886"/>
      <c r="T827" s="886"/>
      <c r="U827" s="886"/>
      <c r="V827" s="886"/>
      <c r="W827" s="886"/>
      <c r="X827" s="886"/>
    </row>
    <row r="828" spans="3:24">
      <c r="C828" s="942"/>
      <c r="D828" s="943"/>
      <c r="E828" s="886"/>
      <c r="F828" s="886"/>
      <c r="G828" s="886"/>
      <c r="H828" s="886"/>
      <c r="I828" s="886"/>
      <c r="J828" s="886"/>
      <c r="K828" s="886"/>
      <c r="L828" s="886"/>
      <c r="M828" s="886"/>
      <c r="N828" s="886"/>
      <c r="O828" s="886"/>
      <c r="P828" s="886"/>
      <c r="Q828" s="886"/>
      <c r="R828" s="886"/>
      <c r="S828" s="886"/>
      <c r="T828" s="886"/>
      <c r="U828" s="886"/>
      <c r="V828" s="886"/>
      <c r="W828" s="886"/>
      <c r="X828" s="886"/>
    </row>
    <row r="829" spans="3:24">
      <c r="C829" s="942"/>
      <c r="D829" s="943"/>
      <c r="E829" s="886"/>
      <c r="F829" s="886"/>
      <c r="G829" s="886"/>
      <c r="H829" s="886"/>
      <c r="I829" s="886"/>
      <c r="J829" s="886"/>
      <c r="K829" s="886"/>
      <c r="L829" s="886"/>
      <c r="M829" s="886"/>
      <c r="N829" s="886"/>
      <c r="O829" s="886"/>
      <c r="P829" s="886"/>
      <c r="Q829" s="886"/>
      <c r="R829" s="886"/>
      <c r="S829" s="886"/>
      <c r="T829" s="886"/>
      <c r="U829" s="886"/>
      <c r="V829" s="886"/>
      <c r="W829" s="886"/>
      <c r="X829" s="886"/>
    </row>
    <row r="830" spans="3:24">
      <c r="C830" s="942"/>
      <c r="D830" s="943"/>
      <c r="E830" s="886"/>
      <c r="F830" s="886"/>
      <c r="G830" s="886"/>
      <c r="H830" s="886"/>
      <c r="I830" s="886"/>
      <c r="J830" s="886"/>
      <c r="K830" s="886"/>
      <c r="L830" s="886"/>
      <c r="M830" s="886"/>
      <c r="N830" s="886"/>
      <c r="O830" s="886"/>
      <c r="P830" s="886"/>
      <c r="Q830" s="886"/>
      <c r="R830" s="886"/>
      <c r="S830" s="886"/>
      <c r="T830" s="886"/>
      <c r="U830" s="886"/>
      <c r="V830" s="886"/>
      <c r="W830" s="886"/>
      <c r="X830" s="886"/>
    </row>
    <row r="831" spans="3:24">
      <c r="C831" s="942"/>
      <c r="D831" s="943"/>
      <c r="E831" s="886"/>
      <c r="F831" s="886"/>
      <c r="G831" s="886"/>
      <c r="H831" s="886"/>
      <c r="I831" s="886"/>
      <c r="J831" s="886"/>
      <c r="K831" s="886"/>
      <c r="L831" s="886"/>
      <c r="M831" s="886"/>
      <c r="N831" s="886"/>
      <c r="O831" s="886"/>
      <c r="P831" s="886"/>
      <c r="Q831" s="886"/>
      <c r="R831" s="886"/>
      <c r="S831" s="886"/>
      <c r="T831" s="886"/>
      <c r="U831" s="886"/>
      <c r="V831" s="886"/>
      <c r="W831" s="886"/>
      <c r="X831" s="886"/>
    </row>
    <row r="832" spans="3:24">
      <c r="C832" s="942"/>
      <c r="D832" s="943"/>
      <c r="E832" s="886"/>
      <c r="F832" s="886"/>
      <c r="G832" s="886"/>
      <c r="H832" s="886"/>
      <c r="I832" s="886"/>
      <c r="J832" s="886"/>
      <c r="K832" s="886"/>
      <c r="L832" s="886"/>
      <c r="M832" s="886"/>
      <c r="N832" s="886"/>
      <c r="O832" s="886"/>
      <c r="P832" s="886"/>
      <c r="Q832" s="886"/>
      <c r="R832" s="886"/>
      <c r="S832" s="886"/>
      <c r="T832" s="886"/>
      <c r="U832" s="886"/>
      <c r="V832" s="886"/>
      <c r="W832" s="886"/>
      <c r="X832" s="886"/>
    </row>
    <row r="833" spans="3:24">
      <c r="C833" s="942"/>
      <c r="D833" s="943"/>
      <c r="E833" s="886"/>
      <c r="F833" s="886"/>
      <c r="G833" s="886"/>
      <c r="H833" s="886"/>
      <c r="I833" s="886"/>
      <c r="J833" s="886"/>
      <c r="K833" s="886"/>
      <c r="L833" s="886"/>
      <c r="M833" s="886"/>
      <c r="N833" s="886"/>
      <c r="O833" s="886"/>
      <c r="P833" s="886"/>
      <c r="Q833" s="886"/>
      <c r="R833" s="886"/>
      <c r="S833" s="886"/>
      <c r="T833" s="886"/>
      <c r="U833" s="886"/>
      <c r="V833" s="886"/>
      <c r="W833" s="886"/>
      <c r="X833" s="886"/>
    </row>
    <row r="834" spans="3:24">
      <c r="C834" s="942"/>
      <c r="D834" s="943"/>
      <c r="E834" s="886"/>
      <c r="F834" s="886"/>
      <c r="G834" s="886"/>
      <c r="H834" s="886"/>
      <c r="I834" s="886"/>
      <c r="J834" s="886"/>
      <c r="K834" s="886"/>
      <c r="L834" s="886"/>
      <c r="M834" s="886"/>
      <c r="N834" s="886"/>
      <c r="O834" s="886"/>
      <c r="P834" s="886"/>
      <c r="Q834" s="886"/>
      <c r="R834" s="886"/>
      <c r="S834" s="886"/>
      <c r="T834" s="886"/>
      <c r="U834" s="886"/>
      <c r="V834" s="886"/>
      <c r="W834" s="886"/>
      <c r="X834" s="886"/>
    </row>
    <row r="835" spans="3:24">
      <c r="C835" s="942"/>
      <c r="D835" s="943"/>
      <c r="E835" s="886"/>
      <c r="F835" s="886"/>
      <c r="G835" s="886"/>
      <c r="H835" s="886"/>
      <c r="I835" s="886"/>
      <c r="J835" s="886"/>
      <c r="K835" s="886"/>
      <c r="L835" s="886"/>
      <c r="M835" s="886"/>
      <c r="N835" s="886"/>
      <c r="O835" s="886"/>
      <c r="P835" s="886"/>
      <c r="Q835" s="886"/>
      <c r="R835" s="886"/>
      <c r="S835" s="886"/>
      <c r="T835" s="886"/>
      <c r="U835" s="886"/>
      <c r="V835" s="886"/>
      <c r="W835" s="886"/>
      <c r="X835" s="886"/>
    </row>
    <row r="836" spans="3:24">
      <c r="C836" s="942"/>
      <c r="D836" s="943"/>
      <c r="E836" s="886"/>
      <c r="F836" s="886"/>
      <c r="G836" s="886"/>
      <c r="H836" s="886"/>
      <c r="I836" s="886"/>
      <c r="J836" s="886"/>
      <c r="K836" s="886"/>
      <c r="L836" s="886"/>
      <c r="M836" s="886"/>
      <c r="N836" s="886"/>
      <c r="O836" s="886"/>
      <c r="P836" s="886"/>
      <c r="Q836" s="886"/>
      <c r="R836" s="886"/>
      <c r="S836" s="886"/>
      <c r="T836" s="886"/>
      <c r="U836" s="886"/>
      <c r="V836" s="886"/>
      <c r="W836" s="886"/>
      <c r="X836" s="886"/>
    </row>
    <row r="837" spans="3:24">
      <c r="C837" s="942"/>
      <c r="D837" s="943"/>
      <c r="E837" s="886"/>
      <c r="F837" s="886"/>
      <c r="G837" s="886"/>
      <c r="H837" s="886"/>
      <c r="I837" s="886"/>
      <c r="J837" s="886"/>
      <c r="K837" s="886"/>
      <c r="L837" s="886"/>
      <c r="M837" s="886"/>
      <c r="N837" s="886"/>
      <c r="O837" s="886"/>
      <c r="P837" s="886"/>
      <c r="Q837" s="886"/>
      <c r="R837" s="886"/>
      <c r="S837" s="886"/>
      <c r="T837" s="886"/>
      <c r="U837" s="886"/>
      <c r="V837" s="886"/>
      <c r="W837" s="886"/>
      <c r="X837" s="886"/>
    </row>
    <row r="838" spans="3:24">
      <c r="C838" s="942"/>
      <c r="D838" s="943"/>
      <c r="E838" s="886"/>
      <c r="F838" s="886"/>
      <c r="G838" s="886"/>
      <c r="H838" s="886"/>
      <c r="I838" s="886"/>
      <c r="J838" s="886"/>
      <c r="K838" s="886"/>
      <c r="L838" s="886"/>
      <c r="M838" s="886"/>
      <c r="N838" s="886"/>
      <c r="O838" s="886"/>
      <c r="P838" s="886"/>
      <c r="Q838" s="886"/>
      <c r="R838" s="886"/>
      <c r="S838" s="886"/>
      <c r="T838" s="886"/>
      <c r="U838" s="886"/>
      <c r="V838" s="886"/>
      <c r="W838" s="886"/>
      <c r="X838" s="886"/>
    </row>
    <row r="839" spans="3:24">
      <c r="C839" s="942"/>
      <c r="D839" s="943"/>
      <c r="E839" s="886"/>
      <c r="F839" s="886"/>
      <c r="G839" s="886"/>
      <c r="H839" s="886"/>
      <c r="I839" s="886"/>
      <c r="J839" s="886"/>
      <c r="K839" s="886"/>
      <c r="L839" s="886"/>
      <c r="M839" s="886"/>
      <c r="N839" s="886"/>
      <c r="O839" s="886"/>
      <c r="P839" s="886"/>
      <c r="Q839" s="886"/>
      <c r="R839" s="886"/>
      <c r="S839" s="886"/>
      <c r="T839" s="886"/>
      <c r="U839" s="886"/>
      <c r="V839" s="886"/>
      <c r="W839" s="886"/>
      <c r="X839" s="886"/>
    </row>
    <row r="840" spans="3:24">
      <c r="C840" s="942"/>
      <c r="D840" s="943"/>
      <c r="E840" s="886"/>
      <c r="F840" s="886"/>
      <c r="G840" s="886"/>
      <c r="H840" s="886"/>
      <c r="I840" s="886"/>
      <c r="J840" s="886"/>
      <c r="K840" s="886"/>
      <c r="L840" s="886"/>
      <c r="M840" s="886"/>
      <c r="N840" s="886"/>
      <c r="O840" s="886"/>
      <c r="P840" s="886"/>
      <c r="Q840" s="886"/>
      <c r="R840" s="886"/>
      <c r="S840" s="886"/>
      <c r="T840" s="886"/>
      <c r="U840" s="886"/>
      <c r="V840" s="886"/>
      <c r="W840" s="886"/>
      <c r="X840" s="886"/>
    </row>
    <row r="841" spans="3:24">
      <c r="C841" s="942"/>
      <c r="D841" s="943"/>
      <c r="E841" s="886"/>
      <c r="F841" s="886"/>
      <c r="G841" s="886"/>
      <c r="H841" s="886"/>
      <c r="I841" s="886"/>
      <c r="J841" s="886"/>
      <c r="K841" s="886"/>
      <c r="L841" s="886"/>
      <c r="M841" s="886"/>
      <c r="N841" s="886"/>
      <c r="O841" s="886"/>
      <c r="P841" s="886"/>
      <c r="Q841" s="886"/>
      <c r="R841" s="886"/>
      <c r="S841" s="886"/>
      <c r="T841" s="886"/>
      <c r="U841" s="886"/>
      <c r="V841" s="886"/>
      <c r="W841" s="886"/>
      <c r="X841" s="886"/>
    </row>
    <row r="842" spans="3:24">
      <c r="C842" s="942"/>
      <c r="D842" s="943"/>
      <c r="E842" s="886"/>
      <c r="F842" s="886"/>
      <c r="G842" s="886"/>
      <c r="H842" s="886"/>
      <c r="I842" s="886"/>
      <c r="J842" s="886"/>
      <c r="K842" s="886"/>
      <c r="L842" s="886"/>
      <c r="M842" s="886"/>
      <c r="N842" s="886"/>
      <c r="O842" s="886"/>
      <c r="P842" s="886"/>
      <c r="Q842" s="886"/>
      <c r="R842" s="886"/>
      <c r="S842" s="886"/>
      <c r="T842" s="886"/>
      <c r="U842" s="886"/>
      <c r="V842" s="886"/>
      <c r="W842" s="886"/>
      <c r="X842" s="886"/>
    </row>
    <row r="843" spans="3:24">
      <c r="C843" s="942"/>
      <c r="D843" s="943"/>
      <c r="E843" s="886"/>
      <c r="F843" s="886"/>
      <c r="G843" s="886"/>
      <c r="H843" s="886"/>
      <c r="I843" s="886"/>
      <c r="J843" s="886"/>
      <c r="K843" s="886"/>
      <c r="L843" s="886"/>
      <c r="M843" s="886"/>
      <c r="N843" s="886"/>
      <c r="O843" s="886"/>
      <c r="P843" s="886"/>
      <c r="Q843" s="886"/>
      <c r="R843" s="886"/>
      <c r="S843" s="886"/>
      <c r="T843" s="886"/>
      <c r="U843" s="886"/>
      <c r="V843" s="886"/>
      <c r="W843" s="886"/>
      <c r="X843" s="886"/>
    </row>
    <row r="844" spans="3:24">
      <c r="C844" s="942"/>
      <c r="D844" s="943"/>
      <c r="E844" s="886"/>
      <c r="F844" s="886"/>
      <c r="G844" s="886"/>
      <c r="H844" s="886"/>
      <c r="I844" s="886"/>
      <c r="J844" s="886"/>
      <c r="K844" s="886"/>
      <c r="L844" s="886"/>
      <c r="M844" s="886"/>
      <c r="N844" s="886"/>
      <c r="O844" s="886"/>
      <c r="P844" s="886"/>
      <c r="Q844" s="886"/>
      <c r="R844" s="886"/>
      <c r="S844" s="886"/>
      <c r="T844" s="886"/>
      <c r="U844" s="886"/>
      <c r="V844" s="886"/>
      <c r="W844" s="886"/>
      <c r="X844" s="886"/>
    </row>
    <row r="845" spans="3:24">
      <c r="C845" s="942"/>
      <c r="D845" s="943"/>
      <c r="E845" s="886"/>
      <c r="F845" s="886"/>
      <c r="G845" s="886"/>
      <c r="H845" s="886"/>
      <c r="I845" s="886"/>
      <c r="J845" s="886"/>
      <c r="K845" s="886"/>
      <c r="L845" s="886"/>
      <c r="M845" s="886"/>
      <c r="N845" s="886"/>
      <c r="O845" s="886"/>
      <c r="P845" s="886"/>
      <c r="Q845" s="886"/>
      <c r="R845" s="886"/>
      <c r="S845" s="886"/>
      <c r="T845" s="886"/>
      <c r="U845" s="886"/>
      <c r="V845" s="886"/>
      <c r="W845" s="886"/>
      <c r="X845" s="886"/>
    </row>
    <row r="846" spans="3:24">
      <c r="C846" s="942"/>
      <c r="D846" s="943"/>
      <c r="E846" s="886"/>
      <c r="F846" s="886"/>
      <c r="G846" s="886"/>
      <c r="H846" s="886"/>
      <c r="I846" s="886"/>
      <c r="J846" s="886"/>
      <c r="K846" s="886"/>
      <c r="L846" s="886"/>
      <c r="M846" s="886"/>
      <c r="N846" s="886"/>
      <c r="O846" s="886"/>
      <c r="P846" s="886"/>
      <c r="Q846" s="886"/>
      <c r="R846" s="886"/>
      <c r="S846" s="886"/>
      <c r="T846" s="886"/>
      <c r="U846" s="886"/>
      <c r="V846" s="886"/>
      <c r="W846" s="886"/>
      <c r="X846" s="886"/>
    </row>
    <row r="847" spans="3:24">
      <c r="C847" s="942"/>
      <c r="D847" s="943"/>
      <c r="E847" s="886"/>
      <c r="F847" s="886"/>
      <c r="G847" s="886"/>
      <c r="H847" s="886"/>
      <c r="I847" s="886"/>
      <c r="J847" s="886"/>
      <c r="K847" s="886"/>
      <c r="L847" s="886"/>
      <c r="M847" s="886"/>
      <c r="N847" s="886"/>
      <c r="O847" s="886"/>
      <c r="P847" s="886"/>
      <c r="Q847" s="886"/>
      <c r="R847" s="886"/>
      <c r="S847" s="886"/>
      <c r="T847" s="886"/>
      <c r="U847" s="886"/>
      <c r="V847" s="886"/>
      <c r="W847" s="886"/>
      <c r="X847" s="886"/>
    </row>
    <row r="848" spans="3:24">
      <c r="C848" s="942"/>
      <c r="D848" s="943"/>
      <c r="E848" s="886"/>
      <c r="F848" s="886"/>
      <c r="G848" s="886"/>
      <c r="H848" s="886"/>
      <c r="I848" s="886"/>
      <c r="J848" s="886"/>
      <c r="K848" s="886"/>
      <c r="L848" s="886"/>
      <c r="M848" s="886"/>
      <c r="N848" s="886"/>
      <c r="O848" s="886"/>
      <c r="P848" s="886"/>
      <c r="Q848" s="886"/>
      <c r="R848" s="886"/>
      <c r="S848" s="886"/>
      <c r="T848" s="886"/>
      <c r="U848" s="886"/>
      <c r="V848" s="886"/>
      <c r="W848" s="886"/>
      <c r="X848" s="886"/>
    </row>
    <row r="849" spans="3:24">
      <c r="C849" s="942"/>
      <c r="D849" s="943"/>
      <c r="E849" s="886"/>
      <c r="F849" s="886"/>
      <c r="G849" s="886"/>
      <c r="H849" s="886"/>
      <c r="I849" s="886"/>
      <c r="J849" s="886"/>
      <c r="K849" s="886"/>
      <c r="L849" s="886"/>
      <c r="M849" s="886"/>
      <c r="N849" s="886"/>
      <c r="O849" s="886"/>
      <c r="P849" s="886"/>
      <c r="Q849" s="886"/>
      <c r="R849" s="886"/>
      <c r="S849" s="886"/>
      <c r="T849" s="886"/>
      <c r="U849" s="886"/>
      <c r="V849" s="886"/>
      <c r="W849" s="886"/>
      <c r="X849" s="886"/>
    </row>
    <row r="850" spans="3:24">
      <c r="C850" s="942"/>
      <c r="D850" s="943"/>
      <c r="E850" s="886"/>
      <c r="F850" s="886"/>
      <c r="G850" s="886"/>
      <c r="H850" s="886"/>
      <c r="I850" s="886"/>
      <c r="J850" s="886"/>
      <c r="K850" s="886"/>
      <c r="L850" s="886"/>
      <c r="M850" s="886"/>
      <c r="N850" s="886"/>
      <c r="O850" s="886"/>
      <c r="P850" s="886"/>
      <c r="Q850" s="886"/>
      <c r="R850" s="886"/>
      <c r="S850" s="886"/>
      <c r="T850" s="886"/>
      <c r="U850" s="886"/>
      <c r="V850" s="886"/>
      <c r="W850" s="886"/>
      <c r="X850" s="886"/>
    </row>
    <row r="851" spans="3:24">
      <c r="C851" s="942"/>
      <c r="D851" s="943"/>
      <c r="E851" s="886"/>
      <c r="F851" s="886"/>
      <c r="G851" s="886"/>
      <c r="H851" s="886"/>
      <c r="I851" s="886"/>
      <c r="J851" s="886"/>
      <c r="K851" s="886"/>
      <c r="L851" s="886"/>
      <c r="M851" s="886"/>
      <c r="N851" s="886"/>
      <c r="O851" s="886"/>
      <c r="P851" s="886"/>
      <c r="Q851" s="886"/>
      <c r="R851" s="886"/>
      <c r="S851" s="886"/>
      <c r="T851" s="886"/>
      <c r="U851" s="886"/>
      <c r="V851" s="886"/>
      <c r="W851" s="886"/>
      <c r="X851" s="886"/>
    </row>
    <row r="852" spans="3:24">
      <c r="C852" s="942"/>
      <c r="D852" s="943"/>
      <c r="E852" s="886"/>
      <c r="F852" s="886"/>
      <c r="G852" s="886"/>
      <c r="H852" s="886"/>
      <c r="I852" s="886"/>
      <c r="J852" s="886"/>
      <c r="K852" s="886"/>
      <c r="L852" s="886"/>
      <c r="M852" s="886"/>
      <c r="N852" s="886"/>
      <c r="O852" s="886"/>
      <c r="P852" s="886"/>
      <c r="Q852" s="886"/>
      <c r="R852" s="886"/>
      <c r="S852" s="886"/>
      <c r="T852" s="886"/>
      <c r="U852" s="886"/>
      <c r="V852" s="886"/>
      <c r="W852" s="886"/>
      <c r="X852" s="886"/>
    </row>
    <row r="853" spans="3:24">
      <c r="C853" s="942"/>
      <c r="D853" s="943"/>
      <c r="E853" s="886"/>
      <c r="F853" s="886"/>
      <c r="G853" s="886"/>
      <c r="H853" s="886"/>
      <c r="I853" s="886"/>
      <c r="J853" s="886"/>
      <c r="K853" s="886"/>
      <c r="L853" s="886"/>
      <c r="M853" s="886"/>
      <c r="N853" s="886"/>
      <c r="O853" s="886"/>
      <c r="P853" s="886"/>
      <c r="Q853" s="886"/>
      <c r="R853" s="886"/>
      <c r="S853" s="886"/>
      <c r="T853" s="886"/>
      <c r="U853" s="886"/>
      <c r="V853" s="886"/>
      <c r="W853" s="886"/>
      <c r="X853" s="886"/>
    </row>
    <row r="854" spans="3:24">
      <c r="C854" s="942"/>
      <c r="D854" s="943"/>
      <c r="E854" s="886"/>
      <c r="F854" s="886"/>
      <c r="G854" s="886"/>
      <c r="H854" s="886"/>
      <c r="I854" s="886"/>
      <c r="J854" s="886"/>
      <c r="K854" s="886"/>
      <c r="L854" s="886"/>
      <c r="M854" s="886"/>
      <c r="N854" s="886"/>
      <c r="O854" s="886"/>
      <c r="P854" s="886"/>
      <c r="Q854" s="886"/>
      <c r="R854" s="886"/>
      <c r="S854" s="886"/>
      <c r="T854" s="886"/>
      <c r="U854" s="886"/>
      <c r="V854" s="886"/>
      <c r="W854" s="886"/>
      <c r="X854" s="886"/>
    </row>
    <row r="855" spans="3:24">
      <c r="C855" s="942"/>
      <c r="D855" s="943"/>
      <c r="E855" s="886"/>
      <c r="F855" s="886"/>
      <c r="G855" s="886"/>
      <c r="H855" s="886"/>
      <c r="I855" s="886"/>
      <c r="J855" s="886"/>
      <c r="K855" s="886"/>
      <c r="L855" s="886"/>
      <c r="M855" s="886"/>
      <c r="N855" s="886"/>
      <c r="O855" s="886"/>
      <c r="P855" s="886"/>
      <c r="Q855" s="886"/>
      <c r="R855" s="886"/>
      <c r="S855" s="886"/>
      <c r="T855" s="886"/>
      <c r="U855" s="886"/>
      <c r="V855" s="886"/>
      <c r="W855" s="886"/>
      <c r="X855" s="886"/>
    </row>
    <row r="856" spans="3:24">
      <c r="C856" s="942"/>
      <c r="D856" s="943"/>
      <c r="E856" s="886"/>
      <c r="F856" s="886"/>
      <c r="G856" s="886"/>
      <c r="H856" s="886"/>
      <c r="I856" s="886"/>
      <c r="J856" s="886"/>
      <c r="K856" s="886"/>
      <c r="L856" s="886"/>
      <c r="M856" s="886"/>
      <c r="N856" s="886"/>
      <c r="O856" s="886"/>
      <c r="P856" s="886"/>
      <c r="Q856" s="886"/>
      <c r="R856" s="886"/>
      <c r="S856" s="886"/>
      <c r="T856" s="886"/>
      <c r="U856" s="886"/>
      <c r="V856" s="886"/>
      <c r="W856" s="886"/>
      <c r="X856" s="886"/>
    </row>
    <row r="857" spans="3:24">
      <c r="C857" s="942"/>
      <c r="D857" s="943"/>
      <c r="E857" s="886"/>
      <c r="F857" s="886"/>
      <c r="G857" s="886"/>
      <c r="H857" s="886"/>
      <c r="I857" s="886"/>
      <c r="J857" s="886"/>
      <c r="K857" s="886"/>
      <c r="L857" s="886"/>
      <c r="M857" s="886"/>
      <c r="N857" s="886"/>
      <c r="O857" s="886"/>
      <c r="P857" s="886"/>
      <c r="Q857" s="886"/>
      <c r="R857" s="886"/>
      <c r="S857" s="886"/>
      <c r="T857" s="886"/>
      <c r="U857" s="886"/>
      <c r="V857" s="886"/>
      <c r="W857" s="886"/>
      <c r="X857" s="886"/>
    </row>
    <row r="858" spans="3:24">
      <c r="C858" s="942"/>
      <c r="D858" s="943"/>
      <c r="E858" s="886"/>
      <c r="F858" s="886"/>
      <c r="G858" s="886"/>
      <c r="H858" s="886"/>
      <c r="I858" s="886"/>
      <c r="J858" s="886"/>
      <c r="K858" s="886"/>
      <c r="L858" s="886"/>
      <c r="M858" s="886"/>
      <c r="N858" s="886"/>
      <c r="O858" s="886"/>
      <c r="P858" s="886"/>
      <c r="Q858" s="886"/>
      <c r="R858" s="886"/>
      <c r="S858" s="886"/>
      <c r="T858" s="886"/>
      <c r="U858" s="886"/>
      <c r="V858" s="886"/>
      <c r="W858" s="886"/>
      <c r="X858" s="886"/>
    </row>
    <row r="859" spans="3:24">
      <c r="C859" s="942"/>
      <c r="D859" s="943"/>
      <c r="E859" s="886"/>
      <c r="F859" s="886"/>
      <c r="G859" s="886"/>
      <c r="H859" s="886"/>
      <c r="I859" s="886"/>
      <c r="J859" s="886"/>
      <c r="K859" s="886"/>
      <c r="L859" s="886"/>
      <c r="M859" s="886"/>
      <c r="N859" s="886"/>
      <c r="O859" s="886"/>
      <c r="P859" s="886"/>
      <c r="Q859" s="886"/>
      <c r="R859" s="886"/>
      <c r="S859" s="886"/>
      <c r="T859" s="886"/>
      <c r="U859" s="886"/>
      <c r="V859" s="886"/>
      <c r="W859" s="886"/>
      <c r="X859" s="886"/>
    </row>
    <row r="860" spans="3:24">
      <c r="C860" s="942"/>
      <c r="D860" s="943"/>
      <c r="E860" s="886"/>
      <c r="F860" s="886"/>
      <c r="G860" s="886"/>
      <c r="H860" s="886"/>
      <c r="I860" s="886"/>
      <c r="J860" s="886"/>
      <c r="K860" s="886"/>
      <c r="L860" s="886"/>
      <c r="M860" s="886"/>
      <c r="N860" s="886"/>
      <c r="O860" s="886"/>
      <c r="P860" s="886"/>
      <c r="Q860" s="886"/>
      <c r="R860" s="886"/>
      <c r="S860" s="886"/>
      <c r="T860" s="886"/>
      <c r="U860" s="886"/>
      <c r="V860" s="886"/>
      <c r="W860" s="886"/>
      <c r="X860" s="886"/>
    </row>
    <row r="861" spans="3:24">
      <c r="C861" s="942"/>
      <c r="D861" s="943"/>
      <c r="E861" s="886"/>
      <c r="F861" s="886"/>
      <c r="G861" s="886"/>
      <c r="H861" s="886"/>
      <c r="I861" s="886"/>
      <c r="J861" s="886"/>
      <c r="K861" s="886"/>
      <c r="L861" s="886"/>
      <c r="M861" s="886"/>
      <c r="N861" s="886"/>
      <c r="O861" s="886"/>
      <c r="P861" s="886"/>
      <c r="Q861" s="886"/>
      <c r="R861" s="886"/>
      <c r="S861" s="886"/>
      <c r="T861" s="886"/>
      <c r="U861" s="886"/>
      <c r="V861" s="886"/>
      <c r="W861" s="886"/>
      <c r="X861" s="886"/>
    </row>
    <row r="862" spans="3:24">
      <c r="C862" s="942"/>
      <c r="D862" s="943"/>
      <c r="E862" s="886"/>
      <c r="F862" s="886"/>
      <c r="G862" s="886"/>
      <c r="H862" s="886"/>
      <c r="I862" s="886"/>
      <c r="J862" s="886"/>
      <c r="K862" s="886"/>
      <c r="L862" s="886"/>
      <c r="M862" s="886"/>
      <c r="N862" s="886"/>
      <c r="O862" s="886"/>
      <c r="P862" s="886"/>
      <c r="Q862" s="886"/>
      <c r="R862" s="886"/>
      <c r="S862" s="886"/>
      <c r="T862" s="886"/>
      <c r="U862" s="886"/>
      <c r="V862" s="886"/>
      <c r="W862" s="886"/>
      <c r="X862" s="886"/>
    </row>
    <row r="863" spans="3:24">
      <c r="C863" s="942"/>
      <c r="D863" s="943"/>
      <c r="E863" s="886"/>
      <c r="F863" s="886"/>
      <c r="G863" s="886"/>
      <c r="H863" s="886"/>
      <c r="I863" s="886"/>
      <c r="J863" s="886"/>
      <c r="K863" s="886"/>
      <c r="L863" s="886"/>
      <c r="M863" s="886"/>
      <c r="N863" s="886"/>
      <c r="O863" s="886"/>
      <c r="P863" s="886"/>
      <c r="Q863" s="886"/>
      <c r="R863" s="886"/>
      <c r="S863" s="886"/>
      <c r="T863" s="886"/>
      <c r="U863" s="886"/>
      <c r="V863" s="886"/>
      <c r="W863" s="886"/>
      <c r="X863" s="886"/>
    </row>
    <row r="864" spans="3:24">
      <c r="C864" s="942"/>
      <c r="D864" s="943"/>
      <c r="E864" s="886"/>
      <c r="F864" s="886"/>
      <c r="G864" s="886"/>
      <c r="H864" s="886"/>
      <c r="I864" s="886"/>
      <c r="J864" s="886"/>
      <c r="K864" s="886"/>
      <c r="L864" s="886"/>
      <c r="M864" s="886"/>
      <c r="N864" s="886"/>
      <c r="O864" s="886"/>
      <c r="P864" s="886"/>
      <c r="Q864" s="886"/>
      <c r="R864" s="886"/>
      <c r="S864" s="886"/>
      <c r="T864" s="886"/>
      <c r="U864" s="886"/>
      <c r="V864" s="886"/>
      <c r="W864" s="886"/>
      <c r="X864" s="886"/>
    </row>
    <row r="865" spans="3:24">
      <c r="C865" s="942"/>
      <c r="D865" s="943"/>
      <c r="E865" s="886"/>
      <c r="F865" s="886"/>
      <c r="G865" s="886"/>
      <c r="H865" s="886"/>
      <c r="I865" s="886"/>
      <c r="J865" s="886"/>
      <c r="K865" s="886"/>
      <c r="L865" s="886"/>
      <c r="M865" s="886"/>
      <c r="N865" s="886"/>
      <c r="O865" s="886"/>
      <c r="P865" s="886"/>
      <c r="Q865" s="886"/>
      <c r="R865" s="886"/>
      <c r="S865" s="886"/>
      <c r="T865" s="886"/>
      <c r="U865" s="886"/>
      <c r="V865" s="886"/>
      <c r="W865" s="886"/>
      <c r="X865" s="886"/>
    </row>
    <row r="866" spans="3:24">
      <c r="C866" s="942"/>
      <c r="D866" s="943"/>
      <c r="E866" s="886"/>
      <c r="F866" s="886"/>
      <c r="G866" s="886"/>
      <c r="H866" s="886"/>
      <c r="I866" s="886"/>
      <c r="J866" s="886"/>
      <c r="K866" s="886"/>
      <c r="L866" s="886"/>
      <c r="M866" s="886"/>
      <c r="N866" s="886"/>
      <c r="O866" s="886"/>
      <c r="P866" s="886"/>
      <c r="Q866" s="886"/>
      <c r="R866" s="886"/>
      <c r="S866" s="886"/>
      <c r="T866" s="886"/>
      <c r="U866" s="886"/>
      <c r="V866" s="886"/>
      <c r="W866" s="886"/>
      <c r="X866" s="886"/>
    </row>
    <row r="867" spans="3:24">
      <c r="C867" s="942"/>
      <c r="D867" s="943"/>
      <c r="E867" s="886"/>
      <c r="F867" s="886"/>
      <c r="G867" s="886"/>
      <c r="H867" s="886"/>
      <c r="I867" s="886"/>
      <c r="J867" s="886"/>
      <c r="K867" s="886"/>
      <c r="L867" s="886"/>
      <c r="M867" s="886"/>
      <c r="N867" s="886"/>
      <c r="O867" s="886"/>
      <c r="P867" s="886"/>
      <c r="Q867" s="886"/>
      <c r="R867" s="886"/>
      <c r="S867" s="886"/>
      <c r="T867" s="886"/>
      <c r="U867" s="886"/>
      <c r="V867" s="886"/>
      <c r="W867" s="886"/>
      <c r="X867" s="886"/>
    </row>
    <row r="868" spans="3:24">
      <c r="C868" s="942"/>
      <c r="D868" s="943"/>
      <c r="E868" s="886"/>
      <c r="F868" s="886"/>
      <c r="G868" s="886"/>
      <c r="H868" s="886"/>
      <c r="I868" s="886"/>
      <c r="J868" s="886"/>
      <c r="K868" s="886"/>
      <c r="L868" s="886"/>
      <c r="M868" s="886"/>
      <c r="N868" s="886"/>
      <c r="O868" s="886"/>
      <c r="P868" s="886"/>
      <c r="Q868" s="886"/>
      <c r="R868" s="886"/>
      <c r="S868" s="886"/>
      <c r="T868" s="886"/>
      <c r="U868" s="886"/>
      <c r="V868" s="886"/>
      <c r="W868" s="886"/>
      <c r="X868" s="886"/>
    </row>
    <row r="869" spans="3:24">
      <c r="C869" s="942"/>
      <c r="D869" s="943"/>
      <c r="E869" s="886"/>
      <c r="F869" s="886"/>
      <c r="G869" s="886"/>
      <c r="H869" s="886"/>
      <c r="I869" s="886"/>
      <c r="J869" s="886"/>
      <c r="K869" s="886"/>
      <c r="L869" s="886"/>
      <c r="M869" s="886"/>
      <c r="N869" s="886"/>
      <c r="O869" s="886"/>
      <c r="P869" s="886"/>
      <c r="Q869" s="886"/>
      <c r="R869" s="886"/>
      <c r="S869" s="886"/>
      <c r="T869" s="886"/>
      <c r="U869" s="886"/>
      <c r="V869" s="886"/>
      <c r="W869" s="886"/>
      <c r="X869" s="886"/>
    </row>
    <row r="870" spans="3:24">
      <c r="C870" s="942"/>
      <c r="D870" s="943"/>
      <c r="E870" s="886"/>
      <c r="F870" s="886"/>
      <c r="G870" s="886"/>
      <c r="H870" s="886"/>
      <c r="I870" s="886"/>
      <c r="J870" s="886"/>
      <c r="K870" s="886"/>
      <c r="L870" s="886"/>
      <c r="M870" s="886"/>
      <c r="N870" s="886"/>
      <c r="O870" s="886"/>
      <c r="P870" s="886"/>
      <c r="Q870" s="886"/>
      <c r="R870" s="886"/>
      <c r="S870" s="886"/>
      <c r="T870" s="886"/>
      <c r="U870" s="886"/>
      <c r="V870" s="886"/>
      <c r="W870" s="886"/>
      <c r="X870" s="886"/>
    </row>
    <row r="871" spans="3:24">
      <c r="C871" s="942"/>
      <c r="D871" s="943"/>
      <c r="E871" s="886"/>
      <c r="F871" s="886"/>
      <c r="G871" s="886"/>
      <c r="H871" s="886"/>
      <c r="I871" s="886"/>
      <c r="J871" s="886"/>
      <c r="K871" s="886"/>
      <c r="L871" s="886"/>
      <c r="M871" s="886"/>
      <c r="N871" s="886"/>
      <c r="O871" s="886"/>
      <c r="P871" s="886"/>
      <c r="Q871" s="886"/>
      <c r="R871" s="886"/>
      <c r="S871" s="886"/>
      <c r="T871" s="886"/>
      <c r="U871" s="886"/>
      <c r="V871" s="886"/>
      <c r="W871" s="886"/>
      <c r="X871" s="886"/>
    </row>
    <row r="872" spans="3:24">
      <c r="C872" s="942"/>
      <c r="D872" s="943"/>
      <c r="E872" s="886"/>
      <c r="F872" s="886"/>
      <c r="G872" s="886"/>
      <c r="H872" s="886"/>
      <c r="I872" s="886"/>
      <c r="J872" s="886"/>
      <c r="K872" s="886"/>
      <c r="L872" s="886"/>
      <c r="M872" s="886"/>
      <c r="N872" s="886"/>
      <c r="O872" s="886"/>
      <c r="P872" s="886"/>
      <c r="Q872" s="886"/>
      <c r="R872" s="886"/>
      <c r="S872" s="886"/>
      <c r="T872" s="886"/>
      <c r="U872" s="886"/>
      <c r="V872" s="886"/>
      <c r="W872" s="886"/>
      <c r="X872" s="886"/>
    </row>
    <row r="873" spans="3:24">
      <c r="C873" s="942"/>
      <c r="D873" s="943"/>
      <c r="E873" s="886"/>
      <c r="F873" s="886"/>
      <c r="G873" s="886"/>
      <c r="H873" s="886"/>
      <c r="I873" s="886"/>
      <c r="J873" s="886"/>
      <c r="K873" s="886"/>
      <c r="L873" s="886"/>
      <c r="M873" s="886"/>
      <c r="N873" s="886"/>
      <c r="O873" s="886"/>
      <c r="P873" s="886"/>
      <c r="Q873" s="886"/>
      <c r="R873" s="886"/>
      <c r="S873" s="886"/>
      <c r="T873" s="886"/>
      <c r="U873" s="886"/>
      <c r="V873" s="886"/>
      <c r="W873" s="886"/>
      <c r="X873" s="886"/>
    </row>
    <row r="874" spans="3:24">
      <c r="C874" s="942"/>
      <c r="D874" s="943"/>
      <c r="E874" s="886"/>
      <c r="F874" s="886"/>
      <c r="G874" s="886"/>
      <c r="H874" s="886"/>
      <c r="I874" s="886"/>
      <c r="J874" s="886"/>
      <c r="K874" s="886"/>
      <c r="L874" s="886"/>
      <c r="M874" s="886"/>
      <c r="N874" s="886"/>
      <c r="O874" s="886"/>
      <c r="P874" s="886"/>
      <c r="Q874" s="886"/>
      <c r="R874" s="886"/>
      <c r="S874" s="886"/>
      <c r="T874" s="886"/>
      <c r="U874" s="886"/>
      <c r="V874" s="886"/>
      <c r="W874" s="886"/>
      <c r="X874" s="886"/>
    </row>
    <row r="875" spans="3:24">
      <c r="C875" s="942"/>
      <c r="D875" s="943"/>
      <c r="E875" s="886"/>
      <c r="F875" s="886"/>
      <c r="G875" s="886"/>
      <c r="H875" s="886"/>
      <c r="I875" s="886"/>
      <c r="J875" s="886"/>
      <c r="K875" s="886"/>
      <c r="L875" s="886"/>
      <c r="M875" s="886"/>
      <c r="N875" s="886"/>
      <c r="O875" s="886"/>
      <c r="P875" s="886"/>
      <c r="Q875" s="886"/>
      <c r="R875" s="886"/>
      <c r="S875" s="886"/>
      <c r="T875" s="886"/>
      <c r="U875" s="886"/>
      <c r="V875" s="886"/>
      <c r="W875" s="886"/>
      <c r="X875" s="886"/>
    </row>
    <row r="876" spans="3:24">
      <c r="C876" s="942"/>
      <c r="D876" s="943"/>
      <c r="E876" s="886"/>
      <c r="F876" s="886"/>
      <c r="G876" s="886"/>
      <c r="H876" s="886"/>
      <c r="I876" s="886"/>
      <c r="J876" s="886"/>
      <c r="K876" s="886"/>
      <c r="L876" s="886"/>
      <c r="M876" s="886"/>
      <c r="N876" s="886"/>
      <c r="O876" s="886"/>
      <c r="P876" s="886"/>
      <c r="Q876" s="886"/>
      <c r="R876" s="886"/>
      <c r="S876" s="886"/>
      <c r="T876" s="886"/>
      <c r="U876" s="886"/>
      <c r="V876" s="886"/>
      <c r="W876" s="886"/>
      <c r="X876" s="886"/>
    </row>
    <row r="877" spans="3:24">
      <c r="C877" s="942"/>
      <c r="D877" s="943"/>
      <c r="E877" s="886"/>
      <c r="F877" s="886"/>
      <c r="G877" s="886"/>
      <c r="H877" s="886"/>
      <c r="I877" s="886"/>
      <c r="J877" s="886"/>
      <c r="K877" s="886"/>
      <c r="L877" s="886"/>
      <c r="M877" s="886"/>
      <c r="N877" s="886"/>
      <c r="O877" s="886"/>
      <c r="P877" s="886"/>
      <c r="Q877" s="886"/>
      <c r="R877" s="886"/>
      <c r="S877" s="886"/>
      <c r="T877" s="886"/>
      <c r="U877" s="886"/>
      <c r="V877" s="886"/>
      <c r="W877" s="886"/>
      <c r="X877" s="886"/>
    </row>
    <row r="878" spans="3:24">
      <c r="C878" s="942"/>
      <c r="D878" s="943"/>
      <c r="E878" s="886"/>
      <c r="F878" s="886"/>
      <c r="G878" s="886"/>
      <c r="H878" s="886"/>
      <c r="I878" s="886"/>
      <c r="J878" s="886"/>
      <c r="K878" s="886"/>
      <c r="L878" s="886"/>
      <c r="M878" s="886"/>
      <c r="N878" s="886"/>
      <c r="O878" s="886"/>
      <c r="P878" s="886"/>
      <c r="Q878" s="886"/>
      <c r="R878" s="886"/>
      <c r="S878" s="886"/>
      <c r="T878" s="886"/>
      <c r="U878" s="886"/>
      <c r="V878" s="886"/>
      <c r="W878" s="886"/>
      <c r="X878" s="886"/>
    </row>
    <row r="879" spans="3:24">
      <c r="C879" s="942"/>
      <c r="D879" s="943"/>
      <c r="E879" s="886"/>
      <c r="F879" s="886"/>
      <c r="G879" s="886"/>
      <c r="H879" s="886"/>
      <c r="I879" s="886"/>
      <c r="J879" s="886"/>
      <c r="K879" s="886"/>
      <c r="L879" s="886"/>
      <c r="M879" s="886"/>
      <c r="N879" s="886"/>
      <c r="O879" s="886"/>
      <c r="P879" s="886"/>
      <c r="Q879" s="886"/>
      <c r="R879" s="886"/>
      <c r="S879" s="886"/>
      <c r="T879" s="886"/>
      <c r="U879" s="886"/>
      <c r="V879" s="886"/>
      <c r="W879" s="886"/>
      <c r="X879" s="886"/>
    </row>
    <row r="880" spans="3:24">
      <c r="C880" s="942"/>
      <c r="D880" s="943"/>
      <c r="E880" s="886"/>
      <c r="F880" s="886"/>
      <c r="G880" s="886"/>
      <c r="H880" s="886"/>
      <c r="I880" s="886"/>
      <c r="J880" s="886"/>
      <c r="K880" s="886"/>
      <c r="L880" s="886"/>
      <c r="M880" s="886"/>
      <c r="N880" s="886"/>
      <c r="O880" s="886"/>
      <c r="P880" s="886"/>
      <c r="Q880" s="886"/>
      <c r="R880" s="886"/>
      <c r="S880" s="886"/>
      <c r="T880" s="886"/>
      <c r="U880" s="886"/>
      <c r="V880" s="886"/>
      <c r="W880" s="886"/>
      <c r="X880" s="886"/>
    </row>
    <row r="881" spans="3:24">
      <c r="C881" s="942"/>
      <c r="D881" s="943"/>
      <c r="E881" s="886"/>
      <c r="F881" s="886"/>
      <c r="G881" s="886"/>
      <c r="H881" s="886"/>
      <c r="I881" s="886"/>
      <c r="J881" s="886"/>
      <c r="K881" s="886"/>
      <c r="L881" s="886"/>
      <c r="M881" s="886"/>
      <c r="N881" s="886"/>
      <c r="O881" s="886"/>
      <c r="P881" s="886"/>
      <c r="Q881" s="886"/>
      <c r="R881" s="886"/>
      <c r="S881" s="886"/>
      <c r="T881" s="886"/>
      <c r="U881" s="886"/>
      <c r="V881" s="886"/>
      <c r="W881" s="886"/>
      <c r="X881" s="886"/>
    </row>
    <row r="882" spans="3:24">
      <c r="C882" s="942"/>
      <c r="D882" s="943"/>
      <c r="E882" s="886"/>
      <c r="F882" s="886"/>
      <c r="G882" s="886"/>
      <c r="H882" s="886"/>
      <c r="I882" s="886"/>
      <c r="J882" s="886"/>
      <c r="K882" s="886"/>
      <c r="L882" s="886"/>
      <c r="M882" s="886"/>
      <c r="N882" s="886"/>
      <c r="O882" s="886"/>
      <c r="P882" s="886"/>
      <c r="Q882" s="886"/>
      <c r="R882" s="886"/>
      <c r="S882" s="886"/>
      <c r="T882" s="886"/>
      <c r="U882" s="886"/>
      <c r="V882" s="886"/>
      <c r="W882" s="886"/>
      <c r="X882" s="886"/>
    </row>
    <row r="883" spans="3:24">
      <c r="C883" s="942"/>
      <c r="D883" s="943"/>
      <c r="E883" s="886"/>
      <c r="F883" s="886"/>
      <c r="G883" s="886"/>
      <c r="H883" s="886"/>
      <c r="I883" s="886"/>
      <c r="J883" s="886"/>
      <c r="K883" s="886"/>
      <c r="L883" s="886"/>
      <c r="M883" s="886"/>
      <c r="N883" s="886"/>
      <c r="O883" s="886"/>
      <c r="P883" s="886"/>
      <c r="Q883" s="886"/>
      <c r="R883" s="886"/>
      <c r="S883" s="886"/>
      <c r="T883" s="886"/>
      <c r="U883" s="886"/>
      <c r="V883" s="886"/>
      <c r="W883" s="886"/>
      <c r="X883" s="886"/>
    </row>
    <row r="884" spans="3:24">
      <c r="C884" s="942"/>
      <c r="D884" s="943"/>
      <c r="E884" s="886"/>
      <c r="F884" s="886"/>
      <c r="G884" s="886"/>
      <c r="H884" s="886"/>
      <c r="I884" s="886"/>
      <c r="J884" s="886"/>
      <c r="K884" s="886"/>
      <c r="L884" s="886"/>
      <c r="M884" s="886"/>
      <c r="N884" s="886"/>
      <c r="O884" s="886"/>
      <c r="P884" s="886"/>
      <c r="Q884" s="886"/>
      <c r="R884" s="886"/>
      <c r="S884" s="886"/>
      <c r="T884" s="886"/>
      <c r="U884" s="886"/>
      <c r="V884" s="886"/>
      <c r="W884" s="886"/>
      <c r="X884" s="886"/>
    </row>
    <row r="885" spans="3:24">
      <c r="C885" s="942"/>
      <c r="D885" s="943"/>
      <c r="E885" s="886"/>
      <c r="F885" s="886"/>
      <c r="G885" s="886"/>
      <c r="H885" s="886"/>
      <c r="I885" s="886"/>
      <c r="J885" s="886"/>
      <c r="K885" s="886"/>
      <c r="L885" s="886"/>
      <c r="M885" s="886"/>
      <c r="N885" s="886"/>
      <c r="O885" s="886"/>
      <c r="P885" s="886"/>
      <c r="Q885" s="886"/>
      <c r="R885" s="886"/>
      <c r="S885" s="886"/>
      <c r="T885" s="886"/>
      <c r="U885" s="886"/>
      <c r="V885" s="886"/>
      <c r="W885" s="886"/>
      <c r="X885" s="886"/>
    </row>
    <row r="886" spans="3:24">
      <c r="C886" s="942"/>
      <c r="D886" s="943"/>
      <c r="E886" s="886"/>
      <c r="F886" s="886"/>
      <c r="G886" s="886"/>
      <c r="H886" s="886"/>
      <c r="I886" s="886"/>
      <c r="J886" s="886"/>
      <c r="K886" s="886"/>
      <c r="L886" s="886"/>
      <c r="M886" s="886"/>
      <c r="N886" s="886"/>
      <c r="O886" s="886"/>
      <c r="P886" s="886"/>
      <c r="Q886" s="886"/>
      <c r="R886" s="886"/>
      <c r="S886" s="886"/>
      <c r="T886" s="886"/>
      <c r="U886" s="886"/>
      <c r="V886" s="886"/>
      <c r="W886" s="886"/>
      <c r="X886" s="886"/>
    </row>
    <row r="887" spans="3:24">
      <c r="C887" s="942"/>
      <c r="D887" s="943"/>
      <c r="E887" s="886"/>
      <c r="F887" s="886"/>
      <c r="G887" s="886"/>
      <c r="H887" s="886"/>
      <c r="I887" s="886"/>
      <c r="J887" s="886"/>
      <c r="K887" s="886"/>
      <c r="L887" s="886"/>
      <c r="M887" s="886"/>
      <c r="N887" s="886"/>
      <c r="O887" s="886"/>
      <c r="P887" s="886"/>
      <c r="Q887" s="886"/>
      <c r="R887" s="886"/>
      <c r="S887" s="886"/>
      <c r="T887" s="886"/>
      <c r="U887" s="886"/>
      <c r="V887" s="886"/>
      <c r="W887" s="886"/>
      <c r="X887" s="886"/>
    </row>
    <row r="888" spans="3:24">
      <c r="C888" s="942"/>
      <c r="D888" s="943"/>
      <c r="E888" s="886"/>
      <c r="F888" s="886"/>
      <c r="G888" s="886"/>
      <c r="H888" s="886"/>
      <c r="I888" s="886"/>
      <c r="J888" s="886"/>
      <c r="K888" s="886"/>
      <c r="L888" s="886"/>
      <c r="M888" s="886"/>
      <c r="N888" s="886"/>
      <c r="O888" s="886"/>
      <c r="P888" s="886"/>
      <c r="Q888" s="886"/>
      <c r="R888" s="886"/>
      <c r="S888" s="886"/>
      <c r="T888" s="886"/>
      <c r="U888" s="886"/>
      <c r="V888" s="886"/>
      <c r="W888" s="886"/>
      <c r="X888" s="886"/>
    </row>
    <row r="889" spans="3:24">
      <c r="C889" s="942"/>
      <c r="D889" s="943"/>
      <c r="E889" s="886"/>
      <c r="F889" s="886"/>
      <c r="G889" s="886"/>
      <c r="H889" s="886"/>
      <c r="I889" s="886"/>
      <c r="J889" s="886"/>
      <c r="K889" s="886"/>
      <c r="L889" s="886"/>
      <c r="M889" s="886"/>
      <c r="N889" s="886"/>
      <c r="O889" s="886"/>
      <c r="P889" s="886"/>
      <c r="Q889" s="886"/>
      <c r="R889" s="886"/>
      <c r="S889" s="886"/>
      <c r="T889" s="886"/>
      <c r="U889" s="886"/>
      <c r="V889" s="886"/>
      <c r="W889" s="886"/>
      <c r="X889" s="886"/>
    </row>
    <row r="890" spans="3:24">
      <c r="C890" s="942"/>
      <c r="D890" s="943"/>
      <c r="E890" s="886"/>
      <c r="F890" s="886"/>
      <c r="G890" s="886"/>
      <c r="H890" s="886"/>
      <c r="I890" s="886"/>
      <c r="J890" s="886"/>
      <c r="K890" s="886"/>
      <c r="L890" s="886"/>
      <c r="M890" s="886"/>
      <c r="N890" s="886"/>
      <c r="O890" s="886"/>
      <c r="P890" s="886"/>
      <c r="Q890" s="886"/>
      <c r="R890" s="886"/>
      <c r="S890" s="886"/>
      <c r="T890" s="886"/>
      <c r="U890" s="886"/>
      <c r="V890" s="886"/>
      <c r="W890" s="886"/>
      <c r="X890" s="886"/>
    </row>
    <row r="891" spans="3:24">
      <c r="C891" s="942"/>
      <c r="D891" s="943"/>
      <c r="E891" s="886"/>
      <c r="F891" s="886"/>
      <c r="G891" s="886"/>
      <c r="H891" s="886"/>
      <c r="I891" s="886"/>
      <c r="J891" s="886"/>
      <c r="K891" s="886"/>
      <c r="L891" s="886"/>
      <c r="M891" s="886"/>
      <c r="N891" s="886"/>
      <c r="O891" s="886"/>
      <c r="P891" s="886"/>
      <c r="Q891" s="886"/>
      <c r="R891" s="886"/>
      <c r="S891" s="886"/>
      <c r="T891" s="886"/>
      <c r="U891" s="886"/>
      <c r="V891" s="886"/>
      <c r="W891" s="886"/>
      <c r="X891" s="886"/>
    </row>
    <row r="892" spans="3:24">
      <c r="C892" s="942"/>
      <c r="D892" s="943"/>
      <c r="E892" s="886"/>
      <c r="F892" s="886"/>
      <c r="G892" s="886"/>
      <c r="H892" s="886"/>
      <c r="I892" s="886"/>
      <c r="J892" s="886"/>
      <c r="K892" s="886"/>
      <c r="L892" s="886"/>
      <c r="M892" s="886"/>
      <c r="N892" s="886"/>
      <c r="O892" s="886"/>
      <c r="P892" s="886"/>
      <c r="Q892" s="886"/>
      <c r="R892" s="886"/>
      <c r="S892" s="886"/>
      <c r="T892" s="886"/>
      <c r="U892" s="886"/>
      <c r="V892" s="886"/>
      <c r="W892" s="886"/>
      <c r="X892" s="886"/>
    </row>
    <row r="893" spans="3:24">
      <c r="C893" s="942"/>
      <c r="D893" s="943"/>
      <c r="E893" s="886"/>
      <c r="F893" s="886"/>
      <c r="G893" s="886"/>
      <c r="H893" s="886"/>
      <c r="I893" s="886"/>
      <c r="J893" s="886"/>
      <c r="K893" s="886"/>
      <c r="L893" s="886"/>
      <c r="M893" s="886"/>
      <c r="N893" s="886"/>
      <c r="O893" s="886"/>
      <c r="P893" s="886"/>
      <c r="Q893" s="886"/>
      <c r="R893" s="886"/>
      <c r="S893" s="886"/>
      <c r="T893" s="886"/>
      <c r="U893" s="886"/>
      <c r="V893" s="886"/>
      <c r="W893" s="886"/>
      <c r="X893" s="886"/>
    </row>
    <row r="894" spans="3:24">
      <c r="C894" s="942"/>
      <c r="D894" s="943"/>
      <c r="E894" s="886"/>
      <c r="F894" s="886"/>
      <c r="G894" s="886"/>
      <c r="H894" s="886"/>
      <c r="I894" s="886"/>
      <c r="J894" s="886"/>
      <c r="K894" s="886"/>
      <c r="L894" s="886"/>
      <c r="M894" s="886"/>
      <c r="N894" s="886"/>
      <c r="O894" s="886"/>
      <c r="P894" s="886"/>
      <c r="Q894" s="886"/>
      <c r="R894" s="886"/>
      <c r="S894" s="886"/>
      <c r="T894" s="886"/>
      <c r="U894" s="886"/>
      <c r="V894" s="886"/>
      <c r="W894" s="886"/>
      <c r="X894" s="886"/>
    </row>
    <row r="895" spans="3:24">
      <c r="C895" s="942"/>
      <c r="D895" s="943"/>
      <c r="E895" s="886"/>
      <c r="F895" s="886"/>
      <c r="G895" s="886"/>
      <c r="H895" s="886"/>
      <c r="I895" s="886"/>
      <c r="J895" s="886"/>
      <c r="K895" s="886"/>
      <c r="L895" s="886"/>
      <c r="M895" s="886"/>
      <c r="N895" s="886"/>
      <c r="O895" s="886"/>
      <c r="P895" s="886"/>
      <c r="Q895" s="886"/>
      <c r="R895" s="886"/>
      <c r="S895" s="886"/>
      <c r="T895" s="886"/>
      <c r="U895" s="886"/>
      <c r="V895" s="886"/>
      <c r="W895" s="886"/>
      <c r="X895" s="886"/>
    </row>
    <row r="896" spans="3:24">
      <c r="C896" s="942"/>
      <c r="D896" s="943"/>
      <c r="E896" s="886"/>
      <c r="F896" s="886"/>
      <c r="G896" s="886"/>
      <c r="H896" s="886"/>
      <c r="I896" s="886"/>
      <c r="J896" s="886"/>
      <c r="K896" s="886"/>
      <c r="L896" s="886"/>
      <c r="M896" s="886"/>
      <c r="N896" s="886"/>
      <c r="O896" s="886"/>
      <c r="P896" s="886"/>
      <c r="Q896" s="886"/>
      <c r="R896" s="886"/>
      <c r="S896" s="886"/>
      <c r="T896" s="886"/>
      <c r="U896" s="886"/>
      <c r="V896" s="886"/>
      <c r="W896" s="886"/>
      <c r="X896" s="886"/>
    </row>
    <row r="897" spans="3:24">
      <c r="C897" s="942"/>
      <c r="D897" s="943"/>
      <c r="E897" s="886"/>
      <c r="F897" s="886"/>
      <c r="G897" s="886"/>
      <c r="H897" s="886"/>
      <c r="I897" s="886"/>
      <c r="J897" s="886"/>
      <c r="K897" s="886"/>
      <c r="L897" s="886"/>
      <c r="M897" s="886"/>
      <c r="N897" s="886"/>
      <c r="O897" s="886"/>
      <c r="P897" s="886"/>
      <c r="Q897" s="886"/>
      <c r="R897" s="886"/>
      <c r="S897" s="886"/>
      <c r="T897" s="886"/>
      <c r="U897" s="886"/>
      <c r="V897" s="886"/>
      <c r="W897" s="886"/>
      <c r="X897" s="886"/>
    </row>
    <row r="898" spans="3:24">
      <c r="C898" s="942"/>
      <c r="D898" s="943"/>
      <c r="E898" s="886"/>
      <c r="F898" s="886"/>
      <c r="G898" s="886"/>
      <c r="H898" s="886"/>
      <c r="I898" s="886"/>
      <c r="J898" s="886"/>
      <c r="K898" s="886"/>
      <c r="L898" s="886"/>
      <c r="M898" s="886"/>
      <c r="N898" s="886"/>
      <c r="O898" s="886"/>
      <c r="P898" s="886"/>
      <c r="Q898" s="886"/>
      <c r="R898" s="886"/>
      <c r="S898" s="886"/>
      <c r="T898" s="886"/>
      <c r="U898" s="886"/>
      <c r="V898" s="886"/>
      <c r="W898" s="886"/>
      <c r="X898" s="886"/>
    </row>
    <row r="899" spans="3:24">
      <c r="C899" s="942"/>
      <c r="D899" s="943"/>
      <c r="E899" s="886"/>
      <c r="F899" s="886"/>
      <c r="G899" s="886"/>
      <c r="H899" s="886"/>
      <c r="I899" s="886"/>
      <c r="J899" s="886"/>
      <c r="K899" s="886"/>
      <c r="L899" s="886"/>
      <c r="M899" s="886"/>
      <c r="N899" s="886"/>
      <c r="O899" s="886"/>
      <c r="P899" s="886"/>
      <c r="Q899" s="886"/>
      <c r="R899" s="886"/>
      <c r="S899" s="886"/>
      <c r="T899" s="886"/>
      <c r="U899" s="886"/>
      <c r="V899" s="886"/>
      <c r="W899" s="886"/>
      <c r="X899" s="886"/>
    </row>
    <row r="900" spans="3:24">
      <c r="C900" s="942"/>
      <c r="D900" s="943"/>
      <c r="E900" s="886"/>
      <c r="F900" s="886"/>
      <c r="G900" s="886"/>
      <c r="H900" s="886"/>
      <c r="I900" s="886"/>
      <c r="J900" s="886"/>
      <c r="K900" s="886"/>
      <c r="L900" s="886"/>
      <c r="M900" s="886"/>
      <c r="N900" s="886"/>
      <c r="O900" s="886"/>
      <c r="P900" s="886"/>
      <c r="Q900" s="886"/>
      <c r="R900" s="886"/>
      <c r="S900" s="886"/>
      <c r="T900" s="886"/>
      <c r="U900" s="886"/>
      <c r="V900" s="886"/>
      <c r="W900" s="886"/>
      <c r="X900" s="886"/>
    </row>
    <row r="901" spans="3:24">
      <c r="C901" s="942"/>
      <c r="D901" s="943"/>
      <c r="E901" s="886"/>
      <c r="F901" s="886"/>
      <c r="G901" s="886"/>
      <c r="H901" s="886"/>
      <c r="I901" s="886"/>
      <c r="J901" s="886"/>
      <c r="K901" s="886"/>
      <c r="L901" s="886"/>
      <c r="M901" s="886"/>
      <c r="N901" s="886"/>
      <c r="O901" s="886"/>
      <c r="P901" s="886"/>
      <c r="Q901" s="886"/>
      <c r="R901" s="886"/>
      <c r="S901" s="886"/>
      <c r="T901" s="886"/>
      <c r="U901" s="886"/>
      <c r="V901" s="886"/>
      <c r="W901" s="886"/>
      <c r="X901" s="886"/>
    </row>
    <row r="902" spans="3:24">
      <c r="C902" s="942"/>
      <c r="D902" s="943"/>
      <c r="E902" s="886"/>
      <c r="F902" s="886"/>
      <c r="G902" s="886"/>
      <c r="H902" s="886"/>
      <c r="I902" s="886"/>
      <c r="J902" s="886"/>
      <c r="K902" s="886"/>
      <c r="L902" s="886"/>
      <c r="M902" s="886"/>
      <c r="N902" s="886"/>
      <c r="O902" s="886"/>
      <c r="P902" s="886"/>
      <c r="Q902" s="886"/>
      <c r="R902" s="886"/>
      <c r="S902" s="886"/>
      <c r="T902" s="886"/>
      <c r="U902" s="886"/>
      <c r="V902" s="886"/>
      <c r="W902" s="886"/>
      <c r="X902" s="886"/>
    </row>
    <row r="903" spans="3:24">
      <c r="C903" s="942"/>
      <c r="D903" s="943"/>
      <c r="E903" s="886"/>
      <c r="F903" s="886"/>
      <c r="G903" s="886"/>
      <c r="H903" s="886"/>
      <c r="I903" s="886"/>
      <c r="J903" s="886"/>
      <c r="K903" s="886"/>
      <c r="L903" s="886"/>
      <c r="M903" s="886"/>
      <c r="N903" s="886"/>
      <c r="O903" s="886"/>
      <c r="P903" s="886"/>
      <c r="Q903" s="886"/>
      <c r="R903" s="886"/>
      <c r="S903" s="886"/>
      <c r="T903" s="886"/>
      <c r="U903" s="886"/>
      <c r="V903" s="886"/>
      <c r="W903" s="886"/>
      <c r="X903" s="886"/>
    </row>
    <row r="904" spans="3:24">
      <c r="C904" s="942"/>
      <c r="D904" s="943"/>
      <c r="E904" s="886"/>
      <c r="F904" s="886"/>
      <c r="G904" s="886"/>
      <c r="H904" s="886"/>
      <c r="I904" s="886"/>
      <c r="J904" s="886"/>
      <c r="K904" s="886"/>
      <c r="L904" s="886"/>
      <c r="M904" s="886"/>
      <c r="N904" s="886"/>
      <c r="O904" s="886"/>
      <c r="P904" s="886"/>
      <c r="Q904" s="886"/>
      <c r="R904" s="886"/>
      <c r="S904" s="886"/>
      <c r="T904" s="886"/>
      <c r="U904" s="886"/>
      <c r="V904" s="886"/>
      <c r="W904" s="886"/>
      <c r="X904" s="886"/>
    </row>
    <row r="905" spans="3:24">
      <c r="C905" s="942"/>
      <c r="D905" s="943"/>
      <c r="E905" s="886"/>
      <c r="F905" s="886"/>
      <c r="G905" s="886"/>
      <c r="H905" s="886"/>
      <c r="I905" s="886"/>
      <c r="J905" s="886"/>
      <c r="K905" s="886"/>
      <c r="L905" s="886"/>
      <c r="M905" s="886"/>
      <c r="N905" s="886"/>
      <c r="O905" s="886"/>
      <c r="P905" s="886"/>
      <c r="Q905" s="886"/>
      <c r="R905" s="886"/>
      <c r="S905" s="886"/>
      <c r="T905" s="886"/>
      <c r="U905" s="886"/>
      <c r="V905" s="886"/>
      <c r="W905" s="886"/>
      <c r="X905" s="886"/>
    </row>
    <row r="906" spans="3:24">
      <c r="C906" s="942"/>
      <c r="D906" s="943"/>
      <c r="E906" s="886"/>
      <c r="F906" s="886"/>
      <c r="G906" s="886"/>
      <c r="H906" s="886"/>
      <c r="I906" s="886"/>
      <c r="J906" s="886"/>
      <c r="K906" s="886"/>
      <c r="L906" s="886"/>
      <c r="M906" s="886"/>
      <c r="N906" s="886"/>
      <c r="O906" s="886"/>
      <c r="P906" s="886"/>
      <c r="Q906" s="886"/>
      <c r="R906" s="886"/>
      <c r="S906" s="886"/>
      <c r="T906" s="886"/>
      <c r="U906" s="886"/>
      <c r="V906" s="886"/>
      <c r="W906" s="886"/>
      <c r="X906" s="886"/>
    </row>
    <row r="907" spans="3:24">
      <c r="C907" s="942"/>
      <c r="D907" s="943"/>
      <c r="E907" s="886"/>
      <c r="F907" s="886"/>
      <c r="G907" s="886"/>
      <c r="H907" s="886"/>
      <c r="I907" s="886"/>
      <c r="J907" s="886"/>
      <c r="K907" s="886"/>
      <c r="L907" s="886"/>
      <c r="M907" s="886"/>
      <c r="N907" s="886"/>
      <c r="O907" s="886"/>
      <c r="P907" s="886"/>
      <c r="Q907" s="886"/>
      <c r="R907" s="886"/>
      <c r="S907" s="886"/>
      <c r="T907" s="886"/>
      <c r="U907" s="886"/>
      <c r="V907" s="886"/>
      <c r="W907" s="886"/>
      <c r="X907" s="886"/>
    </row>
    <row r="908" spans="3:24">
      <c r="C908" s="942"/>
      <c r="D908" s="943"/>
      <c r="E908" s="886"/>
      <c r="F908" s="886"/>
      <c r="G908" s="886"/>
      <c r="H908" s="886"/>
      <c r="I908" s="886"/>
      <c r="J908" s="886"/>
      <c r="K908" s="886"/>
      <c r="L908" s="886"/>
      <c r="M908" s="886"/>
      <c r="N908" s="886"/>
      <c r="O908" s="886"/>
      <c r="P908" s="886"/>
      <c r="Q908" s="886"/>
      <c r="R908" s="886"/>
      <c r="S908" s="886"/>
      <c r="T908" s="886"/>
      <c r="U908" s="886"/>
      <c r="V908" s="886"/>
      <c r="W908" s="886"/>
      <c r="X908" s="886"/>
    </row>
    <row r="909" spans="3:24">
      <c r="C909" s="942"/>
      <c r="D909" s="943"/>
      <c r="E909" s="886"/>
      <c r="F909" s="886"/>
      <c r="G909" s="886"/>
      <c r="H909" s="886"/>
      <c r="I909" s="886"/>
      <c r="J909" s="886"/>
      <c r="K909" s="886"/>
      <c r="L909" s="886"/>
      <c r="M909" s="886"/>
      <c r="N909" s="886"/>
      <c r="O909" s="886"/>
      <c r="P909" s="886"/>
      <c r="Q909" s="886"/>
      <c r="R909" s="886"/>
      <c r="S909" s="886"/>
      <c r="T909" s="886"/>
      <c r="U909" s="886"/>
      <c r="V909" s="886"/>
      <c r="W909" s="886"/>
      <c r="X909" s="886"/>
    </row>
    <row r="910" spans="3:24">
      <c r="C910" s="942"/>
      <c r="D910" s="943"/>
      <c r="E910" s="886"/>
      <c r="F910" s="886"/>
      <c r="G910" s="886"/>
      <c r="H910" s="886"/>
      <c r="I910" s="886"/>
      <c r="J910" s="886"/>
      <c r="K910" s="886"/>
      <c r="L910" s="886"/>
      <c r="M910" s="886"/>
      <c r="N910" s="886"/>
      <c r="O910" s="886"/>
      <c r="P910" s="886"/>
      <c r="Q910" s="886"/>
      <c r="R910" s="886"/>
      <c r="S910" s="886"/>
      <c r="T910" s="886"/>
      <c r="U910" s="886"/>
      <c r="V910" s="886"/>
      <c r="W910" s="886"/>
      <c r="X910" s="886"/>
    </row>
    <row r="911" spans="3:24">
      <c r="C911" s="942"/>
      <c r="D911" s="943"/>
      <c r="E911" s="886"/>
      <c r="F911" s="886"/>
      <c r="G911" s="886"/>
      <c r="H911" s="886"/>
      <c r="I911" s="886"/>
      <c r="J911" s="886"/>
      <c r="K911" s="886"/>
      <c r="L911" s="886"/>
      <c r="M911" s="886"/>
      <c r="N911" s="886"/>
      <c r="O911" s="886"/>
      <c r="P911" s="886"/>
      <c r="Q911" s="886"/>
      <c r="R911" s="886"/>
      <c r="S911" s="886"/>
      <c r="T911" s="886"/>
      <c r="U911" s="886"/>
      <c r="V911" s="886"/>
      <c r="W911" s="886"/>
      <c r="X911" s="886"/>
    </row>
    <row r="912" spans="3:24">
      <c r="C912" s="942"/>
      <c r="D912" s="943"/>
      <c r="E912" s="886"/>
      <c r="F912" s="886"/>
      <c r="G912" s="886"/>
      <c r="H912" s="886"/>
      <c r="I912" s="886"/>
      <c r="J912" s="886"/>
      <c r="K912" s="886"/>
      <c r="L912" s="886"/>
      <c r="M912" s="886"/>
      <c r="N912" s="886"/>
      <c r="O912" s="886"/>
      <c r="P912" s="886"/>
      <c r="Q912" s="886"/>
      <c r="R912" s="886"/>
      <c r="S912" s="886"/>
      <c r="T912" s="886"/>
      <c r="U912" s="886"/>
      <c r="V912" s="886"/>
      <c r="W912" s="886"/>
      <c r="X912" s="886"/>
    </row>
    <row r="913" spans="3:24">
      <c r="C913" s="942"/>
      <c r="D913" s="943"/>
      <c r="E913" s="886"/>
      <c r="F913" s="886"/>
      <c r="G913" s="886"/>
      <c r="H913" s="886"/>
      <c r="I913" s="886"/>
      <c r="J913" s="886"/>
      <c r="K913" s="886"/>
      <c r="L913" s="886"/>
      <c r="M913" s="886"/>
      <c r="N913" s="886"/>
      <c r="O913" s="886"/>
      <c r="P913" s="886"/>
      <c r="Q913" s="886"/>
      <c r="R913" s="886"/>
      <c r="S913" s="886"/>
      <c r="T913" s="886"/>
      <c r="U913" s="886"/>
      <c r="V913" s="886"/>
      <c r="W913" s="886"/>
      <c r="X913" s="886"/>
    </row>
    <row r="914" spans="3:24">
      <c r="C914" s="942"/>
      <c r="D914" s="943"/>
      <c r="E914" s="886"/>
      <c r="F914" s="886"/>
      <c r="G914" s="886"/>
      <c r="H914" s="886"/>
      <c r="I914" s="886"/>
      <c r="J914" s="886"/>
      <c r="K914" s="886"/>
      <c r="L914" s="886"/>
      <c r="M914" s="886"/>
      <c r="N914" s="886"/>
      <c r="O914" s="886"/>
      <c r="P914" s="886"/>
      <c r="Q914" s="886"/>
      <c r="R914" s="886"/>
      <c r="S914" s="886"/>
      <c r="T914" s="886"/>
      <c r="U914" s="886"/>
      <c r="V914" s="886"/>
      <c r="W914" s="886"/>
      <c r="X914" s="886"/>
    </row>
    <row r="915" spans="3:24">
      <c r="C915" s="942"/>
      <c r="D915" s="943"/>
      <c r="E915" s="886"/>
      <c r="F915" s="886"/>
      <c r="G915" s="886"/>
      <c r="H915" s="886"/>
      <c r="I915" s="886"/>
      <c r="J915" s="886"/>
      <c r="K915" s="886"/>
      <c r="L915" s="886"/>
      <c r="M915" s="886"/>
      <c r="N915" s="886"/>
      <c r="O915" s="886"/>
      <c r="P915" s="886"/>
      <c r="Q915" s="886"/>
      <c r="R915" s="886"/>
      <c r="S915" s="886"/>
      <c r="T915" s="886"/>
      <c r="U915" s="886"/>
      <c r="V915" s="886"/>
      <c r="W915" s="886"/>
      <c r="X915" s="886"/>
    </row>
    <row r="916" spans="3:24">
      <c r="C916" s="942"/>
      <c r="D916" s="943"/>
      <c r="E916" s="886"/>
      <c r="F916" s="886"/>
      <c r="G916" s="886"/>
      <c r="H916" s="886"/>
      <c r="I916" s="886"/>
      <c r="J916" s="886"/>
      <c r="K916" s="886"/>
      <c r="L916" s="886"/>
      <c r="M916" s="886"/>
      <c r="N916" s="886"/>
      <c r="O916" s="886"/>
      <c r="P916" s="886"/>
      <c r="Q916" s="886"/>
      <c r="R916" s="886"/>
      <c r="S916" s="886"/>
      <c r="T916" s="886"/>
      <c r="U916" s="886"/>
      <c r="V916" s="886"/>
      <c r="W916" s="886"/>
      <c r="X916" s="886"/>
    </row>
    <row r="917" spans="3:24">
      <c r="C917" s="942"/>
      <c r="D917" s="943"/>
      <c r="E917" s="886"/>
      <c r="F917" s="886"/>
      <c r="G917" s="886"/>
      <c r="H917" s="886"/>
      <c r="I917" s="886"/>
      <c r="J917" s="886"/>
      <c r="K917" s="886"/>
      <c r="L917" s="886"/>
      <c r="M917" s="886"/>
      <c r="N917" s="886"/>
      <c r="O917" s="886"/>
      <c r="P917" s="886"/>
      <c r="Q917" s="886"/>
      <c r="R917" s="886"/>
      <c r="S917" s="886"/>
      <c r="T917" s="886"/>
      <c r="U917" s="886"/>
      <c r="V917" s="886"/>
      <c r="W917" s="886"/>
      <c r="X917" s="886"/>
    </row>
    <row r="918" spans="3:24">
      <c r="C918" s="942"/>
      <c r="D918" s="943"/>
      <c r="E918" s="886"/>
      <c r="F918" s="886"/>
      <c r="G918" s="886"/>
      <c r="H918" s="886"/>
      <c r="I918" s="886"/>
      <c r="J918" s="886"/>
      <c r="K918" s="886"/>
      <c r="L918" s="886"/>
      <c r="M918" s="886"/>
      <c r="N918" s="886"/>
      <c r="O918" s="886"/>
      <c r="P918" s="886"/>
      <c r="Q918" s="886"/>
      <c r="R918" s="886"/>
      <c r="S918" s="886"/>
      <c r="T918" s="886"/>
      <c r="U918" s="886"/>
      <c r="V918" s="886"/>
      <c r="W918" s="886"/>
      <c r="X918" s="886"/>
    </row>
    <row r="919" spans="3:24">
      <c r="C919" s="942"/>
      <c r="D919" s="943"/>
      <c r="E919" s="886"/>
      <c r="F919" s="886"/>
      <c r="G919" s="886"/>
      <c r="H919" s="886"/>
      <c r="I919" s="886"/>
      <c r="J919" s="886"/>
      <c r="K919" s="886"/>
      <c r="L919" s="886"/>
      <c r="M919" s="886"/>
      <c r="N919" s="886"/>
      <c r="O919" s="886"/>
      <c r="P919" s="886"/>
      <c r="Q919" s="886"/>
      <c r="R919" s="886"/>
      <c r="S919" s="886"/>
      <c r="T919" s="886"/>
      <c r="U919" s="886"/>
      <c r="V919" s="886"/>
      <c r="W919" s="886"/>
      <c r="X919" s="886"/>
    </row>
    <row r="920" spans="3:24">
      <c r="C920" s="942"/>
      <c r="D920" s="943"/>
      <c r="E920" s="886"/>
      <c r="F920" s="886"/>
      <c r="G920" s="886"/>
      <c r="H920" s="886"/>
      <c r="I920" s="886"/>
      <c r="J920" s="886"/>
      <c r="K920" s="886"/>
      <c r="L920" s="886"/>
      <c r="M920" s="886"/>
      <c r="N920" s="886"/>
      <c r="O920" s="886"/>
      <c r="P920" s="886"/>
      <c r="Q920" s="886"/>
      <c r="R920" s="886"/>
      <c r="S920" s="886"/>
      <c r="T920" s="886"/>
      <c r="U920" s="886"/>
      <c r="V920" s="886"/>
      <c r="W920" s="886"/>
      <c r="X920" s="886"/>
    </row>
    <row r="921" spans="3:24">
      <c r="C921" s="942"/>
      <c r="D921" s="943"/>
      <c r="E921" s="886"/>
      <c r="F921" s="886"/>
      <c r="G921" s="886"/>
      <c r="H921" s="886"/>
      <c r="I921" s="886"/>
      <c r="J921" s="886"/>
      <c r="K921" s="886"/>
      <c r="L921" s="886"/>
      <c r="M921" s="886"/>
      <c r="N921" s="886"/>
      <c r="O921" s="886"/>
      <c r="P921" s="886"/>
      <c r="Q921" s="886"/>
      <c r="R921" s="886"/>
      <c r="S921" s="886"/>
      <c r="T921" s="886"/>
      <c r="U921" s="886"/>
      <c r="V921" s="886"/>
      <c r="W921" s="886"/>
      <c r="X921" s="886"/>
    </row>
    <row r="922" spans="3:24">
      <c r="C922" s="942"/>
      <c r="D922" s="943"/>
      <c r="E922" s="886"/>
      <c r="F922" s="886"/>
      <c r="G922" s="886"/>
      <c r="H922" s="886"/>
      <c r="I922" s="886"/>
      <c r="J922" s="886"/>
      <c r="K922" s="886"/>
      <c r="L922" s="886"/>
      <c r="M922" s="886"/>
      <c r="N922" s="886"/>
      <c r="O922" s="886"/>
      <c r="P922" s="886"/>
      <c r="Q922" s="886"/>
      <c r="R922" s="886"/>
      <c r="S922" s="886"/>
      <c r="T922" s="886"/>
      <c r="U922" s="886"/>
      <c r="V922" s="886"/>
      <c r="W922" s="886"/>
      <c r="X922" s="886"/>
    </row>
    <row r="923" spans="3:24">
      <c r="C923" s="942"/>
      <c r="D923" s="943"/>
      <c r="E923" s="886"/>
      <c r="F923" s="886"/>
      <c r="G923" s="886"/>
      <c r="H923" s="886"/>
      <c r="I923" s="886"/>
      <c r="J923" s="886"/>
      <c r="K923" s="886"/>
      <c r="L923" s="886"/>
      <c r="M923" s="886"/>
      <c r="N923" s="886"/>
      <c r="O923" s="886"/>
      <c r="P923" s="886"/>
      <c r="Q923" s="886"/>
      <c r="R923" s="886"/>
      <c r="S923" s="886"/>
      <c r="T923" s="886"/>
      <c r="U923" s="886"/>
      <c r="V923" s="886"/>
      <c r="W923" s="886"/>
      <c r="X923" s="886"/>
    </row>
    <row r="924" spans="3:24">
      <c r="C924" s="942"/>
      <c r="D924" s="943"/>
      <c r="E924" s="886"/>
      <c r="F924" s="886"/>
      <c r="G924" s="886"/>
      <c r="H924" s="886"/>
      <c r="I924" s="886"/>
      <c r="J924" s="886"/>
      <c r="K924" s="886"/>
      <c r="L924" s="886"/>
      <c r="M924" s="886"/>
      <c r="N924" s="886"/>
      <c r="O924" s="886"/>
      <c r="P924" s="886"/>
      <c r="Q924" s="886"/>
      <c r="R924" s="886"/>
      <c r="S924" s="886"/>
      <c r="T924" s="886"/>
      <c r="U924" s="886"/>
      <c r="V924" s="886"/>
      <c r="W924" s="886"/>
      <c r="X924" s="886"/>
    </row>
    <row r="925" spans="3:24">
      <c r="C925" s="942"/>
      <c r="D925" s="943"/>
      <c r="E925" s="886"/>
      <c r="F925" s="886"/>
      <c r="G925" s="886"/>
      <c r="H925" s="886"/>
      <c r="I925" s="886"/>
      <c r="J925" s="886"/>
      <c r="K925" s="886"/>
      <c r="L925" s="886"/>
      <c r="M925" s="886"/>
      <c r="N925" s="886"/>
      <c r="O925" s="886"/>
      <c r="P925" s="886"/>
      <c r="Q925" s="886"/>
      <c r="R925" s="886"/>
      <c r="S925" s="886"/>
      <c r="T925" s="886"/>
      <c r="U925" s="886"/>
      <c r="V925" s="886"/>
      <c r="W925" s="886"/>
      <c r="X925" s="886"/>
    </row>
    <row r="926" spans="3:24">
      <c r="C926" s="942"/>
      <c r="D926" s="943"/>
      <c r="E926" s="886"/>
      <c r="F926" s="886"/>
      <c r="G926" s="886"/>
      <c r="H926" s="886"/>
      <c r="I926" s="886"/>
      <c r="J926" s="886"/>
      <c r="K926" s="886"/>
      <c r="L926" s="886"/>
      <c r="M926" s="886"/>
      <c r="N926" s="886"/>
      <c r="O926" s="886"/>
      <c r="P926" s="886"/>
      <c r="Q926" s="886"/>
      <c r="R926" s="886"/>
      <c r="S926" s="886"/>
      <c r="T926" s="886"/>
      <c r="U926" s="886"/>
      <c r="V926" s="886"/>
      <c r="W926" s="886"/>
      <c r="X926" s="886"/>
    </row>
    <row r="927" spans="3:24">
      <c r="C927" s="942"/>
      <c r="D927" s="943"/>
      <c r="E927" s="886"/>
      <c r="F927" s="886"/>
      <c r="G927" s="886"/>
      <c r="H927" s="886"/>
      <c r="I927" s="886"/>
      <c r="J927" s="886"/>
      <c r="K927" s="886"/>
      <c r="L927" s="886"/>
      <c r="M927" s="886"/>
      <c r="N927" s="886"/>
      <c r="O927" s="886"/>
      <c r="P927" s="886"/>
      <c r="Q927" s="886"/>
      <c r="R927" s="886"/>
      <c r="S927" s="886"/>
      <c r="T927" s="886"/>
      <c r="U927" s="886"/>
      <c r="V927" s="886"/>
      <c r="W927" s="886"/>
      <c r="X927" s="886"/>
    </row>
    <row r="928" spans="3:24">
      <c r="C928" s="942"/>
      <c r="D928" s="943"/>
      <c r="E928" s="886"/>
      <c r="F928" s="886"/>
      <c r="G928" s="886"/>
      <c r="H928" s="886"/>
      <c r="I928" s="886"/>
      <c r="J928" s="886"/>
      <c r="K928" s="886"/>
      <c r="L928" s="886"/>
      <c r="M928" s="886"/>
      <c r="N928" s="886"/>
      <c r="O928" s="886"/>
      <c r="P928" s="886"/>
      <c r="Q928" s="886"/>
      <c r="R928" s="886"/>
      <c r="S928" s="886"/>
      <c r="T928" s="886"/>
      <c r="U928" s="886"/>
      <c r="V928" s="886"/>
      <c r="W928" s="886"/>
      <c r="X928" s="886"/>
    </row>
    <row r="929" spans="3:24">
      <c r="C929" s="942"/>
      <c r="D929" s="943"/>
      <c r="E929" s="886"/>
      <c r="F929" s="886"/>
      <c r="G929" s="886"/>
      <c r="H929" s="886"/>
      <c r="I929" s="886"/>
      <c r="J929" s="886"/>
      <c r="K929" s="886"/>
      <c r="L929" s="886"/>
      <c r="M929" s="886"/>
      <c r="N929" s="886"/>
      <c r="O929" s="886"/>
      <c r="P929" s="886"/>
      <c r="Q929" s="886"/>
      <c r="R929" s="886"/>
      <c r="S929" s="886"/>
      <c r="T929" s="886"/>
      <c r="U929" s="886"/>
      <c r="V929" s="886"/>
      <c r="W929" s="886"/>
      <c r="X929" s="886"/>
    </row>
    <row r="930" spans="3:24">
      <c r="C930" s="942"/>
      <c r="D930" s="943"/>
      <c r="E930" s="886"/>
      <c r="F930" s="886"/>
      <c r="G930" s="886"/>
      <c r="H930" s="886"/>
      <c r="I930" s="886"/>
      <c r="J930" s="886"/>
      <c r="K930" s="886"/>
      <c r="L930" s="886"/>
      <c r="M930" s="886"/>
      <c r="N930" s="886"/>
      <c r="O930" s="886"/>
      <c r="P930" s="886"/>
      <c r="Q930" s="886"/>
      <c r="R930" s="886"/>
      <c r="S930" s="886"/>
      <c r="T930" s="886"/>
      <c r="U930" s="886"/>
      <c r="V930" s="886"/>
      <c r="W930" s="886"/>
      <c r="X930" s="886"/>
    </row>
    <row r="931" spans="3:24">
      <c r="C931" s="942"/>
      <c r="D931" s="943"/>
      <c r="E931" s="886"/>
      <c r="F931" s="886"/>
      <c r="G931" s="886"/>
      <c r="H931" s="886"/>
      <c r="I931" s="886"/>
      <c r="J931" s="886"/>
      <c r="K931" s="886"/>
      <c r="L931" s="886"/>
      <c r="M931" s="886"/>
      <c r="N931" s="886"/>
      <c r="O931" s="886"/>
      <c r="P931" s="886"/>
      <c r="Q931" s="886"/>
      <c r="R931" s="886"/>
      <c r="S931" s="886"/>
      <c r="T931" s="886"/>
      <c r="U931" s="886"/>
      <c r="V931" s="886"/>
      <c r="W931" s="886"/>
      <c r="X931" s="886"/>
    </row>
    <row r="932" spans="3:24">
      <c r="C932" s="942"/>
      <c r="D932" s="943"/>
      <c r="E932" s="886"/>
      <c r="F932" s="886"/>
      <c r="G932" s="886"/>
      <c r="H932" s="886"/>
      <c r="I932" s="886"/>
      <c r="J932" s="886"/>
      <c r="K932" s="886"/>
      <c r="L932" s="886"/>
      <c r="M932" s="886"/>
      <c r="N932" s="886"/>
      <c r="O932" s="886"/>
      <c r="P932" s="886"/>
      <c r="Q932" s="886"/>
      <c r="R932" s="886"/>
      <c r="S932" s="886"/>
      <c r="T932" s="886"/>
      <c r="U932" s="886"/>
      <c r="V932" s="886"/>
      <c r="W932" s="886"/>
      <c r="X932" s="886"/>
    </row>
    <row r="933" spans="3:24">
      <c r="C933" s="942"/>
      <c r="D933" s="943"/>
      <c r="E933" s="886"/>
      <c r="F933" s="886"/>
      <c r="G933" s="886"/>
      <c r="H933" s="886"/>
      <c r="I933" s="886"/>
      <c r="J933" s="886"/>
      <c r="K933" s="886"/>
      <c r="L933" s="886"/>
      <c r="M933" s="886"/>
      <c r="N933" s="886"/>
      <c r="O933" s="886"/>
      <c r="P933" s="886"/>
      <c r="Q933" s="886"/>
      <c r="R933" s="886"/>
      <c r="S933" s="886"/>
      <c r="T933" s="886"/>
      <c r="U933" s="886"/>
      <c r="V933" s="886"/>
      <c r="W933" s="886"/>
      <c r="X933" s="886"/>
    </row>
    <row r="934" spans="3:24">
      <c r="C934" s="942"/>
      <c r="D934" s="943"/>
      <c r="E934" s="886"/>
      <c r="F934" s="886"/>
      <c r="G934" s="886"/>
      <c r="H934" s="886"/>
      <c r="I934" s="886"/>
      <c r="J934" s="886"/>
      <c r="K934" s="886"/>
      <c r="L934" s="886"/>
      <c r="M934" s="886"/>
      <c r="N934" s="886"/>
      <c r="O934" s="886"/>
      <c r="P934" s="886"/>
      <c r="Q934" s="886"/>
      <c r="R934" s="886"/>
      <c r="S934" s="886"/>
      <c r="T934" s="886"/>
      <c r="U934" s="886"/>
      <c r="V934" s="886"/>
      <c r="W934" s="886"/>
      <c r="X934" s="886"/>
    </row>
    <row r="935" spans="3:24">
      <c r="C935" s="942"/>
      <c r="D935" s="943"/>
      <c r="E935" s="886"/>
      <c r="F935" s="886"/>
      <c r="G935" s="886"/>
      <c r="H935" s="886"/>
      <c r="I935" s="886"/>
      <c r="J935" s="886"/>
      <c r="K935" s="886"/>
      <c r="L935" s="886"/>
      <c r="M935" s="886"/>
      <c r="N935" s="886"/>
      <c r="O935" s="886"/>
      <c r="P935" s="886"/>
      <c r="Q935" s="886"/>
      <c r="R935" s="886"/>
      <c r="S935" s="886"/>
      <c r="T935" s="886"/>
      <c r="U935" s="886"/>
      <c r="V935" s="886"/>
      <c r="W935" s="886"/>
      <c r="X935" s="886"/>
    </row>
    <row r="936" spans="3:24">
      <c r="C936" s="942"/>
      <c r="D936" s="943"/>
      <c r="E936" s="886"/>
      <c r="F936" s="886"/>
      <c r="G936" s="886"/>
      <c r="H936" s="886"/>
      <c r="I936" s="886"/>
      <c r="J936" s="886"/>
      <c r="K936" s="886"/>
      <c r="L936" s="886"/>
      <c r="M936" s="886"/>
      <c r="N936" s="886"/>
      <c r="O936" s="886"/>
      <c r="P936" s="886"/>
      <c r="Q936" s="886"/>
      <c r="R936" s="886"/>
      <c r="S936" s="886"/>
      <c r="T936" s="886"/>
      <c r="U936" s="886"/>
      <c r="V936" s="886"/>
      <c r="W936" s="886"/>
      <c r="X936" s="886"/>
    </row>
    <row r="937" spans="3:24">
      <c r="C937" s="942"/>
      <c r="D937" s="943"/>
      <c r="E937" s="886"/>
      <c r="F937" s="886"/>
      <c r="G937" s="886"/>
      <c r="H937" s="886"/>
      <c r="I937" s="886"/>
      <c r="J937" s="886"/>
      <c r="K937" s="886"/>
      <c r="L937" s="886"/>
      <c r="M937" s="886"/>
      <c r="N937" s="886"/>
      <c r="O937" s="886"/>
      <c r="P937" s="886"/>
      <c r="Q937" s="886"/>
      <c r="R937" s="886"/>
      <c r="S937" s="886"/>
      <c r="T937" s="886"/>
      <c r="U937" s="886"/>
      <c r="V937" s="886"/>
      <c r="W937" s="886"/>
      <c r="X937" s="886"/>
    </row>
    <row r="938" spans="3:24">
      <c r="C938" s="942"/>
      <c r="D938" s="943"/>
      <c r="E938" s="886"/>
      <c r="F938" s="886"/>
      <c r="G938" s="886"/>
      <c r="H938" s="886"/>
      <c r="I938" s="886"/>
      <c r="J938" s="886"/>
      <c r="K938" s="886"/>
      <c r="L938" s="886"/>
      <c r="M938" s="886"/>
      <c r="N938" s="886"/>
      <c r="O938" s="886"/>
      <c r="P938" s="886"/>
      <c r="Q938" s="886"/>
      <c r="R938" s="886"/>
      <c r="S938" s="886"/>
      <c r="T938" s="886"/>
      <c r="U938" s="886"/>
      <c r="V938" s="886"/>
      <c r="W938" s="886"/>
      <c r="X938" s="886"/>
    </row>
    <row r="939" spans="3:24">
      <c r="C939" s="942"/>
      <c r="D939" s="943"/>
      <c r="E939" s="886"/>
      <c r="F939" s="886"/>
      <c r="G939" s="886"/>
      <c r="H939" s="886"/>
      <c r="J939" s="886"/>
      <c r="K939" s="886"/>
      <c r="L939" s="886"/>
      <c r="M939" s="886"/>
      <c r="N939" s="886"/>
      <c r="O939" s="886"/>
      <c r="P939" s="886"/>
      <c r="Q939" s="886"/>
      <c r="R939" s="886"/>
      <c r="S939" s="886"/>
      <c r="T939" s="886"/>
      <c r="U939" s="886"/>
      <c r="V939" s="886"/>
      <c r="W939" s="886"/>
      <c r="X939" s="886"/>
    </row>
    <row r="940" spans="3:24">
      <c r="C940" s="942"/>
      <c r="D940" s="943"/>
      <c r="E940" s="886"/>
      <c r="F940" s="886"/>
      <c r="G940" s="886"/>
      <c r="H940" s="886"/>
      <c r="J940" s="886"/>
      <c r="K940" s="886"/>
      <c r="L940" s="886"/>
      <c r="M940" s="886"/>
      <c r="N940" s="886"/>
      <c r="O940" s="886"/>
      <c r="P940" s="886"/>
      <c r="Q940" s="886"/>
      <c r="R940" s="886"/>
      <c r="S940" s="886"/>
      <c r="T940" s="886"/>
      <c r="U940" s="886"/>
      <c r="V940" s="886"/>
      <c r="W940" s="886"/>
      <c r="X940" s="886"/>
    </row>
    <row r="941" spans="3:24">
      <c r="C941" s="942"/>
      <c r="D941" s="943"/>
      <c r="E941" s="886"/>
      <c r="F941" s="886"/>
      <c r="G941" s="886"/>
      <c r="H941" s="886"/>
      <c r="J941" s="886"/>
      <c r="K941" s="886"/>
      <c r="L941" s="886"/>
      <c r="M941" s="886"/>
      <c r="N941" s="886"/>
      <c r="O941" s="886"/>
      <c r="P941" s="886"/>
      <c r="Q941" s="886"/>
      <c r="R941" s="886"/>
      <c r="S941" s="886"/>
      <c r="T941" s="886"/>
      <c r="U941" s="886"/>
      <c r="V941" s="886"/>
      <c r="W941" s="886"/>
      <c r="X941" s="886"/>
    </row>
    <row r="942" spans="3:24">
      <c r="C942" s="942"/>
      <c r="D942" s="943"/>
      <c r="E942" s="886"/>
      <c r="F942" s="886"/>
      <c r="G942" s="886"/>
      <c r="H942" s="886"/>
      <c r="J942" s="886"/>
      <c r="K942" s="886"/>
      <c r="L942" s="886"/>
      <c r="M942" s="886"/>
      <c r="N942" s="886"/>
      <c r="O942" s="886"/>
      <c r="P942" s="886"/>
      <c r="Q942" s="886"/>
      <c r="R942" s="886"/>
      <c r="S942" s="886"/>
      <c r="T942" s="886"/>
      <c r="U942" s="886"/>
      <c r="V942" s="886"/>
      <c r="W942" s="886"/>
      <c r="X942" s="886"/>
    </row>
    <row r="943" spans="3:24">
      <c r="C943" s="942"/>
      <c r="D943" s="943"/>
      <c r="E943" s="886"/>
      <c r="F943" s="886"/>
      <c r="G943" s="886"/>
      <c r="H943" s="886"/>
      <c r="J943" s="886"/>
      <c r="K943" s="886"/>
      <c r="L943" s="886"/>
      <c r="M943" s="886"/>
      <c r="N943" s="886"/>
      <c r="O943" s="886"/>
      <c r="P943" s="886"/>
      <c r="Q943" s="886"/>
      <c r="R943" s="886"/>
      <c r="S943" s="886"/>
      <c r="T943" s="886"/>
      <c r="U943" s="886"/>
      <c r="V943" s="886"/>
      <c r="W943" s="886"/>
      <c r="X943" s="886"/>
    </row>
    <row r="944" spans="3:24">
      <c r="K944" s="886"/>
      <c r="L944" s="886"/>
      <c r="M944" s="886"/>
      <c r="N944" s="886"/>
      <c r="O944" s="886"/>
      <c r="P944" s="886"/>
      <c r="Q944" s="886"/>
      <c r="R944" s="886"/>
      <c r="S944" s="886"/>
      <c r="T944" s="886"/>
      <c r="U944" s="886"/>
      <c r="V944" s="886"/>
      <c r="W944" s="886"/>
      <c r="X944" s="886"/>
    </row>
    <row r="945" spans="11:24">
      <c r="K945" s="886"/>
      <c r="L945" s="886"/>
      <c r="M945" s="886"/>
      <c r="N945" s="886"/>
      <c r="O945" s="886"/>
      <c r="P945" s="886"/>
      <c r="Q945" s="886"/>
      <c r="R945" s="886"/>
      <c r="S945" s="886"/>
      <c r="T945" s="886"/>
      <c r="U945" s="886"/>
      <c r="V945" s="886"/>
      <c r="W945" s="886"/>
      <c r="X945" s="886"/>
    </row>
    <row r="946" spans="11:24">
      <c r="K946" s="886"/>
      <c r="L946" s="886"/>
      <c r="M946" s="886"/>
      <c r="N946" s="886"/>
      <c r="O946" s="886"/>
      <c r="P946" s="886"/>
      <c r="Q946" s="886"/>
      <c r="R946" s="886"/>
      <c r="S946" s="886"/>
      <c r="T946" s="886"/>
      <c r="U946" s="886"/>
      <c r="V946" s="886"/>
      <c r="W946" s="886"/>
      <c r="X946" s="886"/>
    </row>
    <row r="947" spans="11:24">
      <c r="K947" s="886"/>
      <c r="L947" s="886"/>
      <c r="M947" s="886"/>
      <c r="N947" s="886"/>
      <c r="O947" s="886"/>
      <c r="P947" s="886"/>
      <c r="Q947" s="886"/>
      <c r="R947" s="886"/>
      <c r="S947" s="886"/>
      <c r="T947" s="886"/>
      <c r="U947" s="886"/>
      <c r="V947" s="886"/>
      <c r="W947" s="886"/>
      <c r="X947" s="886"/>
    </row>
    <row r="948" spans="11:24">
      <c r="K948" s="886"/>
      <c r="L948" s="886"/>
      <c r="M948" s="886"/>
      <c r="N948" s="886"/>
      <c r="O948" s="886"/>
      <c r="P948" s="886"/>
      <c r="Q948" s="886"/>
      <c r="R948" s="886"/>
      <c r="S948" s="886"/>
      <c r="T948" s="886"/>
      <c r="U948" s="886"/>
      <c r="V948" s="886"/>
      <c r="W948" s="886"/>
      <c r="X948" s="886"/>
    </row>
  </sheetData>
  <mergeCells count="25">
    <mergeCell ref="B10:B11"/>
    <mergeCell ref="C10:D10"/>
    <mergeCell ref="C11:D11"/>
    <mergeCell ref="B16:I16"/>
    <mergeCell ref="C5:D5"/>
    <mergeCell ref="F5:I5"/>
    <mergeCell ref="C7:D7"/>
    <mergeCell ref="F7:H7"/>
    <mergeCell ref="C9:I9"/>
    <mergeCell ref="C2:I2"/>
    <mergeCell ref="C3:D3"/>
    <mergeCell ref="F3:I3"/>
    <mergeCell ref="C4:D4"/>
    <mergeCell ref="F4:I4"/>
    <mergeCell ref="B20:B21"/>
    <mergeCell ref="C20:D20"/>
    <mergeCell ref="C21:D21"/>
    <mergeCell ref="B12:I12"/>
    <mergeCell ref="B13:B15"/>
    <mergeCell ref="C13:D13"/>
    <mergeCell ref="C14:D14"/>
    <mergeCell ref="C15:D15"/>
    <mergeCell ref="B17:B18"/>
    <mergeCell ref="C17:D17"/>
    <mergeCell ref="C18:D18"/>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ErrorMessage="1" xr:uid="{3B3C2F13-7A16-44E0-896C-7EAE0C15F3B2}">
          <x14:formula1>
            <xm:f>'Technical DB (Life)'!$A$3:$A$13</xm:f>
          </x14:formula1>
          <xm:sqref>G8:I8</xm:sqref>
        </x14:dataValidation>
        <x14:dataValidation type="list" allowBlank="1" showErrorMessage="1" xr:uid="{8B49D677-F435-4856-B3B7-BA348B63C908}">
          <x14:formula1>
            <xm:f>'Technical DB (Life)'!$A$2:$A$38</xm:f>
          </x14:formula1>
          <xm:sqref>F8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A8D5C-4FF4-4AAE-AFEB-08D24441FD62}">
  <sheetPr>
    <tabColor theme="0" tint="-0.34998626667073579"/>
  </sheetPr>
  <dimension ref="A1:N17"/>
  <sheetViews>
    <sheetView zoomScaleNormal="100" workbookViewId="0">
      <pane xSplit="1" ySplit="7" topLeftCell="J8" activePane="bottomRight" state="frozen"/>
      <selection activeCell="C7" sqref="C7"/>
      <selection pane="topRight" activeCell="C7" sqref="C7"/>
      <selection pane="bottomLeft" activeCell="C7" sqref="C7"/>
      <selection pane="bottomRight" activeCell="C7" sqref="C7"/>
    </sheetView>
  </sheetViews>
  <sheetFormatPr defaultRowHeight="14.4"/>
  <cols>
    <col min="1" max="1" width="29.5546875" customWidth="1"/>
    <col min="2" max="2" width="35.44140625" hidden="1" customWidth="1"/>
    <col min="3" max="3" width="15.44140625" bestFit="1" customWidth="1"/>
    <col min="4" max="4" width="30.44140625" customWidth="1"/>
    <col min="5" max="5" width="21.5546875" bestFit="1" customWidth="1"/>
    <col min="6" max="7" width="21.5546875" customWidth="1"/>
    <col min="8" max="8" width="38.5546875" customWidth="1"/>
    <col min="9" max="9" width="41.5546875" customWidth="1"/>
    <col min="10" max="14" width="32.5546875" customWidth="1"/>
  </cols>
  <sheetData>
    <row r="1" spans="1:14">
      <c r="A1" s="653" t="s">
        <v>337</v>
      </c>
    </row>
    <row r="2" spans="1:14">
      <c r="A2" s="653" t="s">
        <v>624</v>
      </c>
      <c r="B2" s="654">
        <v>44372</v>
      </c>
      <c r="C2" s="654"/>
    </row>
    <row r="4" spans="1:14">
      <c r="A4" s="654" t="s">
        <v>625</v>
      </c>
      <c r="B4" s="654" t="s">
        <v>626</v>
      </c>
      <c r="C4" s="654"/>
    </row>
    <row r="5" spans="1:14">
      <c r="A5" s="654"/>
      <c r="B5" s="654"/>
      <c r="C5" s="654"/>
    </row>
    <row r="6" spans="1:14">
      <c r="A6" s="654" t="s">
        <v>627</v>
      </c>
      <c r="B6" s="654"/>
      <c r="C6" s="654"/>
    </row>
    <row r="7" spans="1:14" s="660" customFormat="1" ht="43.2">
      <c r="A7" s="658" t="s">
        <v>118</v>
      </c>
      <c r="B7" s="659" t="s">
        <v>628</v>
      </c>
      <c r="C7" s="659" t="s">
        <v>121</v>
      </c>
      <c r="D7" s="659" t="s">
        <v>569</v>
      </c>
      <c r="E7" s="659" t="s">
        <v>570</v>
      </c>
      <c r="F7" s="673" t="s">
        <v>571</v>
      </c>
      <c r="G7" s="673" t="s">
        <v>572</v>
      </c>
      <c r="H7" s="659" t="s">
        <v>573</v>
      </c>
      <c r="I7" s="659" t="s">
        <v>574</v>
      </c>
      <c r="J7" s="659" t="s">
        <v>313</v>
      </c>
      <c r="K7" s="792" t="s">
        <v>315</v>
      </c>
      <c r="L7" s="793" t="s">
        <v>576</v>
      </c>
      <c r="M7" s="793" t="s">
        <v>459</v>
      </c>
      <c r="N7" s="790" t="s">
        <v>575</v>
      </c>
    </row>
    <row r="8" spans="1:14" ht="85.35" customHeight="1">
      <c r="A8" s="658" t="s">
        <v>629</v>
      </c>
      <c r="B8" s="655"/>
      <c r="C8" s="655" t="s">
        <v>199</v>
      </c>
      <c r="D8" s="655" t="s">
        <v>630</v>
      </c>
      <c r="E8" s="656" t="s">
        <v>631</v>
      </c>
      <c r="F8" s="656" t="s">
        <v>364</v>
      </c>
      <c r="G8" s="656" t="s">
        <v>364</v>
      </c>
      <c r="H8" s="657" t="s">
        <v>632</v>
      </c>
      <c r="I8" s="657" t="s">
        <v>633</v>
      </c>
      <c r="J8" s="656" t="s">
        <v>634</v>
      </c>
      <c r="K8" s="791" t="s">
        <v>539</v>
      </c>
      <c r="L8" s="804" t="s">
        <v>464</v>
      </c>
      <c r="M8" s="791" t="s">
        <v>635</v>
      </c>
      <c r="N8" s="656" t="s">
        <v>636</v>
      </c>
    </row>
    <row r="9" spans="1:14" ht="85.35" customHeight="1">
      <c r="A9" s="658" t="s">
        <v>637</v>
      </c>
      <c r="B9" s="655"/>
      <c r="C9" s="655" t="s">
        <v>199</v>
      </c>
      <c r="D9" s="655" t="s">
        <v>630</v>
      </c>
      <c r="E9" s="656" t="s">
        <v>631</v>
      </c>
      <c r="F9" s="656" t="s">
        <v>364</v>
      </c>
      <c r="G9" s="656" t="s">
        <v>364</v>
      </c>
      <c r="H9" s="657" t="s">
        <v>632</v>
      </c>
      <c r="I9" s="657" t="s">
        <v>633</v>
      </c>
      <c r="J9" s="656" t="s">
        <v>634</v>
      </c>
      <c r="K9" s="656" t="s">
        <v>539</v>
      </c>
      <c r="L9" s="804" t="s">
        <v>464</v>
      </c>
      <c r="M9" s="791" t="s">
        <v>635</v>
      </c>
      <c r="N9" s="656" t="s">
        <v>636</v>
      </c>
    </row>
    <row r="10" spans="1:14" ht="85.35" customHeight="1">
      <c r="A10" s="658" t="s">
        <v>561</v>
      </c>
      <c r="B10" s="655" t="s">
        <v>638</v>
      </c>
      <c r="C10" s="655" t="s">
        <v>199</v>
      </c>
      <c r="D10" s="655" t="s">
        <v>639</v>
      </c>
      <c r="E10" s="655" t="s">
        <v>640</v>
      </c>
      <c r="F10" s="656" t="s">
        <v>364</v>
      </c>
      <c r="G10" s="656" t="s">
        <v>364</v>
      </c>
      <c r="H10" s="655" t="s">
        <v>632</v>
      </c>
      <c r="I10" s="655" t="s">
        <v>633</v>
      </c>
      <c r="J10" s="656" t="s">
        <v>634</v>
      </c>
      <c r="K10" s="656" t="s">
        <v>364</v>
      </c>
      <c r="L10" s="804" t="s">
        <v>464</v>
      </c>
      <c r="M10" s="791" t="s">
        <v>635</v>
      </c>
      <c r="N10" s="656" t="s">
        <v>636</v>
      </c>
    </row>
    <row r="11" spans="1:14" ht="85.35" customHeight="1">
      <c r="A11" s="658" t="s">
        <v>93</v>
      </c>
      <c r="B11" s="655"/>
      <c r="C11" s="655" t="s">
        <v>199</v>
      </c>
      <c r="D11" s="655" t="s">
        <v>630</v>
      </c>
      <c r="E11" s="656" t="s">
        <v>631</v>
      </c>
      <c r="F11" s="656" t="s">
        <v>364</v>
      </c>
      <c r="G11" s="656" t="s">
        <v>364</v>
      </c>
      <c r="H11" s="657" t="s">
        <v>632</v>
      </c>
      <c r="I11" s="657" t="s">
        <v>633</v>
      </c>
      <c r="J11" s="656" t="s">
        <v>634</v>
      </c>
      <c r="K11" s="656" t="s">
        <v>539</v>
      </c>
      <c r="L11" s="804" t="s">
        <v>464</v>
      </c>
      <c r="M11" s="791" t="s">
        <v>635</v>
      </c>
      <c r="N11" s="656" t="s">
        <v>636</v>
      </c>
    </row>
    <row r="12" spans="1:14" ht="85.35" customHeight="1">
      <c r="A12" s="658" t="s">
        <v>517</v>
      </c>
      <c r="B12" s="655" t="s">
        <v>641</v>
      </c>
      <c r="C12" s="655" t="s">
        <v>199</v>
      </c>
      <c r="D12" s="655" t="s">
        <v>630</v>
      </c>
      <c r="E12" s="656" t="s">
        <v>631</v>
      </c>
      <c r="F12" s="656" t="s">
        <v>364</v>
      </c>
      <c r="G12" s="656" t="s">
        <v>364</v>
      </c>
      <c r="H12" s="657" t="s">
        <v>632</v>
      </c>
      <c r="I12" s="657" t="s">
        <v>633</v>
      </c>
      <c r="J12" s="656" t="s">
        <v>642</v>
      </c>
      <c r="K12" s="656" t="s">
        <v>539</v>
      </c>
      <c r="L12" s="804" t="s">
        <v>464</v>
      </c>
      <c r="M12" s="791" t="s">
        <v>635</v>
      </c>
      <c r="N12" s="656" t="s">
        <v>636</v>
      </c>
    </row>
    <row r="13" spans="1:14" ht="85.35" customHeight="1">
      <c r="A13" s="658" t="s">
        <v>643</v>
      </c>
      <c r="B13" s="655"/>
      <c r="C13" s="655" t="s">
        <v>199</v>
      </c>
      <c r="D13" s="655" t="s">
        <v>630</v>
      </c>
      <c r="E13" s="656" t="s">
        <v>631</v>
      </c>
      <c r="F13" s="656" t="s">
        <v>364</v>
      </c>
      <c r="G13" s="656" t="s">
        <v>364</v>
      </c>
      <c r="H13" s="657" t="s">
        <v>632</v>
      </c>
      <c r="I13" s="657" t="s">
        <v>633</v>
      </c>
      <c r="J13" s="656" t="s">
        <v>634</v>
      </c>
      <c r="K13" s="656" t="s">
        <v>539</v>
      </c>
      <c r="L13" s="804" t="s">
        <v>464</v>
      </c>
      <c r="M13" s="791" t="s">
        <v>635</v>
      </c>
      <c r="N13" s="656" t="s">
        <v>636</v>
      </c>
    </row>
    <row r="14" spans="1:14" ht="85.35" customHeight="1">
      <c r="A14" s="658" t="s">
        <v>562</v>
      </c>
      <c r="B14" s="655"/>
      <c r="C14" s="655" t="s">
        <v>199</v>
      </c>
      <c r="D14" s="655" t="s">
        <v>630</v>
      </c>
      <c r="E14" s="656" t="s">
        <v>631</v>
      </c>
      <c r="F14" s="656" t="s">
        <v>364</v>
      </c>
      <c r="G14" s="656" t="s">
        <v>364</v>
      </c>
      <c r="H14" s="657" t="s">
        <v>632</v>
      </c>
      <c r="I14" s="657" t="s">
        <v>633</v>
      </c>
      <c r="J14" s="656" t="s">
        <v>644</v>
      </c>
      <c r="K14" s="656" t="s">
        <v>539</v>
      </c>
      <c r="L14" s="804" t="s">
        <v>464</v>
      </c>
      <c r="M14" s="791" t="s">
        <v>635</v>
      </c>
      <c r="N14" s="656" t="s">
        <v>636</v>
      </c>
    </row>
    <row r="15" spans="1:14" ht="171" customHeight="1">
      <c r="A15" s="658" t="s">
        <v>94</v>
      </c>
      <c r="B15" s="655"/>
      <c r="C15" s="655" t="s">
        <v>199</v>
      </c>
      <c r="D15" s="655" t="s">
        <v>630</v>
      </c>
      <c r="E15" s="656" t="s">
        <v>631</v>
      </c>
      <c r="F15" s="656" t="s">
        <v>364</v>
      </c>
      <c r="G15" s="656" t="s">
        <v>364</v>
      </c>
      <c r="H15" s="657" t="s">
        <v>632</v>
      </c>
      <c r="I15" s="657" t="s">
        <v>633</v>
      </c>
      <c r="J15" s="656" t="s">
        <v>634</v>
      </c>
      <c r="K15" s="656" t="s">
        <v>539</v>
      </c>
      <c r="L15" s="804" t="s">
        <v>464</v>
      </c>
      <c r="M15" s="791" t="s">
        <v>635</v>
      </c>
      <c r="N15" s="656" t="s">
        <v>636</v>
      </c>
    </row>
    <row r="16" spans="1:14" ht="151.19999999999999" customHeight="1">
      <c r="A16" s="658" t="s">
        <v>645</v>
      </c>
      <c r="B16" s="655"/>
      <c r="C16" s="655" t="s">
        <v>199</v>
      </c>
      <c r="D16" s="655" t="s">
        <v>630</v>
      </c>
      <c r="E16" s="656" t="s">
        <v>631</v>
      </c>
      <c r="F16" s="656" t="s">
        <v>364</v>
      </c>
      <c r="G16" s="656" t="s">
        <v>364</v>
      </c>
      <c r="H16" s="657" t="s">
        <v>632</v>
      </c>
      <c r="I16" s="657" t="s">
        <v>633</v>
      </c>
      <c r="J16" s="656" t="s">
        <v>634</v>
      </c>
      <c r="K16" s="656" t="s">
        <v>539</v>
      </c>
      <c r="L16" s="804" t="s">
        <v>464</v>
      </c>
      <c r="M16" s="791" t="s">
        <v>635</v>
      </c>
      <c r="N16" s="656" t="s">
        <v>636</v>
      </c>
    </row>
    <row r="17" spans="6:7">
      <c r="F17" s="692"/>
      <c r="G17" s="692"/>
    </row>
  </sheetData>
  <protectedRanges>
    <protectedRange algorithmName="SHA-512" hashValue="8gsZBLxf0FNLqMn390G0dgwzGiRBzzvGlNazRYGWhs0C1gVTQ5XRqJGqk3b/+yaYAh9uw4p4FQvGJRlBbI8UKw==" saltValue="DPXiBDnRLT+lXGb4fbwXfA==" spinCount="100000" sqref="L8:L16" name="GPA_2"/>
  </protectedRanges>
  <autoFilter ref="A7:N16" xr:uid="{455A8D5C-4FF4-4AAE-AFEB-08D24441FD62}">
    <sortState xmlns:xlrd2="http://schemas.microsoft.com/office/spreadsheetml/2017/richdata2" ref="A8:N16">
      <sortCondition ref="A7:A16"/>
    </sortState>
  </autoFilter>
  <phoneticPr fontId="16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0CA88-CAAF-4886-9892-5CD460438F82}">
  <sheetPr codeName="Sheet20"/>
  <dimension ref="A1:Z994"/>
  <sheetViews>
    <sheetView showGridLines="0" zoomScale="54" zoomScaleNormal="85" workbookViewId="0">
      <pane xSplit="6" ySplit="15" topLeftCell="G32" activePane="bottomRight" state="frozen"/>
      <selection pane="topRight" activeCell="L1" sqref="L1:L4"/>
      <selection pane="bottomLeft" activeCell="L1" sqref="L1:L4"/>
      <selection pane="bottomRight" activeCell="L34" sqref="A34:XFD34"/>
    </sheetView>
  </sheetViews>
  <sheetFormatPr defaultColWidth="14.44140625" defaultRowHeight="18"/>
  <cols>
    <col min="1" max="1" width="5.5546875" style="418" customWidth="1"/>
    <col min="2" max="2" width="39.5546875" style="418" customWidth="1"/>
    <col min="3" max="3" width="39.44140625" style="418" customWidth="1"/>
    <col min="4" max="4" width="37.44140625" style="418" hidden="1" customWidth="1"/>
    <col min="5" max="5" width="40.5546875" style="435" customWidth="1"/>
    <col min="6" max="6" width="3.44140625" style="418" customWidth="1"/>
    <col min="7" max="9" width="44.5546875" style="418" customWidth="1"/>
    <col min="10" max="10" width="44.44140625" style="418" customWidth="1"/>
    <col min="11" max="11" width="19.44140625" style="418" customWidth="1"/>
    <col min="12" max="12" width="57.5546875" style="431" customWidth="1"/>
    <col min="13" max="26" width="8.5546875" style="418" customWidth="1"/>
    <col min="27" max="16384" width="14.44140625" style="418"/>
  </cols>
  <sheetData>
    <row r="1" spans="1:26" ht="18.600000000000001" thickBot="1">
      <c r="A1" s="492" t="str">
        <f>Inputs!B5</f>
        <v>Bandana Gupta Class</v>
      </c>
      <c r="L1" s="418"/>
    </row>
    <row r="2" spans="1:26" ht="18.600000000000001" thickBot="1">
      <c r="A2" s="582">
        <f>Inputs!B2</f>
        <v>45177</v>
      </c>
      <c r="B2" s="448"/>
      <c r="C2" s="1459" t="s">
        <v>0</v>
      </c>
      <c r="D2" s="1460"/>
      <c r="E2" s="1460"/>
      <c r="F2" s="1460"/>
      <c r="G2" s="1460"/>
      <c r="H2" s="1460"/>
      <c r="I2" s="1460"/>
      <c r="J2" s="1461"/>
      <c r="K2" s="419"/>
      <c r="L2" s="419"/>
      <c r="M2" s="419"/>
      <c r="N2" s="419"/>
      <c r="O2" s="419"/>
      <c r="P2" s="419"/>
      <c r="Q2" s="419"/>
      <c r="R2" s="419"/>
      <c r="S2" s="419"/>
      <c r="T2" s="419"/>
      <c r="U2" s="419"/>
      <c r="V2" s="419"/>
      <c r="W2" s="419"/>
      <c r="X2" s="419"/>
      <c r="Y2" s="419"/>
      <c r="Z2" s="419"/>
    </row>
    <row r="3" spans="1:26">
      <c r="B3" s="448"/>
      <c r="C3" s="1462" t="s">
        <v>337</v>
      </c>
      <c r="D3" s="1463"/>
      <c r="E3" s="1464"/>
      <c r="F3" s="420"/>
      <c r="G3" s="1465" t="str">
        <f>Inputs!B5</f>
        <v>Bandana Gupta Class</v>
      </c>
      <c r="H3" s="1466"/>
      <c r="I3" s="1466"/>
      <c r="J3" s="1467"/>
      <c r="K3" s="419"/>
      <c r="L3" s="419"/>
      <c r="M3" s="419"/>
      <c r="N3" s="419"/>
      <c r="O3" s="419"/>
      <c r="P3" s="419"/>
      <c r="Q3" s="419"/>
      <c r="R3" s="419"/>
      <c r="S3" s="419"/>
      <c r="T3" s="419"/>
      <c r="U3" s="419"/>
      <c r="V3" s="419"/>
      <c r="W3" s="419"/>
      <c r="X3" s="419"/>
      <c r="Y3" s="419"/>
      <c r="Z3" s="419"/>
    </row>
    <row r="4" spans="1:26">
      <c r="B4" s="448"/>
      <c r="C4" s="1468" t="s">
        <v>338</v>
      </c>
      <c r="D4" s="1469"/>
      <c r="E4" s="1470"/>
      <c r="F4" s="420"/>
      <c r="G4" s="1471" t="s">
        <v>0</v>
      </c>
      <c r="H4" s="1472"/>
      <c r="I4" s="1472"/>
      <c r="J4" s="1473"/>
      <c r="K4" s="419"/>
      <c r="L4" s="419"/>
      <c r="M4" s="419"/>
      <c r="N4" s="419"/>
      <c r="O4" s="419"/>
      <c r="P4" s="419"/>
      <c r="Q4" s="419"/>
      <c r="R4" s="419"/>
      <c r="S4" s="419"/>
      <c r="T4" s="419"/>
      <c r="U4" s="419"/>
      <c r="V4" s="419"/>
      <c r="W4" s="419"/>
      <c r="X4" s="419"/>
      <c r="Y4" s="419"/>
      <c r="Z4" s="419"/>
    </row>
    <row r="5" spans="1:26">
      <c r="B5" s="448"/>
      <c r="C5" s="1468" t="s">
        <v>341</v>
      </c>
      <c r="D5" s="1469"/>
      <c r="E5" s="1470"/>
      <c r="F5" s="420"/>
      <c r="G5" s="1471" t="s">
        <v>646</v>
      </c>
      <c r="H5" s="1472"/>
      <c r="I5" s="1472"/>
      <c r="J5" s="1473"/>
      <c r="K5" s="419"/>
      <c r="L5" s="419"/>
      <c r="M5" s="419"/>
      <c r="N5" s="419"/>
      <c r="O5" s="419"/>
      <c r="P5" s="419"/>
      <c r="Q5" s="419"/>
      <c r="R5" s="419"/>
      <c r="S5" s="419"/>
      <c r="T5" s="419"/>
      <c r="U5" s="419"/>
      <c r="V5" s="419"/>
      <c r="W5" s="419"/>
      <c r="X5" s="419"/>
      <c r="Y5" s="419"/>
      <c r="Z5" s="419"/>
    </row>
    <row r="6" spans="1:26" ht="18.600000000000001" thickBot="1">
      <c r="B6" s="448"/>
      <c r="C6" s="1474" t="s">
        <v>518</v>
      </c>
      <c r="D6" s="1475"/>
      <c r="E6" s="1476"/>
      <c r="F6" s="420"/>
      <c r="G6" s="1477" t="s">
        <v>519</v>
      </c>
      <c r="H6" s="1478"/>
      <c r="I6" s="1478"/>
      <c r="J6" s="1479"/>
      <c r="K6" s="419"/>
      <c r="L6" s="419"/>
      <c r="M6" s="419"/>
      <c r="N6" s="419"/>
      <c r="O6" s="419"/>
      <c r="P6" s="419"/>
      <c r="Q6" s="419"/>
      <c r="R6" s="419"/>
      <c r="S6" s="419"/>
      <c r="T6" s="419"/>
      <c r="U6" s="419"/>
      <c r="V6" s="419"/>
      <c r="W6" s="419"/>
      <c r="X6" s="419"/>
      <c r="Y6" s="419"/>
      <c r="Z6" s="419"/>
    </row>
    <row r="7" spans="1:26" ht="18.600000000000001" thickBot="1">
      <c r="B7" s="448"/>
      <c r="C7" s="420"/>
      <c r="D7" s="420"/>
      <c r="E7" s="420"/>
      <c r="F7" s="420"/>
      <c r="G7" s="422"/>
      <c r="H7" s="422"/>
      <c r="I7" s="422"/>
      <c r="J7" s="422"/>
      <c r="K7" s="419"/>
      <c r="L7" s="419"/>
      <c r="M7" s="419"/>
      <c r="N7" s="419"/>
      <c r="O7" s="419"/>
      <c r="P7" s="419"/>
      <c r="Q7" s="419"/>
      <c r="R7" s="419"/>
      <c r="S7" s="419"/>
      <c r="T7" s="419"/>
      <c r="U7" s="419"/>
      <c r="V7" s="419"/>
      <c r="W7" s="419"/>
      <c r="X7" s="419"/>
      <c r="Y7" s="419"/>
      <c r="Z7" s="419"/>
    </row>
    <row r="8" spans="1:26" ht="18.600000000000001" thickBot="1">
      <c r="B8" s="448"/>
      <c r="C8" s="1480"/>
      <c r="D8" s="1480"/>
      <c r="E8" s="1480"/>
      <c r="F8" s="423"/>
      <c r="G8" s="1234" t="s">
        <v>67</v>
      </c>
      <c r="H8" s="1235"/>
      <c r="I8" s="1236"/>
      <c r="J8" s="453" t="s">
        <v>68</v>
      </c>
      <c r="K8" s="419"/>
      <c r="L8" s="419"/>
      <c r="M8" s="419"/>
      <c r="N8" s="419"/>
      <c r="O8" s="419"/>
      <c r="P8" s="419"/>
      <c r="Q8" s="419"/>
      <c r="R8" s="419"/>
      <c r="S8" s="419"/>
      <c r="T8" s="419"/>
      <c r="U8" s="419"/>
      <c r="V8" s="419"/>
      <c r="W8" s="419"/>
      <c r="X8" s="419"/>
      <c r="Y8" s="419"/>
      <c r="Z8" s="419"/>
    </row>
    <row r="9" spans="1:26" ht="36.6" thickBot="1">
      <c r="B9" s="448"/>
      <c r="C9" s="424"/>
      <c r="D9" s="430"/>
      <c r="E9" s="424"/>
      <c r="F9" s="424"/>
      <c r="G9" s="450" t="str">
        <f>Inputs!B14</f>
        <v>Manipal Cigna Standard Rater</v>
      </c>
      <c r="H9" s="451" t="str">
        <f>Inputs!C14</f>
        <v>SBI General</v>
      </c>
      <c r="I9" s="452" t="str">
        <f>Inputs!D14</f>
        <v>Manipal Cigna</v>
      </c>
      <c r="J9" s="449" t="str">
        <f>Inputs!E14</f>
        <v>IFFCO Tokio</v>
      </c>
      <c r="L9" s="490" t="s">
        <v>647</v>
      </c>
      <c r="M9" s="498"/>
      <c r="N9" s="498"/>
      <c r="O9" s="419"/>
      <c r="P9" s="419"/>
      <c r="Q9" s="419"/>
      <c r="R9" s="419"/>
      <c r="S9" s="419"/>
      <c r="T9" s="419"/>
      <c r="U9" s="419"/>
      <c r="V9" s="419"/>
      <c r="W9" s="419"/>
      <c r="X9" s="419"/>
      <c r="Y9" s="419"/>
      <c r="Z9" s="419"/>
    </row>
    <row r="10" spans="1:26" ht="18.600000000000001" thickBot="1">
      <c r="B10" s="448"/>
      <c r="C10" s="1481" t="s">
        <v>347</v>
      </c>
      <c r="D10" s="1482"/>
      <c r="E10" s="1482"/>
      <c r="F10" s="1482"/>
      <c r="G10" s="1482"/>
      <c r="H10" s="1482"/>
      <c r="I10" s="1482"/>
      <c r="J10" s="1482"/>
      <c r="K10" s="1482"/>
      <c r="L10" s="1483"/>
      <c r="M10" s="419"/>
      <c r="N10" s="419"/>
      <c r="O10" s="419"/>
      <c r="P10" s="419"/>
      <c r="Q10" s="419"/>
      <c r="R10" s="419"/>
      <c r="S10" s="419"/>
      <c r="T10" s="419"/>
      <c r="U10" s="419"/>
      <c r="V10" s="419"/>
      <c r="W10" s="419"/>
      <c r="X10" s="419"/>
      <c r="Y10" s="419"/>
      <c r="Z10" s="419"/>
    </row>
    <row r="11" spans="1:26">
      <c r="B11" s="425"/>
      <c r="C11" s="495" t="s">
        <v>518</v>
      </c>
      <c r="D11" s="496"/>
      <c r="E11" s="497" t="s">
        <v>349</v>
      </c>
      <c r="F11" s="426"/>
      <c r="G11" s="495" t="str">
        <f>G6</f>
        <v>Rs. 5 Lacs</v>
      </c>
      <c r="H11" s="495" t="str">
        <f>G6</f>
        <v>Rs. 5 Lacs</v>
      </c>
      <c r="I11" s="495" t="str">
        <f>G6</f>
        <v>Rs. 5 Lacs</v>
      </c>
      <c r="J11" s="495" t="s">
        <v>519</v>
      </c>
      <c r="L11" s="1456" t="s">
        <v>648</v>
      </c>
      <c r="M11" s="419"/>
      <c r="N11" s="419"/>
      <c r="O11" s="419"/>
      <c r="P11" s="419"/>
      <c r="Q11" s="419"/>
      <c r="R11" s="419"/>
      <c r="S11" s="419"/>
      <c r="T11" s="419"/>
      <c r="U11" s="419"/>
      <c r="V11" s="419"/>
      <c r="W11" s="419"/>
      <c r="X11" s="419"/>
      <c r="Y11" s="419"/>
      <c r="Z11" s="419"/>
    </row>
    <row r="12" spans="1:26">
      <c r="B12" s="425"/>
      <c r="C12" s="441" t="s">
        <v>520</v>
      </c>
      <c r="D12" s="438"/>
      <c r="E12" s="444" t="s">
        <v>349</v>
      </c>
      <c r="F12" s="426"/>
      <c r="G12" s="444">
        <v>50000</v>
      </c>
      <c r="H12" s="444">
        <v>50000</v>
      </c>
      <c r="I12" s="444">
        <v>50000</v>
      </c>
      <c r="J12" s="444">
        <v>50000</v>
      </c>
      <c r="L12" s="1457"/>
      <c r="M12" s="419"/>
      <c r="N12" s="419"/>
      <c r="O12" s="419"/>
      <c r="P12" s="419"/>
      <c r="Q12" s="419"/>
      <c r="R12" s="419"/>
      <c r="S12" s="419"/>
      <c r="T12" s="419"/>
      <c r="U12" s="419"/>
      <c r="V12" s="419"/>
      <c r="W12" s="419"/>
      <c r="X12" s="419"/>
      <c r="Y12" s="419"/>
      <c r="Z12" s="419"/>
    </row>
    <row r="13" spans="1:26">
      <c r="B13" s="425"/>
      <c r="C13" s="442" t="s">
        <v>521</v>
      </c>
      <c r="D13" s="439"/>
      <c r="E13" s="445"/>
      <c r="F13" s="427"/>
      <c r="G13" s="445" t="str">
        <f>Inputs!E27</f>
        <v>z</v>
      </c>
      <c r="H13" s="445" t="str">
        <f>Inputs!E27</f>
        <v>z</v>
      </c>
      <c r="I13" s="445" t="str">
        <f>Inputs!E27</f>
        <v>z</v>
      </c>
      <c r="J13" s="445">
        <f>Inputs!G25</f>
        <v>30</v>
      </c>
      <c r="L13" s="1457"/>
      <c r="M13" s="419"/>
      <c r="N13" s="419"/>
      <c r="O13" s="419"/>
      <c r="P13" s="419"/>
      <c r="Q13" s="419"/>
      <c r="R13" s="419"/>
      <c r="S13" s="419"/>
      <c r="T13" s="419"/>
      <c r="U13" s="419"/>
      <c r="V13" s="419"/>
      <c r="W13" s="419"/>
      <c r="X13" s="419"/>
      <c r="Y13" s="419"/>
      <c r="Z13" s="419"/>
    </row>
    <row r="14" spans="1:26" ht="18.600000000000001" thickBot="1">
      <c r="B14" s="425"/>
      <c r="C14" s="443" t="s">
        <v>522</v>
      </c>
      <c r="D14" s="440"/>
      <c r="E14" s="446" t="s">
        <v>349</v>
      </c>
      <c r="F14" s="428"/>
      <c r="G14" s="446" t="e">
        <f>G12/G13</f>
        <v>#VALUE!</v>
      </c>
      <c r="H14" s="446" t="e">
        <f>H12/H13</f>
        <v>#VALUE!</v>
      </c>
      <c r="I14" s="446" t="e">
        <f>I12/I13</f>
        <v>#VALUE!</v>
      </c>
      <c r="J14" s="446">
        <f>J12/J13</f>
        <v>1666.6666666666667</v>
      </c>
      <c r="L14" s="1458"/>
      <c r="M14" s="419"/>
      <c r="N14" s="419"/>
      <c r="O14" s="419"/>
      <c r="P14" s="419"/>
      <c r="Q14" s="419"/>
      <c r="R14" s="419"/>
      <c r="S14" s="419"/>
      <c r="T14" s="419"/>
      <c r="U14" s="419"/>
      <c r="V14" s="419"/>
      <c r="W14" s="419"/>
      <c r="X14" s="419"/>
      <c r="Y14" s="419"/>
      <c r="Z14" s="419"/>
    </row>
    <row r="15" spans="1:26" ht="18.600000000000001" customHeight="1" thickBot="1">
      <c r="B15" s="425"/>
      <c r="C15" s="1441" t="s">
        <v>355</v>
      </c>
      <c r="D15" s="1442"/>
      <c r="E15" s="1442"/>
      <c r="F15" s="1442"/>
      <c r="G15" s="1442"/>
      <c r="H15" s="1442"/>
      <c r="I15" s="1442"/>
      <c r="J15" s="1443"/>
      <c r="L15" s="500" t="s">
        <v>649</v>
      </c>
      <c r="M15" s="499"/>
      <c r="N15" s="499"/>
      <c r="O15" s="499"/>
      <c r="P15" s="499"/>
      <c r="Q15" s="499"/>
      <c r="R15" s="499"/>
      <c r="S15" s="499"/>
      <c r="T15" s="419"/>
      <c r="U15" s="419"/>
      <c r="V15" s="419"/>
      <c r="W15" s="419"/>
      <c r="X15" s="419"/>
      <c r="Y15" s="419"/>
      <c r="Z15" s="419"/>
    </row>
    <row r="16" spans="1:26" ht="18.600000000000001" hidden="1" customHeight="1" thickBot="1">
      <c r="B16" s="425"/>
      <c r="C16" s="493"/>
      <c r="D16" s="494"/>
      <c r="E16" s="491"/>
      <c r="F16" s="494"/>
      <c r="G16" s="491" t="str">
        <f>G9</f>
        <v>Manipal Cigna Standard Rater</v>
      </c>
      <c r="H16" s="491" t="str">
        <f>H9</f>
        <v>SBI General</v>
      </c>
      <c r="I16" s="491" t="str">
        <f>I9</f>
        <v>Manipal Cigna</v>
      </c>
      <c r="J16" s="491" t="str">
        <f>J9</f>
        <v>IFFCO Tokio</v>
      </c>
      <c r="L16" s="418"/>
      <c r="M16" s="419"/>
      <c r="N16" s="419"/>
      <c r="O16" s="419"/>
      <c r="P16" s="419"/>
      <c r="Q16" s="419"/>
      <c r="R16" s="419"/>
      <c r="S16" s="419"/>
      <c r="T16" s="419"/>
      <c r="U16" s="419"/>
      <c r="V16" s="419"/>
      <c r="W16" s="419"/>
      <c r="X16" s="419"/>
      <c r="Y16" s="419"/>
      <c r="Z16" s="419"/>
    </row>
    <row r="17" spans="2:26">
      <c r="B17" s="1444" t="s">
        <v>356</v>
      </c>
      <c r="C17" s="1447" t="s">
        <v>121</v>
      </c>
      <c r="D17" s="528" t="str">
        <f>SUBSTITUTE($C$17," ","")</f>
        <v>FamilyDefinition</v>
      </c>
      <c r="E17" s="529" t="s">
        <v>199</v>
      </c>
      <c r="F17" s="431"/>
      <c r="G17" s="530" t="e">
        <f t="array" ref="G17">INDEX('GHI DB'!$A$3:$BS$21,MATCH('GTLI Policy Features - old'!G$9,'GHI DB'!$A$3:$A$21,0),MATCH('GTLI Policy Features - old'!$E17,'GHI DB'!$A$3:$BS$3,0))</f>
        <v>#N/A</v>
      </c>
      <c r="H17" s="531" t="e">
        <f t="array" ref="H17">INDEX('GHI DB'!$A$3:$BS$21,MATCH('GTLI Policy Features - old'!H$9,'GHI DB'!$A$3:$A$21,0),MATCH('GTLI Policy Features - old'!$E17,'GHI DB'!$A$3:$BS$3,0))</f>
        <v>#N/A</v>
      </c>
      <c r="I17" s="532" t="str">
        <f t="array" ref="I17">INDEX('GHI DB'!$A$3:$BS$21,MATCH('GTLI Policy Features - old'!I$9,'GHI DB'!$A$3:$A$21,0),MATCH('GTLI Policy Features - old'!$E17,'GHI DB'!$A$3:$BS$3,0))</f>
        <v xml:space="preserve">✔ </v>
      </c>
      <c r="J17" s="533" t="str">
        <f t="array" ref="J17">INDEX('GHI DB'!$A$3:$BS$21,MATCH('GTLI Policy Features - old'!J$9,'GHI DB'!$A$3:$A$21,0),MATCH('GTLI Policy Features - old'!$E17,'GHI DB'!$A$3:$BS$3,0))</f>
        <v xml:space="preserve">✔ </v>
      </c>
      <c r="K17" s="487"/>
      <c r="L17" s="504" t="s">
        <v>483</v>
      </c>
      <c r="M17" s="419"/>
      <c r="N17" s="419"/>
      <c r="O17" s="419"/>
      <c r="P17" s="419"/>
      <c r="Q17" s="419"/>
      <c r="R17" s="419"/>
      <c r="S17" s="419"/>
      <c r="T17" s="419"/>
      <c r="U17" s="419"/>
      <c r="V17" s="419"/>
      <c r="W17" s="419"/>
      <c r="X17" s="419"/>
      <c r="Y17" s="419"/>
      <c r="Z17" s="419"/>
    </row>
    <row r="18" spans="2:26">
      <c r="B18" s="1445"/>
      <c r="C18" s="1448"/>
      <c r="D18" s="528" t="str">
        <f>SUBSTITUTE($C$17," ","")</f>
        <v>FamilyDefinition</v>
      </c>
      <c r="E18" s="534" t="s">
        <v>201</v>
      </c>
      <c r="F18" s="431"/>
      <c r="G18" s="535" t="e">
        <f t="array" ref="G18">INDEX('GHI DB'!$A$3:$BS$21,MATCH('GTLI Policy Features - old'!G$9,'GHI DB'!$A$3:$A$21,0),MATCH('GTLI Policy Features - old'!$E18,'GHI DB'!$A$3:$BS$3,0))</f>
        <v>#N/A</v>
      </c>
      <c r="H18" s="536" t="e">
        <f t="array" ref="H18">INDEX('GHI DB'!$A$3:$BS$21,MATCH('GTLI Policy Features - old'!H$9,'GHI DB'!$A$3:$A$21,0),MATCH('GTLI Policy Features - old'!$E18,'GHI DB'!$A$3:$BS$3,0))</f>
        <v>#N/A</v>
      </c>
      <c r="I18" s="526" t="str">
        <f t="array" ref="I18">INDEX('GHI DB'!$A$3:$BS$21,MATCH('GTLI Policy Features - old'!I$9,'GHI DB'!$A$3:$A$21,0),MATCH('GTLI Policy Features - old'!$E18,'GHI DB'!$A$3:$BS$3,0))</f>
        <v xml:space="preserve">✔ </v>
      </c>
      <c r="J18" s="527" t="str">
        <f t="array" ref="J18">INDEX('GHI DB'!$A$3:$BS$21,MATCH('GTLI Policy Features - old'!J$9,'GHI DB'!$A$3:$A$21,0),MATCH('GTLI Policy Features - old'!$E18,'GHI DB'!$A$3:$BS$3,0))</f>
        <v xml:space="preserve">✔ </v>
      </c>
      <c r="K18" s="426"/>
      <c r="L18" s="501" t="s">
        <v>445</v>
      </c>
      <c r="M18" s="419"/>
      <c r="N18" s="419"/>
      <c r="O18" s="419"/>
      <c r="P18" s="419"/>
      <c r="Q18" s="419"/>
      <c r="R18" s="419"/>
      <c r="S18" s="419"/>
      <c r="T18" s="419"/>
      <c r="U18" s="419"/>
      <c r="V18" s="419"/>
      <c r="W18" s="419"/>
      <c r="X18" s="419"/>
      <c r="Y18" s="419"/>
      <c r="Z18" s="419"/>
    </row>
    <row r="19" spans="2:26">
      <c r="B19" s="1445"/>
      <c r="C19" s="1448"/>
      <c r="D19" s="528" t="str">
        <f>SUBSTITUTE($C$17," ","")</f>
        <v>FamilyDefinition</v>
      </c>
      <c r="E19" s="534" t="s">
        <v>125</v>
      </c>
      <c r="F19" s="431"/>
      <c r="G19" s="537" t="e">
        <f t="array" ref="G19">INDEX('GHI DB'!$A$3:$BS$21,MATCH('GTLI Policy Features - old'!G$9,'GHI DB'!$A$3:$A$21,0),MATCH('GTLI Policy Features - old'!$E19,'GHI DB'!$A$3:$BS$3,0))</f>
        <v>#N/A</v>
      </c>
      <c r="H19" s="538" t="e">
        <f t="array" ref="H19">INDEX('GHI DB'!$A$3:$BS$21,MATCH('GTLI Policy Features - old'!H$9,'GHI DB'!$A$3:$A$21,0),MATCH('GTLI Policy Features - old'!$E19,'GHI DB'!$A$3:$BS$3,0))</f>
        <v>#N/A</v>
      </c>
      <c r="I19" s="526">
        <f t="array" ref="I19">INDEX('GHI DB'!$A$3:$BS$21,MATCH('GTLI Policy Features - old'!I$9,'GHI DB'!$A$3:$A$21,0),MATCH('GTLI Policy Features - old'!$E19,'GHI DB'!$A$3:$BS$3,0))</f>
        <v>2</v>
      </c>
      <c r="J19" s="527">
        <f t="array" ref="J19">INDEX('GHI DB'!$A$3:$BS$21,MATCH('GTLI Policy Features - old'!J$9,'GHI DB'!$A$3:$A$21,0),MATCH('GTLI Policy Features - old'!$E19,'GHI DB'!$A$3:$BS$3,0))</f>
        <v>2</v>
      </c>
      <c r="K19" s="427"/>
      <c r="L19" s="502" t="s">
        <v>485</v>
      </c>
      <c r="M19" s="419"/>
      <c r="N19" s="419"/>
      <c r="O19" s="419"/>
      <c r="P19" s="419"/>
      <c r="Q19" s="419"/>
      <c r="R19" s="419"/>
      <c r="S19" s="419"/>
      <c r="T19" s="419"/>
      <c r="U19" s="419"/>
      <c r="V19" s="419"/>
      <c r="W19" s="419"/>
      <c r="X19" s="419"/>
      <c r="Y19" s="419"/>
      <c r="Z19" s="419"/>
    </row>
    <row r="20" spans="2:26" ht="36.6" thickBot="1">
      <c r="B20" s="1446"/>
      <c r="C20" s="1449"/>
      <c r="D20" s="528" t="str">
        <f>SUBSTITUTE($C$17," ","")</f>
        <v>FamilyDefinition</v>
      </c>
      <c r="E20" s="539" t="s">
        <v>126</v>
      </c>
      <c r="F20" s="431"/>
      <c r="G20" s="540" t="e">
        <f t="array" ref="G20">INDEX('GHI DB'!$A$3:$BS$21,MATCH('GTLI Policy Features - old'!G$9,'GHI DB'!$A$3:$A$21,0),MATCH('GTLI Policy Features - old'!$E20,'GHI DB'!$A$3:$BS$3,0))</f>
        <v>#N/A</v>
      </c>
      <c r="H20" s="541" t="e">
        <f t="array" ref="H20">INDEX('GHI DB'!$A$3:$BS$21,MATCH('GTLI Policy Features - old'!H$9,'GHI DB'!$A$3:$A$21,0),MATCH('GTLI Policy Features - old'!$E20,'GHI DB'!$A$3:$BS$3,0))</f>
        <v>#N/A</v>
      </c>
      <c r="I20" s="542" t="str">
        <f t="array" ref="I20">INDEX('GHI DB'!$A$3:$BS$21,MATCH('GTLI Policy Features - old'!I$9,'GHI DB'!$A$3:$A$21,0),MATCH('GTLI Policy Features - old'!$E20,'GHI DB'!$A$3:$BS$3,0))</f>
        <v xml:space="preserve">✔ </v>
      </c>
      <c r="J20" s="543" t="str">
        <f t="array" ref="J20">INDEX('GHI DB'!$A$3:$BS$21,MATCH('GTLI Policy Features - old'!J$9,'GHI DB'!$A$3:$A$21,0),MATCH('GTLI Policy Features - old'!$E20,'GHI DB'!$A$3:$BS$3,0))</f>
        <v xml:space="preserve">✔ </v>
      </c>
      <c r="K20" s="426"/>
      <c r="L20" s="503" t="s">
        <v>485</v>
      </c>
      <c r="M20" s="419"/>
      <c r="N20" s="419"/>
      <c r="O20" s="419"/>
      <c r="P20" s="419" t="s">
        <v>357</v>
      </c>
      <c r="Q20" s="419"/>
      <c r="R20" s="419"/>
      <c r="S20" s="419"/>
      <c r="T20" s="419"/>
      <c r="U20" s="419"/>
      <c r="V20" s="419"/>
      <c r="W20" s="419"/>
      <c r="X20" s="419"/>
      <c r="Y20" s="419"/>
      <c r="Z20" s="419"/>
    </row>
    <row r="21" spans="2:26" ht="18.600000000000001" thickBot="1">
      <c r="B21" s="1450"/>
      <c r="C21" s="1450"/>
      <c r="D21" s="1450"/>
      <c r="E21" s="1450"/>
      <c r="F21" s="1450"/>
      <c r="G21" s="1450"/>
      <c r="H21" s="1450"/>
      <c r="I21" s="1450"/>
      <c r="J21" s="1450"/>
      <c r="K21" s="426"/>
      <c r="L21" s="519"/>
      <c r="M21" s="419"/>
      <c r="N21" s="419"/>
      <c r="O21" s="419"/>
      <c r="P21" s="419"/>
      <c r="Q21" s="419"/>
      <c r="R21" s="419"/>
      <c r="S21" s="419"/>
      <c r="T21" s="419"/>
      <c r="U21" s="419"/>
      <c r="V21" s="419"/>
      <c r="W21" s="419"/>
      <c r="X21" s="419"/>
      <c r="Y21" s="419"/>
      <c r="Z21" s="419"/>
    </row>
    <row r="22" spans="2:26">
      <c r="B22" s="1451" t="s">
        <v>358</v>
      </c>
      <c r="C22" s="544" t="s">
        <v>359</v>
      </c>
      <c r="D22" s="545" t="str">
        <f>SUBSTITUTE(C22," ","")</f>
        <v>TypeofCover</v>
      </c>
      <c r="E22" s="529" t="s">
        <v>360</v>
      </c>
      <c r="F22" s="431"/>
      <c r="G22" s="546" t="e">
        <f t="array" ref="G22">INDEX('GHI DB'!$A$3:$BS$21,MATCH('GTLI Policy Features - old'!G$9,'GHI DB'!$A$3:$A$21,0),MATCH('GTLI Policy Features - old'!$E22,'GHI DB'!$A$3:$BS$3,0))</f>
        <v>#N/A</v>
      </c>
      <c r="H22" s="547" t="e">
        <f t="array" ref="H22">INDEX('GHI DB'!$A$3:$BS$21,MATCH('GTLI Policy Features - old'!H$9,'GHI DB'!$A$3:$A$21,0),MATCH('GTLI Policy Features - old'!$E22,'GHI DB'!$A$3:$BS$3,0))</f>
        <v>#N/A</v>
      </c>
      <c r="I22" s="532" t="str">
        <f t="array" ref="I22">INDEX('GHI DB'!$A$3:$BS$21,MATCH('GTLI Policy Features - old'!I$9,'GHI DB'!$A$3:$A$21,0),MATCH('GTLI Policy Features - old'!$E22,'GHI DB'!$A$3:$BS$3,0))</f>
        <v xml:space="preserve">✔ </v>
      </c>
      <c r="J22" s="533" t="str">
        <f t="array" ref="J22">INDEX('GHI DB'!$A$3:$BS$21,MATCH('GTLI Policy Features - old'!J$9,'GHI DB'!$A$3:$A$21,0),MATCH('GTLI Policy Features - old'!$E22,'GHI DB'!$A$3:$BS$3,0))</f>
        <v xml:space="preserve">✔ </v>
      </c>
      <c r="L22" s="505" t="s">
        <v>206</v>
      </c>
      <c r="M22" s="419"/>
      <c r="N22" s="419"/>
      <c r="O22" s="419"/>
      <c r="P22" s="419"/>
      <c r="Q22" s="419"/>
      <c r="R22" s="419"/>
      <c r="S22" s="419"/>
      <c r="T22" s="419"/>
      <c r="U22" s="419"/>
      <c r="V22" s="419"/>
      <c r="W22" s="419"/>
      <c r="X22" s="419"/>
      <c r="Y22" s="419"/>
      <c r="Z22" s="419"/>
    </row>
    <row r="23" spans="2:26" ht="54">
      <c r="B23" s="1452"/>
      <c r="C23" s="548" t="s">
        <v>128</v>
      </c>
      <c r="D23" s="545" t="str">
        <f>SUBSTITUTE(C23," ","")</f>
        <v>RoomRentRestriction</v>
      </c>
      <c r="E23" s="549" t="s">
        <v>650</v>
      </c>
      <c r="F23" s="431"/>
      <c r="G23" s="524" t="e">
        <f t="array" ref="G23">INDEX('GHI DB'!$A$3:$BS$21,MATCH('GTLI Policy Features - old'!G$9,'GHI DB'!$A$3:$A$21,0),MATCH('GTLI Policy Features - old'!$E23,'GHI DB'!$A$3:$BS$3,0))</f>
        <v>#N/A</v>
      </c>
      <c r="H23" s="525" t="e">
        <f t="array" ref="H23">INDEX('GHI DB'!$A$3:$BS$21,MATCH('GTLI Policy Features - old'!H$9,'GHI DB'!$A$3:$A$21,0),MATCH('GTLI Policy Features - old'!$E23,'GHI DB'!$A$3:$BS$3,0))</f>
        <v>#N/A</v>
      </c>
      <c r="I23" s="526" t="str">
        <f t="array" ref="I23">INDEX('GHI DB'!$A$3:$BS$21,MATCH('GTLI Policy Features - old'!I$9,'GHI DB'!$A$3:$A$21,0),MATCH('GTLI Policy Features - old'!$E23,'GHI DB'!$A$3:$BS$3,0))</f>
        <v>✔</v>
      </c>
      <c r="J23" s="527" t="str">
        <f t="array" ref="J23">INDEX('GHI DB'!$A$3:$BS$21,MATCH('GTLI Policy Features - old'!J$9,'GHI DB'!$A$3:$A$21,0),MATCH('GTLI Policy Features - old'!$E23,'GHI DB'!$A$3:$BS$3,0))</f>
        <v>✔</v>
      </c>
      <c r="L23" s="506" t="s">
        <v>651</v>
      </c>
      <c r="M23" s="419"/>
      <c r="N23" s="419"/>
      <c r="O23" s="419"/>
      <c r="P23" s="419"/>
      <c r="Q23" s="419"/>
      <c r="R23" s="419"/>
      <c r="S23" s="419"/>
      <c r="T23" s="419"/>
      <c r="U23" s="419"/>
      <c r="V23" s="419"/>
      <c r="W23" s="419"/>
      <c r="X23" s="419"/>
      <c r="Y23" s="419"/>
      <c r="Z23" s="419"/>
    </row>
    <row r="24" spans="2:26">
      <c r="B24" s="1452"/>
      <c r="C24" s="548" t="s">
        <v>132</v>
      </c>
      <c r="D24" s="545" t="str">
        <f>SUBSTITUTE(C24," ","")</f>
        <v>CoPay</v>
      </c>
      <c r="E24" s="549" t="s">
        <v>133</v>
      </c>
      <c r="F24" s="431"/>
      <c r="G24" s="524" t="e">
        <f>INDEX('GHI DB'!$A$3:$BS$21,MATCH('GTLI Policy Features - old'!G$9,'GHI DB'!$A$3:$A$21,0),MATCH('GTLI Policy Features - old'!$E24,'GHI DB'!$A$3:$BS$3,0))</f>
        <v>#N/A</v>
      </c>
      <c r="H24" s="525" t="e">
        <f t="array" ref="H24">INDEX('GHI DB'!$A$3:$BS$21,MATCH('GTLI Policy Features - old'!H$9,'GHI DB'!$A$3:$A$21,0),MATCH('GTLI Policy Features - old'!$E24,'GHI DB'!$A$3:$BS$3,0))</f>
        <v>#N/A</v>
      </c>
      <c r="I24" s="526" t="str">
        <f t="array" ref="I24">INDEX('GHI DB'!$A$3:$BS$21,MATCH('GTLI Policy Features - old'!I$9,'GHI DB'!$A$3:$A$21,0),MATCH('GTLI Policy Features - old'!$E24,'GHI DB'!$A$3:$BS$3,0))</f>
        <v xml:space="preserve">✔ </v>
      </c>
      <c r="J24" s="527" t="str">
        <f t="array" ref="J24">INDEX('GHI DB'!$A$3:$BS$21,MATCH('GTLI Policy Features - old'!J$9,'GHI DB'!$A$3:$A$21,0),MATCH('GTLI Policy Features - old'!$E24,'GHI DB'!$A$3:$BS$3,0))</f>
        <v xml:space="preserve">✔ </v>
      </c>
      <c r="L24" s="507" t="s">
        <v>483</v>
      </c>
      <c r="M24" s="419"/>
      <c r="N24" s="419"/>
      <c r="O24" s="419"/>
      <c r="P24" s="419"/>
      <c r="Q24" s="419"/>
      <c r="R24" s="419"/>
      <c r="S24" s="419"/>
      <c r="T24" s="419"/>
      <c r="U24" s="419"/>
      <c r="V24" s="419"/>
      <c r="W24" s="419"/>
      <c r="X24" s="419"/>
      <c r="Y24" s="419"/>
      <c r="Z24" s="419"/>
    </row>
    <row r="25" spans="2:26" ht="36">
      <c r="B25" s="1452"/>
      <c r="C25" s="1454" t="s">
        <v>165</v>
      </c>
      <c r="D25" s="545" t="str">
        <f>SUBSTITUTE(C25," ","")</f>
        <v>CorporateBuffer</v>
      </c>
      <c r="E25" s="549" t="s">
        <v>652</v>
      </c>
      <c r="F25" s="431"/>
      <c r="G25" s="524" t="e">
        <f t="array" ref="G25">INDEX('GHI DB'!$A$3:$BS$21,MATCH('GTLI Policy Features - old'!G$9,'GHI DB'!$A$3:$A$21,0),MATCH('GTLI Policy Features - old'!$E25,'GHI DB'!$A$3:$BS$3,0))</f>
        <v>#N/A</v>
      </c>
      <c r="H25" s="525" t="e">
        <f t="array" ref="H25">INDEX('GHI DB'!$A$3:$BS$21,MATCH('GTLI Policy Features - old'!H$9,'GHI DB'!$A$3:$A$21,0),MATCH('GTLI Policy Features - old'!$E25,'GHI DB'!$A$3:$BS$3,0))</f>
        <v>#N/A</v>
      </c>
      <c r="I25" s="526" t="e">
        <f t="array" ref="I25">INDEX('GHI DB'!$A$3:$BS$21,MATCH('GTLI Policy Features - old'!I$9,'GHI DB'!$A$3:$A$21,0),MATCH('GTLI Policy Features - old'!$E25,'GHI DB'!$A$3:$BS$3,0))</f>
        <v>#N/A</v>
      </c>
      <c r="J25" s="527" t="e">
        <f t="array" ref="J25">INDEX('GHI DB'!$A$3:$BS$21,MATCH('GTLI Policy Features - old'!J$9,'GHI DB'!$A$3:$A$21,0),MATCH('GTLI Policy Features - old'!$E25,'GHI DB'!$A$3:$BS$3,0))</f>
        <v>#N/A</v>
      </c>
      <c r="L25" s="508" t="s">
        <v>364</v>
      </c>
      <c r="M25" s="419"/>
      <c r="N25" s="419"/>
      <c r="O25" s="419"/>
      <c r="P25" s="419"/>
      <c r="Q25" s="419"/>
      <c r="R25" s="419"/>
      <c r="S25" s="419"/>
      <c r="T25" s="419"/>
      <c r="U25" s="419"/>
      <c r="V25" s="419"/>
      <c r="W25" s="419"/>
      <c r="X25" s="419"/>
      <c r="Y25" s="419"/>
      <c r="Z25" s="419"/>
    </row>
    <row r="26" spans="2:26" ht="18.600000000000001" thickBot="1">
      <c r="B26" s="1453"/>
      <c r="C26" s="1455"/>
      <c r="D26" s="545" t="str">
        <f>SUBSTITUTE(C26," ","")</f>
        <v/>
      </c>
      <c r="E26" s="550" t="s">
        <v>217</v>
      </c>
      <c r="F26" s="551"/>
      <c r="G26" s="552" t="e">
        <f t="array" ref="G26">INDEX('GHI DB'!$A$3:$BS$21,MATCH('GTLI Policy Features - old'!G$9,'GHI DB'!$A$3:$A$21,0),MATCH('GTLI Policy Features - old'!$E26,'GHI DB'!$A$3:$BS$3,0))</f>
        <v>#N/A</v>
      </c>
      <c r="H26" s="553" t="e">
        <f t="array" ref="H26">INDEX('GHI DB'!$A$3:$BS$21,MATCH('GTLI Policy Features - old'!H$9,'GHI DB'!$A$3:$A$21,0),MATCH('GTLI Policy Features - old'!$E26,'GHI DB'!$A$3:$BS$3,0))</f>
        <v>#N/A</v>
      </c>
      <c r="I26" s="554" t="e">
        <f t="array" ref="I26">INDEX('GHI DB'!$A$3:$BS$21,MATCH('GTLI Policy Features - old'!I$9,'GHI DB'!$A$3:$A$21,0),MATCH('GTLI Policy Features - old'!$E26,'GHI DB'!$A$3:$BS$3,0))</f>
        <v>#N/A</v>
      </c>
      <c r="J26" s="555" t="e">
        <f t="array" ref="J26">INDEX('GHI DB'!$A$3:$BS$21,MATCH('GTLI Policy Features - old'!J$9,'GHI DB'!$A$3:$A$21,0),MATCH('GTLI Policy Features - old'!$E26,'GHI DB'!$A$3:$BS$3,0))</f>
        <v>#N/A</v>
      </c>
      <c r="L26" s="509" t="s">
        <v>445</v>
      </c>
      <c r="M26" s="419"/>
      <c r="N26" s="419"/>
      <c r="O26" s="419"/>
      <c r="P26" s="419"/>
      <c r="Q26" s="419"/>
      <c r="R26" s="419"/>
      <c r="S26" s="419"/>
      <c r="T26" s="419"/>
      <c r="U26" s="419"/>
      <c r="V26" s="419"/>
      <c r="W26" s="419"/>
      <c r="X26" s="419"/>
      <c r="Y26" s="419"/>
      <c r="Z26" s="419"/>
    </row>
    <row r="27" spans="2:26" ht="18.600000000000001" thickBot="1">
      <c r="B27" s="1439"/>
      <c r="C27" s="1439"/>
      <c r="D27" s="1439"/>
      <c r="E27" s="1439"/>
      <c r="F27" s="1439"/>
      <c r="G27" s="1439"/>
      <c r="H27" s="1439"/>
      <c r="I27" s="1439"/>
      <c r="J27" s="1439"/>
      <c r="L27" s="520"/>
      <c r="M27" s="419"/>
      <c r="N27" s="419"/>
      <c r="O27" s="419"/>
      <c r="P27" s="419"/>
      <c r="Q27" s="419"/>
      <c r="R27" s="419"/>
      <c r="S27" s="419"/>
      <c r="T27" s="419"/>
      <c r="U27" s="419"/>
      <c r="V27" s="419"/>
      <c r="W27" s="419"/>
      <c r="X27" s="419"/>
      <c r="Y27" s="419"/>
      <c r="Z27" s="419"/>
    </row>
    <row r="28" spans="2:26">
      <c r="B28" s="1451" t="s">
        <v>365</v>
      </c>
      <c r="C28" s="556" t="s">
        <v>142</v>
      </c>
      <c r="D28" s="545" t="str">
        <f>SUBSTITUTE(C28," ","")</f>
        <v>InpatientHospitalization</v>
      </c>
      <c r="E28" s="529" t="s">
        <v>135</v>
      </c>
      <c r="F28" s="431"/>
      <c r="G28" s="546" t="e">
        <f t="array" ref="G28">INDEX('GHI DB'!$A$3:$BS$21,MATCH('GTLI Policy Features - old'!G$9,'GHI DB'!$A$3:$A$21,0),MATCH('GTLI Policy Features - old'!$E28,'GHI DB'!$A$3:$BS$3,0))</f>
        <v>#N/A</v>
      </c>
      <c r="H28" s="547" t="e">
        <f t="array" ref="H28">INDEX('GHI DB'!$A$3:$BS$21,MATCH('GTLI Policy Features - old'!H$9,'GHI DB'!$A$3:$A$21,0),MATCH('GTLI Policy Features - old'!$E28,'GHI DB'!$A$3:$BS$3,0))</f>
        <v>#N/A</v>
      </c>
      <c r="I28" s="532" t="str">
        <f t="array" ref="I28">INDEX('GHI DB'!$A$3:$BS$21,MATCH('GTLI Policy Features - old'!I$9,'GHI DB'!$A$3:$A$21,0),MATCH('GTLI Policy Features - old'!$E28,'GHI DB'!$A$3:$BS$3,0))</f>
        <v xml:space="preserve">✔ </v>
      </c>
      <c r="J28" s="533" t="str">
        <f t="array" ref="J28">INDEX('GHI DB'!$A$3:$BS$21,MATCH('GTLI Policy Features - old'!J$9,'GHI DB'!$A$3:$A$21,0),MATCH('GTLI Policy Features - old'!$E28,'GHI DB'!$A$3:$BS$3,0))</f>
        <v xml:space="preserve">✔ </v>
      </c>
      <c r="K28" s="421"/>
      <c r="L28" s="510" t="s">
        <v>483</v>
      </c>
      <c r="M28" s="419"/>
      <c r="N28" s="419"/>
      <c r="O28" s="419"/>
      <c r="P28" s="419"/>
      <c r="Q28" s="419"/>
      <c r="R28" s="419"/>
      <c r="S28" s="419"/>
      <c r="T28" s="419"/>
      <c r="U28" s="419"/>
      <c r="V28" s="419"/>
      <c r="W28" s="419"/>
      <c r="X28" s="419"/>
      <c r="Y28" s="419"/>
      <c r="Z28" s="419"/>
    </row>
    <row r="29" spans="2:26">
      <c r="B29" s="1452"/>
      <c r="C29" s="557" t="s">
        <v>245</v>
      </c>
      <c r="D29" s="545" t="str">
        <f>SUBSTITUTE(C29," ","")</f>
        <v>DayCareTreatments</v>
      </c>
      <c r="E29" s="549" t="s">
        <v>366</v>
      </c>
      <c r="F29" s="431"/>
      <c r="G29" s="537" t="e">
        <f t="array" ref="G29">INDEX('GHI DB'!$A$3:$BS$21,MATCH('GTLI Policy Features - old'!G$9,'GHI DB'!$A$3:$A$21,0),MATCH('GTLI Policy Features - old'!$E29,'GHI DB'!$A$3:$BS$3,0))</f>
        <v>#N/A</v>
      </c>
      <c r="H29" s="538" t="e">
        <f t="array" ref="H29">INDEX('GHI DB'!$A$3:$BS$21,MATCH('GTLI Policy Features - old'!H$9,'GHI DB'!$A$3:$A$21,0),MATCH('GTLI Policy Features - old'!$E29,'GHI DB'!$A$3:$BS$3,0))</f>
        <v>#N/A</v>
      </c>
      <c r="I29" s="526" t="str">
        <f t="array" ref="I29">INDEX('GHI DB'!$A$3:$BS$21,MATCH('GTLI Policy Features - old'!I$9,'GHI DB'!$A$3:$A$21,0),MATCH('GTLI Policy Features - old'!$E29,'GHI DB'!$A$3:$BS$3,0))</f>
        <v>✔ 
(Listed Procedures Only)</v>
      </c>
      <c r="J29" s="527" t="str">
        <f t="array" ref="J29">INDEX('GHI DB'!$A$3:$BS$21,MATCH('GTLI Policy Features - old'!J$9,'GHI DB'!$A$3:$A$21,0),MATCH('GTLI Policy Features - old'!$E29,'GHI DB'!$A$3:$BS$3,0))</f>
        <v>✔ 
(Listed Procedures Only)</v>
      </c>
      <c r="K29" s="422"/>
      <c r="L29" s="511" t="s">
        <v>653</v>
      </c>
      <c r="M29" s="419"/>
      <c r="N29" s="419"/>
      <c r="O29" s="419"/>
      <c r="P29" s="419"/>
      <c r="Q29" s="419"/>
      <c r="R29" s="419"/>
      <c r="S29" s="419"/>
      <c r="T29" s="419"/>
      <c r="U29" s="419"/>
      <c r="V29" s="419"/>
      <c r="W29" s="419"/>
      <c r="X29" s="419"/>
      <c r="Y29" s="419"/>
      <c r="Z29" s="419"/>
    </row>
    <row r="30" spans="2:26">
      <c r="B30" s="1452"/>
      <c r="C30" s="557" t="s">
        <v>255</v>
      </c>
      <c r="D30" s="545" t="str">
        <f>SUBSTITUTE(C30," ","")</f>
        <v>DiseaseCapping</v>
      </c>
      <c r="E30" s="549" t="s">
        <v>256</v>
      </c>
      <c r="F30" s="431"/>
      <c r="G30" s="535" t="e">
        <f t="array" ref="G30">INDEX('GHI DB'!$A$3:$BS$21,MATCH('GTLI Policy Features - old'!G$9,'GHI DB'!$A$3:$A$21,0),MATCH('GTLI Policy Features - old'!$E30,'GHI DB'!$A$3:$BS$3,0))</f>
        <v>#N/A</v>
      </c>
      <c r="H30" s="558" t="e">
        <f t="array" ref="H30">INDEX('GHI DB'!$A$3:$BS$21,MATCH('GTLI Policy Features - old'!H$9,'GHI DB'!$A$3:$A$21,0),MATCH('GTLI Policy Features - old'!$E30,'GHI DB'!$A$3:$BS$3,0))</f>
        <v>#N/A</v>
      </c>
      <c r="I30" s="526" t="str">
        <f t="array" ref="I30">INDEX('GHI DB'!$A$3:$BS$21,MATCH('GTLI Policy Features - old'!I$9,'GHI DB'!$A$3:$A$21,0),MATCH('GTLI Policy Features - old'!$E30,'GHI DB'!$A$3:$BS$3,0))</f>
        <v xml:space="preserve">✔ </v>
      </c>
      <c r="J30" s="527" t="str">
        <f t="array" ref="J30">INDEX('GHI DB'!$A$3:$BS$21,MATCH('GTLI Policy Features - old'!J$9,'GHI DB'!$A$3:$A$21,0),MATCH('GTLI Policy Features - old'!$E30,'GHI DB'!$A$3:$BS$3,0))</f>
        <v xml:space="preserve">✔ </v>
      </c>
      <c r="K30" s="419"/>
      <c r="L30" s="511" t="s">
        <v>483</v>
      </c>
      <c r="M30" s="419"/>
      <c r="N30" s="419"/>
      <c r="O30" s="419"/>
      <c r="P30" s="419"/>
      <c r="Q30" s="419"/>
      <c r="R30" s="419"/>
      <c r="S30" s="419"/>
      <c r="T30" s="419"/>
      <c r="U30" s="419"/>
      <c r="V30" s="419"/>
      <c r="W30" s="419"/>
      <c r="X30" s="419"/>
      <c r="Y30" s="419"/>
      <c r="Z30" s="419"/>
    </row>
    <row r="31" spans="2:26">
      <c r="B31" s="1452"/>
      <c r="C31" s="557" t="s">
        <v>367</v>
      </c>
      <c r="D31" s="545" t="str">
        <f>SUBSTITUTE(C31," ","")</f>
        <v>COVID19Coverage</v>
      </c>
      <c r="E31" s="549" t="s">
        <v>135</v>
      </c>
      <c r="F31" s="431"/>
      <c r="G31" s="535" t="e">
        <f t="array" ref="G31">INDEX('GHI DB'!$A$3:$BS$21,MATCH('GTLI Policy Features - old'!G$9,'GHI DB'!$A$3:$A$21,0),MATCH('GTLI Policy Features - old'!$E31,'GHI DB'!$A$3:$BS$3,0))</f>
        <v>#N/A</v>
      </c>
      <c r="H31" s="536" t="e">
        <f t="array" ref="H31">INDEX('GHI DB'!$A$3:$BS$21,MATCH('GTLI Policy Features - old'!H$9,'GHI DB'!$A$3:$A$21,0),MATCH('GTLI Policy Features - old'!$E31,'GHI DB'!$A$3:$BS$3,0))</f>
        <v>#N/A</v>
      </c>
      <c r="I31" s="526" t="str">
        <f t="array" ref="I31">INDEX('GHI DB'!$A$3:$BS$21,MATCH('GTLI Policy Features - old'!I$9,'GHI DB'!$A$3:$A$21,0),MATCH('GTLI Policy Features - old'!$E31,'GHI DB'!$A$3:$BS$3,0))</f>
        <v xml:space="preserve">✔ </v>
      </c>
      <c r="J31" s="527" t="str">
        <f t="array" ref="J31">INDEX('GHI DB'!$A$3:$BS$21,MATCH('GTLI Policy Features - old'!J$9,'GHI DB'!$A$3:$A$21,0),MATCH('GTLI Policy Features - old'!$E31,'GHI DB'!$A$3:$BS$3,0))</f>
        <v xml:space="preserve">✔ </v>
      </c>
      <c r="K31" s="419"/>
      <c r="L31" s="511" t="s">
        <v>483</v>
      </c>
      <c r="M31" s="419"/>
      <c r="N31" s="419"/>
      <c r="O31" s="419"/>
      <c r="P31" s="419"/>
      <c r="Q31" s="419"/>
      <c r="R31" s="419"/>
      <c r="S31" s="419"/>
      <c r="T31" s="419"/>
      <c r="U31" s="419"/>
      <c r="V31" s="419"/>
      <c r="W31" s="419"/>
      <c r="X31" s="419"/>
      <c r="Y31" s="419"/>
      <c r="Z31" s="419"/>
    </row>
    <row r="32" spans="2:26" ht="54.6" thickBot="1">
      <c r="B32" s="1453"/>
      <c r="C32" s="559" t="s">
        <v>260</v>
      </c>
      <c r="D32" s="545" t="str">
        <f>SUBSTITUTE(C32," ","")</f>
        <v>DomicillaryHospitalization</v>
      </c>
      <c r="E32" s="560" t="s">
        <v>261</v>
      </c>
      <c r="F32" s="561"/>
      <c r="G32" s="562" t="e">
        <f t="array" ref="G32">INDEX('GHI DB'!$A$3:$BS$21,MATCH('GTLI Policy Features - old'!G$9,'GHI DB'!$A$3:$A$21,0),MATCH('GTLI Policy Features - old'!$E32,'GHI DB'!$A$3:$BS$3,0))</f>
        <v>#N/A</v>
      </c>
      <c r="H32" s="553" t="e">
        <f t="array" ref="H32">INDEX('GHI DB'!$A$3:$BS$21,MATCH('GTLI Policy Features - old'!H$9,'GHI DB'!$A$3:$A$21,0),MATCH('GTLI Policy Features - old'!$E32,'GHI DB'!$A$3:$BS$3,0))</f>
        <v>#N/A</v>
      </c>
      <c r="I32" s="542" t="str">
        <f t="array" ref="I32">INDEX('GHI DB'!$A$3:$BS$21,MATCH('GTLI Policy Features - old'!I$9,'GHI DB'!$A$3:$A$21,0),MATCH('GTLI Policy Features - old'!$E32,'GHI DB'!$A$3:$BS$3,0))</f>
        <v>✖</v>
      </c>
      <c r="J32" s="543" t="str">
        <f t="array" ref="J32">INDEX('GHI DB'!$A$3:$BS$21,MATCH('GTLI Policy Features - old'!J$9,'GHI DB'!$A$3:$A$21,0),MATCH('GTLI Policy Features - old'!$E32,'GHI DB'!$A$3:$BS$3,0))</f>
        <v xml:space="preserve">✔ </v>
      </c>
      <c r="K32" s="419"/>
      <c r="L32" s="512" t="s">
        <v>483</v>
      </c>
      <c r="M32" s="419"/>
      <c r="N32" s="419"/>
      <c r="O32" s="419"/>
      <c r="P32" s="419"/>
      <c r="Q32" s="419"/>
      <c r="R32" s="419"/>
      <c r="S32" s="419"/>
      <c r="T32" s="419"/>
      <c r="U32" s="419"/>
      <c r="V32" s="419"/>
      <c r="W32" s="419"/>
      <c r="X32" s="419"/>
      <c r="Y32" s="419"/>
      <c r="Z32" s="419"/>
    </row>
    <row r="33" spans="2:26" ht="18.600000000000001" thickBot="1">
      <c r="B33" s="1439"/>
      <c r="C33" s="1439"/>
      <c r="D33" s="1439"/>
      <c r="E33" s="1439"/>
      <c r="F33" s="1439"/>
      <c r="G33" s="1439"/>
      <c r="H33" s="1439"/>
      <c r="I33" s="1439"/>
      <c r="J33" s="1439"/>
      <c r="K33" s="419"/>
      <c r="L33" s="521"/>
      <c r="M33" s="419"/>
      <c r="N33" s="419"/>
      <c r="O33" s="419"/>
      <c r="P33" s="419"/>
      <c r="Q33" s="419"/>
      <c r="R33" s="419"/>
      <c r="S33" s="419"/>
      <c r="T33" s="419"/>
      <c r="U33" s="419"/>
      <c r="V33" s="419"/>
      <c r="W33" s="419"/>
      <c r="X33" s="419"/>
      <c r="Y33" s="419"/>
      <c r="Z33" s="419"/>
    </row>
    <row r="34" spans="2:26" ht="90.6" thickBot="1">
      <c r="B34" s="454" t="s">
        <v>368</v>
      </c>
      <c r="C34" s="563" t="s">
        <v>136</v>
      </c>
      <c r="D34" s="545" t="str">
        <f>SUBSTITUTE(C34," ","")</f>
        <v>PreandPostHospitalizationCoverage</v>
      </c>
      <c r="E34" s="564" t="s">
        <v>369</v>
      </c>
      <c r="F34" s="561"/>
      <c r="G34" s="565" t="e">
        <f t="array" ref="G34">INDEX('GHI DB'!$A$3:$BS$21,MATCH('GTLI Policy Features - old'!G$9,'GHI DB'!$A$3:$A$21,0),MATCH('GTLI Policy Features - old'!$E34,'GHI DB'!$A$3:$BS$3,0))</f>
        <v>#N/A</v>
      </c>
      <c r="H34" s="566" t="e">
        <f>INDEX('GHI DB'!$A$3:$BS$21,MATCH('GTLI Policy Features - old'!H$9,'GHI DB'!$A$3:$A$21,0),MATCH('GTLI Policy Features - old'!$E34,'GHI DB'!$A$3:$BS$3,0))</f>
        <v>#N/A</v>
      </c>
      <c r="I34" s="567" t="str">
        <f t="array" ref="I34">INDEX('GHI DB'!$A$3:$BS$21,MATCH('GTLI Policy Features - old'!I$9,'GHI DB'!$A$3:$A$21,0),MATCH('GTLI Policy Features - old'!$E34,'GHI DB'!$A$3:$BS$3,0))</f>
        <v>60/90 Days</v>
      </c>
      <c r="J34" s="568" t="str">
        <f t="array" ref="J34">INDEX('GHI DB'!$A$3:$BS$21,MATCH('GTLI Policy Features - old'!J$9,'GHI DB'!$A$3:$A$21,0),MATCH('GTLI Policy Features - old'!$E34,'GHI DB'!$A$3:$BS$3,0))</f>
        <v>30/60 days</v>
      </c>
      <c r="K34" s="419"/>
      <c r="L34" s="513" t="s">
        <v>483</v>
      </c>
      <c r="M34" s="419"/>
      <c r="N34" s="419"/>
      <c r="O34" s="419"/>
      <c r="P34" s="419"/>
      <c r="Q34" s="419"/>
      <c r="R34" s="419"/>
      <c r="S34" s="419"/>
      <c r="T34" s="419"/>
      <c r="U34" s="419"/>
      <c r="V34" s="419"/>
      <c r="W34" s="419"/>
      <c r="X34" s="419"/>
      <c r="Y34" s="419"/>
      <c r="Z34" s="419"/>
    </row>
    <row r="35" spans="2:26" ht="18.600000000000001" thickBot="1">
      <c r="B35" s="1439"/>
      <c r="C35" s="1439"/>
      <c r="D35" s="1439"/>
      <c r="E35" s="1439"/>
      <c r="F35" s="1439"/>
      <c r="G35" s="1439"/>
      <c r="H35" s="1439"/>
      <c r="I35" s="1439"/>
      <c r="J35" s="1439"/>
      <c r="K35" s="419"/>
      <c r="L35" s="522"/>
      <c r="M35" s="419"/>
      <c r="N35" s="419"/>
      <c r="O35" s="419"/>
      <c r="P35" s="419"/>
      <c r="Q35" s="419"/>
      <c r="R35" s="419"/>
      <c r="S35" s="419"/>
      <c r="T35" s="419"/>
      <c r="U35" s="419"/>
      <c r="V35" s="419"/>
      <c r="W35" s="419"/>
      <c r="X35" s="419"/>
      <c r="Y35" s="419"/>
      <c r="Z35" s="419"/>
    </row>
    <row r="36" spans="2:26" ht="36">
      <c r="B36" s="1436" t="s">
        <v>370</v>
      </c>
      <c r="C36" s="556" t="s">
        <v>130</v>
      </c>
      <c r="D36" s="545" t="str">
        <f>SUBSTITUTE(C36," ","")</f>
        <v>MaternityCover</v>
      </c>
      <c r="E36" s="529" t="s">
        <v>131</v>
      </c>
      <c r="F36" s="561"/>
      <c r="G36" s="546" t="e">
        <f t="array" ref="G36">INDEX('GHI DB'!$A$3:$BS$21,MATCH('GTLI Policy Features - old'!G$9,'GHI DB'!$A$3:$A$21,0),MATCH('GTLI Policy Features - old'!$E36,'GHI DB'!$A$3:$BS$3,0))</f>
        <v>#N/A</v>
      </c>
      <c r="H36" s="547" t="e">
        <f t="array" ref="H36">INDEX('GHI DB'!$A$3:$BS$21,MATCH('GTLI Policy Features - old'!H$9,'GHI DB'!$A$3:$A$21,0),MATCH('GTLI Policy Features - old'!$E36,'GHI DB'!$A$3:$BS$3,0))</f>
        <v>#N/A</v>
      </c>
      <c r="I36" s="532" t="str">
        <f t="array" ref="I36">INDEX('GHI DB'!$A$3:$BS$21,MATCH('GTLI Policy Features - old'!I$9,'GHI DB'!$A$3:$A$21,0),MATCH('GTLI Policy Features - old'!$E36,'GHI DB'!$A$3:$BS$3,0))</f>
        <v xml:space="preserve">✔ </v>
      </c>
      <c r="J36" s="533" t="str">
        <f t="array" ref="J36">INDEX('GHI DB'!$A$3:$BS$21,MATCH('GTLI Policy Features - old'!J$9,'GHI DB'!$A$3:$A$21,0),MATCH('GTLI Policy Features - old'!$E36,'GHI DB'!$A$3:$BS$3,0))</f>
        <v xml:space="preserve">✔ </v>
      </c>
      <c r="K36" s="419"/>
      <c r="L36" s="510" t="s">
        <v>485</v>
      </c>
      <c r="M36" s="419"/>
      <c r="N36" s="419"/>
      <c r="O36" s="419"/>
      <c r="P36" s="419"/>
      <c r="Q36" s="419"/>
      <c r="R36" s="419"/>
      <c r="S36" s="419"/>
      <c r="T36" s="419"/>
      <c r="U36" s="419"/>
      <c r="V36" s="419"/>
      <c r="W36" s="419"/>
      <c r="X36" s="419"/>
      <c r="Y36" s="419"/>
      <c r="Z36" s="419"/>
    </row>
    <row r="37" spans="2:26">
      <c r="B37" s="1437"/>
      <c r="C37" s="557" t="s">
        <v>273</v>
      </c>
      <c r="D37" s="545" t="str">
        <f>SUBSTITUTE(C37," ","")</f>
        <v>MaternityWaitingPeriod</v>
      </c>
      <c r="E37" s="549" t="s">
        <v>371</v>
      </c>
      <c r="F37" s="431"/>
      <c r="G37" s="524" t="e">
        <f t="array" ref="G37">INDEX('GHI DB'!$A$3:$BS$21,MATCH('GTLI Policy Features - old'!G$9,'GHI DB'!$A$3:$A$21,0),MATCH('GTLI Policy Features - old'!$E37,'GHI DB'!$A$3:$BS$3,0))</f>
        <v>#N/A</v>
      </c>
      <c r="H37" s="525" t="e">
        <f t="array" ref="H37">INDEX('GHI DB'!$A$3:$BS$21,MATCH('GTLI Policy Features - old'!H$9,'GHI DB'!$A$3:$A$21,0),MATCH('GTLI Policy Features - old'!$E37,'GHI DB'!$A$3:$BS$3,0))</f>
        <v>#N/A</v>
      </c>
      <c r="I37" s="526" t="str">
        <f t="array" ref="I37">INDEX('GHI DB'!$A$3:$BS$21,MATCH('GTLI Policy Features - old'!I$9,'GHI DB'!$A$3:$A$21,0),MATCH('GTLI Policy Features - old'!$E37,'GHI DB'!$A$3:$BS$3,0))</f>
        <v>Not Applicable</v>
      </c>
      <c r="J37" s="527" t="str">
        <f t="array" ref="J37">INDEX('GHI DB'!$A$3:$BS$21,MATCH('GTLI Policy Features - old'!J$9,'GHI DB'!$A$3:$A$21,0),MATCH('GTLI Policy Features - old'!$E37,'GHI DB'!$A$3:$BS$3,0))</f>
        <v>Not Applicable</v>
      </c>
      <c r="K37" s="419"/>
      <c r="L37" s="511" t="s">
        <v>445</v>
      </c>
      <c r="M37" s="419"/>
      <c r="N37" s="419"/>
      <c r="O37" s="419"/>
      <c r="P37" s="419"/>
      <c r="Q37" s="419"/>
      <c r="R37" s="419"/>
      <c r="S37" s="419"/>
      <c r="T37" s="419"/>
      <c r="U37" s="419"/>
      <c r="V37" s="419"/>
      <c r="W37" s="419"/>
      <c r="X37" s="419"/>
      <c r="Y37" s="419"/>
      <c r="Z37" s="419"/>
    </row>
    <row r="38" spans="2:26" ht="18.600000000000001" thickBot="1">
      <c r="B38" s="1438"/>
      <c r="C38" s="559" t="s">
        <v>164</v>
      </c>
      <c r="D38" s="545" t="str">
        <f>SUBSTITUTE(C38," ","")</f>
        <v>PreandPostNatalExpenses</v>
      </c>
      <c r="E38" s="560" t="s">
        <v>275</v>
      </c>
      <c r="F38" s="561"/>
      <c r="G38" s="540" t="e">
        <f t="array" ref="G38">INDEX('GHI DB'!$A$3:$BS$21,MATCH('GTLI Policy Features - old'!G$9,'GHI DB'!$A$3:$A$21,0),MATCH('GTLI Policy Features - old'!$E38,'GHI DB'!$A$3:$BS$3,0))</f>
        <v>#N/A</v>
      </c>
      <c r="H38" s="553" t="e">
        <f t="array" ref="H38">INDEX('GHI DB'!$A$3:$BS$21,MATCH('GTLI Policy Features - old'!H$9,'GHI DB'!$A$3:$A$21,0),MATCH('GTLI Policy Features - old'!$E38,'GHI DB'!$A$3:$BS$3,0))</f>
        <v>#N/A</v>
      </c>
      <c r="I38" s="542" t="str">
        <f t="array" ref="I38">INDEX('GHI DB'!$A$3:$BS$21,MATCH('GTLI Policy Features - old'!I$9,'GHI DB'!$A$3:$A$21,0),MATCH('GTLI Policy Features - old'!$E38,'GHI DB'!$A$3:$BS$3,0))</f>
        <v xml:space="preserve">Upto Rs. 5K </v>
      </c>
      <c r="J38" s="543" t="str">
        <f t="array" ref="J38">INDEX('GHI DB'!$A$3:$BS$21,MATCH('GTLI Policy Features - old'!J$9,'GHI DB'!$A$3:$A$21,0),MATCH('GTLI Policy Features - old'!$E38,'GHI DB'!$A$3:$BS$3,0))</f>
        <v xml:space="preserve">Upto Rs. 2.5K </v>
      </c>
      <c r="K38" s="419"/>
      <c r="L38" s="512" t="s">
        <v>445</v>
      </c>
      <c r="M38" s="419"/>
      <c r="N38" s="419"/>
      <c r="O38" s="419"/>
      <c r="P38" s="419"/>
      <c r="Q38" s="419"/>
      <c r="R38" s="419"/>
      <c r="S38" s="419"/>
      <c r="T38" s="419"/>
      <c r="U38" s="419"/>
      <c r="V38" s="419"/>
      <c r="W38" s="419"/>
      <c r="X38" s="419"/>
      <c r="Y38" s="419"/>
      <c r="Z38" s="419"/>
    </row>
    <row r="39" spans="2:26" ht="18.600000000000001" thickBot="1">
      <c r="B39" s="1439"/>
      <c r="C39" s="1439"/>
      <c r="D39" s="1439"/>
      <c r="E39" s="1439"/>
      <c r="F39" s="1439"/>
      <c r="G39" s="1439"/>
      <c r="H39" s="1439"/>
      <c r="I39" s="1439"/>
      <c r="J39" s="1439"/>
      <c r="K39" s="419"/>
      <c r="L39" s="523"/>
      <c r="M39" s="419"/>
      <c r="N39" s="419"/>
      <c r="O39" s="419"/>
      <c r="P39" s="419"/>
      <c r="Q39" s="419"/>
      <c r="R39" s="419"/>
      <c r="S39" s="419"/>
      <c r="T39" s="419"/>
      <c r="U39" s="419"/>
      <c r="V39" s="419"/>
      <c r="W39" s="419"/>
      <c r="X39" s="419"/>
      <c r="Y39" s="419"/>
      <c r="Z39" s="419"/>
    </row>
    <row r="40" spans="2:26">
      <c r="B40" s="1436" t="s">
        <v>372</v>
      </c>
      <c r="C40" s="556" t="s">
        <v>278</v>
      </c>
      <c r="D40" s="545" t="str">
        <f>SUBSTITUTE(C40," ","")</f>
        <v>InitialWaitingPeriod</v>
      </c>
      <c r="E40" s="529" t="s">
        <v>274</v>
      </c>
      <c r="F40" s="431"/>
      <c r="G40" s="530" t="e">
        <f t="array" ref="G40">INDEX('GHI DB'!$A$3:$BS$21,MATCH('GTLI Policy Features - old'!G$9,'GHI DB'!$A$3:$A$21,0),MATCH('GTLI Policy Features - old'!$E40,'GHI DB'!$A$3:$BS$3,0))</f>
        <v>#N/A</v>
      </c>
      <c r="H40" s="531" t="e">
        <f t="array" ref="H40">INDEX('GHI DB'!$A$3:$BS$21,MATCH('GTLI Policy Features - old'!H$9,'GHI DB'!$A$3:$A$21,0),MATCH('GTLI Policy Features - old'!$E40,'GHI DB'!$A$3:$BS$3,0))</f>
        <v>#N/A</v>
      </c>
      <c r="I40" s="532" t="str">
        <f t="array" ref="I40">INDEX('GHI DB'!$A$3:$BS$21,MATCH('GTLI Policy Features - old'!I$9,'GHI DB'!$A$3:$A$21,0),MATCH('GTLI Policy Features - old'!$E40,'GHI DB'!$A$3:$BS$3,0))</f>
        <v xml:space="preserve">✔ </v>
      </c>
      <c r="J40" s="533" t="str">
        <f t="array" ref="J40">INDEX('GHI DB'!$A$3:$BS$21,MATCH('GTLI Policy Features - old'!J$9,'GHI DB'!$A$3:$A$21,0),MATCH('GTLI Policy Features - old'!$E40,'GHI DB'!$A$3:$BS$3,0))</f>
        <v xml:space="preserve">✔ </v>
      </c>
      <c r="K40" s="419"/>
      <c r="L40" s="510"/>
      <c r="M40" s="419"/>
      <c r="N40" s="419"/>
      <c r="O40" s="419"/>
      <c r="P40" s="419"/>
      <c r="Q40" s="419"/>
      <c r="R40" s="419"/>
      <c r="S40" s="419"/>
      <c r="T40" s="419"/>
      <c r="U40" s="419"/>
      <c r="V40" s="419"/>
      <c r="W40" s="419"/>
      <c r="X40" s="419"/>
      <c r="Y40" s="419"/>
      <c r="Z40" s="419"/>
    </row>
    <row r="41" spans="2:26" ht="36">
      <c r="B41" s="1437"/>
      <c r="C41" s="557" t="s">
        <v>279</v>
      </c>
      <c r="D41" s="545" t="str">
        <f>SUBSTITUTE(C41," ","")</f>
        <v>SpecificDiseasesWaitingPeriod</v>
      </c>
      <c r="E41" s="549" t="s">
        <v>274</v>
      </c>
      <c r="F41" s="431"/>
      <c r="G41" s="535" t="e">
        <f t="array" ref="G41">INDEX('GHI DB'!$A$3:$BS$21,MATCH('GTLI Policy Features - old'!G$9,'GHI DB'!$A$3:$A$21,0),MATCH('GTLI Policy Features - old'!$E41,'GHI DB'!$A$3:$BS$3,0))</f>
        <v>#N/A</v>
      </c>
      <c r="H41" s="536" t="e">
        <f t="array" ref="H41">INDEX('GHI DB'!$A$3:$BS$21,MATCH('GTLI Policy Features - old'!H$9,'GHI DB'!$A$3:$A$21,0),MATCH('GTLI Policy Features - old'!$E41,'GHI DB'!$A$3:$BS$3,0))</f>
        <v>#N/A</v>
      </c>
      <c r="I41" s="526" t="str">
        <f t="array" ref="I41">INDEX('GHI DB'!$A$3:$BS$21,MATCH('GTLI Policy Features - old'!I$9,'GHI DB'!$A$3:$A$21,0),MATCH('GTLI Policy Features - old'!$E41,'GHI DB'!$A$3:$BS$3,0))</f>
        <v xml:space="preserve">✔ </v>
      </c>
      <c r="J41" s="527" t="str">
        <f t="array" ref="J41">INDEX('GHI DB'!$A$3:$BS$21,MATCH('GTLI Policy Features - old'!J$9,'GHI DB'!$A$3:$A$21,0),MATCH('GTLI Policy Features - old'!$E41,'GHI DB'!$A$3:$BS$3,0))</f>
        <v xml:space="preserve">✔ </v>
      </c>
      <c r="K41" s="419"/>
      <c r="L41" s="511"/>
      <c r="M41" s="419"/>
      <c r="N41" s="419"/>
      <c r="O41" s="419"/>
      <c r="P41" s="419"/>
      <c r="Q41" s="419"/>
      <c r="R41" s="419"/>
      <c r="S41" s="419"/>
      <c r="T41" s="419"/>
      <c r="U41" s="419"/>
      <c r="V41" s="419"/>
      <c r="W41" s="419"/>
      <c r="X41" s="419"/>
      <c r="Y41" s="419"/>
      <c r="Z41" s="419"/>
    </row>
    <row r="42" spans="2:26" ht="36.6" thickBot="1">
      <c r="B42" s="1438"/>
      <c r="C42" s="559" t="s">
        <v>375</v>
      </c>
      <c r="D42" s="545" t="str">
        <f>SUBSTITUTE(C42," ","")</f>
        <v>PreExistingDiseasesWaitingPeriod</v>
      </c>
      <c r="E42" s="560" t="s">
        <v>274</v>
      </c>
      <c r="F42" s="431"/>
      <c r="G42" s="562" t="e">
        <f t="array" ref="G42">INDEX('GHI DB'!$A$3:$BS$21,MATCH('GTLI Policy Features - old'!G$9,'GHI DB'!$A$3:$A$21,0),MATCH('GTLI Policy Features - old'!$E42,'GHI DB'!$A$3:$BS$3,0))</f>
        <v>#N/A</v>
      </c>
      <c r="H42" s="569" t="e">
        <f t="array" ref="H42">INDEX('GHI DB'!$A$3:$BS$21,MATCH('GTLI Policy Features - old'!H$9,'GHI DB'!$A$3:$A$21,0),MATCH('GTLI Policy Features - old'!$E42,'GHI DB'!$A$3:$BS$3,0))</f>
        <v>#N/A</v>
      </c>
      <c r="I42" s="542" t="str">
        <f t="array" ref="I42">INDEX('GHI DB'!$A$3:$BS$21,MATCH('GTLI Policy Features - old'!I$9,'GHI DB'!$A$3:$A$21,0),MATCH('GTLI Policy Features - old'!$E42,'GHI DB'!$A$3:$BS$3,0))</f>
        <v xml:space="preserve">✔ </v>
      </c>
      <c r="J42" s="543" t="str">
        <f t="array" ref="J42">INDEX('GHI DB'!$A$3:$BS$21,MATCH('GTLI Policy Features - old'!J$9,'GHI DB'!$A$3:$A$21,0),MATCH('GTLI Policy Features - old'!$E42,'GHI DB'!$A$3:$BS$3,0))</f>
        <v xml:space="preserve">✔ </v>
      </c>
      <c r="K42" s="419"/>
      <c r="L42" s="512"/>
      <c r="M42" s="419"/>
      <c r="N42" s="419"/>
      <c r="O42" s="419"/>
      <c r="P42" s="419"/>
      <c r="Q42" s="419"/>
      <c r="R42" s="419"/>
      <c r="S42" s="419"/>
      <c r="T42" s="419"/>
      <c r="U42" s="419"/>
      <c r="V42" s="419"/>
      <c r="W42" s="419"/>
      <c r="X42" s="419"/>
      <c r="Y42" s="419"/>
      <c r="Z42" s="419"/>
    </row>
    <row r="43" spans="2:26" ht="18.600000000000001" thickBot="1">
      <c r="B43" s="1439"/>
      <c r="C43" s="1439"/>
      <c r="D43" s="1439"/>
      <c r="E43" s="1439"/>
      <c r="F43" s="1439"/>
      <c r="G43" s="1439"/>
      <c r="H43" s="1439"/>
      <c r="I43" s="1439"/>
      <c r="J43" s="1439"/>
      <c r="K43" s="419"/>
      <c r="L43" s="523"/>
      <c r="M43" s="419"/>
      <c r="N43" s="419"/>
      <c r="O43" s="419"/>
      <c r="P43" s="419"/>
      <c r="Q43" s="419"/>
      <c r="R43" s="419"/>
      <c r="S43" s="419"/>
      <c r="T43" s="419"/>
      <c r="U43" s="419"/>
      <c r="V43" s="419"/>
      <c r="W43" s="419"/>
      <c r="X43" s="419"/>
      <c r="Y43" s="419"/>
      <c r="Z43" s="419"/>
    </row>
    <row r="44" spans="2:26">
      <c r="B44" s="1436" t="s">
        <v>377</v>
      </c>
      <c r="C44" s="556" t="s">
        <v>140</v>
      </c>
      <c r="D44" s="545" t="str">
        <f>SUBSTITUTE(C44," ","")</f>
        <v>EmergencyAmbulance</v>
      </c>
      <c r="E44" s="570" t="s">
        <v>141</v>
      </c>
      <c r="F44" s="571"/>
      <c r="G44" s="546" t="e">
        <f t="array" ref="G44">INDEX('GHI DB'!$A$3:$BS$21,MATCH('GTLI Policy Features - old'!G$9,'GHI DB'!$A$3:$A$21,0),MATCH('GTLI Policy Features - old'!$E44,'GHI DB'!$A$3:$BS$3,0))</f>
        <v>#N/A</v>
      </c>
      <c r="H44" s="547" t="e">
        <f t="array" ref="H44">INDEX('GHI DB'!$A$3:$BS$21,MATCH('GTLI Policy Features - old'!H$9,'GHI DB'!$A$3:$A$21,0),MATCH('GTLI Policy Features - old'!$E44,'GHI DB'!$A$3:$BS$3,0))</f>
        <v>#N/A</v>
      </c>
      <c r="I44" s="532" t="str">
        <f t="array" ref="I44">INDEX('GHI DB'!$A$3:$BS$21,MATCH('GTLI Policy Features - old'!I$9,'GHI DB'!$A$3:$A$21,0),MATCH('GTLI Policy Features - old'!$E44,'GHI DB'!$A$3:$BS$3,0))</f>
        <v>Upto Rs. 2.5k</v>
      </c>
      <c r="J44" s="533" t="str">
        <f t="array" ref="J44">INDEX('GHI DB'!$A$3:$BS$21,MATCH('GTLI Policy Features - old'!J$9,'GHI DB'!$A$3:$A$21,0),MATCH('GTLI Policy Features - old'!$E44,'GHI DB'!$A$3:$BS$3,0))</f>
        <v>Upto Rs. 1k</v>
      </c>
      <c r="K44" s="419"/>
      <c r="L44" s="510"/>
      <c r="M44" s="419"/>
      <c r="N44" s="419"/>
      <c r="O44" s="419"/>
      <c r="P44" s="419"/>
      <c r="Q44" s="419"/>
      <c r="R44" s="419"/>
      <c r="S44" s="419"/>
      <c r="T44" s="419"/>
      <c r="U44" s="419"/>
      <c r="V44" s="419"/>
      <c r="W44" s="419"/>
      <c r="X44" s="419"/>
      <c r="Y44" s="419"/>
      <c r="Z44" s="419"/>
    </row>
    <row r="45" spans="2:26" ht="18.600000000000001" thickBot="1">
      <c r="B45" s="1438"/>
      <c r="C45" s="559" t="s">
        <v>287</v>
      </c>
      <c r="D45" s="545" t="str">
        <f>SUBSTITUTE(C45," ","")</f>
        <v>EmergencyAirAmbulance</v>
      </c>
      <c r="E45" s="572" t="s">
        <v>141</v>
      </c>
      <c r="F45" s="571"/>
      <c r="G45" s="540" t="e">
        <f t="array" ref="G45">INDEX('GHI DB'!$A$3:$BS$21,MATCH('GTLI Policy Features - old'!G$9,'GHI DB'!$A$3:$A$21,0),MATCH('GTLI Policy Features - old'!$E45,'GHI DB'!$A$3:$BS$3,0))</f>
        <v>#N/A</v>
      </c>
      <c r="H45" s="553" t="e">
        <f t="array" ref="H45">INDEX('GHI DB'!$A$3:$BS$21,MATCH('GTLI Policy Features - old'!H$9,'GHI DB'!$A$3:$A$21,0),MATCH('GTLI Policy Features - old'!$E45,'GHI DB'!$A$3:$BS$3,0))</f>
        <v>#N/A</v>
      </c>
      <c r="I45" s="542" t="str">
        <f t="array" ref="I45">INDEX('GHI DB'!$A$3:$BS$21,MATCH('GTLI Policy Features - old'!I$9,'GHI DB'!$A$3:$A$21,0),MATCH('GTLI Policy Features - old'!$E45,'GHI DB'!$A$3:$BS$3,0))</f>
        <v>Upto Rs. 2.5k</v>
      </c>
      <c r="J45" s="543" t="str">
        <f t="array" ref="J45">INDEX('GHI DB'!$A$3:$BS$21,MATCH('GTLI Policy Features - old'!J$9,'GHI DB'!$A$3:$A$21,0),MATCH('GTLI Policy Features - old'!$E45,'GHI DB'!$A$3:$BS$3,0))</f>
        <v>Upto Rs. 1k</v>
      </c>
      <c r="K45" s="419"/>
      <c r="L45" s="512"/>
      <c r="M45" s="419"/>
      <c r="N45" s="419"/>
      <c r="O45" s="419"/>
      <c r="P45" s="419"/>
      <c r="Q45" s="419"/>
      <c r="R45" s="419"/>
      <c r="S45" s="419"/>
      <c r="T45" s="419"/>
      <c r="U45" s="419"/>
      <c r="V45" s="419"/>
      <c r="W45" s="419"/>
      <c r="X45" s="419"/>
      <c r="Y45" s="419"/>
      <c r="Z45" s="419"/>
    </row>
    <row r="46" spans="2:26" ht="18.600000000000001" thickBot="1">
      <c r="B46" s="1439"/>
      <c r="C46" s="1439"/>
      <c r="D46" s="1439"/>
      <c r="E46" s="1439"/>
      <c r="F46" s="1439"/>
      <c r="G46" s="1439"/>
      <c r="H46" s="1439"/>
      <c r="I46" s="1439"/>
      <c r="J46" s="1439"/>
      <c r="K46" s="419"/>
      <c r="L46" s="523"/>
      <c r="M46" s="419"/>
      <c r="N46" s="419"/>
      <c r="O46" s="419"/>
      <c r="P46" s="419"/>
      <c r="Q46" s="419"/>
      <c r="R46" s="419"/>
      <c r="S46" s="419"/>
      <c r="T46" s="419"/>
      <c r="U46" s="419"/>
      <c r="V46" s="419"/>
      <c r="W46" s="419"/>
      <c r="X46" s="419"/>
      <c r="Y46" s="419"/>
      <c r="Z46" s="419"/>
    </row>
    <row r="47" spans="2:26" ht="36">
      <c r="B47" s="1436" t="s">
        <v>382</v>
      </c>
      <c r="C47" s="556" t="s">
        <v>383</v>
      </c>
      <c r="D47" s="545" t="str">
        <f t="shared" ref="D47:D52" si="0">SUBSTITUTE(C47," ","")</f>
        <v>ModernTreatmentsandRoboticSurgeries</v>
      </c>
      <c r="E47" s="573" t="s">
        <v>291</v>
      </c>
      <c r="F47" s="431"/>
      <c r="G47" s="574" t="e">
        <f t="array" ref="G47">INDEX('GHI DB'!$A$3:$BS$21,MATCH('GTLI Policy Features - old'!G$9,'GHI DB'!$A$3:$A$21,0),MATCH('GTLI Policy Features - old'!$E47,'GHI DB'!$A$3:$BS$3,0))</f>
        <v>#N/A</v>
      </c>
      <c r="H47" s="575" t="e">
        <f t="array" ref="H47">INDEX('GHI DB'!$A$3:$BS$21,MATCH('GTLI Policy Features - old'!H$9,'GHI DB'!$A$3:$A$21,0),MATCH('GTLI Policy Features - old'!$E47,'GHI DB'!$A$3:$BS$3,0))</f>
        <v>#N/A</v>
      </c>
      <c r="I47" s="532" t="str">
        <f t="array" ref="I47">INDEX('GHI DB'!$A$3:$BS$21,MATCH('GTLI Policy Features - old'!I$9,'GHI DB'!$A$3:$A$21,0),MATCH('GTLI Policy Features - old'!$E47,'GHI DB'!$A$3:$BS$3,0))</f>
        <v>50% Co-Pay</v>
      </c>
      <c r="J47" s="533" t="str">
        <f t="array" ref="J47">INDEX('GHI DB'!$A$3:$BS$21,MATCH('GTLI Policy Features - old'!J$9,'GHI DB'!$A$3:$A$21,0),MATCH('GTLI Policy Features - old'!$E47,'GHI DB'!$A$3:$BS$3,0))</f>
        <v>50% Co-Pay</v>
      </c>
      <c r="K47" s="419"/>
      <c r="L47" s="510"/>
      <c r="M47" s="419"/>
      <c r="N47" s="419"/>
      <c r="O47" s="419"/>
      <c r="P47" s="419"/>
      <c r="Q47" s="419"/>
      <c r="R47" s="419"/>
      <c r="S47" s="419"/>
      <c r="T47" s="419"/>
      <c r="U47" s="419"/>
      <c r="V47" s="419"/>
      <c r="W47" s="419"/>
      <c r="X47" s="419"/>
      <c r="Y47" s="419"/>
      <c r="Z47" s="419"/>
    </row>
    <row r="48" spans="2:26">
      <c r="B48" s="1437"/>
      <c r="C48" s="557" t="s">
        <v>134</v>
      </c>
      <c r="D48" s="545" t="str">
        <f t="shared" si="0"/>
        <v>PsychiatricIllness</v>
      </c>
      <c r="E48" s="549" t="s">
        <v>135</v>
      </c>
      <c r="F48" s="431"/>
      <c r="G48" s="535" t="e">
        <f t="array" ref="G48">INDEX('GHI DB'!$A$3:$BS$21,MATCH('GTLI Policy Features - old'!G$9,'GHI DB'!$A$3:$A$21,0),MATCH('GTLI Policy Features - old'!$E48,'GHI DB'!$A$3:$BS$3,0))</f>
        <v>#N/A</v>
      </c>
      <c r="H48" s="536" t="e">
        <f t="array" ref="H48">INDEX('GHI DB'!$A$3:$BS$21,MATCH('GTLI Policy Features - old'!H$9,'GHI DB'!$A$3:$A$21,0),MATCH('GTLI Policy Features - old'!$E48,'GHI DB'!$A$3:$BS$3,0))</f>
        <v>#N/A</v>
      </c>
      <c r="I48" s="526" t="str">
        <f t="array" ref="I48">INDEX('GHI DB'!$A$3:$BS$21,MATCH('GTLI Policy Features - old'!I$9,'GHI DB'!$A$3:$A$21,0),MATCH('GTLI Policy Features - old'!$E48,'GHI DB'!$A$3:$BS$3,0))</f>
        <v xml:space="preserve">✔ </v>
      </c>
      <c r="J48" s="527" t="str">
        <f t="array" ref="J48">INDEX('GHI DB'!$A$3:$BS$21,MATCH('GTLI Policy Features - old'!J$9,'GHI DB'!$A$3:$A$21,0),MATCH('GTLI Policy Features - old'!$E48,'GHI DB'!$A$3:$BS$3,0))</f>
        <v xml:space="preserve">✔ </v>
      </c>
      <c r="K48" s="419"/>
      <c r="L48" s="511"/>
      <c r="M48" s="419"/>
      <c r="N48" s="419"/>
      <c r="O48" s="419"/>
      <c r="P48" s="419"/>
      <c r="Q48" s="419"/>
      <c r="R48" s="419"/>
      <c r="S48" s="419"/>
      <c r="T48" s="419"/>
      <c r="U48" s="419"/>
      <c r="V48" s="419"/>
      <c r="W48" s="419"/>
      <c r="X48" s="419"/>
      <c r="Y48" s="419"/>
      <c r="Z48" s="419"/>
    </row>
    <row r="49" spans="2:26" ht="36">
      <c r="B49" s="1437"/>
      <c r="C49" s="557" t="s">
        <v>300</v>
      </c>
      <c r="D49" s="545" t="str">
        <f t="shared" si="0"/>
        <v>AYUSHTreatments</v>
      </c>
      <c r="E49" s="549" t="s">
        <v>139</v>
      </c>
      <c r="F49" s="561"/>
      <c r="G49" s="535" t="e">
        <f t="array" ref="G49">INDEX('GHI DB'!$A$3:$BS$21,MATCH('GTLI Policy Features - old'!G$9,'GHI DB'!$A$3:$A$21,0),MATCH('GTLI Policy Features - old'!$E49,'GHI DB'!$A$3:$BS$3,0))</f>
        <v>#N/A</v>
      </c>
      <c r="H49" s="536" t="e">
        <f t="array" ref="H49">INDEX('GHI DB'!$A$3:$BS$21,MATCH('GTLI Policy Features - old'!H$9,'GHI DB'!$A$3:$A$21,0),MATCH('GTLI Policy Features - old'!$E49,'GHI DB'!$A$3:$BS$3,0))</f>
        <v>#N/A</v>
      </c>
      <c r="I49" s="526" t="str">
        <f t="array" ref="I49">INDEX('GHI DB'!$A$3:$BS$21,MATCH('GTLI Policy Features - old'!I$9,'GHI DB'!$A$3:$A$21,0),MATCH('GTLI Policy Features - old'!$E49,'GHI DB'!$A$3:$BS$3,0))</f>
        <v>Not Covered</v>
      </c>
      <c r="J49" s="527" t="str">
        <f t="array" ref="J49">INDEX('GHI DB'!$A$3:$BS$21,MATCH('GTLI Policy Features - old'!J$9,'GHI DB'!$A$3:$A$21,0),MATCH('GTLI Policy Features - old'!$E49,'GHI DB'!$A$3:$BS$3,0))</f>
        <v xml:space="preserve">✔ </v>
      </c>
      <c r="K49" s="419"/>
      <c r="L49" s="511"/>
      <c r="M49" s="419"/>
      <c r="N49" s="419"/>
      <c r="O49" s="419"/>
      <c r="P49" s="419"/>
      <c r="Q49" s="419"/>
      <c r="R49" s="419"/>
      <c r="S49" s="419"/>
      <c r="T49" s="419"/>
      <c r="U49" s="419"/>
      <c r="V49" s="419"/>
      <c r="W49" s="419"/>
      <c r="X49" s="419"/>
      <c r="Y49" s="419"/>
      <c r="Z49" s="419"/>
    </row>
    <row r="50" spans="2:26">
      <c r="B50" s="1437"/>
      <c r="C50" s="557" t="s">
        <v>304</v>
      </c>
      <c r="D50" s="545" t="str">
        <f t="shared" si="0"/>
        <v>OrganDonorExpenses</v>
      </c>
      <c r="E50" s="549" t="s">
        <v>305</v>
      </c>
      <c r="F50" s="561"/>
      <c r="G50" s="535" t="e">
        <f t="array" ref="G50">INDEX('GHI DB'!$A$3:$BS$21,MATCH('GTLI Policy Features - old'!G$9,'GHI DB'!$A$3:$A$21,0),MATCH('GTLI Policy Features - old'!$E50,'GHI DB'!$A$3:$BS$3,0))</f>
        <v>#N/A</v>
      </c>
      <c r="H50" s="538" t="e">
        <f t="array" ref="H50">INDEX('GHI DB'!$A$3:$BS$21,MATCH('GTLI Policy Features - old'!H$9,'GHI DB'!$A$3:$A$21,0),MATCH('GTLI Policy Features - old'!$E50,'GHI DB'!$A$3:$BS$3,0))</f>
        <v>#N/A</v>
      </c>
      <c r="I50" s="526" t="str">
        <f t="array" ref="I50">INDEX('GHI DB'!$A$3:$BS$21,MATCH('GTLI Policy Features - old'!I$9,'GHI DB'!$A$3:$A$21,0),MATCH('GTLI Policy Features - old'!$E50,'GHI DB'!$A$3:$BS$3,0))</f>
        <v xml:space="preserve">✔ </v>
      </c>
      <c r="J50" s="527" t="str">
        <f t="array" ref="J50">INDEX('GHI DB'!$A$3:$BS$21,MATCH('GTLI Policy Features - old'!J$9,'GHI DB'!$A$3:$A$21,0),MATCH('GTLI Policy Features - old'!$E50,'GHI DB'!$A$3:$BS$3,0))</f>
        <v xml:space="preserve">✔ </v>
      </c>
      <c r="K50" s="419"/>
      <c r="L50" s="511"/>
      <c r="M50" s="419"/>
      <c r="N50" s="419"/>
      <c r="O50" s="419"/>
      <c r="P50" s="419"/>
      <c r="Q50" s="419"/>
      <c r="R50" s="419"/>
      <c r="S50" s="419"/>
      <c r="T50" s="419"/>
      <c r="U50" s="419"/>
      <c r="V50" s="419"/>
      <c r="W50" s="419"/>
      <c r="X50" s="419"/>
      <c r="Y50" s="419"/>
      <c r="Z50" s="419"/>
    </row>
    <row r="51" spans="2:26">
      <c r="B51" s="1437"/>
      <c r="C51" s="557" t="s">
        <v>306</v>
      </c>
      <c r="D51" s="545" t="str">
        <f t="shared" si="0"/>
        <v>LasikEyeSurgery</v>
      </c>
      <c r="E51" s="549" t="s">
        <v>307</v>
      </c>
      <c r="F51" s="561"/>
      <c r="G51" s="537" t="e">
        <f t="array" ref="G51">INDEX('GHI DB'!$A$3:$BS$21,MATCH('GTLI Policy Features - old'!G$9,'GHI DB'!$A$3:$A$21,0),MATCH('GTLI Policy Features - old'!$E51,'GHI DB'!$A$3:$BS$3,0))</f>
        <v>#N/A</v>
      </c>
      <c r="H51" s="538" t="e">
        <f t="array" ref="H51">INDEX('GHI DB'!$A$3:$BS$21,MATCH('GTLI Policy Features - old'!H$9,'GHI DB'!$A$3:$A$21,0),MATCH('GTLI Policy Features - old'!$E51,'GHI DB'!$A$3:$BS$3,0))</f>
        <v>#N/A</v>
      </c>
      <c r="I51" s="526" t="str">
        <f t="array" ref="I51">INDEX('GHI DB'!$A$3:$BS$21,MATCH('GTLI Policy Features - old'!I$9,'GHI DB'!$A$3:$A$21,0),MATCH('GTLI Policy Features - old'!$E51,'GHI DB'!$A$3:$BS$3,0))</f>
        <v>If eye power +/- 6.5</v>
      </c>
      <c r="J51" s="527" t="str">
        <f t="array" ref="J51">INDEX('GHI DB'!$A$3:$BS$21,MATCH('GTLI Policy Features - old'!J$9,'GHI DB'!$A$3:$A$21,0),MATCH('GTLI Policy Features - old'!$E51,'GHI DB'!$A$3:$BS$3,0))</f>
        <v>✖</v>
      </c>
      <c r="K51" s="419"/>
      <c r="L51" s="511"/>
      <c r="M51" s="419"/>
      <c r="N51" s="419"/>
      <c r="O51" s="419"/>
      <c r="P51" s="419"/>
      <c r="Q51" s="419"/>
      <c r="R51" s="419"/>
      <c r="S51" s="419"/>
      <c r="T51" s="419"/>
      <c r="U51" s="419"/>
      <c r="V51" s="419"/>
      <c r="W51" s="419"/>
      <c r="X51" s="419"/>
      <c r="Y51" s="419"/>
      <c r="Z51" s="419"/>
    </row>
    <row r="52" spans="2:26" ht="18.600000000000001" thickBot="1">
      <c r="B52" s="1438"/>
      <c r="C52" s="559" t="s">
        <v>312</v>
      </c>
      <c r="D52" s="545" t="str">
        <f t="shared" si="0"/>
        <v>Terrorism</v>
      </c>
      <c r="E52" s="560" t="s">
        <v>312</v>
      </c>
      <c r="F52" s="561"/>
      <c r="G52" s="562" t="e">
        <f t="array" ref="G52">INDEX('GHI DB'!$A$3:$BS$21,MATCH('GTLI Policy Features - old'!G$9,'GHI DB'!$A$3:$A$21,0),MATCH('GTLI Policy Features - old'!$E52,'GHI DB'!$A$3:$BS$3,0))</f>
        <v>#N/A</v>
      </c>
      <c r="H52" s="569" t="e">
        <f t="array" ref="H52">INDEX('GHI DB'!$A$3:$BS$21,MATCH('GTLI Policy Features - old'!H$9,'GHI DB'!$A$3:$A$21,0),MATCH('GTLI Policy Features - old'!$E52,'GHI DB'!$A$3:$BS$3,0))</f>
        <v>#N/A</v>
      </c>
      <c r="I52" s="542" t="str">
        <f t="array" ref="I52">INDEX('GHI DB'!$A$3:$BS$21,MATCH('GTLI Policy Features - old'!I$9,'GHI DB'!$A$3:$A$21,0),MATCH('GTLI Policy Features - old'!$E52,'GHI DB'!$A$3:$BS$3,0))</f>
        <v xml:space="preserve">✔ </v>
      </c>
      <c r="J52" s="543" t="str">
        <f t="array" ref="J52">INDEX('GHI DB'!$A$3:$BS$21,MATCH('GTLI Policy Features - old'!J$9,'GHI DB'!$A$3:$A$21,0),MATCH('GTLI Policy Features - old'!$E52,'GHI DB'!$A$3:$BS$3,0))</f>
        <v>✖</v>
      </c>
      <c r="K52" s="419"/>
      <c r="L52" s="512"/>
      <c r="M52" s="419"/>
      <c r="N52" s="419"/>
      <c r="O52" s="419"/>
      <c r="P52" s="419"/>
      <c r="Q52" s="419"/>
      <c r="R52" s="419"/>
      <c r="S52" s="419"/>
      <c r="T52" s="419"/>
      <c r="U52" s="419"/>
      <c r="V52" s="419"/>
      <c r="W52" s="419"/>
      <c r="X52" s="419"/>
      <c r="Y52" s="419"/>
      <c r="Z52" s="419"/>
    </row>
    <row r="53" spans="2:26" ht="18.600000000000001" thickBot="1">
      <c r="B53" s="1439"/>
      <c r="C53" s="1439"/>
      <c r="D53" s="1439"/>
      <c r="E53" s="1439"/>
      <c r="F53" s="1439"/>
      <c r="G53" s="1439"/>
      <c r="H53" s="1439"/>
      <c r="I53" s="1439"/>
      <c r="J53" s="1439"/>
      <c r="K53" s="419"/>
      <c r="L53" s="523"/>
      <c r="M53" s="419"/>
      <c r="N53" s="419"/>
      <c r="O53" s="419"/>
      <c r="P53" s="419"/>
      <c r="Q53" s="419"/>
      <c r="R53" s="419"/>
      <c r="S53" s="419"/>
      <c r="T53" s="419"/>
      <c r="U53" s="419"/>
      <c r="V53" s="419"/>
      <c r="W53" s="419"/>
      <c r="X53" s="419"/>
      <c r="Y53" s="419"/>
      <c r="Z53" s="419"/>
    </row>
    <row r="54" spans="2:26">
      <c r="B54" s="1436" t="s">
        <v>384</v>
      </c>
      <c r="C54" s="556" t="s">
        <v>385</v>
      </c>
      <c r="D54" s="545" t="str">
        <f>SUBSTITUTE(C54," ","")</f>
        <v>AdditionsandDeletions</v>
      </c>
      <c r="E54" s="529" t="s">
        <v>314</v>
      </c>
      <c r="F54" s="561"/>
      <c r="G54" s="530" t="e">
        <f t="array" ref="G54">INDEX('GHI DB'!$A$3:$BS$21,MATCH('GTLI Policy Features - old'!G$9,'GHI DB'!$A$3:$A$21,0),MATCH('GTLI Policy Features - old'!$E54,'GHI DB'!$A$3:$BS$3,0))</f>
        <v>#N/A</v>
      </c>
      <c r="H54" s="531" t="e">
        <f t="array" ref="H54">INDEX('GHI DB'!$A$3:$BS$21,MATCH('GTLI Policy Features - old'!H$9,'GHI DB'!$A$3:$A$21,0),MATCH('GTLI Policy Features - old'!$E54,'GHI DB'!$A$3:$BS$3,0))</f>
        <v>#N/A</v>
      </c>
      <c r="I54" s="532" t="str">
        <f t="array" ref="I54">INDEX('GHI DB'!$A$3:$BS$21,MATCH('GTLI Policy Features - old'!I$9,'GHI DB'!$A$3:$A$21,0),MATCH('GTLI Policy Features - old'!$E54,'GHI DB'!$A$3:$BS$3,0))</f>
        <v xml:space="preserve">✔ </v>
      </c>
      <c r="J54" s="533" t="str">
        <f t="array" ref="J54">INDEX('GHI DB'!$A$3:$BS$21,MATCH('GTLI Policy Features - old'!J$9,'GHI DB'!$A$3:$A$21,0),MATCH('GTLI Policy Features - old'!$E54,'GHI DB'!$A$3:$BS$3,0))</f>
        <v xml:space="preserve">✔ </v>
      </c>
      <c r="K54" s="419"/>
      <c r="L54" s="510"/>
      <c r="M54" s="419"/>
      <c r="N54" s="419"/>
      <c r="O54" s="419"/>
      <c r="P54" s="419"/>
      <c r="Q54" s="419"/>
      <c r="R54" s="419"/>
      <c r="S54" s="419"/>
      <c r="T54" s="419"/>
      <c r="U54" s="419"/>
      <c r="V54" s="419"/>
      <c r="W54" s="419"/>
      <c r="X54" s="419"/>
      <c r="Y54" s="419"/>
      <c r="Z54" s="419"/>
    </row>
    <row r="55" spans="2:26" ht="36">
      <c r="B55" s="1437"/>
      <c r="C55" s="557" t="s">
        <v>315</v>
      </c>
      <c r="D55" s="545" t="str">
        <f>SUBSTITUTE(C55," ","")</f>
        <v>MidtermIncreaseinSumInsured</v>
      </c>
      <c r="E55" s="549" t="s">
        <v>316</v>
      </c>
      <c r="F55" s="561"/>
      <c r="G55" s="535" t="e">
        <f t="array" ref="G55">INDEX('GHI DB'!$A$3:$BS$21,MATCH('GTLI Policy Features - old'!G$9,'GHI DB'!$A$3:$A$21,0),MATCH('GTLI Policy Features - old'!$E55,'GHI DB'!$A$3:$BS$3,0))</f>
        <v>#N/A</v>
      </c>
      <c r="H55" s="536" t="e">
        <f t="array" ref="H55">INDEX('GHI DB'!$A$3:$BS$21,MATCH('GTLI Policy Features - old'!H$9,'GHI DB'!$A$3:$A$21,0),MATCH('GTLI Policy Features - old'!$E55,'GHI DB'!$A$3:$BS$3,0))</f>
        <v>#N/A</v>
      </c>
      <c r="I55" s="526" t="e">
        <f t="array" ref="I55">INDEX('GHI DB'!$A$3:$BS$21,MATCH('GTLI Policy Features - old'!I$9,'GHI DB'!$A$3:$A$21,0),MATCH('GTLI Policy Features - old'!$E55,'GHI DB'!$A$3:$BS$3,0))</f>
        <v>#N/A</v>
      </c>
      <c r="J55" s="527" t="e">
        <f t="array" ref="J55">INDEX('GHI DB'!$A$3:$BS$21,MATCH('GTLI Policy Features - old'!J$9,'GHI DB'!$A$3:$A$21,0),MATCH('GTLI Policy Features - old'!$E55,'GHI DB'!$A$3:$BS$3,0))</f>
        <v>#N/A</v>
      </c>
      <c r="K55" s="419"/>
      <c r="L55" s="511"/>
      <c r="M55" s="419"/>
      <c r="N55" s="419"/>
      <c r="O55" s="419"/>
      <c r="P55" s="419"/>
      <c r="Q55" s="419"/>
      <c r="R55" s="419"/>
      <c r="S55" s="419"/>
      <c r="T55" s="419"/>
      <c r="U55" s="419"/>
      <c r="V55" s="419"/>
      <c r="W55" s="419"/>
      <c r="X55" s="419"/>
      <c r="Y55" s="419"/>
      <c r="Z55" s="419"/>
    </row>
    <row r="56" spans="2:26" ht="36">
      <c r="B56" s="1437"/>
      <c r="C56" s="557" t="s">
        <v>138</v>
      </c>
      <c r="D56" s="545" t="str">
        <f>SUBSTITUTE(C56," ","")</f>
        <v>MidtermAdditionofDependents</v>
      </c>
      <c r="E56" s="549" t="s">
        <v>318</v>
      </c>
      <c r="F56" s="561"/>
      <c r="G56" s="535" t="e">
        <f t="array" ref="G56">INDEX('GHI DB'!$A$3:$BS$21,MATCH('GTLI Policy Features - old'!G$9,'GHI DB'!$A$3:$A$21,0),MATCH('GTLI Policy Features - old'!$E56,'GHI DB'!$A$3:$BS$3,0))</f>
        <v>#N/A</v>
      </c>
      <c r="H56" s="536" t="e">
        <f t="array" ref="H56">INDEX('GHI DB'!$A$3:$BS$21,MATCH('GTLI Policy Features - old'!H$9,'GHI DB'!$A$3:$A$21,0),MATCH('GTLI Policy Features - old'!$E56,'GHI DB'!$A$3:$BS$3,0))</f>
        <v>#N/A</v>
      </c>
      <c r="I56" s="526" t="str">
        <f t="array" ref="I56">INDEX('GHI DB'!$A$3:$BS$21,MATCH('GTLI Policy Features - old'!I$9,'GHI DB'!$A$3:$A$21,0),MATCH('GTLI Policy Features - old'!$E56,'GHI DB'!$A$3:$BS$3,0))</f>
        <v xml:space="preserve">✔ </v>
      </c>
      <c r="J56" s="527" t="str">
        <f t="array" ref="J56">INDEX('GHI DB'!$A$3:$BS$21,MATCH('GTLI Policy Features - old'!J$9,'GHI DB'!$A$3:$A$21,0),MATCH('GTLI Policy Features - old'!$E56,'GHI DB'!$A$3:$BS$3,0))</f>
        <v xml:space="preserve">✔ </v>
      </c>
      <c r="K56" s="419"/>
      <c r="L56" s="511"/>
      <c r="M56" s="419"/>
      <c r="N56" s="419"/>
      <c r="O56" s="419"/>
      <c r="P56" s="419"/>
      <c r="Q56" s="419"/>
      <c r="R56" s="419"/>
      <c r="S56" s="419"/>
      <c r="T56" s="419"/>
      <c r="U56" s="419"/>
      <c r="V56" s="419"/>
      <c r="W56" s="419"/>
      <c r="X56" s="419"/>
      <c r="Y56" s="419"/>
      <c r="Z56" s="419"/>
    </row>
    <row r="57" spans="2:26" ht="18.600000000000001" thickBot="1">
      <c r="B57" s="1438"/>
      <c r="C57" s="559" t="s">
        <v>654</v>
      </c>
      <c r="D57" s="545" t="str">
        <f>SUBSTITUTE(C57," ","")</f>
        <v>Midtermadditionofparents</v>
      </c>
      <c r="E57" s="560" t="s">
        <v>320</v>
      </c>
      <c r="F57" s="561"/>
      <c r="G57" s="562" t="e">
        <f t="array" ref="G57">INDEX('GHI DB'!$A$3:$BS$21,MATCH('GTLI Policy Features - old'!G$9,'GHI DB'!$A$3:$A$21,0),MATCH('GTLI Policy Features - old'!$E57,'GHI DB'!$A$3:$BS$3,0))</f>
        <v>#N/A</v>
      </c>
      <c r="H57" s="569" t="e">
        <f t="array" ref="H57">INDEX('GHI DB'!$A$3:$BS$21,MATCH('GTLI Policy Features - old'!H$9,'GHI DB'!$A$3:$A$21,0),MATCH('GTLI Policy Features - old'!$E57,'GHI DB'!$A$3:$BS$3,0))</f>
        <v>#N/A</v>
      </c>
      <c r="I57" s="542" t="str">
        <f t="array" ref="I57">INDEX('GHI DB'!$A$3:$BS$21,MATCH('GTLI Policy Features - old'!I$9,'GHI DB'!$A$3:$A$21,0),MATCH('GTLI Policy Features - old'!$E57,'GHI DB'!$A$3:$BS$3,0))</f>
        <v>Not Allowed</v>
      </c>
      <c r="J57" s="543" t="str">
        <f t="array" ref="J57">INDEX('GHI DB'!$A$3:$BS$21,MATCH('GTLI Policy Features - old'!J$9,'GHI DB'!$A$3:$A$21,0),MATCH('GTLI Policy Features - old'!$E57,'GHI DB'!$A$3:$BS$3,0))</f>
        <v xml:space="preserve">✔ </v>
      </c>
      <c r="K57" s="419"/>
      <c r="L57" s="512"/>
      <c r="M57" s="419"/>
      <c r="N57" s="419"/>
      <c r="O57" s="419"/>
      <c r="P57" s="419"/>
      <c r="Q57" s="419"/>
      <c r="R57" s="419"/>
      <c r="S57" s="419"/>
      <c r="T57" s="419"/>
      <c r="U57" s="419"/>
      <c r="V57" s="419"/>
      <c r="W57" s="419"/>
      <c r="X57" s="419"/>
      <c r="Y57" s="419"/>
      <c r="Z57" s="419"/>
    </row>
    <row r="58" spans="2:26" ht="18.600000000000001" thickBot="1">
      <c r="B58" s="1439"/>
      <c r="C58" s="1439"/>
      <c r="D58" s="1439"/>
      <c r="E58" s="1439"/>
      <c r="F58" s="1439"/>
      <c r="G58" s="1439"/>
      <c r="H58" s="1439"/>
      <c r="I58" s="1439"/>
      <c r="J58" s="1439"/>
      <c r="K58" s="419"/>
      <c r="L58" s="523"/>
      <c r="M58" s="419"/>
      <c r="N58" s="419"/>
      <c r="O58" s="419"/>
      <c r="P58" s="419"/>
      <c r="Q58" s="419"/>
      <c r="R58" s="419"/>
      <c r="S58" s="419"/>
      <c r="T58" s="419"/>
      <c r="U58" s="419"/>
      <c r="V58" s="419"/>
      <c r="W58" s="419"/>
      <c r="X58" s="419"/>
      <c r="Y58" s="419"/>
      <c r="Z58" s="419"/>
    </row>
    <row r="59" spans="2:26" ht="36">
      <c r="B59" s="1440" t="s">
        <v>387</v>
      </c>
      <c r="C59" s="576" t="s">
        <v>220</v>
      </c>
      <c r="D59" s="545" t="str">
        <f>SUBSTITUTE(C59," ","")</f>
        <v>UpgradeOption</v>
      </c>
      <c r="E59" s="577" t="s">
        <v>221</v>
      </c>
      <c r="F59" s="578"/>
      <c r="G59" s="546" t="e">
        <f t="array" ref="G59">INDEX('GHI DB'!$A$3:$BS$21,MATCH('GTLI Policy Features - old'!G$9,'GHI DB'!$A$3:$A$21,0),MATCH('GTLI Policy Features - old'!$E59,'GHI DB'!$A$3:$BS$3,0))</f>
        <v>#N/A</v>
      </c>
      <c r="H59" s="547" t="e">
        <f t="array" ref="H59">INDEX('GHI DB'!$A$3:$BS$21,MATCH('GTLI Policy Features - old'!H$9,'GHI DB'!$A$3:$A$21,0),MATCH('GTLI Policy Features - old'!$E59,'GHI DB'!$A$3:$BS$3,0))</f>
        <v>#N/A</v>
      </c>
      <c r="I59" s="532" t="str">
        <f t="array" ref="I59">INDEX('GHI DB'!$A$3:$BS$21,MATCH('GTLI Policy Features - old'!I$9,'GHI DB'!$A$3:$A$21,0),MATCH('GTLI Policy Features - old'!$E59,'GHI DB'!$A$3:$BS$3,0))</f>
        <v xml:space="preserve">✔ </v>
      </c>
      <c r="J59" s="533" t="str">
        <f t="array" ref="J59">INDEX('GHI DB'!$A$3:$BS$21,MATCH('GTLI Policy Features - old'!J$9,'GHI DB'!$A$3:$A$21,0),MATCH('GTLI Policy Features - old'!$E59,'GHI DB'!$A$3:$BS$3,0))</f>
        <v xml:space="preserve">✔ </v>
      </c>
      <c r="K59" s="419"/>
      <c r="L59" s="510"/>
      <c r="M59" s="419"/>
      <c r="N59" s="419"/>
      <c r="O59" s="419"/>
      <c r="P59" s="419"/>
      <c r="Q59" s="419"/>
      <c r="R59" s="419"/>
      <c r="S59" s="419"/>
      <c r="T59" s="419"/>
      <c r="U59" s="419"/>
      <c r="V59" s="419"/>
      <c r="W59" s="419"/>
      <c r="X59" s="419"/>
      <c r="Y59" s="419"/>
      <c r="Z59" s="419"/>
    </row>
    <row r="60" spans="2:26" ht="36">
      <c r="B60" s="1437"/>
      <c r="C60" s="579" t="s">
        <v>265</v>
      </c>
      <c r="D60" s="545" t="str">
        <f>SUBSTITUTE(C60," ","")</f>
        <v>DoctorTeleconsultations</v>
      </c>
      <c r="E60" s="549" t="s">
        <v>266</v>
      </c>
      <c r="F60" s="561"/>
      <c r="G60" s="535" t="e">
        <f t="array" ref="G60">INDEX('GHI DB'!$A$3:$BS$21,MATCH('GTLI Policy Features - old'!G$9,'GHI DB'!$A$3:$A$21,0),MATCH('GTLI Policy Features - old'!$E60,'GHI DB'!$A$3:$BS$3,0))</f>
        <v>#N/A</v>
      </c>
      <c r="H60" s="536" t="e">
        <f t="array" ref="H60">INDEX('GHI DB'!$A$3:$BS$21,MATCH('GTLI Policy Features - old'!H$9,'GHI DB'!$A$3:$A$21,0),MATCH('GTLI Policy Features - old'!$E60,'GHI DB'!$A$3:$BS$3,0))</f>
        <v>#N/A</v>
      </c>
      <c r="I60" s="526" t="str">
        <f t="array" ref="I60">INDEX('GHI DB'!$A$3:$BS$21,MATCH('GTLI Policy Features - old'!I$9,'GHI DB'!$A$3:$A$21,0),MATCH('GTLI Policy Features - old'!$E60,'GHI DB'!$A$3:$BS$3,0))</f>
        <v xml:space="preserve">✔ </v>
      </c>
      <c r="J60" s="527" t="str">
        <f t="array" ref="J60">INDEX('GHI DB'!$A$3:$BS$21,MATCH('GTLI Policy Features - old'!J$9,'GHI DB'!$A$3:$A$21,0),MATCH('GTLI Policy Features - old'!$E60,'GHI DB'!$A$3:$BS$3,0))</f>
        <v xml:space="preserve">✔ </v>
      </c>
      <c r="K60" s="419"/>
      <c r="L60" s="511"/>
      <c r="M60" s="419"/>
      <c r="N60" s="419"/>
      <c r="O60" s="419"/>
      <c r="P60" s="419"/>
      <c r="Q60" s="419"/>
      <c r="R60" s="419"/>
      <c r="S60" s="419"/>
      <c r="T60" s="419"/>
      <c r="U60" s="419"/>
      <c r="V60" s="419"/>
      <c r="W60" s="419"/>
      <c r="X60" s="419"/>
      <c r="Y60" s="419"/>
      <c r="Z60" s="419"/>
    </row>
    <row r="61" spans="2:26">
      <c r="B61" s="1437"/>
      <c r="C61" s="579" t="s">
        <v>391</v>
      </c>
      <c r="D61" s="545" t="str">
        <f>SUBSTITUTE(C61," ","")</f>
        <v>HealthCheckups</v>
      </c>
      <c r="E61" s="549" t="s">
        <v>268</v>
      </c>
      <c r="F61" s="561"/>
      <c r="G61" s="535" t="e">
        <f t="array" ref="G61">INDEX('GHI DB'!$A$3:$BS$21,MATCH('GTLI Policy Features - old'!G$9,'GHI DB'!$A$3:$A$21,0),MATCH('GTLI Policy Features - old'!$E61,'GHI DB'!$A$3:$BS$3,0))</f>
        <v>#N/A</v>
      </c>
      <c r="H61" s="536" t="e">
        <f t="array" ref="H61">INDEX('GHI DB'!$A$3:$BS$21,MATCH('GTLI Policy Features - old'!H$9,'GHI DB'!$A$3:$A$21,0),MATCH('GTLI Policy Features - old'!$E61,'GHI DB'!$A$3:$BS$3,0))</f>
        <v>#N/A</v>
      </c>
      <c r="I61" s="526" t="str">
        <f t="array" ref="I61">INDEX('GHI DB'!$A$3:$BS$21,MATCH('GTLI Policy Features - old'!I$9,'GHI DB'!$A$3:$A$21,0),MATCH('GTLI Policy Features - old'!$E61,'GHI DB'!$A$3:$BS$3,0))</f>
        <v xml:space="preserve">✔ </v>
      </c>
      <c r="J61" s="527" t="str">
        <f t="array" ref="J61">INDEX('GHI DB'!$A$3:$BS$21,MATCH('GTLI Policy Features - old'!J$9,'GHI DB'!$A$3:$A$21,0),MATCH('GTLI Policy Features - old'!$E61,'GHI DB'!$A$3:$BS$3,0))</f>
        <v xml:space="preserve">✔ </v>
      </c>
      <c r="K61" s="419"/>
      <c r="L61" s="511"/>
      <c r="M61" s="419"/>
      <c r="N61" s="419"/>
      <c r="O61" s="419"/>
      <c r="P61" s="419"/>
      <c r="Q61" s="419"/>
      <c r="R61" s="419"/>
      <c r="S61" s="419"/>
      <c r="T61" s="419"/>
      <c r="U61" s="419"/>
      <c r="V61" s="419"/>
      <c r="W61" s="419"/>
      <c r="X61" s="419"/>
      <c r="Y61" s="419"/>
      <c r="Z61" s="419"/>
    </row>
    <row r="62" spans="2:26" ht="36">
      <c r="B62" s="1437"/>
      <c r="C62" s="579" t="s">
        <v>269</v>
      </c>
      <c r="D62" s="545" t="str">
        <f>SUBSTITUTE(C62," ","")</f>
        <v>MedicinesDelivery</v>
      </c>
      <c r="E62" s="549" t="s">
        <v>270</v>
      </c>
      <c r="F62" s="561"/>
      <c r="G62" s="535" t="e">
        <f t="array" ref="G62">INDEX('GHI DB'!$A$3:$BS$21,MATCH('GTLI Policy Features - old'!G$9,'GHI DB'!$A$3:$A$21,0),MATCH('GTLI Policy Features - old'!$E62,'GHI DB'!$A$3:$BS$3,0))</f>
        <v>#N/A</v>
      </c>
      <c r="H62" s="536" t="e">
        <f t="array" ref="H62">INDEX('GHI DB'!$A$3:$BS$21,MATCH('GTLI Policy Features - old'!H$9,'GHI DB'!$A$3:$A$21,0),MATCH('GTLI Policy Features - old'!$E62,'GHI DB'!$A$3:$BS$3,0))</f>
        <v>#N/A</v>
      </c>
      <c r="I62" s="526" t="str">
        <f t="array" ref="I62">INDEX('GHI DB'!$A$3:$BS$21,MATCH('GTLI Policy Features - old'!I$9,'GHI DB'!$A$3:$A$21,0),MATCH('GTLI Policy Features - old'!$E62,'GHI DB'!$A$3:$BS$3,0))</f>
        <v xml:space="preserve">✔ </v>
      </c>
      <c r="J62" s="527" t="str">
        <f t="array" ref="J62">INDEX('GHI DB'!$A$3:$BS$21,MATCH('GTLI Policy Features - old'!J$9,'GHI DB'!$A$3:$A$21,0),MATCH('GTLI Policy Features - old'!$E62,'GHI DB'!$A$3:$BS$3,0))</f>
        <v xml:space="preserve">✔ </v>
      </c>
      <c r="K62" s="419"/>
      <c r="L62" s="511"/>
      <c r="M62" s="419"/>
      <c r="N62" s="419"/>
      <c r="O62" s="419"/>
      <c r="P62" s="419"/>
      <c r="Q62" s="419"/>
      <c r="R62" s="419"/>
      <c r="S62" s="419"/>
      <c r="T62" s="419"/>
      <c r="U62" s="419"/>
      <c r="V62" s="419"/>
      <c r="W62" s="419"/>
      <c r="X62" s="419"/>
      <c r="Y62" s="419"/>
      <c r="Z62" s="419"/>
    </row>
    <row r="63" spans="2:26" ht="36.6" thickBot="1">
      <c r="B63" s="1438"/>
      <c r="C63" s="580" t="s">
        <v>271</v>
      </c>
      <c r="D63" s="545" t="str">
        <f>SUBSTITUTE(C63," ","")</f>
        <v>DentalCoverage</v>
      </c>
      <c r="E63" s="560" t="s">
        <v>655</v>
      </c>
      <c r="F63" s="561"/>
      <c r="G63" s="552" t="e">
        <f t="array" ref="G63">INDEX('GHI DB'!$A$3:$BS$21,MATCH('GTLI Policy Features - old'!G$9,'GHI DB'!$A$3:$A$21,0),MATCH('GTLI Policy Features - old'!$E63,'GHI DB'!$A$3:$BS$3,0))</f>
        <v>#N/A</v>
      </c>
      <c r="H63" s="553" t="e">
        <f t="array" ref="H63">INDEX('GHI DB'!$A$3:$BS$21,MATCH('GTLI Policy Features - old'!H$9,'GHI DB'!$A$3:$A$21,0),MATCH('GTLI Policy Features - old'!$E63,'GHI DB'!$A$3:$BS$3,0))</f>
        <v>#N/A</v>
      </c>
      <c r="I63" s="542" t="str">
        <f t="array" ref="I63">INDEX('GHI DB'!$A$3:$BS$21,MATCH('GTLI Policy Features - old'!I$9,'GHI DB'!$A$3:$A$21,0),MATCH('GTLI Policy Features - old'!$E63,'GHI DB'!$A$3:$BS$3,0))</f>
        <v>✖</v>
      </c>
      <c r="J63" s="543" t="str">
        <f t="array" ref="J63">INDEX('GHI DB'!$A$3:$BS$21,MATCH('GTLI Policy Features - old'!J$9,'GHI DB'!$A$3:$A$21,0),MATCH('GTLI Policy Features - old'!$E63,'GHI DB'!$A$3:$BS$3,0))</f>
        <v>✖</v>
      </c>
      <c r="K63" s="419"/>
      <c r="L63" s="512"/>
      <c r="M63" s="419"/>
      <c r="N63" s="419"/>
      <c r="O63" s="419"/>
      <c r="P63" s="419"/>
      <c r="Q63" s="419"/>
      <c r="R63" s="419"/>
      <c r="S63" s="419"/>
      <c r="T63" s="419"/>
      <c r="U63" s="419"/>
      <c r="V63" s="419"/>
      <c r="W63" s="419"/>
      <c r="X63" s="419"/>
      <c r="Y63" s="419"/>
      <c r="Z63" s="419"/>
    </row>
    <row r="64" spans="2:26">
      <c r="D64" s="432"/>
      <c r="E64" s="437"/>
      <c r="F64" s="419"/>
      <c r="G64" s="419"/>
      <c r="H64" s="419"/>
      <c r="I64" s="419"/>
      <c r="J64" s="419"/>
      <c r="K64" s="419"/>
      <c r="L64" s="429"/>
      <c r="M64" s="419"/>
      <c r="N64" s="419"/>
      <c r="O64" s="419"/>
      <c r="P64" s="419"/>
      <c r="Q64" s="419"/>
      <c r="R64" s="419"/>
      <c r="S64" s="419"/>
      <c r="T64" s="419"/>
      <c r="U64" s="419"/>
      <c r="V64" s="419"/>
      <c r="W64" s="419"/>
      <c r="X64" s="419"/>
      <c r="Y64" s="419"/>
      <c r="Z64" s="419"/>
    </row>
    <row r="65" spans="2:26">
      <c r="B65" s="432" t="s">
        <v>336</v>
      </c>
      <c r="C65" s="433"/>
      <c r="D65" s="433"/>
      <c r="E65" s="437"/>
      <c r="F65" s="419"/>
      <c r="G65" s="419"/>
      <c r="H65" s="419"/>
      <c r="I65" s="419"/>
      <c r="J65" s="419"/>
      <c r="K65" s="419"/>
      <c r="L65" s="429"/>
      <c r="M65" s="419"/>
      <c r="N65" s="419"/>
      <c r="O65" s="419"/>
      <c r="P65" s="419"/>
      <c r="Q65" s="419"/>
      <c r="R65" s="419"/>
      <c r="S65" s="419"/>
      <c r="T65" s="419"/>
      <c r="U65" s="419"/>
      <c r="V65" s="419"/>
      <c r="W65" s="419"/>
      <c r="X65" s="419"/>
      <c r="Y65" s="419"/>
      <c r="Z65" s="419"/>
    </row>
    <row r="66" spans="2:26">
      <c r="C66" s="433"/>
      <c r="D66" s="433"/>
      <c r="E66" s="437"/>
      <c r="F66" s="419"/>
      <c r="G66" s="419"/>
      <c r="H66" s="419"/>
      <c r="I66" s="419"/>
      <c r="J66" s="419"/>
      <c r="K66" s="419"/>
      <c r="L66" s="429"/>
      <c r="M66" s="419"/>
      <c r="N66" s="419"/>
      <c r="O66" s="419"/>
      <c r="P66" s="419"/>
      <c r="Q66" s="419"/>
      <c r="R66" s="419"/>
      <c r="S66" s="419"/>
      <c r="T66" s="419"/>
      <c r="U66" s="419"/>
      <c r="V66" s="419"/>
      <c r="W66" s="419"/>
      <c r="X66" s="419"/>
      <c r="Y66" s="419"/>
      <c r="Z66" s="419"/>
    </row>
    <row r="67" spans="2:26">
      <c r="C67" s="433"/>
      <c r="D67" s="433"/>
      <c r="E67" s="437"/>
      <c r="F67" s="419"/>
      <c r="G67" s="419"/>
      <c r="H67" s="419"/>
      <c r="I67" s="419"/>
      <c r="J67" s="419"/>
      <c r="K67" s="419"/>
      <c r="L67" s="429"/>
      <c r="M67" s="419"/>
      <c r="N67" s="419"/>
      <c r="O67" s="419"/>
      <c r="P67" s="419"/>
      <c r="Q67" s="419"/>
      <c r="R67" s="419"/>
      <c r="S67" s="419"/>
      <c r="T67" s="419"/>
      <c r="U67" s="419"/>
      <c r="V67" s="419"/>
      <c r="W67" s="419"/>
      <c r="X67" s="419"/>
      <c r="Y67" s="419"/>
      <c r="Z67" s="419"/>
    </row>
    <row r="68" spans="2:26">
      <c r="C68" s="433"/>
      <c r="D68" s="433"/>
      <c r="E68" s="437"/>
      <c r="F68" s="419"/>
      <c r="G68" s="419"/>
      <c r="H68" s="419"/>
      <c r="I68" s="419"/>
      <c r="J68" s="419"/>
      <c r="K68" s="419"/>
      <c r="L68" s="429"/>
      <c r="M68" s="419"/>
      <c r="N68" s="419"/>
      <c r="O68" s="419"/>
      <c r="P68" s="419"/>
      <c r="Q68" s="419"/>
      <c r="R68" s="419"/>
      <c r="S68" s="419"/>
      <c r="T68" s="419"/>
      <c r="U68" s="419"/>
      <c r="V68" s="419"/>
      <c r="W68" s="419"/>
      <c r="X68" s="419"/>
      <c r="Y68" s="419"/>
      <c r="Z68" s="419"/>
    </row>
    <row r="69" spans="2:26">
      <c r="C69" s="433"/>
      <c r="D69" s="433"/>
      <c r="E69" s="437"/>
      <c r="F69" s="419"/>
      <c r="G69" s="419"/>
      <c r="H69" s="419"/>
      <c r="I69" s="419"/>
      <c r="J69" s="419"/>
      <c r="K69" s="419"/>
      <c r="L69" s="429"/>
      <c r="M69" s="419"/>
      <c r="N69" s="419"/>
      <c r="O69" s="419"/>
      <c r="P69" s="419"/>
      <c r="Q69" s="419"/>
      <c r="R69" s="419"/>
      <c r="S69" s="419"/>
      <c r="T69" s="419"/>
      <c r="U69" s="419"/>
      <c r="V69" s="419"/>
      <c r="W69" s="419"/>
      <c r="X69" s="419"/>
      <c r="Y69" s="419"/>
      <c r="Z69" s="419"/>
    </row>
    <row r="70" spans="2:26">
      <c r="B70" s="418" t="s">
        <v>656</v>
      </c>
      <c r="C70" s="433"/>
      <c r="D70" s="433"/>
      <c r="E70" s="437"/>
      <c r="F70" s="419"/>
      <c r="G70" s="419"/>
      <c r="H70" s="419"/>
      <c r="I70" s="419"/>
      <c r="J70" s="419"/>
      <c r="K70" s="419"/>
      <c r="L70" s="429"/>
      <c r="M70" s="419"/>
      <c r="N70" s="419"/>
      <c r="O70" s="419"/>
      <c r="P70" s="419"/>
      <c r="Q70" s="419"/>
      <c r="R70" s="419"/>
      <c r="S70" s="419"/>
      <c r="T70" s="419"/>
      <c r="U70" s="419"/>
      <c r="V70" s="419"/>
      <c r="W70" s="419"/>
      <c r="X70" s="419"/>
      <c r="Y70" s="419"/>
      <c r="Z70" s="419"/>
    </row>
    <row r="71" spans="2:26">
      <c r="C71" s="433"/>
      <c r="D71" s="433"/>
      <c r="E71" s="437"/>
      <c r="F71" s="419"/>
      <c r="G71" s="419"/>
      <c r="H71" s="419"/>
      <c r="I71" s="419"/>
      <c r="J71" s="419"/>
      <c r="K71" s="419"/>
      <c r="L71" s="429"/>
      <c r="M71" s="419"/>
      <c r="N71" s="419"/>
      <c r="O71" s="419"/>
      <c r="P71" s="419"/>
      <c r="Q71" s="419"/>
      <c r="R71" s="419"/>
      <c r="S71" s="419"/>
      <c r="T71" s="419"/>
      <c r="U71" s="419"/>
      <c r="V71" s="419"/>
      <c r="W71" s="419"/>
      <c r="X71" s="419"/>
      <c r="Y71" s="419"/>
      <c r="Z71" s="419"/>
    </row>
    <row r="72" spans="2:26">
      <c r="C72" s="433"/>
      <c r="D72" s="433"/>
      <c r="E72" s="437"/>
      <c r="F72" s="419"/>
      <c r="G72" s="419"/>
      <c r="H72" s="419"/>
      <c r="I72" s="419"/>
      <c r="J72" s="419"/>
      <c r="K72" s="419"/>
      <c r="L72" s="429"/>
      <c r="M72" s="419"/>
      <c r="N72" s="419"/>
      <c r="O72" s="419"/>
      <c r="P72" s="419"/>
      <c r="Q72" s="419"/>
      <c r="R72" s="419"/>
      <c r="S72" s="419"/>
      <c r="T72" s="419"/>
      <c r="U72" s="419"/>
      <c r="V72" s="419"/>
      <c r="W72" s="419"/>
      <c r="X72" s="419"/>
      <c r="Y72" s="419"/>
      <c r="Z72" s="419"/>
    </row>
    <row r="73" spans="2:26">
      <c r="C73" s="433"/>
      <c r="D73" s="433"/>
      <c r="E73" s="437"/>
      <c r="F73" s="419"/>
      <c r="G73" s="419"/>
      <c r="H73" s="419"/>
      <c r="I73" s="419"/>
      <c r="J73" s="419"/>
      <c r="K73" s="419"/>
      <c r="L73" s="429"/>
      <c r="M73" s="419"/>
      <c r="N73" s="419"/>
      <c r="O73" s="419"/>
      <c r="P73" s="419"/>
      <c r="Q73" s="419"/>
      <c r="R73" s="419"/>
      <c r="S73" s="419"/>
      <c r="T73" s="419"/>
      <c r="U73" s="419"/>
      <c r="V73" s="419"/>
      <c r="W73" s="419"/>
      <c r="X73" s="419"/>
      <c r="Y73" s="419"/>
      <c r="Z73" s="419"/>
    </row>
    <row r="74" spans="2:26">
      <c r="C74" s="433"/>
      <c r="D74" s="433"/>
      <c r="E74" s="437"/>
      <c r="F74" s="419"/>
      <c r="G74" s="419"/>
      <c r="H74" s="419"/>
      <c r="I74" s="419"/>
      <c r="J74" s="419"/>
      <c r="K74" s="419"/>
      <c r="L74" s="429"/>
      <c r="M74" s="419"/>
      <c r="N74" s="419"/>
      <c r="O74" s="419"/>
      <c r="P74" s="419"/>
      <c r="Q74" s="419"/>
      <c r="R74" s="419"/>
      <c r="S74" s="419"/>
      <c r="T74" s="419"/>
      <c r="U74" s="419"/>
      <c r="V74" s="419"/>
      <c r="W74" s="419"/>
      <c r="X74" s="419"/>
      <c r="Y74" s="419"/>
      <c r="Z74" s="419"/>
    </row>
    <row r="75" spans="2:26">
      <c r="C75" s="433"/>
      <c r="D75" s="433"/>
      <c r="E75" s="437"/>
      <c r="F75" s="419"/>
      <c r="G75" s="419"/>
      <c r="H75" s="419"/>
      <c r="I75" s="419"/>
      <c r="J75" s="419"/>
      <c r="K75" s="419"/>
      <c r="L75" s="429"/>
      <c r="M75" s="419"/>
      <c r="N75" s="419"/>
      <c r="O75" s="419"/>
      <c r="P75" s="419"/>
      <c r="Q75" s="419"/>
      <c r="R75" s="419"/>
      <c r="S75" s="419"/>
      <c r="T75" s="419"/>
      <c r="U75" s="419"/>
      <c r="V75" s="419"/>
      <c r="W75" s="419"/>
      <c r="X75" s="419"/>
      <c r="Y75" s="419"/>
      <c r="Z75" s="419"/>
    </row>
    <row r="76" spans="2:26">
      <c r="C76" s="433"/>
      <c r="D76" s="433"/>
      <c r="E76" s="437"/>
      <c r="F76" s="419"/>
      <c r="G76" s="419"/>
      <c r="H76" s="419"/>
      <c r="I76" s="419"/>
      <c r="J76" s="419"/>
      <c r="K76" s="419"/>
      <c r="L76" s="429"/>
      <c r="M76" s="419"/>
      <c r="N76" s="419"/>
      <c r="O76" s="419"/>
      <c r="P76" s="419"/>
      <c r="Q76" s="419"/>
      <c r="R76" s="419"/>
      <c r="S76" s="419"/>
      <c r="T76" s="419"/>
      <c r="U76" s="419"/>
      <c r="V76" s="419"/>
      <c r="W76" s="419"/>
      <c r="X76" s="419"/>
      <c r="Y76" s="419"/>
      <c r="Z76" s="419"/>
    </row>
    <row r="77" spans="2:26">
      <c r="C77" s="433"/>
      <c r="D77" s="433"/>
      <c r="E77" s="437"/>
      <c r="F77" s="419"/>
      <c r="G77" s="419"/>
      <c r="H77" s="419"/>
      <c r="I77" s="419"/>
      <c r="J77" s="419"/>
      <c r="K77" s="419"/>
      <c r="L77" s="429"/>
      <c r="M77" s="419"/>
      <c r="N77" s="419"/>
      <c r="O77" s="419"/>
      <c r="P77" s="419"/>
      <c r="Q77" s="419"/>
      <c r="R77" s="419"/>
      <c r="S77" s="419"/>
      <c r="T77" s="419"/>
      <c r="U77" s="419"/>
      <c r="V77" s="419"/>
      <c r="W77" s="419"/>
      <c r="X77" s="419"/>
      <c r="Y77" s="419"/>
      <c r="Z77" s="419"/>
    </row>
    <row r="78" spans="2:26">
      <c r="C78" s="433"/>
      <c r="D78" s="433"/>
      <c r="E78" s="437"/>
      <c r="F78" s="419"/>
      <c r="G78" s="419"/>
      <c r="H78" s="419"/>
      <c r="I78" s="419"/>
      <c r="J78" s="419"/>
      <c r="K78" s="419"/>
      <c r="L78" s="429"/>
      <c r="M78" s="419"/>
      <c r="N78" s="419"/>
      <c r="O78" s="419"/>
      <c r="P78" s="419"/>
      <c r="Q78" s="419"/>
      <c r="R78" s="419"/>
      <c r="S78" s="419"/>
      <c r="T78" s="419"/>
      <c r="U78" s="419"/>
      <c r="V78" s="419"/>
      <c r="W78" s="419"/>
      <c r="X78" s="419"/>
      <c r="Y78" s="419"/>
      <c r="Z78" s="419"/>
    </row>
    <row r="79" spans="2:26">
      <c r="C79" s="433"/>
      <c r="D79" s="433"/>
      <c r="E79" s="437"/>
      <c r="F79" s="419"/>
      <c r="G79" s="419"/>
      <c r="H79" s="419"/>
      <c r="I79" s="419"/>
      <c r="J79" s="419"/>
      <c r="K79" s="419"/>
      <c r="L79" s="429"/>
      <c r="M79" s="419"/>
      <c r="N79" s="419"/>
      <c r="O79" s="419"/>
      <c r="P79" s="419"/>
      <c r="Q79" s="419"/>
      <c r="R79" s="419"/>
      <c r="S79" s="419"/>
      <c r="T79" s="419"/>
      <c r="U79" s="419"/>
      <c r="V79" s="419"/>
      <c r="W79" s="419"/>
      <c r="X79" s="419"/>
      <c r="Y79" s="419"/>
      <c r="Z79" s="419"/>
    </row>
    <row r="80" spans="2:26">
      <c r="C80" s="433"/>
      <c r="D80" s="433"/>
      <c r="E80" s="437"/>
      <c r="F80" s="419"/>
      <c r="G80" s="419"/>
      <c r="H80" s="419"/>
      <c r="I80" s="419"/>
      <c r="J80" s="419"/>
      <c r="K80" s="419"/>
      <c r="L80" s="429"/>
      <c r="M80" s="419"/>
      <c r="N80" s="419"/>
      <c r="O80" s="419"/>
      <c r="P80" s="419"/>
      <c r="Q80" s="419"/>
      <c r="R80" s="419"/>
      <c r="S80" s="419"/>
      <c r="T80" s="419"/>
      <c r="U80" s="419"/>
      <c r="V80" s="419"/>
      <c r="W80" s="419"/>
      <c r="X80" s="419"/>
      <c r="Y80" s="419"/>
      <c r="Z80" s="419"/>
    </row>
    <row r="81" spans="3:26">
      <c r="C81" s="433"/>
      <c r="D81" s="433"/>
      <c r="E81" s="437"/>
      <c r="F81" s="419"/>
      <c r="G81" s="419"/>
      <c r="H81" s="419"/>
      <c r="I81" s="419"/>
      <c r="J81" s="419"/>
      <c r="K81" s="419"/>
      <c r="L81" s="429"/>
      <c r="M81" s="419"/>
      <c r="N81" s="419"/>
      <c r="O81" s="419"/>
      <c r="P81" s="419"/>
      <c r="Q81" s="419"/>
      <c r="R81" s="419"/>
      <c r="S81" s="419"/>
      <c r="T81" s="419"/>
      <c r="U81" s="419"/>
      <c r="V81" s="419"/>
      <c r="W81" s="419"/>
      <c r="X81" s="419"/>
      <c r="Y81" s="419"/>
      <c r="Z81" s="419"/>
    </row>
    <row r="82" spans="3:26">
      <c r="C82" s="433"/>
      <c r="D82" s="433"/>
      <c r="E82" s="437"/>
      <c r="F82" s="419"/>
      <c r="G82" s="419"/>
      <c r="H82" s="419"/>
      <c r="I82" s="419"/>
      <c r="J82" s="419"/>
      <c r="K82" s="419"/>
      <c r="L82" s="429"/>
      <c r="M82" s="419"/>
      <c r="N82" s="419"/>
      <c r="O82" s="419"/>
      <c r="P82" s="419"/>
      <c r="Q82" s="419"/>
      <c r="R82" s="419"/>
      <c r="S82" s="419"/>
      <c r="T82" s="419"/>
      <c r="U82" s="419"/>
      <c r="V82" s="419"/>
      <c r="W82" s="419"/>
      <c r="X82" s="419"/>
      <c r="Y82" s="419"/>
      <c r="Z82" s="419"/>
    </row>
    <row r="83" spans="3:26">
      <c r="C83" s="433"/>
      <c r="D83" s="433"/>
      <c r="E83" s="437"/>
      <c r="F83" s="419"/>
      <c r="G83" s="419"/>
      <c r="H83" s="419"/>
      <c r="I83" s="419"/>
      <c r="J83" s="419"/>
      <c r="K83" s="419"/>
      <c r="L83" s="429"/>
      <c r="M83" s="419"/>
      <c r="N83" s="419"/>
      <c r="O83" s="419"/>
      <c r="P83" s="419"/>
      <c r="Q83" s="419"/>
      <c r="R83" s="419"/>
      <c r="S83" s="419"/>
      <c r="T83" s="419"/>
      <c r="U83" s="419"/>
      <c r="V83" s="419"/>
      <c r="W83" s="419"/>
      <c r="X83" s="419"/>
      <c r="Y83" s="419"/>
      <c r="Z83" s="419"/>
    </row>
    <row r="84" spans="3:26">
      <c r="C84" s="433"/>
      <c r="D84" s="433"/>
      <c r="E84" s="437"/>
      <c r="F84" s="419"/>
      <c r="G84" s="419"/>
      <c r="H84" s="419"/>
      <c r="I84" s="419"/>
      <c r="J84" s="419"/>
      <c r="K84" s="419"/>
      <c r="L84" s="429"/>
      <c r="M84" s="419"/>
      <c r="N84" s="419"/>
      <c r="O84" s="419"/>
      <c r="P84" s="419"/>
      <c r="Q84" s="419"/>
      <c r="R84" s="419"/>
      <c r="S84" s="419"/>
      <c r="T84" s="419"/>
      <c r="U84" s="419"/>
      <c r="V84" s="419"/>
      <c r="W84" s="419"/>
      <c r="X84" s="419"/>
      <c r="Y84" s="419"/>
      <c r="Z84" s="419"/>
    </row>
    <row r="85" spans="3:26">
      <c r="C85" s="433"/>
      <c r="D85" s="433"/>
      <c r="E85" s="437"/>
      <c r="F85" s="419"/>
      <c r="G85" s="419"/>
      <c r="H85" s="419"/>
      <c r="I85" s="419"/>
      <c r="J85" s="419"/>
      <c r="K85" s="419"/>
      <c r="L85" s="429"/>
      <c r="M85" s="419"/>
      <c r="N85" s="419"/>
      <c r="O85" s="419"/>
      <c r="P85" s="419"/>
      <c r="Q85" s="419"/>
      <c r="R85" s="419"/>
      <c r="S85" s="419"/>
      <c r="T85" s="419"/>
      <c r="U85" s="419"/>
      <c r="V85" s="419"/>
      <c r="W85" s="419"/>
      <c r="X85" s="419"/>
      <c r="Y85" s="419"/>
      <c r="Z85" s="419"/>
    </row>
    <row r="86" spans="3:26">
      <c r="C86" s="433"/>
      <c r="D86" s="433"/>
      <c r="E86" s="437"/>
      <c r="F86" s="419"/>
      <c r="G86" s="419"/>
      <c r="H86" s="419"/>
      <c r="I86" s="419"/>
      <c r="J86" s="419"/>
      <c r="K86" s="419"/>
      <c r="L86" s="429"/>
      <c r="M86" s="419"/>
      <c r="N86" s="419"/>
      <c r="O86" s="419"/>
      <c r="P86" s="419"/>
      <c r="Q86" s="419"/>
      <c r="R86" s="419"/>
      <c r="S86" s="419"/>
      <c r="T86" s="419"/>
      <c r="U86" s="419"/>
      <c r="V86" s="419"/>
      <c r="W86" s="419"/>
      <c r="X86" s="419"/>
      <c r="Y86" s="419"/>
      <c r="Z86" s="419"/>
    </row>
    <row r="87" spans="3:26">
      <c r="C87" s="433"/>
      <c r="D87" s="433"/>
      <c r="E87" s="437"/>
      <c r="F87" s="419"/>
      <c r="G87" s="419"/>
      <c r="H87" s="419"/>
      <c r="I87" s="419"/>
      <c r="J87" s="419"/>
      <c r="K87" s="419"/>
      <c r="L87" s="429"/>
      <c r="M87" s="419"/>
      <c r="N87" s="419"/>
      <c r="O87" s="419"/>
      <c r="P87" s="419"/>
      <c r="Q87" s="419"/>
      <c r="R87" s="419"/>
      <c r="S87" s="419"/>
      <c r="T87" s="419"/>
      <c r="U87" s="419"/>
      <c r="V87" s="419"/>
      <c r="W87" s="419"/>
      <c r="X87" s="419"/>
      <c r="Y87" s="419"/>
      <c r="Z87" s="419"/>
    </row>
    <row r="88" spans="3:26">
      <c r="C88" s="433"/>
      <c r="D88" s="433"/>
      <c r="E88" s="437"/>
      <c r="F88" s="419"/>
      <c r="G88" s="419"/>
      <c r="H88" s="419"/>
      <c r="I88" s="419"/>
      <c r="J88" s="419"/>
      <c r="K88" s="419"/>
      <c r="L88" s="429"/>
      <c r="M88" s="419"/>
      <c r="N88" s="419"/>
      <c r="O88" s="419"/>
      <c r="P88" s="419"/>
      <c r="Q88" s="419"/>
      <c r="R88" s="419"/>
      <c r="S88" s="419"/>
      <c r="T88" s="419"/>
      <c r="U88" s="419"/>
      <c r="V88" s="419"/>
      <c r="W88" s="419"/>
      <c r="X88" s="419"/>
      <c r="Y88" s="419"/>
      <c r="Z88" s="419"/>
    </row>
    <row r="89" spans="3:26">
      <c r="C89" s="433"/>
      <c r="D89" s="433"/>
      <c r="E89" s="437"/>
      <c r="F89" s="419"/>
      <c r="G89" s="419"/>
      <c r="H89" s="419"/>
      <c r="I89" s="419"/>
      <c r="J89" s="419"/>
      <c r="K89" s="419"/>
      <c r="L89" s="429"/>
      <c r="M89" s="419"/>
      <c r="N89" s="419"/>
      <c r="O89" s="419"/>
      <c r="P89" s="419"/>
      <c r="Q89" s="419"/>
      <c r="R89" s="419"/>
      <c r="S89" s="419"/>
      <c r="T89" s="419"/>
      <c r="U89" s="419"/>
      <c r="V89" s="419"/>
      <c r="W89" s="419"/>
      <c r="X89" s="419"/>
      <c r="Y89" s="419"/>
      <c r="Z89" s="419"/>
    </row>
    <row r="90" spans="3:26">
      <c r="C90" s="433"/>
      <c r="D90" s="433"/>
      <c r="E90" s="434"/>
      <c r="F90" s="434"/>
      <c r="G90" s="419"/>
      <c r="H90" s="419"/>
      <c r="I90" s="419"/>
      <c r="J90" s="419"/>
      <c r="K90" s="419"/>
      <c r="L90" s="429"/>
      <c r="M90" s="419"/>
      <c r="N90" s="419"/>
      <c r="O90" s="419"/>
      <c r="P90" s="419"/>
      <c r="Q90" s="419"/>
      <c r="R90" s="419"/>
      <c r="S90" s="419"/>
      <c r="T90" s="419"/>
      <c r="U90" s="419"/>
      <c r="V90" s="419"/>
      <c r="W90" s="419"/>
      <c r="X90" s="419"/>
      <c r="Y90" s="419"/>
      <c r="Z90" s="419"/>
    </row>
    <row r="91" spans="3:26">
      <c r="C91" s="433"/>
      <c r="D91" s="433"/>
      <c r="E91" s="434"/>
      <c r="F91" s="434"/>
      <c r="G91" s="419"/>
      <c r="H91" s="419"/>
      <c r="I91" s="419"/>
      <c r="J91" s="419"/>
      <c r="K91" s="419"/>
      <c r="L91" s="429"/>
      <c r="M91" s="419"/>
      <c r="N91" s="419"/>
      <c r="O91" s="419"/>
      <c r="P91" s="419"/>
      <c r="Q91" s="419"/>
      <c r="R91" s="419"/>
      <c r="S91" s="419"/>
      <c r="T91" s="419"/>
      <c r="U91" s="419"/>
      <c r="V91" s="419"/>
      <c r="W91" s="419"/>
      <c r="X91" s="419"/>
      <c r="Y91" s="419"/>
      <c r="Z91" s="419"/>
    </row>
    <row r="92" spans="3:26">
      <c r="C92" s="433"/>
      <c r="D92" s="433"/>
      <c r="E92" s="434"/>
      <c r="F92" s="434"/>
      <c r="G92" s="419"/>
      <c r="H92" s="419"/>
      <c r="I92" s="419"/>
      <c r="J92" s="419"/>
      <c r="K92" s="419"/>
      <c r="L92" s="429"/>
      <c r="M92" s="419"/>
      <c r="N92" s="419"/>
      <c r="O92" s="419"/>
      <c r="P92" s="419"/>
      <c r="Q92" s="419"/>
      <c r="R92" s="419"/>
      <c r="S92" s="419"/>
      <c r="T92" s="419"/>
      <c r="U92" s="419"/>
      <c r="V92" s="419"/>
      <c r="W92" s="419"/>
      <c r="X92" s="419"/>
      <c r="Y92" s="419"/>
      <c r="Z92" s="419"/>
    </row>
    <row r="93" spans="3:26">
      <c r="C93" s="433"/>
      <c r="D93" s="433"/>
      <c r="E93" s="434"/>
      <c r="F93" s="434"/>
      <c r="G93" s="419"/>
      <c r="H93" s="419"/>
      <c r="I93" s="419"/>
      <c r="J93" s="419"/>
      <c r="K93" s="419"/>
      <c r="L93" s="429"/>
      <c r="M93" s="419"/>
      <c r="N93" s="419"/>
      <c r="O93" s="419"/>
      <c r="P93" s="419"/>
      <c r="Q93" s="419"/>
      <c r="R93" s="419"/>
      <c r="S93" s="419"/>
      <c r="T93" s="419"/>
      <c r="U93" s="419"/>
      <c r="V93" s="419"/>
      <c r="W93" s="419"/>
      <c r="X93" s="419"/>
      <c r="Y93" s="419"/>
      <c r="Z93" s="419"/>
    </row>
    <row r="94" spans="3:26">
      <c r="C94" s="433"/>
      <c r="D94" s="433"/>
      <c r="F94" s="435"/>
      <c r="G94" s="419"/>
      <c r="H94" s="419"/>
      <c r="I94" s="419"/>
      <c r="J94" s="419"/>
      <c r="K94" s="419"/>
      <c r="L94" s="429"/>
      <c r="M94" s="419"/>
      <c r="N94" s="419"/>
      <c r="O94" s="419"/>
      <c r="P94" s="419"/>
      <c r="Q94" s="419"/>
      <c r="R94" s="419"/>
      <c r="S94" s="419"/>
      <c r="T94" s="419"/>
      <c r="U94" s="419"/>
      <c r="V94" s="419"/>
      <c r="W94" s="419"/>
      <c r="X94" s="419"/>
      <c r="Y94" s="419"/>
      <c r="Z94" s="419"/>
    </row>
    <row r="95" spans="3:26">
      <c r="C95" s="433"/>
      <c r="D95" s="433"/>
      <c r="E95" s="434"/>
      <c r="F95" s="434"/>
      <c r="G95" s="419"/>
      <c r="H95" s="419"/>
      <c r="I95" s="419"/>
      <c r="J95" s="419"/>
      <c r="K95" s="419"/>
      <c r="L95" s="429"/>
      <c r="M95" s="419"/>
      <c r="N95" s="419"/>
      <c r="O95" s="419"/>
      <c r="P95" s="419"/>
      <c r="Q95" s="419"/>
      <c r="R95" s="419"/>
      <c r="S95" s="419"/>
      <c r="T95" s="419"/>
      <c r="U95" s="419"/>
      <c r="V95" s="419"/>
      <c r="W95" s="419"/>
      <c r="X95" s="419"/>
      <c r="Y95" s="419"/>
      <c r="Z95" s="419"/>
    </row>
    <row r="96" spans="3:26">
      <c r="C96" s="433"/>
      <c r="D96" s="433"/>
      <c r="F96" s="435"/>
      <c r="G96" s="419"/>
      <c r="H96" s="419"/>
      <c r="I96" s="419"/>
      <c r="J96" s="419"/>
      <c r="K96" s="419"/>
      <c r="L96" s="429"/>
      <c r="M96" s="419"/>
      <c r="N96" s="419"/>
      <c r="O96" s="419"/>
      <c r="P96" s="419"/>
      <c r="Q96" s="419"/>
      <c r="R96" s="419"/>
      <c r="S96" s="419"/>
      <c r="T96" s="419"/>
      <c r="U96" s="419"/>
      <c r="V96" s="419"/>
      <c r="W96" s="419"/>
      <c r="X96" s="419"/>
      <c r="Y96" s="419"/>
      <c r="Z96" s="419"/>
    </row>
    <row r="97" spans="3:26">
      <c r="C97" s="433"/>
      <c r="D97" s="433"/>
      <c r="F97" s="435"/>
      <c r="G97" s="419"/>
      <c r="H97" s="419"/>
      <c r="I97" s="419"/>
      <c r="J97" s="419"/>
      <c r="K97" s="419"/>
      <c r="L97" s="429"/>
      <c r="M97" s="419"/>
      <c r="N97" s="419"/>
      <c r="O97" s="419"/>
      <c r="P97" s="419"/>
      <c r="Q97" s="419"/>
      <c r="R97" s="419"/>
      <c r="S97" s="419"/>
      <c r="T97" s="419"/>
      <c r="U97" s="419"/>
      <c r="V97" s="419"/>
      <c r="W97" s="419"/>
      <c r="X97" s="419"/>
      <c r="Y97" s="419"/>
      <c r="Z97" s="419"/>
    </row>
    <row r="98" spans="3:26">
      <c r="C98" s="433"/>
      <c r="D98" s="433"/>
      <c r="E98" s="434"/>
      <c r="F98" s="434"/>
      <c r="G98" s="419"/>
      <c r="H98" s="419"/>
      <c r="I98" s="419"/>
      <c r="J98" s="419"/>
      <c r="K98" s="419"/>
      <c r="L98" s="429"/>
      <c r="M98" s="419"/>
      <c r="N98" s="419"/>
      <c r="O98" s="419"/>
      <c r="P98" s="419"/>
      <c r="Q98" s="419"/>
      <c r="R98" s="419"/>
      <c r="S98" s="419"/>
      <c r="T98" s="419"/>
      <c r="U98" s="419"/>
      <c r="V98" s="419"/>
      <c r="W98" s="419"/>
      <c r="X98" s="419"/>
      <c r="Y98" s="419"/>
      <c r="Z98" s="419"/>
    </row>
    <row r="99" spans="3:26">
      <c r="C99" s="433"/>
      <c r="D99" s="433"/>
      <c r="F99" s="435"/>
      <c r="G99" s="419"/>
      <c r="H99" s="419"/>
      <c r="I99" s="419"/>
      <c r="J99" s="419"/>
      <c r="K99" s="419"/>
      <c r="L99" s="429"/>
      <c r="M99" s="419"/>
      <c r="N99" s="419"/>
      <c r="O99" s="419"/>
      <c r="P99" s="419"/>
      <c r="Q99" s="419"/>
      <c r="R99" s="419"/>
      <c r="S99" s="419"/>
      <c r="T99" s="419"/>
      <c r="U99" s="419"/>
      <c r="V99" s="419"/>
      <c r="W99" s="419"/>
      <c r="X99" s="419"/>
      <c r="Y99" s="419"/>
      <c r="Z99" s="419"/>
    </row>
    <row r="100" spans="3:26">
      <c r="C100" s="433"/>
      <c r="D100" s="433"/>
      <c r="E100" s="434"/>
      <c r="F100" s="434"/>
      <c r="G100" s="419"/>
      <c r="H100" s="419"/>
      <c r="I100" s="419"/>
      <c r="J100" s="419"/>
      <c r="K100" s="419"/>
      <c r="L100" s="429"/>
      <c r="M100" s="419"/>
      <c r="N100" s="419"/>
      <c r="O100" s="419"/>
      <c r="P100" s="419"/>
      <c r="Q100" s="419"/>
      <c r="R100" s="419"/>
      <c r="S100" s="419"/>
      <c r="T100" s="419"/>
      <c r="U100" s="419"/>
      <c r="V100" s="419"/>
      <c r="W100" s="419"/>
      <c r="X100" s="419"/>
      <c r="Y100" s="419"/>
      <c r="Z100" s="419"/>
    </row>
    <row r="101" spans="3:26">
      <c r="C101" s="433"/>
      <c r="D101" s="433"/>
      <c r="E101" s="434"/>
      <c r="F101" s="434"/>
      <c r="G101" s="419"/>
      <c r="H101" s="419"/>
      <c r="I101" s="419"/>
      <c r="J101" s="419"/>
      <c r="K101" s="419"/>
      <c r="L101" s="429"/>
      <c r="M101" s="419"/>
      <c r="N101" s="419"/>
      <c r="O101" s="419"/>
      <c r="P101" s="419"/>
      <c r="Q101" s="419"/>
      <c r="R101" s="419"/>
      <c r="S101" s="419"/>
      <c r="T101" s="419"/>
      <c r="U101" s="419"/>
      <c r="V101" s="419"/>
      <c r="W101" s="419"/>
      <c r="X101" s="419"/>
      <c r="Y101" s="419"/>
      <c r="Z101" s="419"/>
    </row>
    <row r="102" spans="3:26">
      <c r="C102" s="433"/>
      <c r="D102" s="433"/>
      <c r="E102" s="434"/>
      <c r="F102" s="434"/>
      <c r="G102" s="419"/>
      <c r="H102" s="419"/>
      <c r="I102" s="419"/>
      <c r="J102" s="419"/>
      <c r="K102" s="419"/>
      <c r="L102" s="429"/>
      <c r="M102" s="419"/>
      <c r="N102" s="419"/>
      <c r="O102" s="419"/>
      <c r="P102" s="419"/>
      <c r="Q102" s="419"/>
      <c r="R102" s="419"/>
      <c r="S102" s="419"/>
      <c r="T102" s="419"/>
      <c r="U102" s="419"/>
      <c r="V102" s="419"/>
      <c r="W102" s="419"/>
      <c r="X102" s="419"/>
      <c r="Y102" s="419"/>
      <c r="Z102" s="419"/>
    </row>
    <row r="103" spans="3:26">
      <c r="C103" s="433"/>
      <c r="D103" s="433"/>
      <c r="E103" s="434"/>
      <c r="F103" s="434"/>
      <c r="G103" s="419"/>
      <c r="H103" s="419"/>
      <c r="I103" s="419"/>
      <c r="J103" s="419"/>
      <c r="K103" s="419"/>
      <c r="L103" s="429"/>
      <c r="M103" s="419"/>
      <c r="N103" s="419"/>
      <c r="O103" s="419"/>
      <c r="P103" s="419"/>
      <c r="Q103" s="419"/>
      <c r="R103" s="419"/>
      <c r="S103" s="419"/>
      <c r="T103" s="419"/>
      <c r="U103" s="419"/>
      <c r="V103" s="419"/>
      <c r="W103" s="419"/>
      <c r="X103" s="419"/>
      <c r="Y103" s="419"/>
      <c r="Z103" s="419"/>
    </row>
    <row r="104" spans="3:26">
      <c r="C104" s="433"/>
      <c r="D104" s="433"/>
      <c r="E104" s="434"/>
      <c r="F104" s="434"/>
      <c r="G104" s="419"/>
      <c r="H104" s="419"/>
      <c r="I104" s="419"/>
      <c r="J104" s="419"/>
      <c r="K104" s="419"/>
      <c r="L104" s="429"/>
      <c r="M104" s="419"/>
      <c r="N104" s="419"/>
      <c r="O104" s="419"/>
      <c r="P104" s="419"/>
      <c r="Q104" s="419"/>
      <c r="R104" s="419"/>
      <c r="S104" s="419"/>
      <c r="T104" s="419"/>
      <c r="U104" s="419"/>
      <c r="V104" s="419"/>
      <c r="W104" s="419"/>
      <c r="X104" s="419"/>
      <c r="Y104" s="419"/>
      <c r="Z104" s="419"/>
    </row>
    <row r="105" spans="3:26">
      <c r="C105" s="433"/>
      <c r="D105" s="433"/>
      <c r="E105" s="434"/>
      <c r="F105" s="434"/>
      <c r="G105" s="419"/>
      <c r="H105" s="419"/>
      <c r="I105" s="419"/>
      <c r="J105" s="419"/>
      <c r="K105" s="419"/>
      <c r="L105" s="429"/>
      <c r="M105" s="419"/>
      <c r="N105" s="419"/>
      <c r="O105" s="419"/>
      <c r="P105" s="419"/>
      <c r="Q105" s="419"/>
      <c r="R105" s="419"/>
      <c r="S105" s="419"/>
      <c r="T105" s="419"/>
      <c r="U105" s="419"/>
      <c r="V105" s="419"/>
      <c r="W105" s="419"/>
      <c r="X105" s="419"/>
      <c r="Y105" s="419"/>
      <c r="Z105" s="419"/>
    </row>
    <row r="106" spans="3:26">
      <c r="C106" s="433"/>
      <c r="D106" s="433"/>
      <c r="E106" s="434"/>
      <c r="F106" s="434"/>
      <c r="G106" s="419"/>
      <c r="H106" s="419"/>
      <c r="I106" s="419"/>
      <c r="J106" s="419"/>
      <c r="K106" s="419"/>
      <c r="L106" s="429"/>
      <c r="M106" s="419"/>
      <c r="N106" s="419"/>
      <c r="O106" s="419"/>
      <c r="P106" s="419"/>
      <c r="Q106" s="419"/>
      <c r="R106" s="419"/>
      <c r="S106" s="419"/>
      <c r="T106" s="419"/>
      <c r="U106" s="419"/>
      <c r="V106" s="419"/>
      <c r="W106" s="419"/>
      <c r="X106" s="419"/>
      <c r="Y106" s="419"/>
      <c r="Z106" s="419"/>
    </row>
    <row r="107" spans="3:26">
      <c r="C107" s="433"/>
      <c r="D107" s="433"/>
      <c r="E107" s="434"/>
      <c r="F107" s="434"/>
      <c r="G107" s="419"/>
      <c r="H107" s="419"/>
      <c r="I107" s="419"/>
      <c r="J107" s="419"/>
      <c r="K107" s="419"/>
      <c r="L107" s="429"/>
      <c r="M107" s="419"/>
      <c r="N107" s="419"/>
      <c r="O107" s="419"/>
      <c r="P107" s="419"/>
      <c r="Q107" s="419"/>
      <c r="R107" s="419"/>
      <c r="S107" s="419"/>
      <c r="T107" s="419"/>
      <c r="U107" s="419"/>
      <c r="V107" s="419"/>
      <c r="W107" s="419"/>
      <c r="X107" s="419"/>
      <c r="Y107" s="419"/>
      <c r="Z107" s="419"/>
    </row>
    <row r="108" spans="3:26">
      <c r="C108" s="433"/>
      <c r="D108" s="433"/>
      <c r="F108" s="435"/>
      <c r="G108" s="419"/>
      <c r="H108" s="419"/>
      <c r="I108" s="419"/>
      <c r="J108" s="419"/>
      <c r="K108" s="419"/>
      <c r="L108" s="429"/>
      <c r="M108" s="419"/>
      <c r="N108" s="419"/>
      <c r="O108" s="419"/>
      <c r="P108" s="419"/>
      <c r="Q108" s="419"/>
      <c r="R108" s="419"/>
      <c r="S108" s="419"/>
      <c r="T108" s="419"/>
      <c r="U108" s="419"/>
      <c r="V108" s="419"/>
      <c r="W108" s="419"/>
      <c r="X108" s="419"/>
      <c r="Y108" s="419"/>
      <c r="Z108" s="419"/>
    </row>
    <row r="109" spans="3:26">
      <c r="C109" s="433"/>
      <c r="D109" s="433"/>
      <c r="E109" s="434"/>
      <c r="F109" s="434"/>
      <c r="G109" s="419"/>
      <c r="H109" s="419"/>
      <c r="I109" s="419"/>
      <c r="J109" s="419"/>
      <c r="K109" s="419"/>
      <c r="L109" s="429"/>
      <c r="M109" s="419"/>
      <c r="N109" s="419"/>
      <c r="O109" s="419"/>
      <c r="P109" s="419"/>
      <c r="Q109" s="419"/>
      <c r="R109" s="419"/>
      <c r="S109" s="419"/>
      <c r="T109" s="419"/>
      <c r="U109" s="419"/>
      <c r="V109" s="419"/>
      <c r="W109" s="419"/>
      <c r="X109" s="419"/>
      <c r="Y109" s="419"/>
      <c r="Z109" s="419"/>
    </row>
    <row r="110" spans="3:26">
      <c r="C110" s="433"/>
      <c r="D110" s="433"/>
      <c r="F110" s="435"/>
      <c r="G110" s="419"/>
      <c r="H110" s="419"/>
      <c r="I110" s="419"/>
      <c r="J110" s="419"/>
      <c r="K110" s="419"/>
      <c r="L110" s="429"/>
      <c r="M110" s="419"/>
      <c r="N110" s="419"/>
      <c r="O110" s="419"/>
      <c r="P110" s="419"/>
      <c r="Q110" s="419"/>
      <c r="R110" s="419"/>
      <c r="S110" s="419"/>
      <c r="T110" s="419"/>
      <c r="U110" s="419"/>
      <c r="V110" s="419"/>
      <c r="W110" s="419"/>
      <c r="X110" s="419"/>
      <c r="Y110" s="419"/>
      <c r="Z110" s="419"/>
    </row>
    <row r="111" spans="3:26">
      <c r="C111" s="433"/>
      <c r="D111" s="433"/>
      <c r="E111" s="434"/>
      <c r="F111" s="434"/>
      <c r="G111" s="419"/>
      <c r="H111" s="419"/>
      <c r="I111" s="419"/>
      <c r="J111" s="419"/>
      <c r="K111" s="419"/>
      <c r="L111" s="429"/>
      <c r="M111" s="419"/>
      <c r="N111" s="419"/>
      <c r="O111" s="419"/>
      <c r="P111" s="419"/>
      <c r="Q111" s="419"/>
      <c r="R111" s="419"/>
      <c r="S111" s="419"/>
      <c r="T111" s="419"/>
      <c r="U111" s="419"/>
      <c r="V111" s="419"/>
      <c r="W111" s="419"/>
      <c r="X111" s="419"/>
      <c r="Y111" s="419"/>
      <c r="Z111" s="419"/>
    </row>
    <row r="112" spans="3:26">
      <c r="C112" s="433"/>
      <c r="D112" s="433"/>
      <c r="E112" s="434"/>
      <c r="F112" s="434"/>
      <c r="G112" s="419"/>
      <c r="H112" s="419"/>
      <c r="I112" s="419"/>
      <c r="J112" s="419"/>
      <c r="K112" s="419"/>
      <c r="L112" s="429"/>
      <c r="M112" s="419"/>
      <c r="N112" s="419"/>
      <c r="O112" s="419"/>
      <c r="P112" s="419"/>
      <c r="Q112" s="419"/>
      <c r="R112" s="419"/>
      <c r="S112" s="419"/>
      <c r="T112" s="419"/>
      <c r="U112" s="419"/>
      <c r="V112" s="419"/>
      <c r="W112" s="419"/>
      <c r="X112" s="419"/>
      <c r="Y112" s="419"/>
      <c r="Z112" s="419"/>
    </row>
    <row r="113" spans="3:26">
      <c r="C113" s="433"/>
      <c r="D113" s="433"/>
      <c r="E113" s="434"/>
      <c r="F113" s="434"/>
      <c r="H113" s="419"/>
      <c r="I113" s="419"/>
      <c r="J113" s="419"/>
      <c r="K113" s="419"/>
      <c r="L113" s="429"/>
      <c r="M113" s="419"/>
      <c r="N113" s="419"/>
      <c r="O113" s="419"/>
      <c r="P113" s="419"/>
      <c r="Q113" s="419"/>
      <c r="R113" s="419"/>
      <c r="S113" s="419"/>
      <c r="T113" s="419"/>
      <c r="U113" s="419"/>
      <c r="V113" s="419"/>
      <c r="W113" s="419"/>
      <c r="X113" s="419"/>
      <c r="Y113" s="419"/>
      <c r="Z113" s="419"/>
    </row>
    <row r="114" spans="3:26">
      <c r="C114" s="433"/>
      <c r="D114" s="433"/>
      <c r="F114" s="435"/>
      <c r="H114" s="434"/>
      <c r="I114" s="419"/>
      <c r="J114" s="419"/>
      <c r="K114" s="419"/>
      <c r="L114" s="429"/>
      <c r="M114" s="419"/>
      <c r="N114" s="419"/>
      <c r="O114" s="419"/>
      <c r="P114" s="419"/>
      <c r="Q114" s="419"/>
      <c r="R114" s="419"/>
      <c r="S114" s="419"/>
      <c r="T114" s="419"/>
      <c r="U114" s="419"/>
      <c r="V114" s="419"/>
      <c r="W114" s="419"/>
      <c r="X114" s="419"/>
      <c r="Y114" s="419"/>
      <c r="Z114" s="419"/>
    </row>
    <row r="115" spans="3:26">
      <c r="C115" s="433"/>
      <c r="D115" s="433"/>
      <c r="F115" s="435"/>
      <c r="H115" s="434"/>
      <c r="I115" s="419"/>
      <c r="J115" s="419"/>
      <c r="K115" s="419"/>
      <c r="L115" s="429"/>
      <c r="M115" s="419"/>
      <c r="N115" s="419"/>
      <c r="O115" s="419"/>
      <c r="P115" s="419"/>
      <c r="Q115" s="419"/>
      <c r="R115" s="419"/>
      <c r="S115" s="419"/>
      <c r="T115" s="419"/>
      <c r="U115" s="419"/>
      <c r="V115" s="419"/>
      <c r="W115" s="419"/>
      <c r="X115" s="419"/>
      <c r="Y115" s="419"/>
      <c r="Z115" s="419"/>
    </row>
    <row r="116" spans="3:26">
      <c r="C116" s="433"/>
      <c r="D116" s="433"/>
      <c r="F116" s="435"/>
      <c r="H116" s="434"/>
      <c r="I116" s="419"/>
      <c r="J116" s="419"/>
      <c r="K116" s="419"/>
      <c r="L116" s="429"/>
      <c r="M116" s="419"/>
      <c r="N116" s="419"/>
      <c r="O116" s="419"/>
      <c r="P116" s="419"/>
      <c r="Q116" s="419"/>
      <c r="R116" s="419"/>
      <c r="S116" s="419"/>
      <c r="T116" s="419"/>
      <c r="U116" s="419"/>
      <c r="V116" s="419"/>
      <c r="W116" s="419"/>
      <c r="X116" s="419"/>
      <c r="Y116" s="419"/>
      <c r="Z116" s="419"/>
    </row>
    <row r="117" spans="3:26">
      <c r="C117" s="433"/>
      <c r="D117" s="433"/>
      <c r="F117" s="435"/>
      <c r="H117" s="435"/>
      <c r="I117" s="419"/>
      <c r="J117" s="419"/>
      <c r="K117" s="419"/>
      <c r="L117" s="429"/>
      <c r="M117" s="419"/>
      <c r="N117" s="419"/>
      <c r="O117" s="419"/>
      <c r="P117" s="419"/>
      <c r="Q117" s="419"/>
      <c r="R117" s="419"/>
      <c r="S117" s="419"/>
      <c r="T117" s="419"/>
      <c r="U117" s="419"/>
      <c r="V117" s="419"/>
      <c r="W117" s="419"/>
      <c r="X117" s="419"/>
      <c r="Y117" s="419"/>
      <c r="Z117" s="419"/>
    </row>
    <row r="118" spans="3:26">
      <c r="C118" s="433"/>
      <c r="D118" s="433"/>
      <c r="F118" s="435"/>
      <c r="H118" s="434"/>
      <c r="I118" s="419"/>
      <c r="J118" s="419"/>
      <c r="K118" s="419"/>
      <c r="L118" s="429"/>
      <c r="M118" s="419"/>
      <c r="N118" s="419"/>
      <c r="O118" s="419"/>
      <c r="P118" s="419"/>
      <c r="Q118" s="419"/>
      <c r="R118" s="419"/>
      <c r="S118" s="419"/>
      <c r="T118" s="419"/>
      <c r="U118" s="419"/>
      <c r="V118" s="419"/>
      <c r="W118" s="419"/>
      <c r="X118" s="419"/>
      <c r="Y118" s="419"/>
      <c r="Z118" s="419"/>
    </row>
    <row r="119" spans="3:26">
      <c r="C119" s="433"/>
      <c r="D119" s="433"/>
      <c r="F119" s="435"/>
      <c r="H119" s="434"/>
      <c r="I119" s="419"/>
      <c r="J119" s="419"/>
      <c r="K119" s="419"/>
      <c r="L119" s="429"/>
      <c r="M119" s="419"/>
      <c r="N119" s="419"/>
      <c r="O119" s="419"/>
      <c r="P119" s="419"/>
      <c r="Q119" s="419"/>
      <c r="R119" s="419"/>
      <c r="S119" s="419"/>
      <c r="T119" s="419"/>
      <c r="U119" s="419"/>
      <c r="V119" s="419"/>
      <c r="W119" s="419"/>
      <c r="X119" s="419"/>
      <c r="Y119" s="419"/>
      <c r="Z119" s="419"/>
    </row>
    <row r="120" spans="3:26">
      <c r="C120" s="433"/>
      <c r="D120" s="433"/>
      <c r="F120" s="435"/>
      <c r="H120" s="435"/>
      <c r="I120" s="419"/>
      <c r="J120" s="419"/>
      <c r="K120" s="419"/>
      <c r="L120" s="429"/>
      <c r="M120" s="419"/>
      <c r="N120" s="419"/>
      <c r="O120" s="419"/>
      <c r="P120" s="419"/>
      <c r="Q120" s="419"/>
      <c r="R120" s="419"/>
      <c r="S120" s="419"/>
      <c r="T120" s="419"/>
      <c r="U120" s="419"/>
      <c r="V120" s="419"/>
      <c r="W120" s="419"/>
      <c r="X120" s="419"/>
      <c r="Y120" s="419"/>
      <c r="Z120" s="419"/>
    </row>
    <row r="121" spans="3:26">
      <c r="C121" s="433"/>
      <c r="D121" s="433"/>
      <c r="F121" s="435"/>
      <c r="H121" s="434"/>
      <c r="I121" s="419"/>
      <c r="J121" s="419"/>
      <c r="K121" s="419"/>
      <c r="L121" s="429"/>
      <c r="M121" s="419"/>
      <c r="N121" s="419"/>
      <c r="O121" s="419"/>
      <c r="P121" s="419"/>
      <c r="Q121" s="419"/>
      <c r="R121" s="419"/>
      <c r="S121" s="419"/>
      <c r="T121" s="419"/>
      <c r="U121" s="419"/>
      <c r="V121" s="419"/>
      <c r="W121" s="419"/>
      <c r="X121" s="419"/>
      <c r="Y121" s="419"/>
      <c r="Z121" s="419"/>
    </row>
    <row r="122" spans="3:26">
      <c r="C122" s="433"/>
      <c r="D122" s="433"/>
      <c r="F122" s="435"/>
      <c r="H122" s="434"/>
      <c r="I122" s="419"/>
      <c r="J122" s="419"/>
      <c r="K122" s="419"/>
      <c r="L122" s="429"/>
      <c r="M122" s="419"/>
      <c r="N122" s="419"/>
      <c r="O122" s="419"/>
      <c r="P122" s="419"/>
      <c r="Q122" s="419"/>
      <c r="R122" s="419"/>
      <c r="S122" s="419"/>
      <c r="T122" s="419"/>
      <c r="U122" s="419"/>
      <c r="V122" s="419"/>
      <c r="W122" s="419"/>
      <c r="X122" s="419"/>
      <c r="Y122" s="419"/>
      <c r="Z122" s="419"/>
    </row>
    <row r="123" spans="3:26">
      <c r="C123" s="433"/>
      <c r="D123" s="433"/>
      <c r="F123" s="435"/>
      <c r="H123" s="434"/>
      <c r="I123" s="419"/>
      <c r="J123" s="419"/>
      <c r="K123" s="419"/>
      <c r="L123" s="429"/>
      <c r="M123" s="419"/>
      <c r="N123" s="419"/>
      <c r="O123" s="419"/>
      <c r="P123" s="419"/>
      <c r="Q123" s="419"/>
      <c r="R123" s="419"/>
      <c r="S123" s="419"/>
      <c r="T123" s="419"/>
      <c r="U123" s="419"/>
      <c r="V123" s="419"/>
      <c r="W123" s="419"/>
      <c r="X123" s="419"/>
      <c r="Y123" s="419"/>
      <c r="Z123" s="419"/>
    </row>
    <row r="124" spans="3:26">
      <c r="C124" s="433"/>
      <c r="D124" s="433"/>
      <c r="F124" s="435"/>
      <c r="H124" s="434"/>
      <c r="I124" s="419"/>
      <c r="J124" s="419"/>
      <c r="K124" s="419"/>
      <c r="L124" s="429"/>
      <c r="M124" s="419"/>
      <c r="N124" s="419"/>
      <c r="O124" s="419"/>
      <c r="P124" s="419"/>
      <c r="Q124" s="419"/>
      <c r="R124" s="419"/>
      <c r="S124" s="419"/>
      <c r="T124" s="419"/>
      <c r="U124" s="419"/>
      <c r="V124" s="419"/>
      <c r="W124" s="419"/>
      <c r="X124" s="419"/>
      <c r="Y124" s="419"/>
      <c r="Z124" s="419"/>
    </row>
    <row r="125" spans="3:26">
      <c r="C125" s="433"/>
      <c r="D125" s="433"/>
      <c r="F125" s="435"/>
      <c r="H125" s="434"/>
      <c r="I125" s="419"/>
      <c r="J125" s="419"/>
      <c r="K125" s="419"/>
      <c r="L125" s="429"/>
      <c r="M125" s="419"/>
      <c r="N125" s="419"/>
      <c r="O125" s="419"/>
      <c r="P125" s="419"/>
      <c r="Q125" s="419"/>
      <c r="R125" s="419"/>
      <c r="S125" s="419"/>
      <c r="T125" s="419"/>
      <c r="U125" s="419"/>
      <c r="V125" s="419"/>
      <c r="W125" s="419"/>
      <c r="X125" s="419"/>
      <c r="Y125" s="419"/>
      <c r="Z125" s="419"/>
    </row>
    <row r="126" spans="3:26">
      <c r="C126" s="433"/>
      <c r="D126" s="433"/>
      <c r="F126" s="435"/>
      <c r="H126" s="434"/>
      <c r="I126" s="419"/>
      <c r="J126" s="419"/>
      <c r="K126" s="419"/>
      <c r="L126" s="429"/>
      <c r="M126" s="419"/>
      <c r="N126" s="419"/>
      <c r="O126" s="419"/>
      <c r="P126" s="419"/>
      <c r="Q126" s="419"/>
      <c r="R126" s="419"/>
      <c r="S126" s="419"/>
      <c r="T126" s="419"/>
      <c r="U126" s="419"/>
      <c r="V126" s="419"/>
      <c r="W126" s="419"/>
      <c r="X126" s="419"/>
      <c r="Y126" s="419"/>
      <c r="Z126" s="419"/>
    </row>
    <row r="127" spans="3:26">
      <c r="C127" s="433"/>
      <c r="D127" s="433"/>
      <c r="F127" s="435"/>
      <c r="H127" s="434"/>
      <c r="I127" s="419"/>
      <c r="J127" s="419"/>
      <c r="K127" s="419"/>
      <c r="L127" s="429"/>
      <c r="M127" s="419"/>
      <c r="N127" s="419"/>
      <c r="O127" s="419"/>
      <c r="P127" s="419"/>
      <c r="Q127" s="419"/>
      <c r="R127" s="419"/>
      <c r="S127" s="419"/>
      <c r="T127" s="419"/>
      <c r="U127" s="419"/>
      <c r="V127" s="419"/>
      <c r="W127" s="419"/>
      <c r="X127" s="419"/>
      <c r="Y127" s="419"/>
      <c r="Z127" s="419"/>
    </row>
    <row r="128" spans="3:26">
      <c r="C128" s="433"/>
      <c r="D128" s="433"/>
      <c r="F128" s="435"/>
      <c r="H128" s="434"/>
      <c r="I128" s="419"/>
      <c r="J128" s="419"/>
      <c r="K128" s="419"/>
      <c r="L128" s="429"/>
      <c r="M128" s="419"/>
      <c r="N128" s="419"/>
      <c r="O128" s="419"/>
      <c r="P128" s="419"/>
      <c r="Q128" s="419"/>
      <c r="R128" s="419"/>
      <c r="S128" s="419"/>
      <c r="T128" s="419"/>
      <c r="U128" s="419"/>
      <c r="V128" s="419"/>
      <c r="W128" s="419"/>
      <c r="X128" s="419"/>
      <c r="Y128" s="419"/>
      <c r="Z128" s="419"/>
    </row>
    <row r="129" spans="3:26">
      <c r="C129" s="433"/>
      <c r="D129" s="433"/>
      <c r="F129" s="435"/>
      <c r="H129" s="435"/>
      <c r="I129" s="419"/>
      <c r="J129" s="419"/>
      <c r="K129" s="419"/>
      <c r="L129" s="429"/>
      <c r="M129" s="419"/>
      <c r="N129" s="419"/>
      <c r="O129" s="419"/>
      <c r="P129" s="419"/>
      <c r="Q129" s="419"/>
      <c r="R129" s="419"/>
      <c r="S129" s="419"/>
      <c r="T129" s="419"/>
      <c r="U129" s="419"/>
      <c r="V129" s="419"/>
      <c r="W129" s="419"/>
      <c r="X129" s="419"/>
      <c r="Y129" s="419"/>
      <c r="Z129" s="419"/>
    </row>
    <row r="130" spans="3:26">
      <c r="C130" s="433"/>
      <c r="D130" s="433"/>
      <c r="F130" s="435"/>
      <c r="H130" s="434"/>
      <c r="I130" s="419"/>
      <c r="J130" s="419"/>
      <c r="K130" s="419"/>
      <c r="L130" s="429"/>
      <c r="M130" s="419"/>
      <c r="N130" s="419"/>
      <c r="O130" s="419"/>
      <c r="P130" s="419"/>
      <c r="Q130" s="419"/>
      <c r="R130" s="419"/>
      <c r="S130" s="419"/>
      <c r="T130" s="419"/>
      <c r="U130" s="419"/>
      <c r="V130" s="419"/>
      <c r="W130" s="419"/>
      <c r="X130" s="419"/>
      <c r="Y130" s="419"/>
      <c r="Z130" s="419"/>
    </row>
    <row r="131" spans="3:26">
      <c r="C131" s="433"/>
      <c r="D131" s="433"/>
      <c r="F131" s="435"/>
      <c r="H131" s="435"/>
      <c r="I131" s="419"/>
      <c r="J131" s="419"/>
      <c r="K131" s="419"/>
      <c r="L131" s="429"/>
      <c r="M131" s="419"/>
      <c r="N131" s="419"/>
      <c r="O131" s="419"/>
      <c r="P131" s="419"/>
      <c r="Q131" s="419"/>
      <c r="R131" s="419"/>
      <c r="S131" s="419"/>
      <c r="T131" s="419"/>
      <c r="U131" s="419"/>
      <c r="V131" s="419"/>
      <c r="W131" s="419"/>
      <c r="X131" s="419"/>
      <c r="Y131" s="419"/>
      <c r="Z131" s="419"/>
    </row>
    <row r="132" spans="3:26">
      <c r="C132" s="433"/>
      <c r="D132" s="433"/>
      <c r="F132" s="435"/>
      <c r="H132" s="434"/>
      <c r="I132" s="419"/>
      <c r="J132" s="419"/>
      <c r="K132" s="419"/>
      <c r="L132" s="429"/>
      <c r="M132" s="419"/>
      <c r="N132" s="419"/>
      <c r="O132" s="419"/>
      <c r="P132" s="419"/>
      <c r="Q132" s="419"/>
      <c r="R132" s="419"/>
      <c r="S132" s="419"/>
      <c r="T132" s="419"/>
      <c r="U132" s="419"/>
      <c r="V132" s="419"/>
      <c r="W132" s="419"/>
      <c r="X132" s="419"/>
      <c r="Y132" s="419"/>
      <c r="Z132" s="419"/>
    </row>
    <row r="133" spans="3:26">
      <c r="C133" s="433"/>
      <c r="D133" s="433"/>
      <c r="F133" s="435"/>
      <c r="H133" s="434"/>
      <c r="I133" s="419"/>
      <c r="J133" s="419"/>
      <c r="K133" s="419"/>
      <c r="L133" s="429"/>
      <c r="M133" s="419"/>
      <c r="N133" s="419"/>
      <c r="O133" s="419"/>
      <c r="P133" s="419"/>
      <c r="Q133" s="419"/>
      <c r="R133" s="419"/>
      <c r="S133" s="419"/>
      <c r="T133" s="419"/>
      <c r="U133" s="419"/>
      <c r="V133" s="419"/>
      <c r="W133" s="419"/>
      <c r="X133" s="419"/>
      <c r="Y133" s="419"/>
      <c r="Z133" s="419"/>
    </row>
    <row r="134" spans="3:26">
      <c r="C134" s="433"/>
      <c r="D134" s="433"/>
      <c r="F134" s="435"/>
      <c r="H134" s="434"/>
      <c r="I134" s="419"/>
      <c r="J134" s="419"/>
      <c r="K134" s="419"/>
      <c r="L134" s="429"/>
      <c r="M134" s="419"/>
      <c r="N134" s="419"/>
      <c r="O134" s="419"/>
      <c r="P134" s="419"/>
      <c r="Q134" s="419"/>
      <c r="R134" s="419"/>
      <c r="S134" s="419"/>
      <c r="T134" s="419"/>
      <c r="U134" s="419"/>
      <c r="V134" s="419"/>
      <c r="W134" s="419"/>
      <c r="X134" s="419"/>
      <c r="Y134" s="419"/>
      <c r="Z134" s="419"/>
    </row>
    <row r="135" spans="3:26">
      <c r="C135" s="433"/>
      <c r="D135" s="433"/>
      <c r="F135" s="435"/>
      <c r="H135" s="435"/>
      <c r="I135" s="419"/>
      <c r="J135" s="419"/>
      <c r="K135" s="419"/>
      <c r="L135" s="429"/>
      <c r="M135" s="419"/>
      <c r="N135" s="419"/>
      <c r="O135" s="419"/>
      <c r="P135" s="419"/>
      <c r="Q135" s="419"/>
      <c r="R135" s="419"/>
      <c r="S135" s="419"/>
      <c r="T135" s="419"/>
      <c r="U135" s="419"/>
      <c r="V135" s="419"/>
      <c r="W135" s="419"/>
      <c r="X135" s="419"/>
      <c r="Y135" s="419"/>
      <c r="Z135" s="419"/>
    </row>
    <row r="136" spans="3:26">
      <c r="C136" s="433"/>
      <c r="D136" s="433"/>
      <c r="F136" s="435"/>
      <c r="H136" s="434"/>
      <c r="I136" s="419"/>
      <c r="J136" s="419"/>
      <c r="K136" s="419"/>
      <c r="L136" s="429"/>
      <c r="M136" s="419"/>
      <c r="N136" s="419"/>
      <c r="O136" s="419"/>
      <c r="P136" s="419"/>
      <c r="Q136" s="419"/>
      <c r="R136" s="419"/>
      <c r="S136" s="419"/>
      <c r="T136" s="419"/>
      <c r="U136" s="419"/>
      <c r="V136" s="419"/>
      <c r="W136" s="419"/>
      <c r="X136" s="419"/>
      <c r="Y136" s="419"/>
      <c r="Z136" s="419"/>
    </row>
    <row r="137" spans="3:26">
      <c r="C137" s="433"/>
      <c r="D137" s="433"/>
      <c r="F137" s="435"/>
      <c r="H137" s="435"/>
      <c r="I137" s="419"/>
      <c r="J137" s="419"/>
      <c r="K137" s="419"/>
      <c r="L137" s="429"/>
      <c r="M137" s="419"/>
      <c r="N137" s="419"/>
      <c r="O137" s="419"/>
      <c r="P137" s="419"/>
      <c r="Q137" s="419"/>
      <c r="R137" s="419"/>
      <c r="S137" s="419"/>
      <c r="T137" s="419"/>
      <c r="U137" s="419"/>
      <c r="V137" s="419"/>
      <c r="W137" s="419"/>
      <c r="X137" s="419"/>
      <c r="Y137" s="419"/>
      <c r="Z137" s="419"/>
    </row>
    <row r="138" spans="3:26">
      <c r="C138" s="433"/>
      <c r="D138" s="433"/>
      <c r="F138" s="435"/>
      <c r="H138" s="434"/>
      <c r="I138" s="419"/>
      <c r="J138" s="419"/>
      <c r="K138" s="419"/>
      <c r="L138" s="429"/>
      <c r="M138" s="419"/>
      <c r="N138" s="419"/>
      <c r="O138" s="419"/>
      <c r="P138" s="419"/>
      <c r="Q138" s="419"/>
      <c r="R138" s="419"/>
      <c r="S138" s="419"/>
      <c r="T138" s="419"/>
      <c r="U138" s="419"/>
      <c r="V138" s="419"/>
      <c r="W138" s="419"/>
      <c r="X138" s="419"/>
      <c r="Y138" s="419"/>
      <c r="Z138" s="419"/>
    </row>
    <row r="139" spans="3:26">
      <c r="C139" s="433"/>
      <c r="D139" s="433"/>
      <c r="F139" s="435"/>
      <c r="H139" s="435"/>
      <c r="I139" s="419"/>
      <c r="J139" s="419"/>
      <c r="K139" s="419"/>
      <c r="L139" s="429"/>
      <c r="M139" s="419"/>
      <c r="N139" s="419"/>
      <c r="O139" s="419"/>
      <c r="P139" s="419"/>
      <c r="Q139" s="419"/>
      <c r="R139" s="419"/>
      <c r="S139" s="419"/>
      <c r="T139" s="419"/>
      <c r="U139" s="419"/>
      <c r="V139" s="419"/>
      <c r="W139" s="419"/>
      <c r="X139" s="419"/>
      <c r="Y139" s="419"/>
      <c r="Z139" s="419"/>
    </row>
    <row r="140" spans="3:26">
      <c r="C140" s="433"/>
      <c r="D140" s="433"/>
      <c r="F140" s="435"/>
      <c r="H140" s="434"/>
      <c r="I140" s="419"/>
      <c r="J140" s="419"/>
      <c r="K140" s="419"/>
      <c r="L140" s="429"/>
      <c r="M140" s="419"/>
      <c r="N140" s="419"/>
      <c r="O140" s="419"/>
      <c r="P140" s="419"/>
      <c r="Q140" s="419"/>
      <c r="R140" s="419"/>
      <c r="S140" s="419"/>
      <c r="T140" s="419"/>
      <c r="U140" s="419"/>
      <c r="V140" s="419"/>
      <c r="W140" s="419"/>
      <c r="X140" s="419"/>
      <c r="Y140" s="419"/>
      <c r="Z140" s="419"/>
    </row>
    <row r="141" spans="3:26">
      <c r="C141" s="433"/>
      <c r="D141" s="433"/>
      <c r="F141" s="435"/>
      <c r="H141" s="435"/>
      <c r="I141" s="419"/>
      <c r="J141" s="419"/>
      <c r="K141" s="419"/>
      <c r="L141" s="429"/>
      <c r="M141" s="419"/>
      <c r="N141" s="419"/>
      <c r="O141" s="419"/>
      <c r="P141" s="419"/>
      <c r="Q141" s="419"/>
      <c r="R141" s="419"/>
      <c r="S141" s="419"/>
      <c r="T141" s="419"/>
      <c r="U141" s="419"/>
      <c r="V141" s="419"/>
      <c r="W141" s="419"/>
      <c r="X141" s="419"/>
      <c r="Y141" s="419"/>
      <c r="Z141" s="419"/>
    </row>
    <row r="142" spans="3:26">
      <c r="C142" s="433"/>
      <c r="D142" s="433"/>
      <c r="F142" s="435"/>
      <c r="H142" s="434"/>
      <c r="I142" s="419"/>
      <c r="J142" s="419"/>
      <c r="K142" s="419"/>
      <c r="L142" s="429"/>
      <c r="M142" s="419"/>
      <c r="N142" s="419"/>
      <c r="O142" s="419"/>
      <c r="P142" s="419"/>
      <c r="Q142" s="419"/>
      <c r="R142" s="419"/>
      <c r="S142" s="419"/>
      <c r="T142" s="419"/>
      <c r="U142" s="419"/>
      <c r="V142" s="419"/>
      <c r="W142" s="419"/>
      <c r="X142" s="419"/>
      <c r="Y142" s="419"/>
      <c r="Z142" s="419"/>
    </row>
    <row r="143" spans="3:26">
      <c r="C143" s="433"/>
      <c r="D143" s="433"/>
      <c r="F143" s="435"/>
      <c r="H143" s="435"/>
      <c r="I143" s="419"/>
      <c r="J143" s="419"/>
      <c r="K143" s="419"/>
      <c r="L143" s="429"/>
      <c r="M143" s="419"/>
      <c r="N143" s="419"/>
      <c r="O143" s="419"/>
      <c r="P143" s="419"/>
      <c r="Q143" s="419"/>
      <c r="R143" s="419"/>
      <c r="S143" s="419"/>
      <c r="T143" s="419"/>
      <c r="U143" s="419"/>
      <c r="V143" s="419"/>
      <c r="W143" s="419"/>
      <c r="X143" s="419"/>
      <c r="Y143" s="419"/>
      <c r="Z143" s="419"/>
    </row>
    <row r="144" spans="3:26">
      <c r="C144" s="433"/>
      <c r="D144" s="433"/>
      <c r="F144" s="435"/>
      <c r="H144" s="434"/>
      <c r="I144" s="419"/>
      <c r="J144" s="419"/>
      <c r="K144" s="419"/>
      <c r="L144" s="429"/>
      <c r="M144" s="419"/>
      <c r="N144" s="419"/>
      <c r="O144" s="419"/>
      <c r="P144" s="419"/>
      <c r="Q144" s="419"/>
      <c r="R144" s="419"/>
      <c r="S144" s="419"/>
      <c r="T144" s="419"/>
      <c r="U144" s="419"/>
      <c r="V144" s="419"/>
      <c r="W144" s="419"/>
      <c r="X144" s="419"/>
      <c r="Y144" s="419"/>
      <c r="Z144" s="419"/>
    </row>
    <row r="145" spans="3:26">
      <c r="C145" s="433"/>
      <c r="D145" s="433"/>
      <c r="F145" s="435"/>
      <c r="H145" s="434"/>
      <c r="I145" s="419"/>
      <c r="J145" s="419"/>
      <c r="K145" s="419"/>
      <c r="L145" s="429"/>
      <c r="M145" s="419"/>
      <c r="N145" s="419"/>
      <c r="O145" s="419"/>
      <c r="P145" s="419"/>
      <c r="Q145" s="419"/>
      <c r="R145" s="419"/>
      <c r="S145" s="419"/>
      <c r="T145" s="419"/>
      <c r="U145" s="419"/>
      <c r="V145" s="419"/>
      <c r="W145" s="419"/>
      <c r="X145" s="419"/>
      <c r="Y145" s="419"/>
      <c r="Z145" s="419"/>
    </row>
    <row r="146" spans="3:26">
      <c r="C146" s="433"/>
      <c r="D146" s="433"/>
      <c r="E146" s="436" t="s">
        <v>394</v>
      </c>
      <c r="F146" s="435"/>
      <c r="I146" s="419"/>
      <c r="J146" s="419"/>
      <c r="K146" s="419"/>
      <c r="L146" s="429"/>
      <c r="M146" s="419"/>
      <c r="N146" s="419"/>
      <c r="O146" s="419"/>
      <c r="P146" s="419"/>
      <c r="Q146" s="419"/>
      <c r="R146" s="419"/>
      <c r="S146" s="419"/>
      <c r="T146" s="419"/>
      <c r="U146" s="419"/>
      <c r="V146" s="419"/>
      <c r="W146" s="419"/>
      <c r="X146" s="419"/>
      <c r="Y146" s="419"/>
      <c r="Z146" s="419"/>
    </row>
    <row r="147" spans="3:26">
      <c r="C147" s="433"/>
      <c r="D147" s="433"/>
      <c r="E147" s="436" t="s">
        <v>395</v>
      </c>
      <c r="F147" s="435"/>
      <c r="I147" s="419"/>
      <c r="J147" s="419"/>
      <c r="K147" s="419"/>
      <c r="L147" s="429"/>
      <c r="M147" s="419"/>
      <c r="N147" s="419"/>
      <c r="O147" s="419"/>
      <c r="P147" s="419"/>
      <c r="Q147" s="419"/>
      <c r="R147" s="419"/>
      <c r="S147" s="419"/>
      <c r="T147" s="419"/>
      <c r="U147" s="419"/>
      <c r="V147" s="419"/>
      <c r="W147" s="419"/>
      <c r="X147" s="419"/>
      <c r="Y147" s="419"/>
      <c r="Z147" s="419"/>
    </row>
    <row r="148" spans="3:26">
      <c r="C148" s="433"/>
      <c r="D148" s="433"/>
      <c r="E148" s="437"/>
      <c r="F148" s="419"/>
      <c r="G148" s="419"/>
      <c r="H148" s="419"/>
      <c r="I148" s="419"/>
      <c r="J148" s="419"/>
      <c r="K148" s="419"/>
      <c r="L148" s="429"/>
      <c r="M148" s="419"/>
      <c r="N148" s="419"/>
      <c r="O148" s="419"/>
      <c r="P148" s="419"/>
      <c r="Q148" s="419"/>
      <c r="R148" s="419"/>
      <c r="S148" s="419"/>
      <c r="T148" s="419"/>
      <c r="U148" s="419"/>
      <c r="V148" s="419"/>
      <c r="W148" s="419"/>
      <c r="X148" s="419"/>
      <c r="Y148" s="419"/>
      <c r="Z148" s="419"/>
    </row>
    <row r="149" spans="3:26">
      <c r="C149" s="433"/>
      <c r="D149" s="433"/>
      <c r="E149" s="437"/>
      <c r="F149" s="419"/>
      <c r="G149" s="419"/>
      <c r="H149" s="419"/>
      <c r="I149" s="419"/>
      <c r="J149" s="419"/>
      <c r="K149" s="419"/>
      <c r="L149" s="429"/>
      <c r="M149" s="419"/>
      <c r="N149" s="419"/>
      <c r="O149" s="419"/>
      <c r="P149" s="419"/>
      <c r="Q149" s="419"/>
      <c r="R149" s="419"/>
      <c r="S149" s="419"/>
      <c r="T149" s="419"/>
      <c r="U149" s="419"/>
      <c r="V149" s="419"/>
      <c r="W149" s="419"/>
      <c r="X149" s="419"/>
      <c r="Y149" s="419"/>
      <c r="Z149" s="419"/>
    </row>
    <row r="150" spans="3:26">
      <c r="C150" s="433"/>
      <c r="D150" s="433"/>
      <c r="E150" s="437"/>
      <c r="F150" s="419"/>
      <c r="G150" s="419"/>
      <c r="H150" s="419"/>
      <c r="I150" s="419"/>
      <c r="J150" s="419"/>
      <c r="K150" s="419"/>
      <c r="L150" s="429"/>
      <c r="M150" s="419"/>
      <c r="N150" s="419"/>
      <c r="O150" s="419"/>
      <c r="P150" s="419"/>
      <c r="Q150" s="419"/>
      <c r="R150" s="419"/>
      <c r="S150" s="419"/>
      <c r="T150" s="419"/>
      <c r="U150" s="419"/>
      <c r="V150" s="419"/>
      <c r="W150" s="419"/>
      <c r="X150" s="419"/>
      <c r="Y150" s="419"/>
      <c r="Z150" s="419"/>
    </row>
    <row r="151" spans="3:26">
      <c r="C151" s="433"/>
      <c r="D151" s="433"/>
      <c r="E151" s="437"/>
      <c r="F151" s="419"/>
      <c r="G151" s="419"/>
      <c r="H151" s="419"/>
      <c r="I151" s="419"/>
      <c r="J151" s="419"/>
      <c r="K151" s="419"/>
      <c r="L151" s="429"/>
      <c r="M151" s="419"/>
      <c r="N151" s="419"/>
      <c r="O151" s="419"/>
      <c r="P151" s="419"/>
      <c r="Q151" s="419"/>
      <c r="R151" s="419"/>
      <c r="S151" s="419"/>
      <c r="T151" s="419"/>
      <c r="U151" s="419"/>
      <c r="V151" s="419"/>
      <c r="W151" s="419"/>
      <c r="X151" s="419"/>
      <c r="Y151" s="419"/>
      <c r="Z151" s="419"/>
    </row>
    <row r="152" spans="3:26">
      <c r="C152" s="433"/>
      <c r="D152" s="433"/>
      <c r="E152" s="437"/>
      <c r="F152" s="419"/>
      <c r="G152" s="419"/>
      <c r="H152" s="419"/>
      <c r="I152" s="419"/>
      <c r="J152" s="419"/>
      <c r="K152" s="419"/>
      <c r="L152" s="429"/>
      <c r="M152" s="419"/>
      <c r="N152" s="419"/>
      <c r="O152" s="419"/>
      <c r="P152" s="419"/>
      <c r="Q152" s="419"/>
      <c r="R152" s="419"/>
      <c r="S152" s="419"/>
      <c r="T152" s="419"/>
      <c r="U152" s="419"/>
      <c r="V152" s="419"/>
      <c r="W152" s="419"/>
      <c r="X152" s="419"/>
      <c r="Y152" s="419"/>
      <c r="Z152" s="419"/>
    </row>
    <row r="153" spans="3:26">
      <c r="C153" s="433"/>
      <c r="D153" s="433"/>
      <c r="E153" s="437"/>
      <c r="F153" s="419"/>
      <c r="G153" s="419"/>
      <c r="H153" s="419"/>
      <c r="I153" s="419"/>
      <c r="J153" s="419"/>
      <c r="K153" s="419"/>
      <c r="L153" s="429"/>
      <c r="M153" s="419"/>
      <c r="N153" s="419"/>
      <c r="O153" s="419"/>
      <c r="P153" s="419"/>
      <c r="Q153" s="419"/>
      <c r="R153" s="419"/>
      <c r="S153" s="419"/>
      <c r="T153" s="419"/>
      <c r="U153" s="419"/>
      <c r="V153" s="419"/>
      <c r="W153" s="419"/>
      <c r="X153" s="419"/>
      <c r="Y153" s="419"/>
      <c r="Z153" s="419"/>
    </row>
    <row r="154" spans="3:26">
      <c r="C154" s="433"/>
      <c r="D154" s="433"/>
      <c r="E154" s="437"/>
      <c r="F154" s="419"/>
      <c r="G154" s="419"/>
      <c r="H154" s="419"/>
      <c r="I154" s="419"/>
      <c r="J154" s="419"/>
      <c r="K154" s="419"/>
      <c r="L154" s="429"/>
      <c r="M154" s="419"/>
      <c r="N154" s="419"/>
      <c r="O154" s="419"/>
      <c r="P154" s="419"/>
      <c r="Q154" s="419"/>
      <c r="R154" s="419"/>
      <c r="S154" s="419"/>
      <c r="T154" s="419"/>
      <c r="U154" s="419"/>
      <c r="V154" s="419"/>
      <c r="W154" s="419"/>
      <c r="X154" s="419"/>
      <c r="Y154" s="419"/>
      <c r="Z154" s="419"/>
    </row>
    <row r="155" spans="3:26">
      <c r="C155" s="433"/>
      <c r="D155" s="433"/>
      <c r="E155" s="437"/>
      <c r="F155" s="419"/>
      <c r="G155" s="419"/>
      <c r="H155" s="419"/>
      <c r="I155" s="419"/>
      <c r="J155" s="419"/>
      <c r="K155" s="419"/>
      <c r="L155" s="429"/>
      <c r="M155" s="419"/>
      <c r="N155" s="419"/>
      <c r="O155" s="419"/>
      <c r="P155" s="419"/>
      <c r="Q155" s="419"/>
      <c r="R155" s="419"/>
      <c r="S155" s="419"/>
      <c r="T155" s="419"/>
      <c r="U155" s="419"/>
      <c r="V155" s="419"/>
      <c r="W155" s="419"/>
      <c r="X155" s="419"/>
      <c r="Y155" s="419"/>
      <c r="Z155" s="419"/>
    </row>
    <row r="156" spans="3:26">
      <c r="C156" s="433"/>
      <c r="D156" s="433"/>
      <c r="E156" s="437"/>
      <c r="F156" s="419"/>
      <c r="G156" s="419"/>
      <c r="H156" s="419"/>
      <c r="I156" s="419"/>
      <c r="J156" s="419"/>
      <c r="K156" s="419"/>
      <c r="L156" s="429"/>
      <c r="M156" s="419"/>
      <c r="N156" s="419"/>
      <c r="O156" s="419"/>
      <c r="P156" s="419"/>
      <c r="Q156" s="419"/>
      <c r="R156" s="419"/>
      <c r="S156" s="419"/>
      <c r="T156" s="419"/>
      <c r="U156" s="419"/>
      <c r="V156" s="419"/>
      <c r="W156" s="419"/>
      <c r="X156" s="419"/>
      <c r="Y156" s="419"/>
      <c r="Z156" s="419"/>
    </row>
    <row r="157" spans="3:26">
      <c r="C157" s="433"/>
      <c r="D157" s="433"/>
      <c r="E157" s="437"/>
      <c r="F157" s="419"/>
      <c r="G157" s="419"/>
      <c r="H157" s="419"/>
      <c r="I157" s="419"/>
      <c r="J157" s="419"/>
      <c r="K157" s="419"/>
      <c r="L157" s="429"/>
      <c r="M157" s="419"/>
      <c r="N157" s="419"/>
      <c r="O157" s="419"/>
      <c r="P157" s="419"/>
      <c r="Q157" s="419"/>
      <c r="R157" s="419"/>
      <c r="S157" s="419"/>
      <c r="T157" s="419"/>
      <c r="U157" s="419"/>
      <c r="V157" s="419"/>
      <c r="W157" s="419"/>
      <c r="X157" s="419"/>
      <c r="Y157" s="419"/>
      <c r="Z157" s="419"/>
    </row>
    <row r="158" spans="3:26">
      <c r="C158" s="433"/>
      <c r="D158" s="433"/>
      <c r="E158" s="437"/>
      <c r="F158" s="419"/>
      <c r="G158" s="419"/>
      <c r="H158" s="419"/>
      <c r="I158" s="419"/>
      <c r="J158" s="419"/>
      <c r="K158" s="419"/>
      <c r="L158" s="429"/>
      <c r="M158" s="419"/>
      <c r="N158" s="419"/>
      <c r="O158" s="419"/>
      <c r="P158" s="419"/>
      <c r="Q158" s="419"/>
      <c r="R158" s="419"/>
      <c r="S158" s="419"/>
      <c r="T158" s="419"/>
      <c r="U158" s="419"/>
      <c r="V158" s="419"/>
      <c r="W158" s="419"/>
      <c r="X158" s="419"/>
      <c r="Y158" s="419"/>
      <c r="Z158" s="419"/>
    </row>
    <row r="159" spans="3:26">
      <c r="C159" s="433"/>
      <c r="D159" s="433"/>
      <c r="E159" s="437"/>
      <c r="F159" s="419"/>
      <c r="G159" s="419"/>
      <c r="H159" s="419"/>
      <c r="I159" s="419"/>
      <c r="J159" s="419"/>
      <c r="K159" s="419"/>
      <c r="L159" s="429"/>
      <c r="M159" s="419"/>
      <c r="N159" s="419"/>
      <c r="O159" s="419"/>
      <c r="P159" s="419"/>
      <c r="Q159" s="419"/>
      <c r="R159" s="419"/>
      <c r="S159" s="419"/>
      <c r="T159" s="419"/>
      <c r="U159" s="419"/>
      <c r="V159" s="419"/>
      <c r="W159" s="419"/>
      <c r="X159" s="419"/>
      <c r="Y159" s="419"/>
      <c r="Z159" s="419"/>
    </row>
    <row r="160" spans="3:26">
      <c r="C160" s="433"/>
      <c r="D160" s="433"/>
      <c r="E160" s="437"/>
      <c r="F160" s="419"/>
      <c r="G160" s="419"/>
      <c r="H160" s="419"/>
      <c r="I160" s="419"/>
      <c r="J160" s="419"/>
      <c r="K160" s="419"/>
      <c r="L160" s="429"/>
      <c r="M160" s="419"/>
      <c r="N160" s="419"/>
      <c r="O160" s="419"/>
      <c r="P160" s="419"/>
      <c r="Q160" s="419"/>
      <c r="R160" s="419"/>
      <c r="S160" s="419"/>
      <c r="T160" s="419"/>
      <c r="U160" s="419"/>
      <c r="V160" s="419"/>
      <c r="W160" s="419"/>
      <c r="X160" s="419"/>
      <c r="Y160" s="419"/>
      <c r="Z160" s="419"/>
    </row>
    <row r="161" spans="3:26">
      <c r="C161" s="433"/>
      <c r="D161" s="433"/>
      <c r="E161" s="437"/>
      <c r="F161" s="419"/>
      <c r="G161" s="419"/>
      <c r="H161" s="419"/>
      <c r="I161" s="419"/>
      <c r="J161" s="419"/>
      <c r="K161" s="419"/>
      <c r="L161" s="429"/>
      <c r="M161" s="419"/>
      <c r="N161" s="419"/>
      <c r="O161" s="419"/>
      <c r="P161" s="419"/>
      <c r="Q161" s="419"/>
      <c r="R161" s="419"/>
      <c r="S161" s="419"/>
      <c r="T161" s="419"/>
      <c r="U161" s="419"/>
      <c r="V161" s="419"/>
      <c r="W161" s="419"/>
      <c r="X161" s="419"/>
      <c r="Y161" s="419"/>
      <c r="Z161" s="419"/>
    </row>
    <row r="162" spans="3:26">
      <c r="C162" s="433"/>
      <c r="D162" s="433"/>
      <c r="E162" s="437"/>
      <c r="F162" s="419"/>
      <c r="G162" s="419"/>
      <c r="H162" s="419"/>
      <c r="I162" s="419"/>
      <c r="J162" s="419"/>
      <c r="K162" s="419"/>
      <c r="L162" s="429"/>
      <c r="M162" s="419"/>
      <c r="N162" s="419"/>
      <c r="O162" s="419"/>
      <c r="P162" s="419"/>
      <c r="Q162" s="419"/>
      <c r="R162" s="419"/>
      <c r="S162" s="419"/>
      <c r="T162" s="419"/>
      <c r="U162" s="419"/>
      <c r="V162" s="419"/>
      <c r="W162" s="419"/>
      <c r="X162" s="419"/>
      <c r="Y162" s="419"/>
      <c r="Z162" s="419"/>
    </row>
    <row r="163" spans="3:26">
      <c r="C163" s="433"/>
      <c r="D163" s="433"/>
      <c r="E163" s="437"/>
      <c r="F163" s="419"/>
      <c r="G163" s="419"/>
      <c r="H163" s="419"/>
      <c r="I163" s="419"/>
      <c r="J163" s="419"/>
      <c r="K163" s="419"/>
      <c r="L163" s="429"/>
      <c r="M163" s="419"/>
      <c r="N163" s="419"/>
      <c r="O163" s="419"/>
      <c r="P163" s="419"/>
      <c r="Q163" s="419"/>
      <c r="R163" s="419"/>
      <c r="S163" s="419"/>
      <c r="T163" s="419"/>
      <c r="U163" s="419"/>
      <c r="V163" s="419"/>
      <c r="W163" s="419"/>
      <c r="X163" s="419"/>
      <c r="Y163" s="419"/>
      <c r="Z163" s="419"/>
    </row>
    <row r="164" spans="3:26">
      <c r="C164" s="433"/>
      <c r="D164" s="433"/>
      <c r="E164" s="437"/>
      <c r="F164" s="419"/>
      <c r="G164" s="419"/>
      <c r="H164" s="419"/>
      <c r="I164" s="419"/>
      <c r="J164" s="419"/>
      <c r="K164" s="419"/>
      <c r="L164" s="429"/>
      <c r="M164" s="419"/>
      <c r="N164" s="419"/>
      <c r="O164" s="419"/>
      <c r="P164" s="419"/>
      <c r="Q164" s="419"/>
      <c r="R164" s="419"/>
      <c r="S164" s="419"/>
      <c r="T164" s="419"/>
      <c r="U164" s="419"/>
      <c r="V164" s="419"/>
      <c r="W164" s="419"/>
      <c r="X164" s="419"/>
      <c r="Y164" s="419"/>
      <c r="Z164" s="419"/>
    </row>
    <row r="165" spans="3:26">
      <c r="C165" s="433"/>
      <c r="D165" s="433"/>
      <c r="E165" s="437"/>
      <c r="F165" s="419"/>
      <c r="G165" s="419"/>
      <c r="H165" s="419"/>
      <c r="I165" s="419"/>
      <c r="J165" s="419"/>
      <c r="K165" s="419"/>
      <c r="L165" s="429"/>
      <c r="M165" s="419"/>
      <c r="N165" s="419"/>
      <c r="O165" s="419"/>
      <c r="P165" s="419"/>
      <c r="Q165" s="419"/>
      <c r="R165" s="419"/>
      <c r="S165" s="419"/>
      <c r="T165" s="419"/>
      <c r="U165" s="419"/>
      <c r="V165" s="419"/>
      <c r="W165" s="419"/>
      <c r="X165" s="419"/>
      <c r="Y165" s="419"/>
      <c r="Z165" s="419"/>
    </row>
    <row r="166" spans="3:26">
      <c r="C166" s="433"/>
      <c r="D166" s="433"/>
      <c r="E166" s="437"/>
      <c r="F166" s="419"/>
      <c r="G166" s="419"/>
      <c r="H166" s="419"/>
      <c r="I166" s="419"/>
      <c r="J166" s="419"/>
      <c r="K166" s="419"/>
      <c r="L166" s="429"/>
      <c r="M166" s="419"/>
      <c r="N166" s="419"/>
      <c r="O166" s="419"/>
      <c r="P166" s="419"/>
      <c r="Q166" s="419"/>
      <c r="R166" s="419"/>
      <c r="S166" s="419"/>
      <c r="T166" s="419"/>
      <c r="U166" s="419"/>
      <c r="V166" s="419"/>
      <c r="W166" s="419"/>
      <c r="X166" s="419"/>
      <c r="Y166" s="419"/>
      <c r="Z166" s="419"/>
    </row>
    <row r="167" spans="3:26">
      <c r="C167" s="433"/>
      <c r="D167" s="433"/>
      <c r="E167" s="437"/>
      <c r="F167" s="419"/>
      <c r="G167" s="419"/>
      <c r="H167" s="419"/>
      <c r="I167" s="419"/>
      <c r="J167" s="419"/>
      <c r="K167" s="419"/>
      <c r="L167" s="429"/>
      <c r="M167" s="419"/>
      <c r="N167" s="419"/>
      <c r="O167" s="419"/>
      <c r="P167" s="419"/>
      <c r="Q167" s="419"/>
      <c r="R167" s="419"/>
      <c r="S167" s="419"/>
      <c r="T167" s="419"/>
      <c r="U167" s="419"/>
      <c r="V167" s="419"/>
      <c r="W167" s="419"/>
      <c r="X167" s="419"/>
      <c r="Y167" s="419"/>
      <c r="Z167" s="419"/>
    </row>
    <row r="168" spans="3:26">
      <c r="C168" s="433"/>
      <c r="D168" s="433"/>
      <c r="E168" s="437"/>
      <c r="F168" s="419"/>
      <c r="G168" s="419"/>
      <c r="H168" s="419"/>
      <c r="I168" s="419"/>
      <c r="J168" s="419"/>
      <c r="K168" s="419"/>
      <c r="L168" s="429"/>
      <c r="M168" s="419"/>
      <c r="N168" s="419"/>
      <c r="O168" s="419"/>
      <c r="P168" s="419"/>
      <c r="Q168" s="419"/>
      <c r="R168" s="419"/>
      <c r="S168" s="419"/>
      <c r="T168" s="419"/>
      <c r="U168" s="419"/>
      <c r="V168" s="419"/>
      <c r="W168" s="419"/>
      <c r="X168" s="419"/>
      <c r="Y168" s="419"/>
      <c r="Z168" s="419"/>
    </row>
    <row r="169" spans="3:26">
      <c r="C169" s="433"/>
      <c r="D169" s="433"/>
      <c r="E169" s="437"/>
      <c r="F169" s="419"/>
      <c r="G169" s="419"/>
      <c r="H169" s="419"/>
      <c r="I169" s="419"/>
      <c r="J169" s="419"/>
      <c r="K169" s="419"/>
      <c r="L169" s="429"/>
      <c r="M169" s="419"/>
      <c r="N169" s="419"/>
      <c r="O169" s="419"/>
      <c r="P169" s="419"/>
      <c r="Q169" s="419"/>
      <c r="R169" s="419"/>
      <c r="S169" s="419"/>
      <c r="T169" s="419"/>
      <c r="U169" s="419"/>
      <c r="V169" s="419"/>
      <c r="W169" s="419"/>
      <c r="X169" s="419"/>
      <c r="Y169" s="419"/>
      <c r="Z169" s="419"/>
    </row>
    <row r="170" spans="3:26">
      <c r="C170" s="433"/>
      <c r="D170" s="433"/>
      <c r="E170" s="437"/>
      <c r="F170" s="419"/>
      <c r="G170" s="419"/>
      <c r="H170" s="419"/>
      <c r="I170" s="419"/>
      <c r="J170" s="419"/>
      <c r="K170" s="419"/>
      <c r="L170" s="429"/>
      <c r="M170" s="419"/>
      <c r="N170" s="419"/>
      <c r="O170" s="419"/>
      <c r="P170" s="419"/>
      <c r="Q170" s="419"/>
      <c r="R170" s="419"/>
      <c r="S170" s="419"/>
      <c r="T170" s="419"/>
      <c r="U170" s="419"/>
      <c r="V170" s="419"/>
      <c r="W170" s="419"/>
      <c r="X170" s="419"/>
      <c r="Y170" s="419"/>
      <c r="Z170" s="419"/>
    </row>
    <row r="171" spans="3:26">
      <c r="C171" s="433"/>
      <c r="D171" s="433"/>
      <c r="E171" s="437"/>
      <c r="F171" s="419"/>
      <c r="G171" s="419"/>
      <c r="H171" s="419"/>
      <c r="I171" s="419"/>
      <c r="J171" s="419"/>
      <c r="K171" s="419"/>
      <c r="L171" s="429"/>
      <c r="M171" s="419"/>
      <c r="N171" s="419"/>
      <c r="O171" s="419"/>
      <c r="P171" s="419"/>
      <c r="Q171" s="419"/>
      <c r="R171" s="419"/>
      <c r="S171" s="419"/>
      <c r="T171" s="419"/>
      <c r="U171" s="419"/>
      <c r="V171" s="419"/>
      <c r="W171" s="419"/>
      <c r="X171" s="419"/>
      <c r="Y171" s="419"/>
      <c r="Z171" s="419"/>
    </row>
    <row r="172" spans="3:26">
      <c r="C172" s="433"/>
      <c r="D172" s="433"/>
      <c r="E172" s="437"/>
      <c r="F172" s="419"/>
      <c r="G172" s="419"/>
      <c r="H172" s="419"/>
      <c r="I172" s="419"/>
      <c r="J172" s="419"/>
      <c r="K172" s="419"/>
      <c r="L172" s="429"/>
      <c r="M172" s="419"/>
      <c r="N172" s="419"/>
      <c r="O172" s="419"/>
      <c r="P172" s="419"/>
      <c r="Q172" s="419"/>
      <c r="R172" s="419"/>
      <c r="S172" s="419"/>
      <c r="T172" s="419"/>
      <c r="U172" s="419"/>
      <c r="V172" s="419"/>
      <c r="W172" s="419"/>
      <c r="X172" s="419"/>
      <c r="Y172" s="419"/>
      <c r="Z172" s="419"/>
    </row>
    <row r="173" spans="3:26">
      <c r="C173" s="433"/>
      <c r="D173" s="433"/>
      <c r="E173" s="437"/>
      <c r="F173" s="419"/>
      <c r="G173" s="419"/>
      <c r="H173" s="419"/>
      <c r="I173" s="419"/>
      <c r="J173" s="419"/>
      <c r="K173" s="419"/>
      <c r="L173" s="429"/>
      <c r="M173" s="419"/>
      <c r="N173" s="419"/>
      <c r="O173" s="419"/>
      <c r="P173" s="419"/>
      <c r="Q173" s="419"/>
      <c r="R173" s="419"/>
      <c r="S173" s="419"/>
      <c r="T173" s="419"/>
      <c r="U173" s="419"/>
      <c r="V173" s="419"/>
      <c r="W173" s="419"/>
      <c r="X173" s="419"/>
      <c r="Y173" s="419"/>
      <c r="Z173" s="419"/>
    </row>
    <row r="174" spans="3:26">
      <c r="C174" s="433"/>
      <c r="D174" s="433"/>
      <c r="E174" s="437"/>
      <c r="F174" s="419"/>
      <c r="G174" s="419"/>
      <c r="H174" s="419"/>
      <c r="I174" s="419"/>
      <c r="J174" s="419"/>
      <c r="K174" s="419"/>
      <c r="L174" s="429"/>
      <c r="M174" s="419"/>
      <c r="N174" s="419"/>
      <c r="O174" s="419"/>
      <c r="P174" s="419"/>
      <c r="Q174" s="419"/>
      <c r="R174" s="419"/>
      <c r="S174" s="419"/>
      <c r="T174" s="419"/>
      <c r="U174" s="419"/>
      <c r="V174" s="419"/>
      <c r="W174" s="419"/>
      <c r="X174" s="419"/>
      <c r="Y174" s="419"/>
      <c r="Z174" s="419"/>
    </row>
    <row r="175" spans="3:26">
      <c r="C175" s="433"/>
      <c r="D175" s="433"/>
      <c r="E175" s="437"/>
      <c r="F175" s="419"/>
      <c r="G175" s="419"/>
      <c r="H175" s="419"/>
      <c r="I175" s="419"/>
      <c r="J175" s="419"/>
      <c r="K175" s="419"/>
      <c r="L175" s="429"/>
      <c r="M175" s="419"/>
      <c r="N175" s="419"/>
      <c r="O175" s="419"/>
      <c r="P175" s="419"/>
      <c r="Q175" s="419"/>
      <c r="R175" s="419"/>
      <c r="S175" s="419"/>
      <c r="T175" s="419"/>
      <c r="U175" s="419"/>
      <c r="V175" s="419"/>
      <c r="W175" s="419"/>
      <c r="X175" s="419"/>
      <c r="Y175" s="419"/>
      <c r="Z175" s="419"/>
    </row>
    <row r="176" spans="3:26">
      <c r="C176" s="433"/>
      <c r="D176" s="433"/>
      <c r="E176" s="437"/>
      <c r="F176" s="419"/>
      <c r="G176" s="419"/>
      <c r="H176" s="419"/>
      <c r="I176" s="419"/>
      <c r="J176" s="419"/>
      <c r="K176" s="419"/>
      <c r="L176" s="429"/>
      <c r="M176" s="419"/>
      <c r="N176" s="419"/>
      <c r="O176" s="419"/>
      <c r="P176" s="419"/>
      <c r="Q176" s="419"/>
      <c r="R176" s="419"/>
      <c r="S176" s="419"/>
      <c r="T176" s="419"/>
      <c r="U176" s="419"/>
      <c r="V176" s="419"/>
      <c r="W176" s="419"/>
      <c r="X176" s="419"/>
      <c r="Y176" s="419"/>
      <c r="Z176" s="419"/>
    </row>
    <row r="177" spans="3:26">
      <c r="C177" s="433"/>
      <c r="D177" s="433"/>
      <c r="E177" s="437"/>
      <c r="F177" s="419"/>
      <c r="G177" s="419"/>
      <c r="H177" s="419"/>
      <c r="I177" s="419"/>
      <c r="J177" s="419"/>
      <c r="K177" s="419"/>
      <c r="L177" s="429"/>
      <c r="M177" s="419"/>
      <c r="N177" s="419"/>
      <c r="O177" s="419"/>
      <c r="P177" s="419"/>
      <c r="Q177" s="419"/>
      <c r="R177" s="419"/>
      <c r="S177" s="419"/>
      <c r="T177" s="419"/>
      <c r="U177" s="419"/>
      <c r="V177" s="419"/>
      <c r="W177" s="419"/>
      <c r="X177" s="419"/>
      <c r="Y177" s="419"/>
      <c r="Z177" s="419"/>
    </row>
    <row r="178" spans="3:26">
      <c r="C178" s="433"/>
      <c r="D178" s="433"/>
      <c r="E178" s="437"/>
      <c r="F178" s="419"/>
      <c r="G178" s="419"/>
      <c r="H178" s="419"/>
      <c r="I178" s="419"/>
      <c r="J178" s="419"/>
      <c r="K178" s="419"/>
      <c r="L178" s="429"/>
      <c r="M178" s="419"/>
      <c r="N178" s="419"/>
      <c r="O178" s="419"/>
      <c r="P178" s="419"/>
      <c r="Q178" s="419"/>
      <c r="R178" s="419"/>
      <c r="S178" s="419"/>
      <c r="T178" s="419"/>
      <c r="U178" s="419"/>
      <c r="V178" s="419"/>
      <c r="W178" s="419"/>
      <c r="X178" s="419"/>
      <c r="Y178" s="419"/>
      <c r="Z178" s="419"/>
    </row>
    <row r="179" spans="3:26">
      <c r="C179" s="433"/>
      <c r="D179" s="433"/>
      <c r="E179" s="437"/>
      <c r="F179" s="419"/>
      <c r="G179" s="419"/>
      <c r="H179" s="419"/>
      <c r="I179" s="419"/>
      <c r="J179" s="419"/>
      <c r="K179" s="419"/>
      <c r="L179" s="429"/>
      <c r="M179" s="419"/>
      <c r="N179" s="419"/>
      <c r="O179" s="419"/>
      <c r="P179" s="419"/>
      <c r="Q179" s="419"/>
      <c r="R179" s="419"/>
      <c r="S179" s="419"/>
      <c r="T179" s="419"/>
      <c r="U179" s="419"/>
      <c r="V179" s="419"/>
      <c r="W179" s="419"/>
      <c r="X179" s="419"/>
      <c r="Y179" s="419"/>
      <c r="Z179" s="419"/>
    </row>
    <row r="180" spans="3:26">
      <c r="C180" s="433"/>
      <c r="D180" s="433"/>
      <c r="E180" s="437"/>
      <c r="F180" s="419"/>
      <c r="G180" s="419"/>
      <c r="H180" s="419"/>
      <c r="I180" s="419"/>
      <c r="J180" s="419"/>
      <c r="K180" s="419"/>
      <c r="L180" s="429"/>
      <c r="M180" s="419"/>
      <c r="N180" s="419"/>
      <c r="O180" s="419"/>
      <c r="P180" s="419"/>
      <c r="Q180" s="419"/>
      <c r="R180" s="419"/>
      <c r="S180" s="419"/>
      <c r="T180" s="419"/>
      <c r="U180" s="419"/>
      <c r="V180" s="419"/>
      <c r="W180" s="419"/>
      <c r="X180" s="419"/>
      <c r="Y180" s="419"/>
      <c r="Z180" s="419"/>
    </row>
    <row r="181" spans="3:26">
      <c r="C181" s="433"/>
      <c r="D181" s="433"/>
      <c r="E181" s="437"/>
      <c r="F181" s="419"/>
      <c r="G181" s="419"/>
      <c r="H181" s="419"/>
      <c r="I181" s="419"/>
      <c r="J181" s="419"/>
      <c r="K181" s="419"/>
      <c r="L181" s="429"/>
      <c r="M181" s="419"/>
      <c r="N181" s="419"/>
      <c r="O181" s="419"/>
      <c r="P181" s="419"/>
      <c r="Q181" s="419"/>
      <c r="R181" s="419"/>
      <c r="S181" s="419"/>
      <c r="T181" s="419"/>
      <c r="U181" s="419"/>
      <c r="V181" s="419"/>
      <c r="W181" s="419"/>
      <c r="X181" s="419"/>
      <c r="Y181" s="419"/>
      <c r="Z181" s="419"/>
    </row>
    <row r="182" spans="3:26">
      <c r="C182" s="433"/>
      <c r="D182" s="433"/>
      <c r="E182" s="437"/>
      <c r="F182" s="419"/>
      <c r="G182" s="419"/>
      <c r="H182" s="419"/>
      <c r="I182" s="419"/>
      <c r="J182" s="419"/>
      <c r="K182" s="419"/>
      <c r="L182" s="429"/>
      <c r="M182" s="419"/>
      <c r="N182" s="419"/>
      <c r="O182" s="419"/>
      <c r="P182" s="419"/>
      <c r="Q182" s="419"/>
      <c r="R182" s="419"/>
      <c r="S182" s="419"/>
      <c r="T182" s="419"/>
      <c r="U182" s="419"/>
      <c r="V182" s="419"/>
      <c r="W182" s="419"/>
      <c r="X182" s="419"/>
      <c r="Y182" s="419"/>
      <c r="Z182" s="419"/>
    </row>
    <row r="183" spans="3:26">
      <c r="C183" s="433"/>
      <c r="D183" s="433"/>
      <c r="E183" s="437"/>
      <c r="F183" s="419"/>
      <c r="G183" s="419"/>
      <c r="H183" s="419"/>
      <c r="I183" s="419"/>
      <c r="J183" s="419"/>
      <c r="K183" s="419"/>
      <c r="L183" s="429"/>
      <c r="M183" s="419"/>
      <c r="N183" s="419"/>
      <c r="O183" s="419"/>
      <c r="P183" s="419"/>
      <c r="Q183" s="419"/>
      <c r="R183" s="419"/>
      <c r="S183" s="419"/>
      <c r="T183" s="419"/>
      <c r="U183" s="419"/>
      <c r="V183" s="419"/>
      <c r="W183" s="419"/>
      <c r="X183" s="419"/>
      <c r="Y183" s="419"/>
      <c r="Z183" s="419"/>
    </row>
    <row r="184" spans="3:26">
      <c r="C184" s="433"/>
      <c r="D184" s="433"/>
      <c r="E184" s="437"/>
      <c r="F184" s="419"/>
      <c r="G184" s="419"/>
      <c r="H184" s="419"/>
      <c r="I184" s="419"/>
      <c r="J184" s="419"/>
      <c r="K184" s="419"/>
      <c r="L184" s="429"/>
      <c r="M184" s="419"/>
      <c r="N184" s="419"/>
      <c r="O184" s="419"/>
      <c r="P184" s="419"/>
      <c r="Q184" s="419"/>
      <c r="R184" s="419"/>
      <c r="S184" s="419"/>
      <c r="T184" s="419"/>
      <c r="U184" s="419"/>
      <c r="V184" s="419"/>
      <c r="W184" s="419"/>
      <c r="X184" s="419"/>
      <c r="Y184" s="419"/>
      <c r="Z184" s="419"/>
    </row>
    <row r="185" spans="3:26">
      <c r="C185" s="433"/>
      <c r="D185" s="433"/>
      <c r="E185" s="437"/>
      <c r="F185" s="419"/>
      <c r="G185" s="419"/>
      <c r="H185" s="419"/>
      <c r="I185" s="419"/>
      <c r="J185" s="419"/>
      <c r="K185" s="419"/>
      <c r="L185" s="429"/>
      <c r="M185" s="419"/>
      <c r="N185" s="419"/>
      <c r="O185" s="419"/>
      <c r="P185" s="419"/>
      <c r="Q185" s="419"/>
      <c r="R185" s="419"/>
      <c r="S185" s="419"/>
      <c r="T185" s="419"/>
      <c r="U185" s="419"/>
      <c r="V185" s="419"/>
      <c r="W185" s="419"/>
      <c r="X185" s="419"/>
      <c r="Y185" s="419"/>
      <c r="Z185" s="419"/>
    </row>
    <row r="186" spans="3:26">
      <c r="C186" s="433"/>
      <c r="D186" s="433"/>
      <c r="E186" s="437"/>
      <c r="F186" s="419"/>
      <c r="G186" s="419"/>
      <c r="H186" s="419"/>
      <c r="I186" s="419"/>
      <c r="J186" s="419"/>
      <c r="K186" s="419"/>
      <c r="L186" s="429"/>
      <c r="M186" s="419"/>
      <c r="N186" s="419"/>
      <c r="O186" s="419"/>
      <c r="P186" s="419"/>
      <c r="Q186" s="419"/>
      <c r="R186" s="419"/>
      <c r="S186" s="419"/>
      <c r="T186" s="419"/>
      <c r="U186" s="419"/>
      <c r="V186" s="419"/>
      <c r="W186" s="419"/>
      <c r="X186" s="419"/>
      <c r="Y186" s="419"/>
      <c r="Z186" s="419"/>
    </row>
    <row r="187" spans="3:26">
      <c r="C187" s="433"/>
      <c r="D187" s="433"/>
      <c r="E187" s="437"/>
      <c r="F187" s="419"/>
      <c r="G187" s="419"/>
      <c r="H187" s="419"/>
      <c r="I187" s="419"/>
      <c r="J187" s="419"/>
      <c r="K187" s="419"/>
      <c r="L187" s="429"/>
      <c r="M187" s="419"/>
      <c r="N187" s="419"/>
      <c r="O187" s="419"/>
      <c r="P187" s="419"/>
      <c r="Q187" s="419"/>
      <c r="R187" s="419"/>
      <c r="S187" s="419"/>
      <c r="T187" s="419"/>
      <c r="U187" s="419"/>
      <c r="V187" s="419"/>
      <c r="W187" s="419"/>
      <c r="X187" s="419"/>
      <c r="Y187" s="419"/>
      <c r="Z187" s="419"/>
    </row>
    <row r="188" spans="3:26">
      <c r="C188" s="433"/>
      <c r="D188" s="433"/>
      <c r="E188" s="437"/>
      <c r="F188" s="419"/>
      <c r="G188" s="419"/>
      <c r="H188" s="419"/>
      <c r="I188" s="419"/>
      <c r="J188" s="419"/>
      <c r="K188" s="419"/>
      <c r="L188" s="429"/>
      <c r="M188" s="419"/>
      <c r="N188" s="419"/>
      <c r="O188" s="419"/>
      <c r="P188" s="419"/>
      <c r="Q188" s="419"/>
      <c r="R188" s="419"/>
      <c r="S188" s="419"/>
      <c r="T188" s="419"/>
      <c r="U188" s="419"/>
      <c r="V188" s="419"/>
      <c r="W188" s="419"/>
      <c r="X188" s="419"/>
      <c r="Y188" s="419"/>
      <c r="Z188" s="419"/>
    </row>
    <row r="189" spans="3:26">
      <c r="C189" s="433"/>
      <c r="D189" s="433"/>
      <c r="E189" s="437"/>
      <c r="F189" s="419"/>
      <c r="G189" s="419"/>
      <c r="H189" s="419"/>
      <c r="I189" s="419"/>
      <c r="J189" s="419"/>
      <c r="K189" s="419"/>
      <c r="L189" s="429"/>
      <c r="M189" s="419"/>
      <c r="N189" s="419"/>
      <c r="O189" s="419"/>
      <c r="P189" s="419"/>
      <c r="Q189" s="419"/>
      <c r="R189" s="419"/>
      <c r="S189" s="419"/>
      <c r="T189" s="419"/>
      <c r="U189" s="419"/>
      <c r="V189" s="419"/>
      <c r="W189" s="419"/>
      <c r="X189" s="419"/>
      <c r="Y189" s="419"/>
      <c r="Z189" s="419"/>
    </row>
    <row r="190" spans="3:26">
      <c r="C190" s="433"/>
      <c r="D190" s="433"/>
      <c r="E190" s="437"/>
      <c r="F190" s="419"/>
      <c r="G190" s="419"/>
      <c r="H190" s="419"/>
      <c r="I190" s="419"/>
      <c r="J190" s="419"/>
      <c r="K190" s="419"/>
      <c r="L190" s="429"/>
      <c r="M190" s="419"/>
      <c r="N190" s="419"/>
      <c r="O190" s="419"/>
      <c r="P190" s="419"/>
      <c r="Q190" s="419"/>
      <c r="R190" s="419"/>
      <c r="S190" s="419"/>
      <c r="T190" s="419"/>
      <c r="U190" s="419"/>
      <c r="V190" s="419"/>
      <c r="W190" s="419"/>
      <c r="X190" s="419"/>
      <c r="Y190" s="419"/>
      <c r="Z190" s="419"/>
    </row>
    <row r="191" spans="3:26">
      <c r="C191" s="433"/>
      <c r="D191" s="433"/>
      <c r="E191" s="437"/>
      <c r="F191" s="419"/>
      <c r="G191" s="419"/>
      <c r="H191" s="419"/>
      <c r="I191" s="419"/>
      <c r="J191" s="419"/>
      <c r="K191" s="419"/>
      <c r="L191" s="429"/>
      <c r="M191" s="419"/>
      <c r="N191" s="419"/>
      <c r="O191" s="419"/>
      <c r="P191" s="419"/>
      <c r="Q191" s="419"/>
      <c r="R191" s="419"/>
      <c r="S191" s="419"/>
      <c r="T191" s="419"/>
      <c r="U191" s="419"/>
      <c r="V191" s="419"/>
      <c r="W191" s="419"/>
      <c r="X191" s="419"/>
      <c r="Y191" s="419"/>
      <c r="Z191" s="419"/>
    </row>
    <row r="192" spans="3:26">
      <c r="C192" s="433"/>
      <c r="D192" s="433"/>
      <c r="E192" s="437"/>
      <c r="F192" s="419"/>
      <c r="G192" s="419"/>
      <c r="H192" s="419"/>
      <c r="I192" s="419"/>
      <c r="J192" s="419"/>
      <c r="K192" s="419"/>
      <c r="L192" s="429"/>
      <c r="M192" s="419"/>
      <c r="N192" s="419"/>
      <c r="O192" s="419"/>
      <c r="P192" s="419"/>
      <c r="Q192" s="419"/>
      <c r="R192" s="419"/>
      <c r="S192" s="419"/>
      <c r="T192" s="419"/>
      <c r="U192" s="419"/>
      <c r="V192" s="419"/>
      <c r="W192" s="419"/>
      <c r="X192" s="419"/>
      <c r="Y192" s="419"/>
      <c r="Z192" s="419"/>
    </row>
    <row r="193" spans="3:26">
      <c r="C193" s="433"/>
      <c r="D193" s="433"/>
      <c r="E193" s="437"/>
      <c r="F193" s="419"/>
      <c r="G193" s="419"/>
      <c r="H193" s="419"/>
      <c r="I193" s="419"/>
      <c r="J193" s="419"/>
      <c r="K193" s="419"/>
      <c r="L193" s="429"/>
      <c r="M193" s="419"/>
      <c r="N193" s="419"/>
      <c r="O193" s="419"/>
      <c r="P193" s="419"/>
      <c r="Q193" s="419"/>
      <c r="R193" s="419"/>
      <c r="S193" s="419"/>
      <c r="T193" s="419"/>
      <c r="U193" s="419"/>
      <c r="V193" s="419"/>
      <c r="W193" s="419"/>
      <c r="X193" s="419"/>
      <c r="Y193" s="419"/>
      <c r="Z193" s="419"/>
    </row>
    <row r="194" spans="3:26">
      <c r="C194" s="433"/>
      <c r="D194" s="433"/>
      <c r="E194" s="437"/>
      <c r="F194" s="419"/>
      <c r="G194" s="419"/>
      <c r="H194" s="419"/>
      <c r="I194" s="419"/>
      <c r="J194" s="419"/>
      <c r="K194" s="419"/>
      <c r="L194" s="429"/>
      <c r="M194" s="419"/>
      <c r="N194" s="419"/>
      <c r="O194" s="419"/>
      <c r="P194" s="419"/>
      <c r="Q194" s="419"/>
      <c r="R194" s="419"/>
      <c r="S194" s="419"/>
      <c r="T194" s="419"/>
      <c r="U194" s="419"/>
      <c r="V194" s="419"/>
      <c r="W194" s="419"/>
      <c r="X194" s="419"/>
      <c r="Y194" s="419"/>
      <c r="Z194" s="419"/>
    </row>
    <row r="195" spans="3:26">
      <c r="C195" s="433"/>
      <c r="D195" s="433"/>
      <c r="E195" s="437"/>
      <c r="F195" s="419"/>
      <c r="G195" s="419"/>
      <c r="H195" s="419"/>
      <c r="I195" s="419"/>
      <c r="J195" s="419"/>
      <c r="K195" s="419"/>
      <c r="L195" s="429"/>
      <c r="M195" s="419"/>
      <c r="N195" s="419"/>
      <c r="O195" s="419"/>
      <c r="P195" s="419"/>
      <c r="Q195" s="419"/>
      <c r="R195" s="419"/>
      <c r="S195" s="419"/>
      <c r="T195" s="419"/>
      <c r="U195" s="419"/>
      <c r="V195" s="419"/>
      <c r="W195" s="419"/>
      <c r="X195" s="419"/>
      <c r="Y195" s="419"/>
      <c r="Z195" s="419"/>
    </row>
    <row r="196" spans="3:26">
      <c r="C196" s="433"/>
      <c r="D196" s="433"/>
      <c r="E196" s="437"/>
      <c r="F196" s="419"/>
      <c r="G196" s="419"/>
      <c r="H196" s="419"/>
      <c r="I196" s="419"/>
      <c r="J196" s="419"/>
      <c r="K196" s="419"/>
      <c r="L196" s="429"/>
      <c r="M196" s="419"/>
      <c r="N196" s="419"/>
      <c r="O196" s="419"/>
      <c r="P196" s="419"/>
      <c r="Q196" s="419"/>
      <c r="R196" s="419"/>
      <c r="S196" s="419"/>
      <c r="T196" s="419"/>
      <c r="U196" s="419"/>
      <c r="V196" s="419"/>
      <c r="W196" s="419"/>
      <c r="X196" s="419"/>
      <c r="Y196" s="419"/>
      <c r="Z196" s="419"/>
    </row>
    <row r="197" spans="3:26">
      <c r="C197" s="433"/>
      <c r="D197" s="433"/>
      <c r="E197" s="437"/>
      <c r="F197" s="419"/>
      <c r="G197" s="419"/>
      <c r="H197" s="419"/>
      <c r="I197" s="419"/>
      <c r="J197" s="419"/>
      <c r="K197" s="419"/>
      <c r="L197" s="429"/>
      <c r="M197" s="419"/>
      <c r="N197" s="419"/>
      <c r="O197" s="419"/>
      <c r="P197" s="419"/>
      <c r="Q197" s="419"/>
      <c r="R197" s="419"/>
      <c r="S197" s="419"/>
      <c r="T197" s="419"/>
      <c r="U197" s="419"/>
      <c r="V197" s="419"/>
      <c r="W197" s="419"/>
      <c r="X197" s="419"/>
      <c r="Y197" s="419"/>
      <c r="Z197" s="419"/>
    </row>
    <row r="198" spans="3:26">
      <c r="C198" s="433"/>
      <c r="D198" s="433"/>
      <c r="E198" s="437"/>
      <c r="F198" s="419"/>
      <c r="G198" s="419"/>
      <c r="H198" s="419"/>
      <c r="I198" s="419"/>
      <c r="J198" s="419"/>
      <c r="K198" s="419"/>
      <c r="L198" s="429"/>
      <c r="M198" s="419"/>
      <c r="N198" s="419"/>
      <c r="O198" s="419"/>
      <c r="P198" s="419"/>
      <c r="Q198" s="419"/>
      <c r="R198" s="419"/>
      <c r="S198" s="419"/>
      <c r="T198" s="419"/>
      <c r="U198" s="419"/>
      <c r="V198" s="419"/>
      <c r="W198" s="419"/>
      <c r="X198" s="419"/>
      <c r="Y198" s="419"/>
      <c r="Z198" s="419"/>
    </row>
    <row r="199" spans="3:26">
      <c r="C199" s="433"/>
      <c r="D199" s="433"/>
      <c r="E199" s="437"/>
      <c r="F199" s="419"/>
      <c r="G199" s="419"/>
      <c r="H199" s="419"/>
      <c r="I199" s="419"/>
      <c r="J199" s="419"/>
      <c r="K199" s="419"/>
      <c r="L199" s="429"/>
      <c r="M199" s="419"/>
      <c r="N199" s="419"/>
      <c r="O199" s="419"/>
      <c r="P199" s="419"/>
      <c r="Q199" s="419"/>
      <c r="R199" s="419"/>
      <c r="S199" s="419"/>
      <c r="T199" s="419"/>
      <c r="U199" s="419"/>
      <c r="V199" s="419"/>
      <c r="W199" s="419"/>
      <c r="X199" s="419"/>
      <c r="Y199" s="419"/>
      <c r="Z199" s="419"/>
    </row>
    <row r="200" spans="3:26">
      <c r="C200" s="433"/>
      <c r="D200" s="433"/>
      <c r="E200" s="437"/>
      <c r="F200" s="419"/>
      <c r="G200" s="419"/>
      <c r="H200" s="419"/>
      <c r="I200" s="419"/>
      <c r="J200" s="419"/>
      <c r="K200" s="419"/>
      <c r="L200" s="429"/>
      <c r="M200" s="419"/>
      <c r="N200" s="419"/>
      <c r="O200" s="419"/>
      <c r="P200" s="419"/>
      <c r="Q200" s="419"/>
      <c r="R200" s="419"/>
      <c r="S200" s="419"/>
      <c r="T200" s="419"/>
      <c r="U200" s="419"/>
      <c r="V200" s="419"/>
      <c r="W200" s="419"/>
      <c r="X200" s="419"/>
      <c r="Y200" s="419"/>
      <c r="Z200" s="419"/>
    </row>
    <row r="201" spans="3:26">
      <c r="C201" s="433"/>
      <c r="D201" s="433"/>
      <c r="E201" s="437"/>
      <c r="F201" s="419"/>
      <c r="G201" s="419"/>
      <c r="H201" s="419"/>
      <c r="I201" s="419"/>
      <c r="J201" s="419"/>
      <c r="K201" s="419"/>
      <c r="L201" s="429"/>
      <c r="M201" s="419"/>
      <c r="N201" s="419"/>
      <c r="O201" s="419"/>
      <c r="P201" s="419"/>
      <c r="Q201" s="419"/>
      <c r="R201" s="419"/>
      <c r="S201" s="419"/>
      <c r="T201" s="419"/>
      <c r="U201" s="419"/>
      <c r="V201" s="419"/>
      <c r="W201" s="419"/>
      <c r="X201" s="419"/>
      <c r="Y201" s="419"/>
      <c r="Z201" s="419"/>
    </row>
    <row r="202" spans="3:26">
      <c r="C202" s="433"/>
      <c r="D202" s="433"/>
      <c r="E202" s="437"/>
      <c r="F202" s="419"/>
      <c r="G202" s="419"/>
      <c r="H202" s="419"/>
      <c r="I202" s="419"/>
      <c r="J202" s="419"/>
      <c r="K202" s="419"/>
      <c r="L202" s="429"/>
      <c r="M202" s="419"/>
      <c r="N202" s="419"/>
      <c r="O202" s="419"/>
      <c r="P202" s="419"/>
      <c r="Q202" s="419"/>
      <c r="R202" s="419"/>
      <c r="S202" s="419"/>
      <c r="T202" s="419"/>
      <c r="U202" s="419"/>
      <c r="V202" s="419"/>
      <c r="W202" s="419"/>
      <c r="X202" s="419"/>
      <c r="Y202" s="419"/>
      <c r="Z202" s="419"/>
    </row>
    <row r="203" spans="3:26">
      <c r="C203" s="433"/>
      <c r="D203" s="433"/>
      <c r="E203" s="437"/>
      <c r="F203" s="419"/>
      <c r="G203" s="419"/>
      <c r="H203" s="419"/>
      <c r="I203" s="419"/>
      <c r="J203" s="419"/>
      <c r="K203" s="419"/>
      <c r="L203" s="429"/>
      <c r="M203" s="419"/>
      <c r="N203" s="419"/>
      <c r="O203" s="419"/>
      <c r="P203" s="419"/>
      <c r="Q203" s="419"/>
      <c r="R203" s="419"/>
      <c r="S203" s="419"/>
      <c r="T203" s="419"/>
      <c r="U203" s="419"/>
      <c r="V203" s="419"/>
      <c r="W203" s="419"/>
      <c r="X203" s="419"/>
      <c r="Y203" s="419"/>
      <c r="Z203" s="419"/>
    </row>
    <row r="204" spans="3:26">
      <c r="C204" s="433"/>
      <c r="D204" s="433"/>
      <c r="E204" s="437"/>
      <c r="F204" s="419"/>
      <c r="G204" s="419"/>
      <c r="H204" s="419"/>
      <c r="I204" s="419"/>
      <c r="J204" s="419"/>
      <c r="K204" s="419"/>
      <c r="L204" s="429"/>
      <c r="M204" s="419"/>
      <c r="N204" s="419"/>
      <c r="O204" s="419"/>
      <c r="P204" s="419"/>
      <c r="Q204" s="419"/>
      <c r="R204" s="419"/>
      <c r="S204" s="419"/>
      <c r="T204" s="419"/>
      <c r="U204" s="419"/>
      <c r="V204" s="419"/>
      <c r="W204" s="419"/>
      <c r="X204" s="419"/>
      <c r="Y204" s="419"/>
      <c r="Z204" s="419"/>
    </row>
    <row r="205" spans="3:26">
      <c r="C205" s="433"/>
      <c r="D205" s="433"/>
      <c r="E205" s="437"/>
      <c r="F205" s="419"/>
      <c r="G205" s="419"/>
      <c r="H205" s="419"/>
      <c r="I205" s="419"/>
      <c r="J205" s="419"/>
      <c r="K205" s="419"/>
      <c r="L205" s="429"/>
      <c r="M205" s="419"/>
      <c r="N205" s="419"/>
      <c r="O205" s="419"/>
      <c r="P205" s="419"/>
      <c r="Q205" s="419"/>
      <c r="R205" s="419"/>
      <c r="S205" s="419"/>
      <c r="T205" s="419"/>
      <c r="U205" s="419"/>
      <c r="V205" s="419"/>
      <c r="W205" s="419"/>
      <c r="X205" s="419"/>
      <c r="Y205" s="419"/>
      <c r="Z205" s="419"/>
    </row>
    <row r="206" spans="3:26">
      <c r="C206" s="433"/>
      <c r="D206" s="433"/>
      <c r="E206" s="437"/>
      <c r="F206" s="419"/>
      <c r="G206" s="419"/>
      <c r="H206" s="419"/>
      <c r="I206" s="419"/>
      <c r="J206" s="419"/>
      <c r="K206" s="419"/>
      <c r="L206" s="429"/>
      <c r="M206" s="419"/>
      <c r="N206" s="419"/>
      <c r="O206" s="419"/>
      <c r="P206" s="419"/>
      <c r="Q206" s="419"/>
      <c r="R206" s="419"/>
      <c r="S206" s="419"/>
      <c r="T206" s="419"/>
      <c r="U206" s="419"/>
      <c r="V206" s="419"/>
      <c r="W206" s="419"/>
      <c r="X206" s="419"/>
      <c r="Y206" s="419"/>
      <c r="Z206" s="419"/>
    </row>
    <row r="207" spans="3:26">
      <c r="C207" s="433"/>
      <c r="D207" s="433"/>
      <c r="E207" s="437"/>
      <c r="F207" s="419"/>
      <c r="G207" s="419"/>
      <c r="H207" s="419"/>
      <c r="I207" s="419"/>
      <c r="J207" s="419"/>
      <c r="K207" s="419"/>
      <c r="L207" s="429"/>
      <c r="M207" s="419"/>
      <c r="N207" s="419"/>
      <c r="O207" s="419"/>
      <c r="P207" s="419"/>
      <c r="Q207" s="419"/>
      <c r="R207" s="419"/>
      <c r="S207" s="419"/>
      <c r="T207" s="419"/>
      <c r="U207" s="419"/>
      <c r="V207" s="419"/>
      <c r="W207" s="419"/>
      <c r="X207" s="419"/>
      <c r="Y207" s="419"/>
      <c r="Z207" s="419"/>
    </row>
    <row r="208" spans="3:26">
      <c r="C208" s="433"/>
      <c r="D208" s="433"/>
      <c r="E208" s="437"/>
      <c r="F208" s="419"/>
      <c r="G208" s="419"/>
      <c r="H208" s="419"/>
      <c r="I208" s="419"/>
      <c r="J208" s="419"/>
      <c r="K208" s="419"/>
      <c r="L208" s="429"/>
      <c r="M208" s="419"/>
      <c r="N208" s="419"/>
      <c r="O208" s="419"/>
      <c r="P208" s="419"/>
      <c r="Q208" s="419"/>
      <c r="R208" s="419"/>
      <c r="S208" s="419"/>
      <c r="T208" s="419"/>
      <c r="U208" s="419"/>
      <c r="V208" s="419"/>
      <c r="W208" s="419"/>
      <c r="X208" s="419"/>
      <c r="Y208" s="419"/>
      <c r="Z208" s="419"/>
    </row>
    <row r="209" spans="3:26">
      <c r="C209" s="433"/>
      <c r="D209" s="433"/>
      <c r="E209" s="437"/>
      <c r="F209" s="419"/>
      <c r="G209" s="419"/>
      <c r="H209" s="419"/>
      <c r="I209" s="419"/>
      <c r="J209" s="419"/>
      <c r="K209" s="419"/>
      <c r="L209" s="429"/>
      <c r="M209" s="419"/>
      <c r="N209" s="419"/>
      <c r="O209" s="419"/>
      <c r="P209" s="419"/>
      <c r="Q209" s="419"/>
      <c r="R209" s="419"/>
      <c r="S209" s="419"/>
      <c r="T209" s="419"/>
      <c r="U209" s="419"/>
      <c r="V209" s="419"/>
      <c r="W209" s="419"/>
      <c r="X209" s="419"/>
      <c r="Y209" s="419"/>
      <c r="Z209" s="419"/>
    </row>
    <row r="210" spans="3:26">
      <c r="C210" s="433"/>
      <c r="D210" s="433"/>
      <c r="E210" s="437"/>
      <c r="F210" s="419"/>
      <c r="G210" s="419"/>
      <c r="H210" s="419"/>
      <c r="I210" s="419"/>
      <c r="J210" s="419"/>
      <c r="K210" s="419"/>
      <c r="L210" s="429"/>
      <c r="M210" s="419"/>
      <c r="N210" s="419"/>
      <c r="O210" s="419"/>
      <c r="P210" s="419"/>
      <c r="Q210" s="419"/>
      <c r="R210" s="419"/>
      <c r="S210" s="419"/>
      <c r="T210" s="419"/>
      <c r="U210" s="419"/>
      <c r="V210" s="419"/>
      <c r="W210" s="419"/>
      <c r="X210" s="419"/>
      <c r="Y210" s="419"/>
      <c r="Z210" s="419"/>
    </row>
    <row r="211" spans="3:26">
      <c r="C211" s="433"/>
      <c r="D211" s="433"/>
      <c r="E211" s="437"/>
      <c r="F211" s="419"/>
      <c r="G211" s="419"/>
      <c r="H211" s="419"/>
      <c r="I211" s="419"/>
      <c r="J211" s="419"/>
      <c r="K211" s="419"/>
      <c r="L211" s="429"/>
      <c r="M211" s="419"/>
      <c r="N211" s="419"/>
      <c r="O211" s="419"/>
      <c r="P211" s="419"/>
      <c r="Q211" s="419"/>
      <c r="R211" s="419"/>
      <c r="S211" s="419"/>
      <c r="T211" s="419"/>
      <c r="U211" s="419"/>
      <c r="V211" s="419"/>
      <c r="W211" s="419"/>
      <c r="X211" s="419"/>
      <c r="Y211" s="419"/>
      <c r="Z211" s="419"/>
    </row>
    <row r="212" spans="3:26">
      <c r="C212" s="433"/>
      <c r="D212" s="433"/>
      <c r="E212" s="437"/>
      <c r="F212" s="419"/>
      <c r="G212" s="419"/>
      <c r="H212" s="419"/>
      <c r="I212" s="419"/>
      <c r="J212" s="419"/>
      <c r="K212" s="419"/>
      <c r="L212" s="429"/>
      <c r="M212" s="419"/>
      <c r="N212" s="419"/>
      <c r="O212" s="419"/>
      <c r="P212" s="419"/>
      <c r="Q212" s="419"/>
      <c r="R212" s="419"/>
      <c r="S212" s="419"/>
      <c r="T212" s="419"/>
      <c r="U212" s="419"/>
      <c r="V212" s="419"/>
      <c r="W212" s="419"/>
      <c r="X212" s="419"/>
      <c r="Y212" s="419"/>
      <c r="Z212" s="419"/>
    </row>
    <row r="213" spans="3:26">
      <c r="C213" s="433"/>
      <c r="D213" s="433"/>
      <c r="E213" s="437"/>
      <c r="F213" s="419"/>
      <c r="G213" s="419"/>
      <c r="H213" s="419"/>
      <c r="I213" s="419"/>
      <c r="J213" s="419"/>
      <c r="K213" s="419"/>
      <c r="L213" s="429"/>
      <c r="M213" s="419"/>
      <c r="N213" s="419"/>
      <c r="O213" s="419"/>
      <c r="P213" s="419"/>
      <c r="Q213" s="419"/>
      <c r="R213" s="419"/>
      <c r="S213" s="419"/>
      <c r="T213" s="419"/>
      <c r="U213" s="419"/>
      <c r="V213" s="419"/>
      <c r="W213" s="419"/>
      <c r="X213" s="419"/>
      <c r="Y213" s="419"/>
      <c r="Z213" s="419"/>
    </row>
    <row r="214" spans="3:26">
      <c r="C214" s="433"/>
      <c r="D214" s="433"/>
      <c r="E214" s="437"/>
      <c r="F214" s="419"/>
      <c r="G214" s="419"/>
      <c r="H214" s="419"/>
      <c r="I214" s="419"/>
      <c r="J214" s="419"/>
      <c r="K214" s="419"/>
      <c r="L214" s="429"/>
      <c r="M214" s="419"/>
      <c r="N214" s="419"/>
      <c r="O214" s="419"/>
      <c r="P214" s="419"/>
      <c r="Q214" s="419"/>
      <c r="R214" s="419"/>
      <c r="S214" s="419"/>
      <c r="T214" s="419"/>
      <c r="U214" s="419"/>
      <c r="V214" s="419"/>
      <c r="W214" s="419"/>
      <c r="X214" s="419"/>
      <c r="Y214" s="419"/>
      <c r="Z214" s="419"/>
    </row>
    <row r="215" spans="3:26">
      <c r="C215" s="433"/>
      <c r="D215" s="433"/>
      <c r="E215" s="437"/>
      <c r="F215" s="419"/>
      <c r="G215" s="419"/>
      <c r="H215" s="419"/>
      <c r="I215" s="419"/>
      <c r="J215" s="419"/>
      <c r="K215" s="419"/>
      <c r="L215" s="429"/>
      <c r="M215" s="419"/>
      <c r="N215" s="419"/>
      <c r="O215" s="419"/>
      <c r="P215" s="419"/>
      <c r="Q215" s="419"/>
      <c r="R215" s="419"/>
      <c r="S215" s="419"/>
      <c r="T215" s="419"/>
      <c r="U215" s="419"/>
      <c r="V215" s="419"/>
      <c r="W215" s="419"/>
      <c r="X215" s="419"/>
      <c r="Y215" s="419"/>
      <c r="Z215" s="419"/>
    </row>
    <row r="216" spans="3:26">
      <c r="C216" s="433"/>
      <c r="D216" s="433"/>
      <c r="E216" s="437"/>
      <c r="F216" s="419"/>
      <c r="G216" s="419"/>
      <c r="H216" s="419"/>
      <c r="I216" s="419"/>
      <c r="J216" s="419"/>
      <c r="K216" s="419"/>
      <c r="L216" s="429"/>
      <c r="M216" s="419"/>
      <c r="N216" s="419"/>
      <c r="O216" s="419"/>
      <c r="P216" s="419"/>
      <c r="Q216" s="419"/>
      <c r="R216" s="419"/>
      <c r="S216" s="419"/>
      <c r="T216" s="419"/>
      <c r="U216" s="419"/>
      <c r="V216" s="419"/>
      <c r="W216" s="419"/>
      <c r="X216" s="419"/>
      <c r="Y216" s="419"/>
      <c r="Z216" s="419"/>
    </row>
    <row r="217" spans="3:26">
      <c r="C217" s="433"/>
      <c r="D217" s="433"/>
      <c r="E217" s="437"/>
      <c r="F217" s="419"/>
      <c r="G217" s="419"/>
      <c r="H217" s="419"/>
      <c r="I217" s="419"/>
      <c r="J217" s="419"/>
      <c r="K217" s="419"/>
      <c r="L217" s="429"/>
      <c r="M217" s="419"/>
      <c r="N217" s="419"/>
      <c r="O217" s="419"/>
      <c r="P217" s="419"/>
      <c r="Q217" s="419"/>
      <c r="R217" s="419"/>
      <c r="S217" s="419"/>
      <c r="T217" s="419"/>
      <c r="U217" s="419"/>
      <c r="V217" s="419"/>
      <c r="W217" s="419"/>
      <c r="X217" s="419"/>
      <c r="Y217" s="419"/>
      <c r="Z217" s="419"/>
    </row>
    <row r="218" spans="3:26">
      <c r="C218" s="433"/>
      <c r="D218" s="433"/>
      <c r="E218" s="437"/>
      <c r="F218" s="419"/>
      <c r="G218" s="419"/>
      <c r="H218" s="419"/>
      <c r="I218" s="419"/>
      <c r="J218" s="419"/>
      <c r="K218" s="419"/>
      <c r="L218" s="429"/>
      <c r="M218" s="419"/>
      <c r="N218" s="419"/>
      <c r="O218" s="419"/>
      <c r="P218" s="419"/>
      <c r="Q218" s="419"/>
      <c r="R218" s="419"/>
      <c r="S218" s="419"/>
      <c r="T218" s="419"/>
      <c r="U218" s="419"/>
      <c r="V218" s="419"/>
      <c r="W218" s="419"/>
      <c r="X218" s="419"/>
      <c r="Y218" s="419"/>
      <c r="Z218" s="419"/>
    </row>
    <row r="219" spans="3:26">
      <c r="C219" s="433"/>
      <c r="D219" s="433"/>
      <c r="E219" s="437"/>
      <c r="F219" s="419"/>
      <c r="G219" s="419"/>
      <c r="H219" s="419"/>
      <c r="I219" s="419"/>
      <c r="J219" s="419"/>
      <c r="K219" s="419"/>
      <c r="L219" s="429"/>
      <c r="M219" s="419"/>
      <c r="N219" s="419"/>
      <c r="O219" s="419"/>
      <c r="P219" s="419"/>
      <c r="Q219" s="419"/>
      <c r="R219" s="419"/>
      <c r="S219" s="419"/>
      <c r="T219" s="419"/>
      <c r="U219" s="419"/>
      <c r="V219" s="419"/>
      <c r="W219" s="419"/>
      <c r="X219" s="419"/>
      <c r="Y219" s="419"/>
      <c r="Z219" s="419"/>
    </row>
    <row r="220" spans="3:26">
      <c r="C220" s="433"/>
      <c r="D220" s="433"/>
      <c r="E220" s="437"/>
      <c r="F220" s="419"/>
      <c r="G220" s="419"/>
      <c r="H220" s="419"/>
      <c r="I220" s="419"/>
      <c r="J220" s="419"/>
      <c r="K220" s="419"/>
      <c r="L220" s="429"/>
      <c r="M220" s="419"/>
      <c r="N220" s="419"/>
      <c r="O220" s="419"/>
      <c r="P220" s="419"/>
      <c r="Q220" s="419"/>
      <c r="R220" s="419"/>
      <c r="S220" s="419"/>
      <c r="T220" s="419"/>
      <c r="U220" s="419"/>
      <c r="V220" s="419"/>
      <c r="W220" s="419"/>
      <c r="X220" s="419"/>
      <c r="Y220" s="419"/>
      <c r="Z220" s="419"/>
    </row>
    <row r="221" spans="3:26">
      <c r="C221" s="433"/>
      <c r="D221" s="433"/>
      <c r="E221" s="437"/>
      <c r="F221" s="419"/>
      <c r="G221" s="419"/>
      <c r="H221" s="419"/>
      <c r="I221" s="419"/>
      <c r="J221" s="419"/>
      <c r="K221" s="419"/>
      <c r="L221" s="429"/>
      <c r="M221" s="419"/>
      <c r="N221" s="419"/>
      <c r="O221" s="419"/>
      <c r="P221" s="419"/>
      <c r="Q221" s="419"/>
      <c r="R221" s="419"/>
      <c r="S221" s="419"/>
      <c r="T221" s="419"/>
      <c r="U221" s="419"/>
      <c r="V221" s="419"/>
      <c r="W221" s="419"/>
      <c r="X221" s="419"/>
      <c r="Y221" s="419"/>
      <c r="Z221" s="419"/>
    </row>
    <row r="222" spans="3:26">
      <c r="C222" s="433"/>
      <c r="D222" s="433"/>
      <c r="E222" s="437"/>
      <c r="F222" s="419"/>
      <c r="G222" s="419"/>
      <c r="H222" s="419"/>
      <c r="I222" s="419"/>
      <c r="J222" s="419"/>
      <c r="K222" s="419"/>
      <c r="L222" s="429"/>
      <c r="M222" s="419"/>
      <c r="N222" s="419"/>
      <c r="O222" s="419"/>
      <c r="P222" s="419"/>
      <c r="Q222" s="419"/>
      <c r="R222" s="419"/>
      <c r="S222" s="419"/>
      <c r="T222" s="419"/>
      <c r="U222" s="419"/>
      <c r="V222" s="419"/>
      <c r="W222" s="419"/>
      <c r="X222" s="419"/>
      <c r="Y222" s="419"/>
      <c r="Z222" s="419"/>
    </row>
    <row r="223" spans="3:26">
      <c r="C223" s="433"/>
      <c r="D223" s="433"/>
      <c r="E223" s="437"/>
      <c r="F223" s="419"/>
      <c r="G223" s="419"/>
      <c r="H223" s="419"/>
      <c r="I223" s="419"/>
      <c r="J223" s="419"/>
      <c r="K223" s="419"/>
      <c r="L223" s="429"/>
      <c r="M223" s="419"/>
      <c r="N223" s="419"/>
      <c r="O223" s="419"/>
      <c r="P223" s="419"/>
      <c r="Q223" s="419"/>
      <c r="R223" s="419"/>
      <c r="S223" s="419"/>
      <c r="T223" s="419"/>
      <c r="U223" s="419"/>
      <c r="V223" s="419"/>
      <c r="W223" s="419"/>
      <c r="X223" s="419"/>
      <c r="Y223" s="419"/>
      <c r="Z223" s="419"/>
    </row>
    <row r="224" spans="3:26">
      <c r="C224" s="433"/>
      <c r="D224" s="433"/>
      <c r="E224" s="437"/>
      <c r="F224" s="419"/>
      <c r="G224" s="419"/>
      <c r="H224" s="419"/>
      <c r="I224" s="419"/>
      <c r="J224" s="419"/>
      <c r="K224" s="419"/>
      <c r="L224" s="429"/>
      <c r="M224" s="419"/>
      <c r="N224" s="419"/>
      <c r="O224" s="419"/>
      <c r="P224" s="419"/>
      <c r="Q224" s="419"/>
      <c r="R224" s="419"/>
      <c r="S224" s="419"/>
      <c r="T224" s="419"/>
      <c r="U224" s="419"/>
      <c r="V224" s="419"/>
      <c r="W224" s="419"/>
      <c r="X224" s="419"/>
      <c r="Y224" s="419"/>
      <c r="Z224" s="419"/>
    </row>
    <row r="225" spans="3:26">
      <c r="C225" s="433"/>
      <c r="D225" s="433"/>
      <c r="E225" s="437"/>
      <c r="F225" s="419"/>
      <c r="G225" s="419"/>
      <c r="H225" s="419"/>
      <c r="I225" s="419"/>
      <c r="J225" s="419"/>
      <c r="K225" s="419"/>
      <c r="L225" s="429"/>
      <c r="M225" s="419"/>
      <c r="N225" s="419"/>
      <c r="O225" s="419"/>
      <c r="P225" s="419"/>
      <c r="Q225" s="419"/>
      <c r="R225" s="419"/>
      <c r="S225" s="419"/>
      <c r="T225" s="419"/>
      <c r="U225" s="419"/>
      <c r="V225" s="419"/>
      <c r="W225" s="419"/>
      <c r="X225" s="419"/>
      <c r="Y225" s="419"/>
      <c r="Z225" s="419"/>
    </row>
    <row r="226" spans="3:26">
      <c r="C226" s="433"/>
      <c r="D226" s="433"/>
      <c r="E226" s="437"/>
      <c r="F226" s="419"/>
      <c r="G226" s="419"/>
      <c r="H226" s="419"/>
      <c r="I226" s="419"/>
      <c r="J226" s="419"/>
      <c r="K226" s="419"/>
      <c r="L226" s="429"/>
      <c r="M226" s="419"/>
      <c r="N226" s="419"/>
      <c r="O226" s="419"/>
      <c r="P226" s="419"/>
      <c r="Q226" s="419"/>
      <c r="R226" s="419"/>
      <c r="S226" s="419"/>
      <c r="T226" s="419"/>
      <c r="U226" s="419"/>
      <c r="V226" s="419"/>
      <c r="W226" s="419"/>
      <c r="X226" s="419"/>
      <c r="Y226" s="419"/>
      <c r="Z226" s="419"/>
    </row>
    <row r="227" spans="3:26">
      <c r="C227" s="433"/>
      <c r="D227" s="433"/>
      <c r="E227" s="437"/>
      <c r="F227" s="419"/>
      <c r="G227" s="419"/>
      <c r="H227" s="419"/>
      <c r="I227" s="419"/>
      <c r="J227" s="419"/>
      <c r="K227" s="419"/>
      <c r="L227" s="429"/>
      <c r="M227" s="419"/>
      <c r="N227" s="419"/>
      <c r="O227" s="419"/>
      <c r="P227" s="419"/>
      <c r="Q227" s="419"/>
      <c r="R227" s="419"/>
      <c r="S227" s="419"/>
      <c r="T227" s="419"/>
      <c r="U227" s="419"/>
      <c r="V227" s="419"/>
      <c r="W227" s="419"/>
      <c r="X227" s="419"/>
      <c r="Y227" s="419"/>
      <c r="Z227" s="419"/>
    </row>
    <row r="228" spans="3:26">
      <c r="C228" s="433"/>
      <c r="D228" s="433"/>
      <c r="E228" s="437"/>
      <c r="F228" s="419"/>
      <c r="G228" s="419"/>
      <c r="H228" s="419"/>
      <c r="I228" s="419"/>
      <c r="J228" s="419"/>
      <c r="K228" s="419"/>
      <c r="L228" s="429"/>
      <c r="M228" s="419"/>
      <c r="N228" s="419"/>
      <c r="O228" s="419"/>
      <c r="P228" s="419"/>
      <c r="Q228" s="419"/>
      <c r="R228" s="419"/>
      <c r="S228" s="419"/>
      <c r="T228" s="419"/>
      <c r="U228" s="419"/>
      <c r="V228" s="419"/>
      <c r="W228" s="419"/>
      <c r="X228" s="419"/>
      <c r="Y228" s="419"/>
      <c r="Z228" s="419"/>
    </row>
    <row r="229" spans="3:26">
      <c r="C229" s="433"/>
      <c r="D229" s="433"/>
      <c r="E229" s="437"/>
      <c r="F229" s="419"/>
      <c r="G229" s="419"/>
      <c r="H229" s="419"/>
      <c r="I229" s="419"/>
      <c r="J229" s="419"/>
      <c r="K229" s="419"/>
      <c r="L229" s="429"/>
      <c r="M229" s="419"/>
      <c r="N229" s="419"/>
      <c r="O229" s="419"/>
      <c r="P229" s="419"/>
      <c r="Q229" s="419"/>
      <c r="R229" s="419"/>
      <c r="S229" s="419"/>
      <c r="T229" s="419"/>
      <c r="U229" s="419"/>
      <c r="V229" s="419"/>
      <c r="W229" s="419"/>
      <c r="X229" s="419"/>
      <c r="Y229" s="419"/>
      <c r="Z229" s="419"/>
    </row>
    <row r="230" spans="3:26">
      <c r="C230" s="433"/>
      <c r="D230" s="433"/>
      <c r="E230" s="437"/>
      <c r="F230" s="419"/>
      <c r="G230" s="419"/>
      <c r="H230" s="419"/>
      <c r="I230" s="419"/>
      <c r="J230" s="419"/>
      <c r="K230" s="419"/>
      <c r="L230" s="429"/>
      <c r="M230" s="419"/>
      <c r="N230" s="419"/>
      <c r="O230" s="419"/>
      <c r="P230" s="419"/>
      <c r="Q230" s="419"/>
      <c r="R230" s="419"/>
      <c r="S230" s="419"/>
      <c r="T230" s="419"/>
      <c r="U230" s="419"/>
      <c r="V230" s="419"/>
      <c r="W230" s="419"/>
      <c r="X230" s="419"/>
      <c r="Y230" s="419"/>
      <c r="Z230" s="419"/>
    </row>
    <row r="231" spans="3:26">
      <c r="C231" s="433"/>
      <c r="D231" s="433"/>
      <c r="E231" s="437"/>
      <c r="F231" s="419"/>
      <c r="G231" s="419"/>
      <c r="H231" s="419"/>
      <c r="I231" s="419"/>
      <c r="J231" s="419"/>
      <c r="K231" s="419"/>
      <c r="L231" s="429"/>
      <c r="M231" s="419"/>
      <c r="N231" s="419"/>
      <c r="O231" s="419"/>
      <c r="P231" s="419"/>
      <c r="Q231" s="419"/>
      <c r="R231" s="419"/>
      <c r="S231" s="419"/>
      <c r="T231" s="419"/>
      <c r="U231" s="419"/>
      <c r="V231" s="419"/>
      <c r="W231" s="419"/>
      <c r="X231" s="419"/>
      <c r="Y231" s="419"/>
      <c r="Z231" s="419"/>
    </row>
    <row r="232" spans="3:26">
      <c r="C232" s="433"/>
      <c r="D232" s="433"/>
      <c r="E232" s="437"/>
      <c r="F232" s="419"/>
      <c r="G232" s="419"/>
      <c r="H232" s="419"/>
      <c r="I232" s="419"/>
      <c r="J232" s="419"/>
      <c r="K232" s="419"/>
      <c r="L232" s="429"/>
      <c r="M232" s="419"/>
      <c r="N232" s="419"/>
      <c r="O232" s="419"/>
      <c r="P232" s="419"/>
      <c r="Q232" s="419"/>
      <c r="R232" s="419"/>
      <c r="S232" s="419"/>
      <c r="T232" s="419"/>
      <c r="U232" s="419"/>
      <c r="V232" s="419"/>
      <c r="W232" s="419"/>
      <c r="X232" s="419"/>
      <c r="Y232" s="419"/>
      <c r="Z232" s="419"/>
    </row>
    <row r="233" spans="3:26">
      <c r="C233" s="433"/>
      <c r="D233" s="433"/>
      <c r="E233" s="437"/>
      <c r="F233" s="419"/>
      <c r="G233" s="419"/>
      <c r="H233" s="419"/>
      <c r="I233" s="419"/>
      <c r="J233" s="419"/>
      <c r="K233" s="419"/>
      <c r="L233" s="429"/>
      <c r="M233" s="419"/>
      <c r="N233" s="419"/>
      <c r="O233" s="419"/>
      <c r="P233" s="419"/>
      <c r="Q233" s="419"/>
      <c r="R233" s="419"/>
      <c r="S233" s="419"/>
      <c r="T233" s="419"/>
      <c r="U233" s="419"/>
      <c r="V233" s="419"/>
      <c r="W233" s="419"/>
      <c r="X233" s="419"/>
      <c r="Y233" s="419"/>
      <c r="Z233" s="419"/>
    </row>
    <row r="234" spans="3:26">
      <c r="C234" s="433"/>
      <c r="D234" s="433"/>
      <c r="E234" s="437"/>
      <c r="F234" s="419"/>
      <c r="G234" s="419"/>
      <c r="H234" s="419"/>
      <c r="I234" s="419"/>
      <c r="J234" s="419"/>
      <c r="K234" s="419"/>
      <c r="L234" s="429"/>
      <c r="M234" s="419"/>
      <c r="N234" s="419"/>
      <c r="O234" s="419"/>
      <c r="P234" s="419"/>
      <c r="Q234" s="419"/>
      <c r="R234" s="419"/>
      <c r="S234" s="419"/>
      <c r="T234" s="419"/>
      <c r="U234" s="419"/>
      <c r="V234" s="419"/>
      <c r="W234" s="419"/>
      <c r="X234" s="419"/>
      <c r="Y234" s="419"/>
      <c r="Z234" s="419"/>
    </row>
    <row r="235" spans="3:26">
      <c r="C235" s="433"/>
      <c r="D235" s="433"/>
      <c r="E235" s="437"/>
      <c r="F235" s="419"/>
      <c r="G235" s="419"/>
      <c r="H235" s="419"/>
      <c r="I235" s="419"/>
      <c r="J235" s="419"/>
      <c r="K235" s="419"/>
      <c r="L235" s="429"/>
      <c r="M235" s="419"/>
      <c r="N235" s="419"/>
      <c r="O235" s="419"/>
      <c r="P235" s="419"/>
      <c r="Q235" s="419"/>
      <c r="R235" s="419"/>
      <c r="S235" s="419"/>
      <c r="T235" s="419"/>
      <c r="U235" s="419"/>
      <c r="V235" s="419"/>
      <c r="W235" s="419"/>
      <c r="X235" s="419"/>
      <c r="Y235" s="419"/>
      <c r="Z235" s="419"/>
    </row>
    <row r="236" spans="3:26">
      <c r="C236" s="433"/>
      <c r="D236" s="433"/>
      <c r="E236" s="437"/>
      <c r="F236" s="419"/>
      <c r="G236" s="419"/>
      <c r="H236" s="419"/>
      <c r="I236" s="419"/>
      <c r="J236" s="419"/>
      <c r="K236" s="419"/>
      <c r="L236" s="429"/>
      <c r="M236" s="419"/>
      <c r="N236" s="419"/>
      <c r="O236" s="419"/>
      <c r="P236" s="419"/>
      <c r="Q236" s="419"/>
      <c r="R236" s="419"/>
      <c r="S236" s="419"/>
      <c r="T236" s="419"/>
      <c r="U236" s="419"/>
      <c r="V236" s="419"/>
      <c r="W236" s="419"/>
      <c r="X236" s="419"/>
      <c r="Y236" s="419"/>
      <c r="Z236" s="419"/>
    </row>
    <row r="237" spans="3:26">
      <c r="C237" s="433"/>
      <c r="D237" s="433"/>
      <c r="E237" s="437"/>
      <c r="F237" s="419"/>
      <c r="G237" s="419"/>
      <c r="H237" s="419"/>
      <c r="I237" s="419"/>
      <c r="J237" s="419"/>
      <c r="K237" s="419"/>
      <c r="L237" s="429"/>
      <c r="M237" s="419"/>
      <c r="N237" s="419"/>
      <c r="O237" s="419"/>
      <c r="P237" s="419"/>
      <c r="Q237" s="419"/>
      <c r="R237" s="419"/>
      <c r="S237" s="419"/>
      <c r="T237" s="419"/>
      <c r="U237" s="419"/>
      <c r="V237" s="419"/>
      <c r="W237" s="419"/>
      <c r="X237" s="419"/>
      <c r="Y237" s="419"/>
      <c r="Z237" s="419"/>
    </row>
    <row r="238" spans="3:26">
      <c r="C238" s="433"/>
      <c r="D238" s="433"/>
      <c r="E238" s="437"/>
      <c r="F238" s="419"/>
      <c r="G238" s="419"/>
      <c r="H238" s="419"/>
      <c r="I238" s="419"/>
      <c r="J238" s="419"/>
      <c r="K238" s="419"/>
      <c r="L238" s="429"/>
      <c r="M238" s="419"/>
      <c r="N238" s="419"/>
      <c r="O238" s="419"/>
      <c r="P238" s="419"/>
      <c r="Q238" s="419"/>
      <c r="R238" s="419"/>
      <c r="S238" s="419"/>
      <c r="T238" s="419"/>
      <c r="U238" s="419"/>
      <c r="V238" s="419"/>
      <c r="W238" s="419"/>
      <c r="X238" s="419"/>
      <c r="Y238" s="419"/>
      <c r="Z238" s="419"/>
    </row>
    <row r="239" spans="3:26">
      <c r="C239" s="433"/>
      <c r="D239" s="433"/>
      <c r="E239" s="437"/>
      <c r="F239" s="419"/>
      <c r="G239" s="419"/>
      <c r="H239" s="419"/>
      <c r="I239" s="419"/>
      <c r="J239" s="419"/>
      <c r="K239" s="419"/>
      <c r="L239" s="429"/>
      <c r="M239" s="419"/>
      <c r="N239" s="419"/>
      <c r="O239" s="419"/>
      <c r="P239" s="419"/>
      <c r="Q239" s="419"/>
      <c r="R239" s="419"/>
      <c r="S239" s="419"/>
      <c r="T239" s="419"/>
      <c r="U239" s="419"/>
      <c r="V239" s="419"/>
      <c r="W239" s="419"/>
      <c r="X239" s="419"/>
      <c r="Y239" s="419"/>
      <c r="Z239" s="419"/>
    </row>
    <row r="240" spans="3:26">
      <c r="C240" s="433"/>
      <c r="D240" s="433"/>
      <c r="E240" s="437"/>
      <c r="F240" s="419"/>
      <c r="G240" s="419"/>
      <c r="H240" s="419"/>
      <c r="I240" s="419"/>
      <c r="J240" s="419"/>
      <c r="K240" s="419"/>
      <c r="L240" s="429"/>
      <c r="M240" s="419"/>
      <c r="N240" s="419"/>
      <c r="O240" s="419"/>
      <c r="P240" s="419"/>
      <c r="Q240" s="419"/>
      <c r="R240" s="419"/>
      <c r="S240" s="419"/>
      <c r="T240" s="419"/>
      <c r="U240" s="419"/>
      <c r="V240" s="419"/>
      <c r="W240" s="419"/>
      <c r="X240" s="419"/>
      <c r="Y240" s="419"/>
      <c r="Z240" s="419"/>
    </row>
    <row r="241" spans="3:26">
      <c r="C241" s="433"/>
      <c r="D241" s="433"/>
      <c r="E241" s="437"/>
      <c r="F241" s="419"/>
      <c r="G241" s="419"/>
      <c r="H241" s="419"/>
      <c r="I241" s="419"/>
      <c r="J241" s="419"/>
      <c r="K241" s="419"/>
      <c r="L241" s="429"/>
      <c r="M241" s="419"/>
      <c r="N241" s="419"/>
      <c r="O241" s="419"/>
      <c r="P241" s="419"/>
      <c r="Q241" s="419"/>
      <c r="R241" s="419"/>
      <c r="S241" s="419"/>
      <c r="T241" s="419"/>
      <c r="U241" s="419"/>
      <c r="V241" s="419"/>
      <c r="W241" s="419"/>
      <c r="X241" s="419"/>
      <c r="Y241" s="419"/>
      <c r="Z241" s="419"/>
    </row>
    <row r="242" spans="3:26">
      <c r="C242" s="433"/>
      <c r="D242" s="433"/>
      <c r="E242" s="437"/>
      <c r="F242" s="419"/>
      <c r="G242" s="419"/>
      <c r="H242" s="419"/>
      <c r="I242" s="419"/>
      <c r="J242" s="419"/>
      <c r="K242" s="419"/>
      <c r="L242" s="429"/>
      <c r="M242" s="419"/>
      <c r="N242" s="419"/>
      <c r="O242" s="419"/>
      <c r="P242" s="419"/>
      <c r="Q242" s="419"/>
      <c r="R242" s="419"/>
      <c r="S242" s="419"/>
      <c r="T242" s="419"/>
      <c r="U242" s="419"/>
      <c r="V242" s="419"/>
      <c r="W242" s="419"/>
      <c r="X242" s="419"/>
      <c r="Y242" s="419"/>
      <c r="Z242" s="419"/>
    </row>
    <row r="243" spans="3:26">
      <c r="C243" s="433"/>
      <c r="D243" s="433"/>
      <c r="E243" s="437"/>
      <c r="F243" s="419"/>
      <c r="G243" s="419"/>
      <c r="H243" s="419"/>
      <c r="I243" s="419"/>
      <c r="J243" s="419"/>
      <c r="K243" s="419"/>
      <c r="L243" s="429"/>
      <c r="M243" s="419"/>
      <c r="N243" s="419"/>
      <c r="O243" s="419"/>
      <c r="P243" s="419"/>
      <c r="Q243" s="419"/>
      <c r="R243" s="419"/>
      <c r="S243" s="419"/>
      <c r="T243" s="419"/>
      <c r="U243" s="419"/>
      <c r="V243" s="419"/>
      <c r="W243" s="419"/>
      <c r="X243" s="419"/>
      <c r="Y243" s="419"/>
      <c r="Z243" s="419"/>
    </row>
    <row r="244" spans="3:26">
      <c r="C244" s="433"/>
      <c r="D244" s="433"/>
      <c r="E244" s="437"/>
      <c r="F244" s="419"/>
      <c r="G244" s="419"/>
      <c r="H244" s="419"/>
      <c r="I244" s="419"/>
      <c r="J244" s="419"/>
      <c r="K244" s="419"/>
      <c r="L244" s="429"/>
      <c r="M244" s="419"/>
      <c r="N244" s="419"/>
      <c r="O244" s="419"/>
      <c r="P244" s="419"/>
      <c r="Q244" s="419"/>
      <c r="R244" s="419"/>
      <c r="S244" s="419"/>
      <c r="T244" s="419"/>
      <c r="U244" s="419"/>
      <c r="V244" s="419"/>
      <c r="W244" s="419"/>
      <c r="X244" s="419"/>
      <c r="Y244" s="419"/>
      <c r="Z244" s="419"/>
    </row>
    <row r="245" spans="3:26">
      <c r="C245" s="433"/>
      <c r="D245" s="433"/>
      <c r="E245" s="437"/>
      <c r="F245" s="419"/>
      <c r="G245" s="419"/>
      <c r="H245" s="419"/>
      <c r="I245" s="419"/>
      <c r="J245" s="419"/>
      <c r="K245" s="419"/>
      <c r="L245" s="429"/>
      <c r="M245" s="419"/>
      <c r="N245" s="419"/>
      <c r="O245" s="419"/>
      <c r="P245" s="419"/>
      <c r="Q245" s="419"/>
      <c r="R245" s="419"/>
      <c r="S245" s="419"/>
      <c r="T245" s="419"/>
      <c r="U245" s="419"/>
      <c r="V245" s="419"/>
      <c r="W245" s="419"/>
      <c r="X245" s="419"/>
      <c r="Y245" s="419"/>
      <c r="Z245" s="419"/>
    </row>
    <row r="246" spans="3:26">
      <c r="C246" s="433"/>
      <c r="D246" s="433"/>
      <c r="E246" s="437"/>
      <c r="F246" s="419"/>
      <c r="G246" s="419"/>
      <c r="H246" s="419"/>
      <c r="I246" s="419"/>
      <c r="J246" s="419"/>
      <c r="K246" s="419"/>
      <c r="L246" s="429"/>
      <c r="M246" s="419"/>
      <c r="N246" s="419"/>
      <c r="O246" s="419"/>
      <c r="P246" s="419"/>
      <c r="Q246" s="419"/>
      <c r="R246" s="419"/>
      <c r="S246" s="419"/>
      <c r="T246" s="419"/>
      <c r="U246" s="419"/>
      <c r="V246" s="419"/>
      <c r="W246" s="419"/>
      <c r="X246" s="419"/>
      <c r="Y246" s="419"/>
      <c r="Z246" s="419"/>
    </row>
    <row r="247" spans="3:26">
      <c r="C247" s="433"/>
      <c r="D247" s="433"/>
      <c r="E247" s="437"/>
      <c r="F247" s="419"/>
      <c r="G247" s="419"/>
      <c r="H247" s="419"/>
      <c r="I247" s="419"/>
      <c r="J247" s="419"/>
      <c r="K247" s="419"/>
      <c r="L247" s="429"/>
      <c r="M247" s="419"/>
      <c r="N247" s="419"/>
      <c r="O247" s="419"/>
      <c r="P247" s="419"/>
      <c r="Q247" s="419"/>
      <c r="R247" s="419"/>
      <c r="S247" s="419"/>
      <c r="T247" s="419"/>
      <c r="U247" s="419"/>
      <c r="V247" s="419"/>
      <c r="W247" s="419"/>
      <c r="X247" s="419"/>
      <c r="Y247" s="419"/>
      <c r="Z247" s="419"/>
    </row>
    <row r="248" spans="3:26">
      <c r="C248" s="433"/>
      <c r="D248" s="433"/>
      <c r="E248" s="437"/>
      <c r="F248" s="419"/>
      <c r="G248" s="419"/>
      <c r="H248" s="419"/>
      <c r="I248" s="419"/>
      <c r="J248" s="419"/>
      <c r="K248" s="419"/>
      <c r="L248" s="429"/>
      <c r="M248" s="419"/>
      <c r="N248" s="419"/>
      <c r="O248" s="419"/>
      <c r="P248" s="419"/>
      <c r="Q248" s="419"/>
      <c r="R248" s="419"/>
      <c r="S248" s="419"/>
      <c r="T248" s="419"/>
      <c r="U248" s="419"/>
      <c r="V248" s="419"/>
      <c r="W248" s="419"/>
      <c r="X248" s="419"/>
      <c r="Y248" s="419"/>
      <c r="Z248" s="419"/>
    </row>
    <row r="249" spans="3:26">
      <c r="C249" s="433"/>
      <c r="D249" s="433"/>
      <c r="E249" s="437"/>
      <c r="F249" s="419"/>
      <c r="G249" s="419"/>
      <c r="H249" s="419"/>
      <c r="I249" s="419"/>
      <c r="J249" s="419"/>
      <c r="K249" s="419"/>
      <c r="L249" s="429"/>
      <c r="M249" s="419"/>
      <c r="N249" s="419"/>
      <c r="O249" s="419"/>
      <c r="P249" s="419"/>
      <c r="Q249" s="419"/>
      <c r="R249" s="419"/>
      <c r="S249" s="419"/>
      <c r="T249" s="419"/>
      <c r="U249" s="419"/>
      <c r="V249" s="419"/>
      <c r="W249" s="419"/>
      <c r="X249" s="419"/>
      <c r="Y249" s="419"/>
      <c r="Z249" s="419"/>
    </row>
    <row r="250" spans="3:26">
      <c r="C250" s="433"/>
      <c r="D250" s="433"/>
      <c r="E250" s="437"/>
      <c r="F250" s="419"/>
      <c r="G250" s="419"/>
      <c r="H250" s="419"/>
      <c r="I250" s="419"/>
      <c r="J250" s="419"/>
      <c r="K250" s="419"/>
      <c r="L250" s="429"/>
      <c r="M250" s="419"/>
      <c r="N250" s="419"/>
      <c r="O250" s="419"/>
      <c r="P250" s="419"/>
      <c r="Q250" s="419"/>
      <c r="R250" s="419"/>
      <c r="S250" s="419"/>
      <c r="T250" s="419"/>
      <c r="U250" s="419"/>
      <c r="V250" s="419"/>
      <c r="W250" s="419"/>
      <c r="X250" s="419"/>
      <c r="Y250" s="419"/>
      <c r="Z250" s="419"/>
    </row>
    <row r="251" spans="3:26">
      <c r="C251" s="433"/>
      <c r="D251" s="433"/>
      <c r="E251" s="437"/>
      <c r="F251" s="419"/>
      <c r="G251" s="419"/>
      <c r="H251" s="419"/>
      <c r="I251" s="419"/>
      <c r="J251" s="419"/>
      <c r="K251" s="419"/>
      <c r="L251" s="429"/>
      <c r="M251" s="419"/>
      <c r="N251" s="419"/>
      <c r="O251" s="419"/>
      <c r="P251" s="419"/>
      <c r="Q251" s="419"/>
      <c r="R251" s="419"/>
      <c r="S251" s="419"/>
      <c r="T251" s="419"/>
      <c r="U251" s="419"/>
      <c r="V251" s="419"/>
      <c r="W251" s="419"/>
      <c r="X251" s="419"/>
      <c r="Y251" s="419"/>
      <c r="Z251" s="419"/>
    </row>
    <row r="252" spans="3:26">
      <c r="C252" s="433"/>
      <c r="D252" s="433"/>
      <c r="E252" s="437"/>
      <c r="F252" s="419"/>
      <c r="G252" s="419"/>
      <c r="H252" s="419"/>
      <c r="I252" s="419"/>
      <c r="J252" s="419"/>
      <c r="K252" s="419"/>
      <c r="L252" s="429"/>
      <c r="M252" s="419"/>
      <c r="N252" s="419"/>
      <c r="O252" s="419"/>
      <c r="P252" s="419"/>
      <c r="Q252" s="419"/>
      <c r="R252" s="419"/>
      <c r="S252" s="419"/>
      <c r="T252" s="419"/>
      <c r="U252" s="419"/>
      <c r="V252" s="419"/>
      <c r="W252" s="419"/>
      <c r="X252" s="419"/>
      <c r="Y252" s="419"/>
      <c r="Z252" s="419"/>
    </row>
    <row r="253" spans="3:26">
      <c r="C253" s="433"/>
      <c r="D253" s="433"/>
      <c r="E253" s="437"/>
      <c r="F253" s="419"/>
      <c r="G253" s="419"/>
      <c r="H253" s="419"/>
      <c r="I253" s="419"/>
      <c r="J253" s="419"/>
      <c r="K253" s="419"/>
      <c r="L253" s="429"/>
      <c r="M253" s="419"/>
      <c r="N253" s="419"/>
      <c r="O253" s="419"/>
      <c r="P253" s="419"/>
      <c r="Q253" s="419"/>
      <c r="R253" s="419"/>
      <c r="S253" s="419"/>
      <c r="T253" s="419"/>
      <c r="U253" s="419"/>
      <c r="V253" s="419"/>
      <c r="W253" s="419"/>
      <c r="X253" s="419"/>
      <c r="Y253" s="419"/>
      <c r="Z253" s="419"/>
    </row>
    <row r="254" spans="3:26">
      <c r="C254" s="433"/>
      <c r="D254" s="433"/>
      <c r="E254" s="437"/>
      <c r="F254" s="419"/>
      <c r="G254" s="419"/>
      <c r="H254" s="419"/>
      <c r="I254" s="419"/>
      <c r="J254" s="419"/>
      <c r="K254" s="419"/>
      <c r="L254" s="429"/>
      <c r="M254" s="419"/>
      <c r="N254" s="419"/>
      <c r="O254" s="419"/>
      <c r="P254" s="419"/>
      <c r="Q254" s="419"/>
      <c r="R254" s="419"/>
      <c r="S254" s="419"/>
      <c r="T254" s="419"/>
      <c r="U254" s="419"/>
      <c r="V254" s="419"/>
      <c r="W254" s="419"/>
      <c r="X254" s="419"/>
      <c r="Y254" s="419"/>
      <c r="Z254" s="419"/>
    </row>
    <row r="255" spans="3:26">
      <c r="C255" s="433"/>
      <c r="D255" s="433"/>
      <c r="E255" s="437"/>
      <c r="F255" s="419"/>
      <c r="G255" s="419"/>
      <c r="H255" s="419"/>
      <c r="I255" s="419"/>
      <c r="J255" s="419"/>
      <c r="K255" s="419"/>
      <c r="L255" s="429"/>
      <c r="M255" s="419"/>
      <c r="N255" s="419"/>
      <c r="O255" s="419"/>
      <c r="P255" s="419"/>
      <c r="Q255" s="419"/>
      <c r="R255" s="419"/>
      <c r="S255" s="419"/>
      <c r="T255" s="419"/>
      <c r="U255" s="419"/>
      <c r="V255" s="419"/>
      <c r="W255" s="419"/>
      <c r="X255" s="419"/>
      <c r="Y255" s="419"/>
      <c r="Z255" s="419"/>
    </row>
    <row r="256" spans="3:26">
      <c r="C256" s="433"/>
      <c r="D256" s="433"/>
      <c r="E256" s="437"/>
      <c r="F256" s="419"/>
      <c r="G256" s="419"/>
      <c r="H256" s="419"/>
      <c r="I256" s="419"/>
      <c r="J256" s="419"/>
      <c r="K256" s="419"/>
      <c r="L256" s="429"/>
      <c r="M256" s="419"/>
      <c r="N256" s="419"/>
      <c r="O256" s="419"/>
      <c r="P256" s="419"/>
      <c r="Q256" s="419"/>
      <c r="R256" s="419"/>
      <c r="S256" s="419"/>
      <c r="T256" s="419"/>
      <c r="U256" s="419"/>
      <c r="V256" s="419"/>
      <c r="W256" s="419"/>
      <c r="X256" s="419"/>
      <c r="Y256" s="419"/>
      <c r="Z256" s="419"/>
    </row>
    <row r="257" spans="3:26">
      <c r="C257" s="433"/>
      <c r="D257" s="433"/>
      <c r="E257" s="437"/>
      <c r="F257" s="419"/>
      <c r="G257" s="419"/>
      <c r="H257" s="419"/>
      <c r="I257" s="419"/>
      <c r="J257" s="419"/>
      <c r="K257" s="419"/>
      <c r="L257" s="429"/>
      <c r="M257" s="419"/>
      <c r="N257" s="419"/>
      <c r="O257" s="419"/>
      <c r="P257" s="419"/>
      <c r="Q257" s="419"/>
      <c r="R257" s="419"/>
      <c r="S257" s="419"/>
      <c r="T257" s="419"/>
      <c r="U257" s="419"/>
      <c r="V257" s="419"/>
      <c r="W257" s="419"/>
      <c r="X257" s="419"/>
      <c r="Y257" s="419"/>
      <c r="Z257" s="419"/>
    </row>
    <row r="258" spans="3:26">
      <c r="C258" s="433"/>
      <c r="D258" s="433"/>
      <c r="E258" s="437"/>
      <c r="F258" s="419"/>
      <c r="G258" s="419"/>
      <c r="H258" s="419"/>
      <c r="I258" s="419"/>
      <c r="J258" s="419"/>
      <c r="K258" s="419"/>
      <c r="L258" s="429"/>
      <c r="M258" s="419"/>
      <c r="N258" s="419"/>
      <c r="O258" s="419"/>
      <c r="P258" s="419"/>
      <c r="Q258" s="419"/>
      <c r="R258" s="419"/>
      <c r="S258" s="419"/>
      <c r="T258" s="419"/>
      <c r="U258" s="419"/>
      <c r="V258" s="419"/>
      <c r="W258" s="419"/>
      <c r="X258" s="419"/>
      <c r="Y258" s="419"/>
      <c r="Z258" s="419"/>
    </row>
    <row r="259" spans="3:26">
      <c r="C259" s="433"/>
      <c r="D259" s="433"/>
      <c r="E259" s="437"/>
      <c r="F259" s="419"/>
      <c r="G259" s="419"/>
      <c r="H259" s="419"/>
      <c r="I259" s="419"/>
      <c r="J259" s="419"/>
      <c r="K259" s="419"/>
      <c r="L259" s="429"/>
      <c r="M259" s="419"/>
      <c r="N259" s="419"/>
      <c r="O259" s="419"/>
      <c r="P259" s="419"/>
      <c r="Q259" s="419"/>
      <c r="R259" s="419"/>
      <c r="S259" s="419"/>
      <c r="T259" s="419"/>
      <c r="U259" s="419"/>
      <c r="V259" s="419"/>
      <c r="W259" s="419"/>
      <c r="X259" s="419"/>
      <c r="Y259" s="419"/>
      <c r="Z259" s="419"/>
    </row>
    <row r="260" spans="3:26">
      <c r="C260" s="433"/>
      <c r="D260" s="433"/>
      <c r="E260" s="437"/>
      <c r="F260" s="419"/>
      <c r="G260" s="419"/>
      <c r="H260" s="419"/>
      <c r="I260" s="419"/>
      <c r="J260" s="419"/>
      <c r="K260" s="419"/>
      <c r="L260" s="429"/>
      <c r="M260" s="419"/>
      <c r="N260" s="419"/>
      <c r="O260" s="419"/>
      <c r="P260" s="419"/>
      <c r="Q260" s="419"/>
      <c r="R260" s="419"/>
      <c r="S260" s="419"/>
      <c r="T260" s="419"/>
      <c r="U260" s="419"/>
      <c r="V260" s="419"/>
      <c r="W260" s="419"/>
      <c r="X260" s="419"/>
      <c r="Y260" s="419"/>
      <c r="Z260" s="419"/>
    </row>
    <row r="261" spans="3:26">
      <c r="C261" s="433"/>
      <c r="D261" s="433"/>
      <c r="E261" s="437"/>
      <c r="F261" s="419"/>
      <c r="G261" s="419"/>
      <c r="H261" s="419"/>
      <c r="I261" s="419"/>
      <c r="J261" s="419"/>
      <c r="K261" s="419"/>
      <c r="L261" s="429"/>
      <c r="M261" s="419"/>
      <c r="N261" s="419"/>
      <c r="O261" s="419"/>
      <c r="P261" s="419"/>
      <c r="Q261" s="419"/>
      <c r="R261" s="419"/>
      <c r="S261" s="419"/>
      <c r="T261" s="419"/>
      <c r="U261" s="419"/>
      <c r="V261" s="419"/>
      <c r="W261" s="419"/>
      <c r="X261" s="419"/>
      <c r="Y261" s="419"/>
      <c r="Z261" s="419"/>
    </row>
    <row r="262" spans="3:26">
      <c r="C262" s="433"/>
      <c r="D262" s="433"/>
      <c r="E262" s="437"/>
      <c r="F262" s="419"/>
      <c r="G262" s="419"/>
      <c r="H262" s="419"/>
      <c r="I262" s="419"/>
      <c r="J262" s="419"/>
      <c r="K262" s="419"/>
      <c r="L262" s="429"/>
      <c r="M262" s="419"/>
      <c r="N262" s="419"/>
      <c r="O262" s="419"/>
      <c r="P262" s="419"/>
      <c r="Q262" s="419"/>
      <c r="R262" s="419"/>
      <c r="S262" s="419"/>
      <c r="T262" s="419"/>
      <c r="U262" s="419"/>
      <c r="V262" s="419"/>
      <c r="W262" s="419"/>
      <c r="X262" s="419"/>
      <c r="Y262" s="419"/>
      <c r="Z262" s="419"/>
    </row>
    <row r="263" spans="3:26">
      <c r="C263" s="433"/>
      <c r="D263" s="433"/>
      <c r="E263" s="437"/>
      <c r="F263" s="419"/>
      <c r="G263" s="419"/>
      <c r="H263" s="419"/>
      <c r="I263" s="419"/>
      <c r="J263" s="419"/>
      <c r="K263" s="419"/>
      <c r="L263" s="429"/>
      <c r="M263" s="419"/>
      <c r="N263" s="419"/>
      <c r="O263" s="419"/>
      <c r="P263" s="419"/>
      <c r="Q263" s="419"/>
      <c r="R263" s="419"/>
      <c r="S263" s="419"/>
      <c r="T263" s="419"/>
      <c r="U263" s="419"/>
      <c r="V263" s="419"/>
      <c r="W263" s="419"/>
      <c r="X263" s="419"/>
      <c r="Y263" s="419"/>
      <c r="Z263" s="419"/>
    </row>
    <row r="264" spans="3:26">
      <c r="C264" s="433"/>
      <c r="D264" s="433"/>
      <c r="E264" s="437"/>
      <c r="F264" s="419"/>
      <c r="G264" s="419"/>
      <c r="H264" s="419"/>
      <c r="I264" s="419"/>
      <c r="J264" s="419"/>
      <c r="K264" s="419"/>
      <c r="L264" s="429"/>
      <c r="M264" s="419"/>
      <c r="N264" s="419"/>
      <c r="O264" s="419"/>
      <c r="P264" s="419"/>
      <c r="Q264" s="419"/>
      <c r="R264" s="419"/>
      <c r="S264" s="419"/>
      <c r="T264" s="419"/>
      <c r="U264" s="419"/>
      <c r="V264" s="419"/>
      <c r="W264" s="419"/>
      <c r="X264" s="419"/>
      <c r="Y264" s="419"/>
      <c r="Z264" s="419"/>
    </row>
    <row r="265" spans="3:26">
      <c r="C265" s="433"/>
      <c r="D265" s="433"/>
      <c r="E265" s="437"/>
      <c r="F265" s="419"/>
      <c r="G265" s="419"/>
      <c r="H265" s="419"/>
      <c r="I265" s="419"/>
      <c r="J265" s="419"/>
      <c r="K265" s="419"/>
      <c r="L265" s="429"/>
      <c r="M265" s="419"/>
      <c r="N265" s="419"/>
      <c r="O265" s="419"/>
      <c r="P265" s="419"/>
      <c r="Q265" s="419"/>
      <c r="R265" s="419"/>
      <c r="S265" s="419"/>
      <c r="T265" s="419"/>
      <c r="U265" s="419"/>
      <c r="V265" s="419"/>
      <c r="W265" s="419"/>
      <c r="X265" s="419"/>
      <c r="Y265" s="419"/>
      <c r="Z265" s="419"/>
    </row>
    <row r="266" spans="3:26">
      <c r="C266" s="433"/>
      <c r="D266" s="433"/>
      <c r="E266" s="437"/>
      <c r="F266" s="419"/>
      <c r="G266" s="419"/>
      <c r="H266" s="419"/>
      <c r="I266" s="419"/>
      <c r="J266" s="419"/>
      <c r="K266" s="419"/>
      <c r="L266" s="429"/>
      <c r="M266" s="419"/>
      <c r="N266" s="419"/>
      <c r="O266" s="419"/>
      <c r="P266" s="419"/>
      <c r="Q266" s="419"/>
      <c r="R266" s="419"/>
      <c r="S266" s="419"/>
      <c r="T266" s="419"/>
      <c r="U266" s="419"/>
      <c r="V266" s="419"/>
      <c r="W266" s="419"/>
      <c r="X266" s="419"/>
      <c r="Y266" s="419"/>
      <c r="Z266" s="419"/>
    </row>
    <row r="267" spans="3:26">
      <c r="C267" s="433"/>
      <c r="D267" s="433"/>
      <c r="E267" s="437"/>
      <c r="F267" s="419"/>
      <c r="G267" s="419"/>
      <c r="H267" s="419"/>
      <c r="I267" s="419"/>
      <c r="J267" s="419"/>
      <c r="K267" s="419"/>
      <c r="L267" s="429"/>
      <c r="M267" s="419"/>
      <c r="N267" s="419"/>
      <c r="O267" s="419"/>
      <c r="P267" s="419"/>
      <c r="Q267" s="419"/>
      <c r="R267" s="419"/>
      <c r="S267" s="419"/>
      <c r="T267" s="419"/>
      <c r="U267" s="419"/>
      <c r="V267" s="419"/>
      <c r="W267" s="419"/>
      <c r="X267" s="419"/>
      <c r="Y267" s="419"/>
      <c r="Z267" s="419"/>
    </row>
    <row r="268" spans="3:26">
      <c r="C268" s="433"/>
      <c r="D268" s="433"/>
      <c r="E268" s="437"/>
      <c r="F268" s="419"/>
      <c r="G268" s="419"/>
      <c r="H268" s="419"/>
      <c r="I268" s="419"/>
      <c r="J268" s="419"/>
      <c r="K268" s="419"/>
      <c r="L268" s="429"/>
      <c r="M268" s="419"/>
      <c r="N268" s="419"/>
      <c r="O268" s="419"/>
      <c r="P268" s="419"/>
      <c r="Q268" s="419"/>
      <c r="R268" s="419"/>
      <c r="S268" s="419"/>
      <c r="T268" s="419"/>
      <c r="U268" s="419"/>
      <c r="V268" s="419"/>
      <c r="W268" s="419"/>
      <c r="X268" s="419"/>
      <c r="Y268" s="419"/>
      <c r="Z268" s="419"/>
    </row>
    <row r="269" spans="3:26">
      <c r="C269" s="433"/>
      <c r="D269" s="433"/>
      <c r="E269" s="437"/>
      <c r="F269" s="419"/>
      <c r="G269" s="419"/>
      <c r="H269" s="419"/>
      <c r="I269" s="419"/>
      <c r="J269" s="419"/>
      <c r="K269" s="419"/>
      <c r="L269" s="429"/>
      <c r="M269" s="419"/>
      <c r="N269" s="419"/>
      <c r="O269" s="419"/>
      <c r="P269" s="419"/>
      <c r="Q269" s="419"/>
      <c r="R269" s="419"/>
      <c r="S269" s="419"/>
      <c r="T269" s="419"/>
      <c r="U269" s="419"/>
      <c r="V269" s="419"/>
      <c r="W269" s="419"/>
      <c r="X269" s="419"/>
      <c r="Y269" s="419"/>
      <c r="Z269" s="419"/>
    </row>
    <row r="270" spans="3:26">
      <c r="C270" s="433"/>
      <c r="D270" s="433"/>
      <c r="E270" s="437"/>
      <c r="F270" s="419"/>
      <c r="G270" s="419"/>
      <c r="H270" s="419"/>
      <c r="I270" s="419"/>
      <c r="J270" s="419"/>
      <c r="K270" s="419"/>
      <c r="L270" s="429"/>
      <c r="M270" s="419"/>
      <c r="N270" s="419"/>
      <c r="O270" s="419"/>
      <c r="P270" s="419"/>
      <c r="Q270" s="419"/>
      <c r="R270" s="419"/>
      <c r="S270" s="419"/>
      <c r="T270" s="419"/>
      <c r="U270" s="419"/>
      <c r="V270" s="419"/>
      <c r="W270" s="419"/>
      <c r="X270" s="419"/>
      <c r="Y270" s="419"/>
      <c r="Z270" s="419"/>
    </row>
    <row r="271" spans="3:26">
      <c r="C271" s="433"/>
      <c r="D271" s="433"/>
      <c r="E271" s="437"/>
      <c r="F271" s="419"/>
      <c r="G271" s="419"/>
      <c r="H271" s="419"/>
      <c r="I271" s="419"/>
      <c r="J271" s="419"/>
      <c r="K271" s="419"/>
      <c r="L271" s="429"/>
      <c r="M271" s="419"/>
      <c r="N271" s="419"/>
      <c r="O271" s="419"/>
      <c r="P271" s="419"/>
      <c r="Q271" s="419"/>
      <c r="R271" s="419"/>
      <c r="S271" s="419"/>
      <c r="T271" s="419"/>
      <c r="U271" s="419"/>
      <c r="V271" s="419"/>
      <c r="W271" s="419"/>
      <c r="X271" s="419"/>
      <c r="Y271" s="419"/>
      <c r="Z271" s="419"/>
    </row>
    <row r="272" spans="3:26">
      <c r="C272" s="433"/>
      <c r="D272" s="433"/>
      <c r="E272" s="437"/>
      <c r="F272" s="419"/>
      <c r="G272" s="419"/>
      <c r="H272" s="419"/>
      <c r="I272" s="419"/>
      <c r="J272" s="419"/>
      <c r="K272" s="419"/>
      <c r="L272" s="429"/>
      <c r="M272" s="419"/>
      <c r="N272" s="419"/>
      <c r="O272" s="419"/>
      <c r="P272" s="419"/>
      <c r="Q272" s="419"/>
      <c r="R272" s="419"/>
      <c r="S272" s="419"/>
      <c r="T272" s="419"/>
      <c r="U272" s="419"/>
      <c r="V272" s="419"/>
      <c r="W272" s="419"/>
      <c r="X272" s="419"/>
      <c r="Y272" s="419"/>
      <c r="Z272" s="419"/>
    </row>
    <row r="273" spans="3:26">
      <c r="C273" s="433"/>
      <c r="D273" s="433"/>
      <c r="E273" s="437"/>
      <c r="F273" s="419"/>
      <c r="G273" s="419"/>
      <c r="H273" s="419"/>
      <c r="I273" s="419"/>
      <c r="J273" s="419"/>
      <c r="K273" s="419"/>
      <c r="L273" s="429"/>
      <c r="M273" s="419"/>
      <c r="N273" s="419"/>
      <c r="O273" s="419"/>
      <c r="P273" s="419"/>
      <c r="Q273" s="419"/>
      <c r="R273" s="419"/>
      <c r="S273" s="419"/>
      <c r="T273" s="419"/>
      <c r="U273" s="419"/>
      <c r="V273" s="419"/>
      <c r="W273" s="419"/>
      <c r="X273" s="419"/>
      <c r="Y273" s="419"/>
      <c r="Z273" s="419"/>
    </row>
    <row r="274" spans="3:26">
      <c r="C274" s="433"/>
      <c r="D274" s="433"/>
      <c r="E274" s="437"/>
      <c r="F274" s="419"/>
      <c r="G274" s="419"/>
      <c r="H274" s="419"/>
      <c r="I274" s="419"/>
      <c r="J274" s="419"/>
      <c r="K274" s="419"/>
      <c r="L274" s="429"/>
      <c r="M274" s="419"/>
      <c r="N274" s="419"/>
      <c r="O274" s="419"/>
      <c r="P274" s="419"/>
      <c r="Q274" s="419"/>
      <c r="R274" s="419"/>
      <c r="S274" s="419"/>
      <c r="T274" s="419"/>
      <c r="U274" s="419"/>
      <c r="V274" s="419"/>
      <c r="W274" s="419"/>
      <c r="X274" s="419"/>
      <c r="Y274" s="419"/>
      <c r="Z274" s="419"/>
    </row>
    <row r="275" spans="3:26">
      <c r="C275" s="433"/>
      <c r="D275" s="433"/>
      <c r="E275" s="437"/>
      <c r="F275" s="419"/>
      <c r="G275" s="419"/>
      <c r="H275" s="419"/>
      <c r="I275" s="419"/>
      <c r="J275" s="419"/>
      <c r="K275" s="419"/>
      <c r="L275" s="429"/>
      <c r="M275" s="419"/>
      <c r="N275" s="419"/>
      <c r="O275" s="419"/>
      <c r="P275" s="419"/>
      <c r="Q275" s="419"/>
      <c r="R275" s="419"/>
      <c r="S275" s="419"/>
      <c r="T275" s="419"/>
      <c r="U275" s="419"/>
      <c r="V275" s="419"/>
      <c r="W275" s="419"/>
      <c r="X275" s="419"/>
      <c r="Y275" s="419"/>
      <c r="Z275" s="419"/>
    </row>
    <row r="276" spans="3:26">
      <c r="C276" s="433"/>
      <c r="D276" s="433"/>
      <c r="E276" s="437"/>
      <c r="F276" s="419"/>
      <c r="G276" s="419"/>
      <c r="H276" s="419"/>
      <c r="I276" s="419"/>
      <c r="J276" s="419"/>
      <c r="K276" s="419"/>
      <c r="L276" s="429"/>
      <c r="M276" s="419"/>
      <c r="N276" s="419"/>
      <c r="O276" s="419"/>
      <c r="P276" s="419"/>
      <c r="Q276" s="419"/>
      <c r="R276" s="419"/>
      <c r="S276" s="419"/>
      <c r="T276" s="419"/>
      <c r="U276" s="419"/>
      <c r="V276" s="419"/>
      <c r="W276" s="419"/>
      <c r="X276" s="419"/>
      <c r="Y276" s="419"/>
      <c r="Z276" s="419"/>
    </row>
    <row r="277" spans="3:26">
      <c r="C277" s="433"/>
      <c r="D277" s="433"/>
      <c r="E277" s="437"/>
      <c r="F277" s="419"/>
      <c r="G277" s="419"/>
      <c r="H277" s="419"/>
      <c r="I277" s="419"/>
      <c r="J277" s="419"/>
      <c r="K277" s="419"/>
      <c r="L277" s="429"/>
      <c r="M277" s="419"/>
      <c r="N277" s="419"/>
      <c r="O277" s="419"/>
      <c r="P277" s="419"/>
      <c r="Q277" s="419"/>
      <c r="R277" s="419"/>
      <c r="S277" s="419"/>
      <c r="T277" s="419"/>
      <c r="U277" s="419"/>
      <c r="V277" s="419"/>
      <c r="W277" s="419"/>
      <c r="X277" s="419"/>
      <c r="Y277" s="419"/>
      <c r="Z277" s="419"/>
    </row>
    <row r="278" spans="3:26">
      <c r="C278" s="433"/>
      <c r="D278" s="433"/>
      <c r="E278" s="437"/>
      <c r="F278" s="419"/>
      <c r="G278" s="419"/>
      <c r="H278" s="419"/>
      <c r="I278" s="419"/>
      <c r="J278" s="419"/>
      <c r="K278" s="419"/>
      <c r="L278" s="429"/>
      <c r="M278" s="419"/>
      <c r="N278" s="419"/>
      <c r="O278" s="419"/>
      <c r="P278" s="419"/>
      <c r="Q278" s="419"/>
      <c r="R278" s="419"/>
      <c r="S278" s="419"/>
      <c r="T278" s="419"/>
      <c r="U278" s="419"/>
      <c r="V278" s="419"/>
      <c r="W278" s="419"/>
      <c r="X278" s="419"/>
      <c r="Y278" s="419"/>
      <c r="Z278" s="419"/>
    </row>
    <row r="279" spans="3:26">
      <c r="C279" s="433"/>
      <c r="D279" s="433"/>
      <c r="E279" s="437"/>
      <c r="F279" s="419"/>
      <c r="G279" s="419"/>
      <c r="H279" s="419"/>
      <c r="I279" s="419"/>
      <c r="J279" s="419"/>
      <c r="K279" s="419"/>
      <c r="L279" s="429"/>
      <c r="M279" s="419"/>
      <c r="N279" s="419"/>
      <c r="O279" s="419"/>
      <c r="P279" s="419"/>
      <c r="Q279" s="419"/>
      <c r="R279" s="419"/>
      <c r="S279" s="419"/>
      <c r="T279" s="419"/>
      <c r="U279" s="419"/>
      <c r="V279" s="419"/>
      <c r="W279" s="419"/>
      <c r="X279" s="419"/>
      <c r="Y279" s="419"/>
      <c r="Z279" s="419"/>
    </row>
    <row r="280" spans="3:26">
      <c r="C280" s="433"/>
      <c r="D280" s="433"/>
      <c r="E280" s="437"/>
      <c r="F280" s="419"/>
      <c r="G280" s="419"/>
      <c r="H280" s="419"/>
      <c r="I280" s="419"/>
      <c r="J280" s="419"/>
      <c r="K280" s="419"/>
      <c r="L280" s="429"/>
      <c r="M280" s="419"/>
      <c r="N280" s="419"/>
      <c r="O280" s="419"/>
      <c r="P280" s="419"/>
      <c r="Q280" s="419"/>
      <c r="R280" s="419"/>
      <c r="S280" s="419"/>
      <c r="T280" s="419"/>
      <c r="U280" s="419"/>
      <c r="V280" s="419"/>
      <c r="W280" s="419"/>
      <c r="X280" s="419"/>
      <c r="Y280" s="419"/>
      <c r="Z280" s="419"/>
    </row>
    <row r="281" spans="3:26">
      <c r="C281" s="433"/>
      <c r="D281" s="433"/>
      <c r="E281" s="437"/>
      <c r="F281" s="419"/>
      <c r="G281" s="419"/>
      <c r="H281" s="419"/>
      <c r="I281" s="419"/>
      <c r="J281" s="419"/>
      <c r="K281" s="419"/>
      <c r="L281" s="429"/>
      <c r="M281" s="419"/>
      <c r="N281" s="419"/>
      <c r="O281" s="419"/>
      <c r="P281" s="419"/>
      <c r="Q281" s="419"/>
      <c r="R281" s="419"/>
      <c r="S281" s="419"/>
      <c r="T281" s="419"/>
      <c r="U281" s="419"/>
      <c r="V281" s="419"/>
      <c r="W281" s="419"/>
      <c r="X281" s="419"/>
      <c r="Y281" s="419"/>
      <c r="Z281" s="419"/>
    </row>
    <row r="282" spans="3:26">
      <c r="C282" s="433"/>
      <c r="D282" s="433"/>
      <c r="E282" s="437"/>
      <c r="F282" s="419"/>
      <c r="G282" s="419"/>
      <c r="H282" s="419"/>
      <c r="I282" s="419"/>
      <c r="J282" s="419"/>
      <c r="K282" s="419"/>
      <c r="L282" s="429"/>
      <c r="M282" s="419"/>
      <c r="N282" s="419"/>
      <c r="O282" s="419"/>
      <c r="P282" s="419"/>
      <c r="Q282" s="419"/>
      <c r="R282" s="419"/>
      <c r="S282" s="419"/>
      <c r="T282" s="419"/>
      <c r="U282" s="419"/>
      <c r="V282" s="419"/>
      <c r="W282" s="419"/>
      <c r="X282" s="419"/>
      <c r="Y282" s="419"/>
      <c r="Z282" s="419"/>
    </row>
    <row r="283" spans="3:26">
      <c r="C283" s="433"/>
      <c r="D283" s="433"/>
      <c r="E283" s="437"/>
      <c r="F283" s="419"/>
      <c r="G283" s="419"/>
      <c r="H283" s="419"/>
      <c r="I283" s="419"/>
      <c r="J283" s="419"/>
      <c r="K283" s="419"/>
      <c r="L283" s="429"/>
      <c r="M283" s="419"/>
      <c r="N283" s="419"/>
      <c r="O283" s="419"/>
      <c r="P283" s="419"/>
      <c r="Q283" s="419"/>
      <c r="R283" s="419"/>
      <c r="S283" s="419"/>
      <c r="T283" s="419"/>
      <c r="U283" s="419"/>
      <c r="V283" s="419"/>
      <c r="W283" s="419"/>
      <c r="X283" s="419"/>
      <c r="Y283" s="419"/>
      <c r="Z283" s="419"/>
    </row>
    <row r="284" spans="3:26">
      <c r="C284" s="433"/>
      <c r="D284" s="433"/>
      <c r="E284" s="437"/>
      <c r="F284" s="419"/>
      <c r="G284" s="419"/>
      <c r="H284" s="419"/>
      <c r="I284" s="419"/>
      <c r="J284" s="419"/>
      <c r="K284" s="419"/>
      <c r="L284" s="429"/>
      <c r="M284" s="419"/>
      <c r="N284" s="419"/>
      <c r="O284" s="419"/>
      <c r="P284" s="419"/>
      <c r="Q284" s="419"/>
      <c r="R284" s="419"/>
      <c r="S284" s="419"/>
      <c r="T284" s="419"/>
      <c r="U284" s="419"/>
      <c r="V284" s="419"/>
      <c r="W284" s="419"/>
      <c r="X284" s="419"/>
      <c r="Y284" s="419"/>
      <c r="Z284" s="419"/>
    </row>
    <row r="285" spans="3:26">
      <c r="C285" s="433"/>
      <c r="D285" s="433"/>
      <c r="E285" s="437"/>
      <c r="F285" s="419"/>
      <c r="G285" s="419"/>
      <c r="H285" s="419"/>
      <c r="I285" s="419"/>
      <c r="J285" s="419"/>
      <c r="K285" s="419"/>
      <c r="L285" s="429"/>
      <c r="M285" s="419"/>
      <c r="N285" s="419"/>
      <c r="O285" s="419"/>
      <c r="P285" s="419"/>
      <c r="Q285" s="419"/>
      <c r="R285" s="419"/>
      <c r="S285" s="419"/>
      <c r="T285" s="419"/>
      <c r="U285" s="419"/>
      <c r="V285" s="419"/>
      <c r="W285" s="419"/>
      <c r="X285" s="419"/>
      <c r="Y285" s="419"/>
      <c r="Z285" s="419"/>
    </row>
    <row r="286" spans="3:26">
      <c r="C286" s="433"/>
      <c r="D286" s="433"/>
      <c r="E286" s="437"/>
      <c r="F286" s="419"/>
      <c r="G286" s="419"/>
      <c r="H286" s="419"/>
      <c r="I286" s="419"/>
      <c r="J286" s="419"/>
      <c r="K286" s="419"/>
      <c r="L286" s="429"/>
      <c r="M286" s="419"/>
      <c r="N286" s="419"/>
      <c r="O286" s="419"/>
      <c r="P286" s="419"/>
      <c r="Q286" s="419"/>
      <c r="R286" s="419"/>
      <c r="S286" s="419"/>
      <c r="T286" s="419"/>
      <c r="U286" s="419"/>
      <c r="V286" s="419"/>
      <c r="W286" s="419"/>
      <c r="X286" s="419"/>
      <c r="Y286" s="419"/>
      <c r="Z286" s="419"/>
    </row>
    <row r="287" spans="3:26">
      <c r="C287" s="433"/>
      <c r="D287" s="433"/>
      <c r="E287" s="437"/>
      <c r="F287" s="419"/>
      <c r="G287" s="419"/>
      <c r="H287" s="419"/>
      <c r="I287" s="419"/>
      <c r="J287" s="419"/>
      <c r="K287" s="419"/>
      <c r="L287" s="429"/>
      <c r="M287" s="419"/>
      <c r="N287" s="419"/>
      <c r="O287" s="419"/>
      <c r="P287" s="419"/>
      <c r="Q287" s="419"/>
      <c r="R287" s="419"/>
      <c r="S287" s="419"/>
      <c r="T287" s="419"/>
      <c r="U287" s="419"/>
      <c r="V287" s="419"/>
      <c r="W287" s="419"/>
      <c r="X287" s="419"/>
      <c r="Y287" s="419"/>
      <c r="Z287" s="419"/>
    </row>
    <row r="288" spans="3:26">
      <c r="C288" s="433"/>
      <c r="D288" s="433"/>
      <c r="E288" s="437"/>
      <c r="F288" s="419"/>
      <c r="G288" s="419"/>
      <c r="H288" s="419"/>
      <c r="I288" s="419"/>
      <c r="J288" s="419"/>
      <c r="K288" s="419"/>
      <c r="L288" s="429"/>
      <c r="M288" s="419"/>
      <c r="N288" s="419"/>
      <c r="O288" s="419"/>
      <c r="P288" s="419"/>
      <c r="Q288" s="419"/>
      <c r="R288" s="419"/>
      <c r="S288" s="419"/>
      <c r="T288" s="419"/>
      <c r="U288" s="419"/>
      <c r="V288" s="419"/>
      <c r="W288" s="419"/>
      <c r="X288" s="419"/>
      <c r="Y288" s="419"/>
      <c r="Z288" s="419"/>
    </row>
    <row r="289" spans="3:26">
      <c r="C289" s="433"/>
      <c r="D289" s="433"/>
      <c r="E289" s="437"/>
      <c r="F289" s="419"/>
      <c r="G289" s="419"/>
      <c r="H289" s="419"/>
      <c r="I289" s="419"/>
      <c r="J289" s="419"/>
      <c r="K289" s="419"/>
      <c r="L289" s="429"/>
      <c r="M289" s="419"/>
      <c r="N289" s="419"/>
      <c r="O289" s="419"/>
      <c r="P289" s="419"/>
      <c r="Q289" s="419"/>
      <c r="R289" s="419"/>
      <c r="S289" s="419"/>
      <c r="T289" s="419"/>
      <c r="U289" s="419"/>
      <c r="V289" s="419"/>
      <c r="W289" s="419"/>
      <c r="X289" s="419"/>
      <c r="Y289" s="419"/>
      <c r="Z289" s="419"/>
    </row>
    <row r="290" spans="3:26">
      <c r="C290" s="433"/>
      <c r="D290" s="433"/>
      <c r="E290" s="437"/>
      <c r="F290" s="419"/>
      <c r="G290" s="419"/>
      <c r="H290" s="419"/>
      <c r="I290" s="419"/>
      <c r="J290" s="419"/>
      <c r="K290" s="419"/>
      <c r="L290" s="429"/>
      <c r="M290" s="419"/>
      <c r="N290" s="419"/>
      <c r="O290" s="419"/>
      <c r="P290" s="419"/>
      <c r="Q290" s="419"/>
      <c r="R290" s="419"/>
      <c r="S290" s="419"/>
      <c r="T290" s="419"/>
      <c r="U290" s="419"/>
      <c r="V290" s="419"/>
      <c r="W290" s="419"/>
      <c r="X290" s="419"/>
      <c r="Y290" s="419"/>
      <c r="Z290" s="419"/>
    </row>
    <row r="291" spans="3:26">
      <c r="C291" s="433"/>
      <c r="D291" s="433"/>
      <c r="E291" s="437"/>
      <c r="F291" s="419"/>
      <c r="G291" s="419"/>
      <c r="H291" s="419"/>
      <c r="I291" s="419"/>
      <c r="J291" s="419"/>
      <c r="K291" s="419"/>
      <c r="L291" s="429"/>
      <c r="M291" s="419"/>
      <c r="N291" s="419"/>
      <c r="O291" s="419"/>
      <c r="P291" s="419"/>
      <c r="Q291" s="419"/>
      <c r="R291" s="419"/>
      <c r="S291" s="419"/>
      <c r="T291" s="419"/>
      <c r="U291" s="419"/>
      <c r="V291" s="419"/>
      <c r="W291" s="419"/>
      <c r="X291" s="419"/>
      <c r="Y291" s="419"/>
      <c r="Z291" s="419"/>
    </row>
    <row r="292" spans="3:26">
      <c r="C292" s="433"/>
      <c r="D292" s="433"/>
      <c r="E292" s="437"/>
      <c r="F292" s="419"/>
      <c r="G292" s="419"/>
      <c r="H292" s="419"/>
      <c r="I292" s="419"/>
      <c r="J292" s="419"/>
      <c r="K292" s="419"/>
      <c r="L292" s="429"/>
      <c r="M292" s="419"/>
      <c r="N292" s="419"/>
      <c r="O292" s="419"/>
      <c r="P292" s="419"/>
      <c r="Q292" s="419"/>
      <c r="R292" s="419"/>
      <c r="S292" s="419"/>
      <c r="T292" s="419"/>
      <c r="U292" s="419"/>
      <c r="V292" s="419"/>
      <c r="W292" s="419"/>
      <c r="X292" s="419"/>
      <c r="Y292" s="419"/>
      <c r="Z292" s="419"/>
    </row>
    <row r="293" spans="3:26">
      <c r="C293" s="433"/>
      <c r="D293" s="433"/>
      <c r="E293" s="437"/>
      <c r="F293" s="419"/>
      <c r="G293" s="419"/>
      <c r="H293" s="419"/>
      <c r="I293" s="419"/>
      <c r="J293" s="419"/>
      <c r="K293" s="419"/>
      <c r="L293" s="429"/>
      <c r="M293" s="419"/>
      <c r="N293" s="419"/>
      <c r="O293" s="419"/>
      <c r="P293" s="419"/>
      <c r="Q293" s="419"/>
      <c r="R293" s="419"/>
      <c r="S293" s="419"/>
      <c r="T293" s="419"/>
      <c r="U293" s="419"/>
      <c r="V293" s="419"/>
      <c r="W293" s="419"/>
      <c r="X293" s="419"/>
      <c r="Y293" s="419"/>
      <c r="Z293" s="419"/>
    </row>
    <row r="294" spans="3:26">
      <c r="C294" s="433"/>
      <c r="D294" s="433"/>
      <c r="E294" s="437"/>
      <c r="F294" s="419"/>
      <c r="G294" s="419"/>
      <c r="H294" s="419"/>
      <c r="I294" s="419"/>
      <c r="J294" s="419"/>
      <c r="K294" s="419"/>
      <c r="L294" s="429"/>
      <c r="M294" s="419"/>
      <c r="N294" s="419"/>
      <c r="O294" s="419"/>
      <c r="P294" s="419"/>
      <c r="Q294" s="419"/>
      <c r="R294" s="419"/>
      <c r="S294" s="419"/>
      <c r="T294" s="419"/>
      <c r="U294" s="419"/>
      <c r="V294" s="419"/>
      <c r="W294" s="419"/>
      <c r="X294" s="419"/>
      <c r="Y294" s="419"/>
      <c r="Z294" s="419"/>
    </row>
    <row r="295" spans="3:26">
      <c r="C295" s="433"/>
      <c r="D295" s="433"/>
      <c r="E295" s="437"/>
      <c r="F295" s="419"/>
      <c r="G295" s="419"/>
      <c r="H295" s="419"/>
      <c r="I295" s="419"/>
      <c r="J295" s="419"/>
      <c r="K295" s="419"/>
      <c r="L295" s="429"/>
      <c r="M295" s="419"/>
      <c r="N295" s="419"/>
      <c r="O295" s="419"/>
      <c r="P295" s="419"/>
      <c r="Q295" s="419"/>
      <c r="R295" s="419"/>
      <c r="S295" s="419"/>
      <c r="T295" s="419"/>
      <c r="U295" s="419"/>
      <c r="V295" s="419"/>
      <c r="W295" s="419"/>
      <c r="X295" s="419"/>
      <c r="Y295" s="419"/>
      <c r="Z295" s="419"/>
    </row>
    <row r="296" spans="3:26">
      <c r="C296" s="433"/>
      <c r="D296" s="433"/>
      <c r="E296" s="437"/>
      <c r="F296" s="419"/>
      <c r="G296" s="419"/>
      <c r="H296" s="419"/>
      <c r="I296" s="419"/>
      <c r="J296" s="419"/>
      <c r="K296" s="419"/>
      <c r="L296" s="429"/>
      <c r="M296" s="419"/>
      <c r="N296" s="419"/>
      <c r="O296" s="419"/>
      <c r="P296" s="419"/>
      <c r="Q296" s="419"/>
      <c r="R296" s="419"/>
      <c r="S296" s="419"/>
      <c r="T296" s="419"/>
      <c r="U296" s="419"/>
      <c r="V296" s="419"/>
      <c r="W296" s="419"/>
      <c r="X296" s="419"/>
      <c r="Y296" s="419"/>
      <c r="Z296" s="419"/>
    </row>
    <row r="297" spans="3:26">
      <c r="C297" s="433"/>
      <c r="D297" s="433"/>
      <c r="E297" s="437"/>
      <c r="F297" s="419"/>
      <c r="G297" s="419"/>
      <c r="H297" s="419"/>
      <c r="I297" s="419"/>
      <c r="J297" s="419"/>
      <c r="K297" s="419"/>
      <c r="L297" s="429"/>
      <c r="M297" s="419"/>
      <c r="N297" s="419"/>
      <c r="O297" s="419"/>
      <c r="P297" s="419"/>
      <c r="Q297" s="419"/>
      <c r="R297" s="419"/>
      <c r="S297" s="419"/>
      <c r="T297" s="419"/>
      <c r="U297" s="419"/>
      <c r="V297" s="419"/>
      <c r="W297" s="419"/>
      <c r="X297" s="419"/>
      <c r="Y297" s="419"/>
      <c r="Z297" s="419"/>
    </row>
    <row r="298" spans="3:26">
      <c r="C298" s="433"/>
      <c r="D298" s="433"/>
      <c r="E298" s="437"/>
      <c r="F298" s="419"/>
      <c r="G298" s="419"/>
      <c r="H298" s="419"/>
      <c r="I298" s="419"/>
      <c r="J298" s="419"/>
      <c r="K298" s="419"/>
      <c r="L298" s="429"/>
      <c r="M298" s="419"/>
      <c r="N298" s="419"/>
      <c r="O298" s="419"/>
      <c r="P298" s="419"/>
      <c r="Q298" s="419"/>
      <c r="R298" s="419"/>
      <c r="S298" s="419"/>
      <c r="T298" s="419"/>
      <c r="U298" s="419"/>
      <c r="V298" s="419"/>
      <c r="W298" s="419"/>
      <c r="X298" s="419"/>
      <c r="Y298" s="419"/>
      <c r="Z298" s="419"/>
    </row>
    <row r="299" spans="3:26">
      <c r="C299" s="433"/>
      <c r="D299" s="433"/>
      <c r="E299" s="437"/>
      <c r="F299" s="419"/>
      <c r="G299" s="419"/>
      <c r="H299" s="419"/>
      <c r="I299" s="419"/>
      <c r="J299" s="419"/>
      <c r="K299" s="419"/>
      <c r="L299" s="429"/>
      <c r="M299" s="419"/>
      <c r="N299" s="419"/>
      <c r="O299" s="419"/>
      <c r="P299" s="419"/>
      <c r="Q299" s="419"/>
      <c r="R299" s="419"/>
      <c r="S299" s="419"/>
      <c r="T299" s="419"/>
      <c r="U299" s="419"/>
      <c r="V299" s="419"/>
      <c r="W299" s="419"/>
      <c r="X299" s="419"/>
      <c r="Y299" s="419"/>
      <c r="Z299" s="419"/>
    </row>
    <row r="300" spans="3:26">
      <c r="C300" s="433"/>
      <c r="D300" s="433"/>
      <c r="E300" s="437"/>
      <c r="F300" s="419"/>
      <c r="G300" s="419"/>
      <c r="H300" s="419"/>
      <c r="I300" s="419"/>
      <c r="J300" s="419"/>
      <c r="K300" s="419"/>
      <c r="L300" s="429"/>
      <c r="M300" s="419"/>
      <c r="N300" s="419"/>
      <c r="O300" s="419"/>
      <c r="P300" s="419"/>
      <c r="Q300" s="419"/>
      <c r="R300" s="419"/>
      <c r="S300" s="419"/>
      <c r="T300" s="419"/>
      <c r="U300" s="419"/>
      <c r="V300" s="419"/>
      <c r="W300" s="419"/>
      <c r="X300" s="419"/>
      <c r="Y300" s="419"/>
      <c r="Z300" s="419"/>
    </row>
    <row r="301" spans="3:26">
      <c r="C301" s="433"/>
      <c r="D301" s="433"/>
      <c r="E301" s="437"/>
      <c r="F301" s="419"/>
      <c r="G301" s="419"/>
      <c r="H301" s="419"/>
      <c r="I301" s="419"/>
      <c r="J301" s="419"/>
      <c r="K301" s="419"/>
      <c r="L301" s="429"/>
      <c r="M301" s="419"/>
      <c r="N301" s="419"/>
      <c r="O301" s="419"/>
      <c r="P301" s="419"/>
      <c r="Q301" s="419"/>
      <c r="R301" s="419"/>
      <c r="S301" s="419"/>
      <c r="T301" s="419"/>
      <c r="U301" s="419"/>
      <c r="V301" s="419"/>
      <c r="W301" s="419"/>
      <c r="X301" s="419"/>
      <c r="Y301" s="419"/>
      <c r="Z301" s="419"/>
    </row>
    <row r="302" spans="3:26">
      <c r="C302" s="433"/>
      <c r="D302" s="433"/>
      <c r="E302" s="437"/>
      <c r="F302" s="419"/>
      <c r="G302" s="419"/>
      <c r="H302" s="419"/>
      <c r="I302" s="419"/>
      <c r="J302" s="419"/>
      <c r="K302" s="419"/>
      <c r="L302" s="429"/>
      <c r="M302" s="419"/>
      <c r="N302" s="419"/>
      <c r="O302" s="419"/>
      <c r="P302" s="419"/>
      <c r="Q302" s="419"/>
      <c r="R302" s="419"/>
      <c r="S302" s="419"/>
      <c r="T302" s="419"/>
      <c r="U302" s="419"/>
      <c r="V302" s="419"/>
      <c r="W302" s="419"/>
      <c r="X302" s="419"/>
      <c r="Y302" s="419"/>
      <c r="Z302" s="419"/>
    </row>
    <row r="303" spans="3:26">
      <c r="C303" s="433"/>
      <c r="D303" s="433"/>
      <c r="E303" s="437"/>
      <c r="F303" s="419"/>
      <c r="G303" s="419"/>
      <c r="H303" s="419"/>
      <c r="I303" s="419"/>
      <c r="J303" s="419"/>
      <c r="K303" s="419"/>
      <c r="L303" s="429"/>
      <c r="M303" s="419"/>
      <c r="N303" s="419"/>
      <c r="O303" s="419"/>
      <c r="P303" s="419"/>
      <c r="Q303" s="419"/>
      <c r="R303" s="419"/>
      <c r="S303" s="419"/>
      <c r="T303" s="419"/>
      <c r="U303" s="419"/>
      <c r="V303" s="419"/>
      <c r="W303" s="419"/>
      <c r="X303" s="419"/>
      <c r="Y303" s="419"/>
      <c r="Z303" s="419"/>
    </row>
    <row r="304" spans="3:26">
      <c r="C304" s="433"/>
      <c r="D304" s="433"/>
      <c r="E304" s="437"/>
      <c r="F304" s="419"/>
      <c r="G304" s="419"/>
      <c r="H304" s="419"/>
      <c r="I304" s="419"/>
      <c r="J304" s="419"/>
      <c r="K304" s="419"/>
      <c r="L304" s="429"/>
      <c r="M304" s="419"/>
      <c r="N304" s="419"/>
      <c r="O304" s="419"/>
      <c r="P304" s="419"/>
      <c r="Q304" s="419"/>
      <c r="R304" s="419"/>
      <c r="S304" s="419"/>
      <c r="T304" s="419"/>
      <c r="U304" s="419"/>
      <c r="V304" s="419"/>
      <c r="W304" s="419"/>
      <c r="X304" s="419"/>
      <c r="Y304" s="419"/>
      <c r="Z304" s="419"/>
    </row>
    <row r="305" spans="3:26">
      <c r="C305" s="433"/>
      <c r="D305" s="433"/>
      <c r="E305" s="437"/>
      <c r="F305" s="419"/>
      <c r="G305" s="419"/>
      <c r="H305" s="419"/>
      <c r="I305" s="419"/>
      <c r="J305" s="419"/>
      <c r="K305" s="419"/>
      <c r="L305" s="429"/>
      <c r="M305" s="419"/>
      <c r="N305" s="419"/>
      <c r="O305" s="419"/>
      <c r="P305" s="419"/>
      <c r="Q305" s="419"/>
      <c r="R305" s="419"/>
      <c r="S305" s="419"/>
      <c r="T305" s="419"/>
      <c r="U305" s="419"/>
      <c r="V305" s="419"/>
      <c r="W305" s="419"/>
      <c r="X305" s="419"/>
      <c r="Y305" s="419"/>
      <c r="Z305" s="419"/>
    </row>
    <row r="306" spans="3:26">
      <c r="C306" s="433"/>
      <c r="D306" s="433"/>
      <c r="E306" s="437"/>
      <c r="F306" s="419"/>
      <c r="G306" s="419"/>
      <c r="H306" s="419"/>
      <c r="I306" s="419"/>
      <c r="J306" s="419"/>
      <c r="K306" s="419"/>
      <c r="L306" s="429"/>
      <c r="M306" s="419"/>
      <c r="N306" s="419"/>
      <c r="O306" s="419"/>
      <c r="P306" s="419"/>
      <c r="Q306" s="419"/>
      <c r="R306" s="419"/>
      <c r="S306" s="419"/>
      <c r="T306" s="419"/>
      <c r="U306" s="419"/>
      <c r="V306" s="419"/>
      <c r="W306" s="419"/>
      <c r="X306" s="419"/>
      <c r="Y306" s="419"/>
      <c r="Z306" s="419"/>
    </row>
    <row r="307" spans="3:26">
      <c r="C307" s="433"/>
      <c r="D307" s="433"/>
      <c r="E307" s="437"/>
      <c r="F307" s="419"/>
      <c r="G307" s="419"/>
      <c r="H307" s="419"/>
      <c r="I307" s="419"/>
      <c r="J307" s="419"/>
      <c r="K307" s="419"/>
      <c r="L307" s="429"/>
      <c r="M307" s="419"/>
      <c r="N307" s="419"/>
      <c r="O307" s="419"/>
      <c r="P307" s="419"/>
      <c r="Q307" s="419"/>
      <c r="R307" s="419"/>
      <c r="S307" s="419"/>
      <c r="T307" s="419"/>
      <c r="U307" s="419"/>
      <c r="V307" s="419"/>
      <c r="W307" s="419"/>
      <c r="X307" s="419"/>
      <c r="Y307" s="419"/>
      <c r="Z307" s="419"/>
    </row>
    <row r="308" spans="3:26">
      <c r="C308" s="433"/>
      <c r="D308" s="433"/>
      <c r="E308" s="437"/>
      <c r="F308" s="419"/>
      <c r="G308" s="419"/>
      <c r="H308" s="419"/>
      <c r="I308" s="419"/>
      <c r="J308" s="419"/>
      <c r="K308" s="419"/>
      <c r="L308" s="429"/>
      <c r="M308" s="419"/>
      <c r="N308" s="419"/>
      <c r="O308" s="419"/>
      <c r="P308" s="419"/>
      <c r="Q308" s="419"/>
      <c r="R308" s="419"/>
      <c r="S308" s="419"/>
      <c r="T308" s="419"/>
      <c r="U308" s="419"/>
      <c r="V308" s="419"/>
      <c r="W308" s="419"/>
      <c r="X308" s="419"/>
      <c r="Y308" s="419"/>
      <c r="Z308" s="419"/>
    </row>
    <row r="309" spans="3:26">
      <c r="C309" s="433"/>
      <c r="D309" s="433"/>
      <c r="E309" s="437"/>
      <c r="F309" s="419"/>
      <c r="G309" s="419"/>
      <c r="H309" s="419"/>
      <c r="I309" s="419"/>
      <c r="J309" s="419"/>
      <c r="K309" s="419"/>
      <c r="L309" s="429"/>
      <c r="M309" s="419"/>
      <c r="N309" s="419"/>
      <c r="O309" s="419"/>
      <c r="P309" s="419"/>
      <c r="Q309" s="419"/>
      <c r="R309" s="419"/>
      <c r="S309" s="419"/>
      <c r="T309" s="419"/>
      <c r="U309" s="419"/>
      <c r="V309" s="419"/>
      <c r="W309" s="419"/>
      <c r="X309" s="419"/>
      <c r="Y309" s="419"/>
      <c r="Z309" s="419"/>
    </row>
    <row r="310" spans="3:26">
      <c r="C310" s="433"/>
      <c r="D310" s="433"/>
      <c r="E310" s="437"/>
      <c r="F310" s="419"/>
      <c r="G310" s="419"/>
      <c r="H310" s="419"/>
      <c r="I310" s="419"/>
      <c r="J310" s="419"/>
      <c r="K310" s="419"/>
      <c r="L310" s="429"/>
      <c r="M310" s="419"/>
      <c r="N310" s="419"/>
      <c r="O310" s="419"/>
      <c r="P310" s="419"/>
      <c r="Q310" s="419"/>
      <c r="R310" s="419"/>
      <c r="S310" s="419"/>
      <c r="T310" s="419"/>
      <c r="U310" s="419"/>
      <c r="V310" s="419"/>
      <c r="W310" s="419"/>
      <c r="X310" s="419"/>
      <c r="Y310" s="419"/>
      <c r="Z310" s="419"/>
    </row>
    <row r="311" spans="3:26">
      <c r="C311" s="433"/>
      <c r="D311" s="433"/>
      <c r="E311" s="437"/>
      <c r="F311" s="419"/>
      <c r="G311" s="419"/>
      <c r="H311" s="419"/>
      <c r="I311" s="419"/>
      <c r="J311" s="419"/>
      <c r="K311" s="419"/>
      <c r="L311" s="429"/>
      <c r="M311" s="419"/>
      <c r="N311" s="419"/>
      <c r="O311" s="419"/>
      <c r="P311" s="419"/>
      <c r="Q311" s="419"/>
      <c r="R311" s="419"/>
      <c r="S311" s="419"/>
      <c r="T311" s="419"/>
      <c r="U311" s="419"/>
      <c r="V311" s="419"/>
      <c r="W311" s="419"/>
      <c r="X311" s="419"/>
      <c r="Y311" s="419"/>
      <c r="Z311" s="419"/>
    </row>
    <row r="312" spans="3:26">
      <c r="C312" s="433"/>
      <c r="D312" s="433"/>
      <c r="E312" s="437"/>
      <c r="F312" s="419"/>
      <c r="G312" s="419"/>
      <c r="H312" s="419"/>
      <c r="I312" s="419"/>
      <c r="J312" s="419"/>
      <c r="K312" s="419"/>
      <c r="L312" s="429"/>
      <c r="M312" s="419"/>
      <c r="N312" s="419"/>
      <c r="O312" s="419"/>
      <c r="P312" s="419"/>
      <c r="Q312" s="419"/>
      <c r="R312" s="419"/>
      <c r="S312" s="419"/>
      <c r="T312" s="419"/>
      <c r="U312" s="419"/>
      <c r="V312" s="419"/>
      <c r="W312" s="419"/>
      <c r="X312" s="419"/>
      <c r="Y312" s="419"/>
      <c r="Z312" s="419"/>
    </row>
    <row r="313" spans="3:26">
      <c r="C313" s="433"/>
      <c r="D313" s="433"/>
      <c r="E313" s="437"/>
      <c r="F313" s="419"/>
      <c r="G313" s="419"/>
      <c r="H313" s="419"/>
      <c r="I313" s="419"/>
      <c r="J313" s="419"/>
      <c r="K313" s="419"/>
      <c r="L313" s="429"/>
      <c r="M313" s="419"/>
      <c r="N313" s="419"/>
      <c r="O313" s="419"/>
      <c r="P313" s="419"/>
      <c r="Q313" s="419"/>
      <c r="R313" s="419"/>
      <c r="S313" s="419"/>
      <c r="T313" s="419"/>
      <c r="U313" s="419"/>
      <c r="V313" s="419"/>
      <c r="W313" s="419"/>
      <c r="X313" s="419"/>
      <c r="Y313" s="419"/>
      <c r="Z313" s="419"/>
    </row>
    <row r="314" spans="3:26">
      <c r="C314" s="433"/>
      <c r="D314" s="433"/>
      <c r="E314" s="437"/>
      <c r="F314" s="419"/>
      <c r="G314" s="419"/>
      <c r="H314" s="419"/>
      <c r="I314" s="419"/>
      <c r="J314" s="419"/>
      <c r="K314" s="419"/>
      <c r="L314" s="429"/>
      <c r="M314" s="419"/>
      <c r="N314" s="419"/>
      <c r="O314" s="419"/>
      <c r="P314" s="419"/>
      <c r="Q314" s="419"/>
      <c r="R314" s="419"/>
      <c r="S314" s="419"/>
      <c r="T314" s="419"/>
      <c r="U314" s="419"/>
      <c r="V314" s="419"/>
      <c r="W314" s="419"/>
      <c r="X314" s="419"/>
      <c r="Y314" s="419"/>
      <c r="Z314" s="419"/>
    </row>
    <row r="315" spans="3:26">
      <c r="C315" s="433"/>
      <c r="D315" s="433"/>
      <c r="E315" s="437"/>
      <c r="F315" s="419"/>
      <c r="G315" s="419"/>
      <c r="H315" s="419"/>
      <c r="I315" s="419"/>
      <c r="J315" s="419"/>
      <c r="K315" s="419"/>
      <c r="L315" s="429"/>
      <c r="M315" s="419"/>
      <c r="N315" s="419"/>
      <c r="O315" s="419"/>
      <c r="P315" s="419"/>
      <c r="Q315" s="419"/>
      <c r="R315" s="419"/>
      <c r="S315" s="419"/>
      <c r="T315" s="419"/>
      <c r="U315" s="419"/>
      <c r="V315" s="419"/>
      <c r="W315" s="419"/>
      <c r="X315" s="419"/>
      <c r="Y315" s="419"/>
      <c r="Z315" s="419"/>
    </row>
    <row r="316" spans="3:26">
      <c r="C316" s="433"/>
      <c r="D316" s="433"/>
      <c r="E316" s="437"/>
      <c r="F316" s="419"/>
      <c r="G316" s="419"/>
      <c r="H316" s="419"/>
      <c r="I316" s="419"/>
      <c r="J316" s="419"/>
      <c r="K316" s="419"/>
      <c r="L316" s="429"/>
      <c r="M316" s="419"/>
      <c r="N316" s="419"/>
      <c r="O316" s="419"/>
      <c r="P316" s="419"/>
      <c r="Q316" s="419"/>
      <c r="R316" s="419"/>
      <c r="S316" s="419"/>
      <c r="T316" s="419"/>
      <c r="U316" s="419"/>
      <c r="V316" s="419"/>
      <c r="W316" s="419"/>
      <c r="X316" s="419"/>
      <c r="Y316" s="419"/>
      <c r="Z316" s="419"/>
    </row>
    <row r="317" spans="3:26">
      <c r="C317" s="433"/>
      <c r="D317" s="433"/>
      <c r="E317" s="437"/>
      <c r="F317" s="419"/>
      <c r="G317" s="419"/>
      <c r="H317" s="419"/>
      <c r="I317" s="419"/>
      <c r="J317" s="419"/>
      <c r="K317" s="419"/>
      <c r="L317" s="429"/>
      <c r="M317" s="419"/>
      <c r="N317" s="419"/>
      <c r="O317" s="419"/>
      <c r="P317" s="419"/>
      <c r="Q317" s="419"/>
      <c r="R317" s="419"/>
      <c r="S317" s="419"/>
      <c r="T317" s="419"/>
      <c r="U317" s="419"/>
      <c r="V317" s="419"/>
      <c r="W317" s="419"/>
      <c r="X317" s="419"/>
      <c r="Y317" s="419"/>
      <c r="Z317" s="419"/>
    </row>
    <row r="318" spans="3:26">
      <c r="C318" s="433"/>
      <c r="D318" s="433"/>
      <c r="E318" s="437"/>
      <c r="F318" s="419"/>
      <c r="G318" s="419"/>
      <c r="H318" s="419"/>
      <c r="I318" s="419"/>
      <c r="J318" s="419"/>
      <c r="K318" s="419"/>
      <c r="L318" s="429"/>
      <c r="M318" s="419"/>
      <c r="N318" s="419"/>
      <c r="O318" s="419"/>
      <c r="P318" s="419"/>
      <c r="Q318" s="419"/>
      <c r="R318" s="419"/>
      <c r="S318" s="419"/>
      <c r="T318" s="419"/>
      <c r="U318" s="419"/>
      <c r="V318" s="419"/>
      <c r="W318" s="419"/>
      <c r="X318" s="419"/>
      <c r="Y318" s="419"/>
      <c r="Z318" s="419"/>
    </row>
    <row r="319" spans="3:26">
      <c r="C319" s="433"/>
      <c r="D319" s="433"/>
      <c r="E319" s="437"/>
      <c r="F319" s="419"/>
      <c r="G319" s="419"/>
      <c r="H319" s="419"/>
      <c r="I319" s="419"/>
      <c r="J319" s="419"/>
      <c r="K319" s="419"/>
      <c r="L319" s="429"/>
      <c r="M319" s="419"/>
      <c r="N319" s="419"/>
      <c r="O319" s="419"/>
      <c r="P319" s="419"/>
      <c r="Q319" s="419"/>
      <c r="R319" s="419"/>
      <c r="S319" s="419"/>
      <c r="T319" s="419"/>
      <c r="U319" s="419"/>
      <c r="V319" s="419"/>
      <c r="W319" s="419"/>
      <c r="X319" s="419"/>
      <c r="Y319" s="419"/>
      <c r="Z319" s="419"/>
    </row>
    <row r="320" spans="3:26">
      <c r="C320" s="433"/>
      <c r="D320" s="433"/>
      <c r="E320" s="437"/>
      <c r="F320" s="419"/>
      <c r="G320" s="419"/>
      <c r="H320" s="419"/>
      <c r="I320" s="419"/>
      <c r="J320" s="419"/>
      <c r="K320" s="419"/>
      <c r="L320" s="429"/>
      <c r="M320" s="419"/>
      <c r="N320" s="419"/>
      <c r="O320" s="419"/>
      <c r="P320" s="419"/>
      <c r="Q320" s="419"/>
      <c r="R320" s="419"/>
      <c r="S320" s="419"/>
      <c r="T320" s="419"/>
      <c r="U320" s="419"/>
      <c r="V320" s="419"/>
      <c r="W320" s="419"/>
      <c r="X320" s="419"/>
      <c r="Y320" s="419"/>
      <c r="Z320" s="419"/>
    </row>
    <row r="321" spans="3:26">
      <c r="C321" s="433"/>
      <c r="D321" s="433"/>
      <c r="E321" s="437"/>
      <c r="F321" s="419"/>
      <c r="G321" s="419"/>
      <c r="H321" s="419"/>
      <c r="I321" s="419"/>
      <c r="J321" s="419"/>
      <c r="K321" s="419"/>
      <c r="L321" s="429"/>
      <c r="M321" s="419"/>
      <c r="N321" s="419"/>
      <c r="O321" s="419"/>
      <c r="P321" s="419"/>
      <c r="Q321" s="419"/>
      <c r="R321" s="419"/>
      <c r="S321" s="419"/>
      <c r="T321" s="419"/>
      <c r="U321" s="419"/>
      <c r="V321" s="419"/>
      <c r="W321" s="419"/>
      <c r="X321" s="419"/>
      <c r="Y321" s="419"/>
      <c r="Z321" s="419"/>
    </row>
    <row r="322" spans="3:26">
      <c r="C322" s="433"/>
      <c r="D322" s="433"/>
      <c r="E322" s="437"/>
      <c r="F322" s="419"/>
      <c r="G322" s="419"/>
      <c r="H322" s="419"/>
      <c r="I322" s="419"/>
      <c r="J322" s="419"/>
      <c r="K322" s="419"/>
      <c r="L322" s="429"/>
      <c r="M322" s="419"/>
      <c r="N322" s="419"/>
      <c r="O322" s="419"/>
      <c r="P322" s="419"/>
      <c r="Q322" s="419"/>
      <c r="R322" s="419"/>
      <c r="S322" s="419"/>
      <c r="T322" s="419"/>
      <c r="U322" s="419"/>
      <c r="V322" s="419"/>
      <c r="W322" s="419"/>
      <c r="X322" s="419"/>
      <c r="Y322" s="419"/>
      <c r="Z322" s="419"/>
    </row>
    <row r="323" spans="3:26">
      <c r="C323" s="433"/>
      <c r="D323" s="433"/>
      <c r="E323" s="437"/>
      <c r="F323" s="419"/>
      <c r="G323" s="419"/>
      <c r="H323" s="419"/>
      <c r="I323" s="419"/>
      <c r="J323" s="419"/>
      <c r="K323" s="419"/>
      <c r="L323" s="429"/>
      <c r="M323" s="419"/>
      <c r="N323" s="419"/>
      <c r="O323" s="419"/>
      <c r="P323" s="419"/>
      <c r="Q323" s="419"/>
      <c r="R323" s="419"/>
      <c r="S323" s="419"/>
      <c r="T323" s="419"/>
      <c r="U323" s="419"/>
      <c r="V323" s="419"/>
      <c r="W323" s="419"/>
      <c r="X323" s="419"/>
      <c r="Y323" s="419"/>
      <c r="Z323" s="419"/>
    </row>
    <row r="324" spans="3:26">
      <c r="C324" s="433"/>
      <c r="D324" s="433"/>
      <c r="E324" s="437"/>
      <c r="F324" s="419"/>
      <c r="G324" s="419"/>
      <c r="H324" s="419"/>
      <c r="I324" s="419"/>
      <c r="J324" s="419"/>
      <c r="K324" s="419"/>
      <c r="L324" s="429"/>
      <c r="M324" s="419"/>
      <c r="N324" s="419"/>
      <c r="O324" s="419"/>
      <c r="P324" s="419"/>
      <c r="Q324" s="419"/>
      <c r="R324" s="419"/>
      <c r="S324" s="419"/>
      <c r="T324" s="419"/>
      <c r="U324" s="419"/>
      <c r="V324" s="419"/>
      <c r="W324" s="419"/>
      <c r="X324" s="419"/>
      <c r="Y324" s="419"/>
      <c r="Z324" s="419"/>
    </row>
    <row r="325" spans="3:26">
      <c r="C325" s="433"/>
      <c r="D325" s="433"/>
      <c r="E325" s="437"/>
      <c r="F325" s="419"/>
      <c r="G325" s="419"/>
      <c r="H325" s="419"/>
      <c r="I325" s="419"/>
      <c r="J325" s="419"/>
      <c r="K325" s="419"/>
      <c r="L325" s="429"/>
      <c r="M325" s="419"/>
      <c r="N325" s="419"/>
      <c r="O325" s="419"/>
      <c r="P325" s="419"/>
      <c r="Q325" s="419"/>
      <c r="R325" s="419"/>
      <c r="S325" s="419"/>
      <c r="T325" s="419"/>
      <c r="U325" s="419"/>
      <c r="V325" s="419"/>
      <c r="W325" s="419"/>
      <c r="X325" s="419"/>
      <c r="Y325" s="419"/>
      <c r="Z325" s="419"/>
    </row>
    <row r="326" spans="3:26">
      <c r="C326" s="433"/>
      <c r="D326" s="433"/>
      <c r="E326" s="437"/>
      <c r="F326" s="419"/>
      <c r="G326" s="419"/>
      <c r="H326" s="419"/>
      <c r="I326" s="419"/>
      <c r="J326" s="419"/>
      <c r="K326" s="419"/>
      <c r="L326" s="429"/>
      <c r="M326" s="419"/>
      <c r="N326" s="419"/>
      <c r="O326" s="419"/>
      <c r="P326" s="419"/>
      <c r="Q326" s="419"/>
      <c r="R326" s="419"/>
      <c r="S326" s="419"/>
      <c r="T326" s="419"/>
      <c r="U326" s="419"/>
      <c r="V326" s="419"/>
      <c r="W326" s="419"/>
      <c r="X326" s="419"/>
      <c r="Y326" s="419"/>
      <c r="Z326" s="419"/>
    </row>
    <row r="327" spans="3:26">
      <c r="C327" s="433"/>
      <c r="D327" s="433"/>
      <c r="E327" s="437"/>
      <c r="F327" s="419"/>
      <c r="G327" s="419"/>
      <c r="H327" s="419"/>
      <c r="I327" s="419"/>
      <c r="J327" s="419"/>
      <c r="K327" s="419"/>
      <c r="L327" s="429"/>
      <c r="M327" s="419"/>
      <c r="N327" s="419"/>
      <c r="O327" s="419"/>
      <c r="P327" s="419"/>
      <c r="Q327" s="419"/>
      <c r="R327" s="419"/>
      <c r="S327" s="419"/>
      <c r="T327" s="419"/>
      <c r="U327" s="419"/>
      <c r="V327" s="419"/>
      <c r="W327" s="419"/>
      <c r="X327" s="419"/>
      <c r="Y327" s="419"/>
      <c r="Z327" s="419"/>
    </row>
    <row r="328" spans="3:26">
      <c r="C328" s="433"/>
      <c r="D328" s="433"/>
      <c r="E328" s="437"/>
      <c r="F328" s="419"/>
      <c r="G328" s="419"/>
      <c r="H328" s="419"/>
      <c r="I328" s="419"/>
      <c r="J328" s="419"/>
      <c r="K328" s="419"/>
      <c r="L328" s="429"/>
      <c r="M328" s="419"/>
      <c r="N328" s="419"/>
      <c r="O328" s="419"/>
      <c r="P328" s="419"/>
      <c r="Q328" s="419"/>
      <c r="R328" s="419"/>
      <c r="S328" s="419"/>
      <c r="T328" s="419"/>
      <c r="U328" s="419"/>
      <c r="V328" s="419"/>
      <c r="W328" s="419"/>
      <c r="X328" s="419"/>
      <c r="Y328" s="419"/>
      <c r="Z328" s="419"/>
    </row>
    <row r="329" spans="3:26">
      <c r="C329" s="433"/>
      <c r="D329" s="433"/>
      <c r="E329" s="437"/>
      <c r="F329" s="419"/>
      <c r="G329" s="419"/>
      <c r="H329" s="419"/>
      <c r="I329" s="419"/>
      <c r="J329" s="419"/>
      <c r="K329" s="419"/>
      <c r="L329" s="429"/>
      <c r="M329" s="419"/>
      <c r="N329" s="419"/>
      <c r="O329" s="419"/>
      <c r="P329" s="419"/>
      <c r="Q329" s="419"/>
      <c r="R329" s="419"/>
      <c r="S329" s="419"/>
      <c r="T329" s="419"/>
      <c r="U329" s="419"/>
      <c r="V329" s="419"/>
      <c r="W329" s="419"/>
      <c r="X329" s="419"/>
      <c r="Y329" s="419"/>
      <c r="Z329" s="419"/>
    </row>
    <row r="330" spans="3:26">
      <c r="C330" s="433"/>
      <c r="D330" s="433"/>
      <c r="E330" s="437"/>
      <c r="F330" s="419"/>
      <c r="G330" s="419"/>
      <c r="H330" s="419"/>
      <c r="I330" s="419"/>
      <c r="J330" s="419"/>
      <c r="K330" s="419"/>
      <c r="L330" s="429"/>
      <c r="M330" s="419"/>
      <c r="N330" s="419"/>
      <c r="O330" s="419"/>
      <c r="P330" s="419"/>
      <c r="Q330" s="419"/>
      <c r="R330" s="419"/>
      <c r="S330" s="419"/>
      <c r="T330" s="419"/>
      <c r="U330" s="419"/>
      <c r="V330" s="419"/>
      <c r="W330" s="419"/>
      <c r="X330" s="419"/>
      <c r="Y330" s="419"/>
      <c r="Z330" s="419"/>
    </row>
    <row r="331" spans="3:26">
      <c r="C331" s="433"/>
      <c r="D331" s="433"/>
      <c r="E331" s="437"/>
      <c r="F331" s="419"/>
      <c r="G331" s="419"/>
      <c r="H331" s="419"/>
      <c r="I331" s="419"/>
      <c r="J331" s="419"/>
      <c r="K331" s="419"/>
      <c r="L331" s="429"/>
      <c r="M331" s="419"/>
      <c r="N331" s="419"/>
      <c r="O331" s="419"/>
      <c r="P331" s="419"/>
      <c r="Q331" s="419"/>
      <c r="R331" s="419"/>
      <c r="S331" s="419"/>
      <c r="T331" s="419"/>
      <c r="U331" s="419"/>
      <c r="V331" s="419"/>
      <c r="W331" s="419"/>
      <c r="X331" s="419"/>
      <c r="Y331" s="419"/>
      <c r="Z331" s="419"/>
    </row>
    <row r="332" spans="3:26">
      <c r="C332" s="433"/>
      <c r="D332" s="433"/>
      <c r="E332" s="437"/>
      <c r="F332" s="419"/>
      <c r="G332" s="419"/>
      <c r="H332" s="419"/>
      <c r="I332" s="419"/>
      <c r="J332" s="419"/>
      <c r="K332" s="419"/>
      <c r="L332" s="429"/>
      <c r="M332" s="419"/>
      <c r="N332" s="419"/>
      <c r="O332" s="419"/>
      <c r="P332" s="419"/>
      <c r="Q332" s="419"/>
      <c r="R332" s="419"/>
      <c r="S332" s="419"/>
      <c r="T332" s="419"/>
      <c r="U332" s="419"/>
      <c r="V332" s="419"/>
      <c r="W332" s="419"/>
      <c r="X332" s="419"/>
      <c r="Y332" s="419"/>
      <c r="Z332" s="419"/>
    </row>
    <row r="333" spans="3:26">
      <c r="C333" s="433"/>
      <c r="D333" s="433"/>
      <c r="E333" s="437"/>
      <c r="F333" s="419"/>
      <c r="G333" s="419"/>
      <c r="H333" s="419"/>
      <c r="I333" s="419"/>
      <c r="J333" s="419"/>
      <c r="K333" s="419"/>
      <c r="L333" s="429"/>
      <c r="M333" s="419"/>
      <c r="N333" s="419"/>
      <c r="O333" s="419"/>
      <c r="P333" s="419"/>
      <c r="Q333" s="419"/>
      <c r="R333" s="419"/>
      <c r="S333" s="419"/>
      <c r="T333" s="419"/>
      <c r="U333" s="419"/>
      <c r="V333" s="419"/>
      <c r="W333" s="419"/>
      <c r="X333" s="419"/>
      <c r="Y333" s="419"/>
      <c r="Z333" s="419"/>
    </row>
    <row r="334" spans="3:26">
      <c r="C334" s="433"/>
      <c r="D334" s="433"/>
      <c r="E334" s="437"/>
      <c r="F334" s="419"/>
      <c r="G334" s="419"/>
      <c r="H334" s="419"/>
      <c r="I334" s="419"/>
      <c r="J334" s="419"/>
      <c r="K334" s="419"/>
      <c r="L334" s="429"/>
      <c r="M334" s="419"/>
      <c r="N334" s="419"/>
      <c r="O334" s="419"/>
      <c r="P334" s="419"/>
      <c r="Q334" s="419"/>
      <c r="R334" s="419"/>
      <c r="S334" s="419"/>
      <c r="T334" s="419"/>
      <c r="U334" s="419"/>
      <c r="V334" s="419"/>
      <c r="W334" s="419"/>
      <c r="X334" s="419"/>
      <c r="Y334" s="419"/>
      <c r="Z334" s="419"/>
    </row>
    <row r="335" spans="3:26">
      <c r="C335" s="433"/>
      <c r="D335" s="433"/>
      <c r="E335" s="437"/>
      <c r="F335" s="419"/>
      <c r="G335" s="419"/>
      <c r="H335" s="419"/>
      <c r="I335" s="419"/>
      <c r="J335" s="419"/>
      <c r="K335" s="419"/>
      <c r="L335" s="429"/>
      <c r="M335" s="419"/>
      <c r="N335" s="419"/>
      <c r="O335" s="419"/>
      <c r="P335" s="419"/>
      <c r="Q335" s="419"/>
      <c r="R335" s="419"/>
      <c r="S335" s="419"/>
      <c r="T335" s="419"/>
      <c r="U335" s="419"/>
      <c r="V335" s="419"/>
      <c r="W335" s="419"/>
      <c r="X335" s="419"/>
      <c r="Y335" s="419"/>
      <c r="Z335" s="419"/>
    </row>
    <row r="336" spans="3:26">
      <c r="C336" s="433"/>
      <c r="D336" s="433"/>
      <c r="E336" s="437"/>
      <c r="F336" s="419"/>
      <c r="G336" s="419"/>
      <c r="H336" s="419"/>
      <c r="I336" s="419"/>
      <c r="J336" s="419"/>
      <c r="K336" s="419"/>
      <c r="L336" s="429"/>
      <c r="M336" s="419"/>
      <c r="N336" s="419"/>
      <c r="O336" s="419"/>
      <c r="P336" s="419"/>
      <c r="Q336" s="419"/>
      <c r="R336" s="419"/>
      <c r="S336" s="419"/>
      <c r="T336" s="419"/>
      <c r="U336" s="419"/>
      <c r="V336" s="419"/>
      <c r="W336" s="419"/>
      <c r="X336" s="419"/>
      <c r="Y336" s="419"/>
      <c r="Z336" s="419"/>
    </row>
    <row r="337" spans="3:26">
      <c r="C337" s="433"/>
      <c r="D337" s="433"/>
      <c r="E337" s="437"/>
      <c r="F337" s="419"/>
      <c r="G337" s="419"/>
      <c r="H337" s="419"/>
      <c r="I337" s="419"/>
      <c r="J337" s="419"/>
      <c r="K337" s="419"/>
      <c r="L337" s="429"/>
      <c r="M337" s="419"/>
      <c r="N337" s="419"/>
      <c r="O337" s="419"/>
      <c r="P337" s="419"/>
      <c r="Q337" s="419"/>
      <c r="R337" s="419"/>
      <c r="S337" s="419"/>
      <c r="T337" s="419"/>
      <c r="U337" s="419"/>
      <c r="V337" s="419"/>
      <c r="W337" s="419"/>
      <c r="X337" s="419"/>
      <c r="Y337" s="419"/>
      <c r="Z337" s="419"/>
    </row>
    <row r="338" spans="3:26">
      <c r="C338" s="433"/>
      <c r="D338" s="433"/>
      <c r="E338" s="437"/>
      <c r="F338" s="419"/>
      <c r="G338" s="419"/>
      <c r="H338" s="419"/>
      <c r="I338" s="419"/>
      <c r="J338" s="419"/>
      <c r="K338" s="419"/>
      <c r="L338" s="429"/>
      <c r="M338" s="419"/>
      <c r="N338" s="419"/>
      <c r="O338" s="419"/>
      <c r="P338" s="419"/>
      <c r="Q338" s="419"/>
      <c r="R338" s="419"/>
      <c r="S338" s="419"/>
      <c r="T338" s="419"/>
      <c r="U338" s="419"/>
      <c r="V338" s="419"/>
      <c r="W338" s="419"/>
      <c r="X338" s="419"/>
      <c r="Y338" s="419"/>
      <c r="Z338" s="419"/>
    </row>
    <row r="339" spans="3:26">
      <c r="C339" s="433"/>
      <c r="D339" s="433"/>
      <c r="E339" s="437"/>
      <c r="F339" s="419"/>
      <c r="G339" s="419"/>
      <c r="H339" s="419"/>
      <c r="I339" s="419"/>
      <c r="J339" s="419"/>
      <c r="K339" s="419"/>
      <c r="L339" s="429"/>
      <c r="M339" s="419"/>
      <c r="N339" s="419"/>
      <c r="O339" s="419"/>
      <c r="P339" s="419"/>
      <c r="Q339" s="419"/>
      <c r="R339" s="419"/>
      <c r="S339" s="419"/>
      <c r="T339" s="419"/>
      <c r="U339" s="419"/>
      <c r="V339" s="419"/>
      <c r="W339" s="419"/>
      <c r="X339" s="419"/>
      <c r="Y339" s="419"/>
      <c r="Z339" s="419"/>
    </row>
    <row r="340" spans="3:26">
      <c r="C340" s="433"/>
      <c r="D340" s="433"/>
      <c r="E340" s="437"/>
      <c r="F340" s="419"/>
      <c r="G340" s="419"/>
      <c r="H340" s="419"/>
      <c r="I340" s="419"/>
      <c r="J340" s="419"/>
      <c r="K340" s="419"/>
      <c r="L340" s="429"/>
      <c r="M340" s="419"/>
      <c r="N340" s="419"/>
      <c r="O340" s="419"/>
      <c r="P340" s="419"/>
      <c r="Q340" s="419"/>
      <c r="R340" s="419"/>
      <c r="S340" s="419"/>
      <c r="T340" s="419"/>
      <c r="U340" s="419"/>
      <c r="V340" s="419"/>
      <c r="W340" s="419"/>
      <c r="X340" s="419"/>
      <c r="Y340" s="419"/>
      <c r="Z340" s="419"/>
    </row>
    <row r="341" spans="3:26">
      <c r="C341" s="433"/>
      <c r="D341" s="433"/>
      <c r="E341" s="437"/>
      <c r="F341" s="419"/>
      <c r="G341" s="419"/>
      <c r="H341" s="419"/>
      <c r="I341" s="419"/>
      <c r="J341" s="419"/>
      <c r="K341" s="419"/>
      <c r="L341" s="429"/>
      <c r="M341" s="419"/>
      <c r="N341" s="419"/>
      <c r="O341" s="419"/>
      <c r="P341" s="419"/>
      <c r="Q341" s="419"/>
      <c r="R341" s="419"/>
      <c r="S341" s="419"/>
      <c r="T341" s="419"/>
      <c r="U341" s="419"/>
      <c r="V341" s="419"/>
      <c r="W341" s="419"/>
      <c r="X341" s="419"/>
      <c r="Y341" s="419"/>
      <c r="Z341" s="419"/>
    </row>
    <row r="342" spans="3:26">
      <c r="C342" s="433"/>
      <c r="D342" s="433"/>
      <c r="E342" s="437"/>
      <c r="F342" s="419"/>
      <c r="G342" s="419"/>
      <c r="H342" s="419"/>
      <c r="I342" s="419"/>
      <c r="J342" s="419"/>
      <c r="K342" s="419"/>
      <c r="L342" s="429"/>
      <c r="M342" s="419"/>
      <c r="N342" s="419"/>
      <c r="O342" s="419"/>
      <c r="P342" s="419"/>
      <c r="Q342" s="419"/>
      <c r="R342" s="419"/>
      <c r="S342" s="419"/>
      <c r="T342" s="419"/>
      <c r="U342" s="419"/>
      <c r="V342" s="419"/>
      <c r="W342" s="419"/>
      <c r="X342" s="419"/>
      <c r="Y342" s="419"/>
      <c r="Z342" s="419"/>
    </row>
    <row r="343" spans="3:26">
      <c r="C343" s="433"/>
      <c r="D343" s="433"/>
      <c r="E343" s="437"/>
      <c r="F343" s="419"/>
      <c r="G343" s="419"/>
      <c r="H343" s="419"/>
      <c r="I343" s="419"/>
      <c r="J343" s="419"/>
      <c r="K343" s="419"/>
      <c r="L343" s="429"/>
      <c r="M343" s="419"/>
      <c r="N343" s="419"/>
      <c r="O343" s="419"/>
      <c r="P343" s="419"/>
      <c r="Q343" s="419"/>
      <c r="R343" s="419"/>
      <c r="S343" s="419"/>
      <c r="T343" s="419"/>
      <c r="U343" s="419"/>
      <c r="V343" s="419"/>
      <c r="W343" s="419"/>
      <c r="X343" s="419"/>
      <c r="Y343" s="419"/>
      <c r="Z343" s="419"/>
    </row>
    <row r="344" spans="3:26">
      <c r="C344" s="433"/>
      <c r="D344" s="433"/>
      <c r="E344" s="437"/>
      <c r="F344" s="419"/>
      <c r="G344" s="419"/>
      <c r="H344" s="419"/>
      <c r="I344" s="419"/>
      <c r="J344" s="419"/>
      <c r="K344" s="419"/>
      <c r="L344" s="429"/>
      <c r="M344" s="419"/>
      <c r="N344" s="419"/>
      <c r="O344" s="419"/>
      <c r="P344" s="419"/>
      <c r="Q344" s="419"/>
      <c r="R344" s="419"/>
      <c r="S344" s="419"/>
      <c r="T344" s="419"/>
      <c r="U344" s="419"/>
      <c r="V344" s="419"/>
      <c r="W344" s="419"/>
      <c r="X344" s="419"/>
      <c r="Y344" s="419"/>
      <c r="Z344" s="419"/>
    </row>
    <row r="345" spans="3:26">
      <c r="C345" s="433"/>
      <c r="D345" s="433"/>
      <c r="E345" s="437"/>
      <c r="F345" s="419"/>
      <c r="G345" s="419"/>
      <c r="H345" s="419"/>
      <c r="I345" s="419"/>
      <c r="J345" s="419"/>
      <c r="K345" s="419"/>
      <c r="L345" s="429"/>
      <c r="M345" s="419"/>
      <c r="N345" s="419"/>
      <c r="O345" s="419"/>
      <c r="P345" s="419"/>
      <c r="Q345" s="419"/>
      <c r="R345" s="419"/>
      <c r="S345" s="419"/>
      <c r="T345" s="419"/>
      <c r="U345" s="419"/>
      <c r="V345" s="419"/>
      <c r="W345" s="419"/>
      <c r="X345" s="419"/>
      <c r="Y345" s="419"/>
      <c r="Z345" s="419"/>
    </row>
    <row r="346" spans="3:26">
      <c r="C346" s="433"/>
      <c r="D346" s="433"/>
      <c r="E346" s="437"/>
      <c r="F346" s="419"/>
      <c r="G346" s="419"/>
      <c r="H346" s="419"/>
      <c r="I346" s="419"/>
      <c r="J346" s="419"/>
      <c r="K346" s="419"/>
      <c r="L346" s="429"/>
      <c r="M346" s="419"/>
      <c r="N346" s="419"/>
      <c r="O346" s="419"/>
      <c r="P346" s="419"/>
      <c r="Q346" s="419"/>
      <c r="R346" s="419"/>
      <c r="S346" s="419"/>
      <c r="T346" s="419"/>
      <c r="U346" s="419"/>
      <c r="V346" s="419"/>
      <c r="W346" s="419"/>
      <c r="X346" s="419"/>
      <c r="Y346" s="419"/>
      <c r="Z346" s="419"/>
    </row>
    <row r="347" spans="3:26">
      <c r="C347" s="433"/>
      <c r="D347" s="433"/>
      <c r="E347" s="437"/>
      <c r="F347" s="419"/>
      <c r="G347" s="419"/>
      <c r="H347" s="419"/>
      <c r="I347" s="419"/>
      <c r="J347" s="419"/>
      <c r="K347" s="419"/>
      <c r="L347" s="429"/>
      <c r="M347" s="419"/>
      <c r="N347" s="419"/>
      <c r="O347" s="419"/>
      <c r="P347" s="419"/>
      <c r="Q347" s="419"/>
      <c r="R347" s="419"/>
      <c r="S347" s="419"/>
      <c r="T347" s="419"/>
      <c r="U347" s="419"/>
      <c r="V347" s="419"/>
      <c r="W347" s="419"/>
      <c r="X347" s="419"/>
      <c r="Y347" s="419"/>
      <c r="Z347" s="419"/>
    </row>
    <row r="348" spans="3:26">
      <c r="C348" s="433"/>
      <c r="D348" s="433"/>
      <c r="E348" s="437"/>
      <c r="F348" s="419"/>
      <c r="G348" s="419"/>
      <c r="H348" s="419"/>
      <c r="I348" s="419"/>
      <c r="J348" s="419"/>
      <c r="K348" s="419"/>
      <c r="L348" s="429"/>
      <c r="M348" s="419"/>
      <c r="N348" s="419"/>
      <c r="O348" s="419"/>
      <c r="P348" s="419"/>
      <c r="Q348" s="419"/>
      <c r="R348" s="419"/>
      <c r="S348" s="419"/>
      <c r="T348" s="419"/>
      <c r="U348" s="419"/>
      <c r="V348" s="419"/>
      <c r="W348" s="419"/>
      <c r="X348" s="419"/>
      <c r="Y348" s="419"/>
      <c r="Z348" s="419"/>
    </row>
    <row r="349" spans="3:26">
      <c r="C349" s="433"/>
      <c r="D349" s="433"/>
      <c r="E349" s="437"/>
      <c r="F349" s="419"/>
      <c r="G349" s="419"/>
      <c r="H349" s="419"/>
      <c r="I349" s="419"/>
      <c r="J349" s="419"/>
      <c r="K349" s="419"/>
      <c r="L349" s="429"/>
      <c r="M349" s="419"/>
      <c r="N349" s="419"/>
      <c r="O349" s="419"/>
      <c r="P349" s="419"/>
      <c r="Q349" s="419"/>
      <c r="R349" s="419"/>
      <c r="S349" s="419"/>
      <c r="T349" s="419"/>
      <c r="U349" s="419"/>
      <c r="V349" s="419"/>
      <c r="W349" s="419"/>
      <c r="X349" s="419"/>
      <c r="Y349" s="419"/>
      <c r="Z349" s="419"/>
    </row>
    <row r="350" spans="3:26">
      <c r="C350" s="433"/>
      <c r="D350" s="433"/>
      <c r="E350" s="437"/>
      <c r="F350" s="419"/>
      <c r="G350" s="419"/>
      <c r="H350" s="419"/>
      <c r="I350" s="419"/>
      <c r="J350" s="419"/>
      <c r="K350" s="419"/>
      <c r="L350" s="429"/>
      <c r="M350" s="419"/>
      <c r="N350" s="419"/>
      <c r="O350" s="419"/>
      <c r="P350" s="419"/>
      <c r="Q350" s="419"/>
      <c r="R350" s="419"/>
      <c r="S350" s="419"/>
      <c r="T350" s="419"/>
      <c r="U350" s="419"/>
      <c r="V350" s="419"/>
      <c r="W350" s="419"/>
      <c r="X350" s="419"/>
      <c r="Y350" s="419"/>
      <c r="Z350" s="419"/>
    </row>
    <row r="351" spans="3:26">
      <c r="C351" s="433"/>
      <c r="D351" s="433"/>
      <c r="E351" s="437"/>
      <c r="F351" s="419"/>
      <c r="G351" s="419"/>
      <c r="H351" s="419"/>
      <c r="I351" s="419"/>
      <c r="J351" s="419"/>
      <c r="K351" s="419"/>
      <c r="L351" s="429"/>
      <c r="M351" s="419"/>
      <c r="N351" s="419"/>
      <c r="O351" s="419"/>
      <c r="P351" s="419"/>
      <c r="Q351" s="419"/>
      <c r="R351" s="419"/>
      <c r="S351" s="419"/>
      <c r="T351" s="419"/>
      <c r="U351" s="419"/>
      <c r="V351" s="419"/>
      <c r="W351" s="419"/>
      <c r="X351" s="419"/>
      <c r="Y351" s="419"/>
      <c r="Z351" s="419"/>
    </row>
    <row r="352" spans="3:26">
      <c r="C352" s="433"/>
      <c r="D352" s="433"/>
      <c r="E352" s="437"/>
      <c r="F352" s="419"/>
      <c r="G352" s="419"/>
      <c r="H352" s="419"/>
      <c r="I352" s="419"/>
      <c r="J352" s="419"/>
      <c r="K352" s="419"/>
      <c r="L352" s="429"/>
      <c r="M352" s="419"/>
      <c r="N352" s="419"/>
      <c r="O352" s="419"/>
      <c r="P352" s="419"/>
      <c r="Q352" s="419"/>
      <c r="R352" s="419"/>
      <c r="S352" s="419"/>
      <c r="T352" s="419"/>
      <c r="U352" s="419"/>
      <c r="V352" s="419"/>
      <c r="W352" s="419"/>
      <c r="X352" s="419"/>
      <c r="Y352" s="419"/>
      <c r="Z352" s="419"/>
    </row>
    <row r="353" spans="3:26">
      <c r="C353" s="433"/>
      <c r="D353" s="433"/>
      <c r="E353" s="437"/>
      <c r="F353" s="419"/>
      <c r="G353" s="419"/>
      <c r="H353" s="419"/>
      <c r="I353" s="419"/>
      <c r="J353" s="419"/>
      <c r="K353" s="419"/>
      <c r="L353" s="429"/>
      <c r="M353" s="419"/>
      <c r="N353" s="419"/>
      <c r="O353" s="419"/>
      <c r="P353" s="419"/>
      <c r="Q353" s="419"/>
      <c r="R353" s="419"/>
      <c r="S353" s="419"/>
      <c r="T353" s="419"/>
      <c r="U353" s="419"/>
      <c r="V353" s="419"/>
      <c r="W353" s="419"/>
      <c r="X353" s="419"/>
      <c r="Y353" s="419"/>
      <c r="Z353" s="419"/>
    </row>
    <row r="354" spans="3:26">
      <c r="C354" s="433"/>
      <c r="D354" s="433"/>
      <c r="E354" s="437"/>
      <c r="F354" s="419"/>
      <c r="G354" s="419"/>
      <c r="H354" s="419"/>
      <c r="I354" s="419"/>
      <c r="J354" s="419"/>
      <c r="K354" s="419"/>
      <c r="L354" s="429"/>
      <c r="M354" s="419"/>
      <c r="N354" s="419"/>
      <c r="O354" s="419"/>
      <c r="P354" s="419"/>
      <c r="Q354" s="419"/>
      <c r="R354" s="419"/>
      <c r="S354" s="419"/>
      <c r="T354" s="419"/>
      <c r="U354" s="419"/>
      <c r="V354" s="419"/>
      <c r="W354" s="419"/>
      <c r="X354" s="419"/>
      <c r="Y354" s="419"/>
      <c r="Z354" s="419"/>
    </row>
    <row r="355" spans="3:26">
      <c r="C355" s="433"/>
      <c r="D355" s="433"/>
      <c r="E355" s="437"/>
      <c r="F355" s="419"/>
      <c r="G355" s="419"/>
      <c r="H355" s="419"/>
      <c r="I355" s="419"/>
      <c r="J355" s="419"/>
      <c r="K355" s="419"/>
      <c r="L355" s="429"/>
      <c r="M355" s="419"/>
      <c r="N355" s="419"/>
      <c r="O355" s="419"/>
      <c r="P355" s="419"/>
      <c r="Q355" s="419"/>
      <c r="R355" s="419"/>
      <c r="S355" s="419"/>
      <c r="T355" s="419"/>
      <c r="U355" s="419"/>
      <c r="V355" s="419"/>
      <c r="W355" s="419"/>
      <c r="X355" s="419"/>
      <c r="Y355" s="419"/>
      <c r="Z355" s="419"/>
    </row>
    <row r="356" spans="3:26">
      <c r="C356" s="433"/>
      <c r="D356" s="433"/>
      <c r="E356" s="437"/>
      <c r="F356" s="419"/>
      <c r="G356" s="419"/>
      <c r="H356" s="419"/>
      <c r="I356" s="419"/>
      <c r="J356" s="419"/>
      <c r="K356" s="419"/>
      <c r="L356" s="429"/>
      <c r="M356" s="419"/>
      <c r="N356" s="419"/>
      <c r="O356" s="419"/>
      <c r="P356" s="419"/>
      <c r="Q356" s="419"/>
      <c r="R356" s="419"/>
      <c r="S356" s="419"/>
      <c r="T356" s="419"/>
      <c r="U356" s="419"/>
      <c r="V356" s="419"/>
      <c r="W356" s="419"/>
      <c r="X356" s="419"/>
      <c r="Y356" s="419"/>
      <c r="Z356" s="419"/>
    </row>
    <row r="357" spans="3:26">
      <c r="C357" s="433"/>
      <c r="D357" s="433"/>
      <c r="E357" s="437"/>
      <c r="F357" s="419"/>
      <c r="G357" s="419"/>
      <c r="H357" s="419"/>
      <c r="I357" s="419"/>
      <c r="J357" s="419"/>
      <c r="K357" s="419"/>
      <c r="L357" s="429"/>
      <c r="M357" s="419"/>
      <c r="N357" s="419"/>
      <c r="O357" s="419"/>
      <c r="P357" s="419"/>
      <c r="Q357" s="419"/>
      <c r="R357" s="419"/>
      <c r="S357" s="419"/>
      <c r="T357" s="419"/>
      <c r="U357" s="419"/>
      <c r="V357" s="419"/>
      <c r="W357" s="419"/>
      <c r="X357" s="419"/>
      <c r="Y357" s="419"/>
      <c r="Z357" s="419"/>
    </row>
    <row r="358" spans="3:26">
      <c r="C358" s="433"/>
      <c r="D358" s="433"/>
      <c r="E358" s="437"/>
      <c r="F358" s="419"/>
      <c r="G358" s="419"/>
      <c r="H358" s="419"/>
      <c r="I358" s="419"/>
      <c r="J358" s="419"/>
      <c r="K358" s="419"/>
      <c r="L358" s="429"/>
      <c r="M358" s="419"/>
      <c r="N358" s="419"/>
      <c r="O358" s="419"/>
      <c r="P358" s="419"/>
      <c r="Q358" s="419"/>
      <c r="R358" s="419"/>
      <c r="S358" s="419"/>
      <c r="T358" s="419"/>
      <c r="U358" s="419"/>
      <c r="V358" s="419"/>
      <c r="W358" s="419"/>
      <c r="X358" s="419"/>
      <c r="Y358" s="419"/>
      <c r="Z358" s="419"/>
    </row>
    <row r="359" spans="3:26">
      <c r="C359" s="433"/>
      <c r="D359" s="433"/>
      <c r="E359" s="437"/>
      <c r="F359" s="419"/>
      <c r="G359" s="419"/>
      <c r="H359" s="419"/>
      <c r="I359" s="419"/>
      <c r="J359" s="419"/>
      <c r="K359" s="419"/>
      <c r="L359" s="429"/>
      <c r="M359" s="419"/>
      <c r="N359" s="419"/>
      <c r="O359" s="419"/>
      <c r="P359" s="419"/>
      <c r="Q359" s="419"/>
      <c r="R359" s="419"/>
      <c r="S359" s="419"/>
      <c r="T359" s="419"/>
      <c r="U359" s="419"/>
      <c r="V359" s="419"/>
      <c r="W359" s="419"/>
      <c r="X359" s="419"/>
      <c r="Y359" s="419"/>
      <c r="Z359" s="419"/>
    </row>
    <row r="360" spans="3:26">
      <c r="C360" s="433"/>
      <c r="D360" s="433"/>
      <c r="E360" s="437"/>
      <c r="F360" s="419"/>
      <c r="G360" s="419"/>
      <c r="H360" s="419"/>
      <c r="I360" s="419"/>
      <c r="J360" s="419"/>
      <c r="K360" s="419"/>
      <c r="L360" s="429"/>
      <c r="M360" s="419"/>
      <c r="N360" s="419"/>
      <c r="O360" s="419"/>
      <c r="P360" s="419"/>
      <c r="Q360" s="419"/>
      <c r="R360" s="419"/>
      <c r="S360" s="419"/>
      <c r="T360" s="419"/>
      <c r="U360" s="419"/>
      <c r="V360" s="419"/>
      <c r="W360" s="419"/>
      <c r="X360" s="419"/>
      <c r="Y360" s="419"/>
      <c r="Z360" s="419"/>
    </row>
    <row r="361" spans="3:26">
      <c r="C361" s="433"/>
      <c r="D361" s="433"/>
      <c r="E361" s="437"/>
      <c r="F361" s="419"/>
      <c r="G361" s="419"/>
      <c r="H361" s="419"/>
      <c r="I361" s="419"/>
      <c r="J361" s="419"/>
      <c r="K361" s="419"/>
      <c r="L361" s="429"/>
      <c r="M361" s="419"/>
      <c r="N361" s="419"/>
      <c r="O361" s="419"/>
      <c r="P361" s="419"/>
      <c r="Q361" s="419"/>
      <c r="R361" s="419"/>
      <c r="S361" s="419"/>
      <c r="T361" s="419"/>
      <c r="U361" s="419"/>
      <c r="V361" s="419"/>
      <c r="W361" s="419"/>
      <c r="X361" s="419"/>
      <c r="Y361" s="419"/>
      <c r="Z361" s="419"/>
    </row>
    <row r="362" spans="3:26">
      <c r="C362" s="433"/>
      <c r="D362" s="433"/>
      <c r="E362" s="437"/>
      <c r="F362" s="419"/>
      <c r="G362" s="419"/>
      <c r="H362" s="419"/>
      <c r="I362" s="419"/>
      <c r="J362" s="419"/>
      <c r="K362" s="419"/>
      <c r="L362" s="429"/>
      <c r="M362" s="419"/>
      <c r="N362" s="419"/>
      <c r="O362" s="419"/>
      <c r="P362" s="419"/>
      <c r="Q362" s="419"/>
      <c r="R362" s="419"/>
      <c r="S362" s="419"/>
      <c r="T362" s="419"/>
      <c r="U362" s="419"/>
      <c r="V362" s="419"/>
      <c r="W362" s="419"/>
      <c r="X362" s="419"/>
      <c r="Y362" s="419"/>
      <c r="Z362" s="419"/>
    </row>
    <row r="363" spans="3:26">
      <c r="C363" s="433"/>
      <c r="D363" s="433"/>
      <c r="E363" s="437"/>
      <c r="F363" s="419"/>
      <c r="G363" s="419"/>
      <c r="H363" s="419"/>
      <c r="I363" s="419"/>
      <c r="J363" s="419"/>
      <c r="K363" s="419"/>
      <c r="L363" s="429"/>
      <c r="M363" s="419"/>
      <c r="N363" s="419"/>
      <c r="O363" s="419"/>
      <c r="P363" s="419"/>
      <c r="Q363" s="419"/>
      <c r="R363" s="419"/>
      <c r="S363" s="419"/>
      <c r="T363" s="419"/>
      <c r="U363" s="419"/>
      <c r="V363" s="419"/>
      <c r="W363" s="419"/>
      <c r="X363" s="419"/>
      <c r="Y363" s="419"/>
      <c r="Z363" s="419"/>
    </row>
    <row r="364" spans="3:26">
      <c r="C364" s="433"/>
      <c r="D364" s="433"/>
      <c r="E364" s="437"/>
      <c r="F364" s="419"/>
      <c r="G364" s="419"/>
      <c r="H364" s="419"/>
      <c r="I364" s="419"/>
      <c r="J364" s="419"/>
      <c r="K364" s="419"/>
      <c r="L364" s="429"/>
      <c r="M364" s="419"/>
      <c r="N364" s="419"/>
      <c r="O364" s="419"/>
      <c r="P364" s="419"/>
      <c r="Q364" s="419"/>
      <c r="R364" s="419"/>
      <c r="S364" s="419"/>
      <c r="T364" s="419"/>
      <c r="U364" s="419"/>
      <c r="V364" s="419"/>
      <c r="W364" s="419"/>
      <c r="X364" s="419"/>
      <c r="Y364" s="419"/>
      <c r="Z364" s="419"/>
    </row>
    <row r="365" spans="3:26">
      <c r="C365" s="433"/>
      <c r="D365" s="433"/>
      <c r="E365" s="437"/>
      <c r="F365" s="419"/>
      <c r="G365" s="419"/>
      <c r="H365" s="419"/>
      <c r="I365" s="419"/>
      <c r="J365" s="419"/>
      <c r="K365" s="419"/>
      <c r="L365" s="429"/>
      <c r="M365" s="419"/>
      <c r="N365" s="419"/>
      <c r="O365" s="419"/>
      <c r="P365" s="419"/>
      <c r="Q365" s="419"/>
      <c r="R365" s="419"/>
      <c r="S365" s="419"/>
      <c r="T365" s="419"/>
      <c r="U365" s="419"/>
      <c r="V365" s="419"/>
      <c r="W365" s="419"/>
      <c r="X365" s="419"/>
      <c r="Y365" s="419"/>
      <c r="Z365" s="419"/>
    </row>
    <row r="366" spans="3:26">
      <c r="C366" s="433"/>
      <c r="D366" s="433"/>
      <c r="E366" s="437"/>
      <c r="F366" s="419"/>
      <c r="G366" s="419"/>
      <c r="H366" s="419"/>
      <c r="I366" s="419"/>
      <c r="J366" s="419"/>
      <c r="K366" s="419"/>
      <c r="L366" s="429"/>
      <c r="M366" s="419"/>
      <c r="N366" s="419"/>
      <c r="O366" s="419"/>
      <c r="P366" s="419"/>
      <c r="Q366" s="419"/>
      <c r="R366" s="419"/>
      <c r="S366" s="419"/>
      <c r="T366" s="419"/>
      <c r="U366" s="419"/>
      <c r="V366" s="419"/>
      <c r="W366" s="419"/>
      <c r="X366" s="419"/>
      <c r="Y366" s="419"/>
      <c r="Z366" s="419"/>
    </row>
    <row r="367" spans="3:26">
      <c r="C367" s="433"/>
      <c r="D367" s="433"/>
      <c r="E367" s="437"/>
      <c r="F367" s="419"/>
      <c r="G367" s="419"/>
      <c r="H367" s="419"/>
      <c r="I367" s="419"/>
      <c r="J367" s="419"/>
      <c r="K367" s="419"/>
      <c r="L367" s="429"/>
      <c r="M367" s="419"/>
      <c r="N367" s="419"/>
      <c r="O367" s="419"/>
      <c r="P367" s="419"/>
      <c r="Q367" s="419"/>
      <c r="R367" s="419"/>
      <c r="S367" s="419"/>
      <c r="T367" s="419"/>
      <c r="U367" s="419"/>
      <c r="V367" s="419"/>
      <c r="W367" s="419"/>
      <c r="X367" s="419"/>
      <c r="Y367" s="419"/>
      <c r="Z367" s="419"/>
    </row>
    <row r="368" spans="3:26">
      <c r="C368" s="433"/>
      <c r="D368" s="433"/>
      <c r="E368" s="437"/>
      <c r="F368" s="419"/>
      <c r="G368" s="419"/>
      <c r="H368" s="419"/>
      <c r="I368" s="419"/>
      <c r="J368" s="419"/>
      <c r="K368" s="419"/>
      <c r="L368" s="429"/>
      <c r="M368" s="419"/>
      <c r="N368" s="419"/>
      <c r="O368" s="419"/>
      <c r="P368" s="419"/>
      <c r="Q368" s="419"/>
      <c r="R368" s="419"/>
      <c r="S368" s="419"/>
      <c r="T368" s="419"/>
      <c r="U368" s="419"/>
      <c r="V368" s="419"/>
      <c r="W368" s="419"/>
      <c r="X368" s="419"/>
      <c r="Y368" s="419"/>
      <c r="Z368" s="419"/>
    </row>
    <row r="369" spans="3:26">
      <c r="C369" s="433"/>
      <c r="D369" s="433"/>
      <c r="E369" s="437"/>
      <c r="F369" s="419"/>
      <c r="G369" s="419"/>
      <c r="H369" s="419"/>
      <c r="I369" s="419"/>
      <c r="J369" s="419"/>
      <c r="K369" s="419"/>
      <c r="L369" s="429"/>
      <c r="M369" s="419"/>
      <c r="N369" s="419"/>
      <c r="O369" s="419"/>
      <c r="P369" s="419"/>
      <c r="Q369" s="419"/>
      <c r="R369" s="419"/>
      <c r="S369" s="419"/>
      <c r="T369" s="419"/>
      <c r="U369" s="419"/>
      <c r="V369" s="419"/>
      <c r="W369" s="419"/>
      <c r="X369" s="419"/>
      <c r="Y369" s="419"/>
      <c r="Z369" s="419"/>
    </row>
    <row r="370" spans="3:26">
      <c r="C370" s="433"/>
      <c r="D370" s="433"/>
      <c r="E370" s="437"/>
      <c r="F370" s="419"/>
      <c r="G370" s="419"/>
      <c r="H370" s="419"/>
      <c r="I370" s="419"/>
      <c r="J370" s="419"/>
      <c r="K370" s="419"/>
      <c r="L370" s="429"/>
      <c r="M370" s="419"/>
      <c r="N370" s="419"/>
      <c r="O370" s="419"/>
      <c r="P370" s="419"/>
      <c r="Q370" s="419"/>
      <c r="R370" s="419"/>
      <c r="S370" s="419"/>
      <c r="T370" s="419"/>
      <c r="U370" s="419"/>
      <c r="V370" s="419"/>
      <c r="W370" s="419"/>
      <c r="X370" s="419"/>
      <c r="Y370" s="419"/>
      <c r="Z370" s="419"/>
    </row>
    <row r="371" spans="3:26">
      <c r="C371" s="433"/>
      <c r="D371" s="433"/>
      <c r="E371" s="437"/>
      <c r="F371" s="419"/>
      <c r="G371" s="419"/>
      <c r="H371" s="419"/>
      <c r="I371" s="419"/>
      <c r="J371" s="419"/>
      <c r="K371" s="419"/>
      <c r="L371" s="429"/>
      <c r="M371" s="419"/>
      <c r="N371" s="419"/>
      <c r="O371" s="419"/>
      <c r="P371" s="419"/>
      <c r="Q371" s="419"/>
      <c r="R371" s="419"/>
      <c r="S371" s="419"/>
      <c r="T371" s="419"/>
      <c r="U371" s="419"/>
      <c r="V371" s="419"/>
      <c r="W371" s="419"/>
      <c r="X371" s="419"/>
      <c r="Y371" s="419"/>
      <c r="Z371" s="419"/>
    </row>
    <row r="372" spans="3:26">
      <c r="C372" s="433"/>
      <c r="D372" s="433"/>
      <c r="E372" s="437"/>
      <c r="F372" s="419"/>
      <c r="G372" s="419"/>
      <c r="H372" s="419"/>
      <c r="I372" s="419"/>
      <c r="J372" s="419"/>
      <c r="K372" s="419"/>
      <c r="L372" s="429"/>
      <c r="M372" s="419"/>
      <c r="N372" s="419"/>
      <c r="O372" s="419"/>
      <c r="P372" s="419"/>
      <c r="Q372" s="419"/>
      <c r="R372" s="419"/>
      <c r="S372" s="419"/>
      <c r="T372" s="419"/>
      <c r="U372" s="419"/>
      <c r="V372" s="419"/>
      <c r="W372" s="419"/>
      <c r="X372" s="419"/>
      <c r="Y372" s="419"/>
      <c r="Z372" s="419"/>
    </row>
    <row r="373" spans="3:26">
      <c r="C373" s="433"/>
      <c r="D373" s="433"/>
      <c r="E373" s="437"/>
      <c r="F373" s="419"/>
      <c r="G373" s="419"/>
      <c r="H373" s="419"/>
      <c r="I373" s="419"/>
      <c r="J373" s="419"/>
      <c r="K373" s="419"/>
      <c r="L373" s="429"/>
      <c r="M373" s="419"/>
      <c r="N373" s="419"/>
      <c r="O373" s="419"/>
      <c r="P373" s="419"/>
      <c r="Q373" s="419"/>
      <c r="R373" s="419"/>
      <c r="S373" s="419"/>
      <c r="T373" s="419"/>
      <c r="U373" s="419"/>
      <c r="V373" s="419"/>
      <c r="W373" s="419"/>
      <c r="X373" s="419"/>
      <c r="Y373" s="419"/>
      <c r="Z373" s="419"/>
    </row>
    <row r="374" spans="3:26">
      <c r="C374" s="433"/>
      <c r="D374" s="433"/>
      <c r="E374" s="437"/>
      <c r="F374" s="419"/>
      <c r="G374" s="419"/>
      <c r="H374" s="419"/>
      <c r="I374" s="419"/>
      <c r="J374" s="419"/>
      <c r="K374" s="419"/>
      <c r="L374" s="429"/>
      <c r="M374" s="419"/>
      <c r="N374" s="419"/>
      <c r="O374" s="419"/>
      <c r="P374" s="419"/>
      <c r="Q374" s="419"/>
      <c r="R374" s="419"/>
      <c r="S374" s="419"/>
      <c r="T374" s="419"/>
      <c r="U374" s="419"/>
      <c r="V374" s="419"/>
      <c r="W374" s="419"/>
      <c r="X374" s="419"/>
      <c r="Y374" s="419"/>
      <c r="Z374" s="419"/>
    </row>
    <row r="375" spans="3:26">
      <c r="C375" s="433"/>
      <c r="D375" s="433"/>
      <c r="E375" s="437"/>
      <c r="F375" s="419"/>
      <c r="G375" s="419"/>
      <c r="H375" s="419"/>
      <c r="I375" s="419"/>
      <c r="J375" s="419"/>
      <c r="K375" s="419"/>
      <c r="L375" s="429"/>
      <c r="M375" s="419"/>
      <c r="N375" s="419"/>
      <c r="O375" s="419"/>
      <c r="P375" s="419"/>
      <c r="Q375" s="419"/>
      <c r="R375" s="419"/>
      <c r="S375" s="419"/>
      <c r="T375" s="419"/>
      <c r="U375" s="419"/>
      <c r="V375" s="419"/>
      <c r="W375" s="419"/>
      <c r="X375" s="419"/>
      <c r="Y375" s="419"/>
      <c r="Z375" s="419"/>
    </row>
    <row r="376" spans="3:26">
      <c r="C376" s="433"/>
      <c r="D376" s="433"/>
      <c r="E376" s="437"/>
      <c r="F376" s="419"/>
      <c r="G376" s="419"/>
      <c r="H376" s="419"/>
      <c r="I376" s="419"/>
      <c r="J376" s="419"/>
      <c r="K376" s="419"/>
      <c r="L376" s="429"/>
      <c r="M376" s="419"/>
      <c r="N376" s="419"/>
      <c r="O376" s="419"/>
      <c r="P376" s="419"/>
      <c r="Q376" s="419"/>
      <c r="R376" s="419"/>
      <c r="S376" s="419"/>
      <c r="T376" s="419"/>
      <c r="U376" s="419"/>
      <c r="V376" s="419"/>
      <c r="W376" s="419"/>
      <c r="X376" s="419"/>
      <c r="Y376" s="419"/>
      <c r="Z376" s="419"/>
    </row>
    <row r="377" spans="3:26">
      <c r="C377" s="433"/>
      <c r="D377" s="433"/>
      <c r="E377" s="437"/>
      <c r="F377" s="419"/>
      <c r="G377" s="419"/>
      <c r="H377" s="419"/>
      <c r="I377" s="419"/>
      <c r="J377" s="419"/>
      <c r="K377" s="419"/>
      <c r="L377" s="429"/>
      <c r="M377" s="419"/>
      <c r="N377" s="419"/>
      <c r="O377" s="419"/>
      <c r="P377" s="419"/>
      <c r="Q377" s="419"/>
      <c r="R377" s="419"/>
      <c r="S377" s="419"/>
      <c r="T377" s="419"/>
      <c r="U377" s="419"/>
      <c r="V377" s="419"/>
      <c r="W377" s="419"/>
      <c r="X377" s="419"/>
      <c r="Y377" s="419"/>
      <c r="Z377" s="419"/>
    </row>
    <row r="378" spans="3:26">
      <c r="C378" s="433"/>
      <c r="D378" s="433"/>
      <c r="E378" s="437"/>
      <c r="F378" s="419"/>
      <c r="G378" s="419"/>
      <c r="H378" s="419"/>
      <c r="I378" s="419"/>
      <c r="J378" s="419"/>
      <c r="K378" s="419"/>
      <c r="L378" s="429"/>
      <c r="M378" s="419"/>
      <c r="N378" s="419"/>
      <c r="O378" s="419"/>
      <c r="P378" s="419"/>
      <c r="Q378" s="419"/>
      <c r="R378" s="419"/>
      <c r="S378" s="419"/>
      <c r="T378" s="419"/>
      <c r="U378" s="419"/>
      <c r="V378" s="419"/>
      <c r="W378" s="419"/>
      <c r="X378" s="419"/>
      <c r="Y378" s="419"/>
      <c r="Z378" s="419"/>
    </row>
    <row r="379" spans="3:26">
      <c r="C379" s="433"/>
      <c r="D379" s="433"/>
      <c r="E379" s="437"/>
      <c r="F379" s="419"/>
      <c r="G379" s="419"/>
      <c r="H379" s="419"/>
      <c r="I379" s="419"/>
      <c r="J379" s="419"/>
      <c r="K379" s="419"/>
      <c r="L379" s="429"/>
      <c r="M379" s="419"/>
      <c r="N379" s="419"/>
      <c r="O379" s="419"/>
      <c r="P379" s="419"/>
      <c r="Q379" s="419"/>
      <c r="R379" s="419"/>
      <c r="S379" s="419"/>
      <c r="T379" s="419"/>
      <c r="U379" s="419"/>
      <c r="V379" s="419"/>
      <c r="W379" s="419"/>
      <c r="X379" s="419"/>
      <c r="Y379" s="419"/>
      <c r="Z379" s="419"/>
    </row>
    <row r="380" spans="3:26">
      <c r="C380" s="433"/>
      <c r="D380" s="433"/>
      <c r="E380" s="437"/>
      <c r="F380" s="419"/>
      <c r="G380" s="419"/>
      <c r="H380" s="419"/>
      <c r="I380" s="419"/>
      <c r="J380" s="419"/>
      <c r="K380" s="419"/>
      <c r="L380" s="429"/>
      <c r="M380" s="419"/>
      <c r="N380" s="419"/>
      <c r="O380" s="419"/>
      <c r="P380" s="419"/>
      <c r="Q380" s="419"/>
      <c r="R380" s="419"/>
      <c r="S380" s="419"/>
      <c r="T380" s="419"/>
      <c r="U380" s="419"/>
      <c r="V380" s="419"/>
      <c r="W380" s="419"/>
      <c r="X380" s="419"/>
      <c r="Y380" s="419"/>
      <c r="Z380" s="419"/>
    </row>
    <row r="381" spans="3:26">
      <c r="C381" s="433"/>
      <c r="D381" s="433"/>
      <c r="E381" s="437"/>
      <c r="F381" s="419"/>
      <c r="G381" s="419"/>
      <c r="H381" s="419"/>
      <c r="I381" s="419"/>
      <c r="J381" s="419"/>
      <c r="K381" s="419"/>
      <c r="L381" s="429"/>
      <c r="M381" s="419"/>
      <c r="N381" s="419"/>
      <c r="O381" s="419"/>
      <c r="P381" s="419"/>
      <c r="Q381" s="419"/>
      <c r="R381" s="419"/>
      <c r="S381" s="419"/>
      <c r="T381" s="419"/>
      <c r="U381" s="419"/>
      <c r="V381" s="419"/>
      <c r="W381" s="419"/>
      <c r="X381" s="419"/>
      <c r="Y381" s="419"/>
      <c r="Z381" s="419"/>
    </row>
    <row r="382" spans="3:26">
      <c r="C382" s="433"/>
      <c r="D382" s="433"/>
      <c r="E382" s="437"/>
      <c r="F382" s="419"/>
      <c r="G382" s="419"/>
      <c r="H382" s="419"/>
      <c r="I382" s="419"/>
      <c r="J382" s="419"/>
      <c r="K382" s="419"/>
      <c r="L382" s="429"/>
      <c r="M382" s="419"/>
      <c r="N382" s="419"/>
      <c r="O382" s="419"/>
      <c r="P382" s="419"/>
      <c r="Q382" s="419"/>
      <c r="R382" s="419"/>
      <c r="S382" s="419"/>
      <c r="T382" s="419"/>
      <c r="U382" s="419"/>
      <c r="V382" s="419"/>
      <c r="W382" s="419"/>
      <c r="X382" s="419"/>
      <c r="Y382" s="419"/>
      <c r="Z382" s="419"/>
    </row>
    <row r="383" spans="3:26">
      <c r="C383" s="433"/>
      <c r="D383" s="433"/>
      <c r="E383" s="437"/>
      <c r="F383" s="419"/>
      <c r="G383" s="419"/>
      <c r="H383" s="419"/>
      <c r="I383" s="419"/>
      <c r="J383" s="419"/>
      <c r="K383" s="419"/>
      <c r="L383" s="429"/>
      <c r="M383" s="419"/>
      <c r="N383" s="419"/>
      <c r="O383" s="419"/>
      <c r="P383" s="419"/>
      <c r="Q383" s="419"/>
      <c r="R383" s="419"/>
      <c r="S383" s="419"/>
      <c r="T383" s="419"/>
      <c r="U383" s="419"/>
      <c r="V383" s="419"/>
      <c r="W383" s="419"/>
      <c r="X383" s="419"/>
      <c r="Y383" s="419"/>
      <c r="Z383" s="419"/>
    </row>
    <row r="384" spans="3:26">
      <c r="C384" s="433"/>
      <c r="D384" s="433"/>
      <c r="E384" s="437"/>
      <c r="F384" s="419"/>
      <c r="G384" s="419"/>
      <c r="H384" s="419"/>
      <c r="I384" s="419"/>
      <c r="J384" s="419"/>
      <c r="K384" s="419"/>
      <c r="L384" s="429"/>
      <c r="M384" s="419"/>
      <c r="N384" s="419"/>
      <c r="O384" s="419"/>
      <c r="P384" s="419"/>
      <c r="Q384" s="419"/>
      <c r="R384" s="419"/>
      <c r="S384" s="419"/>
      <c r="T384" s="419"/>
      <c r="U384" s="419"/>
      <c r="V384" s="419"/>
      <c r="W384" s="419"/>
      <c r="X384" s="419"/>
      <c r="Y384" s="419"/>
      <c r="Z384" s="419"/>
    </row>
    <row r="385" spans="3:26">
      <c r="C385" s="433"/>
      <c r="D385" s="433"/>
      <c r="E385" s="437"/>
      <c r="F385" s="419"/>
      <c r="G385" s="419"/>
      <c r="H385" s="419"/>
      <c r="I385" s="419"/>
      <c r="J385" s="419"/>
      <c r="K385" s="419"/>
      <c r="L385" s="429"/>
      <c r="M385" s="419"/>
      <c r="N385" s="419"/>
      <c r="O385" s="419"/>
      <c r="P385" s="419"/>
      <c r="Q385" s="419"/>
      <c r="R385" s="419"/>
      <c r="S385" s="419"/>
      <c r="T385" s="419"/>
      <c r="U385" s="419"/>
      <c r="V385" s="419"/>
      <c r="W385" s="419"/>
      <c r="X385" s="419"/>
      <c r="Y385" s="419"/>
      <c r="Z385" s="419"/>
    </row>
    <row r="386" spans="3:26">
      <c r="C386" s="433"/>
      <c r="D386" s="433"/>
      <c r="E386" s="437"/>
      <c r="F386" s="419"/>
      <c r="G386" s="419"/>
      <c r="H386" s="419"/>
      <c r="I386" s="419"/>
      <c r="J386" s="419"/>
      <c r="K386" s="419"/>
      <c r="L386" s="429"/>
      <c r="M386" s="419"/>
      <c r="N386" s="419"/>
      <c r="O386" s="419"/>
      <c r="P386" s="419"/>
      <c r="Q386" s="419"/>
      <c r="R386" s="419"/>
      <c r="S386" s="419"/>
      <c r="T386" s="419"/>
      <c r="U386" s="419"/>
      <c r="V386" s="419"/>
      <c r="W386" s="419"/>
      <c r="X386" s="419"/>
      <c r="Y386" s="419"/>
      <c r="Z386" s="419"/>
    </row>
    <row r="387" spans="3:26">
      <c r="C387" s="433"/>
      <c r="D387" s="433"/>
      <c r="E387" s="437"/>
      <c r="F387" s="419"/>
      <c r="G387" s="419"/>
      <c r="H387" s="419"/>
      <c r="I387" s="419"/>
      <c r="J387" s="419"/>
      <c r="K387" s="419"/>
      <c r="L387" s="429"/>
      <c r="M387" s="419"/>
      <c r="N387" s="419"/>
      <c r="O387" s="419"/>
      <c r="P387" s="419"/>
      <c r="Q387" s="419"/>
      <c r="R387" s="419"/>
      <c r="S387" s="419"/>
      <c r="T387" s="419"/>
      <c r="U387" s="419"/>
      <c r="V387" s="419"/>
      <c r="W387" s="419"/>
      <c r="X387" s="419"/>
      <c r="Y387" s="419"/>
      <c r="Z387" s="419"/>
    </row>
    <row r="388" spans="3:26">
      <c r="C388" s="433"/>
      <c r="D388" s="433"/>
      <c r="E388" s="437"/>
      <c r="F388" s="419"/>
      <c r="G388" s="419"/>
      <c r="H388" s="419"/>
      <c r="I388" s="419"/>
      <c r="J388" s="419"/>
      <c r="K388" s="419"/>
      <c r="L388" s="429"/>
      <c r="M388" s="419"/>
      <c r="N388" s="419"/>
      <c r="O388" s="419"/>
      <c r="P388" s="419"/>
      <c r="Q388" s="419"/>
      <c r="R388" s="419"/>
      <c r="S388" s="419"/>
      <c r="T388" s="419"/>
      <c r="U388" s="419"/>
      <c r="V388" s="419"/>
      <c r="W388" s="419"/>
      <c r="X388" s="419"/>
      <c r="Y388" s="419"/>
      <c r="Z388" s="419"/>
    </row>
    <row r="389" spans="3:26">
      <c r="C389" s="433"/>
      <c r="D389" s="433"/>
      <c r="E389" s="437"/>
      <c r="F389" s="419"/>
      <c r="G389" s="419"/>
      <c r="H389" s="419"/>
      <c r="I389" s="419"/>
      <c r="J389" s="419"/>
      <c r="K389" s="419"/>
      <c r="L389" s="429"/>
      <c r="M389" s="419"/>
      <c r="N389" s="419"/>
      <c r="O389" s="419"/>
      <c r="P389" s="419"/>
      <c r="Q389" s="419"/>
      <c r="R389" s="419"/>
      <c r="S389" s="419"/>
      <c r="T389" s="419"/>
      <c r="U389" s="419"/>
      <c r="V389" s="419"/>
      <c r="W389" s="419"/>
      <c r="X389" s="419"/>
      <c r="Y389" s="419"/>
      <c r="Z389" s="419"/>
    </row>
    <row r="390" spans="3:26">
      <c r="C390" s="433"/>
      <c r="D390" s="433"/>
      <c r="E390" s="437"/>
      <c r="F390" s="419"/>
      <c r="G390" s="419"/>
      <c r="H390" s="419"/>
      <c r="I390" s="419"/>
      <c r="J390" s="419"/>
      <c r="K390" s="419"/>
      <c r="L390" s="429"/>
      <c r="M390" s="419"/>
      <c r="N390" s="419"/>
      <c r="O390" s="419"/>
      <c r="P390" s="419"/>
      <c r="Q390" s="419"/>
      <c r="R390" s="419"/>
      <c r="S390" s="419"/>
      <c r="T390" s="419"/>
      <c r="U390" s="419"/>
      <c r="V390" s="419"/>
      <c r="W390" s="419"/>
      <c r="X390" s="419"/>
      <c r="Y390" s="419"/>
      <c r="Z390" s="419"/>
    </row>
    <row r="391" spans="3:26">
      <c r="C391" s="433"/>
      <c r="D391" s="433"/>
      <c r="E391" s="437"/>
      <c r="F391" s="419"/>
      <c r="G391" s="419"/>
      <c r="H391" s="419"/>
      <c r="I391" s="419"/>
      <c r="J391" s="419"/>
      <c r="K391" s="419"/>
      <c r="L391" s="429"/>
      <c r="M391" s="419"/>
      <c r="N391" s="419"/>
      <c r="O391" s="419"/>
      <c r="P391" s="419"/>
      <c r="Q391" s="419"/>
      <c r="R391" s="419"/>
      <c r="S391" s="419"/>
      <c r="T391" s="419"/>
      <c r="U391" s="419"/>
      <c r="V391" s="419"/>
      <c r="W391" s="419"/>
      <c r="X391" s="419"/>
      <c r="Y391" s="419"/>
      <c r="Z391" s="419"/>
    </row>
    <row r="392" spans="3:26">
      <c r="C392" s="433"/>
      <c r="D392" s="433"/>
      <c r="E392" s="437"/>
      <c r="F392" s="419"/>
      <c r="G392" s="419"/>
      <c r="H392" s="419"/>
      <c r="I392" s="419"/>
      <c r="J392" s="419"/>
      <c r="K392" s="419"/>
      <c r="L392" s="429"/>
      <c r="M392" s="419"/>
      <c r="N392" s="419"/>
      <c r="O392" s="419"/>
      <c r="P392" s="419"/>
      <c r="Q392" s="419"/>
      <c r="R392" s="419"/>
      <c r="S392" s="419"/>
      <c r="T392" s="419"/>
      <c r="U392" s="419"/>
      <c r="V392" s="419"/>
      <c r="W392" s="419"/>
      <c r="X392" s="419"/>
      <c r="Y392" s="419"/>
      <c r="Z392" s="419"/>
    </row>
    <row r="393" spans="3:26">
      <c r="C393" s="433"/>
      <c r="D393" s="433"/>
      <c r="E393" s="437"/>
      <c r="F393" s="419"/>
      <c r="G393" s="419"/>
      <c r="H393" s="419"/>
      <c r="I393" s="419"/>
      <c r="J393" s="419"/>
      <c r="K393" s="419"/>
      <c r="L393" s="429"/>
      <c r="M393" s="419"/>
      <c r="N393" s="419"/>
      <c r="O393" s="419"/>
      <c r="P393" s="419"/>
      <c r="Q393" s="419"/>
      <c r="R393" s="419"/>
      <c r="S393" s="419"/>
      <c r="T393" s="419"/>
      <c r="U393" s="419"/>
      <c r="V393" s="419"/>
      <c r="W393" s="419"/>
      <c r="X393" s="419"/>
      <c r="Y393" s="419"/>
      <c r="Z393" s="419"/>
    </row>
    <row r="394" spans="3:26">
      <c r="C394" s="433"/>
      <c r="D394" s="433"/>
      <c r="E394" s="437"/>
      <c r="F394" s="419"/>
      <c r="G394" s="419"/>
      <c r="H394" s="419"/>
      <c r="I394" s="419"/>
      <c r="J394" s="419"/>
      <c r="K394" s="419"/>
      <c r="L394" s="429"/>
      <c r="M394" s="419"/>
      <c r="N394" s="419"/>
      <c r="O394" s="419"/>
      <c r="P394" s="419"/>
      <c r="Q394" s="419"/>
      <c r="R394" s="419"/>
      <c r="S394" s="419"/>
      <c r="T394" s="419"/>
      <c r="U394" s="419"/>
      <c r="V394" s="419"/>
      <c r="W394" s="419"/>
      <c r="X394" s="419"/>
      <c r="Y394" s="419"/>
      <c r="Z394" s="419"/>
    </row>
    <row r="395" spans="3:26">
      <c r="C395" s="433"/>
      <c r="D395" s="433"/>
      <c r="E395" s="437"/>
      <c r="F395" s="419"/>
      <c r="G395" s="419"/>
      <c r="H395" s="419"/>
      <c r="I395" s="419"/>
      <c r="J395" s="419"/>
      <c r="K395" s="419"/>
      <c r="L395" s="429"/>
      <c r="M395" s="419"/>
      <c r="N395" s="419"/>
      <c r="O395" s="419"/>
      <c r="P395" s="419"/>
      <c r="Q395" s="419"/>
      <c r="R395" s="419"/>
      <c r="S395" s="419"/>
      <c r="T395" s="419"/>
      <c r="U395" s="419"/>
      <c r="V395" s="419"/>
      <c r="W395" s="419"/>
      <c r="X395" s="419"/>
      <c r="Y395" s="419"/>
      <c r="Z395" s="419"/>
    </row>
    <row r="396" spans="3:26">
      <c r="C396" s="433"/>
      <c r="D396" s="433"/>
      <c r="E396" s="437"/>
      <c r="F396" s="419"/>
      <c r="G396" s="419"/>
      <c r="H396" s="419"/>
      <c r="I396" s="419"/>
      <c r="J396" s="419"/>
      <c r="K396" s="419"/>
      <c r="L396" s="429"/>
      <c r="M396" s="419"/>
      <c r="N396" s="419"/>
      <c r="O396" s="419"/>
      <c r="P396" s="419"/>
      <c r="Q396" s="419"/>
      <c r="R396" s="419"/>
      <c r="S396" s="419"/>
      <c r="T396" s="419"/>
      <c r="U396" s="419"/>
      <c r="V396" s="419"/>
      <c r="W396" s="419"/>
      <c r="X396" s="419"/>
      <c r="Y396" s="419"/>
      <c r="Z396" s="419"/>
    </row>
    <row r="397" spans="3:26">
      <c r="C397" s="433"/>
      <c r="D397" s="433"/>
      <c r="E397" s="437"/>
      <c r="F397" s="419"/>
      <c r="G397" s="419"/>
      <c r="H397" s="419"/>
      <c r="I397" s="419"/>
      <c r="J397" s="419"/>
      <c r="K397" s="419"/>
      <c r="L397" s="429"/>
      <c r="M397" s="419"/>
      <c r="N397" s="419"/>
      <c r="O397" s="419"/>
      <c r="P397" s="419"/>
      <c r="Q397" s="419"/>
      <c r="R397" s="419"/>
      <c r="S397" s="419"/>
      <c r="T397" s="419"/>
      <c r="U397" s="419"/>
      <c r="V397" s="419"/>
      <c r="W397" s="419"/>
      <c r="X397" s="419"/>
      <c r="Y397" s="419"/>
      <c r="Z397" s="419"/>
    </row>
    <row r="398" spans="3:26">
      <c r="C398" s="433"/>
      <c r="D398" s="433"/>
      <c r="E398" s="437"/>
      <c r="F398" s="419"/>
      <c r="G398" s="419"/>
      <c r="H398" s="419"/>
      <c r="I398" s="419"/>
      <c r="J398" s="419"/>
      <c r="K398" s="419"/>
      <c r="L398" s="429"/>
      <c r="M398" s="419"/>
      <c r="N398" s="419"/>
      <c r="O398" s="419"/>
      <c r="P398" s="419"/>
      <c r="Q398" s="419"/>
      <c r="R398" s="419"/>
      <c r="S398" s="419"/>
      <c r="T398" s="419"/>
      <c r="U398" s="419"/>
      <c r="V398" s="419"/>
      <c r="W398" s="419"/>
      <c r="X398" s="419"/>
      <c r="Y398" s="419"/>
      <c r="Z398" s="419"/>
    </row>
    <row r="399" spans="3:26">
      <c r="C399" s="433"/>
      <c r="D399" s="433"/>
      <c r="E399" s="437"/>
      <c r="F399" s="419"/>
      <c r="G399" s="419"/>
      <c r="H399" s="419"/>
      <c r="I399" s="419"/>
      <c r="J399" s="419"/>
      <c r="K399" s="419"/>
      <c r="L399" s="429"/>
      <c r="M399" s="419"/>
      <c r="N399" s="419"/>
      <c r="O399" s="419"/>
      <c r="P399" s="419"/>
      <c r="Q399" s="419"/>
      <c r="R399" s="419"/>
      <c r="S399" s="419"/>
      <c r="T399" s="419"/>
      <c r="U399" s="419"/>
      <c r="V399" s="419"/>
      <c r="W399" s="419"/>
      <c r="X399" s="419"/>
      <c r="Y399" s="419"/>
      <c r="Z399" s="419"/>
    </row>
    <row r="400" spans="3:26">
      <c r="C400" s="433"/>
      <c r="D400" s="433"/>
      <c r="E400" s="437"/>
      <c r="F400" s="419"/>
      <c r="G400" s="419"/>
      <c r="H400" s="419"/>
      <c r="I400" s="419"/>
      <c r="J400" s="419"/>
      <c r="K400" s="419"/>
      <c r="L400" s="429"/>
      <c r="M400" s="419"/>
      <c r="N400" s="419"/>
      <c r="O400" s="419"/>
      <c r="P400" s="419"/>
      <c r="Q400" s="419"/>
      <c r="R400" s="419"/>
      <c r="S400" s="419"/>
      <c r="T400" s="419"/>
      <c r="U400" s="419"/>
      <c r="V400" s="419"/>
      <c r="W400" s="419"/>
      <c r="X400" s="419"/>
      <c r="Y400" s="419"/>
      <c r="Z400" s="419"/>
    </row>
    <row r="401" spans="3:26">
      <c r="C401" s="433"/>
      <c r="D401" s="433"/>
      <c r="E401" s="437"/>
      <c r="F401" s="419"/>
      <c r="G401" s="419"/>
      <c r="H401" s="419"/>
      <c r="I401" s="419"/>
      <c r="J401" s="419"/>
      <c r="K401" s="419"/>
      <c r="L401" s="429"/>
      <c r="M401" s="419"/>
      <c r="N401" s="419"/>
      <c r="O401" s="419"/>
      <c r="P401" s="419"/>
      <c r="Q401" s="419"/>
      <c r="R401" s="419"/>
      <c r="S401" s="419"/>
      <c r="T401" s="419"/>
      <c r="U401" s="419"/>
      <c r="V401" s="419"/>
      <c r="W401" s="419"/>
      <c r="X401" s="419"/>
      <c r="Y401" s="419"/>
      <c r="Z401" s="419"/>
    </row>
    <row r="402" spans="3:26">
      <c r="C402" s="433"/>
      <c r="D402" s="433"/>
      <c r="E402" s="437"/>
      <c r="F402" s="419"/>
      <c r="G402" s="419"/>
      <c r="H402" s="419"/>
      <c r="I402" s="419"/>
      <c r="J402" s="419"/>
      <c r="K402" s="419"/>
      <c r="L402" s="429"/>
      <c r="M402" s="419"/>
      <c r="N402" s="419"/>
      <c r="O402" s="419"/>
      <c r="P402" s="419"/>
      <c r="Q402" s="419"/>
      <c r="R402" s="419"/>
      <c r="S402" s="419"/>
      <c r="T402" s="419"/>
      <c r="U402" s="419"/>
      <c r="V402" s="419"/>
      <c r="W402" s="419"/>
      <c r="X402" s="419"/>
      <c r="Y402" s="419"/>
      <c r="Z402" s="419"/>
    </row>
    <row r="403" spans="3:26">
      <c r="C403" s="433"/>
      <c r="D403" s="433"/>
      <c r="E403" s="437"/>
      <c r="F403" s="419"/>
      <c r="G403" s="419"/>
      <c r="H403" s="419"/>
      <c r="I403" s="419"/>
      <c r="J403" s="419"/>
      <c r="K403" s="419"/>
      <c r="L403" s="429"/>
      <c r="M403" s="419"/>
      <c r="N403" s="419"/>
      <c r="O403" s="419"/>
      <c r="P403" s="419"/>
      <c r="Q403" s="419"/>
      <c r="R403" s="419"/>
      <c r="S403" s="419"/>
      <c r="T403" s="419"/>
      <c r="U403" s="419"/>
      <c r="V403" s="419"/>
      <c r="W403" s="419"/>
      <c r="X403" s="419"/>
      <c r="Y403" s="419"/>
      <c r="Z403" s="419"/>
    </row>
    <row r="404" spans="3:26">
      <c r="C404" s="433"/>
      <c r="D404" s="433"/>
      <c r="E404" s="437"/>
      <c r="F404" s="419"/>
      <c r="G404" s="419"/>
      <c r="H404" s="419"/>
      <c r="I404" s="419"/>
      <c r="J404" s="419"/>
      <c r="K404" s="419"/>
      <c r="L404" s="429"/>
      <c r="M404" s="419"/>
      <c r="N404" s="419"/>
      <c r="O404" s="419"/>
      <c r="P404" s="419"/>
      <c r="Q404" s="419"/>
      <c r="R404" s="419"/>
      <c r="S404" s="419"/>
      <c r="T404" s="419"/>
      <c r="U404" s="419"/>
      <c r="V404" s="419"/>
      <c r="W404" s="419"/>
      <c r="X404" s="419"/>
      <c r="Y404" s="419"/>
      <c r="Z404" s="419"/>
    </row>
    <row r="405" spans="3:26">
      <c r="C405" s="433"/>
      <c r="D405" s="433"/>
      <c r="E405" s="437"/>
      <c r="F405" s="419"/>
      <c r="G405" s="419"/>
      <c r="H405" s="419"/>
      <c r="I405" s="419"/>
      <c r="J405" s="419"/>
      <c r="K405" s="419"/>
      <c r="L405" s="429"/>
      <c r="M405" s="419"/>
      <c r="N405" s="419"/>
      <c r="O405" s="419"/>
      <c r="P405" s="419"/>
      <c r="Q405" s="419"/>
      <c r="R405" s="419"/>
      <c r="S405" s="419"/>
      <c r="T405" s="419"/>
      <c r="U405" s="419"/>
      <c r="V405" s="419"/>
      <c r="W405" s="419"/>
      <c r="X405" s="419"/>
      <c r="Y405" s="419"/>
      <c r="Z405" s="419"/>
    </row>
    <row r="406" spans="3:26">
      <c r="C406" s="433"/>
      <c r="D406" s="433"/>
      <c r="E406" s="437"/>
      <c r="F406" s="419"/>
      <c r="G406" s="419"/>
      <c r="H406" s="419"/>
      <c r="I406" s="419"/>
      <c r="J406" s="419"/>
      <c r="K406" s="419"/>
      <c r="L406" s="429"/>
      <c r="M406" s="419"/>
      <c r="N406" s="419"/>
      <c r="O406" s="419"/>
      <c r="P406" s="419"/>
      <c r="Q406" s="419"/>
      <c r="R406" s="419"/>
      <c r="S406" s="419"/>
      <c r="T406" s="419"/>
      <c r="U406" s="419"/>
      <c r="V406" s="419"/>
      <c r="W406" s="419"/>
      <c r="X406" s="419"/>
      <c r="Y406" s="419"/>
      <c r="Z406" s="419"/>
    </row>
    <row r="407" spans="3:26">
      <c r="C407" s="433"/>
      <c r="D407" s="433"/>
      <c r="E407" s="437"/>
      <c r="F407" s="419"/>
      <c r="G407" s="419"/>
      <c r="H407" s="419"/>
      <c r="I407" s="419"/>
      <c r="J407" s="419"/>
      <c r="K407" s="419"/>
      <c r="L407" s="429"/>
      <c r="M407" s="419"/>
      <c r="N407" s="419"/>
      <c r="O407" s="419"/>
      <c r="P407" s="419"/>
      <c r="Q407" s="419"/>
      <c r="R407" s="419"/>
      <c r="S407" s="419"/>
      <c r="T407" s="419"/>
      <c r="U407" s="419"/>
      <c r="V407" s="419"/>
      <c r="W407" s="419"/>
      <c r="X407" s="419"/>
      <c r="Y407" s="419"/>
      <c r="Z407" s="419"/>
    </row>
    <row r="408" spans="3:26">
      <c r="C408" s="433"/>
      <c r="D408" s="433"/>
      <c r="E408" s="437"/>
      <c r="F408" s="419"/>
      <c r="G408" s="419"/>
      <c r="H408" s="419"/>
      <c r="I408" s="419"/>
      <c r="J408" s="419"/>
      <c r="K408" s="419"/>
      <c r="L408" s="429"/>
      <c r="M408" s="419"/>
      <c r="N408" s="419"/>
      <c r="O408" s="419"/>
      <c r="P408" s="419"/>
      <c r="Q408" s="419"/>
      <c r="R408" s="419"/>
      <c r="S408" s="419"/>
      <c r="T408" s="419"/>
      <c r="U408" s="419"/>
      <c r="V408" s="419"/>
      <c r="W408" s="419"/>
      <c r="X408" s="419"/>
      <c r="Y408" s="419"/>
      <c r="Z408" s="419"/>
    </row>
    <row r="409" spans="3:26">
      <c r="C409" s="433"/>
      <c r="D409" s="433"/>
      <c r="E409" s="437"/>
      <c r="F409" s="419"/>
      <c r="G409" s="419"/>
      <c r="H409" s="419"/>
      <c r="I409" s="419"/>
      <c r="J409" s="419"/>
      <c r="K409" s="419"/>
      <c r="L409" s="429"/>
      <c r="M409" s="419"/>
      <c r="N409" s="419"/>
      <c r="O409" s="419"/>
      <c r="P409" s="419"/>
      <c r="Q409" s="419"/>
      <c r="R409" s="419"/>
      <c r="S409" s="419"/>
      <c r="T409" s="419"/>
      <c r="U409" s="419"/>
      <c r="V409" s="419"/>
      <c r="W409" s="419"/>
      <c r="X409" s="419"/>
      <c r="Y409" s="419"/>
      <c r="Z409" s="419"/>
    </row>
    <row r="410" spans="3:26">
      <c r="C410" s="433"/>
      <c r="D410" s="433"/>
      <c r="E410" s="437"/>
      <c r="F410" s="419"/>
      <c r="G410" s="419"/>
      <c r="H410" s="419"/>
      <c r="I410" s="419"/>
      <c r="J410" s="419"/>
      <c r="K410" s="419"/>
      <c r="L410" s="429"/>
      <c r="M410" s="419"/>
      <c r="N410" s="419"/>
      <c r="O410" s="419"/>
      <c r="P410" s="419"/>
      <c r="Q410" s="419"/>
      <c r="R410" s="419"/>
      <c r="S410" s="419"/>
      <c r="T410" s="419"/>
      <c r="U410" s="419"/>
      <c r="V410" s="419"/>
      <c r="W410" s="419"/>
      <c r="X410" s="419"/>
      <c r="Y410" s="419"/>
      <c r="Z410" s="419"/>
    </row>
    <row r="411" spans="3:26">
      <c r="C411" s="433"/>
      <c r="D411" s="433"/>
      <c r="E411" s="437"/>
      <c r="F411" s="419"/>
      <c r="G411" s="419"/>
      <c r="H411" s="419"/>
      <c r="I411" s="419"/>
      <c r="J411" s="419"/>
      <c r="K411" s="419"/>
      <c r="L411" s="429"/>
      <c r="M411" s="419"/>
      <c r="N411" s="419"/>
      <c r="O411" s="419"/>
      <c r="P411" s="419"/>
      <c r="Q411" s="419"/>
      <c r="R411" s="419"/>
      <c r="S411" s="419"/>
      <c r="T411" s="419"/>
      <c r="U411" s="419"/>
      <c r="V411" s="419"/>
      <c r="W411" s="419"/>
      <c r="X411" s="419"/>
      <c r="Y411" s="419"/>
      <c r="Z411" s="419"/>
    </row>
    <row r="412" spans="3:26">
      <c r="C412" s="433"/>
      <c r="D412" s="433"/>
      <c r="E412" s="437"/>
      <c r="F412" s="419"/>
      <c r="G412" s="419"/>
      <c r="H412" s="419"/>
      <c r="I412" s="419"/>
      <c r="J412" s="419"/>
      <c r="K412" s="419"/>
      <c r="L412" s="429"/>
      <c r="M412" s="419"/>
      <c r="N412" s="419"/>
      <c r="O412" s="419"/>
      <c r="P412" s="419"/>
      <c r="Q412" s="419"/>
      <c r="R412" s="419"/>
      <c r="S412" s="419"/>
      <c r="T412" s="419"/>
      <c r="U412" s="419"/>
      <c r="V412" s="419"/>
      <c r="W412" s="419"/>
      <c r="X412" s="419"/>
      <c r="Y412" s="419"/>
      <c r="Z412" s="419"/>
    </row>
    <row r="413" spans="3:26">
      <c r="C413" s="433"/>
      <c r="D413" s="433"/>
      <c r="E413" s="437"/>
      <c r="F413" s="419"/>
      <c r="G413" s="419"/>
      <c r="H413" s="419"/>
      <c r="I413" s="419"/>
      <c r="J413" s="419"/>
      <c r="K413" s="419"/>
      <c r="L413" s="429"/>
      <c r="M413" s="419"/>
      <c r="N413" s="419"/>
      <c r="O413" s="419"/>
      <c r="P413" s="419"/>
      <c r="Q413" s="419"/>
      <c r="R413" s="419"/>
      <c r="S413" s="419"/>
      <c r="T413" s="419"/>
      <c r="U413" s="419"/>
      <c r="V413" s="419"/>
      <c r="W413" s="419"/>
      <c r="X413" s="419"/>
      <c r="Y413" s="419"/>
      <c r="Z413" s="419"/>
    </row>
    <row r="414" spans="3:26">
      <c r="C414" s="433"/>
      <c r="D414" s="433"/>
      <c r="E414" s="437"/>
      <c r="F414" s="419"/>
      <c r="G414" s="419"/>
      <c r="H414" s="419"/>
      <c r="I414" s="419"/>
      <c r="J414" s="419"/>
      <c r="K414" s="419"/>
      <c r="L414" s="429"/>
      <c r="M414" s="419"/>
      <c r="N414" s="419"/>
      <c r="O414" s="419"/>
      <c r="P414" s="419"/>
      <c r="Q414" s="419"/>
      <c r="R414" s="419"/>
      <c r="S414" s="419"/>
      <c r="T414" s="419"/>
      <c r="U414" s="419"/>
      <c r="V414" s="419"/>
      <c r="W414" s="419"/>
      <c r="X414" s="419"/>
      <c r="Y414" s="419"/>
      <c r="Z414" s="419"/>
    </row>
    <row r="415" spans="3:26">
      <c r="C415" s="433"/>
      <c r="D415" s="433"/>
      <c r="E415" s="437"/>
      <c r="F415" s="419"/>
      <c r="G415" s="419"/>
      <c r="H415" s="419"/>
      <c r="I415" s="419"/>
      <c r="J415" s="419"/>
      <c r="K415" s="419"/>
      <c r="L415" s="429"/>
      <c r="M415" s="419"/>
      <c r="N415" s="419"/>
      <c r="O415" s="419"/>
      <c r="P415" s="419"/>
      <c r="Q415" s="419"/>
      <c r="R415" s="419"/>
      <c r="S415" s="419"/>
      <c r="T415" s="419"/>
      <c r="U415" s="419"/>
      <c r="V415" s="419"/>
      <c r="W415" s="419"/>
      <c r="X415" s="419"/>
      <c r="Y415" s="419"/>
      <c r="Z415" s="419"/>
    </row>
    <row r="416" spans="3:26">
      <c r="C416" s="433"/>
      <c r="D416" s="433"/>
      <c r="E416" s="437"/>
      <c r="F416" s="419"/>
      <c r="G416" s="419"/>
      <c r="H416" s="419"/>
      <c r="I416" s="419"/>
      <c r="J416" s="419"/>
      <c r="K416" s="419"/>
      <c r="L416" s="429"/>
      <c r="M416" s="419"/>
      <c r="N416" s="419"/>
      <c r="O416" s="419"/>
      <c r="P416" s="419"/>
      <c r="Q416" s="419"/>
      <c r="R416" s="419"/>
      <c r="S416" s="419"/>
      <c r="T416" s="419"/>
      <c r="U416" s="419"/>
      <c r="V416" s="419"/>
      <c r="W416" s="419"/>
      <c r="X416" s="419"/>
      <c r="Y416" s="419"/>
      <c r="Z416" s="419"/>
    </row>
    <row r="417" spans="3:26">
      <c r="C417" s="433"/>
      <c r="D417" s="433"/>
      <c r="E417" s="437"/>
      <c r="F417" s="419"/>
      <c r="G417" s="419"/>
      <c r="H417" s="419"/>
      <c r="I417" s="419"/>
      <c r="J417" s="419"/>
      <c r="K417" s="419"/>
      <c r="L417" s="429"/>
      <c r="M417" s="419"/>
      <c r="N417" s="419"/>
      <c r="O417" s="419"/>
      <c r="P417" s="419"/>
      <c r="Q417" s="419"/>
      <c r="R417" s="419"/>
      <c r="S417" s="419"/>
      <c r="T417" s="419"/>
      <c r="U417" s="419"/>
      <c r="V417" s="419"/>
      <c r="W417" s="419"/>
      <c r="X417" s="419"/>
      <c r="Y417" s="419"/>
      <c r="Z417" s="419"/>
    </row>
    <row r="418" spans="3:26">
      <c r="C418" s="433"/>
      <c r="D418" s="433"/>
      <c r="E418" s="437"/>
      <c r="F418" s="419"/>
      <c r="G418" s="419"/>
      <c r="H418" s="419"/>
      <c r="I418" s="419"/>
      <c r="J418" s="419"/>
      <c r="K418" s="419"/>
      <c r="L418" s="429"/>
      <c r="M418" s="419"/>
      <c r="N418" s="419"/>
      <c r="O418" s="419"/>
      <c r="P418" s="419"/>
      <c r="Q418" s="419"/>
      <c r="R418" s="419"/>
      <c r="S418" s="419"/>
      <c r="T418" s="419"/>
      <c r="U418" s="419"/>
      <c r="V418" s="419"/>
      <c r="W418" s="419"/>
      <c r="X418" s="419"/>
      <c r="Y418" s="419"/>
      <c r="Z418" s="419"/>
    </row>
    <row r="419" spans="3:26">
      <c r="C419" s="433"/>
      <c r="D419" s="433"/>
      <c r="E419" s="437"/>
      <c r="F419" s="419"/>
      <c r="G419" s="419"/>
      <c r="H419" s="419"/>
      <c r="I419" s="419"/>
      <c r="J419" s="419"/>
      <c r="K419" s="419"/>
      <c r="L419" s="429"/>
      <c r="M419" s="419"/>
      <c r="N419" s="419"/>
      <c r="O419" s="419"/>
      <c r="P419" s="419"/>
      <c r="Q419" s="419"/>
      <c r="R419" s="419"/>
      <c r="S419" s="419"/>
      <c r="T419" s="419"/>
      <c r="U419" s="419"/>
      <c r="V419" s="419"/>
      <c r="W419" s="419"/>
      <c r="X419" s="419"/>
      <c r="Y419" s="419"/>
      <c r="Z419" s="419"/>
    </row>
    <row r="420" spans="3:26">
      <c r="C420" s="433"/>
      <c r="D420" s="433"/>
      <c r="E420" s="437"/>
      <c r="F420" s="419"/>
      <c r="G420" s="419"/>
      <c r="H420" s="419"/>
      <c r="I420" s="419"/>
      <c r="J420" s="419"/>
      <c r="K420" s="419"/>
      <c r="L420" s="429"/>
      <c r="M420" s="419"/>
      <c r="N420" s="419"/>
      <c r="O420" s="419"/>
      <c r="P420" s="419"/>
      <c r="Q420" s="419"/>
      <c r="R420" s="419"/>
      <c r="S420" s="419"/>
      <c r="T420" s="419"/>
      <c r="U420" s="419"/>
      <c r="V420" s="419"/>
      <c r="W420" s="419"/>
      <c r="X420" s="419"/>
      <c r="Y420" s="419"/>
      <c r="Z420" s="419"/>
    </row>
    <row r="421" spans="3:26">
      <c r="C421" s="433"/>
      <c r="D421" s="433"/>
      <c r="E421" s="437"/>
      <c r="F421" s="419"/>
      <c r="G421" s="419"/>
      <c r="H421" s="419"/>
      <c r="I421" s="419"/>
      <c r="J421" s="419"/>
      <c r="K421" s="419"/>
      <c r="L421" s="429"/>
      <c r="M421" s="419"/>
      <c r="N421" s="419"/>
      <c r="O421" s="419"/>
      <c r="P421" s="419"/>
      <c r="Q421" s="419"/>
      <c r="R421" s="419"/>
      <c r="S421" s="419"/>
      <c r="T421" s="419"/>
      <c r="U421" s="419"/>
      <c r="V421" s="419"/>
      <c r="W421" s="419"/>
      <c r="X421" s="419"/>
      <c r="Y421" s="419"/>
      <c r="Z421" s="419"/>
    </row>
    <row r="422" spans="3:26">
      <c r="C422" s="433"/>
      <c r="D422" s="433"/>
      <c r="E422" s="437"/>
      <c r="F422" s="419"/>
      <c r="G422" s="419"/>
      <c r="H422" s="419"/>
      <c r="I422" s="419"/>
      <c r="J422" s="419"/>
      <c r="K422" s="419"/>
      <c r="L422" s="429"/>
      <c r="M422" s="419"/>
      <c r="N422" s="419"/>
      <c r="O422" s="419"/>
      <c r="P422" s="419"/>
      <c r="Q422" s="419"/>
      <c r="R422" s="419"/>
      <c r="S422" s="419"/>
      <c r="T422" s="419"/>
      <c r="U422" s="419"/>
      <c r="V422" s="419"/>
      <c r="W422" s="419"/>
      <c r="X422" s="419"/>
      <c r="Y422" s="419"/>
      <c r="Z422" s="419"/>
    </row>
    <row r="423" spans="3:26">
      <c r="C423" s="433"/>
      <c r="D423" s="433"/>
      <c r="E423" s="437"/>
      <c r="F423" s="419"/>
      <c r="G423" s="419"/>
      <c r="H423" s="419"/>
      <c r="I423" s="419"/>
      <c r="J423" s="419"/>
      <c r="K423" s="419"/>
      <c r="L423" s="429"/>
      <c r="M423" s="419"/>
      <c r="N423" s="419"/>
      <c r="O423" s="419"/>
      <c r="P423" s="419"/>
      <c r="Q423" s="419"/>
      <c r="R423" s="419"/>
      <c r="S423" s="419"/>
      <c r="T423" s="419"/>
      <c r="U423" s="419"/>
      <c r="V423" s="419"/>
      <c r="W423" s="419"/>
      <c r="X423" s="419"/>
      <c r="Y423" s="419"/>
      <c r="Z423" s="419"/>
    </row>
    <row r="424" spans="3:26">
      <c r="C424" s="433"/>
      <c r="D424" s="433"/>
      <c r="E424" s="437"/>
      <c r="F424" s="419"/>
      <c r="G424" s="419"/>
      <c r="H424" s="419"/>
      <c r="I424" s="419"/>
      <c r="J424" s="419"/>
      <c r="K424" s="419"/>
      <c r="L424" s="429"/>
      <c r="M424" s="419"/>
      <c r="N424" s="419"/>
      <c r="O424" s="419"/>
      <c r="P424" s="419"/>
      <c r="Q424" s="419"/>
      <c r="R424" s="419"/>
      <c r="S424" s="419"/>
      <c r="T424" s="419"/>
      <c r="U424" s="419"/>
      <c r="V424" s="419"/>
      <c r="W424" s="419"/>
      <c r="X424" s="419"/>
      <c r="Y424" s="419"/>
      <c r="Z424" s="419"/>
    </row>
    <row r="425" spans="3:26">
      <c r="C425" s="433"/>
      <c r="D425" s="433"/>
      <c r="E425" s="437"/>
      <c r="F425" s="419"/>
      <c r="G425" s="419"/>
      <c r="H425" s="419"/>
      <c r="I425" s="419"/>
      <c r="J425" s="419"/>
      <c r="K425" s="419"/>
      <c r="L425" s="429"/>
      <c r="M425" s="419"/>
      <c r="N425" s="419"/>
      <c r="O425" s="419"/>
      <c r="P425" s="419"/>
      <c r="Q425" s="419"/>
      <c r="R425" s="419"/>
      <c r="S425" s="419"/>
      <c r="T425" s="419"/>
      <c r="U425" s="419"/>
      <c r="V425" s="419"/>
      <c r="W425" s="419"/>
      <c r="X425" s="419"/>
      <c r="Y425" s="419"/>
      <c r="Z425" s="419"/>
    </row>
    <row r="426" spans="3:26">
      <c r="C426" s="433"/>
      <c r="D426" s="433"/>
      <c r="E426" s="437"/>
      <c r="F426" s="419"/>
      <c r="G426" s="419"/>
      <c r="H426" s="419"/>
      <c r="I426" s="419"/>
      <c r="J426" s="419"/>
      <c r="K426" s="419"/>
      <c r="L426" s="429"/>
      <c r="M426" s="419"/>
      <c r="N426" s="419"/>
      <c r="O426" s="419"/>
      <c r="P426" s="419"/>
      <c r="Q426" s="419"/>
      <c r="R426" s="419"/>
      <c r="S426" s="419"/>
      <c r="T426" s="419"/>
      <c r="U426" s="419"/>
      <c r="V426" s="419"/>
      <c r="W426" s="419"/>
      <c r="X426" s="419"/>
      <c r="Y426" s="419"/>
      <c r="Z426" s="419"/>
    </row>
    <row r="427" spans="3:26">
      <c r="C427" s="433"/>
      <c r="D427" s="433"/>
      <c r="E427" s="437"/>
      <c r="F427" s="419"/>
      <c r="G427" s="419"/>
      <c r="H427" s="419"/>
      <c r="I427" s="419"/>
      <c r="J427" s="419"/>
      <c r="K427" s="419"/>
      <c r="L427" s="429"/>
      <c r="M427" s="419"/>
      <c r="N427" s="419"/>
      <c r="O427" s="419"/>
      <c r="P427" s="419"/>
      <c r="Q427" s="419"/>
      <c r="R427" s="419"/>
      <c r="S427" s="419"/>
      <c r="T427" s="419"/>
      <c r="U427" s="419"/>
      <c r="V427" s="419"/>
      <c r="W427" s="419"/>
      <c r="X427" s="419"/>
      <c r="Y427" s="419"/>
      <c r="Z427" s="419"/>
    </row>
    <row r="428" spans="3:26">
      <c r="C428" s="433"/>
      <c r="D428" s="433"/>
      <c r="E428" s="437"/>
      <c r="F428" s="419"/>
      <c r="G428" s="419"/>
      <c r="H428" s="419"/>
      <c r="I428" s="419"/>
      <c r="J428" s="419"/>
      <c r="K428" s="419"/>
      <c r="L428" s="429"/>
      <c r="M428" s="419"/>
      <c r="N428" s="419"/>
      <c r="O428" s="419"/>
      <c r="P428" s="419"/>
      <c r="Q428" s="419"/>
      <c r="R428" s="419"/>
      <c r="S428" s="419"/>
      <c r="T428" s="419"/>
      <c r="U428" s="419"/>
      <c r="V428" s="419"/>
      <c r="W428" s="419"/>
      <c r="X428" s="419"/>
      <c r="Y428" s="419"/>
      <c r="Z428" s="419"/>
    </row>
    <row r="429" spans="3:26">
      <c r="C429" s="433"/>
      <c r="D429" s="433"/>
      <c r="E429" s="437"/>
      <c r="F429" s="419"/>
      <c r="G429" s="419"/>
      <c r="H429" s="419"/>
      <c r="I429" s="419"/>
      <c r="J429" s="419"/>
      <c r="K429" s="419"/>
      <c r="L429" s="429"/>
      <c r="M429" s="419"/>
      <c r="N429" s="419"/>
      <c r="O429" s="419"/>
      <c r="P429" s="419"/>
      <c r="Q429" s="419"/>
      <c r="R429" s="419"/>
      <c r="S429" s="419"/>
      <c r="T429" s="419"/>
      <c r="U429" s="419"/>
      <c r="V429" s="419"/>
      <c r="W429" s="419"/>
      <c r="X429" s="419"/>
      <c r="Y429" s="419"/>
      <c r="Z429" s="419"/>
    </row>
    <row r="430" spans="3:26">
      <c r="C430" s="433"/>
      <c r="D430" s="433"/>
      <c r="E430" s="437"/>
      <c r="F430" s="419"/>
      <c r="G430" s="419"/>
      <c r="H430" s="419"/>
      <c r="I430" s="419"/>
      <c r="J430" s="419"/>
      <c r="K430" s="419"/>
      <c r="L430" s="429"/>
      <c r="M430" s="419"/>
      <c r="N430" s="419"/>
      <c r="O430" s="419"/>
      <c r="P430" s="419"/>
      <c r="Q430" s="419"/>
      <c r="R430" s="419"/>
      <c r="S430" s="419"/>
      <c r="T430" s="419"/>
      <c r="U430" s="419"/>
      <c r="V430" s="419"/>
      <c r="W430" s="419"/>
      <c r="X430" s="419"/>
      <c r="Y430" s="419"/>
      <c r="Z430" s="419"/>
    </row>
    <row r="431" spans="3:26">
      <c r="C431" s="433"/>
      <c r="D431" s="433"/>
      <c r="E431" s="437"/>
      <c r="F431" s="419"/>
      <c r="G431" s="419"/>
      <c r="H431" s="419"/>
      <c r="I431" s="419"/>
      <c r="J431" s="419"/>
      <c r="K431" s="419"/>
      <c r="L431" s="429"/>
      <c r="M431" s="419"/>
      <c r="N431" s="419"/>
      <c r="O431" s="419"/>
      <c r="P431" s="419"/>
      <c r="Q431" s="419"/>
      <c r="R431" s="419"/>
      <c r="S431" s="419"/>
      <c r="T431" s="419"/>
      <c r="U431" s="419"/>
      <c r="V431" s="419"/>
      <c r="W431" s="419"/>
      <c r="X431" s="419"/>
      <c r="Y431" s="419"/>
      <c r="Z431" s="419"/>
    </row>
    <row r="432" spans="3:26">
      <c r="C432" s="433"/>
      <c r="D432" s="433"/>
      <c r="E432" s="437"/>
      <c r="F432" s="419"/>
      <c r="G432" s="419"/>
      <c r="H432" s="419"/>
      <c r="I432" s="419"/>
      <c r="J432" s="419"/>
      <c r="K432" s="419"/>
      <c r="L432" s="429"/>
      <c r="M432" s="419"/>
      <c r="N432" s="419"/>
      <c r="O432" s="419"/>
      <c r="P432" s="419"/>
      <c r="Q432" s="419"/>
      <c r="R432" s="419"/>
      <c r="S432" s="419"/>
      <c r="T432" s="419"/>
      <c r="U432" s="419"/>
      <c r="V432" s="419"/>
      <c r="W432" s="419"/>
      <c r="X432" s="419"/>
      <c r="Y432" s="419"/>
      <c r="Z432" s="419"/>
    </row>
    <row r="433" spans="3:26">
      <c r="C433" s="433"/>
      <c r="D433" s="433"/>
      <c r="E433" s="437"/>
      <c r="F433" s="419"/>
      <c r="G433" s="419"/>
      <c r="H433" s="419"/>
      <c r="I433" s="419"/>
      <c r="J433" s="419"/>
      <c r="K433" s="419"/>
      <c r="L433" s="429"/>
      <c r="M433" s="419"/>
      <c r="N433" s="419"/>
      <c r="O433" s="419"/>
      <c r="P433" s="419"/>
      <c r="Q433" s="419"/>
      <c r="R433" s="419"/>
      <c r="S433" s="419"/>
      <c r="T433" s="419"/>
      <c r="U433" s="419"/>
      <c r="V433" s="419"/>
      <c r="W433" s="419"/>
      <c r="X433" s="419"/>
      <c r="Y433" s="419"/>
      <c r="Z433" s="419"/>
    </row>
    <row r="434" spans="3:26">
      <c r="C434" s="433"/>
      <c r="D434" s="433"/>
      <c r="E434" s="437"/>
      <c r="F434" s="419"/>
      <c r="G434" s="419"/>
      <c r="H434" s="419"/>
      <c r="I434" s="419"/>
      <c r="J434" s="419"/>
      <c r="K434" s="419"/>
      <c r="L434" s="429"/>
      <c r="M434" s="419"/>
      <c r="N434" s="419"/>
      <c r="O434" s="419"/>
      <c r="P434" s="419"/>
      <c r="Q434" s="419"/>
      <c r="R434" s="419"/>
      <c r="S434" s="419"/>
      <c r="T434" s="419"/>
      <c r="U434" s="419"/>
      <c r="V434" s="419"/>
      <c r="W434" s="419"/>
      <c r="X434" s="419"/>
      <c r="Y434" s="419"/>
      <c r="Z434" s="419"/>
    </row>
    <row r="435" spans="3:26">
      <c r="C435" s="433"/>
      <c r="D435" s="433"/>
      <c r="E435" s="437"/>
      <c r="F435" s="419"/>
      <c r="G435" s="419"/>
      <c r="H435" s="419"/>
      <c r="I435" s="419"/>
      <c r="J435" s="419"/>
      <c r="K435" s="419"/>
      <c r="L435" s="429"/>
      <c r="M435" s="419"/>
      <c r="N435" s="419"/>
      <c r="O435" s="419"/>
      <c r="P435" s="419"/>
      <c r="Q435" s="419"/>
      <c r="R435" s="419"/>
      <c r="S435" s="419"/>
      <c r="T435" s="419"/>
      <c r="U435" s="419"/>
      <c r="V435" s="419"/>
      <c r="W435" s="419"/>
      <c r="X435" s="419"/>
      <c r="Y435" s="419"/>
      <c r="Z435" s="419"/>
    </row>
    <row r="436" spans="3:26">
      <c r="C436" s="433"/>
      <c r="D436" s="433"/>
      <c r="E436" s="437"/>
      <c r="F436" s="419"/>
      <c r="G436" s="419"/>
      <c r="H436" s="419"/>
      <c r="I436" s="419"/>
      <c r="J436" s="419"/>
      <c r="K436" s="419"/>
      <c r="L436" s="429"/>
      <c r="M436" s="419"/>
      <c r="N436" s="419"/>
      <c r="O436" s="419"/>
      <c r="P436" s="419"/>
      <c r="Q436" s="419"/>
      <c r="R436" s="419"/>
      <c r="S436" s="419"/>
      <c r="T436" s="419"/>
      <c r="U436" s="419"/>
      <c r="V436" s="419"/>
      <c r="W436" s="419"/>
      <c r="X436" s="419"/>
      <c r="Y436" s="419"/>
      <c r="Z436" s="419"/>
    </row>
    <row r="437" spans="3:26">
      <c r="C437" s="433"/>
      <c r="D437" s="433"/>
      <c r="E437" s="437"/>
      <c r="F437" s="419"/>
      <c r="G437" s="419"/>
      <c r="H437" s="419"/>
      <c r="I437" s="419"/>
      <c r="J437" s="419"/>
      <c r="K437" s="419"/>
      <c r="L437" s="429"/>
      <c r="M437" s="419"/>
      <c r="N437" s="419"/>
      <c r="O437" s="419"/>
      <c r="P437" s="419"/>
      <c r="Q437" s="419"/>
      <c r="R437" s="419"/>
      <c r="S437" s="419"/>
      <c r="T437" s="419"/>
      <c r="U437" s="419"/>
      <c r="V437" s="419"/>
      <c r="W437" s="419"/>
      <c r="X437" s="419"/>
      <c r="Y437" s="419"/>
      <c r="Z437" s="419"/>
    </row>
    <row r="438" spans="3:26">
      <c r="C438" s="433"/>
      <c r="D438" s="433"/>
      <c r="E438" s="437"/>
      <c r="F438" s="419"/>
      <c r="G438" s="419"/>
      <c r="H438" s="419"/>
      <c r="I438" s="419"/>
      <c r="J438" s="419"/>
      <c r="K438" s="419"/>
      <c r="L438" s="429"/>
      <c r="M438" s="419"/>
      <c r="N438" s="419"/>
      <c r="O438" s="419"/>
      <c r="P438" s="419"/>
      <c r="Q438" s="419"/>
      <c r="R438" s="419"/>
      <c r="S438" s="419"/>
      <c r="T438" s="419"/>
      <c r="U438" s="419"/>
      <c r="V438" s="419"/>
      <c r="W438" s="419"/>
      <c r="X438" s="419"/>
      <c r="Y438" s="419"/>
      <c r="Z438" s="419"/>
    </row>
    <row r="439" spans="3:26">
      <c r="C439" s="433"/>
      <c r="D439" s="433"/>
      <c r="E439" s="437"/>
      <c r="F439" s="419"/>
      <c r="G439" s="419"/>
      <c r="H439" s="419"/>
      <c r="I439" s="419"/>
      <c r="J439" s="419"/>
      <c r="K439" s="419"/>
      <c r="L439" s="429"/>
      <c r="M439" s="419"/>
      <c r="N439" s="419"/>
      <c r="O439" s="419"/>
      <c r="P439" s="419"/>
      <c r="Q439" s="419"/>
      <c r="R439" s="419"/>
      <c r="S439" s="419"/>
      <c r="T439" s="419"/>
      <c r="U439" s="419"/>
      <c r="V439" s="419"/>
      <c r="W439" s="419"/>
      <c r="X439" s="419"/>
      <c r="Y439" s="419"/>
      <c r="Z439" s="419"/>
    </row>
    <row r="440" spans="3:26">
      <c r="C440" s="433"/>
      <c r="D440" s="433"/>
      <c r="E440" s="437"/>
      <c r="F440" s="419"/>
      <c r="G440" s="419"/>
      <c r="H440" s="419"/>
      <c r="I440" s="419"/>
      <c r="J440" s="419"/>
      <c r="K440" s="419"/>
      <c r="L440" s="429"/>
      <c r="M440" s="419"/>
      <c r="N440" s="419"/>
      <c r="O440" s="419"/>
      <c r="P440" s="419"/>
      <c r="Q440" s="419"/>
      <c r="R440" s="419"/>
      <c r="S440" s="419"/>
      <c r="T440" s="419"/>
      <c r="U440" s="419"/>
      <c r="V440" s="419"/>
      <c r="W440" s="419"/>
      <c r="X440" s="419"/>
      <c r="Y440" s="419"/>
      <c r="Z440" s="419"/>
    </row>
    <row r="441" spans="3:26">
      <c r="C441" s="433"/>
      <c r="D441" s="433"/>
      <c r="E441" s="437"/>
      <c r="F441" s="419"/>
      <c r="G441" s="419"/>
      <c r="H441" s="419"/>
      <c r="I441" s="419"/>
      <c r="J441" s="419"/>
      <c r="K441" s="419"/>
      <c r="L441" s="429"/>
      <c r="M441" s="419"/>
      <c r="N441" s="419"/>
      <c r="O441" s="419"/>
      <c r="P441" s="419"/>
      <c r="Q441" s="419"/>
      <c r="R441" s="419"/>
      <c r="S441" s="419"/>
      <c r="T441" s="419"/>
      <c r="U441" s="419"/>
      <c r="V441" s="419"/>
      <c r="W441" s="419"/>
      <c r="X441" s="419"/>
      <c r="Y441" s="419"/>
      <c r="Z441" s="419"/>
    </row>
    <row r="442" spans="3:26">
      <c r="C442" s="433"/>
      <c r="D442" s="433"/>
      <c r="E442" s="437"/>
      <c r="F442" s="419"/>
      <c r="G442" s="419"/>
      <c r="H442" s="419"/>
      <c r="I442" s="419"/>
      <c r="J442" s="419"/>
      <c r="K442" s="419"/>
      <c r="L442" s="429"/>
      <c r="M442" s="419"/>
      <c r="N442" s="419"/>
      <c r="O442" s="419"/>
      <c r="P442" s="419"/>
      <c r="Q442" s="419"/>
      <c r="R442" s="419"/>
      <c r="S442" s="419"/>
      <c r="T442" s="419"/>
      <c r="U442" s="419"/>
      <c r="V442" s="419"/>
      <c r="W442" s="419"/>
      <c r="X442" s="419"/>
      <c r="Y442" s="419"/>
      <c r="Z442" s="419"/>
    </row>
    <row r="443" spans="3:26">
      <c r="C443" s="433"/>
      <c r="D443" s="433"/>
      <c r="E443" s="437"/>
      <c r="F443" s="419"/>
      <c r="G443" s="419"/>
      <c r="H443" s="419"/>
      <c r="I443" s="419"/>
      <c r="J443" s="419"/>
      <c r="K443" s="419"/>
      <c r="L443" s="429"/>
      <c r="M443" s="419"/>
      <c r="N443" s="419"/>
      <c r="O443" s="419"/>
      <c r="P443" s="419"/>
      <c r="Q443" s="419"/>
      <c r="R443" s="419"/>
      <c r="S443" s="419"/>
      <c r="T443" s="419"/>
      <c r="U443" s="419"/>
      <c r="V443" s="419"/>
      <c r="W443" s="419"/>
      <c r="X443" s="419"/>
      <c r="Y443" s="419"/>
      <c r="Z443" s="419"/>
    </row>
    <row r="444" spans="3:26">
      <c r="C444" s="433"/>
      <c r="D444" s="433"/>
      <c r="E444" s="437"/>
      <c r="F444" s="419"/>
      <c r="G444" s="419"/>
      <c r="H444" s="419"/>
      <c r="I444" s="419"/>
      <c r="J444" s="419"/>
      <c r="K444" s="419"/>
      <c r="L444" s="429"/>
      <c r="M444" s="419"/>
      <c r="N444" s="419"/>
      <c r="O444" s="419"/>
      <c r="P444" s="419"/>
      <c r="Q444" s="419"/>
      <c r="R444" s="419"/>
      <c r="S444" s="419"/>
      <c r="T444" s="419"/>
      <c r="U444" s="419"/>
      <c r="V444" s="419"/>
      <c r="W444" s="419"/>
      <c r="X444" s="419"/>
      <c r="Y444" s="419"/>
      <c r="Z444" s="419"/>
    </row>
    <row r="445" spans="3:26">
      <c r="C445" s="433"/>
      <c r="D445" s="433"/>
      <c r="E445" s="437"/>
      <c r="F445" s="419"/>
      <c r="G445" s="419"/>
      <c r="H445" s="419"/>
      <c r="I445" s="419"/>
      <c r="J445" s="419"/>
      <c r="K445" s="419"/>
      <c r="L445" s="429"/>
      <c r="M445" s="419"/>
      <c r="N445" s="419"/>
      <c r="O445" s="419"/>
      <c r="P445" s="419"/>
      <c r="Q445" s="419"/>
      <c r="R445" s="419"/>
      <c r="S445" s="419"/>
      <c r="T445" s="419"/>
      <c r="U445" s="419"/>
      <c r="V445" s="419"/>
      <c r="W445" s="419"/>
      <c r="X445" s="419"/>
      <c r="Y445" s="419"/>
      <c r="Z445" s="419"/>
    </row>
    <row r="446" spans="3:26">
      <c r="C446" s="433"/>
      <c r="D446" s="433"/>
      <c r="E446" s="437"/>
      <c r="F446" s="419"/>
      <c r="G446" s="419"/>
      <c r="H446" s="419"/>
      <c r="I446" s="419"/>
      <c r="J446" s="419"/>
      <c r="K446" s="419"/>
      <c r="L446" s="429"/>
      <c r="M446" s="419"/>
      <c r="N446" s="419"/>
      <c r="O446" s="419"/>
      <c r="P446" s="419"/>
      <c r="Q446" s="419"/>
      <c r="R446" s="419"/>
      <c r="S446" s="419"/>
      <c r="T446" s="419"/>
      <c r="U446" s="419"/>
      <c r="V446" s="419"/>
      <c r="W446" s="419"/>
      <c r="X446" s="419"/>
      <c r="Y446" s="419"/>
      <c r="Z446" s="419"/>
    </row>
    <row r="447" spans="3:26">
      <c r="C447" s="433"/>
      <c r="D447" s="433"/>
      <c r="E447" s="437"/>
      <c r="F447" s="419"/>
      <c r="G447" s="419"/>
      <c r="H447" s="419"/>
      <c r="I447" s="419"/>
      <c r="J447" s="419"/>
      <c r="K447" s="419"/>
      <c r="L447" s="429"/>
      <c r="M447" s="419"/>
      <c r="N447" s="419"/>
      <c r="O447" s="419"/>
      <c r="P447" s="419"/>
      <c r="Q447" s="419"/>
      <c r="R447" s="419"/>
      <c r="S447" s="419"/>
      <c r="T447" s="419"/>
      <c r="U447" s="419"/>
      <c r="V447" s="419"/>
      <c r="W447" s="419"/>
      <c r="X447" s="419"/>
      <c r="Y447" s="419"/>
      <c r="Z447" s="419"/>
    </row>
    <row r="448" spans="3:26">
      <c r="C448" s="433"/>
      <c r="D448" s="433"/>
      <c r="E448" s="437"/>
      <c r="F448" s="419"/>
      <c r="G448" s="419"/>
      <c r="H448" s="419"/>
      <c r="I448" s="419"/>
      <c r="J448" s="419"/>
      <c r="K448" s="419"/>
      <c r="L448" s="429"/>
      <c r="M448" s="419"/>
      <c r="N448" s="419"/>
      <c r="O448" s="419"/>
      <c r="P448" s="419"/>
      <c r="Q448" s="419"/>
      <c r="R448" s="419"/>
      <c r="S448" s="419"/>
      <c r="T448" s="419"/>
      <c r="U448" s="419"/>
      <c r="V448" s="419"/>
      <c r="W448" s="419"/>
      <c r="X448" s="419"/>
      <c r="Y448" s="419"/>
      <c r="Z448" s="419"/>
    </row>
    <row r="449" spans="3:26">
      <c r="C449" s="433"/>
      <c r="D449" s="433"/>
      <c r="E449" s="437"/>
      <c r="F449" s="419"/>
      <c r="G449" s="419"/>
      <c r="H449" s="419"/>
      <c r="I449" s="419"/>
      <c r="J449" s="419"/>
      <c r="K449" s="419"/>
      <c r="L449" s="429"/>
      <c r="M449" s="419"/>
      <c r="N449" s="419"/>
      <c r="O449" s="419"/>
      <c r="P449" s="419"/>
      <c r="Q449" s="419"/>
      <c r="R449" s="419"/>
      <c r="S449" s="419"/>
      <c r="T449" s="419"/>
      <c r="U449" s="419"/>
      <c r="V449" s="419"/>
      <c r="W449" s="419"/>
      <c r="X449" s="419"/>
      <c r="Y449" s="419"/>
      <c r="Z449" s="419"/>
    </row>
    <row r="450" spans="3:26">
      <c r="C450" s="433"/>
      <c r="D450" s="433"/>
      <c r="E450" s="437"/>
      <c r="F450" s="419"/>
      <c r="G450" s="419"/>
      <c r="H450" s="419"/>
      <c r="I450" s="419"/>
      <c r="J450" s="419"/>
      <c r="K450" s="419"/>
      <c r="L450" s="429"/>
      <c r="M450" s="419"/>
      <c r="N450" s="419"/>
      <c r="O450" s="419"/>
      <c r="P450" s="419"/>
      <c r="Q450" s="419"/>
      <c r="R450" s="419"/>
      <c r="S450" s="419"/>
      <c r="T450" s="419"/>
      <c r="U450" s="419"/>
      <c r="V450" s="419"/>
      <c r="W450" s="419"/>
      <c r="X450" s="419"/>
      <c r="Y450" s="419"/>
      <c r="Z450" s="419"/>
    </row>
    <row r="451" spans="3:26">
      <c r="C451" s="433"/>
      <c r="D451" s="433"/>
      <c r="E451" s="437"/>
      <c r="F451" s="419"/>
      <c r="G451" s="419"/>
      <c r="H451" s="419"/>
      <c r="I451" s="419"/>
      <c r="J451" s="419"/>
      <c r="K451" s="419"/>
      <c r="L451" s="429"/>
      <c r="M451" s="419"/>
      <c r="N451" s="419"/>
      <c r="O451" s="419"/>
      <c r="P451" s="419"/>
      <c r="Q451" s="419"/>
      <c r="R451" s="419"/>
      <c r="S451" s="419"/>
      <c r="T451" s="419"/>
      <c r="U451" s="419"/>
      <c r="V451" s="419"/>
      <c r="W451" s="419"/>
      <c r="X451" s="419"/>
      <c r="Y451" s="419"/>
      <c r="Z451" s="419"/>
    </row>
    <row r="452" spans="3:26">
      <c r="C452" s="433"/>
      <c r="D452" s="433"/>
      <c r="E452" s="437"/>
      <c r="F452" s="419"/>
      <c r="G452" s="419"/>
      <c r="H452" s="419"/>
      <c r="I452" s="419"/>
      <c r="J452" s="419"/>
      <c r="K452" s="419"/>
      <c r="L452" s="429"/>
      <c r="M452" s="419"/>
      <c r="N452" s="419"/>
      <c r="O452" s="419"/>
      <c r="P452" s="419"/>
      <c r="Q452" s="419"/>
      <c r="R452" s="419"/>
      <c r="S452" s="419"/>
      <c r="T452" s="419"/>
      <c r="U452" s="419"/>
      <c r="V452" s="419"/>
      <c r="W452" s="419"/>
      <c r="X452" s="419"/>
      <c r="Y452" s="419"/>
      <c r="Z452" s="419"/>
    </row>
    <row r="453" spans="3:26">
      <c r="C453" s="433"/>
      <c r="D453" s="433"/>
      <c r="E453" s="437"/>
      <c r="F453" s="419"/>
      <c r="G453" s="419"/>
      <c r="H453" s="419"/>
      <c r="I453" s="419"/>
      <c r="J453" s="419"/>
      <c r="K453" s="419"/>
      <c r="L453" s="429"/>
      <c r="M453" s="419"/>
      <c r="N453" s="419"/>
      <c r="O453" s="419"/>
      <c r="P453" s="419"/>
      <c r="Q453" s="419"/>
      <c r="R453" s="419"/>
      <c r="S453" s="419"/>
      <c r="T453" s="419"/>
      <c r="U453" s="419"/>
      <c r="V453" s="419"/>
      <c r="W453" s="419"/>
      <c r="X453" s="419"/>
      <c r="Y453" s="419"/>
      <c r="Z453" s="419"/>
    </row>
    <row r="454" spans="3:26">
      <c r="C454" s="433"/>
      <c r="D454" s="433"/>
      <c r="E454" s="437"/>
      <c r="F454" s="419"/>
      <c r="G454" s="419"/>
      <c r="H454" s="419"/>
      <c r="I454" s="419"/>
      <c r="J454" s="419"/>
      <c r="K454" s="419"/>
      <c r="L454" s="429"/>
      <c r="M454" s="419"/>
      <c r="N454" s="419"/>
      <c r="O454" s="419"/>
      <c r="P454" s="419"/>
      <c r="Q454" s="419"/>
      <c r="R454" s="419"/>
      <c r="S454" s="419"/>
      <c r="T454" s="419"/>
      <c r="U454" s="419"/>
      <c r="V454" s="419"/>
      <c r="W454" s="419"/>
      <c r="X454" s="419"/>
      <c r="Y454" s="419"/>
      <c r="Z454" s="419"/>
    </row>
    <row r="455" spans="3:26">
      <c r="C455" s="433"/>
      <c r="D455" s="433"/>
      <c r="E455" s="437"/>
      <c r="F455" s="419"/>
      <c r="G455" s="419"/>
      <c r="H455" s="419"/>
      <c r="I455" s="419"/>
      <c r="J455" s="419"/>
      <c r="K455" s="419"/>
      <c r="L455" s="429"/>
      <c r="M455" s="419"/>
      <c r="N455" s="419"/>
      <c r="O455" s="419"/>
      <c r="P455" s="419"/>
      <c r="Q455" s="419"/>
      <c r="R455" s="419"/>
      <c r="S455" s="419"/>
      <c r="T455" s="419"/>
      <c r="U455" s="419"/>
      <c r="V455" s="419"/>
      <c r="W455" s="419"/>
      <c r="X455" s="419"/>
      <c r="Y455" s="419"/>
      <c r="Z455" s="419"/>
    </row>
    <row r="456" spans="3:26">
      <c r="C456" s="433"/>
      <c r="D456" s="433"/>
      <c r="E456" s="437"/>
      <c r="F456" s="419"/>
      <c r="G456" s="419"/>
      <c r="H456" s="419"/>
      <c r="I456" s="419"/>
      <c r="J456" s="419"/>
      <c r="K456" s="419"/>
      <c r="L456" s="429"/>
      <c r="M456" s="419"/>
      <c r="N456" s="419"/>
      <c r="O456" s="419"/>
      <c r="P456" s="419"/>
      <c r="Q456" s="419"/>
      <c r="R456" s="419"/>
      <c r="S456" s="419"/>
      <c r="T456" s="419"/>
      <c r="U456" s="419"/>
      <c r="V456" s="419"/>
      <c r="W456" s="419"/>
      <c r="X456" s="419"/>
      <c r="Y456" s="419"/>
      <c r="Z456" s="419"/>
    </row>
    <row r="457" spans="3:26">
      <c r="C457" s="433"/>
      <c r="D457" s="433"/>
      <c r="E457" s="437"/>
      <c r="F457" s="419"/>
      <c r="G457" s="419"/>
      <c r="H457" s="419"/>
      <c r="I457" s="419"/>
      <c r="J457" s="419"/>
      <c r="K457" s="419"/>
      <c r="L457" s="429"/>
      <c r="M457" s="419"/>
      <c r="N457" s="419"/>
      <c r="O457" s="419"/>
      <c r="P457" s="419"/>
      <c r="Q457" s="419"/>
      <c r="R457" s="419"/>
      <c r="S457" s="419"/>
      <c r="T457" s="419"/>
      <c r="U457" s="419"/>
      <c r="V457" s="419"/>
      <c r="W457" s="419"/>
      <c r="X457" s="419"/>
      <c r="Y457" s="419"/>
      <c r="Z457" s="419"/>
    </row>
    <row r="458" spans="3:26">
      <c r="C458" s="433"/>
      <c r="D458" s="433"/>
      <c r="E458" s="437"/>
      <c r="F458" s="419"/>
      <c r="G458" s="419"/>
      <c r="H458" s="419"/>
      <c r="I458" s="419"/>
      <c r="J458" s="419"/>
      <c r="K458" s="419"/>
      <c r="L458" s="429"/>
      <c r="M458" s="419"/>
      <c r="N458" s="419"/>
      <c r="O458" s="419"/>
      <c r="P458" s="419"/>
      <c r="Q458" s="419"/>
      <c r="R458" s="419"/>
      <c r="S458" s="419"/>
      <c r="T458" s="419"/>
      <c r="U458" s="419"/>
      <c r="V458" s="419"/>
      <c r="W458" s="419"/>
      <c r="X458" s="419"/>
      <c r="Y458" s="419"/>
      <c r="Z458" s="419"/>
    </row>
    <row r="459" spans="3:26">
      <c r="C459" s="433"/>
      <c r="D459" s="433"/>
      <c r="E459" s="437"/>
      <c r="F459" s="419"/>
      <c r="G459" s="419"/>
      <c r="H459" s="419"/>
      <c r="I459" s="419"/>
      <c r="J459" s="419"/>
      <c r="K459" s="419"/>
      <c r="L459" s="429"/>
      <c r="M459" s="419"/>
      <c r="N459" s="419"/>
      <c r="O459" s="419"/>
      <c r="P459" s="419"/>
      <c r="Q459" s="419"/>
      <c r="R459" s="419"/>
      <c r="S459" s="419"/>
      <c r="T459" s="419"/>
      <c r="U459" s="419"/>
      <c r="V459" s="419"/>
      <c r="W459" s="419"/>
      <c r="X459" s="419"/>
      <c r="Y459" s="419"/>
      <c r="Z459" s="419"/>
    </row>
    <row r="460" spans="3:26">
      <c r="C460" s="433"/>
      <c r="D460" s="433"/>
      <c r="E460" s="437"/>
      <c r="F460" s="419"/>
      <c r="G460" s="419"/>
      <c r="H460" s="419"/>
      <c r="I460" s="419"/>
      <c r="J460" s="419"/>
      <c r="K460" s="419"/>
      <c r="L460" s="429"/>
      <c r="M460" s="419"/>
      <c r="N460" s="419"/>
      <c r="O460" s="419"/>
      <c r="P460" s="419"/>
      <c r="Q460" s="419"/>
      <c r="R460" s="419"/>
      <c r="S460" s="419"/>
      <c r="T460" s="419"/>
      <c r="U460" s="419"/>
      <c r="V460" s="419"/>
      <c r="W460" s="419"/>
      <c r="X460" s="419"/>
      <c r="Y460" s="419"/>
      <c r="Z460" s="419"/>
    </row>
    <row r="461" spans="3:26">
      <c r="C461" s="433"/>
      <c r="D461" s="433"/>
      <c r="E461" s="437"/>
      <c r="F461" s="419"/>
      <c r="G461" s="419"/>
      <c r="H461" s="419"/>
      <c r="I461" s="419"/>
      <c r="J461" s="419"/>
      <c r="K461" s="419"/>
      <c r="L461" s="429"/>
      <c r="M461" s="419"/>
      <c r="N461" s="419"/>
      <c r="O461" s="419"/>
      <c r="P461" s="419"/>
      <c r="Q461" s="419"/>
      <c r="R461" s="419"/>
      <c r="S461" s="419"/>
      <c r="T461" s="419"/>
      <c r="U461" s="419"/>
      <c r="V461" s="419"/>
      <c r="W461" s="419"/>
      <c r="X461" s="419"/>
      <c r="Y461" s="419"/>
      <c r="Z461" s="419"/>
    </row>
    <row r="462" spans="3:26">
      <c r="C462" s="433"/>
      <c r="D462" s="433"/>
      <c r="E462" s="437"/>
      <c r="F462" s="419"/>
      <c r="G462" s="419"/>
      <c r="H462" s="419"/>
      <c r="I462" s="419"/>
      <c r="J462" s="419"/>
      <c r="K462" s="419"/>
      <c r="L462" s="429"/>
      <c r="M462" s="419"/>
      <c r="N462" s="419"/>
      <c r="O462" s="419"/>
      <c r="P462" s="419"/>
      <c r="Q462" s="419"/>
      <c r="R462" s="419"/>
      <c r="S462" s="419"/>
      <c r="T462" s="419"/>
      <c r="U462" s="419"/>
      <c r="V462" s="419"/>
      <c r="W462" s="419"/>
      <c r="X462" s="419"/>
      <c r="Y462" s="419"/>
      <c r="Z462" s="419"/>
    </row>
    <row r="463" spans="3:26">
      <c r="C463" s="433"/>
      <c r="D463" s="433"/>
      <c r="E463" s="437"/>
      <c r="F463" s="419"/>
      <c r="G463" s="419"/>
      <c r="H463" s="419"/>
      <c r="I463" s="419"/>
      <c r="J463" s="419"/>
      <c r="K463" s="419"/>
      <c r="L463" s="429"/>
      <c r="M463" s="419"/>
      <c r="N463" s="419"/>
      <c r="O463" s="419"/>
      <c r="P463" s="419"/>
      <c r="Q463" s="419"/>
      <c r="R463" s="419"/>
      <c r="S463" s="419"/>
      <c r="T463" s="419"/>
      <c r="U463" s="419"/>
      <c r="V463" s="419"/>
      <c r="W463" s="419"/>
      <c r="X463" s="419"/>
      <c r="Y463" s="419"/>
      <c r="Z463" s="419"/>
    </row>
    <row r="464" spans="3:26">
      <c r="C464" s="433"/>
      <c r="D464" s="433"/>
      <c r="E464" s="437"/>
      <c r="F464" s="419"/>
      <c r="G464" s="419"/>
      <c r="H464" s="419"/>
      <c r="I464" s="419"/>
      <c r="J464" s="419"/>
      <c r="K464" s="419"/>
      <c r="L464" s="429"/>
      <c r="M464" s="419"/>
      <c r="N464" s="419"/>
      <c r="O464" s="419"/>
      <c r="P464" s="419"/>
      <c r="Q464" s="419"/>
      <c r="R464" s="419"/>
      <c r="S464" s="419"/>
      <c r="T464" s="419"/>
      <c r="U464" s="419"/>
      <c r="V464" s="419"/>
      <c r="W464" s="419"/>
      <c r="X464" s="419"/>
      <c r="Y464" s="419"/>
      <c r="Z464" s="419"/>
    </row>
    <row r="465" spans="3:26">
      <c r="C465" s="433"/>
      <c r="D465" s="433"/>
      <c r="E465" s="437"/>
      <c r="F465" s="419"/>
      <c r="G465" s="419"/>
      <c r="H465" s="419"/>
      <c r="I465" s="419"/>
      <c r="J465" s="419"/>
      <c r="K465" s="419"/>
      <c r="L465" s="429"/>
      <c r="M465" s="419"/>
      <c r="N465" s="419"/>
      <c r="O465" s="419"/>
      <c r="P465" s="419"/>
      <c r="Q465" s="419"/>
      <c r="R465" s="419"/>
      <c r="S465" s="419"/>
      <c r="T465" s="419"/>
      <c r="U465" s="419"/>
      <c r="V465" s="419"/>
      <c r="W465" s="419"/>
      <c r="X465" s="419"/>
      <c r="Y465" s="419"/>
      <c r="Z465" s="419"/>
    </row>
    <row r="466" spans="3:26">
      <c r="C466" s="433"/>
      <c r="D466" s="433"/>
      <c r="E466" s="437"/>
      <c r="F466" s="419"/>
      <c r="G466" s="419"/>
      <c r="H466" s="419"/>
      <c r="I466" s="419"/>
      <c r="J466" s="419"/>
      <c r="K466" s="419"/>
      <c r="L466" s="429"/>
      <c r="M466" s="419"/>
      <c r="N466" s="419"/>
      <c r="O466" s="419"/>
      <c r="P466" s="419"/>
      <c r="Q466" s="419"/>
      <c r="R466" s="419"/>
      <c r="S466" s="419"/>
      <c r="T466" s="419"/>
      <c r="U466" s="419"/>
      <c r="V466" s="419"/>
      <c r="W466" s="419"/>
      <c r="X466" s="419"/>
      <c r="Y466" s="419"/>
      <c r="Z466" s="419"/>
    </row>
    <row r="467" spans="3:26">
      <c r="C467" s="433"/>
      <c r="D467" s="433"/>
      <c r="E467" s="437"/>
      <c r="F467" s="419"/>
      <c r="G467" s="419"/>
      <c r="H467" s="419"/>
      <c r="I467" s="419"/>
      <c r="J467" s="419"/>
      <c r="K467" s="419"/>
      <c r="L467" s="429"/>
      <c r="M467" s="419"/>
      <c r="N467" s="419"/>
      <c r="O467" s="419"/>
      <c r="P467" s="419"/>
      <c r="Q467" s="419"/>
      <c r="R467" s="419"/>
      <c r="S467" s="419"/>
      <c r="T467" s="419"/>
      <c r="U467" s="419"/>
      <c r="V467" s="419"/>
      <c r="W467" s="419"/>
      <c r="X467" s="419"/>
      <c r="Y467" s="419"/>
      <c r="Z467" s="419"/>
    </row>
    <row r="468" spans="3:26">
      <c r="C468" s="433"/>
      <c r="D468" s="433"/>
      <c r="E468" s="437"/>
      <c r="F468" s="419"/>
      <c r="G468" s="419"/>
      <c r="H468" s="419"/>
      <c r="I468" s="419"/>
      <c r="J468" s="419"/>
      <c r="K468" s="419"/>
      <c r="L468" s="429"/>
      <c r="M468" s="419"/>
      <c r="N468" s="419"/>
      <c r="O468" s="419"/>
      <c r="P468" s="419"/>
      <c r="Q468" s="419"/>
      <c r="R468" s="419"/>
      <c r="S468" s="419"/>
      <c r="T468" s="419"/>
      <c r="U468" s="419"/>
      <c r="V468" s="419"/>
      <c r="W468" s="419"/>
      <c r="X468" s="419"/>
      <c r="Y468" s="419"/>
      <c r="Z468" s="419"/>
    </row>
    <row r="469" spans="3:26">
      <c r="C469" s="433"/>
      <c r="D469" s="433"/>
      <c r="E469" s="437"/>
      <c r="F469" s="419"/>
      <c r="G469" s="419"/>
      <c r="H469" s="419"/>
      <c r="I469" s="419"/>
      <c r="J469" s="419"/>
      <c r="K469" s="419"/>
      <c r="L469" s="429"/>
      <c r="M469" s="419"/>
      <c r="N469" s="419"/>
      <c r="O469" s="419"/>
      <c r="P469" s="419"/>
      <c r="Q469" s="419"/>
      <c r="R469" s="419"/>
      <c r="S469" s="419"/>
      <c r="T469" s="419"/>
      <c r="U469" s="419"/>
      <c r="V469" s="419"/>
      <c r="W469" s="419"/>
      <c r="X469" s="419"/>
      <c r="Y469" s="419"/>
      <c r="Z469" s="419"/>
    </row>
    <row r="470" spans="3:26">
      <c r="C470" s="433"/>
      <c r="D470" s="433"/>
      <c r="E470" s="437"/>
      <c r="F470" s="419"/>
      <c r="G470" s="419"/>
      <c r="H470" s="419"/>
      <c r="I470" s="419"/>
      <c r="J470" s="419"/>
      <c r="K470" s="419"/>
      <c r="L470" s="429"/>
      <c r="M470" s="419"/>
      <c r="N470" s="419"/>
      <c r="O470" s="419"/>
      <c r="P470" s="419"/>
      <c r="Q470" s="419"/>
      <c r="R470" s="419"/>
      <c r="S470" s="419"/>
      <c r="T470" s="419"/>
      <c r="U470" s="419"/>
      <c r="V470" s="419"/>
      <c r="W470" s="419"/>
      <c r="X470" s="419"/>
      <c r="Y470" s="419"/>
      <c r="Z470" s="419"/>
    </row>
    <row r="471" spans="3:26">
      <c r="C471" s="433"/>
      <c r="D471" s="433"/>
      <c r="E471" s="437"/>
      <c r="F471" s="419"/>
      <c r="G471" s="419"/>
      <c r="H471" s="419"/>
      <c r="I471" s="419"/>
      <c r="J471" s="419"/>
      <c r="K471" s="419"/>
      <c r="L471" s="429"/>
      <c r="M471" s="419"/>
      <c r="N471" s="419"/>
      <c r="O471" s="419"/>
      <c r="P471" s="419"/>
      <c r="Q471" s="419"/>
      <c r="R471" s="419"/>
      <c r="S471" s="419"/>
      <c r="T471" s="419"/>
      <c r="U471" s="419"/>
      <c r="V471" s="419"/>
      <c r="W471" s="419"/>
      <c r="X471" s="419"/>
      <c r="Y471" s="419"/>
      <c r="Z471" s="419"/>
    </row>
    <row r="472" spans="3:26">
      <c r="C472" s="433"/>
      <c r="D472" s="433"/>
      <c r="E472" s="437"/>
      <c r="F472" s="419"/>
      <c r="G472" s="419"/>
      <c r="H472" s="419"/>
      <c r="I472" s="419"/>
      <c r="J472" s="419"/>
      <c r="K472" s="419"/>
      <c r="L472" s="429"/>
      <c r="M472" s="419"/>
      <c r="N472" s="419"/>
      <c r="O472" s="419"/>
      <c r="P472" s="419"/>
      <c r="Q472" s="419"/>
      <c r="R472" s="419"/>
      <c r="S472" s="419"/>
      <c r="T472" s="419"/>
      <c r="U472" s="419"/>
      <c r="V472" s="419"/>
      <c r="W472" s="419"/>
      <c r="X472" s="419"/>
      <c r="Y472" s="419"/>
      <c r="Z472" s="419"/>
    </row>
    <row r="473" spans="3:26">
      <c r="C473" s="433"/>
      <c r="D473" s="433"/>
      <c r="E473" s="437"/>
      <c r="F473" s="419"/>
      <c r="G473" s="419"/>
      <c r="H473" s="419"/>
      <c r="I473" s="419"/>
      <c r="J473" s="419"/>
      <c r="K473" s="419"/>
      <c r="L473" s="429"/>
      <c r="M473" s="419"/>
      <c r="N473" s="419"/>
      <c r="O473" s="419"/>
      <c r="P473" s="419"/>
      <c r="Q473" s="419"/>
      <c r="R473" s="419"/>
      <c r="S473" s="419"/>
      <c r="T473" s="419"/>
      <c r="U473" s="419"/>
      <c r="V473" s="419"/>
      <c r="W473" s="419"/>
      <c r="X473" s="419"/>
      <c r="Y473" s="419"/>
      <c r="Z473" s="419"/>
    </row>
    <row r="474" spans="3:26">
      <c r="C474" s="433"/>
      <c r="D474" s="433"/>
      <c r="E474" s="437"/>
      <c r="F474" s="419"/>
      <c r="G474" s="419"/>
      <c r="H474" s="419"/>
      <c r="I474" s="419"/>
      <c r="J474" s="419"/>
      <c r="K474" s="419"/>
      <c r="L474" s="429"/>
      <c r="M474" s="419"/>
      <c r="N474" s="419"/>
      <c r="O474" s="419"/>
      <c r="P474" s="419"/>
      <c r="Q474" s="419"/>
      <c r="R474" s="419"/>
      <c r="S474" s="419"/>
      <c r="T474" s="419"/>
      <c r="U474" s="419"/>
      <c r="V474" s="419"/>
      <c r="W474" s="419"/>
      <c r="X474" s="419"/>
      <c r="Y474" s="419"/>
      <c r="Z474" s="419"/>
    </row>
    <row r="475" spans="3:26">
      <c r="C475" s="433"/>
      <c r="D475" s="433"/>
      <c r="E475" s="437"/>
      <c r="F475" s="419"/>
      <c r="G475" s="419"/>
      <c r="H475" s="419"/>
      <c r="I475" s="419"/>
      <c r="J475" s="419"/>
      <c r="K475" s="419"/>
      <c r="L475" s="429"/>
      <c r="M475" s="419"/>
      <c r="N475" s="419"/>
      <c r="O475" s="419"/>
      <c r="P475" s="419"/>
      <c r="Q475" s="419"/>
      <c r="R475" s="419"/>
      <c r="S475" s="419"/>
      <c r="T475" s="419"/>
      <c r="U475" s="419"/>
      <c r="V475" s="419"/>
      <c r="W475" s="419"/>
      <c r="X475" s="419"/>
      <c r="Y475" s="419"/>
      <c r="Z475" s="419"/>
    </row>
    <row r="476" spans="3:26">
      <c r="C476" s="433"/>
      <c r="D476" s="433"/>
      <c r="E476" s="437"/>
      <c r="F476" s="419"/>
      <c r="G476" s="419"/>
      <c r="H476" s="419"/>
      <c r="I476" s="419"/>
      <c r="J476" s="419"/>
      <c r="K476" s="419"/>
      <c r="L476" s="429"/>
      <c r="M476" s="419"/>
      <c r="N476" s="419"/>
      <c r="O476" s="419"/>
      <c r="P476" s="419"/>
      <c r="Q476" s="419"/>
      <c r="R476" s="419"/>
      <c r="S476" s="419"/>
      <c r="T476" s="419"/>
      <c r="U476" s="419"/>
      <c r="V476" s="419"/>
      <c r="W476" s="419"/>
      <c r="X476" s="419"/>
      <c r="Y476" s="419"/>
      <c r="Z476" s="419"/>
    </row>
    <row r="477" spans="3:26">
      <c r="C477" s="433"/>
      <c r="D477" s="433"/>
      <c r="E477" s="437"/>
      <c r="F477" s="419"/>
      <c r="G477" s="419"/>
      <c r="H477" s="419"/>
      <c r="I477" s="419"/>
      <c r="J477" s="419"/>
      <c r="K477" s="419"/>
      <c r="L477" s="429"/>
      <c r="M477" s="419"/>
      <c r="N477" s="419"/>
      <c r="O477" s="419"/>
      <c r="P477" s="419"/>
      <c r="Q477" s="419"/>
      <c r="R477" s="419"/>
      <c r="S477" s="419"/>
      <c r="T477" s="419"/>
      <c r="U477" s="419"/>
      <c r="V477" s="419"/>
      <c r="W477" s="419"/>
      <c r="X477" s="419"/>
      <c r="Y477" s="419"/>
      <c r="Z477" s="419"/>
    </row>
    <row r="478" spans="3:26">
      <c r="C478" s="433"/>
      <c r="D478" s="433"/>
      <c r="E478" s="437"/>
      <c r="F478" s="419"/>
      <c r="G478" s="419"/>
      <c r="H478" s="419"/>
      <c r="I478" s="419"/>
      <c r="J478" s="419"/>
      <c r="K478" s="419"/>
      <c r="L478" s="429"/>
      <c r="M478" s="419"/>
      <c r="N478" s="419"/>
      <c r="O478" s="419"/>
      <c r="P478" s="419"/>
      <c r="Q478" s="419"/>
      <c r="R478" s="419"/>
      <c r="S478" s="419"/>
      <c r="T478" s="419"/>
      <c r="U478" s="419"/>
      <c r="V478" s="419"/>
      <c r="W478" s="419"/>
      <c r="X478" s="419"/>
      <c r="Y478" s="419"/>
      <c r="Z478" s="419"/>
    </row>
    <row r="479" spans="3:26">
      <c r="C479" s="433"/>
      <c r="D479" s="433"/>
      <c r="E479" s="437"/>
      <c r="F479" s="419"/>
      <c r="G479" s="419"/>
      <c r="H479" s="419"/>
      <c r="I479" s="419"/>
      <c r="J479" s="419"/>
      <c r="K479" s="419"/>
      <c r="L479" s="429"/>
      <c r="M479" s="419"/>
      <c r="N479" s="419"/>
      <c r="O479" s="419"/>
      <c r="P479" s="419"/>
      <c r="Q479" s="419"/>
      <c r="R479" s="419"/>
      <c r="S479" s="419"/>
      <c r="T479" s="419"/>
      <c r="U479" s="419"/>
      <c r="V479" s="419"/>
      <c r="W479" s="419"/>
      <c r="X479" s="419"/>
      <c r="Y479" s="419"/>
      <c r="Z479" s="419"/>
    </row>
    <row r="480" spans="3:26">
      <c r="C480" s="433"/>
      <c r="D480" s="433"/>
      <c r="E480" s="437"/>
      <c r="F480" s="419"/>
      <c r="G480" s="419"/>
      <c r="H480" s="419"/>
      <c r="I480" s="419"/>
      <c r="J480" s="419"/>
      <c r="K480" s="419"/>
      <c r="L480" s="429"/>
      <c r="M480" s="419"/>
      <c r="N480" s="419"/>
      <c r="O480" s="419"/>
      <c r="P480" s="419"/>
      <c r="Q480" s="419"/>
      <c r="R480" s="419"/>
      <c r="S480" s="419"/>
      <c r="T480" s="419"/>
      <c r="U480" s="419"/>
      <c r="V480" s="419"/>
      <c r="W480" s="419"/>
      <c r="X480" s="419"/>
      <c r="Y480" s="419"/>
      <c r="Z480" s="419"/>
    </row>
    <row r="481" spans="3:26">
      <c r="C481" s="433"/>
      <c r="D481" s="433"/>
      <c r="E481" s="437"/>
      <c r="F481" s="419"/>
      <c r="G481" s="419"/>
      <c r="H481" s="419"/>
      <c r="I481" s="419"/>
      <c r="J481" s="419"/>
      <c r="K481" s="419"/>
      <c r="L481" s="429"/>
      <c r="M481" s="419"/>
      <c r="N481" s="419"/>
      <c r="O481" s="419"/>
      <c r="P481" s="419"/>
      <c r="Q481" s="419"/>
      <c r="R481" s="419"/>
      <c r="S481" s="419"/>
      <c r="T481" s="419"/>
      <c r="U481" s="419"/>
      <c r="V481" s="419"/>
      <c r="W481" s="419"/>
      <c r="X481" s="419"/>
      <c r="Y481" s="419"/>
      <c r="Z481" s="419"/>
    </row>
    <row r="482" spans="3:26">
      <c r="C482" s="433"/>
      <c r="D482" s="433"/>
      <c r="E482" s="437"/>
      <c r="F482" s="419"/>
      <c r="G482" s="419"/>
      <c r="H482" s="419"/>
      <c r="I482" s="419"/>
      <c r="J482" s="419"/>
      <c r="K482" s="419"/>
      <c r="L482" s="429"/>
      <c r="M482" s="419"/>
      <c r="N482" s="419"/>
      <c r="O482" s="419"/>
      <c r="P482" s="419"/>
      <c r="Q482" s="419"/>
      <c r="R482" s="419"/>
      <c r="S482" s="419"/>
      <c r="T482" s="419"/>
      <c r="U482" s="419"/>
      <c r="V482" s="419"/>
      <c r="W482" s="419"/>
      <c r="X482" s="419"/>
      <c r="Y482" s="419"/>
      <c r="Z482" s="419"/>
    </row>
    <row r="483" spans="3:26">
      <c r="C483" s="433"/>
      <c r="D483" s="433"/>
      <c r="E483" s="437"/>
      <c r="F483" s="419"/>
      <c r="G483" s="419"/>
      <c r="H483" s="419"/>
      <c r="I483" s="419"/>
      <c r="J483" s="419"/>
      <c r="K483" s="419"/>
      <c r="L483" s="429"/>
      <c r="M483" s="419"/>
      <c r="N483" s="419"/>
      <c r="O483" s="419"/>
      <c r="P483" s="419"/>
      <c r="Q483" s="419"/>
      <c r="R483" s="419"/>
      <c r="S483" s="419"/>
      <c r="T483" s="419"/>
      <c r="U483" s="419"/>
      <c r="V483" s="419"/>
      <c r="W483" s="419"/>
      <c r="X483" s="419"/>
      <c r="Y483" s="419"/>
      <c r="Z483" s="419"/>
    </row>
    <row r="484" spans="3:26">
      <c r="C484" s="433"/>
      <c r="D484" s="433"/>
      <c r="E484" s="437"/>
      <c r="F484" s="419"/>
      <c r="G484" s="419"/>
      <c r="H484" s="419"/>
      <c r="I484" s="419"/>
      <c r="J484" s="419"/>
      <c r="K484" s="419"/>
      <c r="L484" s="429"/>
      <c r="M484" s="419"/>
      <c r="N484" s="419"/>
      <c r="O484" s="419"/>
      <c r="P484" s="419"/>
      <c r="Q484" s="419"/>
      <c r="R484" s="419"/>
      <c r="S484" s="419"/>
      <c r="T484" s="419"/>
      <c r="U484" s="419"/>
      <c r="V484" s="419"/>
      <c r="W484" s="419"/>
      <c r="X484" s="419"/>
      <c r="Y484" s="419"/>
      <c r="Z484" s="419"/>
    </row>
    <row r="485" spans="3:26">
      <c r="C485" s="433"/>
      <c r="D485" s="433"/>
      <c r="E485" s="437"/>
      <c r="F485" s="419"/>
      <c r="G485" s="419"/>
      <c r="H485" s="419"/>
      <c r="I485" s="419"/>
      <c r="J485" s="419"/>
      <c r="K485" s="419"/>
      <c r="L485" s="429"/>
      <c r="M485" s="419"/>
      <c r="N485" s="419"/>
      <c r="O485" s="419"/>
      <c r="P485" s="419"/>
      <c r="Q485" s="419"/>
      <c r="R485" s="419"/>
      <c r="S485" s="419"/>
      <c r="T485" s="419"/>
      <c r="U485" s="419"/>
      <c r="V485" s="419"/>
      <c r="W485" s="419"/>
      <c r="X485" s="419"/>
      <c r="Y485" s="419"/>
      <c r="Z485" s="419"/>
    </row>
    <row r="486" spans="3:26">
      <c r="C486" s="433"/>
      <c r="D486" s="433"/>
      <c r="E486" s="437"/>
      <c r="F486" s="419"/>
      <c r="G486" s="419"/>
      <c r="H486" s="419"/>
      <c r="I486" s="419"/>
      <c r="J486" s="419"/>
      <c r="K486" s="419"/>
      <c r="L486" s="429"/>
      <c r="M486" s="419"/>
      <c r="N486" s="419"/>
      <c r="O486" s="419"/>
      <c r="P486" s="419"/>
      <c r="Q486" s="419"/>
      <c r="R486" s="419"/>
      <c r="S486" s="419"/>
      <c r="T486" s="419"/>
      <c r="U486" s="419"/>
      <c r="V486" s="419"/>
      <c r="W486" s="419"/>
      <c r="X486" s="419"/>
      <c r="Y486" s="419"/>
      <c r="Z486" s="419"/>
    </row>
    <row r="487" spans="3:26">
      <c r="C487" s="433"/>
      <c r="D487" s="433"/>
      <c r="E487" s="437"/>
      <c r="F487" s="419"/>
      <c r="G487" s="419"/>
      <c r="H487" s="419"/>
      <c r="I487" s="419"/>
      <c r="J487" s="419"/>
      <c r="K487" s="419"/>
      <c r="L487" s="429"/>
      <c r="M487" s="419"/>
      <c r="N487" s="419"/>
      <c r="O487" s="419"/>
      <c r="P487" s="419"/>
      <c r="Q487" s="419"/>
      <c r="R487" s="419"/>
      <c r="S487" s="419"/>
      <c r="T487" s="419"/>
      <c r="U487" s="419"/>
      <c r="V487" s="419"/>
      <c r="W487" s="419"/>
      <c r="X487" s="419"/>
      <c r="Y487" s="419"/>
      <c r="Z487" s="419"/>
    </row>
    <row r="488" spans="3:26">
      <c r="C488" s="433"/>
      <c r="D488" s="433"/>
      <c r="E488" s="437"/>
      <c r="F488" s="419"/>
      <c r="G488" s="419"/>
      <c r="H488" s="419"/>
      <c r="I488" s="419"/>
      <c r="J488" s="419"/>
      <c r="K488" s="419"/>
      <c r="L488" s="429"/>
      <c r="M488" s="419"/>
      <c r="N488" s="419"/>
      <c r="O488" s="419"/>
      <c r="P488" s="419"/>
      <c r="Q488" s="419"/>
      <c r="R488" s="419"/>
      <c r="S488" s="419"/>
      <c r="T488" s="419"/>
      <c r="U488" s="419"/>
      <c r="V488" s="419"/>
      <c r="W488" s="419"/>
      <c r="X488" s="419"/>
      <c r="Y488" s="419"/>
      <c r="Z488" s="419"/>
    </row>
    <row r="489" spans="3:26">
      <c r="C489" s="433"/>
      <c r="D489" s="433"/>
      <c r="E489" s="437"/>
      <c r="F489" s="419"/>
      <c r="G489" s="419"/>
      <c r="H489" s="419"/>
      <c r="I489" s="419"/>
      <c r="J489" s="419"/>
      <c r="K489" s="419"/>
      <c r="L489" s="429"/>
      <c r="M489" s="419"/>
      <c r="N489" s="419"/>
      <c r="O489" s="419"/>
      <c r="P489" s="419"/>
      <c r="Q489" s="419"/>
      <c r="R489" s="419"/>
      <c r="S489" s="419"/>
      <c r="T489" s="419"/>
      <c r="U489" s="419"/>
      <c r="V489" s="419"/>
      <c r="W489" s="419"/>
      <c r="X489" s="419"/>
      <c r="Y489" s="419"/>
      <c r="Z489" s="419"/>
    </row>
    <row r="490" spans="3:26">
      <c r="C490" s="433"/>
      <c r="D490" s="433"/>
      <c r="E490" s="437"/>
      <c r="F490" s="419"/>
      <c r="G490" s="419"/>
      <c r="H490" s="419"/>
      <c r="I490" s="419"/>
      <c r="J490" s="419"/>
      <c r="K490" s="419"/>
      <c r="L490" s="429"/>
      <c r="M490" s="419"/>
      <c r="N490" s="419"/>
      <c r="O490" s="419"/>
      <c r="P490" s="419"/>
      <c r="Q490" s="419"/>
      <c r="R490" s="419"/>
      <c r="S490" s="419"/>
      <c r="T490" s="419"/>
      <c r="U490" s="419"/>
      <c r="V490" s="419"/>
      <c r="W490" s="419"/>
      <c r="X490" s="419"/>
      <c r="Y490" s="419"/>
      <c r="Z490" s="419"/>
    </row>
    <row r="491" spans="3:26">
      <c r="C491" s="433"/>
      <c r="D491" s="433"/>
      <c r="E491" s="437"/>
      <c r="F491" s="419"/>
      <c r="G491" s="419"/>
      <c r="H491" s="419"/>
      <c r="I491" s="419"/>
      <c r="J491" s="419"/>
      <c r="K491" s="419"/>
      <c r="L491" s="429"/>
      <c r="M491" s="419"/>
      <c r="N491" s="419"/>
      <c r="O491" s="419"/>
      <c r="P491" s="419"/>
      <c r="Q491" s="419"/>
      <c r="R491" s="419"/>
      <c r="S491" s="419"/>
      <c r="T491" s="419"/>
      <c r="U491" s="419"/>
      <c r="V491" s="419"/>
      <c r="W491" s="419"/>
      <c r="X491" s="419"/>
      <c r="Y491" s="419"/>
      <c r="Z491" s="419"/>
    </row>
    <row r="492" spans="3:26">
      <c r="C492" s="433"/>
      <c r="D492" s="433"/>
      <c r="E492" s="437"/>
      <c r="F492" s="419"/>
      <c r="G492" s="419"/>
      <c r="H492" s="419"/>
      <c r="I492" s="419"/>
      <c r="J492" s="419"/>
      <c r="K492" s="419"/>
      <c r="L492" s="429"/>
      <c r="M492" s="419"/>
      <c r="N492" s="419"/>
      <c r="O492" s="419"/>
      <c r="P492" s="419"/>
      <c r="Q492" s="419"/>
      <c r="R492" s="419"/>
      <c r="S492" s="419"/>
      <c r="T492" s="419"/>
      <c r="U492" s="419"/>
      <c r="V492" s="419"/>
      <c r="W492" s="419"/>
      <c r="X492" s="419"/>
      <c r="Y492" s="419"/>
      <c r="Z492" s="419"/>
    </row>
    <row r="493" spans="3:26">
      <c r="C493" s="433"/>
      <c r="D493" s="433"/>
      <c r="E493" s="437"/>
      <c r="F493" s="419"/>
      <c r="G493" s="419"/>
      <c r="H493" s="419"/>
      <c r="I493" s="419"/>
      <c r="J493" s="419"/>
      <c r="K493" s="419"/>
      <c r="L493" s="429"/>
      <c r="M493" s="419"/>
      <c r="N493" s="419"/>
      <c r="O493" s="419"/>
      <c r="P493" s="419"/>
      <c r="Q493" s="419"/>
      <c r="R493" s="419"/>
      <c r="S493" s="419"/>
      <c r="T493" s="419"/>
      <c r="U493" s="419"/>
      <c r="V493" s="419"/>
      <c r="W493" s="419"/>
      <c r="X493" s="419"/>
      <c r="Y493" s="419"/>
      <c r="Z493" s="419"/>
    </row>
    <row r="494" spans="3:26">
      <c r="C494" s="433"/>
      <c r="D494" s="433"/>
      <c r="E494" s="437"/>
      <c r="F494" s="419"/>
      <c r="G494" s="419"/>
      <c r="H494" s="419"/>
      <c r="I494" s="419"/>
      <c r="J494" s="419"/>
      <c r="K494" s="419"/>
      <c r="L494" s="429"/>
      <c r="M494" s="419"/>
      <c r="N494" s="419"/>
      <c r="O494" s="419"/>
      <c r="P494" s="419"/>
      <c r="Q494" s="419"/>
      <c r="R494" s="419"/>
      <c r="S494" s="419"/>
      <c r="T494" s="419"/>
      <c r="U494" s="419"/>
      <c r="V494" s="419"/>
      <c r="W494" s="419"/>
      <c r="X494" s="419"/>
      <c r="Y494" s="419"/>
      <c r="Z494" s="419"/>
    </row>
    <row r="495" spans="3:26">
      <c r="C495" s="433"/>
      <c r="D495" s="433"/>
      <c r="E495" s="437"/>
      <c r="F495" s="419"/>
      <c r="G495" s="419"/>
      <c r="H495" s="419"/>
      <c r="I495" s="419"/>
      <c r="J495" s="419"/>
      <c r="K495" s="419"/>
      <c r="L495" s="429"/>
      <c r="M495" s="419"/>
      <c r="N495" s="419"/>
      <c r="O495" s="419"/>
      <c r="P495" s="419"/>
      <c r="Q495" s="419"/>
      <c r="R495" s="419"/>
      <c r="S495" s="419"/>
      <c r="T495" s="419"/>
      <c r="U495" s="419"/>
      <c r="V495" s="419"/>
      <c r="W495" s="419"/>
      <c r="X495" s="419"/>
      <c r="Y495" s="419"/>
      <c r="Z495" s="419"/>
    </row>
    <row r="496" spans="3:26">
      <c r="C496" s="433"/>
      <c r="D496" s="433"/>
      <c r="E496" s="437"/>
      <c r="F496" s="419"/>
      <c r="G496" s="419"/>
      <c r="H496" s="419"/>
      <c r="I496" s="419"/>
      <c r="J496" s="419"/>
      <c r="K496" s="419"/>
      <c r="L496" s="429"/>
      <c r="M496" s="419"/>
      <c r="N496" s="419"/>
      <c r="O496" s="419"/>
      <c r="P496" s="419"/>
      <c r="Q496" s="419"/>
      <c r="R496" s="419"/>
      <c r="S496" s="419"/>
      <c r="T496" s="419"/>
      <c r="U496" s="419"/>
      <c r="V496" s="419"/>
      <c r="W496" s="419"/>
      <c r="X496" s="419"/>
      <c r="Y496" s="419"/>
      <c r="Z496" s="419"/>
    </row>
    <row r="497" spans="3:26">
      <c r="C497" s="433"/>
      <c r="D497" s="433"/>
      <c r="E497" s="437"/>
      <c r="F497" s="419"/>
      <c r="G497" s="419"/>
      <c r="H497" s="419"/>
      <c r="I497" s="419"/>
      <c r="J497" s="419"/>
      <c r="K497" s="419"/>
      <c r="L497" s="429"/>
      <c r="M497" s="419"/>
      <c r="N497" s="419"/>
      <c r="O497" s="419"/>
      <c r="P497" s="419"/>
      <c r="Q497" s="419"/>
      <c r="R497" s="419"/>
      <c r="S497" s="419"/>
      <c r="T497" s="419"/>
      <c r="U497" s="419"/>
      <c r="V497" s="419"/>
      <c r="W497" s="419"/>
      <c r="X497" s="419"/>
      <c r="Y497" s="419"/>
      <c r="Z497" s="419"/>
    </row>
    <row r="498" spans="3:26">
      <c r="C498" s="433"/>
      <c r="D498" s="433"/>
      <c r="E498" s="437"/>
      <c r="F498" s="419"/>
      <c r="G498" s="419"/>
      <c r="H498" s="419"/>
      <c r="I498" s="419"/>
      <c r="J498" s="419"/>
      <c r="K498" s="419"/>
      <c r="L498" s="429"/>
      <c r="M498" s="419"/>
      <c r="N498" s="419"/>
      <c r="O498" s="419"/>
      <c r="P498" s="419"/>
      <c r="Q498" s="419"/>
      <c r="R498" s="419"/>
      <c r="S498" s="419"/>
      <c r="T498" s="419"/>
      <c r="U498" s="419"/>
      <c r="V498" s="419"/>
      <c r="W498" s="419"/>
      <c r="X498" s="419"/>
      <c r="Y498" s="419"/>
      <c r="Z498" s="419"/>
    </row>
    <row r="499" spans="3:26">
      <c r="C499" s="433"/>
      <c r="D499" s="433"/>
      <c r="E499" s="437"/>
      <c r="F499" s="419"/>
      <c r="G499" s="419"/>
      <c r="H499" s="419"/>
      <c r="I499" s="419"/>
      <c r="J499" s="419"/>
      <c r="K499" s="419"/>
      <c r="L499" s="429"/>
      <c r="M499" s="419"/>
      <c r="N499" s="419"/>
      <c r="O499" s="419"/>
      <c r="P499" s="419"/>
      <c r="Q499" s="419"/>
      <c r="R499" s="419"/>
      <c r="S499" s="419"/>
      <c r="T499" s="419"/>
      <c r="U499" s="419"/>
      <c r="V499" s="419"/>
      <c r="W499" s="419"/>
      <c r="X499" s="419"/>
      <c r="Y499" s="419"/>
      <c r="Z499" s="419"/>
    </row>
    <row r="500" spans="3:26">
      <c r="C500" s="433"/>
      <c r="D500" s="433"/>
      <c r="E500" s="437"/>
      <c r="F500" s="419"/>
      <c r="G500" s="419"/>
      <c r="H500" s="419"/>
      <c r="I500" s="419"/>
      <c r="J500" s="419"/>
      <c r="K500" s="419"/>
      <c r="L500" s="429"/>
      <c r="M500" s="419"/>
      <c r="N500" s="419"/>
      <c r="O500" s="419"/>
      <c r="P500" s="419"/>
      <c r="Q500" s="419"/>
      <c r="R500" s="419"/>
      <c r="S500" s="419"/>
      <c r="T500" s="419"/>
      <c r="U500" s="419"/>
      <c r="V500" s="419"/>
      <c r="W500" s="419"/>
      <c r="X500" s="419"/>
      <c r="Y500" s="419"/>
      <c r="Z500" s="419"/>
    </row>
    <row r="501" spans="3:26">
      <c r="C501" s="433"/>
      <c r="D501" s="433"/>
      <c r="E501" s="437"/>
      <c r="F501" s="419"/>
      <c r="G501" s="419"/>
      <c r="H501" s="419"/>
      <c r="I501" s="419"/>
      <c r="J501" s="419"/>
      <c r="K501" s="419"/>
      <c r="L501" s="429"/>
      <c r="M501" s="419"/>
      <c r="N501" s="419"/>
      <c r="O501" s="419"/>
      <c r="P501" s="419"/>
      <c r="Q501" s="419"/>
      <c r="R501" s="419"/>
      <c r="S501" s="419"/>
      <c r="T501" s="419"/>
      <c r="U501" s="419"/>
      <c r="V501" s="419"/>
      <c r="W501" s="419"/>
      <c r="X501" s="419"/>
      <c r="Y501" s="419"/>
      <c r="Z501" s="419"/>
    </row>
    <row r="502" spans="3:26">
      <c r="C502" s="433"/>
      <c r="D502" s="433"/>
      <c r="E502" s="437"/>
      <c r="F502" s="419"/>
      <c r="G502" s="419"/>
      <c r="H502" s="419"/>
      <c r="I502" s="419"/>
      <c r="J502" s="419"/>
      <c r="K502" s="419"/>
      <c r="L502" s="429"/>
      <c r="M502" s="419"/>
      <c r="N502" s="419"/>
      <c r="O502" s="419"/>
      <c r="P502" s="419"/>
      <c r="Q502" s="419"/>
      <c r="R502" s="419"/>
      <c r="S502" s="419"/>
      <c r="T502" s="419"/>
      <c r="U502" s="419"/>
      <c r="V502" s="419"/>
      <c r="W502" s="419"/>
      <c r="X502" s="419"/>
      <c r="Y502" s="419"/>
      <c r="Z502" s="419"/>
    </row>
    <row r="503" spans="3:26">
      <c r="C503" s="433"/>
      <c r="D503" s="433"/>
      <c r="E503" s="437"/>
      <c r="F503" s="419"/>
      <c r="G503" s="419"/>
      <c r="H503" s="419"/>
      <c r="I503" s="419"/>
      <c r="J503" s="419"/>
      <c r="K503" s="419"/>
      <c r="L503" s="429"/>
      <c r="M503" s="419"/>
      <c r="N503" s="419"/>
      <c r="O503" s="419"/>
      <c r="P503" s="419"/>
      <c r="Q503" s="419"/>
      <c r="R503" s="419"/>
      <c r="S503" s="419"/>
      <c r="T503" s="419"/>
      <c r="U503" s="419"/>
      <c r="V503" s="419"/>
      <c r="W503" s="419"/>
      <c r="X503" s="419"/>
      <c r="Y503" s="419"/>
      <c r="Z503" s="419"/>
    </row>
    <row r="504" spans="3:26">
      <c r="C504" s="433"/>
      <c r="D504" s="433"/>
      <c r="E504" s="437"/>
      <c r="F504" s="419"/>
      <c r="G504" s="419"/>
      <c r="H504" s="419"/>
      <c r="I504" s="419"/>
      <c r="J504" s="419"/>
      <c r="K504" s="419"/>
      <c r="L504" s="429"/>
      <c r="M504" s="419"/>
      <c r="N504" s="419"/>
      <c r="O504" s="419"/>
      <c r="P504" s="419"/>
      <c r="Q504" s="419"/>
      <c r="R504" s="419"/>
      <c r="S504" s="419"/>
      <c r="T504" s="419"/>
      <c r="U504" s="419"/>
      <c r="V504" s="419"/>
      <c r="W504" s="419"/>
      <c r="X504" s="419"/>
      <c r="Y504" s="419"/>
      <c r="Z504" s="419"/>
    </row>
    <row r="505" spans="3:26">
      <c r="C505" s="433"/>
      <c r="D505" s="433"/>
      <c r="E505" s="437"/>
      <c r="F505" s="419"/>
      <c r="G505" s="419"/>
      <c r="H505" s="419"/>
      <c r="I505" s="419"/>
      <c r="J505" s="419"/>
      <c r="K505" s="419"/>
      <c r="L505" s="429"/>
      <c r="M505" s="419"/>
      <c r="N505" s="419"/>
      <c r="O505" s="419"/>
      <c r="P505" s="419"/>
      <c r="Q505" s="419"/>
      <c r="R505" s="419"/>
      <c r="S505" s="419"/>
      <c r="T505" s="419"/>
      <c r="U505" s="419"/>
      <c r="V505" s="419"/>
      <c r="W505" s="419"/>
      <c r="X505" s="419"/>
      <c r="Y505" s="419"/>
      <c r="Z505" s="419"/>
    </row>
    <row r="506" spans="3:26">
      <c r="C506" s="433"/>
      <c r="D506" s="433"/>
      <c r="E506" s="437"/>
      <c r="F506" s="419"/>
      <c r="G506" s="419"/>
      <c r="H506" s="419"/>
      <c r="I506" s="419"/>
      <c r="J506" s="419"/>
      <c r="K506" s="419"/>
      <c r="L506" s="429"/>
      <c r="M506" s="419"/>
      <c r="N506" s="419"/>
      <c r="O506" s="419"/>
      <c r="P506" s="419"/>
      <c r="Q506" s="419"/>
      <c r="R506" s="419"/>
      <c r="S506" s="419"/>
      <c r="T506" s="419"/>
      <c r="U506" s="419"/>
      <c r="V506" s="419"/>
      <c r="W506" s="419"/>
      <c r="X506" s="419"/>
      <c r="Y506" s="419"/>
      <c r="Z506" s="419"/>
    </row>
    <row r="507" spans="3:26">
      <c r="C507" s="433"/>
      <c r="D507" s="433"/>
      <c r="E507" s="437"/>
      <c r="F507" s="419"/>
      <c r="G507" s="419"/>
      <c r="H507" s="419"/>
      <c r="I507" s="419"/>
      <c r="J507" s="419"/>
      <c r="K507" s="419"/>
      <c r="L507" s="429"/>
      <c r="M507" s="419"/>
      <c r="N507" s="419"/>
      <c r="O507" s="419"/>
      <c r="P507" s="419"/>
      <c r="Q507" s="419"/>
      <c r="R507" s="419"/>
      <c r="S507" s="419"/>
      <c r="T507" s="419"/>
      <c r="U507" s="419"/>
      <c r="V507" s="419"/>
      <c r="W507" s="419"/>
      <c r="X507" s="419"/>
      <c r="Y507" s="419"/>
      <c r="Z507" s="419"/>
    </row>
    <row r="508" spans="3:26">
      <c r="C508" s="433"/>
      <c r="D508" s="433"/>
      <c r="E508" s="437"/>
      <c r="F508" s="419"/>
      <c r="G508" s="419"/>
      <c r="H508" s="419"/>
      <c r="I508" s="419"/>
      <c r="J508" s="419"/>
      <c r="K508" s="419"/>
      <c r="L508" s="429"/>
      <c r="M508" s="419"/>
      <c r="N508" s="419"/>
      <c r="O508" s="419"/>
      <c r="P508" s="419"/>
      <c r="Q508" s="419"/>
      <c r="R508" s="419"/>
      <c r="S508" s="419"/>
      <c r="T508" s="419"/>
      <c r="U508" s="419"/>
      <c r="V508" s="419"/>
      <c r="W508" s="419"/>
      <c r="X508" s="419"/>
      <c r="Y508" s="419"/>
      <c r="Z508" s="419"/>
    </row>
    <row r="509" spans="3:26">
      <c r="C509" s="433"/>
      <c r="D509" s="433"/>
      <c r="E509" s="437"/>
      <c r="F509" s="419"/>
      <c r="G509" s="419"/>
      <c r="H509" s="419"/>
      <c r="I509" s="419"/>
      <c r="J509" s="419"/>
      <c r="K509" s="419"/>
      <c r="L509" s="429"/>
      <c r="M509" s="419"/>
      <c r="N509" s="419"/>
      <c r="O509" s="419"/>
      <c r="P509" s="419"/>
      <c r="Q509" s="419"/>
      <c r="R509" s="419"/>
      <c r="S509" s="419"/>
      <c r="T509" s="419"/>
      <c r="U509" s="419"/>
      <c r="V509" s="419"/>
      <c r="W509" s="419"/>
      <c r="X509" s="419"/>
      <c r="Y509" s="419"/>
      <c r="Z509" s="419"/>
    </row>
    <row r="510" spans="3:26">
      <c r="C510" s="433"/>
      <c r="D510" s="433"/>
      <c r="E510" s="437"/>
      <c r="F510" s="419"/>
      <c r="G510" s="419"/>
      <c r="H510" s="419"/>
      <c r="I510" s="419"/>
      <c r="J510" s="419"/>
      <c r="K510" s="419"/>
      <c r="L510" s="429"/>
      <c r="M510" s="419"/>
      <c r="N510" s="419"/>
      <c r="O510" s="419"/>
      <c r="P510" s="419"/>
      <c r="Q510" s="419"/>
      <c r="R510" s="419"/>
      <c r="S510" s="419"/>
      <c r="T510" s="419"/>
      <c r="U510" s="419"/>
      <c r="V510" s="419"/>
      <c r="W510" s="419"/>
      <c r="X510" s="419"/>
      <c r="Y510" s="419"/>
      <c r="Z510" s="419"/>
    </row>
    <row r="511" spans="3:26">
      <c r="C511" s="433"/>
      <c r="D511" s="433"/>
      <c r="E511" s="437"/>
      <c r="F511" s="419"/>
      <c r="G511" s="419"/>
      <c r="H511" s="419"/>
      <c r="I511" s="419"/>
      <c r="J511" s="419"/>
      <c r="K511" s="419"/>
      <c r="L511" s="429"/>
      <c r="M511" s="419"/>
      <c r="N511" s="419"/>
      <c r="O511" s="419"/>
      <c r="P511" s="419"/>
      <c r="Q511" s="419"/>
      <c r="R511" s="419"/>
      <c r="S511" s="419"/>
      <c r="T511" s="419"/>
      <c r="U511" s="419"/>
      <c r="V511" s="419"/>
      <c r="W511" s="419"/>
      <c r="X511" s="419"/>
      <c r="Y511" s="419"/>
      <c r="Z511" s="419"/>
    </row>
    <row r="512" spans="3:26">
      <c r="C512" s="433"/>
      <c r="D512" s="433"/>
      <c r="E512" s="437"/>
      <c r="F512" s="419"/>
      <c r="G512" s="419"/>
      <c r="H512" s="419"/>
      <c r="I512" s="419"/>
      <c r="J512" s="419"/>
      <c r="K512" s="419"/>
      <c r="L512" s="429"/>
      <c r="M512" s="419"/>
      <c r="N512" s="419"/>
      <c r="O512" s="419"/>
      <c r="P512" s="419"/>
      <c r="Q512" s="419"/>
      <c r="R512" s="419"/>
      <c r="S512" s="419"/>
      <c r="T512" s="419"/>
      <c r="U512" s="419"/>
      <c r="V512" s="419"/>
      <c r="W512" s="419"/>
      <c r="X512" s="419"/>
      <c r="Y512" s="419"/>
      <c r="Z512" s="419"/>
    </row>
    <row r="513" spans="3:26">
      <c r="C513" s="433"/>
      <c r="D513" s="433"/>
      <c r="E513" s="437"/>
      <c r="F513" s="419"/>
      <c r="G513" s="419"/>
      <c r="H513" s="419"/>
      <c r="I513" s="419"/>
      <c r="J513" s="419"/>
      <c r="K513" s="419"/>
      <c r="L513" s="429"/>
      <c r="M513" s="419"/>
      <c r="N513" s="419"/>
      <c r="O513" s="419"/>
      <c r="P513" s="419"/>
      <c r="Q513" s="419"/>
      <c r="R513" s="419"/>
      <c r="S513" s="419"/>
      <c r="T513" s="419"/>
      <c r="U513" s="419"/>
      <c r="V513" s="419"/>
      <c r="W513" s="419"/>
      <c r="X513" s="419"/>
      <c r="Y513" s="419"/>
      <c r="Z513" s="419"/>
    </row>
    <row r="514" spans="3:26">
      <c r="C514" s="433"/>
      <c r="D514" s="433"/>
      <c r="E514" s="437"/>
      <c r="F514" s="419"/>
      <c r="G514" s="419"/>
      <c r="H514" s="419"/>
      <c r="I514" s="419"/>
      <c r="J514" s="419"/>
      <c r="K514" s="419"/>
      <c r="L514" s="429"/>
      <c r="M514" s="419"/>
      <c r="N514" s="419"/>
      <c r="O514" s="419"/>
      <c r="P514" s="419"/>
      <c r="Q514" s="419"/>
      <c r="R514" s="419"/>
      <c r="S514" s="419"/>
      <c r="T514" s="419"/>
      <c r="U514" s="419"/>
      <c r="V514" s="419"/>
      <c r="W514" s="419"/>
      <c r="X514" s="419"/>
      <c r="Y514" s="419"/>
      <c r="Z514" s="419"/>
    </row>
    <row r="515" spans="3:26">
      <c r="C515" s="433"/>
      <c r="D515" s="433"/>
      <c r="E515" s="437"/>
      <c r="F515" s="419"/>
      <c r="G515" s="419"/>
      <c r="H515" s="419"/>
      <c r="I515" s="419"/>
      <c r="J515" s="419"/>
      <c r="K515" s="419"/>
      <c r="L515" s="429"/>
      <c r="M515" s="419"/>
      <c r="N515" s="419"/>
      <c r="O515" s="419"/>
      <c r="P515" s="419"/>
      <c r="Q515" s="419"/>
      <c r="R515" s="419"/>
      <c r="S515" s="419"/>
      <c r="T515" s="419"/>
      <c r="U515" s="419"/>
      <c r="V515" s="419"/>
      <c r="W515" s="419"/>
      <c r="X515" s="419"/>
      <c r="Y515" s="419"/>
      <c r="Z515" s="419"/>
    </row>
    <row r="516" spans="3:26">
      <c r="C516" s="433"/>
      <c r="D516" s="433"/>
      <c r="E516" s="437"/>
      <c r="F516" s="419"/>
      <c r="G516" s="419"/>
      <c r="H516" s="419"/>
      <c r="I516" s="419"/>
      <c r="J516" s="419"/>
      <c r="K516" s="419"/>
      <c r="L516" s="429"/>
      <c r="M516" s="419"/>
      <c r="N516" s="419"/>
      <c r="O516" s="419"/>
      <c r="P516" s="419"/>
      <c r="Q516" s="419"/>
      <c r="R516" s="419"/>
      <c r="S516" s="419"/>
      <c r="T516" s="419"/>
      <c r="U516" s="419"/>
      <c r="V516" s="419"/>
      <c r="W516" s="419"/>
      <c r="X516" s="419"/>
      <c r="Y516" s="419"/>
      <c r="Z516" s="419"/>
    </row>
    <row r="517" spans="3:26">
      <c r="C517" s="433"/>
      <c r="D517" s="433"/>
      <c r="E517" s="437"/>
      <c r="F517" s="419"/>
      <c r="G517" s="419"/>
      <c r="H517" s="419"/>
      <c r="I517" s="419"/>
      <c r="J517" s="419"/>
      <c r="K517" s="419"/>
      <c r="L517" s="429"/>
      <c r="M517" s="419"/>
      <c r="N517" s="419"/>
      <c r="O517" s="419"/>
      <c r="P517" s="419"/>
      <c r="Q517" s="419"/>
      <c r="R517" s="419"/>
      <c r="S517" s="419"/>
      <c r="T517" s="419"/>
      <c r="U517" s="419"/>
      <c r="V517" s="419"/>
      <c r="W517" s="419"/>
      <c r="X517" s="419"/>
      <c r="Y517" s="419"/>
      <c r="Z517" s="419"/>
    </row>
    <row r="518" spans="3:26">
      <c r="C518" s="433"/>
      <c r="D518" s="433"/>
      <c r="E518" s="437"/>
      <c r="F518" s="419"/>
      <c r="G518" s="419"/>
      <c r="H518" s="419"/>
      <c r="I518" s="419"/>
      <c r="J518" s="419"/>
      <c r="K518" s="419"/>
      <c r="L518" s="429"/>
      <c r="M518" s="419"/>
      <c r="N518" s="419"/>
      <c r="O518" s="419"/>
      <c r="P518" s="419"/>
      <c r="Q518" s="419"/>
      <c r="R518" s="419"/>
      <c r="S518" s="419"/>
      <c r="T518" s="419"/>
      <c r="U518" s="419"/>
      <c r="V518" s="419"/>
      <c r="W518" s="419"/>
      <c r="X518" s="419"/>
      <c r="Y518" s="419"/>
      <c r="Z518" s="419"/>
    </row>
    <row r="519" spans="3:26">
      <c r="C519" s="433"/>
      <c r="D519" s="433"/>
      <c r="E519" s="437"/>
      <c r="F519" s="419"/>
      <c r="G519" s="419"/>
      <c r="H519" s="419"/>
      <c r="I519" s="419"/>
      <c r="J519" s="419"/>
      <c r="K519" s="419"/>
      <c r="L519" s="429"/>
      <c r="M519" s="419"/>
      <c r="N519" s="419"/>
      <c r="O519" s="419"/>
      <c r="P519" s="419"/>
      <c r="Q519" s="419"/>
      <c r="R519" s="419"/>
      <c r="S519" s="419"/>
      <c r="T519" s="419"/>
      <c r="U519" s="419"/>
      <c r="V519" s="419"/>
      <c r="W519" s="419"/>
      <c r="X519" s="419"/>
      <c r="Y519" s="419"/>
      <c r="Z519" s="419"/>
    </row>
    <row r="520" spans="3:26">
      <c r="C520" s="433"/>
      <c r="D520" s="433"/>
      <c r="E520" s="437"/>
      <c r="F520" s="419"/>
      <c r="G520" s="419"/>
      <c r="H520" s="419"/>
      <c r="I520" s="419"/>
      <c r="J520" s="419"/>
      <c r="K520" s="419"/>
      <c r="L520" s="429"/>
      <c r="M520" s="419"/>
      <c r="N520" s="419"/>
      <c r="O520" s="419"/>
      <c r="P520" s="419"/>
      <c r="Q520" s="419"/>
      <c r="R520" s="419"/>
      <c r="S520" s="419"/>
      <c r="T520" s="419"/>
      <c r="U520" s="419"/>
      <c r="V520" s="419"/>
      <c r="W520" s="419"/>
      <c r="X520" s="419"/>
      <c r="Y520" s="419"/>
      <c r="Z520" s="419"/>
    </row>
    <row r="521" spans="3:26">
      <c r="C521" s="433"/>
      <c r="D521" s="433"/>
      <c r="E521" s="437"/>
      <c r="F521" s="419"/>
      <c r="G521" s="419"/>
      <c r="H521" s="419"/>
      <c r="I521" s="419"/>
      <c r="J521" s="419"/>
      <c r="K521" s="419"/>
      <c r="L521" s="429"/>
      <c r="M521" s="419"/>
      <c r="N521" s="419"/>
      <c r="O521" s="419"/>
      <c r="P521" s="419"/>
      <c r="Q521" s="419"/>
      <c r="R521" s="419"/>
      <c r="S521" s="419"/>
      <c r="T521" s="419"/>
      <c r="U521" s="419"/>
      <c r="V521" s="419"/>
      <c r="W521" s="419"/>
      <c r="X521" s="419"/>
      <c r="Y521" s="419"/>
      <c r="Z521" s="419"/>
    </row>
    <row r="522" spans="3:26">
      <c r="C522" s="433"/>
      <c r="D522" s="433"/>
      <c r="E522" s="437"/>
      <c r="F522" s="419"/>
      <c r="G522" s="419"/>
      <c r="H522" s="419"/>
      <c r="I522" s="419"/>
      <c r="J522" s="419"/>
      <c r="K522" s="419"/>
      <c r="L522" s="429"/>
      <c r="M522" s="419"/>
      <c r="N522" s="419"/>
      <c r="O522" s="419"/>
      <c r="P522" s="419"/>
      <c r="Q522" s="419"/>
      <c r="R522" s="419"/>
      <c r="S522" s="419"/>
      <c r="T522" s="419"/>
      <c r="U522" s="419"/>
      <c r="V522" s="419"/>
      <c r="W522" s="419"/>
      <c r="X522" s="419"/>
      <c r="Y522" s="419"/>
      <c r="Z522" s="419"/>
    </row>
    <row r="523" spans="3:26">
      <c r="C523" s="433"/>
      <c r="D523" s="433"/>
      <c r="E523" s="437"/>
      <c r="F523" s="419"/>
      <c r="G523" s="419"/>
      <c r="H523" s="419"/>
      <c r="I523" s="419"/>
      <c r="J523" s="419"/>
      <c r="K523" s="419"/>
      <c r="L523" s="429"/>
      <c r="M523" s="419"/>
      <c r="N523" s="419"/>
      <c r="O523" s="419"/>
      <c r="P523" s="419"/>
      <c r="Q523" s="419"/>
      <c r="R523" s="419"/>
      <c r="S523" s="419"/>
      <c r="T523" s="419"/>
      <c r="U523" s="419"/>
      <c r="V523" s="419"/>
      <c r="W523" s="419"/>
      <c r="X523" s="419"/>
      <c r="Y523" s="419"/>
      <c r="Z523" s="419"/>
    </row>
    <row r="524" spans="3:26">
      <c r="C524" s="433"/>
      <c r="D524" s="433"/>
      <c r="E524" s="437"/>
      <c r="F524" s="419"/>
      <c r="G524" s="419"/>
      <c r="H524" s="419"/>
      <c r="I524" s="419"/>
      <c r="J524" s="419"/>
      <c r="K524" s="419"/>
      <c r="L524" s="429"/>
      <c r="M524" s="419"/>
      <c r="N524" s="419"/>
      <c r="O524" s="419"/>
      <c r="P524" s="419"/>
      <c r="Q524" s="419"/>
      <c r="R524" s="419"/>
      <c r="S524" s="419"/>
      <c r="T524" s="419"/>
      <c r="U524" s="419"/>
      <c r="V524" s="419"/>
      <c r="W524" s="419"/>
      <c r="X524" s="419"/>
      <c r="Y524" s="419"/>
      <c r="Z524" s="419"/>
    </row>
    <row r="525" spans="3:26">
      <c r="C525" s="433"/>
      <c r="D525" s="433"/>
      <c r="E525" s="437"/>
      <c r="F525" s="419"/>
      <c r="G525" s="419"/>
      <c r="H525" s="419"/>
      <c r="I525" s="419"/>
      <c r="J525" s="419"/>
      <c r="K525" s="419"/>
      <c r="L525" s="429"/>
      <c r="M525" s="419"/>
      <c r="N525" s="419"/>
      <c r="O525" s="419"/>
      <c r="P525" s="419"/>
      <c r="Q525" s="419"/>
      <c r="R525" s="419"/>
      <c r="S525" s="419"/>
      <c r="T525" s="419"/>
      <c r="U525" s="419"/>
      <c r="V525" s="419"/>
      <c r="W525" s="419"/>
      <c r="X525" s="419"/>
      <c r="Y525" s="419"/>
      <c r="Z525" s="419"/>
    </row>
    <row r="526" spans="3:26">
      <c r="C526" s="433"/>
      <c r="D526" s="433"/>
      <c r="E526" s="437"/>
      <c r="F526" s="419"/>
      <c r="G526" s="419"/>
      <c r="H526" s="419"/>
      <c r="I526" s="419"/>
      <c r="J526" s="419"/>
      <c r="K526" s="419"/>
      <c r="L526" s="429"/>
      <c r="M526" s="419"/>
      <c r="N526" s="419"/>
      <c r="O526" s="419"/>
      <c r="P526" s="419"/>
      <c r="Q526" s="419"/>
      <c r="R526" s="419"/>
      <c r="S526" s="419"/>
      <c r="T526" s="419"/>
      <c r="U526" s="419"/>
      <c r="V526" s="419"/>
      <c r="W526" s="419"/>
      <c r="X526" s="419"/>
      <c r="Y526" s="419"/>
      <c r="Z526" s="419"/>
    </row>
    <row r="527" spans="3:26">
      <c r="C527" s="433"/>
      <c r="D527" s="433"/>
      <c r="E527" s="437"/>
      <c r="F527" s="419"/>
      <c r="G527" s="419"/>
      <c r="H527" s="419"/>
      <c r="I527" s="419"/>
      <c r="J527" s="419"/>
      <c r="K527" s="419"/>
      <c r="L527" s="429"/>
      <c r="M527" s="419"/>
      <c r="N527" s="419"/>
      <c r="O527" s="419"/>
      <c r="P527" s="419"/>
      <c r="Q527" s="419"/>
      <c r="R527" s="419"/>
      <c r="S527" s="419"/>
      <c r="T527" s="419"/>
      <c r="U527" s="419"/>
      <c r="V527" s="419"/>
      <c r="W527" s="419"/>
      <c r="X527" s="419"/>
      <c r="Y527" s="419"/>
      <c r="Z527" s="419"/>
    </row>
    <row r="528" spans="3:26">
      <c r="C528" s="433"/>
      <c r="D528" s="433"/>
      <c r="E528" s="437"/>
      <c r="F528" s="419"/>
      <c r="G528" s="419"/>
      <c r="H528" s="419"/>
      <c r="I528" s="419"/>
      <c r="J528" s="419"/>
      <c r="K528" s="419"/>
      <c r="L528" s="429"/>
      <c r="M528" s="419"/>
      <c r="N528" s="419"/>
      <c r="O528" s="419"/>
      <c r="P528" s="419"/>
      <c r="Q528" s="419"/>
      <c r="R528" s="419"/>
      <c r="S528" s="419"/>
      <c r="T528" s="419"/>
      <c r="U528" s="419"/>
      <c r="V528" s="419"/>
      <c r="W528" s="419"/>
      <c r="X528" s="419"/>
      <c r="Y528" s="419"/>
      <c r="Z528" s="419"/>
    </row>
    <row r="529" spans="3:26">
      <c r="C529" s="433"/>
      <c r="D529" s="433"/>
      <c r="E529" s="437"/>
      <c r="F529" s="419"/>
      <c r="G529" s="419"/>
      <c r="H529" s="419"/>
      <c r="I529" s="419"/>
      <c r="J529" s="419"/>
      <c r="K529" s="419"/>
      <c r="L529" s="429"/>
      <c r="M529" s="419"/>
      <c r="N529" s="419"/>
      <c r="O529" s="419"/>
      <c r="P529" s="419"/>
      <c r="Q529" s="419"/>
      <c r="R529" s="419"/>
      <c r="S529" s="419"/>
      <c r="T529" s="419"/>
      <c r="U529" s="419"/>
      <c r="V529" s="419"/>
      <c r="W529" s="419"/>
      <c r="X529" s="419"/>
      <c r="Y529" s="419"/>
      <c r="Z529" s="419"/>
    </row>
    <row r="530" spans="3:26">
      <c r="C530" s="433"/>
      <c r="D530" s="433"/>
      <c r="E530" s="437"/>
      <c r="F530" s="419"/>
      <c r="G530" s="419"/>
      <c r="H530" s="419"/>
      <c r="I530" s="419"/>
      <c r="J530" s="419"/>
      <c r="K530" s="419"/>
      <c r="L530" s="429"/>
      <c r="M530" s="419"/>
      <c r="N530" s="419"/>
      <c r="O530" s="419"/>
      <c r="P530" s="419"/>
      <c r="Q530" s="419"/>
      <c r="R530" s="419"/>
      <c r="S530" s="419"/>
      <c r="T530" s="419"/>
      <c r="U530" s="419"/>
      <c r="V530" s="419"/>
      <c r="W530" s="419"/>
      <c r="X530" s="419"/>
      <c r="Y530" s="419"/>
      <c r="Z530" s="419"/>
    </row>
    <row r="531" spans="3:26">
      <c r="C531" s="433"/>
      <c r="D531" s="433"/>
      <c r="E531" s="437"/>
      <c r="F531" s="419"/>
      <c r="G531" s="419"/>
      <c r="H531" s="419"/>
      <c r="I531" s="419"/>
      <c r="J531" s="419"/>
      <c r="K531" s="419"/>
      <c r="L531" s="429"/>
      <c r="M531" s="419"/>
      <c r="N531" s="419"/>
      <c r="O531" s="419"/>
      <c r="P531" s="419"/>
      <c r="Q531" s="419"/>
      <c r="R531" s="419"/>
      <c r="S531" s="419"/>
      <c r="T531" s="419"/>
      <c r="U531" s="419"/>
      <c r="V531" s="419"/>
      <c r="W531" s="419"/>
      <c r="X531" s="419"/>
      <c r="Y531" s="419"/>
      <c r="Z531" s="419"/>
    </row>
    <row r="532" spans="3:26">
      <c r="C532" s="433"/>
      <c r="D532" s="433"/>
      <c r="E532" s="437"/>
      <c r="F532" s="419"/>
      <c r="G532" s="419"/>
      <c r="H532" s="419"/>
      <c r="I532" s="419"/>
      <c r="J532" s="419"/>
      <c r="K532" s="419"/>
      <c r="L532" s="429"/>
      <c r="M532" s="419"/>
      <c r="N532" s="419"/>
      <c r="O532" s="419"/>
      <c r="P532" s="419"/>
      <c r="Q532" s="419"/>
      <c r="R532" s="419"/>
      <c r="S532" s="419"/>
      <c r="T532" s="419"/>
      <c r="U532" s="419"/>
      <c r="V532" s="419"/>
      <c r="W532" s="419"/>
      <c r="X532" s="419"/>
      <c r="Y532" s="419"/>
      <c r="Z532" s="419"/>
    </row>
    <row r="533" spans="3:26">
      <c r="C533" s="433"/>
      <c r="D533" s="433"/>
      <c r="E533" s="437"/>
      <c r="F533" s="419"/>
      <c r="G533" s="419"/>
      <c r="H533" s="419"/>
      <c r="I533" s="419"/>
      <c r="J533" s="419"/>
      <c r="K533" s="419"/>
      <c r="L533" s="429"/>
      <c r="M533" s="419"/>
      <c r="N533" s="419"/>
      <c r="O533" s="419"/>
      <c r="P533" s="419"/>
      <c r="Q533" s="419"/>
      <c r="R533" s="419"/>
      <c r="S533" s="419"/>
      <c r="T533" s="419"/>
      <c r="U533" s="419"/>
      <c r="V533" s="419"/>
      <c r="W533" s="419"/>
      <c r="X533" s="419"/>
      <c r="Y533" s="419"/>
      <c r="Z533" s="419"/>
    </row>
    <row r="534" spans="3:26">
      <c r="C534" s="433"/>
      <c r="D534" s="433"/>
      <c r="E534" s="437"/>
      <c r="F534" s="419"/>
      <c r="G534" s="419"/>
      <c r="H534" s="419"/>
      <c r="I534" s="419"/>
      <c r="J534" s="419"/>
      <c r="K534" s="419"/>
      <c r="L534" s="429"/>
      <c r="M534" s="419"/>
      <c r="N534" s="419"/>
      <c r="O534" s="419"/>
      <c r="P534" s="419"/>
      <c r="Q534" s="419"/>
      <c r="R534" s="419"/>
      <c r="S534" s="419"/>
      <c r="T534" s="419"/>
      <c r="U534" s="419"/>
      <c r="V534" s="419"/>
      <c r="W534" s="419"/>
      <c r="X534" s="419"/>
      <c r="Y534" s="419"/>
      <c r="Z534" s="419"/>
    </row>
    <row r="535" spans="3:26">
      <c r="C535" s="433"/>
      <c r="D535" s="433"/>
      <c r="E535" s="437"/>
      <c r="F535" s="419"/>
      <c r="G535" s="419"/>
      <c r="H535" s="419"/>
      <c r="I535" s="419"/>
      <c r="J535" s="419"/>
      <c r="K535" s="419"/>
      <c r="L535" s="429"/>
      <c r="M535" s="419"/>
      <c r="N535" s="419"/>
      <c r="O535" s="419"/>
      <c r="P535" s="419"/>
      <c r="Q535" s="419"/>
      <c r="R535" s="419"/>
      <c r="S535" s="419"/>
      <c r="T535" s="419"/>
      <c r="U535" s="419"/>
      <c r="V535" s="419"/>
      <c r="W535" s="419"/>
      <c r="X535" s="419"/>
      <c r="Y535" s="419"/>
      <c r="Z535" s="419"/>
    </row>
    <row r="536" spans="3:26">
      <c r="C536" s="433"/>
      <c r="D536" s="433"/>
      <c r="E536" s="437"/>
      <c r="F536" s="419"/>
      <c r="G536" s="419"/>
      <c r="H536" s="419"/>
      <c r="I536" s="419"/>
      <c r="J536" s="419"/>
      <c r="K536" s="419"/>
      <c r="L536" s="429"/>
      <c r="M536" s="419"/>
      <c r="N536" s="419"/>
      <c r="O536" s="419"/>
      <c r="P536" s="419"/>
      <c r="Q536" s="419"/>
      <c r="R536" s="419"/>
      <c r="S536" s="419"/>
      <c r="T536" s="419"/>
      <c r="U536" s="419"/>
      <c r="V536" s="419"/>
      <c r="W536" s="419"/>
      <c r="X536" s="419"/>
      <c r="Y536" s="419"/>
      <c r="Z536" s="419"/>
    </row>
    <row r="537" spans="3:26">
      <c r="C537" s="433"/>
      <c r="D537" s="433"/>
      <c r="E537" s="437"/>
      <c r="F537" s="419"/>
      <c r="G537" s="419"/>
      <c r="H537" s="419"/>
      <c r="I537" s="419"/>
      <c r="J537" s="419"/>
      <c r="K537" s="419"/>
      <c r="L537" s="429"/>
      <c r="M537" s="419"/>
      <c r="N537" s="419"/>
      <c r="O537" s="419"/>
      <c r="P537" s="419"/>
      <c r="Q537" s="419"/>
      <c r="R537" s="419"/>
      <c r="S537" s="419"/>
      <c r="T537" s="419"/>
      <c r="U537" s="419"/>
      <c r="V537" s="419"/>
      <c r="W537" s="419"/>
      <c r="X537" s="419"/>
      <c r="Y537" s="419"/>
      <c r="Z537" s="419"/>
    </row>
    <row r="538" spans="3:26">
      <c r="C538" s="433"/>
      <c r="D538" s="433"/>
      <c r="E538" s="437"/>
      <c r="F538" s="419"/>
      <c r="G538" s="419"/>
      <c r="H538" s="419"/>
      <c r="I538" s="419"/>
      <c r="J538" s="419"/>
      <c r="K538" s="419"/>
      <c r="L538" s="429"/>
      <c r="M538" s="419"/>
      <c r="N538" s="419"/>
      <c r="O538" s="419"/>
      <c r="P538" s="419"/>
      <c r="Q538" s="419"/>
      <c r="R538" s="419"/>
      <c r="S538" s="419"/>
      <c r="T538" s="419"/>
      <c r="U538" s="419"/>
      <c r="V538" s="419"/>
      <c r="W538" s="419"/>
      <c r="X538" s="419"/>
      <c r="Y538" s="419"/>
      <c r="Z538" s="419"/>
    </row>
    <row r="539" spans="3:26">
      <c r="C539" s="433"/>
      <c r="D539" s="433"/>
      <c r="E539" s="437"/>
      <c r="F539" s="419"/>
      <c r="G539" s="419"/>
      <c r="H539" s="419"/>
      <c r="I539" s="419"/>
      <c r="J539" s="419"/>
      <c r="K539" s="419"/>
      <c r="L539" s="429"/>
      <c r="M539" s="419"/>
      <c r="N539" s="419"/>
      <c r="O539" s="419"/>
      <c r="P539" s="419"/>
      <c r="Q539" s="419"/>
      <c r="R539" s="419"/>
      <c r="S539" s="419"/>
      <c r="T539" s="419"/>
      <c r="U539" s="419"/>
      <c r="V539" s="419"/>
      <c r="W539" s="419"/>
      <c r="X539" s="419"/>
      <c r="Y539" s="419"/>
      <c r="Z539" s="419"/>
    </row>
    <row r="540" spans="3:26">
      <c r="C540" s="433"/>
      <c r="D540" s="433"/>
      <c r="E540" s="437"/>
      <c r="F540" s="419"/>
      <c r="G540" s="419"/>
      <c r="H540" s="419"/>
      <c r="I540" s="419"/>
      <c r="J540" s="419"/>
      <c r="K540" s="419"/>
      <c r="L540" s="429"/>
      <c r="M540" s="419"/>
      <c r="N540" s="419"/>
      <c r="O540" s="419"/>
      <c r="P540" s="419"/>
      <c r="Q540" s="419"/>
      <c r="R540" s="419"/>
      <c r="S540" s="419"/>
      <c r="T540" s="419"/>
      <c r="U540" s="419"/>
      <c r="V540" s="419"/>
      <c r="W540" s="419"/>
      <c r="X540" s="419"/>
      <c r="Y540" s="419"/>
      <c r="Z540" s="419"/>
    </row>
    <row r="541" spans="3:26">
      <c r="C541" s="433"/>
      <c r="D541" s="433"/>
      <c r="E541" s="437"/>
      <c r="F541" s="419"/>
      <c r="G541" s="419"/>
      <c r="H541" s="419"/>
      <c r="I541" s="419"/>
      <c r="J541" s="419"/>
      <c r="K541" s="419"/>
      <c r="L541" s="429"/>
      <c r="M541" s="419"/>
      <c r="N541" s="419"/>
      <c r="O541" s="419"/>
      <c r="P541" s="419"/>
      <c r="Q541" s="419"/>
      <c r="R541" s="419"/>
      <c r="S541" s="419"/>
      <c r="T541" s="419"/>
      <c r="U541" s="419"/>
      <c r="V541" s="419"/>
      <c r="W541" s="419"/>
      <c r="X541" s="419"/>
      <c r="Y541" s="419"/>
      <c r="Z541" s="419"/>
    </row>
    <row r="542" spans="3:26">
      <c r="C542" s="433"/>
      <c r="D542" s="433"/>
      <c r="E542" s="437"/>
      <c r="F542" s="419"/>
      <c r="G542" s="419"/>
      <c r="H542" s="419"/>
      <c r="I542" s="419"/>
      <c r="J542" s="419"/>
      <c r="K542" s="419"/>
      <c r="L542" s="429"/>
      <c r="M542" s="419"/>
      <c r="N542" s="419"/>
      <c r="O542" s="419"/>
      <c r="P542" s="419"/>
      <c r="Q542" s="419"/>
      <c r="R542" s="419"/>
      <c r="S542" s="419"/>
      <c r="T542" s="419"/>
      <c r="U542" s="419"/>
      <c r="V542" s="419"/>
      <c r="W542" s="419"/>
      <c r="X542" s="419"/>
      <c r="Y542" s="419"/>
      <c r="Z542" s="419"/>
    </row>
    <row r="543" spans="3:26">
      <c r="C543" s="433"/>
      <c r="D543" s="433"/>
      <c r="E543" s="437"/>
      <c r="F543" s="419"/>
      <c r="G543" s="419"/>
      <c r="H543" s="419"/>
      <c r="I543" s="419"/>
      <c r="J543" s="419"/>
      <c r="K543" s="419"/>
      <c r="L543" s="429"/>
      <c r="M543" s="419"/>
      <c r="N543" s="419"/>
      <c r="O543" s="419"/>
      <c r="P543" s="419"/>
      <c r="Q543" s="419"/>
      <c r="R543" s="419"/>
      <c r="S543" s="419"/>
      <c r="T543" s="419"/>
      <c r="U543" s="419"/>
      <c r="V543" s="419"/>
      <c r="W543" s="419"/>
      <c r="X543" s="419"/>
      <c r="Y543" s="419"/>
      <c r="Z543" s="419"/>
    </row>
    <row r="544" spans="3:26">
      <c r="C544" s="433"/>
      <c r="D544" s="433"/>
      <c r="E544" s="437"/>
      <c r="F544" s="419"/>
      <c r="G544" s="419"/>
      <c r="H544" s="419"/>
      <c r="I544" s="419"/>
      <c r="J544" s="419"/>
      <c r="K544" s="419"/>
      <c r="L544" s="429"/>
      <c r="M544" s="419"/>
      <c r="N544" s="419"/>
      <c r="O544" s="419"/>
      <c r="P544" s="419"/>
      <c r="Q544" s="419"/>
      <c r="R544" s="419"/>
      <c r="S544" s="419"/>
      <c r="T544" s="419"/>
      <c r="U544" s="419"/>
      <c r="V544" s="419"/>
      <c r="W544" s="419"/>
      <c r="X544" s="419"/>
      <c r="Y544" s="419"/>
      <c r="Z544" s="419"/>
    </row>
    <row r="545" spans="3:26">
      <c r="C545" s="433"/>
      <c r="D545" s="433"/>
      <c r="E545" s="437"/>
      <c r="F545" s="419"/>
      <c r="G545" s="419"/>
      <c r="H545" s="419"/>
      <c r="I545" s="419"/>
      <c r="J545" s="419"/>
      <c r="K545" s="419"/>
      <c r="L545" s="429"/>
      <c r="M545" s="419"/>
      <c r="N545" s="419"/>
      <c r="O545" s="419"/>
      <c r="P545" s="419"/>
      <c r="Q545" s="419"/>
      <c r="R545" s="419"/>
      <c r="S545" s="419"/>
      <c r="T545" s="419"/>
      <c r="U545" s="419"/>
      <c r="V545" s="419"/>
      <c r="W545" s="419"/>
      <c r="X545" s="419"/>
      <c r="Y545" s="419"/>
      <c r="Z545" s="419"/>
    </row>
    <row r="546" spans="3:26">
      <c r="C546" s="433"/>
      <c r="D546" s="433"/>
      <c r="E546" s="437"/>
      <c r="F546" s="419"/>
      <c r="G546" s="419"/>
      <c r="H546" s="419"/>
      <c r="I546" s="419"/>
      <c r="J546" s="419"/>
      <c r="K546" s="419"/>
      <c r="L546" s="429"/>
      <c r="M546" s="419"/>
      <c r="N546" s="419"/>
      <c r="O546" s="419"/>
      <c r="P546" s="419"/>
      <c r="Q546" s="419"/>
      <c r="R546" s="419"/>
      <c r="S546" s="419"/>
      <c r="T546" s="419"/>
      <c r="U546" s="419"/>
      <c r="V546" s="419"/>
      <c r="W546" s="419"/>
      <c r="X546" s="419"/>
      <c r="Y546" s="419"/>
      <c r="Z546" s="419"/>
    </row>
    <row r="547" spans="3:26">
      <c r="C547" s="433"/>
      <c r="D547" s="433"/>
      <c r="E547" s="437"/>
      <c r="F547" s="419"/>
      <c r="G547" s="419"/>
      <c r="H547" s="419"/>
      <c r="I547" s="419"/>
      <c r="J547" s="419"/>
      <c r="K547" s="419"/>
      <c r="L547" s="429"/>
      <c r="M547" s="419"/>
      <c r="N547" s="419"/>
      <c r="O547" s="419"/>
      <c r="P547" s="419"/>
      <c r="Q547" s="419"/>
      <c r="R547" s="419"/>
      <c r="S547" s="419"/>
      <c r="T547" s="419"/>
      <c r="U547" s="419"/>
      <c r="V547" s="419"/>
      <c r="W547" s="419"/>
      <c r="X547" s="419"/>
      <c r="Y547" s="419"/>
      <c r="Z547" s="419"/>
    </row>
    <row r="548" spans="3:26">
      <c r="C548" s="433"/>
      <c r="D548" s="433"/>
      <c r="E548" s="437"/>
      <c r="F548" s="419"/>
      <c r="G548" s="419"/>
      <c r="H548" s="419"/>
      <c r="I548" s="419"/>
      <c r="J548" s="419"/>
      <c r="K548" s="419"/>
      <c r="L548" s="429"/>
      <c r="M548" s="419"/>
      <c r="N548" s="419"/>
      <c r="O548" s="419"/>
      <c r="P548" s="419"/>
      <c r="Q548" s="419"/>
      <c r="R548" s="419"/>
      <c r="S548" s="419"/>
      <c r="T548" s="419"/>
      <c r="U548" s="419"/>
      <c r="V548" s="419"/>
      <c r="W548" s="419"/>
      <c r="X548" s="419"/>
      <c r="Y548" s="419"/>
      <c r="Z548" s="419"/>
    </row>
    <row r="549" spans="3:26">
      <c r="C549" s="433"/>
      <c r="D549" s="433"/>
      <c r="E549" s="437"/>
      <c r="F549" s="419"/>
      <c r="G549" s="419"/>
      <c r="H549" s="419"/>
      <c r="I549" s="419"/>
      <c r="J549" s="419"/>
      <c r="K549" s="419"/>
      <c r="L549" s="429"/>
      <c r="M549" s="419"/>
      <c r="N549" s="419"/>
      <c r="O549" s="419"/>
      <c r="P549" s="419"/>
      <c r="Q549" s="419"/>
      <c r="R549" s="419"/>
      <c r="S549" s="419"/>
      <c r="T549" s="419"/>
      <c r="U549" s="419"/>
      <c r="V549" s="419"/>
      <c r="W549" s="419"/>
      <c r="X549" s="419"/>
      <c r="Y549" s="419"/>
      <c r="Z549" s="419"/>
    </row>
    <row r="550" spans="3:26">
      <c r="C550" s="433"/>
      <c r="D550" s="433"/>
      <c r="E550" s="437"/>
      <c r="F550" s="419"/>
      <c r="G550" s="419"/>
      <c r="H550" s="419"/>
      <c r="I550" s="419"/>
      <c r="J550" s="419"/>
      <c r="K550" s="419"/>
      <c r="L550" s="429"/>
      <c r="M550" s="419"/>
      <c r="N550" s="419"/>
      <c r="O550" s="419"/>
      <c r="P550" s="419"/>
      <c r="Q550" s="419"/>
      <c r="R550" s="419"/>
      <c r="S550" s="419"/>
      <c r="T550" s="419"/>
      <c r="U550" s="419"/>
      <c r="V550" s="419"/>
      <c r="W550" s="419"/>
      <c r="X550" s="419"/>
      <c r="Y550" s="419"/>
      <c r="Z550" s="419"/>
    </row>
    <row r="551" spans="3:26">
      <c r="C551" s="433"/>
      <c r="D551" s="433"/>
      <c r="E551" s="437"/>
      <c r="F551" s="419"/>
      <c r="G551" s="419"/>
      <c r="H551" s="419"/>
      <c r="I551" s="419"/>
      <c r="J551" s="419"/>
      <c r="K551" s="419"/>
      <c r="L551" s="429"/>
      <c r="M551" s="419"/>
      <c r="N551" s="419"/>
      <c r="O551" s="419"/>
      <c r="P551" s="419"/>
      <c r="Q551" s="419"/>
      <c r="R551" s="419"/>
      <c r="S551" s="419"/>
      <c r="T551" s="419"/>
      <c r="U551" s="419"/>
      <c r="V551" s="419"/>
      <c r="W551" s="419"/>
      <c r="X551" s="419"/>
      <c r="Y551" s="419"/>
      <c r="Z551" s="419"/>
    </row>
    <row r="552" spans="3:26">
      <c r="C552" s="433"/>
      <c r="D552" s="433"/>
      <c r="E552" s="437"/>
      <c r="F552" s="419"/>
      <c r="G552" s="419"/>
      <c r="H552" s="419"/>
      <c r="I552" s="419"/>
      <c r="J552" s="419"/>
      <c r="K552" s="419"/>
      <c r="L552" s="429"/>
      <c r="M552" s="419"/>
      <c r="N552" s="419"/>
      <c r="O552" s="419"/>
      <c r="P552" s="419"/>
      <c r="Q552" s="419"/>
      <c r="R552" s="419"/>
      <c r="S552" s="419"/>
      <c r="T552" s="419"/>
      <c r="U552" s="419"/>
      <c r="V552" s="419"/>
      <c r="W552" s="419"/>
      <c r="X552" s="419"/>
      <c r="Y552" s="419"/>
      <c r="Z552" s="419"/>
    </row>
    <row r="553" spans="3:26">
      <c r="C553" s="433"/>
      <c r="D553" s="433"/>
      <c r="E553" s="437"/>
      <c r="F553" s="419"/>
      <c r="G553" s="419"/>
      <c r="H553" s="419"/>
      <c r="I553" s="419"/>
      <c r="J553" s="419"/>
      <c r="K553" s="419"/>
      <c r="L553" s="429"/>
      <c r="M553" s="419"/>
      <c r="N553" s="419"/>
      <c r="O553" s="419"/>
      <c r="P553" s="419"/>
      <c r="Q553" s="419"/>
      <c r="R553" s="419"/>
      <c r="S553" s="419"/>
      <c r="T553" s="419"/>
      <c r="U553" s="419"/>
      <c r="V553" s="419"/>
      <c r="W553" s="419"/>
      <c r="X553" s="419"/>
      <c r="Y553" s="419"/>
      <c r="Z553" s="419"/>
    </row>
    <row r="554" spans="3:26">
      <c r="C554" s="433"/>
      <c r="D554" s="433"/>
      <c r="E554" s="437"/>
      <c r="F554" s="419"/>
      <c r="G554" s="419"/>
      <c r="H554" s="419"/>
      <c r="I554" s="419"/>
      <c r="J554" s="419"/>
      <c r="K554" s="419"/>
      <c r="L554" s="429"/>
      <c r="M554" s="419"/>
      <c r="N554" s="419"/>
      <c r="O554" s="419"/>
      <c r="P554" s="419"/>
      <c r="Q554" s="419"/>
      <c r="R554" s="419"/>
      <c r="S554" s="419"/>
      <c r="T554" s="419"/>
      <c r="U554" s="419"/>
      <c r="V554" s="419"/>
      <c r="W554" s="419"/>
      <c r="X554" s="419"/>
      <c r="Y554" s="419"/>
      <c r="Z554" s="419"/>
    </row>
    <row r="555" spans="3:26">
      <c r="C555" s="433"/>
      <c r="D555" s="433"/>
      <c r="E555" s="437"/>
      <c r="F555" s="419"/>
      <c r="G555" s="419"/>
      <c r="H555" s="419"/>
      <c r="I555" s="419"/>
      <c r="J555" s="419"/>
      <c r="K555" s="419"/>
      <c r="L555" s="429"/>
      <c r="M555" s="419"/>
      <c r="N555" s="419"/>
      <c r="O555" s="419"/>
      <c r="P555" s="419"/>
      <c r="Q555" s="419"/>
      <c r="R555" s="419"/>
      <c r="S555" s="419"/>
      <c r="T555" s="419"/>
      <c r="U555" s="419"/>
      <c r="V555" s="419"/>
      <c r="W555" s="419"/>
      <c r="X555" s="419"/>
      <c r="Y555" s="419"/>
      <c r="Z555" s="419"/>
    </row>
    <row r="556" spans="3:26">
      <c r="C556" s="433"/>
      <c r="D556" s="433"/>
      <c r="E556" s="437"/>
      <c r="F556" s="419"/>
      <c r="G556" s="419"/>
      <c r="H556" s="419"/>
      <c r="I556" s="419"/>
      <c r="J556" s="419"/>
      <c r="K556" s="419"/>
      <c r="L556" s="429"/>
      <c r="M556" s="419"/>
      <c r="N556" s="419"/>
      <c r="O556" s="419"/>
      <c r="P556" s="419"/>
      <c r="Q556" s="419"/>
      <c r="R556" s="419"/>
      <c r="S556" s="419"/>
      <c r="T556" s="419"/>
      <c r="U556" s="419"/>
      <c r="V556" s="419"/>
      <c r="W556" s="419"/>
      <c r="X556" s="419"/>
      <c r="Y556" s="419"/>
      <c r="Z556" s="419"/>
    </row>
    <row r="557" spans="3:26">
      <c r="C557" s="433"/>
      <c r="D557" s="433"/>
      <c r="E557" s="437"/>
      <c r="F557" s="419"/>
      <c r="G557" s="419"/>
      <c r="H557" s="419"/>
      <c r="I557" s="419"/>
      <c r="J557" s="419"/>
      <c r="K557" s="419"/>
      <c r="L557" s="429"/>
      <c r="M557" s="419"/>
      <c r="N557" s="419"/>
      <c r="O557" s="419"/>
      <c r="P557" s="419"/>
      <c r="Q557" s="419"/>
      <c r="R557" s="419"/>
      <c r="S557" s="419"/>
      <c r="T557" s="419"/>
      <c r="U557" s="419"/>
      <c r="V557" s="419"/>
      <c r="W557" s="419"/>
      <c r="X557" s="419"/>
      <c r="Y557" s="419"/>
      <c r="Z557" s="419"/>
    </row>
    <row r="558" spans="3:26">
      <c r="C558" s="433"/>
      <c r="D558" s="433"/>
      <c r="E558" s="437"/>
      <c r="F558" s="419"/>
      <c r="G558" s="419"/>
      <c r="H558" s="419"/>
      <c r="I558" s="419"/>
      <c r="J558" s="419"/>
      <c r="K558" s="419"/>
      <c r="L558" s="429"/>
      <c r="M558" s="419"/>
      <c r="N558" s="419"/>
      <c r="O558" s="419"/>
      <c r="P558" s="419"/>
      <c r="Q558" s="419"/>
      <c r="R558" s="419"/>
      <c r="S558" s="419"/>
      <c r="T558" s="419"/>
      <c r="U558" s="419"/>
      <c r="V558" s="419"/>
      <c r="W558" s="419"/>
      <c r="X558" s="419"/>
      <c r="Y558" s="419"/>
      <c r="Z558" s="419"/>
    </row>
    <row r="559" spans="3:26">
      <c r="C559" s="433"/>
      <c r="D559" s="433"/>
      <c r="E559" s="437"/>
      <c r="F559" s="419"/>
      <c r="G559" s="419"/>
      <c r="H559" s="419"/>
      <c r="I559" s="419"/>
      <c r="J559" s="419"/>
      <c r="K559" s="419"/>
      <c r="L559" s="429"/>
      <c r="M559" s="419"/>
      <c r="N559" s="419"/>
      <c r="O559" s="419"/>
      <c r="P559" s="419"/>
      <c r="Q559" s="419"/>
      <c r="R559" s="419"/>
      <c r="S559" s="419"/>
      <c r="T559" s="419"/>
      <c r="U559" s="419"/>
      <c r="V559" s="419"/>
      <c r="W559" s="419"/>
      <c r="X559" s="419"/>
      <c r="Y559" s="419"/>
      <c r="Z559" s="419"/>
    </row>
    <row r="560" spans="3:26">
      <c r="C560" s="433"/>
      <c r="D560" s="433"/>
      <c r="E560" s="437"/>
      <c r="F560" s="419"/>
      <c r="G560" s="419"/>
      <c r="H560" s="419"/>
      <c r="I560" s="419"/>
      <c r="J560" s="419"/>
      <c r="K560" s="419"/>
      <c r="L560" s="429"/>
      <c r="M560" s="419"/>
      <c r="N560" s="419"/>
      <c r="O560" s="419"/>
      <c r="P560" s="419"/>
      <c r="Q560" s="419"/>
      <c r="R560" s="419"/>
      <c r="S560" s="419"/>
      <c r="T560" s="419"/>
      <c r="U560" s="419"/>
      <c r="V560" s="419"/>
      <c r="W560" s="419"/>
      <c r="X560" s="419"/>
      <c r="Y560" s="419"/>
      <c r="Z560" s="419"/>
    </row>
    <row r="561" spans="3:26">
      <c r="C561" s="433"/>
      <c r="D561" s="433"/>
      <c r="E561" s="437"/>
      <c r="F561" s="419"/>
      <c r="G561" s="419"/>
      <c r="H561" s="419"/>
      <c r="I561" s="419"/>
      <c r="J561" s="419"/>
      <c r="K561" s="419"/>
      <c r="L561" s="429"/>
      <c r="M561" s="419"/>
      <c r="N561" s="419"/>
      <c r="O561" s="419"/>
      <c r="P561" s="419"/>
      <c r="Q561" s="419"/>
      <c r="R561" s="419"/>
      <c r="S561" s="419"/>
      <c r="T561" s="419"/>
      <c r="U561" s="419"/>
      <c r="V561" s="419"/>
      <c r="W561" s="419"/>
      <c r="X561" s="419"/>
      <c r="Y561" s="419"/>
      <c r="Z561" s="419"/>
    </row>
    <row r="562" spans="3:26">
      <c r="C562" s="433"/>
      <c r="D562" s="433"/>
      <c r="E562" s="437"/>
      <c r="F562" s="419"/>
      <c r="G562" s="419"/>
      <c r="H562" s="419"/>
      <c r="I562" s="419"/>
      <c r="J562" s="419"/>
      <c r="K562" s="419"/>
      <c r="L562" s="429"/>
      <c r="M562" s="419"/>
      <c r="N562" s="419"/>
      <c r="O562" s="419"/>
      <c r="P562" s="419"/>
      <c r="Q562" s="419"/>
      <c r="R562" s="419"/>
      <c r="S562" s="419"/>
      <c r="T562" s="419"/>
      <c r="U562" s="419"/>
      <c r="V562" s="419"/>
      <c r="W562" s="419"/>
      <c r="X562" s="419"/>
      <c r="Y562" s="419"/>
      <c r="Z562" s="419"/>
    </row>
    <row r="563" spans="3:26">
      <c r="C563" s="433"/>
      <c r="D563" s="433"/>
      <c r="E563" s="437"/>
      <c r="F563" s="419"/>
      <c r="G563" s="419"/>
      <c r="H563" s="419"/>
      <c r="I563" s="419"/>
      <c r="J563" s="419"/>
      <c r="K563" s="419"/>
      <c r="L563" s="429"/>
      <c r="M563" s="419"/>
      <c r="N563" s="419"/>
      <c r="O563" s="419"/>
      <c r="P563" s="419"/>
      <c r="Q563" s="419"/>
      <c r="R563" s="419"/>
      <c r="S563" s="419"/>
      <c r="T563" s="419"/>
      <c r="U563" s="419"/>
      <c r="V563" s="419"/>
      <c r="W563" s="419"/>
      <c r="X563" s="419"/>
      <c r="Y563" s="419"/>
      <c r="Z563" s="419"/>
    </row>
    <row r="564" spans="3:26">
      <c r="C564" s="433"/>
      <c r="D564" s="433"/>
      <c r="E564" s="437"/>
      <c r="F564" s="419"/>
      <c r="G564" s="419"/>
      <c r="H564" s="419"/>
      <c r="I564" s="419"/>
      <c r="J564" s="419"/>
      <c r="K564" s="419"/>
      <c r="L564" s="429"/>
      <c r="M564" s="419"/>
      <c r="N564" s="419"/>
      <c r="O564" s="419"/>
      <c r="P564" s="419"/>
      <c r="Q564" s="419"/>
      <c r="R564" s="419"/>
      <c r="S564" s="419"/>
      <c r="T564" s="419"/>
      <c r="U564" s="419"/>
      <c r="V564" s="419"/>
      <c r="W564" s="419"/>
      <c r="X564" s="419"/>
      <c r="Y564" s="419"/>
      <c r="Z564" s="419"/>
    </row>
    <row r="565" spans="3:26">
      <c r="C565" s="433"/>
      <c r="D565" s="433"/>
      <c r="E565" s="437"/>
      <c r="F565" s="419"/>
      <c r="G565" s="419"/>
      <c r="H565" s="419"/>
      <c r="I565" s="419"/>
      <c r="J565" s="419"/>
      <c r="K565" s="419"/>
      <c r="L565" s="429"/>
      <c r="M565" s="419"/>
      <c r="N565" s="419"/>
      <c r="O565" s="419"/>
      <c r="P565" s="419"/>
      <c r="Q565" s="419"/>
      <c r="R565" s="419"/>
      <c r="S565" s="419"/>
      <c r="T565" s="419"/>
      <c r="U565" s="419"/>
      <c r="V565" s="419"/>
      <c r="W565" s="419"/>
      <c r="X565" s="419"/>
      <c r="Y565" s="419"/>
      <c r="Z565" s="419"/>
    </row>
    <row r="566" spans="3:26">
      <c r="C566" s="433"/>
      <c r="D566" s="433"/>
      <c r="E566" s="437"/>
      <c r="F566" s="419"/>
      <c r="G566" s="419"/>
      <c r="H566" s="419"/>
      <c r="I566" s="419"/>
      <c r="J566" s="419"/>
      <c r="K566" s="419"/>
      <c r="L566" s="429"/>
      <c r="M566" s="419"/>
      <c r="N566" s="419"/>
      <c r="O566" s="419"/>
      <c r="P566" s="419"/>
      <c r="Q566" s="419"/>
      <c r="R566" s="419"/>
      <c r="S566" s="419"/>
      <c r="T566" s="419"/>
      <c r="U566" s="419"/>
      <c r="V566" s="419"/>
      <c r="W566" s="419"/>
      <c r="X566" s="419"/>
      <c r="Y566" s="419"/>
      <c r="Z566" s="419"/>
    </row>
    <row r="567" spans="3:26">
      <c r="C567" s="433"/>
      <c r="D567" s="433"/>
      <c r="E567" s="437"/>
      <c r="F567" s="419"/>
      <c r="G567" s="419"/>
      <c r="H567" s="419"/>
      <c r="I567" s="419"/>
      <c r="J567" s="419"/>
      <c r="K567" s="419"/>
      <c r="L567" s="429"/>
      <c r="M567" s="419"/>
      <c r="N567" s="419"/>
      <c r="O567" s="419"/>
      <c r="P567" s="419"/>
      <c r="Q567" s="419"/>
      <c r="R567" s="419"/>
      <c r="S567" s="419"/>
      <c r="T567" s="419"/>
      <c r="U567" s="419"/>
      <c r="V567" s="419"/>
      <c r="W567" s="419"/>
      <c r="X567" s="419"/>
      <c r="Y567" s="419"/>
      <c r="Z567" s="419"/>
    </row>
    <row r="568" spans="3:26">
      <c r="C568" s="433"/>
      <c r="D568" s="433"/>
      <c r="E568" s="437"/>
      <c r="F568" s="419"/>
      <c r="G568" s="419"/>
      <c r="H568" s="419"/>
      <c r="I568" s="419"/>
      <c r="J568" s="419"/>
      <c r="K568" s="419"/>
      <c r="L568" s="429"/>
      <c r="M568" s="419"/>
      <c r="N568" s="419"/>
      <c r="O568" s="419"/>
      <c r="P568" s="419"/>
      <c r="Q568" s="419"/>
      <c r="R568" s="419"/>
      <c r="S568" s="419"/>
      <c r="T568" s="419"/>
      <c r="U568" s="419"/>
      <c r="V568" s="419"/>
      <c r="W568" s="419"/>
      <c r="X568" s="419"/>
      <c r="Y568" s="419"/>
      <c r="Z568" s="419"/>
    </row>
    <row r="569" spans="3:26">
      <c r="C569" s="433"/>
      <c r="D569" s="433"/>
      <c r="E569" s="437"/>
      <c r="F569" s="419"/>
      <c r="G569" s="419"/>
      <c r="H569" s="419"/>
      <c r="I569" s="419"/>
      <c r="J569" s="419"/>
      <c r="K569" s="419"/>
      <c r="L569" s="429"/>
      <c r="M569" s="419"/>
      <c r="N569" s="419"/>
      <c r="O569" s="419"/>
      <c r="P569" s="419"/>
      <c r="Q569" s="419"/>
      <c r="R569" s="419"/>
      <c r="S569" s="419"/>
      <c r="T569" s="419"/>
      <c r="U569" s="419"/>
      <c r="V569" s="419"/>
      <c r="W569" s="419"/>
      <c r="X569" s="419"/>
      <c r="Y569" s="419"/>
      <c r="Z569" s="419"/>
    </row>
    <row r="570" spans="3:26">
      <c r="C570" s="433"/>
      <c r="D570" s="433"/>
      <c r="E570" s="437"/>
      <c r="F570" s="419"/>
      <c r="G570" s="419"/>
      <c r="H570" s="419"/>
      <c r="I570" s="419"/>
      <c r="J570" s="419"/>
      <c r="K570" s="419"/>
      <c r="L570" s="429"/>
      <c r="M570" s="419"/>
      <c r="N570" s="419"/>
      <c r="O570" s="419"/>
      <c r="P570" s="419"/>
      <c r="Q570" s="419"/>
      <c r="R570" s="419"/>
      <c r="S570" s="419"/>
      <c r="T570" s="419"/>
      <c r="U570" s="419"/>
      <c r="V570" s="419"/>
      <c r="W570" s="419"/>
      <c r="X570" s="419"/>
      <c r="Y570" s="419"/>
      <c r="Z570" s="419"/>
    </row>
    <row r="571" spans="3:26">
      <c r="C571" s="433"/>
      <c r="D571" s="433"/>
      <c r="E571" s="437"/>
      <c r="F571" s="419"/>
      <c r="G571" s="419"/>
      <c r="H571" s="419"/>
      <c r="I571" s="419"/>
      <c r="J571" s="419"/>
      <c r="K571" s="419"/>
      <c r="L571" s="429"/>
      <c r="M571" s="419"/>
      <c r="N571" s="419"/>
      <c r="O571" s="419"/>
      <c r="P571" s="419"/>
      <c r="Q571" s="419"/>
      <c r="R571" s="419"/>
      <c r="S571" s="419"/>
      <c r="T571" s="419"/>
      <c r="U571" s="419"/>
      <c r="V571" s="419"/>
      <c r="W571" s="419"/>
      <c r="X571" s="419"/>
      <c r="Y571" s="419"/>
      <c r="Z571" s="419"/>
    </row>
    <row r="572" spans="3:26">
      <c r="C572" s="433"/>
      <c r="D572" s="433"/>
      <c r="E572" s="437"/>
      <c r="F572" s="419"/>
      <c r="G572" s="419"/>
      <c r="H572" s="419"/>
      <c r="I572" s="419"/>
      <c r="J572" s="419"/>
      <c r="K572" s="419"/>
      <c r="L572" s="429"/>
      <c r="M572" s="419"/>
      <c r="N572" s="419"/>
      <c r="O572" s="419"/>
      <c r="P572" s="419"/>
      <c r="Q572" s="419"/>
      <c r="R572" s="419"/>
      <c r="S572" s="419"/>
      <c r="T572" s="419"/>
      <c r="U572" s="419"/>
      <c r="V572" s="419"/>
      <c r="W572" s="419"/>
      <c r="X572" s="419"/>
      <c r="Y572" s="419"/>
      <c r="Z572" s="419"/>
    </row>
    <row r="573" spans="3:26">
      <c r="C573" s="433"/>
      <c r="D573" s="433"/>
      <c r="E573" s="437"/>
      <c r="F573" s="419"/>
      <c r="G573" s="419"/>
      <c r="H573" s="419"/>
      <c r="I573" s="419"/>
      <c r="J573" s="419"/>
      <c r="K573" s="419"/>
      <c r="L573" s="429"/>
      <c r="M573" s="419"/>
      <c r="N573" s="419"/>
      <c r="O573" s="419"/>
      <c r="P573" s="419"/>
      <c r="Q573" s="419"/>
      <c r="R573" s="419"/>
      <c r="S573" s="419"/>
      <c r="T573" s="419"/>
      <c r="U573" s="419"/>
      <c r="V573" s="419"/>
      <c r="W573" s="419"/>
      <c r="X573" s="419"/>
      <c r="Y573" s="419"/>
      <c r="Z573" s="419"/>
    </row>
    <row r="574" spans="3:26">
      <c r="C574" s="433"/>
      <c r="D574" s="433"/>
      <c r="E574" s="437"/>
      <c r="F574" s="419"/>
      <c r="G574" s="419"/>
      <c r="H574" s="419"/>
      <c r="I574" s="419"/>
      <c r="J574" s="419"/>
      <c r="K574" s="419"/>
      <c r="L574" s="429"/>
      <c r="M574" s="419"/>
      <c r="N574" s="419"/>
      <c r="O574" s="419"/>
      <c r="P574" s="419"/>
      <c r="Q574" s="419"/>
      <c r="R574" s="419"/>
      <c r="S574" s="419"/>
      <c r="T574" s="419"/>
      <c r="U574" s="419"/>
      <c r="V574" s="419"/>
      <c r="W574" s="419"/>
      <c r="X574" s="419"/>
      <c r="Y574" s="419"/>
      <c r="Z574" s="419"/>
    </row>
    <row r="575" spans="3:26">
      <c r="C575" s="433"/>
      <c r="D575" s="433"/>
      <c r="E575" s="437"/>
      <c r="F575" s="419"/>
      <c r="G575" s="419"/>
      <c r="H575" s="419"/>
      <c r="I575" s="419"/>
      <c r="J575" s="419"/>
      <c r="K575" s="419"/>
      <c r="L575" s="429"/>
      <c r="M575" s="419"/>
      <c r="N575" s="419"/>
      <c r="O575" s="419"/>
      <c r="P575" s="419"/>
      <c r="Q575" s="419"/>
      <c r="R575" s="419"/>
      <c r="S575" s="419"/>
      <c r="T575" s="419"/>
      <c r="U575" s="419"/>
      <c r="V575" s="419"/>
      <c r="W575" s="419"/>
      <c r="X575" s="419"/>
      <c r="Y575" s="419"/>
      <c r="Z575" s="419"/>
    </row>
    <row r="576" spans="3:26">
      <c r="C576" s="433"/>
      <c r="D576" s="433"/>
      <c r="E576" s="437"/>
      <c r="F576" s="419"/>
      <c r="G576" s="419"/>
      <c r="H576" s="419"/>
      <c r="I576" s="419"/>
      <c r="J576" s="419"/>
      <c r="K576" s="419"/>
      <c r="L576" s="429"/>
      <c r="M576" s="419"/>
      <c r="N576" s="419"/>
      <c r="O576" s="419"/>
      <c r="P576" s="419"/>
      <c r="Q576" s="419"/>
      <c r="R576" s="419"/>
      <c r="S576" s="419"/>
      <c r="T576" s="419"/>
      <c r="U576" s="419"/>
      <c r="V576" s="419"/>
      <c r="W576" s="419"/>
      <c r="X576" s="419"/>
      <c r="Y576" s="419"/>
      <c r="Z576" s="419"/>
    </row>
    <row r="577" spans="3:26">
      <c r="C577" s="433"/>
      <c r="D577" s="433"/>
      <c r="E577" s="437"/>
      <c r="F577" s="419"/>
      <c r="G577" s="419"/>
      <c r="H577" s="419"/>
      <c r="I577" s="419"/>
      <c r="J577" s="419"/>
      <c r="K577" s="419"/>
      <c r="L577" s="429"/>
      <c r="M577" s="419"/>
      <c r="N577" s="419"/>
      <c r="O577" s="419"/>
      <c r="P577" s="419"/>
      <c r="Q577" s="419"/>
      <c r="R577" s="419"/>
      <c r="S577" s="419"/>
      <c r="T577" s="419"/>
      <c r="U577" s="419"/>
      <c r="V577" s="419"/>
      <c r="W577" s="419"/>
      <c r="X577" s="419"/>
      <c r="Y577" s="419"/>
      <c r="Z577" s="419"/>
    </row>
    <row r="578" spans="3:26">
      <c r="C578" s="433"/>
      <c r="D578" s="433"/>
      <c r="E578" s="437"/>
      <c r="F578" s="419"/>
      <c r="G578" s="419"/>
      <c r="H578" s="419"/>
      <c r="I578" s="419"/>
      <c r="J578" s="419"/>
      <c r="K578" s="419"/>
      <c r="L578" s="429"/>
      <c r="M578" s="419"/>
      <c r="N578" s="419"/>
      <c r="O578" s="419"/>
      <c r="P578" s="419"/>
      <c r="Q578" s="419"/>
      <c r="R578" s="419"/>
      <c r="S578" s="419"/>
      <c r="T578" s="419"/>
      <c r="U578" s="419"/>
      <c r="V578" s="419"/>
      <c r="W578" s="419"/>
      <c r="X578" s="419"/>
      <c r="Y578" s="419"/>
      <c r="Z578" s="419"/>
    </row>
    <row r="579" spans="3:26">
      <c r="C579" s="433"/>
      <c r="D579" s="433"/>
      <c r="E579" s="437"/>
      <c r="F579" s="419"/>
      <c r="G579" s="419"/>
      <c r="H579" s="419"/>
      <c r="I579" s="419"/>
      <c r="J579" s="419"/>
      <c r="K579" s="419"/>
      <c r="L579" s="429"/>
      <c r="M579" s="419"/>
      <c r="N579" s="419"/>
      <c r="O579" s="419"/>
      <c r="P579" s="419"/>
      <c r="Q579" s="419"/>
      <c r="R579" s="419"/>
      <c r="S579" s="419"/>
      <c r="T579" s="419"/>
      <c r="U579" s="419"/>
      <c r="V579" s="419"/>
      <c r="W579" s="419"/>
      <c r="X579" s="419"/>
      <c r="Y579" s="419"/>
      <c r="Z579" s="419"/>
    </row>
    <row r="580" spans="3:26">
      <c r="C580" s="433"/>
      <c r="D580" s="433"/>
      <c r="E580" s="437"/>
      <c r="F580" s="419"/>
      <c r="G580" s="419"/>
      <c r="H580" s="419"/>
      <c r="I580" s="419"/>
      <c r="J580" s="419"/>
      <c r="K580" s="419"/>
      <c r="L580" s="429"/>
      <c r="M580" s="419"/>
      <c r="N580" s="419"/>
      <c r="O580" s="419"/>
      <c r="P580" s="419"/>
      <c r="Q580" s="419"/>
      <c r="R580" s="419"/>
      <c r="S580" s="419"/>
      <c r="T580" s="419"/>
      <c r="U580" s="419"/>
      <c r="V580" s="419"/>
      <c r="W580" s="419"/>
      <c r="X580" s="419"/>
      <c r="Y580" s="419"/>
      <c r="Z580" s="419"/>
    </row>
    <row r="581" spans="3:26">
      <c r="C581" s="433"/>
      <c r="D581" s="433"/>
      <c r="E581" s="437"/>
      <c r="F581" s="419"/>
      <c r="G581" s="419"/>
      <c r="H581" s="419"/>
      <c r="I581" s="419"/>
      <c r="J581" s="419"/>
      <c r="K581" s="419"/>
      <c r="L581" s="429"/>
      <c r="M581" s="419"/>
      <c r="N581" s="419"/>
      <c r="O581" s="419"/>
      <c r="P581" s="419"/>
      <c r="Q581" s="419"/>
      <c r="R581" s="419"/>
      <c r="S581" s="419"/>
      <c r="T581" s="419"/>
      <c r="U581" s="419"/>
      <c r="V581" s="419"/>
      <c r="W581" s="419"/>
      <c r="X581" s="419"/>
      <c r="Y581" s="419"/>
      <c r="Z581" s="419"/>
    </row>
    <row r="582" spans="3:26">
      <c r="C582" s="433"/>
      <c r="D582" s="433"/>
      <c r="E582" s="437"/>
      <c r="F582" s="419"/>
      <c r="G582" s="419"/>
      <c r="H582" s="419"/>
      <c r="I582" s="419"/>
      <c r="J582" s="419"/>
      <c r="K582" s="419"/>
      <c r="L582" s="429"/>
      <c r="M582" s="419"/>
      <c r="N582" s="419"/>
      <c r="O582" s="419"/>
      <c r="P582" s="419"/>
      <c r="Q582" s="419"/>
      <c r="R582" s="419"/>
      <c r="S582" s="419"/>
      <c r="T582" s="419"/>
      <c r="U582" s="419"/>
      <c r="V582" s="419"/>
      <c r="W582" s="419"/>
      <c r="X582" s="419"/>
      <c r="Y582" s="419"/>
      <c r="Z582" s="419"/>
    </row>
    <row r="583" spans="3:26">
      <c r="C583" s="433"/>
      <c r="D583" s="433"/>
      <c r="E583" s="437"/>
      <c r="F583" s="419"/>
      <c r="G583" s="419"/>
      <c r="H583" s="419"/>
      <c r="I583" s="419"/>
      <c r="J583" s="419"/>
      <c r="K583" s="419"/>
      <c r="L583" s="429"/>
      <c r="M583" s="419"/>
      <c r="N583" s="419"/>
      <c r="O583" s="419"/>
      <c r="P583" s="419"/>
      <c r="Q583" s="419"/>
      <c r="R583" s="419"/>
      <c r="S583" s="419"/>
      <c r="T583" s="419"/>
      <c r="U583" s="419"/>
      <c r="V583" s="419"/>
      <c r="W583" s="419"/>
      <c r="X583" s="419"/>
      <c r="Y583" s="419"/>
      <c r="Z583" s="419"/>
    </row>
    <row r="584" spans="3:26">
      <c r="C584" s="433"/>
      <c r="D584" s="433"/>
      <c r="E584" s="437"/>
      <c r="F584" s="419"/>
      <c r="G584" s="419"/>
      <c r="H584" s="419"/>
      <c r="I584" s="419"/>
      <c r="J584" s="419"/>
      <c r="K584" s="419"/>
      <c r="L584" s="429"/>
      <c r="M584" s="419"/>
      <c r="N584" s="419"/>
      <c r="O584" s="419"/>
      <c r="P584" s="419"/>
      <c r="Q584" s="419"/>
      <c r="R584" s="419"/>
      <c r="S584" s="419"/>
      <c r="T584" s="419"/>
      <c r="U584" s="419"/>
      <c r="V584" s="419"/>
      <c r="W584" s="419"/>
      <c r="X584" s="419"/>
      <c r="Y584" s="419"/>
      <c r="Z584" s="419"/>
    </row>
    <row r="585" spans="3:26">
      <c r="C585" s="433"/>
      <c r="D585" s="433"/>
      <c r="E585" s="437"/>
      <c r="F585" s="419"/>
      <c r="G585" s="419"/>
      <c r="H585" s="419"/>
      <c r="I585" s="419"/>
      <c r="J585" s="419"/>
      <c r="K585" s="419"/>
      <c r="L585" s="429"/>
      <c r="M585" s="419"/>
      <c r="N585" s="419"/>
      <c r="O585" s="419"/>
      <c r="P585" s="419"/>
      <c r="Q585" s="419"/>
      <c r="R585" s="419"/>
      <c r="S585" s="419"/>
      <c r="T585" s="419"/>
      <c r="U585" s="419"/>
      <c r="V585" s="419"/>
      <c r="W585" s="419"/>
      <c r="X585" s="419"/>
      <c r="Y585" s="419"/>
      <c r="Z585" s="419"/>
    </row>
    <row r="586" spans="3:26">
      <c r="C586" s="433"/>
      <c r="D586" s="433"/>
      <c r="E586" s="437"/>
      <c r="F586" s="419"/>
      <c r="G586" s="419"/>
      <c r="H586" s="419"/>
      <c r="I586" s="419"/>
      <c r="J586" s="419"/>
      <c r="K586" s="419"/>
      <c r="L586" s="429"/>
      <c r="M586" s="419"/>
      <c r="N586" s="419"/>
      <c r="O586" s="419"/>
      <c r="P586" s="419"/>
      <c r="Q586" s="419"/>
      <c r="R586" s="419"/>
      <c r="S586" s="419"/>
      <c r="T586" s="419"/>
      <c r="U586" s="419"/>
      <c r="V586" s="419"/>
      <c r="W586" s="419"/>
      <c r="X586" s="419"/>
      <c r="Y586" s="419"/>
      <c r="Z586" s="419"/>
    </row>
    <row r="587" spans="3:26">
      <c r="C587" s="433"/>
      <c r="D587" s="433"/>
      <c r="E587" s="437"/>
      <c r="F587" s="419"/>
      <c r="G587" s="419"/>
      <c r="H587" s="419"/>
      <c r="I587" s="419"/>
      <c r="J587" s="419"/>
      <c r="K587" s="419"/>
      <c r="L587" s="429"/>
      <c r="M587" s="419"/>
      <c r="N587" s="419"/>
      <c r="O587" s="419"/>
      <c r="P587" s="419"/>
      <c r="Q587" s="419"/>
      <c r="R587" s="419"/>
      <c r="S587" s="419"/>
      <c r="T587" s="419"/>
      <c r="U587" s="419"/>
      <c r="V587" s="419"/>
      <c r="W587" s="419"/>
      <c r="X587" s="419"/>
      <c r="Y587" s="419"/>
      <c r="Z587" s="419"/>
    </row>
    <row r="588" spans="3:26">
      <c r="C588" s="433"/>
      <c r="D588" s="433"/>
      <c r="E588" s="437"/>
      <c r="F588" s="419"/>
      <c r="G588" s="419"/>
      <c r="H588" s="419"/>
      <c r="I588" s="419"/>
      <c r="J588" s="419"/>
      <c r="K588" s="419"/>
      <c r="L588" s="429"/>
      <c r="M588" s="419"/>
      <c r="N588" s="419"/>
      <c r="O588" s="419"/>
      <c r="P588" s="419"/>
      <c r="Q588" s="419"/>
      <c r="R588" s="419"/>
      <c r="S588" s="419"/>
      <c r="T588" s="419"/>
      <c r="U588" s="419"/>
      <c r="V588" s="419"/>
      <c r="W588" s="419"/>
      <c r="X588" s="419"/>
      <c r="Y588" s="419"/>
      <c r="Z588" s="419"/>
    </row>
    <row r="589" spans="3:26">
      <c r="C589" s="433"/>
      <c r="D589" s="433"/>
      <c r="E589" s="437"/>
      <c r="F589" s="419"/>
      <c r="G589" s="419"/>
      <c r="H589" s="419"/>
      <c r="I589" s="419"/>
      <c r="J589" s="419"/>
      <c r="K589" s="419"/>
      <c r="L589" s="429"/>
      <c r="M589" s="419"/>
      <c r="N589" s="419"/>
      <c r="O589" s="419"/>
      <c r="P589" s="419"/>
      <c r="Q589" s="419"/>
      <c r="R589" s="419"/>
      <c r="S589" s="419"/>
      <c r="T589" s="419"/>
      <c r="U589" s="419"/>
      <c r="V589" s="419"/>
      <c r="W589" s="419"/>
      <c r="X589" s="419"/>
      <c r="Y589" s="419"/>
      <c r="Z589" s="419"/>
    </row>
    <row r="590" spans="3:26">
      <c r="C590" s="433"/>
      <c r="D590" s="433"/>
      <c r="E590" s="437"/>
      <c r="F590" s="419"/>
      <c r="G590" s="419"/>
      <c r="H590" s="419"/>
      <c r="I590" s="419"/>
      <c r="J590" s="419"/>
      <c r="K590" s="419"/>
      <c r="L590" s="429"/>
      <c r="M590" s="419"/>
      <c r="N590" s="419"/>
      <c r="O590" s="419"/>
      <c r="P590" s="419"/>
      <c r="Q590" s="419"/>
      <c r="R590" s="419"/>
      <c r="S590" s="419"/>
      <c r="T590" s="419"/>
      <c r="U590" s="419"/>
      <c r="V590" s="419"/>
      <c r="W590" s="419"/>
      <c r="X590" s="419"/>
      <c r="Y590" s="419"/>
      <c r="Z590" s="419"/>
    </row>
    <row r="591" spans="3:26">
      <c r="C591" s="433"/>
      <c r="D591" s="433"/>
      <c r="E591" s="437"/>
      <c r="F591" s="419"/>
      <c r="G591" s="419"/>
      <c r="H591" s="419"/>
      <c r="I591" s="419"/>
      <c r="J591" s="419"/>
      <c r="K591" s="419"/>
      <c r="L591" s="429"/>
      <c r="M591" s="419"/>
      <c r="N591" s="419"/>
      <c r="O591" s="419"/>
      <c r="P591" s="419"/>
      <c r="Q591" s="419"/>
      <c r="R591" s="419"/>
      <c r="S591" s="419"/>
      <c r="T591" s="419"/>
      <c r="U591" s="419"/>
      <c r="V591" s="419"/>
      <c r="W591" s="419"/>
      <c r="X591" s="419"/>
      <c r="Y591" s="419"/>
      <c r="Z591" s="419"/>
    </row>
    <row r="592" spans="3:26">
      <c r="C592" s="433"/>
      <c r="D592" s="433"/>
      <c r="E592" s="437"/>
      <c r="F592" s="419"/>
      <c r="G592" s="419"/>
      <c r="H592" s="419"/>
      <c r="I592" s="419"/>
      <c r="J592" s="419"/>
      <c r="K592" s="419"/>
      <c r="L592" s="429"/>
      <c r="M592" s="419"/>
      <c r="N592" s="419"/>
      <c r="O592" s="419"/>
      <c r="P592" s="419"/>
      <c r="Q592" s="419"/>
      <c r="R592" s="419"/>
      <c r="S592" s="419"/>
      <c r="T592" s="419"/>
      <c r="U592" s="419"/>
      <c r="V592" s="419"/>
      <c r="W592" s="419"/>
      <c r="X592" s="419"/>
      <c r="Y592" s="419"/>
      <c r="Z592" s="419"/>
    </row>
    <row r="593" spans="3:26">
      <c r="C593" s="433"/>
      <c r="D593" s="433"/>
      <c r="E593" s="437"/>
      <c r="F593" s="419"/>
      <c r="G593" s="419"/>
      <c r="H593" s="419"/>
      <c r="I593" s="419"/>
      <c r="J593" s="419"/>
      <c r="K593" s="419"/>
      <c r="L593" s="429"/>
      <c r="M593" s="419"/>
      <c r="N593" s="419"/>
      <c r="O593" s="419"/>
      <c r="P593" s="419"/>
      <c r="Q593" s="419"/>
      <c r="R593" s="419"/>
      <c r="S593" s="419"/>
      <c r="T593" s="419"/>
      <c r="U593" s="419"/>
      <c r="V593" s="419"/>
      <c r="W593" s="419"/>
      <c r="X593" s="419"/>
      <c r="Y593" s="419"/>
      <c r="Z593" s="419"/>
    </row>
    <row r="594" spans="3:26">
      <c r="C594" s="433"/>
      <c r="D594" s="433"/>
      <c r="E594" s="437"/>
      <c r="F594" s="419"/>
      <c r="G594" s="419"/>
      <c r="H594" s="419"/>
      <c r="I594" s="419"/>
      <c r="J594" s="419"/>
      <c r="K594" s="419"/>
      <c r="L594" s="429"/>
      <c r="M594" s="419"/>
      <c r="N594" s="419"/>
      <c r="O594" s="419"/>
      <c r="P594" s="419"/>
      <c r="Q594" s="419"/>
      <c r="R594" s="419"/>
      <c r="S594" s="419"/>
      <c r="T594" s="419"/>
      <c r="U594" s="419"/>
      <c r="V594" s="419"/>
      <c r="W594" s="419"/>
      <c r="X594" s="419"/>
      <c r="Y594" s="419"/>
      <c r="Z594" s="419"/>
    </row>
    <row r="595" spans="3:26">
      <c r="C595" s="433"/>
      <c r="D595" s="433"/>
      <c r="E595" s="437"/>
      <c r="F595" s="419"/>
      <c r="G595" s="419"/>
      <c r="H595" s="419"/>
      <c r="I595" s="419"/>
      <c r="J595" s="419"/>
      <c r="K595" s="419"/>
      <c r="L595" s="429"/>
      <c r="M595" s="419"/>
      <c r="N595" s="419"/>
      <c r="O595" s="419"/>
      <c r="P595" s="419"/>
      <c r="Q595" s="419"/>
      <c r="R595" s="419"/>
      <c r="S595" s="419"/>
      <c r="T595" s="419"/>
      <c r="U595" s="419"/>
      <c r="V595" s="419"/>
      <c r="W595" s="419"/>
      <c r="X595" s="419"/>
      <c r="Y595" s="419"/>
      <c r="Z595" s="419"/>
    </row>
    <row r="596" spans="3:26">
      <c r="C596" s="433"/>
      <c r="D596" s="433"/>
      <c r="E596" s="437"/>
      <c r="F596" s="419"/>
      <c r="G596" s="419"/>
      <c r="H596" s="419"/>
      <c r="I596" s="419"/>
      <c r="J596" s="419"/>
      <c r="K596" s="419"/>
      <c r="L596" s="429"/>
      <c r="M596" s="419"/>
      <c r="N596" s="419"/>
      <c r="O596" s="419"/>
      <c r="P596" s="419"/>
      <c r="Q596" s="419"/>
      <c r="R596" s="419"/>
      <c r="S596" s="419"/>
      <c r="T596" s="419"/>
      <c r="U596" s="419"/>
      <c r="V596" s="419"/>
      <c r="W596" s="419"/>
      <c r="X596" s="419"/>
      <c r="Y596" s="419"/>
      <c r="Z596" s="419"/>
    </row>
    <row r="597" spans="3:26">
      <c r="C597" s="433"/>
      <c r="D597" s="433"/>
      <c r="E597" s="437"/>
      <c r="F597" s="419"/>
      <c r="G597" s="419"/>
      <c r="H597" s="419"/>
      <c r="I597" s="419"/>
      <c r="J597" s="419"/>
      <c r="K597" s="419"/>
      <c r="L597" s="429"/>
      <c r="M597" s="419"/>
      <c r="N597" s="419"/>
      <c r="O597" s="419"/>
      <c r="P597" s="419"/>
      <c r="Q597" s="419"/>
      <c r="R597" s="419"/>
      <c r="S597" s="419"/>
      <c r="T597" s="419"/>
      <c r="U597" s="419"/>
      <c r="V597" s="419"/>
      <c r="W597" s="419"/>
      <c r="X597" s="419"/>
      <c r="Y597" s="419"/>
      <c r="Z597" s="419"/>
    </row>
    <row r="598" spans="3:26">
      <c r="C598" s="433"/>
      <c r="D598" s="433"/>
      <c r="E598" s="437"/>
      <c r="F598" s="419"/>
      <c r="G598" s="419"/>
      <c r="H598" s="419"/>
      <c r="I598" s="419"/>
      <c r="J598" s="419"/>
      <c r="K598" s="419"/>
      <c r="L598" s="429"/>
      <c r="M598" s="419"/>
      <c r="N598" s="419"/>
      <c r="O598" s="419"/>
      <c r="P598" s="419"/>
      <c r="Q598" s="419"/>
      <c r="R598" s="419"/>
      <c r="S598" s="419"/>
      <c r="T598" s="419"/>
      <c r="U598" s="419"/>
      <c r="V598" s="419"/>
      <c r="W598" s="419"/>
      <c r="X598" s="419"/>
      <c r="Y598" s="419"/>
      <c r="Z598" s="419"/>
    </row>
    <row r="599" spans="3:26">
      <c r="C599" s="433"/>
      <c r="D599" s="433"/>
      <c r="E599" s="437"/>
      <c r="F599" s="419"/>
      <c r="G599" s="419"/>
      <c r="H599" s="419"/>
      <c r="I599" s="419"/>
      <c r="J599" s="419"/>
      <c r="K599" s="419"/>
      <c r="L599" s="429"/>
      <c r="M599" s="419"/>
      <c r="N599" s="419"/>
      <c r="O599" s="419"/>
      <c r="P599" s="419"/>
      <c r="Q599" s="419"/>
      <c r="R599" s="419"/>
      <c r="S599" s="419"/>
      <c r="T599" s="419"/>
      <c r="U599" s="419"/>
      <c r="V599" s="419"/>
      <c r="W599" s="419"/>
      <c r="X599" s="419"/>
      <c r="Y599" s="419"/>
      <c r="Z599" s="419"/>
    </row>
    <row r="600" spans="3:26">
      <c r="C600" s="433"/>
      <c r="D600" s="433"/>
      <c r="E600" s="437"/>
      <c r="F600" s="419"/>
      <c r="G600" s="419"/>
      <c r="H600" s="419"/>
      <c r="I600" s="419"/>
      <c r="J600" s="419"/>
      <c r="K600" s="419"/>
      <c r="L600" s="429"/>
      <c r="M600" s="419"/>
      <c r="N600" s="419"/>
      <c r="O600" s="419"/>
      <c r="P600" s="419"/>
      <c r="Q600" s="419"/>
      <c r="R600" s="419"/>
      <c r="S600" s="419"/>
      <c r="T600" s="419"/>
      <c r="U600" s="419"/>
      <c r="V600" s="419"/>
      <c r="W600" s="419"/>
      <c r="X600" s="419"/>
      <c r="Y600" s="419"/>
      <c r="Z600" s="419"/>
    </row>
    <row r="601" spans="3:26">
      <c r="C601" s="433"/>
      <c r="D601" s="433"/>
      <c r="E601" s="437"/>
      <c r="F601" s="419"/>
      <c r="G601" s="419"/>
      <c r="H601" s="419"/>
      <c r="I601" s="419"/>
      <c r="J601" s="419"/>
      <c r="K601" s="419"/>
      <c r="L601" s="429"/>
      <c r="M601" s="419"/>
      <c r="N601" s="419"/>
      <c r="O601" s="419"/>
      <c r="P601" s="419"/>
      <c r="Q601" s="419"/>
      <c r="R601" s="419"/>
      <c r="S601" s="419"/>
      <c r="T601" s="419"/>
      <c r="U601" s="419"/>
      <c r="V601" s="419"/>
      <c r="W601" s="419"/>
      <c r="X601" s="419"/>
      <c r="Y601" s="419"/>
      <c r="Z601" s="419"/>
    </row>
    <row r="602" spans="3:26">
      <c r="C602" s="433"/>
      <c r="D602" s="433"/>
      <c r="E602" s="437"/>
      <c r="F602" s="419"/>
      <c r="G602" s="419"/>
      <c r="H602" s="419"/>
      <c r="I602" s="419"/>
      <c r="J602" s="419"/>
      <c r="K602" s="419"/>
      <c r="L602" s="429"/>
      <c r="M602" s="419"/>
      <c r="N602" s="419"/>
      <c r="O602" s="419"/>
      <c r="P602" s="419"/>
      <c r="Q602" s="419"/>
      <c r="R602" s="419"/>
      <c r="S602" s="419"/>
      <c r="T602" s="419"/>
      <c r="U602" s="419"/>
      <c r="V602" s="419"/>
      <c r="W602" s="419"/>
      <c r="X602" s="419"/>
      <c r="Y602" s="419"/>
      <c r="Z602" s="419"/>
    </row>
    <row r="603" spans="3:26">
      <c r="C603" s="433"/>
      <c r="D603" s="433"/>
      <c r="E603" s="437"/>
      <c r="F603" s="419"/>
      <c r="G603" s="419"/>
      <c r="H603" s="419"/>
      <c r="I603" s="419"/>
      <c r="J603" s="419"/>
      <c r="K603" s="419"/>
      <c r="L603" s="429"/>
      <c r="M603" s="419"/>
      <c r="N603" s="419"/>
      <c r="O603" s="419"/>
      <c r="P603" s="419"/>
      <c r="Q603" s="419"/>
      <c r="R603" s="419"/>
      <c r="S603" s="419"/>
      <c r="T603" s="419"/>
      <c r="U603" s="419"/>
      <c r="V603" s="419"/>
      <c r="W603" s="419"/>
      <c r="X603" s="419"/>
      <c r="Y603" s="419"/>
      <c r="Z603" s="419"/>
    </row>
    <row r="604" spans="3:26">
      <c r="C604" s="433"/>
      <c r="D604" s="433"/>
      <c r="E604" s="437"/>
      <c r="F604" s="419"/>
      <c r="G604" s="419"/>
      <c r="H604" s="419"/>
      <c r="I604" s="419"/>
      <c r="J604" s="419"/>
      <c r="K604" s="419"/>
      <c r="L604" s="429"/>
      <c r="M604" s="419"/>
      <c r="N604" s="419"/>
      <c r="O604" s="419"/>
      <c r="P604" s="419"/>
      <c r="Q604" s="419"/>
      <c r="R604" s="419"/>
      <c r="S604" s="419"/>
      <c r="T604" s="419"/>
      <c r="U604" s="419"/>
      <c r="V604" s="419"/>
      <c r="W604" s="419"/>
      <c r="X604" s="419"/>
      <c r="Y604" s="419"/>
      <c r="Z604" s="419"/>
    </row>
    <row r="605" spans="3:26">
      <c r="C605" s="433"/>
      <c r="D605" s="433"/>
      <c r="E605" s="437"/>
      <c r="F605" s="419"/>
      <c r="G605" s="419"/>
      <c r="H605" s="419"/>
      <c r="I605" s="419"/>
      <c r="J605" s="419"/>
      <c r="K605" s="419"/>
      <c r="L605" s="429"/>
      <c r="M605" s="419"/>
      <c r="N605" s="419"/>
      <c r="O605" s="419"/>
      <c r="P605" s="419"/>
      <c r="Q605" s="419"/>
      <c r="R605" s="419"/>
      <c r="S605" s="419"/>
      <c r="T605" s="419"/>
      <c r="U605" s="419"/>
      <c r="V605" s="419"/>
      <c r="W605" s="419"/>
      <c r="X605" s="419"/>
      <c r="Y605" s="419"/>
      <c r="Z605" s="419"/>
    </row>
    <row r="606" spans="3:26">
      <c r="C606" s="433"/>
      <c r="D606" s="433"/>
      <c r="E606" s="437"/>
      <c r="F606" s="419"/>
      <c r="G606" s="419"/>
      <c r="H606" s="419"/>
      <c r="I606" s="419"/>
      <c r="J606" s="419"/>
      <c r="K606" s="419"/>
      <c r="L606" s="429"/>
      <c r="M606" s="419"/>
      <c r="N606" s="419"/>
      <c r="O606" s="419"/>
      <c r="P606" s="419"/>
      <c r="Q606" s="419"/>
      <c r="R606" s="419"/>
      <c r="S606" s="419"/>
      <c r="T606" s="419"/>
      <c r="U606" s="419"/>
      <c r="V606" s="419"/>
      <c r="W606" s="419"/>
      <c r="X606" s="419"/>
      <c r="Y606" s="419"/>
      <c r="Z606" s="419"/>
    </row>
    <row r="607" spans="3:26">
      <c r="C607" s="433"/>
      <c r="D607" s="433"/>
      <c r="E607" s="437"/>
      <c r="F607" s="419"/>
      <c r="G607" s="419"/>
      <c r="H607" s="419"/>
      <c r="I607" s="419"/>
      <c r="J607" s="419"/>
      <c r="K607" s="419"/>
      <c r="L607" s="429"/>
      <c r="M607" s="419"/>
      <c r="N607" s="419"/>
      <c r="O607" s="419"/>
      <c r="P607" s="419"/>
      <c r="Q607" s="419"/>
      <c r="R607" s="419"/>
      <c r="S607" s="419"/>
      <c r="T607" s="419"/>
      <c r="U607" s="419"/>
      <c r="V607" s="419"/>
      <c r="W607" s="419"/>
      <c r="X607" s="419"/>
      <c r="Y607" s="419"/>
      <c r="Z607" s="419"/>
    </row>
    <row r="608" spans="3:26">
      <c r="C608" s="433"/>
      <c r="D608" s="433"/>
      <c r="E608" s="437"/>
      <c r="F608" s="419"/>
      <c r="G608" s="419"/>
      <c r="H608" s="419"/>
      <c r="I608" s="419"/>
      <c r="J608" s="419"/>
      <c r="K608" s="419"/>
      <c r="L608" s="429"/>
      <c r="M608" s="419"/>
      <c r="N608" s="419"/>
      <c r="O608" s="419"/>
      <c r="P608" s="419"/>
      <c r="Q608" s="419"/>
      <c r="R608" s="419"/>
      <c r="S608" s="419"/>
      <c r="T608" s="419"/>
      <c r="U608" s="419"/>
      <c r="V608" s="419"/>
      <c r="W608" s="419"/>
      <c r="X608" s="419"/>
      <c r="Y608" s="419"/>
      <c r="Z608" s="419"/>
    </row>
    <row r="609" spans="3:26">
      <c r="C609" s="433"/>
      <c r="D609" s="433"/>
      <c r="E609" s="437"/>
      <c r="F609" s="419"/>
      <c r="G609" s="419"/>
      <c r="H609" s="419"/>
      <c r="I609" s="419"/>
      <c r="J609" s="419"/>
      <c r="K609" s="419"/>
      <c r="L609" s="429"/>
      <c r="M609" s="419"/>
      <c r="N609" s="419"/>
      <c r="O609" s="419"/>
      <c r="P609" s="419"/>
      <c r="Q609" s="419"/>
      <c r="R609" s="419"/>
      <c r="S609" s="419"/>
      <c r="T609" s="419"/>
      <c r="U609" s="419"/>
      <c r="V609" s="419"/>
      <c r="W609" s="419"/>
      <c r="X609" s="419"/>
      <c r="Y609" s="419"/>
      <c r="Z609" s="419"/>
    </row>
    <row r="610" spans="3:26">
      <c r="C610" s="433"/>
      <c r="D610" s="433"/>
      <c r="E610" s="437"/>
      <c r="F610" s="419"/>
      <c r="G610" s="419"/>
      <c r="H610" s="419"/>
      <c r="I610" s="419"/>
      <c r="J610" s="419"/>
      <c r="K610" s="419"/>
      <c r="L610" s="429"/>
      <c r="M610" s="419"/>
      <c r="N610" s="419"/>
      <c r="O610" s="419"/>
      <c r="P610" s="419"/>
      <c r="Q610" s="419"/>
      <c r="R610" s="419"/>
      <c r="S610" s="419"/>
      <c r="T610" s="419"/>
      <c r="U610" s="419"/>
      <c r="V610" s="419"/>
      <c r="W610" s="419"/>
      <c r="X610" s="419"/>
      <c r="Y610" s="419"/>
      <c r="Z610" s="419"/>
    </row>
    <row r="611" spans="3:26">
      <c r="C611" s="433"/>
      <c r="D611" s="433"/>
      <c r="E611" s="437"/>
      <c r="F611" s="419"/>
      <c r="G611" s="419"/>
      <c r="H611" s="419"/>
      <c r="I611" s="419"/>
      <c r="J611" s="419"/>
      <c r="K611" s="419"/>
      <c r="L611" s="429"/>
      <c r="M611" s="419"/>
      <c r="N611" s="419"/>
      <c r="O611" s="419"/>
      <c r="P611" s="419"/>
      <c r="Q611" s="419"/>
      <c r="R611" s="419"/>
      <c r="S611" s="419"/>
      <c r="T611" s="419"/>
      <c r="U611" s="419"/>
      <c r="V611" s="419"/>
      <c r="W611" s="419"/>
      <c r="X611" s="419"/>
      <c r="Y611" s="419"/>
      <c r="Z611" s="419"/>
    </row>
    <row r="612" spans="3:26">
      <c r="C612" s="433"/>
      <c r="D612" s="433"/>
      <c r="E612" s="437"/>
      <c r="F612" s="419"/>
      <c r="G612" s="419"/>
      <c r="H612" s="419"/>
      <c r="I612" s="419"/>
      <c r="J612" s="419"/>
      <c r="K612" s="419"/>
      <c r="L612" s="429"/>
      <c r="M612" s="419"/>
      <c r="N612" s="419"/>
      <c r="O612" s="419"/>
      <c r="P612" s="419"/>
      <c r="Q612" s="419"/>
      <c r="R612" s="419"/>
      <c r="S612" s="419"/>
      <c r="T612" s="419"/>
      <c r="U612" s="419"/>
      <c r="V612" s="419"/>
      <c r="W612" s="419"/>
      <c r="X612" s="419"/>
      <c r="Y612" s="419"/>
      <c r="Z612" s="419"/>
    </row>
    <row r="613" spans="3:26">
      <c r="C613" s="433"/>
      <c r="D613" s="433"/>
      <c r="E613" s="437"/>
      <c r="F613" s="419"/>
      <c r="G613" s="419"/>
      <c r="H613" s="419"/>
      <c r="I613" s="419"/>
      <c r="J613" s="419"/>
      <c r="K613" s="419"/>
      <c r="L613" s="429"/>
      <c r="M613" s="419"/>
      <c r="N613" s="419"/>
      <c r="O613" s="419"/>
      <c r="P613" s="419"/>
      <c r="Q613" s="419"/>
      <c r="R613" s="419"/>
      <c r="S613" s="419"/>
      <c r="T613" s="419"/>
      <c r="U613" s="419"/>
      <c r="V613" s="419"/>
      <c r="W613" s="419"/>
      <c r="X613" s="419"/>
      <c r="Y613" s="419"/>
      <c r="Z613" s="419"/>
    </row>
    <row r="614" spans="3:26">
      <c r="C614" s="433"/>
      <c r="D614" s="433"/>
      <c r="E614" s="437"/>
      <c r="F614" s="419"/>
      <c r="G614" s="419"/>
      <c r="H614" s="419"/>
      <c r="I614" s="419"/>
      <c r="J614" s="419"/>
      <c r="K614" s="419"/>
      <c r="L614" s="429"/>
      <c r="M614" s="419"/>
      <c r="N614" s="419"/>
      <c r="O614" s="419"/>
      <c r="P614" s="419"/>
      <c r="Q614" s="419"/>
      <c r="R614" s="419"/>
      <c r="S614" s="419"/>
      <c r="T614" s="419"/>
      <c r="U614" s="419"/>
      <c r="V614" s="419"/>
      <c r="W614" s="419"/>
      <c r="X614" s="419"/>
      <c r="Y614" s="419"/>
      <c r="Z614" s="419"/>
    </row>
    <row r="615" spans="3:26">
      <c r="C615" s="433"/>
      <c r="D615" s="433"/>
      <c r="E615" s="437"/>
      <c r="F615" s="419"/>
      <c r="G615" s="419"/>
      <c r="H615" s="419"/>
      <c r="I615" s="419"/>
      <c r="J615" s="419"/>
      <c r="K615" s="419"/>
      <c r="L615" s="429"/>
      <c r="M615" s="419"/>
      <c r="N615" s="419"/>
      <c r="O615" s="419"/>
      <c r="P615" s="419"/>
      <c r="Q615" s="419"/>
      <c r="R615" s="419"/>
      <c r="S615" s="419"/>
      <c r="T615" s="419"/>
      <c r="U615" s="419"/>
      <c r="V615" s="419"/>
      <c r="W615" s="419"/>
      <c r="X615" s="419"/>
      <c r="Y615" s="419"/>
      <c r="Z615" s="419"/>
    </row>
    <row r="616" spans="3:26">
      <c r="C616" s="433"/>
      <c r="D616" s="433"/>
      <c r="E616" s="437"/>
      <c r="F616" s="419"/>
      <c r="G616" s="419"/>
      <c r="H616" s="419"/>
      <c r="I616" s="419"/>
      <c r="J616" s="419"/>
      <c r="K616" s="419"/>
      <c r="L616" s="429"/>
      <c r="M616" s="419"/>
      <c r="N616" s="419"/>
      <c r="O616" s="419"/>
      <c r="P616" s="419"/>
      <c r="Q616" s="419"/>
      <c r="R616" s="419"/>
      <c r="S616" s="419"/>
      <c r="T616" s="419"/>
      <c r="U616" s="419"/>
      <c r="V616" s="419"/>
      <c r="W616" s="419"/>
      <c r="X616" s="419"/>
      <c r="Y616" s="419"/>
      <c r="Z616" s="419"/>
    </row>
    <row r="617" spans="3:26">
      <c r="C617" s="433"/>
      <c r="D617" s="433"/>
      <c r="E617" s="437"/>
      <c r="F617" s="419"/>
      <c r="G617" s="419"/>
      <c r="H617" s="419"/>
      <c r="I617" s="419"/>
      <c r="J617" s="419"/>
      <c r="K617" s="419"/>
      <c r="L617" s="429"/>
      <c r="M617" s="419"/>
      <c r="N617" s="419"/>
      <c r="O617" s="419"/>
      <c r="P617" s="419"/>
      <c r="Q617" s="419"/>
      <c r="R617" s="419"/>
      <c r="S617" s="419"/>
      <c r="T617" s="419"/>
      <c r="U617" s="419"/>
      <c r="V617" s="419"/>
      <c r="W617" s="419"/>
      <c r="X617" s="419"/>
      <c r="Y617" s="419"/>
      <c r="Z617" s="419"/>
    </row>
    <row r="618" spans="3:26">
      <c r="C618" s="433"/>
      <c r="D618" s="433"/>
      <c r="E618" s="437"/>
      <c r="F618" s="419"/>
      <c r="G618" s="419"/>
      <c r="H618" s="419"/>
      <c r="I618" s="419"/>
      <c r="J618" s="419"/>
      <c r="K618" s="419"/>
      <c r="L618" s="429"/>
      <c r="M618" s="419"/>
      <c r="N618" s="419"/>
      <c r="O618" s="419"/>
      <c r="P618" s="419"/>
      <c r="Q618" s="419"/>
      <c r="R618" s="419"/>
      <c r="S618" s="419"/>
      <c r="T618" s="419"/>
      <c r="U618" s="419"/>
      <c r="V618" s="419"/>
      <c r="W618" s="419"/>
      <c r="X618" s="419"/>
      <c r="Y618" s="419"/>
      <c r="Z618" s="419"/>
    </row>
    <row r="619" spans="3:26">
      <c r="C619" s="433"/>
      <c r="D619" s="433"/>
      <c r="E619" s="437"/>
      <c r="F619" s="419"/>
      <c r="G619" s="419"/>
      <c r="H619" s="419"/>
      <c r="I619" s="419"/>
      <c r="J619" s="419"/>
      <c r="K619" s="419"/>
      <c r="L619" s="429"/>
      <c r="M619" s="419"/>
      <c r="N619" s="419"/>
      <c r="O619" s="419"/>
      <c r="P619" s="419"/>
      <c r="Q619" s="419"/>
      <c r="R619" s="419"/>
      <c r="S619" s="419"/>
      <c r="T619" s="419"/>
      <c r="U619" s="419"/>
      <c r="V619" s="419"/>
      <c r="W619" s="419"/>
      <c r="X619" s="419"/>
      <c r="Y619" s="419"/>
      <c r="Z619" s="419"/>
    </row>
    <row r="620" spans="3:26">
      <c r="C620" s="433"/>
      <c r="D620" s="433"/>
      <c r="E620" s="437"/>
      <c r="F620" s="419"/>
      <c r="G620" s="419"/>
      <c r="H620" s="419"/>
      <c r="I620" s="419"/>
      <c r="J620" s="419"/>
      <c r="K620" s="419"/>
      <c r="L620" s="429"/>
      <c r="M620" s="419"/>
      <c r="N620" s="419"/>
      <c r="O620" s="419"/>
      <c r="P620" s="419"/>
      <c r="Q620" s="419"/>
      <c r="R620" s="419"/>
      <c r="S620" s="419"/>
      <c r="T620" s="419"/>
      <c r="U620" s="419"/>
      <c r="V620" s="419"/>
      <c r="W620" s="419"/>
      <c r="X620" s="419"/>
      <c r="Y620" s="419"/>
      <c r="Z620" s="419"/>
    </row>
    <row r="621" spans="3:26">
      <c r="C621" s="433"/>
      <c r="D621" s="433"/>
      <c r="E621" s="437"/>
      <c r="F621" s="419"/>
      <c r="G621" s="419"/>
      <c r="H621" s="419"/>
      <c r="I621" s="419"/>
      <c r="J621" s="419"/>
      <c r="K621" s="419"/>
      <c r="L621" s="429"/>
      <c r="M621" s="419"/>
      <c r="N621" s="419"/>
      <c r="O621" s="419"/>
      <c r="P621" s="419"/>
      <c r="Q621" s="419"/>
      <c r="R621" s="419"/>
      <c r="S621" s="419"/>
      <c r="T621" s="419"/>
      <c r="U621" s="419"/>
      <c r="V621" s="419"/>
      <c r="W621" s="419"/>
      <c r="X621" s="419"/>
      <c r="Y621" s="419"/>
      <c r="Z621" s="419"/>
    </row>
    <row r="622" spans="3:26">
      <c r="C622" s="433"/>
      <c r="D622" s="433"/>
      <c r="E622" s="437"/>
      <c r="F622" s="419"/>
      <c r="G622" s="419"/>
      <c r="H622" s="419"/>
      <c r="I622" s="419"/>
      <c r="J622" s="419"/>
      <c r="K622" s="419"/>
      <c r="L622" s="429"/>
      <c r="M622" s="419"/>
      <c r="N622" s="419"/>
      <c r="O622" s="419"/>
      <c r="P622" s="419"/>
      <c r="Q622" s="419"/>
      <c r="R622" s="419"/>
      <c r="S622" s="419"/>
      <c r="T622" s="419"/>
      <c r="U622" s="419"/>
      <c r="V622" s="419"/>
      <c r="W622" s="419"/>
      <c r="X622" s="419"/>
      <c r="Y622" s="419"/>
      <c r="Z622" s="419"/>
    </row>
    <row r="623" spans="3:26">
      <c r="C623" s="433"/>
      <c r="D623" s="433"/>
      <c r="E623" s="437"/>
      <c r="F623" s="419"/>
      <c r="G623" s="419"/>
      <c r="H623" s="419"/>
      <c r="I623" s="419"/>
      <c r="J623" s="419"/>
      <c r="K623" s="419"/>
      <c r="L623" s="429"/>
      <c r="M623" s="419"/>
      <c r="N623" s="419"/>
      <c r="O623" s="419"/>
      <c r="P623" s="419"/>
      <c r="Q623" s="419"/>
      <c r="R623" s="419"/>
      <c r="S623" s="419"/>
      <c r="T623" s="419"/>
      <c r="U623" s="419"/>
      <c r="V623" s="419"/>
      <c r="W623" s="419"/>
      <c r="X623" s="419"/>
      <c r="Y623" s="419"/>
      <c r="Z623" s="419"/>
    </row>
    <row r="624" spans="3:26">
      <c r="C624" s="433"/>
      <c r="D624" s="433"/>
      <c r="E624" s="437"/>
      <c r="F624" s="419"/>
      <c r="G624" s="419"/>
      <c r="H624" s="419"/>
      <c r="I624" s="419"/>
      <c r="J624" s="419"/>
      <c r="K624" s="419"/>
      <c r="L624" s="429"/>
      <c r="M624" s="419"/>
      <c r="N624" s="419"/>
      <c r="O624" s="419"/>
      <c r="P624" s="419"/>
      <c r="Q624" s="419"/>
      <c r="R624" s="419"/>
      <c r="S624" s="419"/>
      <c r="T624" s="419"/>
      <c r="U624" s="419"/>
      <c r="V624" s="419"/>
      <c r="W624" s="419"/>
      <c r="X624" s="419"/>
      <c r="Y624" s="419"/>
      <c r="Z624" s="419"/>
    </row>
    <row r="625" spans="3:26">
      <c r="C625" s="433"/>
      <c r="D625" s="433"/>
      <c r="E625" s="437"/>
      <c r="F625" s="419"/>
      <c r="G625" s="419"/>
      <c r="H625" s="419"/>
      <c r="I625" s="419"/>
      <c r="J625" s="419"/>
      <c r="K625" s="419"/>
      <c r="L625" s="429"/>
      <c r="M625" s="419"/>
      <c r="N625" s="419"/>
      <c r="O625" s="419"/>
      <c r="P625" s="419"/>
      <c r="Q625" s="419"/>
      <c r="R625" s="419"/>
      <c r="S625" s="419"/>
      <c r="T625" s="419"/>
      <c r="U625" s="419"/>
      <c r="V625" s="419"/>
      <c r="W625" s="419"/>
      <c r="X625" s="419"/>
      <c r="Y625" s="419"/>
      <c r="Z625" s="419"/>
    </row>
    <row r="626" spans="3:26">
      <c r="C626" s="433"/>
      <c r="D626" s="433"/>
      <c r="E626" s="437"/>
      <c r="F626" s="419"/>
      <c r="G626" s="419"/>
      <c r="H626" s="419"/>
      <c r="I626" s="419"/>
      <c r="J626" s="419"/>
      <c r="K626" s="419"/>
      <c r="L626" s="429"/>
      <c r="M626" s="419"/>
      <c r="N626" s="419"/>
      <c r="O626" s="419"/>
      <c r="P626" s="419"/>
      <c r="Q626" s="419"/>
      <c r="R626" s="419"/>
      <c r="S626" s="419"/>
      <c r="T626" s="419"/>
      <c r="U626" s="419"/>
      <c r="V626" s="419"/>
      <c r="W626" s="419"/>
      <c r="X626" s="419"/>
      <c r="Y626" s="419"/>
      <c r="Z626" s="419"/>
    </row>
    <row r="627" spans="3:26">
      <c r="C627" s="433"/>
      <c r="D627" s="433"/>
      <c r="E627" s="437"/>
      <c r="F627" s="419"/>
      <c r="G627" s="419"/>
      <c r="H627" s="419"/>
      <c r="I627" s="419"/>
      <c r="J627" s="419"/>
      <c r="K627" s="419"/>
      <c r="L627" s="429"/>
      <c r="M627" s="419"/>
      <c r="N627" s="419"/>
      <c r="O627" s="419"/>
      <c r="P627" s="419"/>
      <c r="Q627" s="419"/>
      <c r="R627" s="419"/>
      <c r="S627" s="419"/>
      <c r="T627" s="419"/>
      <c r="U627" s="419"/>
      <c r="V627" s="419"/>
      <c r="W627" s="419"/>
      <c r="X627" s="419"/>
      <c r="Y627" s="419"/>
      <c r="Z627" s="419"/>
    </row>
    <row r="628" spans="3:26">
      <c r="C628" s="433"/>
      <c r="D628" s="433"/>
      <c r="E628" s="437"/>
      <c r="F628" s="419"/>
      <c r="G628" s="419"/>
      <c r="H628" s="419"/>
      <c r="I628" s="419"/>
      <c r="J628" s="419"/>
      <c r="K628" s="419"/>
      <c r="L628" s="429"/>
      <c r="M628" s="419"/>
      <c r="N628" s="419"/>
      <c r="O628" s="419"/>
      <c r="P628" s="419"/>
      <c r="Q628" s="419"/>
      <c r="R628" s="419"/>
      <c r="S628" s="419"/>
      <c r="T628" s="419"/>
      <c r="U628" s="419"/>
      <c r="V628" s="419"/>
      <c r="W628" s="419"/>
      <c r="X628" s="419"/>
      <c r="Y628" s="419"/>
      <c r="Z628" s="419"/>
    </row>
    <row r="629" spans="3:26">
      <c r="C629" s="433"/>
      <c r="D629" s="433"/>
      <c r="E629" s="437"/>
      <c r="F629" s="419"/>
      <c r="G629" s="419"/>
      <c r="H629" s="419"/>
      <c r="I629" s="419"/>
      <c r="J629" s="419"/>
      <c r="K629" s="419"/>
      <c r="L629" s="429"/>
      <c r="M629" s="419"/>
      <c r="N629" s="419"/>
      <c r="O629" s="419"/>
      <c r="P629" s="419"/>
      <c r="Q629" s="419"/>
      <c r="R629" s="419"/>
      <c r="S629" s="419"/>
      <c r="T629" s="419"/>
      <c r="U629" s="419"/>
      <c r="V629" s="419"/>
      <c r="W629" s="419"/>
      <c r="X629" s="419"/>
      <c r="Y629" s="419"/>
      <c r="Z629" s="419"/>
    </row>
    <row r="630" spans="3:26">
      <c r="C630" s="433"/>
      <c r="D630" s="433"/>
      <c r="E630" s="437"/>
      <c r="F630" s="419"/>
      <c r="G630" s="419"/>
      <c r="H630" s="419"/>
      <c r="I630" s="419"/>
      <c r="J630" s="419"/>
      <c r="K630" s="419"/>
      <c r="L630" s="429"/>
      <c r="M630" s="419"/>
      <c r="N630" s="419"/>
      <c r="O630" s="419"/>
      <c r="P630" s="419"/>
      <c r="Q630" s="419"/>
      <c r="R630" s="419"/>
      <c r="S630" s="419"/>
      <c r="T630" s="419"/>
      <c r="U630" s="419"/>
      <c r="V630" s="419"/>
      <c r="W630" s="419"/>
      <c r="X630" s="419"/>
      <c r="Y630" s="419"/>
      <c r="Z630" s="419"/>
    </row>
    <row r="631" spans="3:26">
      <c r="C631" s="433"/>
      <c r="D631" s="433"/>
      <c r="E631" s="437"/>
      <c r="F631" s="419"/>
      <c r="G631" s="419"/>
      <c r="H631" s="419"/>
      <c r="I631" s="419"/>
      <c r="J631" s="419"/>
      <c r="K631" s="419"/>
      <c r="L631" s="429"/>
      <c r="M631" s="419"/>
      <c r="N631" s="419"/>
      <c r="O631" s="419"/>
      <c r="P631" s="419"/>
      <c r="Q631" s="419"/>
      <c r="R631" s="419"/>
      <c r="S631" s="419"/>
      <c r="T631" s="419"/>
      <c r="U631" s="419"/>
      <c r="V631" s="419"/>
      <c r="W631" s="419"/>
      <c r="X631" s="419"/>
      <c r="Y631" s="419"/>
      <c r="Z631" s="419"/>
    </row>
    <row r="632" spans="3:26">
      <c r="C632" s="433"/>
      <c r="D632" s="433"/>
      <c r="E632" s="437"/>
      <c r="F632" s="419"/>
      <c r="G632" s="419"/>
      <c r="H632" s="419"/>
      <c r="I632" s="419"/>
      <c r="J632" s="419"/>
      <c r="K632" s="419"/>
      <c r="L632" s="429"/>
      <c r="M632" s="419"/>
      <c r="N632" s="419"/>
      <c r="O632" s="419"/>
      <c r="P632" s="419"/>
      <c r="Q632" s="419"/>
      <c r="R632" s="419"/>
      <c r="S632" s="419"/>
      <c r="T632" s="419"/>
      <c r="U632" s="419"/>
      <c r="V632" s="419"/>
      <c r="W632" s="419"/>
      <c r="X632" s="419"/>
      <c r="Y632" s="419"/>
      <c r="Z632" s="419"/>
    </row>
    <row r="633" spans="3:26">
      <c r="C633" s="433"/>
      <c r="D633" s="433"/>
      <c r="E633" s="437"/>
      <c r="F633" s="419"/>
      <c r="G633" s="419"/>
      <c r="H633" s="419"/>
      <c r="I633" s="419"/>
      <c r="J633" s="419"/>
      <c r="K633" s="419"/>
      <c r="L633" s="429"/>
      <c r="M633" s="419"/>
      <c r="N633" s="419"/>
      <c r="O633" s="419"/>
      <c r="P633" s="419"/>
      <c r="Q633" s="419"/>
      <c r="R633" s="419"/>
      <c r="S633" s="419"/>
      <c r="T633" s="419"/>
      <c r="U633" s="419"/>
      <c r="V633" s="419"/>
      <c r="W633" s="419"/>
      <c r="X633" s="419"/>
      <c r="Y633" s="419"/>
      <c r="Z633" s="419"/>
    </row>
    <row r="634" spans="3:26">
      <c r="C634" s="433"/>
      <c r="D634" s="433"/>
      <c r="E634" s="437"/>
      <c r="F634" s="419"/>
      <c r="G634" s="419"/>
      <c r="H634" s="419"/>
      <c r="I634" s="419"/>
      <c r="J634" s="419"/>
      <c r="K634" s="419"/>
      <c r="L634" s="429"/>
      <c r="M634" s="419"/>
      <c r="N634" s="419"/>
      <c r="O634" s="419"/>
      <c r="P634" s="419"/>
      <c r="Q634" s="419"/>
      <c r="R634" s="419"/>
      <c r="S634" s="419"/>
      <c r="T634" s="419"/>
      <c r="U634" s="419"/>
      <c r="V634" s="419"/>
      <c r="W634" s="419"/>
      <c r="X634" s="419"/>
      <c r="Y634" s="419"/>
      <c r="Z634" s="419"/>
    </row>
    <row r="635" spans="3:26">
      <c r="C635" s="433"/>
      <c r="D635" s="433"/>
      <c r="E635" s="437"/>
      <c r="F635" s="419"/>
      <c r="G635" s="419"/>
      <c r="H635" s="419"/>
      <c r="I635" s="419"/>
      <c r="J635" s="419"/>
      <c r="K635" s="419"/>
      <c r="L635" s="429"/>
      <c r="M635" s="419"/>
      <c r="N635" s="419"/>
      <c r="O635" s="419"/>
      <c r="P635" s="419"/>
      <c r="Q635" s="419"/>
      <c r="R635" s="419"/>
      <c r="S635" s="419"/>
      <c r="T635" s="419"/>
      <c r="U635" s="419"/>
      <c r="V635" s="419"/>
      <c r="W635" s="419"/>
      <c r="X635" s="419"/>
      <c r="Y635" s="419"/>
      <c r="Z635" s="419"/>
    </row>
    <row r="636" spans="3:26">
      <c r="C636" s="433"/>
      <c r="D636" s="433"/>
      <c r="E636" s="437"/>
      <c r="F636" s="419"/>
      <c r="G636" s="419"/>
      <c r="H636" s="419"/>
      <c r="I636" s="419"/>
      <c r="J636" s="419"/>
      <c r="K636" s="419"/>
      <c r="L636" s="429"/>
      <c r="M636" s="419"/>
      <c r="N636" s="419"/>
      <c r="O636" s="419"/>
      <c r="P636" s="419"/>
      <c r="Q636" s="419"/>
      <c r="R636" s="419"/>
      <c r="S636" s="419"/>
      <c r="T636" s="419"/>
      <c r="U636" s="419"/>
      <c r="V636" s="419"/>
      <c r="W636" s="419"/>
      <c r="X636" s="419"/>
      <c r="Y636" s="419"/>
      <c r="Z636" s="419"/>
    </row>
    <row r="637" spans="3:26">
      <c r="C637" s="433"/>
      <c r="D637" s="433"/>
      <c r="E637" s="437"/>
      <c r="F637" s="419"/>
      <c r="G637" s="419"/>
      <c r="H637" s="419"/>
      <c r="I637" s="419"/>
      <c r="J637" s="419"/>
      <c r="K637" s="419"/>
      <c r="L637" s="429"/>
      <c r="M637" s="419"/>
      <c r="N637" s="419"/>
      <c r="O637" s="419"/>
      <c r="P637" s="419"/>
      <c r="Q637" s="419"/>
      <c r="R637" s="419"/>
      <c r="S637" s="419"/>
      <c r="T637" s="419"/>
      <c r="U637" s="419"/>
      <c r="V637" s="419"/>
      <c r="W637" s="419"/>
      <c r="X637" s="419"/>
      <c r="Y637" s="419"/>
      <c r="Z637" s="419"/>
    </row>
    <row r="638" spans="3:26">
      <c r="C638" s="433"/>
      <c r="D638" s="433"/>
      <c r="E638" s="437"/>
      <c r="F638" s="419"/>
      <c r="G638" s="419"/>
      <c r="H638" s="419"/>
      <c r="I638" s="419"/>
      <c r="J638" s="419"/>
      <c r="K638" s="419"/>
      <c r="L638" s="429"/>
      <c r="M638" s="419"/>
      <c r="N638" s="419"/>
      <c r="O638" s="419"/>
      <c r="P638" s="419"/>
      <c r="Q638" s="419"/>
      <c r="R638" s="419"/>
      <c r="S638" s="419"/>
      <c r="T638" s="419"/>
      <c r="U638" s="419"/>
      <c r="V638" s="419"/>
      <c r="W638" s="419"/>
      <c r="X638" s="419"/>
      <c r="Y638" s="419"/>
      <c r="Z638" s="419"/>
    </row>
    <row r="639" spans="3:26">
      <c r="C639" s="433"/>
      <c r="D639" s="433"/>
      <c r="E639" s="437"/>
      <c r="F639" s="419"/>
      <c r="G639" s="419"/>
      <c r="H639" s="419"/>
      <c r="I639" s="419"/>
      <c r="J639" s="419"/>
      <c r="K639" s="419"/>
      <c r="L639" s="429"/>
      <c r="M639" s="419"/>
      <c r="N639" s="419"/>
      <c r="O639" s="419"/>
      <c r="P639" s="419"/>
      <c r="Q639" s="419"/>
      <c r="R639" s="419"/>
      <c r="S639" s="419"/>
      <c r="T639" s="419"/>
      <c r="U639" s="419"/>
      <c r="V639" s="419"/>
      <c r="W639" s="419"/>
      <c r="X639" s="419"/>
      <c r="Y639" s="419"/>
      <c r="Z639" s="419"/>
    </row>
    <row r="640" spans="3:26">
      <c r="C640" s="433"/>
      <c r="D640" s="433"/>
      <c r="E640" s="437"/>
      <c r="F640" s="419"/>
      <c r="G640" s="419"/>
      <c r="H640" s="419"/>
      <c r="I640" s="419"/>
      <c r="J640" s="419"/>
      <c r="K640" s="419"/>
      <c r="L640" s="429"/>
      <c r="M640" s="419"/>
      <c r="N640" s="419"/>
      <c r="O640" s="419"/>
      <c r="P640" s="419"/>
      <c r="Q640" s="419"/>
      <c r="R640" s="419"/>
      <c r="S640" s="419"/>
      <c r="T640" s="419"/>
      <c r="U640" s="419"/>
      <c r="V640" s="419"/>
      <c r="W640" s="419"/>
      <c r="X640" s="419"/>
      <c r="Y640" s="419"/>
      <c r="Z640" s="419"/>
    </row>
    <row r="641" spans="3:26">
      <c r="C641" s="433"/>
      <c r="D641" s="433"/>
      <c r="E641" s="437"/>
      <c r="F641" s="419"/>
      <c r="G641" s="419"/>
      <c r="H641" s="419"/>
      <c r="I641" s="419"/>
      <c r="J641" s="419"/>
      <c r="K641" s="419"/>
      <c r="L641" s="429"/>
      <c r="M641" s="419"/>
      <c r="N641" s="419"/>
      <c r="O641" s="419"/>
      <c r="P641" s="419"/>
      <c r="Q641" s="419"/>
      <c r="R641" s="419"/>
      <c r="S641" s="419"/>
      <c r="T641" s="419"/>
      <c r="U641" s="419"/>
      <c r="V641" s="419"/>
      <c r="W641" s="419"/>
      <c r="X641" s="419"/>
      <c r="Y641" s="419"/>
      <c r="Z641" s="419"/>
    </row>
    <row r="642" spans="3:26">
      <c r="C642" s="433"/>
      <c r="D642" s="433"/>
      <c r="E642" s="437"/>
      <c r="F642" s="419"/>
      <c r="G642" s="419"/>
      <c r="H642" s="419"/>
      <c r="I642" s="419"/>
      <c r="J642" s="419"/>
      <c r="K642" s="419"/>
      <c r="L642" s="429"/>
      <c r="M642" s="419"/>
      <c r="N642" s="419"/>
      <c r="O642" s="419"/>
      <c r="P642" s="419"/>
      <c r="Q642" s="419"/>
      <c r="R642" s="419"/>
      <c r="S642" s="419"/>
      <c r="T642" s="419"/>
      <c r="U642" s="419"/>
      <c r="V642" s="419"/>
      <c r="W642" s="419"/>
      <c r="X642" s="419"/>
      <c r="Y642" s="419"/>
      <c r="Z642" s="419"/>
    </row>
    <row r="643" spans="3:26">
      <c r="C643" s="433"/>
      <c r="D643" s="433"/>
      <c r="E643" s="437"/>
      <c r="F643" s="419"/>
      <c r="G643" s="419"/>
      <c r="H643" s="419"/>
      <c r="I643" s="419"/>
      <c r="J643" s="419"/>
      <c r="K643" s="419"/>
      <c r="L643" s="429"/>
      <c r="M643" s="419"/>
      <c r="N643" s="419"/>
      <c r="O643" s="419"/>
      <c r="P643" s="419"/>
      <c r="Q643" s="419"/>
      <c r="R643" s="419"/>
      <c r="S643" s="419"/>
      <c r="T643" s="419"/>
      <c r="U643" s="419"/>
      <c r="V643" s="419"/>
      <c r="W643" s="419"/>
      <c r="X643" s="419"/>
      <c r="Y643" s="419"/>
      <c r="Z643" s="419"/>
    </row>
    <row r="644" spans="3:26">
      <c r="C644" s="433"/>
      <c r="D644" s="433"/>
      <c r="E644" s="437"/>
      <c r="F644" s="419"/>
      <c r="G644" s="419"/>
      <c r="H644" s="419"/>
      <c r="I644" s="419"/>
      <c r="J644" s="419"/>
      <c r="K644" s="419"/>
      <c r="L644" s="429"/>
      <c r="M644" s="419"/>
      <c r="N644" s="419"/>
      <c r="O644" s="419"/>
      <c r="P644" s="419"/>
      <c r="Q644" s="419"/>
      <c r="R644" s="419"/>
      <c r="S644" s="419"/>
      <c r="T644" s="419"/>
      <c r="U644" s="419"/>
      <c r="V644" s="419"/>
      <c r="W644" s="419"/>
      <c r="X644" s="419"/>
      <c r="Y644" s="419"/>
      <c r="Z644" s="419"/>
    </row>
    <row r="645" spans="3:26">
      <c r="C645" s="433"/>
      <c r="D645" s="433"/>
      <c r="E645" s="437"/>
      <c r="F645" s="419"/>
      <c r="G645" s="419"/>
      <c r="H645" s="419"/>
      <c r="I645" s="419"/>
      <c r="J645" s="419"/>
      <c r="K645" s="419"/>
      <c r="L645" s="429"/>
      <c r="M645" s="419"/>
      <c r="N645" s="419"/>
      <c r="O645" s="419"/>
      <c r="P645" s="419"/>
      <c r="Q645" s="419"/>
      <c r="R645" s="419"/>
      <c r="S645" s="419"/>
      <c r="T645" s="419"/>
      <c r="U645" s="419"/>
      <c r="V645" s="419"/>
      <c r="W645" s="419"/>
      <c r="X645" s="419"/>
      <c r="Y645" s="419"/>
      <c r="Z645" s="419"/>
    </row>
    <row r="646" spans="3:26">
      <c r="C646" s="433"/>
      <c r="D646" s="433"/>
      <c r="E646" s="437"/>
      <c r="F646" s="419"/>
      <c r="G646" s="419"/>
      <c r="H646" s="419"/>
      <c r="I646" s="419"/>
      <c r="J646" s="419"/>
      <c r="K646" s="419"/>
      <c r="L646" s="429"/>
      <c r="M646" s="419"/>
      <c r="N646" s="419"/>
      <c r="O646" s="419"/>
      <c r="P646" s="419"/>
      <c r="Q646" s="419"/>
      <c r="R646" s="419"/>
      <c r="S646" s="419"/>
      <c r="T646" s="419"/>
      <c r="U646" s="419"/>
      <c r="V646" s="419"/>
      <c r="W646" s="419"/>
      <c r="X646" s="419"/>
      <c r="Y646" s="419"/>
      <c r="Z646" s="419"/>
    </row>
    <row r="647" spans="3:26">
      <c r="C647" s="433"/>
      <c r="D647" s="433"/>
      <c r="E647" s="437"/>
      <c r="F647" s="419"/>
      <c r="G647" s="419"/>
      <c r="H647" s="419"/>
      <c r="I647" s="419"/>
      <c r="J647" s="419"/>
      <c r="K647" s="419"/>
      <c r="L647" s="429"/>
      <c r="M647" s="419"/>
      <c r="N647" s="419"/>
      <c r="O647" s="419"/>
      <c r="P647" s="419"/>
      <c r="Q647" s="419"/>
      <c r="R647" s="419"/>
      <c r="S647" s="419"/>
      <c r="T647" s="419"/>
      <c r="U647" s="419"/>
      <c r="V647" s="419"/>
      <c r="W647" s="419"/>
      <c r="X647" s="419"/>
      <c r="Y647" s="419"/>
      <c r="Z647" s="419"/>
    </row>
    <row r="648" spans="3:26">
      <c r="C648" s="433"/>
      <c r="D648" s="433"/>
      <c r="E648" s="437"/>
      <c r="F648" s="419"/>
      <c r="G648" s="419"/>
      <c r="H648" s="419"/>
      <c r="I648" s="419"/>
      <c r="J648" s="419"/>
      <c r="K648" s="419"/>
      <c r="L648" s="429"/>
      <c r="M648" s="419"/>
      <c r="N648" s="419"/>
      <c r="O648" s="419"/>
      <c r="P648" s="419"/>
      <c r="Q648" s="419"/>
      <c r="R648" s="419"/>
      <c r="S648" s="419"/>
      <c r="T648" s="419"/>
      <c r="U648" s="419"/>
      <c r="V648" s="419"/>
      <c r="W648" s="419"/>
      <c r="X648" s="419"/>
      <c r="Y648" s="419"/>
      <c r="Z648" s="419"/>
    </row>
    <row r="649" spans="3:26">
      <c r="C649" s="433"/>
      <c r="D649" s="433"/>
      <c r="E649" s="437"/>
      <c r="F649" s="419"/>
      <c r="G649" s="419"/>
      <c r="H649" s="419"/>
      <c r="I649" s="419"/>
      <c r="J649" s="419"/>
      <c r="K649" s="419"/>
      <c r="L649" s="429"/>
      <c r="M649" s="419"/>
      <c r="N649" s="419"/>
      <c r="O649" s="419"/>
      <c r="P649" s="419"/>
      <c r="Q649" s="419"/>
      <c r="R649" s="419"/>
      <c r="S649" s="419"/>
      <c r="T649" s="419"/>
      <c r="U649" s="419"/>
      <c r="V649" s="419"/>
      <c r="W649" s="419"/>
      <c r="X649" s="419"/>
      <c r="Y649" s="419"/>
      <c r="Z649" s="419"/>
    </row>
    <row r="650" spans="3:26">
      <c r="C650" s="433"/>
      <c r="D650" s="433"/>
      <c r="E650" s="437"/>
      <c r="F650" s="419"/>
      <c r="G650" s="419"/>
      <c r="H650" s="419"/>
      <c r="I650" s="419"/>
      <c r="J650" s="419"/>
      <c r="K650" s="419"/>
      <c r="L650" s="429"/>
      <c r="M650" s="419"/>
      <c r="N650" s="419"/>
      <c r="O650" s="419"/>
      <c r="P650" s="419"/>
      <c r="Q650" s="419"/>
      <c r="R650" s="419"/>
      <c r="S650" s="419"/>
      <c r="T650" s="419"/>
      <c r="U650" s="419"/>
      <c r="V650" s="419"/>
      <c r="W650" s="419"/>
      <c r="X650" s="419"/>
      <c r="Y650" s="419"/>
      <c r="Z650" s="419"/>
    </row>
    <row r="651" spans="3:26">
      <c r="C651" s="433"/>
      <c r="D651" s="433"/>
      <c r="E651" s="437"/>
      <c r="F651" s="419"/>
      <c r="G651" s="419"/>
      <c r="H651" s="419"/>
      <c r="I651" s="419"/>
      <c r="J651" s="419"/>
      <c r="K651" s="419"/>
      <c r="L651" s="429"/>
      <c r="M651" s="419"/>
      <c r="N651" s="419"/>
      <c r="O651" s="419"/>
      <c r="P651" s="419"/>
      <c r="Q651" s="419"/>
      <c r="R651" s="419"/>
      <c r="S651" s="419"/>
      <c r="T651" s="419"/>
      <c r="U651" s="419"/>
      <c r="V651" s="419"/>
      <c r="W651" s="419"/>
      <c r="X651" s="419"/>
      <c r="Y651" s="419"/>
      <c r="Z651" s="419"/>
    </row>
    <row r="652" spans="3:26">
      <c r="C652" s="433"/>
      <c r="D652" s="433"/>
      <c r="E652" s="437"/>
      <c r="F652" s="419"/>
      <c r="G652" s="419"/>
      <c r="H652" s="419"/>
      <c r="I652" s="419"/>
      <c r="J652" s="419"/>
      <c r="K652" s="419"/>
      <c r="L652" s="429"/>
      <c r="M652" s="419"/>
      <c r="N652" s="419"/>
      <c r="O652" s="419"/>
      <c r="P652" s="419"/>
      <c r="Q652" s="419"/>
      <c r="R652" s="419"/>
      <c r="S652" s="419"/>
      <c r="T652" s="419"/>
      <c r="U652" s="419"/>
      <c r="V652" s="419"/>
      <c r="W652" s="419"/>
      <c r="X652" s="419"/>
      <c r="Y652" s="419"/>
      <c r="Z652" s="419"/>
    </row>
    <row r="653" spans="3:26">
      <c r="C653" s="433"/>
      <c r="D653" s="433"/>
      <c r="E653" s="437"/>
      <c r="F653" s="419"/>
      <c r="G653" s="419"/>
      <c r="H653" s="419"/>
      <c r="I653" s="419"/>
      <c r="J653" s="419"/>
      <c r="K653" s="419"/>
      <c r="L653" s="429"/>
      <c r="M653" s="419"/>
      <c r="N653" s="419"/>
      <c r="O653" s="419"/>
      <c r="P653" s="419"/>
      <c r="Q653" s="419"/>
      <c r="R653" s="419"/>
      <c r="S653" s="419"/>
      <c r="T653" s="419"/>
      <c r="U653" s="419"/>
      <c r="V653" s="419"/>
      <c r="W653" s="419"/>
      <c r="X653" s="419"/>
      <c r="Y653" s="419"/>
      <c r="Z653" s="419"/>
    </row>
    <row r="654" spans="3:26">
      <c r="C654" s="433"/>
      <c r="D654" s="433"/>
      <c r="E654" s="437"/>
      <c r="F654" s="419"/>
      <c r="G654" s="419"/>
      <c r="H654" s="419"/>
      <c r="I654" s="419"/>
      <c r="J654" s="419"/>
      <c r="K654" s="419"/>
      <c r="L654" s="429"/>
      <c r="M654" s="419"/>
      <c r="N654" s="419"/>
      <c r="O654" s="419"/>
      <c r="P654" s="419"/>
      <c r="Q654" s="419"/>
      <c r="R654" s="419"/>
      <c r="S654" s="419"/>
      <c r="T654" s="419"/>
      <c r="U654" s="419"/>
      <c r="V654" s="419"/>
      <c r="W654" s="419"/>
      <c r="X654" s="419"/>
      <c r="Y654" s="419"/>
      <c r="Z654" s="419"/>
    </row>
    <row r="655" spans="3:26">
      <c r="C655" s="433"/>
      <c r="D655" s="433"/>
      <c r="E655" s="437"/>
      <c r="F655" s="419"/>
      <c r="G655" s="419"/>
      <c r="H655" s="419"/>
      <c r="I655" s="419"/>
      <c r="J655" s="419"/>
      <c r="K655" s="419"/>
      <c r="L655" s="429"/>
      <c r="M655" s="419"/>
      <c r="N655" s="419"/>
      <c r="O655" s="419"/>
      <c r="P655" s="419"/>
      <c r="Q655" s="419"/>
      <c r="R655" s="419"/>
      <c r="S655" s="419"/>
      <c r="T655" s="419"/>
      <c r="U655" s="419"/>
      <c r="V655" s="419"/>
      <c r="W655" s="419"/>
      <c r="X655" s="419"/>
      <c r="Y655" s="419"/>
      <c r="Z655" s="419"/>
    </row>
    <row r="656" spans="3:26">
      <c r="C656" s="433"/>
      <c r="D656" s="433"/>
      <c r="E656" s="437"/>
      <c r="F656" s="419"/>
      <c r="G656" s="419"/>
      <c r="H656" s="419"/>
      <c r="I656" s="419"/>
      <c r="J656" s="419"/>
      <c r="K656" s="419"/>
      <c r="L656" s="429"/>
      <c r="M656" s="419"/>
      <c r="N656" s="419"/>
      <c r="O656" s="419"/>
      <c r="P656" s="419"/>
      <c r="Q656" s="419"/>
      <c r="R656" s="419"/>
      <c r="S656" s="419"/>
      <c r="T656" s="419"/>
      <c r="U656" s="419"/>
      <c r="V656" s="419"/>
      <c r="W656" s="419"/>
      <c r="X656" s="419"/>
      <c r="Y656" s="419"/>
      <c r="Z656" s="419"/>
    </row>
    <row r="657" spans="3:26">
      <c r="C657" s="433"/>
      <c r="D657" s="433"/>
      <c r="E657" s="437"/>
      <c r="F657" s="419"/>
      <c r="G657" s="419"/>
      <c r="H657" s="419"/>
      <c r="I657" s="419"/>
      <c r="J657" s="419"/>
      <c r="K657" s="419"/>
      <c r="L657" s="429"/>
      <c r="M657" s="419"/>
      <c r="N657" s="419"/>
      <c r="O657" s="419"/>
      <c r="P657" s="419"/>
      <c r="Q657" s="419"/>
      <c r="R657" s="419"/>
      <c r="S657" s="419"/>
      <c r="T657" s="419"/>
      <c r="U657" s="419"/>
      <c r="V657" s="419"/>
      <c r="W657" s="419"/>
      <c r="X657" s="419"/>
      <c r="Y657" s="419"/>
      <c r="Z657" s="419"/>
    </row>
    <row r="658" spans="3:26">
      <c r="C658" s="433"/>
      <c r="D658" s="433"/>
      <c r="E658" s="437"/>
      <c r="F658" s="419"/>
      <c r="G658" s="419"/>
      <c r="H658" s="419"/>
      <c r="I658" s="419"/>
      <c r="J658" s="419"/>
      <c r="K658" s="419"/>
      <c r="L658" s="429"/>
      <c r="M658" s="419"/>
      <c r="N658" s="419"/>
      <c r="O658" s="419"/>
      <c r="P658" s="419"/>
      <c r="Q658" s="419"/>
      <c r="R658" s="419"/>
      <c r="S658" s="419"/>
      <c r="T658" s="419"/>
      <c r="U658" s="419"/>
      <c r="V658" s="419"/>
      <c r="W658" s="419"/>
      <c r="X658" s="419"/>
      <c r="Y658" s="419"/>
      <c r="Z658" s="419"/>
    </row>
    <row r="659" spans="3:26">
      <c r="C659" s="433"/>
      <c r="D659" s="433"/>
      <c r="E659" s="437"/>
      <c r="F659" s="419"/>
      <c r="G659" s="419"/>
      <c r="H659" s="419"/>
      <c r="I659" s="419"/>
      <c r="J659" s="419"/>
      <c r="K659" s="419"/>
      <c r="L659" s="429"/>
      <c r="M659" s="419"/>
      <c r="N659" s="419"/>
      <c r="O659" s="419"/>
      <c r="P659" s="419"/>
      <c r="Q659" s="419"/>
      <c r="R659" s="419"/>
      <c r="S659" s="419"/>
      <c r="T659" s="419"/>
      <c r="U659" s="419"/>
      <c r="V659" s="419"/>
      <c r="W659" s="419"/>
      <c r="X659" s="419"/>
      <c r="Y659" s="419"/>
      <c r="Z659" s="419"/>
    </row>
    <row r="660" spans="3:26">
      <c r="C660" s="433"/>
      <c r="D660" s="433"/>
      <c r="E660" s="437"/>
      <c r="F660" s="419"/>
      <c r="G660" s="419"/>
      <c r="H660" s="419"/>
      <c r="I660" s="419"/>
      <c r="J660" s="419"/>
      <c r="K660" s="419"/>
      <c r="L660" s="429"/>
      <c r="M660" s="419"/>
      <c r="N660" s="419"/>
      <c r="O660" s="419"/>
      <c r="P660" s="419"/>
      <c r="Q660" s="419"/>
      <c r="R660" s="419"/>
      <c r="S660" s="419"/>
      <c r="T660" s="419"/>
      <c r="U660" s="419"/>
      <c r="V660" s="419"/>
      <c r="W660" s="419"/>
      <c r="X660" s="419"/>
      <c r="Y660" s="419"/>
      <c r="Z660" s="419"/>
    </row>
    <row r="661" spans="3:26">
      <c r="C661" s="433"/>
      <c r="D661" s="433"/>
      <c r="E661" s="437"/>
      <c r="F661" s="419"/>
      <c r="G661" s="419"/>
      <c r="H661" s="419"/>
      <c r="I661" s="419"/>
      <c r="J661" s="419"/>
      <c r="K661" s="419"/>
      <c r="L661" s="429"/>
      <c r="M661" s="419"/>
      <c r="N661" s="419"/>
      <c r="O661" s="419"/>
      <c r="P661" s="419"/>
      <c r="Q661" s="419"/>
      <c r="R661" s="419"/>
      <c r="S661" s="419"/>
      <c r="T661" s="419"/>
      <c r="U661" s="419"/>
      <c r="V661" s="419"/>
      <c r="W661" s="419"/>
      <c r="X661" s="419"/>
      <c r="Y661" s="419"/>
      <c r="Z661" s="419"/>
    </row>
    <row r="662" spans="3:26">
      <c r="C662" s="433"/>
      <c r="D662" s="433"/>
      <c r="E662" s="437"/>
      <c r="F662" s="419"/>
      <c r="G662" s="419"/>
      <c r="H662" s="419"/>
      <c r="I662" s="419"/>
      <c r="J662" s="419"/>
      <c r="K662" s="419"/>
      <c r="L662" s="429"/>
      <c r="M662" s="419"/>
      <c r="N662" s="419"/>
      <c r="O662" s="419"/>
      <c r="P662" s="419"/>
      <c r="Q662" s="419"/>
      <c r="R662" s="419"/>
      <c r="S662" s="419"/>
      <c r="T662" s="419"/>
      <c r="U662" s="419"/>
      <c r="V662" s="419"/>
      <c r="W662" s="419"/>
      <c r="X662" s="419"/>
      <c r="Y662" s="419"/>
      <c r="Z662" s="419"/>
    </row>
    <row r="663" spans="3:26">
      <c r="C663" s="433"/>
      <c r="D663" s="433"/>
      <c r="E663" s="437"/>
      <c r="F663" s="419"/>
      <c r="G663" s="419"/>
      <c r="H663" s="419"/>
      <c r="I663" s="419"/>
      <c r="J663" s="419"/>
      <c r="K663" s="419"/>
      <c r="L663" s="429"/>
      <c r="M663" s="419"/>
      <c r="N663" s="419"/>
      <c r="O663" s="419"/>
      <c r="P663" s="419"/>
      <c r="Q663" s="419"/>
      <c r="R663" s="419"/>
      <c r="S663" s="419"/>
      <c r="T663" s="419"/>
      <c r="U663" s="419"/>
      <c r="V663" s="419"/>
      <c r="W663" s="419"/>
      <c r="X663" s="419"/>
      <c r="Y663" s="419"/>
      <c r="Z663" s="419"/>
    </row>
    <row r="664" spans="3:26">
      <c r="C664" s="433"/>
      <c r="D664" s="433"/>
      <c r="E664" s="437"/>
      <c r="F664" s="419"/>
      <c r="G664" s="419"/>
      <c r="H664" s="419"/>
      <c r="I664" s="419"/>
      <c r="J664" s="419"/>
      <c r="K664" s="419"/>
      <c r="L664" s="429"/>
      <c r="M664" s="419"/>
      <c r="N664" s="419"/>
      <c r="O664" s="419"/>
      <c r="P664" s="419"/>
      <c r="Q664" s="419"/>
      <c r="R664" s="419"/>
      <c r="S664" s="419"/>
      <c r="T664" s="419"/>
      <c r="U664" s="419"/>
      <c r="V664" s="419"/>
      <c r="W664" s="419"/>
      <c r="X664" s="419"/>
      <c r="Y664" s="419"/>
      <c r="Z664" s="419"/>
    </row>
    <row r="665" spans="3:26">
      <c r="C665" s="433"/>
      <c r="D665" s="433"/>
      <c r="E665" s="437"/>
      <c r="F665" s="419"/>
      <c r="G665" s="419"/>
      <c r="H665" s="419"/>
      <c r="I665" s="419"/>
      <c r="J665" s="419"/>
      <c r="K665" s="419"/>
      <c r="L665" s="429"/>
      <c r="M665" s="419"/>
      <c r="N665" s="419"/>
      <c r="O665" s="419"/>
      <c r="P665" s="419"/>
      <c r="Q665" s="419"/>
      <c r="R665" s="419"/>
      <c r="S665" s="419"/>
      <c r="T665" s="419"/>
      <c r="U665" s="419"/>
      <c r="V665" s="419"/>
      <c r="W665" s="419"/>
      <c r="X665" s="419"/>
      <c r="Y665" s="419"/>
      <c r="Z665" s="419"/>
    </row>
    <row r="666" spans="3:26">
      <c r="C666" s="433"/>
      <c r="D666" s="433"/>
      <c r="E666" s="437"/>
      <c r="F666" s="419"/>
      <c r="G666" s="419"/>
      <c r="H666" s="419"/>
      <c r="I666" s="419"/>
      <c r="J666" s="419"/>
      <c r="K666" s="419"/>
      <c r="L666" s="429"/>
      <c r="M666" s="419"/>
      <c r="N666" s="419"/>
      <c r="O666" s="419"/>
      <c r="P666" s="419"/>
      <c r="Q666" s="419"/>
      <c r="R666" s="419"/>
      <c r="S666" s="419"/>
      <c r="T666" s="419"/>
      <c r="U666" s="419"/>
      <c r="V666" s="419"/>
      <c r="W666" s="419"/>
      <c r="X666" s="419"/>
      <c r="Y666" s="419"/>
      <c r="Z666" s="419"/>
    </row>
    <row r="667" spans="3:26">
      <c r="C667" s="433"/>
      <c r="D667" s="433"/>
      <c r="E667" s="437"/>
      <c r="F667" s="419"/>
      <c r="G667" s="419"/>
      <c r="H667" s="419"/>
      <c r="I667" s="419"/>
      <c r="J667" s="419"/>
      <c r="K667" s="419"/>
      <c r="L667" s="429"/>
      <c r="M667" s="419"/>
      <c r="N667" s="419"/>
      <c r="O667" s="419"/>
      <c r="P667" s="419"/>
      <c r="Q667" s="419"/>
      <c r="R667" s="419"/>
      <c r="S667" s="419"/>
      <c r="T667" s="419"/>
      <c r="U667" s="419"/>
      <c r="V667" s="419"/>
      <c r="W667" s="419"/>
      <c r="X667" s="419"/>
      <c r="Y667" s="419"/>
      <c r="Z667" s="419"/>
    </row>
    <row r="668" spans="3:26">
      <c r="C668" s="433"/>
      <c r="D668" s="433"/>
      <c r="E668" s="437"/>
      <c r="F668" s="419"/>
      <c r="G668" s="419"/>
      <c r="H668" s="419"/>
      <c r="I668" s="419"/>
      <c r="J668" s="419"/>
      <c r="K668" s="419"/>
      <c r="L668" s="429"/>
      <c r="M668" s="419"/>
      <c r="N668" s="419"/>
      <c r="O668" s="419"/>
      <c r="P668" s="419"/>
      <c r="Q668" s="419"/>
      <c r="R668" s="419"/>
      <c r="S668" s="419"/>
      <c r="T668" s="419"/>
      <c r="U668" s="419"/>
      <c r="V668" s="419"/>
      <c r="W668" s="419"/>
      <c r="X668" s="419"/>
      <c r="Y668" s="419"/>
      <c r="Z668" s="419"/>
    </row>
    <row r="669" spans="3:26">
      <c r="C669" s="433"/>
      <c r="D669" s="433"/>
      <c r="E669" s="437"/>
      <c r="F669" s="419"/>
      <c r="G669" s="419"/>
      <c r="H669" s="419"/>
      <c r="I669" s="419"/>
      <c r="J669" s="419"/>
      <c r="K669" s="419"/>
      <c r="L669" s="429"/>
      <c r="M669" s="419"/>
      <c r="N669" s="419"/>
      <c r="O669" s="419"/>
      <c r="P669" s="419"/>
      <c r="Q669" s="419"/>
      <c r="R669" s="419"/>
      <c r="S669" s="419"/>
      <c r="T669" s="419"/>
      <c r="U669" s="419"/>
      <c r="V669" s="419"/>
      <c r="W669" s="419"/>
      <c r="X669" s="419"/>
      <c r="Y669" s="419"/>
      <c r="Z669" s="419"/>
    </row>
    <row r="670" spans="3:26">
      <c r="C670" s="433"/>
      <c r="D670" s="433"/>
      <c r="E670" s="437"/>
      <c r="F670" s="419"/>
      <c r="G670" s="419"/>
      <c r="H670" s="419"/>
      <c r="I670" s="419"/>
      <c r="J670" s="419"/>
      <c r="K670" s="419"/>
      <c r="L670" s="429"/>
      <c r="M670" s="419"/>
      <c r="N670" s="419"/>
      <c r="O670" s="419"/>
      <c r="P670" s="419"/>
      <c r="Q670" s="419"/>
      <c r="R670" s="419"/>
      <c r="S670" s="419"/>
      <c r="T670" s="419"/>
      <c r="U670" s="419"/>
      <c r="V670" s="419"/>
      <c r="W670" s="419"/>
      <c r="X670" s="419"/>
      <c r="Y670" s="419"/>
      <c r="Z670" s="419"/>
    </row>
    <row r="671" spans="3:26">
      <c r="C671" s="433"/>
      <c r="D671" s="433"/>
      <c r="E671" s="437"/>
      <c r="F671" s="419"/>
      <c r="G671" s="419"/>
      <c r="H671" s="419"/>
      <c r="I671" s="419"/>
      <c r="J671" s="419"/>
      <c r="K671" s="419"/>
      <c r="L671" s="429"/>
      <c r="M671" s="419"/>
      <c r="N671" s="419"/>
      <c r="O671" s="419"/>
      <c r="P671" s="419"/>
      <c r="Q671" s="419"/>
      <c r="R671" s="419"/>
      <c r="S671" s="419"/>
      <c r="T671" s="419"/>
      <c r="U671" s="419"/>
      <c r="V671" s="419"/>
      <c r="W671" s="419"/>
      <c r="X671" s="419"/>
      <c r="Y671" s="419"/>
      <c r="Z671" s="419"/>
    </row>
    <row r="672" spans="3:26">
      <c r="C672" s="433"/>
      <c r="D672" s="433"/>
      <c r="E672" s="437"/>
      <c r="F672" s="419"/>
      <c r="G672" s="419"/>
      <c r="H672" s="419"/>
      <c r="I672" s="419"/>
      <c r="J672" s="419"/>
      <c r="K672" s="419"/>
      <c r="L672" s="429"/>
      <c r="M672" s="419"/>
      <c r="N672" s="419"/>
      <c r="O672" s="419"/>
      <c r="P672" s="419"/>
      <c r="Q672" s="419"/>
      <c r="R672" s="419"/>
      <c r="S672" s="419"/>
      <c r="T672" s="419"/>
      <c r="U672" s="419"/>
      <c r="V672" s="419"/>
      <c r="W672" s="419"/>
      <c r="X672" s="419"/>
      <c r="Y672" s="419"/>
      <c r="Z672" s="419"/>
    </row>
    <row r="673" spans="3:26">
      <c r="C673" s="433"/>
      <c r="D673" s="433"/>
      <c r="E673" s="437"/>
      <c r="F673" s="419"/>
      <c r="G673" s="419"/>
      <c r="H673" s="419"/>
      <c r="I673" s="419"/>
      <c r="J673" s="419"/>
      <c r="K673" s="419"/>
      <c r="L673" s="429"/>
      <c r="M673" s="419"/>
      <c r="N673" s="419"/>
      <c r="O673" s="419"/>
      <c r="P673" s="419"/>
      <c r="Q673" s="419"/>
      <c r="R673" s="419"/>
      <c r="S673" s="419"/>
      <c r="T673" s="419"/>
      <c r="U673" s="419"/>
      <c r="V673" s="419"/>
      <c r="W673" s="419"/>
      <c r="X673" s="419"/>
      <c r="Y673" s="419"/>
      <c r="Z673" s="419"/>
    </row>
    <row r="674" spans="3:26">
      <c r="C674" s="433"/>
      <c r="D674" s="433"/>
      <c r="E674" s="437"/>
      <c r="F674" s="419"/>
      <c r="G674" s="419"/>
      <c r="H674" s="419"/>
      <c r="I674" s="419"/>
      <c r="J674" s="419"/>
      <c r="K674" s="419"/>
      <c r="L674" s="429"/>
      <c r="M674" s="419"/>
      <c r="N674" s="419"/>
      <c r="O674" s="419"/>
      <c r="P674" s="419"/>
      <c r="Q674" s="419"/>
      <c r="R674" s="419"/>
      <c r="S674" s="419"/>
      <c r="T674" s="419"/>
      <c r="U674" s="419"/>
      <c r="V674" s="419"/>
      <c r="W674" s="419"/>
      <c r="X674" s="419"/>
      <c r="Y674" s="419"/>
      <c r="Z674" s="419"/>
    </row>
    <row r="675" spans="3:26">
      <c r="C675" s="433"/>
      <c r="D675" s="433"/>
      <c r="E675" s="437"/>
      <c r="F675" s="419"/>
      <c r="G675" s="419"/>
      <c r="H675" s="419"/>
      <c r="I675" s="419"/>
      <c r="J675" s="419"/>
      <c r="K675" s="419"/>
      <c r="L675" s="429"/>
      <c r="M675" s="419"/>
      <c r="N675" s="419"/>
      <c r="O675" s="419"/>
      <c r="P675" s="419"/>
      <c r="Q675" s="419"/>
      <c r="R675" s="419"/>
      <c r="S675" s="419"/>
      <c r="T675" s="419"/>
      <c r="U675" s="419"/>
      <c r="V675" s="419"/>
      <c r="W675" s="419"/>
      <c r="X675" s="419"/>
      <c r="Y675" s="419"/>
      <c r="Z675" s="419"/>
    </row>
    <row r="676" spans="3:26">
      <c r="C676" s="433"/>
      <c r="D676" s="433"/>
      <c r="E676" s="437"/>
      <c r="F676" s="419"/>
      <c r="G676" s="419"/>
      <c r="H676" s="419"/>
      <c r="I676" s="419"/>
      <c r="J676" s="419"/>
      <c r="K676" s="419"/>
      <c r="L676" s="429"/>
      <c r="M676" s="419"/>
      <c r="N676" s="419"/>
      <c r="O676" s="419"/>
      <c r="P676" s="419"/>
      <c r="Q676" s="419"/>
      <c r="R676" s="419"/>
      <c r="S676" s="419"/>
      <c r="T676" s="419"/>
      <c r="U676" s="419"/>
      <c r="V676" s="419"/>
      <c r="W676" s="419"/>
      <c r="X676" s="419"/>
      <c r="Y676" s="419"/>
      <c r="Z676" s="419"/>
    </row>
    <row r="677" spans="3:26">
      <c r="C677" s="433"/>
      <c r="D677" s="433"/>
      <c r="E677" s="437"/>
      <c r="F677" s="419"/>
      <c r="G677" s="419"/>
      <c r="H677" s="419"/>
      <c r="I677" s="419"/>
      <c r="J677" s="419"/>
      <c r="K677" s="419"/>
      <c r="L677" s="429"/>
      <c r="M677" s="419"/>
      <c r="N677" s="419"/>
      <c r="O677" s="419"/>
      <c r="P677" s="419"/>
      <c r="Q677" s="419"/>
      <c r="R677" s="419"/>
      <c r="S677" s="419"/>
      <c r="T677" s="419"/>
      <c r="U677" s="419"/>
      <c r="V677" s="419"/>
      <c r="W677" s="419"/>
      <c r="X677" s="419"/>
      <c r="Y677" s="419"/>
      <c r="Z677" s="419"/>
    </row>
    <row r="678" spans="3:26">
      <c r="C678" s="433"/>
      <c r="D678" s="433"/>
      <c r="E678" s="437"/>
      <c r="F678" s="419"/>
      <c r="G678" s="419"/>
      <c r="H678" s="419"/>
      <c r="I678" s="419"/>
      <c r="J678" s="419"/>
      <c r="K678" s="419"/>
      <c r="L678" s="429"/>
      <c r="M678" s="419"/>
      <c r="N678" s="419"/>
      <c r="O678" s="419"/>
      <c r="P678" s="419"/>
      <c r="Q678" s="419"/>
      <c r="R678" s="419"/>
      <c r="S678" s="419"/>
      <c r="T678" s="419"/>
      <c r="U678" s="419"/>
      <c r="V678" s="419"/>
      <c r="W678" s="419"/>
      <c r="X678" s="419"/>
      <c r="Y678" s="419"/>
      <c r="Z678" s="419"/>
    </row>
    <row r="679" spans="3:26">
      <c r="C679" s="433"/>
      <c r="D679" s="433"/>
      <c r="E679" s="437"/>
      <c r="F679" s="419"/>
      <c r="G679" s="419"/>
      <c r="H679" s="419"/>
      <c r="I679" s="419"/>
      <c r="J679" s="419"/>
      <c r="K679" s="419"/>
      <c r="L679" s="429"/>
      <c r="M679" s="419"/>
      <c r="N679" s="419"/>
      <c r="O679" s="419"/>
      <c r="P679" s="419"/>
      <c r="Q679" s="419"/>
      <c r="R679" s="419"/>
      <c r="S679" s="419"/>
      <c r="T679" s="419"/>
      <c r="U679" s="419"/>
      <c r="V679" s="419"/>
      <c r="W679" s="419"/>
      <c r="X679" s="419"/>
      <c r="Y679" s="419"/>
      <c r="Z679" s="419"/>
    </row>
    <row r="680" spans="3:26">
      <c r="C680" s="433"/>
      <c r="D680" s="433"/>
      <c r="E680" s="437"/>
      <c r="F680" s="419"/>
      <c r="G680" s="419"/>
      <c r="H680" s="419"/>
      <c r="I680" s="419"/>
      <c r="J680" s="419"/>
      <c r="K680" s="419"/>
      <c r="L680" s="429"/>
      <c r="M680" s="419"/>
      <c r="N680" s="419"/>
      <c r="O680" s="419"/>
      <c r="P680" s="419"/>
      <c r="Q680" s="419"/>
      <c r="R680" s="419"/>
      <c r="S680" s="419"/>
      <c r="T680" s="419"/>
      <c r="U680" s="419"/>
      <c r="V680" s="419"/>
      <c r="W680" s="419"/>
      <c r="X680" s="419"/>
      <c r="Y680" s="419"/>
      <c r="Z680" s="419"/>
    </row>
    <row r="681" spans="3:26">
      <c r="C681" s="433"/>
      <c r="D681" s="433"/>
      <c r="E681" s="437"/>
      <c r="F681" s="419"/>
      <c r="G681" s="419"/>
      <c r="H681" s="419"/>
      <c r="I681" s="419"/>
      <c r="J681" s="419"/>
      <c r="K681" s="419"/>
      <c r="L681" s="429"/>
      <c r="M681" s="419"/>
      <c r="N681" s="419"/>
      <c r="O681" s="419"/>
      <c r="P681" s="419"/>
      <c r="Q681" s="419"/>
      <c r="R681" s="419"/>
      <c r="S681" s="419"/>
      <c r="T681" s="419"/>
      <c r="U681" s="419"/>
      <c r="V681" s="419"/>
      <c r="W681" s="419"/>
      <c r="X681" s="419"/>
      <c r="Y681" s="419"/>
      <c r="Z681" s="419"/>
    </row>
    <row r="682" spans="3:26">
      <c r="C682" s="433"/>
      <c r="D682" s="433"/>
      <c r="E682" s="437"/>
      <c r="F682" s="419"/>
      <c r="G682" s="419"/>
      <c r="H682" s="419"/>
      <c r="I682" s="419"/>
      <c r="J682" s="419"/>
      <c r="K682" s="419"/>
      <c r="L682" s="429"/>
      <c r="M682" s="419"/>
      <c r="N682" s="419"/>
      <c r="O682" s="419"/>
      <c r="P682" s="419"/>
      <c r="Q682" s="419"/>
      <c r="R682" s="419"/>
      <c r="S682" s="419"/>
      <c r="T682" s="419"/>
      <c r="U682" s="419"/>
      <c r="V682" s="419"/>
      <c r="W682" s="419"/>
      <c r="X682" s="419"/>
      <c r="Y682" s="419"/>
      <c r="Z682" s="419"/>
    </row>
    <row r="683" spans="3:26">
      <c r="C683" s="433"/>
      <c r="D683" s="433"/>
      <c r="E683" s="437"/>
      <c r="F683" s="419"/>
      <c r="G683" s="419"/>
      <c r="H683" s="419"/>
      <c r="I683" s="419"/>
      <c r="J683" s="419"/>
      <c r="K683" s="419"/>
      <c r="L683" s="429"/>
      <c r="M683" s="419"/>
      <c r="N683" s="419"/>
      <c r="O683" s="419"/>
      <c r="P683" s="419"/>
      <c r="Q683" s="419"/>
      <c r="R683" s="419"/>
      <c r="S683" s="419"/>
      <c r="T683" s="419"/>
      <c r="U683" s="419"/>
      <c r="V683" s="419"/>
      <c r="W683" s="419"/>
      <c r="X683" s="419"/>
      <c r="Y683" s="419"/>
      <c r="Z683" s="419"/>
    </row>
    <row r="684" spans="3:26">
      <c r="C684" s="433"/>
      <c r="D684" s="433"/>
      <c r="E684" s="437"/>
      <c r="F684" s="419"/>
      <c r="G684" s="419"/>
      <c r="H684" s="419"/>
      <c r="I684" s="419"/>
      <c r="J684" s="419"/>
      <c r="K684" s="419"/>
      <c r="L684" s="429"/>
      <c r="M684" s="419"/>
      <c r="N684" s="419"/>
      <c r="O684" s="419"/>
      <c r="P684" s="419"/>
      <c r="Q684" s="419"/>
      <c r="R684" s="419"/>
      <c r="S684" s="419"/>
      <c r="T684" s="419"/>
      <c r="U684" s="419"/>
      <c r="V684" s="419"/>
      <c r="W684" s="419"/>
      <c r="X684" s="419"/>
      <c r="Y684" s="419"/>
      <c r="Z684" s="419"/>
    </row>
    <row r="685" spans="3:26">
      <c r="C685" s="433"/>
      <c r="D685" s="433"/>
      <c r="E685" s="437"/>
      <c r="F685" s="419"/>
      <c r="G685" s="419"/>
      <c r="H685" s="419"/>
      <c r="I685" s="419"/>
      <c r="J685" s="419"/>
      <c r="K685" s="419"/>
      <c r="L685" s="429"/>
      <c r="M685" s="419"/>
      <c r="N685" s="419"/>
      <c r="O685" s="419"/>
      <c r="P685" s="419"/>
      <c r="Q685" s="419"/>
      <c r="R685" s="419"/>
      <c r="S685" s="419"/>
      <c r="T685" s="419"/>
      <c r="U685" s="419"/>
      <c r="V685" s="419"/>
      <c r="W685" s="419"/>
      <c r="X685" s="419"/>
      <c r="Y685" s="419"/>
      <c r="Z685" s="419"/>
    </row>
    <row r="686" spans="3:26">
      <c r="C686" s="433"/>
      <c r="D686" s="433"/>
      <c r="E686" s="437"/>
      <c r="F686" s="419"/>
      <c r="G686" s="419"/>
      <c r="H686" s="419"/>
      <c r="I686" s="419"/>
      <c r="J686" s="419"/>
      <c r="K686" s="419"/>
      <c r="L686" s="429"/>
      <c r="M686" s="419"/>
      <c r="N686" s="419"/>
      <c r="O686" s="419"/>
      <c r="P686" s="419"/>
      <c r="Q686" s="419"/>
      <c r="R686" s="419"/>
      <c r="S686" s="419"/>
      <c r="T686" s="419"/>
      <c r="U686" s="419"/>
      <c r="V686" s="419"/>
      <c r="W686" s="419"/>
      <c r="X686" s="419"/>
      <c r="Y686" s="419"/>
      <c r="Z686" s="419"/>
    </row>
    <row r="687" spans="3:26">
      <c r="C687" s="433"/>
      <c r="D687" s="433"/>
      <c r="E687" s="437"/>
      <c r="F687" s="419"/>
      <c r="G687" s="419"/>
      <c r="H687" s="419"/>
      <c r="I687" s="419"/>
      <c r="J687" s="419"/>
      <c r="K687" s="419"/>
      <c r="L687" s="429"/>
      <c r="M687" s="419"/>
      <c r="N687" s="419"/>
      <c r="O687" s="419"/>
      <c r="P687" s="419"/>
      <c r="Q687" s="419"/>
      <c r="R687" s="419"/>
      <c r="S687" s="419"/>
      <c r="T687" s="419"/>
      <c r="U687" s="419"/>
      <c r="V687" s="419"/>
      <c r="W687" s="419"/>
      <c r="X687" s="419"/>
      <c r="Y687" s="419"/>
      <c r="Z687" s="419"/>
    </row>
    <row r="688" spans="3:26">
      <c r="C688" s="433"/>
      <c r="D688" s="433"/>
      <c r="E688" s="437"/>
      <c r="F688" s="419"/>
      <c r="G688" s="419"/>
      <c r="H688" s="419"/>
      <c r="I688" s="419"/>
      <c r="J688" s="419"/>
      <c r="K688" s="419"/>
      <c r="L688" s="429"/>
      <c r="M688" s="419"/>
      <c r="N688" s="419"/>
      <c r="O688" s="419"/>
      <c r="P688" s="419"/>
      <c r="Q688" s="419"/>
      <c r="R688" s="419"/>
      <c r="S688" s="419"/>
      <c r="T688" s="419"/>
      <c r="U688" s="419"/>
      <c r="V688" s="419"/>
      <c r="W688" s="419"/>
      <c r="X688" s="419"/>
      <c r="Y688" s="419"/>
      <c r="Z688" s="419"/>
    </row>
    <row r="689" spans="3:26">
      <c r="C689" s="433"/>
      <c r="D689" s="433"/>
      <c r="E689" s="437"/>
      <c r="F689" s="419"/>
      <c r="G689" s="419"/>
      <c r="H689" s="419"/>
      <c r="I689" s="419"/>
      <c r="J689" s="419"/>
      <c r="K689" s="419"/>
      <c r="L689" s="429"/>
      <c r="M689" s="419"/>
      <c r="N689" s="419"/>
      <c r="O689" s="419"/>
      <c r="P689" s="419"/>
      <c r="Q689" s="419"/>
      <c r="R689" s="419"/>
      <c r="S689" s="419"/>
      <c r="T689" s="419"/>
      <c r="U689" s="419"/>
      <c r="V689" s="419"/>
      <c r="W689" s="419"/>
      <c r="X689" s="419"/>
      <c r="Y689" s="419"/>
      <c r="Z689" s="419"/>
    </row>
    <row r="690" spans="3:26">
      <c r="C690" s="433"/>
      <c r="D690" s="433"/>
      <c r="E690" s="437"/>
      <c r="F690" s="419"/>
      <c r="G690" s="419"/>
      <c r="H690" s="419"/>
      <c r="I690" s="419"/>
      <c r="J690" s="419"/>
      <c r="K690" s="419"/>
      <c r="L690" s="429"/>
      <c r="M690" s="419"/>
      <c r="N690" s="419"/>
      <c r="O690" s="419"/>
      <c r="P690" s="419"/>
      <c r="Q690" s="419"/>
      <c r="R690" s="419"/>
      <c r="S690" s="419"/>
      <c r="T690" s="419"/>
      <c r="U690" s="419"/>
      <c r="V690" s="419"/>
      <c r="W690" s="419"/>
      <c r="X690" s="419"/>
      <c r="Y690" s="419"/>
      <c r="Z690" s="419"/>
    </row>
    <row r="691" spans="3:26">
      <c r="C691" s="433"/>
      <c r="D691" s="433"/>
      <c r="E691" s="437"/>
      <c r="F691" s="419"/>
      <c r="G691" s="419"/>
      <c r="H691" s="419"/>
      <c r="I691" s="419"/>
      <c r="J691" s="419"/>
      <c r="K691" s="419"/>
      <c r="L691" s="429"/>
      <c r="M691" s="419"/>
      <c r="N691" s="419"/>
      <c r="O691" s="419"/>
      <c r="P691" s="419"/>
      <c r="Q691" s="419"/>
      <c r="R691" s="419"/>
      <c r="S691" s="419"/>
      <c r="T691" s="419"/>
      <c r="U691" s="419"/>
      <c r="V691" s="419"/>
      <c r="W691" s="419"/>
      <c r="X691" s="419"/>
      <c r="Y691" s="419"/>
      <c r="Z691" s="419"/>
    </row>
    <row r="692" spans="3:26">
      <c r="C692" s="433"/>
      <c r="D692" s="433"/>
      <c r="E692" s="437"/>
      <c r="F692" s="419"/>
      <c r="G692" s="419"/>
      <c r="H692" s="419"/>
      <c r="I692" s="419"/>
      <c r="J692" s="419"/>
      <c r="K692" s="419"/>
      <c r="L692" s="429"/>
      <c r="M692" s="419"/>
      <c r="N692" s="419"/>
      <c r="O692" s="419"/>
      <c r="P692" s="419"/>
      <c r="Q692" s="419"/>
      <c r="R692" s="419"/>
      <c r="S692" s="419"/>
      <c r="T692" s="419"/>
      <c r="U692" s="419"/>
      <c r="V692" s="419"/>
      <c r="W692" s="419"/>
      <c r="X692" s="419"/>
      <c r="Y692" s="419"/>
      <c r="Z692" s="419"/>
    </row>
    <row r="693" spans="3:26">
      <c r="C693" s="433"/>
      <c r="D693" s="433"/>
      <c r="E693" s="437"/>
      <c r="F693" s="419"/>
      <c r="G693" s="419"/>
      <c r="H693" s="419"/>
      <c r="I693" s="419"/>
      <c r="J693" s="419"/>
      <c r="K693" s="419"/>
      <c r="L693" s="429"/>
      <c r="M693" s="419"/>
      <c r="N693" s="419"/>
      <c r="O693" s="419"/>
      <c r="P693" s="419"/>
      <c r="Q693" s="419"/>
      <c r="R693" s="419"/>
      <c r="S693" s="419"/>
      <c r="T693" s="419"/>
      <c r="U693" s="419"/>
      <c r="V693" s="419"/>
      <c r="W693" s="419"/>
      <c r="X693" s="419"/>
      <c r="Y693" s="419"/>
      <c r="Z693" s="419"/>
    </row>
    <row r="694" spans="3:26">
      <c r="C694" s="433"/>
      <c r="D694" s="433"/>
      <c r="E694" s="437"/>
      <c r="F694" s="419"/>
      <c r="G694" s="419"/>
      <c r="H694" s="419"/>
      <c r="I694" s="419"/>
      <c r="J694" s="419"/>
      <c r="K694" s="419"/>
      <c r="L694" s="429"/>
      <c r="M694" s="419"/>
      <c r="N694" s="419"/>
      <c r="O694" s="419"/>
      <c r="P694" s="419"/>
      <c r="Q694" s="419"/>
      <c r="R694" s="419"/>
      <c r="S694" s="419"/>
      <c r="T694" s="419"/>
      <c r="U694" s="419"/>
      <c r="V694" s="419"/>
      <c r="W694" s="419"/>
      <c r="X694" s="419"/>
      <c r="Y694" s="419"/>
      <c r="Z694" s="419"/>
    </row>
    <row r="695" spans="3:26">
      <c r="C695" s="433"/>
      <c r="D695" s="433"/>
      <c r="E695" s="437"/>
      <c r="F695" s="419"/>
      <c r="G695" s="419"/>
      <c r="H695" s="419"/>
      <c r="I695" s="419"/>
      <c r="J695" s="419"/>
      <c r="K695" s="419"/>
      <c r="L695" s="429"/>
      <c r="M695" s="419"/>
      <c r="N695" s="419"/>
      <c r="O695" s="419"/>
      <c r="P695" s="419"/>
      <c r="Q695" s="419"/>
      <c r="R695" s="419"/>
      <c r="S695" s="419"/>
      <c r="T695" s="419"/>
      <c r="U695" s="419"/>
      <c r="V695" s="419"/>
      <c r="W695" s="419"/>
      <c r="X695" s="419"/>
      <c r="Y695" s="419"/>
      <c r="Z695" s="419"/>
    </row>
    <row r="696" spans="3:26">
      <c r="C696" s="433"/>
      <c r="D696" s="433"/>
      <c r="E696" s="437"/>
      <c r="F696" s="419"/>
      <c r="G696" s="419"/>
      <c r="H696" s="419"/>
      <c r="I696" s="419"/>
      <c r="J696" s="419"/>
      <c r="K696" s="419"/>
      <c r="L696" s="429"/>
      <c r="M696" s="419"/>
      <c r="N696" s="419"/>
      <c r="O696" s="419"/>
      <c r="P696" s="419"/>
      <c r="Q696" s="419"/>
      <c r="R696" s="419"/>
      <c r="S696" s="419"/>
      <c r="T696" s="419"/>
      <c r="U696" s="419"/>
      <c r="V696" s="419"/>
      <c r="W696" s="419"/>
      <c r="X696" s="419"/>
      <c r="Y696" s="419"/>
      <c r="Z696" s="419"/>
    </row>
    <row r="697" spans="3:26">
      <c r="C697" s="433"/>
      <c r="D697" s="433"/>
      <c r="E697" s="437"/>
      <c r="F697" s="419"/>
      <c r="G697" s="419"/>
      <c r="H697" s="419"/>
      <c r="I697" s="419"/>
      <c r="J697" s="419"/>
      <c r="K697" s="419"/>
      <c r="L697" s="429"/>
      <c r="M697" s="419"/>
      <c r="N697" s="419"/>
      <c r="O697" s="419"/>
      <c r="P697" s="419"/>
      <c r="Q697" s="419"/>
      <c r="R697" s="419"/>
      <c r="S697" s="419"/>
      <c r="T697" s="419"/>
      <c r="U697" s="419"/>
      <c r="V697" s="419"/>
      <c r="W697" s="419"/>
      <c r="X697" s="419"/>
      <c r="Y697" s="419"/>
      <c r="Z697" s="419"/>
    </row>
    <row r="698" spans="3:26">
      <c r="C698" s="433"/>
      <c r="D698" s="433"/>
      <c r="E698" s="437"/>
      <c r="F698" s="419"/>
      <c r="G698" s="419"/>
      <c r="H698" s="419"/>
      <c r="I698" s="419"/>
      <c r="J698" s="419"/>
      <c r="K698" s="419"/>
      <c r="L698" s="429"/>
      <c r="M698" s="419"/>
      <c r="N698" s="419"/>
      <c r="O698" s="419"/>
      <c r="P698" s="419"/>
      <c r="Q698" s="419"/>
      <c r="R698" s="419"/>
      <c r="S698" s="419"/>
      <c r="T698" s="419"/>
      <c r="U698" s="419"/>
      <c r="V698" s="419"/>
      <c r="W698" s="419"/>
      <c r="X698" s="419"/>
      <c r="Y698" s="419"/>
      <c r="Z698" s="419"/>
    </row>
    <row r="699" spans="3:26">
      <c r="C699" s="433"/>
      <c r="D699" s="433"/>
      <c r="E699" s="437"/>
      <c r="F699" s="419"/>
      <c r="G699" s="419"/>
      <c r="H699" s="419"/>
      <c r="I699" s="419"/>
      <c r="J699" s="419"/>
      <c r="K699" s="419"/>
      <c r="L699" s="429"/>
      <c r="M699" s="419"/>
      <c r="N699" s="419"/>
      <c r="O699" s="419"/>
      <c r="P699" s="419"/>
      <c r="Q699" s="419"/>
      <c r="R699" s="419"/>
      <c r="S699" s="419"/>
      <c r="T699" s="419"/>
      <c r="U699" s="419"/>
      <c r="V699" s="419"/>
      <c r="W699" s="419"/>
      <c r="X699" s="419"/>
      <c r="Y699" s="419"/>
      <c r="Z699" s="419"/>
    </row>
    <row r="700" spans="3:26">
      <c r="C700" s="433"/>
      <c r="D700" s="433"/>
      <c r="E700" s="437"/>
      <c r="F700" s="419"/>
      <c r="G700" s="419"/>
      <c r="H700" s="419"/>
      <c r="I700" s="419"/>
      <c r="J700" s="419"/>
      <c r="K700" s="419"/>
      <c r="L700" s="429"/>
      <c r="M700" s="419"/>
      <c r="N700" s="419"/>
      <c r="O700" s="419"/>
      <c r="P700" s="419"/>
      <c r="Q700" s="419"/>
      <c r="R700" s="419"/>
      <c r="S700" s="419"/>
      <c r="T700" s="419"/>
      <c r="U700" s="419"/>
      <c r="V700" s="419"/>
      <c r="W700" s="419"/>
      <c r="X700" s="419"/>
      <c r="Y700" s="419"/>
      <c r="Z700" s="419"/>
    </row>
    <row r="701" spans="3:26">
      <c r="C701" s="433"/>
      <c r="D701" s="433"/>
      <c r="E701" s="437"/>
      <c r="F701" s="419"/>
      <c r="G701" s="419"/>
      <c r="H701" s="419"/>
      <c r="I701" s="419"/>
      <c r="J701" s="419"/>
      <c r="K701" s="419"/>
      <c r="L701" s="429"/>
      <c r="M701" s="419"/>
      <c r="N701" s="419"/>
      <c r="O701" s="419"/>
      <c r="P701" s="419"/>
      <c r="Q701" s="419"/>
      <c r="R701" s="419"/>
      <c r="S701" s="419"/>
      <c r="T701" s="419"/>
      <c r="U701" s="419"/>
      <c r="V701" s="419"/>
      <c r="W701" s="419"/>
      <c r="X701" s="419"/>
      <c r="Y701" s="419"/>
      <c r="Z701" s="419"/>
    </row>
    <row r="702" spans="3:26">
      <c r="C702" s="433"/>
      <c r="D702" s="433"/>
      <c r="E702" s="437"/>
      <c r="F702" s="419"/>
      <c r="G702" s="419"/>
      <c r="H702" s="419"/>
      <c r="I702" s="419"/>
      <c r="J702" s="419"/>
      <c r="K702" s="419"/>
      <c r="L702" s="429"/>
      <c r="M702" s="419"/>
      <c r="N702" s="419"/>
      <c r="O702" s="419"/>
      <c r="P702" s="419"/>
      <c r="Q702" s="419"/>
      <c r="R702" s="419"/>
      <c r="S702" s="419"/>
      <c r="T702" s="419"/>
      <c r="U702" s="419"/>
      <c r="V702" s="419"/>
      <c r="W702" s="419"/>
      <c r="X702" s="419"/>
      <c r="Y702" s="419"/>
      <c r="Z702" s="419"/>
    </row>
    <row r="703" spans="3:26">
      <c r="C703" s="433"/>
      <c r="D703" s="433"/>
      <c r="E703" s="437"/>
      <c r="F703" s="419"/>
      <c r="G703" s="419"/>
      <c r="H703" s="419"/>
      <c r="I703" s="419"/>
      <c r="J703" s="419"/>
      <c r="K703" s="419"/>
      <c r="L703" s="429"/>
      <c r="M703" s="419"/>
      <c r="N703" s="419"/>
      <c r="O703" s="419"/>
      <c r="P703" s="419"/>
      <c r="Q703" s="419"/>
      <c r="R703" s="419"/>
      <c r="S703" s="419"/>
      <c r="T703" s="419"/>
      <c r="U703" s="419"/>
      <c r="V703" s="419"/>
      <c r="W703" s="419"/>
      <c r="X703" s="419"/>
      <c r="Y703" s="419"/>
      <c r="Z703" s="419"/>
    </row>
    <row r="704" spans="3:26">
      <c r="C704" s="433"/>
      <c r="D704" s="433"/>
      <c r="E704" s="437"/>
      <c r="F704" s="419"/>
      <c r="G704" s="419"/>
      <c r="H704" s="419"/>
      <c r="I704" s="419"/>
      <c r="J704" s="419"/>
      <c r="K704" s="419"/>
      <c r="L704" s="429"/>
      <c r="M704" s="419"/>
      <c r="N704" s="419"/>
      <c r="O704" s="419"/>
      <c r="P704" s="419"/>
      <c r="Q704" s="419"/>
      <c r="R704" s="419"/>
      <c r="S704" s="419"/>
      <c r="T704" s="419"/>
      <c r="U704" s="419"/>
      <c r="V704" s="419"/>
      <c r="W704" s="419"/>
      <c r="X704" s="419"/>
      <c r="Y704" s="419"/>
      <c r="Z704" s="419"/>
    </row>
    <row r="705" spans="3:26">
      <c r="C705" s="433"/>
      <c r="D705" s="433"/>
      <c r="E705" s="437"/>
      <c r="F705" s="419"/>
      <c r="G705" s="419"/>
      <c r="H705" s="419"/>
      <c r="I705" s="419"/>
      <c r="J705" s="419"/>
      <c r="K705" s="419"/>
      <c r="L705" s="429"/>
      <c r="M705" s="419"/>
      <c r="N705" s="419"/>
      <c r="O705" s="419"/>
      <c r="P705" s="419"/>
      <c r="Q705" s="419"/>
      <c r="R705" s="419"/>
      <c r="S705" s="419"/>
      <c r="T705" s="419"/>
      <c r="U705" s="419"/>
      <c r="V705" s="419"/>
      <c r="W705" s="419"/>
      <c r="X705" s="419"/>
      <c r="Y705" s="419"/>
      <c r="Z705" s="419"/>
    </row>
    <row r="706" spans="3:26">
      <c r="C706" s="433"/>
      <c r="D706" s="433"/>
      <c r="E706" s="437"/>
      <c r="F706" s="419"/>
      <c r="G706" s="419"/>
      <c r="H706" s="419"/>
      <c r="I706" s="419"/>
      <c r="J706" s="419"/>
      <c r="K706" s="419"/>
      <c r="L706" s="429"/>
      <c r="M706" s="419"/>
      <c r="N706" s="419"/>
      <c r="O706" s="419"/>
      <c r="P706" s="419"/>
      <c r="Q706" s="419"/>
      <c r="R706" s="419"/>
      <c r="S706" s="419"/>
      <c r="T706" s="419"/>
      <c r="U706" s="419"/>
      <c r="V706" s="419"/>
      <c r="W706" s="419"/>
      <c r="X706" s="419"/>
      <c r="Y706" s="419"/>
      <c r="Z706" s="419"/>
    </row>
    <row r="707" spans="3:26">
      <c r="C707" s="433"/>
      <c r="D707" s="433"/>
      <c r="E707" s="437"/>
      <c r="F707" s="419"/>
      <c r="G707" s="419"/>
      <c r="H707" s="419"/>
      <c r="I707" s="419"/>
      <c r="J707" s="419"/>
      <c r="K707" s="419"/>
      <c r="L707" s="429"/>
      <c r="M707" s="419"/>
      <c r="N707" s="419"/>
      <c r="O707" s="419"/>
      <c r="P707" s="419"/>
      <c r="Q707" s="419"/>
      <c r="R707" s="419"/>
      <c r="S707" s="419"/>
      <c r="T707" s="419"/>
      <c r="U707" s="419"/>
      <c r="V707" s="419"/>
      <c r="W707" s="419"/>
      <c r="X707" s="419"/>
      <c r="Y707" s="419"/>
      <c r="Z707" s="419"/>
    </row>
    <row r="708" spans="3:26">
      <c r="C708" s="433"/>
      <c r="D708" s="433"/>
      <c r="E708" s="437"/>
      <c r="F708" s="419"/>
      <c r="G708" s="419"/>
      <c r="H708" s="419"/>
      <c r="I708" s="419"/>
      <c r="J708" s="419"/>
      <c r="K708" s="419"/>
      <c r="L708" s="429"/>
      <c r="M708" s="419"/>
      <c r="N708" s="419"/>
      <c r="O708" s="419"/>
      <c r="P708" s="419"/>
      <c r="Q708" s="419"/>
      <c r="R708" s="419"/>
      <c r="S708" s="419"/>
      <c r="T708" s="419"/>
      <c r="U708" s="419"/>
      <c r="V708" s="419"/>
      <c r="W708" s="419"/>
      <c r="X708" s="419"/>
      <c r="Y708" s="419"/>
      <c r="Z708" s="419"/>
    </row>
    <row r="709" spans="3:26">
      <c r="C709" s="433"/>
      <c r="D709" s="433"/>
      <c r="E709" s="437"/>
      <c r="F709" s="419"/>
      <c r="G709" s="419"/>
      <c r="H709" s="419"/>
      <c r="I709" s="419"/>
      <c r="J709" s="419"/>
      <c r="K709" s="419"/>
      <c r="L709" s="429"/>
      <c r="M709" s="419"/>
      <c r="N709" s="419"/>
      <c r="O709" s="419"/>
      <c r="P709" s="419"/>
      <c r="Q709" s="419"/>
      <c r="R709" s="419"/>
      <c r="S709" s="419"/>
      <c r="T709" s="419"/>
      <c r="U709" s="419"/>
      <c r="V709" s="419"/>
      <c r="W709" s="419"/>
      <c r="X709" s="419"/>
      <c r="Y709" s="419"/>
      <c r="Z709" s="419"/>
    </row>
    <row r="710" spans="3:26">
      <c r="C710" s="433"/>
      <c r="D710" s="433"/>
      <c r="E710" s="437"/>
      <c r="F710" s="419"/>
      <c r="G710" s="419"/>
      <c r="H710" s="419"/>
      <c r="I710" s="419"/>
      <c r="J710" s="419"/>
      <c r="K710" s="419"/>
      <c r="L710" s="429"/>
      <c r="M710" s="419"/>
      <c r="N710" s="419"/>
      <c r="O710" s="419"/>
      <c r="P710" s="419"/>
      <c r="Q710" s="419"/>
      <c r="R710" s="419"/>
      <c r="S710" s="419"/>
      <c r="T710" s="419"/>
      <c r="U710" s="419"/>
      <c r="V710" s="419"/>
      <c r="W710" s="419"/>
      <c r="X710" s="419"/>
      <c r="Y710" s="419"/>
      <c r="Z710" s="419"/>
    </row>
    <row r="711" spans="3:26">
      <c r="C711" s="433"/>
      <c r="D711" s="433"/>
      <c r="E711" s="437"/>
      <c r="F711" s="419"/>
      <c r="G711" s="419"/>
      <c r="H711" s="419"/>
      <c r="I711" s="419"/>
      <c r="J711" s="419"/>
      <c r="K711" s="419"/>
      <c r="L711" s="429"/>
      <c r="M711" s="419"/>
      <c r="N711" s="419"/>
      <c r="O711" s="419"/>
      <c r="P711" s="419"/>
      <c r="Q711" s="419"/>
      <c r="R711" s="419"/>
      <c r="S711" s="419"/>
      <c r="T711" s="419"/>
      <c r="U711" s="419"/>
      <c r="V711" s="419"/>
      <c r="W711" s="419"/>
      <c r="X711" s="419"/>
      <c r="Y711" s="419"/>
      <c r="Z711" s="419"/>
    </row>
    <row r="712" spans="3:26">
      <c r="C712" s="433"/>
      <c r="D712" s="433"/>
      <c r="E712" s="437"/>
      <c r="F712" s="419"/>
      <c r="G712" s="419"/>
      <c r="H712" s="419"/>
      <c r="I712" s="419"/>
      <c r="J712" s="419"/>
      <c r="K712" s="419"/>
      <c r="L712" s="429"/>
      <c r="M712" s="419"/>
      <c r="N712" s="419"/>
      <c r="O712" s="419"/>
      <c r="P712" s="419"/>
      <c r="Q712" s="419"/>
      <c r="R712" s="419"/>
      <c r="S712" s="419"/>
      <c r="T712" s="419"/>
      <c r="U712" s="419"/>
      <c r="V712" s="419"/>
      <c r="W712" s="419"/>
      <c r="X712" s="419"/>
      <c r="Y712" s="419"/>
      <c r="Z712" s="419"/>
    </row>
    <row r="713" spans="3:26">
      <c r="C713" s="433"/>
      <c r="D713" s="433"/>
      <c r="E713" s="437"/>
      <c r="F713" s="419"/>
      <c r="G713" s="419"/>
      <c r="H713" s="419"/>
      <c r="I713" s="419"/>
      <c r="J713" s="419"/>
      <c r="K713" s="419"/>
      <c r="L713" s="429"/>
      <c r="M713" s="419"/>
      <c r="N713" s="419"/>
      <c r="O713" s="419"/>
      <c r="P713" s="419"/>
      <c r="Q713" s="419"/>
      <c r="R713" s="419"/>
      <c r="S713" s="419"/>
      <c r="T713" s="419"/>
      <c r="U713" s="419"/>
      <c r="V713" s="419"/>
      <c r="W713" s="419"/>
      <c r="X713" s="419"/>
      <c r="Y713" s="419"/>
      <c r="Z713" s="419"/>
    </row>
    <row r="714" spans="3:26">
      <c r="C714" s="433"/>
      <c r="D714" s="433"/>
      <c r="E714" s="437"/>
      <c r="F714" s="419"/>
      <c r="G714" s="419"/>
      <c r="H714" s="419"/>
      <c r="I714" s="419"/>
      <c r="J714" s="419"/>
      <c r="K714" s="419"/>
      <c r="L714" s="429"/>
      <c r="M714" s="419"/>
      <c r="N714" s="419"/>
      <c r="O714" s="419"/>
      <c r="P714" s="419"/>
      <c r="Q714" s="419"/>
      <c r="R714" s="419"/>
      <c r="S714" s="419"/>
      <c r="T714" s="419"/>
      <c r="U714" s="419"/>
      <c r="V714" s="419"/>
      <c r="W714" s="419"/>
      <c r="X714" s="419"/>
      <c r="Y714" s="419"/>
      <c r="Z714" s="419"/>
    </row>
    <row r="715" spans="3:26">
      <c r="C715" s="433"/>
      <c r="D715" s="433"/>
      <c r="E715" s="437"/>
      <c r="F715" s="419"/>
      <c r="G715" s="419"/>
      <c r="H715" s="419"/>
      <c r="I715" s="419"/>
      <c r="J715" s="419"/>
      <c r="K715" s="419"/>
      <c r="L715" s="429"/>
      <c r="M715" s="419"/>
      <c r="N715" s="419"/>
      <c r="O715" s="419"/>
      <c r="P715" s="419"/>
      <c r="Q715" s="419"/>
      <c r="R715" s="419"/>
      <c r="S715" s="419"/>
      <c r="T715" s="419"/>
      <c r="U715" s="419"/>
      <c r="V715" s="419"/>
      <c r="W715" s="419"/>
      <c r="X715" s="419"/>
      <c r="Y715" s="419"/>
      <c r="Z715" s="419"/>
    </row>
    <row r="716" spans="3:26">
      <c r="C716" s="433"/>
      <c r="D716" s="433"/>
      <c r="E716" s="437"/>
      <c r="F716" s="419"/>
      <c r="G716" s="419"/>
      <c r="H716" s="419"/>
      <c r="I716" s="419"/>
      <c r="J716" s="419"/>
      <c r="K716" s="419"/>
      <c r="L716" s="429"/>
      <c r="M716" s="419"/>
      <c r="N716" s="419"/>
      <c r="O716" s="419"/>
      <c r="P716" s="419"/>
      <c r="Q716" s="419"/>
      <c r="R716" s="419"/>
      <c r="S716" s="419"/>
      <c r="T716" s="419"/>
      <c r="U716" s="419"/>
      <c r="V716" s="419"/>
      <c r="W716" s="419"/>
      <c r="X716" s="419"/>
      <c r="Y716" s="419"/>
      <c r="Z716" s="419"/>
    </row>
    <row r="717" spans="3:26">
      <c r="C717" s="433"/>
      <c r="D717" s="433"/>
      <c r="E717" s="437"/>
      <c r="F717" s="419"/>
      <c r="G717" s="419"/>
      <c r="H717" s="419"/>
      <c r="I717" s="419"/>
      <c r="J717" s="419"/>
      <c r="K717" s="419"/>
      <c r="L717" s="429"/>
      <c r="M717" s="419"/>
      <c r="N717" s="419"/>
      <c r="O717" s="419"/>
      <c r="P717" s="419"/>
      <c r="Q717" s="419"/>
      <c r="R717" s="419"/>
      <c r="S717" s="419"/>
      <c r="T717" s="419"/>
      <c r="U717" s="419"/>
      <c r="V717" s="419"/>
      <c r="W717" s="419"/>
      <c r="X717" s="419"/>
      <c r="Y717" s="419"/>
      <c r="Z717" s="419"/>
    </row>
    <row r="718" spans="3:26">
      <c r="C718" s="433"/>
      <c r="D718" s="433"/>
      <c r="E718" s="437"/>
      <c r="F718" s="419"/>
      <c r="G718" s="419"/>
      <c r="H718" s="419"/>
      <c r="I718" s="419"/>
      <c r="J718" s="419"/>
      <c r="K718" s="419"/>
      <c r="L718" s="429"/>
      <c r="M718" s="419"/>
      <c r="N718" s="419"/>
      <c r="O718" s="419"/>
      <c r="P718" s="419"/>
      <c r="Q718" s="419"/>
      <c r="R718" s="419"/>
      <c r="S718" s="419"/>
      <c r="T718" s="419"/>
      <c r="U718" s="419"/>
      <c r="V718" s="419"/>
      <c r="W718" s="419"/>
      <c r="X718" s="419"/>
      <c r="Y718" s="419"/>
      <c r="Z718" s="419"/>
    </row>
    <row r="719" spans="3:26">
      <c r="C719" s="433"/>
      <c r="D719" s="433"/>
      <c r="E719" s="437"/>
      <c r="F719" s="419"/>
      <c r="G719" s="419"/>
      <c r="H719" s="419"/>
      <c r="I719" s="419"/>
      <c r="J719" s="419"/>
      <c r="K719" s="419"/>
      <c r="L719" s="429"/>
      <c r="M719" s="419"/>
      <c r="N719" s="419"/>
      <c r="O719" s="419"/>
      <c r="P719" s="419"/>
      <c r="Q719" s="419"/>
      <c r="R719" s="419"/>
      <c r="S719" s="419"/>
      <c r="T719" s="419"/>
      <c r="U719" s="419"/>
      <c r="V719" s="419"/>
      <c r="W719" s="419"/>
      <c r="X719" s="419"/>
      <c r="Y719" s="419"/>
      <c r="Z719" s="419"/>
    </row>
    <row r="720" spans="3:26">
      <c r="C720" s="433"/>
      <c r="D720" s="433"/>
      <c r="E720" s="437"/>
      <c r="F720" s="419"/>
      <c r="G720" s="419"/>
      <c r="H720" s="419"/>
      <c r="I720" s="419"/>
      <c r="J720" s="419"/>
      <c r="K720" s="419"/>
      <c r="L720" s="429"/>
      <c r="M720" s="419"/>
      <c r="N720" s="419"/>
      <c r="O720" s="419"/>
      <c r="P720" s="419"/>
      <c r="Q720" s="419"/>
      <c r="R720" s="419"/>
      <c r="S720" s="419"/>
      <c r="T720" s="419"/>
      <c r="U720" s="419"/>
      <c r="V720" s="419"/>
      <c r="W720" s="419"/>
      <c r="X720" s="419"/>
      <c r="Y720" s="419"/>
      <c r="Z720" s="419"/>
    </row>
    <row r="721" spans="3:26">
      <c r="C721" s="433"/>
      <c r="D721" s="433"/>
      <c r="E721" s="437"/>
      <c r="F721" s="419"/>
      <c r="G721" s="419"/>
      <c r="H721" s="419"/>
      <c r="I721" s="419"/>
      <c r="J721" s="419"/>
      <c r="K721" s="419"/>
      <c r="L721" s="429"/>
      <c r="M721" s="419"/>
      <c r="N721" s="419"/>
      <c r="O721" s="419"/>
      <c r="P721" s="419"/>
      <c r="Q721" s="419"/>
      <c r="R721" s="419"/>
      <c r="S721" s="419"/>
      <c r="T721" s="419"/>
      <c r="U721" s="419"/>
      <c r="V721" s="419"/>
      <c r="W721" s="419"/>
      <c r="X721" s="419"/>
      <c r="Y721" s="419"/>
      <c r="Z721" s="419"/>
    </row>
    <row r="722" spans="3:26">
      <c r="C722" s="433"/>
      <c r="D722" s="433"/>
      <c r="E722" s="437"/>
      <c r="F722" s="419"/>
      <c r="G722" s="419"/>
      <c r="H722" s="419"/>
      <c r="I722" s="419"/>
      <c r="J722" s="419"/>
      <c r="K722" s="419"/>
      <c r="L722" s="429"/>
      <c r="M722" s="419"/>
      <c r="N722" s="419"/>
      <c r="O722" s="419"/>
      <c r="P722" s="419"/>
      <c r="Q722" s="419"/>
      <c r="R722" s="419"/>
      <c r="S722" s="419"/>
      <c r="T722" s="419"/>
      <c r="U722" s="419"/>
      <c r="V722" s="419"/>
      <c r="W722" s="419"/>
      <c r="X722" s="419"/>
      <c r="Y722" s="419"/>
      <c r="Z722" s="419"/>
    </row>
    <row r="723" spans="3:26">
      <c r="C723" s="433"/>
      <c r="D723" s="433"/>
      <c r="E723" s="437"/>
      <c r="F723" s="419"/>
      <c r="G723" s="419"/>
      <c r="H723" s="419"/>
      <c r="I723" s="419"/>
      <c r="J723" s="419"/>
      <c r="K723" s="419"/>
      <c r="L723" s="429"/>
      <c r="M723" s="419"/>
      <c r="N723" s="419"/>
      <c r="O723" s="419"/>
      <c r="P723" s="419"/>
      <c r="Q723" s="419"/>
      <c r="R723" s="419"/>
      <c r="S723" s="419"/>
      <c r="T723" s="419"/>
      <c r="U723" s="419"/>
      <c r="V723" s="419"/>
      <c r="W723" s="419"/>
      <c r="X723" s="419"/>
      <c r="Y723" s="419"/>
      <c r="Z723" s="419"/>
    </row>
    <row r="724" spans="3:26">
      <c r="C724" s="433"/>
      <c r="D724" s="433"/>
      <c r="E724" s="437"/>
      <c r="F724" s="419"/>
      <c r="G724" s="419"/>
      <c r="H724" s="419"/>
      <c r="I724" s="419"/>
      <c r="J724" s="419"/>
      <c r="K724" s="419"/>
      <c r="L724" s="429"/>
      <c r="M724" s="419"/>
      <c r="N724" s="419"/>
      <c r="O724" s="419"/>
      <c r="P724" s="419"/>
      <c r="Q724" s="419"/>
      <c r="R724" s="419"/>
      <c r="S724" s="419"/>
      <c r="T724" s="419"/>
      <c r="U724" s="419"/>
      <c r="V724" s="419"/>
      <c r="W724" s="419"/>
      <c r="X724" s="419"/>
      <c r="Y724" s="419"/>
      <c r="Z724" s="419"/>
    </row>
    <row r="725" spans="3:26">
      <c r="C725" s="433"/>
      <c r="D725" s="433"/>
      <c r="E725" s="437"/>
      <c r="F725" s="419"/>
      <c r="G725" s="419"/>
      <c r="H725" s="419"/>
      <c r="I725" s="419"/>
      <c r="J725" s="419"/>
      <c r="K725" s="419"/>
      <c r="L725" s="429"/>
      <c r="M725" s="419"/>
      <c r="N725" s="419"/>
      <c r="O725" s="419"/>
      <c r="P725" s="419"/>
      <c r="Q725" s="419"/>
      <c r="R725" s="419"/>
      <c r="S725" s="419"/>
      <c r="T725" s="419"/>
      <c r="U725" s="419"/>
      <c r="V725" s="419"/>
      <c r="W725" s="419"/>
      <c r="X725" s="419"/>
      <c r="Y725" s="419"/>
      <c r="Z725" s="419"/>
    </row>
    <row r="726" spans="3:26">
      <c r="C726" s="433"/>
      <c r="D726" s="433"/>
      <c r="E726" s="437"/>
      <c r="F726" s="419"/>
      <c r="G726" s="419"/>
      <c r="H726" s="419"/>
      <c r="I726" s="419"/>
      <c r="J726" s="419"/>
      <c r="K726" s="419"/>
      <c r="L726" s="429"/>
      <c r="M726" s="419"/>
      <c r="N726" s="419"/>
      <c r="O726" s="419"/>
      <c r="P726" s="419"/>
      <c r="Q726" s="419"/>
      <c r="R726" s="419"/>
      <c r="S726" s="419"/>
      <c r="T726" s="419"/>
      <c r="U726" s="419"/>
      <c r="V726" s="419"/>
      <c r="W726" s="419"/>
      <c r="X726" s="419"/>
      <c r="Y726" s="419"/>
      <c r="Z726" s="419"/>
    </row>
    <row r="727" spans="3:26">
      <c r="C727" s="433"/>
      <c r="D727" s="433"/>
      <c r="E727" s="437"/>
      <c r="F727" s="419"/>
      <c r="G727" s="419"/>
      <c r="H727" s="419"/>
      <c r="I727" s="419"/>
      <c r="J727" s="419"/>
      <c r="K727" s="419"/>
      <c r="L727" s="429"/>
      <c r="M727" s="419"/>
      <c r="N727" s="419"/>
      <c r="O727" s="419"/>
      <c r="P727" s="419"/>
      <c r="Q727" s="419"/>
      <c r="R727" s="419"/>
      <c r="S727" s="419"/>
      <c r="T727" s="419"/>
      <c r="U727" s="419"/>
      <c r="V727" s="419"/>
      <c r="W727" s="419"/>
      <c r="X727" s="419"/>
      <c r="Y727" s="419"/>
      <c r="Z727" s="419"/>
    </row>
    <row r="728" spans="3:26">
      <c r="C728" s="433"/>
      <c r="D728" s="433"/>
      <c r="E728" s="437"/>
      <c r="F728" s="419"/>
      <c r="G728" s="419"/>
      <c r="H728" s="419"/>
      <c r="I728" s="419"/>
      <c r="J728" s="419"/>
      <c r="K728" s="419"/>
      <c r="L728" s="429"/>
      <c r="M728" s="419"/>
      <c r="N728" s="419"/>
      <c r="O728" s="419"/>
      <c r="P728" s="419"/>
      <c r="Q728" s="419"/>
      <c r="R728" s="419"/>
      <c r="S728" s="419"/>
      <c r="T728" s="419"/>
      <c r="U728" s="419"/>
      <c r="V728" s="419"/>
      <c r="W728" s="419"/>
      <c r="X728" s="419"/>
      <c r="Y728" s="419"/>
      <c r="Z728" s="419"/>
    </row>
    <row r="729" spans="3:26">
      <c r="C729" s="433"/>
      <c r="D729" s="433"/>
      <c r="E729" s="437"/>
      <c r="F729" s="419"/>
      <c r="G729" s="419"/>
      <c r="H729" s="419"/>
      <c r="I729" s="419"/>
      <c r="J729" s="419"/>
      <c r="K729" s="419"/>
      <c r="L729" s="429"/>
      <c r="M729" s="419"/>
      <c r="N729" s="419"/>
      <c r="O729" s="419"/>
      <c r="P729" s="419"/>
      <c r="Q729" s="419"/>
      <c r="R729" s="419"/>
      <c r="S729" s="419"/>
      <c r="T729" s="419"/>
      <c r="U729" s="419"/>
      <c r="V729" s="419"/>
      <c r="W729" s="419"/>
      <c r="X729" s="419"/>
      <c r="Y729" s="419"/>
      <c r="Z729" s="419"/>
    </row>
    <row r="730" spans="3:26">
      <c r="C730" s="433"/>
      <c r="D730" s="433"/>
      <c r="E730" s="437"/>
      <c r="F730" s="419"/>
      <c r="G730" s="419"/>
      <c r="H730" s="419"/>
      <c r="I730" s="419"/>
      <c r="J730" s="419"/>
      <c r="K730" s="419"/>
      <c r="L730" s="429"/>
      <c r="M730" s="419"/>
      <c r="N730" s="419"/>
      <c r="O730" s="419"/>
      <c r="P730" s="419"/>
      <c r="Q730" s="419"/>
      <c r="R730" s="419"/>
      <c r="S730" s="419"/>
      <c r="T730" s="419"/>
      <c r="U730" s="419"/>
      <c r="V730" s="419"/>
      <c r="W730" s="419"/>
      <c r="X730" s="419"/>
      <c r="Y730" s="419"/>
      <c r="Z730" s="419"/>
    </row>
    <row r="731" spans="3:26">
      <c r="C731" s="433"/>
      <c r="D731" s="433"/>
      <c r="E731" s="437"/>
      <c r="F731" s="419"/>
      <c r="G731" s="419"/>
      <c r="H731" s="419"/>
      <c r="I731" s="419"/>
      <c r="J731" s="419"/>
      <c r="K731" s="419"/>
      <c r="L731" s="429"/>
      <c r="M731" s="419"/>
      <c r="N731" s="419"/>
      <c r="O731" s="419"/>
      <c r="P731" s="419"/>
      <c r="Q731" s="419"/>
      <c r="R731" s="419"/>
      <c r="S731" s="419"/>
      <c r="T731" s="419"/>
      <c r="U731" s="419"/>
      <c r="V731" s="419"/>
      <c r="W731" s="419"/>
      <c r="X731" s="419"/>
      <c r="Y731" s="419"/>
      <c r="Z731" s="419"/>
    </row>
    <row r="732" spans="3:26">
      <c r="C732" s="433"/>
      <c r="D732" s="433"/>
      <c r="E732" s="437"/>
      <c r="F732" s="419"/>
      <c r="G732" s="419"/>
      <c r="H732" s="419"/>
      <c r="I732" s="419"/>
      <c r="J732" s="419"/>
      <c r="K732" s="419"/>
      <c r="L732" s="429"/>
      <c r="M732" s="419"/>
      <c r="N732" s="419"/>
      <c r="O732" s="419"/>
      <c r="P732" s="419"/>
      <c r="Q732" s="419"/>
      <c r="R732" s="419"/>
      <c r="S732" s="419"/>
      <c r="T732" s="419"/>
      <c r="U732" s="419"/>
      <c r="V732" s="419"/>
      <c r="W732" s="419"/>
      <c r="X732" s="419"/>
      <c r="Y732" s="419"/>
      <c r="Z732" s="419"/>
    </row>
    <row r="733" spans="3:26">
      <c r="C733" s="433"/>
      <c r="D733" s="433"/>
      <c r="E733" s="437"/>
      <c r="F733" s="419"/>
      <c r="G733" s="419"/>
      <c r="H733" s="419"/>
      <c r="I733" s="419"/>
      <c r="J733" s="419"/>
      <c r="K733" s="419"/>
      <c r="L733" s="429"/>
      <c r="M733" s="419"/>
      <c r="N733" s="419"/>
      <c r="O733" s="419"/>
      <c r="P733" s="419"/>
      <c r="Q733" s="419"/>
      <c r="R733" s="419"/>
      <c r="S733" s="419"/>
      <c r="T733" s="419"/>
      <c r="U733" s="419"/>
      <c r="V733" s="419"/>
      <c r="W733" s="419"/>
      <c r="X733" s="419"/>
      <c r="Y733" s="419"/>
      <c r="Z733" s="419"/>
    </row>
    <row r="734" spans="3:26">
      <c r="C734" s="433"/>
      <c r="D734" s="433"/>
      <c r="E734" s="437"/>
      <c r="F734" s="419"/>
      <c r="G734" s="419"/>
      <c r="H734" s="419"/>
      <c r="I734" s="419"/>
      <c r="J734" s="419"/>
      <c r="K734" s="419"/>
      <c r="L734" s="429"/>
      <c r="M734" s="419"/>
      <c r="N734" s="419"/>
      <c r="O734" s="419"/>
      <c r="P734" s="419"/>
      <c r="Q734" s="419"/>
      <c r="R734" s="419"/>
      <c r="S734" s="419"/>
      <c r="T734" s="419"/>
      <c r="U734" s="419"/>
      <c r="V734" s="419"/>
      <c r="W734" s="419"/>
      <c r="X734" s="419"/>
      <c r="Y734" s="419"/>
      <c r="Z734" s="419"/>
    </row>
    <row r="735" spans="3:26">
      <c r="C735" s="433"/>
      <c r="D735" s="433"/>
      <c r="E735" s="437"/>
      <c r="F735" s="419"/>
      <c r="G735" s="419"/>
      <c r="H735" s="419"/>
      <c r="I735" s="419"/>
      <c r="J735" s="419"/>
      <c r="K735" s="419"/>
      <c r="L735" s="429"/>
      <c r="M735" s="419"/>
      <c r="N735" s="419"/>
      <c r="O735" s="419"/>
      <c r="P735" s="419"/>
      <c r="Q735" s="419"/>
      <c r="R735" s="419"/>
      <c r="S735" s="419"/>
      <c r="T735" s="419"/>
      <c r="U735" s="419"/>
      <c r="V735" s="419"/>
      <c r="W735" s="419"/>
      <c r="X735" s="419"/>
      <c r="Y735" s="419"/>
      <c r="Z735" s="419"/>
    </row>
    <row r="736" spans="3:26">
      <c r="C736" s="433"/>
      <c r="D736" s="433"/>
      <c r="E736" s="437"/>
      <c r="F736" s="419"/>
      <c r="G736" s="419"/>
      <c r="H736" s="419"/>
      <c r="I736" s="419"/>
      <c r="J736" s="419"/>
      <c r="K736" s="419"/>
      <c r="L736" s="429"/>
      <c r="M736" s="419"/>
      <c r="N736" s="419"/>
      <c r="O736" s="419"/>
      <c r="P736" s="419"/>
      <c r="Q736" s="419"/>
      <c r="R736" s="419"/>
      <c r="S736" s="419"/>
      <c r="T736" s="419"/>
      <c r="U736" s="419"/>
      <c r="V736" s="419"/>
      <c r="W736" s="419"/>
      <c r="X736" s="419"/>
      <c r="Y736" s="419"/>
      <c r="Z736" s="419"/>
    </row>
    <row r="737" spans="3:26">
      <c r="C737" s="433"/>
      <c r="D737" s="433"/>
      <c r="E737" s="437"/>
      <c r="F737" s="419"/>
      <c r="G737" s="419"/>
      <c r="H737" s="419"/>
      <c r="I737" s="419"/>
      <c r="J737" s="419"/>
      <c r="K737" s="419"/>
      <c r="L737" s="429"/>
      <c r="M737" s="419"/>
      <c r="N737" s="419"/>
      <c r="O737" s="419"/>
      <c r="P737" s="419"/>
      <c r="Q737" s="419"/>
      <c r="R737" s="419"/>
      <c r="S737" s="419"/>
      <c r="T737" s="419"/>
      <c r="U737" s="419"/>
      <c r="V737" s="419"/>
      <c r="W737" s="419"/>
      <c r="X737" s="419"/>
      <c r="Y737" s="419"/>
      <c r="Z737" s="419"/>
    </row>
    <row r="738" spans="3:26">
      <c r="C738" s="433"/>
      <c r="D738" s="433"/>
      <c r="E738" s="437"/>
      <c r="F738" s="419"/>
      <c r="G738" s="419"/>
      <c r="H738" s="419"/>
      <c r="I738" s="419"/>
      <c r="J738" s="419"/>
      <c r="K738" s="419"/>
      <c r="L738" s="429"/>
      <c r="M738" s="419"/>
      <c r="N738" s="419"/>
      <c r="O738" s="419"/>
      <c r="P738" s="419"/>
      <c r="Q738" s="419"/>
      <c r="R738" s="419"/>
      <c r="S738" s="419"/>
      <c r="T738" s="419"/>
      <c r="U738" s="419"/>
      <c r="V738" s="419"/>
      <c r="W738" s="419"/>
      <c r="X738" s="419"/>
      <c r="Y738" s="419"/>
      <c r="Z738" s="419"/>
    </row>
    <row r="739" spans="3:26">
      <c r="C739" s="433"/>
      <c r="D739" s="433"/>
      <c r="E739" s="437"/>
      <c r="F739" s="419"/>
      <c r="G739" s="419"/>
      <c r="H739" s="419"/>
      <c r="I739" s="419"/>
      <c r="J739" s="419"/>
      <c r="K739" s="419"/>
      <c r="L739" s="429"/>
      <c r="M739" s="419"/>
      <c r="N739" s="419"/>
      <c r="O739" s="419"/>
      <c r="P739" s="419"/>
      <c r="Q739" s="419"/>
      <c r="R739" s="419"/>
      <c r="S739" s="419"/>
      <c r="T739" s="419"/>
      <c r="U739" s="419"/>
      <c r="V739" s="419"/>
      <c r="W739" s="419"/>
      <c r="X739" s="419"/>
      <c r="Y739" s="419"/>
      <c r="Z739" s="419"/>
    </row>
    <row r="740" spans="3:26">
      <c r="C740" s="433"/>
      <c r="D740" s="433"/>
      <c r="E740" s="437"/>
      <c r="F740" s="419"/>
      <c r="G740" s="419"/>
      <c r="H740" s="419"/>
      <c r="I740" s="419"/>
      <c r="J740" s="419"/>
      <c r="K740" s="419"/>
      <c r="L740" s="429"/>
      <c r="M740" s="419"/>
      <c r="N740" s="419"/>
      <c r="O740" s="419"/>
      <c r="P740" s="419"/>
      <c r="Q740" s="419"/>
      <c r="R740" s="419"/>
      <c r="S740" s="419"/>
      <c r="T740" s="419"/>
      <c r="U740" s="419"/>
      <c r="V740" s="419"/>
      <c r="W740" s="419"/>
      <c r="X740" s="419"/>
      <c r="Y740" s="419"/>
      <c r="Z740" s="419"/>
    </row>
    <row r="741" spans="3:26">
      <c r="C741" s="433"/>
      <c r="D741" s="433"/>
      <c r="E741" s="437"/>
      <c r="F741" s="419"/>
      <c r="G741" s="419"/>
      <c r="H741" s="419"/>
      <c r="I741" s="419"/>
      <c r="J741" s="419"/>
      <c r="K741" s="419"/>
      <c r="L741" s="429"/>
      <c r="M741" s="419"/>
      <c r="N741" s="419"/>
      <c r="O741" s="419"/>
      <c r="P741" s="419"/>
      <c r="Q741" s="419"/>
      <c r="R741" s="419"/>
      <c r="S741" s="419"/>
      <c r="T741" s="419"/>
      <c r="U741" s="419"/>
      <c r="V741" s="419"/>
      <c r="W741" s="419"/>
      <c r="X741" s="419"/>
      <c r="Y741" s="419"/>
      <c r="Z741" s="419"/>
    </row>
    <row r="742" spans="3:26">
      <c r="C742" s="433"/>
      <c r="D742" s="433"/>
      <c r="E742" s="437"/>
      <c r="F742" s="419"/>
      <c r="G742" s="419"/>
      <c r="H742" s="419"/>
      <c r="I742" s="419"/>
      <c r="J742" s="419"/>
      <c r="K742" s="419"/>
      <c r="L742" s="429"/>
      <c r="M742" s="419"/>
      <c r="N742" s="419"/>
      <c r="O742" s="419"/>
      <c r="P742" s="419"/>
      <c r="Q742" s="419"/>
      <c r="R742" s="419"/>
      <c r="S742" s="419"/>
      <c r="T742" s="419"/>
      <c r="U742" s="419"/>
      <c r="V742" s="419"/>
      <c r="W742" s="419"/>
      <c r="X742" s="419"/>
      <c r="Y742" s="419"/>
      <c r="Z742" s="419"/>
    </row>
    <row r="743" spans="3:26">
      <c r="C743" s="433"/>
      <c r="D743" s="433"/>
      <c r="E743" s="437"/>
      <c r="F743" s="419"/>
      <c r="G743" s="419"/>
      <c r="H743" s="419"/>
      <c r="I743" s="419"/>
      <c r="J743" s="419"/>
      <c r="K743" s="419"/>
      <c r="L743" s="429"/>
      <c r="M743" s="419"/>
      <c r="N743" s="419"/>
      <c r="O743" s="419"/>
      <c r="P743" s="419"/>
      <c r="Q743" s="419"/>
      <c r="R743" s="419"/>
      <c r="S743" s="419"/>
      <c r="T743" s="419"/>
      <c r="U743" s="419"/>
      <c r="V743" s="419"/>
      <c r="W743" s="419"/>
      <c r="X743" s="419"/>
      <c r="Y743" s="419"/>
      <c r="Z743" s="419"/>
    </row>
    <row r="744" spans="3:26">
      <c r="C744" s="433"/>
      <c r="D744" s="433"/>
      <c r="E744" s="437"/>
      <c r="F744" s="419"/>
      <c r="G744" s="419"/>
      <c r="H744" s="419"/>
      <c r="I744" s="419"/>
      <c r="J744" s="419"/>
      <c r="K744" s="419"/>
      <c r="L744" s="429"/>
      <c r="M744" s="419"/>
      <c r="N744" s="419"/>
      <c r="O744" s="419"/>
      <c r="P744" s="419"/>
      <c r="Q744" s="419"/>
      <c r="R744" s="419"/>
      <c r="S744" s="419"/>
      <c r="T744" s="419"/>
      <c r="U744" s="419"/>
      <c r="V744" s="419"/>
      <c r="W744" s="419"/>
      <c r="X744" s="419"/>
      <c r="Y744" s="419"/>
      <c r="Z744" s="419"/>
    </row>
    <row r="745" spans="3:26">
      <c r="C745" s="433"/>
      <c r="D745" s="433"/>
      <c r="E745" s="437"/>
      <c r="F745" s="419"/>
      <c r="G745" s="419"/>
      <c r="H745" s="419"/>
      <c r="I745" s="419"/>
      <c r="J745" s="419"/>
      <c r="K745" s="419"/>
      <c r="L745" s="429"/>
      <c r="M745" s="419"/>
      <c r="N745" s="419"/>
      <c r="O745" s="419"/>
      <c r="P745" s="419"/>
      <c r="Q745" s="419"/>
      <c r="R745" s="419"/>
      <c r="S745" s="419"/>
      <c r="T745" s="419"/>
      <c r="U745" s="419"/>
      <c r="V745" s="419"/>
      <c r="W745" s="419"/>
      <c r="X745" s="419"/>
      <c r="Y745" s="419"/>
      <c r="Z745" s="419"/>
    </row>
    <row r="746" spans="3:26">
      <c r="C746" s="433"/>
      <c r="D746" s="433"/>
      <c r="E746" s="437"/>
      <c r="F746" s="419"/>
      <c r="G746" s="419"/>
      <c r="H746" s="419"/>
      <c r="I746" s="419"/>
      <c r="J746" s="419"/>
      <c r="K746" s="419"/>
      <c r="L746" s="429"/>
      <c r="M746" s="419"/>
      <c r="N746" s="419"/>
      <c r="O746" s="419"/>
      <c r="P746" s="419"/>
      <c r="Q746" s="419"/>
      <c r="R746" s="419"/>
      <c r="S746" s="419"/>
      <c r="T746" s="419"/>
      <c r="U746" s="419"/>
      <c r="V746" s="419"/>
      <c r="W746" s="419"/>
      <c r="X746" s="419"/>
      <c r="Y746" s="419"/>
      <c r="Z746" s="419"/>
    </row>
    <row r="747" spans="3:26">
      <c r="C747" s="433"/>
      <c r="D747" s="433"/>
      <c r="E747" s="437"/>
      <c r="F747" s="419"/>
      <c r="G747" s="419"/>
      <c r="H747" s="419"/>
      <c r="I747" s="419"/>
      <c r="J747" s="419"/>
      <c r="K747" s="419"/>
      <c r="L747" s="429"/>
      <c r="M747" s="419"/>
      <c r="N747" s="419"/>
      <c r="O747" s="419"/>
      <c r="P747" s="419"/>
      <c r="Q747" s="419"/>
      <c r="R747" s="419"/>
      <c r="S747" s="419"/>
      <c r="T747" s="419"/>
      <c r="U747" s="419"/>
      <c r="V747" s="419"/>
      <c r="W747" s="419"/>
      <c r="X747" s="419"/>
      <c r="Y747" s="419"/>
      <c r="Z747" s="419"/>
    </row>
    <row r="748" spans="3:26">
      <c r="C748" s="433"/>
      <c r="D748" s="433"/>
      <c r="E748" s="437"/>
      <c r="F748" s="419"/>
      <c r="G748" s="419"/>
      <c r="H748" s="419"/>
      <c r="I748" s="419"/>
      <c r="J748" s="419"/>
      <c r="K748" s="419"/>
      <c r="L748" s="429"/>
      <c r="M748" s="419"/>
      <c r="N748" s="419"/>
      <c r="O748" s="419"/>
      <c r="P748" s="419"/>
      <c r="Q748" s="419"/>
      <c r="R748" s="419"/>
      <c r="S748" s="419"/>
      <c r="T748" s="419"/>
      <c r="U748" s="419"/>
      <c r="V748" s="419"/>
      <c r="W748" s="419"/>
      <c r="X748" s="419"/>
      <c r="Y748" s="419"/>
      <c r="Z748" s="419"/>
    </row>
    <row r="749" spans="3:26">
      <c r="C749" s="433"/>
      <c r="D749" s="433"/>
      <c r="E749" s="437"/>
      <c r="F749" s="419"/>
      <c r="G749" s="419"/>
      <c r="H749" s="419"/>
      <c r="I749" s="419"/>
      <c r="J749" s="419"/>
      <c r="K749" s="419"/>
      <c r="L749" s="429"/>
      <c r="M749" s="419"/>
      <c r="N749" s="419"/>
      <c r="O749" s="419"/>
      <c r="P749" s="419"/>
      <c r="Q749" s="419"/>
      <c r="R749" s="419"/>
      <c r="S749" s="419"/>
      <c r="T749" s="419"/>
      <c r="U749" s="419"/>
      <c r="V749" s="419"/>
      <c r="W749" s="419"/>
      <c r="X749" s="419"/>
      <c r="Y749" s="419"/>
      <c r="Z749" s="419"/>
    </row>
    <row r="750" spans="3:26">
      <c r="C750" s="433"/>
      <c r="D750" s="433"/>
      <c r="E750" s="437"/>
      <c r="F750" s="419"/>
      <c r="G750" s="419"/>
      <c r="H750" s="419"/>
      <c r="I750" s="419"/>
      <c r="J750" s="419"/>
      <c r="K750" s="419"/>
      <c r="L750" s="429"/>
      <c r="M750" s="419"/>
      <c r="N750" s="419"/>
      <c r="O750" s="419"/>
      <c r="P750" s="419"/>
      <c r="Q750" s="419"/>
      <c r="R750" s="419"/>
      <c r="S750" s="419"/>
      <c r="T750" s="419"/>
      <c r="U750" s="419"/>
      <c r="V750" s="419"/>
      <c r="W750" s="419"/>
      <c r="X750" s="419"/>
      <c r="Y750" s="419"/>
      <c r="Z750" s="419"/>
    </row>
    <row r="751" spans="3:26">
      <c r="C751" s="433"/>
      <c r="D751" s="433"/>
      <c r="E751" s="437"/>
      <c r="F751" s="419"/>
      <c r="G751" s="419"/>
      <c r="H751" s="419"/>
      <c r="I751" s="419"/>
      <c r="J751" s="419"/>
      <c r="K751" s="419"/>
      <c r="L751" s="429"/>
      <c r="M751" s="419"/>
      <c r="N751" s="419"/>
      <c r="O751" s="419"/>
      <c r="P751" s="419"/>
      <c r="Q751" s="419"/>
      <c r="R751" s="419"/>
      <c r="S751" s="419"/>
      <c r="T751" s="419"/>
      <c r="U751" s="419"/>
      <c r="V751" s="419"/>
      <c r="W751" s="419"/>
      <c r="X751" s="419"/>
      <c r="Y751" s="419"/>
      <c r="Z751" s="419"/>
    </row>
    <row r="752" spans="3:26">
      <c r="C752" s="433"/>
      <c r="D752" s="433"/>
      <c r="E752" s="437"/>
      <c r="F752" s="419"/>
      <c r="G752" s="419"/>
      <c r="H752" s="419"/>
      <c r="I752" s="419"/>
      <c r="J752" s="419"/>
      <c r="K752" s="419"/>
      <c r="L752" s="429"/>
      <c r="M752" s="419"/>
      <c r="N752" s="419"/>
      <c r="O752" s="419"/>
      <c r="P752" s="419"/>
      <c r="Q752" s="419"/>
      <c r="R752" s="419"/>
      <c r="S752" s="419"/>
      <c r="T752" s="419"/>
      <c r="U752" s="419"/>
      <c r="V752" s="419"/>
      <c r="W752" s="419"/>
      <c r="X752" s="419"/>
      <c r="Y752" s="419"/>
      <c r="Z752" s="419"/>
    </row>
    <row r="753" spans="3:26">
      <c r="C753" s="433"/>
      <c r="D753" s="433"/>
      <c r="E753" s="437"/>
      <c r="F753" s="419"/>
      <c r="G753" s="419"/>
      <c r="H753" s="419"/>
      <c r="I753" s="419"/>
      <c r="J753" s="419"/>
      <c r="K753" s="419"/>
      <c r="L753" s="429"/>
      <c r="M753" s="419"/>
      <c r="N753" s="419"/>
      <c r="O753" s="419"/>
      <c r="P753" s="419"/>
      <c r="Q753" s="419"/>
      <c r="R753" s="419"/>
      <c r="S753" s="419"/>
      <c r="T753" s="419"/>
      <c r="U753" s="419"/>
      <c r="V753" s="419"/>
      <c r="W753" s="419"/>
      <c r="X753" s="419"/>
      <c r="Y753" s="419"/>
      <c r="Z753" s="419"/>
    </row>
    <row r="754" spans="3:26">
      <c r="C754" s="433"/>
      <c r="D754" s="433"/>
      <c r="E754" s="437"/>
      <c r="F754" s="419"/>
      <c r="G754" s="419"/>
      <c r="H754" s="419"/>
      <c r="I754" s="419"/>
      <c r="J754" s="419"/>
      <c r="K754" s="419"/>
      <c r="L754" s="429"/>
      <c r="M754" s="419"/>
      <c r="N754" s="419"/>
      <c r="O754" s="419"/>
      <c r="P754" s="419"/>
      <c r="Q754" s="419"/>
      <c r="R754" s="419"/>
      <c r="S754" s="419"/>
      <c r="T754" s="419"/>
      <c r="U754" s="419"/>
      <c r="V754" s="419"/>
      <c r="W754" s="419"/>
      <c r="X754" s="419"/>
      <c r="Y754" s="419"/>
      <c r="Z754" s="419"/>
    </row>
    <row r="755" spans="3:26">
      <c r="C755" s="433"/>
      <c r="D755" s="433"/>
      <c r="E755" s="437"/>
      <c r="F755" s="419"/>
      <c r="G755" s="419"/>
      <c r="H755" s="419"/>
      <c r="I755" s="419"/>
      <c r="J755" s="419"/>
      <c r="K755" s="419"/>
      <c r="L755" s="429"/>
      <c r="M755" s="419"/>
      <c r="N755" s="419"/>
      <c r="O755" s="419"/>
      <c r="P755" s="419"/>
      <c r="Q755" s="419"/>
      <c r="R755" s="419"/>
      <c r="S755" s="419"/>
      <c r="T755" s="419"/>
      <c r="U755" s="419"/>
      <c r="V755" s="419"/>
      <c r="W755" s="419"/>
      <c r="X755" s="419"/>
      <c r="Y755" s="419"/>
      <c r="Z755" s="419"/>
    </row>
    <row r="756" spans="3:26">
      <c r="C756" s="433"/>
      <c r="D756" s="433"/>
      <c r="E756" s="437"/>
      <c r="F756" s="419"/>
      <c r="G756" s="419"/>
      <c r="H756" s="419"/>
      <c r="I756" s="419"/>
      <c r="J756" s="419"/>
      <c r="K756" s="419"/>
      <c r="L756" s="429"/>
      <c r="M756" s="419"/>
      <c r="N756" s="419"/>
      <c r="O756" s="419"/>
      <c r="P756" s="419"/>
      <c r="Q756" s="419"/>
      <c r="R756" s="419"/>
      <c r="S756" s="419"/>
      <c r="T756" s="419"/>
      <c r="U756" s="419"/>
      <c r="V756" s="419"/>
      <c r="W756" s="419"/>
      <c r="X756" s="419"/>
      <c r="Y756" s="419"/>
      <c r="Z756" s="419"/>
    </row>
    <row r="757" spans="3:26">
      <c r="C757" s="433"/>
      <c r="D757" s="433"/>
      <c r="E757" s="437"/>
      <c r="F757" s="419"/>
      <c r="G757" s="419"/>
      <c r="H757" s="419"/>
      <c r="I757" s="419"/>
      <c r="J757" s="419"/>
      <c r="K757" s="419"/>
      <c r="L757" s="429"/>
      <c r="M757" s="419"/>
      <c r="N757" s="419"/>
      <c r="O757" s="419"/>
      <c r="P757" s="419"/>
      <c r="Q757" s="419"/>
      <c r="R757" s="419"/>
      <c r="S757" s="419"/>
      <c r="T757" s="419"/>
      <c r="U757" s="419"/>
      <c r="V757" s="419"/>
      <c r="W757" s="419"/>
      <c r="X757" s="419"/>
      <c r="Y757" s="419"/>
      <c r="Z757" s="419"/>
    </row>
    <row r="758" spans="3:26">
      <c r="C758" s="433"/>
      <c r="D758" s="433"/>
      <c r="E758" s="437"/>
      <c r="F758" s="419"/>
      <c r="G758" s="419"/>
      <c r="H758" s="419"/>
      <c r="I758" s="419"/>
      <c r="J758" s="419"/>
      <c r="K758" s="419"/>
      <c r="L758" s="429"/>
      <c r="M758" s="419"/>
      <c r="N758" s="419"/>
      <c r="O758" s="419"/>
      <c r="P758" s="419"/>
      <c r="Q758" s="419"/>
      <c r="R758" s="419"/>
      <c r="S758" s="419"/>
      <c r="T758" s="419"/>
      <c r="U758" s="419"/>
      <c r="V758" s="419"/>
      <c r="W758" s="419"/>
      <c r="X758" s="419"/>
      <c r="Y758" s="419"/>
      <c r="Z758" s="419"/>
    </row>
    <row r="759" spans="3:26">
      <c r="C759" s="433"/>
      <c r="D759" s="433"/>
      <c r="E759" s="437"/>
      <c r="F759" s="419"/>
      <c r="G759" s="419"/>
      <c r="H759" s="419"/>
      <c r="I759" s="419"/>
      <c r="J759" s="419"/>
      <c r="K759" s="419"/>
      <c r="L759" s="429"/>
      <c r="M759" s="419"/>
      <c r="N759" s="419"/>
      <c r="O759" s="419"/>
      <c r="P759" s="419"/>
      <c r="Q759" s="419"/>
      <c r="R759" s="419"/>
      <c r="S759" s="419"/>
      <c r="T759" s="419"/>
      <c r="U759" s="419"/>
      <c r="V759" s="419"/>
      <c r="W759" s="419"/>
      <c r="X759" s="419"/>
      <c r="Y759" s="419"/>
      <c r="Z759" s="419"/>
    </row>
    <row r="760" spans="3:26">
      <c r="C760" s="433"/>
      <c r="D760" s="433"/>
      <c r="E760" s="437"/>
      <c r="F760" s="419"/>
      <c r="G760" s="419"/>
      <c r="H760" s="419"/>
      <c r="I760" s="419"/>
      <c r="J760" s="419"/>
      <c r="K760" s="419"/>
      <c r="L760" s="429"/>
      <c r="M760" s="419"/>
      <c r="N760" s="419"/>
      <c r="O760" s="419"/>
      <c r="P760" s="419"/>
      <c r="Q760" s="419"/>
      <c r="R760" s="419"/>
      <c r="S760" s="419"/>
      <c r="T760" s="419"/>
      <c r="U760" s="419"/>
      <c r="V760" s="419"/>
      <c r="W760" s="419"/>
      <c r="X760" s="419"/>
      <c r="Y760" s="419"/>
      <c r="Z760" s="419"/>
    </row>
    <row r="761" spans="3:26">
      <c r="C761" s="433"/>
      <c r="D761" s="433"/>
      <c r="E761" s="437"/>
      <c r="F761" s="419"/>
      <c r="G761" s="419"/>
      <c r="H761" s="419"/>
      <c r="I761" s="419"/>
      <c r="J761" s="419"/>
      <c r="K761" s="419"/>
      <c r="L761" s="429"/>
      <c r="M761" s="419"/>
      <c r="N761" s="419"/>
      <c r="O761" s="419"/>
      <c r="P761" s="419"/>
      <c r="Q761" s="419"/>
      <c r="R761" s="419"/>
      <c r="S761" s="419"/>
      <c r="T761" s="419"/>
      <c r="U761" s="419"/>
      <c r="V761" s="419"/>
      <c r="W761" s="419"/>
      <c r="X761" s="419"/>
      <c r="Y761" s="419"/>
      <c r="Z761" s="419"/>
    </row>
    <row r="762" spans="3:26">
      <c r="C762" s="433"/>
      <c r="D762" s="433"/>
      <c r="E762" s="437"/>
      <c r="F762" s="419"/>
      <c r="G762" s="419"/>
      <c r="H762" s="419"/>
      <c r="I762" s="419"/>
      <c r="J762" s="419"/>
      <c r="K762" s="419"/>
      <c r="L762" s="429"/>
      <c r="M762" s="419"/>
      <c r="N762" s="419"/>
      <c r="O762" s="419"/>
      <c r="P762" s="419"/>
      <c r="Q762" s="419"/>
      <c r="R762" s="419"/>
      <c r="S762" s="419"/>
      <c r="T762" s="419"/>
      <c r="U762" s="419"/>
      <c r="V762" s="419"/>
      <c r="W762" s="419"/>
      <c r="X762" s="419"/>
      <c r="Y762" s="419"/>
      <c r="Z762" s="419"/>
    </row>
    <row r="763" spans="3:26">
      <c r="C763" s="433"/>
      <c r="D763" s="433"/>
      <c r="E763" s="437"/>
      <c r="F763" s="419"/>
      <c r="G763" s="419"/>
      <c r="H763" s="419"/>
      <c r="I763" s="419"/>
      <c r="J763" s="419"/>
      <c r="K763" s="419"/>
      <c r="L763" s="429"/>
      <c r="M763" s="419"/>
      <c r="N763" s="419"/>
      <c r="O763" s="419"/>
      <c r="P763" s="419"/>
      <c r="Q763" s="419"/>
      <c r="R763" s="419"/>
      <c r="S763" s="419"/>
      <c r="T763" s="419"/>
      <c r="U763" s="419"/>
      <c r="V763" s="419"/>
      <c r="W763" s="419"/>
      <c r="X763" s="419"/>
      <c r="Y763" s="419"/>
      <c r="Z763" s="419"/>
    </row>
    <row r="764" spans="3:26">
      <c r="C764" s="433"/>
      <c r="D764" s="433"/>
      <c r="E764" s="437"/>
      <c r="F764" s="419"/>
      <c r="G764" s="419"/>
      <c r="H764" s="419"/>
      <c r="I764" s="419"/>
      <c r="J764" s="419"/>
      <c r="K764" s="419"/>
      <c r="L764" s="429"/>
      <c r="M764" s="419"/>
      <c r="N764" s="419"/>
      <c r="O764" s="419"/>
      <c r="P764" s="419"/>
      <c r="Q764" s="419"/>
      <c r="R764" s="419"/>
      <c r="S764" s="419"/>
      <c r="T764" s="419"/>
      <c r="U764" s="419"/>
      <c r="V764" s="419"/>
      <c r="W764" s="419"/>
      <c r="X764" s="419"/>
      <c r="Y764" s="419"/>
      <c r="Z764" s="419"/>
    </row>
    <row r="765" spans="3:26">
      <c r="C765" s="433"/>
      <c r="D765" s="433"/>
      <c r="E765" s="437"/>
      <c r="F765" s="419"/>
      <c r="G765" s="419"/>
      <c r="H765" s="419"/>
      <c r="I765" s="419"/>
      <c r="J765" s="419"/>
      <c r="K765" s="419"/>
      <c r="L765" s="429"/>
      <c r="M765" s="419"/>
      <c r="N765" s="419"/>
      <c r="O765" s="419"/>
      <c r="P765" s="419"/>
      <c r="Q765" s="419"/>
      <c r="R765" s="419"/>
      <c r="S765" s="419"/>
      <c r="T765" s="419"/>
      <c r="U765" s="419"/>
      <c r="V765" s="419"/>
      <c r="W765" s="419"/>
      <c r="X765" s="419"/>
      <c r="Y765" s="419"/>
      <c r="Z765" s="419"/>
    </row>
    <row r="766" spans="3:26">
      <c r="C766" s="433"/>
      <c r="D766" s="433"/>
      <c r="E766" s="437"/>
      <c r="F766" s="419"/>
      <c r="G766" s="419"/>
      <c r="H766" s="419"/>
      <c r="I766" s="419"/>
      <c r="J766" s="419"/>
      <c r="K766" s="419"/>
      <c r="L766" s="429"/>
      <c r="M766" s="419"/>
      <c r="N766" s="419"/>
      <c r="O766" s="419"/>
      <c r="P766" s="419"/>
      <c r="Q766" s="419"/>
      <c r="R766" s="419"/>
      <c r="S766" s="419"/>
      <c r="T766" s="419"/>
      <c r="U766" s="419"/>
      <c r="V766" s="419"/>
      <c r="W766" s="419"/>
      <c r="X766" s="419"/>
      <c r="Y766" s="419"/>
      <c r="Z766" s="419"/>
    </row>
    <row r="767" spans="3:26">
      <c r="C767" s="433"/>
      <c r="D767" s="433"/>
      <c r="E767" s="437"/>
      <c r="F767" s="419"/>
      <c r="G767" s="419"/>
      <c r="H767" s="419"/>
      <c r="I767" s="419"/>
      <c r="J767" s="419"/>
      <c r="K767" s="419"/>
      <c r="L767" s="429"/>
      <c r="M767" s="419"/>
      <c r="N767" s="419"/>
      <c r="O767" s="419"/>
      <c r="P767" s="419"/>
      <c r="Q767" s="419"/>
      <c r="R767" s="419"/>
      <c r="S767" s="419"/>
      <c r="T767" s="419"/>
      <c r="U767" s="419"/>
      <c r="V767" s="419"/>
      <c r="W767" s="419"/>
      <c r="X767" s="419"/>
      <c r="Y767" s="419"/>
      <c r="Z767" s="419"/>
    </row>
    <row r="768" spans="3:26">
      <c r="C768" s="433"/>
      <c r="D768" s="433"/>
      <c r="E768" s="437"/>
      <c r="F768" s="419"/>
      <c r="G768" s="419"/>
      <c r="H768" s="419"/>
      <c r="I768" s="419"/>
      <c r="J768" s="419"/>
      <c r="K768" s="419"/>
      <c r="L768" s="429"/>
      <c r="M768" s="419"/>
      <c r="N768" s="419"/>
      <c r="O768" s="419"/>
      <c r="P768" s="419"/>
      <c r="Q768" s="419"/>
      <c r="R768" s="419"/>
      <c r="S768" s="419"/>
      <c r="T768" s="419"/>
      <c r="U768" s="419"/>
      <c r="V768" s="419"/>
      <c r="W768" s="419"/>
      <c r="X768" s="419"/>
      <c r="Y768" s="419"/>
      <c r="Z768" s="419"/>
    </row>
    <row r="769" spans="3:26">
      <c r="C769" s="433"/>
      <c r="D769" s="433"/>
      <c r="E769" s="437"/>
      <c r="F769" s="419"/>
      <c r="G769" s="419"/>
      <c r="H769" s="419"/>
      <c r="I769" s="419"/>
      <c r="J769" s="419"/>
      <c r="K769" s="419"/>
      <c r="L769" s="429"/>
      <c r="M769" s="419"/>
      <c r="N769" s="419"/>
      <c r="O769" s="419"/>
      <c r="P769" s="419"/>
      <c r="Q769" s="419"/>
      <c r="R769" s="419"/>
      <c r="S769" s="419"/>
      <c r="T769" s="419"/>
      <c r="U769" s="419"/>
      <c r="V769" s="419"/>
      <c r="W769" s="419"/>
      <c r="X769" s="419"/>
      <c r="Y769" s="419"/>
      <c r="Z769" s="419"/>
    </row>
    <row r="770" spans="3:26">
      <c r="C770" s="433"/>
      <c r="D770" s="433"/>
      <c r="E770" s="437"/>
      <c r="F770" s="419"/>
      <c r="G770" s="419"/>
      <c r="H770" s="419"/>
      <c r="I770" s="419"/>
      <c r="J770" s="419"/>
      <c r="K770" s="419"/>
      <c r="L770" s="429"/>
      <c r="M770" s="419"/>
      <c r="N770" s="419"/>
      <c r="O770" s="419"/>
      <c r="P770" s="419"/>
      <c r="Q770" s="419"/>
      <c r="R770" s="419"/>
      <c r="S770" s="419"/>
      <c r="T770" s="419"/>
      <c r="U770" s="419"/>
      <c r="V770" s="419"/>
      <c r="W770" s="419"/>
      <c r="X770" s="419"/>
      <c r="Y770" s="419"/>
      <c r="Z770" s="419"/>
    </row>
    <row r="771" spans="3:26">
      <c r="C771" s="433"/>
      <c r="D771" s="433"/>
      <c r="E771" s="437"/>
      <c r="F771" s="419"/>
      <c r="G771" s="419"/>
      <c r="H771" s="419"/>
      <c r="I771" s="419"/>
      <c r="J771" s="419"/>
      <c r="K771" s="419"/>
      <c r="L771" s="429"/>
      <c r="M771" s="419"/>
      <c r="N771" s="419"/>
      <c r="O771" s="419"/>
      <c r="P771" s="419"/>
      <c r="Q771" s="419"/>
      <c r="R771" s="419"/>
      <c r="S771" s="419"/>
      <c r="T771" s="419"/>
      <c r="U771" s="419"/>
      <c r="V771" s="419"/>
      <c r="W771" s="419"/>
      <c r="X771" s="419"/>
      <c r="Y771" s="419"/>
      <c r="Z771" s="419"/>
    </row>
    <row r="772" spans="3:26">
      <c r="C772" s="433"/>
      <c r="D772" s="433"/>
      <c r="E772" s="437"/>
      <c r="F772" s="419"/>
      <c r="G772" s="419"/>
      <c r="H772" s="419"/>
      <c r="I772" s="419"/>
      <c r="J772" s="419"/>
      <c r="K772" s="419"/>
      <c r="L772" s="429"/>
      <c r="M772" s="419"/>
      <c r="N772" s="419"/>
      <c r="O772" s="419"/>
      <c r="P772" s="419"/>
      <c r="Q772" s="419"/>
      <c r="R772" s="419"/>
      <c r="S772" s="419"/>
      <c r="T772" s="419"/>
      <c r="U772" s="419"/>
      <c r="V772" s="419"/>
      <c r="W772" s="419"/>
      <c r="X772" s="419"/>
      <c r="Y772" s="419"/>
      <c r="Z772" s="419"/>
    </row>
    <row r="773" spans="3:26">
      <c r="C773" s="433"/>
      <c r="D773" s="433"/>
      <c r="E773" s="437"/>
      <c r="F773" s="419"/>
      <c r="G773" s="419"/>
      <c r="H773" s="419"/>
      <c r="I773" s="419"/>
      <c r="J773" s="419"/>
      <c r="K773" s="419"/>
      <c r="L773" s="429"/>
      <c r="M773" s="419"/>
      <c r="N773" s="419"/>
      <c r="O773" s="419"/>
      <c r="P773" s="419"/>
      <c r="Q773" s="419"/>
      <c r="R773" s="419"/>
      <c r="S773" s="419"/>
      <c r="T773" s="419"/>
      <c r="U773" s="419"/>
      <c r="V773" s="419"/>
      <c r="W773" s="419"/>
      <c r="X773" s="419"/>
      <c r="Y773" s="419"/>
      <c r="Z773" s="419"/>
    </row>
    <row r="774" spans="3:26">
      <c r="C774" s="433"/>
      <c r="D774" s="433"/>
      <c r="E774" s="437"/>
      <c r="F774" s="419"/>
      <c r="G774" s="419"/>
      <c r="H774" s="419"/>
      <c r="I774" s="419"/>
      <c r="J774" s="419"/>
      <c r="K774" s="419"/>
      <c r="L774" s="429"/>
      <c r="M774" s="419"/>
      <c r="N774" s="419"/>
      <c r="O774" s="419"/>
      <c r="P774" s="419"/>
      <c r="Q774" s="419"/>
      <c r="R774" s="419"/>
      <c r="S774" s="419"/>
      <c r="T774" s="419"/>
      <c r="U774" s="419"/>
      <c r="V774" s="419"/>
      <c r="W774" s="419"/>
      <c r="X774" s="419"/>
      <c r="Y774" s="419"/>
      <c r="Z774" s="419"/>
    </row>
    <row r="775" spans="3:26">
      <c r="C775" s="433"/>
      <c r="D775" s="433"/>
      <c r="E775" s="437"/>
      <c r="F775" s="419"/>
      <c r="G775" s="419"/>
      <c r="H775" s="419"/>
      <c r="I775" s="419"/>
      <c r="J775" s="419"/>
      <c r="K775" s="419"/>
      <c r="L775" s="429"/>
      <c r="M775" s="419"/>
      <c r="N775" s="419"/>
      <c r="O775" s="419"/>
      <c r="P775" s="419"/>
      <c r="Q775" s="419"/>
      <c r="R775" s="419"/>
      <c r="S775" s="419"/>
      <c r="T775" s="419"/>
      <c r="U775" s="419"/>
      <c r="V775" s="419"/>
      <c r="W775" s="419"/>
      <c r="X775" s="419"/>
      <c r="Y775" s="419"/>
      <c r="Z775" s="419"/>
    </row>
    <row r="776" spans="3:26">
      <c r="C776" s="433"/>
      <c r="D776" s="433"/>
      <c r="E776" s="437"/>
      <c r="F776" s="419"/>
      <c r="G776" s="419"/>
      <c r="H776" s="419"/>
      <c r="I776" s="419"/>
      <c r="J776" s="419"/>
      <c r="K776" s="419"/>
      <c r="L776" s="429"/>
      <c r="M776" s="419"/>
      <c r="N776" s="419"/>
      <c r="O776" s="419"/>
      <c r="P776" s="419"/>
      <c r="Q776" s="419"/>
      <c r="R776" s="419"/>
      <c r="S776" s="419"/>
      <c r="T776" s="419"/>
      <c r="U776" s="419"/>
      <c r="V776" s="419"/>
      <c r="W776" s="419"/>
      <c r="X776" s="419"/>
      <c r="Y776" s="419"/>
      <c r="Z776" s="419"/>
    </row>
    <row r="777" spans="3:26">
      <c r="C777" s="433"/>
      <c r="D777" s="433"/>
      <c r="E777" s="437"/>
      <c r="F777" s="419"/>
      <c r="G777" s="419"/>
      <c r="H777" s="419"/>
      <c r="I777" s="419"/>
      <c r="J777" s="419"/>
      <c r="K777" s="419"/>
      <c r="L777" s="429"/>
      <c r="M777" s="419"/>
      <c r="N777" s="419"/>
      <c r="O777" s="419"/>
      <c r="P777" s="419"/>
      <c r="Q777" s="419"/>
      <c r="R777" s="419"/>
      <c r="S777" s="419"/>
      <c r="T777" s="419"/>
      <c r="U777" s="419"/>
      <c r="V777" s="419"/>
      <c r="W777" s="419"/>
      <c r="X777" s="419"/>
      <c r="Y777" s="419"/>
      <c r="Z777" s="419"/>
    </row>
    <row r="778" spans="3:26">
      <c r="C778" s="433"/>
      <c r="D778" s="433"/>
      <c r="E778" s="437"/>
      <c r="F778" s="419"/>
      <c r="G778" s="419"/>
      <c r="H778" s="419"/>
      <c r="I778" s="419"/>
      <c r="J778" s="419"/>
      <c r="K778" s="419"/>
      <c r="L778" s="429"/>
      <c r="M778" s="419"/>
      <c r="N778" s="419"/>
      <c r="O778" s="419"/>
      <c r="P778" s="419"/>
      <c r="Q778" s="419"/>
      <c r="R778" s="419"/>
      <c r="S778" s="419"/>
      <c r="T778" s="419"/>
      <c r="U778" s="419"/>
      <c r="V778" s="419"/>
      <c r="W778" s="419"/>
      <c r="X778" s="419"/>
      <c r="Y778" s="419"/>
      <c r="Z778" s="419"/>
    </row>
    <row r="779" spans="3:26">
      <c r="C779" s="433"/>
      <c r="D779" s="433"/>
      <c r="E779" s="437"/>
      <c r="F779" s="419"/>
      <c r="G779" s="419"/>
      <c r="H779" s="419"/>
      <c r="I779" s="419"/>
      <c r="J779" s="419"/>
      <c r="K779" s="419"/>
      <c r="L779" s="429"/>
      <c r="M779" s="419"/>
      <c r="N779" s="419"/>
      <c r="O779" s="419"/>
      <c r="P779" s="419"/>
      <c r="Q779" s="419"/>
      <c r="R779" s="419"/>
      <c r="S779" s="419"/>
      <c r="T779" s="419"/>
      <c r="U779" s="419"/>
      <c r="V779" s="419"/>
      <c r="W779" s="419"/>
      <c r="X779" s="419"/>
      <c r="Y779" s="419"/>
      <c r="Z779" s="419"/>
    </row>
    <row r="780" spans="3:26">
      <c r="C780" s="433"/>
      <c r="D780" s="433"/>
      <c r="E780" s="437"/>
      <c r="F780" s="419"/>
      <c r="G780" s="419"/>
      <c r="H780" s="419"/>
      <c r="I780" s="419"/>
      <c r="J780" s="419"/>
      <c r="K780" s="419"/>
      <c r="L780" s="429"/>
      <c r="M780" s="419"/>
      <c r="N780" s="419"/>
      <c r="O780" s="419"/>
      <c r="P780" s="419"/>
      <c r="Q780" s="419"/>
      <c r="R780" s="419"/>
      <c r="S780" s="419"/>
      <c r="T780" s="419"/>
      <c r="U780" s="419"/>
      <c r="V780" s="419"/>
      <c r="W780" s="419"/>
      <c r="X780" s="419"/>
      <c r="Y780" s="419"/>
      <c r="Z780" s="419"/>
    </row>
    <row r="781" spans="3:26">
      <c r="C781" s="433"/>
      <c r="D781" s="433"/>
      <c r="E781" s="437"/>
      <c r="F781" s="419"/>
      <c r="G781" s="419"/>
      <c r="H781" s="419"/>
      <c r="I781" s="419"/>
      <c r="J781" s="419"/>
      <c r="K781" s="419"/>
      <c r="L781" s="429"/>
      <c r="M781" s="419"/>
      <c r="N781" s="419"/>
      <c r="O781" s="419"/>
      <c r="P781" s="419"/>
      <c r="Q781" s="419"/>
      <c r="R781" s="419"/>
      <c r="S781" s="419"/>
      <c r="T781" s="419"/>
      <c r="U781" s="419"/>
      <c r="V781" s="419"/>
      <c r="W781" s="419"/>
      <c r="X781" s="419"/>
      <c r="Y781" s="419"/>
      <c r="Z781" s="419"/>
    </row>
    <row r="782" spans="3:26">
      <c r="C782" s="433"/>
      <c r="D782" s="433"/>
      <c r="E782" s="437"/>
      <c r="F782" s="419"/>
      <c r="G782" s="419"/>
      <c r="H782" s="419"/>
      <c r="I782" s="419"/>
      <c r="J782" s="419"/>
      <c r="K782" s="419"/>
      <c r="L782" s="429"/>
      <c r="M782" s="419"/>
      <c r="N782" s="419"/>
      <c r="O782" s="419"/>
      <c r="P782" s="419"/>
      <c r="Q782" s="419"/>
      <c r="R782" s="419"/>
      <c r="S782" s="419"/>
      <c r="T782" s="419"/>
      <c r="U782" s="419"/>
      <c r="V782" s="419"/>
      <c r="W782" s="419"/>
      <c r="X782" s="419"/>
      <c r="Y782" s="419"/>
      <c r="Z782" s="419"/>
    </row>
    <row r="783" spans="3:26">
      <c r="C783" s="433"/>
      <c r="D783" s="433"/>
      <c r="E783" s="437"/>
      <c r="F783" s="419"/>
      <c r="G783" s="419"/>
      <c r="H783" s="419"/>
      <c r="I783" s="419"/>
      <c r="J783" s="419"/>
      <c r="K783" s="419"/>
      <c r="L783" s="429"/>
      <c r="M783" s="419"/>
      <c r="N783" s="419"/>
      <c r="O783" s="419"/>
      <c r="P783" s="419"/>
      <c r="Q783" s="419"/>
      <c r="R783" s="419"/>
      <c r="S783" s="419"/>
      <c r="T783" s="419"/>
      <c r="U783" s="419"/>
      <c r="V783" s="419"/>
      <c r="W783" s="419"/>
      <c r="X783" s="419"/>
      <c r="Y783" s="419"/>
      <c r="Z783" s="419"/>
    </row>
    <row r="784" spans="3:26">
      <c r="C784" s="433"/>
      <c r="D784" s="433"/>
      <c r="E784" s="437"/>
      <c r="F784" s="419"/>
      <c r="G784" s="419"/>
      <c r="H784" s="419"/>
      <c r="I784" s="419"/>
      <c r="J784" s="419"/>
      <c r="K784" s="419"/>
      <c r="L784" s="429"/>
      <c r="M784" s="419"/>
      <c r="N784" s="419"/>
      <c r="O784" s="419"/>
      <c r="P784" s="419"/>
      <c r="Q784" s="419"/>
      <c r="R784" s="419"/>
      <c r="S784" s="419"/>
      <c r="T784" s="419"/>
      <c r="U784" s="419"/>
      <c r="V784" s="419"/>
      <c r="W784" s="419"/>
      <c r="X784" s="419"/>
      <c r="Y784" s="419"/>
      <c r="Z784" s="419"/>
    </row>
    <row r="785" spans="3:26">
      <c r="C785" s="433"/>
      <c r="D785" s="433"/>
      <c r="E785" s="437"/>
      <c r="F785" s="419"/>
      <c r="G785" s="419"/>
      <c r="H785" s="419"/>
      <c r="I785" s="419"/>
      <c r="J785" s="419"/>
      <c r="K785" s="419"/>
      <c r="L785" s="429"/>
      <c r="M785" s="419"/>
      <c r="N785" s="419"/>
      <c r="O785" s="419"/>
      <c r="P785" s="419"/>
      <c r="Q785" s="419"/>
      <c r="R785" s="419"/>
      <c r="S785" s="419"/>
      <c r="T785" s="419"/>
      <c r="U785" s="419"/>
      <c r="V785" s="419"/>
      <c r="W785" s="419"/>
      <c r="X785" s="419"/>
      <c r="Y785" s="419"/>
      <c r="Z785" s="419"/>
    </row>
    <row r="786" spans="3:26">
      <c r="C786" s="433"/>
      <c r="D786" s="433"/>
      <c r="E786" s="437"/>
      <c r="F786" s="419"/>
      <c r="G786" s="419"/>
      <c r="H786" s="419"/>
      <c r="I786" s="419"/>
      <c r="J786" s="419"/>
      <c r="K786" s="419"/>
      <c r="L786" s="429"/>
      <c r="M786" s="419"/>
      <c r="N786" s="419"/>
      <c r="O786" s="419"/>
      <c r="P786" s="419"/>
      <c r="Q786" s="419"/>
      <c r="R786" s="419"/>
      <c r="S786" s="419"/>
      <c r="T786" s="419"/>
      <c r="U786" s="419"/>
      <c r="V786" s="419"/>
      <c r="W786" s="419"/>
      <c r="X786" s="419"/>
      <c r="Y786" s="419"/>
      <c r="Z786" s="419"/>
    </row>
    <row r="787" spans="3:26">
      <c r="C787" s="433"/>
      <c r="D787" s="433"/>
      <c r="E787" s="437"/>
      <c r="F787" s="419"/>
      <c r="G787" s="419"/>
      <c r="H787" s="419"/>
      <c r="I787" s="419"/>
      <c r="J787" s="419"/>
      <c r="K787" s="419"/>
      <c r="L787" s="429"/>
      <c r="M787" s="419"/>
      <c r="N787" s="419"/>
      <c r="O787" s="419"/>
      <c r="P787" s="419"/>
      <c r="Q787" s="419"/>
      <c r="R787" s="419"/>
      <c r="S787" s="419"/>
      <c r="T787" s="419"/>
      <c r="U787" s="419"/>
      <c r="V787" s="419"/>
      <c r="W787" s="419"/>
      <c r="X787" s="419"/>
      <c r="Y787" s="419"/>
      <c r="Z787" s="419"/>
    </row>
    <row r="788" spans="3:26">
      <c r="C788" s="433"/>
      <c r="D788" s="433"/>
      <c r="E788" s="437"/>
      <c r="F788" s="419"/>
      <c r="G788" s="419"/>
      <c r="H788" s="419"/>
      <c r="I788" s="419"/>
      <c r="J788" s="419"/>
      <c r="K788" s="419"/>
      <c r="L788" s="429"/>
      <c r="M788" s="419"/>
      <c r="N788" s="419"/>
      <c r="O788" s="419"/>
      <c r="P788" s="419"/>
      <c r="Q788" s="419"/>
      <c r="R788" s="419"/>
      <c r="S788" s="419"/>
      <c r="T788" s="419"/>
      <c r="U788" s="419"/>
      <c r="V788" s="419"/>
      <c r="W788" s="419"/>
      <c r="X788" s="419"/>
      <c r="Y788" s="419"/>
      <c r="Z788" s="419"/>
    </row>
    <row r="789" spans="3:26">
      <c r="C789" s="433"/>
      <c r="D789" s="433"/>
      <c r="E789" s="437"/>
      <c r="F789" s="419"/>
      <c r="G789" s="419"/>
      <c r="H789" s="419"/>
      <c r="I789" s="419"/>
      <c r="J789" s="419"/>
      <c r="K789" s="419"/>
      <c r="L789" s="429"/>
      <c r="M789" s="419"/>
      <c r="N789" s="419"/>
      <c r="O789" s="419"/>
      <c r="P789" s="419"/>
      <c r="Q789" s="419"/>
      <c r="R789" s="419"/>
      <c r="S789" s="419"/>
      <c r="T789" s="419"/>
      <c r="U789" s="419"/>
      <c r="V789" s="419"/>
      <c r="W789" s="419"/>
      <c r="X789" s="419"/>
      <c r="Y789" s="419"/>
      <c r="Z789" s="419"/>
    </row>
    <row r="790" spans="3:26">
      <c r="C790" s="433"/>
      <c r="D790" s="433"/>
      <c r="E790" s="437"/>
      <c r="F790" s="419"/>
      <c r="G790" s="419"/>
      <c r="H790" s="419"/>
      <c r="I790" s="419"/>
      <c r="J790" s="419"/>
      <c r="K790" s="419"/>
      <c r="L790" s="429"/>
      <c r="M790" s="419"/>
      <c r="N790" s="419"/>
      <c r="O790" s="419"/>
      <c r="P790" s="419"/>
      <c r="Q790" s="419"/>
      <c r="R790" s="419"/>
      <c r="S790" s="419"/>
      <c r="T790" s="419"/>
      <c r="U790" s="419"/>
      <c r="V790" s="419"/>
      <c r="W790" s="419"/>
      <c r="X790" s="419"/>
      <c r="Y790" s="419"/>
      <c r="Z790" s="419"/>
    </row>
    <row r="791" spans="3:26">
      <c r="C791" s="433"/>
      <c r="D791" s="433"/>
      <c r="E791" s="437"/>
      <c r="F791" s="419"/>
      <c r="G791" s="419"/>
      <c r="H791" s="419"/>
      <c r="I791" s="419"/>
      <c r="J791" s="419"/>
      <c r="K791" s="419"/>
      <c r="L791" s="429"/>
      <c r="M791" s="419"/>
      <c r="N791" s="419"/>
      <c r="O791" s="419"/>
      <c r="P791" s="419"/>
      <c r="Q791" s="419"/>
      <c r="R791" s="419"/>
      <c r="S791" s="419"/>
      <c r="T791" s="419"/>
      <c r="U791" s="419"/>
      <c r="V791" s="419"/>
      <c r="W791" s="419"/>
      <c r="X791" s="419"/>
      <c r="Y791" s="419"/>
      <c r="Z791" s="419"/>
    </row>
    <row r="792" spans="3:26">
      <c r="C792" s="433"/>
      <c r="D792" s="433"/>
      <c r="E792" s="437"/>
      <c r="F792" s="419"/>
      <c r="G792" s="419"/>
      <c r="H792" s="419"/>
      <c r="I792" s="419"/>
      <c r="J792" s="419"/>
      <c r="K792" s="419"/>
      <c r="L792" s="429"/>
      <c r="M792" s="419"/>
      <c r="N792" s="419"/>
      <c r="O792" s="419"/>
      <c r="P792" s="419"/>
      <c r="Q792" s="419"/>
      <c r="R792" s="419"/>
      <c r="S792" s="419"/>
      <c r="T792" s="419"/>
      <c r="U792" s="419"/>
      <c r="V792" s="419"/>
      <c r="W792" s="419"/>
      <c r="X792" s="419"/>
      <c r="Y792" s="419"/>
      <c r="Z792" s="419"/>
    </row>
    <row r="793" spans="3:26">
      <c r="C793" s="433"/>
      <c r="D793" s="433"/>
      <c r="E793" s="437"/>
      <c r="F793" s="419"/>
      <c r="G793" s="419"/>
      <c r="H793" s="419"/>
      <c r="I793" s="419"/>
      <c r="J793" s="419"/>
      <c r="K793" s="419"/>
      <c r="L793" s="429"/>
      <c r="M793" s="419"/>
      <c r="N793" s="419"/>
      <c r="O793" s="419"/>
      <c r="P793" s="419"/>
      <c r="Q793" s="419"/>
      <c r="R793" s="419"/>
      <c r="S793" s="419"/>
      <c r="T793" s="419"/>
      <c r="U793" s="419"/>
      <c r="V793" s="419"/>
      <c r="W793" s="419"/>
      <c r="X793" s="419"/>
      <c r="Y793" s="419"/>
      <c r="Z793" s="419"/>
    </row>
    <row r="794" spans="3:26">
      <c r="C794" s="433"/>
      <c r="D794" s="433"/>
      <c r="E794" s="437"/>
      <c r="F794" s="419"/>
      <c r="G794" s="419"/>
      <c r="H794" s="419"/>
      <c r="I794" s="419"/>
      <c r="J794" s="419"/>
      <c r="K794" s="419"/>
      <c r="L794" s="429"/>
      <c r="M794" s="419"/>
      <c r="N794" s="419"/>
      <c r="O794" s="419"/>
      <c r="P794" s="419"/>
      <c r="Q794" s="419"/>
      <c r="R794" s="419"/>
      <c r="S794" s="419"/>
      <c r="T794" s="419"/>
      <c r="U794" s="419"/>
      <c r="V794" s="419"/>
      <c r="W794" s="419"/>
      <c r="X794" s="419"/>
      <c r="Y794" s="419"/>
      <c r="Z794" s="419"/>
    </row>
    <row r="795" spans="3:26">
      <c r="C795" s="433"/>
      <c r="D795" s="433"/>
      <c r="E795" s="437"/>
      <c r="F795" s="419"/>
      <c r="G795" s="419"/>
      <c r="H795" s="419"/>
      <c r="I795" s="419"/>
      <c r="J795" s="419"/>
      <c r="K795" s="419"/>
      <c r="L795" s="429"/>
      <c r="M795" s="419"/>
      <c r="N795" s="419"/>
      <c r="O795" s="419"/>
      <c r="P795" s="419"/>
      <c r="Q795" s="419"/>
      <c r="R795" s="419"/>
      <c r="S795" s="419"/>
      <c r="T795" s="419"/>
      <c r="U795" s="419"/>
      <c r="V795" s="419"/>
      <c r="W795" s="419"/>
      <c r="X795" s="419"/>
      <c r="Y795" s="419"/>
      <c r="Z795" s="419"/>
    </row>
    <row r="796" spans="3:26">
      <c r="C796" s="433"/>
      <c r="D796" s="433"/>
      <c r="E796" s="437"/>
      <c r="F796" s="419"/>
      <c r="G796" s="419"/>
      <c r="H796" s="419"/>
      <c r="I796" s="419"/>
      <c r="J796" s="419"/>
      <c r="K796" s="419"/>
      <c r="L796" s="429"/>
      <c r="M796" s="419"/>
      <c r="N796" s="419"/>
      <c r="O796" s="419"/>
      <c r="P796" s="419"/>
      <c r="Q796" s="419"/>
      <c r="R796" s="419"/>
      <c r="S796" s="419"/>
      <c r="T796" s="419"/>
      <c r="U796" s="419"/>
      <c r="V796" s="419"/>
      <c r="W796" s="419"/>
      <c r="X796" s="419"/>
      <c r="Y796" s="419"/>
      <c r="Z796" s="419"/>
    </row>
    <row r="797" spans="3:26">
      <c r="C797" s="433"/>
      <c r="D797" s="433"/>
      <c r="E797" s="437"/>
      <c r="F797" s="419"/>
      <c r="G797" s="419"/>
      <c r="H797" s="419"/>
      <c r="I797" s="419"/>
      <c r="J797" s="419"/>
      <c r="K797" s="419"/>
      <c r="L797" s="429"/>
      <c r="M797" s="419"/>
      <c r="N797" s="419"/>
      <c r="O797" s="419"/>
      <c r="P797" s="419"/>
      <c r="Q797" s="419"/>
      <c r="R797" s="419"/>
      <c r="S797" s="419"/>
      <c r="T797" s="419"/>
      <c r="U797" s="419"/>
      <c r="V797" s="419"/>
      <c r="W797" s="419"/>
      <c r="X797" s="419"/>
      <c r="Y797" s="419"/>
      <c r="Z797" s="419"/>
    </row>
    <row r="798" spans="3:26">
      <c r="C798" s="433"/>
      <c r="D798" s="433"/>
      <c r="E798" s="437"/>
      <c r="F798" s="419"/>
      <c r="G798" s="419"/>
      <c r="H798" s="419"/>
      <c r="I798" s="419"/>
      <c r="J798" s="419"/>
      <c r="K798" s="419"/>
      <c r="L798" s="429"/>
      <c r="M798" s="419"/>
      <c r="N798" s="419"/>
      <c r="O798" s="419"/>
      <c r="P798" s="419"/>
      <c r="Q798" s="419"/>
      <c r="R798" s="419"/>
      <c r="S798" s="419"/>
      <c r="T798" s="419"/>
      <c r="U798" s="419"/>
      <c r="V798" s="419"/>
      <c r="W798" s="419"/>
      <c r="X798" s="419"/>
      <c r="Y798" s="419"/>
      <c r="Z798" s="419"/>
    </row>
    <row r="799" spans="3:26">
      <c r="C799" s="433"/>
      <c r="D799" s="433"/>
      <c r="E799" s="437"/>
      <c r="F799" s="419"/>
      <c r="G799" s="419"/>
      <c r="H799" s="419"/>
      <c r="I799" s="419"/>
      <c r="J799" s="419"/>
      <c r="K799" s="419"/>
      <c r="L799" s="429"/>
      <c r="M799" s="419"/>
      <c r="N799" s="419"/>
      <c r="O799" s="419"/>
      <c r="P799" s="419"/>
      <c r="Q799" s="419"/>
      <c r="R799" s="419"/>
      <c r="S799" s="419"/>
      <c r="T799" s="419"/>
      <c r="U799" s="419"/>
      <c r="V799" s="419"/>
      <c r="W799" s="419"/>
      <c r="X799" s="419"/>
      <c r="Y799" s="419"/>
      <c r="Z799" s="419"/>
    </row>
    <row r="800" spans="3:26">
      <c r="C800" s="433"/>
      <c r="D800" s="433"/>
      <c r="E800" s="437"/>
      <c r="F800" s="419"/>
      <c r="G800" s="419"/>
      <c r="H800" s="419"/>
      <c r="I800" s="419"/>
      <c r="J800" s="419"/>
      <c r="K800" s="419"/>
      <c r="L800" s="429"/>
      <c r="M800" s="419"/>
      <c r="N800" s="419"/>
      <c r="O800" s="419"/>
      <c r="P800" s="419"/>
      <c r="Q800" s="419"/>
      <c r="R800" s="419"/>
      <c r="S800" s="419"/>
      <c r="T800" s="419"/>
      <c r="U800" s="419"/>
      <c r="V800" s="419"/>
      <c r="W800" s="419"/>
      <c r="X800" s="419"/>
      <c r="Y800" s="419"/>
      <c r="Z800" s="419"/>
    </row>
    <row r="801" spans="3:26">
      <c r="C801" s="433"/>
      <c r="D801" s="433"/>
      <c r="E801" s="437"/>
      <c r="F801" s="419"/>
      <c r="G801" s="419"/>
      <c r="H801" s="419"/>
      <c r="I801" s="419"/>
      <c r="J801" s="419"/>
      <c r="K801" s="419"/>
      <c r="L801" s="429"/>
      <c r="M801" s="419"/>
      <c r="N801" s="419"/>
      <c r="O801" s="419"/>
      <c r="P801" s="419"/>
      <c r="Q801" s="419"/>
      <c r="R801" s="419"/>
      <c r="S801" s="419"/>
      <c r="T801" s="419"/>
      <c r="U801" s="419"/>
      <c r="V801" s="419"/>
      <c r="W801" s="419"/>
      <c r="X801" s="419"/>
      <c r="Y801" s="419"/>
      <c r="Z801" s="419"/>
    </row>
    <row r="802" spans="3:26">
      <c r="C802" s="433"/>
      <c r="D802" s="433"/>
      <c r="E802" s="437"/>
      <c r="F802" s="419"/>
      <c r="G802" s="419"/>
      <c r="H802" s="419"/>
      <c r="I802" s="419"/>
      <c r="J802" s="419"/>
      <c r="K802" s="419"/>
      <c r="L802" s="429"/>
      <c r="M802" s="419"/>
      <c r="N802" s="419"/>
      <c r="O802" s="419"/>
      <c r="P802" s="419"/>
      <c r="Q802" s="419"/>
      <c r="R802" s="419"/>
      <c r="S802" s="419"/>
      <c r="T802" s="419"/>
      <c r="U802" s="419"/>
      <c r="V802" s="419"/>
      <c r="W802" s="419"/>
      <c r="X802" s="419"/>
      <c r="Y802" s="419"/>
      <c r="Z802" s="419"/>
    </row>
    <row r="803" spans="3:26">
      <c r="C803" s="433"/>
      <c r="D803" s="433"/>
      <c r="E803" s="437"/>
      <c r="F803" s="419"/>
      <c r="G803" s="419"/>
      <c r="H803" s="419"/>
      <c r="I803" s="419"/>
      <c r="J803" s="419"/>
      <c r="K803" s="419"/>
      <c r="L803" s="429"/>
      <c r="M803" s="419"/>
      <c r="N803" s="419"/>
      <c r="O803" s="419"/>
      <c r="P803" s="419"/>
      <c r="Q803" s="419"/>
      <c r="R803" s="419"/>
      <c r="S803" s="419"/>
      <c r="T803" s="419"/>
      <c r="U803" s="419"/>
      <c r="V803" s="419"/>
      <c r="W803" s="419"/>
      <c r="X803" s="419"/>
      <c r="Y803" s="419"/>
      <c r="Z803" s="419"/>
    </row>
    <row r="804" spans="3:26">
      <c r="C804" s="433"/>
      <c r="D804" s="433"/>
      <c r="E804" s="437"/>
      <c r="F804" s="419"/>
      <c r="G804" s="419"/>
      <c r="H804" s="419"/>
      <c r="I804" s="419"/>
      <c r="J804" s="419"/>
      <c r="K804" s="419"/>
      <c r="L804" s="429"/>
      <c r="M804" s="419"/>
      <c r="N804" s="419"/>
      <c r="O804" s="419"/>
      <c r="P804" s="419"/>
      <c r="Q804" s="419"/>
      <c r="R804" s="419"/>
      <c r="S804" s="419"/>
      <c r="T804" s="419"/>
      <c r="U804" s="419"/>
      <c r="V804" s="419"/>
      <c r="W804" s="419"/>
      <c r="X804" s="419"/>
      <c r="Y804" s="419"/>
      <c r="Z804" s="419"/>
    </row>
    <row r="805" spans="3:26">
      <c r="C805" s="433"/>
      <c r="D805" s="433"/>
      <c r="E805" s="437"/>
      <c r="F805" s="419"/>
      <c r="G805" s="419"/>
      <c r="H805" s="419"/>
      <c r="I805" s="419"/>
      <c r="J805" s="419"/>
      <c r="K805" s="419"/>
      <c r="L805" s="429"/>
      <c r="M805" s="419"/>
      <c r="N805" s="419"/>
      <c r="O805" s="419"/>
      <c r="P805" s="419"/>
      <c r="Q805" s="419"/>
      <c r="R805" s="419"/>
      <c r="S805" s="419"/>
      <c r="T805" s="419"/>
      <c r="U805" s="419"/>
      <c r="V805" s="419"/>
      <c r="W805" s="419"/>
      <c r="X805" s="419"/>
      <c r="Y805" s="419"/>
      <c r="Z805" s="419"/>
    </row>
    <row r="806" spans="3:26">
      <c r="C806" s="433"/>
      <c r="D806" s="433"/>
      <c r="E806" s="437"/>
      <c r="F806" s="419"/>
      <c r="G806" s="419"/>
      <c r="H806" s="419"/>
      <c r="I806" s="419"/>
      <c r="J806" s="419"/>
      <c r="K806" s="419"/>
      <c r="L806" s="429"/>
      <c r="M806" s="419"/>
      <c r="N806" s="419"/>
      <c r="O806" s="419"/>
      <c r="P806" s="419"/>
      <c r="Q806" s="419"/>
      <c r="R806" s="419"/>
      <c r="S806" s="419"/>
      <c r="T806" s="419"/>
      <c r="U806" s="419"/>
      <c r="V806" s="419"/>
      <c r="W806" s="419"/>
      <c r="X806" s="419"/>
      <c r="Y806" s="419"/>
      <c r="Z806" s="419"/>
    </row>
    <row r="807" spans="3:26">
      <c r="C807" s="433"/>
      <c r="D807" s="433"/>
      <c r="E807" s="437"/>
      <c r="F807" s="419"/>
      <c r="G807" s="419"/>
      <c r="H807" s="419"/>
      <c r="I807" s="419"/>
      <c r="J807" s="419"/>
      <c r="K807" s="419"/>
      <c r="L807" s="429"/>
      <c r="M807" s="419"/>
      <c r="N807" s="419"/>
      <c r="O807" s="419"/>
      <c r="P807" s="419"/>
      <c r="Q807" s="419"/>
      <c r="R807" s="419"/>
      <c r="S807" s="419"/>
      <c r="T807" s="419"/>
      <c r="U807" s="419"/>
      <c r="V807" s="419"/>
      <c r="W807" s="419"/>
      <c r="X807" s="419"/>
      <c r="Y807" s="419"/>
      <c r="Z807" s="419"/>
    </row>
    <row r="808" spans="3:26">
      <c r="C808" s="433"/>
      <c r="D808" s="433"/>
      <c r="E808" s="437"/>
      <c r="F808" s="419"/>
      <c r="G808" s="419"/>
      <c r="H808" s="419"/>
      <c r="I808" s="419"/>
      <c r="J808" s="419"/>
      <c r="K808" s="419"/>
      <c r="L808" s="429"/>
      <c r="M808" s="419"/>
      <c r="N808" s="419"/>
      <c r="O808" s="419"/>
      <c r="P808" s="419"/>
      <c r="Q808" s="419"/>
      <c r="R808" s="419"/>
      <c r="S808" s="419"/>
      <c r="T808" s="419"/>
      <c r="U808" s="419"/>
      <c r="V808" s="419"/>
      <c r="W808" s="419"/>
      <c r="X808" s="419"/>
      <c r="Y808" s="419"/>
      <c r="Z808" s="419"/>
    </row>
    <row r="809" spans="3:26">
      <c r="C809" s="433"/>
      <c r="D809" s="433"/>
      <c r="E809" s="437"/>
      <c r="F809" s="419"/>
      <c r="G809" s="419"/>
      <c r="H809" s="419"/>
      <c r="I809" s="419"/>
      <c r="J809" s="419"/>
      <c r="K809" s="419"/>
      <c r="L809" s="429"/>
      <c r="M809" s="419"/>
      <c r="N809" s="419"/>
      <c r="O809" s="419"/>
      <c r="P809" s="419"/>
      <c r="Q809" s="419"/>
      <c r="R809" s="419"/>
      <c r="S809" s="419"/>
      <c r="T809" s="419"/>
      <c r="U809" s="419"/>
      <c r="V809" s="419"/>
      <c r="W809" s="419"/>
      <c r="X809" s="419"/>
      <c r="Y809" s="419"/>
      <c r="Z809" s="419"/>
    </row>
    <row r="810" spans="3:26">
      <c r="C810" s="433"/>
      <c r="D810" s="433"/>
      <c r="E810" s="437"/>
      <c r="F810" s="419"/>
      <c r="G810" s="419"/>
      <c r="H810" s="419"/>
      <c r="I810" s="419"/>
      <c r="J810" s="419"/>
      <c r="K810" s="419"/>
      <c r="L810" s="429"/>
      <c r="M810" s="419"/>
      <c r="N810" s="419"/>
      <c r="O810" s="419"/>
      <c r="P810" s="419"/>
      <c r="Q810" s="419"/>
      <c r="R810" s="419"/>
      <c r="S810" s="419"/>
      <c r="T810" s="419"/>
      <c r="U810" s="419"/>
      <c r="V810" s="419"/>
      <c r="W810" s="419"/>
      <c r="X810" s="419"/>
      <c r="Y810" s="419"/>
      <c r="Z810" s="419"/>
    </row>
    <row r="811" spans="3:26">
      <c r="C811" s="433"/>
      <c r="D811" s="433"/>
      <c r="E811" s="437"/>
      <c r="F811" s="419"/>
      <c r="G811" s="419"/>
      <c r="H811" s="419"/>
      <c r="I811" s="419"/>
      <c r="J811" s="419"/>
      <c r="K811" s="419"/>
      <c r="L811" s="429"/>
      <c r="M811" s="419"/>
      <c r="N811" s="419"/>
      <c r="O811" s="419"/>
      <c r="P811" s="419"/>
      <c r="Q811" s="419"/>
      <c r="R811" s="419"/>
      <c r="S811" s="419"/>
      <c r="T811" s="419"/>
      <c r="U811" s="419"/>
      <c r="V811" s="419"/>
      <c r="W811" s="419"/>
      <c r="X811" s="419"/>
      <c r="Y811" s="419"/>
      <c r="Z811" s="419"/>
    </row>
    <row r="812" spans="3:26">
      <c r="C812" s="433"/>
      <c r="D812" s="433"/>
      <c r="E812" s="437"/>
      <c r="F812" s="419"/>
      <c r="G812" s="419"/>
      <c r="H812" s="419"/>
      <c r="I812" s="419"/>
      <c r="J812" s="419"/>
      <c r="K812" s="419"/>
      <c r="L812" s="429"/>
      <c r="M812" s="419"/>
      <c r="N812" s="419"/>
      <c r="O812" s="419"/>
      <c r="P812" s="419"/>
      <c r="Q812" s="419"/>
      <c r="R812" s="419"/>
      <c r="S812" s="419"/>
      <c r="T812" s="419"/>
      <c r="U812" s="419"/>
      <c r="V812" s="419"/>
      <c r="W812" s="419"/>
      <c r="X812" s="419"/>
      <c r="Y812" s="419"/>
      <c r="Z812" s="419"/>
    </row>
    <row r="813" spans="3:26">
      <c r="C813" s="433"/>
      <c r="D813" s="433"/>
      <c r="E813" s="437"/>
      <c r="F813" s="419"/>
      <c r="G813" s="419"/>
      <c r="H813" s="419"/>
      <c r="I813" s="419"/>
      <c r="J813" s="419"/>
      <c r="K813" s="419"/>
      <c r="L813" s="429"/>
      <c r="M813" s="419"/>
      <c r="N813" s="419"/>
      <c r="O813" s="419"/>
      <c r="P813" s="419"/>
      <c r="Q813" s="419"/>
      <c r="R813" s="419"/>
      <c r="S813" s="419"/>
      <c r="T813" s="419"/>
      <c r="U813" s="419"/>
      <c r="V813" s="419"/>
      <c r="W813" s="419"/>
      <c r="X813" s="419"/>
      <c r="Y813" s="419"/>
      <c r="Z813" s="419"/>
    </row>
    <row r="814" spans="3:26">
      <c r="C814" s="433"/>
      <c r="D814" s="433"/>
      <c r="E814" s="437"/>
      <c r="F814" s="419"/>
      <c r="G814" s="419"/>
      <c r="H814" s="419"/>
      <c r="I814" s="419"/>
      <c r="J814" s="419"/>
      <c r="K814" s="419"/>
      <c r="L814" s="429"/>
      <c r="M814" s="419"/>
      <c r="N814" s="419"/>
      <c r="O814" s="419"/>
      <c r="P814" s="419"/>
      <c r="Q814" s="419"/>
      <c r="R814" s="419"/>
      <c r="S814" s="419"/>
      <c r="T814" s="419"/>
      <c r="U814" s="419"/>
      <c r="V814" s="419"/>
      <c r="W814" s="419"/>
      <c r="X814" s="419"/>
      <c r="Y814" s="419"/>
      <c r="Z814" s="419"/>
    </row>
    <row r="815" spans="3:26">
      <c r="C815" s="433"/>
      <c r="D815" s="433"/>
      <c r="E815" s="437"/>
      <c r="F815" s="419"/>
      <c r="G815" s="419"/>
      <c r="H815" s="419"/>
      <c r="I815" s="419"/>
      <c r="J815" s="419"/>
      <c r="K815" s="419"/>
      <c r="L815" s="429"/>
      <c r="M815" s="419"/>
      <c r="N815" s="419"/>
      <c r="O815" s="419"/>
      <c r="P815" s="419"/>
      <c r="Q815" s="419"/>
      <c r="R815" s="419"/>
      <c r="S815" s="419"/>
      <c r="T815" s="419"/>
      <c r="U815" s="419"/>
      <c r="V815" s="419"/>
      <c r="W815" s="419"/>
      <c r="X815" s="419"/>
      <c r="Y815" s="419"/>
      <c r="Z815" s="419"/>
    </row>
    <row r="816" spans="3:26">
      <c r="C816" s="433"/>
      <c r="D816" s="433"/>
      <c r="E816" s="437"/>
      <c r="F816" s="419"/>
      <c r="G816" s="419"/>
      <c r="H816" s="419"/>
      <c r="I816" s="419"/>
      <c r="J816" s="419"/>
      <c r="K816" s="419"/>
      <c r="L816" s="429"/>
      <c r="M816" s="419"/>
      <c r="N816" s="419"/>
      <c r="O816" s="419"/>
      <c r="P816" s="419"/>
      <c r="Q816" s="419"/>
      <c r="R816" s="419"/>
      <c r="S816" s="419"/>
      <c r="T816" s="419"/>
      <c r="U816" s="419"/>
      <c r="V816" s="419"/>
      <c r="W816" s="419"/>
      <c r="X816" s="419"/>
      <c r="Y816" s="419"/>
      <c r="Z816" s="419"/>
    </row>
    <row r="817" spans="3:26">
      <c r="C817" s="433"/>
      <c r="D817" s="433"/>
      <c r="E817" s="437"/>
      <c r="F817" s="419"/>
      <c r="G817" s="419"/>
      <c r="H817" s="419"/>
      <c r="I817" s="419"/>
      <c r="J817" s="419"/>
      <c r="K817" s="419"/>
      <c r="L817" s="429"/>
      <c r="M817" s="419"/>
      <c r="N817" s="419"/>
      <c r="O817" s="419"/>
      <c r="P817" s="419"/>
      <c r="Q817" s="419"/>
      <c r="R817" s="419"/>
      <c r="S817" s="419"/>
      <c r="T817" s="419"/>
      <c r="U817" s="419"/>
      <c r="V817" s="419"/>
      <c r="W817" s="419"/>
      <c r="X817" s="419"/>
      <c r="Y817" s="419"/>
      <c r="Z817" s="419"/>
    </row>
    <row r="818" spans="3:26">
      <c r="C818" s="433"/>
      <c r="D818" s="433"/>
      <c r="E818" s="437"/>
      <c r="F818" s="419"/>
      <c r="G818" s="419"/>
      <c r="H818" s="419"/>
      <c r="I818" s="419"/>
      <c r="J818" s="419"/>
      <c r="K818" s="419"/>
      <c r="L818" s="429"/>
      <c r="M818" s="419"/>
      <c r="N818" s="419"/>
      <c r="O818" s="419"/>
      <c r="P818" s="419"/>
      <c r="Q818" s="419"/>
      <c r="R818" s="419"/>
      <c r="S818" s="419"/>
      <c r="T818" s="419"/>
      <c r="U818" s="419"/>
      <c r="V818" s="419"/>
      <c r="W818" s="419"/>
      <c r="X818" s="419"/>
      <c r="Y818" s="419"/>
      <c r="Z818" s="419"/>
    </row>
    <row r="819" spans="3:26">
      <c r="C819" s="433"/>
      <c r="D819" s="433"/>
      <c r="E819" s="437"/>
      <c r="F819" s="419"/>
      <c r="G819" s="419"/>
      <c r="H819" s="419"/>
      <c r="I819" s="419"/>
      <c r="J819" s="419"/>
      <c r="K819" s="419"/>
      <c r="L819" s="429"/>
      <c r="M819" s="419"/>
      <c r="N819" s="419"/>
      <c r="O819" s="419"/>
      <c r="P819" s="419"/>
      <c r="Q819" s="419"/>
      <c r="R819" s="419"/>
      <c r="S819" s="419"/>
      <c r="T819" s="419"/>
      <c r="U819" s="419"/>
      <c r="V819" s="419"/>
      <c r="W819" s="419"/>
      <c r="X819" s="419"/>
      <c r="Y819" s="419"/>
      <c r="Z819" s="419"/>
    </row>
    <row r="820" spans="3:26">
      <c r="C820" s="433"/>
      <c r="D820" s="433"/>
      <c r="E820" s="437"/>
      <c r="F820" s="419"/>
      <c r="G820" s="419"/>
      <c r="H820" s="419"/>
      <c r="I820" s="419"/>
      <c r="J820" s="419"/>
      <c r="K820" s="419"/>
      <c r="L820" s="429"/>
      <c r="M820" s="419"/>
      <c r="N820" s="419"/>
      <c r="O820" s="419"/>
      <c r="P820" s="419"/>
      <c r="Q820" s="419"/>
      <c r="R820" s="419"/>
      <c r="S820" s="419"/>
      <c r="T820" s="419"/>
      <c r="U820" s="419"/>
      <c r="V820" s="419"/>
      <c r="W820" s="419"/>
      <c r="X820" s="419"/>
      <c r="Y820" s="419"/>
      <c r="Z820" s="419"/>
    </row>
    <row r="821" spans="3:26">
      <c r="C821" s="433"/>
      <c r="D821" s="433"/>
      <c r="E821" s="437"/>
      <c r="F821" s="419"/>
      <c r="G821" s="419"/>
      <c r="H821" s="419"/>
      <c r="I821" s="419"/>
      <c r="J821" s="419"/>
      <c r="K821" s="419"/>
      <c r="L821" s="429"/>
      <c r="M821" s="419"/>
      <c r="N821" s="419"/>
      <c r="O821" s="419"/>
      <c r="P821" s="419"/>
      <c r="Q821" s="419"/>
      <c r="R821" s="419"/>
      <c r="S821" s="419"/>
      <c r="T821" s="419"/>
      <c r="U821" s="419"/>
      <c r="V821" s="419"/>
      <c r="W821" s="419"/>
      <c r="X821" s="419"/>
      <c r="Y821" s="419"/>
      <c r="Z821" s="419"/>
    </row>
    <row r="822" spans="3:26">
      <c r="C822" s="433"/>
      <c r="D822" s="433"/>
      <c r="E822" s="437"/>
      <c r="F822" s="419"/>
      <c r="G822" s="419"/>
      <c r="H822" s="419"/>
      <c r="I822" s="419"/>
      <c r="J822" s="419"/>
      <c r="K822" s="419"/>
      <c r="L822" s="429"/>
      <c r="M822" s="419"/>
      <c r="N822" s="419"/>
      <c r="O822" s="419"/>
      <c r="P822" s="419"/>
      <c r="Q822" s="419"/>
      <c r="R822" s="419"/>
      <c r="S822" s="419"/>
      <c r="T822" s="419"/>
      <c r="U822" s="419"/>
      <c r="V822" s="419"/>
      <c r="W822" s="419"/>
      <c r="X822" s="419"/>
      <c r="Y822" s="419"/>
      <c r="Z822" s="419"/>
    </row>
    <row r="823" spans="3:26">
      <c r="C823" s="433"/>
      <c r="D823" s="433"/>
      <c r="E823" s="437"/>
      <c r="F823" s="419"/>
      <c r="G823" s="419"/>
      <c r="H823" s="419"/>
      <c r="I823" s="419"/>
      <c r="J823" s="419"/>
      <c r="K823" s="419"/>
      <c r="L823" s="429"/>
      <c r="M823" s="419"/>
      <c r="N823" s="419"/>
      <c r="O823" s="419"/>
      <c r="P823" s="419"/>
      <c r="Q823" s="419"/>
      <c r="R823" s="419"/>
      <c r="S823" s="419"/>
      <c r="T823" s="419"/>
      <c r="U823" s="419"/>
      <c r="V823" s="419"/>
      <c r="W823" s="419"/>
      <c r="X823" s="419"/>
      <c r="Y823" s="419"/>
      <c r="Z823" s="419"/>
    </row>
    <row r="824" spans="3:26">
      <c r="C824" s="433"/>
      <c r="D824" s="433"/>
      <c r="E824" s="437"/>
      <c r="F824" s="419"/>
      <c r="G824" s="419"/>
      <c r="H824" s="419"/>
      <c r="I824" s="419"/>
      <c r="J824" s="419"/>
      <c r="K824" s="419"/>
      <c r="L824" s="429"/>
      <c r="M824" s="419"/>
      <c r="N824" s="419"/>
      <c r="O824" s="419"/>
      <c r="P824" s="419"/>
      <c r="Q824" s="419"/>
      <c r="R824" s="419"/>
      <c r="S824" s="419"/>
      <c r="T824" s="419"/>
      <c r="U824" s="419"/>
      <c r="V824" s="419"/>
      <c r="W824" s="419"/>
      <c r="X824" s="419"/>
      <c r="Y824" s="419"/>
      <c r="Z824" s="419"/>
    </row>
    <row r="825" spans="3:26">
      <c r="C825" s="433"/>
      <c r="D825" s="433"/>
      <c r="E825" s="437"/>
      <c r="F825" s="419"/>
      <c r="G825" s="419"/>
      <c r="H825" s="419"/>
      <c r="I825" s="419"/>
      <c r="J825" s="419"/>
      <c r="K825" s="419"/>
      <c r="L825" s="429"/>
      <c r="M825" s="419"/>
      <c r="N825" s="419"/>
      <c r="O825" s="419"/>
      <c r="P825" s="419"/>
      <c r="Q825" s="419"/>
      <c r="R825" s="419"/>
      <c r="S825" s="419"/>
      <c r="T825" s="419"/>
      <c r="U825" s="419"/>
      <c r="V825" s="419"/>
      <c r="W825" s="419"/>
      <c r="X825" s="419"/>
      <c r="Y825" s="419"/>
      <c r="Z825" s="419"/>
    </row>
    <row r="826" spans="3:26">
      <c r="C826" s="433"/>
      <c r="D826" s="433"/>
      <c r="E826" s="437"/>
      <c r="F826" s="419"/>
      <c r="G826" s="419"/>
      <c r="H826" s="419"/>
      <c r="I826" s="419"/>
      <c r="J826" s="419"/>
      <c r="K826" s="419"/>
      <c r="L826" s="429"/>
      <c r="M826" s="419"/>
      <c r="N826" s="419"/>
      <c r="O826" s="419"/>
      <c r="P826" s="419"/>
      <c r="Q826" s="419"/>
      <c r="R826" s="419"/>
      <c r="S826" s="419"/>
      <c r="T826" s="419"/>
      <c r="U826" s="419"/>
      <c r="V826" s="419"/>
      <c r="W826" s="419"/>
      <c r="X826" s="419"/>
      <c r="Y826" s="419"/>
      <c r="Z826" s="419"/>
    </row>
    <row r="827" spans="3:26">
      <c r="C827" s="433"/>
      <c r="D827" s="433"/>
      <c r="E827" s="437"/>
      <c r="F827" s="419"/>
      <c r="G827" s="419"/>
      <c r="H827" s="419"/>
      <c r="I827" s="419"/>
      <c r="J827" s="419"/>
      <c r="K827" s="419"/>
      <c r="L827" s="429"/>
      <c r="M827" s="419"/>
      <c r="N827" s="419"/>
      <c r="O827" s="419"/>
      <c r="P827" s="419"/>
      <c r="Q827" s="419"/>
      <c r="R827" s="419"/>
      <c r="S827" s="419"/>
      <c r="T827" s="419"/>
      <c r="U827" s="419"/>
      <c r="V827" s="419"/>
      <c r="W827" s="419"/>
      <c r="X827" s="419"/>
      <c r="Y827" s="419"/>
      <c r="Z827" s="419"/>
    </row>
    <row r="828" spans="3:26">
      <c r="C828" s="433"/>
      <c r="D828" s="433"/>
      <c r="E828" s="437"/>
      <c r="F828" s="419"/>
      <c r="G828" s="419"/>
      <c r="H828" s="419"/>
      <c r="I828" s="419"/>
      <c r="J828" s="419"/>
      <c r="K828" s="419"/>
      <c r="L828" s="429"/>
      <c r="M828" s="419"/>
      <c r="N828" s="419"/>
      <c r="O828" s="419"/>
      <c r="P828" s="419"/>
      <c r="Q828" s="419"/>
      <c r="R828" s="419"/>
      <c r="S828" s="419"/>
      <c r="T828" s="419"/>
      <c r="U828" s="419"/>
      <c r="V828" s="419"/>
      <c r="W828" s="419"/>
      <c r="X828" s="419"/>
      <c r="Y828" s="419"/>
      <c r="Z828" s="419"/>
    </row>
    <row r="829" spans="3:26">
      <c r="C829" s="433"/>
      <c r="D829" s="433"/>
      <c r="E829" s="437"/>
      <c r="F829" s="419"/>
      <c r="G829" s="419"/>
      <c r="H829" s="419"/>
      <c r="I829" s="419"/>
      <c r="J829" s="419"/>
      <c r="K829" s="419"/>
      <c r="L829" s="429"/>
      <c r="M829" s="419"/>
      <c r="N829" s="419"/>
      <c r="O829" s="419"/>
      <c r="P829" s="419"/>
      <c r="Q829" s="419"/>
      <c r="R829" s="419"/>
      <c r="S829" s="419"/>
      <c r="T829" s="419"/>
      <c r="U829" s="419"/>
      <c r="V829" s="419"/>
      <c r="W829" s="419"/>
      <c r="X829" s="419"/>
      <c r="Y829" s="419"/>
      <c r="Z829" s="419"/>
    </row>
    <row r="830" spans="3:26">
      <c r="C830" s="433"/>
      <c r="D830" s="433"/>
      <c r="E830" s="437"/>
      <c r="F830" s="419"/>
      <c r="G830" s="419"/>
      <c r="H830" s="419"/>
      <c r="I830" s="419"/>
      <c r="J830" s="419"/>
      <c r="K830" s="419"/>
      <c r="L830" s="429"/>
      <c r="M830" s="419"/>
      <c r="N830" s="419"/>
      <c r="O830" s="419"/>
      <c r="P830" s="419"/>
      <c r="Q830" s="419"/>
      <c r="R830" s="419"/>
      <c r="S830" s="419"/>
      <c r="T830" s="419"/>
      <c r="U830" s="419"/>
      <c r="V830" s="419"/>
      <c r="W830" s="419"/>
      <c r="X830" s="419"/>
      <c r="Y830" s="419"/>
      <c r="Z830" s="419"/>
    </row>
    <row r="831" spans="3:26">
      <c r="C831" s="433"/>
      <c r="D831" s="433"/>
      <c r="E831" s="437"/>
      <c r="F831" s="419"/>
      <c r="G831" s="419"/>
      <c r="H831" s="419"/>
      <c r="I831" s="419"/>
      <c r="J831" s="419"/>
      <c r="K831" s="419"/>
      <c r="L831" s="429"/>
      <c r="M831" s="419"/>
      <c r="N831" s="419"/>
      <c r="O831" s="419"/>
      <c r="P831" s="419"/>
      <c r="Q831" s="419"/>
      <c r="R831" s="419"/>
      <c r="S831" s="419"/>
      <c r="T831" s="419"/>
      <c r="U831" s="419"/>
      <c r="V831" s="419"/>
      <c r="W831" s="419"/>
      <c r="X831" s="419"/>
      <c r="Y831" s="419"/>
      <c r="Z831" s="419"/>
    </row>
    <row r="832" spans="3:26">
      <c r="C832" s="433"/>
      <c r="D832" s="433"/>
      <c r="E832" s="437"/>
      <c r="F832" s="419"/>
      <c r="G832" s="419"/>
      <c r="H832" s="419"/>
      <c r="I832" s="419"/>
      <c r="J832" s="419"/>
      <c r="K832" s="419"/>
      <c r="L832" s="429"/>
      <c r="M832" s="419"/>
      <c r="N832" s="419"/>
      <c r="O832" s="419"/>
      <c r="P832" s="419"/>
      <c r="Q832" s="419"/>
      <c r="R832" s="419"/>
      <c r="S832" s="419"/>
      <c r="T832" s="419"/>
      <c r="U832" s="419"/>
      <c r="V832" s="419"/>
      <c r="W832" s="419"/>
      <c r="X832" s="419"/>
      <c r="Y832" s="419"/>
      <c r="Z832" s="419"/>
    </row>
    <row r="833" spans="3:26">
      <c r="C833" s="433"/>
      <c r="D833" s="433"/>
      <c r="E833" s="437"/>
      <c r="F833" s="419"/>
      <c r="G833" s="419"/>
      <c r="H833" s="419"/>
      <c r="I833" s="419"/>
      <c r="J833" s="419"/>
      <c r="K833" s="419"/>
      <c r="L833" s="429"/>
      <c r="M833" s="419"/>
      <c r="N833" s="419"/>
      <c r="O833" s="419"/>
      <c r="P833" s="419"/>
      <c r="Q833" s="419"/>
      <c r="R833" s="419"/>
      <c r="S833" s="419"/>
      <c r="T833" s="419"/>
      <c r="U833" s="419"/>
      <c r="V833" s="419"/>
      <c r="W833" s="419"/>
      <c r="X833" s="419"/>
      <c r="Y833" s="419"/>
      <c r="Z833" s="419"/>
    </row>
    <row r="834" spans="3:26">
      <c r="C834" s="433"/>
      <c r="D834" s="433"/>
      <c r="E834" s="437"/>
      <c r="F834" s="419"/>
      <c r="G834" s="419"/>
      <c r="H834" s="419"/>
      <c r="I834" s="419"/>
      <c r="J834" s="419"/>
      <c r="K834" s="419"/>
      <c r="L834" s="429"/>
      <c r="M834" s="419"/>
      <c r="N834" s="419"/>
      <c r="O834" s="419"/>
      <c r="P834" s="419"/>
      <c r="Q834" s="419"/>
      <c r="R834" s="419"/>
      <c r="S834" s="419"/>
      <c r="T834" s="419"/>
      <c r="U834" s="419"/>
      <c r="V834" s="419"/>
      <c r="W834" s="419"/>
      <c r="X834" s="419"/>
      <c r="Y834" s="419"/>
      <c r="Z834" s="419"/>
    </row>
    <row r="835" spans="3:26">
      <c r="C835" s="433"/>
      <c r="D835" s="433"/>
      <c r="E835" s="437"/>
      <c r="F835" s="419"/>
      <c r="G835" s="419"/>
      <c r="H835" s="419"/>
      <c r="I835" s="419"/>
      <c r="J835" s="419"/>
      <c r="K835" s="419"/>
      <c r="L835" s="429"/>
      <c r="M835" s="419"/>
      <c r="N835" s="419"/>
      <c r="O835" s="419"/>
      <c r="P835" s="419"/>
      <c r="Q835" s="419"/>
      <c r="R835" s="419"/>
      <c r="S835" s="419"/>
      <c r="T835" s="419"/>
      <c r="U835" s="419"/>
      <c r="V835" s="419"/>
      <c r="W835" s="419"/>
      <c r="X835" s="419"/>
      <c r="Y835" s="419"/>
      <c r="Z835" s="419"/>
    </row>
    <row r="836" spans="3:26">
      <c r="C836" s="433"/>
      <c r="D836" s="433"/>
      <c r="E836" s="437"/>
      <c r="F836" s="419"/>
      <c r="G836" s="419"/>
      <c r="H836" s="419"/>
      <c r="I836" s="419"/>
      <c r="J836" s="419"/>
      <c r="K836" s="419"/>
      <c r="L836" s="429"/>
      <c r="M836" s="419"/>
      <c r="N836" s="419"/>
      <c r="O836" s="419"/>
      <c r="P836" s="419"/>
      <c r="Q836" s="419"/>
      <c r="R836" s="419"/>
      <c r="S836" s="419"/>
      <c r="T836" s="419"/>
      <c r="U836" s="419"/>
      <c r="V836" s="419"/>
      <c r="W836" s="419"/>
      <c r="X836" s="419"/>
      <c r="Y836" s="419"/>
      <c r="Z836" s="419"/>
    </row>
    <row r="837" spans="3:26">
      <c r="C837" s="433"/>
      <c r="D837" s="433"/>
      <c r="E837" s="437"/>
      <c r="F837" s="419"/>
      <c r="G837" s="419"/>
      <c r="H837" s="419"/>
      <c r="I837" s="419"/>
      <c r="J837" s="419"/>
      <c r="K837" s="419"/>
      <c r="L837" s="429"/>
      <c r="M837" s="419"/>
      <c r="N837" s="419"/>
      <c r="O837" s="419"/>
      <c r="P837" s="419"/>
      <c r="Q837" s="419"/>
      <c r="R837" s="419"/>
      <c r="S837" s="419"/>
      <c r="T837" s="419"/>
      <c r="U837" s="419"/>
      <c r="V837" s="419"/>
      <c r="W837" s="419"/>
      <c r="X837" s="419"/>
      <c r="Y837" s="419"/>
      <c r="Z837" s="419"/>
    </row>
    <row r="838" spans="3:26">
      <c r="C838" s="433"/>
      <c r="D838" s="433"/>
      <c r="E838" s="437"/>
      <c r="F838" s="419"/>
      <c r="G838" s="419"/>
      <c r="H838" s="419"/>
      <c r="I838" s="419"/>
      <c r="J838" s="419"/>
      <c r="K838" s="419"/>
      <c r="L838" s="429"/>
      <c r="M838" s="419"/>
      <c r="N838" s="419"/>
      <c r="O838" s="419"/>
      <c r="P838" s="419"/>
      <c r="Q838" s="419"/>
      <c r="R838" s="419"/>
      <c r="S838" s="419"/>
      <c r="T838" s="419"/>
      <c r="U838" s="419"/>
      <c r="V838" s="419"/>
      <c r="W838" s="419"/>
      <c r="X838" s="419"/>
      <c r="Y838" s="419"/>
      <c r="Z838" s="419"/>
    </row>
    <row r="839" spans="3:26">
      <c r="C839" s="433"/>
      <c r="D839" s="433"/>
      <c r="E839" s="437"/>
      <c r="F839" s="419"/>
      <c r="G839" s="419"/>
      <c r="H839" s="419"/>
      <c r="I839" s="419"/>
      <c r="J839" s="419"/>
      <c r="K839" s="419"/>
      <c r="L839" s="429"/>
      <c r="M839" s="419"/>
      <c r="N839" s="419"/>
      <c r="O839" s="419"/>
      <c r="P839" s="419"/>
      <c r="Q839" s="419"/>
      <c r="R839" s="419"/>
      <c r="S839" s="419"/>
      <c r="T839" s="419"/>
      <c r="U839" s="419"/>
      <c r="V839" s="419"/>
      <c r="W839" s="419"/>
      <c r="X839" s="419"/>
      <c r="Y839" s="419"/>
      <c r="Z839" s="419"/>
    </row>
    <row r="840" spans="3:26">
      <c r="C840" s="433"/>
      <c r="D840" s="433"/>
      <c r="E840" s="437"/>
      <c r="F840" s="419"/>
      <c r="G840" s="419"/>
      <c r="H840" s="419"/>
      <c r="I840" s="419"/>
      <c r="J840" s="419"/>
      <c r="K840" s="419"/>
      <c r="L840" s="429"/>
      <c r="M840" s="419"/>
      <c r="N840" s="419"/>
      <c r="O840" s="419"/>
      <c r="P840" s="419"/>
      <c r="Q840" s="419"/>
      <c r="R840" s="419"/>
      <c r="S840" s="419"/>
      <c r="T840" s="419"/>
      <c r="U840" s="419"/>
      <c r="V840" s="419"/>
      <c r="W840" s="419"/>
      <c r="X840" s="419"/>
      <c r="Y840" s="419"/>
      <c r="Z840" s="419"/>
    </row>
    <row r="841" spans="3:26">
      <c r="C841" s="433"/>
      <c r="D841" s="433"/>
      <c r="E841" s="437"/>
      <c r="F841" s="419"/>
      <c r="G841" s="419"/>
      <c r="H841" s="419"/>
      <c r="I841" s="419"/>
      <c r="J841" s="419"/>
      <c r="K841" s="419"/>
      <c r="L841" s="429"/>
      <c r="M841" s="419"/>
      <c r="N841" s="419"/>
      <c r="O841" s="419"/>
      <c r="P841" s="419"/>
      <c r="Q841" s="419"/>
      <c r="R841" s="419"/>
      <c r="S841" s="419"/>
      <c r="T841" s="419"/>
      <c r="U841" s="419"/>
      <c r="V841" s="419"/>
      <c r="W841" s="419"/>
      <c r="X841" s="419"/>
      <c r="Y841" s="419"/>
      <c r="Z841" s="419"/>
    </row>
    <row r="842" spans="3:26">
      <c r="C842" s="433"/>
      <c r="D842" s="433"/>
      <c r="E842" s="437"/>
      <c r="F842" s="419"/>
      <c r="G842" s="419"/>
      <c r="H842" s="419"/>
      <c r="I842" s="419"/>
      <c r="J842" s="419"/>
      <c r="K842" s="419"/>
      <c r="L842" s="429"/>
      <c r="M842" s="419"/>
      <c r="N842" s="419"/>
      <c r="O842" s="419"/>
      <c r="P842" s="419"/>
      <c r="Q842" s="419"/>
      <c r="R842" s="419"/>
      <c r="S842" s="419"/>
      <c r="T842" s="419"/>
      <c r="U842" s="419"/>
      <c r="V842" s="419"/>
      <c r="W842" s="419"/>
      <c r="X842" s="419"/>
      <c r="Y842" s="419"/>
      <c r="Z842" s="419"/>
    </row>
    <row r="843" spans="3:26">
      <c r="C843" s="433"/>
      <c r="D843" s="433"/>
      <c r="E843" s="437"/>
      <c r="F843" s="419"/>
      <c r="G843" s="419"/>
      <c r="H843" s="419"/>
      <c r="I843" s="419"/>
      <c r="J843" s="419"/>
      <c r="K843" s="419"/>
      <c r="L843" s="429"/>
      <c r="M843" s="419"/>
      <c r="N843" s="419"/>
      <c r="O843" s="419"/>
      <c r="P843" s="419"/>
      <c r="Q843" s="419"/>
      <c r="R843" s="419"/>
      <c r="S843" s="419"/>
      <c r="T843" s="419"/>
      <c r="U843" s="419"/>
      <c r="V843" s="419"/>
      <c r="W843" s="419"/>
      <c r="X843" s="419"/>
      <c r="Y843" s="419"/>
      <c r="Z843" s="419"/>
    </row>
    <row r="844" spans="3:26">
      <c r="C844" s="433"/>
      <c r="D844" s="433"/>
      <c r="E844" s="437"/>
      <c r="F844" s="419"/>
      <c r="G844" s="419"/>
      <c r="H844" s="419"/>
      <c r="I844" s="419"/>
      <c r="J844" s="419"/>
      <c r="K844" s="419"/>
      <c r="L844" s="429"/>
      <c r="M844" s="419"/>
      <c r="N844" s="419"/>
      <c r="O844" s="419"/>
      <c r="P844" s="419"/>
      <c r="Q844" s="419"/>
      <c r="R844" s="419"/>
      <c r="S844" s="419"/>
      <c r="T844" s="419"/>
      <c r="U844" s="419"/>
      <c r="V844" s="419"/>
      <c r="W844" s="419"/>
      <c r="X844" s="419"/>
      <c r="Y844" s="419"/>
      <c r="Z844" s="419"/>
    </row>
    <row r="845" spans="3:26">
      <c r="C845" s="433"/>
      <c r="D845" s="433"/>
      <c r="E845" s="437"/>
      <c r="F845" s="419"/>
      <c r="G845" s="419"/>
      <c r="H845" s="419"/>
      <c r="I845" s="419"/>
      <c r="J845" s="419"/>
      <c r="K845" s="419"/>
      <c r="L845" s="429"/>
      <c r="M845" s="419"/>
      <c r="N845" s="419"/>
      <c r="O845" s="419"/>
      <c r="P845" s="419"/>
      <c r="Q845" s="419"/>
      <c r="R845" s="419"/>
      <c r="S845" s="419"/>
      <c r="T845" s="419"/>
      <c r="U845" s="419"/>
      <c r="V845" s="419"/>
      <c r="W845" s="419"/>
      <c r="X845" s="419"/>
      <c r="Y845" s="419"/>
      <c r="Z845" s="419"/>
    </row>
    <row r="846" spans="3:26">
      <c r="C846" s="433"/>
      <c r="D846" s="433"/>
      <c r="E846" s="437"/>
      <c r="F846" s="419"/>
      <c r="G846" s="419"/>
      <c r="H846" s="419"/>
      <c r="I846" s="419"/>
      <c r="J846" s="419"/>
      <c r="K846" s="419"/>
      <c r="L846" s="429"/>
      <c r="M846" s="419"/>
      <c r="N846" s="419"/>
      <c r="O846" s="419"/>
      <c r="P846" s="419"/>
      <c r="Q846" s="419"/>
      <c r="R846" s="419"/>
      <c r="S846" s="419"/>
      <c r="T846" s="419"/>
      <c r="U846" s="419"/>
      <c r="V846" s="419"/>
      <c r="W846" s="419"/>
      <c r="X846" s="419"/>
      <c r="Y846" s="419"/>
      <c r="Z846" s="419"/>
    </row>
    <row r="847" spans="3:26">
      <c r="C847" s="433"/>
      <c r="D847" s="433"/>
      <c r="E847" s="437"/>
      <c r="F847" s="419"/>
      <c r="G847" s="419"/>
      <c r="H847" s="419"/>
      <c r="I847" s="419"/>
      <c r="J847" s="419"/>
      <c r="K847" s="419"/>
      <c r="L847" s="429"/>
      <c r="M847" s="419"/>
      <c r="N847" s="419"/>
      <c r="O847" s="419"/>
      <c r="P847" s="419"/>
      <c r="Q847" s="419"/>
      <c r="R847" s="419"/>
      <c r="S847" s="419"/>
      <c r="T847" s="419"/>
      <c r="U847" s="419"/>
      <c r="V847" s="419"/>
      <c r="W847" s="419"/>
      <c r="X847" s="419"/>
      <c r="Y847" s="419"/>
      <c r="Z847" s="419"/>
    </row>
    <row r="848" spans="3:26">
      <c r="C848" s="433"/>
      <c r="D848" s="433"/>
      <c r="E848" s="437"/>
      <c r="F848" s="419"/>
      <c r="G848" s="419"/>
      <c r="H848" s="419"/>
      <c r="I848" s="419"/>
      <c r="J848" s="419"/>
      <c r="K848" s="419"/>
      <c r="L848" s="429"/>
      <c r="M848" s="419"/>
      <c r="N848" s="419"/>
      <c r="O848" s="419"/>
      <c r="P848" s="419"/>
      <c r="Q848" s="419"/>
      <c r="R848" s="419"/>
      <c r="S848" s="419"/>
      <c r="T848" s="419"/>
      <c r="U848" s="419"/>
      <c r="V848" s="419"/>
      <c r="W848" s="419"/>
      <c r="X848" s="419"/>
      <c r="Y848" s="419"/>
      <c r="Z848" s="419"/>
    </row>
    <row r="849" spans="3:26">
      <c r="C849" s="433"/>
      <c r="D849" s="433"/>
      <c r="E849" s="437"/>
      <c r="F849" s="419"/>
      <c r="G849" s="419"/>
      <c r="H849" s="419"/>
      <c r="I849" s="419"/>
      <c r="J849" s="419"/>
      <c r="K849" s="419"/>
      <c r="L849" s="429"/>
      <c r="M849" s="419"/>
      <c r="N849" s="419"/>
      <c r="O849" s="419"/>
      <c r="P849" s="419"/>
      <c r="Q849" s="419"/>
      <c r="R849" s="419"/>
      <c r="S849" s="419"/>
      <c r="T849" s="419"/>
      <c r="U849" s="419"/>
      <c r="V849" s="419"/>
      <c r="W849" s="419"/>
      <c r="X849" s="419"/>
      <c r="Y849" s="419"/>
      <c r="Z849" s="419"/>
    </row>
    <row r="850" spans="3:26">
      <c r="C850" s="433"/>
      <c r="D850" s="433"/>
      <c r="E850" s="437"/>
      <c r="F850" s="419"/>
      <c r="G850" s="419"/>
      <c r="H850" s="419"/>
      <c r="I850" s="419"/>
      <c r="J850" s="419"/>
      <c r="K850" s="419"/>
      <c r="L850" s="429"/>
      <c r="M850" s="419"/>
      <c r="N850" s="419"/>
      <c r="O850" s="419"/>
      <c r="P850" s="419"/>
      <c r="Q850" s="419"/>
      <c r="R850" s="419"/>
      <c r="S850" s="419"/>
      <c r="T850" s="419"/>
      <c r="U850" s="419"/>
      <c r="V850" s="419"/>
      <c r="W850" s="419"/>
      <c r="X850" s="419"/>
      <c r="Y850" s="419"/>
      <c r="Z850" s="419"/>
    </row>
    <row r="851" spans="3:26">
      <c r="C851" s="433"/>
      <c r="D851" s="433"/>
      <c r="E851" s="437"/>
      <c r="F851" s="419"/>
      <c r="G851" s="419"/>
      <c r="H851" s="419"/>
      <c r="I851" s="419"/>
      <c r="J851" s="419"/>
      <c r="K851" s="419"/>
      <c r="L851" s="429"/>
      <c r="M851" s="419"/>
      <c r="N851" s="419"/>
      <c r="O851" s="419"/>
      <c r="P851" s="419"/>
      <c r="Q851" s="419"/>
      <c r="R851" s="419"/>
      <c r="S851" s="419"/>
      <c r="T851" s="419"/>
      <c r="U851" s="419"/>
      <c r="V851" s="419"/>
      <c r="W851" s="419"/>
      <c r="X851" s="419"/>
      <c r="Y851" s="419"/>
      <c r="Z851" s="419"/>
    </row>
    <row r="852" spans="3:26">
      <c r="C852" s="433"/>
      <c r="D852" s="433"/>
      <c r="E852" s="437"/>
      <c r="F852" s="419"/>
      <c r="G852" s="419"/>
      <c r="H852" s="419"/>
      <c r="I852" s="419"/>
      <c r="J852" s="419"/>
      <c r="K852" s="419"/>
      <c r="L852" s="429"/>
      <c r="M852" s="419"/>
      <c r="N852" s="419"/>
      <c r="O852" s="419"/>
      <c r="P852" s="419"/>
      <c r="Q852" s="419"/>
      <c r="R852" s="419"/>
      <c r="S852" s="419"/>
      <c r="T852" s="419"/>
      <c r="U852" s="419"/>
      <c r="V852" s="419"/>
      <c r="W852" s="419"/>
      <c r="X852" s="419"/>
      <c r="Y852" s="419"/>
      <c r="Z852" s="419"/>
    </row>
    <row r="853" spans="3:26">
      <c r="C853" s="433"/>
      <c r="D853" s="433"/>
      <c r="E853" s="437"/>
      <c r="F853" s="419"/>
      <c r="G853" s="419"/>
      <c r="H853" s="419"/>
      <c r="I853" s="419"/>
      <c r="J853" s="419"/>
      <c r="K853" s="419"/>
      <c r="L853" s="429"/>
      <c r="M853" s="419"/>
      <c r="N853" s="419"/>
      <c r="O853" s="419"/>
      <c r="P853" s="419"/>
      <c r="Q853" s="419"/>
      <c r="R853" s="419"/>
      <c r="S853" s="419"/>
      <c r="T853" s="419"/>
      <c r="U853" s="419"/>
      <c r="V853" s="419"/>
      <c r="W853" s="419"/>
      <c r="X853" s="419"/>
      <c r="Y853" s="419"/>
      <c r="Z853" s="419"/>
    </row>
    <row r="854" spans="3:26">
      <c r="C854" s="433"/>
      <c r="D854" s="433"/>
      <c r="E854" s="437"/>
      <c r="F854" s="419"/>
      <c r="G854" s="419"/>
      <c r="H854" s="419"/>
      <c r="I854" s="419"/>
      <c r="J854" s="419"/>
      <c r="K854" s="419"/>
      <c r="L854" s="429"/>
      <c r="M854" s="419"/>
      <c r="N854" s="419"/>
      <c r="O854" s="419"/>
      <c r="P854" s="419"/>
      <c r="Q854" s="419"/>
      <c r="R854" s="419"/>
      <c r="S854" s="419"/>
      <c r="T854" s="419"/>
      <c r="U854" s="419"/>
      <c r="V854" s="419"/>
      <c r="W854" s="419"/>
      <c r="X854" s="419"/>
      <c r="Y854" s="419"/>
      <c r="Z854" s="419"/>
    </row>
    <row r="855" spans="3:26">
      <c r="C855" s="433"/>
      <c r="D855" s="433"/>
      <c r="E855" s="437"/>
      <c r="F855" s="419"/>
      <c r="G855" s="419"/>
      <c r="H855" s="419"/>
      <c r="I855" s="419"/>
      <c r="J855" s="419"/>
      <c r="K855" s="419"/>
      <c r="L855" s="429"/>
      <c r="M855" s="419"/>
      <c r="N855" s="419"/>
      <c r="O855" s="419"/>
      <c r="P855" s="419"/>
      <c r="Q855" s="419"/>
      <c r="R855" s="419"/>
      <c r="S855" s="419"/>
      <c r="T855" s="419"/>
      <c r="U855" s="419"/>
      <c r="V855" s="419"/>
      <c r="W855" s="419"/>
      <c r="X855" s="419"/>
      <c r="Y855" s="419"/>
      <c r="Z855" s="419"/>
    </row>
    <row r="856" spans="3:26">
      <c r="C856" s="433"/>
      <c r="D856" s="433"/>
      <c r="E856" s="437"/>
      <c r="F856" s="419"/>
      <c r="G856" s="419"/>
      <c r="H856" s="419"/>
      <c r="I856" s="419"/>
      <c r="J856" s="419"/>
      <c r="K856" s="419"/>
      <c r="L856" s="429"/>
      <c r="M856" s="419"/>
      <c r="N856" s="419"/>
      <c r="O856" s="419"/>
      <c r="P856" s="419"/>
      <c r="Q856" s="419"/>
      <c r="R856" s="419"/>
      <c r="S856" s="419"/>
      <c r="T856" s="419"/>
      <c r="U856" s="419"/>
      <c r="V856" s="419"/>
      <c r="W856" s="419"/>
      <c r="X856" s="419"/>
      <c r="Y856" s="419"/>
      <c r="Z856" s="419"/>
    </row>
    <row r="857" spans="3:26">
      <c r="C857" s="433"/>
      <c r="D857" s="433"/>
      <c r="E857" s="437"/>
      <c r="F857" s="419"/>
      <c r="G857" s="419"/>
      <c r="H857" s="419"/>
      <c r="I857" s="419"/>
      <c r="J857" s="419"/>
      <c r="K857" s="419"/>
      <c r="L857" s="429"/>
      <c r="M857" s="419"/>
      <c r="N857" s="419"/>
      <c r="O857" s="419"/>
      <c r="P857" s="419"/>
      <c r="Q857" s="419"/>
      <c r="R857" s="419"/>
      <c r="S857" s="419"/>
      <c r="T857" s="419"/>
      <c r="U857" s="419"/>
      <c r="V857" s="419"/>
      <c r="W857" s="419"/>
      <c r="X857" s="419"/>
      <c r="Y857" s="419"/>
      <c r="Z857" s="419"/>
    </row>
    <row r="858" spans="3:26">
      <c r="C858" s="433"/>
      <c r="D858" s="433"/>
      <c r="E858" s="437"/>
      <c r="F858" s="419"/>
      <c r="G858" s="419"/>
      <c r="H858" s="419"/>
      <c r="I858" s="419"/>
      <c r="J858" s="419"/>
      <c r="K858" s="419"/>
      <c r="L858" s="429"/>
      <c r="M858" s="419"/>
      <c r="N858" s="419"/>
      <c r="O858" s="419"/>
      <c r="P858" s="419"/>
      <c r="Q858" s="419"/>
      <c r="R858" s="419"/>
      <c r="S858" s="419"/>
      <c r="T858" s="419"/>
      <c r="U858" s="419"/>
      <c r="V858" s="419"/>
      <c r="W858" s="419"/>
      <c r="X858" s="419"/>
      <c r="Y858" s="419"/>
      <c r="Z858" s="419"/>
    </row>
    <row r="859" spans="3:26">
      <c r="C859" s="433"/>
      <c r="D859" s="433"/>
      <c r="E859" s="437"/>
      <c r="F859" s="419"/>
      <c r="G859" s="419"/>
      <c r="H859" s="419"/>
      <c r="I859" s="419"/>
      <c r="J859" s="419"/>
      <c r="K859" s="419"/>
      <c r="L859" s="429"/>
      <c r="M859" s="419"/>
      <c r="N859" s="419"/>
      <c r="O859" s="419"/>
      <c r="P859" s="419"/>
      <c r="Q859" s="419"/>
      <c r="R859" s="419"/>
      <c r="S859" s="419"/>
      <c r="T859" s="419"/>
      <c r="U859" s="419"/>
      <c r="V859" s="419"/>
      <c r="W859" s="419"/>
      <c r="X859" s="419"/>
      <c r="Y859" s="419"/>
      <c r="Z859" s="419"/>
    </row>
    <row r="860" spans="3:26">
      <c r="C860" s="433"/>
      <c r="D860" s="433"/>
      <c r="E860" s="437"/>
      <c r="F860" s="419"/>
      <c r="G860" s="419"/>
      <c r="H860" s="419"/>
      <c r="I860" s="419"/>
      <c r="J860" s="419"/>
      <c r="K860" s="419"/>
      <c r="L860" s="429"/>
      <c r="M860" s="419"/>
      <c r="N860" s="419"/>
      <c r="O860" s="419"/>
      <c r="P860" s="419"/>
      <c r="Q860" s="419"/>
      <c r="R860" s="419"/>
      <c r="S860" s="419"/>
      <c r="T860" s="419"/>
      <c r="U860" s="419"/>
      <c r="V860" s="419"/>
      <c r="W860" s="419"/>
      <c r="X860" s="419"/>
      <c r="Y860" s="419"/>
      <c r="Z860" s="419"/>
    </row>
    <row r="861" spans="3:26">
      <c r="C861" s="433"/>
      <c r="D861" s="433"/>
      <c r="E861" s="437"/>
      <c r="F861" s="419"/>
      <c r="G861" s="419"/>
      <c r="H861" s="419"/>
      <c r="I861" s="419"/>
      <c r="J861" s="419"/>
      <c r="K861" s="419"/>
      <c r="L861" s="429"/>
      <c r="M861" s="419"/>
      <c r="N861" s="419"/>
      <c r="O861" s="419"/>
      <c r="P861" s="419"/>
      <c r="Q861" s="419"/>
      <c r="R861" s="419"/>
      <c r="S861" s="419"/>
      <c r="T861" s="419"/>
      <c r="U861" s="419"/>
      <c r="V861" s="419"/>
      <c r="W861" s="419"/>
      <c r="X861" s="419"/>
      <c r="Y861" s="419"/>
      <c r="Z861" s="419"/>
    </row>
    <row r="862" spans="3:26">
      <c r="C862" s="433"/>
      <c r="D862" s="433"/>
      <c r="E862" s="437"/>
      <c r="F862" s="419"/>
      <c r="G862" s="419"/>
      <c r="H862" s="419"/>
      <c r="I862" s="419"/>
      <c r="J862" s="419"/>
      <c r="K862" s="419"/>
      <c r="L862" s="429"/>
      <c r="M862" s="419"/>
      <c r="N862" s="419"/>
      <c r="O862" s="419"/>
      <c r="P862" s="419"/>
      <c r="Q862" s="419"/>
      <c r="R862" s="419"/>
      <c r="S862" s="419"/>
      <c r="T862" s="419"/>
      <c r="U862" s="419"/>
      <c r="V862" s="419"/>
      <c r="W862" s="419"/>
      <c r="X862" s="419"/>
      <c r="Y862" s="419"/>
      <c r="Z862" s="419"/>
    </row>
    <row r="863" spans="3:26">
      <c r="C863" s="433"/>
      <c r="D863" s="433"/>
      <c r="E863" s="437"/>
      <c r="F863" s="419"/>
      <c r="G863" s="419"/>
      <c r="H863" s="419"/>
      <c r="I863" s="419"/>
      <c r="J863" s="419"/>
      <c r="K863" s="419"/>
      <c r="L863" s="429"/>
      <c r="M863" s="419"/>
      <c r="N863" s="419"/>
      <c r="O863" s="419"/>
      <c r="P863" s="419"/>
      <c r="Q863" s="419"/>
      <c r="R863" s="419"/>
      <c r="S863" s="419"/>
      <c r="T863" s="419"/>
      <c r="U863" s="419"/>
      <c r="V863" s="419"/>
      <c r="W863" s="419"/>
      <c r="X863" s="419"/>
      <c r="Y863" s="419"/>
      <c r="Z863" s="419"/>
    </row>
    <row r="864" spans="3:26">
      <c r="C864" s="433"/>
      <c r="D864" s="433"/>
      <c r="E864" s="437"/>
      <c r="F864" s="419"/>
      <c r="G864" s="419"/>
      <c r="H864" s="419"/>
      <c r="I864" s="419"/>
      <c r="J864" s="419"/>
      <c r="K864" s="419"/>
      <c r="L864" s="429"/>
      <c r="M864" s="419"/>
      <c r="N864" s="419"/>
      <c r="O864" s="419"/>
      <c r="P864" s="419"/>
      <c r="Q864" s="419"/>
      <c r="R864" s="419"/>
      <c r="S864" s="419"/>
      <c r="T864" s="419"/>
      <c r="U864" s="419"/>
      <c r="V864" s="419"/>
      <c r="W864" s="419"/>
      <c r="X864" s="419"/>
      <c r="Y864" s="419"/>
      <c r="Z864" s="419"/>
    </row>
    <row r="865" spans="3:26">
      <c r="C865" s="433"/>
      <c r="D865" s="433"/>
      <c r="E865" s="437"/>
      <c r="F865" s="419"/>
      <c r="G865" s="419"/>
      <c r="H865" s="419"/>
      <c r="I865" s="419"/>
      <c r="J865" s="419"/>
      <c r="K865" s="419"/>
      <c r="L865" s="429"/>
      <c r="M865" s="419"/>
      <c r="N865" s="419"/>
      <c r="O865" s="419"/>
      <c r="P865" s="419"/>
      <c r="Q865" s="419"/>
      <c r="R865" s="419"/>
      <c r="S865" s="419"/>
      <c r="T865" s="419"/>
      <c r="U865" s="419"/>
      <c r="V865" s="419"/>
      <c r="W865" s="419"/>
      <c r="X865" s="419"/>
      <c r="Y865" s="419"/>
      <c r="Z865" s="419"/>
    </row>
    <row r="866" spans="3:26">
      <c r="C866" s="433"/>
      <c r="D866" s="433"/>
      <c r="E866" s="437"/>
      <c r="F866" s="419"/>
      <c r="G866" s="419"/>
      <c r="H866" s="419"/>
      <c r="I866" s="419"/>
      <c r="J866" s="419"/>
      <c r="K866" s="419"/>
      <c r="L866" s="429"/>
      <c r="M866" s="419"/>
      <c r="N866" s="419"/>
      <c r="O866" s="419"/>
      <c r="P866" s="419"/>
      <c r="Q866" s="419"/>
      <c r="R866" s="419"/>
      <c r="S866" s="419"/>
      <c r="T866" s="419"/>
      <c r="U866" s="419"/>
      <c r="V866" s="419"/>
      <c r="W866" s="419"/>
      <c r="X866" s="419"/>
      <c r="Y866" s="419"/>
      <c r="Z866" s="419"/>
    </row>
    <row r="867" spans="3:26">
      <c r="C867" s="433"/>
      <c r="D867" s="433"/>
      <c r="E867" s="437"/>
      <c r="F867" s="419"/>
      <c r="G867" s="419"/>
      <c r="H867" s="419"/>
      <c r="I867" s="419"/>
      <c r="J867" s="419"/>
      <c r="K867" s="419"/>
      <c r="L867" s="429"/>
      <c r="M867" s="419"/>
      <c r="N867" s="419"/>
      <c r="O867" s="419"/>
      <c r="P867" s="419"/>
      <c r="Q867" s="419"/>
      <c r="R867" s="419"/>
      <c r="S867" s="419"/>
      <c r="T867" s="419"/>
      <c r="U867" s="419"/>
      <c r="V867" s="419"/>
      <c r="W867" s="419"/>
      <c r="X867" s="419"/>
      <c r="Y867" s="419"/>
      <c r="Z867" s="419"/>
    </row>
    <row r="868" spans="3:26">
      <c r="C868" s="433"/>
      <c r="D868" s="433"/>
      <c r="E868" s="437"/>
      <c r="F868" s="419"/>
      <c r="G868" s="419"/>
      <c r="H868" s="419"/>
      <c r="I868" s="419"/>
      <c r="J868" s="419"/>
      <c r="K868" s="419"/>
      <c r="L868" s="429"/>
      <c r="M868" s="419"/>
      <c r="N868" s="419"/>
      <c r="O868" s="419"/>
      <c r="P868" s="419"/>
      <c r="Q868" s="419"/>
      <c r="R868" s="419"/>
      <c r="S868" s="419"/>
      <c r="T868" s="419"/>
      <c r="U868" s="419"/>
      <c r="V868" s="419"/>
      <c r="W868" s="419"/>
      <c r="X868" s="419"/>
      <c r="Y868" s="419"/>
      <c r="Z868" s="419"/>
    </row>
    <row r="869" spans="3:26">
      <c r="C869" s="433"/>
      <c r="D869" s="433"/>
      <c r="E869" s="437"/>
      <c r="F869" s="419"/>
      <c r="G869" s="419"/>
      <c r="H869" s="419"/>
      <c r="I869" s="419"/>
      <c r="J869" s="419"/>
      <c r="K869" s="419"/>
      <c r="L869" s="429"/>
      <c r="M869" s="419"/>
      <c r="N869" s="419"/>
      <c r="O869" s="419"/>
      <c r="P869" s="419"/>
      <c r="Q869" s="419"/>
      <c r="R869" s="419"/>
      <c r="S869" s="419"/>
      <c r="T869" s="419"/>
      <c r="U869" s="419"/>
      <c r="V869" s="419"/>
      <c r="W869" s="419"/>
      <c r="X869" s="419"/>
      <c r="Y869" s="419"/>
      <c r="Z869" s="419"/>
    </row>
    <row r="870" spans="3:26">
      <c r="C870" s="433"/>
      <c r="D870" s="433"/>
      <c r="E870" s="437"/>
      <c r="F870" s="419"/>
      <c r="G870" s="419"/>
      <c r="H870" s="419"/>
      <c r="I870" s="419"/>
      <c r="J870" s="419"/>
      <c r="K870" s="419"/>
      <c r="L870" s="429"/>
      <c r="M870" s="419"/>
      <c r="N870" s="419"/>
      <c r="O870" s="419"/>
      <c r="P870" s="419"/>
      <c r="Q870" s="419"/>
      <c r="R870" s="419"/>
      <c r="S870" s="419"/>
      <c r="T870" s="419"/>
      <c r="U870" s="419"/>
      <c r="V870" s="419"/>
      <c r="W870" s="419"/>
      <c r="X870" s="419"/>
      <c r="Y870" s="419"/>
      <c r="Z870" s="419"/>
    </row>
    <row r="871" spans="3:26">
      <c r="C871" s="433"/>
      <c r="D871" s="433"/>
      <c r="E871" s="437"/>
      <c r="F871" s="419"/>
      <c r="G871" s="419"/>
      <c r="H871" s="419"/>
      <c r="I871" s="419"/>
      <c r="J871" s="419"/>
      <c r="K871" s="419"/>
      <c r="L871" s="429"/>
      <c r="M871" s="419"/>
      <c r="N871" s="419"/>
      <c r="O871" s="419"/>
      <c r="P871" s="419"/>
      <c r="Q871" s="419"/>
      <c r="R871" s="419"/>
      <c r="S871" s="419"/>
      <c r="T871" s="419"/>
      <c r="U871" s="419"/>
      <c r="V871" s="419"/>
      <c r="W871" s="419"/>
      <c r="X871" s="419"/>
      <c r="Y871" s="419"/>
      <c r="Z871" s="419"/>
    </row>
    <row r="872" spans="3:26">
      <c r="C872" s="433"/>
      <c r="D872" s="433"/>
      <c r="E872" s="437"/>
      <c r="F872" s="419"/>
      <c r="G872" s="419"/>
      <c r="H872" s="419"/>
      <c r="I872" s="419"/>
      <c r="J872" s="419"/>
      <c r="K872" s="419"/>
      <c r="L872" s="429"/>
      <c r="M872" s="419"/>
      <c r="N872" s="419"/>
      <c r="O872" s="419"/>
      <c r="P872" s="419"/>
      <c r="Q872" s="419"/>
      <c r="R872" s="419"/>
      <c r="S872" s="419"/>
      <c r="T872" s="419"/>
      <c r="U872" s="419"/>
      <c r="V872" s="419"/>
      <c r="W872" s="419"/>
      <c r="X872" s="419"/>
      <c r="Y872" s="419"/>
      <c r="Z872" s="419"/>
    </row>
    <row r="873" spans="3:26">
      <c r="C873" s="433"/>
      <c r="D873" s="433"/>
      <c r="E873" s="437"/>
      <c r="F873" s="419"/>
      <c r="G873" s="419"/>
      <c r="H873" s="419"/>
      <c r="I873" s="419"/>
      <c r="J873" s="419"/>
      <c r="K873" s="419"/>
      <c r="L873" s="429"/>
      <c r="M873" s="419"/>
      <c r="N873" s="419"/>
      <c r="O873" s="419"/>
      <c r="P873" s="419"/>
      <c r="Q873" s="419"/>
      <c r="R873" s="419"/>
      <c r="S873" s="419"/>
      <c r="T873" s="419"/>
      <c r="U873" s="419"/>
      <c r="V873" s="419"/>
      <c r="W873" s="419"/>
      <c r="X873" s="419"/>
      <c r="Y873" s="419"/>
      <c r="Z873" s="419"/>
    </row>
    <row r="874" spans="3:26">
      <c r="C874" s="433"/>
      <c r="D874" s="433"/>
      <c r="E874" s="437"/>
      <c r="F874" s="419"/>
      <c r="G874" s="419"/>
      <c r="H874" s="419"/>
      <c r="I874" s="419"/>
      <c r="J874" s="419"/>
      <c r="K874" s="419"/>
      <c r="L874" s="429"/>
      <c r="M874" s="419"/>
      <c r="N874" s="419"/>
      <c r="O874" s="419"/>
      <c r="P874" s="419"/>
      <c r="Q874" s="419"/>
      <c r="R874" s="419"/>
      <c r="S874" s="419"/>
      <c r="T874" s="419"/>
      <c r="U874" s="419"/>
      <c r="V874" s="419"/>
      <c r="W874" s="419"/>
      <c r="X874" s="419"/>
      <c r="Y874" s="419"/>
      <c r="Z874" s="419"/>
    </row>
    <row r="875" spans="3:26">
      <c r="C875" s="433"/>
      <c r="D875" s="433"/>
      <c r="E875" s="437"/>
      <c r="F875" s="419"/>
      <c r="G875" s="419"/>
      <c r="H875" s="419"/>
      <c r="I875" s="419"/>
      <c r="J875" s="419"/>
      <c r="K875" s="419"/>
      <c r="L875" s="429"/>
      <c r="M875" s="419"/>
      <c r="N875" s="419"/>
      <c r="O875" s="419"/>
      <c r="P875" s="419"/>
      <c r="Q875" s="419"/>
      <c r="R875" s="419"/>
      <c r="S875" s="419"/>
      <c r="T875" s="419"/>
      <c r="U875" s="419"/>
      <c r="V875" s="419"/>
      <c r="W875" s="419"/>
      <c r="X875" s="419"/>
      <c r="Y875" s="419"/>
      <c r="Z875" s="419"/>
    </row>
    <row r="876" spans="3:26">
      <c r="C876" s="433"/>
      <c r="D876" s="433"/>
      <c r="E876" s="437"/>
      <c r="F876" s="419"/>
      <c r="G876" s="419"/>
      <c r="H876" s="419"/>
      <c r="I876" s="419"/>
      <c r="J876" s="419"/>
      <c r="K876" s="419"/>
      <c r="L876" s="429"/>
      <c r="M876" s="419"/>
      <c r="N876" s="419"/>
      <c r="O876" s="419"/>
      <c r="P876" s="419"/>
      <c r="Q876" s="419"/>
      <c r="R876" s="419"/>
      <c r="S876" s="419"/>
      <c r="T876" s="419"/>
      <c r="U876" s="419"/>
      <c r="V876" s="419"/>
      <c r="W876" s="419"/>
      <c r="X876" s="419"/>
      <c r="Y876" s="419"/>
      <c r="Z876" s="419"/>
    </row>
    <row r="877" spans="3:26">
      <c r="C877" s="433"/>
      <c r="D877" s="433"/>
      <c r="E877" s="437"/>
      <c r="F877" s="419"/>
      <c r="G877" s="419"/>
      <c r="H877" s="419"/>
      <c r="I877" s="419"/>
      <c r="J877" s="419"/>
      <c r="K877" s="419"/>
      <c r="L877" s="429"/>
      <c r="M877" s="419"/>
      <c r="N877" s="419"/>
      <c r="O877" s="419"/>
      <c r="P877" s="419"/>
      <c r="Q877" s="419"/>
      <c r="R877" s="419"/>
      <c r="S877" s="419"/>
      <c r="T877" s="419"/>
      <c r="U877" s="419"/>
      <c r="V877" s="419"/>
      <c r="W877" s="419"/>
      <c r="X877" s="419"/>
      <c r="Y877" s="419"/>
      <c r="Z877" s="419"/>
    </row>
    <row r="878" spans="3:26">
      <c r="C878" s="433"/>
      <c r="D878" s="433"/>
      <c r="E878" s="437"/>
      <c r="F878" s="419"/>
      <c r="G878" s="419"/>
      <c r="H878" s="419"/>
      <c r="I878" s="419"/>
      <c r="J878" s="419"/>
      <c r="K878" s="419"/>
      <c r="L878" s="429"/>
      <c r="M878" s="419"/>
      <c r="N878" s="419"/>
      <c r="O878" s="419"/>
      <c r="P878" s="419"/>
      <c r="Q878" s="419"/>
      <c r="R878" s="419"/>
      <c r="S878" s="419"/>
      <c r="T878" s="419"/>
      <c r="U878" s="419"/>
      <c r="V878" s="419"/>
      <c r="W878" s="419"/>
      <c r="X878" s="419"/>
      <c r="Y878" s="419"/>
      <c r="Z878" s="419"/>
    </row>
    <row r="879" spans="3:26">
      <c r="C879" s="433"/>
      <c r="D879" s="433"/>
      <c r="E879" s="437"/>
      <c r="F879" s="419"/>
      <c r="G879" s="419"/>
      <c r="H879" s="419"/>
      <c r="I879" s="419"/>
      <c r="J879" s="419"/>
      <c r="K879" s="419"/>
      <c r="L879" s="429"/>
      <c r="M879" s="419"/>
      <c r="N879" s="419"/>
      <c r="O879" s="419"/>
      <c r="P879" s="419"/>
      <c r="Q879" s="419"/>
      <c r="R879" s="419"/>
      <c r="S879" s="419"/>
      <c r="T879" s="419"/>
      <c r="U879" s="419"/>
      <c r="V879" s="419"/>
      <c r="W879" s="419"/>
      <c r="X879" s="419"/>
      <c r="Y879" s="419"/>
      <c r="Z879" s="419"/>
    </row>
    <row r="880" spans="3:26">
      <c r="C880" s="433"/>
      <c r="D880" s="433"/>
      <c r="E880" s="437"/>
      <c r="F880" s="419"/>
      <c r="G880" s="419"/>
      <c r="H880" s="419"/>
      <c r="I880" s="419"/>
      <c r="J880" s="419"/>
      <c r="K880" s="419"/>
      <c r="L880" s="429"/>
      <c r="M880" s="419"/>
      <c r="N880" s="419"/>
      <c r="O880" s="419"/>
      <c r="P880" s="419"/>
      <c r="Q880" s="419"/>
      <c r="R880" s="419"/>
      <c r="S880" s="419"/>
      <c r="T880" s="419"/>
      <c r="U880" s="419"/>
      <c r="V880" s="419"/>
      <c r="W880" s="419"/>
      <c r="X880" s="419"/>
      <c r="Y880" s="419"/>
      <c r="Z880" s="419"/>
    </row>
    <row r="881" spans="3:26">
      <c r="C881" s="433"/>
      <c r="D881" s="433"/>
      <c r="E881" s="437"/>
      <c r="F881" s="419"/>
      <c r="G881" s="419"/>
      <c r="H881" s="419"/>
      <c r="I881" s="419"/>
      <c r="J881" s="419"/>
      <c r="K881" s="419"/>
      <c r="L881" s="429"/>
      <c r="M881" s="419"/>
      <c r="N881" s="419"/>
      <c r="O881" s="419"/>
      <c r="P881" s="419"/>
      <c r="Q881" s="419"/>
      <c r="R881" s="419"/>
      <c r="S881" s="419"/>
      <c r="T881" s="419"/>
      <c r="U881" s="419"/>
      <c r="V881" s="419"/>
      <c r="W881" s="419"/>
      <c r="X881" s="419"/>
      <c r="Y881" s="419"/>
      <c r="Z881" s="419"/>
    </row>
    <row r="882" spans="3:26">
      <c r="C882" s="433"/>
      <c r="D882" s="433"/>
      <c r="E882" s="437"/>
      <c r="F882" s="419"/>
      <c r="G882" s="419"/>
      <c r="H882" s="419"/>
      <c r="I882" s="419"/>
      <c r="J882" s="419"/>
      <c r="K882" s="419"/>
      <c r="L882" s="429"/>
      <c r="M882" s="419"/>
      <c r="N882" s="419"/>
      <c r="O882" s="419"/>
      <c r="P882" s="419"/>
      <c r="Q882" s="419"/>
      <c r="R882" s="419"/>
      <c r="S882" s="419"/>
      <c r="T882" s="419"/>
      <c r="U882" s="419"/>
      <c r="V882" s="419"/>
      <c r="W882" s="419"/>
      <c r="X882" s="419"/>
      <c r="Y882" s="419"/>
      <c r="Z882" s="419"/>
    </row>
    <row r="883" spans="3:26">
      <c r="C883" s="433"/>
      <c r="D883" s="433"/>
      <c r="E883" s="437"/>
      <c r="F883" s="419"/>
      <c r="G883" s="419"/>
      <c r="H883" s="419"/>
      <c r="I883" s="419"/>
      <c r="J883" s="419"/>
      <c r="K883" s="419"/>
      <c r="L883" s="429"/>
      <c r="M883" s="419"/>
      <c r="N883" s="419"/>
      <c r="O883" s="419"/>
      <c r="P883" s="419"/>
      <c r="Q883" s="419"/>
      <c r="R883" s="419"/>
      <c r="S883" s="419"/>
      <c r="T883" s="419"/>
      <c r="U883" s="419"/>
      <c r="V883" s="419"/>
      <c r="W883" s="419"/>
      <c r="X883" s="419"/>
      <c r="Y883" s="419"/>
      <c r="Z883" s="419"/>
    </row>
    <row r="884" spans="3:26">
      <c r="C884" s="433"/>
      <c r="D884" s="433"/>
      <c r="E884" s="437"/>
      <c r="F884" s="419"/>
      <c r="G884" s="419"/>
      <c r="H884" s="419"/>
      <c r="I884" s="419"/>
      <c r="J884" s="419"/>
      <c r="K884" s="419"/>
      <c r="L884" s="429"/>
      <c r="M884" s="419"/>
      <c r="N884" s="419"/>
      <c r="O884" s="419"/>
      <c r="P884" s="419"/>
      <c r="Q884" s="419"/>
      <c r="R884" s="419"/>
      <c r="S884" s="419"/>
      <c r="T884" s="419"/>
      <c r="U884" s="419"/>
      <c r="V884" s="419"/>
      <c r="W884" s="419"/>
      <c r="X884" s="419"/>
      <c r="Y884" s="419"/>
      <c r="Z884" s="419"/>
    </row>
    <row r="885" spans="3:26">
      <c r="C885" s="433"/>
      <c r="D885" s="433"/>
      <c r="E885" s="437"/>
      <c r="F885" s="419"/>
      <c r="G885" s="419"/>
      <c r="H885" s="419"/>
      <c r="I885" s="419"/>
      <c r="J885" s="419"/>
      <c r="K885" s="419"/>
      <c r="L885" s="429"/>
      <c r="M885" s="419"/>
      <c r="N885" s="419"/>
      <c r="O885" s="419"/>
      <c r="P885" s="419"/>
      <c r="Q885" s="419"/>
      <c r="R885" s="419"/>
      <c r="S885" s="419"/>
      <c r="T885" s="419"/>
      <c r="U885" s="419"/>
      <c r="V885" s="419"/>
      <c r="W885" s="419"/>
      <c r="X885" s="419"/>
      <c r="Y885" s="419"/>
      <c r="Z885" s="419"/>
    </row>
    <row r="886" spans="3:26">
      <c r="C886" s="433"/>
      <c r="D886" s="433"/>
      <c r="E886" s="437"/>
      <c r="F886" s="419"/>
      <c r="G886" s="419"/>
      <c r="H886" s="419"/>
      <c r="I886" s="419"/>
      <c r="J886" s="419"/>
      <c r="K886" s="419"/>
      <c r="L886" s="429"/>
      <c r="M886" s="419"/>
      <c r="N886" s="419"/>
      <c r="O886" s="419"/>
      <c r="P886" s="419"/>
      <c r="Q886" s="419"/>
      <c r="R886" s="419"/>
      <c r="S886" s="419"/>
      <c r="T886" s="419"/>
      <c r="U886" s="419"/>
      <c r="V886" s="419"/>
      <c r="W886" s="419"/>
      <c r="X886" s="419"/>
      <c r="Y886" s="419"/>
      <c r="Z886" s="419"/>
    </row>
    <row r="887" spans="3:26">
      <c r="C887" s="433"/>
      <c r="D887" s="433"/>
      <c r="E887" s="437"/>
      <c r="F887" s="419"/>
      <c r="G887" s="419"/>
      <c r="H887" s="419"/>
      <c r="I887" s="419"/>
      <c r="J887" s="419"/>
      <c r="K887" s="419"/>
      <c r="L887" s="429"/>
      <c r="M887" s="419"/>
      <c r="N887" s="419"/>
      <c r="O887" s="419"/>
      <c r="P887" s="419"/>
      <c r="Q887" s="419"/>
      <c r="R887" s="419"/>
      <c r="S887" s="419"/>
      <c r="T887" s="419"/>
      <c r="U887" s="419"/>
      <c r="V887" s="419"/>
      <c r="W887" s="419"/>
      <c r="X887" s="419"/>
      <c r="Y887" s="419"/>
      <c r="Z887" s="419"/>
    </row>
    <row r="888" spans="3:26">
      <c r="C888" s="433"/>
      <c r="D888" s="433"/>
      <c r="E888" s="437"/>
      <c r="F888" s="419"/>
      <c r="G888" s="419"/>
      <c r="H888" s="419"/>
      <c r="I888" s="419"/>
      <c r="J888" s="419"/>
      <c r="K888" s="419"/>
      <c r="L888" s="429"/>
      <c r="M888" s="419"/>
      <c r="N888" s="419"/>
      <c r="O888" s="419"/>
      <c r="P888" s="419"/>
      <c r="Q888" s="419"/>
      <c r="R888" s="419"/>
      <c r="S888" s="419"/>
      <c r="T888" s="419"/>
      <c r="U888" s="419"/>
      <c r="V888" s="419"/>
      <c r="W888" s="419"/>
      <c r="X888" s="419"/>
      <c r="Y888" s="419"/>
      <c r="Z888" s="419"/>
    </row>
    <row r="889" spans="3:26">
      <c r="C889" s="433"/>
      <c r="D889" s="433"/>
      <c r="E889" s="437"/>
      <c r="F889" s="419"/>
      <c r="G889" s="419"/>
      <c r="H889" s="419"/>
      <c r="I889" s="419"/>
      <c r="J889" s="419"/>
      <c r="K889" s="419"/>
      <c r="L889" s="429"/>
      <c r="M889" s="419"/>
      <c r="N889" s="419"/>
      <c r="O889" s="419"/>
      <c r="P889" s="419"/>
      <c r="Q889" s="419"/>
      <c r="R889" s="419"/>
      <c r="S889" s="419"/>
      <c r="T889" s="419"/>
      <c r="U889" s="419"/>
      <c r="V889" s="419"/>
      <c r="W889" s="419"/>
      <c r="X889" s="419"/>
      <c r="Y889" s="419"/>
      <c r="Z889" s="419"/>
    </row>
    <row r="890" spans="3:26">
      <c r="C890" s="433"/>
      <c r="D890" s="433"/>
      <c r="E890" s="437"/>
      <c r="F890" s="419"/>
      <c r="G890" s="419"/>
      <c r="H890" s="419"/>
      <c r="I890" s="419"/>
      <c r="J890" s="419"/>
      <c r="K890" s="419"/>
      <c r="L890" s="429"/>
      <c r="M890" s="419"/>
      <c r="N890" s="419"/>
      <c r="O890" s="419"/>
      <c r="P890" s="419"/>
      <c r="Q890" s="419"/>
      <c r="R890" s="419"/>
      <c r="S890" s="419"/>
      <c r="T890" s="419"/>
      <c r="U890" s="419"/>
      <c r="V890" s="419"/>
      <c r="W890" s="419"/>
      <c r="X890" s="419"/>
      <c r="Y890" s="419"/>
      <c r="Z890" s="419"/>
    </row>
    <row r="891" spans="3:26">
      <c r="C891" s="433"/>
      <c r="D891" s="433"/>
      <c r="E891" s="437"/>
      <c r="F891" s="419"/>
      <c r="G891" s="419"/>
      <c r="H891" s="419"/>
      <c r="I891" s="419"/>
      <c r="J891" s="419"/>
      <c r="K891" s="419"/>
      <c r="L891" s="429"/>
      <c r="M891" s="419"/>
      <c r="N891" s="419"/>
      <c r="O891" s="419"/>
      <c r="P891" s="419"/>
      <c r="Q891" s="419"/>
      <c r="R891" s="419"/>
      <c r="S891" s="419"/>
      <c r="T891" s="419"/>
      <c r="U891" s="419"/>
      <c r="V891" s="419"/>
      <c r="W891" s="419"/>
      <c r="X891" s="419"/>
      <c r="Y891" s="419"/>
      <c r="Z891" s="419"/>
    </row>
    <row r="892" spans="3:26">
      <c r="C892" s="433"/>
      <c r="D892" s="433"/>
      <c r="E892" s="437"/>
      <c r="F892" s="419"/>
      <c r="G892" s="419"/>
      <c r="H892" s="419"/>
      <c r="I892" s="419"/>
      <c r="J892" s="419"/>
      <c r="K892" s="419"/>
      <c r="L892" s="429"/>
      <c r="M892" s="419"/>
      <c r="N892" s="419"/>
      <c r="O892" s="419"/>
      <c r="P892" s="419"/>
      <c r="Q892" s="419"/>
      <c r="R892" s="419"/>
      <c r="S892" s="419"/>
      <c r="T892" s="419"/>
      <c r="U892" s="419"/>
      <c r="V892" s="419"/>
      <c r="W892" s="419"/>
      <c r="X892" s="419"/>
      <c r="Y892" s="419"/>
      <c r="Z892" s="419"/>
    </row>
    <row r="893" spans="3:26">
      <c r="C893" s="433"/>
      <c r="D893" s="433"/>
      <c r="E893" s="437"/>
      <c r="F893" s="419"/>
      <c r="G893" s="419"/>
      <c r="H893" s="419"/>
      <c r="I893" s="419"/>
      <c r="J893" s="419"/>
      <c r="K893" s="419"/>
      <c r="L893" s="429"/>
      <c r="M893" s="419"/>
      <c r="N893" s="419"/>
      <c r="O893" s="419"/>
      <c r="P893" s="419"/>
      <c r="Q893" s="419"/>
      <c r="R893" s="419"/>
      <c r="S893" s="419"/>
      <c r="T893" s="419"/>
      <c r="U893" s="419"/>
      <c r="V893" s="419"/>
      <c r="W893" s="419"/>
      <c r="X893" s="419"/>
      <c r="Y893" s="419"/>
      <c r="Z893" s="419"/>
    </row>
    <row r="894" spans="3:26">
      <c r="C894" s="433"/>
      <c r="D894" s="433"/>
      <c r="E894" s="437"/>
      <c r="F894" s="419"/>
      <c r="G894" s="419"/>
      <c r="H894" s="419"/>
      <c r="I894" s="419"/>
      <c r="J894" s="419"/>
      <c r="K894" s="419"/>
      <c r="L894" s="429"/>
      <c r="M894" s="419"/>
      <c r="N894" s="419"/>
      <c r="O894" s="419"/>
      <c r="P894" s="419"/>
      <c r="Q894" s="419"/>
      <c r="R894" s="419"/>
      <c r="S894" s="419"/>
      <c r="T894" s="419"/>
      <c r="U894" s="419"/>
      <c r="V894" s="419"/>
      <c r="W894" s="419"/>
      <c r="X894" s="419"/>
      <c r="Y894" s="419"/>
      <c r="Z894" s="419"/>
    </row>
    <row r="895" spans="3:26">
      <c r="C895" s="433"/>
      <c r="D895" s="433"/>
      <c r="E895" s="437"/>
      <c r="F895" s="419"/>
      <c r="G895" s="419"/>
      <c r="H895" s="419"/>
      <c r="I895" s="419"/>
      <c r="J895" s="419"/>
      <c r="K895" s="419"/>
      <c r="L895" s="429"/>
      <c r="M895" s="419"/>
      <c r="N895" s="419"/>
      <c r="O895" s="419"/>
      <c r="P895" s="419"/>
      <c r="Q895" s="419"/>
      <c r="R895" s="419"/>
      <c r="S895" s="419"/>
      <c r="T895" s="419"/>
      <c r="U895" s="419"/>
      <c r="V895" s="419"/>
      <c r="W895" s="419"/>
      <c r="X895" s="419"/>
      <c r="Y895" s="419"/>
      <c r="Z895" s="419"/>
    </row>
    <row r="896" spans="3:26">
      <c r="C896" s="433"/>
      <c r="D896" s="433"/>
      <c r="E896" s="437"/>
      <c r="F896" s="419"/>
      <c r="G896" s="419"/>
      <c r="H896" s="419"/>
      <c r="I896" s="419"/>
      <c r="J896" s="419"/>
      <c r="K896" s="419"/>
      <c r="L896" s="429"/>
      <c r="M896" s="419"/>
      <c r="N896" s="419"/>
      <c r="O896" s="419"/>
      <c r="P896" s="419"/>
      <c r="Q896" s="419"/>
      <c r="R896" s="419"/>
      <c r="S896" s="419"/>
      <c r="T896" s="419"/>
      <c r="U896" s="419"/>
      <c r="V896" s="419"/>
      <c r="W896" s="419"/>
      <c r="X896" s="419"/>
      <c r="Y896" s="419"/>
      <c r="Z896" s="419"/>
    </row>
    <row r="897" spans="3:26">
      <c r="C897" s="433"/>
      <c r="D897" s="433"/>
      <c r="E897" s="437"/>
      <c r="F897" s="419"/>
      <c r="G897" s="419"/>
      <c r="H897" s="419"/>
      <c r="I897" s="419"/>
      <c r="J897" s="419"/>
      <c r="K897" s="419"/>
      <c r="L897" s="429"/>
      <c r="M897" s="419"/>
      <c r="N897" s="419"/>
      <c r="O897" s="419"/>
      <c r="P897" s="419"/>
      <c r="Q897" s="419"/>
      <c r="R897" s="419"/>
      <c r="S897" s="419"/>
      <c r="T897" s="419"/>
      <c r="U897" s="419"/>
      <c r="V897" s="419"/>
      <c r="W897" s="419"/>
      <c r="X897" s="419"/>
      <c r="Y897" s="419"/>
      <c r="Z897" s="419"/>
    </row>
    <row r="898" spans="3:26">
      <c r="C898" s="433"/>
      <c r="D898" s="433"/>
      <c r="E898" s="437"/>
      <c r="F898" s="419"/>
      <c r="G898" s="419"/>
      <c r="H898" s="419"/>
      <c r="I898" s="419"/>
      <c r="J898" s="419"/>
      <c r="K898" s="419"/>
      <c r="L898" s="429"/>
      <c r="M898" s="419"/>
      <c r="N898" s="419"/>
      <c r="O898" s="419"/>
      <c r="P898" s="419"/>
      <c r="Q898" s="419"/>
      <c r="R898" s="419"/>
      <c r="S898" s="419"/>
      <c r="T898" s="419"/>
      <c r="U898" s="419"/>
      <c r="V898" s="419"/>
      <c r="W898" s="419"/>
      <c r="X898" s="419"/>
      <c r="Y898" s="419"/>
      <c r="Z898" s="419"/>
    </row>
    <row r="899" spans="3:26">
      <c r="C899" s="433"/>
      <c r="D899" s="433"/>
      <c r="E899" s="437"/>
      <c r="F899" s="419"/>
      <c r="G899" s="419"/>
      <c r="H899" s="419"/>
      <c r="I899" s="419"/>
      <c r="J899" s="419"/>
      <c r="K899" s="419"/>
      <c r="L899" s="429"/>
      <c r="M899" s="419"/>
      <c r="N899" s="419"/>
      <c r="O899" s="419"/>
      <c r="P899" s="419"/>
      <c r="Q899" s="419"/>
      <c r="R899" s="419"/>
      <c r="S899" s="419"/>
      <c r="T899" s="419"/>
      <c r="U899" s="419"/>
      <c r="V899" s="419"/>
      <c r="W899" s="419"/>
      <c r="X899" s="419"/>
      <c r="Y899" s="419"/>
      <c r="Z899" s="419"/>
    </row>
    <row r="900" spans="3:26">
      <c r="C900" s="433"/>
      <c r="D900" s="433"/>
      <c r="E900" s="437"/>
      <c r="F900" s="419"/>
      <c r="G900" s="419"/>
      <c r="H900" s="419"/>
      <c r="I900" s="419"/>
      <c r="J900" s="419"/>
      <c r="K900" s="419"/>
      <c r="L900" s="429"/>
      <c r="M900" s="419"/>
      <c r="N900" s="419"/>
      <c r="O900" s="419"/>
      <c r="P900" s="419"/>
      <c r="Q900" s="419"/>
      <c r="R900" s="419"/>
      <c r="S900" s="419"/>
      <c r="T900" s="419"/>
      <c r="U900" s="419"/>
      <c r="V900" s="419"/>
      <c r="W900" s="419"/>
      <c r="X900" s="419"/>
      <c r="Y900" s="419"/>
      <c r="Z900" s="419"/>
    </row>
    <row r="901" spans="3:26">
      <c r="C901" s="433"/>
      <c r="D901" s="433"/>
      <c r="E901" s="437"/>
      <c r="F901" s="419"/>
      <c r="G901" s="419"/>
      <c r="H901" s="419"/>
      <c r="I901" s="419"/>
      <c r="J901" s="419"/>
      <c r="K901" s="419"/>
      <c r="L901" s="429"/>
      <c r="M901" s="419"/>
      <c r="N901" s="419"/>
      <c r="O901" s="419"/>
      <c r="P901" s="419"/>
      <c r="Q901" s="419"/>
      <c r="R901" s="419"/>
      <c r="S901" s="419"/>
      <c r="T901" s="419"/>
      <c r="U901" s="419"/>
      <c r="V901" s="419"/>
      <c r="W901" s="419"/>
      <c r="X901" s="419"/>
      <c r="Y901" s="419"/>
      <c r="Z901" s="419"/>
    </row>
    <row r="902" spans="3:26">
      <c r="C902" s="433"/>
      <c r="D902" s="433"/>
      <c r="E902" s="437"/>
      <c r="F902" s="419"/>
      <c r="G902" s="419"/>
      <c r="H902" s="419"/>
      <c r="I902" s="419"/>
      <c r="J902" s="419"/>
      <c r="K902" s="419"/>
      <c r="L902" s="429"/>
      <c r="M902" s="419"/>
      <c r="N902" s="419"/>
      <c r="O902" s="419"/>
      <c r="P902" s="419"/>
      <c r="Q902" s="419"/>
      <c r="R902" s="419"/>
      <c r="S902" s="419"/>
      <c r="T902" s="419"/>
      <c r="U902" s="419"/>
      <c r="V902" s="419"/>
      <c r="W902" s="419"/>
      <c r="X902" s="419"/>
      <c r="Y902" s="419"/>
      <c r="Z902" s="419"/>
    </row>
    <row r="903" spans="3:26">
      <c r="C903" s="433"/>
      <c r="D903" s="433"/>
      <c r="E903" s="437"/>
      <c r="F903" s="419"/>
      <c r="G903" s="419"/>
      <c r="H903" s="419"/>
      <c r="I903" s="419"/>
      <c r="J903" s="419"/>
      <c r="K903" s="419"/>
      <c r="L903" s="429"/>
      <c r="M903" s="419"/>
      <c r="N903" s="419"/>
      <c r="O903" s="419"/>
      <c r="P903" s="419"/>
      <c r="Q903" s="419"/>
      <c r="R903" s="419"/>
      <c r="S903" s="419"/>
      <c r="T903" s="419"/>
      <c r="U903" s="419"/>
      <c r="V903" s="419"/>
      <c r="W903" s="419"/>
      <c r="X903" s="419"/>
      <c r="Y903" s="419"/>
      <c r="Z903" s="419"/>
    </row>
    <row r="904" spans="3:26">
      <c r="C904" s="433"/>
      <c r="D904" s="433"/>
      <c r="E904" s="437"/>
      <c r="F904" s="419"/>
      <c r="G904" s="419"/>
      <c r="H904" s="419"/>
      <c r="I904" s="419"/>
      <c r="J904" s="419"/>
      <c r="K904" s="419"/>
      <c r="L904" s="429"/>
      <c r="M904" s="419"/>
      <c r="N904" s="419"/>
      <c r="O904" s="419"/>
      <c r="P904" s="419"/>
      <c r="Q904" s="419"/>
      <c r="R904" s="419"/>
      <c r="S904" s="419"/>
      <c r="T904" s="419"/>
      <c r="U904" s="419"/>
      <c r="V904" s="419"/>
      <c r="W904" s="419"/>
      <c r="X904" s="419"/>
      <c r="Y904" s="419"/>
      <c r="Z904" s="419"/>
    </row>
    <row r="905" spans="3:26">
      <c r="C905" s="433"/>
      <c r="D905" s="433"/>
      <c r="E905" s="437"/>
      <c r="F905" s="419"/>
      <c r="G905" s="419"/>
      <c r="H905" s="419"/>
      <c r="I905" s="419"/>
      <c r="J905" s="419"/>
      <c r="K905" s="419"/>
      <c r="L905" s="429"/>
      <c r="M905" s="419"/>
      <c r="N905" s="419"/>
      <c r="O905" s="419"/>
      <c r="P905" s="419"/>
      <c r="Q905" s="419"/>
      <c r="R905" s="419"/>
      <c r="S905" s="419"/>
      <c r="T905" s="419"/>
      <c r="U905" s="419"/>
      <c r="V905" s="419"/>
      <c r="W905" s="419"/>
      <c r="X905" s="419"/>
      <c r="Y905" s="419"/>
      <c r="Z905" s="419"/>
    </row>
    <row r="906" spans="3:26">
      <c r="C906" s="433"/>
      <c r="D906" s="433"/>
      <c r="E906" s="437"/>
      <c r="F906" s="419"/>
      <c r="G906" s="419"/>
      <c r="H906" s="419"/>
      <c r="I906" s="419"/>
      <c r="J906" s="419"/>
      <c r="K906" s="419"/>
      <c r="L906" s="429"/>
      <c r="M906" s="419"/>
      <c r="N906" s="419"/>
      <c r="O906" s="419"/>
      <c r="P906" s="419"/>
      <c r="Q906" s="419"/>
      <c r="R906" s="419"/>
      <c r="S906" s="419"/>
      <c r="T906" s="419"/>
      <c r="U906" s="419"/>
      <c r="V906" s="419"/>
      <c r="W906" s="419"/>
      <c r="X906" s="419"/>
      <c r="Y906" s="419"/>
      <c r="Z906" s="419"/>
    </row>
    <row r="907" spans="3:26">
      <c r="C907" s="433"/>
      <c r="D907" s="433"/>
      <c r="E907" s="437"/>
      <c r="F907" s="419"/>
      <c r="G907" s="419"/>
      <c r="H907" s="419"/>
      <c r="I907" s="419"/>
      <c r="J907" s="419"/>
      <c r="K907" s="419"/>
      <c r="L907" s="429"/>
      <c r="M907" s="419"/>
      <c r="N907" s="419"/>
      <c r="O907" s="419"/>
      <c r="P907" s="419"/>
      <c r="Q907" s="419"/>
      <c r="R907" s="419"/>
      <c r="S907" s="419"/>
      <c r="T907" s="419"/>
      <c r="U907" s="419"/>
      <c r="V907" s="419"/>
      <c r="W907" s="419"/>
      <c r="X907" s="419"/>
      <c r="Y907" s="419"/>
      <c r="Z907" s="419"/>
    </row>
    <row r="908" spans="3:26">
      <c r="C908" s="433"/>
      <c r="D908" s="433"/>
      <c r="E908" s="437"/>
      <c r="F908" s="419"/>
      <c r="G908" s="419"/>
      <c r="H908" s="419"/>
      <c r="I908" s="419"/>
      <c r="J908" s="419"/>
      <c r="K908" s="419"/>
      <c r="L908" s="429"/>
      <c r="M908" s="419"/>
      <c r="N908" s="419"/>
      <c r="O908" s="419"/>
      <c r="P908" s="419"/>
      <c r="Q908" s="419"/>
      <c r="R908" s="419"/>
      <c r="S908" s="419"/>
      <c r="T908" s="419"/>
      <c r="U908" s="419"/>
      <c r="V908" s="419"/>
      <c r="W908" s="419"/>
      <c r="X908" s="419"/>
      <c r="Y908" s="419"/>
      <c r="Z908" s="419"/>
    </row>
    <row r="909" spans="3:26">
      <c r="C909" s="433"/>
      <c r="D909" s="433"/>
      <c r="E909" s="437"/>
      <c r="F909" s="419"/>
      <c r="G909" s="419"/>
      <c r="H909" s="419"/>
      <c r="I909" s="419"/>
      <c r="J909" s="419"/>
      <c r="K909" s="419"/>
      <c r="L909" s="429"/>
      <c r="M909" s="419"/>
      <c r="N909" s="419"/>
      <c r="O909" s="419"/>
      <c r="P909" s="419"/>
      <c r="Q909" s="419"/>
      <c r="R909" s="419"/>
      <c r="S909" s="419"/>
      <c r="T909" s="419"/>
      <c r="U909" s="419"/>
      <c r="V909" s="419"/>
      <c r="W909" s="419"/>
      <c r="X909" s="419"/>
      <c r="Y909" s="419"/>
      <c r="Z909" s="419"/>
    </row>
    <row r="910" spans="3:26">
      <c r="C910" s="433"/>
      <c r="D910" s="433"/>
      <c r="E910" s="437"/>
      <c r="F910" s="419"/>
      <c r="G910" s="419"/>
      <c r="H910" s="419"/>
      <c r="I910" s="419"/>
      <c r="J910" s="419"/>
      <c r="K910" s="419"/>
      <c r="L910" s="429"/>
      <c r="M910" s="419"/>
      <c r="N910" s="419"/>
      <c r="O910" s="419"/>
      <c r="P910" s="419"/>
      <c r="Q910" s="419"/>
      <c r="R910" s="419"/>
      <c r="S910" s="419"/>
      <c r="T910" s="419"/>
      <c r="U910" s="419"/>
      <c r="V910" s="419"/>
      <c r="W910" s="419"/>
      <c r="X910" s="419"/>
      <c r="Y910" s="419"/>
      <c r="Z910" s="419"/>
    </row>
    <row r="911" spans="3:26">
      <c r="C911" s="433"/>
      <c r="D911" s="433"/>
      <c r="E911" s="437"/>
      <c r="F911" s="419"/>
      <c r="G911" s="419"/>
      <c r="H911" s="419"/>
      <c r="I911" s="419"/>
      <c r="J911" s="419"/>
      <c r="K911" s="419"/>
      <c r="L911" s="429"/>
      <c r="M911" s="419"/>
      <c r="N911" s="419"/>
      <c r="O911" s="419"/>
      <c r="P911" s="419"/>
      <c r="Q911" s="419"/>
      <c r="R911" s="419"/>
      <c r="S911" s="419"/>
      <c r="T911" s="419"/>
      <c r="U911" s="419"/>
      <c r="V911" s="419"/>
      <c r="W911" s="419"/>
      <c r="X911" s="419"/>
      <c r="Y911" s="419"/>
      <c r="Z911" s="419"/>
    </row>
    <row r="912" spans="3:26">
      <c r="C912" s="433"/>
      <c r="D912" s="433"/>
      <c r="E912" s="437"/>
      <c r="F912" s="419"/>
      <c r="G912" s="419"/>
      <c r="H912" s="419"/>
      <c r="I912" s="419"/>
      <c r="J912" s="419"/>
      <c r="K912" s="419"/>
      <c r="L912" s="429"/>
      <c r="M912" s="419"/>
      <c r="N912" s="419"/>
      <c r="O912" s="419"/>
      <c r="P912" s="419"/>
      <c r="Q912" s="419"/>
      <c r="R912" s="419"/>
      <c r="S912" s="419"/>
      <c r="T912" s="419"/>
      <c r="U912" s="419"/>
      <c r="V912" s="419"/>
      <c r="W912" s="419"/>
      <c r="X912" s="419"/>
      <c r="Y912" s="419"/>
      <c r="Z912" s="419"/>
    </row>
    <row r="913" spans="3:26">
      <c r="C913" s="433"/>
      <c r="D913" s="433"/>
      <c r="E913" s="437"/>
      <c r="F913" s="419"/>
      <c r="G913" s="419"/>
      <c r="H913" s="419"/>
      <c r="I913" s="419"/>
      <c r="J913" s="419"/>
      <c r="K913" s="419"/>
      <c r="L913" s="429"/>
      <c r="M913" s="419"/>
      <c r="N913" s="419"/>
      <c r="O913" s="419"/>
      <c r="P913" s="419"/>
      <c r="Q913" s="419"/>
      <c r="R913" s="419"/>
      <c r="S913" s="419"/>
      <c r="T913" s="419"/>
      <c r="U913" s="419"/>
      <c r="V913" s="419"/>
      <c r="W913" s="419"/>
      <c r="X913" s="419"/>
      <c r="Y913" s="419"/>
      <c r="Z913" s="419"/>
    </row>
    <row r="914" spans="3:26">
      <c r="C914" s="433"/>
      <c r="D914" s="433"/>
      <c r="E914" s="437"/>
      <c r="F914" s="419"/>
      <c r="G914" s="419"/>
      <c r="H914" s="419"/>
      <c r="I914" s="419"/>
      <c r="J914" s="419"/>
      <c r="K914" s="419"/>
      <c r="L914" s="429"/>
      <c r="M914" s="419"/>
      <c r="N914" s="419"/>
      <c r="O914" s="419"/>
      <c r="P914" s="419"/>
      <c r="Q914" s="419"/>
      <c r="R914" s="419"/>
      <c r="S914" s="419"/>
      <c r="T914" s="419"/>
      <c r="U914" s="419"/>
      <c r="V914" s="419"/>
      <c r="W914" s="419"/>
      <c r="X914" s="419"/>
      <c r="Y914" s="419"/>
      <c r="Z914" s="419"/>
    </row>
    <row r="915" spans="3:26">
      <c r="C915" s="433"/>
      <c r="D915" s="433"/>
      <c r="E915" s="437"/>
      <c r="F915" s="419"/>
      <c r="G915" s="419"/>
      <c r="H915" s="419"/>
      <c r="I915" s="419"/>
      <c r="J915" s="419"/>
      <c r="K915" s="419"/>
      <c r="L915" s="429"/>
      <c r="M915" s="419"/>
      <c r="N915" s="419"/>
      <c r="O915" s="419"/>
      <c r="P915" s="419"/>
      <c r="Q915" s="419"/>
      <c r="R915" s="419"/>
      <c r="S915" s="419"/>
      <c r="T915" s="419"/>
      <c r="U915" s="419"/>
      <c r="V915" s="419"/>
      <c r="W915" s="419"/>
      <c r="X915" s="419"/>
      <c r="Y915" s="419"/>
      <c r="Z915" s="419"/>
    </row>
    <row r="916" spans="3:26">
      <c r="C916" s="433"/>
      <c r="D916" s="433"/>
      <c r="E916" s="437"/>
      <c r="F916" s="419"/>
      <c r="G916" s="419"/>
      <c r="H916" s="419"/>
      <c r="I916" s="419"/>
      <c r="J916" s="419"/>
      <c r="K916" s="419"/>
      <c r="L916" s="429"/>
      <c r="M916" s="419"/>
      <c r="N916" s="419"/>
      <c r="O916" s="419"/>
      <c r="P916" s="419"/>
      <c r="Q916" s="419"/>
      <c r="R916" s="419"/>
      <c r="S916" s="419"/>
      <c r="T916" s="419"/>
      <c r="U916" s="419"/>
      <c r="V916" s="419"/>
      <c r="W916" s="419"/>
      <c r="X916" s="419"/>
      <c r="Y916" s="419"/>
      <c r="Z916" s="419"/>
    </row>
    <row r="917" spans="3:26">
      <c r="C917" s="433"/>
      <c r="D917" s="433"/>
      <c r="E917" s="437"/>
      <c r="F917" s="419"/>
      <c r="G917" s="419"/>
      <c r="H917" s="419"/>
      <c r="I917" s="419"/>
      <c r="J917" s="419"/>
      <c r="K917" s="419"/>
      <c r="L917" s="429"/>
      <c r="M917" s="419"/>
      <c r="N917" s="419"/>
      <c r="O917" s="419"/>
      <c r="P917" s="419"/>
      <c r="Q917" s="419"/>
      <c r="R917" s="419"/>
      <c r="S917" s="419"/>
      <c r="T917" s="419"/>
      <c r="U917" s="419"/>
      <c r="V917" s="419"/>
      <c r="W917" s="419"/>
      <c r="X917" s="419"/>
      <c r="Y917" s="419"/>
      <c r="Z917" s="419"/>
    </row>
    <row r="918" spans="3:26">
      <c r="C918" s="433"/>
      <c r="D918" s="433"/>
      <c r="E918" s="437"/>
      <c r="F918" s="419"/>
      <c r="G918" s="419"/>
      <c r="H918" s="419"/>
      <c r="I918" s="419"/>
      <c r="J918" s="419"/>
      <c r="K918" s="419"/>
      <c r="L918" s="429"/>
      <c r="M918" s="419"/>
      <c r="N918" s="419"/>
      <c r="O918" s="419"/>
      <c r="P918" s="419"/>
      <c r="Q918" s="419"/>
      <c r="R918" s="419"/>
      <c r="S918" s="419"/>
      <c r="T918" s="419"/>
      <c r="U918" s="419"/>
      <c r="V918" s="419"/>
      <c r="W918" s="419"/>
      <c r="X918" s="419"/>
      <c r="Y918" s="419"/>
      <c r="Z918" s="419"/>
    </row>
    <row r="919" spans="3:26">
      <c r="C919" s="433"/>
      <c r="D919" s="433"/>
      <c r="E919" s="437"/>
      <c r="F919" s="419"/>
      <c r="G919" s="419"/>
      <c r="H919" s="419"/>
      <c r="I919" s="419"/>
      <c r="J919" s="419"/>
      <c r="K919" s="419"/>
      <c r="L919" s="429"/>
      <c r="M919" s="419"/>
      <c r="N919" s="419"/>
      <c r="O919" s="419"/>
      <c r="P919" s="419"/>
      <c r="Q919" s="419"/>
      <c r="R919" s="419"/>
      <c r="S919" s="419"/>
      <c r="T919" s="419"/>
      <c r="U919" s="419"/>
      <c r="V919" s="419"/>
      <c r="W919" s="419"/>
      <c r="X919" s="419"/>
      <c r="Y919" s="419"/>
      <c r="Z919" s="419"/>
    </row>
    <row r="920" spans="3:26">
      <c r="C920" s="433"/>
      <c r="D920" s="433"/>
      <c r="E920" s="437"/>
      <c r="F920" s="419"/>
      <c r="G920" s="419"/>
      <c r="H920" s="419"/>
      <c r="I920" s="419"/>
      <c r="J920" s="419"/>
      <c r="K920" s="419"/>
      <c r="L920" s="429"/>
      <c r="M920" s="419"/>
      <c r="N920" s="419"/>
      <c r="O920" s="419"/>
      <c r="P920" s="419"/>
      <c r="Q920" s="419"/>
      <c r="R920" s="419"/>
      <c r="S920" s="419"/>
      <c r="T920" s="419"/>
      <c r="U920" s="419"/>
      <c r="V920" s="419"/>
      <c r="W920" s="419"/>
      <c r="X920" s="419"/>
      <c r="Y920" s="419"/>
      <c r="Z920" s="419"/>
    </row>
    <row r="921" spans="3:26">
      <c r="C921" s="433"/>
      <c r="D921" s="433"/>
      <c r="E921" s="437"/>
      <c r="F921" s="419"/>
      <c r="G921" s="419"/>
      <c r="H921" s="419"/>
      <c r="I921" s="419"/>
      <c r="J921" s="419"/>
      <c r="K921" s="419"/>
      <c r="L921" s="429"/>
      <c r="M921" s="419"/>
      <c r="N921" s="419"/>
      <c r="O921" s="419"/>
      <c r="P921" s="419"/>
      <c r="Q921" s="419"/>
      <c r="R921" s="419"/>
      <c r="S921" s="419"/>
      <c r="T921" s="419"/>
      <c r="U921" s="419"/>
      <c r="V921" s="419"/>
      <c r="W921" s="419"/>
      <c r="X921" s="419"/>
      <c r="Y921" s="419"/>
      <c r="Z921" s="419"/>
    </row>
    <row r="922" spans="3:26">
      <c r="C922" s="433"/>
      <c r="D922" s="433"/>
      <c r="E922" s="437"/>
      <c r="F922" s="419"/>
      <c r="G922" s="419"/>
      <c r="H922" s="419"/>
      <c r="I922" s="419"/>
      <c r="J922" s="419"/>
      <c r="K922" s="419"/>
      <c r="L922" s="429"/>
      <c r="M922" s="419"/>
      <c r="N922" s="419"/>
      <c r="O922" s="419"/>
      <c r="P922" s="419"/>
      <c r="Q922" s="419"/>
      <c r="R922" s="419"/>
      <c r="S922" s="419"/>
      <c r="T922" s="419"/>
      <c r="U922" s="419"/>
      <c r="V922" s="419"/>
      <c r="W922" s="419"/>
      <c r="X922" s="419"/>
      <c r="Y922" s="419"/>
      <c r="Z922" s="419"/>
    </row>
    <row r="923" spans="3:26">
      <c r="C923" s="433"/>
      <c r="D923" s="433"/>
      <c r="E923" s="437"/>
      <c r="F923" s="419"/>
      <c r="G923" s="419"/>
      <c r="H923" s="419"/>
      <c r="I923" s="419"/>
      <c r="J923" s="419"/>
      <c r="K923" s="419"/>
      <c r="L923" s="429"/>
      <c r="M923" s="419"/>
      <c r="N923" s="419"/>
      <c r="O923" s="419"/>
      <c r="P923" s="419"/>
      <c r="Q923" s="419"/>
      <c r="R923" s="419"/>
      <c r="S923" s="419"/>
      <c r="T923" s="419"/>
      <c r="U923" s="419"/>
      <c r="V923" s="419"/>
      <c r="W923" s="419"/>
      <c r="X923" s="419"/>
      <c r="Y923" s="419"/>
      <c r="Z923" s="419"/>
    </row>
    <row r="924" spans="3:26">
      <c r="C924" s="433"/>
      <c r="D924" s="433"/>
      <c r="E924" s="437"/>
      <c r="F924" s="419"/>
      <c r="G924" s="419"/>
      <c r="H924" s="419"/>
      <c r="I924" s="419"/>
      <c r="J924" s="419"/>
      <c r="K924" s="419"/>
      <c r="L924" s="429"/>
      <c r="M924" s="419"/>
      <c r="N924" s="419"/>
      <c r="O924" s="419"/>
      <c r="P924" s="419"/>
      <c r="Q924" s="419"/>
      <c r="R924" s="419"/>
      <c r="S924" s="419"/>
      <c r="T924" s="419"/>
      <c r="U924" s="419"/>
      <c r="V924" s="419"/>
      <c r="W924" s="419"/>
      <c r="X924" s="419"/>
      <c r="Y924" s="419"/>
      <c r="Z924" s="419"/>
    </row>
    <row r="925" spans="3:26">
      <c r="C925" s="433"/>
      <c r="D925" s="433"/>
      <c r="E925" s="437"/>
      <c r="F925" s="419"/>
      <c r="G925" s="419"/>
      <c r="H925" s="419"/>
      <c r="I925" s="419"/>
      <c r="J925" s="419"/>
      <c r="K925" s="419"/>
      <c r="L925" s="429"/>
      <c r="M925" s="419"/>
      <c r="N925" s="419"/>
      <c r="O925" s="419"/>
      <c r="P925" s="419"/>
      <c r="Q925" s="419"/>
      <c r="R925" s="419"/>
      <c r="S925" s="419"/>
      <c r="T925" s="419"/>
      <c r="U925" s="419"/>
      <c r="V925" s="419"/>
      <c r="W925" s="419"/>
      <c r="X925" s="419"/>
      <c r="Y925" s="419"/>
      <c r="Z925" s="419"/>
    </row>
    <row r="926" spans="3:26">
      <c r="C926" s="433"/>
      <c r="D926" s="433"/>
      <c r="E926" s="437"/>
      <c r="F926" s="419"/>
      <c r="G926" s="419"/>
      <c r="H926" s="419"/>
      <c r="I926" s="419"/>
      <c r="J926" s="419"/>
      <c r="K926" s="419"/>
      <c r="L926" s="429"/>
      <c r="M926" s="419"/>
      <c r="N926" s="419"/>
      <c r="O926" s="419"/>
      <c r="P926" s="419"/>
      <c r="Q926" s="419"/>
      <c r="R926" s="419"/>
      <c r="S926" s="419"/>
      <c r="T926" s="419"/>
      <c r="U926" s="419"/>
      <c r="V926" s="419"/>
      <c r="W926" s="419"/>
      <c r="X926" s="419"/>
      <c r="Y926" s="419"/>
      <c r="Z926" s="419"/>
    </row>
    <row r="927" spans="3:26">
      <c r="C927" s="433"/>
      <c r="D927" s="433"/>
      <c r="E927" s="437"/>
      <c r="F927" s="419"/>
      <c r="G927" s="419"/>
      <c r="H927" s="419"/>
      <c r="I927" s="419"/>
      <c r="J927" s="419"/>
      <c r="K927" s="419"/>
      <c r="L927" s="429"/>
      <c r="M927" s="419"/>
      <c r="N927" s="419"/>
      <c r="O927" s="419"/>
      <c r="P927" s="419"/>
      <c r="Q927" s="419"/>
      <c r="R927" s="419"/>
      <c r="S927" s="419"/>
      <c r="T927" s="419"/>
      <c r="U927" s="419"/>
      <c r="V927" s="419"/>
      <c r="W927" s="419"/>
      <c r="X927" s="419"/>
      <c r="Y927" s="419"/>
      <c r="Z927" s="419"/>
    </row>
    <row r="928" spans="3:26">
      <c r="C928" s="433"/>
      <c r="D928" s="433"/>
      <c r="E928" s="437"/>
      <c r="F928" s="419"/>
      <c r="G928" s="419"/>
      <c r="H928" s="419"/>
      <c r="I928" s="419"/>
      <c r="J928" s="419"/>
      <c r="K928" s="419"/>
      <c r="L928" s="429"/>
      <c r="M928" s="419"/>
      <c r="N928" s="419"/>
      <c r="O928" s="419"/>
      <c r="P928" s="419"/>
      <c r="Q928" s="419"/>
      <c r="R928" s="419"/>
      <c r="S928" s="419"/>
      <c r="T928" s="419"/>
      <c r="U928" s="419"/>
      <c r="V928" s="419"/>
      <c r="W928" s="419"/>
      <c r="X928" s="419"/>
      <c r="Y928" s="419"/>
      <c r="Z928" s="419"/>
    </row>
    <row r="929" spans="3:26">
      <c r="C929" s="433"/>
      <c r="D929" s="433"/>
      <c r="E929" s="437"/>
      <c r="F929" s="419"/>
      <c r="G929" s="419"/>
      <c r="H929" s="419"/>
      <c r="I929" s="419"/>
      <c r="J929" s="419"/>
      <c r="K929" s="419"/>
      <c r="L929" s="429"/>
      <c r="M929" s="419"/>
      <c r="N929" s="419"/>
      <c r="O929" s="419"/>
      <c r="P929" s="419"/>
      <c r="Q929" s="419"/>
      <c r="R929" s="419"/>
      <c r="S929" s="419"/>
      <c r="T929" s="419"/>
      <c r="U929" s="419"/>
      <c r="V929" s="419"/>
      <c r="W929" s="419"/>
      <c r="X929" s="419"/>
      <c r="Y929" s="419"/>
      <c r="Z929" s="419"/>
    </row>
    <row r="930" spans="3:26">
      <c r="C930" s="433"/>
      <c r="D930" s="433"/>
      <c r="E930" s="437"/>
      <c r="F930" s="419"/>
      <c r="G930" s="419"/>
      <c r="H930" s="419"/>
      <c r="I930" s="419"/>
      <c r="J930" s="419"/>
      <c r="K930" s="419"/>
      <c r="L930" s="429"/>
      <c r="M930" s="419"/>
      <c r="N930" s="419"/>
      <c r="O930" s="419"/>
      <c r="P930" s="419"/>
      <c r="Q930" s="419"/>
      <c r="R930" s="419"/>
      <c r="S930" s="419"/>
      <c r="T930" s="419"/>
      <c r="U930" s="419"/>
      <c r="V930" s="419"/>
      <c r="W930" s="419"/>
      <c r="X930" s="419"/>
      <c r="Y930" s="419"/>
      <c r="Z930" s="419"/>
    </row>
    <row r="931" spans="3:26">
      <c r="C931" s="433"/>
      <c r="D931" s="433"/>
      <c r="E931" s="437"/>
      <c r="F931" s="419"/>
      <c r="G931" s="419"/>
      <c r="H931" s="419"/>
      <c r="I931" s="419"/>
      <c r="J931" s="419"/>
      <c r="K931" s="419"/>
      <c r="L931" s="429"/>
      <c r="M931" s="419"/>
      <c r="N931" s="419"/>
      <c r="O931" s="419"/>
      <c r="P931" s="419"/>
      <c r="Q931" s="419"/>
      <c r="R931" s="419"/>
      <c r="S931" s="419"/>
      <c r="T931" s="419"/>
      <c r="U931" s="419"/>
      <c r="V931" s="419"/>
      <c r="W931" s="419"/>
      <c r="X931" s="419"/>
      <c r="Y931" s="419"/>
      <c r="Z931" s="419"/>
    </row>
    <row r="932" spans="3:26">
      <c r="C932" s="433"/>
      <c r="D932" s="433"/>
      <c r="E932" s="437"/>
      <c r="F932" s="419"/>
      <c r="G932" s="419"/>
      <c r="H932" s="419"/>
      <c r="I932" s="419"/>
      <c r="J932" s="419"/>
      <c r="K932" s="419"/>
      <c r="L932" s="429"/>
      <c r="M932" s="419"/>
      <c r="N932" s="419"/>
      <c r="O932" s="419"/>
      <c r="P932" s="419"/>
      <c r="Q932" s="419"/>
      <c r="R932" s="419"/>
      <c r="S932" s="419"/>
      <c r="T932" s="419"/>
      <c r="U932" s="419"/>
      <c r="V932" s="419"/>
      <c r="W932" s="419"/>
      <c r="X932" s="419"/>
      <c r="Y932" s="419"/>
      <c r="Z932" s="419"/>
    </row>
    <row r="933" spans="3:26">
      <c r="C933" s="433"/>
      <c r="D933" s="433"/>
      <c r="E933" s="437"/>
      <c r="F933" s="419"/>
      <c r="G933" s="419"/>
      <c r="H933" s="419"/>
      <c r="I933" s="419"/>
      <c r="J933" s="419"/>
      <c r="K933" s="419"/>
      <c r="L933" s="429"/>
      <c r="M933" s="419"/>
      <c r="N933" s="419"/>
      <c r="O933" s="419"/>
      <c r="P933" s="419"/>
      <c r="Q933" s="419"/>
      <c r="R933" s="419"/>
      <c r="S933" s="419"/>
      <c r="T933" s="419"/>
      <c r="U933" s="419"/>
      <c r="V933" s="419"/>
      <c r="W933" s="419"/>
      <c r="X933" s="419"/>
      <c r="Y933" s="419"/>
      <c r="Z933" s="419"/>
    </row>
    <row r="934" spans="3:26">
      <c r="C934" s="433"/>
      <c r="D934" s="433"/>
      <c r="E934" s="437"/>
      <c r="F934" s="419"/>
      <c r="G934" s="419"/>
      <c r="H934" s="419"/>
      <c r="I934" s="419"/>
      <c r="J934" s="419"/>
      <c r="K934" s="419"/>
      <c r="L934" s="429"/>
      <c r="M934" s="419"/>
      <c r="N934" s="419"/>
      <c r="O934" s="419"/>
      <c r="P934" s="419"/>
      <c r="Q934" s="419"/>
      <c r="R934" s="419"/>
      <c r="S934" s="419"/>
      <c r="T934" s="419"/>
      <c r="U934" s="419"/>
      <c r="V934" s="419"/>
      <c r="W934" s="419"/>
      <c r="X934" s="419"/>
      <c r="Y934" s="419"/>
      <c r="Z934" s="419"/>
    </row>
    <row r="935" spans="3:26">
      <c r="C935" s="433"/>
      <c r="D935" s="433"/>
      <c r="E935" s="437"/>
      <c r="F935" s="419"/>
      <c r="G935" s="419"/>
      <c r="H935" s="419"/>
      <c r="I935" s="419"/>
      <c r="J935" s="419"/>
      <c r="K935" s="419"/>
      <c r="L935" s="429"/>
      <c r="M935" s="419"/>
      <c r="N935" s="419"/>
      <c r="O935" s="419"/>
      <c r="P935" s="419"/>
      <c r="Q935" s="419"/>
      <c r="R935" s="419"/>
      <c r="S935" s="419"/>
      <c r="T935" s="419"/>
      <c r="U935" s="419"/>
      <c r="V935" s="419"/>
      <c r="W935" s="419"/>
      <c r="X935" s="419"/>
      <c r="Y935" s="419"/>
      <c r="Z935" s="419"/>
    </row>
    <row r="936" spans="3:26">
      <c r="C936" s="433"/>
      <c r="D936" s="433"/>
      <c r="E936" s="437"/>
      <c r="F936" s="419"/>
      <c r="G936" s="419"/>
      <c r="H936" s="419"/>
      <c r="I936" s="419"/>
      <c r="J936" s="419"/>
      <c r="K936" s="419"/>
      <c r="L936" s="429"/>
      <c r="M936" s="419"/>
      <c r="N936" s="419"/>
      <c r="O936" s="419"/>
      <c r="P936" s="419"/>
      <c r="Q936" s="419"/>
      <c r="R936" s="419"/>
      <c r="S936" s="419"/>
      <c r="T936" s="419"/>
      <c r="U936" s="419"/>
      <c r="V936" s="419"/>
      <c r="W936" s="419"/>
      <c r="X936" s="419"/>
      <c r="Y936" s="419"/>
      <c r="Z936" s="419"/>
    </row>
    <row r="937" spans="3:26">
      <c r="C937" s="433"/>
      <c r="D937" s="433"/>
      <c r="E937" s="437"/>
      <c r="F937" s="419"/>
      <c r="G937" s="419"/>
      <c r="H937" s="419"/>
      <c r="I937" s="419"/>
      <c r="J937" s="419"/>
      <c r="K937" s="419"/>
      <c r="L937" s="429"/>
      <c r="M937" s="419"/>
      <c r="N937" s="419"/>
      <c r="O937" s="419"/>
      <c r="P937" s="419"/>
      <c r="Q937" s="419"/>
      <c r="R937" s="419"/>
      <c r="S937" s="419"/>
      <c r="T937" s="419"/>
      <c r="U937" s="419"/>
      <c r="V937" s="419"/>
      <c r="W937" s="419"/>
      <c r="X937" s="419"/>
      <c r="Y937" s="419"/>
      <c r="Z937" s="419"/>
    </row>
    <row r="938" spans="3:26">
      <c r="C938" s="433"/>
      <c r="D938" s="433"/>
      <c r="E938" s="437"/>
      <c r="F938" s="419"/>
      <c r="G938" s="419"/>
      <c r="H938" s="419"/>
      <c r="I938" s="419"/>
      <c r="J938" s="419"/>
      <c r="K938" s="419"/>
      <c r="L938" s="429"/>
      <c r="M938" s="419"/>
      <c r="N938" s="419"/>
      <c r="O938" s="419"/>
      <c r="P938" s="419"/>
      <c r="Q938" s="419"/>
      <c r="R938" s="419"/>
      <c r="S938" s="419"/>
      <c r="T938" s="419"/>
      <c r="U938" s="419"/>
      <c r="V938" s="419"/>
      <c r="W938" s="419"/>
      <c r="X938" s="419"/>
      <c r="Y938" s="419"/>
      <c r="Z938" s="419"/>
    </row>
    <row r="939" spans="3:26">
      <c r="C939" s="433"/>
      <c r="D939" s="433"/>
      <c r="E939" s="437"/>
      <c r="F939" s="419"/>
      <c r="G939" s="419"/>
      <c r="H939" s="419"/>
      <c r="I939" s="419"/>
      <c r="J939" s="419"/>
      <c r="K939" s="419"/>
      <c r="L939" s="429"/>
      <c r="M939" s="419"/>
      <c r="N939" s="419"/>
      <c r="O939" s="419"/>
      <c r="P939" s="419"/>
      <c r="Q939" s="419"/>
      <c r="R939" s="419"/>
      <c r="S939" s="419"/>
      <c r="T939" s="419"/>
      <c r="U939" s="419"/>
      <c r="V939" s="419"/>
      <c r="W939" s="419"/>
      <c r="X939" s="419"/>
      <c r="Y939" s="419"/>
      <c r="Z939" s="419"/>
    </row>
    <row r="940" spans="3:26">
      <c r="C940" s="433"/>
      <c r="D940" s="433"/>
      <c r="E940" s="437"/>
      <c r="F940" s="419"/>
      <c r="G940" s="419"/>
      <c r="H940" s="419"/>
      <c r="I940" s="419"/>
      <c r="J940" s="419"/>
      <c r="K940" s="419"/>
      <c r="L940" s="429"/>
      <c r="M940" s="419"/>
      <c r="N940" s="419"/>
      <c r="O940" s="419"/>
      <c r="P940" s="419"/>
      <c r="Q940" s="419"/>
      <c r="R940" s="419"/>
      <c r="S940" s="419"/>
      <c r="T940" s="419"/>
      <c r="U940" s="419"/>
      <c r="V940" s="419"/>
      <c r="W940" s="419"/>
      <c r="X940" s="419"/>
      <c r="Y940" s="419"/>
      <c r="Z940" s="419"/>
    </row>
    <row r="941" spans="3:26">
      <c r="C941" s="433"/>
      <c r="D941" s="433"/>
      <c r="E941" s="437"/>
      <c r="F941" s="419"/>
      <c r="G941" s="419"/>
      <c r="H941" s="419"/>
      <c r="I941" s="419"/>
      <c r="J941" s="419"/>
      <c r="K941" s="419"/>
      <c r="L941" s="429"/>
      <c r="M941" s="419"/>
      <c r="N941" s="419"/>
      <c r="O941" s="419"/>
      <c r="P941" s="419"/>
      <c r="Q941" s="419"/>
      <c r="R941" s="419"/>
      <c r="S941" s="419"/>
      <c r="T941" s="419"/>
      <c r="U941" s="419"/>
      <c r="V941" s="419"/>
      <c r="W941" s="419"/>
      <c r="X941" s="419"/>
      <c r="Y941" s="419"/>
      <c r="Z941" s="419"/>
    </row>
    <row r="942" spans="3:26">
      <c r="C942" s="433"/>
      <c r="D942" s="433"/>
      <c r="E942" s="437"/>
      <c r="F942" s="419"/>
      <c r="G942" s="419"/>
      <c r="H942" s="419"/>
      <c r="I942" s="419"/>
      <c r="J942" s="419"/>
      <c r="K942" s="419"/>
      <c r="L942" s="429"/>
      <c r="M942" s="419"/>
      <c r="N942" s="419"/>
      <c r="O942" s="419"/>
      <c r="P942" s="419"/>
      <c r="Q942" s="419"/>
      <c r="R942" s="419"/>
      <c r="S942" s="419"/>
      <c r="T942" s="419"/>
      <c r="U942" s="419"/>
      <c r="V942" s="419"/>
      <c r="W942" s="419"/>
      <c r="X942" s="419"/>
      <c r="Y942" s="419"/>
      <c r="Z942" s="419"/>
    </row>
    <row r="943" spans="3:26">
      <c r="C943" s="433"/>
      <c r="D943" s="433"/>
      <c r="E943" s="437"/>
      <c r="F943" s="419"/>
      <c r="G943" s="419"/>
      <c r="H943" s="419"/>
      <c r="I943" s="419"/>
      <c r="J943" s="419"/>
      <c r="K943" s="419"/>
      <c r="L943" s="429"/>
      <c r="M943" s="419"/>
      <c r="N943" s="419"/>
      <c r="O943" s="419"/>
      <c r="P943" s="419"/>
      <c r="Q943" s="419"/>
      <c r="R943" s="419"/>
      <c r="S943" s="419"/>
      <c r="T943" s="419"/>
      <c r="U943" s="419"/>
      <c r="V943" s="419"/>
      <c r="W943" s="419"/>
      <c r="X943" s="419"/>
      <c r="Y943" s="419"/>
      <c r="Z943" s="419"/>
    </row>
    <row r="944" spans="3:26">
      <c r="C944" s="433"/>
      <c r="D944" s="433"/>
      <c r="E944" s="437"/>
      <c r="F944" s="419"/>
      <c r="G944" s="419"/>
      <c r="H944" s="419"/>
      <c r="I944" s="419"/>
      <c r="J944" s="419"/>
      <c r="K944" s="419"/>
      <c r="L944" s="429"/>
      <c r="M944" s="419"/>
      <c r="N944" s="419"/>
      <c r="O944" s="419"/>
      <c r="P944" s="419"/>
      <c r="Q944" s="419"/>
      <c r="R944" s="419"/>
      <c r="S944" s="419"/>
      <c r="T944" s="419"/>
      <c r="U944" s="419"/>
      <c r="V944" s="419"/>
      <c r="W944" s="419"/>
      <c r="X944" s="419"/>
      <c r="Y944" s="419"/>
      <c r="Z944" s="419"/>
    </row>
    <row r="945" spans="3:26">
      <c r="C945" s="433"/>
      <c r="D945" s="433"/>
      <c r="E945" s="437"/>
      <c r="F945" s="419"/>
      <c r="G945" s="419"/>
      <c r="H945" s="419"/>
      <c r="I945" s="419"/>
      <c r="J945" s="419"/>
      <c r="K945" s="419"/>
      <c r="L945" s="429"/>
      <c r="M945" s="419"/>
      <c r="N945" s="419"/>
      <c r="O945" s="419"/>
      <c r="P945" s="419"/>
      <c r="Q945" s="419"/>
      <c r="R945" s="419"/>
      <c r="S945" s="419"/>
      <c r="T945" s="419"/>
      <c r="U945" s="419"/>
      <c r="V945" s="419"/>
      <c r="W945" s="419"/>
      <c r="X945" s="419"/>
      <c r="Y945" s="419"/>
      <c r="Z945" s="419"/>
    </row>
    <row r="946" spans="3:26">
      <c r="C946" s="433"/>
      <c r="D946" s="433"/>
      <c r="E946" s="437"/>
      <c r="F946" s="419"/>
      <c r="G946" s="419"/>
      <c r="H946" s="419"/>
      <c r="I946" s="419"/>
      <c r="J946" s="419"/>
      <c r="K946" s="419"/>
      <c r="L946" s="429"/>
      <c r="M946" s="419"/>
      <c r="N946" s="419"/>
      <c r="O946" s="419"/>
      <c r="P946" s="419"/>
      <c r="Q946" s="419"/>
      <c r="R946" s="419"/>
      <c r="S946" s="419"/>
      <c r="T946" s="419"/>
      <c r="U946" s="419"/>
      <c r="V946" s="419"/>
      <c r="W946" s="419"/>
      <c r="X946" s="419"/>
      <c r="Y946" s="419"/>
      <c r="Z946" s="419"/>
    </row>
    <row r="947" spans="3:26">
      <c r="C947" s="433"/>
      <c r="D947" s="433"/>
      <c r="E947" s="437"/>
      <c r="F947" s="419"/>
      <c r="G947" s="419"/>
      <c r="H947" s="419"/>
      <c r="I947" s="419"/>
      <c r="J947" s="419"/>
      <c r="K947" s="419"/>
      <c r="L947" s="429"/>
      <c r="M947" s="419"/>
      <c r="N947" s="419"/>
      <c r="O947" s="419"/>
      <c r="P947" s="419"/>
      <c r="Q947" s="419"/>
      <c r="R947" s="419"/>
      <c r="S947" s="419"/>
      <c r="T947" s="419"/>
      <c r="U947" s="419"/>
      <c r="V947" s="419"/>
      <c r="W947" s="419"/>
      <c r="X947" s="419"/>
      <c r="Y947" s="419"/>
      <c r="Z947" s="419"/>
    </row>
    <row r="948" spans="3:26">
      <c r="C948" s="433"/>
      <c r="D948" s="433"/>
      <c r="E948" s="437"/>
      <c r="F948" s="419"/>
      <c r="G948" s="419"/>
      <c r="H948" s="419"/>
      <c r="I948" s="419"/>
      <c r="J948" s="419"/>
      <c r="K948" s="419"/>
      <c r="L948" s="429"/>
      <c r="M948" s="419"/>
      <c r="N948" s="419"/>
      <c r="O948" s="419"/>
      <c r="P948" s="419"/>
      <c r="Q948" s="419"/>
      <c r="R948" s="419"/>
      <c r="S948" s="419"/>
      <c r="T948" s="419"/>
      <c r="U948" s="419"/>
      <c r="V948" s="419"/>
      <c r="W948" s="419"/>
      <c r="X948" s="419"/>
      <c r="Y948" s="419"/>
      <c r="Z948" s="419"/>
    </row>
    <row r="949" spans="3:26">
      <c r="C949" s="433"/>
      <c r="D949" s="433"/>
      <c r="E949" s="437"/>
      <c r="F949" s="419"/>
      <c r="G949" s="419"/>
      <c r="H949" s="419"/>
      <c r="I949" s="419"/>
      <c r="J949" s="419"/>
      <c r="K949" s="419"/>
      <c r="L949" s="429"/>
      <c r="M949" s="419"/>
      <c r="N949" s="419"/>
      <c r="O949" s="419"/>
      <c r="P949" s="419"/>
      <c r="Q949" s="419"/>
      <c r="R949" s="419"/>
      <c r="S949" s="419"/>
      <c r="T949" s="419"/>
      <c r="U949" s="419"/>
      <c r="V949" s="419"/>
      <c r="W949" s="419"/>
      <c r="X949" s="419"/>
      <c r="Y949" s="419"/>
      <c r="Z949" s="419"/>
    </row>
    <row r="950" spans="3:26">
      <c r="C950" s="433"/>
      <c r="D950" s="433"/>
      <c r="E950" s="437"/>
      <c r="F950" s="419"/>
      <c r="G950" s="419"/>
      <c r="H950" s="419"/>
      <c r="I950" s="419"/>
      <c r="J950" s="419"/>
      <c r="K950" s="419"/>
      <c r="L950" s="429"/>
      <c r="M950" s="419"/>
      <c r="N950" s="419"/>
      <c r="O950" s="419"/>
      <c r="P950" s="419"/>
      <c r="Q950" s="419"/>
      <c r="R950" s="419"/>
      <c r="S950" s="419"/>
      <c r="T950" s="419"/>
      <c r="U950" s="419"/>
      <c r="V950" s="419"/>
      <c r="W950" s="419"/>
      <c r="X950" s="419"/>
      <c r="Y950" s="419"/>
      <c r="Z950" s="419"/>
    </row>
    <row r="951" spans="3:26">
      <c r="C951" s="433"/>
      <c r="D951" s="433"/>
      <c r="E951" s="437"/>
      <c r="F951" s="419"/>
      <c r="G951" s="419"/>
      <c r="H951" s="419"/>
      <c r="I951" s="419"/>
      <c r="J951" s="419"/>
      <c r="K951" s="419"/>
      <c r="L951" s="429"/>
      <c r="M951" s="419"/>
      <c r="N951" s="419"/>
      <c r="O951" s="419"/>
      <c r="P951" s="419"/>
      <c r="Q951" s="419"/>
      <c r="R951" s="419"/>
      <c r="S951" s="419"/>
      <c r="T951" s="419"/>
      <c r="U951" s="419"/>
      <c r="V951" s="419"/>
      <c r="W951" s="419"/>
      <c r="X951" s="419"/>
      <c r="Y951" s="419"/>
      <c r="Z951" s="419"/>
    </row>
    <row r="952" spans="3:26">
      <c r="C952" s="433"/>
      <c r="D952" s="433"/>
      <c r="E952" s="437"/>
      <c r="F952" s="419"/>
      <c r="G952" s="419"/>
      <c r="H952" s="419"/>
      <c r="I952" s="419"/>
      <c r="J952" s="419"/>
      <c r="K952" s="419"/>
      <c r="L952" s="429"/>
      <c r="M952" s="419"/>
      <c r="N952" s="419"/>
      <c r="O952" s="419"/>
      <c r="P952" s="419"/>
      <c r="Q952" s="419"/>
      <c r="R952" s="419"/>
      <c r="S952" s="419"/>
      <c r="T952" s="419"/>
      <c r="U952" s="419"/>
      <c r="V952" s="419"/>
      <c r="W952" s="419"/>
      <c r="X952" s="419"/>
      <c r="Y952" s="419"/>
      <c r="Z952" s="419"/>
    </row>
    <row r="953" spans="3:26">
      <c r="C953" s="433"/>
      <c r="D953" s="433"/>
      <c r="E953" s="437"/>
      <c r="F953" s="419"/>
      <c r="G953" s="419"/>
      <c r="H953" s="419"/>
      <c r="I953" s="419"/>
      <c r="J953" s="419"/>
      <c r="K953" s="419"/>
      <c r="L953" s="429"/>
      <c r="M953" s="419"/>
      <c r="N953" s="419"/>
      <c r="O953" s="419"/>
      <c r="P953" s="419"/>
      <c r="Q953" s="419"/>
      <c r="R953" s="419"/>
      <c r="S953" s="419"/>
      <c r="T953" s="419"/>
      <c r="U953" s="419"/>
      <c r="V953" s="419"/>
      <c r="W953" s="419"/>
      <c r="X953" s="419"/>
      <c r="Y953" s="419"/>
      <c r="Z953" s="419"/>
    </row>
    <row r="954" spans="3:26">
      <c r="C954" s="433"/>
      <c r="D954" s="433"/>
      <c r="E954" s="437"/>
      <c r="F954" s="419"/>
      <c r="G954" s="419"/>
      <c r="H954" s="419"/>
      <c r="I954" s="419"/>
      <c r="J954" s="419"/>
      <c r="K954" s="419"/>
      <c r="L954" s="429"/>
      <c r="M954" s="419"/>
      <c r="N954" s="419"/>
      <c r="O954" s="419"/>
      <c r="P954" s="419"/>
      <c r="Q954" s="419"/>
      <c r="R954" s="419"/>
      <c r="S954" s="419"/>
      <c r="T954" s="419"/>
      <c r="U954" s="419"/>
      <c r="V954" s="419"/>
      <c r="W954" s="419"/>
      <c r="X954" s="419"/>
      <c r="Y954" s="419"/>
      <c r="Z954" s="419"/>
    </row>
    <row r="955" spans="3:26">
      <c r="C955" s="433"/>
      <c r="D955" s="433"/>
      <c r="E955" s="437"/>
      <c r="F955" s="419"/>
      <c r="G955" s="419"/>
      <c r="H955" s="419"/>
      <c r="I955" s="419"/>
      <c r="J955" s="419"/>
      <c r="K955" s="419"/>
      <c r="L955" s="429"/>
      <c r="M955" s="419"/>
      <c r="N955" s="419"/>
      <c r="O955" s="419"/>
      <c r="P955" s="419"/>
      <c r="Q955" s="419"/>
      <c r="R955" s="419"/>
      <c r="S955" s="419"/>
      <c r="T955" s="419"/>
      <c r="U955" s="419"/>
      <c r="V955" s="419"/>
      <c r="W955" s="419"/>
      <c r="X955" s="419"/>
      <c r="Y955" s="419"/>
      <c r="Z955" s="419"/>
    </row>
    <row r="956" spans="3:26">
      <c r="C956" s="433"/>
      <c r="D956" s="433"/>
      <c r="E956" s="437"/>
      <c r="F956" s="419"/>
      <c r="G956" s="419"/>
      <c r="H956" s="419"/>
      <c r="I956" s="419"/>
      <c r="J956" s="419"/>
      <c r="K956" s="419"/>
      <c r="L956" s="429"/>
      <c r="M956" s="419"/>
      <c r="N956" s="419"/>
      <c r="O956" s="419"/>
      <c r="P956" s="419"/>
      <c r="Q956" s="419"/>
      <c r="R956" s="419"/>
      <c r="S956" s="419"/>
      <c r="T956" s="419"/>
      <c r="U956" s="419"/>
      <c r="V956" s="419"/>
      <c r="W956" s="419"/>
      <c r="X956" s="419"/>
      <c r="Y956" s="419"/>
      <c r="Z956" s="419"/>
    </row>
    <row r="957" spans="3:26">
      <c r="C957" s="433"/>
      <c r="D957" s="433"/>
      <c r="E957" s="437"/>
      <c r="F957" s="419"/>
      <c r="G957" s="419"/>
      <c r="H957" s="419"/>
      <c r="I957" s="419"/>
      <c r="J957" s="419"/>
      <c r="K957" s="419"/>
      <c r="L957" s="429"/>
      <c r="M957" s="419"/>
      <c r="N957" s="419"/>
      <c r="O957" s="419"/>
      <c r="P957" s="419"/>
      <c r="Q957" s="419"/>
      <c r="R957" s="419"/>
      <c r="S957" s="419"/>
      <c r="T957" s="419"/>
      <c r="U957" s="419"/>
      <c r="V957" s="419"/>
      <c r="W957" s="419"/>
      <c r="X957" s="419"/>
      <c r="Y957" s="419"/>
      <c r="Z957" s="419"/>
    </row>
    <row r="958" spans="3:26">
      <c r="C958" s="433"/>
      <c r="D958" s="433"/>
      <c r="E958" s="437"/>
      <c r="F958" s="419"/>
      <c r="G958" s="419"/>
      <c r="H958" s="419"/>
      <c r="I958" s="419"/>
      <c r="J958" s="419"/>
      <c r="K958" s="419"/>
      <c r="L958" s="429"/>
      <c r="M958" s="419"/>
      <c r="N958" s="419"/>
      <c r="O958" s="419"/>
      <c r="P958" s="419"/>
      <c r="Q958" s="419"/>
      <c r="R958" s="419"/>
      <c r="S958" s="419"/>
      <c r="T958" s="419"/>
      <c r="U958" s="419"/>
      <c r="V958" s="419"/>
      <c r="W958" s="419"/>
      <c r="X958" s="419"/>
      <c r="Y958" s="419"/>
      <c r="Z958" s="419"/>
    </row>
    <row r="959" spans="3:26">
      <c r="C959" s="433"/>
      <c r="D959" s="433"/>
      <c r="E959" s="437"/>
      <c r="F959" s="419"/>
      <c r="G959" s="419"/>
      <c r="H959" s="419"/>
      <c r="I959" s="419"/>
      <c r="J959" s="419"/>
      <c r="K959" s="419"/>
      <c r="L959" s="429"/>
      <c r="M959" s="419"/>
      <c r="N959" s="419"/>
      <c r="O959" s="419"/>
      <c r="P959" s="419"/>
      <c r="Q959" s="419"/>
      <c r="R959" s="419"/>
      <c r="S959" s="419"/>
      <c r="T959" s="419"/>
      <c r="U959" s="419"/>
      <c r="V959" s="419"/>
      <c r="W959" s="419"/>
      <c r="X959" s="419"/>
      <c r="Y959" s="419"/>
      <c r="Z959" s="419"/>
    </row>
    <row r="960" spans="3:26">
      <c r="C960" s="433"/>
      <c r="D960" s="433"/>
      <c r="E960" s="437"/>
      <c r="F960" s="419"/>
      <c r="G960" s="419"/>
      <c r="H960" s="419"/>
      <c r="I960" s="419"/>
      <c r="J960" s="419"/>
      <c r="K960" s="419"/>
      <c r="L960" s="429"/>
      <c r="M960" s="419"/>
      <c r="N960" s="419"/>
      <c r="O960" s="419"/>
      <c r="P960" s="419"/>
      <c r="Q960" s="419"/>
      <c r="R960" s="419"/>
      <c r="S960" s="419"/>
      <c r="T960" s="419"/>
      <c r="U960" s="419"/>
      <c r="V960" s="419"/>
      <c r="W960" s="419"/>
      <c r="X960" s="419"/>
      <c r="Y960" s="419"/>
      <c r="Z960" s="419"/>
    </row>
    <row r="961" spans="3:26">
      <c r="C961" s="433"/>
      <c r="D961" s="433"/>
      <c r="E961" s="437"/>
      <c r="F961" s="419"/>
      <c r="G961" s="419"/>
      <c r="H961" s="419"/>
      <c r="I961" s="419"/>
      <c r="J961" s="419"/>
      <c r="K961" s="419"/>
      <c r="L961" s="429"/>
      <c r="M961" s="419"/>
      <c r="N961" s="419"/>
      <c r="O961" s="419"/>
      <c r="P961" s="419"/>
      <c r="Q961" s="419"/>
      <c r="R961" s="419"/>
      <c r="S961" s="419"/>
      <c r="T961" s="419"/>
      <c r="U961" s="419"/>
      <c r="V961" s="419"/>
      <c r="W961" s="419"/>
      <c r="X961" s="419"/>
      <c r="Y961" s="419"/>
      <c r="Z961" s="419"/>
    </row>
    <row r="962" spans="3:26">
      <c r="C962" s="433"/>
      <c r="D962" s="433"/>
      <c r="E962" s="437"/>
      <c r="F962" s="419"/>
      <c r="G962" s="419"/>
      <c r="H962" s="419"/>
      <c r="I962" s="419"/>
      <c r="J962" s="419"/>
      <c r="K962" s="419"/>
      <c r="L962" s="429"/>
      <c r="M962" s="419"/>
      <c r="N962" s="419"/>
      <c r="O962" s="419"/>
      <c r="P962" s="419"/>
      <c r="Q962" s="419"/>
      <c r="R962" s="419"/>
      <c r="S962" s="419"/>
      <c r="T962" s="419"/>
      <c r="U962" s="419"/>
      <c r="V962" s="419"/>
      <c r="W962" s="419"/>
      <c r="X962" s="419"/>
      <c r="Y962" s="419"/>
      <c r="Z962" s="419"/>
    </row>
    <row r="963" spans="3:26">
      <c r="C963" s="433"/>
      <c r="D963" s="433"/>
      <c r="E963" s="437"/>
      <c r="F963" s="419"/>
      <c r="G963" s="419"/>
      <c r="H963" s="419"/>
      <c r="I963" s="419"/>
      <c r="J963" s="419"/>
      <c r="K963" s="419"/>
      <c r="L963" s="429"/>
      <c r="M963" s="419"/>
      <c r="N963" s="419"/>
      <c r="O963" s="419"/>
      <c r="P963" s="419"/>
      <c r="Q963" s="419"/>
      <c r="R963" s="419"/>
      <c r="S963" s="419"/>
      <c r="T963" s="419"/>
      <c r="U963" s="419"/>
      <c r="V963" s="419"/>
      <c r="W963" s="419"/>
      <c r="X963" s="419"/>
      <c r="Y963" s="419"/>
      <c r="Z963" s="419"/>
    </row>
    <row r="964" spans="3:26">
      <c r="C964" s="433"/>
      <c r="D964" s="433"/>
      <c r="E964" s="437"/>
      <c r="F964" s="419"/>
      <c r="G964" s="419"/>
      <c r="H964" s="419"/>
      <c r="I964" s="419"/>
      <c r="J964" s="419"/>
      <c r="K964" s="419"/>
      <c r="L964" s="429"/>
      <c r="M964" s="419"/>
      <c r="N964" s="419"/>
      <c r="O964" s="419"/>
      <c r="P964" s="419"/>
      <c r="Q964" s="419"/>
      <c r="R964" s="419"/>
      <c r="S964" s="419"/>
      <c r="T964" s="419"/>
      <c r="U964" s="419"/>
      <c r="V964" s="419"/>
      <c r="W964" s="419"/>
      <c r="X964" s="419"/>
      <c r="Y964" s="419"/>
      <c r="Z964" s="419"/>
    </row>
    <row r="965" spans="3:26">
      <c r="C965" s="433"/>
      <c r="D965" s="433"/>
      <c r="E965" s="437"/>
      <c r="F965" s="419"/>
      <c r="G965" s="419"/>
      <c r="H965" s="419"/>
      <c r="I965" s="419"/>
      <c r="J965" s="419"/>
      <c r="K965" s="419"/>
      <c r="L965" s="429"/>
      <c r="M965" s="419"/>
      <c r="N965" s="419"/>
      <c r="O965" s="419"/>
      <c r="P965" s="419"/>
      <c r="Q965" s="419"/>
      <c r="R965" s="419"/>
      <c r="S965" s="419"/>
      <c r="T965" s="419"/>
      <c r="U965" s="419"/>
      <c r="V965" s="419"/>
      <c r="W965" s="419"/>
      <c r="X965" s="419"/>
      <c r="Y965" s="419"/>
      <c r="Z965" s="419"/>
    </row>
    <row r="966" spans="3:26">
      <c r="C966" s="433"/>
      <c r="D966" s="433"/>
      <c r="E966" s="437"/>
      <c r="F966" s="419"/>
      <c r="G966" s="419"/>
      <c r="H966" s="419"/>
      <c r="I966" s="419"/>
      <c r="J966" s="419"/>
      <c r="K966" s="419"/>
      <c r="L966" s="429"/>
      <c r="M966" s="419"/>
      <c r="N966" s="419"/>
      <c r="O966" s="419"/>
      <c r="P966" s="419"/>
      <c r="Q966" s="419"/>
      <c r="R966" s="419"/>
      <c r="S966" s="419"/>
      <c r="T966" s="419"/>
      <c r="U966" s="419"/>
      <c r="V966" s="419"/>
      <c r="W966" s="419"/>
      <c r="X966" s="419"/>
      <c r="Y966" s="419"/>
      <c r="Z966" s="419"/>
    </row>
    <row r="967" spans="3:26">
      <c r="C967" s="433"/>
      <c r="D967" s="433"/>
      <c r="E967" s="437"/>
      <c r="F967" s="419"/>
      <c r="G967" s="419"/>
      <c r="H967" s="419"/>
      <c r="I967" s="419"/>
      <c r="J967" s="419"/>
      <c r="K967" s="419"/>
      <c r="L967" s="429"/>
      <c r="M967" s="419"/>
      <c r="N967" s="419"/>
      <c r="O967" s="419"/>
      <c r="P967" s="419"/>
      <c r="Q967" s="419"/>
      <c r="R967" s="419"/>
      <c r="S967" s="419"/>
      <c r="T967" s="419"/>
      <c r="U967" s="419"/>
      <c r="V967" s="419"/>
      <c r="W967" s="419"/>
      <c r="X967" s="419"/>
      <c r="Y967" s="419"/>
      <c r="Z967" s="419"/>
    </row>
    <row r="968" spans="3:26">
      <c r="C968" s="433"/>
      <c r="D968" s="433"/>
      <c r="E968" s="437"/>
      <c r="F968" s="419"/>
      <c r="G968" s="419"/>
      <c r="H968" s="419"/>
      <c r="I968" s="419"/>
      <c r="J968" s="419"/>
      <c r="K968" s="419"/>
      <c r="L968" s="429"/>
      <c r="M968" s="419"/>
      <c r="N968" s="419"/>
      <c r="O968" s="419"/>
      <c r="P968" s="419"/>
      <c r="Q968" s="419"/>
      <c r="R968" s="419"/>
      <c r="S968" s="419"/>
      <c r="T968" s="419"/>
      <c r="U968" s="419"/>
      <c r="V968" s="419"/>
      <c r="W968" s="419"/>
      <c r="X968" s="419"/>
      <c r="Y968" s="419"/>
      <c r="Z968" s="419"/>
    </row>
    <row r="969" spans="3:26">
      <c r="C969" s="433"/>
      <c r="D969" s="433"/>
      <c r="E969" s="437"/>
      <c r="F969" s="419"/>
      <c r="G969" s="419"/>
      <c r="H969" s="419"/>
      <c r="I969" s="419"/>
      <c r="J969" s="419"/>
      <c r="K969" s="419"/>
      <c r="L969" s="429"/>
      <c r="M969" s="419"/>
      <c r="N969" s="419"/>
      <c r="O969" s="419"/>
      <c r="P969" s="419"/>
      <c r="Q969" s="419"/>
      <c r="R969" s="419"/>
      <c r="S969" s="419"/>
      <c r="T969" s="419"/>
      <c r="U969" s="419"/>
      <c r="V969" s="419"/>
      <c r="W969" s="419"/>
      <c r="X969" s="419"/>
      <c r="Y969" s="419"/>
      <c r="Z969" s="419"/>
    </row>
    <row r="970" spans="3:26">
      <c r="C970" s="433"/>
      <c r="D970" s="433"/>
      <c r="E970" s="437"/>
      <c r="F970" s="419"/>
      <c r="G970" s="419"/>
      <c r="H970" s="419"/>
      <c r="I970" s="419"/>
      <c r="J970" s="419"/>
      <c r="K970" s="419"/>
      <c r="L970" s="429"/>
      <c r="M970" s="419"/>
      <c r="N970" s="419"/>
      <c r="O970" s="419"/>
      <c r="P970" s="419"/>
      <c r="Q970" s="419"/>
      <c r="R970" s="419"/>
      <c r="S970" s="419"/>
      <c r="T970" s="419"/>
      <c r="U970" s="419"/>
      <c r="V970" s="419"/>
      <c r="W970" s="419"/>
      <c r="X970" s="419"/>
      <c r="Y970" s="419"/>
      <c r="Z970" s="419"/>
    </row>
    <row r="971" spans="3:26">
      <c r="C971" s="433"/>
      <c r="D971" s="433"/>
      <c r="E971" s="437"/>
      <c r="F971" s="419"/>
      <c r="G971" s="419"/>
      <c r="H971" s="419"/>
      <c r="I971" s="419"/>
      <c r="J971" s="419"/>
      <c r="K971" s="419"/>
      <c r="L971" s="429"/>
      <c r="M971" s="419"/>
      <c r="N971" s="419"/>
      <c r="O971" s="419"/>
      <c r="P971" s="419"/>
      <c r="Q971" s="419"/>
      <c r="R971" s="419"/>
      <c r="S971" s="419"/>
      <c r="T971" s="419"/>
      <c r="U971" s="419"/>
      <c r="V971" s="419"/>
      <c r="W971" s="419"/>
      <c r="X971" s="419"/>
      <c r="Y971" s="419"/>
      <c r="Z971" s="419"/>
    </row>
    <row r="972" spans="3:26">
      <c r="C972" s="433"/>
      <c r="D972" s="433"/>
      <c r="E972" s="437"/>
      <c r="F972" s="419"/>
      <c r="G972" s="419"/>
      <c r="H972" s="419"/>
      <c r="I972" s="419"/>
      <c r="J972" s="419"/>
      <c r="K972" s="419"/>
      <c r="L972" s="429"/>
      <c r="M972" s="419"/>
      <c r="N972" s="419"/>
      <c r="O972" s="419"/>
      <c r="P972" s="419"/>
      <c r="Q972" s="419"/>
      <c r="R972" s="419"/>
      <c r="S972" s="419"/>
      <c r="T972" s="419"/>
      <c r="U972" s="419"/>
      <c r="V972" s="419"/>
      <c r="W972" s="419"/>
      <c r="X972" s="419"/>
      <c r="Y972" s="419"/>
      <c r="Z972" s="419"/>
    </row>
    <row r="973" spans="3:26">
      <c r="C973" s="433"/>
      <c r="D973" s="433"/>
      <c r="E973" s="437"/>
      <c r="F973" s="419"/>
      <c r="G973" s="419"/>
      <c r="H973" s="419"/>
      <c r="I973" s="419"/>
      <c r="J973" s="419"/>
      <c r="K973" s="419"/>
      <c r="L973" s="429"/>
      <c r="M973" s="419"/>
      <c r="N973" s="419"/>
      <c r="O973" s="419"/>
      <c r="P973" s="419"/>
      <c r="Q973" s="419"/>
      <c r="R973" s="419"/>
      <c r="S973" s="419"/>
      <c r="T973" s="419"/>
      <c r="U973" s="419"/>
      <c r="V973" s="419"/>
      <c r="W973" s="419"/>
      <c r="X973" s="419"/>
      <c r="Y973" s="419"/>
      <c r="Z973" s="419"/>
    </row>
    <row r="974" spans="3:26">
      <c r="C974" s="433"/>
      <c r="D974" s="433"/>
      <c r="E974" s="437"/>
      <c r="F974" s="419"/>
      <c r="G974" s="419"/>
      <c r="H974" s="419"/>
      <c r="I974" s="419"/>
      <c r="J974" s="419"/>
      <c r="K974" s="419"/>
      <c r="L974" s="429"/>
      <c r="M974" s="419"/>
      <c r="N974" s="419"/>
      <c r="O974" s="419"/>
      <c r="P974" s="419"/>
      <c r="Q974" s="419"/>
      <c r="R974" s="419"/>
      <c r="S974" s="419"/>
      <c r="T974" s="419"/>
      <c r="U974" s="419"/>
      <c r="V974" s="419"/>
      <c r="W974" s="419"/>
      <c r="X974" s="419"/>
      <c r="Y974" s="419"/>
      <c r="Z974" s="419"/>
    </row>
    <row r="975" spans="3:26">
      <c r="C975" s="433"/>
      <c r="D975" s="433"/>
      <c r="E975" s="437"/>
      <c r="F975" s="419"/>
      <c r="G975" s="419"/>
      <c r="H975" s="419"/>
      <c r="I975" s="419"/>
      <c r="J975" s="419"/>
      <c r="K975" s="419"/>
      <c r="L975" s="429"/>
      <c r="M975" s="419"/>
      <c r="N975" s="419"/>
      <c r="O975" s="419"/>
      <c r="P975" s="419"/>
      <c r="Q975" s="419"/>
      <c r="R975" s="419"/>
      <c r="S975" s="419"/>
      <c r="T975" s="419"/>
      <c r="U975" s="419"/>
      <c r="V975" s="419"/>
      <c r="W975" s="419"/>
      <c r="X975" s="419"/>
      <c r="Y975" s="419"/>
      <c r="Z975" s="419"/>
    </row>
    <row r="976" spans="3:26">
      <c r="C976" s="433"/>
      <c r="D976" s="433"/>
      <c r="E976" s="437"/>
      <c r="F976" s="419"/>
      <c r="G976" s="419"/>
      <c r="H976" s="419"/>
      <c r="I976" s="419"/>
      <c r="J976" s="419"/>
      <c r="K976" s="419"/>
      <c r="L976" s="429"/>
      <c r="M976" s="419"/>
      <c r="N976" s="419"/>
      <c r="O976" s="419"/>
      <c r="P976" s="419"/>
      <c r="Q976" s="419"/>
      <c r="R976" s="419"/>
      <c r="S976" s="419"/>
      <c r="T976" s="419"/>
      <c r="U976" s="419"/>
      <c r="V976" s="419"/>
      <c r="W976" s="419"/>
      <c r="X976" s="419"/>
      <c r="Y976" s="419"/>
      <c r="Z976" s="419"/>
    </row>
    <row r="977" spans="3:26">
      <c r="C977" s="433"/>
      <c r="D977" s="433"/>
      <c r="E977" s="437"/>
      <c r="F977" s="419"/>
      <c r="G977" s="419"/>
      <c r="H977" s="419"/>
      <c r="I977" s="419"/>
      <c r="J977" s="419"/>
      <c r="K977" s="419"/>
      <c r="L977" s="429"/>
      <c r="M977" s="419"/>
      <c r="N977" s="419"/>
      <c r="O977" s="419"/>
      <c r="P977" s="419"/>
      <c r="Q977" s="419"/>
      <c r="R977" s="419"/>
      <c r="S977" s="419"/>
      <c r="T977" s="419"/>
      <c r="U977" s="419"/>
      <c r="V977" s="419"/>
      <c r="W977" s="419"/>
      <c r="X977" s="419"/>
      <c r="Y977" s="419"/>
      <c r="Z977" s="419"/>
    </row>
    <row r="978" spans="3:26">
      <c r="C978" s="433"/>
      <c r="D978" s="433"/>
      <c r="E978" s="437"/>
      <c r="F978" s="419"/>
      <c r="G978" s="419"/>
      <c r="H978" s="419"/>
      <c r="I978" s="419"/>
      <c r="J978" s="419"/>
      <c r="K978" s="419"/>
      <c r="L978" s="429"/>
      <c r="M978" s="419"/>
      <c r="N978" s="419"/>
      <c r="O978" s="419"/>
      <c r="P978" s="419"/>
      <c r="Q978" s="419"/>
      <c r="R978" s="419"/>
      <c r="S978" s="419"/>
      <c r="T978" s="419"/>
      <c r="U978" s="419"/>
      <c r="V978" s="419"/>
      <c r="W978" s="419"/>
      <c r="X978" s="419"/>
      <c r="Y978" s="419"/>
      <c r="Z978" s="419"/>
    </row>
    <row r="979" spans="3:26">
      <c r="C979" s="433"/>
      <c r="D979" s="433"/>
      <c r="E979" s="437"/>
      <c r="F979" s="419"/>
      <c r="G979" s="419"/>
      <c r="H979" s="419"/>
      <c r="I979" s="419"/>
      <c r="J979" s="419"/>
      <c r="K979" s="419"/>
      <c r="L979" s="429"/>
      <c r="M979" s="419"/>
      <c r="N979" s="419"/>
      <c r="O979" s="419"/>
      <c r="P979" s="419"/>
      <c r="Q979" s="419"/>
      <c r="R979" s="419"/>
      <c r="S979" s="419"/>
      <c r="T979" s="419"/>
      <c r="U979" s="419"/>
      <c r="V979" s="419"/>
      <c r="W979" s="419"/>
      <c r="X979" s="419"/>
      <c r="Y979" s="419"/>
      <c r="Z979" s="419"/>
    </row>
    <row r="980" spans="3:26">
      <c r="C980" s="433"/>
      <c r="D980" s="433"/>
      <c r="E980" s="437"/>
      <c r="F980" s="419"/>
      <c r="G980" s="419"/>
      <c r="H980" s="419"/>
      <c r="I980" s="419"/>
      <c r="J980" s="419"/>
      <c r="K980" s="419"/>
      <c r="L980" s="429"/>
      <c r="M980" s="419"/>
      <c r="N980" s="419"/>
      <c r="O980" s="419"/>
      <c r="P980" s="419"/>
      <c r="Q980" s="419"/>
      <c r="R980" s="419"/>
      <c r="S980" s="419"/>
      <c r="T980" s="419"/>
      <c r="U980" s="419"/>
      <c r="V980" s="419"/>
      <c r="W980" s="419"/>
      <c r="X980" s="419"/>
      <c r="Y980" s="419"/>
      <c r="Z980" s="419"/>
    </row>
    <row r="981" spans="3:26">
      <c r="C981" s="433"/>
      <c r="D981" s="433"/>
      <c r="E981" s="437"/>
      <c r="F981" s="419"/>
      <c r="G981" s="419"/>
      <c r="H981" s="419"/>
      <c r="I981" s="419"/>
      <c r="J981" s="419"/>
      <c r="K981" s="419"/>
      <c r="L981" s="429"/>
      <c r="M981" s="419"/>
      <c r="N981" s="419"/>
      <c r="O981" s="419"/>
      <c r="P981" s="419"/>
      <c r="Q981" s="419"/>
      <c r="R981" s="419"/>
      <c r="S981" s="419"/>
      <c r="T981" s="419"/>
      <c r="U981" s="419"/>
      <c r="V981" s="419"/>
      <c r="W981" s="419"/>
      <c r="X981" s="419"/>
      <c r="Y981" s="419"/>
      <c r="Z981" s="419"/>
    </row>
    <row r="982" spans="3:26">
      <c r="C982" s="433"/>
      <c r="D982" s="433"/>
      <c r="E982" s="437"/>
      <c r="F982" s="419"/>
      <c r="G982" s="419"/>
      <c r="H982" s="419"/>
      <c r="I982" s="419"/>
      <c r="J982" s="419"/>
      <c r="K982" s="419"/>
      <c r="L982" s="429"/>
      <c r="M982" s="419"/>
      <c r="N982" s="419"/>
      <c r="O982" s="419"/>
      <c r="P982" s="419"/>
      <c r="Q982" s="419"/>
      <c r="R982" s="419"/>
      <c r="S982" s="419"/>
      <c r="T982" s="419"/>
      <c r="U982" s="419"/>
      <c r="V982" s="419"/>
      <c r="W982" s="419"/>
      <c r="X982" s="419"/>
      <c r="Y982" s="419"/>
      <c r="Z982" s="419"/>
    </row>
    <row r="983" spans="3:26">
      <c r="C983" s="433"/>
      <c r="D983" s="433"/>
      <c r="E983" s="437"/>
      <c r="F983" s="419"/>
      <c r="G983" s="419"/>
      <c r="H983" s="419"/>
      <c r="I983" s="419"/>
      <c r="J983" s="419"/>
      <c r="K983" s="419"/>
      <c r="L983" s="429"/>
      <c r="M983" s="419"/>
      <c r="N983" s="419"/>
      <c r="O983" s="419"/>
      <c r="P983" s="419"/>
      <c r="Q983" s="419"/>
      <c r="R983" s="419"/>
      <c r="S983" s="419"/>
      <c r="T983" s="419"/>
      <c r="U983" s="419"/>
      <c r="V983" s="419"/>
      <c r="W983" s="419"/>
      <c r="X983" s="419"/>
      <c r="Y983" s="419"/>
      <c r="Z983" s="419"/>
    </row>
    <row r="984" spans="3:26">
      <c r="C984" s="433"/>
      <c r="D984" s="433"/>
      <c r="E984" s="437"/>
      <c r="F984" s="419"/>
      <c r="G984" s="419"/>
      <c r="H984" s="419"/>
      <c r="I984" s="419"/>
      <c r="J984" s="419"/>
      <c r="K984" s="419"/>
      <c r="L984" s="429"/>
      <c r="M984" s="419"/>
      <c r="N984" s="419"/>
      <c r="O984" s="419"/>
      <c r="P984" s="419"/>
      <c r="Q984" s="419"/>
      <c r="R984" s="419"/>
      <c r="S984" s="419"/>
      <c r="T984" s="419"/>
      <c r="U984" s="419"/>
      <c r="V984" s="419"/>
      <c r="W984" s="419"/>
      <c r="X984" s="419"/>
      <c r="Y984" s="419"/>
      <c r="Z984" s="419"/>
    </row>
    <row r="985" spans="3:26">
      <c r="C985" s="433"/>
      <c r="D985" s="433"/>
      <c r="E985" s="437"/>
      <c r="F985" s="419"/>
      <c r="G985" s="419"/>
      <c r="H985" s="419"/>
      <c r="I985" s="419"/>
      <c r="K985" s="419"/>
      <c r="L985" s="429"/>
      <c r="M985" s="419"/>
      <c r="N985" s="419"/>
      <c r="O985" s="419"/>
      <c r="P985" s="419"/>
      <c r="Q985" s="419"/>
      <c r="R985" s="419"/>
      <c r="S985" s="419"/>
      <c r="T985" s="419"/>
      <c r="U985" s="419"/>
      <c r="V985" s="419"/>
      <c r="W985" s="419"/>
      <c r="X985" s="419"/>
      <c r="Y985" s="419"/>
      <c r="Z985" s="419"/>
    </row>
    <row r="986" spans="3:26">
      <c r="C986" s="433"/>
      <c r="D986" s="433"/>
      <c r="E986" s="437"/>
      <c r="F986" s="419"/>
      <c r="G986" s="419"/>
      <c r="H986" s="419"/>
      <c r="I986" s="419"/>
      <c r="K986" s="419"/>
      <c r="L986" s="429"/>
      <c r="M986" s="419"/>
      <c r="N986" s="419"/>
      <c r="O986" s="419"/>
      <c r="P986" s="419"/>
      <c r="Q986" s="419"/>
      <c r="R986" s="419"/>
      <c r="S986" s="419"/>
      <c r="T986" s="419"/>
      <c r="U986" s="419"/>
      <c r="V986" s="419"/>
      <c r="W986" s="419"/>
      <c r="X986" s="419"/>
      <c r="Y986" s="419"/>
      <c r="Z986" s="419"/>
    </row>
    <row r="987" spans="3:26">
      <c r="C987" s="433"/>
      <c r="D987" s="433"/>
      <c r="E987" s="437"/>
      <c r="F987" s="419"/>
      <c r="G987" s="419"/>
      <c r="H987" s="419"/>
      <c r="I987" s="419"/>
      <c r="K987" s="419"/>
      <c r="L987" s="429"/>
      <c r="M987" s="419"/>
      <c r="N987" s="419"/>
      <c r="O987" s="419"/>
      <c r="P987" s="419"/>
      <c r="Q987" s="419"/>
      <c r="R987" s="419"/>
      <c r="S987" s="419"/>
      <c r="T987" s="419"/>
      <c r="U987" s="419"/>
      <c r="V987" s="419"/>
      <c r="W987" s="419"/>
      <c r="X987" s="419"/>
      <c r="Y987" s="419"/>
      <c r="Z987" s="419"/>
    </row>
    <row r="988" spans="3:26">
      <c r="C988" s="433"/>
      <c r="D988" s="433"/>
      <c r="E988" s="437"/>
      <c r="F988" s="419"/>
      <c r="G988" s="419"/>
      <c r="H988" s="419"/>
      <c r="I988" s="419"/>
      <c r="K988" s="419"/>
      <c r="L988" s="429"/>
      <c r="M988" s="419"/>
      <c r="N988" s="419"/>
      <c r="O988" s="419"/>
      <c r="P988" s="419"/>
      <c r="Q988" s="419"/>
      <c r="R988" s="419"/>
      <c r="S988" s="419"/>
      <c r="T988" s="419"/>
      <c r="U988" s="419"/>
      <c r="V988" s="419"/>
      <c r="W988" s="419"/>
      <c r="X988" s="419"/>
      <c r="Y988" s="419"/>
      <c r="Z988" s="419"/>
    </row>
    <row r="989" spans="3:26">
      <c r="C989" s="433"/>
      <c r="D989" s="433"/>
      <c r="E989" s="437"/>
      <c r="F989" s="419"/>
      <c r="G989" s="419"/>
      <c r="H989" s="419"/>
      <c r="I989" s="419"/>
      <c r="K989" s="419"/>
      <c r="L989" s="429"/>
      <c r="M989" s="419"/>
      <c r="N989" s="419"/>
      <c r="O989" s="419"/>
      <c r="P989" s="419"/>
      <c r="Q989" s="419"/>
      <c r="R989" s="419"/>
      <c r="S989" s="419"/>
      <c r="T989" s="419"/>
      <c r="U989" s="419"/>
      <c r="V989" s="419"/>
      <c r="W989" s="419"/>
      <c r="X989" s="419"/>
      <c r="Y989" s="419"/>
      <c r="Z989" s="419"/>
    </row>
    <row r="990" spans="3:26">
      <c r="K990" s="419"/>
      <c r="L990" s="429"/>
      <c r="M990" s="419"/>
      <c r="N990" s="419"/>
      <c r="O990" s="419"/>
      <c r="P990" s="419"/>
      <c r="Q990" s="419"/>
      <c r="R990" s="419"/>
      <c r="S990" s="419"/>
      <c r="T990" s="419"/>
      <c r="U990" s="419"/>
      <c r="V990" s="419"/>
      <c r="W990" s="419"/>
      <c r="X990" s="419"/>
      <c r="Y990" s="419"/>
      <c r="Z990" s="419"/>
    </row>
    <row r="991" spans="3:26">
      <c r="K991" s="419"/>
      <c r="L991" s="429"/>
      <c r="M991" s="419"/>
      <c r="N991" s="419"/>
      <c r="O991" s="419"/>
      <c r="P991" s="419"/>
      <c r="Q991" s="419"/>
      <c r="R991" s="419"/>
      <c r="S991" s="419"/>
      <c r="T991" s="419"/>
      <c r="U991" s="419"/>
      <c r="V991" s="419"/>
      <c r="W991" s="419"/>
      <c r="X991" s="419"/>
      <c r="Y991" s="419"/>
      <c r="Z991" s="419"/>
    </row>
    <row r="992" spans="3:26">
      <c r="K992" s="419"/>
      <c r="L992" s="429"/>
      <c r="M992" s="419"/>
      <c r="N992" s="419"/>
      <c r="O992" s="419"/>
      <c r="P992" s="419"/>
      <c r="Q992" s="419"/>
      <c r="R992" s="419"/>
      <c r="S992" s="419"/>
      <c r="T992" s="419"/>
      <c r="U992" s="419"/>
      <c r="V992" s="419"/>
      <c r="W992" s="419"/>
      <c r="X992" s="419"/>
      <c r="Y992" s="419"/>
      <c r="Z992" s="419"/>
    </row>
    <row r="993" spans="11:26">
      <c r="K993" s="419"/>
      <c r="L993" s="429"/>
      <c r="M993" s="419"/>
      <c r="N993" s="419"/>
      <c r="O993" s="419"/>
      <c r="P993" s="419"/>
      <c r="Q993" s="419"/>
      <c r="R993" s="419"/>
      <c r="S993" s="419"/>
      <c r="T993" s="419"/>
      <c r="U993" s="419"/>
      <c r="V993" s="419"/>
      <c r="W993" s="419"/>
      <c r="X993" s="419"/>
      <c r="Y993" s="419"/>
      <c r="Z993" s="419"/>
    </row>
    <row r="994" spans="11:26">
      <c r="K994" s="419"/>
      <c r="L994" s="429"/>
      <c r="M994" s="419"/>
      <c r="N994" s="419"/>
      <c r="O994" s="419"/>
      <c r="P994" s="419"/>
      <c r="Q994" s="419"/>
      <c r="R994" s="419"/>
      <c r="S994" s="419"/>
      <c r="T994" s="419"/>
      <c r="U994" s="419"/>
      <c r="V994" s="419"/>
      <c r="W994" s="419"/>
      <c r="X994" s="419"/>
      <c r="Y994" s="419"/>
      <c r="Z994" s="419"/>
    </row>
  </sheetData>
  <mergeCells count="34">
    <mergeCell ref="L11:L14"/>
    <mergeCell ref="C2:J2"/>
    <mergeCell ref="C3:E3"/>
    <mergeCell ref="G3:J3"/>
    <mergeCell ref="C4:E4"/>
    <mergeCell ref="G4:J4"/>
    <mergeCell ref="C5:E5"/>
    <mergeCell ref="G5:J5"/>
    <mergeCell ref="C6:E6"/>
    <mergeCell ref="G6:J6"/>
    <mergeCell ref="C8:E8"/>
    <mergeCell ref="G8:I8"/>
    <mergeCell ref="C10:L10"/>
    <mergeCell ref="B39:J39"/>
    <mergeCell ref="C15:J15"/>
    <mergeCell ref="B17:B20"/>
    <mergeCell ref="C17:C20"/>
    <mergeCell ref="B21:J21"/>
    <mergeCell ref="B22:B26"/>
    <mergeCell ref="C25:C26"/>
    <mergeCell ref="B27:J27"/>
    <mergeCell ref="B28:B32"/>
    <mergeCell ref="B33:J33"/>
    <mergeCell ref="B35:J35"/>
    <mergeCell ref="B36:B38"/>
    <mergeCell ref="B54:B57"/>
    <mergeCell ref="B58:J58"/>
    <mergeCell ref="B59:B63"/>
    <mergeCell ref="B40:B42"/>
    <mergeCell ref="B43:J43"/>
    <mergeCell ref="B44:B45"/>
    <mergeCell ref="B46:J46"/>
    <mergeCell ref="B47:B52"/>
    <mergeCell ref="B53:J53"/>
  </mergeCells>
  <conditionalFormatting sqref="G17">
    <cfRule type="expression" dxfId="1" priority="1">
      <formula>"✔"</formula>
    </cfRule>
  </conditionalFormatting>
  <dataValidations count="3">
    <dataValidation type="list" allowBlank="1" showInputMessage="1" showErrorMessage="1" sqref="C22:C26 C28:C32 C34 C36:C38 C40:C42 C44:C45 C47:C52 C54:C57 C59:C63" xr:uid="{3B352B66-B6A5-4C68-AA51-F588B274008D}">
      <formula1>features</formula1>
    </dataValidation>
    <dataValidation type="list" errorStyle="warning" allowBlank="1" showInputMessage="1" showErrorMessage="1" errorTitle="Customized Features" error="You are entering a customized feature." sqref="E22:E26 E28:E32 E34 E36:E38 E40:E42 E44:E45 E47:E52 E54:E57 E59:E63" xr:uid="{1D250253-533D-4EFD-9AB6-90E07E2FAEDD}">
      <formula1>INDIRECT(D22)</formula1>
    </dataValidation>
    <dataValidation type="list" allowBlank="1" showInputMessage="1" showErrorMessage="1" sqref="E17:E20" xr:uid="{B2556296-2ADA-4339-838B-344BE2FF2252}">
      <formula1>INDIRECT(D17)</formula1>
    </dataValidation>
  </dataValidations>
  <pageMargins left="0.7" right="0.7" top="0.75" bottom="0.75" header="0" footer="0"/>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8609" r:id="rId4" name="Button 1">
              <controlPr defaultSize="0" print="0" autoFill="0" autoPict="0" macro="[0]!ExportSelectedSheetsToNewWorkbook">
                <anchor moveWithCells="1" sizeWithCells="1">
                  <from>
                    <xdr:col>10</xdr:col>
                    <xdr:colOff>1333500</xdr:colOff>
                    <xdr:row>0</xdr:row>
                    <xdr:rowOff>160020</xdr:rowOff>
                  </from>
                  <to>
                    <xdr:col>12</xdr:col>
                    <xdr:colOff>60960</xdr:colOff>
                    <xdr:row>6</xdr:row>
                    <xdr:rowOff>38100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ErrorMessage="1" xr:uid="{F44D098A-1D35-40CE-A04B-BF2A693AFF1D}">
          <x14:formula1>
            <xm:f>'GHI DB'!$A$4:$A$21</xm:f>
          </x14:formula1>
          <xm:sqref>G9:J9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9EB8-8DDE-4EE6-8C62-6EE9C350F4D0}">
  <sheetPr codeName="Sheet18"/>
  <dimension ref="B2:C8"/>
  <sheetViews>
    <sheetView showGridLines="0" workbookViewId="0">
      <selection activeCell="O28" sqref="O28"/>
    </sheetView>
  </sheetViews>
  <sheetFormatPr defaultColWidth="8.5546875" defaultRowHeight="14.4"/>
  <cols>
    <col min="1" max="1" width="2.5546875" style="515" customWidth="1"/>
    <col min="2" max="2" width="16.5546875" style="515" customWidth="1"/>
    <col min="3" max="3" width="16.44140625" style="515" customWidth="1"/>
    <col min="4" max="16384" width="8.5546875" style="515"/>
  </cols>
  <sheetData>
    <row r="2" spans="2:3">
      <c r="B2" s="514" t="s">
        <v>657</v>
      </c>
    </row>
    <row r="3" spans="2:3">
      <c r="B3" s="1484" t="s">
        <v>658</v>
      </c>
      <c r="C3" s="1485"/>
    </row>
    <row r="4" spans="2:3">
      <c r="B4" s="516" t="s">
        <v>659</v>
      </c>
      <c r="C4" s="516" t="s">
        <v>660</v>
      </c>
    </row>
    <row r="5" spans="2:3">
      <c r="B5" s="517" t="s">
        <v>661</v>
      </c>
      <c r="C5" s="518">
        <v>3822</v>
      </c>
    </row>
    <row r="6" spans="2:3">
      <c r="B6" s="517" t="s">
        <v>662</v>
      </c>
      <c r="C6" s="518">
        <v>8740</v>
      </c>
    </row>
    <row r="7" spans="2:3">
      <c r="B7" s="517" t="s">
        <v>663</v>
      </c>
      <c r="C7" s="518">
        <v>16724</v>
      </c>
    </row>
    <row r="8" spans="2:3">
      <c r="B8" s="517" t="s">
        <v>664</v>
      </c>
      <c r="C8" s="518">
        <v>25086</v>
      </c>
    </row>
  </sheetData>
  <mergeCells count="1">
    <mergeCell ref="B3:C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358B2-1A71-47A1-935A-3A2C4B87E58B}">
  <sheetPr codeName="Sheet8"/>
  <dimension ref="A1:AC957"/>
  <sheetViews>
    <sheetView showGridLines="0" topLeftCell="B1" zoomScale="69" zoomScaleNormal="69" workbookViewId="0">
      <selection activeCell="C8" sqref="C8:D8"/>
    </sheetView>
  </sheetViews>
  <sheetFormatPr defaultColWidth="14.44140625" defaultRowHeight="15" customHeight="1"/>
  <cols>
    <col min="1" max="1" width="39.5546875" style="106" customWidth="1"/>
    <col min="2" max="2" width="51.44140625" style="106" bestFit="1" customWidth="1"/>
    <col min="3" max="3" width="49.44140625" style="106" customWidth="1"/>
    <col min="4" max="6" width="44.5546875" style="106" customWidth="1"/>
    <col min="7" max="7" width="44.44140625" style="106" customWidth="1"/>
    <col min="8" max="8" width="39.44140625" style="106" customWidth="1"/>
    <col min="9" max="9" width="19.44140625" style="106" customWidth="1"/>
    <col min="10" max="10" width="8.5546875" style="106" customWidth="1"/>
    <col min="11" max="11" width="22.5546875" style="106" customWidth="1"/>
    <col min="12" max="12" width="19.44140625" style="106" customWidth="1"/>
    <col min="13" max="27" width="8.5546875" style="106" customWidth="1"/>
    <col min="28" max="16384" width="14.44140625" style="106"/>
  </cols>
  <sheetData>
    <row r="1" spans="1:29" ht="20.25" customHeight="1">
      <c r="A1" s="1506"/>
      <c r="B1" s="1486" t="s">
        <v>0</v>
      </c>
      <c r="C1" s="1486"/>
      <c r="D1" s="1486"/>
      <c r="E1" s="1486"/>
      <c r="F1" s="1486"/>
      <c r="G1" s="149"/>
      <c r="I1" s="1487"/>
      <c r="J1" s="1487"/>
      <c r="K1" s="1487"/>
      <c r="L1" s="107"/>
      <c r="M1" s="107"/>
      <c r="N1" s="107"/>
      <c r="O1" s="107"/>
      <c r="P1" s="107"/>
      <c r="Q1" s="107"/>
      <c r="R1" s="107"/>
      <c r="S1" s="107"/>
      <c r="T1" s="107"/>
      <c r="U1" s="107"/>
      <c r="V1" s="107"/>
      <c r="W1" s="107"/>
      <c r="X1" s="107"/>
      <c r="Y1" s="107"/>
      <c r="Z1" s="107"/>
      <c r="AA1" s="107"/>
    </row>
    <row r="2" spans="1:29" ht="18" customHeight="1">
      <c r="A2" s="1507"/>
      <c r="B2" s="1504" t="s">
        <v>337</v>
      </c>
      <c r="C2" s="1504"/>
      <c r="D2" s="1494" t="s">
        <v>665</v>
      </c>
      <c r="E2" s="1494"/>
      <c r="F2" s="1494"/>
      <c r="G2" s="150"/>
      <c r="H2" s="1503"/>
      <c r="I2" s="1503"/>
      <c r="J2" s="1503"/>
      <c r="K2" s="115"/>
      <c r="L2" s="107"/>
      <c r="M2" s="107"/>
      <c r="N2" s="107"/>
      <c r="O2" s="107"/>
      <c r="P2" s="107"/>
      <c r="Q2" s="107"/>
      <c r="R2" s="107"/>
      <c r="S2" s="107"/>
      <c r="T2" s="107"/>
      <c r="U2" s="107"/>
      <c r="V2" s="107"/>
      <c r="W2" s="107"/>
      <c r="X2" s="107"/>
      <c r="Y2" s="107"/>
      <c r="Z2" s="107"/>
      <c r="AA2" s="107"/>
    </row>
    <row r="3" spans="1:29" ht="20.25" customHeight="1">
      <c r="A3" s="1507"/>
      <c r="B3" s="1504" t="s">
        <v>338</v>
      </c>
      <c r="C3" s="1504"/>
      <c r="D3" s="1494" t="s">
        <v>0</v>
      </c>
      <c r="E3" s="1494"/>
      <c r="F3" s="1494"/>
      <c r="G3" s="150"/>
      <c r="H3" s="1503"/>
      <c r="I3" s="1503"/>
      <c r="J3" s="1503"/>
      <c r="K3" s="115"/>
      <c r="L3" s="107"/>
      <c r="M3" s="107"/>
      <c r="N3" s="107"/>
      <c r="O3" s="107"/>
      <c r="P3" s="107"/>
      <c r="Q3" s="107"/>
      <c r="R3" s="107"/>
      <c r="S3" s="107"/>
      <c r="T3" s="107"/>
      <c r="U3" s="107"/>
      <c r="V3" s="107"/>
      <c r="W3" s="107"/>
      <c r="X3" s="107"/>
      <c r="Y3" s="107"/>
      <c r="Z3" s="107"/>
      <c r="AA3" s="107"/>
    </row>
    <row r="4" spans="1:29" ht="15.75" customHeight="1">
      <c r="A4" s="1507"/>
      <c r="B4" s="1504" t="s">
        <v>341</v>
      </c>
      <c r="C4" s="1504"/>
      <c r="D4" s="1494" t="s">
        <v>646</v>
      </c>
      <c r="E4" s="1494"/>
      <c r="F4" s="1494"/>
      <c r="G4" s="150"/>
      <c r="H4" s="1503"/>
      <c r="I4" s="1503"/>
      <c r="J4" s="1503"/>
      <c r="K4" s="115"/>
      <c r="L4" s="107"/>
      <c r="M4" s="107"/>
      <c r="N4" s="107"/>
      <c r="O4" s="107"/>
      <c r="P4" s="107"/>
      <c r="Q4" s="107"/>
      <c r="R4" s="107"/>
      <c r="S4" s="107"/>
      <c r="T4" s="107"/>
      <c r="U4" s="107"/>
      <c r="V4" s="107"/>
      <c r="W4" s="107"/>
      <c r="X4" s="107"/>
      <c r="Y4" s="107"/>
      <c r="Z4" s="107"/>
      <c r="AA4" s="107"/>
    </row>
    <row r="5" spans="1:29" ht="18.75" customHeight="1">
      <c r="A5" s="1507"/>
      <c r="B5" s="1504" t="s">
        <v>518</v>
      </c>
      <c r="C5" s="1504"/>
      <c r="D5" s="1495" t="s">
        <v>666</v>
      </c>
      <c r="E5" s="1495"/>
      <c r="F5" s="1495"/>
      <c r="G5" s="151"/>
      <c r="H5" s="1505"/>
      <c r="I5" s="1505"/>
      <c r="J5" s="1505"/>
      <c r="K5" s="116"/>
      <c r="L5" s="107"/>
      <c r="M5" s="107"/>
      <c r="N5" s="107"/>
      <c r="O5" s="107"/>
      <c r="P5" s="107"/>
      <c r="Q5" s="107"/>
      <c r="R5" s="107"/>
      <c r="S5" s="107"/>
      <c r="T5" s="107"/>
      <c r="U5" s="107"/>
      <c r="V5" s="107"/>
      <c r="W5" s="107"/>
      <c r="X5" s="107"/>
      <c r="Y5" s="107"/>
      <c r="Z5" s="107"/>
      <c r="AA5" s="107"/>
    </row>
    <row r="6" spans="1:29" ht="21" customHeight="1">
      <c r="A6" s="1507"/>
      <c r="B6" s="1509" t="s">
        <v>347</v>
      </c>
      <c r="C6" s="1509"/>
      <c r="D6" s="1509"/>
      <c r="E6" s="1509"/>
      <c r="F6" s="1509"/>
      <c r="G6" s="152"/>
      <c r="I6" s="107"/>
      <c r="J6" s="107"/>
      <c r="K6" s="117"/>
      <c r="L6" s="118"/>
      <c r="M6" s="118"/>
      <c r="N6" s="118"/>
      <c r="O6" s="118"/>
      <c r="P6" s="107"/>
      <c r="Q6" s="107"/>
      <c r="R6" s="107"/>
      <c r="S6" s="107"/>
      <c r="T6" s="107"/>
      <c r="U6" s="107"/>
      <c r="V6" s="107"/>
      <c r="W6" s="107"/>
      <c r="X6" s="107"/>
      <c r="Y6" s="107"/>
      <c r="Z6" s="107"/>
      <c r="AA6" s="107"/>
      <c r="AB6" s="107"/>
      <c r="AC6" s="107"/>
    </row>
    <row r="7" spans="1:29" ht="21" customHeight="1">
      <c r="A7" s="1508"/>
      <c r="B7" s="125" t="s">
        <v>667</v>
      </c>
      <c r="C7" s="111">
        <v>50000</v>
      </c>
      <c r="D7" s="111">
        <v>50000</v>
      </c>
      <c r="E7" s="111">
        <v>50000</v>
      </c>
      <c r="F7" s="111">
        <v>50000</v>
      </c>
      <c r="I7" s="107"/>
      <c r="J7" s="107"/>
      <c r="K7" s="117"/>
      <c r="L7" s="119"/>
      <c r="M7" s="119"/>
      <c r="N7" s="119"/>
      <c r="O7" s="119"/>
      <c r="P7" s="107"/>
      <c r="Q7" s="107"/>
      <c r="R7" s="107"/>
      <c r="S7" s="107"/>
      <c r="T7" s="107"/>
      <c r="U7" s="107"/>
      <c r="V7" s="107"/>
      <c r="W7" s="107"/>
      <c r="X7" s="107"/>
      <c r="Y7" s="107"/>
      <c r="Z7" s="107"/>
      <c r="AA7" s="107"/>
      <c r="AB7" s="107"/>
      <c r="AC7" s="107"/>
    </row>
    <row r="8" spans="1:29" ht="21" customHeight="1">
      <c r="A8" s="1508"/>
      <c r="B8" s="126" t="s">
        <v>521</v>
      </c>
      <c r="C8" s="127">
        <v>20</v>
      </c>
      <c r="D8" s="127">
        <v>20</v>
      </c>
      <c r="E8" s="127">
        <v>20</v>
      </c>
      <c r="F8" s="154">
        <v>20</v>
      </c>
      <c r="I8" s="107"/>
      <c r="J8" s="107"/>
      <c r="K8" s="117"/>
      <c r="L8" s="118"/>
      <c r="M8" s="118"/>
      <c r="N8" s="118"/>
      <c r="O8" s="118"/>
      <c r="P8" s="107"/>
      <c r="Q8" s="107"/>
      <c r="R8" s="107"/>
      <c r="S8" s="107"/>
      <c r="T8" s="107"/>
      <c r="U8" s="107"/>
      <c r="V8" s="107"/>
      <c r="W8" s="107"/>
      <c r="X8" s="107"/>
      <c r="Y8" s="107"/>
      <c r="Z8" s="107"/>
      <c r="AA8" s="107"/>
      <c r="AB8" s="107"/>
      <c r="AC8" s="107"/>
    </row>
    <row r="9" spans="1:29" ht="24" customHeight="1">
      <c r="A9" s="1508"/>
      <c r="B9" s="129" t="s">
        <v>668</v>
      </c>
      <c r="C9" s="128">
        <f>C7/C8</f>
        <v>2500</v>
      </c>
      <c r="D9" s="128">
        <f>D7/D8</f>
        <v>2500</v>
      </c>
      <c r="E9" s="148">
        <f>E7/E8</f>
        <v>2500</v>
      </c>
      <c r="F9" s="153">
        <f>F7/F8</f>
        <v>2500</v>
      </c>
      <c r="H9" s="107"/>
      <c r="I9" s="130"/>
      <c r="J9" s="107"/>
      <c r="K9" s="107"/>
      <c r="L9" s="107"/>
      <c r="M9" s="107"/>
      <c r="N9" s="107"/>
      <c r="O9" s="107"/>
      <c r="P9" s="107"/>
      <c r="Q9" s="107"/>
      <c r="R9" s="107"/>
      <c r="S9" s="107"/>
      <c r="T9" s="107"/>
      <c r="U9" s="107"/>
      <c r="V9" s="107"/>
      <c r="W9" s="107"/>
      <c r="X9" s="107"/>
      <c r="Y9" s="107"/>
      <c r="Z9" s="107"/>
      <c r="AA9" s="107"/>
    </row>
    <row r="10" spans="1:29" ht="17.399999999999999" hidden="1">
      <c r="A10" s="1508"/>
      <c r="B10" s="1489"/>
      <c r="C10" s="1490"/>
      <c r="D10" s="1490"/>
      <c r="E10" s="1490"/>
      <c r="F10" s="1491"/>
      <c r="G10" s="1492"/>
      <c r="H10" s="107"/>
      <c r="I10" s="130"/>
      <c r="J10" s="107"/>
      <c r="K10" s="107"/>
      <c r="L10" s="107"/>
      <c r="M10" s="107"/>
      <c r="N10" s="107"/>
      <c r="O10" s="107"/>
      <c r="P10" s="107"/>
      <c r="Q10" s="107"/>
      <c r="R10" s="107"/>
      <c r="S10" s="107"/>
      <c r="T10" s="107"/>
      <c r="U10" s="107"/>
      <c r="V10" s="107"/>
      <c r="W10" s="107"/>
      <c r="X10" s="107"/>
      <c r="Y10" s="107"/>
      <c r="Z10" s="107"/>
      <c r="AA10" s="107"/>
    </row>
    <row r="11" spans="1:29" ht="23.25" customHeight="1" thickBot="1">
      <c r="A11" s="1508"/>
      <c r="B11" s="147"/>
      <c r="C11" s="1510" t="s">
        <v>67</v>
      </c>
      <c r="D11" s="1510"/>
      <c r="E11" s="1510"/>
      <c r="F11" s="156" t="s">
        <v>68</v>
      </c>
      <c r="H11" s="107"/>
      <c r="I11" s="130"/>
      <c r="J11" s="107"/>
      <c r="K11" s="107"/>
      <c r="L11" s="107"/>
      <c r="M11" s="107"/>
      <c r="N11" s="107"/>
      <c r="O11" s="107"/>
      <c r="P11" s="107"/>
      <c r="Q11" s="107"/>
      <c r="R11" s="107"/>
      <c r="S11" s="107"/>
      <c r="T11" s="107"/>
      <c r="U11" s="107"/>
      <c r="V11" s="107"/>
      <c r="W11" s="107"/>
      <c r="X11" s="107"/>
      <c r="Y11" s="107"/>
      <c r="Z11" s="107"/>
      <c r="AA11" s="107"/>
    </row>
    <row r="12" spans="1:29" ht="21.75" customHeight="1" thickBot="1">
      <c r="A12" s="1507"/>
      <c r="B12" s="138" t="s">
        <v>118</v>
      </c>
      <c r="C12" s="155" t="s">
        <v>72</v>
      </c>
      <c r="D12" s="155" t="s">
        <v>192</v>
      </c>
      <c r="E12" s="155" t="s">
        <v>193</v>
      </c>
      <c r="F12" s="159" t="s">
        <v>194</v>
      </c>
      <c r="H12" s="107"/>
      <c r="I12" s="130"/>
      <c r="J12" s="107"/>
      <c r="N12" s="107"/>
      <c r="O12" s="107"/>
      <c r="P12" s="107"/>
      <c r="Q12" s="107"/>
      <c r="R12" s="107"/>
      <c r="S12" s="107"/>
      <c r="T12" s="107"/>
      <c r="U12" s="107"/>
      <c r="V12" s="107"/>
      <c r="W12" s="107"/>
      <c r="X12" s="107"/>
      <c r="Y12" s="107"/>
      <c r="Z12" s="107"/>
      <c r="AA12" s="107"/>
    </row>
    <row r="13" spans="1:29" ht="17.399999999999999">
      <c r="A13" s="1496" t="s">
        <v>145</v>
      </c>
      <c r="B13" s="184" t="s">
        <v>146</v>
      </c>
      <c r="C13" s="160" t="str">
        <f>INDEX('Technical DB (Health)'!$C$3:$Q$20,MATCH(C$12,'Technical DB (Health)'!$A$3:$A$20,0),MATCH($B13,'Technical DB (Health)'!$C$2:$Q$2,0))</f>
        <v>2000</v>
      </c>
      <c r="D13" s="161" t="e">
        <f>INDEX('Technical DB (Health)'!$C$3:$Q$20,MATCH(D$12,'Technical DB (Health)'!$A$3:$A$20,0),MATCH($B13,'Technical DB (Health)'!$C$2:$Q$2,0))</f>
        <v>#N/A</v>
      </c>
      <c r="E13" s="162" t="str">
        <f>INDEX('Technical DB (Health)'!$C$3:$Q$20,MATCH(E$12,'Technical DB (Health)'!$A$3:$A$20,0),MATCH($B13,'Technical DB (Health)'!$C$2:$Q$2,0))</f>
        <v>1947</v>
      </c>
      <c r="F13" s="163" t="e">
        <f>INDEX('Technical DB (Health)'!$C$3:$Q$20,MATCH(F$12,'Technical DB (Health)'!$A$3:$A$20,0),MATCH($B13,'Technical DB (Health)'!$C$2:$Q$2,0))</f>
        <v>#N/A</v>
      </c>
      <c r="H13" s="107"/>
      <c r="I13" s="120"/>
      <c r="J13" s="1493"/>
      <c r="K13" s="1493"/>
      <c r="L13" s="1493"/>
      <c r="M13" s="1493"/>
      <c r="N13" s="107"/>
      <c r="O13" s="107"/>
      <c r="P13" s="107"/>
      <c r="Q13" s="107"/>
      <c r="R13" s="107"/>
      <c r="S13" s="107"/>
      <c r="T13" s="107"/>
      <c r="U13" s="107"/>
      <c r="V13" s="107"/>
      <c r="W13" s="107"/>
      <c r="X13" s="107"/>
      <c r="Y13" s="107"/>
      <c r="Z13" s="107"/>
      <c r="AA13" s="107"/>
    </row>
    <row r="14" spans="1:29" ht="18" thickBot="1">
      <c r="A14" s="1497"/>
      <c r="B14" s="185" t="s">
        <v>147</v>
      </c>
      <c r="C14" s="173" t="str">
        <f>INDEX('Technical DB (Health)'!$C$3:$Q$20,MATCH(C$12,'Technical DB (Health)'!$A$3:$A$20,0),MATCH($B14,'Technical DB (Health)'!$C$2:$Q$2,0))</f>
        <v>IFFCO India, Tokio Marine Insurance (Japan)</v>
      </c>
      <c r="D14" s="174" t="e">
        <f>INDEX('Technical DB (Health)'!$C$3:$Q$20,MATCH(D$12,'Technical DB (Health)'!$A$3:$A$20,0),MATCH($B14,'Technical DB (Health)'!$C$2:$Q$2,0))</f>
        <v>#N/A</v>
      </c>
      <c r="E14" s="175" t="str">
        <f>INDEX('Technical DB (Health)'!$C$3:$Q$20,MATCH(E$12,'Technical DB (Health)'!$A$3:$A$20,0),MATCH($B14,'Technical DB (Health)'!$C$2:$Q$2,0))</f>
        <v>PSU</v>
      </c>
      <c r="F14" s="176" t="e">
        <f>INDEX('Technical DB (Health)'!$C$3:$Q$20,MATCH(F$12,'Technical DB (Health)'!$A$3:$A$20,0),MATCH($B14,'Technical DB (Health)'!$C$2:$Q$2,0))</f>
        <v>#N/A</v>
      </c>
      <c r="H14" s="121"/>
      <c r="I14" s="124"/>
      <c r="J14" s="118"/>
      <c r="K14" s="118"/>
      <c r="L14" s="118"/>
      <c r="M14" s="118"/>
      <c r="N14" s="107"/>
      <c r="O14" s="107"/>
      <c r="P14" s="107"/>
      <c r="Q14" s="107"/>
      <c r="R14" s="107"/>
      <c r="S14" s="107"/>
      <c r="T14" s="107"/>
      <c r="U14" s="107"/>
      <c r="V14" s="107"/>
      <c r="W14" s="107"/>
      <c r="X14" s="107"/>
      <c r="Y14" s="107"/>
      <c r="Z14" s="107"/>
      <c r="AA14" s="107"/>
    </row>
    <row r="15" spans="1:29" ht="17.399999999999999">
      <c r="A15" s="1498" t="s">
        <v>148</v>
      </c>
      <c r="B15" s="186" t="s">
        <v>149</v>
      </c>
      <c r="C15" s="169" t="e">
        <f>INDEX('Technical DB (Health)'!$C$3:$Q$20,MATCH(C$12,'Technical DB (Health)'!$A$3:$A$20,0),MATCH($B15,'Technical DB (Health)'!$C$2:$Q$2,0))</f>
        <v>#N/A</v>
      </c>
      <c r="D15" s="170" t="e">
        <f>INDEX('Technical DB (Health)'!$C$3:$Q$20,MATCH(D$12,'Technical DB (Health)'!$A$3:$A$20,0),MATCH($B15,'Technical DB (Health)'!$C$2:$Q$2,0))</f>
        <v>#N/A</v>
      </c>
      <c r="E15" s="171" t="e">
        <f>INDEX('Technical DB (Health)'!$C$3:$Q$20,MATCH(E$12,'Technical DB (Health)'!$A$3:$A$20,0),MATCH($B15,'Technical DB (Health)'!$C$2:$Q$2,0))</f>
        <v>#N/A</v>
      </c>
      <c r="F15" s="172" t="e">
        <f>INDEX('Technical DB (Health)'!$C$3:$Q$20,MATCH(F$12,'Technical DB (Health)'!$A$3:$A$20,0),MATCH($B15,'Technical DB (Health)'!$C$2:$Q$2,0))</f>
        <v>#N/A</v>
      </c>
      <c r="H15" s="121"/>
      <c r="I15" s="117"/>
      <c r="J15" s="119"/>
      <c r="K15" s="119"/>
      <c r="L15" s="119"/>
      <c r="M15" s="119"/>
      <c r="N15" s="107"/>
      <c r="O15" s="107"/>
      <c r="P15" s="107"/>
      <c r="Q15" s="107"/>
      <c r="R15" s="107"/>
      <c r="S15" s="107"/>
      <c r="T15" s="107"/>
      <c r="U15" s="107"/>
      <c r="V15" s="107"/>
      <c r="W15" s="107"/>
      <c r="X15" s="107"/>
      <c r="Y15" s="107"/>
      <c r="Z15" s="107"/>
      <c r="AA15" s="107"/>
    </row>
    <row r="16" spans="1:29" ht="18" thickBot="1">
      <c r="A16" s="1499"/>
      <c r="B16" s="185" t="s">
        <v>150</v>
      </c>
      <c r="C16" s="192" t="e">
        <f>INDEX('Technical DB (Health)'!$C$3:$Q$20,MATCH(C$12,'Technical DB (Health)'!$A$3:$A$20,0),MATCH($B16,'Technical DB (Health)'!$C$2:$Q$2,0))</f>
        <v>#N/A</v>
      </c>
      <c r="D16" s="193" t="e">
        <f>INDEX('Technical DB (Health)'!$C$3:$Q$20,MATCH(D$12,'Technical DB (Health)'!$A$3:$A$20,0),MATCH($B16,'Technical DB (Health)'!$C$2:$Q$2,0))</f>
        <v>#N/A</v>
      </c>
      <c r="E16" s="194" t="e">
        <f>INDEX('Technical DB (Health)'!$C$3:$Q$20,MATCH(E$12,'Technical DB (Health)'!$A$3:$A$20,0),MATCH($B16,'Technical DB (Health)'!$C$2:$Q$2,0))</f>
        <v>#N/A</v>
      </c>
      <c r="F16" s="195" t="e">
        <f>INDEX('Technical DB (Health)'!$C$3:$Q$20,MATCH(F$12,'Technical DB (Health)'!$A$3:$A$20,0),MATCH($B16,'Technical DB (Health)'!$C$2:$Q$2,0))</f>
        <v>#N/A</v>
      </c>
      <c r="H16" s="121"/>
      <c r="I16" s="117"/>
      <c r="J16" s="118"/>
      <c r="K16" s="118"/>
      <c r="L16" s="118"/>
      <c r="M16" s="118"/>
      <c r="N16" s="107"/>
      <c r="O16" s="107"/>
      <c r="P16" s="107"/>
      <c r="Q16" s="107"/>
      <c r="R16" s="107"/>
      <c r="S16" s="107"/>
      <c r="T16" s="107"/>
      <c r="U16" s="107"/>
      <c r="V16" s="107"/>
      <c r="W16" s="107"/>
      <c r="X16" s="107"/>
      <c r="Y16" s="107"/>
      <c r="Z16" s="107"/>
      <c r="AA16" s="107"/>
    </row>
    <row r="17" spans="1:27" ht="18.600000000000001" thickBot="1">
      <c r="A17" s="168" t="s">
        <v>151</v>
      </c>
      <c r="B17" s="187" t="s">
        <v>152</v>
      </c>
      <c r="C17" s="177" t="e">
        <f>INDEX('Technical DB (Health)'!$C$3:$Q$20,MATCH(C$12,'Technical DB (Health)'!$A$3:$A$20,0),MATCH($B17,'Technical DB (Health)'!$C$2:$Q$2,0))</f>
        <v>#N/A</v>
      </c>
      <c r="D17" s="178" t="e">
        <f>INDEX('Technical DB (Health)'!$C$3:$Q$20,MATCH(D$12,'Technical DB (Health)'!$A$3:$A$20,0),MATCH($B17,'Technical DB (Health)'!$C$2:$Q$2,0))</f>
        <v>#N/A</v>
      </c>
      <c r="E17" s="179" t="e">
        <f>INDEX('Technical DB (Health)'!$C$3:$Q$20,MATCH(E$12,'Technical DB (Health)'!$A$3:$A$20,0),MATCH($B17,'Technical DB (Health)'!$C$2:$Q$2,0))</f>
        <v>#N/A</v>
      </c>
      <c r="F17" s="180" t="e">
        <f>INDEX('Technical DB (Health)'!$C$3:$Q$20,MATCH(F$12,'Technical DB (Health)'!$A$3:$A$20,0),MATCH($B17,'Technical DB (Health)'!$C$2:$Q$2,0))</f>
        <v>#N/A</v>
      </c>
      <c r="H17" s="121"/>
      <c r="I17" s="112"/>
      <c r="J17" s="107"/>
      <c r="N17" s="107"/>
      <c r="O17" s="107"/>
      <c r="P17" s="107"/>
      <c r="Q17" s="107"/>
      <c r="R17" s="107"/>
      <c r="S17" s="107"/>
      <c r="T17" s="107"/>
      <c r="U17" s="107"/>
      <c r="V17" s="107"/>
      <c r="W17" s="107"/>
      <c r="X17" s="107"/>
      <c r="Y17" s="107"/>
      <c r="Z17" s="107"/>
      <c r="AA17" s="107"/>
    </row>
    <row r="18" spans="1:27" ht="17.399999999999999">
      <c r="A18" s="1500" t="s">
        <v>153</v>
      </c>
      <c r="B18" s="186" t="s">
        <v>154</v>
      </c>
      <c r="C18" s="169" t="str">
        <f>INDEX('Technical DB (Health)'!$C$3:$Q$20,MATCH(C$12,'Technical DB (Health)'!$A$3:$A$20,0),MATCH($B18,'Technical DB (Health)'!$C$2:$Q$2,0))</f>
        <v>10 to 20 days</v>
      </c>
      <c r="D18" s="170" t="e">
        <f>INDEX('Technical DB (Health)'!$C$3:$Q$20,MATCH(D$12,'Technical DB (Health)'!$A$3:$A$20,0),MATCH($B18,'Technical DB (Health)'!$C$2:$Q$2,0))</f>
        <v>#N/A</v>
      </c>
      <c r="E18" s="171" t="str">
        <f>INDEX('Technical DB (Health)'!$C$3:$Q$20,MATCH(E$12,'Technical DB (Health)'!$A$3:$A$20,0),MATCH($B18,'Technical DB (Health)'!$C$2:$Q$2,0))</f>
        <v>10 to 20 days</v>
      </c>
      <c r="F18" s="172" t="e">
        <f>INDEX('Technical DB (Health)'!$C$3:$Q$20,MATCH(F$12,'Technical DB (Health)'!$A$3:$A$20,0),MATCH($B18,'Technical DB (Health)'!$C$2:$Q$2,0))</f>
        <v>#N/A</v>
      </c>
      <c r="H18" s="121"/>
      <c r="I18" s="113"/>
      <c r="J18" s="107"/>
      <c r="N18" s="107"/>
      <c r="O18" s="107"/>
      <c r="P18" s="107"/>
      <c r="Q18" s="107"/>
      <c r="R18" s="107"/>
      <c r="S18" s="107"/>
      <c r="T18" s="107"/>
      <c r="U18" s="107"/>
      <c r="V18" s="107"/>
      <c r="W18" s="107"/>
      <c r="X18" s="107"/>
      <c r="Y18" s="107"/>
      <c r="Z18" s="107"/>
      <c r="AA18" s="107"/>
    </row>
    <row r="19" spans="1:27" ht="16.2" thickBot="1">
      <c r="A19" s="1501"/>
      <c r="B19" s="185" t="s">
        <v>155</v>
      </c>
      <c r="C19" s="173" t="str">
        <f>INDEX('Technical DB (Health)'!$C$3:$Q$20,MATCH(C$12,'Technical DB (Health)'!$A$3:$A$20,0),MATCH($B19,'Technical DB (Health)'!$C$2:$Q$2,0))</f>
        <v>5 to 10 days</v>
      </c>
      <c r="D19" s="174" t="e">
        <f>INDEX('Technical DB (Health)'!$C$3:$Q$20,MATCH(D$12,'Technical DB (Health)'!$A$3:$A$20,0),MATCH($B19,'Technical DB (Health)'!$C$2:$Q$2,0))</f>
        <v>#N/A</v>
      </c>
      <c r="E19" s="175" t="str">
        <f>INDEX('Technical DB (Health)'!$C$3:$Q$20,MATCH(E$12,'Technical DB (Health)'!$A$3:$A$20,0),MATCH($B19,'Technical DB (Health)'!$C$2:$Q$2,0))</f>
        <v>5 to 10 days</v>
      </c>
      <c r="F19" s="176" t="e">
        <f>INDEX('Technical DB (Health)'!$C$3:$Q$20,MATCH(F$12,'Technical DB (Health)'!$A$3:$A$20,0),MATCH($B19,'Technical DB (Health)'!$C$2:$Q$2,0))</f>
        <v>#N/A</v>
      </c>
      <c r="H19" s="123"/>
      <c r="I19" s="130"/>
      <c r="J19" s="107"/>
      <c r="N19" s="107"/>
      <c r="O19" s="107"/>
      <c r="P19" s="107"/>
      <c r="Q19" s="107"/>
      <c r="R19" s="107"/>
      <c r="S19" s="107"/>
      <c r="T19" s="107"/>
      <c r="U19" s="107"/>
      <c r="V19" s="107"/>
      <c r="W19" s="107"/>
      <c r="X19" s="107"/>
      <c r="Y19" s="107"/>
      <c r="Z19" s="107"/>
      <c r="AA19" s="107"/>
    </row>
    <row r="20" spans="1:27" ht="15.6">
      <c r="A20" s="1500" t="s">
        <v>528</v>
      </c>
      <c r="B20" s="186" t="s">
        <v>157</v>
      </c>
      <c r="C20" s="164" t="str">
        <f>INDEX('Technical DB (Health)'!$C$3:$Q$20,MATCH(C$12,'Technical DB (Health)'!$A$3:$A$20,0),MATCH($B20,'Technical DB (Health)'!$C$2:$Q$2,0))</f>
        <v>7,000+</v>
      </c>
      <c r="D20" s="165" t="e">
        <f>INDEX('Technical DB (Health)'!$C$3:$Q$20,MATCH(D$12,'Technical DB (Health)'!$A$3:$A$20,0),MATCH($B20,'Technical DB (Health)'!$C$2:$Q$2,0))</f>
        <v>#N/A</v>
      </c>
      <c r="E20" s="166" t="str">
        <f>INDEX('Technical DB (Health)'!$C$3:$Q$20,MATCH(E$12,'Technical DB (Health)'!$A$3:$A$20,0),MATCH($B20,'Technical DB (Health)'!$C$2:$Q$2,0))</f>
        <v>5000+</v>
      </c>
      <c r="F20" s="167" t="e">
        <f>INDEX('Technical DB (Health)'!$C$3:$Q$20,MATCH(F$12,'Technical DB (Health)'!$A$3:$A$20,0),MATCH($B20,'Technical DB (Health)'!$C$2:$Q$2,0))</f>
        <v>#N/A</v>
      </c>
      <c r="H20" s="107"/>
      <c r="I20" s="130"/>
      <c r="J20" s="107"/>
      <c r="N20" s="107"/>
      <c r="O20" s="107"/>
      <c r="P20" s="107"/>
      <c r="Q20" s="107"/>
      <c r="R20" s="107"/>
      <c r="S20" s="107"/>
      <c r="T20" s="107"/>
      <c r="U20" s="107"/>
      <c r="V20" s="107"/>
      <c r="W20" s="107"/>
      <c r="X20" s="107"/>
      <c r="Y20" s="107"/>
      <c r="Z20" s="107"/>
      <c r="AA20" s="107"/>
    </row>
    <row r="21" spans="1:27" ht="15.6">
      <c r="A21" s="1502"/>
      <c r="B21" s="184" t="s">
        <v>158</v>
      </c>
      <c r="C21" s="164">
        <f>INDEX('Technical DB (Health)'!$C$3:$Q$20,MATCH(C$12,'Technical DB (Health)'!$A$3:$A$20,0),MATCH($B21,'Technical DB (Health)'!$C$2:$Q$2,0))</f>
        <v>0.98</v>
      </c>
      <c r="D21" s="165" t="e">
        <f>INDEX('Technical DB (Health)'!$C$3:$Q$20,MATCH(D$12,'Technical DB (Health)'!$A$3:$A$20,0),MATCH($B21,'Technical DB (Health)'!$C$2:$Q$2,0))</f>
        <v>#N/A</v>
      </c>
      <c r="E21" s="166">
        <f>INDEX('Technical DB (Health)'!$C$3:$Q$20,MATCH(E$12,'Technical DB (Health)'!$A$3:$A$20,0),MATCH($B21,'Technical DB (Health)'!$C$2:$Q$2,0))</f>
        <v>0.98</v>
      </c>
      <c r="F21" s="167" t="e">
        <f>INDEX('Technical DB (Health)'!$C$3:$Q$20,MATCH(F$12,'Technical DB (Health)'!$A$3:$A$20,0),MATCH($B21,'Technical DB (Health)'!$C$2:$Q$2,0))</f>
        <v>#N/A</v>
      </c>
      <c r="H21" s="107"/>
      <c r="I21" s="130"/>
      <c r="J21" s="107"/>
      <c r="N21" s="107"/>
      <c r="O21" s="107"/>
      <c r="P21" s="107"/>
      <c r="Q21" s="107"/>
      <c r="R21" s="107"/>
      <c r="S21" s="107"/>
      <c r="T21" s="107"/>
      <c r="U21" s="107"/>
      <c r="V21" s="107"/>
      <c r="W21" s="107"/>
      <c r="X21" s="107"/>
      <c r="Y21" s="107"/>
      <c r="Z21" s="107"/>
      <c r="AA21" s="107"/>
    </row>
    <row r="22" spans="1:27" ht="15.6">
      <c r="A22" s="1502"/>
      <c r="B22" s="184" t="s">
        <v>159</v>
      </c>
      <c r="C22" s="164" t="str">
        <f>INDEX('Technical DB (Health)'!$C$3:$Q$20,MATCH(C$12,'Technical DB (Health)'!$A$3:$A$20,0),MATCH($B22,'Technical DB (Health)'!$C$2:$Q$2,0))</f>
        <v>2 to 4 hours</v>
      </c>
      <c r="D22" s="165" t="e">
        <f>INDEX('Technical DB (Health)'!$C$3:$Q$20,MATCH(D$12,'Technical DB (Health)'!$A$3:$A$20,0),MATCH($B22,'Technical DB (Health)'!$C$2:$Q$2,0))</f>
        <v>#N/A</v>
      </c>
      <c r="E22" s="166" t="str">
        <f>INDEX('Technical DB (Health)'!$C$3:$Q$20,MATCH(E$12,'Technical DB (Health)'!$A$3:$A$20,0),MATCH($B22,'Technical DB (Health)'!$C$2:$Q$2,0))</f>
        <v>2 to 4 hours</v>
      </c>
      <c r="F22" s="167" t="e">
        <f>INDEX('Technical DB (Health)'!$C$3:$Q$20,MATCH(F$12,'Technical DB (Health)'!$A$3:$A$20,0),MATCH($B22,'Technical DB (Health)'!$C$2:$Q$2,0))</f>
        <v>#N/A</v>
      </c>
      <c r="H22" s="107"/>
      <c r="I22" s="107"/>
      <c r="J22" s="107"/>
      <c r="N22" s="107"/>
      <c r="O22" s="107"/>
      <c r="P22" s="107"/>
      <c r="Q22" s="107"/>
      <c r="R22" s="107"/>
      <c r="S22" s="107"/>
      <c r="T22" s="107"/>
      <c r="U22" s="107"/>
      <c r="V22" s="107"/>
      <c r="W22" s="107"/>
      <c r="X22" s="107"/>
      <c r="Y22" s="107"/>
      <c r="Z22" s="107"/>
      <c r="AA22" s="107"/>
    </row>
    <row r="23" spans="1:27" ht="15.6">
      <c r="A23" s="1502"/>
      <c r="B23" s="184" t="s">
        <v>160</v>
      </c>
      <c r="C23" s="164" t="str">
        <f>INDEX('Technical DB (Health)'!$C$3:$Q$20,MATCH(C$12,'Technical DB (Health)'!$A$3:$A$20,0),MATCH($B23,'Technical DB (Health)'!$C$2:$Q$2,0))</f>
        <v>15 to 30 days</v>
      </c>
      <c r="D23" s="165" t="e">
        <f>INDEX('Technical DB (Health)'!$C$3:$Q$20,MATCH(D$12,'Technical DB (Health)'!$A$3:$A$20,0),MATCH($B23,'Technical DB (Health)'!$C$2:$Q$2,0))</f>
        <v>#N/A</v>
      </c>
      <c r="E23" s="166" t="str">
        <f>INDEX('Technical DB (Health)'!$C$3:$Q$20,MATCH(E$12,'Technical DB (Health)'!$A$3:$A$20,0),MATCH($B23,'Technical DB (Health)'!$C$2:$Q$2,0))</f>
        <v>15 to 30 days</v>
      </c>
      <c r="F23" s="167" t="e">
        <f>INDEX('Technical DB (Health)'!$C$3:$Q$20,MATCH(F$12,'Technical DB (Health)'!$A$3:$A$20,0),MATCH($B23,'Technical DB (Health)'!$C$2:$Q$2,0))</f>
        <v>#N/A</v>
      </c>
      <c r="H23" s="107"/>
      <c r="I23" s="107"/>
      <c r="J23" s="107"/>
      <c r="N23" s="107"/>
      <c r="O23" s="107"/>
      <c r="P23" s="107"/>
      <c r="Q23" s="107"/>
      <c r="R23" s="107"/>
      <c r="S23" s="107"/>
      <c r="T23" s="107"/>
      <c r="U23" s="107"/>
      <c r="V23" s="107"/>
      <c r="W23" s="107"/>
      <c r="X23" s="107"/>
      <c r="Y23" s="107"/>
      <c r="Z23" s="107"/>
      <c r="AA23" s="107"/>
    </row>
    <row r="24" spans="1:27" ht="15.6">
      <c r="A24" s="1502"/>
      <c r="B24" s="184" t="s">
        <v>161</v>
      </c>
      <c r="C24" s="188">
        <f>INDEX('Technical DB (Health)'!$C$3:$Q$20,MATCH(C$12,'Technical DB (Health)'!$A$3:$A$20,0),MATCH($B24,'Technical DB (Health)'!$C$2:$Q$2,0))</f>
        <v>0.89890000000000003</v>
      </c>
      <c r="D24" s="189" t="e">
        <f>INDEX('Technical DB (Health)'!$C$3:$Q$20,MATCH(D$12,'Technical DB (Health)'!$A$3:$A$20,0),MATCH($B24,'Technical DB (Health)'!$C$2:$Q$2,0))</f>
        <v>#N/A</v>
      </c>
      <c r="E24" s="190">
        <f>INDEX('Technical DB (Health)'!$C$3:$Q$20,MATCH(E$12,'Technical DB (Health)'!$A$3:$A$20,0),MATCH($B24,'Technical DB (Health)'!$C$2:$Q$2,0))</f>
        <v>0.71840000000000004</v>
      </c>
      <c r="F24" s="191" t="e">
        <f>INDEX('Technical DB (Health)'!$C$3:$Q$20,MATCH(F$12,'Technical DB (Health)'!$A$3:$A$20,0),MATCH($B24,'Technical DB (Health)'!$C$2:$Q$2,0))</f>
        <v>#N/A</v>
      </c>
      <c r="H24" s="107"/>
      <c r="I24" s="107"/>
      <c r="J24" s="107"/>
      <c r="N24" s="107"/>
      <c r="O24" s="107"/>
      <c r="P24" s="107"/>
      <c r="Q24" s="107"/>
      <c r="R24" s="107"/>
      <c r="S24" s="107"/>
      <c r="T24" s="107"/>
      <c r="U24" s="107"/>
      <c r="V24" s="107"/>
      <c r="W24" s="107"/>
      <c r="X24" s="107"/>
      <c r="Y24" s="107"/>
      <c r="Z24" s="107"/>
      <c r="AA24" s="107"/>
    </row>
    <row r="25" spans="1:27" ht="17.399999999999999">
      <c r="A25" s="1502"/>
      <c r="B25" s="184" t="s">
        <v>162</v>
      </c>
      <c r="C25" s="164" t="str">
        <f>INDEX('Technical DB (Health)'!$C$3:$Q$20,MATCH(C$12,'Technical DB (Health)'!$A$3:$A$20,0),MATCH($B25,'Technical DB (Health)'!$C$2:$Q$2,0))</f>
        <v>Paper-based</v>
      </c>
      <c r="D25" s="165" t="e">
        <f>INDEX('Technical DB (Health)'!$C$3:$Q$20,MATCH(D$12,'Technical DB (Health)'!$A$3:$A$20,0),MATCH($B25,'Technical DB (Health)'!$C$2:$Q$2,0))</f>
        <v>#N/A</v>
      </c>
      <c r="E25" s="166" t="str">
        <f>INDEX('Technical DB (Health)'!$C$3:$Q$20,MATCH(E$12,'Technical DB (Health)'!$A$3:$A$20,0),MATCH($B25,'Technical DB (Health)'!$C$2:$Q$2,0))</f>
        <v>Paper-based</v>
      </c>
      <c r="F25" s="167" t="e">
        <f>INDEX('Technical DB (Health)'!$C$3:$Q$20,MATCH(F$12,'Technical DB (Health)'!$A$3:$A$20,0),MATCH($B25,'Technical DB (Health)'!$C$2:$Q$2,0))</f>
        <v>#N/A</v>
      </c>
      <c r="H25" s="107"/>
      <c r="I25" s="1487"/>
      <c r="J25" s="1487"/>
      <c r="K25" s="1487"/>
      <c r="L25" s="1487"/>
      <c r="N25" s="107"/>
      <c r="O25" s="107"/>
      <c r="P25" s="107"/>
      <c r="Q25" s="107"/>
      <c r="R25" s="107"/>
      <c r="S25" s="107"/>
      <c r="T25" s="107"/>
      <c r="U25" s="107"/>
      <c r="V25" s="107"/>
      <c r="W25" s="107"/>
      <c r="X25" s="107"/>
      <c r="Y25" s="107"/>
      <c r="Z25" s="107"/>
      <c r="AA25" s="107"/>
    </row>
    <row r="26" spans="1:27" ht="29.4" thickBot="1">
      <c r="A26" s="1501"/>
      <c r="B26" s="185" t="s">
        <v>163</v>
      </c>
      <c r="C26" s="199" t="str">
        <f>INDEX('Technical DB (Health)'!$C$3:$Q$20,MATCH(C$12,'Technical DB (Health)'!$A$3:$A$20,0),MATCH($B26,'Technical DB (Health)'!$C$2:$Q$2,0))</f>
        <v>In-house
External Option available</v>
      </c>
      <c r="D26" s="181" t="e">
        <f>INDEX('Technical DB (Health)'!$C$3:$Q$20,MATCH(D$12,'Technical DB (Health)'!$A$3:$A$20,0),MATCH($B26,'Technical DB (Health)'!$C$2:$Q$2,0))</f>
        <v>#N/A</v>
      </c>
      <c r="E26" s="182" t="str">
        <f>INDEX('Technical DB (Health)'!$C$3:$Q$20,MATCH(E$12,'Technical DB (Health)'!$A$3:$A$20,0),MATCH($B26,'Technical DB (Health)'!$C$2:$Q$2,0))</f>
        <v>External</v>
      </c>
      <c r="F26" s="183" t="e">
        <f>INDEX('Technical DB (Health)'!$C$3:$Q$20,MATCH(F$12,'Technical DB (Health)'!$A$3:$A$20,0),MATCH($B26,'Technical DB (Health)'!$C$2:$Q$2,0))</f>
        <v>#N/A</v>
      </c>
      <c r="H26" s="107"/>
      <c r="I26" s="114"/>
      <c r="J26" s="1488"/>
      <c r="K26" s="1488"/>
      <c r="L26" s="1488"/>
      <c r="M26" s="107"/>
      <c r="N26" s="107"/>
      <c r="O26" s="107"/>
      <c r="P26" s="107"/>
      <c r="Q26" s="107"/>
      <c r="R26" s="107"/>
      <c r="S26" s="107"/>
      <c r="T26" s="107"/>
      <c r="U26" s="107"/>
      <c r="V26" s="107"/>
      <c r="W26" s="107"/>
      <c r="X26" s="107"/>
      <c r="Y26" s="107"/>
      <c r="Z26" s="107"/>
      <c r="AA26" s="107"/>
    </row>
    <row r="27" spans="1:27" ht="36" customHeight="1">
      <c r="B27" s="108" t="s">
        <v>336</v>
      </c>
      <c r="C27" s="107"/>
      <c r="D27" s="107"/>
      <c r="E27" s="107"/>
      <c r="F27" s="107"/>
      <c r="G27" s="107"/>
      <c r="H27" s="107"/>
      <c r="J27" s="109"/>
      <c r="K27" s="107"/>
      <c r="L27" s="107"/>
      <c r="M27" s="107"/>
      <c r="N27" s="107"/>
      <c r="O27" s="107"/>
      <c r="P27" s="107"/>
      <c r="Q27" s="107"/>
      <c r="R27" s="107"/>
      <c r="S27" s="107"/>
      <c r="T27" s="107"/>
      <c r="U27" s="107"/>
      <c r="V27" s="107"/>
      <c r="W27" s="107"/>
      <c r="X27" s="107"/>
      <c r="Y27" s="107"/>
      <c r="Z27" s="107"/>
      <c r="AA27" s="107"/>
    </row>
    <row r="28" spans="1:27" ht="33.75" customHeight="1">
      <c r="B28" s="110"/>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c r="AA28" s="107"/>
    </row>
    <row r="29" spans="1:27" ht="23.25" customHeight="1">
      <c r="B29" s="110"/>
      <c r="C29" s="417"/>
      <c r="D29" s="107"/>
      <c r="E29" s="107"/>
      <c r="F29" s="107"/>
      <c r="G29" s="107"/>
      <c r="H29" s="107"/>
      <c r="I29" s="107"/>
      <c r="J29" s="107"/>
      <c r="K29" s="107"/>
      <c r="L29" s="107"/>
      <c r="M29" s="107"/>
      <c r="N29" s="107"/>
      <c r="O29" s="107"/>
      <c r="P29" s="107"/>
      <c r="Q29" s="107"/>
      <c r="R29" s="107"/>
      <c r="S29" s="107"/>
      <c r="T29" s="107"/>
      <c r="U29" s="107"/>
      <c r="V29" s="107"/>
      <c r="W29" s="107"/>
      <c r="X29" s="107"/>
      <c r="Y29" s="107"/>
      <c r="Z29" s="107"/>
      <c r="AA29" s="107"/>
    </row>
    <row r="30" spans="1:27" ht="27" customHeight="1">
      <c r="B30" s="110"/>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row>
    <row r="31" spans="1:27" ht="33.75" customHeight="1">
      <c r="B31" s="110"/>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row>
    <row r="32" spans="1:27" ht="14.25" customHeight="1">
      <c r="B32" s="110"/>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row>
    <row r="33" spans="2:27" ht="14.25" customHeight="1">
      <c r="B33" s="110"/>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row>
    <row r="34" spans="2:27" ht="14.25" customHeight="1">
      <c r="B34" s="110"/>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row>
    <row r="35" spans="2:27" ht="14.25" customHeight="1">
      <c r="B35" s="110"/>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row>
    <row r="36" spans="2:27" ht="14.25" customHeight="1">
      <c r="B36" s="110"/>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row>
    <row r="37" spans="2:27" ht="14.25" customHeight="1">
      <c r="B37" s="110"/>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row>
    <row r="38" spans="2:27" ht="14.25" customHeight="1">
      <c r="B38" s="110"/>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row>
    <row r="39" spans="2:27" ht="14.25" customHeight="1">
      <c r="B39" s="110"/>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row>
    <row r="40" spans="2:27" ht="14.25" customHeight="1">
      <c r="B40" s="110"/>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row>
    <row r="41" spans="2:27" ht="14.25" customHeight="1">
      <c r="B41" s="110"/>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row>
    <row r="42" spans="2:27" ht="14.25" customHeight="1">
      <c r="B42" s="110"/>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row>
    <row r="43" spans="2:27" ht="14.25" customHeight="1">
      <c r="B43" s="110"/>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row>
    <row r="44" spans="2:27" ht="14.25" customHeight="1">
      <c r="B44" s="110"/>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row>
    <row r="45" spans="2:27" ht="14.25" customHeight="1">
      <c r="B45" s="110"/>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c r="AA45" s="107"/>
    </row>
    <row r="46" spans="2:27" ht="14.25" customHeight="1">
      <c r="B46" s="110"/>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row>
    <row r="47" spans="2:27" ht="14.25" customHeight="1">
      <c r="B47" s="110"/>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row>
    <row r="48" spans="2:27" ht="14.25" customHeight="1">
      <c r="B48" s="110"/>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row>
    <row r="49" spans="2:27" ht="14.25" customHeight="1">
      <c r="B49" s="110"/>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row>
    <row r="50" spans="2:27" ht="14.25" customHeight="1">
      <c r="B50" s="110"/>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row>
    <row r="51" spans="2:27" ht="14.25" customHeight="1">
      <c r="B51" s="110"/>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row>
    <row r="52" spans="2:27" ht="14.25" customHeight="1">
      <c r="B52" s="110"/>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row>
    <row r="53" spans="2:27" ht="14.25" customHeight="1">
      <c r="B53" s="110"/>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row>
    <row r="54" spans="2:27" ht="14.25" customHeight="1">
      <c r="B54" s="110"/>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row>
    <row r="55" spans="2:27" ht="14.25" customHeight="1">
      <c r="B55" s="110"/>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row>
    <row r="56" spans="2:27" ht="14.25" customHeight="1">
      <c r="B56" s="110"/>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row>
    <row r="57" spans="2:27" ht="14.25" customHeight="1">
      <c r="B57" s="110"/>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row>
    <row r="58" spans="2:27" ht="14.25" customHeight="1">
      <c r="B58" s="110"/>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row>
    <row r="59" spans="2:27" ht="14.25" customHeight="1">
      <c r="B59" s="110"/>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row>
    <row r="60" spans="2:27" ht="14.25" customHeight="1">
      <c r="B60" s="110"/>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row>
    <row r="61" spans="2:27" ht="14.25" customHeight="1">
      <c r="B61" s="110"/>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row>
    <row r="62" spans="2:27" ht="14.25" customHeight="1">
      <c r="B62" s="110"/>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row>
    <row r="63" spans="2:27" ht="14.25" customHeight="1">
      <c r="B63" s="110"/>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row>
    <row r="64" spans="2:27" ht="14.25" customHeight="1">
      <c r="B64" s="110"/>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row>
    <row r="65" spans="2:27" ht="14.25" customHeight="1">
      <c r="B65" s="110"/>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row>
    <row r="66" spans="2:27" ht="14.25" customHeight="1">
      <c r="B66" s="110"/>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row>
    <row r="67" spans="2:27" ht="14.25" customHeight="1">
      <c r="B67" s="110"/>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row>
    <row r="68" spans="2:27" ht="14.25" customHeight="1">
      <c r="B68" s="110"/>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row>
    <row r="69" spans="2:27" ht="14.25" customHeight="1">
      <c r="B69" s="110"/>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row>
    <row r="70" spans="2:27" ht="14.25" customHeight="1">
      <c r="B70" s="110"/>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row>
    <row r="71" spans="2:27" ht="14.25" customHeight="1">
      <c r="B71" s="110"/>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row>
    <row r="72" spans="2:27" ht="14.25" customHeight="1">
      <c r="B72" s="110"/>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row>
    <row r="73" spans="2:27" ht="14.25" customHeight="1">
      <c r="B73" s="110"/>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row>
    <row r="74" spans="2:27" ht="14.25" customHeight="1">
      <c r="B74" s="110"/>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row>
    <row r="75" spans="2:27" ht="14.25" customHeight="1">
      <c r="B75" s="110"/>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row>
    <row r="76" spans="2:27" ht="14.25" customHeight="1">
      <c r="B76" s="110"/>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row>
    <row r="77" spans="2:27" ht="14.25" customHeight="1">
      <c r="B77" s="110"/>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row>
    <row r="78" spans="2:27" ht="14.25" customHeight="1">
      <c r="B78" s="110"/>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row>
    <row r="79" spans="2:27" ht="14.25" customHeight="1">
      <c r="B79" s="110"/>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row>
    <row r="80" spans="2:27" ht="14.25" customHeight="1">
      <c r="B80" s="110"/>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row>
    <row r="81" spans="2:27" ht="14.25" customHeight="1">
      <c r="B81" s="110"/>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row>
    <row r="82" spans="2:27" ht="14.25" customHeight="1">
      <c r="B82" s="110"/>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row>
    <row r="83" spans="2:27" ht="14.25" customHeight="1">
      <c r="B83" s="110"/>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row>
    <row r="84" spans="2:27" ht="14.25" customHeight="1">
      <c r="B84" s="110"/>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row>
    <row r="85" spans="2:27" ht="14.25" customHeight="1">
      <c r="B85" s="110"/>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row>
    <row r="86" spans="2:27" ht="14.25" customHeight="1">
      <c r="B86" s="110"/>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row>
    <row r="87" spans="2:27" ht="14.25" customHeight="1">
      <c r="B87" s="110"/>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row>
    <row r="88" spans="2:27" ht="14.25" customHeight="1">
      <c r="B88" s="110"/>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row>
    <row r="89" spans="2:27" ht="14.25" customHeight="1">
      <c r="B89" s="110"/>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row>
    <row r="90" spans="2:27" ht="14.25" customHeight="1">
      <c r="B90" s="110"/>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row>
    <row r="91" spans="2:27" ht="14.25" customHeight="1">
      <c r="B91" s="110"/>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row>
    <row r="92" spans="2:27" ht="14.25" customHeight="1">
      <c r="B92" s="110"/>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row>
    <row r="93" spans="2:27" ht="14.25" customHeight="1">
      <c r="B93" s="110"/>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row>
    <row r="94" spans="2:27" ht="14.25" customHeight="1">
      <c r="B94" s="110"/>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row>
    <row r="95" spans="2:27" ht="14.25" customHeight="1">
      <c r="B95" s="110"/>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row>
    <row r="96" spans="2:27" ht="14.25" customHeight="1">
      <c r="B96" s="110"/>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row>
    <row r="97" spans="2:27" ht="14.25" customHeight="1">
      <c r="B97" s="110"/>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row>
    <row r="98" spans="2:27" ht="14.25" customHeight="1">
      <c r="B98" s="110"/>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row>
    <row r="99" spans="2:27" ht="14.25" customHeight="1">
      <c r="B99" s="110"/>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row>
    <row r="100" spans="2:27" ht="14.25" customHeight="1">
      <c r="B100" s="110"/>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row>
    <row r="101" spans="2:27" ht="14.25" customHeight="1">
      <c r="B101" s="110"/>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row>
    <row r="102" spans="2:27" ht="14.25" customHeight="1">
      <c r="B102" s="110"/>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row>
    <row r="103" spans="2:27" ht="14.25" customHeight="1">
      <c r="B103" s="110"/>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row>
    <row r="104" spans="2:27" ht="14.25" customHeight="1">
      <c r="B104" s="110"/>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row>
    <row r="105" spans="2:27" ht="14.25" customHeight="1">
      <c r="B105" s="110"/>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row>
    <row r="106" spans="2:27" ht="14.25" customHeight="1">
      <c r="B106" s="110"/>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row>
    <row r="107" spans="2:27" ht="14.25" customHeight="1">
      <c r="B107" s="110"/>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row>
    <row r="108" spans="2:27" ht="14.25" customHeight="1">
      <c r="B108" s="110"/>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row>
    <row r="109" spans="2:27" ht="14.25" customHeight="1">
      <c r="B109" s="110"/>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row>
    <row r="110" spans="2:27" ht="14.25" customHeight="1">
      <c r="B110" s="110"/>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row>
    <row r="111" spans="2:27" ht="14.25" customHeight="1">
      <c r="B111" s="110"/>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row>
    <row r="112" spans="2:27" ht="14.25" customHeight="1">
      <c r="B112" s="110"/>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row>
    <row r="113" spans="2:27" ht="14.25" customHeight="1">
      <c r="B113" s="110"/>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row>
    <row r="114" spans="2:27" ht="14.25" customHeight="1">
      <c r="B114" s="110"/>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row>
    <row r="115" spans="2:27" ht="14.25" customHeight="1">
      <c r="B115" s="110"/>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row>
    <row r="116" spans="2:27" ht="14.25" customHeight="1">
      <c r="B116" s="110"/>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row>
    <row r="117" spans="2:27" ht="14.25" customHeight="1">
      <c r="B117" s="110"/>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row>
    <row r="118" spans="2:27" ht="14.25" customHeight="1">
      <c r="B118" s="110"/>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row>
    <row r="119" spans="2:27" ht="14.25" customHeight="1">
      <c r="B119" s="110"/>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row>
    <row r="120" spans="2:27" ht="14.25" customHeight="1">
      <c r="B120" s="110"/>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row>
    <row r="121" spans="2:27" ht="14.25" customHeight="1">
      <c r="B121" s="110"/>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row>
    <row r="122" spans="2:27" ht="14.25" customHeight="1">
      <c r="B122" s="110"/>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row>
    <row r="123" spans="2:27" ht="14.25" customHeight="1">
      <c r="B123" s="110"/>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row>
    <row r="124" spans="2:27" ht="14.25" customHeight="1">
      <c r="B124" s="110"/>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row>
    <row r="125" spans="2:27" ht="14.25" customHeight="1">
      <c r="B125" s="110"/>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row>
    <row r="126" spans="2:27" ht="14.25" customHeight="1">
      <c r="B126" s="110"/>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row>
    <row r="127" spans="2:27" ht="14.25" customHeight="1">
      <c r="B127" s="110"/>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row>
    <row r="128" spans="2:27" ht="14.25" customHeight="1">
      <c r="B128" s="110"/>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row>
    <row r="129" spans="2:27" ht="14.25" customHeight="1">
      <c r="B129" s="110"/>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row>
    <row r="130" spans="2:27" ht="14.25" customHeight="1">
      <c r="B130" s="110"/>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row>
    <row r="131" spans="2:27" ht="14.25" customHeight="1">
      <c r="B131" s="110"/>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row>
    <row r="132" spans="2:27" ht="14.25" customHeight="1">
      <c r="B132" s="110"/>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row>
    <row r="133" spans="2:27" ht="14.25" customHeight="1">
      <c r="B133" s="110"/>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row>
    <row r="134" spans="2:27" ht="14.25" customHeight="1">
      <c r="B134" s="110"/>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row>
    <row r="135" spans="2:27" ht="14.25" customHeight="1">
      <c r="B135" s="110"/>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row>
    <row r="136" spans="2:27" ht="14.25" customHeight="1">
      <c r="B136" s="110"/>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row>
    <row r="137" spans="2:27" ht="14.25" customHeight="1">
      <c r="B137" s="110"/>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row>
    <row r="138" spans="2:27" ht="14.25" customHeight="1">
      <c r="B138" s="110"/>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row>
    <row r="139" spans="2:27" ht="14.25" customHeight="1">
      <c r="B139" s="110"/>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row>
    <row r="140" spans="2:27" ht="14.25" customHeight="1">
      <c r="B140" s="110"/>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row>
    <row r="141" spans="2:27" ht="14.25" customHeight="1">
      <c r="B141" s="110"/>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row>
    <row r="142" spans="2:27" ht="14.25" customHeight="1">
      <c r="B142" s="110"/>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row>
    <row r="143" spans="2:27" ht="14.25" customHeight="1">
      <c r="B143" s="110"/>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row>
    <row r="144" spans="2:27" ht="14.25" customHeight="1">
      <c r="B144" s="110"/>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row>
    <row r="145" spans="2:27" ht="14.25" customHeight="1">
      <c r="B145" s="110"/>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row>
    <row r="146" spans="2:27" ht="14.25" customHeight="1">
      <c r="B146" s="110"/>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row>
    <row r="147" spans="2:27" ht="14.25" customHeight="1">
      <c r="B147" s="110"/>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row>
    <row r="148" spans="2:27" ht="14.25" customHeight="1">
      <c r="B148" s="110"/>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row>
    <row r="149" spans="2:27" ht="14.25" customHeight="1">
      <c r="B149" s="110"/>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row>
    <row r="150" spans="2:27" ht="14.25" customHeight="1">
      <c r="B150" s="110"/>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row>
    <row r="151" spans="2:27" ht="14.25" customHeight="1">
      <c r="B151" s="110"/>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row>
    <row r="152" spans="2:27" ht="14.25" customHeight="1">
      <c r="B152" s="110"/>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row>
    <row r="153" spans="2:27" ht="14.25" customHeight="1">
      <c r="B153" s="110"/>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row>
    <row r="154" spans="2:27" ht="14.25" customHeight="1">
      <c r="B154" s="110"/>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row>
    <row r="155" spans="2:27" ht="14.25" customHeight="1">
      <c r="B155" s="110"/>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row>
    <row r="156" spans="2:27" ht="14.25" customHeight="1">
      <c r="B156" s="110"/>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row>
    <row r="157" spans="2:27" ht="14.25" customHeight="1">
      <c r="B157" s="110"/>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row>
    <row r="158" spans="2:27" ht="14.25" customHeight="1">
      <c r="B158" s="110"/>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row>
    <row r="159" spans="2:27" ht="14.25" customHeight="1">
      <c r="B159" s="110"/>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row>
    <row r="160" spans="2:27" ht="14.25" customHeight="1">
      <c r="B160" s="110"/>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row>
    <row r="161" spans="2:27" ht="14.25" customHeight="1">
      <c r="B161" s="110"/>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row>
    <row r="162" spans="2:27" ht="14.25" customHeight="1">
      <c r="B162" s="110"/>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row>
    <row r="163" spans="2:27" ht="14.25" customHeight="1">
      <c r="B163" s="110"/>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row>
    <row r="164" spans="2:27" ht="14.25" customHeight="1">
      <c r="B164" s="110"/>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row>
    <row r="165" spans="2:27" ht="14.25" customHeight="1">
      <c r="B165" s="110"/>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row>
    <row r="166" spans="2:27" ht="14.25" customHeight="1">
      <c r="B166" s="110"/>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row>
    <row r="167" spans="2:27" ht="14.25" customHeight="1">
      <c r="B167" s="110"/>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row>
    <row r="168" spans="2:27" ht="14.25" customHeight="1">
      <c r="B168" s="110"/>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row>
    <row r="169" spans="2:27" ht="14.25" customHeight="1">
      <c r="B169" s="110"/>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row>
    <row r="170" spans="2:27" ht="14.25" customHeight="1">
      <c r="B170" s="110"/>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row>
    <row r="171" spans="2:27" ht="14.25" customHeight="1">
      <c r="B171" s="110"/>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row>
    <row r="172" spans="2:27" ht="14.25" customHeight="1">
      <c r="B172" s="110"/>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c r="AA172" s="107"/>
    </row>
    <row r="173" spans="2:27" ht="14.25" customHeight="1">
      <c r="B173" s="110"/>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row>
    <row r="174" spans="2:27" ht="14.25" customHeight="1">
      <c r="B174" s="110"/>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row>
    <row r="175" spans="2:27" ht="14.25" customHeight="1">
      <c r="B175" s="110"/>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row>
    <row r="176" spans="2:27" ht="14.25" customHeight="1">
      <c r="B176" s="110"/>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row>
    <row r="177" spans="2:27" ht="14.25" customHeight="1">
      <c r="B177" s="110"/>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c r="AA177" s="107"/>
    </row>
    <row r="178" spans="2:27" ht="14.25" customHeight="1">
      <c r="B178" s="110"/>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c r="AA178" s="107"/>
    </row>
    <row r="179" spans="2:27" ht="14.25" customHeight="1">
      <c r="B179" s="110"/>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row>
    <row r="180" spans="2:27" ht="14.25" customHeight="1">
      <c r="B180" s="110"/>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c r="AA180" s="107"/>
    </row>
    <row r="181" spans="2:27" ht="14.25" customHeight="1">
      <c r="B181" s="110"/>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c r="AA181" s="107"/>
    </row>
    <row r="182" spans="2:27" ht="14.25" customHeight="1">
      <c r="B182" s="110"/>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c r="AA182" s="107"/>
    </row>
    <row r="183" spans="2:27" ht="14.25" customHeight="1">
      <c r="B183" s="110"/>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row>
    <row r="184" spans="2:27" ht="14.25" customHeight="1">
      <c r="B184" s="110"/>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row>
    <row r="185" spans="2:27" ht="14.25" customHeight="1">
      <c r="B185" s="110"/>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row>
    <row r="186" spans="2:27" ht="14.25" customHeight="1">
      <c r="B186" s="110"/>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c r="AA186" s="107"/>
    </row>
    <row r="187" spans="2:27" ht="14.25" customHeight="1">
      <c r="B187" s="110"/>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c r="AA187" s="107"/>
    </row>
    <row r="188" spans="2:27" ht="14.25" customHeight="1">
      <c r="B188" s="110"/>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c r="AA188" s="107"/>
    </row>
    <row r="189" spans="2:27" ht="14.25" customHeight="1">
      <c r="B189" s="110"/>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c r="AA189" s="107"/>
    </row>
    <row r="190" spans="2:27" ht="14.25" customHeight="1">
      <c r="B190" s="110"/>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c r="AA190" s="107"/>
    </row>
    <row r="191" spans="2:27" ht="14.25" customHeight="1">
      <c r="B191" s="110"/>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row>
    <row r="192" spans="2:27" ht="14.25" customHeight="1">
      <c r="B192" s="110"/>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c r="AA192" s="107"/>
    </row>
    <row r="193" spans="2:27" ht="14.25" customHeight="1">
      <c r="B193" s="110"/>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c r="AA193" s="107"/>
    </row>
    <row r="194" spans="2:27" ht="14.25" customHeight="1">
      <c r="B194" s="110"/>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row>
    <row r="195" spans="2:27" ht="14.25" customHeight="1">
      <c r="B195" s="110"/>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c r="AA195" s="107"/>
    </row>
    <row r="196" spans="2:27" ht="14.25" customHeight="1">
      <c r="B196" s="110"/>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c r="AA196" s="107"/>
    </row>
    <row r="197" spans="2:27" ht="14.25" customHeight="1">
      <c r="B197" s="110"/>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c r="AA197" s="107"/>
    </row>
    <row r="198" spans="2:27" ht="14.25" customHeight="1">
      <c r="B198" s="110"/>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c r="AA198" s="107"/>
    </row>
    <row r="199" spans="2:27" ht="14.25" customHeight="1">
      <c r="B199" s="110"/>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c r="AA199" s="107"/>
    </row>
    <row r="200" spans="2:27" ht="14.25" customHeight="1">
      <c r="B200" s="110"/>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c r="AA200" s="107"/>
    </row>
    <row r="201" spans="2:27" ht="14.25" customHeight="1">
      <c r="B201" s="110"/>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c r="AA201" s="107"/>
    </row>
    <row r="202" spans="2:27" ht="14.25" customHeight="1">
      <c r="B202" s="110"/>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c r="AA202" s="107"/>
    </row>
    <row r="203" spans="2:27" ht="14.25" customHeight="1">
      <c r="B203" s="110"/>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row>
    <row r="204" spans="2:27" ht="14.25" customHeight="1">
      <c r="B204" s="110"/>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row>
    <row r="205" spans="2:27" ht="14.25" customHeight="1">
      <c r="B205" s="110"/>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c r="AA205" s="107"/>
    </row>
    <row r="206" spans="2:27" ht="14.25" customHeight="1">
      <c r="B206" s="110"/>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row>
    <row r="207" spans="2:27" ht="14.25" customHeight="1">
      <c r="B207" s="110"/>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c r="AA207" s="107"/>
    </row>
    <row r="208" spans="2:27" ht="14.25" customHeight="1">
      <c r="B208" s="110"/>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row>
    <row r="209" spans="2:27" ht="14.25" customHeight="1">
      <c r="B209" s="110"/>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c r="AA209" s="107"/>
    </row>
    <row r="210" spans="2:27" ht="14.25" customHeight="1">
      <c r="B210" s="110"/>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row>
    <row r="211" spans="2:27" ht="14.25" customHeight="1">
      <c r="B211" s="110"/>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c r="AA211" s="107"/>
    </row>
    <row r="212" spans="2:27" ht="14.25" customHeight="1">
      <c r="B212" s="110"/>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row>
    <row r="213" spans="2:27" ht="14.25" customHeight="1">
      <c r="B213" s="110"/>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c r="AA213" s="107"/>
    </row>
    <row r="214" spans="2:27" ht="14.25" customHeight="1">
      <c r="B214" s="110"/>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c r="AA214" s="107"/>
    </row>
    <row r="215" spans="2:27" ht="14.25" customHeight="1">
      <c r="B215" s="110"/>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c r="AA215" s="107"/>
    </row>
    <row r="216" spans="2:27" ht="14.25" customHeight="1">
      <c r="B216" s="110"/>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c r="AA216" s="107"/>
    </row>
    <row r="217" spans="2:27" ht="14.25" customHeight="1">
      <c r="B217" s="110"/>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c r="AA217" s="107"/>
    </row>
    <row r="218" spans="2:27" ht="14.25" customHeight="1">
      <c r="B218" s="110"/>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107"/>
    </row>
    <row r="219" spans="2:27" ht="14.25" customHeight="1">
      <c r="B219" s="110"/>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c r="AA219" s="107"/>
    </row>
    <row r="220" spans="2:27" ht="14.25" customHeight="1">
      <c r="B220" s="110"/>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c r="AA220" s="107"/>
    </row>
    <row r="221" spans="2:27" ht="14.25" customHeight="1">
      <c r="B221" s="110"/>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c r="AA221" s="107"/>
    </row>
    <row r="222" spans="2:27" ht="14.25" customHeight="1">
      <c r="B222" s="110"/>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c r="AA222" s="107"/>
    </row>
    <row r="223" spans="2:27" ht="14.25" customHeight="1">
      <c r="B223" s="110"/>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c r="AA223" s="107"/>
    </row>
    <row r="224" spans="2:27" ht="14.25" customHeight="1">
      <c r="B224" s="110"/>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c r="AA224" s="107"/>
    </row>
    <row r="225" spans="2:27" ht="14.25" customHeight="1">
      <c r="B225" s="110"/>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c r="AA225" s="107"/>
    </row>
    <row r="226" spans="2:27" ht="14.25" customHeight="1">
      <c r="B226" s="110"/>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c r="AA226" s="107"/>
    </row>
    <row r="227" spans="2:27" ht="14.25" customHeight="1">
      <c r="B227" s="110"/>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c r="AA227" s="107"/>
    </row>
    <row r="228" spans="2:27" ht="14.25" customHeight="1">
      <c r="B228" s="110"/>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c r="AA228" s="107"/>
    </row>
    <row r="229" spans="2:27" ht="14.25" customHeight="1">
      <c r="B229" s="110"/>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c r="AA229" s="107"/>
    </row>
    <row r="230" spans="2:27" ht="14.25" customHeight="1">
      <c r="B230" s="110"/>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c r="AA230" s="107"/>
    </row>
    <row r="231" spans="2:27" ht="14.25" customHeight="1">
      <c r="B231" s="110"/>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c r="AA231" s="107"/>
    </row>
    <row r="232" spans="2:27" ht="14.25" customHeight="1">
      <c r="B232" s="110"/>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c r="AA232" s="107"/>
    </row>
    <row r="233" spans="2:27" ht="14.25" customHeight="1">
      <c r="B233" s="110"/>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c r="AA233" s="107"/>
    </row>
    <row r="234" spans="2:27" ht="14.25" customHeight="1">
      <c r="B234" s="110"/>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c r="AA234" s="107"/>
    </row>
    <row r="235" spans="2:27" ht="14.25" customHeight="1">
      <c r="B235" s="110"/>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c r="AA235" s="107"/>
    </row>
    <row r="236" spans="2:27" ht="14.25" customHeight="1">
      <c r="B236" s="110"/>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c r="AA236" s="107"/>
    </row>
    <row r="237" spans="2:27" ht="14.25" customHeight="1">
      <c r="B237" s="110"/>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c r="AA237" s="107"/>
    </row>
    <row r="238" spans="2:27" ht="14.25" customHeight="1">
      <c r="B238" s="110"/>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c r="AA238" s="107"/>
    </row>
    <row r="239" spans="2:27" ht="14.25" customHeight="1">
      <c r="B239" s="110"/>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c r="AA239" s="107"/>
    </row>
    <row r="240" spans="2:27" ht="14.25" customHeight="1">
      <c r="B240" s="110"/>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c r="AA240" s="107"/>
    </row>
    <row r="241" spans="2:27" ht="14.25" customHeight="1">
      <c r="B241" s="110"/>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c r="AA241" s="107"/>
    </row>
    <row r="242" spans="2:27" ht="14.25" customHeight="1">
      <c r="B242" s="110"/>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c r="AA242" s="107"/>
    </row>
    <row r="243" spans="2:27" ht="14.25" customHeight="1">
      <c r="B243" s="110"/>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c r="AA243" s="107"/>
    </row>
    <row r="244" spans="2:27" ht="14.25" customHeight="1">
      <c r="B244" s="110"/>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c r="AA244" s="107"/>
    </row>
    <row r="245" spans="2:27" ht="14.25" customHeight="1">
      <c r="B245" s="110"/>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c r="AA245" s="107"/>
    </row>
    <row r="246" spans="2:27" ht="14.25" customHeight="1">
      <c r="B246" s="110"/>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c r="AA246" s="107"/>
    </row>
    <row r="247" spans="2:27" ht="14.25" customHeight="1">
      <c r="B247" s="110"/>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row>
    <row r="248" spans="2:27" ht="14.25" customHeight="1">
      <c r="B248" s="110"/>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c r="AA248" s="107"/>
    </row>
    <row r="249" spans="2:27" ht="14.25" customHeight="1">
      <c r="B249" s="110"/>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c r="AA249" s="107"/>
    </row>
    <row r="250" spans="2:27" ht="14.25" customHeight="1">
      <c r="B250" s="110"/>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c r="AA250" s="107"/>
    </row>
    <row r="251" spans="2:27" ht="14.25" customHeight="1">
      <c r="B251" s="110"/>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c r="AA251" s="107"/>
    </row>
    <row r="252" spans="2:27" ht="14.25" customHeight="1">
      <c r="B252" s="110"/>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c r="AA252" s="107"/>
    </row>
    <row r="253" spans="2:27" ht="14.25" customHeight="1">
      <c r="B253" s="110"/>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c r="AA253" s="107"/>
    </row>
    <row r="254" spans="2:27" ht="14.25" customHeight="1">
      <c r="B254" s="110"/>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row>
    <row r="255" spans="2:27" ht="14.25" customHeight="1">
      <c r="B255" s="110"/>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row>
    <row r="256" spans="2:27" ht="14.25" customHeight="1">
      <c r="B256" s="110"/>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c r="AA256" s="107"/>
    </row>
    <row r="257" spans="2:27" ht="14.25" customHeight="1">
      <c r="B257" s="110"/>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row>
    <row r="258" spans="2:27" ht="14.25" customHeight="1">
      <c r="B258" s="110"/>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c r="AA258" s="107"/>
    </row>
    <row r="259" spans="2:27" ht="14.25" customHeight="1">
      <c r="B259" s="110"/>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c r="AA259" s="107"/>
    </row>
    <row r="260" spans="2:27" ht="14.25" customHeight="1">
      <c r="B260" s="110"/>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c r="AA260" s="107"/>
    </row>
    <row r="261" spans="2:27" ht="14.25" customHeight="1">
      <c r="B261" s="110"/>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c r="AA261" s="107"/>
    </row>
    <row r="262" spans="2:27" ht="14.25" customHeight="1">
      <c r="B262" s="110"/>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c r="AA262" s="107"/>
    </row>
    <row r="263" spans="2:27" ht="14.25" customHeight="1">
      <c r="B263" s="110"/>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c r="AA263" s="107"/>
    </row>
    <row r="264" spans="2:27" ht="14.25" customHeight="1">
      <c r="B264" s="110"/>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row>
    <row r="265" spans="2:27" ht="14.25" customHeight="1">
      <c r="B265" s="110"/>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row>
    <row r="266" spans="2:27" ht="14.25" customHeight="1">
      <c r="B266" s="110"/>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c r="AA266" s="107"/>
    </row>
    <row r="267" spans="2:27" ht="14.25" customHeight="1">
      <c r="B267" s="110"/>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c r="AA267" s="107"/>
    </row>
    <row r="268" spans="2:27" ht="14.25" customHeight="1">
      <c r="B268" s="110"/>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c r="AA268" s="107"/>
    </row>
    <row r="269" spans="2:27" ht="14.25" customHeight="1">
      <c r="B269" s="110"/>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c r="AA269" s="107"/>
    </row>
    <row r="270" spans="2:27" ht="14.25" customHeight="1">
      <c r="B270" s="110"/>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c r="AA270" s="107"/>
    </row>
    <row r="271" spans="2:27" ht="14.25" customHeight="1">
      <c r="B271" s="110"/>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c r="AA271" s="107"/>
    </row>
    <row r="272" spans="2:27" ht="14.25" customHeight="1">
      <c r="B272" s="110"/>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c r="AA272" s="107"/>
    </row>
    <row r="273" spans="2:27" ht="14.25" customHeight="1">
      <c r="B273" s="110"/>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c r="AA273" s="107"/>
    </row>
    <row r="274" spans="2:27" ht="14.25" customHeight="1">
      <c r="B274" s="110"/>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row>
    <row r="275" spans="2:27" ht="14.25" customHeight="1">
      <c r="B275" s="110"/>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row>
    <row r="276" spans="2:27" ht="14.25" customHeight="1">
      <c r="B276" s="110"/>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c r="AA276" s="107"/>
    </row>
    <row r="277" spans="2:27" ht="14.25" customHeight="1">
      <c r="B277" s="110"/>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c r="AA277" s="107"/>
    </row>
    <row r="278" spans="2:27" ht="14.25" customHeight="1">
      <c r="B278" s="110"/>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c r="AA278" s="107"/>
    </row>
    <row r="279" spans="2:27" ht="14.25" customHeight="1">
      <c r="B279" s="110"/>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c r="AA279" s="107"/>
    </row>
    <row r="280" spans="2:27" ht="14.25" customHeight="1">
      <c r="B280" s="110"/>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c r="AA280" s="107"/>
    </row>
    <row r="281" spans="2:27" ht="14.25" customHeight="1">
      <c r="B281" s="110"/>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c r="AA281" s="107"/>
    </row>
    <row r="282" spans="2:27" ht="14.25" customHeight="1">
      <c r="B282" s="110"/>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c r="AA282" s="107"/>
    </row>
    <row r="283" spans="2:27" ht="14.25" customHeight="1">
      <c r="B283" s="110"/>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row>
    <row r="284" spans="2:27" ht="14.25" customHeight="1">
      <c r="B284" s="110"/>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c r="AA284" s="107"/>
    </row>
    <row r="285" spans="2:27" ht="14.25" customHeight="1">
      <c r="B285" s="110"/>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row>
    <row r="286" spans="2:27" ht="14.25" customHeight="1">
      <c r="B286" s="110"/>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c r="AA286" s="107"/>
    </row>
    <row r="287" spans="2:27" ht="14.25" customHeight="1">
      <c r="B287" s="110"/>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c r="AA287" s="107"/>
    </row>
    <row r="288" spans="2:27" ht="14.25" customHeight="1">
      <c r="B288" s="110"/>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c r="AA288" s="107"/>
    </row>
    <row r="289" spans="2:27" ht="14.25" customHeight="1">
      <c r="B289" s="110"/>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c r="AA289" s="107"/>
    </row>
    <row r="290" spans="2:27" ht="14.25" customHeight="1">
      <c r="B290" s="110"/>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c r="AA290" s="107"/>
    </row>
    <row r="291" spans="2:27" ht="14.25" customHeight="1">
      <c r="B291" s="110"/>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c r="AA291" s="107"/>
    </row>
    <row r="292" spans="2:27" ht="14.25" customHeight="1">
      <c r="B292" s="110"/>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c r="AA292" s="107"/>
    </row>
    <row r="293" spans="2:27" ht="14.25" customHeight="1">
      <c r="B293" s="110"/>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c r="AA293" s="107"/>
    </row>
    <row r="294" spans="2:27" ht="14.25" customHeight="1">
      <c r="B294" s="110"/>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c r="AA294" s="107"/>
    </row>
    <row r="295" spans="2:27" ht="14.25" customHeight="1">
      <c r="B295" s="110"/>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c r="AA295" s="107"/>
    </row>
    <row r="296" spans="2:27" ht="14.25" customHeight="1">
      <c r="B296" s="110"/>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c r="AA296" s="107"/>
    </row>
    <row r="297" spans="2:27" ht="14.25" customHeight="1">
      <c r="B297" s="110"/>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c r="AA297" s="107"/>
    </row>
    <row r="298" spans="2:27" ht="14.25" customHeight="1">
      <c r="B298" s="110"/>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c r="AA298" s="107"/>
    </row>
    <row r="299" spans="2:27" ht="14.25" customHeight="1">
      <c r="B299" s="110"/>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row>
    <row r="300" spans="2:27" ht="14.25" customHeight="1">
      <c r="B300" s="110"/>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c r="AA300" s="107"/>
    </row>
    <row r="301" spans="2:27" ht="14.25" customHeight="1">
      <c r="B301" s="110"/>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c r="AA301" s="107"/>
    </row>
    <row r="302" spans="2:27" ht="14.25" customHeight="1">
      <c r="B302" s="110"/>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c r="AA302" s="107"/>
    </row>
    <row r="303" spans="2:27" ht="14.25" customHeight="1">
      <c r="B303" s="110"/>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row>
    <row r="304" spans="2:27" ht="14.25" customHeight="1">
      <c r="B304" s="110"/>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row>
    <row r="305" spans="2:27" ht="14.25" customHeight="1">
      <c r="B305" s="110"/>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c r="AA305" s="107"/>
    </row>
    <row r="306" spans="2:27" ht="14.25" customHeight="1">
      <c r="B306" s="110"/>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c r="AA306" s="107"/>
    </row>
    <row r="307" spans="2:27" ht="14.25" customHeight="1">
      <c r="B307" s="110"/>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c r="AA307" s="107"/>
    </row>
    <row r="308" spans="2:27" ht="14.25" customHeight="1">
      <c r="B308" s="110"/>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c r="AA308" s="107"/>
    </row>
    <row r="309" spans="2:27" ht="14.25" customHeight="1">
      <c r="B309" s="110"/>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c r="AA309" s="107"/>
    </row>
    <row r="310" spans="2:27" ht="14.25" customHeight="1">
      <c r="B310" s="110"/>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c r="AA310" s="107"/>
    </row>
    <row r="311" spans="2:27" ht="14.25" customHeight="1">
      <c r="B311" s="110"/>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c r="AA311" s="107"/>
    </row>
    <row r="312" spans="2:27" ht="14.25" customHeight="1">
      <c r="B312" s="110"/>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row>
    <row r="313" spans="2:27" ht="14.25" customHeight="1">
      <c r="B313" s="110"/>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c r="AA313" s="107"/>
    </row>
    <row r="314" spans="2:27" ht="14.25" customHeight="1">
      <c r="B314" s="110"/>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c r="AA314" s="107"/>
    </row>
    <row r="315" spans="2:27" ht="14.25" customHeight="1">
      <c r="B315" s="110"/>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c r="AA315" s="107"/>
    </row>
    <row r="316" spans="2:27" ht="14.25" customHeight="1">
      <c r="B316" s="110"/>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c r="AA316" s="107"/>
    </row>
    <row r="317" spans="2:27" ht="14.25" customHeight="1">
      <c r="B317" s="110"/>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c r="AA317" s="107"/>
    </row>
    <row r="318" spans="2:27" ht="14.25" customHeight="1">
      <c r="B318" s="110"/>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row>
    <row r="319" spans="2:27" ht="14.25" customHeight="1">
      <c r="B319" s="110"/>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row>
    <row r="320" spans="2:27" ht="14.25" customHeight="1">
      <c r="B320" s="110"/>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row>
    <row r="321" spans="2:27" ht="14.25" customHeight="1">
      <c r="B321" s="110"/>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row>
    <row r="322" spans="2:27" ht="14.25" customHeight="1">
      <c r="B322" s="110"/>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row>
    <row r="323" spans="2:27" ht="14.25" customHeight="1">
      <c r="B323" s="110"/>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row>
    <row r="324" spans="2:27" ht="14.25" customHeight="1">
      <c r="B324" s="110"/>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row>
    <row r="325" spans="2:27" ht="14.25" customHeight="1">
      <c r="B325" s="110"/>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row>
    <row r="326" spans="2:27" ht="14.25" customHeight="1">
      <c r="B326" s="110"/>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row>
    <row r="327" spans="2:27" ht="14.25" customHeight="1">
      <c r="B327" s="110"/>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row>
    <row r="328" spans="2:27" ht="14.25" customHeight="1">
      <c r="B328" s="110"/>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row>
    <row r="329" spans="2:27" ht="14.25" customHeight="1">
      <c r="B329" s="110"/>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row>
    <row r="330" spans="2:27" ht="14.25" customHeight="1">
      <c r="B330" s="110"/>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row>
    <row r="331" spans="2:27" ht="14.25" customHeight="1">
      <c r="B331" s="110"/>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row>
    <row r="332" spans="2:27" ht="14.25" customHeight="1">
      <c r="B332" s="110"/>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row>
    <row r="333" spans="2:27" ht="14.25" customHeight="1">
      <c r="B333" s="110"/>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row>
    <row r="334" spans="2:27" ht="14.25" customHeight="1">
      <c r="B334" s="110"/>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c r="AA334" s="107"/>
    </row>
    <row r="335" spans="2:27" ht="14.25" customHeight="1">
      <c r="B335" s="110"/>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row>
    <row r="336" spans="2:27" ht="14.25" customHeight="1">
      <c r="B336" s="110"/>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row>
    <row r="337" spans="2:27" ht="14.25" customHeight="1">
      <c r="B337" s="110"/>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row>
    <row r="338" spans="2:27" ht="14.25" customHeight="1">
      <c r="B338" s="110"/>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row>
    <row r="339" spans="2:27" ht="14.25" customHeight="1">
      <c r="B339" s="110"/>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row>
    <row r="340" spans="2:27" ht="14.25" customHeight="1">
      <c r="B340" s="110"/>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row>
    <row r="341" spans="2:27" ht="14.25" customHeight="1">
      <c r="B341" s="110"/>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row>
    <row r="342" spans="2:27" ht="14.25" customHeight="1">
      <c r="B342" s="110"/>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row>
    <row r="343" spans="2:27" ht="14.25" customHeight="1">
      <c r="B343" s="110"/>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c r="AA343" s="107"/>
    </row>
    <row r="344" spans="2:27" ht="14.25" customHeight="1">
      <c r="B344" s="110"/>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c r="AA344" s="107"/>
    </row>
    <row r="345" spans="2:27" ht="14.25" customHeight="1">
      <c r="B345" s="110"/>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c r="AA345" s="107"/>
    </row>
    <row r="346" spans="2:27" ht="14.25" customHeight="1">
      <c r="B346" s="110"/>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c r="AA346" s="107"/>
    </row>
    <row r="347" spans="2:27" ht="14.25" customHeight="1">
      <c r="B347" s="110"/>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c r="AA347" s="107"/>
    </row>
    <row r="348" spans="2:27" ht="14.25" customHeight="1">
      <c r="B348" s="110"/>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c r="AA348" s="107"/>
    </row>
    <row r="349" spans="2:27" ht="14.25" customHeight="1">
      <c r="B349" s="110"/>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c r="AA349" s="107"/>
    </row>
    <row r="350" spans="2:27" ht="14.25" customHeight="1">
      <c r="B350" s="110"/>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c r="AA350" s="107"/>
    </row>
    <row r="351" spans="2:27" ht="14.25" customHeight="1">
      <c r="B351" s="110"/>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c r="AA351" s="107"/>
    </row>
    <row r="352" spans="2:27" ht="14.25" customHeight="1">
      <c r="B352" s="110"/>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c r="AA352" s="107"/>
    </row>
    <row r="353" spans="2:27" ht="14.25" customHeight="1">
      <c r="B353" s="110"/>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c r="AA353" s="107"/>
    </row>
    <row r="354" spans="2:27" ht="14.25" customHeight="1">
      <c r="B354" s="110"/>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c r="AA354" s="107"/>
    </row>
    <row r="355" spans="2:27" ht="14.25" customHeight="1">
      <c r="B355" s="110"/>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c r="AA355" s="107"/>
    </row>
    <row r="356" spans="2:27" ht="14.25" customHeight="1">
      <c r="B356" s="110"/>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c r="AA356" s="107"/>
    </row>
    <row r="357" spans="2:27" ht="14.25" customHeight="1">
      <c r="B357" s="110"/>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c r="AA357" s="107"/>
    </row>
    <row r="358" spans="2:27" ht="14.25" customHeight="1">
      <c r="B358" s="110"/>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c r="AA358" s="107"/>
    </row>
    <row r="359" spans="2:27" ht="14.25" customHeight="1">
      <c r="B359" s="110"/>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c r="AA359" s="107"/>
    </row>
    <row r="360" spans="2:27" ht="14.25" customHeight="1">
      <c r="B360" s="110"/>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c r="AA360" s="107"/>
    </row>
    <row r="361" spans="2:27" ht="14.25" customHeight="1">
      <c r="B361" s="110"/>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c r="AA361" s="107"/>
    </row>
    <row r="362" spans="2:27" ht="14.25" customHeight="1">
      <c r="B362" s="110"/>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c r="AA362" s="107"/>
    </row>
    <row r="363" spans="2:27" ht="14.25" customHeight="1">
      <c r="B363" s="110"/>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c r="AA363" s="107"/>
    </row>
    <row r="364" spans="2:27" ht="14.25" customHeight="1">
      <c r="B364" s="110"/>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c r="AA364" s="107"/>
    </row>
    <row r="365" spans="2:27" ht="14.25" customHeight="1">
      <c r="B365" s="110"/>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c r="AA365" s="107"/>
    </row>
    <row r="366" spans="2:27" ht="14.25" customHeight="1">
      <c r="B366" s="110"/>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c r="AA366" s="107"/>
    </row>
    <row r="367" spans="2:27" ht="14.25" customHeight="1">
      <c r="B367" s="110"/>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c r="AA367" s="107"/>
    </row>
    <row r="368" spans="2:27" ht="14.25" customHeight="1">
      <c r="B368" s="110"/>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c r="AA368" s="107"/>
    </row>
    <row r="369" spans="2:27" ht="14.25" customHeight="1">
      <c r="B369" s="110"/>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c r="AA369" s="107"/>
    </row>
    <row r="370" spans="2:27" ht="14.25" customHeight="1">
      <c r="B370" s="110"/>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c r="AA370" s="107"/>
    </row>
    <row r="371" spans="2:27" ht="14.25" customHeight="1">
      <c r="B371" s="110"/>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c r="AA371" s="107"/>
    </row>
    <row r="372" spans="2:27" ht="14.25" customHeight="1">
      <c r="B372" s="110"/>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c r="AA372" s="107"/>
    </row>
    <row r="373" spans="2:27" ht="14.25" customHeight="1">
      <c r="B373" s="110"/>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c r="AA373" s="107"/>
    </row>
    <row r="374" spans="2:27" ht="14.25" customHeight="1">
      <c r="B374" s="110"/>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c r="AA374" s="107"/>
    </row>
    <row r="375" spans="2:27" ht="14.25" customHeight="1">
      <c r="B375" s="110"/>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row>
    <row r="376" spans="2:27" ht="14.25" customHeight="1">
      <c r="B376" s="110"/>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c r="AA376" s="107"/>
    </row>
    <row r="377" spans="2:27" ht="14.25" customHeight="1">
      <c r="B377" s="110"/>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c r="AA377" s="107"/>
    </row>
    <row r="378" spans="2:27" ht="14.25" customHeight="1">
      <c r="B378" s="110"/>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c r="AA378" s="107"/>
    </row>
    <row r="379" spans="2:27" ht="14.25" customHeight="1">
      <c r="B379" s="110"/>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c r="AA379" s="107"/>
    </row>
    <row r="380" spans="2:27" ht="14.25" customHeight="1">
      <c r="B380" s="110"/>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c r="AA380" s="107"/>
    </row>
    <row r="381" spans="2:27" ht="14.25" customHeight="1">
      <c r="B381" s="110"/>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c r="AA381" s="107"/>
    </row>
    <row r="382" spans="2:27" ht="14.25" customHeight="1">
      <c r="B382" s="110"/>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c r="AA382" s="107"/>
    </row>
    <row r="383" spans="2:27" ht="14.25" customHeight="1">
      <c r="B383" s="110"/>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c r="AA383" s="107"/>
    </row>
    <row r="384" spans="2:27" ht="14.25" customHeight="1">
      <c r="B384" s="110"/>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c r="AA384" s="107"/>
    </row>
    <row r="385" spans="2:27" ht="14.25" customHeight="1">
      <c r="B385" s="110"/>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c r="AA385" s="107"/>
    </row>
    <row r="386" spans="2:27" ht="14.25" customHeight="1">
      <c r="B386" s="110"/>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c r="AA386" s="107"/>
    </row>
    <row r="387" spans="2:27" ht="14.25" customHeight="1">
      <c r="B387" s="110"/>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c r="AA387" s="107"/>
    </row>
    <row r="388" spans="2:27" ht="14.25" customHeight="1">
      <c r="B388" s="110"/>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c r="AA388" s="107"/>
    </row>
    <row r="389" spans="2:27" ht="14.25" customHeight="1">
      <c r="B389" s="110"/>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row>
    <row r="390" spans="2:27" ht="14.25" customHeight="1">
      <c r="B390" s="110"/>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c r="AA390" s="107"/>
    </row>
    <row r="391" spans="2:27" ht="14.25" customHeight="1">
      <c r="B391" s="110"/>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c r="AA391" s="107"/>
    </row>
    <row r="392" spans="2:27" ht="14.25" customHeight="1">
      <c r="B392" s="110"/>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c r="AA392" s="107"/>
    </row>
    <row r="393" spans="2:27" ht="14.25" customHeight="1">
      <c r="B393" s="110"/>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c r="AA393" s="107"/>
    </row>
    <row r="394" spans="2:27" ht="14.25" customHeight="1">
      <c r="B394" s="110"/>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c r="AA394" s="107"/>
    </row>
    <row r="395" spans="2:27" ht="14.25" customHeight="1">
      <c r="B395" s="110"/>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c r="AA395" s="107"/>
    </row>
    <row r="396" spans="2:27" ht="14.25" customHeight="1">
      <c r="B396" s="110"/>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c r="AA396" s="107"/>
    </row>
    <row r="397" spans="2:27" ht="14.25" customHeight="1">
      <c r="B397" s="110"/>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c r="AA397" s="107"/>
    </row>
    <row r="398" spans="2:27" ht="14.25" customHeight="1">
      <c r="B398" s="110"/>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c r="AA398" s="107"/>
    </row>
    <row r="399" spans="2:27" ht="14.25" customHeight="1">
      <c r="B399" s="110"/>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row>
    <row r="400" spans="2:27" ht="14.25" customHeight="1">
      <c r="B400" s="110"/>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c r="AA400" s="107"/>
    </row>
    <row r="401" spans="2:27" ht="14.25" customHeight="1">
      <c r="B401" s="110"/>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c r="AA401" s="107"/>
    </row>
    <row r="402" spans="2:27" ht="14.25" customHeight="1">
      <c r="B402" s="110"/>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row>
    <row r="403" spans="2:27" ht="14.25" customHeight="1">
      <c r="B403" s="110"/>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c r="AA403" s="107"/>
    </row>
    <row r="404" spans="2:27" ht="14.25" customHeight="1">
      <c r="B404" s="110"/>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c r="AA404" s="107"/>
    </row>
    <row r="405" spans="2:27" ht="14.25" customHeight="1">
      <c r="B405" s="110"/>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c r="AA405" s="107"/>
    </row>
    <row r="406" spans="2:27" ht="14.25" customHeight="1">
      <c r="B406" s="110"/>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c r="AA406" s="107"/>
    </row>
    <row r="407" spans="2:27" ht="14.25" customHeight="1">
      <c r="B407" s="110"/>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c r="AA407" s="107"/>
    </row>
    <row r="408" spans="2:27" ht="14.25" customHeight="1">
      <c r="B408" s="110"/>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row>
    <row r="409" spans="2:27" ht="14.25" customHeight="1">
      <c r="B409" s="110"/>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row>
    <row r="410" spans="2:27" ht="14.25" customHeight="1">
      <c r="B410" s="110"/>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c r="AA410" s="107"/>
    </row>
    <row r="411" spans="2:27" ht="14.25" customHeight="1">
      <c r="B411" s="110"/>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c r="AA411" s="107"/>
    </row>
    <row r="412" spans="2:27" ht="14.25" customHeight="1">
      <c r="B412" s="110"/>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c r="AA412" s="107"/>
    </row>
    <row r="413" spans="2:27" ht="14.25" customHeight="1">
      <c r="B413" s="110"/>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c r="AA413" s="107"/>
    </row>
    <row r="414" spans="2:27" ht="14.25" customHeight="1">
      <c r="B414" s="110"/>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c r="AA414" s="107"/>
    </row>
    <row r="415" spans="2:27" ht="14.25" customHeight="1">
      <c r="B415" s="110"/>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c r="AA415" s="107"/>
    </row>
    <row r="416" spans="2:27" ht="14.25" customHeight="1">
      <c r="B416" s="110"/>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c r="AA416" s="107"/>
    </row>
    <row r="417" spans="2:27" ht="14.25" customHeight="1">
      <c r="B417" s="110"/>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c r="AA417" s="107"/>
    </row>
    <row r="418" spans="2:27" ht="14.25" customHeight="1">
      <c r="B418" s="110"/>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row>
    <row r="419" spans="2:27" ht="14.25" customHeight="1">
      <c r="B419" s="110"/>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c r="AA419" s="107"/>
    </row>
    <row r="420" spans="2:27" ht="14.25" customHeight="1">
      <c r="B420" s="110"/>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c r="AA420" s="107"/>
    </row>
    <row r="421" spans="2:27" ht="14.25" customHeight="1">
      <c r="B421" s="110"/>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c r="AA421" s="107"/>
    </row>
    <row r="422" spans="2:27" ht="14.25" customHeight="1">
      <c r="B422" s="110"/>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c r="AA422" s="107"/>
    </row>
    <row r="423" spans="2:27" ht="14.25" customHeight="1">
      <c r="B423" s="110"/>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c r="AA423" s="107"/>
    </row>
    <row r="424" spans="2:27" ht="14.25" customHeight="1">
      <c r="B424" s="110"/>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c r="AA424" s="107"/>
    </row>
    <row r="425" spans="2:27" ht="14.25" customHeight="1">
      <c r="B425" s="110"/>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c r="AA425" s="107"/>
    </row>
    <row r="426" spans="2:27" ht="14.25" customHeight="1">
      <c r="B426" s="110"/>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c r="AA426" s="107"/>
    </row>
    <row r="427" spans="2:27" ht="14.25" customHeight="1">
      <c r="B427" s="110"/>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c r="AA427" s="107"/>
    </row>
    <row r="428" spans="2:27" ht="14.25" customHeight="1">
      <c r="B428" s="110"/>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c r="AA428" s="107"/>
    </row>
    <row r="429" spans="2:27" ht="14.25" customHeight="1">
      <c r="B429" s="110"/>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c r="AA429" s="107"/>
    </row>
    <row r="430" spans="2:27" ht="14.25" customHeight="1">
      <c r="B430" s="110"/>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c r="AA430" s="107"/>
    </row>
    <row r="431" spans="2:27" ht="14.25" customHeight="1">
      <c r="B431" s="110"/>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c r="AA431" s="107"/>
    </row>
    <row r="432" spans="2:27" ht="14.25" customHeight="1">
      <c r="B432" s="110"/>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c r="AA432" s="107"/>
    </row>
    <row r="433" spans="2:27" ht="14.25" customHeight="1">
      <c r="B433" s="110"/>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c r="AA433" s="107"/>
    </row>
    <row r="434" spans="2:27" ht="14.25" customHeight="1">
      <c r="B434" s="110"/>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c r="AA434" s="107"/>
    </row>
    <row r="435" spans="2:27" ht="14.25" customHeight="1">
      <c r="B435" s="110"/>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c r="AA435" s="107"/>
    </row>
    <row r="436" spans="2:27" ht="14.25" customHeight="1">
      <c r="B436" s="110"/>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row>
    <row r="437" spans="2:27" ht="14.25" customHeight="1">
      <c r="B437" s="110"/>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row>
    <row r="438" spans="2:27" ht="14.25" customHeight="1">
      <c r="B438" s="110"/>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c r="AA438" s="107"/>
    </row>
    <row r="439" spans="2:27" ht="14.25" customHeight="1">
      <c r="B439" s="110"/>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c r="AA439" s="107"/>
    </row>
    <row r="440" spans="2:27" ht="14.25" customHeight="1">
      <c r="B440" s="110"/>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c r="AA440" s="107"/>
    </row>
    <row r="441" spans="2:27" ht="14.25" customHeight="1">
      <c r="B441" s="110"/>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c r="AA441" s="107"/>
    </row>
    <row r="442" spans="2:27" ht="14.25" customHeight="1">
      <c r="B442" s="110"/>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c r="AA442" s="107"/>
    </row>
    <row r="443" spans="2:27" ht="14.25" customHeight="1">
      <c r="B443" s="110"/>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c r="AA443" s="107"/>
    </row>
    <row r="444" spans="2:27" ht="14.25" customHeight="1">
      <c r="B444" s="110"/>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row>
    <row r="445" spans="2:27" ht="14.25" customHeight="1">
      <c r="B445" s="110"/>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row>
    <row r="446" spans="2:27" ht="14.25" customHeight="1">
      <c r="B446" s="110"/>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row>
    <row r="447" spans="2:27" ht="14.25" customHeight="1">
      <c r="B447" s="110"/>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row>
    <row r="448" spans="2:27" ht="14.25" customHeight="1">
      <c r="B448" s="110"/>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c r="AA448" s="107"/>
    </row>
    <row r="449" spans="2:27" ht="14.25" customHeight="1">
      <c r="B449" s="110"/>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row>
    <row r="450" spans="2:27" ht="14.25" customHeight="1">
      <c r="B450" s="110"/>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row>
    <row r="451" spans="2:27" ht="14.25" customHeight="1">
      <c r="B451" s="110"/>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c r="AA451" s="107"/>
    </row>
    <row r="452" spans="2:27" ht="14.25" customHeight="1">
      <c r="B452" s="110"/>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row>
    <row r="453" spans="2:27" ht="14.25" customHeight="1">
      <c r="B453" s="110"/>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row>
    <row r="454" spans="2:27" ht="14.25" customHeight="1">
      <c r="B454" s="110"/>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row>
    <row r="455" spans="2:27" ht="14.25" customHeight="1">
      <c r="B455" s="110"/>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c r="AA455" s="107"/>
    </row>
    <row r="456" spans="2:27" ht="14.25" customHeight="1">
      <c r="B456" s="110"/>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row>
    <row r="457" spans="2:27" ht="14.25" customHeight="1">
      <c r="B457" s="110"/>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c r="AA457" s="107"/>
    </row>
    <row r="458" spans="2:27" ht="14.25" customHeight="1">
      <c r="B458" s="110"/>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c r="AA458" s="107"/>
    </row>
    <row r="459" spans="2:27" ht="14.25" customHeight="1">
      <c r="B459" s="110"/>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c r="AA459" s="107"/>
    </row>
    <row r="460" spans="2:27" ht="14.25" customHeight="1">
      <c r="B460" s="110"/>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c r="AA460" s="107"/>
    </row>
    <row r="461" spans="2:27" ht="14.25" customHeight="1">
      <c r="B461" s="110"/>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c r="AA461" s="107"/>
    </row>
    <row r="462" spans="2:27" ht="14.25" customHeight="1">
      <c r="B462" s="110"/>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c r="AA462" s="107"/>
    </row>
    <row r="463" spans="2:27" ht="14.25" customHeight="1">
      <c r="B463" s="110"/>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c r="AA463" s="107"/>
    </row>
    <row r="464" spans="2:27" ht="14.25" customHeight="1">
      <c r="B464" s="110"/>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c r="AA464" s="107"/>
    </row>
    <row r="465" spans="2:27" ht="14.25" customHeight="1">
      <c r="B465" s="110"/>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c r="AA465" s="107"/>
    </row>
    <row r="466" spans="2:27" ht="14.25" customHeight="1">
      <c r="B466" s="110"/>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row>
    <row r="467" spans="2:27" ht="14.25" customHeight="1">
      <c r="B467" s="110"/>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c r="AA467" s="107"/>
    </row>
    <row r="468" spans="2:27" ht="14.25" customHeight="1">
      <c r="B468" s="110"/>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c r="AA468" s="107"/>
    </row>
    <row r="469" spans="2:27" ht="14.25" customHeight="1">
      <c r="B469" s="110"/>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c r="AA469" s="107"/>
    </row>
    <row r="470" spans="2:27" ht="14.25" customHeight="1">
      <c r="B470" s="110"/>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c r="AA470" s="107"/>
    </row>
    <row r="471" spans="2:27" ht="14.25" customHeight="1">
      <c r="B471" s="110"/>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c r="AA471" s="107"/>
    </row>
    <row r="472" spans="2:27" ht="14.25" customHeight="1">
      <c r="B472" s="110"/>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c r="AA472" s="107"/>
    </row>
    <row r="473" spans="2:27" ht="14.25" customHeight="1">
      <c r="B473" s="110"/>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c r="AA473" s="107"/>
    </row>
    <row r="474" spans="2:27" ht="14.25" customHeight="1">
      <c r="B474" s="110"/>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c r="AA474" s="107"/>
    </row>
    <row r="475" spans="2:27" ht="14.25" customHeight="1">
      <c r="B475" s="110"/>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c r="AA475" s="107"/>
    </row>
    <row r="476" spans="2:27" ht="14.25" customHeight="1">
      <c r="B476" s="110"/>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c r="AA476" s="107"/>
    </row>
    <row r="477" spans="2:27" ht="14.25" customHeight="1">
      <c r="B477" s="110"/>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c r="AA477" s="107"/>
    </row>
    <row r="478" spans="2:27" ht="14.25" customHeight="1">
      <c r="B478" s="110"/>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c r="AA478" s="107"/>
    </row>
    <row r="479" spans="2:27" ht="14.25" customHeight="1">
      <c r="B479" s="110"/>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row>
    <row r="480" spans="2:27" ht="14.25" customHeight="1">
      <c r="B480" s="110"/>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c r="AA480" s="107"/>
    </row>
    <row r="481" spans="2:27" ht="14.25" customHeight="1">
      <c r="B481" s="110"/>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c r="AA481" s="107"/>
    </row>
    <row r="482" spans="2:27" ht="14.25" customHeight="1">
      <c r="B482" s="110"/>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row>
    <row r="483" spans="2:27" ht="14.25" customHeight="1">
      <c r="B483" s="110"/>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c r="AA483" s="107"/>
    </row>
    <row r="484" spans="2:27" ht="14.25" customHeight="1">
      <c r="B484" s="110"/>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c r="AA484" s="107"/>
    </row>
    <row r="485" spans="2:27" ht="14.25" customHeight="1">
      <c r="B485" s="110"/>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row>
    <row r="486" spans="2:27" ht="14.25" customHeight="1">
      <c r="B486" s="110"/>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c r="AA486" s="107"/>
    </row>
    <row r="487" spans="2:27" ht="14.25" customHeight="1">
      <c r="B487" s="110"/>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c r="AA487" s="107"/>
    </row>
    <row r="488" spans="2:27" ht="14.25" customHeight="1">
      <c r="B488" s="110"/>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c r="AA488" s="107"/>
    </row>
    <row r="489" spans="2:27" ht="14.25" customHeight="1">
      <c r="B489" s="110"/>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c r="AA489" s="107"/>
    </row>
    <row r="490" spans="2:27" ht="14.25" customHeight="1">
      <c r="B490" s="110"/>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c r="AA490" s="107"/>
    </row>
    <row r="491" spans="2:27" ht="14.25" customHeight="1">
      <c r="B491" s="110"/>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c r="AA491" s="107"/>
    </row>
    <row r="492" spans="2:27" ht="14.25" customHeight="1">
      <c r="B492" s="110"/>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c r="AA492" s="107"/>
    </row>
    <row r="493" spans="2:27" ht="14.25" customHeight="1">
      <c r="B493" s="110"/>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c r="AA493" s="107"/>
    </row>
    <row r="494" spans="2:27" ht="14.25" customHeight="1">
      <c r="B494" s="110"/>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row>
    <row r="495" spans="2:27" ht="14.25" customHeight="1">
      <c r="B495" s="110"/>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c r="AA495" s="107"/>
    </row>
    <row r="496" spans="2:27" ht="14.25" customHeight="1">
      <c r="B496" s="110"/>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c r="AA496" s="107"/>
    </row>
    <row r="497" spans="2:27" ht="14.25" customHeight="1">
      <c r="B497" s="110"/>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c r="AA497" s="107"/>
    </row>
    <row r="498" spans="2:27" ht="14.25" customHeight="1">
      <c r="B498" s="110"/>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row>
    <row r="499" spans="2:27" ht="14.25" customHeight="1">
      <c r="B499" s="110"/>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c r="AA499" s="107"/>
    </row>
    <row r="500" spans="2:27" ht="14.25" customHeight="1">
      <c r="B500" s="110"/>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c r="AA500" s="107"/>
    </row>
    <row r="501" spans="2:27" ht="14.25" customHeight="1">
      <c r="B501" s="110"/>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row>
    <row r="502" spans="2:27" ht="14.25" customHeight="1">
      <c r="B502" s="110"/>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c r="AA502" s="107"/>
    </row>
    <row r="503" spans="2:27" ht="14.25" customHeight="1">
      <c r="B503" s="110"/>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c r="AA503" s="107"/>
    </row>
    <row r="504" spans="2:27" ht="14.25" customHeight="1">
      <c r="B504" s="110"/>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c r="AA504" s="107"/>
    </row>
    <row r="505" spans="2:27" ht="14.25" customHeight="1">
      <c r="B505" s="110"/>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c r="AA505" s="107"/>
    </row>
    <row r="506" spans="2:27" ht="14.25" customHeight="1">
      <c r="B506" s="110"/>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c r="AA506" s="107"/>
    </row>
    <row r="507" spans="2:27" ht="14.25" customHeight="1">
      <c r="B507" s="110"/>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row>
    <row r="508" spans="2:27" ht="14.25" customHeight="1">
      <c r="B508" s="110"/>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c r="AA508" s="107"/>
    </row>
    <row r="509" spans="2:27" ht="14.25" customHeight="1">
      <c r="B509" s="110"/>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c r="AA509" s="107"/>
    </row>
    <row r="510" spans="2:27" ht="14.25" customHeight="1">
      <c r="B510" s="110"/>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c r="AA510" s="107"/>
    </row>
    <row r="511" spans="2:27" ht="14.25" customHeight="1">
      <c r="B511" s="110"/>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c r="AA511" s="107"/>
    </row>
    <row r="512" spans="2:27" ht="14.25" customHeight="1">
      <c r="B512" s="110"/>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c r="AA512" s="107"/>
    </row>
    <row r="513" spans="2:27" ht="14.25" customHeight="1">
      <c r="B513" s="110"/>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c r="AA513" s="107"/>
    </row>
    <row r="514" spans="2:27" ht="14.25" customHeight="1">
      <c r="B514" s="110"/>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c r="AA514" s="107"/>
    </row>
    <row r="515" spans="2:27" ht="14.25" customHeight="1">
      <c r="B515" s="110"/>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c r="AA515" s="107"/>
    </row>
    <row r="516" spans="2:27" ht="14.25" customHeight="1">
      <c r="B516" s="110"/>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row>
    <row r="517" spans="2:27" ht="14.25" customHeight="1">
      <c r="B517" s="110"/>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row>
    <row r="518" spans="2:27" ht="14.25" customHeight="1">
      <c r="B518" s="110"/>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row>
    <row r="519" spans="2:27" ht="14.25" customHeight="1">
      <c r="B519" s="110"/>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row>
    <row r="520" spans="2:27" ht="14.25" customHeight="1">
      <c r="B520" s="110"/>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row>
    <row r="521" spans="2:27" ht="14.25" customHeight="1">
      <c r="B521" s="110"/>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row>
    <row r="522" spans="2:27" ht="14.25" customHeight="1">
      <c r="B522" s="110"/>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c r="AA522" s="107"/>
    </row>
    <row r="523" spans="2:27" ht="14.25" customHeight="1">
      <c r="B523" s="110"/>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row>
    <row r="524" spans="2:27" ht="14.25" customHeight="1">
      <c r="B524" s="110"/>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row>
    <row r="525" spans="2:27" ht="14.25" customHeight="1">
      <c r="B525" s="110"/>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row>
    <row r="526" spans="2:27" ht="14.25" customHeight="1">
      <c r="B526" s="110"/>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row>
    <row r="527" spans="2:27" ht="14.25" customHeight="1">
      <c r="B527" s="110"/>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row>
    <row r="528" spans="2:27" ht="14.25" customHeight="1">
      <c r="B528" s="110"/>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row>
    <row r="529" spans="2:27" ht="14.25" customHeight="1">
      <c r="B529" s="110"/>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c r="AA529" s="107"/>
    </row>
    <row r="530" spans="2:27" ht="14.25" customHeight="1">
      <c r="B530" s="110"/>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row>
    <row r="531" spans="2:27" ht="14.25" customHeight="1">
      <c r="B531" s="110"/>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c r="AA531" s="107"/>
    </row>
    <row r="532" spans="2:27" ht="14.25" customHeight="1">
      <c r="B532" s="110"/>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c r="AA532" s="107"/>
    </row>
    <row r="533" spans="2:27" ht="14.25" customHeight="1">
      <c r="B533" s="110"/>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row>
    <row r="534" spans="2:27" ht="14.25" customHeight="1">
      <c r="B534" s="110"/>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row>
    <row r="535" spans="2:27" ht="14.25" customHeight="1">
      <c r="B535" s="110"/>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row>
    <row r="536" spans="2:27" ht="14.25" customHeight="1">
      <c r="B536" s="110"/>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row>
    <row r="537" spans="2:27" ht="14.25" customHeight="1">
      <c r="B537" s="110"/>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row>
    <row r="538" spans="2:27" ht="14.25" customHeight="1">
      <c r="B538" s="110"/>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c r="AA538" s="107"/>
    </row>
    <row r="539" spans="2:27" ht="14.25" customHeight="1">
      <c r="B539" s="110"/>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row>
    <row r="540" spans="2:27" ht="14.25" customHeight="1">
      <c r="B540" s="110"/>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c r="AA540" s="107"/>
    </row>
    <row r="541" spans="2:27" ht="14.25" customHeight="1">
      <c r="B541" s="110"/>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c r="AA541" s="107"/>
    </row>
    <row r="542" spans="2:27" ht="14.25" customHeight="1">
      <c r="B542" s="110"/>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row>
    <row r="543" spans="2:27" ht="14.25" customHeight="1">
      <c r="B543" s="110"/>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row>
    <row r="544" spans="2:27" ht="14.25" customHeight="1">
      <c r="B544" s="110"/>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row>
    <row r="545" spans="2:27" ht="14.25" customHeight="1">
      <c r="B545" s="110"/>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row>
    <row r="546" spans="2:27" ht="14.25" customHeight="1">
      <c r="B546" s="110"/>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row>
    <row r="547" spans="2:27" ht="14.25" customHeight="1">
      <c r="B547" s="110"/>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c r="AA547" s="107"/>
    </row>
    <row r="548" spans="2:27" ht="14.25" customHeight="1">
      <c r="B548" s="110"/>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row>
    <row r="549" spans="2:27" ht="14.25" customHeight="1">
      <c r="B549" s="110"/>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c r="AA549" s="107"/>
    </row>
    <row r="550" spans="2:27" ht="14.25" customHeight="1">
      <c r="B550" s="110"/>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c r="AA550" s="107"/>
    </row>
    <row r="551" spans="2:27" ht="14.25" customHeight="1">
      <c r="B551" s="110"/>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row>
    <row r="552" spans="2:27" ht="14.25" customHeight="1">
      <c r="B552" s="110"/>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row>
    <row r="553" spans="2:27" ht="14.25" customHeight="1">
      <c r="B553" s="110"/>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row>
    <row r="554" spans="2:27" ht="14.25" customHeight="1">
      <c r="B554" s="110"/>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row>
    <row r="555" spans="2:27" ht="14.25" customHeight="1">
      <c r="B555" s="110"/>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row>
    <row r="556" spans="2:27" ht="14.25" customHeight="1">
      <c r="B556" s="110"/>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c r="AA556" s="107"/>
    </row>
    <row r="557" spans="2:27" ht="14.25" customHeight="1">
      <c r="B557" s="110"/>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row>
    <row r="558" spans="2:27" ht="14.25" customHeight="1">
      <c r="B558" s="110"/>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row>
    <row r="559" spans="2:27" ht="14.25" customHeight="1">
      <c r="B559" s="110"/>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c r="AA559" s="107"/>
    </row>
    <row r="560" spans="2:27" ht="14.25" customHeight="1">
      <c r="B560" s="110"/>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row>
    <row r="561" spans="2:27" ht="14.25" customHeight="1">
      <c r="B561" s="110"/>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row>
    <row r="562" spans="2:27" ht="14.25" customHeight="1">
      <c r="B562" s="110"/>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row>
    <row r="563" spans="2:27" ht="14.25" customHeight="1">
      <c r="B563" s="110"/>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row>
    <row r="564" spans="2:27" ht="14.25" customHeight="1">
      <c r="B564" s="110"/>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row>
    <row r="565" spans="2:27" ht="14.25" customHeight="1">
      <c r="B565" s="110"/>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c r="AA565" s="107"/>
    </row>
    <row r="566" spans="2:27" ht="14.25" customHeight="1">
      <c r="B566" s="110"/>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row>
    <row r="567" spans="2:27" ht="14.25" customHeight="1">
      <c r="B567" s="110"/>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c r="AA567" s="107"/>
    </row>
    <row r="568" spans="2:27" ht="14.25" customHeight="1">
      <c r="B568" s="110"/>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c r="AA568" s="107"/>
    </row>
    <row r="569" spans="2:27" ht="14.25" customHeight="1">
      <c r="B569" s="110"/>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row>
    <row r="570" spans="2:27" ht="14.25" customHeight="1">
      <c r="B570" s="110"/>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row>
    <row r="571" spans="2:27" ht="14.25" customHeight="1">
      <c r="B571" s="110"/>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row>
    <row r="572" spans="2:27" ht="14.25" customHeight="1">
      <c r="B572" s="110"/>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row>
    <row r="573" spans="2:27" ht="14.25" customHeight="1">
      <c r="B573" s="110"/>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row>
    <row r="574" spans="2:27" ht="14.25" customHeight="1">
      <c r="B574" s="110"/>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c r="AA574" s="107"/>
    </row>
    <row r="575" spans="2:27" ht="14.25" customHeight="1">
      <c r="B575" s="110"/>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row>
    <row r="576" spans="2:27" ht="14.25" customHeight="1">
      <c r="B576" s="110"/>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c r="AA576" s="107"/>
    </row>
    <row r="577" spans="2:27" ht="14.25" customHeight="1">
      <c r="B577" s="110"/>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c r="AA577" s="107"/>
    </row>
    <row r="578" spans="2:27" ht="14.25" customHeight="1">
      <c r="B578" s="110"/>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row>
    <row r="579" spans="2:27" ht="14.25" customHeight="1">
      <c r="B579" s="110"/>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row>
    <row r="580" spans="2:27" ht="14.25" customHeight="1">
      <c r="B580" s="110"/>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row>
    <row r="581" spans="2:27" ht="14.25" customHeight="1">
      <c r="B581" s="110"/>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row>
    <row r="582" spans="2:27" ht="14.25" customHeight="1">
      <c r="B582" s="110"/>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row>
    <row r="583" spans="2:27" ht="14.25" customHeight="1">
      <c r="B583" s="110"/>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c r="AA583" s="107"/>
    </row>
    <row r="584" spans="2:27" ht="14.25" customHeight="1">
      <c r="B584" s="110"/>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row>
    <row r="585" spans="2:27" ht="14.25" customHeight="1">
      <c r="B585" s="110"/>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c r="AA585" s="107"/>
    </row>
    <row r="586" spans="2:27" ht="14.25" customHeight="1">
      <c r="B586" s="110"/>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c r="AA586" s="107"/>
    </row>
    <row r="587" spans="2:27" ht="14.25" customHeight="1">
      <c r="B587" s="110"/>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row>
    <row r="588" spans="2:27" ht="14.25" customHeight="1">
      <c r="B588" s="110"/>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row>
    <row r="589" spans="2:27" ht="14.25" customHeight="1">
      <c r="B589" s="110"/>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row>
    <row r="590" spans="2:27" ht="14.25" customHeight="1">
      <c r="B590" s="110"/>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row>
    <row r="591" spans="2:27" ht="14.25" customHeight="1">
      <c r="B591" s="110"/>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row>
    <row r="592" spans="2:27" ht="14.25" customHeight="1">
      <c r="B592" s="110"/>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row>
    <row r="593" spans="2:27" ht="14.25" customHeight="1">
      <c r="B593" s="110"/>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row>
    <row r="594" spans="2:27" ht="14.25" customHeight="1">
      <c r="B594" s="110"/>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row>
    <row r="595" spans="2:27" ht="14.25" customHeight="1">
      <c r="B595" s="110"/>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row>
    <row r="596" spans="2:27" ht="14.25" customHeight="1">
      <c r="B596" s="110"/>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row>
    <row r="597" spans="2:27" ht="14.25" customHeight="1">
      <c r="B597" s="110"/>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row>
    <row r="598" spans="2:27" ht="14.25" customHeight="1">
      <c r="B598" s="110"/>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row>
    <row r="599" spans="2:27" ht="14.25" customHeight="1">
      <c r="B599" s="110"/>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row>
    <row r="600" spans="2:27" ht="14.25" customHeight="1">
      <c r="B600" s="110"/>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row>
    <row r="601" spans="2:27" ht="14.25" customHeight="1">
      <c r="B601" s="110"/>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c r="AA601" s="107"/>
    </row>
    <row r="602" spans="2:27" ht="14.25" customHeight="1">
      <c r="B602" s="110"/>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row>
    <row r="603" spans="2:27" ht="14.25" customHeight="1">
      <c r="B603" s="110"/>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row>
    <row r="604" spans="2:27" ht="14.25" customHeight="1">
      <c r="B604" s="110"/>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row>
    <row r="605" spans="2:27" ht="14.25" customHeight="1">
      <c r="B605" s="110"/>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row>
    <row r="606" spans="2:27" ht="14.25" customHeight="1">
      <c r="B606" s="110"/>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row>
    <row r="607" spans="2:27" ht="14.25" customHeight="1">
      <c r="B607" s="110"/>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row>
    <row r="608" spans="2:27" ht="14.25" customHeight="1">
      <c r="B608" s="110"/>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row>
    <row r="609" spans="2:27" ht="14.25" customHeight="1">
      <c r="B609" s="110"/>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row>
    <row r="610" spans="2:27" ht="14.25" customHeight="1">
      <c r="B610" s="110"/>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c r="AA610" s="107"/>
    </row>
    <row r="611" spans="2:27" ht="14.25" customHeight="1">
      <c r="B611" s="110"/>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row>
    <row r="612" spans="2:27" ht="14.25" customHeight="1">
      <c r="B612" s="110"/>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c r="AA612" s="107"/>
    </row>
    <row r="613" spans="2:27" ht="14.25" customHeight="1">
      <c r="B613" s="110"/>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row>
    <row r="614" spans="2:27" ht="14.25" customHeight="1">
      <c r="B614" s="110"/>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row>
    <row r="615" spans="2:27" ht="14.25" customHeight="1">
      <c r="B615" s="110"/>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row>
    <row r="616" spans="2:27" ht="14.25" customHeight="1">
      <c r="B616" s="110"/>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row>
    <row r="617" spans="2:27" ht="14.25" customHeight="1">
      <c r="B617" s="110"/>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row>
    <row r="618" spans="2:27" ht="14.25" customHeight="1">
      <c r="B618" s="110"/>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row>
    <row r="619" spans="2:27" ht="14.25" customHeight="1">
      <c r="B619" s="110"/>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c r="AA619" s="107"/>
    </row>
    <row r="620" spans="2:27" ht="14.25" customHeight="1">
      <c r="B620" s="110"/>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row>
    <row r="621" spans="2:27" ht="14.25" customHeight="1">
      <c r="B621" s="110"/>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row>
    <row r="622" spans="2:27" ht="14.25" customHeight="1">
      <c r="B622" s="110"/>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row>
    <row r="623" spans="2:27" ht="14.25" customHeight="1">
      <c r="B623" s="110"/>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row>
    <row r="624" spans="2:27" ht="14.25" customHeight="1">
      <c r="B624" s="110"/>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row>
    <row r="625" spans="2:27" ht="14.25" customHeight="1">
      <c r="B625" s="110"/>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row>
    <row r="626" spans="2:27" ht="14.25" customHeight="1">
      <c r="B626" s="110"/>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row>
    <row r="627" spans="2:27" ht="14.25" customHeight="1">
      <c r="B627" s="110"/>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row>
    <row r="628" spans="2:27" ht="14.25" customHeight="1">
      <c r="B628" s="110"/>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c r="AA628" s="107"/>
    </row>
    <row r="629" spans="2:27" ht="14.25" customHeight="1">
      <c r="B629" s="110"/>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row>
    <row r="630" spans="2:27" ht="14.25" customHeight="1">
      <c r="B630" s="110"/>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c r="AA630" s="107"/>
    </row>
    <row r="631" spans="2:27" ht="14.25" customHeight="1">
      <c r="B631" s="110"/>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c r="AA631" s="107"/>
    </row>
    <row r="632" spans="2:27" ht="14.25" customHeight="1">
      <c r="B632" s="110"/>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row>
    <row r="633" spans="2:27" ht="14.25" customHeight="1">
      <c r="B633" s="110"/>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row>
    <row r="634" spans="2:27" ht="14.25" customHeight="1">
      <c r="B634" s="110"/>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row>
    <row r="635" spans="2:27" ht="14.25" customHeight="1">
      <c r="B635" s="110"/>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row>
    <row r="636" spans="2:27" ht="14.25" customHeight="1">
      <c r="B636" s="110"/>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row>
    <row r="637" spans="2:27" ht="14.25" customHeight="1">
      <c r="B637" s="110"/>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c r="AA637" s="107"/>
    </row>
    <row r="638" spans="2:27" ht="14.25" customHeight="1">
      <c r="B638" s="110"/>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row>
    <row r="639" spans="2:27" ht="14.25" customHeight="1">
      <c r="B639" s="110"/>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c r="AA639" s="107"/>
    </row>
    <row r="640" spans="2:27" ht="14.25" customHeight="1">
      <c r="B640" s="110"/>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c r="AA640" s="107"/>
    </row>
    <row r="641" spans="2:27" ht="14.25" customHeight="1">
      <c r="B641" s="110"/>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row>
    <row r="642" spans="2:27" ht="14.25" customHeight="1">
      <c r="B642" s="110"/>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row>
    <row r="643" spans="2:27" ht="14.25" customHeight="1">
      <c r="B643" s="110"/>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row>
    <row r="644" spans="2:27" ht="14.25" customHeight="1">
      <c r="B644" s="110"/>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row>
    <row r="645" spans="2:27" ht="14.25" customHeight="1">
      <c r="B645" s="110"/>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row>
    <row r="646" spans="2:27" ht="14.25" customHeight="1">
      <c r="B646" s="110"/>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c r="AA646" s="107"/>
    </row>
    <row r="647" spans="2:27" ht="14.25" customHeight="1">
      <c r="B647" s="110"/>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row>
    <row r="648" spans="2:27" ht="14.25" customHeight="1">
      <c r="B648" s="110"/>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row>
    <row r="649" spans="2:27" ht="14.25" customHeight="1">
      <c r="B649" s="110"/>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c r="AA649" s="107"/>
    </row>
    <row r="650" spans="2:27" ht="14.25" customHeight="1">
      <c r="B650" s="110"/>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row>
    <row r="651" spans="2:27" ht="14.25" customHeight="1">
      <c r="B651" s="110"/>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row>
    <row r="652" spans="2:27" ht="14.25" customHeight="1">
      <c r="B652" s="110"/>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row>
    <row r="653" spans="2:27" ht="14.25" customHeight="1">
      <c r="B653" s="110"/>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row>
    <row r="654" spans="2:27" ht="14.25" customHeight="1">
      <c r="B654" s="110"/>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row>
    <row r="655" spans="2:27" ht="14.25" customHeight="1">
      <c r="B655" s="110"/>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row>
    <row r="656" spans="2:27" ht="14.25" customHeight="1">
      <c r="B656" s="110"/>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row>
    <row r="657" spans="2:27" ht="14.25" customHeight="1">
      <c r="B657" s="110"/>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row>
    <row r="658" spans="2:27" ht="14.25" customHeight="1">
      <c r="B658" s="110"/>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row>
    <row r="659" spans="2:27" ht="14.25" customHeight="1">
      <c r="B659" s="110"/>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row>
    <row r="660" spans="2:27" ht="14.25" customHeight="1">
      <c r="B660" s="110"/>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row>
    <row r="661" spans="2:27" ht="14.25" customHeight="1">
      <c r="B661" s="110"/>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row>
    <row r="662" spans="2:27" ht="14.25" customHeight="1">
      <c r="B662" s="110"/>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row>
    <row r="663" spans="2:27" ht="14.25" customHeight="1">
      <c r="B663" s="110"/>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row>
    <row r="664" spans="2:27" ht="14.25" customHeight="1">
      <c r="B664" s="110"/>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row>
    <row r="665" spans="2:27" ht="14.25" customHeight="1">
      <c r="B665" s="110"/>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row>
    <row r="666" spans="2:27" ht="14.25" customHeight="1">
      <c r="B666" s="110"/>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c r="AA666" s="107"/>
    </row>
    <row r="667" spans="2:27" ht="14.25" customHeight="1">
      <c r="B667" s="110"/>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c r="AA667" s="107"/>
    </row>
    <row r="668" spans="2:27" ht="14.25" customHeight="1">
      <c r="B668" s="110"/>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row>
    <row r="669" spans="2:27" ht="14.25" customHeight="1">
      <c r="B669" s="110"/>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row>
    <row r="670" spans="2:27" ht="14.25" customHeight="1">
      <c r="B670" s="110"/>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row>
    <row r="671" spans="2:27" ht="14.25" customHeight="1">
      <c r="B671" s="110"/>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row>
    <row r="672" spans="2:27" ht="14.25" customHeight="1">
      <c r="B672" s="110"/>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row>
    <row r="673" spans="2:27" ht="14.25" customHeight="1">
      <c r="B673" s="110"/>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c r="AA673" s="107"/>
    </row>
    <row r="674" spans="2:27" ht="14.25" customHeight="1">
      <c r="B674" s="110"/>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row>
    <row r="675" spans="2:27" ht="14.25" customHeight="1">
      <c r="B675" s="110"/>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c r="AA675" s="107"/>
    </row>
    <row r="676" spans="2:27" ht="14.25" customHeight="1">
      <c r="B676" s="110"/>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c r="AA676" s="107"/>
    </row>
    <row r="677" spans="2:27" ht="14.25" customHeight="1">
      <c r="B677" s="110"/>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row>
    <row r="678" spans="2:27" ht="14.25" customHeight="1">
      <c r="B678" s="110"/>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row>
    <row r="679" spans="2:27" ht="14.25" customHeight="1">
      <c r="B679" s="110"/>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row>
    <row r="680" spans="2:27" ht="14.25" customHeight="1">
      <c r="B680" s="110"/>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row>
    <row r="681" spans="2:27" ht="14.25" customHeight="1">
      <c r="B681" s="110"/>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row>
    <row r="682" spans="2:27" ht="14.25" customHeight="1">
      <c r="B682" s="110"/>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c r="AA682" s="107"/>
    </row>
    <row r="683" spans="2:27" ht="14.25" customHeight="1">
      <c r="B683" s="110"/>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row>
    <row r="684" spans="2:27" ht="14.25" customHeight="1">
      <c r="B684" s="110"/>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c r="AA684" s="107"/>
    </row>
    <row r="685" spans="2:27" ht="14.25" customHeight="1">
      <c r="B685" s="110"/>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c r="AA685" s="107"/>
    </row>
    <row r="686" spans="2:27" ht="14.25" customHeight="1">
      <c r="B686" s="110"/>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row>
    <row r="687" spans="2:27" ht="14.25" customHeight="1">
      <c r="B687" s="110"/>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row>
    <row r="688" spans="2:27" ht="14.25" customHeight="1">
      <c r="B688" s="110"/>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row>
    <row r="689" spans="2:27" ht="14.25" customHeight="1">
      <c r="B689" s="110"/>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row>
    <row r="690" spans="2:27" ht="14.25" customHeight="1">
      <c r="B690" s="110"/>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row>
    <row r="691" spans="2:27" ht="14.25" customHeight="1">
      <c r="B691" s="110"/>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c r="AA691" s="107"/>
    </row>
    <row r="692" spans="2:27" ht="14.25" customHeight="1">
      <c r="B692" s="110"/>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row>
    <row r="693" spans="2:27" ht="14.25" customHeight="1">
      <c r="B693" s="110"/>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c r="AA693" s="107"/>
    </row>
    <row r="694" spans="2:27" ht="14.25" customHeight="1">
      <c r="B694" s="110"/>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c r="AA694" s="107"/>
    </row>
    <row r="695" spans="2:27" ht="14.25" customHeight="1">
      <c r="B695" s="110"/>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row>
    <row r="696" spans="2:27" ht="14.25" customHeight="1">
      <c r="B696" s="110"/>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row>
    <row r="697" spans="2:27" ht="14.25" customHeight="1">
      <c r="B697" s="110"/>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row>
    <row r="698" spans="2:27" ht="14.25" customHeight="1">
      <c r="B698" s="110"/>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row>
    <row r="699" spans="2:27" ht="14.25" customHeight="1">
      <c r="B699" s="110"/>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row>
    <row r="700" spans="2:27" ht="14.25" customHeight="1">
      <c r="B700" s="110"/>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row>
    <row r="701" spans="2:27" ht="14.25" customHeight="1">
      <c r="B701" s="110"/>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row>
    <row r="702" spans="2:27" ht="14.25" customHeight="1">
      <c r="B702" s="110"/>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row>
    <row r="703" spans="2:27" ht="14.25" customHeight="1">
      <c r="B703" s="110"/>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c r="AA703" s="107"/>
    </row>
    <row r="704" spans="2:27" ht="14.25" customHeight="1">
      <c r="B704" s="110"/>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row>
    <row r="705" spans="2:27" ht="14.25" customHeight="1">
      <c r="B705" s="110"/>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row>
    <row r="706" spans="2:27" ht="14.25" customHeight="1">
      <c r="B706" s="110"/>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row>
    <row r="707" spans="2:27" ht="14.25" customHeight="1">
      <c r="B707" s="110"/>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row>
    <row r="708" spans="2:27" ht="14.25" customHeight="1">
      <c r="B708" s="110"/>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row>
    <row r="709" spans="2:27" ht="14.25" customHeight="1">
      <c r="B709" s="110"/>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c r="AA709" s="107"/>
    </row>
    <row r="710" spans="2:27" ht="14.25" customHeight="1">
      <c r="B710" s="110"/>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row>
    <row r="711" spans="2:27" ht="14.25" customHeight="1">
      <c r="B711" s="110"/>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c r="AA711" s="107"/>
    </row>
    <row r="712" spans="2:27" ht="14.25" customHeight="1">
      <c r="B712" s="110"/>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c r="AA712" s="107"/>
    </row>
    <row r="713" spans="2:27" ht="14.25" customHeight="1">
      <c r="B713" s="110"/>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row>
    <row r="714" spans="2:27" ht="14.25" customHeight="1">
      <c r="B714" s="110"/>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row>
    <row r="715" spans="2:27" ht="14.25" customHeight="1">
      <c r="B715" s="110"/>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row>
    <row r="716" spans="2:27" ht="14.25" customHeight="1">
      <c r="B716" s="110"/>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row>
    <row r="717" spans="2:27" ht="14.25" customHeight="1">
      <c r="B717" s="110"/>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row>
    <row r="718" spans="2:27" ht="14.25" customHeight="1">
      <c r="B718" s="110"/>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c r="AA718" s="107"/>
    </row>
    <row r="719" spans="2:27" ht="14.25" customHeight="1">
      <c r="B719" s="110"/>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row>
    <row r="720" spans="2:27" ht="14.25" customHeight="1">
      <c r="B720" s="110"/>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c r="AA720" s="107"/>
    </row>
    <row r="721" spans="2:27" ht="14.25" customHeight="1">
      <c r="B721" s="110"/>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c r="AA721" s="107"/>
    </row>
    <row r="722" spans="2:27" ht="14.25" customHeight="1">
      <c r="B722" s="110"/>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row>
    <row r="723" spans="2:27" ht="14.25" customHeight="1">
      <c r="B723" s="110"/>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row>
    <row r="724" spans="2:27" ht="14.25" customHeight="1">
      <c r="B724" s="110"/>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row>
    <row r="725" spans="2:27" ht="14.25" customHeight="1">
      <c r="B725" s="110"/>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row>
    <row r="726" spans="2:27" ht="14.25" customHeight="1">
      <c r="B726" s="110"/>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row>
    <row r="727" spans="2:27" ht="14.25" customHeight="1">
      <c r="B727" s="110"/>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c r="AA727" s="107"/>
    </row>
    <row r="728" spans="2:27" ht="14.25" customHeight="1">
      <c r="B728" s="110"/>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row>
    <row r="729" spans="2:27" ht="14.25" customHeight="1">
      <c r="B729" s="110"/>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c r="AA729" s="107"/>
    </row>
    <row r="730" spans="2:27" ht="14.25" customHeight="1">
      <c r="B730" s="110"/>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c r="AA730" s="107"/>
    </row>
    <row r="731" spans="2:27" ht="14.25" customHeight="1">
      <c r="B731" s="110"/>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row>
    <row r="732" spans="2:27" ht="14.25" customHeight="1">
      <c r="B732" s="110"/>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row>
    <row r="733" spans="2:27" ht="14.25" customHeight="1">
      <c r="B733" s="110"/>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row>
    <row r="734" spans="2:27" ht="14.25" customHeight="1">
      <c r="B734" s="110"/>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row>
    <row r="735" spans="2:27" ht="14.25" customHeight="1">
      <c r="B735" s="110"/>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row>
    <row r="736" spans="2:27" ht="14.25" customHeight="1">
      <c r="B736" s="110"/>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c r="AA736" s="107"/>
    </row>
    <row r="737" spans="2:27" ht="14.25" customHeight="1">
      <c r="B737" s="110"/>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row>
    <row r="738" spans="2:27" ht="14.25" customHeight="1">
      <c r="B738" s="110"/>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c r="AA738" s="107"/>
    </row>
    <row r="739" spans="2:27" ht="14.25" customHeight="1">
      <c r="B739" s="110"/>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row>
    <row r="740" spans="2:27" ht="14.25" customHeight="1">
      <c r="B740" s="110"/>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row>
    <row r="741" spans="2:27" ht="14.25" customHeight="1">
      <c r="B741" s="110"/>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row>
    <row r="742" spans="2:27" ht="14.25" customHeight="1">
      <c r="B742" s="110"/>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row>
    <row r="743" spans="2:27" ht="14.25" customHeight="1">
      <c r="B743" s="110"/>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row>
    <row r="744" spans="2:27" ht="14.25" customHeight="1">
      <c r="B744" s="110"/>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row>
    <row r="745" spans="2:27" ht="14.25" customHeight="1">
      <c r="B745" s="110"/>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c r="AA745" s="107"/>
    </row>
    <row r="746" spans="2:27" ht="14.25" customHeight="1">
      <c r="B746" s="110"/>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row>
    <row r="747" spans="2:27" ht="14.25" customHeight="1">
      <c r="B747" s="110"/>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row>
    <row r="748" spans="2:27" ht="14.25" customHeight="1">
      <c r="B748" s="110"/>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row>
    <row r="749" spans="2:27" ht="14.25" customHeight="1">
      <c r="B749" s="110"/>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row>
    <row r="750" spans="2:27" ht="14.25" customHeight="1">
      <c r="B750" s="110"/>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row>
    <row r="751" spans="2:27" ht="14.25" customHeight="1">
      <c r="B751" s="110"/>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row>
    <row r="752" spans="2:27" ht="14.25" customHeight="1">
      <c r="B752" s="110"/>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row>
    <row r="753" spans="2:27" ht="14.25" customHeight="1">
      <c r="B753" s="110"/>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row>
    <row r="754" spans="2:27" ht="14.25" customHeight="1">
      <c r="B754" s="110"/>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c r="AA754" s="107"/>
    </row>
    <row r="755" spans="2:27" ht="14.25" customHeight="1">
      <c r="B755" s="110"/>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row>
    <row r="756" spans="2:27" ht="14.25" customHeight="1">
      <c r="B756" s="110"/>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c r="AA756" s="107"/>
    </row>
    <row r="757" spans="2:27" ht="14.25" customHeight="1">
      <c r="B757" s="110"/>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c r="AA757" s="107"/>
    </row>
    <row r="758" spans="2:27" ht="14.25" customHeight="1">
      <c r="B758" s="110"/>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row>
    <row r="759" spans="2:27" ht="14.25" customHeight="1">
      <c r="B759" s="110"/>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row>
    <row r="760" spans="2:27" ht="14.25" customHeight="1">
      <c r="B760" s="110"/>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row>
    <row r="761" spans="2:27" ht="14.25" customHeight="1">
      <c r="B761" s="110"/>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row>
    <row r="762" spans="2:27" ht="14.25" customHeight="1">
      <c r="B762" s="110"/>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row>
    <row r="763" spans="2:27" ht="14.25" customHeight="1">
      <c r="B763" s="110"/>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c r="AA763" s="107"/>
    </row>
    <row r="764" spans="2:27" ht="14.25" customHeight="1">
      <c r="B764" s="110"/>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row>
    <row r="765" spans="2:27" ht="14.25" customHeight="1">
      <c r="B765" s="110"/>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c r="AA765" s="107"/>
    </row>
    <row r="766" spans="2:27" ht="14.25" customHeight="1">
      <c r="B766" s="110"/>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c r="AA766" s="107"/>
    </row>
    <row r="767" spans="2:27" ht="14.25" customHeight="1">
      <c r="B767" s="110"/>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row>
    <row r="768" spans="2:27" ht="14.25" customHeight="1">
      <c r="B768" s="110"/>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row>
    <row r="769" spans="2:27" ht="14.25" customHeight="1">
      <c r="B769" s="110"/>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row>
    <row r="770" spans="2:27" ht="14.25" customHeight="1">
      <c r="B770" s="110"/>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row>
    <row r="771" spans="2:27" ht="14.25" customHeight="1">
      <c r="B771" s="110"/>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row>
    <row r="772" spans="2:27" ht="14.25" customHeight="1">
      <c r="B772" s="110"/>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row>
    <row r="773" spans="2:27" ht="14.25" customHeight="1">
      <c r="B773" s="110"/>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row>
    <row r="774" spans="2:27" ht="14.25" customHeight="1">
      <c r="B774" s="110"/>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row>
    <row r="775" spans="2:27" ht="14.25" customHeight="1">
      <c r="B775" s="110"/>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row>
    <row r="776" spans="2:27" ht="14.25" customHeight="1">
      <c r="B776" s="110"/>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row>
    <row r="777" spans="2:27" ht="14.25" customHeight="1">
      <c r="B777" s="110"/>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row>
    <row r="778" spans="2:27" ht="14.25" customHeight="1">
      <c r="B778" s="110"/>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row>
    <row r="779" spans="2:27" ht="14.25" customHeight="1">
      <c r="B779" s="110"/>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row>
    <row r="780" spans="2:27" ht="14.25" customHeight="1">
      <c r="B780" s="110"/>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row>
    <row r="781" spans="2:27" ht="14.25" customHeight="1">
      <c r="B781" s="110"/>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row>
    <row r="782" spans="2:27" ht="14.25" customHeight="1">
      <c r="B782" s="110"/>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row>
    <row r="783" spans="2:27" ht="14.25" customHeight="1">
      <c r="B783" s="110"/>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row>
    <row r="784" spans="2:27" ht="14.25" customHeight="1">
      <c r="B784" s="110"/>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row>
    <row r="785" spans="2:27" ht="14.25" customHeight="1">
      <c r="B785" s="110"/>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row>
    <row r="786" spans="2:27" ht="14.25" customHeight="1">
      <c r="B786" s="110"/>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row>
    <row r="787" spans="2:27" ht="14.25" customHeight="1">
      <c r="B787" s="110"/>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row>
    <row r="788" spans="2:27" ht="14.25" customHeight="1">
      <c r="B788" s="110"/>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row>
    <row r="789" spans="2:27" ht="14.25" customHeight="1">
      <c r="B789" s="110"/>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row>
    <row r="790" spans="2:27" ht="14.25" customHeight="1">
      <c r="B790" s="110"/>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row>
    <row r="791" spans="2:27" ht="14.25" customHeight="1">
      <c r="B791" s="110"/>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row>
    <row r="792" spans="2:27" ht="14.25" customHeight="1">
      <c r="B792" s="110"/>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row>
    <row r="793" spans="2:27" ht="14.25" customHeight="1">
      <c r="B793" s="110"/>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row>
    <row r="794" spans="2:27" ht="14.25" customHeight="1">
      <c r="B794" s="110"/>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row>
    <row r="795" spans="2:27" ht="14.25" customHeight="1">
      <c r="B795" s="110"/>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row>
    <row r="796" spans="2:27" ht="14.25" customHeight="1">
      <c r="B796" s="110"/>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row>
    <row r="797" spans="2:27" ht="14.25" customHeight="1">
      <c r="B797" s="110"/>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row>
    <row r="798" spans="2:27" ht="14.25" customHeight="1">
      <c r="B798" s="110"/>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row>
    <row r="799" spans="2:27" ht="14.25" customHeight="1">
      <c r="B799" s="110"/>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row>
    <row r="800" spans="2:27" ht="14.25" customHeight="1">
      <c r="B800" s="110"/>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row>
    <row r="801" spans="2:27" ht="14.25" customHeight="1">
      <c r="B801" s="110"/>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row>
    <row r="802" spans="2:27" ht="14.25" customHeight="1">
      <c r="B802" s="110"/>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row>
    <row r="803" spans="2:27" ht="14.25" customHeight="1">
      <c r="B803" s="110"/>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row>
    <row r="804" spans="2:27" ht="14.25" customHeight="1">
      <c r="B804" s="110"/>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row>
    <row r="805" spans="2:27" ht="14.25" customHeight="1">
      <c r="B805" s="110"/>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row>
    <row r="806" spans="2:27" ht="14.25" customHeight="1">
      <c r="B806" s="110"/>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row>
    <row r="807" spans="2:27" ht="14.25" customHeight="1">
      <c r="B807" s="110"/>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row>
    <row r="808" spans="2:27" ht="14.25" customHeight="1">
      <c r="B808" s="110"/>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row>
    <row r="809" spans="2:27" ht="14.25" customHeight="1">
      <c r="B809" s="110"/>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row>
    <row r="810" spans="2:27" ht="14.25" customHeight="1">
      <c r="B810" s="110"/>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row>
    <row r="811" spans="2:27" ht="14.25" customHeight="1">
      <c r="B811" s="110"/>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row>
    <row r="812" spans="2:27" ht="14.25" customHeight="1">
      <c r="B812" s="110"/>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row>
    <row r="813" spans="2:27" ht="14.25" customHeight="1">
      <c r="B813" s="110"/>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row>
    <row r="814" spans="2:27" ht="14.25" customHeight="1">
      <c r="B814" s="110"/>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row>
    <row r="815" spans="2:27" ht="14.25" customHeight="1">
      <c r="B815" s="110"/>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row>
    <row r="816" spans="2:27" ht="14.25" customHeight="1">
      <c r="B816" s="110"/>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row>
    <row r="817" spans="2:27" ht="14.25" customHeight="1">
      <c r="B817" s="110"/>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row>
    <row r="818" spans="2:27" ht="14.25" customHeight="1">
      <c r="B818" s="110"/>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row>
    <row r="819" spans="2:27" ht="14.25" customHeight="1">
      <c r="B819" s="110"/>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row>
    <row r="820" spans="2:27" ht="14.25" customHeight="1">
      <c r="B820" s="110"/>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row>
    <row r="821" spans="2:27" ht="14.25" customHeight="1">
      <c r="B821" s="110"/>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row>
    <row r="822" spans="2:27" ht="14.25" customHeight="1">
      <c r="B822" s="110"/>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row>
    <row r="823" spans="2:27" ht="14.25" customHeight="1">
      <c r="B823" s="110"/>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row>
    <row r="824" spans="2:27" ht="14.25" customHeight="1">
      <c r="B824" s="110"/>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row>
    <row r="825" spans="2:27" ht="14.25" customHeight="1">
      <c r="B825" s="110"/>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row>
    <row r="826" spans="2:27" ht="14.25" customHeight="1">
      <c r="B826" s="110"/>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row>
    <row r="827" spans="2:27" ht="14.25" customHeight="1">
      <c r="B827" s="110"/>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row>
    <row r="828" spans="2:27" ht="14.25" customHeight="1">
      <c r="B828" s="110"/>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row>
    <row r="829" spans="2:27" ht="14.25" customHeight="1">
      <c r="B829" s="110"/>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row>
    <row r="830" spans="2:27" ht="14.25" customHeight="1">
      <c r="B830" s="110"/>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row>
    <row r="831" spans="2:27" ht="14.25" customHeight="1">
      <c r="B831" s="110"/>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row>
    <row r="832" spans="2:27" ht="14.25" customHeight="1">
      <c r="B832" s="110"/>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row>
    <row r="833" spans="2:27" ht="14.25" customHeight="1">
      <c r="B833" s="110"/>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row>
    <row r="834" spans="2:27" ht="14.25" customHeight="1">
      <c r="B834" s="110"/>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row>
    <row r="835" spans="2:27" ht="14.25" customHeight="1">
      <c r="B835" s="110"/>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row>
    <row r="836" spans="2:27" ht="14.25" customHeight="1">
      <c r="B836" s="110"/>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row>
    <row r="837" spans="2:27" ht="14.25" customHeight="1">
      <c r="B837" s="110"/>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row>
    <row r="838" spans="2:27" ht="14.25" customHeight="1">
      <c r="B838" s="110"/>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row>
    <row r="839" spans="2:27" ht="14.25" customHeight="1">
      <c r="B839" s="110"/>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row>
    <row r="840" spans="2:27" ht="14.25" customHeight="1">
      <c r="B840" s="110"/>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row>
    <row r="841" spans="2:27" ht="14.25" customHeight="1">
      <c r="B841" s="110"/>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row>
    <row r="842" spans="2:27" ht="14.25" customHeight="1">
      <c r="B842" s="110"/>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row>
    <row r="843" spans="2:27" ht="14.25" customHeight="1">
      <c r="B843" s="110"/>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row>
    <row r="844" spans="2:27" ht="14.25" customHeight="1">
      <c r="B844" s="110"/>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row>
    <row r="845" spans="2:27" ht="14.25" customHeight="1">
      <c r="B845" s="110"/>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row>
    <row r="846" spans="2:27" ht="14.25" customHeight="1">
      <c r="B846" s="110"/>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row>
    <row r="847" spans="2:27" ht="14.25" customHeight="1">
      <c r="B847" s="110"/>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row>
    <row r="848" spans="2:27" ht="14.25" customHeight="1">
      <c r="B848" s="110"/>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row>
    <row r="849" spans="2:27" ht="14.25" customHeight="1">
      <c r="B849" s="110"/>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row>
    <row r="850" spans="2:27" ht="14.25" customHeight="1">
      <c r="B850" s="110"/>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row>
    <row r="851" spans="2:27" ht="14.25" customHeight="1">
      <c r="B851" s="110"/>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row>
    <row r="852" spans="2:27" ht="14.25" customHeight="1">
      <c r="B852" s="110"/>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row>
    <row r="853" spans="2:27" ht="14.25" customHeight="1">
      <c r="B853" s="110"/>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row>
    <row r="854" spans="2:27" ht="14.25" customHeight="1">
      <c r="B854" s="110"/>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row>
    <row r="855" spans="2:27" ht="14.25" customHeight="1">
      <c r="B855" s="110"/>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row>
    <row r="856" spans="2:27" ht="14.25" customHeight="1">
      <c r="B856" s="110"/>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row>
    <row r="857" spans="2:27" ht="14.25" customHeight="1">
      <c r="B857" s="110"/>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row>
    <row r="858" spans="2:27" ht="14.25" customHeight="1">
      <c r="B858" s="110"/>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row>
    <row r="859" spans="2:27" ht="14.25" customHeight="1">
      <c r="B859" s="110"/>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row>
    <row r="860" spans="2:27" ht="14.25" customHeight="1">
      <c r="B860" s="110"/>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row>
    <row r="861" spans="2:27" ht="14.25" customHeight="1">
      <c r="B861" s="110"/>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row>
    <row r="862" spans="2:27" ht="14.25" customHeight="1">
      <c r="B862" s="110"/>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row>
    <row r="863" spans="2:27" ht="14.25" customHeight="1">
      <c r="B863" s="110"/>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row>
    <row r="864" spans="2:27" ht="14.25" customHeight="1">
      <c r="B864" s="110"/>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row>
    <row r="865" spans="2:27" ht="14.25" customHeight="1">
      <c r="B865" s="110"/>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row>
    <row r="866" spans="2:27" ht="14.25" customHeight="1">
      <c r="B866" s="110"/>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row>
    <row r="867" spans="2:27" ht="14.25" customHeight="1">
      <c r="B867" s="110"/>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row>
    <row r="868" spans="2:27" ht="14.25" customHeight="1">
      <c r="B868" s="110"/>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row>
    <row r="869" spans="2:27" ht="14.25" customHeight="1">
      <c r="B869" s="110"/>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row>
    <row r="870" spans="2:27" ht="14.25" customHeight="1">
      <c r="B870" s="110"/>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row>
    <row r="871" spans="2:27" ht="14.25" customHeight="1">
      <c r="B871" s="110"/>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row>
    <row r="872" spans="2:27" ht="14.25" customHeight="1">
      <c r="B872" s="110"/>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row>
    <row r="873" spans="2:27" ht="14.25" customHeight="1">
      <c r="B873" s="110"/>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row>
    <row r="874" spans="2:27" ht="14.25" customHeight="1">
      <c r="B874" s="110"/>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row>
    <row r="875" spans="2:27" ht="14.25" customHeight="1">
      <c r="B875" s="110"/>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row>
    <row r="876" spans="2:27" ht="14.25" customHeight="1">
      <c r="B876" s="110"/>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row>
    <row r="877" spans="2:27" ht="14.25" customHeight="1">
      <c r="B877" s="110"/>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row>
    <row r="878" spans="2:27" ht="14.25" customHeight="1">
      <c r="B878" s="110"/>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row>
    <row r="879" spans="2:27" ht="14.25" customHeight="1">
      <c r="B879" s="110"/>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row>
    <row r="880" spans="2:27" ht="14.25" customHeight="1">
      <c r="B880" s="110"/>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row>
    <row r="881" spans="2:27" ht="14.25" customHeight="1">
      <c r="B881" s="110"/>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row>
    <row r="882" spans="2:27" ht="14.25" customHeight="1">
      <c r="B882" s="110"/>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row>
    <row r="883" spans="2:27" ht="14.25" customHeight="1">
      <c r="B883" s="110"/>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row>
    <row r="884" spans="2:27" ht="14.25" customHeight="1">
      <c r="B884" s="110"/>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row>
    <row r="885" spans="2:27" ht="14.25" customHeight="1">
      <c r="B885" s="110"/>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row>
    <row r="886" spans="2:27" ht="14.25" customHeight="1">
      <c r="B886" s="110"/>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row>
    <row r="887" spans="2:27" ht="14.25" customHeight="1">
      <c r="B887" s="110"/>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row>
    <row r="888" spans="2:27" ht="14.25" customHeight="1">
      <c r="B888" s="110"/>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row>
    <row r="889" spans="2:27" ht="14.25" customHeight="1">
      <c r="B889" s="110"/>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row>
    <row r="890" spans="2:27" ht="14.25" customHeight="1">
      <c r="B890" s="110"/>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row>
    <row r="891" spans="2:27" ht="14.25" customHeight="1">
      <c r="B891" s="110"/>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row>
    <row r="892" spans="2:27" ht="14.25" customHeight="1">
      <c r="B892" s="110"/>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row>
    <row r="893" spans="2:27" ht="14.25" customHeight="1">
      <c r="B893" s="110"/>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row>
    <row r="894" spans="2:27" ht="14.25" customHeight="1">
      <c r="B894" s="110"/>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row>
    <row r="895" spans="2:27" ht="14.25" customHeight="1">
      <c r="B895" s="110"/>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row>
    <row r="896" spans="2:27" ht="14.25" customHeight="1">
      <c r="B896" s="110"/>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row>
    <row r="897" spans="2:27" ht="14.25" customHeight="1">
      <c r="B897" s="110"/>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row>
    <row r="898" spans="2:27" ht="14.25" customHeight="1">
      <c r="B898" s="110"/>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row>
    <row r="899" spans="2:27" ht="14.25" customHeight="1">
      <c r="B899" s="110"/>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row>
    <row r="900" spans="2:27" ht="14.25" customHeight="1">
      <c r="B900" s="110"/>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row>
    <row r="901" spans="2:27" ht="14.25" customHeight="1">
      <c r="B901" s="110"/>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row>
    <row r="902" spans="2:27" ht="14.25" customHeight="1">
      <c r="B902" s="110"/>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row>
    <row r="903" spans="2:27" ht="14.25" customHeight="1">
      <c r="B903" s="110"/>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row>
    <row r="904" spans="2:27" ht="14.25" customHeight="1">
      <c r="B904" s="110"/>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row>
    <row r="905" spans="2:27" ht="14.25" customHeight="1">
      <c r="B905" s="110"/>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row>
    <row r="906" spans="2:27" ht="14.25" customHeight="1">
      <c r="B906" s="110"/>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row>
    <row r="907" spans="2:27" ht="14.25" customHeight="1">
      <c r="B907" s="110"/>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row>
    <row r="908" spans="2:27" ht="14.25" customHeight="1">
      <c r="B908" s="110"/>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row>
    <row r="909" spans="2:27" ht="14.25" customHeight="1">
      <c r="B909" s="110"/>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row>
    <row r="910" spans="2:27" ht="14.25" customHeight="1">
      <c r="B910" s="110"/>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row>
    <row r="911" spans="2:27" ht="14.25" customHeight="1">
      <c r="B911" s="110"/>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row>
    <row r="912" spans="2:27" ht="14.25" customHeight="1">
      <c r="B912" s="110"/>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row>
    <row r="913" spans="2:27" ht="14.25" customHeight="1">
      <c r="B913" s="110"/>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row>
    <row r="914" spans="2:27" ht="14.25" customHeight="1">
      <c r="B914" s="110"/>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row>
    <row r="915" spans="2:27" ht="14.25" customHeight="1">
      <c r="B915" s="110"/>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row>
    <row r="916" spans="2:27" ht="14.25" customHeight="1">
      <c r="B916" s="110"/>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row>
    <row r="917" spans="2:27" ht="14.25" customHeight="1">
      <c r="B917" s="110"/>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row>
    <row r="918" spans="2:27" ht="14.25" customHeight="1">
      <c r="B918" s="110"/>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row>
    <row r="919" spans="2:27" ht="14.25" customHeight="1">
      <c r="B919" s="110"/>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row>
    <row r="920" spans="2:27" ht="14.25" customHeight="1">
      <c r="B920" s="110"/>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row>
    <row r="921" spans="2:27" ht="14.25" customHeight="1">
      <c r="B921" s="110"/>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row>
    <row r="922" spans="2:27" ht="14.25" customHeight="1">
      <c r="B922" s="110"/>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row>
    <row r="923" spans="2:27" ht="14.25" customHeight="1">
      <c r="B923" s="110"/>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row>
    <row r="924" spans="2:27" ht="14.25" customHeight="1">
      <c r="B924" s="110"/>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row>
    <row r="925" spans="2:27" ht="14.25" customHeight="1">
      <c r="B925" s="110"/>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row>
    <row r="926" spans="2:27" ht="14.25" customHeight="1">
      <c r="B926" s="110"/>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row>
    <row r="927" spans="2:27" ht="14.25" customHeight="1">
      <c r="B927" s="110"/>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row>
    <row r="928" spans="2:27" ht="14.25" customHeight="1">
      <c r="B928" s="110"/>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row>
    <row r="929" spans="2:27" ht="14.25" customHeight="1">
      <c r="B929" s="110"/>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row>
    <row r="930" spans="2:27" ht="14.25" customHeight="1">
      <c r="B930" s="110"/>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row>
    <row r="931" spans="2:27" ht="14.25" customHeight="1">
      <c r="B931" s="110"/>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row>
    <row r="932" spans="2:27" ht="14.25" customHeight="1">
      <c r="B932" s="110"/>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row>
    <row r="933" spans="2:27" ht="14.25" customHeight="1">
      <c r="B933" s="110"/>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row>
    <row r="934" spans="2:27" ht="14.25" customHeight="1">
      <c r="B934" s="110"/>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row>
    <row r="935" spans="2:27" ht="14.25" customHeight="1">
      <c r="B935" s="110"/>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row>
    <row r="936" spans="2:27" ht="14.25" customHeight="1">
      <c r="B936" s="110"/>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row>
    <row r="937" spans="2:27" ht="14.25" customHeight="1">
      <c r="B937" s="110"/>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row>
    <row r="938" spans="2:27" ht="14.25" customHeight="1">
      <c r="B938" s="110"/>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row>
    <row r="939" spans="2:27" ht="14.25" customHeight="1">
      <c r="B939" s="110"/>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row>
    <row r="940" spans="2:27" ht="14.25" customHeight="1">
      <c r="B940" s="110"/>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row>
    <row r="941" spans="2:27" ht="14.25" customHeight="1">
      <c r="B941" s="110"/>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row>
    <row r="942" spans="2:27" ht="14.25" customHeight="1">
      <c r="B942" s="110"/>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row>
    <row r="943" spans="2:27" ht="14.25" customHeight="1">
      <c r="B943" s="110"/>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row>
    <row r="944" spans="2:27" ht="14.25" customHeight="1">
      <c r="B944" s="110"/>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row>
    <row r="945" spans="2:27" ht="14.25" customHeight="1">
      <c r="B945" s="110"/>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row>
    <row r="946" spans="2:27" ht="14.25" customHeight="1">
      <c r="B946" s="110"/>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row>
    <row r="947" spans="2:27" ht="14.25" customHeight="1">
      <c r="B947" s="110"/>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row>
    <row r="948" spans="2:27" ht="14.25" customHeight="1">
      <c r="B948" s="110"/>
      <c r="C948" s="107"/>
      <c r="D948" s="107"/>
      <c r="E948" s="107"/>
      <c r="F948" s="107"/>
      <c r="H948" s="107"/>
      <c r="I948" s="107"/>
      <c r="J948" s="107"/>
      <c r="K948" s="107"/>
      <c r="L948" s="107"/>
      <c r="M948" s="107"/>
      <c r="N948" s="107"/>
      <c r="O948" s="107"/>
      <c r="P948" s="107"/>
      <c r="Q948" s="107"/>
      <c r="R948" s="107"/>
      <c r="S948" s="107"/>
      <c r="T948" s="107"/>
      <c r="U948" s="107"/>
      <c r="V948" s="107"/>
      <c r="W948" s="107"/>
      <c r="X948" s="107"/>
      <c r="Y948" s="107"/>
      <c r="Z948" s="107"/>
      <c r="AA948" s="107"/>
    </row>
    <row r="949" spans="2:27" ht="14.25" customHeight="1">
      <c r="B949" s="110"/>
      <c r="C949" s="107"/>
      <c r="D949" s="107"/>
      <c r="E949" s="107"/>
      <c r="F949" s="107"/>
      <c r="H949" s="107"/>
      <c r="I949" s="107"/>
      <c r="J949" s="107"/>
      <c r="K949" s="107"/>
      <c r="L949" s="107"/>
      <c r="M949" s="107"/>
      <c r="N949" s="107"/>
      <c r="O949" s="107"/>
      <c r="P949" s="107"/>
      <c r="Q949" s="107"/>
      <c r="R949" s="107"/>
      <c r="S949" s="107"/>
      <c r="T949" s="107"/>
      <c r="U949" s="107"/>
      <c r="V949" s="107"/>
      <c r="W949" s="107"/>
      <c r="X949" s="107"/>
      <c r="Y949" s="107"/>
      <c r="Z949" s="107"/>
      <c r="AA949" s="107"/>
    </row>
    <row r="950" spans="2:27" ht="14.25" customHeight="1">
      <c r="B950" s="110"/>
      <c r="C950" s="107"/>
      <c r="D950" s="107"/>
      <c r="E950" s="107"/>
      <c r="F950" s="107"/>
      <c r="H950" s="107"/>
      <c r="I950" s="107"/>
      <c r="J950" s="107"/>
      <c r="K950" s="107"/>
      <c r="L950" s="107"/>
      <c r="M950" s="107"/>
      <c r="N950" s="107"/>
      <c r="O950" s="107"/>
      <c r="P950" s="107"/>
      <c r="Q950" s="107"/>
      <c r="R950" s="107"/>
      <c r="S950" s="107"/>
      <c r="T950" s="107"/>
      <c r="U950" s="107"/>
      <c r="V950" s="107"/>
      <c r="W950" s="107"/>
      <c r="X950" s="107"/>
      <c r="Y950" s="107"/>
      <c r="Z950" s="107"/>
      <c r="AA950" s="107"/>
    </row>
    <row r="951" spans="2:27" ht="14.25" customHeight="1">
      <c r="B951" s="110"/>
      <c r="C951" s="107"/>
      <c r="D951" s="107"/>
      <c r="E951" s="107"/>
      <c r="F951" s="107"/>
      <c r="H951" s="107"/>
      <c r="I951" s="107"/>
      <c r="J951" s="107"/>
      <c r="K951" s="107"/>
      <c r="L951" s="107"/>
      <c r="M951" s="107"/>
      <c r="N951" s="107"/>
      <c r="O951" s="107"/>
      <c r="P951" s="107"/>
      <c r="Q951" s="107"/>
      <c r="R951" s="107"/>
      <c r="S951" s="107"/>
      <c r="T951" s="107"/>
      <c r="U951" s="107"/>
      <c r="V951" s="107"/>
      <c r="W951" s="107"/>
      <c r="X951" s="107"/>
      <c r="Y951" s="107"/>
      <c r="Z951" s="107"/>
      <c r="AA951" s="107"/>
    </row>
    <row r="952" spans="2:27" ht="14.25" customHeight="1">
      <c r="B952" s="110"/>
      <c r="C952" s="107"/>
      <c r="D952" s="107"/>
      <c r="E952" s="107"/>
      <c r="F952" s="107"/>
      <c r="H952" s="107"/>
      <c r="I952" s="107"/>
      <c r="J952" s="107"/>
      <c r="K952" s="107"/>
      <c r="L952" s="107"/>
      <c r="M952" s="107"/>
      <c r="N952" s="107"/>
      <c r="O952" s="107"/>
      <c r="P952" s="107"/>
      <c r="Q952" s="107"/>
      <c r="R952" s="107"/>
      <c r="S952" s="107"/>
      <c r="T952" s="107"/>
      <c r="U952" s="107"/>
      <c r="V952" s="107"/>
      <c r="W952" s="107"/>
      <c r="X952" s="107"/>
      <c r="Y952" s="107"/>
      <c r="Z952" s="107"/>
      <c r="AA952" s="107"/>
    </row>
    <row r="953" spans="2:27" ht="14.25" customHeight="1">
      <c r="J953" s="107"/>
      <c r="K953" s="107"/>
      <c r="L953" s="107"/>
      <c r="M953" s="107"/>
      <c r="N953" s="107"/>
      <c r="O953" s="107"/>
      <c r="P953" s="107"/>
      <c r="Q953" s="107"/>
      <c r="R953" s="107"/>
      <c r="S953" s="107"/>
      <c r="T953" s="107"/>
      <c r="U953" s="107"/>
      <c r="V953" s="107"/>
      <c r="W953" s="107"/>
      <c r="X953" s="107"/>
      <c r="Y953" s="107"/>
      <c r="Z953" s="107"/>
      <c r="AA953" s="107"/>
    </row>
    <row r="954" spans="2:27" ht="14.25" customHeight="1">
      <c r="J954" s="107"/>
      <c r="K954" s="107"/>
      <c r="L954" s="107"/>
      <c r="M954" s="107"/>
      <c r="N954" s="107"/>
      <c r="O954" s="107"/>
      <c r="P954" s="107"/>
      <c r="Q954" s="107"/>
      <c r="R954" s="107"/>
      <c r="S954" s="107"/>
      <c r="T954" s="107"/>
      <c r="U954" s="107"/>
      <c r="V954" s="107"/>
      <c r="W954" s="107"/>
      <c r="X954" s="107"/>
      <c r="Y954" s="107"/>
      <c r="Z954" s="107"/>
      <c r="AA954" s="107"/>
    </row>
    <row r="955" spans="2:27" ht="14.25" customHeight="1">
      <c r="J955" s="107"/>
      <c r="K955" s="107"/>
      <c r="L955" s="107"/>
      <c r="M955" s="107"/>
      <c r="N955" s="107"/>
      <c r="O955" s="107"/>
      <c r="P955" s="107"/>
      <c r="Q955" s="107"/>
      <c r="R955" s="107"/>
      <c r="S955" s="107"/>
      <c r="T955" s="107"/>
      <c r="U955" s="107"/>
      <c r="V955" s="107"/>
      <c r="W955" s="107"/>
      <c r="X955" s="107"/>
      <c r="Y955" s="107"/>
      <c r="Z955" s="107"/>
      <c r="AA955" s="107"/>
    </row>
    <row r="956" spans="2:27" ht="14.25" customHeight="1">
      <c r="J956" s="107"/>
      <c r="K956" s="107"/>
      <c r="L956" s="107"/>
      <c r="M956" s="107"/>
      <c r="N956" s="107"/>
      <c r="O956" s="107"/>
      <c r="P956" s="107"/>
      <c r="Q956" s="107"/>
      <c r="R956" s="107"/>
      <c r="S956" s="107"/>
      <c r="T956" s="107"/>
      <c r="U956" s="107"/>
      <c r="V956" s="107"/>
      <c r="W956" s="107"/>
      <c r="X956" s="107"/>
      <c r="Y956" s="107"/>
      <c r="Z956" s="107"/>
      <c r="AA956" s="107"/>
    </row>
    <row r="957" spans="2:27" ht="14.25" customHeight="1">
      <c r="J957" s="107"/>
      <c r="K957" s="107"/>
      <c r="L957" s="107"/>
      <c r="M957" s="107"/>
      <c r="N957" s="107"/>
      <c r="O957" s="107"/>
      <c r="P957" s="107"/>
      <c r="Q957" s="107"/>
      <c r="R957" s="107"/>
      <c r="S957" s="107"/>
      <c r="T957" s="107"/>
      <c r="U957" s="107"/>
      <c r="V957" s="107"/>
      <c r="W957" s="107"/>
      <c r="X957" s="107"/>
      <c r="Y957" s="107"/>
      <c r="Z957" s="107"/>
      <c r="AA957" s="107"/>
    </row>
  </sheetData>
  <mergeCells count="25">
    <mergeCell ref="A13:A14"/>
    <mergeCell ref="A15:A16"/>
    <mergeCell ref="A18:A19"/>
    <mergeCell ref="A20:A26"/>
    <mergeCell ref="H4:J4"/>
    <mergeCell ref="B5:C5"/>
    <mergeCell ref="H5:J5"/>
    <mergeCell ref="A1:A12"/>
    <mergeCell ref="I1:K1"/>
    <mergeCell ref="B2:C2"/>
    <mergeCell ref="H2:J2"/>
    <mergeCell ref="B3:C3"/>
    <mergeCell ref="H3:J3"/>
    <mergeCell ref="B4:C4"/>
    <mergeCell ref="B6:F6"/>
    <mergeCell ref="C11:E11"/>
    <mergeCell ref="B1:F1"/>
    <mergeCell ref="I25:L25"/>
    <mergeCell ref="J26:L26"/>
    <mergeCell ref="B10:G10"/>
    <mergeCell ref="J13:M13"/>
    <mergeCell ref="D2:F2"/>
    <mergeCell ref="D3:F3"/>
    <mergeCell ref="D4:F4"/>
    <mergeCell ref="D5:F5"/>
  </mergeCells>
  <conditionalFormatting sqref="C13:C26">
    <cfRule type="expression" dxfId="0" priority="1">
      <formula>"✔"</formula>
    </cfRule>
  </conditionalFormatting>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ErrorMessage="1" xr:uid="{28D3C5CE-5C0A-4592-AB74-66A6319977BE}">
          <x14:formula1>
            <xm:f>'Technical DB (Health)'!$A$3:$A$20</xm:f>
          </x14:formula1>
          <xm:sqref>C12:F12</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F859D-0BE7-47D1-BC63-72F719ADF32A}">
  <sheetPr codeName="Sheet7">
    <tabColor theme="0" tint="-0.34998626667073579"/>
  </sheetPr>
  <dimension ref="A1:AW997"/>
  <sheetViews>
    <sheetView showGridLines="0" zoomScaleNormal="100" workbookViewId="0">
      <pane xSplit="1" ySplit="2" topLeftCell="C11" activePane="bottomRight" state="frozen"/>
      <selection pane="topRight" activeCell="F7" sqref="F7:H7"/>
      <selection pane="bottomLeft" activeCell="F7" sqref="F7:H7"/>
      <selection pane="bottomRight" activeCell="D19" sqref="D19"/>
    </sheetView>
  </sheetViews>
  <sheetFormatPr defaultColWidth="14.44140625" defaultRowHeight="15" customHeight="1"/>
  <cols>
    <col min="1" max="1" width="30.44140625" style="737" bestFit="1" customWidth="1"/>
    <col min="2" max="2" width="23.44140625" style="737" hidden="1" customWidth="1"/>
    <col min="3" max="3" width="21.5546875" style="737" bestFit="1" customWidth="1"/>
    <col min="4" max="4" width="82.5546875" style="737" bestFit="1" customWidth="1"/>
    <col min="5" max="5" width="23.5546875" style="781" customWidth="1"/>
    <col min="6" max="6" width="27.44140625" style="782" customWidth="1"/>
    <col min="7" max="7" width="23.6640625" style="737" customWidth="1"/>
    <col min="8" max="8" width="18.44140625" style="737" customWidth="1"/>
    <col min="9" max="9" width="14.44140625" style="737" customWidth="1"/>
    <col min="10" max="10" width="16.5546875" style="737" bestFit="1" customWidth="1"/>
    <col min="11" max="11" width="31" style="737" customWidth="1"/>
    <col min="12" max="12" width="12.44140625" style="737" customWidth="1"/>
    <col min="13" max="13" width="12.6640625" style="737" customWidth="1"/>
    <col min="14" max="14" width="18.44140625" style="737" bestFit="1" customWidth="1"/>
    <col min="15" max="15" width="42.5546875" style="737" bestFit="1" customWidth="1"/>
    <col min="16" max="16" width="24.44140625" style="737" bestFit="1" customWidth="1"/>
    <col min="17" max="17" width="69" style="736" bestFit="1" customWidth="1"/>
    <col min="18" max="18" width="22.5546875" style="736" customWidth="1"/>
    <col min="19" max="19" width="16.44140625" style="736" customWidth="1"/>
    <col min="20" max="20" width="22.5546875" style="736" customWidth="1"/>
    <col min="21" max="21" width="8.5546875" style="736" customWidth="1"/>
    <col min="22" max="22" width="18.44140625" style="736" customWidth="1"/>
    <col min="23" max="23" width="8.5546875" style="736" customWidth="1"/>
    <col min="24" max="24" width="8.44140625" style="736" customWidth="1"/>
    <col min="25" max="25" width="9" style="736" customWidth="1"/>
    <col min="26" max="27" width="8.5546875" style="736" customWidth="1"/>
    <col min="28" max="28" width="9.5546875" style="736" customWidth="1"/>
    <col min="29" max="29" width="11.5546875" style="736" customWidth="1"/>
    <col min="30" max="32" width="9.5546875" style="736" customWidth="1"/>
    <col min="33" max="33" width="16.5546875" style="736" customWidth="1"/>
    <col min="34" max="34" width="15.5546875" style="736" customWidth="1"/>
    <col min="35" max="35" width="24" style="736" customWidth="1"/>
    <col min="36" max="36" width="22.5546875" style="736" customWidth="1"/>
    <col min="37" max="40" width="8.5546875" style="736" customWidth="1"/>
    <col min="41" max="41" width="9" style="736" customWidth="1"/>
    <col min="42" max="42" width="13.44140625" style="736" customWidth="1"/>
    <col min="43" max="43" width="15" style="736" customWidth="1"/>
    <col min="44" max="44" width="7.44140625" style="736" customWidth="1"/>
    <col min="45" max="45" width="24.5546875" style="736" customWidth="1"/>
    <col min="46" max="47" width="8.5546875" style="736" customWidth="1"/>
    <col min="48" max="48" width="13.44140625" style="736" customWidth="1"/>
    <col min="49" max="49" width="8.5546875" style="736" customWidth="1"/>
    <col min="50" max="16384" width="14.44140625" style="736"/>
  </cols>
  <sheetData>
    <row r="1" spans="1:49" s="737" customFormat="1" ht="83.25" customHeight="1">
      <c r="A1" s="1511" t="s">
        <v>669</v>
      </c>
      <c r="B1" s="1511"/>
      <c r="C1" s="1511"/>
      <c r="D1" s="1511"/>
      <c r="E1" s="1511"/>
      <c r="F1" s="1511"/>
      <c r="G1" s="1511"/>
      <c r="H1" s="1511"/>
      <c r="I1" s="1511"/>
      <c r="J1" s="1511"/>
      <c r="K1" s="1511"/>
      <c r="L1" s="1511"/>
      <c r="M1" s="1511"/>
      <c r="N1" s="1511"/>
      <c r="O1" s="1511"/>
      <c r="P1" s="1511"/>
      <c r="Q1" s="1511"/>
      <c r="R1" s="736"/>
      <c r="S1" s="736" t="s">
        <v>525</v>
      </c>
      <c r="T1" s="736" t="s">
        <v>526</v>
      </c>
      <c r="U1" s="736" t="s">
        <v>527</v>
      </c>
      <c r="V1" s="736"/>
      <c r="W1" s="736"/>
      <c r="X1" s="736"/>
      <c r="Y1" s="736"/>
      <c r="Z1" s="736"/>
      <c r="AA1" s="736"/>
      <c r="AB1" s="736"/>
      <c r="AC1" s="736"/>
      <c r="AD1" s="736"/>
      <c r="AE1" s="736"/>
      <c r="AF1" s="736"/>
      <c r="AG1" s="736"/>
      <c r="AH1" s="736"/>
      <c r="AI1" s="736"/>
      <c r="AJ1" s="736"/>
      <c r="AK1" s="736"/>
      <c r="AL1" s="736"/>
      <c r="AM1" s="736"/>
      <c r="AN1" s="736"/>
      <c r="AO1" s="736"/>
      <c r="AP1" s="736"/>
      <c r="AQ1" s="736"/>
      <c r="AR1" s="736"/>
      <c r="AS1" s="736"/>
      <c r="AT1" s="736"/>
      <c r="AU1" s="736"/>
      <c r="AV1" s="736"/>
      <c r="AW1" s="736"/>
    </row>
    <row r="2" spans="1:49" ht="99" customHeight="1">
      <c r="A2" s="4" t="s">
        <v>182</v>
      </c>
      <c r="B2" s="198" t="s">
        <v>117</v>
      </c>
      <c r="C2" s="738" t="s">
        <v>146</v>
      </c>
      <c r="D2" s="738" t="s">
        <v>147</v>
      </c>
      <c r="E2" s="739" t="s">
        <v>525</v>
      </c>
      <c r="F2" s="740" t="s">
        <v>526</v>
      </c>
      <c r="G2" s="738" t="s">
        <v>527</v>
      </c>
      <c r="H2" s="788" t="s">
        <v>154</v>
      </c>
      <c r="I2" s="788" t="s">
        <v>155</v>
      </c>
      <c r="J2" s="788" t="s">
        <v>157</v>
      </c>
      <c r="K2" s="738" t="s">
        <v>158</v>
      </c>
      <c r="L2" s="788" t="s">
        <v>159</v>
      </c>
      <c r="M2" s="788" t="s">
        <v>160</v>
      </c>
      <c r="N2" s="738" t="s">
        <v>161</v>
      </c>
      <c r="O2" s="738" t="s">
        <v>162</v>
      </c>
      <c r="P2" s="738" t="s">
        <v>163</v>
      </c>
      <c r="Q2" s="738" t="s">
        <v>670</v>
      </c>
      <c r="R2" s="139"/>
      <c r="S2" s="139"/>
      <c r="T2" s="139"/>
      <c r="U2" s="140"/>
      <c r="V2" s="140"/>
      <c r="W2" s="140"/>
      <c r="X2" s="140"/>
      <c r="Y2" s="140"/>
      <c r="Z2" s="140"/>
      <c r="AA2" s="140"/>
      <c r="AB2" s="139"/>
      <c r="AC2" s="140"/>
      <c r="AD2" s="139"/>
      <c r="AE2" s="139"/>
      <c r="AF2" s="139"/>
      <c r="AG2" s="141"/>
      <c r="AH2" s="141"/>
      <c r="AI2" s="24"/>
      <c r="AJ2" s="139"/>
      <c r="AK2" s="140"/>
      <c r="AL2" s="142"/>
      <c r="AM2" s="140"/>
      <c r="AN2" s="142"/>
      <c r="AO2" s="140"/>
      <c r="AP2" s="140"/>
      <c r="AQ2" s="140"/>
      <c r="AR2" s="140"/>
      <c r="AS2" s="139"/>
      <c r="AT2" s="140"/>
      <c r="AU2" s="140"/>
      <c r="AV2" s="140"/>
      <c r="AW2" s="140"/>
    </row>
    <row r="3" spans="1:49" ht="14.4">
      <c r="A3" s="741" t="s">
        <v>196</v>
      </c>
      <c r="B3" s="741" t="e">
        <v>#REF!</v>
      </c>
      <c r="C3" s="742" t="s">
        <v>671</v>
      </c>
      <c r="D3" s="743" t="s">
        <v>672</v>
      </c>
      <c r="E3" s="802" t="s">
        <v>673</v>
      </c>
      <c r="F3" s="707">
        <v>-2.4899999999999999E-2</v>
      </c>
      <c r="G3" s="837" t="s">
        <v>674</v>
      </c>
      <c r="H3" s="744" t="s">
        <v>675</v>
      </c>
      <c r="I3" s="744" t="s">
        <v>676</v>
      </c>
      <c r="J3" s="694" t="s">
        <v>677</v>
      </c>
      <c r="K3" s="745">
        <v>0.98</v>
      </c>
      <c r="L3" s="744" t="s">
        <v>678</v>
      </c>
      <c r="M3" s="744" t="s">
        <v>679</v>
      </c>
      <c r="N3" s="789">
        <v>0.99</v>
      </c>
      <c r="O3" s="744" t="s">
        <v>327</v>
      </c>
      <c r="P3" s="835" t="s">
        <v>680</v>
      </c>
      <c r="Q3" s="746"/>
      <c r="R3" s="139"/>
      <c r="S3" s="143"/>
      <c r="T3" s="143"/>
      <c r="U3" s="143"/>
      <c r="V3" s="143"/>
      <c r="W3" s="143"/>
      <c r="X3" s="143"/>
      <c r="Y3" s="143"/>
      <c r="Z3" s="144"/>
      <c r="AA3" s="197"/>
      <c r="AB3" s="139"/>
      <c r="AC3" s="139"/>
      <c r="AD3" s="143"/>
      <c r="AE3" s="143"/>
      <c r="AF3" s="143"/>
      <c r="AG3" s="139"/>
      <c r="AH3" s="145"/>
      <c r="AI3" s="113"/>
      <c r="AJ3" s="113"/>
      <c r="AK3" s="113"/>
      <c r="AL3" s="143"/>
      <c r="AM3" s="144"/>
      <c r="AN3" s="143"/>
      <c r="AO3" s="143"/>
      <c r="AP3" s="143"/>
      <c r="AQ3" s="143"/>
      <c r="AR3" s="143"/>
      <c r="AS3" s="139"/>
      <c r="AT3" s="143"/>
      <c r="AU3" s="143"/>
      <c r="AV3" s="143"/>
      <c r="AW3" s="143"/>
    </row>
    <row r="4" spans="1:49" ht="28.8">
      <c r="A4" s="741" t="s">
        <v>197</v>
      </c>
      <c r="B4" s="741" t="e">
        <v>#REF!</v>
      </c>
      <c r="C4" s="742" t="s">
        <v>681</v>
      </c>
      <c r="D4" s="743" t="s">
        <v>682</v>
      </c>
      <c r="E4" s="802" t="s">
        <v>683</v>
      </c>
      <c r="F4" s="747">
        <v>0.27460000000000001</v>
      </c>
      <c r="G4" s="837" t="s">
        <v>684</v>
      </c>
      <c r="H4" s="744" t="s">
        <v>675</v>
      </c>
      <c r="I4" s="750" t="s">
        <v>685</v>
      </c>
      <c r="J4" s="695" t="s">
        <v>686</v>
      </c>
      <c r="K4" s="745">
        <v>0.98</v>
      </c>
      <c r="L4" s="744" t="s">
        <v>687</v>
      </c>
      <c r="M4" s="744" t="s">
        <v>679</v>
      </c>
      <c r="N4" s="789">
        <v>0.93</v>
      </c>
      <c r="O4" s="744" t="s">
        <v>327</v>
      </c>
      <c r="P4" s="708" t="s">
        <v>688</v>
      </c>
      <c r="Q4" s="746" t="s">
        <v>689</v>
      </c>
      <c r="R4" s="139"/>
      <c r="S4" s="143"/>
      <c r="T4" s="143"/>
      <c r="U4" s="144"/>
      <c r="V4" s="143"/>
      <c r="W4" s="143"/>
      <c r="X4" s="143"/>
      <c r="Y4" s="143"/>
      <c r="Z4" s="144"/>
      <c r="AA4" s="748"/>
      <c r="AB4" s="139"/>
      <c r="AC4" s="144"/>
      <c r="AD4" s="143"/>
      <c r="AE4" s="143"/>
      <c r="AF4" s="143"/>
      <c r="AG4" s="139"/>
      <c r="AH4" s="144"/>
      <c r="AI4" s="113"/>
      <c r="AJ4" s="113"/>
      <c r="AK4" s="144"/>
      <c r="AL4" s="144"/>
      <c r="AM4" s="113"/>
      <c r="AN4" s="144"/>
      <c r="AO4" s="143"/>
      <c r="AP4" s="143"/>
      <c r="AQ4" s="143"/>
      <c r="AR4" s="143"/>
      <c r="AS4" s="139"/>
      <c r="AT4" s="143"/>
      <c r="AU4" s="143"/>
      <c r="AV4" s="143"/>
      <c r="AW4" s="143"/>
    </row>
    <row r="5" spans="1:49" ht="14.4">
      <c r="A5" s="741" t="s">
        <v>346</v>
      </c>
      <c r="B5" s="741" t="e">
        <v>#REF!</v>
      </c>
      <c r="C5" s="742" t="s">
        <v>690</v>
      </c>
      <c r="D5" s="743" t="s">
        <v>691</v>
      </c>
      <c r="E5" s="802" t="s">
        <v>692</v>
      </c>
      <c r="F5" s="747">
        <v>0.13009999999999999</v>
      </c>
      <c r="G5" s="837" t="s">
        <v>693</v>
      </c>
      <c r="H5" s="744" t="s">
        <v>675</v>
      </c>
      <c r="I5" s="744" t="s">
        <v>694</v>
      </c>
      <c r="J5" s="695" t="s">
        <v>695</v>
      </c>
      <c r="K5" s="745">
        <v>0.98</v>
      </c>
      <c r="L5" s="744" t="s">
        <v>687</v>
      </c>
      <c r="M5" s="744" t="s">
        <v>696</v>
      </c>
      <c r="N5" s="745">
        <v>1</v>
      </c>
      <c r="O5" s="744" t="s">
        <v>327</v>
      </c>
      <c r="P5" s="835" t="s">
        <v>680</v>
      </c>
      <c r="Q5" s="746" t="s">
        <v>697</v>
      </c>
      <c r="R5" s="139"/>
      <c r="S5" s="143"/>
      <c r="T5" s="143"/>
      <c r="U5" s="143"/>
      <c r="V5" s="143"/>
      <c r="W5" s="143"/>
      <c r="X5" s="143"/>
      <c r="Y5" s="143"/>
      <c r="Z5" s="144"/>
      <c r="AA5" s="197"/>
      <c r="AB5" s="139"/>
      <c r="AC5" s="139"/>
      <c r="AD5" s="143"/>
      <c r="AE5" s="143"/>
      <c r="AF5" s="143"/>
      <c r="AG5" s="139"/>
      <c r="AH5" s="145"/>
      <c r="AI5" s="113"/>
      <c r="AJ5" s="145"/>
      <c r="AK5" s="113"/>
      <c r="AL5" s="143"/>
      <c r="AM5" s="113"/>
      <c r="AN5" s="143"/>
      <c r="AO5" s="143"/>
      <c r="AP5" s="143"/>
      <c r="AQ5" s="143"/>
      <c r="AR5" s="143"/>
      <c r="AS5" s="139"/>
      <c r="AT5" s="143"/>
      <c r="AU5" s="144"/>
      <c r="AV5" s="144"/>
      <c r="AW5" s="143"/>
    </row>
    <row r="6" spans="1:49" ht="14.4">
      <c r="A6" s="741" t="s">
        <v>698</v>
      </c>
      <c r="B6" s="741" t="e">
        <v>#REF!</v>
      </c>
      <c r="C6" s="742" t="s">
        <v>699</v>
      </c>
      <c r="D6" s="749" t="s">
        <v>700</v>
      </c>
      <c r="E6" s="802" t="s">
        <v>701</v>
      </c>
      <c r="F6" s="747">
        <v>0.17469999999999999</v>
      </c>
      <c r="G6" s="837" t="s">
        <v>702</v>
      </c>
      <c r="H6" s="744" t="s">
        <v>675</v>
      </c>
      <c r="I6" s="750" t="s">
        <v>703</v>
      </c>
      <c r="J6" s="695" t="s">
        <v>704</v>
      </c>
      <c r="K6" s="745">
        <v>0.98</v>
      </c>
      <c r="L6" s="744" t="s">
        <v>687</v>
      </c>
      <c r="M6" s="744" t="s">
        <v>679</v>
      </c>
      <c r="N6" s="745">
        <v>1</v>
      </c>
      <c r="O6" s="744" t="s">
        <v>327</v>
      </c>
      <c r="P6" s="744" t="s">
        <v>680</v>
      </c>
      <c r="Q6" s="746"/>
      <c r="R6" s="139"/>
      <c r="S6" s="143"/>
      <c r="T6" s="143"/>
      <c r="U6" s="143"/>
      <c r="V6" s="143"/>
      <c r="W6" s="143"/>
      <c r="X6" s="143"/>
      <c r="Y6" s="143"/>
      <c r="Z6" s="144"/>
      <c r="AA6" s="197"/>
      <c r="AB6" s="139"/>
      <c r="AC6" s="139"/>
      <c r="AD6" s="143"/>
      <c r="AE6" s="143"/>
      <c r="AF6" s="143"/>
      <c r="AG6" s="139"/>
      <c r="AH6" s="144"/>
      <c r="AI6" s="113"/>
      <c r="AJ6" s="144"/>
      <c r="AK6" s="113"/>
      <c r="AL6" s="144"/>
      <c r="AM6" s="113"/>
      <c r="AN6" s="143"/>
      <c r="AO6" s="143"/>
      <c r="AP6" s="143"/>
      <c r="AQ6" s="143"/>
      <c r="AR6" s="143"/>
      <c r="AS6" s="139"/>
      <c r="AT6" s="143"/>
      <c r="AU6" s="143"/>
      <c r="AV6" s="143"/>
      <c r="AW6" s="143"/>
    </row>
    <row r="7" spans="1:49" ht="28.8">
      <c r="A7" s="741" t="s">
        <v>183</v>
      </c>
      <c r="B7" s="741" t="e">
        <v>#REF!</v>
      </c>
      <c r="C7" s="742" t="s">
        <v>671</v>
      </c>
      <c r="D7" s="749" t="s">
        <v>705</v>
      </c>
      <c r="E7" s="802" t="s">
        <v>706</v>
      </c>
      <c r="F7" s="707">
        <v>-6.9099999999999995E-2</v>
      </c>
      <c r="G7" s="837" t="s">
        <v>707</v>
      </c>
      <c r="H7" s="744" t="s">
        <v>675</v>
      </c>
      <c r="I7" s="744" t="s">
        <v>694</v>
      </c>
      <c r="J7" s="695" t="s">
        <v>708</v>
      </c>
      <c r="K7" s="745">
        <v>0.98</v>
      </c>
      <c r="L7" s="744" t="s">
        <v>687</v>
      </c>
      <c r="M7" s="744" t="s">
        <v>696</v>
      </c>
      <c r="N7" s="745">
        <v>1</v>
      </c>
      <c r="O7" s="744" t="s">
        <v>327</v>
      </c>
      <c r="P7" s="708" t="s">
        <v>688</v>
      </c>
      <c r="Q7" s="746" t="s">
        <v>709</v>
      </c>
      <c r="R7" s="139"/>
      <c r="S7" s="140"/>
      <c r="T7" s="143"/>
      <c r="U7" s="144"/>
      <c r="V7" s="143"/>
      <c r="W7" s="143"/>
      <c r="X7" s="143"/>
      <c r="Y7" s="143"/>
      <c r="Z7" s="144"/>
      <c r="AA7" s="748"/>
      <c r="AB7" s="139"/>
      <c r="AC7" s="139"/>
      <c r="AD7" s="143"/>
      <c r="AE7" s="143"/>
      <c r="AF7" s="143"/>
      <c r="AG7" s="139"/>
      <c r="AH7" s="144"/>
      <c r="AI7" s="113"/>
      <c r="AJ7" s="113"/>
      <c r="AK7" s="113"/>
      <c r="AL7" s="144"/>
      <c r="AM7" s="113"/>
      <c r="AN7" s="143"/>
      <c r="AO7" s="143"/>
      <c r="AP7" s="143"/>
      <c r="AQ7" s="143"/>
      <c r="AR7" s="143"/>
      <c r="AS7" s="139"/>
      <c r="AT7" s="143"/>
      <c r="AU7" s="143"/>
      <c r="AV7" s="146"/>
      <c r="AW7" s="143"/>
    </row>
    <row r="8" spans="1:49" ht="28.8">
      <c r="A8" s="741" t="s">
        <v>189</v>
      </c>
      <c r="B8" s="741" t="e">
        <v>#REF!</v>
      </c>
      <c r="C8" s="742" t="s">
        <v>710</v>
      </c>
      <c r="D8" s="749" t="s">
        <v>711</v>
      </c>
      <c r="E8" s="802" t="s">
        <v>712</v>
      </c>
      <c r="F8" s="747">
        <v>9.4799999999999995E-2</v>
      </c>
      <c r="G8" s="837" t="s">
        <v>713</v>
      </c>
      <c r="H8" s="744" t="s">
        <v>675</v>
      </c>
      <c r="I8" s="744" t="s">
        <v>694</v>
      </c>
      <c r="J8" s="695" t="s">
        <v>714</v>
      </c>
      <c r="K8" s="745">
        <v>0.98</v>
      </c>
      <c r="L8" s="744" t="s">
        <v>687</v>
      </c>
      <c r="M8" s="744" t="s">
        <v>696</v>
      </c>
      <c r="N8" s="745">
        <v>1</v>
      </c>
      <c r="O8" s="744" t="s">
        <v>327</v>
      </c>
      <c r="P8" s="708" t="s">
        <v>680</v>
      </c>
      <c r="Q8" s="751" t="s">
        <v>715</v>
      </c>
      <c r="R8" s="139"/>
      <c r="S8" s="143"/>
      <c r="T8" s="143"/>
      <c r="U8" s="144"/>
      <c r="V8" s="143"/>
      <c r="W8" s="143"/>
      <c r="X8" s="143"/>
      <c r="Y8" s="143"/>
      <c r="Z8" s="144"/>
      <c r="AA8" s="197"/>
      <c r="AB8" s="139"/>
      <c r="AC8" s="139"/>
      <c r="AD8" s="143"/>
      <c r="AE8" s="143"/>
      <c r="AF8" s="143"/>
      <c r="AG8" s="139"/>
      <c r="AH8" s="144"/>
      <c r="AI8" s="113"/>
      <c r="AJ8" s="144"/>
      <c r="AK8" s="113"/>
      <c r="AL8" s="144"/>
      <c r="AM8" s="113"/>
      <c r="AN8" s="143"/>
      <c r="AO8" s="143"/>
      <c r="AP8" s="143"/>
      <c r="AQ8" s="143"/>
      <c r="AR8" s="143"/>
      <c r="AS8" s="139"/>
      <c r="AT8" s="143"/>
      <c r="AU8" s="144"/>
      <c r="AV8" s="144"/>
      <c r="AW8" s="143"/>
    </row>
    <row r="9" spans="1:49" ht="28.8">
      <c r="A9" s="741" t="s">
        <v>72</v>
      </c>
      <c r="B9" s="741" t="e">
        <v>#REF!</v>
      </c>
      <c r="C9" s="742" t="s">
        <v>699</v>
      </c>
      <c r="D9" s="752" t="s">
        <v>716</v>
      </c>
      <c r="E9" s="802" t="s">
        <v>717</v>
      </c>
      <c r="F9" s="797">
        <v>-0.36080000000000001</v>
      </c>
      <c r="G9" s="837" t="s">
        <v>718</v>
      </c>
      <c r="H9" s="744" t="s">
        <v>675</v>
      </c>
      <c r="I9" s="750" t="s">
        <v>703</v>
      </c>
      <c r="J9" s="695" t="s">
        <v>719</v>
      </c>
      <c r="K9" s="745">
        <v>0.98</v>
      </c>
      <c r="L9" s="744" t="s">
        <v>678</v>
      </c>
      <c r="M9" s="744" t="s">
        <v>679</v>
      </c>
      <c r="N9" s="745">
        <v>0.89890000000000003</v>
      </c>
      <c r="O9" s="744" t="s">
        <v>720</v>
      </c>
      <c r="P9" s="708" t="s">
        <v>688</v>
      </c>
      <c r="Q9" s="753"/>
      <c r="R9" s="139"/>
      <c r="S9" s="143"/>
      <c r="T9" s="143"/>
      <c r="U9" s="143"/>
      <c r="V9" s="143"/>
      <c r="W9" s="143"/>
      <c r="X9" s="143"/>
      <c r="Y9" s="143"/>
      <c r="Z9" s="144"/>
      <c r="AA9" s="197"/>
      <c r="AB9" s="139"/>
      <c r="AC9" s="139"/>
      <c r="AD9" s="143"/>
      <c r="AE9" s="143"/>
      <c r="AF9" s="143"/>
      <c r="AG9" s="139"/>
      <c r="AH9" s="144"/>
      <c r="AI9" s="144"/>
      <c r="AJ9" s="143"/>
      <c r="AK9" s="143"/>
      <c r="AL9" s="143"/>
      <c r="AM9" s="144"/>
      <c r="AN9" s="144"/>
      <c r="AO9" s="143"/>
      <c r="AP9" s="143"/>
      <c r="AQ9" s="143"/>
      <c r="AR9" s="143"/>
      <c r="AS9" s="139"/>
      <c r="AT9" s="143"/>
      <c r="AU9" s="144"/>
      <c r="AV9" s="143"/>
      <c r="AW9" s="143"/>
    </row>
    <row r="10" spans="1:49" ht="57.6">
      <c r="A10" s="741" t="s">
        <v>503</v>
      </c>
      <c r="B10" s="741" t="e">
        <v>#REF!</v>
      </c>
      <c r="C10" s="742" t="s">
        <v>721</v>
      </c>
      <c r="D10" s="749" t="s">
        <v>722</v>
      </c>
      <c r="E10" s="802" t="s">
        <v>723</v>
      </c>
      <c r="F10" s="747">
        <v>0.49209999999999998</v>
      </c>
      <c r="G10" s="837" t="s">
        <v>724</v>
      </c>
      <c r="H10" s="744" t="s">
        <v>675</v>
      </c>
      <c r="I10" s="750" t="s">
        <v>703</v>
      </c>
      <c r="J10" s="695" t="s">
        <v>725</v>
      </c>
      <c r="K10" s="745">
        <v>0.98</v>
      </c>
      <c r="L10" s="744" t="s">
        <v>678</v>
      </c>
      <c r="M10" s="744" t="s">
        <v>679</v>
      </c>
      <c r="N10" s="745">
        <v>0.999</v>
      </c>
      <c r="O10" s="744" t="s">
        <v>327</v>
      </c>
      <c r="P10" s="744" t="s">
        <v>726</v>
      </c>
      <c r="Q10" s="751" t="s">
        <v>727</v>
      </c>
      <c r="R10" s="139"/>
      <c r="S10" s="143"/>
      <c r="T10" s="143"/>
      <c r="U10" s="143"/>
      <c r="V10" s="143"/>
      <c r="W10" s="143"/>
      <c r="X10" s="143"/>
      <c r="Y10" s="143"/>
      <c r="Z10" s="144"/>
      <c r="AA10" s="197"/>
      <c r="AB10" s="139"/>
      <c r="AC10" s="144"/>
      <c r="AD10" s="143"/>
      <c r="AE10" s="143"/>
      <c r="AF10" s="143"/>
      <c r="AG10" s="754"/>
      <c r="AH10" s="144"/>
      <c r="AI10" s="144"/>
      <c r="AJ10" s="144"/>
      <c r="AK10" s="144"/>
      <c r="AL10" s="144"/>
      <c r="AM10" s="144"/>
      <c r="AN10" s="144"/>
      <c r="AO10" s="143"/>
      <c r="AP10" s="143"/>
      <c r="AQ10" s="143"/>
      <c r="AR10" s="143"/>
      <c r="AS10" s="139"/>
      <c r="AT10" s="143"/>
      <c r="AU10" s="143"/>
      <c r="AV10" s="146"/>
      <c r="AW10" s="143"/>
    </row>
    <row r="11" spans="1:49" ht="28.8">
      <c r="A11" s="741" t="s">
        <v>71</v>
      </c>
      <c r="B11" s="741" t="e">
        <v>#REF!</v>
      </c>
      <c r="C11" s="742" t="s">
        <v>728</v>
      </c>
      <c r="D11" s="743" t="s">
        <v>729</v>
      </c>
      <c r="E11" s="802" t="s">
        <v>730</v>
      </c>
      <c r="F11" s="747">
        <v>1.5100000000000001E-2</v>
      </c>
      <c r="G11" s="837" t="s">
        <v>731</v>
      </c>
      <c r="H11" s="744" t="s">
        <v>675</v>
      </c>
      <c r="I11" s="750" t="s">
        <v>685</v>
      </c>
      <c r="J11" s="695" t="s">
        <v>732</v>
      </c>
      <c r="K11" s="745">
        <v>0.98</v>
      </c>
      <c r="L11" s="744" t="s">
        <v>678</v>
      </c>
      <c r="M11" s="744" t="s">
        <v>679</v>
      </c>
      <c r="N11" s="745">
        <v>0.999</v>
      </c>
      <c r="O11" s="744" t="s">
        <v>327</v>
      </c>
      <c r="P11" s="708" t="s">
        <v>688</v>
      </c>
      <c r="Q11" s="746" t="s">
        <v>733</v>
      </c>
      <c r="R11" s="139"/>
      <c r="S11" s="143"/>
      <c r="T11" s="143"/>
      <c r="U11" s="144"/>
      <c r="V11" s="143"/>
      <c r="W11" s="143"/>
      <c r="X11" s="143"/>
      <c r="Y11" s="143"/>
      <c r="Z11" s="144"/>
      <c r="AA11" s="197"/>
      <c r="AB11" s="139"/>
      <c r="AC11" s="139"/>
      <c r="AD11" s="143"/>
      <c r="AE11" s="143"/>
      <c r="AF11" s="143"/>
      <c r="AG11" s="139"/>
      <c r="AH11" s="144"/>
      <c r="AI11" s="144"/>
      <c r="AJ11" s="113"/>
      <c r="AK11" s="113"/>
      <c r="AL11" s="143"/>
      <c r="AM11" s="113"/>
      <c r="AN11" s="143"/>
      <c r="AO11" s="143"/>
      <c r="AP11" s="144"/>
      <c r="AQ11" s="143"/>
      <c r="AR11" s="143"/>
      <c r="AS11" s="139"/>
      <c r="AT11" s="143"/>
      <c r="AU11" s="143"/>
      <c r="AV11" s="146"/>
      <c r="AW11" s="143"/>
    </row>
    <row r="12" spans="1:49" ht="14.4">
      <c r="A12" s="741" t="s">
        <v>510</v>
      </c>
      <c r="B12" s="741" t="e">
        <v>#REF!</v>
      </c>
      <c r="C12" s="742" t="s">
        <v>734</v>
      </c>
      <c r="D12" s="743" t="s">
        <v>735</v>
      </c>
      <c r="E12" s="802" t="s">
        <v>736</v>
      </c>
      <c r="F12" s="747">
        <v>4.6100000000000002E-2</v>
      </c>
      <c r="G12" s="837" t="s">
        <v>731</v>
      </c>
      <c r="H12" s="744" t="s">
        <v>675</v>
      </c>
      <c r="I12" s="750" t="s">
        <v>703</v>
      </c>
      <c r="J12" s="695" t="s">
        <v>737</v>
      </c>
      <c r="K12" s="745">
        <v>0.98</v>
      </c>
      <c r="L12" s="744" t="s">
        <v>678</v>
      </c>
      <c r="M12" s="744" t="s">
        <v>679</v>
      </c>
      <c r="N12" s="745">
        <v>0.94340000000000002</v>
      </c>
      <c r="O12" s="744" t="s">
        <v>720</v>
      </c>
      <c r="P12" s="744" t="s">
        <v>726</v>
      </c>
      <c r="Q12" s="746"/>
      <c r="R12" s="139"/>
      <c r="S12" s="143"/>
      <c r="T12" s="143"/>
      <c r="U12" s="144"/>
      <c r="V12" s="143"/>
      <c r="W12" s="143"/>
      <c r="X12" s="143"/>
      <c r="Y12" s="143"/>
      <c r="Z12" s="144"/>
      <c r="AA12" s="197"/>
      <c r="AB12" s="139"/>
      <c r="AC12" s="139"/>
      <c r="AD12" s="143"/>
      <c r="AE12" s="143"/>
      <c r="AF12" s="143"/>
      <c r="AG12" s="139"/>
      <c r="AH12" s="144"/>
      <c r="AI12" s="113"/>
      <c r="AJ12" s="144"/>
      <c r="AK12" s="143"/>
      <c r="AL12" s="144"/>
      <c r="AM12" s="113"/>
      <c r="AN12" s="143"/>
      <c r="AO12" s="143"/>
      <c r="AP12" s="144"/>
      <c r="AQ12" s="143"/>
      <c r="AR12" s="143"/>
      <c r="AS12" s="139"/>
      <c r="AT12" s="143"/>
      <c r="AU12" s="143"/>
      <c r="AV12" s="144"/>
      <c r="AW12" s="143"/>
    </row>
    <row r="13" spans="1:49" ht="14.4">
      <c r="A13" s="741" t="s">
        <v>186</v>
      </c>
      <c r="B13" s="741" t="e">
        <v>#REF!</v>
      </c>
      <c r="C13" s="742" t="s">
        <v>738</v>
      </c>
      <c r="D13" s="743" t="s">
        <v>739</v>
      </c>
      <c r="E13" s="802" t="s">
        <v>740</v>
      </c>
      <c r="F13" s="747">
        <v>0.31979999999999997</v>
      </c>
      <c r="G13" s="837" t="s">
        <v>741</v>
      </c>
      <c r="H13" s="744" t="s">
        <v>675</v>
      </c>
      <c r="I13" s="750" t="s">
        <v>694</v>
      </c>
      <c r="J13" s="695" t="s">
        <v>742</v>
      </c>
      <c r="K13" s="745">
        <v>0.98</v>
      </c>
      <c r="L13" s="744" t="s">
        <v>687</v>
      </c>
      <c r="M13" s="744" t="s">
        <v>679</v>
      </c>
      <c r="N13" s="745">
        <v>0.99990000000000001</v>
      </c>
      <c r="O13" s="744" t="s">
        <v>327</v>
      </c>
      <c r="P13" s="744" t="s">
        <v>680</v>
      </c>
      <c r="Q13" s="746" t="s">
        <v>743</v>
      </c>
      <c r="R13" s="139"/>
      <c r="S13" s="143"/>
      <c r="T13" s="143"/>
      <c r="U13" s="144"/>
      <c r="V13" s="143"/>
      <c r="W13" s="143"/>
      <c r="X13" s="143"/>
      <c r="Y13" s="143"/>
      <c r="Z13" s="144"/>
      <c r="AA13" s="197"/>
      <c r="AB13" s="139"/>
      <c r="AC13" s="139"/>
      <c r="AD13" s="143"/>
      <c r="AE13" s="143"/>
      <c r="AF13" s="143"/>
      <c r="AG13" s="139"/>
      <c r="AH13" s="144"/>
      <c r="AI13" s="144"/>
      <c r="AJ13" s="144"/>
      <c r="AK13" s="113"/>
      <c r="AL13" s="144"/>
      <c r="AM13" s="113"/>
      <c r="AN13" s="143"/>
      <c r="AO13" s="143"/>
      <c r="AP13" s="143"/>
      <c r="AQ13" s="143"/>
      <c r="AR13" s="143"/>
      <c r="AS13" s="139"/>
      <c r="AT13" s="143"/>
      <c r="AU13" s="143"/>
      <c r="AV13" s="143"/>
      <c r="AW13" s="143"/>
    </row>
    <row r="14" spans="1:49" ht="14.4">
      <c r="A14" s="741" t="s">
        <v>193</v>
      </c>
      <c r="B14" s="741" t="e">
        <v>#REF!</v>
      </c>
      <c r="C14" s="742" t="s">
        <v>744</v>
      </c>
      <c r="D14" s="743" t="s">
        <v>735</v>
      </c>
      <c r="E14" s="802" t="s">
        <v>745</v>
      </c>
      <c r="F14" s="747">
        <v>0.1096</v>
      </c>
      <c r="G14" s="795" t="s">
        <v>746</v>
      </c>
      <c r="H14" s="744" t="s">
        <v>675</v>
      </c>
      <c r="I14" s="750" t="s">
        <v>703</v>
      </c>
      <c r="J14" s="705" t="s">
        <v>747</v>
      </c>
      <c r="K14" s="745">
        <v>0.98</v>
      </c>
      <c r="L14" s="744" t="s">
        <v>678</v>
      </c>
      <c r="M14" s="744" t="s">
        <v>679</v>
      </c>
      <c r="N14" s="745">
        <v>0.71840000000000004</v>
      </c>
      <c r="O14" s="744" t="s">
        <v>720</v>
      </c>
      <c r="P14" s="744" t="s">
        <v>726</v>
      </c>
      <c r="Q14" s="746"/>
      <c r="R14" s="139"/>
      <c r="S14" s="143"/>
      <c r="T14" s="143"/>
      <c r="U14" s="144"/>
      <c r="V14" s="143"/>
      <c r="W14" s="143"/>
      <c r="X14" s="143"/>
      <c r="Y14" s="143"/>
      <c r="Z14" s="144"/>
      <c r="AA14" s="197"/>
      <c r="AB14" s="139"/>
      <c r="AC14" s="139"/>
      <c r="AD14" s="143"/>
      <c r="AE14" s="143"/>
      <c r="AF14" s="143"/>
      <c r="AG14" s="139"/>
      <c r="AH14" s="144"/>
      <c r="AI14" s="113"/>
      <c r="AJ14" s="144"/>
      <c r="AK14" s="144"/>
      <c r="AL14" s="144"/>
      <c r="AM14" s="144"/>
      <c r="AN14" s="144"/>
      <c r="AO14" s="143"/>
      <c r="AP14" s="144"/>
      <c r="AQ14" s="143"/>
      <c r="AR14" s="143"/>
      <c r="AS14" s="139"/>
      <c r="AT14" s="143"/>
      <c r="AU14" s="143"/>
      <c r="AV14" s="146"/>
      <c r="AW14" s="143"/>
    </row>
    <row r="15" spans="1:49" ht="14.4">
      <c r="A15" s="741" t="s">
        <v>198</v>
      </c>
      <c r="B15" s="741" t="e">
        <v>#REF!</v>
      </c>
      <c r="C15" s="742" t="s">
        <v>748</v>
      </c>
      <c r="D15" s="743" t="s">
        <v>749</v>
      </c>
      <c r="E15" s="803" t="s">
        <v>750</v>
      </c>
      <c r="F15" s="747">
        <v>0.3649</v>
      </c>
      <c r="G15" s="837" t="s">
        <v>751</v>
      </c>
      <c r="H15" s="744" t="s">
        <v>675</v>
      </c>
      <c r="I15" s="750" t="s">
        <v>676</v>
      </c>
      <c r="J15" s="696" t="s">
        <v>752</v>
      </c>
      <c r="K15" s="745">
        <v>0.98</v>
      </c>
      <c r="L15" s="744" t="s">
        <v>678</v>
      </c>
      <c r="M15" s="744" t="s">
        <v>679</v>
      </c>
      <c r="N15" s="745">
        <v>0.98</v>
      </c>
      <c r="O15" s="744" t="s">
        <v>327</v>
      </c>
      <c r="P15" s="744" t="s">
        <v>726</v>
      </c>
      <c r="Q15" s="746"/>
      <c r="R15" s="139"/>
      <c r="S15" s="140"/>
      <c r="T15" s="143"/>
      <c r="U15" s="144"/>
      <c r="V15" s="113"/>
      <c r="W15" s="143"/>
      <c r="X15" s="143"/>
      <c r="Y15" s="143"/>
      <c r="Z15" s="144"/>
      <c r="AA15" s="139"/>
      <c r="AB15" s="139"/>
      <c r="AC15" s="139"/>
      <c r="AD15" s="143"/>
      <c r="AE15" s="143"/>
      <c r="AF15" s="143"/>
      <c r="AG15" s="139"/>
      <c r="AH15" s="144"/>
      <c r="AI15" s="144"/>
      <c r="AJ15" s="144"/>
      <c r="AK15" s="113"/>
      <c r="AL15" s="144"/>
      <c r="AM15" s="144"/>
      <c r="AN15" s="144"/>
      <c r="AO15" s="143"/>
      <c r="AP15" s="144"/>
      <c r="AQ15" s="143"/>
      <c r="AR15" s="143"/>
      <c r="AS15" s="139"/>
      <c r="AT15" s="143"/>
      <c r="AU15" s="143"/>
      <c r="AV15" s="143"/>
      <c r="AW15" s="143"/>
    </row>
    <row r="16" spans="1:49" ht="28.8">
      <c r="A16" s="820" t="s">
        <v>753</v>
      </c>
      <c r="B16" s="741" t="e">
        <v>#REF!</v>
      </c>
      <c r="C16" s="742" t="s">
        <v>699</v>
      </c>
      <c r="D16" s="743" t="s">
        <v>754</v>
      </c>
      <c r="E16" s="802" t="s">
        <v>755</v>
      </c>
      <c r="F16" s="747">
        <v>2.0899999999999998E-2</v>
      </c>
      <c r="G16" s="837" t="s">
        <v>756</v>
      </c>
      <c r="H16" s="744" t="s">
        <v>675</v>
      </c>
      <c r="I16" s="750" t="s">
        <v>685</v>
      </c>
      <c r="J16" s="696" t="s">
        <v>757</v>
      </c>
      <c r="K16" s="745">
        <v>0.98</v>
      </c>
      <c r="L16" s="757" t="s">
        <v>687</v>
      </c>
      <c r="M16" s="744" t="s">
        <v>696</v>
      </c>
      <c r="N16" s="745">
        <v>0.98650000000000004</v>
      </c>
      <c r="O16" s="744" t="s">
        <v>327</v>
      </c>
      <c r="P16" s="744" t="s">
        <v>680</v>
      </c>
      <c r="Q16" s="746"/>
      <c r="R16" s="139"/>
      <c r="S16" s="143"/>
      <c r="T16" s="143"/>
      <c r="U16" s="144"/>
      <c r="V16" s="143"/>
      <c r="W16" s="143"/>
      <c r="X16" s="143"/>
      <c r="Y16" s="143"/>
      <c r="Z16" s="144"/>
      <c r="AA16" s="139"/>
      <c r="AB16" s="139"/>
      <c r="AC16" s="139"/>
      <c r="AD16" s="143"/>
      <c r="AE16" s="143"/>
      <c r="AF16" s="143"/>
      <c r="AG16" s="139"/>
      <c r="AH16" s="144"/>
      <c r="AI16" s="144"/>
      <c r="AJ16" s="144"/>
      <c r="AK16" s="144"/>
      <c r="AL16" s="144"/>
      <c r="AM16" s="144"/>
      <c r="AN16" s="144"/>
      <c r="AO16" s="143"/>
      <c r="AP16" s="143"/>
      <c r="AQ16" s="143"/>
      <c r="AR16" s="143"/>
      <c r="AS16" s="139"/>
      <c r="AT16" s="143"/>
      <c r="AU16" s="143"/>
      <c r="AV16" s="143"/>
      <c r="AW16" s="143"/>
    </row>
    <row r="17" spans="1:49" ht="14.4">
      <c r="A17" s="741" t="s">
        <v>758</v>
      </c>
      <c r="B17" s="741" t="e">
        <v>#REF!</v>
      </c>
      <c r="C17" s="742" t="s">
        <v>710</v>
      </c>
      <c r="D17" s="743" t="s">
        <v>759</v>
      </c>
      <c r="E17" s="802" t="s">
        <v>760</v>
      </c>
      <c r="F17" s="707">
        <v>-1.0500000000000001E-2</v>
      </c>
      <c r="G17" s="837" t="s">
        <v>761</v>
      </c>
      <c r="H17" s="744" t="s">
        <v>675</v>
      </c>
      <c r="I17" s="744" t="s">
        <v>694</v>
      </c>
      <c r="J17" s="706" t="s">
        <v>686</v>
      </c>
      <c r="K17" s="745">
        <v>0.98</v>
      </c>
      <c r="L17" s="744" t="s">
        <v>687</v>
      </c>
      <c r="M17" s="744" t="s">
        <v>679</v>
      </c>
      <c r="N17" s="745">
        <v>0.97</v>
      </c>
      <c r="O17" s="744" t="s">
        <v>327</v>
      </c>
      <c r="P17" s="744" t="s">
        <v>680</v>
      </c>
      <c r="Q17" s="746"/>
      <c r="R17" s="139"/>
      <c r="S17" s="143"/>
      <c r="T17" s="143"/>
      <c r="U17" s="143"/>
      <c r="V17" s="143"/>
      <c r="W17" s="143"/>
      <c r="X17" s="143"/>
      <c r="Y17" s="143"/>
      <c r="Z17" s="144"/>
      <c r="AA17" s="139"/>
      <c r="AB17" s="139"/>
      <c r="AC17" s="139"/>
      <c r="AD17" s="143"/>
      <c r="AE17" s="143"/>
      <c r="AF17" s="143"/>
      <c r="AG17" s="139"/>
      <c r="AH17" s="144"/>
      <c r="AI17" s="113"/>
      <c r="AJ17" s="113"/>
      <c r="AK17" s="113"/>
      <c r="AL17" s="144"/>
      <c r="AM17" s="113"/>
      <c r="AN17" s="143"/>
      <c r="AO17" s="143"/>
      <c r="AP17" s="144"/>
      <c r="AQ17" s="143"/>
      <c r="AR17" s="143"/>
      <c r="AS17" s="139"/>
      <c r="AT17" s="143"/>
      <c r="AU17" s="143"/>
      <c r="AV17" s="144"/>
      <c r="AW17" s="143"/>
    </row>
    <row r="18" spans="1:49" ht="14.4">
      <c r="A18" s="741" t="s">
        <v>191</v>
      </c>
      <c r="B18" s="741" t="e">
        <v>#REF!</v>
      </c>
      <c r="C18" s="742" t="s">
        <v>762</v>
      </c>
      <c r="D18" s="743" t="s">
        <v>763</v>
      </c>
      <c r="E18" s="802" t="s">
        <v>764</v>
      </c>
      <c r="F18" s="747">
        <v>1.67E-2</v>
      </c>
      <c r="G18" s="837" t="s">
        <v>761</v>
      </c>
      <c r="H18" s="744" t="s">
        <v>675</v>
      </c>
      <c r="I18" s="750" t="s">
        <v>676</v>
      </c>
      <c r="J18" s="695" t="s">
        <v>765</v>
      </c>
      <c r="K18" s="745">
        <v>0.98</v>
      </c>
      <c r="L18" s="744" t="s">
        <v>678</v>
      </c>
      <c r="M18" s="744" t="s">
        <v>679</v>
      </c>
      <c r="N18" s="745">
        <v>0.996</v>
      </c>
      <c r="O18" s="744" t="s">
        <v>720</v>
      </c>
      <c r="P18" s="744" t="s">
        <v>680</v>
      </c>
      <c r="Q18" s="746"/>
      <c r="R18" s="139"/>
      <c r="S18" s="143"/>
      <c r="T18" s="143"/>
      <c r="U18" s="143"/>
      <c r="V18" s="143"/>
      <c r="W18" s="143"/>
      <c r="X18" s="143"/>
      <c r="Y18" s="143"/>
      <c r="Z18" s="144"/>
      <c r="AA18" s="139"/>
      <c r="AB18" s="139"/>
      <c r="AC18" s="139"/>
      <c r="AD18" s="143"/>
      <c r="AE18" s="143"/>
      <c r="AF18" s="143"/>
      <c r="AG18" s="139"/>
      <c r="AH18" s="144"/>
      <c r="AI18" s="113"/>
      <c r="AJ18" s="143"/>
      <c r="AK18" s="113"/>
      <c r="AL18" s="144"/>
      <c r="AM18" s="144"/>
      <c r="AN18" s="144"/>
      <c r="AO18" s="143"/>
      <c r="AP18" s="144"/>
      <c r="AQ18" s="143"/>
      <c r="AR18" s="143"/>
      <c r="AS18" s="139"/>
      <c r="AT18" s="143"/>
      <c r="AU18" s="143"/>
      <c r="AV18" s="144"/>
      <c r="AW18" s="143"/>
    </row>
    <row r="19" spans="1:49" ht="14.4">
      <c r="A19" s="741" t="s">
        <v>487</v>
      </c>
      <c r="B19" s="741" t="e">
        <v>#REF!</v>
      </c>
      <c r="C19" s="742" t="s">
        <v>710</v>
      </c>
      <c r="D19" s="743" t="s">
        <v>766</v>
      </c>
      <c r="E19" s="802" t="s">
        <v>767</v>
      </c>
      <c r="F19" s="747">
        <v>0.17949999999999999</v>
      </c>
      <c r="G19" s="837" t="s">
        <v>768</v>
      </c>
      <c r="H19" s="744" t="s">
        <v>675</v>
      </c>
      <c r="I19" s="744" t="s">
        <v>694</v>
      </c>
      <c r="J19" s="695" t="s">
        <v>769</v>
      </c>
      <c r="K19" s="745">
        <v>0.98</v>
      </c>
      <c r="L19" s="744" t="s">
        <v>687</v>
      </c>
      <c r="M19" s="744" t="s">
        <v>679</v>
      </c>
      <c r="N19" s="745">
        <v>0.996</v>
      </c>
      <c r="O19" s="744" t="s">
        <v>327</v>
      </c>
      <c r="P19" s="835" t="s">
        <v>680</v>
      </c>
      <c r="Q19" s="746" t="s">
        <v>770</v>
      </c>
    </row>
    <row r="20" spans="1:49" ht="14.4">
      <c r="A20" s="741" t="s">
        <v>771</v>
      </c>
      <c r="B20" s="741" t="e">
        <v>#REF!</v>
      </c>
      <c r="C20" s="742" t="s">
        <v>772</v>
      </c>
      <c r="D20" s="743" t="s">
        <v>773</v>
      </c>
      <c r="E20" s="802" t="s">
        <v>774</v>
      </c>
      <c r="F20" s="747">
        <v>3.6799999999999999E-2</v>
      </c>
      <c r="G20" s="837" t="s">
        <v>775</v>
      </c>
      <c r="H20" s="744" t="s">
        <v>675</v>
      </c>
      <c r="I20" s="750" t="s">
        <v>676</v>
      </c>
      <c r="J20" s="695" t="s">
        <v>776</v>
      </c>
      <c r="K20" s="745">
        <v>0.98</v>
      </c>
      <c r="L20" s="744" t="s">
        <v>678</v>
      </c>
      <c r="M20" s="744" t="s">
        <v>679</v>
      </c>
      <c r="N20" s="745">
        <v>0.99380000000000002</v>
      </c>
      <c r="O20" s="744" t="s">
        <v>327</v>
      </c>
      <c r="P20" s="744" t="s">
        <v>726</v>
      </c>
      <c r="Q20" s="746"/>
    </row>
    <row r="21" spans="1:49" s="762" customFormat="1" ht="14.25" customHeight="1">
      <c r="A21" s="758" t="s">
        <v>70</v>
      </c>
      <c r="B21" s="759" t="e">
        <v>#REF!</v>
      </c>
      <c r="C21" s="760">
        <v>2009</v>
      </c>
      <c r="D21" s="838" t="s">
        <v>777</v>
      </c>
      <c r="E21" s="802" t="s">
        <v>778</v>
      </c>
      <c r="F21" s="747">
        <v>0.31530000000000002</v>
      </c>
      <c r="G21" s="839" t="s">
        <v>779</v>
      </c>
      <c r="H21" s="744" t="s">
        <v>675</v>
      </c>
      <c r="I21" s="750" t="s">
        <v>703</v>
      </c>
      <c r="J21" s="761" t="s">
        <v>780</v>
      </c>
      <c r="K21" s="745">
        <v>0.98</v>
      </c>
      <c r="L21" s="744" t="s">
        <v>687</v>
      </c>
      <c r="M21" s="744" t="s">
        <v>696</v>
      </c>
      <c r="N21" s="755">
        <v>0.98150000000000004</v>
      </c>
      <c r="O21" s="760" t="s">
        <v>327</v>
      </c>
      <c r="P21" s="760" t="s">
        <v>680</v>
      </c>
      <c r="Q21" s="840" t="s">
        <v>781</v>
      </c>
    </row>
    <row r="22" spans="1:49" ht="14.25" customHeight="1">
      <c r="A22" s="763" t="s">
        <v>782</v>
      </c>
      <c r="B22" s="763" t="e">
        <v>#REF!</v>
      </c>
      <c r="C22" s="764" t="s">
        <v>783</v>
      </c>
      <c r="D22" s="765" t="s">
        <v>735</v>
      </c>
      <c r="E22" s="802" t="s">
        <v>784</v>
      </c>
      <c r="F22" s="747">
        <v>5.7599999999999998E-2</v>
      </c>
      <c r="G22" s="794" t="s">
        <v>785</v>
      </c>
      <c r="H22" s="744" t="s">
        <v>675</v>
      </c>
      <c r="I22" s="744" t="s">
        <v>676</v>
      </c>
      <c r="J22" s="766" t="s">
        <v>786</v>
      </c>
      <c r="K22" s="745">
        <v>0.98</v>
      </c>
      <c r="L22" s="760" t="s">
        <v>678</v>
      </c>
      <c r="M22" s="744" t="s">
        <v>679</v>
      </c>
      <c r="N22" s="767">
        <v>0.98099999999999998</v>
      </c>
      <c r="O22" s="760" t="s">
        <v>720</v>
      </c>
      <c r="P22" s="760" t="s">
        <v>726</v>
      </c>
      <c r="Q22" s="768"/>
    </row>
    <row r="23" spans="1:49" ht="14.25" customHeight="1">
      <c r="A23" s="769" t="s">
        <v>787</v>
      </c>
      <c r="B23" s="770"/>
      <c r="C23" s="771" t="s">
        <v>788</v>
      </c>
      <c r="D23" s="772" t="s">
        <v>735</v>
      </c>
      <c r="E23" s="802" t="s">
        <v>789</v>
      </c>
      <c r="F23" s="747">
        <v>0.16600000000000001</v>
      </c>
      <c r="G23" s="794" t="s">
        <v>790</v>
      </c>
      <c r="H23" s="744" t="s">
        <v>675</v>
      </c>
      <c r="I23" s="744" t="s">
        <v>676</v>
      </c>
      <c r="J23" s="696" t="s">
        <v>791</v>
      </c>
      <c r="K23" s="745">
        <v>0.98</v>
      </c>
      <c r="L23" s="760" t="s">
        <v>678</v>
      </c>
      <c r="M23" s="744" t="s">
        <v>679</v>
      </c>
      <c r="N23" s="756">
        <v>0.94950000000000001</v>
      </c>
      <c r="O23" s="773" t="s">
        <v>720</v>
      </c>
      <c r="P23" s="773" t="s">
        <v>726</v>
      </c>
      <c r="Q23" s="770"/>
    </row>
    <row r="24" spans="1:49" ht="14.25" customHeight="1">
      <c r="A24" s="769" t="s">
        <v>792</v>
      </c>
      <c r="B24" s="770"/>
      <c r="C24" s="771">
        <v>2013</v>
      </c>
      <c r="D24" s="772" t="s">
        <v>793</v>
      </c>
      <c r="E24" s="802" t="s">
        <v>794</v>
      </c>
      <c r="F24" s="747">
        <v>0.23180000000000001</v>
      </c>
      <c r="G24" s="841" t="s">
        <v>795</v>
      </c>
      <c r="H24" s="744" t="s">
        <v>675</v>
      </c>
      <c r="I24" s="744" t="s">
        <v>676</v>
      </c>
      <c r="J24" s="696" t="s">
        <v>796</v>
      </c>
      <c r="K24" s="745">
        <v>0.98</v>
      </c>
      <c r="L24" s="760" t="s">
        <v>678</v>
      </c>
      <c r="M24" s="744" t="s">
        <v>679</v>
      </c>
      <c r="N24" s="756">
        <v>0.98</v>
      </c>
      <c r="O24" s="760" t="s">
        <v>327</v>
      </c>
      <c r="P24" s="773" t="s">
        <v>726</v>
      </c>
      <c r="Q24" s="770"/>
    </row>
    <row r="25" spans="1:49" ht="14.25" customHeight="1">
      <c r="A25" s="769" t="s">
        <v>797</v>
      </c>
      <c r="B25" s="770"/>
      <c r="C25" s="771">
        <v>2000</v>
      </c>
      <c r="D25" s="772" t="s">
        <v>798</v>
      </c>
      <c r="E25" s="802" t="s">
        <v>799</v>
      </c>
      <c r="F25" s="747">
        <v>0.48499999999999999</v>
      </c>
      <c r="G25" s="841" t="s">
        <v>800</v>
      </c>
      <c r="H25" s="744" t="s">
        <v>675</v>
      </c>
      <c r="I25" s="744" t="s">
        <v>676</v>
      </c>
      <c r="J25" s="696" t="s">
        <v>704</v>
      </c>
      <c r="K25" s="745">
        <v>0.98</v>
      </c>
      <c r="L25" s="760" t="s">
        <v>678</v>
      </c>
      <c r="M25" s="744" t="s">
        <v>679</v>
      </c>
      <c r="N25" s="756">
        <v>1</v>
      </c>
      <c r="O25" s="773" t="s">
        <v>720</v>
      </c>
      <c r="P25" s="773" t="s">
        <v>726</v>
      </c>
      <c r="Q25" s="842" t="s">
        <v>801</v>
      </c>
    </row>
    <row r="26" spans="1:49" ht="14.25" customHeight="1">
      <c r="A26" s="769" t="s">
        <v>802</v>
      </c>
      <c r="B26" s="770"/>
      <c r="C26" s="771">
        <v>1978</v>
      </c>
      <c r="D26" s="772" t="s">
        <v>803</v>
      </c>
      <c r="E26" s="802" t="s">
        <v>804</v>
      </c>
      <c r="F26" s="747">
        <v>0.96619999999999995</v>
      </c>
      <c r="G26" s="841" t="s">
        <v>795</v>
      </c>
      <c r="H26" s="744" t="s">
        <v>675</v>
      </c>
      <c r="I26" s="750" t="s">
        <v>703</v>
      </c>
      <c r="J26" s="783" t="s">
        <v>686</v>
      </c>
      <c r="K26" s="745">
        <v>0.98</v>
      </c>
      <c r="L26" s="760" t="s">
        <v>678</v>
      </c>
      <c r="M26" s="744" t="s">
        <v>679</v>
      </c>
      <c r="N26" s="756">
        <v>1</v>
      </c>
      <c r="O26" s="773" t="s">
        <v>720</v>
      </c>
      <c r="P26" s="773" t="s">
        <v>680</v>
      </c>
      <c r="Q26" s="842" t="s">
        <v>805</v>
      </c>
    </row>
    <row r="27" spans="1:49" ht="14.25" customHeight="1">
      <c r="A27" s="769" t="s">
        <v>806</v>
      </c>
      <c r="B27" s="770"/>
      <c r="C27" s="771">
        <v>2006</v>
      </c>
      <c r="D27" s="772" t="s">
        <v>807</v>
      </c>
      <c r="E27" s="803" t="s">
        <v>808</v>
      </c>
      <c r="F27" s="796">
        <v>-0.6</v>
      </c>
      <c r="G27" s="841" t="s">
        <v>809</v>
      </c>
      <c r="H27" s="744" t="s">
        <v>675</v>
      </c>
      <c r="I27" s="744" t="s">
        <v>676</v>
      </c>
      <c r="J27" s="696" t="s">
        <v>810</v>
      </c>
      <c r="K27" s="745">
        <v>0.98</v>
      </c>
      <c r="L27" s="760" t="s">
        <v>678</v>
      </c>
      <c r="M27" s="744" t="s">
        <v>679</v>
      </c>
      <c r="N27" s="756">
        <v>1</v>
      </c>
      <c r="O27" s="773" t="s">
        <v>720</v>
      </c>
      <c r="P27" s="773" t="s">
        <v>726</v>
      </c>
      <c r="Q27" s="770"/>
    </row>
    <row r="28" spans="1:49" ht="14.25" customHeight="1" thickBot="1">
      <c r="A28" s="774" t="s">
        <v>343</v>
      </c>
      <c r="B28" s="775"/>
      <c r="C28" s="776">
        <v>2002</v>
      </c>
      <c r="D28" s="777" t="s">
        <v>811</v>
      </c>
      <c r="E28" s="802" t="s">
        <v>812</v>
      </c>
      <c r="F28" s="798">
        <v>-0.23799999999999999</v>
      </c>
      <c r="G28" s="843" t="s">
        <v>813</v>
      </c>
      <c r="H28" s="744" t="s">
        <v>675</v>
      </c>
      <c r="I28" s="778" t="s">
        <v>685</v>
      </c>
      <c r="J28" s="779" t="s">
        <v>814</v>
      </c>
      <c r="K28" s="745">
        <v>0.98</v>
      </c>
      <c r="L28" s="744" t="s">
        <v>687</v>
      </c>
      <c r="M28" s="744" t="s">
        <v>679</v>
      </c>
      <c r="N28" s="780">
        <v>1</v>
      </c>
      <c r="O28" s="778" t="s">
        <v>327</v>
      </c>
      <c r="P28" s="778" t="s">
        <v>680</v>
      </c>
      <c r="Q28" s="775"/>
    </row>
    <row r="29" spans="1:49" ht="14.25" customHeight="1">
      <c r="D29" s="844"/>
      <c r="E29" s="845"/>
      <c r="F29" s="846"/>
      <c r="J29" s="847"/>
    </row>
    <row r="30" spans="1:49" ht="14.25" customHeight="1"/>
    <row r="31" spans="1:49" ht="14.25" customHeight="1"/>
    <row r="32" spans="1:4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rotectedRanges>
    <protectedRange algorithmName="SHA-512" hashValue="+YK/Y20dUOl3cQu6ETW5rbpHwmU9b5jtjRXFMX528nGlo2Uh8FhVCPX1XlQPW0UJusIf2kHiQx/ME4tZkPnkFg==" saltValue="XidlSYFxr4qVTK8YufMl0g==" spinCount="100000" sqref="J7" name="Range1_17_2"/>
    <protectedRange algorithmName="SHA-512" hashValue="+YK/Y20dUOl3cQu6ETW5rbpHwmU9b5jtjRXFMX528nGlo2Uh8FhVCPX1XlQPW0UJusIf2kHiQx/ME4tZkPnkFg==" saltValue="XidlSYFxr4qVTK8YufMl0g==" spinCount="100000" sqref="J5" name="Range1_1_3_2"/>
    <protectedRange algorithmName="SHA-512" hashValue="+YK/Y20dUOl3cQu6ETW5rbpHwmU9b5jtjRXFMX528nGlo2Uh8FhVCPX1XlQPW0UJusIf2kHiQx/ME4tZkPnkFg==" saltValue="XidlSYFxr4qVTK8YufMl0g==" spinCount="100000" sqref="J17" name="Range1_2_3_2"/>
    <protectedRange algorithmName="SHA-512" hashValue="+YK/Y20dUOl3cQu6ETW5rbpHwmU9b5jtjRXFMX528nGlo2Uh8FhVCPX1XlQPW0UJusIf2kHiQx/ME4tZkPnkFg==" saltValue="XidlSYFxr4qVTK8YufMl0g==" spinCount="100000" sqref="J13" name="Range1_3_3_2"/>
    <protectedRange algorithmName="SHA-512" hashValue="+YK/Y20dUOl3cQu6ETW5rbpHwmU9b5jtjRXFMX528nGlo2Uh8FhVCPX1XlQPW0UJusIf2kHiQx/ME4tZkPnkFg==" saltValue="XidlSYFxr4qVTK8YufMl0g==" spinCount="100000" sqref="J10" name="Range1_4_3_2"/>
    <protectedRange algorithmName="SHA-512" hashValue="+YK/Y20dUOl3cQu6ETW5rbpHwmU9b5jtjRXFMX528nGlo2Uh8FhVCPX1XlQPW0UJusIf2kHiQx/ME4tZkPnkFg==" saltValue="XidlSYFxr4qVTK8YufMl0g==" spinCount="100000" sqref="J12" name="Range1_5_3_2"/>
    <protectedRange algorithmName="SHA-512" hashValue="+YK/Y20dUOl3cQu6ETW5rbpHwmU9b5jtjRXFMX528nGlo2Uh8FhVCPX1XlQPW0UJusIf2kHiQx/ME4tZkPnkFg==" saltValue="XidlSYFxr4qVTK8YufMl0g==" spinCount="100000" sqref="J9" name="Range1_6_3_2"/>
    <protectedRange algorithmName="SHA-512" hashValue="+YK/Y20dUOl3cQu6ETW5rbpHwmU9b5jtjRXFMX528nGlo2Uh8FhVCPX1XlQPW0UJusIf2kHiQx/ME4tZkPnkFg==" saltValue="XidlSYFxr4qVTK8YufMl0g==" spinCount="100000" sqref="J8" name="Range1_7_3_2"/>
    <protectedRange algorithmName="SHA-512" hashValue="+YK/Y20dUOl3cQu6ETW5rbpHwmU9b5jtjRXFMX528nGlo2Uh8FhVCPX1XlQPW0UJusIf2kHiQx/ME4tZkPnkFg==" saltValue="XidlSYFxr4qVTK8YufMl0g==" spinCount="100000" sqref="J18" name="Range1_8_3_2"/>
    <protectedRange algorithmName="SHA-512" hashValue="+YK/Y20dUOl3cQu6ETW5rbpHwmU9b5jtjRXFMX528nGlo2Uh8FhVCPX1XlQPW0UJusIf2kHiQx/ME4tZkPnkFg==" saltValue="XidlSYFxr4qVTK8YufMl0g==" spinCount="100000" sqref="J19" name="Range1_9_3_2"/>
    <protectedRange algorithmName="SHA-512" hashValue="+YK/Y20dUOl3cQu6ETW5rbpHwmU9b5jtjRXFMX528nGlo2Uh8FhVCPX1XlQPW0UJusIf2kHiQx/ME4tZkPnkFg==" saltValue="XidlSYFxr4qVTK8YufMl0g==" spinCount="100000" sqref="J14" name="Range1_10_3_2"/>
    <protectedRange algorithmName="SHA-512" hashValue="+YK/Y20dUOl3cQu6ETW5rbpHwmU9b5jtjRXFMX528nGlo2Uh8FhVCPX1XlQPW0UJusIf2kHiQx/ME4tZkPnkFg==" saltValue="XidlSYFxr4qVTK8YufMl0g==" spinCount="100000" sqref="J6" name="Range1_11_3_2"/>
    <protectedRange algorithmName="SHA-512" hashValue="+YK/Y20dUOl3cQu6ETW5rbpHwmU9b5jtjRXFMX528nGlo2Uh8FhVCPX1XlQPW0UJusIf2kHiQx/ME4tZkPnkFg==" saltValue="XidlSYFxr4qVTK8YufMl0g==" spinCount="100000" sqref="J3" name="Range1_12_3_2"/>
    <protectedRange algorithmName="SHA-512" hashValue="+YK/Y20dUOl3cQu6ETW5rbpHwmU9b5jtjRXFMX528nGlo2Uh8FhVCPX1XlQPW0UJusIf2kHiQx/ME4tZkPnkFg==" saltValue="XidlSYFxr4qVTK8YufMl0g==" spinCount="100000" sqref="J4" name="Range1_13_3_2"/>
    <protectedRange algorithmName="SHA-512" hashValue="+YK/Y20dUOl3cQu6ETW5rbpHwmU9b5jtjRXFMX528nGlo2Uh8FhVCPX1XlQPW0UJusIf2kHiQx/ME4tZkPnkFg==" saltValue="XidlSYFxr4qVTK8YufMl0g==" spinCount="100000" sqref="J15" name="Range1_14_3_2"/>
  </protectedRanges>
  <autoFilter ref="A2:Q28" xr:uid="{79AF859D-0BE7-47D1-BC63-72F719ADF32A}"/>
  <mergeCells count="1">
    <mergeCell ref="A1:Q1"/>
  </mergeCells>
  <hyperlinks>
    <hyperlink ref="J7" r:id="rId1" display="16,000+" xr:uid="{9628DE5B-CB49-483A-A67A-DA298023A908}"/>
    <hyperlink ref="J5" r:id="rId2" display="11400+" xr:uid="{0470C82F-E487-4547-9F0B-6B1E1431CD4E}"/>
    <hyperlink ref="J13" r:id="rId3" display="10,000+" xr:uid="{0EA10306-D1D9-4D95-A30B-F71EC0EAAD9A}"/>
    <hyperlink ref="J10" r:id="rId4" xr:uid="{7E1F0453-F3B0-450E-A865-45F1E03FA668}"/>
    <hyperlink ref="J12" r:id="rId5" xr:uid="{C10BED7F-A45D-4A02-8D7E-F4771ADC0C35}"/>
    <hyperlink ref="J9" r:id="rId6" xr:uid="{8C1273DB-BEEE-4345-8C85-9D326C689060}"/>
    <hyperlink ref="J8" r:id="rId7" xr:uid="{855F9D97-794B-45E5-9483-30B24382643F}"/>
    <hyperlink ref="J6" r:id="rId8" display="6,300+" xr:uid="{1253EB90-8F57-477A-8FAD-CE1177BE9E92}"/>
    <hyperlink ref="J3" r:id="rId9" display="11,500+" xr:uid="{FFDA4610-C57E-479C-B81D-BD7ECAC6AF77}"/>
    <hyperlink ref="J4" r:id="rId10" xr:uid="{7A3D9729-44A3-442D-AD3D-7F52C71C53E4}"/>
    <hyperlink ref="J11" r:id="rId11" xr:uid="{BD0D34FF-1D42-4FFC-A70C-30DCBC127579}"/>
    <hyperlink ref="J20" r:id="rId12" xr:uid="{96D1C47B-D816-45F8-8762-C20BAEC95290}"/>
    <hyperlink ref="J14" r:id="rId13" xr:uid="{BF74ECF5-0F7A-48F0-9CB4-0CDCD1E65652}"/>
    <hyperlink ref="J16" r:id="rId14" xr:uid="{7406BDAC-AFAD-4F59-876E-7F409BF44727}"/>
    <hyperlink ref="J15" r:id="rId15" display="6307" xr:uid="{F46F179B-8A00-4215-8C43-7121A8590F1B}"/>
    <hyperlink ref="J17" r:id="rId16" xr:uid="{52902BB4-4FC7-4E46-AF05-3F7314E0C848}"/>
    <hyperlink ref="J18" r:id="rId17" xr:uid="{FE29775E-EAE7-43BB-8C24-B2E5E034DA3E}"/>
    <hyperlink ref="J19" r:id="rId18" xr:uid="{55DB295D-590B-4870-A0AA-0D740F10F6FD}"/>
    <hyperlink ref="J21" r:id="rId19" display="16600+" xr:uid="{48BDA75B-E519-430F-A9E2-B79C226041BD}"/>
    <hyperlink ref="J22" r:id="rId20" display="4000+" xr:uid="{F012A670-2EDB-406A-A229-8F53318578A2}"/>
    <hyperlink ref="J23" r:id="rId21" xr:uid="{D11CC3DE-93CC-4F73-8A7D-BF166C2935E4}"/>
    <hyperlink ref="J24" r:id="rId22" display="5,000+" xr:uid="{DB7A3F5E-8740-462D-B732-87B1085EA706}"/>
    <hyperlink ref="J25" r:id="rId23" xr:uid="{D4073629-6C79-4D55-8943-C6D4D9516134}"/>
    <hyperlink ref="J28" r:id="rId24" xr:uid="{BA1A3393-1715-43A1-9512-838957F8D271}"/>
    <hyperlink ref="J27" r:id="rId25" display="10,000+" xr:uid="{CBB78DDD-2263-4756-BED2-095B78F3C18F}"/>
    <hyperlink ref="J26" r:id="rId26" xr:uid="{20FE2A73-C141-47AE-9DD7-5FEF16D84DD5}"/>
  </hyperlinks>
  <pageMargins left="0.7" right="0.7" top="0.75" bottom="0.75" header="0" footer="0"/>
  <pageSetup orientation="landscape" r:id="rId27"/>
  <legacyDrawing r:id="rId28"/>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13BFE-7F5D-44D9-A6A5-AB8E7F0B4BEB}">
  <sheetPr>
    <tabColor theme="0" tint="-0.34998626667073579"/>
  </sheetPr>
  <dimension ref="A1:K39"/>
  <sheetViews>
    <sheetView showGridLines="0" zoomScaleNormal="100" workbookViewId="0">
      <selection activeCell="F7" sqref="F7"/>
    </sheetView>
  </sheetViews>
  <sheetFormatPr defaultRowHeight="14.4"/>
  <cols>
    <col min="1" max="1" width="67.88671875" style="692" customWidth="1"/>
    <col min="2" max="2" width="19.44140625" style="692" customWidth="1"/>
    <col min="3" max="3" width="75.88671875" style="692" customWidth="1"/>
    <col min="4" max="5" width="19.5546875" style="692" customWidth="1"/>
    <col min="6" max="7" width="19.44140625" customWidth="1"/>
    <col min="8" max="8" width="19.44140625" style="692" customWidth="1"/>
    <col min="9" max="10" width="19.44140625" customWidth="1"/>
  </cols>
  <sheetData>
    <row r="1" spans="1:11" ht="33.6" customHeight="1">
      <c r="A1" s="693" t="s">
        <v>669</v>
      </c>
      <c r="B1" s="693"/>
      <c r="C1" s="693"/>
      <c r="D1" s="693"/>
      <c r="E1" s="693"/>
      <c r="F1" s="693"/>
      <c r="G1" s="693"/>
      <c r="H1" s="693"/>
      <c r="I1" s="693"/>
      <c r="J1" s="693"/>
    </row>
    <row r="2" spans="1:11" ht="57.6">
      <c r="A2" s="4" t="s">
        <v>182</v>
      </c>
      <c r="B2" s="682" t="s">
        <v>146</v>
      </c>
      <c r="C2" s="682" t="s">
        <v>147</v>
      </c>
      <c r="D2" s="682" t="s">
        <v>154</v>
      </c>
      <c r="E2" s="682" t="s">
        <v>155</v>
      </c>
      <c r="F2" s="682" t="s">
        <v>815</v>
      </c>
      <c r="G2" s="682" t="s">
        <v>816</v>
      </c>
      <c r="H2" s="682" t="s">
        <v>527</v>
      </c>
      <c r="I2" s="682" t="s">
        <v>158</v>
      </c>
      <c r="J2" s="682" t="s">
        <v>1119</v>
      </c>
    </row>
    <row r="3" spans="1:11" ht="14.4" customHeight="1">
      <c r="A3" s="157" t="s">
        <v>517</v>
      </c>
      <c r="B3" s="158">
        <v>2000</v>
      </c>
      <c r="C3" s="158" t="s">
        <v>817</v>
      </c>
      <c r="D3" s="805" t="s">
        <v>818</v>
      </c>
      <c r="E3" s="805" t="s">
        <v>819</v>
      </c>
      <c r="F3" s="684" t="s">
        <v>820</v>
      </c>
      <c r="G3" s="685">
        <v>0.96409999999999996</v>
      </c>
      <c r="H3" s="158">
        <v>1.92</v>
      </c>
      <c r="I3" s="686">
        <v>0.96850000000000003</v>
      </c>
      <c r="J3" s="687">
        <v>0.98899999999999999</v>
      </c>
    </row>
    <row r="4" spans="1:11" ht="14.4" customHeight="1">
      <c r="A4" s="157" t="s">
        <v>645</v>
      </c>
      <c r="B4" s="158">
        <v>2001</v>
      </c>
      <c r="C4" s="158" t="s">
        <v>821</v>
      </c>
      <c r="D4" s="805" t="s">
        <v>818</v>
      </c>
      <c r="E4" s="805" t="s">
        <v>819</v>
      </c>
      <c r="F4" s="799" t="s">
        <v>822</v>
      </c>
      <c r="G4" s="685">
        <v>0.7107</v>
      </c>
      <c r="H4" s="158">
        <v>1.75</v>
      </c>
      <c r="I4" s="687">
        <v>0.9869</v>
      </c>
      <c r="J4" s="687">
        <v>1</v>
      </c>
    </row>
    <row r="5" spans="1:11" ht="14.4" customHeight="1">
      <c r="A5" s="157" t="s">
        <v>823</v>
      </c>
      <c r="B5" s="158">
        <v>2021</v>
      </c>
      <c r="C5" s="158" t="s">
        <v>824</v>
      </c>
      <c r="D5" s="805" t="s">
        <v>818</v>
      </c>
      <c r="E5" s="805" t="s">
        <v>819</v>
      </c>
      <c r="F5" s="800" t="s">
        <v>825</v>
      </c>
      <c r="G5" s="685">
        <v>1.3668</v>
      </c>
      <c r="H5" s="688">
        <v>2.0699999999999998</v>
      </c>
      <c r="I5" s="689">
        <v>0.57540000000000002</v>
      </c>
      <c r="J5" s="687">
        <v>1</v>
      </c>
    </row>
    <row r="6" spans="1:11" ht="14.4" customHeight="1">
      <c r="A6" s="157" t="s">
        <v>94</v>
      </c>
      <c r="B6" s="158">
        <v>2007</v>
      </c>
      <c r="C6" s="158" t="s">
        <v>826</v>
      </c>
      <c r="D6" s="805" t="s">
        <v>827</v>
      </c>
      <c r="E6" s="805" t="s">
        <v>828</v>
      </c>
      <c r="F6" s="800" t="s">
        <v>829</v>
      </c>
      <c r="G6" s="685">
        <v>1.0354000000000001</v>
      </c>
      <c r="H6" s="688">
        <v>2.62</v>
      </c>
      <c r="I6" s="686">
        <v>0.92749999999999999</v>
      </c>
      <c r="J6" s="687">
        <v>0.97950000000000004</v>
      </c>
    </row>
    <row r="7" spans="1:11" ht="14.4" customHeight="1">
      <c r="A7" s="157" t="s">
        <v>830</v>
      </c>
      <c r="B7" s="158">
        <v>2000</v>
      </c>
      <c r="C7" s="158" t="s">
        <v>831</v>
      </c>
      <c r="D7" s="805" t="s">
        <v>818</v>
      </c>
      <c r="E7" s="805" t="s">
        <v>832</v>
      </c>
      <c r="F7" s="800" t="s">
        <v>833</v>
      </c>
      <c r="G7" s="690">
        <v>-0.31419999999999998</v>
      </c>
      <c r="H7" s="158">
        <v>1.72</v>
      </c>
      <c r="I7" s="686">
        <v>0.94030000000000002</v>
      </c>
      <c r="J7" s="687">
        <v>1</v>
      </c>
    </row>
    <row r="8" spans="1:11" ht="14.4" customHeight="1">
      <c r="A8" s="157" t="s">
        <v>93</v>
      </c>
      <c r="B8" s="158">
        <v>2000</v>
      </c>
      <c r="C8" s="158" t="s">
        <v>834</v>
      </c>
      <c r="D8" s="805" t="s">
        <v>818</v>
      </c>
      <c r="E8" s="805" t="s">
        <v>828</v>
      </c>
      <c r="F8" s="800" t="s">
        <v>835</v>
      </c>
      <c r="G8" s="690">
        <v>-0.314</v>
      </c>
      <c r="H8" s="158">
        <v>1.87</v>
      </c>
      <c r="I8" s="686">
        <v>0.96160000000000001</v>
      </c>
      <c r="J8" s="687">
        <v>0.99939999999999996</v>
      </c>
    </row>
    <row r="9" spans="1:11" ht="14.4" customHeight="1">
      <c r="A9" s="157" t="s">
        <v>629</v>
      </c>
      <c r="B9" s="158">
        <v>2000</v>
      </c>
      <c r="C9" s="158" t="s">
        <v>836</v>
      </c>
      <c r="D9" s="805" t="s">
        <v>818</v>
      </c>
      <c r="E9" s="805" t="s">
        <v>828</v>
      </c>
      <c r="F9" s="800" t="s">
        <v>837</v>
      </c>
      <c r="G9" s="690">
        <v>-0.2228</v>
      </c>
      <c r="H9" s="158">
        <v>1.78</v>
      </c>
      <c r="I9" s="687">
        <v>0.98009999999999997</v>
      </c>
      <c r="J9" s="687">
        <v>1</v>
      </c>
    </row>
    <row r="10" spans="1:11" ht="14.4" customHeight="1">
      <c r="A10" s="157" t="s">
        <v>637</v>
      </c>
      <c r="B10" s="158">
        <v>2001</v>
      </c>
      <c r="C10" s="158" t="s">
        <v>838</v>
      </c>
      <c r="D10" s="805" t="s">
        <v>818</v>
      </c>
      <c r="E10" s="805" t="s">
        <v>819</v>
      </c>
      <c r="F10" s="799" t="s">
        <v>839</v>
      </c>
      <c r="G10" s="690">
        <v>-8.3699999999999997E-2</v>
      </c>
      <c r="H10" s="688">
        <v>4.32</v>
      </c>
      <c r="I10" s="686">
        <v>0.97819999999999996</v>
      </c>
      <c r="J10" s="687">
        <v>0.99990000000000001</v>
      </c>
    </row>
    <row r="11" spans="1:11" ht="14.4" customHeight="1">
      <c r="A11" s="157" t="s">
        <v>840</v>
      </c>
      <c r="B11" s="158">
        <v>2001</v>
      </c>
      <c r="C11" s="691" t="s">
        <v>841</v>
      </c>
      <c r="D11" s="805" t="s">
        <v>818</v>
      </c>
      <c r="E11" s="805" t="s">
        <v>832</v>
      </c>
      <c r="F11" s="800" t="s">
        <v>842</v>
      </c>
      <c r="G11" s="690">
        <v>-0.34150000000000003</v>
      </c>
      <c r="H11" s="158">
        <v>1.71</v>
      </c>
      <c r="I11" s="687">
        <v>0.98250000000000004</v>
      </c>
      <c r="J11" s="687">
        <v>0.998</v>
      </c>
    </row>
    <row r="12" spans="1:11" ht="14.4" customHeight="1">
      <c r="A12" s="157" t="s">
        <v>843</v>
      </c>
      <c r="B12" s="158">
        <v>2001</v>
      </c>
      <c r="C12" s="158" t="s">
        <v>844</v>
      </c>
      <c r="D12" s="805" t="s">
        <v>818</v>
      </c>
      <c r="E12" s="805" t="s">
        <v>832</v>
      </c>
      <c r="F12" s="799" t="s">
        <v>845</v>
      </c>
      <c r="G12" s="690">
        <v>-0.16869999999999999</v>
      </c>
      <c r="H12" s="158">
        <v>1.96</v>
      </c>
      <c r="I12" s="687">
        <v>0.98229999999999995</v>
      </c>
      <c r="J12" s="687">
        <v>0.99950000000000006</v>
      </c>
    </row>
    <row r="13" spans="1:11" ht="14.4" customHeight="1">
      <c r="A13" s="157" t="s">
        <v>846</v>
      </c>
      <c r="B13" s="699">
        <v>2007</v>
      </c>
      <c r="C13" s="699" t="s">
        <v>847</v>
      </c>
      <c r="D13" s="805" t="s">
        <v>818</v>
      </c>
      <c r="E13" s="805" t="s">
        <v>832</v>
      </c>
      <c r="F13" s="801" t="s">
        <v>848</v>
      </c>
      <c r="G13" s="700">
        <v>-0.31169999999999998</v>
      </c>
      <c r="H13" s="701">
        <v>2.0299999999999998</v>
      </c>
      <c r="I13" s="702">
        <v>0.97419999999999995</v>
      </c>
      <c r="J13" s="703">
        <v>0.98660000000000003</v>
      </c>
    </row>
    <row r="14" spans="1:11">
      <c r="A14" s="698" t="s">
        <v>849</v>
      </c>
      <c r="B14" s="704">
        <v>2022</v>
      </c>
      <c r="C14" s="704" t="s">
        <v>850</v>
      </c>
      <c r="D14" s="704"/>
      <c r="E14" s="704"/>
      <c r="F14" s="683"/>
      <c r="G14" s="683"/>
      <c r="H14" s="704">
        <v>2.36</v>
      </c>
      <c r="I14" s="683"/>
      <c r="J14" s="683"/>
      <c r="K14" s="106"/>
    </row>
    <row r="15" spans="1:11">
      <c r="A15" s="698" t="s">
        <v>851</v>
      </c>
      <c r="B15" s="704">
        <v>2000</v>
      </c>
      <c r="C15" s="704" t="s">
        <v>852</v>
      </c>
      <c r="D15" s="704"/>
      <c r="E15" s="704"/>
      <c r="F15" s="683"/>
      <c r="G15" s="683"/>
      <c r="H15" s="704">
        <v>1.78</v>
      </c>
      <c r="I15" s="683"/>
      <c r="J15" s="683"/>
      <c r="K15" s="106"/>
    </row>
    <row r="16" spans="1:11">
      <c r="A16" s="698" t="s">
        <v>853</v>
      </c>
      <c r="B16" s="704">
        <v>2007</v>
      </c>
      <c r="C16" s="704" t="s">
        <v>854</v>
      </c>
      <c r="D16" s="704"/>
      <c r="E16" s="704"/>
      <c r="F16" s="683"/>
      <c r="G16" s="683"/>
      <c r="H16" s="704">
        <v>2.97</v>
      </c>
      <c r="I16" s="683"/>
      <c r="J16" s="683"/>
      <c r="K16" s="106"/>
    </row>
    <row r="17" spans="1:11">
      <c r="A17" s="698" t="s">
        <v>855</v>
      </c>
      <c r="B17" s="704">
        <v>2002</v>
      </c>
      <c r="C17" s="704" t="s">
        <v>856</v>
      </c>
      <c r="D17" s="704"/>
      <c r="E17" s="704"/>
      <c r="F17" s="683"/>
      <c r="G17" s="683"/>
      <c r="H17" s="704">
        <v>1.83</v>
      </c>
      <c r="I17" s="683"/>
      <c r="J17" s="683"/>
      <c r="K17" s="106"/>
    </row>
    <row r="18" spans="1:11">
      <c r="A18" s="698" t="s">
        <v>857</v>
      </c>
      <c r="B18" s="704">
        <v>2001</v>
      </c>
      <c r="C18" s="704" t="s">
        <v>858</v>
      </c>
      <c r="D18" s="704"/>
      <c r="E18" s="704"/>
      <c r="F18" s="683"/>
      <c r="G18" s="683"/>
      <c r="H18" s="704">
        <v>4.32</v>
      </c>
      <c r="I18" s="683"/>
      <c r="J18" s="683"/>
      <c r="K18" s="106"/>
    </row>
    <row r="19" spans="1:11">
      <c r="A19" s="698" t="s">
        <v>859</v>
      </c>
      <c r="B19" s="704">
        <v>2008</v>
      </c>
      <c r="C19" s="704" t="s">
        <v>860</v>
      </c>
      <c r="D19" s="704"/>
      <c r="E19" s="704"/>
      <c r="F19" s="683"/>
      <c r="G19" s="683"/>
      <c r="H19" s="704">
        <v>2.48</v>
      </c>
      <c r="I19" s="683"/>
      <c r="J19" s="683"/>
      <c r="K19" s="106"/>
    </row>
    <row r="20" spans="1:11">
      <c r="A20" s="698" t="s">
        <v>861</v>
      </c>
      <c r="B20" s="704">
        <v>2005</v>
      </c>
      <c r="C20" s="704" t="s">
        <v>862</v>
      </c>
      <c r="D20" s="704"/>
      <c r="E20" s="704"/>
      <c r="F20" s="683"/>
      <c r="G20" s="683"/>
      <c r="H20" s="704">
        <v>1.62</v>
      </c>
      <c r="I20" s="683"/>
      <c r="J20" s="683"/>
      <c r="K20" s="106"/>
    </row>
    <row r="21" spans="1:11">
      <c r="A21" s="698" t="s">
        <v>863</v>
      </c>
      <c r="B21" s="704">
        <v>2008</v>
      </c>
      <c r="C21" s="704" t="s">
        <v>864</v>
      </c>
      <c r="D21" s="704"/>
      <c r="E21" s="704"/>
      <c r="F21" s="683"/>
      <c r="G21" s="683"/>
      <c r="H21" s="704">
        <v>2.13</v>
      </c>
      <c r="I21" s="683"/>
      <c r="J21" s="683"/>
      <c r="K21" s="106"/>
    </row>
    <row r="22" spans="1:11">
      <c r="A22" s="698" t="s">
        <v>865</v>
      </c>
      <c r="B22" s="704">
        <v>2019</v>
      </c>
      <c r="C22" s="704" t="s">
        <v>866</v>
      </c>
      <c r="D22" s="704"/>
      <c r="E22" s="704"/>
      <c r="F22" s="683"/>
      <c r="G22" s="683"/>
      <c r="H22" s="704">
        <v>3.35</v>
      </c>
      <c r="I22" s="683"/>
      <c r="J22" s="683"/>
      <c r="K22" s="106"/>
    </row>
    <row r="23" spans="1:11">
      <c r="A23" s="698" t="s">
        <v>867</v>
      </c>
      <c r="B23" s="704">
        <v>2011</v>
      </c>
      <c r="C23" s="704" t="s">
        <v>868</v>
      </c>
      <c r="D23" s="704"/>
      <c r="E23" s="704"/>
      <c r="F23" s="683"/>
      <c r="G23" s="683"/>
      <c r="H23" s="704">
        <v>1.79</v>
      </c>
      <c r="I23" s="683"/>
      <c r="J23" s="683"/>
      <c r="K23" s="106"/>
    </row>
    <row r="24" spans="1:11">
      <c r="A24" s="698" t="s">
        <v>869</v>
      </c>
      <c r="B24" s="704">
        <v>2007</v>
      </c>
      <c r="C24" s="704" t="s">
        <v>870</v>
      </c>
      <c r="D24" s="704"/>
      <c r="E24" s="704"/>
      <c r="F24" s="683"/>
      <c r="G24" s="683"/>
      <c r="H24" s="704">
        <v>1.83</v>
      </c>
      <c r="I24" s="683"/>
      <c r="J24" s="683"/>
      <c r="K24" s="106"/>
    </row>
    <row r="25" spans="1:11">
      <c r="A25" s="698" t="s">
        <v>871</v>
      </c>
      <c r="B25" s="704">
        <v>2021</v>
      </c>
      <c r="C25" s="704" t="s">
        <v>872</v>
      </c>
      <c r="D25" s="704"/>
      <c r="E25" s="704"/>
      <c r="F25" s="683"/>
      <c r="G25" s="683"/>
      <c r="H25" s="704">
        <v>2.0699999999999998</v>
      </c>
      <c r="I25" s="683"/>
      <c r="J25" s="683"/>
      <c r="K25" s="106"/>
    </row>
    <row r="26" spans="1:11">
      <c r="A26" s="698" t="s">
        <v>873</v>
      </c>
      <c r="B26" s="704">
        <v>2000</v>
      </c>
      <c r="C26" s="704" t="s">
        <v>874</v>
      </c>
      <c r="D26" s="704"/>
      <c r="E26" s="704"/>
      <c r="F26" s="683"/>
      <c r="G26" s="683"/>
      <c r="H26" s="704">
        <v>1.87</v>
      </c>
      <c r="I26" s="683"/>
      <c r="J26" s="683"/>
      <c r="K26" s="106"/>
    </row>
    <row r="27" spans="1:11">
      <c r="A27" s="698" t="s">
        <v>875</v>
      </c>
      <c r="B27" s="704">
        <v>2009</v>
      </c>
      <c r="C27" s="704" t="s">
        <v>876</v>
      </c>
      <c r="D27" s="704"/>
      <c r="E27" s="704"/>
      <c r="F27" s="683"/>
      <c r="G27" s="683"/>
      <c r="H27" s="704">
        <v>2.0099999999999998</v>
      </c>
      <c r="I27" s="683"/>
      <c r="J27" s="683"/>
      <c r="K27" s="106"/>
    </row>
    <row r="28" spans="1:11">
      <c r="A28" s="698" t="s">
        <v>877</v>
      </c>
      <c r="B28" s="704">
        <v>2001</v>
      </c>
      <c r="C28" s="704" t="s">
        <v>878</v>
      </c>
      <c r="D28" s="704"/>
      <c r="E28" s="704"/>
      <c r="F28" s="683"/>
      <c r="G28" s="683"/>
      <c r="H28" s="704">
        <v>2.56</v>
      </c>
      <c r="I28" s="683"/>
      <c r="J28" s="683"/>
      <c r="K28" s="106"/>
    </row>
    <row r="29" spans="1:11">
      <c r="A29" s="698" t="s">
        <v>879</v>
      </c>
      <c r="B29" s="704">
        <v>2000</v>
      </c>
      <c r="C29" s="704" t="s">
        <v>880</v>
      </c>
      <c r="D29" s="704"/>
      <c r="E29" s="704"/>
      <c r="F29" s="683"/>
      <c r="G29" s="683"/>
      <c r="H29" s="704">
        <v>1.72</v>
      </c>
      <c r="I29" s="683"/>
      <c r="J29" s="683"/>
      <c r="K29" s="106"/>
    </row>
    <row r="30" spans="1:11">
      <c r="A30" s="698" t="s">
        <v>881</v>
      </c>
      <c r="B30" s="704">
        <v>2001</v>
      </c>
      <c r="C30" s="704" t="s">
        <v>882</v>
      </c>
      <c r="D30" s="704"/>
      <c r="E30" s="704"/>
      <c r="F30" s="683"/>
      <c r="G30" s="683"/>
      <c r="H30" s="704">
        <v>1.71</v>
      </c>
      <c r="I30" s="683"/>
      <c r="J30" s="683"/>
      <c r="K30" s="106"/>
    </row>
    <row r="31" spans="1:11">
      <c r="A31" s="698" t="s">
        <v>883</v>
      </c>
      <c r="B31" s="704">
        <v>2008</v>
      </c>
      <c r="C31" s="704" t="s">
        <v>884</v>
      </c>
      <c r="D31" s="704"/>
      <c r="E31" s="704"/>
      <c r="F31" s="683"/>
      <c r="G31" s="683"/>
      <c r="H31" s="704">
        <v>2.62</v>
      </c>
      <c r="I31" s="683"/>
      <c r="J31" s="683"/>
      <c r="K31" s="106"/>
    </row>
    <row r="32" spans="1:11">
      <c r="A32" s="698" t="s">
        <v>885</v>
      </c>
      <c r="B32" s="704">
        <v>2001</v>
      </c>
      <c r="C32" s="704" t="s">
        <v>886</v>
      </c>
      <c r="D32" s="704"/>
      <c r="E32" s="704"/>
      <c r="F32" s="683"/>
      <c r="G32" s="683"/>
      <c r="H32" s="704">
        <v>2.27</v>
      </c>
      <c r="I32" s="683"/>
      <c r="J32" s="683"/>
      <c r="K32" s="106"/>
    </row>
    <row r="33" spans="1:11">
      <c r="A33" s="698" t="s">
        <v>887</v>
      </c>
      <c r="B33" s="704">
        <v>2004</v>
      </c>
      <c r="C33" s="704" t="s">
        <v>888</v>
      </c>
      <c r="D33" s="704"/>
      <c r="E33" s="704"/>
      <c r="F33" s="683"/>
      <c r="G33" s="683"/>
      <c r="H33" s="704"/>
      <c r="I33" s="683"/>
      <c r="J33" s="683"/>
      <c r="K33" s="106"/>
    </row>
    <row r="34" spans="1:11">
      <c r="A34" s="698" t="s">
        <v>889</v>
      </c>
      <c r="B34" s="704">
        <v>2001</v>
      </c>
      <c r="C34" s="704" t="s">
        <v>890</v>
      </c>
      <c r="D34" s="704"/>
      <c r="E34" s="704"/>
      <c r="F34" s="683"/>
      <c r="G34" s="683"/>
      <c r="H34" s="704">
        <v>1.96</v>
      </c>
      <c r="I34" s="683"/>
      <c r="J34" s="683"/>
      <c r="K34" s="106"/>
    </row>
    <row r="35" spans="1:11">
      <c r="A35" s="698" t="s">
        <v>891</v>
      </c>
      <c r="B35" s="704">
        <v>2005</v>
      </c>
      <c r="C35" s="704" t="s">
        <v>892</v>
      </c>
      <c r="D35" s="704"/>
      <c r="E35" s="704"/>
      <c r="F35" s="683"/>
      <c r="G35" s="683"/>
      <c r="H35" s="704">
        <v>2.06</v>
      </c>
      <c r="I35" s="683"/>
      <c r="J35" s="683"/>
      <c r="K35" s="106"/>
    </row>
    <row r="36" spans="1:11">
      <c r="A36" s="698" t="s">
        <v>893</v>
      </c>
      <c r="B36" s="704">
        <v>2007</v>
      </c>
      <c r="C36" s="704" t="s">
        <v>894</v>
      </c>
      <c r="D36" s="704"/>
      <c r="E36" s="704"/>
      <c r="F36" s="683"/>
      <c r="G36" s="683"/>
      <c r="H36" s="704">
        <v>2.0299999999999998</v>
      </c>
      <c r="I36" s="683"/>
      <c r="J36" s="683"/>
      <c r="K36" s="106"/>
    </row>
    <row r="37" spans="1:11">
      <c r="A37" s="698" t="s">
        <v>895</v>
      </c>
      <c r="B37" s="704">
        <v>2001</v>
      </c>
      <c r="C37" s="704" t="s">
        <v>896</v>
      </c>
      <c r="D37" s="704"/>
      <c r="E37" s="704"/>
      <c r="F37" s="683"/>
      <c r="G37" s="683"/>
      <c r="H37" s="704">
        <v>1.75</v>
      </c>
      <c r="I37" s="683"/>
      <c r="J37" s="683"/>
      <c r="K37" s="106"/>
    </row>
    <row r="38" spans="1:11">
      <c r="A38" s="698" t="s">
        <v>897</v>
      </c>
      <c r="B38" s="704">
        <v>1956</v>
      </c>
      <c r="C38" s="704" t="s">
        <v>898</v>
      </c>
      <c r="D38" s="704"/>
      <c r="E38" s="704"/>
      <c r="F38" s="683"/>
      <c r="G38" s="683"/>
      <c r="H38" s="704"/>
      <c r="I38" s="683"/>
      <c r="J38" s="683"/>
      <c r="K38" s="106"/>
    </row>
    <row r="39" spans="1:11" ht="14.4" customHeight="1">
      <c r="B39" s="336"/>
      <c r="C39" s="336"/>
      <c r="D39" s="336"/>
      <c r="E39" s="336"/>
      <c r="F39" s="106"/>
      <c r="G39" s="106"/>
      <c r="H39" s="336"/>
      <c r="I39" s="106"/>
      <c r="J39" s="10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0A980-1D09-45C2-83A3-8609A303C9B3}">
  <sheetPr codeName="Sheet25"/>
  <dimension ref="A1:P88"/>
  <sheetViews>
    <sheetView showGridLines="0" topLeftCell="A38" zoomScaleNormal="100" workbookViewId="0">
      <selection activeCell="H49" sqref="H49"/>
    </sheetView>
  </sheetViews>
  <sheetFormatPr defaultColWidth="8.5546875" defaultRowHeight="14.4"/>
  <cols>
    <col min="1" max="6" width="13.44140625" style="1131" customWidth="1"/>
    <col min="7" max="7" width="15.33203125" style="1131" customWidth="1"/>
    <col min="8" max="8" width="16.44140625" style="1131" customWidth="1"/>
    <col min="9" max="9" width="8.5546875" style="1131"/>
    <col min="10" max="11" width="16.33203125" style="1131" customWidth="1"/>
    <col min="12" max="12" width="9.44140625" style="1131" bestFit="1" customWidth="1"/>
    <col min="13" max="16384" width="8.5546875" style="1131"/>
  </cols>
  <sheetData>
    <row r="1" spans="1:16" ht="18">
      <c r="A1" s="1130" t="str">
        <f>Inputs!B5</f>
        <v>Bandana Gupta Class</v>
      </c>
      <c r="B1" s="1141"/>
      <c r="C1" s="1141"/>
      <c r="D1" s="1141"/>
      <c r="E1" s="1143"/>
      <c r="F1" s="1143"/>
    </row>
    <row r="2" spans="1:16">
      <c r="A2" s="1517" t="s">
        <v>899</v>
      </c>
      <c r="B2" s="1517"/>
      <c r="C2" s="1517"/>
      <c r="D2" s="1517"/>
      <c r="E2" s="1517"/>
      <c r="F2" s="1517"/>
      <c r="G2" s="1517"/>
      <c r="J2" s="1142" t="s">
        <v>900</v>
      </c>
    </row>
    <row r="3" spans="1:16">
      <c r="A3" s="1514" t="s">
        <v>658</v>
      </c>
      <c r="B3" s="1515"/>
      <c r="C3" s="1515"/>
      <c r="D3" s="1515"/>
      <c r="E3" s="1515"/>
      <c r="F3" s="1515"/>
      <c r="G3" s="1516"/>
      <c r="J3" s="648" t="s">
        <v>403</v>
      </c>
      <c r="K3" s="649" t="s">
        <v>901</v>
      </c>
    </row>
    <row r="4" spans="1:16" ht="27.6">
      <c r="A4" s="671" t="s">
        <v>659</v>
      </c>
      <c r="B4" s="672" t="s">
        <v>660</v>
      </c>
      <c r="C4" s="672" t="s">
        <v>902</v>
      </c>
      <c r="D4" s="672" t="s">
        <v>903</v>
      </c>
      <c r="E4" s="672" t="s">
        <v>904</v>
      </c>
      <c r="F4" s="672" t="s">
        <v>905</v>
      </c>
      <c r="G4" s="672" t="s">
        <v>906</v>
      </c>
      <c r="J4" s="1137" t="s">
        <v>907</v>
      </c>
      <c r="K4" s="651">
        <v>28800</v>
      </c>
    </row>
    <row r="5" spans="1:16">
      <c r="A5" s="670" t="s">
        <v>661</v>
      </c>
      <c r="B5" s="669">
        <v>8866</v>
      </c>
      <c r="C5" s="669">
        <v>12753</v>
      </c>
      <c r="D5" s="669">
        <v>13445</v>
      </c>
      <c r="E5" s="669">
        <v>14203</v>
      </c>
      <c r="F5" s="669">
        <v>16233</v>
      </c>
      <c r="G5" s="669">
        <v>18244</v>
      </c>
    </row>
    <row r="6" spans="1:16">
      <c r="A6" s="670" t="s">
        <v>662</v>
      </c>
      <c r="B6" s="669">
        <v>15206</v>
      </c>
      <c r="C6" s="669">
        <v>21615</v>
      </c>
      <c r="D6" s="669">
        <v>22018</v>
      </c>
      <c r="E6" s="669">
        <v>22626</v>
      </c>
      <c r="F6" s="669">
        <v>24365</v>
      </c>
      <c r="G6" s="669">
        <v>26231</v>
      </c>
      <c r="O6" s="1139"/>
      <c r="P6" s="1139"/>
    </row>
    <row r="7" spans="1:16">
      <c r="A7" s="670" t="s">
        <v>663</v>
      </c>
      <c r="B7" s="669">
        <v>29100</v>
      </c>
      <c r="C7" s="669">
        <v>42784</v>
      </c>
      <c r="D7" s="669">
        <v>43755</v>
      </c>
      <c r="E7" s="669">
        <v>44932</v>
      </c>
      <c r="F7" s="669">
        <v>47146</v>
      </c>
      <c r="G7" s="669">
        <v>49382</v>
      </c>
      <c r="J7" s="1139"/>
      <c r="K7" s="1139"/>
      <c r="L7" s="1139"/>
      <c r="M7" s="1139"/>
      <c r="N7" s="1139"/>
      <c r="O7" s="1139"/>
      <c r="P7" s="1139"/>
    </row>
    <row r="8" spans="1:16">
      <c r="A8" s="670" t="s">
        <v>664</v>
      </c>
      <c r="B8" s="669">
        <v>43649</v>
      </c>
      <c r="C8" s="669">
        <v>68454</v>
      </c>
      <c r="D8" s="669">
        <v>70008</v>
      </c>
      <c r="E8" s="669">
        <v>71891</v>
      </c>
      <c r="F8" s="669">
        <v>75434</v>
      </c>
      <c r="G8" s="669">
        <v>79010</v>
      </c>
      <c r="J8" s="1139"/>
      <c r="K8" s="1139"/>
      <c r="L8" s="1139"/>
      <c r="M8" s="1139"/>
      <c r="N8" s="1139"/>
      <c r="O8" s="1139"/>
      <c r="P8" s="1139"/>
    </row>
    <row r="9" spans="1:16">
      <c r="A9" s="1141"/>
      <c r="B9" s="1141"/>
      <c r="C9" s="1141"/>
      <c r="D9" s="1141"/>
      <c r="E9" s="1141"/>
      <c r="F9" s="1141"/>
      <c r="G9" s="1141"/>
      <c r="J9" s="1139"/>
      <c r="K9" s="1139"/>
      <c r="L9" s="1139"/>
      <c r="M9" s="1139"/>
      <c r="N9" s="1139"/>
    </row>
    <row r="10" spans="1:16">
      <c r="A10" s="1517" t="s">
        <v>899</v>
      </c>
      <c r="B10" s="1517"/>
      <c r="C10" s="1517"/>
      <c r="D10" s="1140"/>
      <c r="E10" s="1140"/>
      <c r="F10" s="1140"/>
      <c r="G10" s="1140"/>
      <c r="J10" s="1142" t="s">
        <v>908</v>
      </c>
      <c r="L10" s="1139"/>
    </row>
    <row r="11" spans="1:16">
      <c r="A11" s="1512" t="s">
        <v>658</v>
      </c>
      <c r="B11" s="1513"/>
      <c r="C11" s="1513"/>
      <c r="D11" s="1138"/>
      <c r="E11" s="1138"/>
      <c r="F11" s="1138"/>
      <c r="G11" s="1138"/>
      <c r="J11" s="648" t="s">
        <v>403</v>
      </c>
      <c r="K11" s="649" t="s">
        <v>909</v>
      </c>
      <c r="L11" s="1139"/>
    </row>
    <row r="12" spans="1:16" ht="28.8">
      <c r="A12" s="650" t="s">
        <v>659</v>
      </c>
      <c r="B12" s="650" t="s">
        <v>660</v>
      </c>
      <c r="C12" s="650" t="s">
        <v>902</v>
      </c>
      <c r="D12" s="1138"/>
      <c r="E12" s="1138"/>
      <c r="F12" s="1138"/>
      <c r="G12" s="1138"/>
      <c r="J12" s="1137" t="s">
        <v>907</v>
      </c>
      <c r="K12" s="651">
        <v>91000</v>
      </c>
      <c r="L12" s="1139"/>
    </row>
    <row r="13" spans="1:16">
      <c r="A13" s="670" t="s">
        <v>662</v>
      </c>
      <c r="B13" s="669">
        <v>15206</v>
      </c>
      <c r="C13" s="669">
        <v>21615</v>
      </c>
      <c r="D13" s="1138"/>
      <c r="E13" s="1138"/>
      <c r="F13" s="1138"/>
      <c r="G13" s="1138"/>
      <c r="L13" s="1139"/>
    </row>
    <row r="14" spans="1:16">
      <c r="A14" s="670" t="s">
        <v>663</v>
      </c>
      <c r="B14" s="669">
        <v>29100</v>
      </c>
      <c r="C14" s="669">
        <v>42784</v>
      </c>
      <c r="D14" s="1138"/>
      <c r="E14" s="1138"/>
      <c r="F14" s="1138"/>
      <c r="G14" s="1138"/>
      <c r="J14" s="1131" t="s">
        <v>910</v>
      </c>
      <c r="L14" s="1139"/>
    </row>
    <row r="15" spans="1:16">
      <c r="A15" s="670" t="s">
        <v>664</v>
      </c>
      <c r="B15" s="669">
        <v>43649</v>
      </c>
      <c r="C15" s="669">
        <v>68454</v>
      </c>
      <c r="D15" s="1138"/>
      <c r="E15" s="1138"/>
      <c r="F15" s="1138"/>
      <c r="G15" s="1138"/>
      <c r="L15" s="1139"/>
    </row>
    <row r="16" spans="1:16">
      <c r="A16" s="1138"/>
      <c r="B16" s="1138"/>
      <c r="C16" s="1138"/>
      <c r="D16" s="1138"/>
      <c r="E16" s="1138"/>
      <c r="F16" s="1138"/>
      <c r="G16" s="1138"/>
    </row>
    <row r="17" spans="1:14">
      <c r="A17" s="1517" t="s">
        <v>899</v>
      </c>
      <c r="B17" s="1517"/>
      <c r="C17" s="1517"/>
      <c r="D17" s="1517"/>
      <c r="E17" s="1517"/>
      <c r="F17" s="1517"/>
      <c r="G17" s="1517"/>
      <c r="J17" s="1142" t="s">
        <v>900</v>
      </c>
    </row>
    <row r="18" spans="1:14">
      <c r="A18" s="1514" t="s">
        <v>911</v>
      </c>
      <c r="B18" s="1515"/>
      <c r="C18" s="1515"/>
      <c r="D18" s="1515"/>
      <c r="E18" s="1515"/>
      <c r="F18" s="1515"/>
      <c r="G18" s="1516"/>
      <c r="J18" s="648" t="s">
        <v>403</v>
      </c>
      <c r="K18" s="649" t="s">
        <v>901</v>
      </c>
    </row>
    <row r="19" spans="1:14" ht="27.6">
      <c r="A19" s="671" t="s">
        <v>659</v>
      </c>
      <c r="B19" s="672" t="s">
        <v>660</v>
      </c>
      <c r="C19" s="672" t="s">
        <v>902</v>
      </c>
      <c r="D19" s="672" t="s">
        <v>903</v>
      </c>
      <c r="E19" s="672" t="s">
        <v>904</v>
      </c>
      <c r="F19" s="672" t="s">
        <v>905</v>
      </c>
      <c r="G19" s="672" t="s">
        <v>905</v>
      </c>
      <c r="J19" s="1137" t="s">
        <v>912</v>
      </c>
      <c r="K19" s="651">
        <v>29180</v>
      </c>
    </row>
    <row r="20" spans="1:14">
      <c r="A20" s="670" t="s">
        <v>661</v>
      </c>
      <c r="B20" s="669">
        <v>4868</v>
      </c>
      <c r="C20" s="669">
        <v>6930</v>
      </c>
      <c r="D20" s="669">
        <v>7295</v>
      </c>
      <c r="E20" s="669">
        <v>7708</v>
      </c>
      <c r="F20" s="669">
        <v>8756</v>
      </c>
      <c r="G20" s="669">
        <v>9723</v>
      </c>
    </row>
    <row r="21" spans="1:14">
      <c r="A21" s="670" t="s">
        <v>662</v>
      </c>
      <c r="B21" s="669">
        <v>9277</v>
      </c>
      <c r="C21" s="669">
        <v>13180</v>
      </c>
      <c r="D21" s="669">
        <v>13322</v>
      </c>
      <c r="E21" s="669">
        <v>13590</v>
      </c>
      <c r="F21" s="669">
        <v>14493</v>
      </c>
      <c r="G21" s="669">
        <v>15485</v>
      </c>
    </row>
    <row r="22" spans="1:14">
      <c r="A22" s="670" t="s">
        <v>663</v>
      </c>
      <c r="B22" s="669">
        <v>19501</v>
      </c>
      <c r="C22" s="669">
        <v>28715</v>
      </c>
      <c r="D22" s="669">
        <v>29209</v>
      </c>
      <c r="E22" s="669">
        <v>29794</v>
      </c>
      <c r="F22" s="669">
        <v>30982</v>
      </c>
      <c r="G22" s="669">
        <v>32200</v>
      </c>
      <c r="J22" s="1139"/>
      <c r="K22" s="1139"/>
      <c r="L22" s="1139"/>
      <c r="M22" s="1139"/>
      <c r="N22" s="1139"/>
    </row>
    <row r="23" spans="1:14">
      <c r="A23" s="670" t="s">
        <v>664</v>
      </c>
      <c r="B23" s="669">
        <v>29251</v>
      </c>
      <c r="C23" s="669">
        <v>45943</v>
      </c>
      <c r="D23" s="669">
        <v>46735</v>
      </c>
      <c r="E23" s="669">
        <v>47671</v>
      </c>
      <c r="F23" s="669">
        <v>49571</v>
      </c>
      <c r="G23" s="669">
        <v>51520</v>
      </c>
      <c r="J23" s="1139"/>
      <c r="K23" s="1139"/>
      <c r="L23" s="1139"/>
      <c r="M23" s="1139"/>
      <c r="N23" s="1139"/>
    </row>
    <row r="24" spans="1:14">
      <c r="A24" s="1141"/>
      <c r="B24" s="1141"/>
      <c r="C24" s="1141"/>
      <c r="D24" s="1141"/>
      <c r="E24" s="1141"/>
      <c r="F24" s="1141"/>
      <c r="G24" s="1138"/>
      <c r="L24" s="1139"/>
      <c r="M24" s="1139"/>
      <c r="N24" s="1139"/>
    </row>
    <row r="25" spans="1:14">
      <c r="A25" s="1517" t="s">
        <v>899</v>
      </c>
      <c r="B25" s="1517"/>
      <c r="C25" s="1517"/>
      <c r="D25" s="1141"/>
      <c r="E25" s="1141"/>
      <c r="F25" s="1141"/>
      <c r="G25" s="1138"/>
      <c r="J25" s="1142" t="s">
        <v>908</v>
      </c>
      <c r="L25" s="1139"/>
      <c r="M25" s="1139"/>
      <c r="N25" s="1139"/>
    </row>
    <row r="26" spans="1:14">
      <c r="A26" s="1512" t="s">
        <v>911</v>
      </c>
      <c r="B26" s="1513"/>
      <c r="C26" s="1513"/>
      <c r="D26" s="1138"/>
      <c r="E26" s="1138"/>
      <c r="F26" s="1138"/>
      <c r="G26" s="1138"/>
      <c r="J26" s="648" t="s">
        <v>403</v>
      </c>
      <c r="K26" s="649" t="s">
        <v>909</v>
      </c>
    </row>
    <row r="27" spans="1:14" ht="28.8">
      <c r="A27" s="650" t="s">
        <v>659</v>
      </c>
      <c r="B27" s="650" t="s">
        <v>660</v>
      </c>
      <c r="C27" s="650" t="s">
        <v>902</v>
      </c>
      <c r="D27" s="1138"/>
      <c r="E27" s="1138"/>
      <c r="F27" s="1138"/>
      <c r="G27" s="1138"/>
      <c r="J27" s="1137" t="s">
        <v>907</v>
      </c>
      <c r="K27" s="651">
        <v>92500</v>
      </c>
    </row>
    <row r="28" spans="1:14">
      <c r="A28" s="670" t="s">
        <v>662</v>
      </c>
      <c r="B28" s="669">
        <v>9277</v>
      </c>
      <c r="C28" s="669">
        <v>13180</v>
      </c>
      <c r="D28" s="1138"/>
      <c r="E28" s="1138"/>
      <c r="F28" s="1138"/>
      <c r="G28" s="1138"/>
    </row>
    <row r="29" spans="1:14">
      <c r="A29" s="670" t="s">
        <v>663</v>
      </c>
      <c r="B29" s="669">
        <v>19501</v>
      </c>
      <c r="C29" s="669">
        <v>28715</v>
      </c>
      <c r="D29" s="1138"/>
      <c r="E29" s="1138"/>
      <c r="F29" s="1138"/>
      <c r="G29" s="1138"/>
      <c r="J29" s="1131" t="s">
        <v>910</v>
      </c>
    </row>
    <row r="30" spans="1:14">
      <c r="A30" s="670" t="s">
        <v>664</v>
      </c>
      <c r="B30" s="669">
        <v>29251</v>
      </c>
      <c r="C30" s="669">
        <v>45943</v>
      </c>
      <c r="D30" s="1138"/>
      <c r="E30" s="1138"/>
      <c r="F30" s="1138"/>
      <c r="G30" s="1138"/>
    </row>
    <row r="31" spans="1:14">
      <c r="A31" s="1138"/>
      <c r="B31" s="1138"/>
      <c r="C31" s="1138"/>
      <c r="D31" s="1138"/>
      <c r="E31" s="1138"/>
      <c r="F31" s="1138"/>
      <c r="G31" s="1138"/>
    </row>
    <row r="32" spans="1:14">
      <c r="A32" s="1517" t="s">
        <v>899</v>
      </c>
      <c r="B32" s="1517"/>
      <c r="C32" s="1517"/>
      <c r="D32" s="1517"/>
      <c r="E32" s="1517"/>
      <c r="F32" s="1517"/>
      <c r="G32" s="1517"/>
      <c r="J32" s="1142" t="s">
        <v>900</v>
      </c>
    </row>
    <row r="33" spans="1:14">
      <c r="A33" s="1514" t="s">
        <v>913</v>
      </c>
      <c r="B33" s="1515"/>
      <c r="C33" s="1515"/>
      <c r="D33" s="1515"/>
      <c r="E33" s="1515"/>
      <c r="F33" s="1515"/>
      <c r="G33" s="1516"/>
      <c r="J33" s="648" t="s">
        <v>403</v>
      </c>
      <c r="K33" s="649" t="s">
        <v>901</v>
      </c>
    </row>
    <row r="34" spans="1:14" ht="27.6">
      <c r="A34" s="671" t="s">
        <v>659</v>
      </c>
      <c r="B34" s="672" t="s">
        <v>660</v>
      </c>
      <c r="C34" s="672" t="s">
        <v>902</v>
      </c>
      <c r="D34" s="672" t="s">
        <v>903</v>
      </c>
      <c r="E34" s="672" t="s">
        <v>904</v>
      </c>
      <c r="F34" s="672" t="s">
        <v>905</v>
      </c>
      <c r="G34" s="672" t="s">
        <v>906</v>
      </c>
      <c r="J34" s="1137" t="s">
        <v>914</v>
      </c>
      <c r="K34" s="651">
        <v>29180</v>
      </c>
    </row>
    <row r="35" spans="1:14">
      <c r="A35" s="670" t="s">
        <v>661</v>
      </c>
      <c r="B35" s="669">
        <v>3053</v>
      </c>
      <c r="C35" s="669">
        <v>4289</v>
      </c>
      <c r="D35" s="669">
        <v>4612</v>
      </c>
      <c r="E35" s="669">
        <v>4964</v>
      </c>
      <c r="F35" s="669">
        <v>5684</v>
      </c>
      <c r="G35" s="669">
        <v>6368</v>
      </c>
    </row>
    <row r="36" spans="1:14">
      <c r="A36" s="670" t="s">
        <v>662</v>
      </c>
      <c r="B36" s="669">
        <v>5986</v>
      </c>
      <c r="C36" s="669">
        <v>8414</v>
      </c>
      <c r="D36" s="669">
        <v>8557</v>
      </c>
      <c r="E36" s="669">
        <v>8783</v>
      </c>
      <c r="F36" s="669">
        <v>9377</v>
      </c>
      <c r="G36" s="669">
        <v>10085</v>
      </c>
    </row>
    <row r="37" spans="1:14">
      <c r="A37" s="670" t="s">
        <v>663</v>
      </c>
      <c r="B37" s="669">
        <v>13346</v>
      </c>
      <c r="C37" s="669">
        <v>19656</v>
      </c>
      <c r="D37" s="669">
        <v>20018</v>
      </c>
      <c r="E37" s="669">
        <v>20439</v>
      </c>
      <c r="F37" s="669">
        <v>21258</v>
      </c>
      <c r="G37" s="669">
        <v>22054</v>
      </c>
    </row>
    <row r="38" spans="1:14">
      <c r="A38" s="670" t="s">
        <v>664</v>
      </c>
      <c r="B38" s="669">
        <v>20019</v>
      </c>
      <c r="C38" s="669">
        <v>31450</v>
      </c>
      <c r="D38" s="669">
        <v>32028</v>
      </c>
      <c r="E38" s="669">
        <v>32703</v>
      </c>
      <c r="F38" s="669">
        <v>34012</v>
      </c>
      <c r="G38" s="669">
        <v>35286</v>
      </c>
      <c r="J38" s="1139"/>
      <c r="K38" s="1139"/>
      <c r="L38" s="1139"/>
      <c r="M38" s="1139"/>
      <c r="N38" s="1139"/>
    </row>
    <row r="39" spans="1:14">
      <c r="A39" s="1138"/>
      <c r="B39" s="1138"/>
      <c r="C39" s="1138"/>
      <c r="D39" s="1138"/>
      <c r="E39" s="1138"/>
      <c r="F39" s="1138"/>
      <c r="G39" s="1138"/>
      <c r="J39" s="1139"/>
      <c r="K39" s="1139"/>
      <c r="L39" s="1139"/>
      <c r="M39" s="1139"/>
      <c r="N39" s="1139"/>
    </row>
    <row r="40" spans="1:14">
      <c r="A40" s="1517" t="s">
        <v>899</v>
      </c>
      <c r="B40" s="1517"/>
      <c r="C40" s="1517"/>
      <c r="D40" s="1140"/>
      <c r="E40" s="1140"/>
      <c r="F40" s="1140"/>
      <c r="G40" s="1140"/>
      <c r="J40" s="1142" t="s">
        <v>908</v>
      </c>
      <c r="L40" s="1139"/>
      <c r="M40" s="1139"/>
      <c r="N40" s="1139"/>
    </row>
    <row r="41" spans="1:14">
      <c r="A41" s="1512" t="s">
        <v>913</v>
      </c>
      <c r="B41" s="1513"/>
      <c r="C41" s="1513"/>
      <c r="D41" s="1138"/>
      <c r="E41" s="1141"/>
      <c r="F41" s="1138"/>
      <c r="G41" s="1138"/>
      <c r="J41" s="648" t="s">
        <v>403</v>
      </c>
      <c r="K41" s="649" t="s">
        <v>909</v>
      </c>
    </row>
    <row r="42" spans="1:14" ht="28.8">
      <c r="A42" s="650" t="s">
        <v>659</v>
      </c>
      <c r="B42" s="650" t="s">
        <v>660</v>
      </c>
      <c r="C42" s="650" t="s">
        <v>902</v>
      </c>
      <c r="D42" s="1138"/>
      <c r="E42" s="1138"/>
      <c r="F42" s="1138"/>
      <c r="G42" s="1138"/>
      <c r="J42" s="1137" t="s">
        <v>914</v>
      </c>
      <c r="K42" s="651">
        <v>94000</v>
      </c>
    </row>
    <row r="43" spans="1:14">
      <c r="A43" s="670" t="s">
        <v>662</v>
      </c>
      <c r="B43" s="669">
        <v>5986</v>
      </c>
      <c r="C43" s="669">
        <v>8414</v>
      </c>
      <c r="D43" s="1138"/>
      <c r="E43" s="1138"/>
      <c r="F43" s="1138"/>
      <c r="G43" s="1138"/>
    </row>
    <row r="44" spans="1:14">
      <c r="A44" s="670" t="s">
        <v>663</v>
      </c>
      <c r="B44" s="669">
        <v>13346</v>
      </c>
      <c r="C44" s="669">
        <v>19656</v>
      </c>
      <c r="D44" s="1138"/>
      <c r="E44" s="1138"/>
      <c r="F44" s="1138"/>
      <c r="G44" s="1138"/>
      <c r="J44" s="1131" t="s">
        <v>910</v>
      </c>
    </row>
    <row r="45" spans="1:14">
      <c r="A45" s="670" t="s">
        <v>664</v>
      </c>
      <c r="B45" s="669">
        <v>20019</v>
      </c>
      <c r="C45" s="669">
        <v>31450</v>
      </c>
      <c r="D45" s="1138"/>
      <c r="E45" s="1138"/>
      <c r="F45" s="1138"/>
      <c r="G45" s="1138"/>
    </row>
    <row r="46" spans="1:14">
      <c r="A46" s="1138"/>
      <c r="B46" s="1138"/>
      <c r="C46" s="1138"/>
      <c r="D46" s="1138"/>
      <c r="E46" s="1138"/>
      <c r="F46" s="1138"/>
      <c r="G46" s="1138"/>
    </row>
    <row r="47" spans="1:14">
      <c r="A47" s="1517" t="s">
        <v>899</v>
      </c>
      <c r="B47" s="1517"/>
      <c r="C47" s="1517"/>
      <c r="D47" s="1517"/>
      <c r="E47" s="1517"/>
      <c r="F47" s="1517"/>
      <c r="G47" s="1517"/>
      <c r="J47" s="1142" t="s">
        <v>900</v>
      </c>
    </row>
    <row r="48" spans="1:14">
      <c r="A48" s="1518" t="s">
        <v>915</v>
      </c>
      <c r="B48" s="1519"/>
      <c r="C48" s="1519"/>
      <c r="D48" s="1519"/>
      <c r="E48" s="1519"/>
      <c r="F48" s="1519"/>
      <c r="G48" s="1520"/>
      <c r="J48" s="648" t="s">
        <v>403</v>
      </c>
      <c r="K48" s="649" t="s">
        <v>901</v>
      </c>
    </row>
    <row r="49" spans="1:12" ht="28.8">
      <c r="A49" s="1136" t="s">
        <v>659</v>
      </c>
      <c r="B49" s="1135" t="s">
        <v>660</v>
      </c>
      <c r="C49" s="1135" t="s">
        <v>902</v>
      </c>
      <c r="D49" s="1135" t="s">
        <v>903</v>
      </c>
      <c r="E49" s="1135" t="s">
        <v>904</v>
      </c>
      <c r="F49" s="1135" t="s">
        <v>905</v>
      </c>
      <c r="G49" s="1135" t="s">
        <v>906</v>
      </c>
      <c r="J49" s="1137" t="s">
        <v>916</v>
      </c>
      <c r="K49" s="651">
        <v>29180</v>
      </c>
    </row>
    <row r="50" spans="1:12">
      <c r="A50" s="1134" t="s">
        <v>661</v>
      </c>
      <c r="B50" s="1133">
        <v>2275</v>
      </c>
      <c r="C50" s="1132">
        <v>3141</v>
      </c>
      <c r="D50" s="1132">
        <v>3504</v>
      </c>
      <c r="E50" s="1132">
        <v>3889</v>
      </c>
      <c r="F50" s="1132">
        <v>4519</v>
      </c>
      <c r="G50" s="1132">
        <v>5146</v>
      </c>
    </row>
    <row r="51" spans="1:12">
      <c r="A51" s="1134" t="s">
        <v>662</v>
      </c>
      <c r="B51" s="1132">
        <v>4213</v>
      </c>
      <c r="C51" s="1132">
        <v>5833</v>
      </c>
      <c r="D51" s="1132">
        <v>6057</v>
      </c>
      <c r="E51" s="1132">
        <v>6295</v>
      </c>
      <c r="F51" s="1132">
        <v>6823</v>
      </c>
      <c r="G51" s="1132">
        <v>7427</v>
      </c>
    </row>
    <row r="52" spans="1:12">
      <c r="A52" s="1134" t="s">
        <v>663</v>
      </c>
      <c r="B52" s="1132">
        <v>9615</v>
      </c>
      <c r="C52" s="1132">
        <v>14176</v>
      </c>
      <c r="D52" s="1132">
        <v>14501</v>
      </c>
      <c r="E52" s="1132">
        <v>14909</v>
      </c>
      <c r="F52" s="1132">
        <v>15624</v>
      </c>
      <c r="G52" s="1132">
        <v>16278</v>
      </c>
    </row>
    <row r="53" spans="1:12">
      <c r="A53" s="1134" t="s">
        <v>664</v>
      </c>
      <c r="B53" s="1132">
        <v>14422</v>
      </c>
      <c r="C53" s="1132">
        <v>22682</v>
      </c>
      <c r="D53" s="1132">
        <v>23201</v>
      </c>
      <c r="E53" s="1132">
        <v>23854</v>
      </c>
      <c r="F53" s="1132">
        <v>24998</v>
      </c>
      <c r="G53" s="1132">
        <v>26044</v>
      </c>
      <c r="J53" s="1139"/>
      <c r="K53" s="1139"/>
      <c r="L53" s="1139"/>
    </row>
    <row r="54" spans="1:12">
      <c r="A54" s="1138"/>
      <c r="B54" s="1138"/>
      <c r="C54" s="1138"/>
      <c r="D54" s="1138"/>
      <c r="E54" s="1138"/>
      <c r="F54" s="1138"/>
      <c r="G54" s="1138"/>
      <c r="J54" s="1139"/>
      <c r="K54" s="1139"/>
      <c r="L54" s="1139"/>
    </row>
    <row r="55" spans="1:12">
      <c r="A55" s="1517" t="s">
        <v>899</v>
      </c>
      <c r="B55" s="1517"/>
      <c r="C55" s="1517"/>
      <c r="D55" s="1140"/>
      <c r="E55" s="1140"/>
      <c r="F55" s="1140"/>
      <c r="G55" s="1140"/>
      <c r="J55" s="1142" t="s">
        <v>908</v>
      </c>
      <c r="L55" s="1139"/>
    </row>
    <row r="56" spans="1:12">
      <c r="A56" s="1512" t="s">
        <v>915</v>
      </c>
      <c r="B56" s="1513"/>
      <c r="C56" s="1513"/>
      <c r="D56" s="1138"/>
      <c r="E56" s="1138"/>
      <c r="F56" s="1138"/>
      <c r="G56" s="1138"/>
      <c r="J56" s="648" t="s">
        <v>403</v>
      </c>
      <c r="K56" s="649" t="s">
        <v>909</v>
      </c>
      <c r="L56" s="1139"/>
    </row>
    <row r="57" spans="1:12" ht="28.8">
      <c r="A57" s="650" t="s">
        <v>659</v>
      </c>
      <c r="B57" s="650" t="s">
        <v>660</v>
      </c>
      <c r="C57" s="650" t="s">
        <v>902</v>
      </c>
      <c r="D57" s="1138"/>
      <c r="E57" s="1138"/>
      <c r="F57" s="1138"/>
      <c r="G57" s="1138"/>
      <c r="J57" s="1137" t="s">
        <v>916</v>
      </c>
      <c r="K57" s="651">
        <v>95500</v>
      </c>
    </row>
    <row r="58" spans="1:12">
      <c r="A58" s="670" t="s">
        <v>662</v>
      </c>
      <c r="B58" s="669">
        <v>4213</v>
      </c>
      <c r="C58" s="669">
        <v>5833</v>
      </c>
      <c r="D58" s="1138"/>
      <c r="E58" s="1138"/>
      <c r="F58" s="1138"/>
      <c r="G58" s="1138"/>
    </row>
    <row r="59" spans="1:12">
      <c r="A59" s="670" t="s">
        <v>663</v>
      </c>
      <c r="B59" s="669">
        <v>9615</v>
      </c>
      <c r="C59" s="669">
        <v>14176</v>
      </c>
      <c r="D59" s="1138"/>
      <c r="E59" s="1138"/>
      <c r="F59" s="1138"/>
      <c r="G59" s="1138"/>
      <c r="J59" s="1131" t="s">
        <v>910</v>
      </c>
    </row>
    <row r="60" spans="1:12">
      <c r="A60" s="670" t="s">
        <v>664</v>
      </c>
      <c r="B60" s="669">
        <v>14422</v>
      </c>
      <c r="C60" s="669">
        <v>22682</v>
      </c>
      <c r="D60" s="1138"/>
      <c r="E60" s="1138"/>
      <c r="F60" s="1138"/>
      <c r="G60" s="1138"/>
    </row>
    <row r="61" spans="1:12">
      <c r="A61" s="1138"/>
      <c r="B61" s="1138"/>
      <c r="C61" s="1138"/>
      <c r="D61" s="1138"/>
      <c r="E61" s="1138"/>
      <c r="F61" s="1138"/>
      <c r="G61" s="1138"/>
    </row>
    <row r="62" spans="1:12">
      <c r="A62" s="1517" t="s">
        <v>899</v>
      </c>
      <c r="B62" s="1517"/>
      <c r="C62" s="1517"/>
      <c r="D62" s="1517"/>
      <c r="E62" s="1517"/>
      <c r="F62" s="1517"/>
      <c r="G62" s="1517"/>
      <c r="J62" s="1142" t="s">
        <v>900</v>
      </c>
    </row>
    <row r="63" spans="1:12">
      <c r="A63" s="1514" t="s">
        <v>917</v>
      </c>
      <c r="B63" s="1515"/>
      <c r="C63" s="1515"/>
      <c r="D63" s="1515"/>
      <c r="E63" s="1515"/>
      <c r="F63" s="1515"/>
      <c r="G63" s="1516"/>
      <c r="J63" s="648" t="s">
        <v>403</v>
      </c>
      <c r="K63" s="649" t="s">
        <v>901</v>
      </c>
    </row>
    <row r="64" spans="1:12" ht="27.6">
      <c r="A64" s="671" t="s">
        <v>659</v>
      </c>
      <c r="B64" s="672" t="s">
        <v>660</v>
      </c>
      <c r="C64" s="672" t="s">
        <v>902</v>
      </c>
      <c r="D64" s="672" t="s">
        <v>903</v>
      </c>
      <c r="E64" s="672" t="s">
        <v>904</v>
      </c>
      <c r="F64" s="672" t="s">
        <v>905</v>
      </c>
      <c r="G64" s="672" t="s">
        <v>906</v>
      </c>
      <c r="J64" s="1137" t="s">
        <v>918</v>
      </c>
      <c r="K64" s="651">
        <v>32699</v>
      </c>
    </row>
    <row r="65" spans="1:16">
      <c r="A65" s="670" t="s">
        <v>661</v>
      </c>
      <c r="B65" s="668">
        <v>2047</v>
      </c>
      <c r="C65" s="669">
        <v>2827</v>
      </c>
      <c r="D65" s="669">
        <v>3153</v>
      </c>
      <c r="E65" s="669">
        <v>3500</v>
      </c>
      <c r="F65" s="669">
        <v>4067</v>
      </c>
      <c r="G65" s="669">
        <v>4631</v>
      </c>
    </row>
    <row r="66" spans="1:16">
      <c r="A66" s="670" t="s">
        <v>662</v>
      </c>
      <c r="B66" s="669">
        <v>3792</v>
      </c>
      <c r="C66" s="669">
        <v>5250</v>
      </c>
      <c r="D66" s="669">
        <v>5451</v>
      </c>
      <c r="E66" s="669">
        <v>5666</v>
      </c>
      <c r="F66" s="669">
        <v>6141</v>
      </c>
      <c r="G66" s="669">
        <v>6684</v>
      </c>
    </row>
    <row r="67" spans="1:16">
      <c r="A67" s="670" t="s">
        <v>663</v>
      </c>
      <c r="B67" s="669">
        <v>8653</v>
      </c>
      <c r="C67" s="669">
        <v>12759</v>
      </c>
      <c r="D67" s="669">
        <v>13050</v>
      </c>
      <c r="E67" s="669">
        <v>13418</v>
      </c>
      <c r="F67" s="669">
        <v>14061</v>
      </c>
      <c r="G67" s="669">
        <v>14650</v>
      </c>
      <c r="O67" s="1139"/>
      <c r="P67" s="1139"/>
    </row>
    <row r="68" spans="1:16">
      <c r="A68" s="670" t="s">
        <v>664</v>
      </c>
      <c r="B68" s="669">
        <v>12980</v>
      </c>
      <c r="C68" s="669">
        <v>20414</v>
      </c>
      <c r="D68" s="669">
        <v>20881</v>
      </c>
      <c r="E68" s="669">
        <v>21468</v>
      </c>
      <c r="F68" s="669">
        <v>22498</v>
      </c>
      <c r="G68" s="669">
        <v>23440</v>
      </c>
      <c r="J68" s="1139"/>
      <c r="K68" s="1139"/>
      <c r="L68" s="1139"/>
      <c r="M68" s="1139"/>
      <c r="N68" s="1139"/>
      <c r="O68" s="1139"/>
      <c r="P68" s="1139"/>
    </row>
    <row r="69" spans="1:16">
      <c r="A69" s="1138"/>
      <c r="B69" s="1138"/>
      <c r="C69" s="1138"/>
      <c r="D69" s="1138"/>
      <c r="E69" s="1138"/>
      <c r="F69" s="1138"/>
      <c r="G69" s="1138"/>
      <c r="J69" s="1139"/>
      <c r="K69" s="1139"/>
      <c r="L69" s="1139"/>
      <c r="M69" s="1139"/>
      <c r="N69" s="1139"/>
      <c r="O69" s="1139"/>
      <c r="P69" s="1139"/>
    </row>
    <row r="70" spans="1:16">
      <c r="A70" s="1517" t="s">
        <v>899</v>
      </c>
      <c r="B70" s="1517"/>
      <c r="C70" s="1517"/>
      <c r="D70" s="1140"/>
      <c r="E70" s="1140"/>
      <c r="F70" s="1140"/>
      <c r="G70" s="1140"/>
      <c r="J70" s="1142" t="s">
        <v>908</v>
      </c>
      <c r="L70" s="1139"/>
      <c r="M70" s="1139"/>
      <c r="N70" s="1139"/>
    </row>
    <row r="71" spans="1:16">
      <c r="A71" s="1512" t="s">
        <v>917</v>
      </c>
      <c r="B71" s="1513"/>
      <c r="C71" s="1513"/>
      <c r="D71" s="1138"/>
      <c r="E71" s="1138"/>
      <c r="F71" s="1138"/>
      <c r="G71" s="1138"/>
      <c r="J71" s="648" t="s">
        <v>403</v>
      </c>
      <c r="K71" s="649" t="s">
        <v>909</v>
      </c>
    </row>
    <row r="72" spans="1:16" ht="28.8">
      <c r="A72" s="650" t="s">
        <v>659</v>
      </c>
      <c r="B72" s="650" t="s">
        <v>660</v>
      </c>
      <c r="C72" s="650" t="s">
        <v>902</v>
      </c>
      <c r="D72" s="1138"/>
      <c r="E72" s="1138"/>
      <c r="F72" s="1138"/>
      <c r="G72" s="1138"/>
      <c r="J72" s="1137" t="s">
        <v>918</v>
      </c>
      <c r="K72" s="651">
        <v>90000</v>
      </c>
    </row>
    <row r="73" spans="1:16">
      <c r="A73" s="670" t="s">
        <v>662</v>
      </c>
      <c r="B73" s="669">
        <v>3792</v>
      </c>
      <c r="C73" s="669">
        <v>5250</v>
      </c>
      <c r="D73" s="1138"/>
      <c r="E73" s="1138"/>
      <c r="F73" s="1138"/>
      <c r="G73" s="1138"/>
    </row>
    <row r="74" spans="1:16">
      <c r="A74" s="670" t="s">
        <v>663</v>
      </c>
      <c r="B74" s="669">
        <v>8653</v>
      </c>
      <c r="C74" s="669">
        <v>12759</v>
      </c>
      <c r="D74" s="1138"/>
      <c r="E74" s="1138"/>
      <c r="F74" s="1138"/>
      <c r="G74" s="1138"/>
      <c r="J74" s="1131" t="s">
        <v>910</v>
      </c>
    </row>
    <row r="75" spans="1:16">
      <c r="A75" s="670" t="s">
        <v>664</v>
      </c>
      <c r="B75" s="669">
        <v>12980</v>
      </c>
      <c r="C75" s="669">
        <v>20414</v>
      </c>
      <c r="D75" s="1138"/>
      <c r="E75" s="1138"/>
      <c r="F75" s="1138"/>
      <c r="G75" s="1138"/>
    </row>
    <row r="76" spans="1:16">
      <c r="A76" s="1138"/>
      <c r="B76" s="1138"/>
      <c r="C76" s="1138"/>
      <c r="D76" s="1138"/>
      <c r="E76" s="1138"/>
      <c r="F76" s="1138"/>
      <c r="G76" s="1138"/>
    </row>
    <row r="77" spans="1:16">
      <c r="A77" s="1138"/>
      <c r="B77" s="1138"/>
      <c r="C77" s="1138"/>
      <c r="D77" s="1138"/>
      <c r="E77" s="1138"/>
      <c r="F77" s="1138"/>
      <c r="G77" s="1138"/>
    </row>
    <row r="78" spans="1:16">
      <c r="A78" s="1138"/>
      <c r="B78" s="1138"/>
      <c r="C78" s="1138"/>
      <c r="D78" s="1138"/>
      <c r="E78" s="1138"/>
      <c r="F78" s="1138"/>
      <c r="G78" s="1138"/>
    </row>
    <row r="79" spans="1:16">
      <c r="A79" s="1138"/>
      <c r="B79" s="1138"/>
      <c r="C79" s="1138"/>
      <c r="D79" s="1138"/>
      <c r="E79" s="1138"/>
      <c r="F79" s="1138"/>
      <c r="G79" s="1138"/>
    </row>
    <row r="80" spans="1:16">
      <c r="A80" s="1138"/>
      <c r="B80" s="1138"/>
      <c r="C80" s="1138"/>
      <c r="D80" s="1138"/>
      <c r="E80" s="1138"/>
      <c r="F80" s="1138"/>
      <c r="G80" s="1138"/>
    </row>
    <row r="81" spans="1:7">
      <c r="A81" s="1138"/>
      <c r="B81" s="1138"/>
      <c r="C81" s="1138"/>
      <c r="D81" s="1138"/>
      <c r="E81" s="1138"/>
      <c r="F81" s="1138"/>
      <c r="G81" s="1138"/>
    </row>
    <row r="82" spans="1:7">
      <c r="A82" s="1138"/>
      <c r="B82" s="1138"/>
      <c r="C82" s="1138"/>
      <c r="D82" s="1138"/>
      <c r="E82" s="1138"/>
      <c r="F82" s="1138"/>
      <c r="G82" s="1138"/>
    </row>
    <row r="83" spans="1:7">
      <c r="A83" s="1138"/>
      <c r="B83" s="1138"/>
      <c r="C83" s="1138"/>
      <c r="D83" s="1138"/>
      <c r="E83" s="1138"/>
      <c r="F83" s="1138"/>
      <c r="G83" s="1138"/>
    </row>
    <row r="84" spans="1:7">
      <c r="A84" s="1138"/>
      <c r="B84" s="1138"/>
      <c r="C84" s="1138"/>
      <c r="D84" s="1138"/>
      <c r="E84" s="1138"/>
      <c r="F84" s="1138"/>
      <c r="G84" s="1138"/>
    </row>
    <row r="85" spans="1:7">
      <c r="A85" s="1138"/>
      <c r="B85" s="1138"/>
      <c r="C85" s="1138"/>
      <c r="D85" s="1138"/>
      <c r="E85" s="1138"/>
      <c r="F85" s="1138"/>
      <c r="G85" s="1138"/>
    </row>
    <row r="86" spans="1:7">
      <c r="A86" s="1138"/>
      <c r="B86" s="1138"/>
      <c r="C86" s="1138"/>
      <c r="D86" s="1138"/>
      <c r="E86" s="1138"/>
      <c r="F86" s="1138"/>
      <c r="G86" s="1138"/>
    </row>
    <row r="87" spans="1:7">
      <c r="A87" s="1138"/>
      <c r="B87" s="1138"/>
      <c r="C87" s="1138"/>
      <c r="D87" s="1138"/>
      <c r="E87" s="1138"/>
      <c r="F87" s="1138"/>
      <c r="G87" s="1138"/>
    </row>
    <row r="88" spans="1:7">
      <c r="A88" s="1138"/>
      <c r="B88" s="1138"/>
      <c r="C88" s="1138"/>
      <c r="D88" s="1138"/>
      <c r="E88" s="1138"/>
      <c r="F88" s="1138"/>
      <c r="G88" s="1138"/>
    </row>
  </sheetData>
  <mergeCells count="20">
    <mergeCell ref="A2:G2"/>
    <mergeCell ref="A17:G17"/>
    <mergeCell ref="A32:G32"/>
    <mergeCell ref="A10:C10"/>
    <mergeCell ref="A25:C25"/>
    <mergeCell ref="A3:G3"/>
    <mergeCell ref="A18:G18"/>
    <mergeCell ref="A71:C71"/>
    <mergeCell ref="A11:C11"/>
    <mergeCell ref="A26:C26"/>
    <mergeCell ref="A41:C41"/>
    <mergeCell ref="A63:G63"/>
    <mergeCell ref="A62:G62"/>
    <mergeCell ref="A70:C70"/>
    <mergeCell ref="A33:G33"/>
    <mergeCell ref="A48:G48"/>
    <mergeCell ref="A56:C56"/>
    <mergeCell ref="A47:G47"/>
    <mergeCell ref="A40:C40"/>
    <mergeCell ref="A55:C5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2F8E0-8FB7-4CF9-A8A1-41E455167B34}">
  <dimension ref="A1:U7"/>
  <sheetViews>
    <sheetView zoomScale="65" workbookViewId="0">
      <selection activeCell="A6" sqref="A6"/>
    </sheetView>
  </sheetViews>
  <sheetFormatPr defaultRowHeight="14.4"/>
  <cols>
    <col min="1" max="1" width="40.5546875" bestFit="1" customWidth="1"/>
    <col min="2" max="2" width="13.5546875" bestFit="1" customWidth="1"/>
    <col min="3" max="3" width="30.33203125" bestFit="1" customWidth="1"/>
    <col min="4" max="5" width="17.5546875" bestFit="1" customWidth="1"/>
    <col min="6" max="6" width="12.33203125" bestFit="1" customWidth="1"/>
    <col min="7" max="7" width="17.44140625" bestFit="1" customWidth="1"/>
    <col min="8" max="8" width="30.33203125" bestFit="1" customWidth="1"/>
    <col min="9" max="9" width="31.5546875" bestFit="1" customWidth="1"/>
    <col min="10" max="10" width="19.6640625" customWidth="1"/>
    <col min="11" max="11" width="21.33203125" customWidth="1"/>
    <col min="12" max="12" width="20.6640625" customWidth="1"/>
    <col min="13" max="13" width="24.33203125" bestFit="1" customWidth="1"/>
    <col min="14" max="14" width="24.33203125" customWidth="1"/>
    <col min="15" max="21" width="24.33203125" bestFit="1" customWidth="1"/>
  </cols>
  <sheetData>
    <row r="1" spans="1:21">
      <c r="A1" s="466"/>
      <c r="B1" s="466"/>
      <c r="C1" s="466"/>
      <c r="D1" s="466"/>
      <c r="E1" s="466"/>
      <c r="F1" s="466"/>
      <c r="G1" s="466"/>
      <c r="H1" s="466"/>
      <c r="I1" s="466"/>
      <c r="J1" s="466"/>
      <c r="K1" s="466"/>
      <c r="L1" s="466"/>
      <c r="M1" s="466"/>
      <c r="N1" s="466"/>
      <c r="O1" s="466"/>
      <c r="P1" s="466"/>
      <c r="Q1" s="466"/>
      <c r="R1" s="466"/>
      <c r="S1" s="466"/>
      <c r="T1" s="466"/>
      <c r="U1" s="466"/>
    </row>
    <row r="2" spans="1:21">
      <c r="A2" s="643" t="s">
        <v>919</v>
      </c>
      <c r="B2" s="466"/>
      <c r="C2" s="466"/>
      <c r="D2" s="466"/>
      <c r="E2" s="466"/>
      <c r="F2" s="466"/>
      <c r="G2" s="466"/>
      <c r="H2" s="466"/>
      <c r="I2" s="466"/>
      <c r="J2" s="466"/>
      <c r="K2" s="466"/>
      <c r="L2" s="466"/>
      <c r="M2" s="466"/>
      <c r="N2" s="466"/>
      <c r="O2" s="466"/>
      <c r="P2" s="466"/>
      <c r="Q2" s="466"/>
      <c r="R2" s="466"/>
      <c r="S2" s="466"/>
      <c r="T2" s="466"/>
      <c r="U2" s="466"/>
    </row>
    <row r="3" spans="1:21" ht="111.75" customHeight="1">
      <c r="A3" s="644" t="s">
        <v>118</v>
      </c>
      <c r="B3" s="645" t="s">
        <v>403</v>
      </c>
      <c r="C3" s="680" t="s">
        <v>920</v>
      </c>
      <c r="D3" s="806" t="s">
        <v>590</v>
      </c>
      <c r="E3" s="680" t="s">
        <v>921</v>
      </c>
      <c r="F3" s="645" t="s">
        <v>592</v>
      </c>
      <c r="G3" s="645" t="s">
        <v>594</v>
      </c>
      <c r="H3" s="645" t="s">
        <v>597</v>
      </c>
      <c r="I3" s="645" t="s">
        <v>599</v>
      </c>
      <c r="J3" s="676" t="s">
        <v>602</v>
      </c>
      <c r="K3" s="676" t="s">
        <v>606</v>
      </c>
      <c r="L3" s="676" t="s">
        <v>608</v>
      </c>
      <c r="M3" s="676" t="s">
        <v>922</v>
      </c>
      <c r="N3" s="676" t="s">
        <v>923</v>
      </c>
      <c r="O3" s="676" t="s">
        <v>614</v>
      </c>
      <c r="P3" s="676" t="s">
        <v>924</v>
      </c>
      <c r="Q3" s="676" t="s">
        <v>925</v>
      </c>
      <c r="R3" s="676" t="s">
        <v>926</v>
      </c>
      <c r="S3" s="676" t="s">
        <v>616</v>
      </c>
      <c r="T3" s="676" t="s">
        <v>618</v>
      </c>
      <c r="U3" s="676" t="s">
        <v>927</v>
      </c>
    </row>
    <row r="4" spans="1:21" ht="117.75" customHeight="1">
      <c r="A4" s="646" t="s">
        <v>928</v>
      </c>
      <c r="B4" s="677">
        <v>3000</v>
      </c>
      <c r="C4" s="681" t="s">
        <v>588</v>
      </c>
      <c r="D4" s="697" t="s">
        <v>443</v>
      </c>
      <c r="E4" s="697" t="s">
        <v>929</v>
      </c>
      <c r="F4" s="679" t="s">
        <v>930</v>
      </c>
      <c r="G4" s="674" t="s">
        <v>930</v>
      </c>
      <c r="H4" s="674" t="s">
        <v>598</v>
      </c>
      <c r="I4" s="674" t="s">
        <v>600</v>
      </c>
      <c r="J4" s="807">
        <v>3000</v>
      </c>
      <c r="K4" s="808">
        <v>3000</v>
      </c>
      <c r="L4" s="808" t="s">
        <v>82</v>
      </c>
      <c r="M4" s="808" t="s">
        <v>82</v>
      </c>
      <c r="N4" s="808" t="s">
        <v>82</v>
      </c>
      <c r="O4" s="808" t="s">
        <v>82</v>
      </c>
      <c r="P4" s="808">
        <v>999</v>
      </c>
      <c r="Q4" s="675">
        <v>10</v>
      </c>
      <c r="R4" s="675" t="s">
        <v>931</v>
      </c>
      <c r="S4" s="675" t="s">
        <v>617</v>
      </c>
      <c r="T4" s="675" t="s">
        <v>619</v>
      </c>
      <c r="U4" s="808">
        <v>1475</v>
      </c>
    </row>
    <row r="5" spans="1:21" ht="115.5" customHeight="1">
      <c r="A5" s="646" t="s">
        <v>932</v>
      </c>
      <c r="B5" s="677">
        <v>15000</v>
      </c>
      <c r="C5" s="681" t="s">
        <v>588</v>
      </c>
      <c r="D5" s="697" t="s">
        <v>443</v>
      </c>
      <c r="E5" s="697" t="s">
        <v>929</v>
      </c>
      <c r="F5" s="679" t="s">
        <v>930</v>
      </c>
      <c r="G5" s="674" t="s">
        <v>930</v>
      </c>
      <c r="H5" s="674" t="s">
        <v>598</v>
      </c>
      <c r="I5" s="674" t="s">
        <v>600</v>
      </c>
      <c r="J5" s="808">
        <v>3000</v>
      </c>
      <c r="K5" s="808">
        <v>3000</v>
      </c>
      <c r="L5" s="808">
        <v>7500</v>
      </c>
      <c r="M5" s="807" t="s">
        <v>82</v>
      </c>
      <c r="N5" s="808" t="s">
        <v>82</v>
      </c>
      <c r="O5" s="807" t="s">
        <v>82</v>
      </c>
      <c r="P5" s="807">
        <v>2999</v>
      </c>
      <c r="Q5" s="674">
        <v>10</v>
      </c>
      <c r="R5" s="674" t="s">
        <v>931</v>
      </c>
      <c r="S5" s="674" t="s">
        <v>617</v>
      </c>
      <c r="T5" s="674" t="s">
        <v>619</v>
      </c>
      <c r="U5" s="807">
        <v>4425</v>
      </c>
    </row>
    <row r="6" spans="1:21" ht="94.95" customHeight="1">
      <c r="A6" s="646" t="s">
        <v>933</v>
      </c>
      <c r="B6" s="678">
        <v>30000</v>
      </c>
      <c r="C6" s="681" t="s">
        <v>588</v>
      </c>
      <c r="D6" s="681" t="s">
        <v>443</v>
      </c>
      <c r="E6" s="681" t="s">
        <v>929</v>
      </c>
      <c r="F6" s="679" t="s">
        <v>930</v>
      </c>
      <c r="G6" s="674" t="s">
        <v>930</v>
      </c>
      <c r="H6" s="674" t="s">
        <v>598</v>
      </c>
      <c r="I6" s="674" t="s">
        <v>600</v>
      </c>
      <c r="J6" s="808">
        <v>3000</v>
      </c>
      <c r="K6" s="808">
        <v>3000</v>
      </c>
      <c r="L6" s="808">
        <v>10000</v>
      </c>
      <c r="M6" s="807">
        <v>10000</v>
      </c>
      <c r="N6" s="807">
        <v>10000</v>
      </c>
      <c r="O6" s="807">
        <v>10000</v>
      </c>
      <c r="P6" s="807">
        <v>7999</v>
      </c>
      <c r="Q6" s="674">
        <v>10</v>
      </c>
      <c r="R6" s="674" t="s">
        <v>931</v>
      </c>
      <c r="S6" s="674" t="s">
        <v>617</v>
      </c>
      <c r="T6" s="674" t="s">
        <v>619</v>
      </c>
      <c r="U6" s="807">
        <v>11799</v>
      </c>
    </row>
    <row r="7" spans="1:21">
      <c r="C7" s="106"/>
      <c r="D7" s="106"/>
      <c r="E7" s="106"/>
    </row>
  </sheetData>
  <protectedRanges>
    <protectedRange algorithmName="SHA-512" hashValue="8gsZBLxf0FNLqMn390G0dgwzGiRBzzvGlNazRYGWhs0C1gVTQ5XRqJGqk3b/+yaYAh9uw4p4FQvGJRlBbI8UKw==" saltValue="DPXiBDnRLT+lXGb4fbwXfA==" spinCount="100000" sqref="A3:C3 E3:U3" name="GPA"/>
    <protectedRange algorithmName="SHA-512" hashValue="8gsZBLxf0FNLqMn390G0dgwzGiRBzzvGlNazRYGWhs0C1gVTQ5XRqJGqk3b/+yaYAh9uw4p4FQvGJRlBbI8UKw==" saltValue="DPXiBDnRLT+lXGb4fbwXfA==" spinCount="100000" sqref="A4:A6" name="GPA_1"/>
    <protectedRange algorithmName="SHA-512" hashValue="8gsZBLxf0FNLqMn390G0dgwzGiRBzzvGlNazRYGWhs0C1gVTQ5XRqJGqk3b/+yaYAh9uw4p4FQvGJRlBbI8UKw==" saltValue="DPXiBDnRLT+lXGb4fbwXfA==" spinCount="100000" sqref="B4:D6 E4:L4 E6:O6 E5:M5 O5 P5:U6" name="GPA_2"/>
    <protectedRange algorithmName="SHA-512" hashValue="8gsZBLxf0FNLqMn390G0dgwzGiRBzzvGlNazRYGWhs0C1gVTQ5XRqJGqk3b/+yaYAh9uw4p4FQvGJRlBbI8UKw==" saltValue="DPXiBDnRLT+lXGb4fbwXfA==" spinCount="100000" sqref="N5 M4:U4" name="GPA_3"/>
  </protectedRange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1000"/>
  <sheetViews>
    <sheetView workbookViewId="0">
      <selection sqref="A1:B1"/>
    </sheetView>
  </sheetViews>
  <sheetFormatPr defaultColWidth="14.44140625" defaultRowHeight="15" customHeight="1"/>
  <cols>
    <col min="1" max="1" width="33.5546875" customWidth="1"/>
    <col min="2" max="2" width="38.44140625" customWidth="1"/>
    <col min="3" max="5" width="25.5546875" customWidth="1"/>
    <col min="6" max="26" width="8.5546875" customWidth="1"/>
  </cols>
  <sheetData>
    <row r="1" spans="1:5" ht="14.25" customHeight="1">
      <c r="A1" s="1524" t="s">
        <v>0</v>
      </c>
      <c r="B1" s="1523"/>
      <c r="C1" s="34"/>
    </row>
    <row r="2" spans="1:5" ht="14.25" customHeight="1">
      <c r="A2" s="35" t="s">
        <v>337</v>
      </c>
      <c r="B2" s="36" t="s">
        <v>665</v>
      </c>
    </row>
    <row r="3" spans="1:5" ht="14.25" customHeight="1">
      <c r="A3" s="35" t="s">
        <v>338</v>
      </c>
      <c r="B3" s="36" t="s">
        <v>0</v>
      </c>
    </row>
    <row r="4" spans="1:5" ht="15.75" customHeight="1">
      <c r="A4" s="35" t="s">
        <v>341</v>
      </c>
      <c r="B4" s="37" t="s">
        <v>646</v>
      </c>
    </row>
    <row r="5" spans="1:5" ht="14.25" customHeight="1">
      <c r="A5" s="35" t="s">
        <v>518</v>
      </c>
      <c r="B5" s="38" t="s">
        <v>934</v>
      </c>
    </row>
    <row r="6" spans="1:5" ht="14.25" customHeight="1">
      <c r="A6" s="39" t="s">
        <v>935</v>
      </c>
      <c r="B6" s="40" t="s">
        <v>936</v>
      </c>
    </row>
    <row r="7" spans="1:5" ht="14.25" customHeight="1">
      <c r="A7" s="41" t="s">
        <v>520</v>
      </c>
      <c r="B7" s="42" t="s">
        <v>937</v>
      </c>
    </row>
    <row r="8" spans="1:5" ht="14.25" customHeight="1">
      <c r="A8" s="35" t="s">
        <v>521</v>
      </c>
      <c r="B8" s="36">
        <v>11</v>
      </c>
    </row>
    <row r="9" spans="1:5" ht="14.25" customHeight="1">
      <c r="A9" s="43" t="s">
        <v>522</v>
      </c>
      <c r="B9" s="36" t="s">
        <v>938</v>
      </c>
    </row>
    <row r="10" spans="1:5" ht="14.25" customHeight="1">
      <c r="A10" s="134" t="s">
        <v>118</v>
      </c>
      <c r="B10" s="40" t="s">
        <v>182</v>
      </c>
      <c r="C10" s="40" t="s">
        <v>402</v>
      </c>
      <c r="D10" s="40" t="s">
        <v>184</v>
      </c>
      <c r="E10" s="40" t="s">
        <v>939</v>
      </c>
    </row>
    <row r="11" spans="1:5" ht="14.25" customHeight="1">
      <c r="A11" s="1525" t="s">
        <v>940</v>
      </c>
      <c r="B11" s="1526"/>
      <c r="C11" s="1526"/>
      <c r="D11" s="1526"/>
      <c r="E11" s="1527"/>
    </row>
    <row r="12" spans="1:5" ht="14.25" customHeight="1">
      <c r="A12" s="1528" t="s">
        <v>121</v>
      </c>
      <c r="B12" s="7" t="s">
        <v>199</v>
      </c>
      <c r="C12" s="44" t="s">
        <v>941</v>
      </c>
      <c r="D12" s="44" t="s">
        <v>941</v>
      </c>
      <c r="E12" s="44" t="s">
        <v>941</v>
      </c>
    </row>
    <row r="13" spans="1:5" ht="14.25" customHeight="1">
      <c r="A13" s="1302"/>
      <c r="B13" s="7" t="s">
        <v>201</v>
      </c>
      <c r="C13" s="44" t="s">
        <v>941</v>
      </c>
      <c r="D13" s="44" t="s">
        <v>941</v>
      </c>
      <c r="E13" s="44" t="s">
        <v>941</v>
      </c>
    </row>
    <row r="14" spans="1:5" ht="14.25" customHeight="1">
      <c r="A14" s="1302"/>
      <c r="B14" s="7" t="s">
        <v>125</v>
      </c>
      <c r="C14" s="45" t="s">
        <v>942</v>
      </c>
      <c r="D14" s="45">
        <v>4</v>
      </c>
      <c r="E14" s="45">
        <v>3</v>
      </c>
    </row>
    <row r="15" spans="1:5" ht="14.25" customHeight="1">
      <c r="A15" s="1303"/>
      <c r="B15" s="7" t="s">
        <v>943</v>
      </c>
      <c r="C15" s="44" t="s">
        <v>941</v>
      </c>
      <c r="D15" s="44" t="s">
        <v>941</v>
      </c>
      <c r="E15" s="44" t="s">
        <v>941</v>
      </c>
    </row>
    <row r="16" spans="1:5" ht="14.25" customHeight="1">
      <c r="A16" s="46" t="s">
        <v>944</v>
      </c>
      <c r="B16" s="7" t="s">
        <v>945</v>
      </c>
      <c r="C16" s="44" t="s">
        <v>941</v>
      </c>
      <c r="D16" s="44" t="s">
        <v>941</v>
      </c>
      <c r="E16" s="44" t="s">
        <v>941</v>
      </c>
    </row>
    <row r="17" spans="1:5" ht="14.25" customHeight="1">
      <c r="A17" s="1521" t="s">
        <v>946</v>
      </c>
      <c r="B17" s="1522"/>
      <c r="C17" s="1522"/>
      <c r="D17" s="1522"/>
      <c r="E17" s="1523"/>
    </row>
    <row r="18" spans="1:5" ht="14.25" customHeight="1">
      <c r="A18" s="47" t="s">
        <v>205</v>
      </c>
      <c r="B18" s="7" t="s">
        <v>206</v>
      </c>
      <c r="C18" s="44" t="s">
        <v>941</v>
      </c>
      <c r="D18" s="44" t="s">
        <v>941</v>
      </c>
      <c r="E18" s="48" t="s">
        <v>941</v>
      </c>
    </row>
    <row r="19" spans="1:5" ht="14.25" customHeight="1">
      <c r="A19" s="1529" t="s">
        <v>128</v>
      </c>
      <c r="B19" s="7" t="s">
        <v>207</v>
      </c>
      <c r="C19" s="44" t="s">
        <v>941</v>
      </c>
      <c r="D19" s="44" t="s">
        <v>941</v>
      </c>
      <c r="E19" s="45" t="s">
        <v>208</v>
      </c>
    </row>
    <row r="20" spans="1:5" ht="14.25" customHeight="1">
      <c r="A20" s="1303"/>
      <c r="B20" s="7" t="s">
        <v>212</v>
      </c>
      <c r="C20" s="44" t="s">
        <v>941</v>
      </c>
      <c r="D20" s="44" t="s">
        <v>941</v>
      </c>
      <c r="E20" s="44" t="s">
        <v>941</v>
      </c>
    </row>
    <row r="21" spans="1:5" ht="14.25" customHeight="1">
      <c r="A21" s="47" t="s">
        <v>132</v>
      </c>
      <c r="B21" s="7" t="s">
        <v>133</v>
      </c>
      <c r="C21" s="44" t="s">
        <v>941</v>
      </c>
      <c r="D21" s="44" t="s">
        <v>941</v>
      </c>
      <c r="E21" s="44" t="s">
        <v>941</v>
      </c>
    </row>
    <row r="22" spans="1:5" ht="14.25" customHeight="1">
      <c r="A22" s="1530" t="s">
        <v>165</v>
      </c>
      <c r="B22" s="7" t="s">
        <v>216</v>
      </c>
      <c r="C22" s="44" t="s">
        <v>941</v>
      </c>
      <c r="D22" s="44" t="s">
        <v>941</v>
      </c>
      <c r="E22" s="44" t="s">
        <v>941</v>
      </c>
    </row>
    <row r="23" spans="1:5" ht="14.25" customHeight="1">
      <c r="A23" s="1303"/>
      <c r="B23" s="49" t="s">
        <v>947</v>
      </c>
      <c r="C23" s="50" t="s">
        <v>941</v>
      </c>
      <c r="D23" s="51" t="s">
        <v>941</v>
      </c>
      <c r="E23" s="51" t="s">
        <v>941</v>
      </c>
    </row>
    <row r="24" spans="1:5" ht="14.25" customHeight="1">
      <c r="A24" s="52" t="s">
        <v>220</v>
      </c>
      <c r="B24" s="49" t="s">
        <v>948</v>
      </c>
      <c r="C24" s="44" t="s">
        <v>941</v>
      </c>
      <c r="D24" s="44" t="s">
        <v>941</v>
      </c>
      <c r="E24" s="44" t="s">
        <v>941</v>
      </c>
    </row>
    <row r="25" spans="1:5" ht="14.25" customHeight="1">
      <c r="A25" s="1521" t="s">
        <v>949</v>
      </c>
      <c r="B25" s="1522"/>
      <c r="C25" s="1522"/>
      <c r="D25" s="1522"/>
      <c r="E25" s="1523"/>
    </row>
    <row r="26" spans="1:5" ht="14.25" customHeight="1">
      <c r="A26" s="46" t="s">
        <v>222</v>
      </c>
      <c r="B26" s="53"/>
      <c r="C26" s="54" t="s">
        <v>941</v>
      </c>
      <c r="D26" s="54" t="s">
        <v>941</v>
      </c>
      <c r="E26" s="54" t="s">
        <v>941</v>
      </c>
    </row>
    <row r="27" spans="1:5" ht="14.25" customHeight="1">
      <c r="A27" s="55" t="s">
        <v>157</v>
      </c>
      <c r="B27" s="52"/>
      <c r="C27" s="56" t="s">
        <v>224</v>
      </c>
      <c r="D27" s="57" t="s">
        <v>225</v>
      </c>
      <c r="E27" s="56" t="s">
        <v>226</v>
      </c>
    </row>
    <row r="28" spans="1:5" ht="14.25" customHeight="1">
      <c r="A28" s="46" t="s">
        <v>234</v>
      </c>
      <c r="B28" s="49" t="s">
        <v>235</v>
      </c>
      <c r="C28" s="48" t="s">
        <v>941</v>
      </c>
      <c r="D28" s="48" t="s">
        <v>941</v>
      </c>
      <c r="E28" s="48" t="s">
        <v>941</v>
      </c>
    </row>
    <row r="29" spans="1:5" ht="14.25" customHeight="1">
      <c r="A29" s="46" t="s">
        <v>236</v>
      </c>
      <c r="B29" s="47"/>
      <c r="C29" s="58" t="s">
        <v>237</v>
      </c>
      <c r="D29" s="59" t="s">
        <v>238</v>
      </c>
      <c r="E29" s="58" t="s">
        <v>239</v>
      </c>
    </row>
    <row r="30" spans="1:5" ht="14.25" customHeight="1">
      <c r="A30" s="1521" t="s">
        <v>950</v>
      </c>
      <c r="B30" s="1522"/>
      <c r="C30" s="1522"/>
      <c r="D30" s="1522"/>
      <c r="E30" s="1523"/>
    </row>
    <row r="31" spans="1:5" ht="14.25" customHeight="1">
      <c r="A31" s="46" t="s">
        <v>142</v>
      </c>
      <c r="B31" s="7" t="s">
        <v>244</v>
      </c>
      <c r="C31" s="48" t="s">
        <v>941</v>
      </c>
      <c r="D31" s="48" t="s">
        <v>941</v>
      </c>
      <c r="E31" s="48" t="s">
        <v>941</v>
      </c>
    </row>
    <row r="32" spans="1:5" ht="14.25" customHeight="1">
      <c r="A32" s="46" t="s">
        <v>245</v>
      </c>
      <c r="B32" s="7" t="s">
        <v>246</v>
      </c>
      <c r="C32" s="58" t="s">
        <v>247</v>
      </c>
      <c r="D32" s="58" t="s">
        <v>247</v>
      </c>
      <c r="E32" s="58" t="s">
        <v>248</v>
      </c>
    </row>
    <row r="33" spans="1:5" ht="14.25" customHeight="1">
      <c r="A33" s="46" t="s">
        <v>255</v>
      </c>
      <c r="B33" s="7" t="s">
        <v>256</v>
      </c>
      <c r="C33" s="60" t="s">
        <v>941</v>
      </c>
      <c r="D33" s="60" t="s">
        <v>941</v>
      </c>
      <c r="E33" s="60" t="s">
        <v>941</v>
      </c>
    </row>
    <row r="34" spans="1:5" ht="14.25" customHeight="1">
      <c r="A34" s="46" t="s">
        <v>259</v>
      </c>
      <c r="B34" s="61"/>
      <c r="C34" s="60" t="s">
        <v>941</v>
      </c>
      <c r="D34" s="60" t="s">
        <v>941</v>
      </c>
      <c r="E34" s="60" t="s">
        <v>941</v>
      </c>
    </row>
    <row r="35" spans="1:5" ht="14.25" customHeight="1">
      <c r="A35" s="46" t="s">
        <v>260</v>
      </c>
      <c r="B35" s="49" t="s">
        <v>951</v>
      </c>
      <c r="C35" s="60" t="s">
        <v>941</v>
      </c>
      <c r="D35" s="62" t="s">
        <v>203</v>
      </c>
      <c r="E35" s="60" t="s">
        <v>941</v>
      </c>
    </row>
    <row r="36" spans="1:5" ht="14.25" customHeight="1">
      <c r="A36" s="1521" t="s">
        <v>952</v>
      </c>
      <c r="B36" s="1522"/>
      <c r="C36" s="1522"/>
      <c r="D36" s="1522"/>
      <c r="E36" s="1523"/>
    </row>
    <row r="37" spans="1:5" ht="14.25" customHeight="1">
      <c r="A37" s="55" t="s">
        <v>262</v>
      </c>
      <c r="B37" s="63" t="s">
        <v>137</v>
      </c>
      <c r="C37" s="60" t="s">
        <v>941</v>
      </c>
      <c r="D37" s="60" t="s">
        <v>941</v>
      </c>
      <c r="E37" s="60" t="s">
        <v>941</v>
      </c>
    </row>
    <row r="38" spans="1:5" ht="14.25" customHeight="1">
      <c r="A38" s="46" t="s">
        <v>265</v>
      </c>
      <c r="B38" s="63" t="s">
        <v>266</v>
      </c>
      <c r="C38" s="60" t="s">
        <v>941</v>
      </c>
      <c r="D38" s="54" t="s">
        <v>941</v>
      </c>
      <c r="E38" s="54" t="s">
        <v>941</v>
      </c>
    </row>
    <row r="39" spans="1:5" ht="14.25" customHeight="1">
      <c r="A39" s="135" t="s">
        <v>953</v>
      </c>
      <c r="B39" s="63" t="s">
        <v>954</v>
      </c>
      <c r="C39" s="60" t="s">
        <v>941</v>
      </c>
      <c r="D39" s="54" t="s">
        <v>941</v>
      </c>
      <c r="E39" s="54" t="s">
        <v>941</v>
      </c>
    </row>
    <row r="40" spans="1:5" ht="14.25" customHeight="1">
      <c r="A40" s="135" t="s">
        <v>955</v>
      </c>
      <c r="B40" s="63" t="s">
        <v>956</v>
      </c>
      <c r="C40" s="60" t="s">
        <v>941</v>
      </c>
      <c r="D40" s="54" t="s">
        <v>941</v>
      </c>
      <c r="E40" s="54" t="s">
        <v>941</v>
      </c>
    </row>
    <row r="41" spans="1:5" ht="14.25" customHeight="1">
      <c r="A41" s="135" t="s">
        <v>271</v>
      </c>
      <c r="B41" s="63" t="s">
        <v>957</v>
      </c>
      <c r="C41" s="62" t="s">
        <v>203</v>
      </c>
      <c r="D41" s="62" t="s">
        <v>203</v>
      </c>
      <c r="E41" s="62" t="s">
        <v>203</v>
      </c>
    </row>
    <row r="42" spans="1:5" ht="15" customHeight="1">
      <c r="A42" s="1521" t="s">
        <v>958</v>
      </c>
      <c r="B42" s="1522"/>
      <c r="C42" s="1522"/>
      <c r="D42" s="1522"/>
      <c r="E42" s="1523"/>
    </row>
    <row r="43" spans="1:5" ht="14.25" customHeight="1">
      <c r="A43" s="46" t="s">
        <v>130</v>
      </c>
      <c r="B43" s="49" t="s">
        <v>131</v>
      </c>
      <c r="C43" s="48" t="s">
        <v>941</v>
      </c>
      <c r="D43" s="48" t="s">
        <v>941</v>
      </c>
      <c r="E43" s="48" t="s">
        <v>941</v>
      </c>
    </row>
    <row r="44" spans="1:5" ht="14.25" customHeight="1">
      <c r="A44" s="46" t="s">
        <v>273</v>
      </c>
      <c r="B44" s="7" t="s">
        <v>274</v>
      </c>
      <c r="C44" s="48" t="s">
        <v>941</v>
      </c>
      <c r="D44" s="48" t="s">
        <v>941</v>
      </c>
      <c r="E44" s="48" t="s">
        <v>941</v>
      </c>
    </row>
    <row r="45" spans="1:5" ht="14.25" customHeight="1">
      <c r="A45" s="46" t="s">
        <v>164</v>
      </c>
      <c r="B45" s="49" t="s">
        <v>275</v>
      </c>
      <c r="C45" s="48" t="s">
        <v>941</v>
      </c>
      <c r="D45" s="64" t="s">
        <v>277</v>
      </c>
      <c r="E45" s="64" t="s">
        <v>276</v>
      </c>
    </row>
    <row r="46" spans="1:5" ht="14.25" customHeight="1">
      <c r="A46" s="1521" t="s">
        <v>959</v>
      </c>
      <c r="B46" s="1522"/>
      <c r="C46" s="1522"/>
      <c r="D46" s="1522"/>
      <c r="E46" s="1523"/>
    </row>
    <row r="47" spans="1:5" ht="14.25" customHeight="1">
      <c r="A47" s="46" t="s">
        <v>278</v>
      </c>
      <c r="B47" s="7" t="s">
        <v>274</v>
      </c>
      <c r="C47" s="60" t="s">
        <v>941</v>
      </c>
      <c r="D47" s="60" t="s">
        <v>941</v>
      </c>
      <c r="E47" s="60" t="s">
        <v>941</v>
      </c>
    </row>
    <row r="48" spans="1:5" ht="14.25" customHeight="1">
      <c r="A48" s="46" t="s">
        <v>279</v>
      </c>
      <c r="B48" s="7" t="s">
        <v>274</v>
      </c>
      <c r="C48" s="60" t="s">
        <v>941</v>
      </c>
      <c r="D48" s="60" t="s">
        <v>941</v>
      </c>
      <c r="E48" s="60" t="s">
        <v>941</v>
      </c>
    </row>
    <row r="49" spans="1:5" ht="14.25" customHeight="1">
      <c r="A49" s="46" t="s">
        <v>280</v>
      </c>
      <c r="B49" s="7" t="s">
        <v>274</v>
      </c>
      <c r="C49" s="60" t="s">
        <v>941</v>
      </c>
      <c r="D49" s="60" t="s">
        <v>941</v>
      </c>
      <c r="E49" s="60" t="s">
        <v>941</v>
      </c>
    </row>
    <row r="50" spans="1:5" ht="14.25" customHeight="1">
      <c r="A50" s="1521" t="s">
        <v>960</v>
      </c>
      <c r="B50" s="1522"/>
      <c r="C50" s="1522"/>
      <c r="D50" s="1522"/>
      <c r="E50" s="1523"/>
    </row>
    <row r="51" spans="1:5" ht="14.25" customHeight="1">
      <c r="A51" s="46" t="s">
        <v>140</v>
      </c>
      <c r="B51" s="7" t="s">
        <v>961</v>
      </c>
      <c r="C51" s="54" t="s">
        <v>941</v>
      </c>
      <c r="D51" s="54" t="s">
        <v>941</v>
      </c>
      <c r="E51" s="54" t="s">
        <v>941</v>
      </c>
    </row>
    <row r="52" spans="1:5" ht="14.25" customHeight="1">
      <c r="A52" s="46" t="s">
        <v>287</v>
      </c>
      <c r="B52" s="7" t="s">
        <v>962</v>
      </c>
      <c r="C52" s="54" t="s">
        <v>941</v>
      </c>
      <c r="D52" s="62" t="s">
        <v>203</v>
      </c>
      <c r="E52" s="64" t="s">
        <v>963</v>
      </c>
    </row>
    <row r="53" spans="1:5" ht="14.25" customHeight="1">
      <c r="A53" s="1521" t="s">
        <v>964</v>
      </c>
      <c r="B53" s="1522"/>
      <c r="C53" s="1522"/>
      <c r="D53" s="1522"/>
      <c r="E53" s="1523"/>
    </row>
    <row r="54" spans="1:5" ht="21.75" customHeight="1">
      <c r="A54" s="46" t="s">
        <v>965</v>
      </c>
      <c r="B54" s="49" t="s">
        <v>966</v>
      </c>
      <c r="C54" s="65" t="s">
        <v>296</v>
      </c>
      <c r="D54" s="66" t="s">
        <v>967</v>
      </c>
      <c r="E54" s="64" t="s">
        <v>297</v>
      </c>
    </row>
    <row r="55" spans="1:5" ht="14.25" customHeight="1">
      <c r="A55" s="46" t="s">
        <v>968</v>
      </c>
      <c r="B55" s="49" t="s">
        <v>969</v>
      </c>
      <c r="C55" s="65" t="s">
        <v>301</v>
      </c>
      <c r="D55" s="62" t="s">
        <v>203</v>
      </c>
      <c r="E55" s="65" t="s">
        <v>301</v>
      </c>
    </row>
    <row r="56" spans="1:5" ht="14.25" customHeight="1">
      <c r="A56" s="46" t="s">
        <v>304</v>
      </c>
      <c r="B56" s="3" t="s">
        <v>305</v>
      </c>
      <c r="C56" s="54" t="s">
        <v>941</v>
      </c>
      <c r="D56" s="62" t="s">
        <v>203</v>
      </c>
      <c r="E56" s="54" t="s">
        <v>941</v>
      </c>
    </row>
    <row r="57" spans="1:5" ht="14.25" customHeight="1">
      <c r="A57" s="55" t="s">
        <v>970</v>
      </c>
      <c r="B57" s="61"/>
      <c r="C57" s="65" t="s">
        <v>292</v>
      </c>
      <c r="D57" s="65" t="s">
        <v>493</v>
      </c>
      <c r="E57" s="65" t="s">
        <v>292</v>
      </c>
    </row>
    <row r="58" spans="1:5" ht="25.5" customHeight="1">
      <c r="A58" s="46" t="s">
        <v>971</v>
      </c>
      <c r="B58" s="49" t="s">
        <v>972</v>
      </c>
      <c r="C58" s="62" t="s">
        <v>203</v>
      </c>
      <c r="D58" s="65" t="s">
        <v>308</v>
      </c>
      <c r="E58" s="65" t="s">
        <v>309</v>
      </c>
    </row>
    <row r="59" spans="1:5" ht="14.25" customHeight="1">
      <c r="A59" s="46" t="s">
        <v>312</v>
      </c>
      <c r="B59" s="3" t="s">
        <v>973</v>
      </c>
      <c r="C59" s="54" t="s">
        <v>941</v>
      </c>
      <c r="D59" s="62" t="s">
        <v>203</v>
      </c>
      <c r="E59" s="54" t="s">
        <v>941</v>
      </c>
    </row>
    <row r="60" spans="1:5" ht="14.25" customHeight="1">
      <c r="A60" s="1521" t="s">
        <v>974</v>
      </c>
      <c r="B60" s="1522"/>
      <c r="C60" s="1522"/>
      <c r="D60" s="1522"/>
      <c r="E60" s="1523"/>
    </row>
    <row r="61" spans="1:5" ht="14.25" customHeight="1">
      <c r="A61" s="55" t="s">
        <v>313</v>
      </c>
      <c r="B61" s="11" t="s">
        <v>314</v>
      </c>
      <c r="C61" s="54" t="s">
        <v>941</v>
      </c>
      <c r="D61" s="54" t="s">
        <v>941</v>
      </c>
      <c r="E61" s="54" t="s">
        <v>941</v>
      </c>
    </row>
    <row r="62" spans="1:5" ht="14.25" customHeight="1">
      <c r="A62" s="55" t="s">
        <v>315</v>
      </c>
      <c r="B62" s="11" t="s">
        <v>975</v>
      </c>
      <c r="C62" s="54" t="s">
        <v>941</v>
      </c>
      <c r="D62" s="54" t="s">
        <v>941</v>
      </c>
      <c r="E62" s="54" t="s">
        <v>941</v>
      </c>
    </row>
    <row r="63" spans="1:5" ht="14.25" customHeight="1">
      <c r="A63" s="55" t="s">
        <v>317</v>
      </c>
      <c r="B63" s="11" t="s">
        <v>976</v>
      </c>
      <c r="C63" s="54" t="s">
        <v>941</v>
      </c>
      <c r="D63" s="54" t="s">
        <v>941</v>
      </c>
      <c r="E63" s="54" t="s">
        <v>941</v>
      </c>
    </row>
    <row r="64" spans="1:5" ht="14.25" customHeight="1">
      <c r="A64" s="55" t="s">
        <v>319</v>
      </c>
      <c r="B64" s="11" t="s">
        <v>977</v>
      </c>
      <c r="C64" s="54" t="s">
        <v>941</v>
      </c>
      <c r="D64" s="54" t="s">
        <v>941</v>
      </c>
      <c r="E64" s="54" t="s">
        <v>941</v>
      </c>
    </row>
    <row r="65" spans="1:5" ht="14.25" customHeight="1">
      <c r="A65" s="1521"/>
      <c r="B65" s="1522"/>
      <c r="C65" s="1522"/>
      <c r="D65" s="1522"/>
      <c r="E65" s="1523"/>
    </row>
    <row r="66" spans="1:5" ht="14.25" customHeight="1">
      <c r="A66" s="55" t="s">
        <v>978</v>
      </c>
      <c r="B66" s="11" t="s">
        <v>979</v>
      </c>
      <c r="C66" s="54" t="s">
        <v>941</v>
      </c>
      <c r="D66" s="54" t="s">
        <v>941</v>
      </c>
      <c r="E66" s="54" t="s">
        <v>941</v>
      </c>
    </row>
    <row r="67" spans="1:5" ht="14.25" customHeight="1">
      <c r="A67" s="55" t="s">
        <v>980</v>
      </c>
      <c r="B67" s="61"/>
      <c r="C67" s="65" t="s">
        <v>323</v>
      </c>
      <c r="D67" s="65" t="s">
        <v>981</v>
      </c>
      <c r="E67" s="65" t="s">
        <v>323</v>
      </c>
    </row>
    <row r="68" spans="1:5" ht="14.25" customHeight="1">
      <c r="A68" s="55" t="s">
        <v>324</v>
      </c>
      <c r="B68" s="11" t="s">
        <v>325</v>
      </c>
      <c r="C68" s="54" t="s">
        <v>941</v>
      </c>
      <c r="D68" s="54" t="s">
        <v>941</v>
      </c>
      <c r="E68" s="54" t="s">
        <v>941</v>
      </c>
    </row>
    <row r="69" spans="1:5" ht="14.25" customHeight="1">
      <c r="A69" s="55" t="s">
        <v>326</v>
      </c>
      <c r="B69" s="11" t="s">
        <v>327</v>
      </c>
      <c r="C69" s="54" t="s">
        <v>941</v>
      </c>
      <c r="D69" s="54" t="s">
        <v>941</v>
      </c>
      <c r="E69" s="62" t="s">
        <v>203</v>
      </c>
    </row>
    <row r="70" spans="1:5" ht="14.25" customHeight="1">
      <c r="A70" s="55" t="s">
        <v>982</v>
      </c>
      <c r="B70" s="11" t="s">
        <v>983</v>
      </c>
      <c r="C70" s="54" t="s">
        <v>941</v>
      </c>
      <c r="D70" s="54" t="s">
        <v>941</v>
      </c>
      <c r="E70" s="62" t="s">
        <v>203</v>
      </c>
    </row>
    <row r="71" spans="1:5" ht="14.25" customHeight="1">
      <c r="A71" s="67"/>
    </row>
    <row r="72" spans="1:5" ht="14.25" customHeight="1">
      <c r="A72" s="67" t="s">
        <v>984</v>
      </c>
    </row>
    <row r="73" spans="1:5" ht="14.25" customHeight="1">
      <c r="A73" s="67"/>
    </row>
    <row r="74" spans="1:5" ht="14.25" customHeight="1">
      <c r="A74" s="67"/>
    </row>
    <row r="75" spans="1:5" ht="14.25" customHeight="1">
      <c r="A75" s="67"/>
    </row>
    <row r="76" spans="1:5" ht="14.25" customHeight="1">
      <c r="A76" s="67"/>
    </row>
    <row r="77" spans="1:5" ht="14.25" customHeight="1">
      <c r="A77" s="67"/>
    </row>
    <row r="78" spans="1:5" ht="14.25" customHeight="1">
      <c r="A78" s="67"/>
    </row>
    <row r="79" spans="1:5" ht="14.25" customHeight="1">
      <c r="A79" s="67"/>
    </row>
    <row r="80" spans="1:5" ht="14.25" customHeight="1">
      <c r="A80" s="67"/>
    </row>
    <row r="81" spans="1:1" ht="14.25" customHeight="1">
      <c r="A81" s="67"/>
    </row>
    <row r="82" spans="1:1" ht="14.25" customHeight="1">
      <c r="A82" s="67"/>
    </row>
    <row r="83" spans="1:1" ht="14.25" customHeight="1">
      <c r="A83" s="67"/>
    </row>
    <row r="84" spans="1:1" ht="14.25" customHeight="1">
      <c r="A84" s="67"/>
    </row>
    <row r="85" spans="1:1" ht="14.25" customHeight="1">
      <c r="A85" s="67"/>
    </row>
    <row r="86" spans="1:1" ht="14.25" customHeight="1">
      <c r="A86" s="67"/>
    </row>
    <row r="87" spans="1:1" ht="14.25" customHeight="1">
      <c r="A87" s="67"/>
    </row>
    <row r="88" spans="1:1" ht="14.25" customHeight="1">
      <c r="A88" s="67"/>
    </row>
    <row r="89" spans="1:1" ht="14.25" customHeight="1">
      <c r="A89" s="67"/>
    </row>
    <row r="90" spans="1:1" ht="14.25" customHeight="1">
      <c r="A90" s="67"/>
    </row>
    <row r="91" spans="1:1" ht="14.25" customHeight="1">
      <c r="A91" s="67"/>
    </row>
    <row r="92" spans="1:1" ht="14.25" customHeight="1">
      <c r="A92" s="67"/>
    </row>
    <row r="93" spans="1:1" ht="14.25" customHeight="1">
      <c r="A93" s="67"/>
    </row>
    <row r="94" spans="1:1" ht="14.25" customHeight="1">
      <c r="A94" s="67"/>
    </row>
    <row r="95" spans="1:1" ht="14.25" customHeight="1">
      <c r="A95" s="67"/>
    </row>
    <row r="96" spans="1:1" ht="14.25" customHeight="1">
      <c r="A96" s="67"/>
    </row>
    <row r="97" spans="1:1" ht="14.25" customHeight="1">
      <c r="A97" s="67"/>
    </row>
    <row r="98" spans="1:1" ht="14.25" customHeight="1">
      <c r="A98" s="67"/>
    </row>
    <row r="99" spans="1:1" ht="14.25" customHeight="1">
      <c r="A99" s="67"/>
    </row>
    <row r="100" spans="1:1" ht="14.25" customHeight="1">
      <c r="A100" s="67"/>
    </row>
    <row r="101" spans="1:1" ht="14.25" customHeight="1">
      <c r="A101" s="67"/>
    </row>
    <row r="102" spans="1:1" ht="14.25" customHeight="1">
      <c r="A102" s="67"/>
    </row>
    <row r="103" spans="1:1" ht="14.25" customHeight="1">
      <c r="A103" s="67"/>
    </row>
    <row r="104" spans="1:1" ht="14.25" customHeight="1">
      <c r="A104" s="67"/>
    </row>
    <row r="105" spans="1:1" ht="14.25" customHeight="1">
      <c r="A105" s="67"/>
    </row>
    <row r="106" spans="1:1" ht="14.25" customHeight="1">
      <c r="A106" s="67"/>
    </row>
    <row r="107" spans="1:1" ht="14.25" customHeight="1">
      <c r="A107" s="67"/>
    </row>
    <row r="108" spans="1:1" ht="14.25" customHeight="1">
      <c r="A108" s="67"/>
    </row>
    <row r="109" spans="1:1" ht="14.25" customHeight="1">
      <c r="A109" s="67"/>
    </row>
    <row r="110" spans="1:1" ht="14.25" customHeight="1">
      <c r="A110" s="67"/>
    </row>
    <row r="111" spans="1:1" ht="14.25" customHeight="1">
      <c r="A111" s="67"/>
    </row>
    <row r="112" spans="1:1" ht="14.25" customHeight="1">
      <c r="A112" s="67"/>
    </row>
    <row r="113" spans="1:1" ht="14.25" customHeight="1">
      <c r="A113" s="67"/>
    </row>
    <row r="114" spans="1:1" ht="14.25" customHeight="1">
      <c r="A114" s="67"/>
    </row>
    <row r="115" spans="1:1" ht="14.25" customHeight="1">
      <c r="A115" s="67"/>
    </row>
    <row r="116" spans="1:1" ht="14.25" customHeight="1">
      <c r="A116" s="67"/>
    </row>
    <row r="117" spans="1:1" ht="14.25" customHeight="1">
      <c r="A117" s="67"/>
    </row>
    <row r="118" spans="1:1" ht="14.25" customHeight="1">
      <c r="A118" s="67"/>
    </row>
    <row r="119" spans="1:1" ht="14.25" customHeight="1">
      <c r="A119" s="67"/>
    </row>
    <row r="120" spans="1:1" ht="14.25" customHeight="1">
      <c r="A120" s="67"/>
    </row>
    <row r="121" spans="1:1" ht="14.25" customHeight="1">
      <c r="A121" s="67"/>
    </row>
    <row r="122" spans="1:1" ht="14.25" customHeight="1">
      <c r="A122" s="67"/>
    </row>
    <row r="123" spans="1:1" ht="14.25" customHeight="1">
      <c r="A123" s="67"/>
    </row>
    <row r="124" spans="1:1" ht="14.25" customHeight="1">
      <c r="A124" s="67"/>
    </row>
    <row r="125" spans="1:1" ht="14.25" customHeight="1">
      <c r="A125" s="67"/>
    </row>
    <row r="126" spans="1:1" ht="14.25" customHeight="1">
      <c r="A126" s="67"/>
    </row>
    <row r="127" spans="1:1" ht="14.25" customHeight="1">
      <c r="A127" s="67"/>
    </row>
    <row r="128" spans="1:1" ht="14.25" customHeight="1">
      <c r="A128" s="67"/>
    </row>
    <row r="129" spans="1:1" ht="14.25" customHeight="1">
      <c r="A129" s="67"/>
    </row>
    <row r="130" spans="1:1" ht="14.25" customHeight="1">
      <c r="A130" s="67"/>
    </row>
    <row r="131" spans="1:1" ht="14.25" customHeight="1">
      <c r="A131" s="67"/>
    </row>
    <row r="132" spans="1:1" ht="14.25" customHeight="1">
      <c r="A132" s="67"/>
    </row>
    <row r="133" spans="1:1" ht="14.25" customHeight="1">
      <c r="A133" s="67"/>
    </row>
    <row r="134" spans="1:1" ht="14.25" customHeight="1">
      <c r="A134" s="67"/>
    </row>
    <row r="135" spans="1:1" ht="14.25" customHeight="1">
      <c r="A135" s="67"/>
    </row>
    <row r="136" spans="1:1" ht="14.25" customHeight="1">
      <c r="A136" s="67"/>
    </row>
    <row r="137" spans="1:1" ht="14.25" customHeight="1">
      <c r="A137" s="67"/>
    </row>
    <row r="138" spans="1:1" ht="14.25" customHeight="1">
      <c r="A138" s="67"/>
    </row>
    <row r="139" spans="1:1" ht="14.25" customHeight="1">
      <c r="A139" s="67"/>
    </row>
    <row r="140" spans="1:1" ht="14.25" customHeight="1">
      <c r="A140" s="67"/>
    </row>
    <row r="141" spans="1:1" ht="14.25" customHeight="1">
      <c r="A141" s="67"/>
    </row>
    <row r="142" spans="1:1" ht="14.25" customHeight="1">
      <c r="A142" s="67"/>
    </row>
    <row r="143" spans="1:1" ht="14.25" customHeight="1">
      <c r="A143" s="67"/>
    </row>
    <row r="144" spans="1:1" ht="14.25" customHeight="1">
      <c r="A144" s="67"/>
    </row>
    <row r="145" spans="1:1" ht="14.25" customHeight="1">
      <c r="A145" s="67"/>
    </row>
    <row r="146" spans="1:1" ht="14.25" customHeight="1">
      <c r="A146" s="67"/>
    </row>
    <row r="147" spans="1:1" ht="14.25" customHeight="1">
      <c r="A147" s="67"/>
    </row>
    <row r="148" spans="1:1" ht="14.25" customHeight="1">
      <c r="A148" s="67"/>
    </row>
    <row r="149" spans="1:1" ht="14.25" customHeight="1">
      <c r="A149" s="67"/>
    </row>
    <row r="150" spans="1:1" ht="14.25" customHeight="1">
      <c r="A150" s="67"/>
    </row>
    <row r="151" spans="1:1" ht="14.25" customHeight="1">
      <c r="A151" s="67"/>
    </row>
    <row r="152" spans="1:1" ht="14.25" customHeight="1">
      <c r="A152" s="67"/>
    </row>
    <row r="153" spans="1:1" ht="14.25" customHeight="1">
      <c r="A153" s="67"/>
    </row>
    <row r="154" spans="1:1" ht="14.25" customHeight="1">
      <c r="A154" s="67"/>
    </row>
    <row r="155" spans="1:1" ht="14.25" customHeight="1">
      <c r="A155" s="67"/>
    </row>
    <row r="156" spans="1:1" ht="14.25" customHeight="1">
      <c r="A156" s="67"/>
    </row>
    <row r="157" spans="1:1" ht="14.25" customHeight="1">
      <c r="A157" s="67"/>
    </row>
    <row r="158" spans="1:1" ht="14.25" customHeight="1">
      <c r="A158" s="67"/>
    </row>
    <row r="159" spans="1:1" ht="14.25" customHeight="1">
      <c r="A159" s="67"/>
    </row>
    <row r="160" spans="1:1" ht="14.25" customHeight="1">
      <c r="A160" s="67"/>
    </row>
    <row r="161" spans="1:1" ht="14.25" customHeight="1">
      <c r="A161" s="67"/>
    </row>
    <row r="162" spans="1:1" ht="14.25" customHeight="1">
      <c r="A162" s="67"/>
    </row>
    <row r="163" spans="1:1" ht="14.25" customHeight="1">
      <c r="A163" s="67"/>
    </row>
    <row r="164" spans="1:1" ht="14.25" customHeight="1">
      <c r="A164" s="67"/>
    </row>
    <row r="165" spans="1:1" ht="14.25" customHeight="1">
      <c r="A165" s="67"/>
    </row>
    <row r="166" spans="1:1" ht="14.25" customHeight="1">
      <c r="A166" s="67"/>
    </row>
    <row r="167" spans="1:1" ht="14.25" customHeight="1">
      <c r="A167" s="67"/>
    </row>
    <row r="168" spans="1:1" ht="14.25" customHeight="1">
      <c r="A168" s="67"/>
    </row>
    <row r="169" spans="1:1" ht="14.25" customHeight="1">
      <c r="A169" s="67"/>
    </row>
    <row r="170" spans="1:1" ht="14.25" customHeight="1">
      <c r="A170" s="67"/>
    </row>
    <row r="171" spans="1:1" ht="14.25" customHeight="1">
      <c r="A171" s="67"/>
    </row>
    <row r="172" spans="1:1" ht="14.25" customHeight="1">
      <c r="A172" s="67"/>
    </row>
    <row r="173" spans="1:1" ht="14.25" customHeight="1">
      <c r="A173" s="67"/>
    </row>
    <row r="174" spans="1:1" ht="14.25" customHeight="1">
      <c r="A174" s="67"/>
    </row>
    <row r="175" spans="1:1" ht="14.25" customHeight="1">
      <c r="A175" s="67"/>
    </row>
    <row r="176" spans="1:1" ht="14.25" customHeight="1">
      <c r="A176" s="67"/>
    </row>
    <row r="177" spans="1:1" ht="14.25" customHeight="1">
      <c r="A177" s="67"/>
    </row>
    <row r="178" spans="1:1" ht="14.25" customHeight="1">
      <c r="A178" s="67"/>
    </row>
    <row r="179" spans="1:1" ht="14.25" customHeight="1">
      <c r="A179" s="67"/>
    </row>
    <row r="180" spans="1:1" ht="14.25" customHeight="1">
      <c r="A180" s="67"/>
    </row>
    <row r="181" spans="1:1" ht="14.25" customHeight="1">
      <c r="A181" s="67"/>
    </row>
    <row r="182" spans="1:1" ht="14.25" customHeight="1">
      <c r="A182" s="67"/>
    </row>
    <row r="183" spans="1:1" ht="14.25" customHeight="1">
      <c r="A183" s="67"/>
    </row>
    <row r="184" spans="1:1" ht="14.25" customHeight="1">
      <c r="A184" s="67"/>
    </row>
    <row r="185" spans="1:1" ht="14.25" customHeight="1">
      <c r="A185" s="67"/>
    </row>
    <row r="186" spans="1:1" ht="14.25" customHeight="1">
      <c r="A186" s="67"/>
    </row>
    <row r="187" spans="1:1" ht="14.25" customHeight="1">
      <c r="A187" s="67"/>
    </row>
    <row r="188" spans="1:1" ht="14.25" customHeight="1">
      <c r="A188" s="67"/>
    </row>
    <row r="189" spans="1:1" ht="14.25" customHeight="1">
      <c r="A189" s="67"/>
    </row>
    <row r="190" spans="1:1" ht="14.25" customHeight="1">
      <c r="A190" s="67"/>
    </row>
    <row r="191" spans="1:1" ht="14.25" customHeight="1">
      <c r="A191" s="67"/>
    </row>
    <row r="192" spans="1:1" ht="14.25" customHeight="1">
      <c r="A192" s="67"/>
    </row>
    <row r="193" spans="1:1" ht="14.25" customHeight="1">
      <c r="A193" s="67"/>
    </row>
    <row r="194" spans="1:1" ht="14.25" customHeight="1">
      <c r="A194" s="67"/>
    </row>
    <row r="195" spans="1:1" ht="14.25" customHeight="1">
      <c r="A195" s="67"/>
    </row>
    <row r="196" spans="1:1" ht="14.25" customHeight="1">
      <c r="A196" s="67"/>
    </row>
    <row r="197" spans="1:1" ht="14.25" customHeight="1">
      <c r="A197" s="67"/>
    </row>
    <row r="198" spans="1:1" ht="14.25" customHeight="1">
      <c r="A198" s="67"/>
    </row>
    <row r="199" spans="1:1" ht="14.25" customHeight="1">
      <c r="A199" s="67"/>
    </row>
    <row r="200" spans="1:1" ht="14.25" customHeight="1">
      <c r="A200" s="67"/>
    </row>
    <row r="201" spans="1:1" ht="14.25" customHeight="1">
      <c r="A201" s="67"/>
    </row>
    <row r="202" spans="1:1" ht="14.25" customHeight="1">
      <c r="A202" s="67"/>
    </row>
    <row r="203" spans="1:1" ht="14.25" customHeight="1">
      <c r="A203" s="67"/>
    </row>
    <row r="204" spans="1:1" ht="14.25" customHeight="1">
      <c r="A204" s="67"/>
    </row>
    <row r="205" spans="1:1" ht="14.25" customHeight="1">
      <c r="A205" s="67"/>
    </row>
    <row r="206" spans="1:1" ht="14.25" customHeight="1">
      <c r="A206" s="67"/>
    </row>
    <row r="207" spans="1:1" ht="14.25" customHeight="1">
      <c r="A207" s="67"/>
    </row>
    <row r="208" spans="1:1" ht="14.25" customHeight="1">
      <c r="A208" s="67"/>
    </row>
    <row r="209" spans="1:1" ht="14.25" customHeight="1">
      <c r="A209" s="67"/>
    </row>
    <row r="210" spans="1:1" ht="14.25" customHeight="1">
      <c r="A210" s="67"/>
    </row>
    <row r="211" spans="1:1" ht="14.25" customHeight="1">
      <c r="A211" s="67"/>
    </row>
    <row r="212" spans="1:1" ht="14.25" customHeight="1">
      <c r="A212" s="67"/>
    </row>
    <row r="213" spans="1:1" ht="14.25" customHeight="1">
      <c r="A213" s="67"/>
    </row>
    <row r="214" spans="1:1" ht="14.25" customHeight="1">
      <c r="A214" s="67"/>
    </row>
    <row r="215" spans="1:1" ht="14.25" customHeight="1">
      <c r="A215" s="67"/>
    </row>
    <row r="216" spans="1:1" ht="14.25" customHeight="1">
      <c r="A216" s="67"/>
    </row>
    <row r="217" spans="1:1" ht="14.25" customHeight="1">
      <c r="A217" s="67"/>
    </row>
    <row r="218" spans="1:1" ht="14.25" customHeight="1">
      <c r="A218" s="67"/>
    </row>
    <row r="219" spans="1:1" ht="14.25" customHeight="1">
      <c r="A219" s="67"/>
    </row>
    <row r="220" spans="1:1" ht="14.25" customHeight="1">
      <c r="A220" s="67"/>
    </row>
    <row r="221" spans="1:1" ht="14.25" customHeight="1">
      <c r="A221" s="67"/>
    </row>
    <row r="222" spans="1:1" ht="14.25" customHeight="1">
      <c r="A222" s="67"/>
    </row>
    <row r="223" spans="1:1" ht="14.25" customHeight="1">
      <c r="A223" s="67"/>
    </row>
    <row r="224" spans="1:1" ht="14.25" customHeight="1">
      <c r="A224" s="67"/>
    </row>
    <row r="225" spans="1:1" ht="14.25" customHeight="1">
      <c r="A225" s="67"/>
    </row>
    <row r="226" spans="1:1" ht="14.25" customHeight="1">
      <c r="A226" s="67"/>
    </row>
    <row r="227" spans="1:1" ht="14.25" customHeight="1">
      <c r="A227" s="67"/>
    </row>
    <row r="228" spans="1:1" ht="14.25" customHeight="1">
      <c r="A228" s="67"/>
    </row>
    <row r="229" spans="1:1" ht="14.25" customHeight="1">
      <c r="A229" s="67"/>
    </row>
    <row r="230" spans="1:1" ht="14.25" customHeight="1">
      <c r="A230" s="67"/>
    </row>
    <row r="231" spans="1:1" ht="14.25" customHeight="1">
      <c r="A231" s="67"/>
    </row>
    <row r="232" spans="1:1" ht="14.25" customHeight="1">
      <c r="A232" s="67"/>
    </row>
    <row r="233" spans="1:1" ht="14.25" customHeight="1">
      <c r="A233" s="67"/>
    </row>
    <row r="234" spans="1:1" ht="14.25" customHeight="1">
      <c r="A234" s="67"/>
    </row>
    <row r="235" spans="1:1" ht="14.25" customHeight="1">
      <c r="A235" s="67"/>
    </row>
    <row r="236" spans="1:1" ht="14.25" customHeight="1">
      <c r="A236" s="67"/>
    </row>
    <row r="237" spans="1:1" ht="14.25" customHeight="1">
      <c r="A237" s="67"/>
    </row>
    <row r="238" spans="1:1" ht="14.25" customHeight="1">
      <c r="A238" s="67"/>
    </row>
    <row r="239" spans="1:1" ht="14.25" customHeight="1">
      <c r="A239" s="67"/>
    </row>
    <row r="240" spans="1:1" ht="14.25" customHeight="1">
      <c r="A240" s="67"/>
    </row>
    <row r="241" spans="1:1" ht="14.25" customHeight="1">
      <c r="A241" s="67"/>
    </row>
    <row r="242" spans="1:1" ht="14.25" customHeight="1">
      <c r="A242" s="67"/>
    </row>
    <row r="243" spans="1:1" ht="14.25" customHeight="1">
      <c r="A243" s="67"/>
    </row>
    <row r="244" spans="1:1" ht="14.25" customHeight="1">
      <c r="A244" s="67"/>
    </row>
    <row r="245" spans="1:1" ht="14.25" customHeight="1">
      <c r="A245" s="67"/>
    </row>
    <row r="246" spans="1:1" ht="14.25" customHeight="1">
      <c r="A246" s="67"/>
    </row>
    <row r="247" spans="1:1" ht="14.25" customHeight="1">
      <c r="A247" s="67"/>
    </row>
    <row r="248" spans="1:1" ht="14.25" customHeight="1">
      <c r="A248" s="67"/>
    </row>
    <row r="249" spans="1:1" ht="14.25" customHeight="1">
      <c r="A249" s="67"/>
    </row>
    <row r="250" spans="1:1" ht="14.25" customHeight="1">
      <c r="A250" s="67"/>
    </row>
    <row r="251" spans="1:1" ht="14.25" customHeight="1">
      <c r="A251" s="67"/>
    </row>
    <row r="252" spans="1:1" ht="14.25" customHeight="1">
      <c r="A252" s="67"/>
    </row>
    <row r="253" spans="1:1" ht="14.25" customHeight="1">
      <c r="A253" s="67"/>
    </row>
    <row r="254" spans="1:1" ht="14.25" customHeight="1">
      <c r="A254" s="67"/>
    </row>
    <row r="255" spans="1:1" ht="14.25" customHeight="1">
      <c r="A255" s="67"/>
    </row>
    <row r="256" spans="1:1" ht="14.25" customHeight="1">
      <c r="A256" s="67"/>
    </row>
    <row r="257" spans="1:1" ht="14.25" customHeight="1">
      <c r="A257" s="67"/>
    </row>
    <row r="258" spans="1:1" ht="14.25" customHeight="1">
      <c r="A258" s="67"/>
    </row>
    <row r="259" spans="1:1" ht="14.25" customHeight="1">
      <c r="A259" s="67"/>
    </row>
    <row r="260" spans="1:1" ht="14.25" customHeight="1">
      <c r="A260" s="67"/>
    </row>
    <row r="261" spans="1:1" ht="14.25" customHeight="1">
      <c r="A261" s="67"/>
    </row>
    <row r="262" spans="1:1" ht="14.25" customHeight="1">
      <c r="A262" s="67"/>
    </row>
    <row r="263" spans="1:1" ht="14.25" customHeight="1">
      <c r="A263" s="67"/>
    </row>
    <row r="264" spans="1:1" ht="14.25" customHeight="1">
      <c r="A264" s="67"/>
    </row>
    <row r="265" spans="1:1" ht="14.25" customHeight="1">
      <c r="A265" s="67"/>
    </row>
    <row r="266" spans="1:1" ht="14.25" customHeight="1">
      <c r="A266" s="67"/>
    </row>
    <row r="267" spans="1:1" ht="14.25" customHeight="1">
      <c r="A267" s="67"/>
    </row>
    <row r="268" spans="1:1" ht="14.25" customHeight="1">
      <c r="A268" s="67"/>
    </row>
    <row r="269" spans="1:1" ht="14.25" customHeight="1">
      <c r="A269" s="67"/>
    </row>
    <row r="270" spans="1:1" ht="14.25" customHeight="1">
      <c r="A270" s="67"/>
    </row>
    <row r="271" spans="1:1" ht="14.25" customHeight="1">
      <c r="A271" s="67"/>
    </row>
    <row r="272" spans="1:1" ht="14.25" customHeight="1">
      <c r="A272" s="67"/>
    </row>
    <row r="273" spans="1:1" ht="14.25" customHeight="1">
      <c r="A273" s="67"/>
    </row>
    <row r="274" spans="1:1" ht="14.25" customHeight="1">
      <c r="A274" s="67"/>
    </row>
    <row r="275" spans="1:1" ht="14.25" customHeight="1">
      <c r="A275" s="67"/>
    </row>
    <row r="276" spans="1:1" ht="14.25" customHeight="1">
      <c r="A276" s="67"/>
    </row>
    <row r="277" spans="1:1" ht="14.25" customHeight="1">
      <c r="A277" s="67"/>
    </row>
    <row r="278" spans="1:1" ht="14.25" customHeight="1">
      <c r="A278" s="67"/>
    </row>
    <row r="279" spans="1:1" ht="14.25" customHeight="1">
      <c r="A279" s="67"/>
    </row>
    <row r="280" spans="1:1" ht="14.25" customHeight="1">
      <c r="A280" s="67"/>
    </row>
    <row r="281" spans="1:1" ht="14.25" customHeight="1">
      <c r="A281" s="67"/>
    </row>
    <row r="282" spans="1:1" ht="14.25" customHeight="1">
      <c r="A282" s="67"/>
    </row>
    <row r="283" spans="1:1" ht="14.25" customHeight="1">
      <c r="A283" s="67"/>
    </row>
    <row r="284" spans="1:1" ht="14.25" customHeight="1">
      <c r="A284" s="67"/>
    </row>
    <row r="285" spans="1:1" ht="14.25" customHeight="1">
      <c r="A285" s="67"/>
    </row>
    <row r="286" spans="1:1" ht="14.25" customHeight="1">
      <c r="A286" s="67"/>
    </row>
    <row r="287" spans="1:1" ht="14.25" customHeight="1">
      <c r="A287" s="67"/>
    </row>
    <row r="288" spans="1:1" ht="14.25" customHeight="1">
      <c r="A288" s="67"/>
    </row>
    <row r="289" spans="1:1" ht="14.25" customHeight="1">
      <c r="A289" s="67"/>
    </row>
    <row r="290" spans="1:1" ht="14.25" customHeight="1">
      <c r="A290" s="67"/>
    </row>
    <row r="291" spans="1:1" ht="14.25" customHeight="1">
      <c r="A291" s="67"/>
    </row>
    <row r="292" spans="1:1" ht="14.25" customHeight="1">
      <c r="A292" s="67"/>
    </row>
    <row r="293" spans="1:1" ht="14.25" customHeight="1">
      <c r="A293" s="67"/>
    </row>
    <row r="294" spans="1:1" ht="14.25" customHeight="1">
      <c r="A294" s="67"/>
    </row>
    <row r="295" spans="1:1" ht="14.25" customHeight="1">
      <c r="A295" s="67"/>
    </row>
    <row r="296" spans="1:1" ht="14.25" customHeight="1">
      <c r="A296" s="67"/>
    </row>
    <row r="297" spans="1:1" ht="14.25" customHeight="1">
      <c r="A297" s="67"/>
    </row>
    <row r="298" spans="1:1" ht="14.25" customHeight="1">
      <c r="A298" s="67"/>
    </row>
    <row r="299" spans="1:1" ht="14.25" customHeight="1">
      <c r="A299" s="67"/>
    </row>
    <row r="300" spans="1:1" ht="14.25" customHeight="1">
      <c r="A300" s="67"/>
    </row>
    <row r="301" spans="1:1" ht="14.25" customHeight="1">
      <c r="A301" s="67"/>
    </row>
    <row r="302" spans="1:1" ht="14.25" customHeight="1">
      <c r="A302" s="67"/>
    </row>
    <row r="303" spans="1:1" ht="14.25" customHeight="1">
      <c r="A303" s="67"/>
    </row>
    <row r="304" spans="1:1" ht="14.25" customHeight="1">
      <c r="A304" s="67"/>
    </row>
    <row r="305" spans="1:1" ht="14.25" customHeight="1">
      <c r="A305" s="67"/>
    </row>
    <row r="306" spans="1:1" ht="14.25" customHeight="1">
      <c r="A306" s="67"/>
    </row>
    <row r="307" spans="1:1" ht="14.25" customHeight="1">
      <c r="A307" s="67"/>
    </row>
    <row r="308" spans="1:1" ht="14.25" customHeight="1">
      <c r="A308" s="67"/>
    </row>
    <row r="309" spans="1:1" ht="14.25" customHeight="1">
      <c r="A309" s="67"/>
    </row>
    <row r="310" spans="1:1" ht="14.25" customHeight="1">
      <c r="A310" s="67"/>
    </row>
    <row r="311" spans="1:1" ht="14.25" customHeight="1">
      <c r="A311" s="67"/>
    </row>
    <row r="312" spans="1:1" ht="14.25" customHeight="1">
      <c r="A312" s="67"/>
    </row>
    <row r="313" spans="1:1" ht="14.25" customHeight="1">
      <c r="A313" s="67"/>
    </row>
    <row r="314" spans="1:1" ht="14.25" customHeight="1">
      <c r="A314" s="67"/>
    </row>
    <row r="315" spans="1:1" ht="14.25" customHeight="1">
      <c r="A315" s="67"/>
    </row>
    <row r="316" spans="1:1" ht="14.25" customHeight="1">
      <c r="A316" s="67"/>
    </row>
    <row r="317" spans="1:1" ht="14.25" customHeight="1">
      <c r="A317" s="67"/>
    </row>
    <row r="318" spans="1:1" ht="14.25" customHeight="1">
      <c r="A318" s="67"/>
    </row>
    <row r="319" spans="1:1" ht="14.25" customHeight="1">
      <c r="A319" s="67"/>
    </row>
    <row r="320" spans="1:1" ht="14.25" customHeight="1">
      <c r="A320" s="67"/>
    </row>
    <row r="321" spans="1:1" ht="14.25" customHeight="1">
      <c r="A321" s="67"/>
    </row>
    <row r="322" spans="1:1" ht="14.25" customHeight="1">
      <c r="A322" s="67"/>
    </row>
    <row r="323" spans="1:1" ht="14.25" customHeight="1">
      <c r="A323" s="67"/>
    </row>
    <row r="324" spans="1:1" ht="14.25" customHeight="1">
      <c r="A324" s="67"/>
    </row>
    <row r="325" spans="1:1" ht="14.25" customHeight="1">
      <c r="A325" s="67"/>
    </row>
    <row r="326" spans="1:1" ht="14.25" customHeight="1">
      <c r="A326" s="67"/>
    </row>
    <row r="327" spans="1:1" ht="14.25" customHeight="1">
      <c r="A327" s="67"/>
    </row>
    <row r="328" spans="1:1" ht="14.25" customHeight="1">
      <c r="A328" s="67"/>
    </row>
    <row r="329" spans="1:1" ht="14.25" customHeight="1">
      <c r="A329" s="67"/>
    </row>
    <row r="330" spans="1:1" ht="14.25" customHeight="1">
      <c r="A330" s="67"/>
    </row>
    <row r="331" spans="1:1" ht="14.25" customHeight="1">
      <c r="A331" s="67"/>
    </row>
    <row r="332" spans="1:1" ht="14.25" customHeight="1">
      <c r="A332" s="67"/>
    </row>
    <row r="333" spans="1:1" ht="14.25" customHeight="1">
      <c r="A333" s="67"/>
    </row>
    <row r="334" spans="1:1" ht="14.25" customHeight="1">
      <c r="A334" s="67"/>
    </row>
    <row r="335" spans="1:1" ht="14.25" customHeight="1">
      <c r="A335" s="67"/>
    </row>
    <row r="336" spans="1:1" ht="14.25" customHeight="1">
      <c r="A336" s="67"/>
    </row>
    <row r="337" spans="1:1" ht="14.25" customHeight="1">
      <c r="A337" s="67"/>
    </row>
    <row r="338" spans="1:1" ht="14.25" customHeight="1">
      <c r="A338" s="67"/>
    </row>
    <row r="339" spans="1:1" ht="14.25" customHeight="1">
      <c r="A339" s="67"/>
    </row>
    <row r="340" spans="1:1" ht="14.25" customHeight="1">
      <c r="A340" s="67"/>
    </row>
    <row r="341" spans="1:1" ht="14.25" customHeight="1">
      <c r="A341" s="67"/>
    </row>
    <row r="342" spans="1:1" ht="14.25" customHeight="1">
      <c r="A342" s="67"/>
    </row>
    <row r="343" spans="1:1" ht="14.25" customHeight="1">
      <c r="A343" s="67"/>
    </row>
    <row r="344" spans="1:1" ht="14.25" customHeight="1">
      <c r="A344" s="67"/>
    </row>
    <row r="345" spans="1:1" ht="14.25" customHeight="1">
      <c r="A345" s="67"/>
    </row>
    <row r="346" spans="1:1" ht="14.25" customHeight="1">
      <c r="A346" s="67"/>
    </row>
    <row r="347" spans="1:1" ht="14.25" customHeight="1">
      <c r="A347" s="67"/>
    </row>
    <row r="348" spans="1:1" ht="14.25" customHeight="1">
      <c r="A348" s="67"/>
    </row>
    <row r="349" spans="1:1" ht="14.25" customHeight="1">
      <c r="A349" s="67"/>
    </row>
    <row r="350" spans="1:1" ht="14.25" customHeight="1">
      <c r="A350" s="67"/>
    </row>
    <row r="351" spans="1:1" ht="14.25" customHeight="1">
      <c r="A351" s="67"/>
    </row>
    <row r="352" spans="1:1" ht="14.25" customHeight="1">
      <c r="A352" s="67"/>
    </row>
    <row r="353" spans="1:1" ht="14.25" customHeight="1">
      <c r="A353" s="67"/>
    </row>
    <row r="354" spans="1:1" ht="14.25" customHeight="1">
      <c r="A354" s="67"/>
    </row>
    <row r="355" spans="1:1" ht="14.25" customHeight="1">
      <c r="A355" s="67"/>
    </row>
    <row r="356" spans="1:1" ht="14.25" customHeight="1">
      <c r="A356" s="67"/>
    </row>
    <row r="357" spans="1:1" ht="14.25" customHeight="1">
      <c r="A357" s="67"/>
    </row>
    <row r="358" spans="1:1" ht="14.25" customHeight="1">
      <c r="A358" s="67"/>
    </row>
    <row r="359" spans="1:1" ht="14.25" customHeight="1">
      <c r="A359" s="67"/>
    </row>
    <row r="360" spans="1:1" ht="14.25" customHeight="1">
      <c r="A360" s="67"/>
    </row>
    <row r="361" spans="1:1" ht="14.25" customHeight="1">
      <c r="A361" s="67"/>
    </row>
    <row r="362" spans="1:1" ht="14.25" customHeight="1">
      <c r="A362" s="67"/>
    </row>
    <row r="363" spans="1:1" ht="14.25" customHeight="1">
      <c r="A363" s="67"/>
    </row>
    <row r="364" spans="1:1" ht="14.25" customHeight="1">
      <c r="A364" s="67"/>
    </row>
    <row r="365" spans="1:1" ht="14.25" customHeight="1">
      <c r="A365" s="67"/>
    </row>
    <row r="366" spans="1:1" ht="14.25" customHeight="1">
      <c r="A366" s="67"/>
    </row>
    <row r="367" spans="1:1" ht="14.25" customHeight="1">
      <c r="A367" s="67"/>
    </row>
    <row r="368" spans="1:1" ht="14.25" customHeight="1">
      <c r="A368" s="67"/>
    </row>
    <row r="369" spans="1:1" ht="14.25" customHeight="1">
      <c r="A369" s="67"/>
    </row>
    <row r="370" spans="1:1" ht="14.25" customHeight="1">
      <c r="A370" s="67"/>
    </row>
    <row r="371" spans="1:1" ht="14.25" customHeight="1">
      <c r="A371" s="67"/>
    </row>
    <row r="372" spans="1:1" ht="14.25" customHeight="1">
      <c r="A372" s="67"/>
    </row>
    <row r="373" spans="1:1" ht="14.25" customHeight="1">
      <c r="A373" s="67"/>
    </row>
    <row r="374" spans="1:1" ht="14.25" customHeight="1">
      <c r="A374" s="67"/>
    </row>
    <row r="375" spans="1:1" ht="14.25" customHeight="1">
      <c r="A375" s="67"/>
    </row>
    <row r="376" spans="1:1" ht="14.25" customHeight="1">
      <c r="A376" s="67"/>
    </row>
    <row r="377" spans="1:1" ht="14.25" customHeight="1">
      <c r="A377" s="67"/>
    </row>
    <row r="378" spans="1:1" ht="14.25" customHeight="1">
      <c r="A378" s="67"/>
    </row>
    <row r="379" spans="1:1" ht="14.25" customHeight="1">
      <c r="A379" s="67"/>
    </row>
    <row r="380" spans="1:1" ht="14.25" customHeight="1">
      <c r="A380" s="67"/>
    </row>
    <row r="381" spans="1:1" ht="14.25" customHeight="1">
      <c r="A381" s="67"/>
    </row>
    <row r="382" spans="1:1" ht="14.25" customHeight="1">
      <c r="A382" s="67"/>
    </row>
    <row r="383" spans="1:1" ht="14.25" customHeight="1">
      <c r="A383" s="67"/>
    </row>
    <row r="384" spans="1:1" ht="14.25" customHeight="1">
      <c r="A384" s="67"/>
    </row>
    <row r="385" spans="1:1" ht="14.25" customHeight="1">
      <c r="A385" s="67"/>
    </row>
    <row r="386" spans="1:1" ht="14.25" customHeight="1">
      <c r="A386" s="67"/>
    </row>
    <row r="387" spans="1:1" ht="14.25" customHeight="1">
      <c r="A387" s="67"/>
    </row>
    <row r="388" spans="1:1" ht="14.25" customHeight="1">
      <c r="A388" s="67"/>
    </row>
    <row r="389" spans="1:1" ht="14.25" customHeight="1">
      <c r="A389" s="67"/>
    </row>
    <row r="390" spans="1:1" ht="14.25" customHeight="1">
      <c r="A390" s="67"/>
    </row>
    <row r="391" spans="1:1" ht="14.25" customHeight="1">
      <c r="A391" s="67"/>
    </row>
    <row r="392" spans="1:1" ht="14.25" customHeight="1">
      <c r="A392" s="67"/>
    </row>
    <row r="393" spans="1:1" ht="14.25" customHeight="1">
      <c r="A393" s="67"/>
    </row>
    <row r="394" spans="1:1" ht="14.25" customHeight="1">
      <c r="A394" s="67"/>
    </row>
    <row r="395" spans="1:1" ht="14.25" customHeight="1">
      <c r="A395" s="67"/>
    </row>
    <row r="396" spans="1:1" ht="14.25" customHeight="1">
      <c r="A396" s="67"/>
    </row>
    <row r="397" spans="1:1" ht="14.25" customHeight="1">
      <c r="A397" s="67"/>
    </row>
    <row r="398" spans="1:1" ht="14.25" customHeight="1">
      <c r="A398" s="67"/>
    </row>
    <row r="399" spans="1:1" ht="14.25" customHeight="1">
      <c r="A399" s="67"/>
    </row>
    <row r="400" spans="1:1" ht="14.25" customHeight="1">
      <c r="A400" s="67"/>
    </row>
    <row r="401" spans="1:1" ht="14.25" customHeight="1">
      <c r="A401" s="67"/>
    </row>
    <row r="402" spans="1:1" ht="14.25" customHeight="1">
      <c r="A402" s="67"/>
    </row>
    <row r="403" spans="1:1" ht="14.25" customHeight="1">
      <c r="A403" s="67"/>
    </row>
    <row r="404" spans="1:1" ht="14.25" customHeight="1">
      <c r="A404" s="67"/>
    </row>
    <row r="405" spans="1:1" ht="14.25" customHeight="1">
      <c r="A405" s="67"/>
    </row>
    <row r="406" spans="1:1" ht="14.25" customHeight="1">
      <c r="A406" s="67"/>
    </row>
    <row r="407" spans="1:1" ht="14.25" customHeight="1">
      <c r="A407" s="67"/>
    </row>
    <row r="408" spans="1:1" ht="14.25" customHeight="1">
      <c r="A408" s="67"/>
    </row>
    <row r="409" spans="1:1" ht="14.25" customHeight="1">
      <c r="A409" s="67"/>
    </row>
    <row r="410" spans="1:1" ht="14.25" customHeight="1">
      <c r="A410" s="67"/>
    </row>
    <row r="411" spans="1:1" ht="14.25" customHeight="1">
      <c r="A411" s="67"/>
    </row>
    <row r="412" spans="1:1" ht="14.25" customHeight="1">
      <c r="A412" s="67"/>
    </row>
    <row r="413" spans="1:1" ht="14.25" customHeight="1">
      <c r="A413" s="67"/>
    </row>
    <row r="414" spans="1:1" ht="14.25" customHeight="1">
      <c r="A414" s="67"/>
    </row>
    <row r="415" spans="1:1" ht="14.25" customHeight="1">
      <c r="A415" s="67"/>
    </row>
    <row r="416" spans="1:1" ht="14.25" customHeight="1">
      <c r="A416" s="67"/>
    </row>
    <row r="417" spans="1:1" ht="14.25" customHeight="1">
      <c r="A417" s="67"/>
    </row>
    <row r="418" spans="1:1" ht="14.25" customHeight="1">
      <c r="A418" s="67"/>
    </row>
    <row r="419" spans="1:1" ht="14.25" customHeight="1">
      <c r="A419" s="67"/>
    </row>
    <row r="420" spans="1:1" ht="14.25" customHeight="1">
      <c r="A420" s="67"/>
    </row>
    <row r="421" spans="1:1" ht="14.25" customHeight="1">
      <c r="A421" s="67"/>
    </row>
    <row r="422" spans="1:1" ht="14.25" customHeight="1">
      <c r="A422" s="67"/>
    </row>
    <row r="423" spans="1:1" ht="14.25" customHeight="1">
      <c r="A423" s="67"/>
    </row>
    <row r="424" spans="1:1" ht="14.25" customHeight="1">
      <c r="A424" s="67"/>
    </row>
    <row r="425" spans="1:1" ht="14.25" customHeight="1">
      <c r="A425" s="67"/>
    </row>
    <row r="426" spans="1:1" ht="14.25" customHeight="1">
      <c r="A426" s="67"/>
    </row>
    <row r="427" spans="1:1" ht="14.25" customHeight="1">
      <c r="A427" s="67"/>
    </row>
    <row r="428" spans="1:1" ht="14.25" customHeight="1">
      <c r="A428" s="67"/>
    </row>
    <row r="429" spans="1:1" ht="14.25" customHeight="1">
      <c r="A429" s="67"/>
    </row>
    <row r="430" spans="1:1" ht="14.25" customHeight="1">
      <c r="A430" s="67"/>
    </row>
    <row r="431" spans="1:1" ht="14.25" customHeight="1">
      <c r="A431" s="67"/>
    </row>
    <row r="432" spans="1:1" ht="14.25" customHeight="1">
      <c r="A432" s="67"/>
    </row>
    <row r="433" spans="1:1" ht="14.25" customHeight="1">
      <c r="A433" s="67"/>
    </row>
    <row r="434" spans="1:1" ht="14.25" customHeight="1">
      <c r="A434" s="67"/>
    </row>
    <row r="435" spans="1:1" ht="14.25" customHeight="1">
      <c r="A435" s="67"/>
    </row>
    <row r="436" spans="1:1" ht="14.25" customHeight="1">
      <c r="A436" s="67"/>
    </row>
    <row r="437" spans="1:1" ht="14.25" customHeight="1">
      <c r="A437" s="67"/>
    </row>
    <row r="438" spans="1:1" ht="14.25" customHeight="1">
      <c r="A438" s="67"/>
    </row>
    <row r="439" spans="1:1" ht="14.25" customHeight="1">
      <c r="A439" s="67"/>
    </row>
    <row r="440" spans="1:1" ht="14.25" customHeight="1">
      <c r="A440" s="67"/>
    </row>
    <row r="441" spans="1:1" ht="14.25" customHeight="1">
      <c r="A441" s="67"/>
    </row>
    <row r="442" spans="1:1" ht="14.25" customHeight="1">
      <c r="A442" s="67"/>
    </row>
    <row r="443" spans="1:1" ht="14.25" customHeight="1">
      <c r="A443" s="67"/>
    </row>
    <row r="444" spans="1:1" ht="14.25" customHeight="1">
      <c r="A444" s="67"/>
    </row>
    <row r="445" spans="1:1" ht="14.25" customHeight="1">
      <c r="A445" s="67"/>
    </row>
    <row r="446" spans="1:1" ht="14.25" customHeight="1">
      <c r="A446" s="67"/>
    </row>
    <row r="447" spans="1:1" ht="14.25" customHeight="1">
      <c r="A447" s="67"/>
    </row>
    <row r="448" spans="1:1" ht="14.25" customHeight="1">
      <c r="A448" s="67"/>
    </row>
    <row r="449" spans="1:1" ht="14.25" customHeight="1">
      <c r="A449" s="67"/>
    </row>
    <row r="450" spans="1:1" ht="14.25" customHeight="1">
      <c r="A450" s="67"/>
    </row>
    <row r="451" spans="1:1" ht="14.25" customHeight="1">
      <c r="A451" s="67"/>
    </row>
    <row r="452" spans="1:1" ht="14.25" customHeight="1">
      <c r="A452" s="67"/>
    </row>
    <row r="453" spans="1:1" ht="14.25" customHeight="1">
      <c r="A453" s="67"/>
    </row>
    <row r="454" spans="1:1" ht="14.25" customHeight="1">
      <c r="A454" s="67"/>
    </row>
    <row r="455" spans="1:1" ht="14.25" customHeight="1">
      <c r="A455" s="67"/>
    </row>
    <row r="456" spans="1:1" ht="14.25" customHeight="1">
      <c r="A456" s="67"/>
    </row>
    <row r="457" spans="1:1" ht="14.25" customHeight="1">
      <c r="A457" s="67"/>
    </row>
    <row r="458" spans="1:1" ht="14.25" customHeight="1">
      <c r="A458" s="67"/>
    </row>
    <row r="459" spans="1:1" ht="14.25" customHeight="1">
      <c r="A459" s="67"/>
    </row>
    <row r="460" spans="1:1" ht="14.25" customHeight="1">
      <c r="A460" s="67"/>
    </row>
    <row r="461" spans="1:1" ht="14.25" customHeight="1">
      <c r="A461" s="67"/>
    </row>
    <row r="462" spans="1:1" ht="14.25" customHeight="1">
      <c r="A462" s="67"/>
    </row>
    <row r="463" spans="1:1" ht="14.25" customHeight="1">
      <c r="A463" s="67"/>
    </row>
    <row r="464" spans="1:1" ht="14.25" customHeight="1">
      <c r="A464" s="67"/>
    </row>
    <row r="465" spans="1:1" ht="14.25" customHeight="1">
      <c r="A465" s="67"/>
    </row>
    <row r="466" spans="1:1" ht="14.25" customHeight="1">
      <c r="A466" s="67"/>
    </row>
    <row r="467" spans="1:1" ht="14.25" customHeight="1">
      <c r="A467" s="67"/>
    </row>
    <row r="468" spans="1:1" ht="14.25" customHeight="1">
      <c r="A468" s="67"/>
    </row>
    <row r="469" spans="1:1" ht="14.25" customHeight="1">
      <c r="A469" s="67"/>
    </row>
    <row r="470" spans="1:1" ht="14.25" customHeight="1">
      <c r="A470" s="67"/>
    </row>
    <row r="471" spans="1:1" ht="14.25" customHeight="1">
      <c r="A471" s="67"/>
    </row>
    <row r="472" spans="1:1" ht="14.25" customHeight="1">
      <c r="A472" s="67"/>
    </row>
    <row r="473" spans="1:1" ht="14.25" customHeight="1">
      <c r="A473" s="67"/>
    </row>
    <row r="474" spans="1:1" ht="14.25" customHeight="1">
      <c r="A474" s="67"/>
    </row>
    <row r="475" spans="1:1" ht="14.25" customHeight="1">
      <c r="A475" s="67"/>
    </row>
    <row r="476" spans="1:1" ht="14.25" customHeight="1">
      <c r="A476" s="67"/>
    </row>
    <row r="477" spans="1:1" ht="14.25" customHeight="1">
      <c r="A477" s="67"/>
    </row>
    <row r="478" spans="1:1" ht="14.25" customHeight="1">
      <c r="A478" s="67"/>
    </row>
    <row r="479" spans="1:1" ht="14.25" customHeight="1">
      <c r="A479" s="67"/>
    </row>
    <row r="480" spans="1:1" ht="14.25" customHeight="1">
      <c r="A480" s="67"/>
    </row>
    <row r="481" spans="1:1" ht="14.25" customHeight="1">
      <c r="A481" s="67"/>
    </row>
    <row r="482" spans="1:1" ht="14.25" customHeight="1">
      <c r="A482" s="67"/>
    </row>
    <row r="483" spans="1:1" ht="14.25" customHeight="1">
      <c r="A483" s="67"/>
    </row>
    <row r="484" spans="1:1" ht="14.25" customHeight="1">
      <c r="A484" s="67"/>
    </row>
    <row r="485" spans="1:1" ht="14.25" customHeight="1">
      <c r="A485" s="67"/>
    </row>
    <row r="486" spans="1:1" ht="14.25" customHeight="1">
      <c r="A486" s="67"/>
    </row>
    <row r="487" spans="1:1" ht="14.25" customHeight="1">
      <c r="A487" s="67"/>
    </row>
    <row r="488" spans="1:1" ht="14.25" customHeight="1">
      <c r="A488" s="67"/>
    </row>
    <row r="489" spans="1:1" ht="14.25" customHeight="1">
      <c r="A489" s="67"/>
    </row>
    <row r="490" spans="1:1" ht="14.25" customHeight="1">
      <c r="A490" s="67"/>
    </row>
    <row r="491" spans="1:1" ht="14.25" customHeight="1">
      <c r="A491" s="67"/>
    </row>
    <row r="492" spans="1:1" ht="14.25" customHeight="1">
      <c r="A492" s="67"/>
    </row>
    <row r="493" spans="1:1" ht="14.25" customHeight="1">
      <c r="A493" s="67"/>
    </row>
    <row r="494" spans="1:1" ht="14.25" customHeight="1">
      <c r="A494" s="67"/>
    </row>
    <row r="495" spans="1:1" ht="14.25" customHeight="1">
      <c r="A495" s="67"/>
    </row>
    <row r="496" spans="1:1" ht="14.25" customHeight="1">
      <c r="A496" s="67"/>
    </row>
    <row r="497" spans="1:1" ht="14.25" customHeight="1">
      <c r="A497" s="67"/>
    </row>
    <row r="498" spans="1:1" ht="14.25" customHeight="1">
      <c r="A498" s="67"/>
    </row>
    <row r="499" spans="1:1" ht="14.25" customHeight="1">
      <c r="A499" s="67"/>
    </row>
    <row r="500" spans="1:1" ht="14.25" customHeight="1">
      <c r="A500" s="67"/>
    </row>
    <row r="501" spans="1:1" ht="14.25" customHeight="1">
      <c r="A501" s="67"/>
    </row>
    <row r="502" spans="1:1" ht="14.25" customHeight="1">
      <c r="A502" s="67"/>
    </row>
    <row r="503" spans="1:1" ht="14.25" customHeight="1">
      <c r="A503" s="67"/>
    </row>
    <row r="504" spans="1:1" ht="14.25" customHeight="1">
      <c r="A504" s="67"/>
    </row>
    <row r="505" spans="1:1" ht="14.25" customHeight="1">
      <c r="A505" s="67"/>
    </row>
    <row r="506" spans="1:1" ht="14.25" customHeight="1">
      <c r="A506" s="67"/>
    </row>
    <row r="507" spans="1:1" ht="14.25" customHeight="1">
      <c r="A507" s="67"/>
    </row>
    <row r="508" spans="1:1" ht="14.25" customHeight="1">
      <c r="A508" s="67"/>
    </row>
    <row r="509" spans="1:1" ht="14.25" customHeight="1">
      <c r="A509" s="67"/>
    </row>
    <row r="510" spans="1:1" ht="14.25" customHeight="1">
      <c r="A510" s="67"/>
    </row>
    <row r="511" spans="1:1" ht="14.25" customHeight="1">
      <c r="A511" s="67"/>
    </row>
    <row r="512" spans="1:1" ht="14.25" customHeight="1">
      <c r="A512" s="67"/>
    </row>
    <row r="513" spans="1:1" ht="14.25" customHeight="1">
      <c r="A513" s="67"/>
    </row>
    <row r="514" spans="1:1" ht="14.25" customHeight="1">
      <c r="A514" s="67"/>
    </row>
    <row r="515" spans="1:1" ht="14.25" customHeight="1">
      <c r="A515" s="67"/>
    </row>
    <row r="516" spans="1:1" ht="14.25" customHeight="1">
      <c r="A516" s="67"/>
    </row>
    <row r="517" spans="1:1" ht="14.25" customHeight="1">
      <c r="A517" s="67"/>
    </row>
    <row r="518" spans="1:1" ht="14.25" customHeight="1">
      <c r="A518" s="67"/>
    </row>
    <row r="519" spans="1:1" ht="14.25" customHeight="1">
      <c r="A519" s="67"/>
    </row>
    <row r="520" spans="1:1" ht="14.25" customHeight="1">
      <c r="A520" s="67"/>
    </row>
    <row r="521" spans="1:1" ht="14.25" customHeight="1">
      <c r="A521" s="67"/>
    </row>
    <row r="522" spans="1:1" ht="14.25" customHeight="1">
      <c r="A522" s="67"/>
    </row>
    <row r="523" spans="1:1" ht="14.25" customHeight="1">
      <c r="A523" s="67"/>
    </row>
    <row r="524" spans="1:1" ht="14.25" customHeight="1">
      <c r="A524" s="67"/>
    </row>
    <row r="525" spans="1:1" ht="14.25" customHeight="1">
      <c r="A525" s="67"/>
    </row>
    <row r="526" spans="1:1" ht="14.25" customHeight="1">
      <c r="A526" s="67"/>
    </row>
    <row r="527" spans="1:1" ht="14.25" customHeight="1">
      <c r="A527" s="67"/>
    </row>
    <row r="528" spans="1:1" ht="14.25" customHeight="1">
      <c r="A528" s="67"/>
    </row>
    <row r="529" spans="1:1" ht="14.25" customHeight="1">
      <c r="A529" s="67"/>
    </row>
    <row r="530" spans="1:1" ht="14.25" customHeight="1">
      <c r="A530" s="67"/>
    </row>
    <row r="531" spans="1:1" ht="14.25" customHeight="1">
      <c r="A531" s="67"/>
    </row>
    <row r="532" spans="1:1" ht="14.25" customHeight="1">
      <c r="A532" s="67"/>
    </row>
    <row r="533" spans="1:1" ht="14.25" customHeight="1">
      <c r="A533" s="67"/>
    </row>
    <row r="534" spans="1:1" ht="14.25" customHeight="1">
      <c r="A534" s="67"/>
    </row>
    <row r="535" spans="1:1" ht="14.25" customHeight="1">
      <c r="A535" s="67"/>
    </row>
    <row r="536" spans="1:1" ht="14.25" customHeight="1">
      <c r="A536" s="67"/>
    </row>
    <row r="537" spans="1:1" ht="14.25" customHeight="1">
      <c r="A537" s="67"/>
    </row>
    <row r="538" spans="1:1" ht="14.25" customHeight="1">
      <c r="A538" s="67"/>
    </row>
    <row r="539" spans="1:1" ht="14.25" customHeight="1">
      <c r="A539" s="67"/>
    </row>
    <row r="540" spans="1:1" ht="14.25" customHeight="1">
      <c r="A540" s="67"/>
    </row>
    <row r="541" spans="1:1" ht="14.25" customHeight="1">
      <c r="A541" s="67"/>
    </row>
    <row r="542" spans="1:1" ht="14.25" customHeight="1">
      <c r="A542" s="67"/>
    </row>
    <row r="543" spans="1:1" ht="14.25" customHeight="1">
      <c r="A543" s="67"/>
    </row>
    <row r="544" spans="1:1" ht="14.25" customHeight="1">
      <c r="A544" s="67"/>
    </row>
    <row r="545" spans="1:1" ht="14.25" customHeight="1">
      <c r="A545" s="67"/>
    </row>
    <row r="546" spans="1:1" ht="14.25" customHeight="1">
      <c r="A546" s="67"/>
    </row>
    <row r="547" spans="1:1" ht="14.25" customHeight="1">
      <c r="A547" s="67"/>
    </row>
    <row r="548" spans="1:1" ht="14.25" customHeight="1">
      <c r="A548" s="67"/>
    </row>
    <row r="549" spans="1:1" ht="14.25" customHeight="1">
      <c r="A549" s="67"/>
    </row>
    <row r="550" spans="1:1" ht="14.25" customHeight="1">
      <c r="A550" s="67"/>
    </row>
    <row r="551" spans="1:1" ht="14.25" customHeight="1">
      <c r="A551" s="67"/>
    </row>
    <row r="552" spans="1:1" ht="14.25" customHeight="1">
      <c r="A552" s="67"/>
    </row>
    <row r="553" spans="1:1" ht="14.25" customHeight="1">
      <c r="A553" s="67"/>
    </row>
    <row r="554" spans="1:1" ht="14.25" customHeight="1">
      <c r="A554" s="67"/>
    </row>
    <row r="555" spans="1:1" ht="14.25" customHeight="1">
      <c r="A555" s="67"/>
    </row>
    <row r="556" spans="1:1" ht="14.25" customHeight="1">
      <c r="A556" s="67"/>
    </row>
    <row r="557" spans="1:1" ht="14.25" customHeight="1">
      <c r="A557" s="67"/>
    </row>
    <row r="558" spans="1:1" ht="14.25" customHeight="1">
      <c r="A558" s="67"/>
    </row>
    <row r="559" spans="1:1" ht="14.25" customHeight="1">
      <c r="A559" s="67"/>
    </row>
    <row r="560" spans="1:1" ht="14.25" customHeight="1">
      <c r="A560" s="67"/>
    </row>
    <row r="561" spans="1:1" ht="14.25" customHeight="1">
      <c r="A561" s="67"/>
    </row>
    <row r="562" spans="1:1" ht="14.25" customHeight="1">
      <c r="A562" s="67"/>
    </row>
    <row r="563" spans="1:1" ht="14.25" customHeight="1">
      <c r="A563" s="67"/>
    </row>
    <row r="564" spans="1:1" ht="14.25" customHeight="1">
      <c r="A564" s="67"/>
    </row>
    <row r="565" spans="1:1" ht="14.25" customHeight="1">
      <c r="A565" s="67"/>
    </row>
    <row r="566" spans="1:1" ht="14.25" customHeight="1">
      <c r="A566" s="67"/>
    </row>
    <row r="567" spans="1:1" ht="14.25" customHeight="1">
      <c r="A567" s="67"/>
    </row>
    <row r="568" spans="1:1" ht="14.25" customHeight="1">
      <c r="A568" s="67"/>
    </row>
    <row r="569" spans="1:1" ht="14.25" customHeight="1">
      <c r="A569" s="67"/>
    </row>
    <row r="570" spans="1:1" ht="14.25" customHeight="1">
      <c r="A570" s="67"/>
    </row>
    <row r="571" spans="1:1" ht="14.25" customHeight="1">
      <c r="A571" s="67"/>
    </row>
    <row r="572" spans="1:1" ht="14.25" customHeight="1">
      <c r="A572" s="67"/>
    </row>
    <row r="573" spans="1:1" ht="14.25" customHeight="1">
      <c r="A573" s="67"/>
    </row>
    <row r="574" spans="1:1" ht="14.25" customHeight="1">
      <c r="A574" s="67"/>
    </row>
    <row r="575" spans="1:1" ht="14.25" customHeight="1">
      <c r="A575" s="67"/>
    </row>
    <row r="576" spans="1:1" ht="14.25" customHeight="1">
      <c r="A576" s="67"/>
    </row>
    <row r="577" spans="1:1" ht="14.25" customHeight="1">
      <c r="A577" s="67"/>
    </row>
    <row r="578" spans="1:1" ht="14.25" customHeight="1">
      <c r="A578" s="67"/>
    </row>
    <row r="579" spans="1:1" ht="14.25" customHeight="1">
      <c r="A579" s="67"/>
    </row>
    <row r="580" spans="1:1" ht="14.25" customHeight="1">
      <c r="A580" s="67"/>
    </row>
    <row r="581" spans="1:1" ht="14.25" customHeight="1">
      <c r="A581" s="67"/>
    </row>
    <row r="582" spans="1:1" ht="14.25" customHeight="1">
      <c r="A582" s="67"/>
    </row>
    <row r="583" spans="1:1" ht="14.25" customHeight="1">
      <c r="A583" s="67"/>
    </row>
    <row r="584" spans="1:1" ht="14.25" customHeight="1">
      <c r="A584" s="67"/>
    </row>
    <row r="585" spans="1:1" ht="14.25" customHeight="1">
      <c r="A585" s="67"/>
    </row>
    <row r="586" spans="1:1" ht="14.25" customHeight="1">
      <c r="A586" s="67"/>
    </row>
    <row r="587" spans="1:1" ht="14.25" customHeight="1">
      <c r="A587" s="67"/>
    </row>
    <row r="588" spans="1:1" ht="14.25" customHeight="1">
      <c r="A588" s="67"/>
    </row>
    <row r="589" spans="1:1" ht="14.25" customHeight="1">
      <c r="A589" s="67"/>
    </row>
    <row r="590" spans="1:1" ht="14.25" customHeight="1">
      <c r="A590" s="67"/>
    </row>
    <row r="591" spans="1:1" ht="14.25" customHeight="1">
      <c r="A591" s="67"/>
    </row>
    <row r="592" spans="1:1" ht="14.25" customHeight="1">
      <c r="A592" s="67"/>
    </row>
    <row r="593" spans="1:1" ht="14.25" customHeight="1">
      <c r="A593" s="67"/>
    </row>
    <row r="594" spans="1:1" ht="14.25" customHeight="1">
      <c r="A594" s="67"/>
    </row>
    <row r="595" spans="1:1" ht="14.25" customHeight="1">
      <c r="A595" s="67"/>
    </row>
    <row r="596" spans="1:1" ht="14.25" customHeight="1">
      <c r="A596" s="67"/>
    </row>
    <row r="597" spans="1:1" ht="14.25" customHeight="1">
      <c r="A597" s="67"/>
    </row>
    <row r="598" spans="1:1" ht="14.25" customHeight="1">
      <c r="A598" s="67"/>
    </row>
    <row r="599" spans="1:1" ht="14.25" customHeight="1">
      <c r="A599" s="67"/>
    </row>
    <row r="600" spans="1:1" ht="14.25" customHeight="1">
      <c r="A600" s="67"/>
    </row>
    <row r="601" spans="1:1" ht="14.25" customHeight="1">
      <c r="A601" s="67"/>
    </row>
    <row r="602" spans="1:1" ht="14.25" customHeight="1">
      <c r="A602" s="67"/>
    </row>
    <row r="603" spans="1:1" ht="14.25" customHeight="1">
      <c r="A603" s="67"/>
    </row>
    <row r="604" spans="1:1" ht="14.25" customHeight="1">
      <c r="A604" s="67"/>
    </row>
    <row r="605" spans="1:1" ht="14.25" customHeight="1">
      <c r="A605" s="67"/>
    </row>
    <row r="606" spans="1:1" ht="14.25" customHeight="1">
      <c r="A606" s="67"/>
    </row>
    <row r="607" spans="1:1" ht="14.25" customHeight="1">
      <c r="A607" s="67"/>
    </row>
    <row r="608" spans="1:1" ht="14.25" customHeight="1">
      <c r="A608" s="67"/>
    </row>
    <row r="609" spans="1:1" ht="14.25" customHeight="1">
      <c r="A609" s="67"/>
    </row>
    <row r="610" spans="1:1" ht="14.25" customHeight="1">
      <c r="A610" s="67"/>
    </row>
    <row r="611" spans="1:1" ht="14.25" customHeight="1">
      <c r="A611" s="67"/>
    </row>
    <row r="612" spans="1:1" ht="14.25" customHeight="1">
      <c r="A612" s="67"/>
    </row>
    <row r="613" spans="1:1" ht="14.25" customHeight="1">
      <c r="A613" s="67"/>
    </row>
    <row r="614" spans="1:1" ht="14.25" customHeight="1">
      <c r="A614" s="67"/>
    </row>
    <row r="615" spans="1:1" ht="14.25" customHeight="1">
      <c r="A615" s="67"/>
    </row>
    <row r="616" spans="1:1" ht="14.25" customHeight="1">
      <c r="A616" s="67"/>
    </row>
    <row r="617" spans="1:1" ht="14.25" customHeight="1">
      <c r="A617" s="67"/>
    </row>
    <row r="618" spans="1:1" ht="14.25" customHeight="1">
      <c r="A618" s="67"/>
    </row>
    <row r="619" spans="1:1" ht="14.25" customHeight="1">
      <c r="A619" s="67"/>
    </row>
    <row r="620" spans="1:1" ht="14.25" customHeight="1">
      <c r="A620" s="67"/>
    </row>
    <row r="621" spans="1:1" ht="14.25" customHeight="1">
      <c r="A621" s="67"/>
    </row>
    <row r="622" spans="1:1" ht="14.25" customHeight="1">
      <c r="A622" s="67"/>
    </row>
    <row r="623" spans="1:1" ht="14.25" customHeight="1">
      <c r="A623" s="67"/>
    </row>
    <row r="624" spans="1:1" ht="14.25" customHeight="1">
      <c r="A624" s="67"/>
    </row>
    <row r="625" spans="1:1" ht="14.25" customHeight="1">
      <c r="A625" s="67"/>
    </row>
    <row r="626" spans="1:1" ht="14.25" customHeight="1">
      <c r="A626" s="67"/>
    </row>
    <row r="627" spans="1:1" ht="14.25" customHeight="1">
      <c r="A627" s="67"/>
    </row>
    <row r="628" spans="1:1" ht="14.25" customHeight="1">
      <c r="A628" s="67"/>
    </row>
    <row r="629" spans="1:1" ht="14.25" customHeight="1">
      <c r="A629" s="67"/>
    </row>
    <row r="630" spans="1:1" ht="14.25" customHeight="1">
      <c r="A630" s="67"/>
    </row>
    <row r="631" spans="1:1" ht="14.25" customHeight="1">
      <c r="A631" s="67"/>
    </row>
    <row r="632" spans="1:1" ht="14.25" customHeight="1">
      <c r="A632" s="67"/>
    </row>
    <row r="633" spans="1:1" ht="14.25" customHeight="1">
      <c r="A633" s="67"/>
    </row>
    <row r="634" spans="1:1" ht="14.25" customHeight="1">
      <c r="A634" s="67"/>
    </row>
    <row r="635" spans="1:1" ht="14.25" customHeight="1">
      <c r="A635" s="67"/>
    </row>
    <row r="636" spans="1:1" ht="14.25" customHeight="1">
      <c r="A636" s="67"/>
    </row>
    <row r="637" spans="1:1" ht="14.25" customHeight="1">
      <c r="A637" s="67"/>
    </row>
    <row r="638" spans="1:1" ht="14.25" customHeight="1">
      <c r="A638" s="67"/>
    </row>
    <row r="639" spans="1:1" ht="14.25" customHeight="1">
      <c r="A639" s="67"/>
    </row>
    <row r="640" spans="1:1" ht="14.25" customHeight="1">
      <c r="A640" s="67"/>
    </row>
    <row r="641" spans="1:1" ht="14.25" customHeight="1">
      <c r="A641" s="67"/>
    </row>
    <row r="642" spans="1:1" ht="14.25" customHeight="1">
      <c r="A642" s="67"/>
    </row>
    <row r="643" spans="1:1" ht="14.25" customHeight="1">
      <c r="A643" s="67"/>
    </row>
    <row r="644" spans="1:1" ht="14.25" customHeight="1">
      <c r="A644" s="67"/>
    </row>
    <row r="645" spans="1:1" ht="14.25" customHeight="1">
      <c r="A645" s="67"/>
    </row>
    <row r="646" spans="1:1" ht="14.25" customHeight="1">
      <c r="A646" s="67"/>
    </row>
    <row r="647" spans="1:1" ht="14.25" customHeight="1">
      <c r="A647" s="67"/>
    </row>
    <row r="648" spans="1:1" ht="14.25" customHeight="1">
      <c r="A648" s="67"/>
    </row>
    <row r="649" spans="1:1" ht="14.25" customHeight="1">
      <c r="A649" s="67"/>
    </row>
    <row r="650" spans="1:1" ht="14.25" customHeight="1">
      <c r="A650" s="67"/>
    </row>
    <row r="651" spans="1:1" ht="14.25" customHeight="1">
      <c r="A651" s="67"/>
    </row>
    <row r="652" spans="1:1" ht="14.25" customHeight="1">
      <c r="A652" s="67"/>
    </row>
    <row r="653" spans="1:1" ht="14.25" customHeight="1">
      <c r="A653" s="67"/>
    </row>
    <row r="654" spans="1:1" ht="14.25" customHeight="1">
      <c r="A654" s="67"/>
    </row>
    <row r="655" spans="1:1" ht="14.25" customHeight="1">
      <c r="A655" s="67"/>
    </row>
    <row r="656" spans="1:1" ht="14.25" customHeight="1">
      <c r="A656" s="67"/>
    </row>
    <row r="657" spans="1:1" ht="14.25" customHeight="1">
      <c r="A657" s="67"/>
    </row>
    <row r="658" spans="1:1" ht="14.25" customHeight="1">
      <c r="A658" s="67"/>
    </row>
    <row r="659" spans="1:1" ht="14.25" customHeight="1">
      <c r="A659" s="67"/>
    </row>
    <row r="660" spans="1:1" ht="14.25" customHeight="1">
      <c r="A660" s="67"/>
    </row>
    <row r="661" spans="1:1" ht="14.25" customHeight="1">
      <c r="A661" s="67"/>
    </row>
    <row r="662" spans="1:1" ht="14.25" customHeight="1">
      <c r="A662" s="67"/>
    </row>
    <row r="663" spans="1:1" ht="14.25" customHeight="1">
      <c r="A663" s="67"/>
    </row>
    <row r="664" spans="1:1" ht="14.25" customHeight="1">
      <c r="A664" s="67"/>
    </row>
    <row r="665" spans="1:1" ht="14.25" customHeight="1">
      <c r="A665" s="67"/>
    </row>
    <row r="666" spans="1:1" ht="14.25" customHeight="1">
      <c r="A666" s="67"/>
    </row>
    <row r="667" spans="1:1" ht="14.25" customHeight="1">
      <c r="A667" s="67"/>
    </row>
    <row r="668" spans="1:1" ht="14.25" customHeight="1">
      <c r="A668" s="67"/>
    </row>
    <row r="669" spans="1:1" ht="14.25" customHeight="1">
      <c r="A669" s="67"/>
    </row>
    <row r="670" spans="1:1" ht="14.25" customHeight="1">
      <c r="A670" s="67"/>
    </row>
    <row r="671" spans="1:1" ht="14.25" customHeight="1">
      <c r="A671" s="67"/>
    </row>
    <row r="672" spans="1:1" ht="14.25" customHeight="1">
      <c r="A672" s="67"/>
    </row>
    <row r="673" spans="1:1" ht="14.25" customHeight="1">
      <c r="A673" s="67"/>
    </row>
    <row r="674" spans="1:1" ht="14.25" customHeight="1">
      <c r="A674" s="67"/>
    </row>
    <row r="675" spans="1:1" ht="14.25" customHeight="1">
      <c r="A675" s="67"/>
    </row>
    <row r="676" spans="1:1" ht="14.25" customHeight="1">
      <c r="A676" s="67"/>
    </row>
    <row r="677" spans="1:1" ht="14.25" customHeight="1">
      <c r="A677" s="67"/>
    </row>
    <row r="678" spans="1:1" ht="14.25" customHeight="1">
      <c r="A678" s="67"/>
    </row>
    <row r="679" spans="1:1" ht="14.25" customHeight="1">
      <c r="A679" s="67"/>
    </row>
    <row r="680" spans="1:1" ht="14.25" customHeight="1">
      <c r="A680" s="67"/>
    </row>
    <row r="681" spans="1:1" ht="14.25" customHeight="1">
      <c r="A681" s="67"/>
    </row>
    <row r="682" spans="1:1" ht="14.25" customHeight="1">
      <c r="A682" s="67"/>
    </row>
    <row r="683" spans="1:1" ht="14.25" customHeight="1">
      <c r="A683" s="67"/>
    </row>
    <row r="684" spans="1:1" ht="14.25" customHeight="1">
      <c r="A684" s="67"/>
    </row>
    <row r="685" spans="1:1" ht="14.25" customHeight="1">
      <c r="A685" s="67"/>
    </row>
    <row r="686" spans="1:1" ht="14.25" customHeight="1">
      <c r="A686" s="67"/>
    </row>
    <row r="687" spans="1:1" ht="14.25" customHeight="1">
      <c r="A687" s="67"/>
    </row>
    <row r="688" spans="1:1" ht="14.25" customHeight="1">
      <c r="A688" s="67"/>
    </row>
    <row r="689" spans="1:1" ht="14.25" customHeight="1">
      <c r="A689" s="67"/>
    </row>
    <row r="690" spans="1:1" ht="14.25" customHeight="1">
      <c r="A690" s="67"/>
    </row>
    <row r="691" spans="1:1" ht="14.25" customHeight="1">
      <c r="A691" s="67"/>
    </row>
    <row r="692" spans="1:1" ht="14.25" customHeight="1">
      <c r="A692" s="67"/>
    </row>
    <row r="693" spans="1:1" ht="14.25" customHeight="1">
      <c r="A693" s="67"/>
    </row>
    <row r="694" spans="1:1" ht="14.25" customHeight="1">
      <c r="A694" s="67"/>
    </row>
    <row r="695" spans="1:1" ht="14.25" customHeight="1">
      <c r="A695" s="67"/>
    </row>
    <row r="696" spans="1:1" ht="14.25" customHeight="1">
      <c r="A696" s="67"/>
    </row>
    <row r="697" spans="1:1" ht="14.25" customHeight="1">
      <c r="A697" s="67"/>
    </row>
    <row r="698" spans="1:1" ht="14.25" customHeight="1">
      <c r="A698" s="67"/>
    </row>
    <row r="699" spans="1:1" ht="14.25" customHeight="1">
      <c r="A699" s="67"/>
    </row>
    <row r="700" spans="1:1" ht="14.25" customHeight="1">
      <c r="A700" s="67"/>
    </row>
    <row r="701" spans="1:1" ht="14.25" customHeight="1">
      <c r="A701" s="67"/>
    </row>
    <row r="702" spans="1:1" ht="14.25" customHeight="1">
      <c r="A702" s="67"/>
    </row>
    <row r="703" spans="1:1" ht="14.25" customHeight="1">
      <c r="A703" s="67"/>
    </row>
    <row r="704" spans="1:1" ht="14.25" customHeight="1">
      <c r="A704" s="67"/>
    </row>
    <row r="705" spans="1:1" ht="14.25" customHeight="1">
      <c r="A705" s="67"/>
    </row>
    <row r="706" spans="1:1" ht="14.25" customHeight="1">
      <c r="A706" s="67"/>
    </row>
    <row r="707" spans="1:1" ht="14.25" customHeight="1">
      <c r="A707" s="67"/>
    </row>
    <row r="708" spans="1:1" ht="14.25" customHeight="1">
      <c r="A708" s="67"/>
    </row>
    <row r="709" spans="1:1" ht="14.25" customHeight="1">
      <c r="A709" s="67"/>
    </row>
    <row r="710" spans="1:1" ht="14.25" customHeight="1">
      <c r="A710" s="67"/>
    </row>
    <row r="711" spans="1:1" ht="14.25" customHeight="1">
      <c r="A711" s="67"/>
    </row>
    <row r="712" spans="1:1" ht="14.25" customHeight="1">
      <c r="A712" s="67"/>
    </row>
    <row r="713" spans="1:1" ht="14.25" customHeight="1">
      <c r="A713" s="67"/>
    </row>
    <row r="714" spans="1:1" ht="14.25" customHeight="1">
      <c r="A714" s="67"/>
    </row>
    <row r="715" spans="1:1" ht="14.25" customHeight="1">
      <c r="A715" s="67"/>
    </row>
    <row r="716" spans="1:1" ht="14.25" customHeight="1">
      <c r="A716" s="67"/>
    </row>
    <row r="717" spans="1:1" ht="14.25" customHeight="1">
      <c r="A717" s="67"/>
    </row>
    <row r="718" spans="1:1" ht="14.25" customHeight="1">
      <c r="A718" s="67"/>
    </row>
    <row r="719" spans="1:1" ht="14.25" customHeight="1">
      <c r="A719" s="67"/>
    </row>
    <row r="720" spans="1:1" ht="14.25" customHeight="1">
      <c r="A720" s="67"/>
    </row>
    <row r="721" spans="1:1" ht="14.25" customHeight="1">
      <c r="A721" s="67"/>
    </row>
    <row r="722" spans="1:1" ht="14.25" customHeight="1">
      <c r="A722" s="67"/>
    </row>
    <row r="723" spans="1:1" ht="14.25" customHeight="1">
      <c r="A723" s="67"/>
    </row>
    <row r="724" spans="1:1" ht="14.25" customHeight="1">
      <c r="A724" s="67"/>
    </row>
    <row r="725" spans="1:1" ht="14.25" customHeight="1">
      <c r="A725" s="67"/>
    </row>
    <row r="726" spans="1:1" ht="14.25" customHeight="1">
      <c r="A726" s="67"/>
    </row>
    <row r="727" spans="1:1" ht="14.25" customHeight="1">
      <c r="A727" s="67"/>
    </row>
    <row r="728" spans="1:1" ht="14.25" customHeight="1">
      <c r="A728" s="67"/>
    </row>
    <row r="729" spans="1:1" ht="14.25" customHeight="1">
      <c r="A729" s="67"/>
    </row>
    <row r="730" spans="1:1" ht="14.25" customHeight="1">
      <c r="A730" s="67"/>
    </row>
    <row r="731" spans="1:1" ht="14.25" customHeight="1">
      <c r="A731" s="67"/>
    </row>
    <row r="732" spans="1:1" ht="14.25" customHeight="1">
      <c r="A732" s="67"/>
    </row>
    <row r="733" spans="1:1" ht="14.25" customHeight="1">
      <c r="A733" s="67"/>
    </row>
    <row r="734" spans="1:1" ht="14.25" customHeight="1">
      <c r="A734" s="67"/>
    </row>
    <row r="735" spans="1:1" ht="14.25" customHeight="1">
      <c r="A735" s="67"/>
    </row>
    <row r="736" spans="1:1" ht="14.25" customHeight="1">
      <c r="A736" s="67"/>
    </row>
    <row r="737" spans="1:1" ht="14.25" customHeight="1">
      <c r="A737" s="67"/>
    </row>
    <row r="738" spans="1:1" ht="14.25" customHeight="1">
      <c r="A738" s="67"/>
    </row>
    <row r="739" spans="1:1" ht="14.25" customHeight="1">
      <c r="A739" s="67"/>
    </row>
    <row r="740" spans="1:1" ht="14.25" customHeight="1">
      <c r="A740" s="67"/>
    </row>
    <row r="741" spans="1:1" ht="14.25" customHeight="1">
      <c r="A741" s="67"/>
    </row>
    <row r="742" spans="1:1" ht="14.25" customHeight="1">
      <c r="A742" s="67"/>
    </row>
    <row r="743" spans="1:1" ht="14.25" customHeight="1">
      <c r="A743" s="67"/>
    </row>
    <row r="744" spans="1:1" ht="14.25" customHeight="1">
      <c r="A744" s="67"/>
    </row>
    <row r="745" spans="1:1" ht="14.25" customHeight="1">
      <c r="A745" s="67"/>
    </row>
    <row r="746" spans="1:1" ht="14.25" customHeight="1">
      <c r="A746" s="67"/>
    </row>
    <row r="747" spans="1:1" ht="14.25" customHeight="1">
      <c r="A747" s="67"/>
    </row>
    <row r="748" spans="1:1" ht="14.25" customHeight="1">
      <c r="A748" s="67"/>
    </row>
    <row r="749" spans="1:1" ht="14.25" customHeight="1">
      <c r="A749" s="67"/>
    </row>
    <row r="750" spans="1:1" ht="14.25" customHeight="1">
      <c r="A750" s="67"/>
    </row>
    <row r="751" spans="1:1" ht="14.25" customHeight="1">
      <c r="A751" s="67"/>
    </row>
    <row r="752" spans="1:1" ht="14.25" customHeight="1">
      <c r="A752" s="67"/>
    </row>
    <row r="753" spans="1:1" ht="14.25" customHeight="1">
      <c r="A753" s="67"/>
    </row>
    <row r="754" spans="1:1" ht="14.25" customHeight="1">
      <c r="A754" s="67"/>
    </row>
    <row r="755" spans="1:1" ht="14.25" customHeight="1">
      <c r="A755" s="67"/>
    </row>
    <row r="756" spans="1:1" ht="14.25" customHeight="1">
      <c r="A756" s="67"/>
    </row>
    <row r="757" spans="1:1" ht="14.25" customHeight="1">
      <c r="A757" s="67"/>
    </row>
    <row r="758" spans="1:1" ht="14.25" customHeight="1">
      <c r="A758" s="67"/>
    </row>
    <row r="759" spans="1:1" ht="14.25" customHeight="1">
      <c r="A759" s="67"/>
    </row>
    <row r="760" spans="1:1" ht="14.25" customHeight="1">
      <c r="A760" s="67"/>
    </row>
    <row r="761" spans="1:1" ht="14.25" customHeight="1">
      <c r="A761" s="67"/>
    </row>
    <row r="762" spans="1:1" ht="14.25" customHeight="1">
      <c r="A762" s="67"/>
    </row>
    <row r="763" spans="1:1" ht="14.25" customHeight="1">
      <c r="A763" s="67"/>
    </row>
    <row r="764" spans="1:1" ht="14.25" customHeight="1">
      <c r="A764" s="67"/>
    </row>
    <row r="765" spans="1:1" ht="14.25" customHeight="1">
      <c r="A765" s="67"/>
    </row>
    <row r="766" spans="1:1" ht="14.25" customHeight="1">
      <c r="A766" s="67"/>
    </row>
    <row r="767" spans="1:1" ht="14.25" customHeight="1">
      <c r="A767" s="67"/>
    </row>
    <row r="768" spans="1:1" ht="14.25" customHeight="1">
      <c r="A768" s="67"/>
    </row>
    <row r="769" spans="1:1" ht="14.25" customHeight="1">
      <c r="A769" s="67"/>
    </row>
    <row r="770" spans="1:1" ht="14.25" customHeight="1">
      <c r="A770" s="67"/>
    </row>
    <row r="771" spans="1:1" ht="14.25" customHeight="1">
      <c r="A771" s="67"/>
    </row>
    <row r="772" spans="1:1" ht="14.25" customHeight="1">
      <c r="A772" s="67"/>
    </row>
    <row r="773" spans="1:1" ht="14.25" customHeight="1">
      <c r="A773" s="67"/>
    </row>
    <row r="774" spans="1:1" ht="14.25" customHeight="1">
      <c r="A774" s="67"/>
    </row>
    <row r="775" spans="1:1" ht="14.25" customHeight="1">
      <c r="A775" s="67"/>
    </row>
    <row r="776" spans="1:1" ht="14.25" customHeight="1">
      <c r="A776" s="67"/>
    </row>
    <row r="777" spans="1:1" ht="14.25" customHeight="1">
      <c r="A777" s="67"/>
    </row>
    <row r="778" spans="1:1" ht="14.25" customHeight="1">
      <c r="A778" s="67"/>
    </row>
    <row r="779" spans="1:1" ht="14.25" customHeight="1">
      <c r="A779" s="67"/>
    </row>
    <row r="780" spans="1:1" ht="14.25" customHeight="1">
      <c r="A780" s="67"/>
    </row>
    <row r="781" spans="1:1" ht="14.25" customHeight="1">
      <c r="A781" s="67"/>
    </row>
    <row r="782" spans="1:1" ht="14.25" customHeight="1">
      <c r="A782" s="67"/>
    </row>
    <row r="783" spans="1:1" ht="14.25" customHeight="1">
      <c r="A783" s="67"/>
    </row>
    <row r="784" spans="1:1" ht="14.25" customHeight="1">
      <c r="A784" s="67"/>
    </row>
    <row r="785" spans="1:1" ht="14.25" customHeight="1">
      <c r="A785" s="67"/>
    </row>
    <row r="786" spans="1:1" ht="14.25" customHeight="1">
      <c r="A786" s="67"/>
    </row>
    <row r="787" spans="1:1" ht="14.25" customHeight="1">
      <c r="A787" s="67"/>
    </row>
    <row r="788" spans="1:1" ht="14.25" customHeight="1">
      <c r="A788" s="67"/>
    </row>
    <row r="789" spans="1:1" ht="14.25" customHeight="1">
      <c r="A789" s="67"/>
    </row>
    <row r="790" spans="1:1" ht="14.25" customHeight="1">
      <c r="A790" s="67"/>
    </row>
    <row r="791" spans="1:1" ht="14.25" customHeight="1">
      <c r="A791" s="67"/>
    </row>
    <row r="792" spans="1:1" ht="14.25" customHeight="1">
      <c r="A792" s="67"/>
    </row>
    <row r="793" spans="1:1" ht="14.25" customHeight="1">
      <c r="A793" s="67"/>
    </row>
    <row r="794" spans="1:1" ht="14.25" customHeight="1">
      <c r="A794" s="67"/>
    </row>
    <row r="795" spans="1:1" ht="14.25" customHeight="1">
      <c r="A795" s="67"/>
    </row>
    <row r="796" spans="1:1" ht="14.25" customHeight="1">
      <c r="A796" s="67"/>
    </row>
    <row r="797" spans="1:1" ht="14.25" customHeight="1">
      <c r="A797" s="67"/>
    </row>
    <row r="798" spans="1:1" ht="14.25" customHeight="1">
      <c r="A798" s="67"/>
    </row>
    <row r="799" spans="1:1" ht="14.25" customHeight="1">
      <c r="A799" s="67"/>
    </row>
    <row r="800" spans="1:1" ht="14.25" customHeight="1">
      <c r="A800" s="67"/>
    </row>
    <row r="801" spans="1:1" ht="14.25" customHeight="1">
      <c r="A801" s="67"/>
    </row>
    <row r="802" spans="1:1" ht="14.25" customHeight="1">
      <c r="A802" s="67"/>
    </row>
    <row r="803" spans="1:1" ht="14.25" customHeight="1">
      <c r="A803" s="67"/>
    </row>
    <row r="804" spans="1:1" ht="14.25" customHeight="1">
      <c r="A804" s="67"/>
    </row>
    <row r="805" spans="1:1" ht="14.25" customHeight="1">
      <c r="A805" s="67"/>
    </row>
    <row r="806" spans="1:1" ht="14.25" customHeight="1">
      <c r="A806" s="67"/>
    </row>
    <row r="807" spans="1:1" ht="14.25" customHeight="1">
      <c r="A807" s="67"/>
    </row>
    <row r="808" spans="1:1" ht="14.25" customHeight="1">
      <c r="A808" s="67"/>
    </row>
    <row r="809" spans="1:1" ht="14.25" customHeight="1">
      <c r="A809" s="67"/>
    </row>
    <row r="810" spans="1:1" ht="14.25" customHeight="1">
      <c r="A810" s="67"/>
    </row>
    <row r="811" spans="1:1" ht="14.25" customHeight="1">
      <c r="A811" s="67"/>
    </row>
    <row r="812" spans="1:1" ht="14.25" customHeight="1">
      <c r="A812" s="67"/>
    </row>
    <row r="813" spans="1:1" ht="14.25" customHeight="1">
      <c r="A813" s="67"/>
    </row>
    <row r="814" spans="1:1" ht="14.25" customHeight="1">
      <c r="A814" s="67"/>
    </row>
    <row r="815" spans="1:1" ht="14.25" customHeight="1">
      <c r="A815" s="67"/>
    </row>
    <row r="816" spans="1:1" ht="14.25" customHeight="1">
      <c r="A816" s="67"/>
    </row>
    <row r="817" spans="1:1" ht="14.25" customHeight="1">
      <c r="A817" s="67"/>
    </row>
    <row r="818" spans="1:1" ht="14.25" customHeight="1">
      <c r="A818" s="67"/>
    </row>
    <row r="819" spans="1:1" ht="14.25" customHeight="1">
      <c r="A819" s="67"/>
    </row>
    <row r="820" spans="1:1" ht="14.25" customHeight="1">
      <c r="A820" s="67"/>
    </row>
    <row r="821" spans="1:1" ht="14.25" customHeight="1">
      <c r="A821" s="67"/>
    </row>
    <row r="822" spans="1:1" ht="14.25" customHeight="1">
      <c r="A822" s="67"/>
    </row>
    <row r="823" spans="1:1" ht="14.25" customHeight="1">
      <c r="A823" s="67"/>
    </row>
    <row r="824" spans="1:1" ht="14.25" customHeight="1">
      <c r="A824" s="67"/>
    </row>
    <row r="825" spans="1:1" ht="14.25" customHeight="1">
      <c r="A825" s="67"/>
    </row>
    <row r="826" spans="1:1" ht="14.25" customHeight="1">
      <c r="A826" s="67"/>
    </row>
    <row r="827" spans="1:1" ht="14.25" customHeight="1">
      <c r="A827" s="67"/>
    </row>
    <row r="828" spans="1:1" ht="14.25" customHeight="1">
      <c r="A828" s="67"/>
    </row>
    <row r="829" spans="1:1" ht="14.25" customHeight="1">
      <c r="A829" s="67"/>
    </row>
    <row r="830" spans="1:1" ht="14.25" customHeight="1">
      <c r="A830" s="67"/>
    </row>
    <row r="831" spans="1:1" ht="14.25" customHeight="1">
      <c r="A831" s="67"/>
    </row>
    <row r="832" spans="1:1" ht="14.25" customHeight="1">
      <c r="A832" s="67"/>
    </row>
    <row r="833" spans="1:1" ht="14.25" customHeight="1">
      <c r="A833" s="67"/>
    </row>
    <row r="834" spans="1:1" ht="14.25" customHeight="1">
      <c r="A834" s="67"/>
    </row>
    <row r="835" spans="1:1" ht="14.25" customHeight="1">
      <c r="A835" s="67"/>
    </row>
    <row r="836" spans="1:1" ht="14.25" customHeight="1">
      <c r="A836" s="67"/>
    </row>
    <row r="837" spans="1:1" ht="14.25" customHeight="1">
      <c r="A837" s="67"/>
    </row>
    <row r="838" spans="1:1" ht="14.25" customHeight="1">
      <c r="A838" s="67"/>
    </row>
    <row r="839" spans="1:1" ht="14.25" customHeight="1">
      <c r="A839" s="67"/>
    </row>
    <row r="840" spans="1:1" ht="14.25" customHeight="1">
      <c r="A840" s="67"/>
    </row>
    <row r="841" spans="1:1" ht="14.25" customHeight="1">
      <c r="A841" s="67"/>
    </row>
    <row r="842" spans="1:1" ht="14.25" customHeight="1">
      <c r="A842" s="67"/>
    </row>
    <row r="843" spans="1:1" ht="14.25" customHeight="1">
      <c r="A843" s="67"/>
    </row>
    <row r="844" spans="1:1" ht="14.25" customHeight="1">
      <c r="A844" s="67"/>
    </row>
    <row r="845" spans="1:1" ht="14.25" customHeight="1">
      <c r="A845" s="67"/>
    </row>
    <row r="846" spans="1:1" ht="14.25" customHeight="1">
      <c r="A846" s="67"/>
    </row>
    <row r="847" spans="1:1" ht="14.25" customHeight="1">
      <c r="A847" s="67"/>
    </row>
    <row r="848" spans="1:1" ht="14.25" customHeight="1">
      <c r="A848" s="67"/>
    </row>
    <row r="849" spans="1:1" ht="14.25" customHeight="1">
      <c r="A849" s="67"/>
    </row>
    <row r="850" spans="1:1" ht="14.25" customHeight="1">
      <c r="A850" s="67"/>
    </row>
    <row r="851" spans="1:1" ht="14.25" customHeight="1">
      <c r="A851" s="67"/>
    </row>
    <row r="852" spans="1:1" ht="14.25" customHeight="1">
      <c r="A852" s="67"/>
    </row>
    <row r="853" spans="1:1" ht="14.25" customHeight="1">
      <c r="A853" s="67"/>
    </row>
    <row r="854" spans="1:1" ht="14.25" customHeight="1">
      <c r="A854" s="67"/>
    </row>
    <row r="855" spans="1:1" ht="14.25" customHeight="1">
      <c r="A855" s="67"/>
    </row>
    <row r="856" spans="1:1" ht="14.25" customHeight="1">
      <c r="A856" s="67"/>
    </row>
    <row r="857" spans="1:1" ht="14.25" customHeight="1">
      <c r="A857" s="67"/>
    </row>
    <row r="858" spans="1:1" ht="14.25" customHeight="1">
      <c r="A858" s="67"/>
    </row>
    <row r="859" spans="1:1" ht="14.25" customHeight="1">
      <c r="A859" s="67"/>
    </row>
    <row r="860" spans="1:1" ht="14.25" customHeight="1">
      <c r="A860" s="67"/>
    </row>
    <row r="861" spans="1:1" ht="14.25" customHeight="1">
      <c r="A861" s="67"/>
    </row>
    <row r="862" spans="1:1" ht="14.25" customHeight="1">
      <c r="A862" s="67"/>
    </row>
    <row r="863" spans="1:1" ht="14.25" customHeight="1">
      <c r="A863" s="67"/>
    </row>
    <row r="864" spans="1:1" ht="14.25" customHeight="1">
      <c r="A864" s="67"/>
    </row>
    <row r="865" spans="1:1" ht="14.25" customHeight="1">
      <c r="A865" s="67"/>
    </row>
    <row r="866" spans="1:1" ht="14.25" customHeight="1">
      <c r="A866" s="67"/>
    </row>
    <row r="867" spans="1:1" ht="14.25" customHeight="1">
      <c r="A867" s="67"/>
    </row>
    <row r="868" spans="1:1" ht="14.25" customHeight="1">
      <c r="A868" s="67"/>
    </row>
    <row r="869" spans="1:1" ht="14.25" customHeight="1">
      <c r="A869" s="67"/>
    </row>
    <row r="870" spans="1:1" ht="14.25" customHeight="1">
      <c r="A870" s="67"/>
    </row>
    <row r="871" spans="1:1" ht="14.25" customHeight="1">
      <c r="A871" s="67"/>
    </row>
    <row r="872" spans="1:1" ht="14.25" customHeight="1">
      <c r="A872" s="67"/>
    </row>
    <row r="873" spans="1:1" ht="14.25" customHeight="1">
      <c r="A873" s="67"/>
    </row>
    <row r="874" spans="1:1" ht="14.25" customHeight="1">
      <c r="A874" s="67"/>
    </row>
    <row r="875" spans="1:1" ht="14.25" customHeight="1">
      <c r="A875" s="67"/>
    </row>
    <row r="876" spans="1:1" ht="14.25" customHeight="1">
      <c r="A876" s="67"/>
    </row>
    <row r="877" spans="1:1" ht="14.25" customHeight="1">
      <c r="A877" s="67"/>
    </row>
    <row r="878" spans="1:1" ht="14.25" customHeight="1">
      <c r="A878" s="67"/>
    </row>
    <row r="879" spans="1:1" ht="14.25" customHeight="1">
      <c r="A879" s="67"/>
    </row>
    <row r="880" spans="1:1" ht="14.25" customHeight="1">
      <c r="A880" s="67"/>
    </row>
    <row r="881" spans="1:1" ht="14.25" customHeight="1">
      <c r="A881" s="67"/>
    </row>
    <row r="882" spans="1:1" ht="14.25" customHeight="1">
      <c r="A882" s="67"/>
    </row>
    <row r="883" spans="1:1" ht="14.25" customHeight="1">
      <c r="A883" s="67"/>
    </row>
    <row r="884" spans="1:1" ht="14.25" customHeight="1">
      <c r="A884" s="67"/>
    </row>
    <row r="885" spans="1:1" ht="14.25" customHeight="1">
      <c r="A885" s="67"/>
    </row>
    <row r="886" spans="1:1" ht="14.25" customHeight="1">
      <c r="A886" s="67"/>
    </row>
    <row r="887" spans="1:1" ht="14.25" customHeight="1">
      <c r="A887" s="67"/>
    </row>
    <row r="888" spans="1:1" ht="14.25" customHeight="1">
      <c r="A888" s="67"/>
    </row>
    <row r="889" spans="1:1" ht="14.25" customHeight="1">
      <c r="A889" s="67"/>
    </row>
    <row r="890" spans="1:1" ht="14.25" customHeight="1">
      <c r="A890" s="67"/>
    </row>
    <row r="891" spans="1:1" ht="14.25" customHeight="1">
      <c r="A891" s="67"/>
    </row>
    <row r="892" spans="1:1" ht="14.25" customHeight="1">
      <c r="A892" s="67"/>
    </row>
    <row r="893" spans="1:1" ht="14.25" customHeight="1">
      <c r="A893" s="67"/>
    </row>
    <row r="894" spans="1:1" ht="14.25" customHeight="1">
      <c r="A894" s="67"/>
    </row>
    <row r="895" spans="1:1" ht="14.25" customHeight="1">
      <c r="A895" s="67"/>
    </row>
    <row r="896" spans="1:1" ht="14.25" customHeight="1">
      <c r="A896" s="67"/>
    </row>
    <row r="897" spans="1:1" ht="14.25" customHeight="1">
      <c r="A897" s="67"/>
    </row>
    <row r="898" spans="1:1" ht="14.25" customHeight="1">
      <c r="A898" s="67"/>
    </row>
    <row r="899" spans="1:1" ht="14.25" customHeight="1">
      <c r="A899" s="67"/>
    </row>
    <row r="900" spans="1:1" ht="14.25" customHeight="1">
      <c r="A900" s="67"/>
    </row>
    <row r="901" spans="1:1" ht="14.25" customHeight="1">
      <c r="A901" s="67"/>
    </row>
    <row r="902" spans="1:1" ht="14.25" customHeight="1">
      <c r="A902" s="67"/>
    </row>
    <row r="903" spans="1:1" ht="14.25" customHeight="1">
      <c r="A903" s="67"/>
    </row>
    <row r="904" spans="1:1" ht="14.25" customHeight="1">
      <c r="A904" s="67"/>
    </row>
    <row r="905" spans="1:1" ht="14.25" customHeight="1">
      <c r="A905" s="67"/>
    </row>
    <row r="906" spans="1:1" ht="14.25" customHeight="1">
      <c r="A906" s="67"/>
    </row>
    <row r="907" spans="1:1" ht="14.25" customHeight="1">
      <c r="A907" s="67"/>
    </row>
    <row r="908" spans="1:1" ht="14.25" customHeight="1">
      <c r="A908" s="67"/>
    </row>
    <row r="909" spans="1:1" ht="14.25" customHeight="1">
      <c r="A909" s="67"/>
    </row>
    <row r="910" spans="1:1" ht="14.25" customHeight="1">
      <c r="A910" s="67"/>
    </row>
    <row r="911" spans="1:1" ht="14.25" customHeight="1">
      <c r="A911" s="67"/>
    </row>
    <row r="912" spans="1:1" ht="14.25" customHeight="1">
      <c r="A912" s="67"/>
    </row>
    <row r="913" spans="1:1" ht="14.25" customHeight="1">
      <c r="A913" s="67"/>
    </row>
    <row r="914" spans="1:1" ht="14.25" customHeight="1">
      <c r="A914" s="67"/>
    </row>
    <row r="915" spans="1:1" ht="14.25" customHeight="1">
      <c r="A915" s="67"/>
    </row>
    <row r="916" spans="1:1" ht="14.25" customHeight="1">
      <c r="A916" s="67"/>
    </row>
    <row r="917" spans="1:1" ht="14.25" customHeight="1">
      <c r="A917" s="67"/>
    </row>
    <row r="918" spans="1:1" ht="14.25" customHeight="1">
      <c r="A918" s="67"/>
    </row>
    <row r="919" spans="1:1" ht="14.25" customHeight="1">
      <c r="A919" s="67"/>
    </row>
    <row r="920" spans="1:1" ht="14.25" customHeight="1">
      <c r="A920" s="67"/>
    </row>
    <row r="921" spans="1:1" ht="14.25" customHeight="1">
      <c r="A921" s="67"/>
    </row>
    <row r="922" spans="1:1" ht="14.25" customHeight="1">
      <c r="A922" s="67"/>
    </row>
    <row r="923" spans="1:1" ht="14.25" customHeight="1">
      <c r="A923" s="67"/>
    </row>
    <row r="924" spans="1:1" ht="14.25" customHeight="1">
      <c r="A924" s="67"/>
    </row>
    <row r="925" spans="1:1" ht="14.25" customHeight="1">
      <c r="A925" s="67"/>
    </row>
    <row r="926" spans="1:1" ht="14.25" customHeight="1">
      <c r="A926" s="67"/>
    </row>
    <row r="927" spans="1:1" ht="14.25" customHeight="1">
      <c r="A927" s="67"/>
    </row>
    <row r="928" spans="1:1" ht="14.25" customHeight="1">
      <c r="A928" s="67"/>
    </row>
    <row r="929" spans="1:1" ht="14.25" customHeight="1">
      <c r="A929" s="67"/>
    </row>
    <row r="930" spans="1:1" ht="14.25" customHeight="1">
      <c r="A930" s="67"/>
    </row>
    <row r="931" spans="1:1" ht="14.25" customHeight="1">
      <c r="A931" s="67"/>
    </row>
    <row r="932" spans="1:1" ht="14.25" customHeight="1">
      <c r="A932" s="67"/>
    </row>
    <row r="933" spans="1:1" ht="14.25" customHeight="1">
      <c r="A933" s="67"/>
    </row>
    <row r="934" spans="1:1" ht="14.25" customHeight="1">
      <c r="A934" s="67"/>
    </row>
    <row r="935" spans="1:1" ht="14.25" customHeight="1">
      <c r="A935" s="67"/>
    </row>
    <row r="936" spans="1:1" ht="14.25" customHeight="1">
      <c r="A936" s="67"/>
    </row>
    <row r="937" spans="1:1" ht="14.25" customHeight="1">
      <c r="A937" s="67"/>
    </row>
    <row r="938" spans="1:1" ht="14.25" customHeight="1">
      <c r="A938" s="67"/>
    </row>
    <row r="939" spans="1:1" ht="14.25" customHeight="1">
      <c r="A939" s="67"/>
    </row>
    <row r="940" spans="1:1" ht="14.25" customHeight="1">
      <c r="A940" s="67"/>
    </row>
    <row r="941" spans="1:1" ht="14.25" customHeight="1">
      <c r="A941" s="67"/>
    </row>
    <row r="942" spans="1:1" ht="14.25" customHeight="1">
      <c r="A942" s="67"/>
    </row>
    <row r="943" spans="1:1" ht="14.25" customHeight="1">
      <c r="A943" s="67"/>
    </row>
    <row r="944" spans="1:1" ht="14.25" customHeight="1">
      <c r="A944" s="67"/>
    </row>
    <row r="945" spans="1:1" ht="14.25" customHeight="1">
      <c r="A945" s="67"/>
    </row>
    <row r="946" spans="1:1" ht="14.25" customHeight="1">
      <c r="A946" s="67"/>
    </row>
    <row r="947" spans="1:1" ht="14.25" customHeight="1">
      <c r="A947" s="67"/>
    </row>
    <row r="948" spans="1:1" ht="14.25" customHeight="1">
      <c r="A948" s="67"/>
    </row>
    <row r="949" spans="1:1" ht="14.25" customHeight="1">
      <c r="A949" s="67"/>
    </row>
    <row r="950" spans="1:1" ht="14.25" customHeight="1">
      <c r="A950" s="67"/>
    </row>
    <row r="951" spans="1:1" ht="14.25" customHeight="1">
      <c r="A951" s="67"/>
    </row>
    <row r="952" spans="1:1" ht="14.25" customHeight="1">
      <c r="A952" s="67"/>
    </row>
    <row r="953" spans="1:1" ht="14.25" customHeight="1">
      <c r="A953" s="67"/>
    </row>
    <row r="954" spans="1:1" ht="14.25" customHeight="1">
      <c r="A954" s="67"/>
    </row>
    <row r="955" spans="1:1" ht="14.25" customHeight="1">
      <c r="A955" s="67"/>
    </row>
    <row r="956" spans="1:1" ht="14.25" customHeight="1">
      <c r="A956" s="67"/>
    </row>
    <row r="957" spans="1:1" ht="14.25" customHeight="1">
      <c r="A957" s="67"/>
    </row>
    <row r="958" spans="1:1" ht="14.25" customHeight="1">
      <c r="A958" s="67"/>
    </row>
    <row r="959" spans="1:1" ht="14.25" customHeight="1">
      <c r="A959" s="67"/>
    </row>
    <row r="960" spans="1:1" ht="14.25" customHeight="1">
      <c r="A960" s="67"/>
    </row>
    <row r="961" spans="1:1" ht="14.25" customHeight="1">
      <c r="A961" s="67"/>
    </row>
    <row r="962" spans="1:1" ht="14.25" customHeight="1">
      <c r="A962" s="67"/>
    </row>
    <row r="963" spans="1:1" ht="14.25" customHeight="1">
      <c r="A963" s="67"/>
    </row>
    <row r="964" spans="1:1" ht="14.25" customHeight="1">
      <c r="A964" s="67"/>
    </row>
    <row r="965" spans="1:1" ht="14.25" customHeight="1">
      <c r="A965" s="67"/>
    </row>
    <row r="966" spans="1:1" ht="14.25" customHeight="1">
      <c r="A966" s="67"/>
    </row>
    <row r="967" spans="1:1" ht="14.25" customHeight="1">
      <c r="A967" s="67"/>
    </row>
    <row r="968" spans="1:1" ht="14.25" customHeight="1">
      <c r="A968" s="67"/>
    </row>
    <row r="969" spans="1:1" ht="14.25" customHeight="1">
      <c r="A969" s="67"/>
    </row>
    <row r="970" spans="1:1" ht="14.25" customHeight="1">
      <c r="A970" s="67"/>
    </row>
    <row r="971" spans="1:1" ht="14.25" customHeight="1">
      <c r="A971" s="67"/>
    </row>
    <row r="972" spans="1:1" ht="14.25" customHeight="1">
      <c r="A972" s="67"/>
    </row>
    <row r="973" spans="1:1" ht="14.25" customHeight="1">
      <c r="A973" s="67"/>
    </row>
    <row r="974" spans="1:1" ht="14.25" customHeight="1">
      <c r="A974" s="67"/>
    </row>
    <row r="975" spans="1:1" ht="14.25" customHeight="1">
      <c r="A975" s="67"/>
    </row>
    <row r="976" spans="1:1" ht="14.25" customHeight="1">
      <c r="A976" s="67"/>
    </row>
    <row r="977" spans="1:1" ht="14.25" customHeight="1">
      <c r="A977" s="67"/>
    </row>
    <row r="978" spans="1:1" ht="14.25" customHeight="1">
      <c r="A978" s="67"/>
    </row>
    <row r="979" spans="1:1" ht="14.25" customHeight="1">
      <c r="A979" s="67"/>
    </row>
    <row r="980" spans="1:1" ht="14.25" customHeight="1">
      <c r="A980" s="67"/>
    </row>
    <row r="981" spans="1:1" ht="14.25" customHeight="1">
      <c r="A981" s="67"/>
    </row>
    <row r="982" spans="1:1" ht="14.25" customHeight="1">
      <c r="A982" s="67"/>
    </row>
    <row r="983" spans="1:1" ht="14.25" customHeight="1">
      <c r="A983" s="67"/>
    </row>
    <row r="984" spans="1:1" ht="14.25" customHeight="1">
      <c r="A984" s="67"/>
    </row>
    <row r="985" spans="1:1" ht="14.25" customHeight="1">
      <c r="A985" s="67"/>
    </row>
    <row r="986" spans="1:1" ht="14.25" customHeight="1">
      <c r="A986" s="67"/>
    </row>
    <row r="987" spans="1:1" ht="14.25" customHeight="1">
      <c r="A987" s="67"/>
    </row>
    <row r="988" spans="1:1" ht="14.25" customHeight="1">
      <c r="A988" s="67"/>
    </row>
    <row r="989" spans="1:1" ht="14.25" customHeight="1">
      <c r="A989" s="67"/>
    </row>
    <row r="990" spans="1:1" ht="14.25" customHeight="1">
      <c r="A990" s="67"/>
    </row>
    <row r="991" spans="1:1" ht="14.25" customHeight="1">
      <c r="A991" s="67"/>
    </row>
    <row r="992" spans="1:1" ht="14.25" customHeight="1">
      <c r="A992" s="67"/>
    </row>
    <row r="993" spans="1:1" ht="14.25" customHeight="1">
      <c r="A993" s="67"/>
    </row>
    <row r="994" spans="1:1" ht="14.25" customHeight="1">
      <c r="A994" s="67"/>
    </row>
    <row r="995" spans="1:1" ht="14.25" customHeight="1">
      <c r="A995" s="67"/>
    </row>
    <row r="996" spans="1:1" ht="14.25" customHeight="1">
      <c r="A996" s="67"/>
    </row>
    <row r="997" spans="1:1" ht="14.25" customHeight="1">
      <c r="A997" s="67"/>
    </row>
    <row r="998" spans="1:1" ht="14.25" customHeight="1">
      <c r="A998" s="67"/>
    </row>
    <row r="999" spans="1:1" ht="14.25" customHeight="1">
      <c r="A999" s="67"/>
    </row>
    <row r="1000" spans="1:1" ht="14.25" customHeight="1">
      <c r="A1000" s="67"/>
    </row>
  </sheetData>
  <mergeCells count="15">
    <mergeCell ref="A53:E53"/>
    <mergeCell ref="A60:E60"/>
    <mergeCell ref="A65:E65"/>
    <mergeCell ref="A1:B1"/>
    <mergeCell ref="A11:E11"/>
    <mergeCell ref="A12:A15"/>
    <mergeCell ref="A17:E17"/>
    <mergeCell ref="A19:A20"/>
    <mergeCell ref="A22:A23"/>
    <mergeCell ref="A25:E25"/>
    <mergeCell ref="A30:E30"/>
    <mergeCell ref="A36:E36"/>
    <mergeCell ref="A42:E42"/>
    <mergeCell ref="A46:E46"/>
    <mergeCell ref="A50:E50"/>
  </mergeCells>
  <hyperlinks>
    <hyperlink ref="C27" r:id="rId1" xr:uid="{00000000-0004-0000-0300-000000000000}"/>
    <hyperlink ref="D27" r:id="rId2" xr:uid="{00000000-0004-0000-0300-000001000000}"/>
    <hyperlink ref="E27" r:id="rId3" xr:uid="{00000000-0004-0000-0300-000002000000}"/>
  </hyperlinks>
  <pageMargins left="0.7" right="0.7" top="0.75" bottom="0.75" header="0" footer="0"/>
  <pageSetup orientation="landscape" r:id="rId4"/>
  <extLst>
    <ext xmlns:x14="http://schemas.microsoft.com/office/spreadsheetml/2009/9/main" uri="{CCE6A557-97BC-4b89-ADB6-D9C93CAAB3DF}">
      <x14:dataValidations xmlns:xm="http://schemas.microsoft.com/office/excel/2006/main" count="3">
        <x14:dataValidation type="list" allowBlank="1" showErrorMessage="1" xr:uid="{00000000-0002-0000-0300-000000000000}">
          <x14:formula1>
            <xm:f>'BackUp Data'!$B$4:$B$7</xm:f>
          </x14:formula1>
          <xm:sqref>B19</xm:sqref>
        </x14:dataValidation>
        <x14:dataValidation type="list" allowBlank="1" showErrorMessage="1" xr:uid="{00000000-0002-0000-0300-000001000000}">
          <x14:formula1>
            <xm:f>'BackUp Data'!$F$4:$F$7</xm:f>
          </x14:formula1>
          <xm:sqref>B51</xm:sqref>
        </x14:dataValidation>
        <x14:dataValidation type="list" allowBlank="1" showErrorMessage="1" xr:uid="{00000000-0002-0000-0300-000002000000}">
          <x14:formula1>
            <xm:f>'BackUp Data'!$D$4:$D$6</xm:f>
          </x14:formula1>
          <xm:sqref>B20</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F1000"/>
  <sheetViews>
    <sheetView workbookViewId="0">
      <selection activeCell="C8" sqref="C8:D8"/>
    </sheetView>
  </sheetViews>
  <sheetFormatPr defaultColWidth="14.44140625" defaultRowHeight="15" customHeight="1"/>
  <cols>
    <col min="1" max="1" width="8.5546875" customWidth="1"/>
    <col min="2" max="2" width="18.5546875" customWidth="1"/>
    <col min="3" max="3" width="8.5546875" customWidth="1"/>
    <col min="4" max="4" width="18.5546875" customWidth="1"/>
    <col min="5" max="5" width="8.5546875" customWidth="1"/>
    <col min="6" max="6" width="24.44140625" customWidth="1"/>
    <col min="7" max="26" width="8.5546875" customWidth="1"/>
  </cols>
  <sheetData>
    <row r="1" spans="2:6" ht="14.25" customHeight="1"/>
    <row r="2" spans="2:6" ht="14.25" customHeight="1"/>
    <row r="3" spans="2:6" ht="14.25" customHeight="1">
      <c r="B3" s="68" t="s">
        <v>985</v>
      </c>
      <c r="D3" s="68" t="s">
        <v>986</v>
      </c>
      <c r="F3" s="68" t="s">
        <v>987</v>
      </c>
    </row>
    <row r="4" spans="2:6" ht="14.25" customHeight="1">
      <c r="B4" s="69" t="s">
        <v>988</v>
      </c>
      <c r="D4" s="69" t="s">
        <v>989</v>
      </c>
      <c r="F4" s="69" t="s">
        <v>990</v>
      </c>
    </row>
    <row r="5" spans="2:6" ht="14.25" customHeight="1">
      <c r="B5" s="69" t="s">
        <v>991</v>
      </c>
      <c r="D5" s="69" t="s">
        <v>992</v>
      </c>
      <c r="F5" s="69" t="s">
        <v>993</v>
      </c>
    </row>
    <row r="6" spans="2:6" ht="14.25" customHeight="1">
      <c r="B6" s="69" t="s">
        <v>207</v>
      </c>
      <c r="D6" s="69" t="s">
        <v>994</v>
      </c>
      <c r="F6" s="69" t="s">
        <v>995</v>
      </c>
    </row>
    <row r="7" spans="2:6" ht="14.25" customHeight="1">
      <c r="B7" s="69" t="s">
        <v>996</v>
      </c>
      <c r="F7" s="69" t="s">
        <v>997</v>
      </c>
    </row>
    <row r="8" spans="2:6" ht="14.25" customHeight="1"/>
    <row r="9" spans="2:6" ht="14.25" customHeight="1"/>
    <row r="10" spans="2:6" ht="14.25" customHeight="1"/>
    <row r="11" spans="2:6" ht="14.25" customHeight="1"/>
    <row r="12" spans="2:6" ht="14.25" customHeight="1"/>
    <row r="13" spans="2:6" ht="14.25" customHeight="1"/>
    <row r="14" spans="2:6" ht="14.25" customHeight="1"/>
    <row r="15" spans="2:6" ht="14.25" customHeight="1"/>
    <row r="16" spans="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Z1000"/>
  <sheetViews>
    <sheetView workbookViewId="0"/>
  </sheetViews>
  <sheetFormatPr defaultColWidth="14.44140625" defaultRowHeight="15" customHeight="1"/>
  <cols>
    <col min="1" max="1" width="27" customWidth="1"/>
    <col min="2" max="4" width="19.5546875" customWidth="1"/>
    <col min="5" max="5" width="22.44140625" customWidth="1"/>
    <col min="6" max="18" width="20.5546875" customWidth="1"/>
    <col min="19" max="26" width="8.5546875" customWidth="1"/>
  </cols>
  <sheetData>
    <row r="1" spans="1:26" ht="14.25" customHeight="1">
      <c r="A1" s="70"/>
      <c r="B1" s="71"/>
      <c r="C1" s="71"/>
      <c r="D1" s="71"/>
      <c r="E1" s="71"/>
      <c r="F1" s="71"/>
      <c r="G1" s="71"/>
      <c r="H1" s="71"/>
      <c r="I1" s="71"/>
      <c r="J1" s="71"/>
      <c r="K1" s="71"/>
      <c r="L1" s="71"/>
      <c r="M1" s="71"/>
      <c r="N1" s="71"/>
      <c r="O1" s="71"/>
      <c r="P1" s="71"/>
      <c r="Q1" s="71"/>
      <c r="R1" s="71"/>
      <c r="T1" s="71"/>
      <c r="U1" s="71"/>
      <c r="V1" s="71"/>
      <c r="W1" s="71"/>
      <c r="X1" s="71"/>
      <c r="Y1" s="71"/>
      <c r="Z1" s="71"/>
    </row>
    <row r="2" spans="1:26" ht="14.25" customHeight="1">
      <c r="A2" s="72" t="s">
        <v>998</v>
      </c>
      <c r="B2" s="71"/>
      <c r="C2" s="71"/>
      <c r="D2" s="71"/>
      <c r="E2" s="71"/>
      <c r="F2" s="71"/>
      <c r="G2" s="71"/>
      <c r="H2" s="71"/>
      <c r="I2" s="71"/>
      <c r="J2" s="71"/>
      <c r="K2" s="71"/>
      <c r="L2" s="71"/>
      <c r="M2" s="71"/>
      <c r="N2" s="71"/>
      <c r="O2" s="71"/>
      <c r="P2" s="71"/>
      <c r="Q2" s="71"/>
      <c r="R2" s="71"/>
      <c r="T2" s="71"/>
      <c r="U2" s="71"/>
      <c r="V2" s="71"/>
      <c r="W2" s="71"/>
      <c r="X2" s="71"/>
      <c r="Y2" s="71"/>
      <c r="Z2" s="71"/>
    </row>
    <row r="3" spans="1:26" ht="14.25" customHeight="1">
      <c r="A3" s="73">
        <v>44444</v>
      </c>
      <c r="B3" s="71"/>
      <c r="C3" s="71"/>
      <c r="D3" s="71"/>
      <c r="E3" s="71"/>
      <c r="F3" s="71"/>
      <c r="G3" s="71"/>
      <c r="H3" s="71"/>
      <c r="I3" s="71"/>
      <c r="J3" s="71"/>
      <c r="K3" s="71"/>
      <c r="L3" s="71"/>
      <c r="M3" s="71"/>
      <c r="N3" s="71"/>
      <c r="O3" s="71"/>
      <c r="P3" s="71"/>
      <c r="Q3" s="71"/>
      <c r="R3" s="71"/>
      <c r="T3" s="71"/>
      <c r="U3" s="71"/>
      <c r="V3" s="71"/>
      <c r="W3" s="71"/>
      <c r="X3" s="71"/>
      <c r="Y3" s="71"/>
      <c r="Z3" s="71"/>
    </row>
    <row r="4" spans="1:26" ht="14.25" customHeight="1">
      <c r="A4" s="71"/>
      <c r="B4" s="71"/>
      <c r="C4" s="71"/>
      <c r="D4" s="71"/>
      <c r="E4" s="71"/>
      <c r="F4" s="71"/>
      <c r="G4" s="71"/>
      <c r="H4" s="71"/>
      <c r="I4" s="71"/>
      <c r="J4" s="71"/>
      <c r="K4" s="71"/>
      <c r="L4" s="71"/>
      <c r="M4" s="71"/>
      <c r="N4" s="71"/>
      <c r="O4" s="71"/>
      <c r="P4" s="71"/>
      <c r="Q4" s="71"/>
      <c r="R4" s="71"/>
      <c r="T4" s="71"/>
      <c r="U4" s="71"/>
      <c r="V4" s="71"/>
      <c r="W4" s="71"/>
      <c r="X4" s="71"/>
      <c r="Y4" s="71"/>
      <c r="Z4" s="71"/>
    </row>
    <row r="5" spans="1:26" ht="14.25" customHeight="1">
      <c r="A5" s="74" t="s">
        <v>999</v>
      </c>
      <c r="B5" s="75" t="s">
        <v>1000</v>
      </c>
      <c r="C5" s="75" t="s">
        <v>1001</v>
      </c>
      <c r="D5" s="75" t="s">
        <v>1002</v>
      </c>
      <c r="E5" s="75" t="s">
        <v>1003</v>
      </c>
      <c r="F5" s="75" t="s">
        <v>1004</v>
      </c>
      <c r="G5" s="76" t="s">
        <v>1005</v>
      </c>
      <c r="H5" s="76" t="s">
        <v>1006</v>
      </c>
      <c r="I5" s="76" t="s">
        <v>1007</v>
      </c>
      <c r="J5" s="76" t="s">
        <v>1008</v>
      </c>
      <c r="K5" s="76" t="s">
        <v>1009</v>
      </c>
      <c r="L5" s="76" t="s">
        <v>1010</v>
      </c>
      <c r="M5" s="76" t="s">
        <v>1011</v>
      </c>
      <c r="N5" s="76" t="s">
        <v>1012</v>
      </c>
      <c r="O5" s="76" t="s">
        <v>1013</v>
      </c>
      <c r="P5" s="76" t="s">
        <v>1014</v>
      </c>
      <c r="Q5" s="76" t="s">
        <v>1015</v>
      </c>
      <c r="R5" s="76" t="s">
        <v>1016</v>
      </c>
      <c r="T5" s="71"/>
      <c r="U5" s="71"/>
      <c r="V5" s="71"/>
      <c r="W5" s="71"/>
      <c r="X5" s="71"/>
      <c r="Y5" s="71"/>
      <c r="Z5" s="71"/>
    </row>
    <row r="6" spans="1:26" ht="42" customHeight="1">
      <c r="A6" s="77" t="s">
        <v>1017</v>
      </c>
      <c r="B6" s="77"/>
      <c r="C6" s="77"/>
      <c r="D6" s="77"/>
      <c r="E6" s="77"/>
      <c r="F6" s="77"/>
      <c r="G6" s="77"/>
      <c r="H6" s="77"/>
      <c r="I6" s="77"/>
      <c r="J6" s="77"/>
      <c r="K6" s="77"/>
      <c r="L6" s="77"/>
      <c r="M6" s="77"/>
      <c r="N6" s="77"/>
      <c r="O6" s="77"/>
      <c r="P6" s="77"/>
      <c r="Q6" s="77"/>
      <c r="R6" s="77"/>
      <c r="T6" s="71"/>
      <c r="U6" s="71"/>
      <c r="V6" s="71"/>
      <c r="W6" s="71"/>
      <c r="X6" s="71"/>
      <c r="Y6" s="71"/>
      <c r="Z6" s="71"/>
    </row>
    <row r="7" spans="1:26" ht="25.5" customHeight="1">
      <c r="A7" s="78" t="s">
        <v>1018</v>
      </c>
      <c r="B7" s="79" t="s">
        <v>941</v>
      </c>
      <c r="C7" s="79" t="s">
        <v>941</v>
      </c>
      <c r="D7" s="79" t="s">
        <v>941</v>
      </c>
      <c r="E7" s="79" t="s">
        <v>941</v>
      </c>
      <c r="F7" s="79" t="s">
        <v>941</v>
      </c>
      <c r="G7" s="79" t="s">
        <v>941</v>
      </c>
      <c r="H7" s="79" t="s">
        <v>941</v>
      </c>
      <c r="I7" s="79" t="s">
        <v>941</v>
      </c>
      <c r="J7" s="79" t="s">
        <v>941</v>
      </c>
      <c r="K7" s="79" t="s">
        <v>941</v>
      </c>
      <c r="L7" s="79" t="s">
        <v>941</v>
      </c>
      <c r="M7" s="79" t="s">
        <v>941</v>
      </c>
      <c r="N7" s="79" t="s">
        <v>941</v>
      </c>
      <c r="O7" s="79" t="s">
        <v>941</v>
      </c>
      <c r="P7" s="79" t="s">
        <v>941</v>
      </c>
      <c r="Q7" s="79" t="s">
        <v>941</v>
      </c>
      <c r="R7" s="79" t="s">
        <v>941</v>
      </c>
      <c r="T7" s="71"/>
      <c r="U7" s="71"/>
      <c r="V7" s="71"/>
      <c r="W7" s="71"/>
      <c r="X7" s="71"/>
      <c r="Y7" s="71"/>
      <c r="Z7" s="71"/>
    </row>
    <row r="8" spans="1:26" ht="25.5" customHeight="1">
      <c r="A8" s="78" t="s">
        <v>1019</v>
      </c>
      <c r="B8" s="79" t="s">
        <v>941</v>
      </c>
      <c r="C8" s="79" t="s">
        <v>941</v>
      </c>
      <c r="D8" s="79" t="s">
        <v>941</v>
      </c>
      <c r="E8" s="79" t="s">
        <v>941</v>
      </c>
      <c r="F8" s="79" t="s">
        <v>941</v>
      </c>
      <c r="G8" s="79" t="s">
        <v>941</v>
      </c>
      <c r="H8" s="79" t="s">
        <v>941</v>
      </c>
      <c r="I8" s="79" t="s">
        <v>941</v>
      </c>
      <c r="J8" s="79" t="s">
        <v>941</v>
      </c>
      <c r="K8" s="79" t="s">
        <v>941</v>
      </c>
      <c r="L8" s="79" t="s">
        <v>941</v>
      </c>
      <c r="M8" s="79" t="s">
        <v>941</v>
      </c>
      <c r="N8" s="79" t="s">
        <v>941</v>
      </c>
      <c r="O8" s="79" t="s">
        <v>941</v>
      </c>
      <c r="P8" s="79" t="s">
        <v>941</v>
      </c>
      <c r="Q8" s="79" t="s">
        <v>941</v>
      </c>
      <c r="R8" s="79" t="s">
        <v>941</v>
      </c>
      <c r="T8" s="71"/>
      <c r="U8" s="71"/>
      <c r="V8" s="71"/>
      <c r="W8" s="71"/>
      <c r="X8" s="71"/>
      <c r="Y8" s="71"/>
      <c r="Z8" s="71"/>
    </row>
    <row r="9" spans="1:26" ht="32.25" customHeight="1">
      <c r="A9" s="78" t="s">
        <v>1020</v>
      </c>
      <c r="B9" s="79" t="s">
        <v>941</v>
      </c>
      <c r="C9" s="80" t="s">
        <v>1021</v>
      </c>
      <c r="D9" s="79" t="s">
        <v>941</v>
      </c>
      <c r="E9" s="80" t="s">
        <v>1021</v>
      </c>
      <c r="F9" s="81" t="s">
        <v>1022</v>
      </c>
      <c r="G9" s="80" t="s">
        <v>1021</v>
      </c>
      <c r="H9" s="79" t="s">
        <v>941</v>
      </c>
      <c r="I9" s="82" t="s">
        <v>1023</v>
      </c>
      <c r="J9" s="81" t="s">
        <v>1022</v>
      </c>
      <c r="K9" s="79" t="s">
        <v>941</v>
      </c>
      <c r="L9" s="81" t="s">
        <v>1024</v>
      </c>
      <c r="M9" s="79" t="s">
        <v>941</v>
      </c>
      <c r="N9" s="81" t="s">
        <v>1022</v>
      </c>
      <c r="O9" s="81" t="s">
        <v>1022</v>
      </c>
      <c r="P9" s="81" t="s">
        <v>1022</v>
      </c>
      <c r="Q9" s="81" t="s">
        <v>1022</v>
      </c>
      <c r="R9" s="79" t="s">
        <v>941</v>
      </c>
      <c r="T9" s="71"/>
      <c r="U9" s="71"/>
      <c r="V9" s="71"/>
      <c r="W9" s="71"/>
      <c r="X9" s="71"/>
      <c r="Y9" s="71"/>
      <c r="Z9" s="71"/>
    </row>
    <row r="10" spans="1:26" ht="25.5" customHeight="1">
      <c r="A10" s="78" t="s">
        <v>1025</v>
      </c>
      <c r="B10" s="79" t="s">
        <v>941</v>
      </c>
      <c r="C10" s="79" t="s">
        <v>941</v>
      </c>
      <c r="D10" s="79" t="s">
        <v>941</v>
      </c>
      <c r="E10" s="79" t="s">
        <v>941</v>
      </c>
      <c r="F10" s="79" t="s">
        <v>1026</v>
      </c>
      <c r="G10" s="79" t="s">
        <v>941</v>
      </c>
      <c r="H10" s="79" t="s">
        <v>941</v>
      </c>
      <c r="I10" s="82" t="s">
        <v>1027</v>
      </c>
      <c r="J10" s="79" t="s">
        <v>1026</v>
      </c>
      <c r="K10" s="79" t="s">
        <v>941</v>
      </c>
      <c r="L10" s="83" t="s">
        <v>1028</v>
      </c>
      <c r="M10" s="79" t="s">
        <v>941</v>
      </c>
      <c r="N10" s="79" t="s">
        <v>941</v>
      </c>
      <c r="O10" s="79" t="s">
        <v>941</v>
      </c>
      <c r="P10" s="83" t="s">
        <v>1028</v>
      </c>
      <c r="Q10" s="79" t="s">
        <v>941</v>
      </c>
      <c r="R10" s="79" t="s">
        <v>941</v>
      </c>
      <c r="T10" s="71"/>
      <c r="U10" s="71"/>
      <c r="V10" s="71"/>
      <c r="W10" s="71"/>
      <c r="X10" s="71"/>
      <c r="Y10" s="71"/>
      <c r="Z10" s="71"/>
    </row>
    <row r="11" spans="1:26" ht="25.5" customHeight="1">
      <c r="A11" s="78" t="s">
        <v>1029</v>
      </c>
      <c r="B11" s="79" t="s">
        <v>941</v>
      </c>
      <c r="C11" s="79" t="s">
        <v>941</v>
      </c>
      <c r="D11" s="79" t="s">
        <v>941</v>
      </c>
      <c r="E11" s="79" t="s">
        <v>941</v>
      </c>
      <c r="F11" s="79" t="s">
        <v>941</v>
      </c>
      <c r="G11" s="79" t="s">
        <v>941</v>
      </c>
      <c r="H11" s="79" t="s">
        <v>941</v>
      </c>
      <c r="I11" s="82" t="s">
        <v>1030</v>
      </c>
      <c r="J11" s="82" t="s">
        <v>1030</v>
      </c>
      <c r="K11" s="79" t="s">
        <v>941</v>
      </c>
      <c r="L11" s="82" t="s">
        <v>1030</v>
      </c>
      <c r="M11" s="79" t="s">
        <v>941</v>
      </c>
      <c r="N11" s="79" t="s">
        <v>941</v>
      </c>
      <c r="O11" s="82" t="s">
        <v>1030</v>
      </c>
      <c r="P11" s="82" t="s">
        <v>1030</v>
      </c>
      <c r="Q11" s="79" t="s">
        <v>941</v>
      </c>
      <c r="R11" s="79" t="s">
        <v>941</v>
      </c>
      <c r="T11" s="71"/>
      <c r="U11" s="71"/>
      <c r="V11" s="71"/>
      <c r="W11" s="71"/>
      <c r="X11" s="71"/>
      <c r="Y11" s="71"/>
      <c r="Z11" s="71"/>
    </row>
    <row r="12" spans="1:26" ht="25.5" customHeight="1">
      <c r="A12" s="78" t="s">
        <v>1031</v>
      </c>
      <c r="B12" s="79" t="s">
        <v>941</v>
      </c>
      <c r="C12" s="79" t="s">
        <v>941</v>
      </c>
      <c r="D12" s="79" t="s">
        <v>941</v>
      </c>
      <c r="E12" s="79" t="s">
        <v>941</v>
      </c>
      <c r="F12" s="79" t="s">
        <v>941</v>
      </c>
      <c r="G12" s="79" t="s">
        <v>941</v>
      </c>
      <c r="H12" s="79" t="s">
        <v>941</v>
      </c>
      <c r="I12" s="79" t="s">
        <v>941</v>
      </c>
      <c r="J12" s="79" t="s">
        <v>941</v>
      </c>
      <c r="K12" s="79" t="s">
        <v>941</v>
      </c>
      <c r="L12" s="79" t="s">
        <v>941</v>
      </c>
      <c r="M12" s="79" t="s">
        <v>941</v>
      </c>
      <c r="N12" s="79" t="s">
        <v>941</v>
      </c>
      <c r="O12" s="79" t="s">
        <v>941</v>
      </c>
      <c r="P12" s="79" t="s">
        <v>941</v>
      </c>
      <c r="Q12" s="79" t="s">
        <v>941</v>
      </c>
      <c r="R12" s="79" t="s">
        <v>941</v>
      </c>
      <c r="T12" s="71"/>
      <c r="U12" s="71"/>
      <c r="V12" s="71"/>
      <c r="W12" s="71"/>
      <c r="X12" s="71"/>
      <c r="Y12" s="71"/>
      <c r="Z12" s="71"/>
    </row>
    <row r="13" spans="1:26" ht="25.5" customHeight="1">
      <c r="A13" s="78" t="s">
        <v>1032</v>
      </c>
      <c r="B13" s="84" t="s">
        <v>1033</v>
      </c>
      <c r="C13" s="83" t="s">
        <v>514</v>
      </c>
      <c r="D13" s="83" t="s">
        <v>1034</v>
      </c>
      <c r="E13" s="83" t="s">
        <v>263</v>
      </c>
      <c r="F13" s="83" t="s">
        <v>263</v>
      </c>
      <c r="G13" s="84" t="s">
        <v>1033</v>
      </c>
      <c r="H13" s="84" t="s">
        <v>1033</v>
      </c>
      <c r="I13" s="83" t="s">
        <v>1035</v>
      </c>
      <c r="J13" s="83" t="s">
        <v>1034</v>
      </c>
      <c r="K13" s="84" t="s">
        <v>1033</v>
      </c>
      <c r="L13" s="83" t="s">
        <v>1036</v>
      </c>
      <c r="M13" s="84" t="s">
        <v>1033</v>
      </c>
      <c r="N13" s="84" t="s">
        <v>263</v>
      </c>
      <c r="O13" s="84" t="s">
        <v>263</v>
      </c>
      <c r="P13" s="83" t="s">
        <v>1037</v>
      </c>
      <c r="Q13" s="85" t="s">
        <v>486</v>
      </c>
      <c r="R13" s="84" t="s">
        <v>514</v>
      </c>
      <c r="T13" s="71"/>
      <c r="U13" s="71"/>
      <c r="V13" s="71"/>
      <c r="W13" s="71"/>
      <c r="X13" s="71"/>
      <c r="Y13" s="71"/>
      <c r="Z13" s="71"/>
    </row>
    <row r="14" spans="1:26" ht="25.5" customHeight="1">
      <c r="A14" s="78" t="s">
        <v>1038</v>
      </c>
      <c r="B14" s="83" t="s">
        <v>1039</v>
      </c>
      <c r="C14" s="83" t="s">
        <v>1040</v>
      </c>
      <c r="D14" s="84" t="s">
        <v>1041</v>
      </c>
      <c r="E14" s="83" t="s">
        <v>1040</v>
      </c>
      <c r="F14" s="84" t="s">
        <v>1042</v>
      </c>
      <c r="G14" s="83" t="s">
        <v>1039</v>
      </c>
      <c r="H14" s="83" t="s">
        <v>1039</v>
      </c>
      <c r="I14" s="84" t="s">
        <v>1043</v>
      </c>
      <c r="J14" s="81" t="s">
        <v>1044</v>
      </c>
      <c r="K14" s="84" t="s">
        <v>1040</v>
      </c>
      <c r="L14" s="84" t="s">
        <v>1041</v>
      </c>
      <c r="M14" s="83" t="s">
        <v>1039</v>
      </c>
      <c r="N14" s="83" t="s">
        <v>1039</v>
      </c>
      <c r="O14" s="83" t="s">
        <v>1045</v>
      </c>
      <c r="P14" s="84" t="s">
        <v>1041</v>
      </c>
      <c r="Q14" s="85" t="s">
        <v>1046</v>
      </c>
      <c r="R14" s="85" t="s">
        <v>1047</v>
      </c>
      <c r="T14" s="71"/>
      <c r="U14" s="71"/>
      <c r="V14" s="71"/>
      <c r="W14" s="71"/>
      <c r="X14" s="71"/>
      <c r="Y14" s="71"/>
      <c r="Z14" s="71"/>
    </row>
    <row r="15" spans="1:26" ht="25.5" customHeight="1">
      <c r="A15" s="78" t="s">
        <v>1048</v>
      </c>
      <c r="B15" s="83" t="s">
        <v>1041</v>
      </c>
      <c r="C15" s="83" t="s">
        <v>1041</v>
      </c>
      <c r="D15" s="83" t="s">
        <v>1041</v>
      </c>
      <c r="E15" s="83" t="s">
        <v>1041</v>
      </c>
      <c r="F15" s="83" t="s">
        <v>1041</v>
      </c>
      <c r="G15" s="83" t="s">
        <v>1041</v>
      </c>
      <c r="H15" s="83" t="s">
        <v>1041</v>
      </c>
      <c r="I15" s="83" t="s">
        <v>1041</v>
      </c>
      <c r="J15" s="83" t="s">
        <v>1041</v>
      </c>
      <c r="K15" s="83" t="s">
        <v>1041</v>
      </c>
      <c r="L15" s="83" t="s">
        <v>1041</v>
      </c>
      <c r="M15" s="83" t="s">
        <v>1041</v>
      </c>
      <c r="N15" s="83" t="s">
        <v>1041</v>
      </c>
      <c r="O15" s="83" t="s">
        <v>1041</v>
      </c>
      <c r="P15" s="83" t="s">
        <v>1041</v>
      </c>
      <c r="Q15" s="83" t="s">
        <v>1041</v>
      </c>
      <c r="R15" s="83" t="s">
        <v>1041</v>
      </c>
      <c r="T15" s="71"/>
      <c r="U15" s="71"/>
      <c r="V15" s="71"/>
      <c r="W15" s="71"/>
      <c r="X15" s="71"/>
      <c r="Y15" s="71"/>
      <c r="Z15" s="71"/>
    </row>
    <row r="16" spans="1:26" ht="25.5" customHeight="1">
      <c r="A16" s="78" t="s">
        <v>1049</v>
      </c>
      <c r="B16" s="86">
        <v>0.96399999999999997</v>
      </c>
      <c r="C16" s="87">
        <v>0.90200000000000002</v>
      </c>
      <c r="D16" s="87">
        <v>0.86199999999999999</v>
      </c>
      <c r="E16" s="87">
        <v>0.90900000000000003</v>
      </c>
      <c r="F16" s="87">
        <v>0.84899999999999998</v>
      </c>
      <c r="G16" s="86">
        <v>0.96399999999999997</v>
      </c>
      <c r="H16" s="86">
        <v>0.96399999999999997</v>
      </c>
      <c r="I16" s="87">
        <v>0.84899999999999998</v>
      </c>
      <c r="J16" s="87">
        <v>0.84899999999999998</v>
      </c>
      <c r="K16" s="88">
        <v>0.93</v>
      </c>
      <c r="L16" s="87">
        <v>0.89600000000000002</v>
      </c>
      <c r="M16" s="87">
        <v>0.90200000000000002</v>
      </c>
      <c r="N16" s="87"/>
      <c r="O16" s="87"/>
      <c r="P16" s="87">
        <v>0.89600000000000002</v>
      </c>
      <c r="Q16" s="87">
        <v>0.95199999999999996</v>
      </c>
      <c r="R16" s="87">
        <v>0.93</v>
      </c>
      <c r="T16" s="71"/>
      <c r="U16" s="71"/>
      <c r="V16" s="71"/>
      <c r="W16" s="71"/>
      <c r="X16" s="71"/>
      <c r="Y16" s="71"/>
      <c r="Z16" s="71"/>
    </row>
    <row r="17" spans="1:26" ht="25.5" customHeight="1">
      <c r="A17" s="78" t="s">
        <v>1050</v>
      </c>
      <c r="B17" s="89" t="s">
        <v>704</v>
      </c>
      <c r="C17" s="90" t="s">
        <v>719</v>
      </c>
      <c r="D17" s="90" t="s">
        <v>737</v>
      </c>
      <c r="E17" s="136" t="s">
        <v>1051</v>
      </c>
      <c r="F17" s="89" t="s">
        <v>1052</v>
      </c>
      <c r="G17" s="89" t="s">
        <v>704</v>
      </c>
      <c r="H17" s="89" t="s">
        <v>704</v>
      </c>
      <c r="I17" s="89" t="s">
        <v>1052</v>
      </c>
      <c r="J17" s="89" t="s">
        <v>1052</v>
      </c>
      <c r="K17" s="137"/>
      <c r="L17" s="89" t="s">
        <v>1053</v>
      </c>
      <c r="M17" s="90" t="s">
        <v>719</v>
      </c>
      <c r="N17" s="89" t="s">
        <v>1053</v>
      </c>
      <c r="O17" s="89" t="s">
        <v>1053</v>
      </c>
      <c r="P17" s="89" t="s">
        <v>1053</v>
      </c>
      <c r="Q17" s="89" t="s">
        <v>1053</v>
      </c>
      <c r="R17" s="137" t="s">
        <v>1051</v>
      </c>
      <c r="T17" s="71"/>
      <c r="U17" s="71"/>
      <c r="V17" s="71"/>
      <c r="W17" s="71"/>
      <c r="X17" s="71"/>
      <c r="Y17" s="71"/>
      <c r="Z17" s="71"/>
    </row>
    <row r="18" spans="1:26" ht="30.75" customHeight="1">
      <c r="A18" s="78" t="s">
        <v>1054</v>
      </c>
      <c r="B18" s="81" t="s">
        <v>1055</v>
      </c>
      <c r="C18" s="91" t="s">
        <v>1056</v>
      </c>
      <c r="D18" s="81" t="s">
        <v>1057</v>
      </c>
      <c r="E18" s="81" t="s">
        <v>1058</v>
      </c>
      <c r="F18" s="81" t="s">
        <v>1059</v>
      </c>
      <c r="G18" s="91" t="s">
        <v>1060</v>
      </c>
      <c r="H18" s="91" t="s">
        <v>1060</v>
      </c>
      <c r="I18" s="82" t="s">
        <v>506</v>
      </c>
      <c r="J18" s="81" t="s">
        <v>1061</v>
      </c>
      <c r="K18" s="91" t="s">
        <v>1060</v>
      </c>
      <c r="L18" s="82" t="s">
        <v>506</v>
      </c>
      <c r="M18" s="91" t="s">
        <v>1060</v>
      </c>
      <c r="N18" s="91" t="s">
        <v>1062</v>
      </c>
      <c r="O18" s="91" t="s">
        <v>1063</v>
      </c>
      <c r="P18" s="81" t="s">
        <v>1057</v>
      </c>
      <c r="Q18" s="81" t="s">
        <v>1064</v>
      </c>
      <c r="R18" s="81" t="s">
        <v>1065</v>
      </c>
      <c r="T18" s="71"/>
      <c r="U18" s="71"/>
      <c r="V18" s="71"/>
      <c r="W18" s="71"/>
      <c r="X18" s="71"/>
      <c r="Y18" s="71"/>
      <c r="Z18" s="71"/>
    </row>
    <row r="19" spans="1:26" ht="30.75" customHeight="1">
      <c r="A19" s="78" t="s">
        <v>1066</v>
      </c>
      <c r="B19" s="91" t="s">
        <v>1067</v>
      </c>
      <c r="C19" s="81" t="s">
        <v>1068</v>
      </c>
      <c r="D19" s="81" t="s">
        <v>1069</v>
      </c>
      <c r="E19" s="81" t="s">
        <v>1069</v>
      </c>
      <c r="F19" s="81" t="s">
        <v>1069</v>
      </c>
      <c r="G19" s="91" t="s">
        <v>1067</v>
      </c>
      <c r="H19" s="81" t="s">
        <v>1069</v>
      </c>
      <c r="I19" s="92" t="s">
        <v>371</v>
      </c>
      <c r="J19" s="92" t="s">
        <v>371</v>
      </c>
      <c r="K19" s="81" t="s">
        <v>1069</v>
      </c>
      <c r="L19" s="81" t="s">
        <v>1069</v>
      </c>
      <c r="M19" s="91" t="s">
        <v>1067</v>
      </c>
      <c r="N19" s="91" t="s">
        <v>1070</v>
      </c>
      <c r="O19" s="91" t="s">
        <v>1071</v>
      </c>
      <c r="P19" s="81" t="s">
        <v>1069</v>
      </c>
      <c r="Q19" s="81" t="s">
        <v>1069</v>
      </c>
      <c r="R19" s="81" t="s">
        <v>1069</v>
      </c>
      <c r="T19" s="71"/>
      <c r="U19" s="71"/>
      <c r="V19" s="71"/>
      <c r="W19" s="71"/>
      <c r="X19" s="71"/>
      <c r="Y19" s="71"/>
      <c r="Z19" s="71"/>
    </row>
    <row r="20" spans="1:26" ht="24.75" customHeight="1">
      <c r="A20" s="78" t="s">
        <v>1072</v>
      </c>
      <c r="B20" s="83" t="s">
        <v>1073</v>
      </c>
      <c r="C20" s="83" t="s">
        <v>1073</v>
      </c>
      <c r="D20" s="83" t="s">
        <v>1073</v>
      </c>
      <c r="E20" s="83" t="s">
        <v>1073</v>
      </c>
      <c r="F20" s="84" t="s">
        <v>1074</v>
      </c>
      <c r="G20" s="93" t="s">
        <v>1073</v>
      </c>
      <c r="H20" s="84" t="s">
        <v>1074</v>
      </c>
      <c r="I20" s="84" t="s">
        <v>1074</v>
      </c>
      <c r="J20" s="84" t="s">
        <v>1074</v>
      </c>
      <c r="K20" s="83" t="s">
        <v>1073</v>
      </c>
      <c r="L20" s="83" t="s">
        <v>1073</v>
      </c>
      <c r="M20" s="85" t="s">
        <v>1075</v>
      </c>
      <c r="N20" s="83" t="s">
        <v>1073</v>
      </c>
      <c r="O20" s="83" t="s">
        <v>1073</v>
      </c>
      <c r="P20" s="83" t="s">
        <v>1076</v>
      </c>
      <c r="Q20" s="84" t="s">
        <v>1074</v>
      </c>
      <c r="R20" s="84" t="s">
        <v>1077</v>
      </c>
      <c r="T20" s="71"/>
      <c r="U20" s="71"/>
      <c r="V20" s="71"/>
      <c r="W20" s="71"/>
      <c r="X20" s="71"/>
      <c r="Y20" s="71"/>
      <c r="Z20" s="71"/>
    </row>
    <row r="21" spans="1:26" ht="24.75" customHeight="1">
      <c r="A21" s="94" t="s">
        <v>1078</v>
      </c>
      <c r="B21" s="95"/>
      <c r="C21" s="95"/>
      <c r="D21" s="95"/>
      <c r="E21" s="95"/>
      <c r="F21" s="95"/>
      <c r="G21" s="95"/>
      <c r="H21" s="95"/>
      <c r="I21" s="95"/>
      <c r="J21" s="95"/>
      <c r="K21" s="95"/>
      <c r="L21" s="95"/>
      <c r="M21" s="95"/>
      <c r="N21" s="95"/>
      <c r="O21" s="95"/>
      <c r="P21" s="95"/>
      <c r="Q21" s="95"/>
      <c r="R21" s="95"/>
      <c r="T21" s="71"/>
      <c r="U21" s="71"/>
      <c r="V21" s="71"/>
      <c r="W21" s="71"/>
      <c r="X21" s="71"/>
      <c r="Y21" s="71"/>
      <c r="Z21" s="71"/>
    </row>
    <row r="22" spans="1:26" ht="24.75" customHeight="1">
      <c r="A22" s="96" t="s">
        <v>1079</v>
      </c>
      <c r="B22" s="97">
        <v>0</v>
      </c>
      <c r="C22" s="97">
        <v>0</v>
      </c>
      <c r="D22" s="97">
        <v>0</v>
      </c>
      <c r="E22" s="97">
        <v>0</v>
      </c>
      <c r="F22" s="97">
        <v>0</v>
      </c>
      <c r="G22" s="97">
        <v>0</v>
      </c>
      <c r="H22" s="97">
        <v>0</v>
      </c>
      <c r="I22" s="97">
        <v>0</v>
      </c>
      <c r="J22" s="97">
        <v>0</v>
      </c>
      <c r="K22" s="97"/>
      <c r="L22" s="97">
        <v>0</v>
      </c>
      <c r="M22" s="97">
        <v>0</v>
      </c>
      <c r="N22" s="97"/>
      <c r="O22" s="97"/>
      <c r="P22" s="97">
        <v>0</v>
      </c>
      <c r="Q22" s="97">
        <v>0</v>
      </c>
      <c r="R22" s="97">
        <v>0</v>
      </c>
      <c r="T22" s="71"/>
      <c r="U22" s="71"/>
      <c r="V22" s="71"/>
      <c r="W22" s="71"/>
      <c r="X22" s="71"/>
      <c r="Y22" s="71"/>
      <c r="Z22" s="71"/>
    </row>
    <row r="23" spans="1:26" ht="24.75" customHeight="1">
      <c r="A23" s="96" t="s">
        <v>1080</v>
      </c>
      <c r="B23" s="97"/>
      <c r="C23" s="97"/>
      <c r="D23" s="97"/>
      <c r="E23" s="97"/>
      <c r="F23" s="97"/>
      <c r="G23" s="97"/>
      <c r="H23" s="97"/>
      <c r="I23" s="97"/>
      <c r="J23" s="97"/>
      <c r="K23" s="97"/>
      <c r="L23" s="97"/>
      <c r="M23" s="97"/>
      <c r="N23" s="97"/>
      <c r="O23" s="97"/>
      <c r="P23" s="97"/>
      <c r="Q23" s="97"/>
      <c r="R23" s="97"/>
      <c r="T23" s="71"/>
      <c r="U23" s="71"/>
      <c r="V23" s="71"/>
      <c r="W23" s="71"/>
      <c r="X23" s="71"/>
      <c r="Y23" s="71"/>
      <c r="Z23" s="71"/>
    </row>
    <row r="24" spans="1:26" ht="14.25" customHeight="1">
      <c r="A24" s="96" t="s">
        <v>1041</v>
      </c>
      <c r="B24" s="97" t="s">
        <v>1081</v>
      </c>
      <c r="C24" s="97" t="s">
        <v>1082</v>
      </c>
      <c r="D24" s="97" t="s">
        <v>1083</v>
      </c>
      <c r="E24" s="97" t="s">
        <v>1081</v>
      </c>
      <c r="F24" s="97" t="s">
        <v>1084</v>
      </c>
      <c r="G24" s="97" t="s">
        <v>1081</v>
      </c>
      <c r="H24" s="97" t="s">
        <v>1081</v>
      </c>
      <c r="I24" s="97" t="s">
        <v>1084</v>
      </c>
      <c r="J24" s="97" t="s">
        <v>1085</v>
      </c>
      <c r="K24" s="97" t="s">
        <v>1081</v>
      </c>
      <c r="L24" s="97" t="s">
        <v>1081</v>
      </c>
      <c r="M24" s="97" t="s">
        <v>1082</v>
      </c>
      <c r="N24" s="97" t="s">
        <v>1081</v>
      </c>
      <c r="O24" s="97" t="s">
        <v>1081</v>
      </c>
      <c r="P24" s="97" t="s">
        <v>1081</v>
      </c>
      <c r="Q24" s="97" t="s">
        <v>1081</v>
      </c>
      <c r="R24" s="97" t="s">
        <v>1081</v>
      </c>
      <c r="T24" s="71"/>
      <c r="U24" s="71"/>
      <c r="V24" s="71"/>
      <c r="W24" s="71"/>
      <c r="X24" s="71"/>
      <c r="Y24" s="71"/>
      <c r="Z24" s="71"/>
    </row>
    <row r="25" spans="1:26" ht="24" customHeight="1">
      <c r="A25" s="96" t="s">
        <v>1086</v>
      </c>
      <c r="B25" s="85" t="s">
        <v>1087</v>
      </c>
      <c r="C25" s="85" t="s">
        <v>1087</v>
      </c>
      <c r="D25" s="85" t="s">
        <v>1087</v>
      </c>
      <c r="E25" s="85" t="s">
        <v>1087</v>
      </c>
      <c r="F25" s="98" t="s">
        <v>371</v>
      </c>
      <c r="G25" s="85" t="s">
        <v>1087</v>
      </c>
      <c r="H25" s="85" t="s">
        <v>1087</v>
      </c>
      <c r="I25" s="98" t="s">
        <v>371</v>
      </c>
      <c r="J25" s="98" t="s">
        <v>371</v>
      </c>
      <c r="K25" s="85" t="s">
        <v>1087</v>
      </c>
      <c r="L25" s="98" t="s">
        <v>371</v>
      </c>
      <c r="M25" s="85" t="s">
        <v>1087</v>
      </c>
      <c r="N25" s="85" t="s">
        <v>1087</v>
      </c>
      <c r="O25" s="85" t="s">
        <v>1087</v>
      </c>
      <c r="P25" s="85" t="s">
        <v>1087</v>
      </c>
      <c r="Q25" s="99" t="s">
        <v>1087</v>
      </c>
      <c r="R25" s="99" t="s">
        <v>1087</v>
      </c>
      <c r="T25" s="71"/>
      <c r="U25" s="71"/>
      <c r="V25" s="71"/>
      <c r="W25" s="71"/>
      <c r="X25" s="71"/>
      <c r="Y25" s="71"/>
      <c r="Z25" s="71"/>
    </row>
    <row r="26" spans="1:26" ht="24.75" customHeight="1">
      <c r="A26" s="94" t="s">
        <v>1088</v>
      </c>
      <c r="B26" s="100"/>
      <c r="C26" s="100"/>
      <c r="D26" s="100"/>
      <c r="E26" s="100"/>
      <c r="F26" s="100"/>
      <c r="G26" s="100"/>
      <c r="H26" s="100"/>
      <c r="I26" s="100"/>
      <c r="J26" s="100"/>
      <c r="K26" s="100"/>
      <c r="L26" s="100"/>
      <c r="M26" s="100"/>
      <c r="N26" s="100"/>
      <c r="O26" s="100"/>
      <c r="P26" s="100"/>
      <c r="Q26" s="100"/>
      <c r="R26" s="100"/>
      <c r="T26" s="71"/>
      <c r="U26" s="71"/>
      <c r="V26" s="71"/>
      <c r="W26" s="71"/>
      <c r="X26" s="71"/>
      <c r="Y26" s="71"/>
      <c r="Z26" s="71"/>
    </row>
    <row r="27" spans="1:26" ht="24.75" customHeight="1">
      <c r="A27" s="96" t="s">
        <v>1089</v>
      </c>
      <c r="B27" s="101" t="s">
        <v>82</v>
      </c>
      <c r="C27" s="101" t="s">
        <v>1090</v>
      </c>
      <c r="D27" s="101" t="s">
        <v>1090</v>
      </c>
      <c r="E27" s="101" t="s">
        <v>82</v>
      </c>
      <c r="F27" s="101" t="s">
        <v>82</v>
      </c>
      <c r="G27" s="101" t="s">
        <v>1091</v>
      </c>
      <c r="H27" s="101" t="s">
        <v>1090</v>
      </c>
      <c r="I27" s="101" t="s">
        <v>82</v>
      </c>
      <c r="J27" s="101" t="s">
        <v>82</v>
      </c>
      <c r="K27" s="101" t="s">
        <v>82</v>
      </c>
      <c r="L27" s="101" t="s">
        <v>82</v>
      </c>
      <c r="M27" s="101"/>
      <c r="N27" s="101"/>
      <c r="O27" s="101"/>
      <c r="P27" s="101" t="s">
        <v>82</v>
      </c>
      <c r="Q27" s="101" t="s">
        <v>1090</v>
      </c>
      <c r="R27" s="101" t="s">
        <v>82</v>
      </c>
      <c r="T27" s="71"/>
      <c r="U27" s="71"/>
      <c r="V27" s="71"/>
      <c r="W27" s="71"/>
      <c r="X27" s="71"/>
      <c r="Y27" s="71"/>
      <c r="Z27" s="71"/>
    </row>
    <row r="28" spans="1:26" ht="24.75" customHeight="1">
      <c r="A28" s="96" t="s">
        <v>1092</v>
      </c>
      <c r="B28" s="101" t="s">
        <v>82</v>
      </c>
      <c r="C28" s="97" t="s">
        <v>1093</v>
      </c>
      <c r="D28" s="101" t="s">
        <v>1090</v>
      </c>
      <c r="E28" s="101" t="s">
        <v>82</v>
      </c>
      <c r="F28" s="101" t="s">
        <v>82</v>
      </c>
      <c r="G28" s="101" t="s">
        <v>82</v>
      </c>
      <c r="H28" s="97" t="s">
        <v>1093</v>
      </c>
      <c r="I28" s="101" t="s">
        <v>82</v>
      </c>
      <c r="J28" s="101" t="s">
        <v>82</v>
      </c>
      <c r="K28" s="101" t="s">
        <v>82</v>
      </c>
      <c r="L28" s="101" t="s">
        <v>1090</v>
      </c>
      <c r="M28" s="101"/>
      <c r="N28" s="101" t="s">
        <v>1094</v>
      </c>
      <c r="O28" s="101"/>
      <c r="P28" s="101" t="s">
        <v>82</v>
      </c>
      <c r="Q28" s="97" t="s">
        <v>1093</v>
      </c>
      <c r="R28" s="97" t="s">
        <v>82</v>
      </c>
      <c r="T28" s="71"/>
      <c r="U28" s="71"/>
      <c r="V28" s="71"/>
      <c r="W28" s="71"/>
      <c r="X28" s="71"/>
      <c r="Y28" s="71"/>
      <c r="Z28" s="71"/>
    </row>
    <row r="29" spans="1:26" ht="24.75" customHeight="1">
      <c r="A29" s="96" t="s">
        <v>1095</v>
      </c>
      <c r="B29" s="101" t="s">
        <v>82</v>
      </c>
      <c r="C29" s="101" t="s">
        <v>1090</v>
      </c>
      <c r="D29" s="101" t="s">
        <v>1090</v>
      </c>
      <c r="E29" s="101" t="s">
        <v>1090</v>
      </c>
      <c r="F29" s="101" t="s">
        <v>82</v>
      </c>
      <c r="G29" s="101" t="s">
        <v>1090</v>
      </c>
      <c r="H29" s="101" t="s">
        <v>82</v>
      </c>
      <c r="I29" s="101" t="s">
        <v>82</v>
      </c>
      <c r="J29" s="101" t="s">
        <v>82</v>
      </c>
      <c r="K29" s="101" t="s">
        <v>1090</v>
      </c>
      <c r="L29" s="101" t="s">
        <v>82</v>
      </c>
      <c r="M29" s="101"/>
      <c r="N29" s="101"/>
      <c r="O29" s="101"/>
      <c r="P29" s="101" t="s">
        <v>82</v>
      </c>
      <c r="Q29" s="101" t="s">
        <v>1090</v>
      </c>
      <c r="R29" s="101" t="s">
        <v>1096</v>
      </c>
      <c r="T29" s="71"/>
      <c r="U29" s="71"/>
      <c r="V29" s="71"/>
      <c r="W29" s="71"/>
      <c r="X29" s="71"/>
      <c r="Y29" s="71"/>
      <c r="Z29" s="71"/>
    </row>
    <row r="30" spans="1:26" ht="18" hidden="1" customHeight="1">
      <c r="A30" s="96" t="s">
        <v>1097</v>
      </c>
      <c r="B30" s="101" t="s">
        <v>82</v>
      </c>
      <c r="C30" s="101" t="s">
        <v>82</v>
      </c>
      <c r="D30" s="101" t="s">
        <v>1090</v>
      </c>
      <c r="E30" s="101" t="s">
        <v>82</v>
      </c>
      <c r="F30" s="101" t="s">
        <v>82</v>
      </c>
      <c r="G30" s="101"/>
      <c r="H30" s="101"/>
      <c r="I30" s="101"/>
      <c r="J30" s="101"/>
      <c r="K30" s="101"/>
      <c r="L30" s="101"/>
      <c r="M30" s="101"/>
      <c r="N30" s="101"/>
      <c r="O30" s="101"/>
      <c r="P30" s="101" t="s">
        <v>82</v>
      </c>
      <c r="Q30" s="101"/>
      <c r="R30" s="101"/>
      <c r="T30" s="71"/>
      <c r="U30" s="71"/>
      <c r="V30" s="102"/>
      <c r="W30" s="71"/>
      <c r="X30" s="103"/>
      <c r="Y30" s="71"/>
      <c r="Z30" s="71"/>
    </row>
    <row r="31" spans="1:26" ht="18" hidden="1" customHeight="1">
      <c r="A31" s="96" t="s">
        <v>1098</v>
      </c>
      <c r="B31" s="101" t="s">
        <v>82</v>
      </c>
      <c r="C31" s="101" t="s">
        <v>82</v>
      </c>
      <c r="D31" s="101" t="s">
        <v>1090</v>
      </c>
      <c r="E31" s="101" t="s">
        <v>1090</v>
      </c>
      <c r="F31" s="101" t="s">
        <v>82</v>
      </c>
      <c r="G31" s="101"/>
      <c r="H31" s="101"/>
      <c r="I31" s="101"/>
      <c r="J31" s="101"/>
      <c r="K31" s="101"/>
      <c r="L31" s="101"/>
      <c r="M31" s="101"/>
      <c r="N31" s="101"/>
      <c r="O31" s="101"/>
      <c r="P31" s="101" t="s">
        <v>82</v>
      </c>
      <c r="Q31" s="101"/>
      <c r="R31" s="101"/>
      <c r="T31" s="71"/>
      <c r="U31" s="71"/>
      <c r="V31" s="71"/>
      <c r="W31" s="71"/>
      <c r="X31" s="71"/>
      <c r="Y31" s="71"/>
      <c r="Z31" s="71"/>
    </row>
    <row r="32" spans="1:26" ht="24.75" customHeight="1">
      <c r="A32" s="96" t="s">
        <v>1099</v>
      </c>
      <c r="B32" s="101" t="s">
        <v>82</v>
      </c>
      <c r="C32" s="101" t="s">
        <v>82</v>
      </c>
      <c r="D32" s="101" t="s">
        <v>1090</v>
      </c>
      <c r="E32" s="101" t="s">
        <v>1090</v>
      </c>
      <c r="F32" s="101" t="s">
        <v>82</v>
      </c>
      <c r="G32" s="101" t="s">
        <v>1090</v>
      </c>
      <c r="H32" s="101" t="s">
        <v>82</v>
      </c>
      <c r="I32" s="101"/>
      <c r="J32" s="101" t="s">
        <v>82</v>
      </c>
      <c r="K32" s="101" t="s">
        <v>1090</v>
      </c>
      <c r="L32" s="101" t="s">
        <v>82</v>
      </c>
      <c r="M32" s="101"/>
      <c r="N32" s="101"/>
      <c r="O32" s="101"/>
      <c r="P32" s="101" t="s">
        <v>82</v>
      </c>
      <c r="Q32" s="101" t="s">
        <v>82</v>
      </c>
      <c r="R32" s="101" t="s">
        <v>1100</v>
      </c>
      <c r="T32" s="71"/>
      <c r="U32" s="71"/>
      <c r="V32" s="71"/>
      <c r="W32" s="71"/>
      <c r="X32" s="71"/>
      <c r="Y32" s="71"/>
      <c r="Z32" s="71"/>
    </row>
    <row r="33" spans="1:26" ht="18" hidden="1" customHeight="1">
      <c r="A33" s="96" t="s">
        <v>1101</v>
      </c>
      <c r="B33" s="101" t="s">
        <v>82</v>
      </c>
      <c r="C33" s="101" t="s">
        <v>82</v>
      </c>
      <c r="D33" s="101" t="s">
        <v>1090</v>
      </c>
      <c r="E33" s="101" t="s">
        <v>82</v>
      </c>
      <c r="F33" s="101" t="s">
        <v>82</v>
      </c>
      <c r="G33" s="101"/>
      <c r="H33" s="101"/>
      <c r="I33" s="101"/>
      <c r="J33" s="101"/>
      <c r="K33" s="101"/>
      <c r="L33" s="104"/>
      <c r="M33" s="104"/>
      <c r="N33" s="104"/>
      <c r="O33" s="104"/>
      <c r="P33" s="104"/>
      <c r="Q33" s="104"/>
      <c r="R33" s="104"/>
      <c r="T33" s="71"/>
      <c r="U33" s="71"/>
      <c r="V33" s="71"/>
      <c r="W33" s="71"/>
      <c r="X33" s="71"/>
      <c r="Y33" s="71"/>
      <c r="Z33" s="71"/>
    </row>
    <row r="34" spans="1:26" ht="14.25" customHeight="1">
      <c r="A34" s="105" t="s">
        <v>1102</v>
      </c>
      <c r="B34" s="71"/>
      <c r="C34" s="71"/>
      <c r="D34" s="71"/>
      <c r="E34" s="71"/>
      <c r="F34" s="71"/>
      <c r="G34" s="71"/>
      <c r="H34" s="71"/>
      <c r="I34" s="71"/>
      <c r="J34" s="71"/>
      <c r="K34" s="71"/>
      <c r="L34" s="71"/>
      <c r="M34" s="71"/>
      <c r="N34" s="71"/>
      <c r="O34" s="71"/>
      <c r="P34" s="71"/>
      <c r="Q34" s="71"/>
      <c r="R34" s="71"/>
      <c r="T34" s="71"/>
      <c r="U34" s="71"/>
      <c r="V34" s="71"/>
      <c r="W34" s="71"/>
      <c r="X34" s="71"/>
      <c r="Y34" s="71"/>
      <c r="Z34" s="71"/>
    </row>
    <row r="35" spans="1:26" ht="14.25" customHeight="1">
      <c r="A35" s="71"/>
      <c r="B35" s="71"/>
      <c r="C35" s="71"/>
      <c r="D35" s="71"/>
      <c r="E35" s="71"/>
      <c r="F35" s="71"/>
      <c r="G35" s="71"/>
      <c r="H35" s="71"/>
      <c r="I35" s="71"/>
      <c r="J35" s="71"/>
      <c r="K35" s="71"/>
      <c r="L35" s="71"/>
      <c r="M35" s="71"/>
      <c r="N35" s="71"/>
      <c r="O35" s="71"/>
      <c r="P35" s="71"/>
      <c r="Q35" s="71"/>
      <c r="R35" s="71"/>
      <c r="T35" s="71"/>
      <c r="U35" s="71"/>
      <c r="V35" s="71"/>
      <c r="W35" s="71"/>
      <c r="X35" s="71"/>
      <c r="Y35" s="71"/>
      <c r="Z35" s="71"/>
    </row>
    <row r="36" spans="1:26" ht="24" customHeight="1">
      <c r="A36" s="71" t="s">
        <v>1103</v>
      </c>
      <c r="B36" s="71"/>
      <c r="C36" s="71"/>
      <c r="D36" s="71"/>
      <c r="E36" s="71"/>
      <c r="F36" s="71"/>
      <c r="G36" s="71"/>
      <c r="H36" s="71"/>
      <c r="I36" s="71"/>
      <c r="J36" s="71" t="s">
        <v>1104</v>
      </c>
      <c r="K36" s="71"/>
      <c r="L36" s="71" t="s">
        <v>1105</v>
      </c>
      <c r="M36" s="71"/>
      <c r="N36" s="71" t="s">
        <v>1106</v>
      </c>
      <c r="O36" s="71" t="s">
        <v>1107</v>
      </c>
      <c r="P36" s="71"/>
      <c r="Q36" s="71"/>
      <c r="R36" s="71"/>
      <c r="T36" s="71"/>
      <c r="U36" s="71"/>
      <c r="V36" s="71"/>
      <c r="W36" s="71"/>
      <c r="X36" s="71"/>
      <c r="Y36" s="71"/>
      <c r="Z36" s="71"/>
    </row>
    <row r="37" spans="1:26" ht="14.25" customHeight="1">
      <c r="A37" s="1531"/>
      <c r="B37" s="1532"/>
      <c r="C37" s="71"/>
      <c r="D37" s="71"/>
      <c r="E37" s="71"/>
      <c r="F37" s="71"/>
      <c r="G37" s="71"/>
      <c r="H37" s="71"/>
      <c r="I37" s="71"/>
      <c r="J37" s="71"/>
      <c r="K37" s="71"/>
      <c r="L37" s="71" t="s">
        <v>1108</v>
      </c>
      <c r="M37" s="71"/>
      <c r="N37" s="71"/>
      <c r="O37" s="71"/>
      <c r="P37" s="71"/>
      <c r="Q37" s="71"/>
      <c r="R37" s="71"/>
      <c r="T37" s="71"/>
      <c r="U37" s="71"/>
      <c r="V37" s="71"/>
      <c r="W37" s="71"/>
      <c r="X37" s="71"/>
      <c r="Y37" s="71"/>
      <c r="Z37" s="71"/>
    </row>
    <row r="38" spans="1:26" ht="14.25" customHeight="1">
      <c r="A38" s="71"/>
      <c r="B38" s="71"/>
      <c r="C38" s="71"/>
      <c r="D38" s="71"/>
      <c r="E38" s="71"/>
      <c r="F38" s="71"/>
      <c r="G38" s="71"/>
      <c r="H38" s="71"/>
      <c r="I38" s="71"/>
      <c r="J38" s="71"/>
      <c r="K38" s="71"/>
      <c r="L38" s="71"/>
      <c r="M38" s="71"/>
      <c r="N38" s="71"/>
      <c r="O38" s="71"/>
      <c r="P38" s="71"/>
      <c r="Q38" s="71"/>
      <c r="R38" s="71"/>
      <c r="T38" s="71"/>
      <c r="U38" s="71"/>
      <c r="V38" s="71"/>
      <c r="W38" s="71"/>
      <c r="X38" s="71"/>
      <c r="Y38" s="71"/>
      <c r="Z38" s="71"/>
    </row>
    <row r="39" spans="1:26" ht="14.25" customHeight="1">
      <c r="A39" s="1531"/>
      <c r="B39" s="1532"/>
      <c r="C39" s="1531"/>
      <c r="D39" s="1532"/>
      <c r="E39" s="71"/>
      <c r="F39" s="71"/>
      <c r="G39" s="71"/>
      <c r="H39" s="71"/>
      <c r="I39" s="71"/>
      <c r="J39" s="71"/>
      <c r="K39" s="71"/>
      <c r="L39" s="71"/>
      <c r="M39" s="71"/>
      <c r="N39" s="71"/>
      <c r="O39" s="71"/>
      <c r="P39" s="71"/>
      <c r="Q39" s="71"/>
      <c r="R39" s="71"/>
      <c r="T39" s="71"/>
      <c r="U39" s="71"/>
      <c r="V39" s="71"/>
      <c r="W39" s="71"/>
      <c r="X39" s="71"/>
      <c r="Y39" s="71"/>
      <c r="Z39" s="71"/>
    </row>
    <row r="40" spans="1:26" ht="21.75" customHeight="1">
      <c r="A40" s="71"/>
      <c r="B40" s="71"/>
      <c r="C40" s="71"/>
      <c r="D40" s="71"/>
      <c r="E40" s="71"/>
      <c r="F40" s="71"/>
      <c r="G40" s="71"/>
      <c r="H40" s="71"/>
      <c r="I40" s="71"/>
      <c r="J40" s="71"/>
      <c r="K40" s="71"/>
      <c r="L40" s="71"/>
      <c r="M40" s="71"/>
      <c r="N40" s="71"/>
      <c r="O40" s="71"/>
      <c r="P40" s="71"/>
      <c r="Q40" s="71"/>
      <c r="R40" s="71"/>
      <c r="T40" s="71"/>
      <c r="U40" s="71"/>
      <c r="V40" s="71"/>
      <c r="W40" s="71"/>
      <c r="X40" s="71"/>
      <c r="Y40" s="71"/>
      <c r="Z40" s="71"/>
    </row>
    <row r="41" spans="1:26" ht="21.75" customHeight="1">
      <c r="A41" s="1531"/>
      <c r="B41" s="1532"/>
      <c r="C41" s="1531"/>
      <c r="D41" s="1532"/>
      <c r="E41" s="71"/>
      <c r="F41" s="71"/>
      <c r="G41" s="71"/>
      <c r="H41" s="71"/>
      <c r="I41" s="71"/>
      <c r="J41" s="71"/>
      <c r="K41" s="71"/>
      <c r="L41" s="71"/>
      <c r="M41" s="71"/>
      <c r="N41" s="71"/>
      <c r="O41" s="71"/>
      <c r="P41" s="71"/>
      <c r="Q41" s="71"/>
      <c r="R41" s="71"/>
      <c r="T41" s="71"/>
      <c r="U41" s="71"/>
      <c r="V41" s="71"/>
      <c r="W41" s="71"/>
      <c r="X41" s="71"/>
      <c r="Y41" s="71"/>
      <c r="Z41" s="71"/>
    </row>
    <row r="42" spans="1:26" ht="21.75" customHeight="1">
      <c r="A42" s="71"/>
      <c r="B42" s="71"/>
      <c r="C42" s="71"/>
      <c r="D42" s="71"/>
      <c r="E42" s="71"/>
      <c r="F42" s="71"/>
      <c r="G42" s="71"/>
      <c r="H42" s="71"/>
      <c r="I42" s="71"/>
      <c r="J42" s="71"/>
      <c r="K42" s="71"/>
      <c r="L42" s="71"/>
      <c r="M42" s="71"/>
      <c r="N42" s="71"/>
      <c r="O42" s="71"/>
      <c r="P42" s="71"/>
      <c r="Q42" s="71"/>
      <c r="R42" s="71"/>
      <c r="T42" s="71"/>
      <c r="U42" s="71"/>
      <c r="V42" s="71"/>
      <c r="W42" s="71"/>
      <c r="X42" s="71"/>
      <c r="Y42" s="71"/>
      <c r="Z42" s="71"/>
    </row>
    <row r="43" spans="1:26" ht="21.75" customHeight="1">
      <c r="A43" s="71"/>
      <c r="B43" s="71"/>
      <c r="C43" s="71"/>
      <c r="D43" s="71"/>
      <c r="E43" s="71"/>
      <c r="F43" s="71"/>
      <c r="G43" s="71"/>
      <c r="H43" s="71"/>
      <c r="I43" s="71"/>
      <c r="J43" s="71"/>
      <c r="K43" s="71"/>
      <c r="L43" s="71"/>
      <c r="M43" s="71"/>
      <c r="N43" s="71"/>
      <c r="O43" s="71"/>
      <c r="P43" s="71"/>
      <c r="Q43" s="71"/>
      <c r="R43" s="71"/>
      <c r="T43" s="71"/>
      <c r="U43" s="71"/>
      <c r="V43" s="71"/>
      <c r="W43" s="71"/>
      <c r="X43" s="71"/>
      <c r="Y43" s="71"/>
      <c r="Z43" s="71"/>
    </row>
    <row r="44" spans="1:26" ht="21.75" customHeight="1">
      <c r="A44" s="71"/>
      <c r="B44" s="71"/>
      <c r="C44" s="71"/>
      <c r="D44" s="71"/>
      <c r="E44" s="71"/>
      <c r="F44" s="71"/>
      <c r="G44" s="71"/>
      <c r="H44" s="71"/>
      <c r="I44" s="71"/>
      <c r="J44" s="71"/>
      <c r="K44" s="71"/>
      <c r="L44" s="71"/>
      <c r="M44" s="71"/>
      <c r="N44" s="71"/>
      <c r="O44" s="71"/>
      <c r="P44" s="71"/>
      <c r="Q44" s="71"/>
      <c r="R44" s="71"/>
      <c r="T44" s="71"/>
      <c r="U44" s="71"/>
      <c r="V44" s="71"/>
      <c r="W44" s="71"/>
      <c r="X44" s="71"/>
      <c r="Y44" s="71"/>
      <c r="Z44" s="71"/>
    </row>
    <row r="45" spans="1:26" ht="21.75" customHeight="1">
      <c r="A45" s="71"/>
      <c r="B45" s="71"/>
      <c r="C45" s="71"/>
      <c r="D45" s="71"/>
      <c r="E45" s="71"/>
      <c r="F45" s="71"/>
      <c r="G45" s="71"/>
      <c r="H45" s="71"/>
      <c r="I45" s="71"/>
      <c r="J45" s="71"/>
      <c r="K45" s="71"/>
      <c r="L45" s="71"/>
      <c r="M45" s="71"/>
      <c r="N45" s="71"/>
      <c r="O45" s="71"/>
      <c r="P45" s="71"/>
      <c r="Q45" s="71"/>
      <c r="R45" s="71"/>
      <c r="T45" s="71"/>
      <c r="U45" s="71"/>
      <c r="V45" s="71"/>
      <c r="W45" s="71"/>
      <c r="X45" s="71"/>
      <c r="Y45" s="71"/>
      <c r="Z45" s="71"/>
    </row>
    <row r="46" spans="1:26" ht="21.75" customHeight="1">
      <c r="A46" s="71"/>
      <c r="B46" s="71"/>
      <c r="C46" s="71"/>
      <c r="D46" s="71"/>
      <c r="E46" s="71"/>
      <c r="F46" s="71"/>
      <c r="G46" s="71"/>
      <c r="H46" s="71"/>
      <c r="I46" s="71"/>
      <c r="J46" s="71"/>
      <c r="K46" s="71"/>
      <c r="L46" s="71"/>
      <c r="M46" s="71"/>
      <c r="N46" s="71"/>
      <c r="O46" s="71"/>
      <c r="P46" s="71"/>
      <c r="Q46" s="71"/>
      <c r="R46" s="71"/>
      <c r="T46" s="71"/>
      <c r="U46" s="71"/>
      <c r="V46" s="71"/>
      <c r="W46" s="71"/>
      <c r="X46" s="71"/>
      <c r="Y46" s="71"/>
      <c r="Z46" s="71"/>
    </row>
    <row r="47" spans="1:26" ht="14.25" customHeight="1">
      <c r="A47" s="71"/>
      <c r="B47" s="71"/>
      <c r="C47" s="71"/>
      <c r="D47" s="71"/>
      <c r="E47" s="71"/>
      <c r="F47" s="71"/>
      <c r="G47" s="71"/>
      <c r="H47" s="71"/>
      <c r="I47" s="71"/>
      <c r="J47" s="71"/>
      <c r="K47" s="71"/>
      <c r="L47" s="71"/>
      <c r="M47" s="71"/>
      <c r="N47" s="71"/>
      <c r="O47" s="71"/>
      <c r="P47" s="71"/>
      <c r="Q47" s="71"/>
      <c r="R47" s="71"/>
      <c r="T47" s="71"/>
      <c r="U47" s="71"/>
      <c r="V47" s="71"/>
      <c r="W47" s="71"/>
      <c r="X47" s="71"/>
      <c r="Y47" s="71"/>
      <c r="Z47" s="71"/>
    </row>
    <row r="48" spans="1:26" ht="14.25" customHeight="1">
      <c r="A48" s="71"/>
      <c r="B48" s="71"/>
      <c r="C48" s="71"/>
      <c r="D48" s="71"/>
      <c r="E48" s="71"/>
      <c r="F48" s="71"/>
      <c r="G48" s="71"/>
      <c r="H48" s="71"/>
      <c r="I48" s="71"/>
      <c r="J48" s="71"/>
      <c r="K48" s="71"/>
      <c r="L48" s="71"/>
      <c r="M48" s="71"/>
      <c r="N48" s="71"/>
      <c r="O48" s="71"/>
      <c r="P48" s="71"/>
      <c r="Q48" s="71"/>
      <c r="R48" s="71"/>
      <c r="T48" s="71"/>
      <c r="U48" s="71"/>
      <c r="V48" s="71"/>
      <c r="W48" s="71"/>
      <c r="X48" s="71"/>
      <c r="Y48" s="71"/>
      <c r="Z48" s="71"/>
    </row>
    <row r="49" spans="1:26" ht="14.25" customHeight="1">
      <c r="A49" s="71"/>
      <c r="B49" s="71"/>
      <c r="C49" s="71"/>
      <c r="D49" s="71"/>
      <c r="E49" s="71"/>
      <c r="F49" s="71"/>
      <c r="G49" s="71"/>
      <c r="H49" s="71"/>
      <c r="I49" s="71"/>
      <c r="J49" s="71"/>
      <c r="K49" s="71"/>
      <c r="L49" s="71"/>
      <c r="M49" s="71"/>
      <c r="N49" s="71"/>
      <c r="O49" s="71"/>
      <c r="P49" s="71"/>
      <c r="Q49" s="71"/>
      <c r="R49" s="71"/>
      <c r="T49" s="71"/>
      <c r="U49" s="71"/>
      <c r="V49" s="71"/>
      <c r="W49" s="71"/>
      <c r="X49" s="71"/>
      <c r="Y49" s="71"/>
      <c r="Z49" s="71"/>
    </row>
    <row r="50" spans="1:26" ht="14.25" customHeight="1">
      <c r="A50" s="71"/>
      <c r="B50" s="71"/>
      <c r="C50" s="71"/>
      <c r="D50" s="71"/>
      <c r="E50" s="71"/>
      <c r="F50" s="71"/>
      <c r="G50" s="71"/>
      <c r="H50" s="71"/>
      <c r="I50" s="71"/>
      <c r="J50" s="71"/>
      <c r="K50" s="71"/>
      <c r="L50" s="71"/>
      <c r="M50" s="71"/>
      <c r="N50" s="71"/>
      <c r="O50" s="71"/>
      <c r="P50" s="71"/>
      <c r="Q50" s="71"/>
      <c r="R50" s="71"/>
      <c r="T50" s="71"/>
      <c r="U50" s="71"/>
      <c r="V50" s="71"/>
      <c r="W50" s="71"/>
      <c r="X50" s="71"/>
      <c r="Y50" s="71"/>
      <c r="Z50" s="71"/>
    </row>
    <row r="51" spans="1:26" ht="14.25" customHeight="1">
      <c r="A51" s="71"/>
      <c r="B51" s="71"/>
      <c r="C51" s="71"/>
      <c r="D51" s="71"/>
      <c r="E51" s="71"/>
      <c r="F51" s="71"/>
      <c r="G51" s="71"/>
      <c r="H51" s="71"/>
      <c r="I51" s="71"/>
      <c r="J51" s="71"/>
      <c r="K51" s="71"/>
      <c r="L51" s="71"/>
      <c r="M51" s="71"/>
      <c r="N51" s="71"/>
      <c r="O51" s="71"/>
      <c r="P51" s="71"/>
      <c r="Q51" s="71"/>
      <c r="R51" s="71"/>
      <c r="T51" s="71"/>
      <c r="U51" s="71"/>
      <c r="V51" s="71"/>
      <c r="W51" s="71"/>
      <c r="X51" s="71"/>
      <c r="Y51" s="71"/>
      <c r="Z51" s="71"/>
    </row>
    <row r="52" spans="1:26" ht="14.25" customHeight="1">
      <c r="A52" s="71"/>
      <c r="B52" s="71"/>
      <c r="C52" s="71"/>
      <c r="D52" s="71"/>
      <c r="E52" s="71"/>
      <c r="F52" s="71"/>
      <c r="G52" s="71"/>
      <c r="H52" s="71"/>
      <c r="I52" s="71"/>
      <c r="J52" s="71"/>
      <c r="K52" s="71"/>
      <c r="L52" s="71"/>
      <c r="M52" s="71"/>
      <c r="N52" s="71"/>
      <c r="O52" s="71"/>
      <c r="P52" s="71"/>
      <c r="Q52" s="71"/>
      <c r="R52" s="71"/>
      <c r="T52" s="71"/>
      <c r="U52" s="71"/>
      <c r="V52" s="71"/>
      <c r="W52" s="71"/>
      <c r="X52" s="71"/>
      <c r="Y52" s="71"/>
      <c r="Z52" s="71"/>
    </row>
    <row r="53" spans="1:26" ht="14.25" customHeight="1">
      <c r="A53" s="71"/>
      <c r="B53" s="71"/>
      <c r="C53" s="71"/>
      <c r="D53" s="71"/>
      <c r="E53" s="71"/>
      <c r="F53" s="71"/>
      <c r="G53" s="71"/>
      <c r="H53" s="71"/>
      <c r="I53" s="71"/>
      <c r="J53" s="71"/>
      <c r="K53" s="71"/>
      <c r="L53" s="71"/>
      <c r="M53" s="71"/>
      <c r="N53" s="71"/>
      <c r="O53" s="71"/>
      <c r="P53" s="71"/>
      <c r="Q53" s="71"/>
      <c r="R53" s="71"/>
      <c r="T53" s="71"/>
      <c r="U53" s="71"/>
      <c r="V53" s="71"/>
      <c r="W53" s="71"/>
      <c r="X53" s="71"/>
      <c r="Y53" s="71"/>
      <c r="Z53" s="71"/>
    </row>
    <row r="54" spans="1:26" ht="14.25" customHeight="1">
      <c r="A54" s="71"/>
      <c r="B54" s="71"/>
      <c r="C54" s="71"/>
      <c r="D54" s="71"/>
      <c r="E54" s="71"/>
      <c r="F54" s="71"/>
      <c r="G54" s="71"/>
      <c r="H54" s="71"/>
      <c r="I54" s="71"/>
      <c r="J54" s="71"/>
      <c r="K54" s="71"/>
      <c r="L54" s="71"/>
      <c r="M54" s="71"/>
      <c r="N54" s="71"/>
      <c r="O54" s="71"/>
      <c r="P54" s="71"/>
      <c r="Q54" s="71"/>
      <c r="R54" s="71"/>
      <c r="T54" s="71"/>
      <c r="U54" s="71"/>
      <c r="V54" s="71"/>
      <c r="W54" s="71"/>
      <c r="X54" s="71"/>
      <c r="Y54" s="71"/>
      <c r="Z54" s="71"/>
    </row>
    <row r="55" spans="1:26" ht="14.25" customHeight="1">
      <c r="A55" s="71"/>
      <c r="B55" s="71"/>
      <c r="C55" s="71"/>
      <c r="D55" s="71"/>
      <c r="E55" s="71"/>
      <c r="F55" s="71"/>
      <c r="G55" s="71"/>
      <c r="H55" s="71"/>
      <c r="I55" s="71"/>
      <c r="J55" s="71"/>
      <c r="K55" s="71"/>
      <c r="L55" s="71"/>
      <c r="M55" s="71"/>
      <c r="N55" s="71"/>
      <c r="O55" s="71"/>
      <c r="P55" s="71"/>
      <c r="Q55" s="71"/>
      <c r="R55" s="71"/>
      <c r="T55" s="71"/>
      <c r="U55" s="71"/>
      <c r="V55" s="71"/>
      <c r="W55" s="71"/>
      <c r="X55" s="71"/>
      <c r="Y55" s="71"/>
      <c r="Z55" s="71"/>
    </row>
    <row r="56" spans="1:26" ht="14.25" customHeight="1">
      <c r="A56" s="71"/>
      <c r="B56" s="71"/>
      <c r="C56" s="71"/>
      <c r="D56" s="71"/>
      <c r="E56" s="71"/>
      <c r="F56" s="71"/>
      <c r="G56" s="71"/>
      <c r="H56" s="71"/>
      <c r="I56" s="71"/>
      <c r="J56" s="71"/>
      <c r="K56" s="71"/>
      <c r="L56" s="71"/>
      <c r="M56" s="71"/>
      <c r="N56" s="71"/>
      <c r="O56" s="71"/>
      <c r="P56" s="71"/>
      <c r="Q56" s="71"/>
      <c r="R56" s="71"/>
      <c r="T56" s="71"/>
      <c r="U56" s="71"/>
      <c r="V56" s="71"/>
      <c r="W56" s="71"/>
      <c r="X56" s="71"/>
      <c r="Y56" s="71"/>
      <c r="Z56" s="71"/>
    </row>
    <row r="57" spans="1:26" ht="14.25" customHeight="1">
      <c r="A57" s="71"/>
      <c r="B57" s="71"/>
      <c r="C57" s="71"/>
      <c r="D57" s="71"/>
      <c r="E57" s="71"/>
      <c r="F57" s="71"/>
      <c r="G57" s="71"/>
      <c r="H57" s="71"/>
      <c r="I57" s="71"/>
      <c r="J57" s="71"/>
      <c r="K57" s="71"/>
      <c r="L57" s="71"/>
      <c r="M57" s="71"/>
      <c r="N57" s="71"/>
      <c r="O57" s="71"/>
      <c r="P57" s="71"/>
      <c r="Q57" s="71"/>
      <c r="R57" s="71"/>
      <c r="T57" s="71"/>
      <c r="U57" s="71"/>
      <c r="V57" s="71"/>
      <c r="W57" s="71"/>
      <c r="X57" s="71"/>
      <c r="Y57" s="71"/>
      <c r="Z57" s="71"/>
    </row>
    <row r="58" spans="1:26" ht="14.25" customHeight="1">
      <c r="A58" s="71"/>
      <c r="B58" s="71"/>
      <c r="C58" s="71"/>
      <c r="D58" s="71"/>
      <c r="E58" s="71"/>
      <c r="F58" s="71"/>
      <c r="G58" s="71"/>
      <c r="H58" s="71"/>
      <c r="I58" s="71"/>
      <c r="J58" s="71"/>
      <c r="K58" s="71"/>
      <c r="L58" s="71"/>
      <c r="M58" s="71"/>
      <c r="N58" s="71"/>
      <c r="O58" s="71"/>
      <c r="P58" s="71"/>
      <c r="Q58" s="71"/>
      <c r="R58" s="71"/>
      <c r="T58" s="71"/>
      <c r="U58" s="71"/>
      <c r="V58" s="71"/>
      <c r="W58" s="71"/>
      <c r="X58" s="71"/>
      <c r="Y58" s="71"/>
      <c r="Z58" s="71"/>
    </row>
    <row r="59" spans="1:26" ht="14.25" customHeight="1">
      <c r="A59" s="71"/>
      <c r="B59" s="71"/>
      <c r="C59" s="71"/>
      <c r="D59" s="71"/>
      <c r="E59" s="71"/>
      <c r="F59" s="71"/>
      <c r="G59" s="71"/>
      <c r="H59" s="71"/>
      <c r="I59" s="71"/>
      <c r="J59" s="71"/>
      <c r="K59" s="71"/>
      <c r="L59" s="71"/>
      <c r="M59" s="71"/>
      <c r="N59" s="71"/>
      <c r="O59" s="71"/>
      <c r="P59" s="71"/>
      <c r="Q59" s="71"/>
      <c r="R59" s="71"/>
      <c r="T59" s="71"/>
      <c r="U59" s="71"/>
      <c r="V59" s="71"/>
      <c r="W59" s="71"/>
      <c r="X59" s="71"/>
      <c r="Y59" s="71"/>
      <c r="Z59" s="71"/>
    </row>
    <row r="60" spans="1:26" ht="14.25" customHeight="1">
      <c r="A60" s="71"/>
      <c r="B60" s="71"/>
      <c r="C60" s="71"/>
      <c r="D60" s="71"/>
      <c r="E60" s="71"/>
      <c r="F60" s="71"/>
      <c r="G60" s="71"/>
      <c r="H60" s="71"/>
      <c r="I60" s="71"/>
      <c r="J60" s="71"/>
      <c r="K60" s="71"/>
      <c r="L60" s="71"/>
      <c r="M60" s="71"/>
      <c r="N60" s="71"/>
      <c r="O60" s="71"/>
      <c r="P60" s="71"/>
      <c r="Q60" s="71"/>
      <c r="R60" s="71"/>
      <c r="T60" s="71"/>
      <c r="U60" s="71"/>
      <c r="V60" s="71"/>
      <c r="W60" s="71"/>
      <c r="X60" s="71"/>
      <c r="Y60" s="71"/>
      <c r="Z60" s="71"/>
    </row>
    <row r="61" spans="1:26" ht="14.25" customHeight="1">
      <c r="A61" s="71"/>
      <c r="B61" s="71"/>
      <c r="C61" s="71"/>
      <c r="D61" s="71"/>
      <c r="E61" s="71"/>
      <c r="F61" s="71"/>
      <c r="G61" s="71"/>
      <c r="H61" s="71"/>
      <c r="I61" s="71"/>
      <c r="J61" s="71"/>
      <c r="K61" s="71"/>
      <c r="L61" s="71"/>
      <c r="M61" s="71"/>
      <c r="N61" s="71"/>
      <c r="O61" s="71"/>
      <c r="P61" s="71"/>
      <c r="Q61" s="71"/>
      <c r="R61" s="71"/>
      <c r="T61" s="71"/>
      <c r="U61" s="71"/>
      <c r="V61" s="71"/>
      <c r="W61" s="71"/>
      <c r="X61" s="71"/>
      <c r="Y61" s="71"/>
      <c r="Z61" s="71"/>
    </row>
    <row r="62" spans="1:26" ht="14.25" customHeight="1">
      <c r="A62" s="71"/>
      <c r="B62" s="71"/>
      <c r="C62" s="71"/>
      <c r="D62" s="71"/>
      <c r="E62" s="71"/>
      <c r="F62" s="71"/>
      <c r="G62" s="71"/>
      <c r="H62" s="71"/>
      <c r="I62" s="71"/>
      <c r="J62" s="71"/>
      <c r="K62" s="71"/>
      <c r="L62" s="71"/>
      <c r="M62" s="71"/>
      <c r="N62" s="71"/>
      <c r="O62" s="71"/>
      <c r="P62" s="71"/>
      <c r="Q62" s="71"/>
      <c r="R62" s="71"/>
      <c r="T62" s="71"/>
      <c r="U62" s="71"/>
      <c r="V62" s="71"/>
      <c r="W62" s="71"/>
      <c r="X62" s="71"/>
      <c r="Y62" s="71"/>
      <c r="Z62" s="71"/>
    </row>
    <row r="63" spans="1:26" ht="14.25" customHeight="1">
      <c r="A63" s="71"/>
      <c r="B63" s="71"/>
      <c r="C63" s="71"/>
      <c r="D63" s="71"/>
      <c r="E63" s="71"/>
      <c r="F63" s="71"/>
      <c r="G63" s="71"/>
      <c r="H63" s="71"/>
      <c r="I63" s="71"/>
      <c r="J63" s="71"/>
      <c r="K63" s="71"/>
      <c r="L63" s="71"/>
      <c r="M63" s="71"/>
      <c r="N63" s="71"/>
      <c r="O63" s="71"/>
      <c r="P63" s="71"/>
      <c r="Q63" s="71"/>
      <c r="R63" s="71"/>
      <c r="T63" s="71"/>
      <c r="U63" s="71"/>
      <c r="V63" s="71"/>
      <c r="W63" s="71"/>
      <c r="X63" s="71"/>
      <c r="Y63" s="71"/>
      <c r="Z63" s="71"/>
    </row>
    <row r="64" spans="1:26" ht="14.25" customHeight="1">
      <c r="A64" s="71"/>
      <c r="B64" s="71"/>
      <c r="C64" s="71"/>
      <c r="D64" s="71"/>
      <c r="E64" s="71"/>
      <c r="F64" s="71"/>
      <c r="G64" s="71"/>
      <c r="H64" s="71"/>
      <c r="I64" s="71"/>
      <c r="J64" s="71"/>
      <c r="K64" s="71"/>
      <c r="L64" s="71"/>
      <c r="M64" s="71"/>
      <c r="N64" s="71"/>
      <c r="O64" s="71"/>
      <c r="P64" s="71"/>
      <c r="Q64" s="71"/>
      <c r="R64" s="71"/>
      <c r="T64" s="71"/>
      <c r="U64" s="71"/>
      <c r="V64" s="71"/>
      <c r="W64" s="71"/>
      <c r="X64" s="71"/>
      <c r="Y64" s="71"/>
      <c r="Z64" s="71"/>
    </row>
    <row r="65" spans="1:26" ht="14.25" customHeight="1">
      <c r="A65" s="71"/>
      <c r="B65" s="71"/>
      <c r="C65" s="71"/>
      <c r="D65" s="71"/>
      <c r="E65" s="71"/>
      <c r="F65" s="71"/>
      <c r="G65" s="71"/>
      <c r="H65" s="71"/>
      <c r="I65" s="71"/>
      <c r="J65" s="71"/>
      <c r="K65" s="71"/>
      <c r="L65" s="71"/>
      <c r="M65" s="71"/>
      <c r="N65" s="71"/>
      <c r="O65" s="71"/>
      <c r="P65" s="71"/>
      <c r="Q65" s="71"/>
      <c r="R65" s="71"/>
      <c r="T65" s="71"/>
      <c r="U65" s="71"/>
      <c r="V65" s="71"/>
      <c r="W65" s="71"/>
      <c r="X65" s="71"/>
      <c r="Y65" s="71"/>
      <c r="Z65" s="71"/>
    </row>
    <row r="66" spans="1:26" ht="14.25" customHeight="1">
      <c r="A66" s="71"/>
      <c r="B66" s="71"/>
      <c r="C66" s="71"/>
      <c r="D66" s="71"/>
      <c r="E66" s="71"/>
      <c r="F66" s="71"/>
      <c r="G66" s="71"/>
      <c r="H66" s="71"/>
      <c r="I66" s="71"/>
      <c r="J66" s="71"/>
      <c r="K66" s="71"/>
      <c r="L66" s="71"/>
      <c r="M66" s="71"/>
      <c r="N66" s="71"/>
      <c r="O66" s="71"/>
      <c r="P66" s="71"/>
      <c r="Q66" s="71"/>
      <c r="R66" s="71"/>
      <c r="T66" s="71"/>
      <c r="U66" s="71"/>
      <c r="V66" s="71"/>
      <c r="W66" s="71"/>
      <c r="X66" s="71"/>
      <c r="Y66" s="71"/>
      <c r="Z66" s="71"/>
    </row>
    <row r="67" spans="1:26" ht="14.25" customHeight="1">
      <c r="A67" s="71"/>
      <c r="B67" s="71"/>
      <c r="C67" s="71"/>
      <c r="D67" s="71"/>
      <c r="E67" s="71"/>
      <c r="F67" s="71"/>
      <c r="G67" s="71"/>
      <c r="H67" s="71"/>
      <c r="I67" s="71"/>
      <c r="J67" s="71"/>
      <c r="K67" s="71"/>
      <c r="L67" s="71"/>
      <c r="M67" s="71"/>
      <c r="N67" s="71"/>
      <c r="O67" s="71"/>
      <c r="P67" s="71"/>
      <c r="Q67" s="71"/>
      <c r="R67" s="71"/>
      <c r="T67" s="71"/>
      <c r="U67" s="71"/>
      <c r="V67" s="71"/>
      <c r="W67" s="71"/>
      <c r="X67" s="71"/>
      <c r="Y67" s="71"/>
      <c r="Z67" s="71"/>
    </row>
    <row r="68" spans="1:26" ht="14.25" customHeight="1">
      <c r="A68" s="71"/>
      <c r="B68" s="71"/>
      <c r="C68" s="71"/>
      <c r="D68" s="71"/>
      <c r="E68" s="71"/>
      <c r="F68" s="71"/>
      <c r="G68" s="71"/>
      <c r="H68" s="71"/>
      <c r="I68" s="71"/>
      <c r="J68" s="71"/>
      <c r="K68" s="71"/>
      <c r="L68" s="71"/>
      <c r="M68" s="71"/>
      <c r="N68" s="71"/>
      <c r="O68" s="71"/>
      <c r="P68" s="71"/>
      <c r="Q68" s="71"/>
      <c r="R68" s="71"/>
      <c r="T68" s="71"/>
      <c r="U68" s="71"/>
      <c r="V68" s="71"/>
      <c r="W68" s="71"/>
      <c r="X68" s="71"/>
      <c r="Y68" s="71"/>
      <c r="Z68" s="71"/>
    </row>
    <row r="69" spans="1:26" ht="14.25" customHeight="1">
      <c r="A69" s="71"/>
      <c r="B69" s="71"/>
      <c r="C69" s="71"/>
      <c r="D69" s="71"/>
      <c r="E69" s="71"/>
      <c r="F69" s="71"/>
      <c r="G69" s="71"/>
      <c r="H69" s="71"/>
      <c r="I69" s="71"/>
      <c r="J69" s="71"/>
      <c r="K69" s="71"/>
      <c r="L69" s="71"/>
      <c r="M69" s="71"/>
      <c r="N69" s="71"/>
      <c r="O69" s="71"/>
      <c r="P69" s="71"/>
      <c r="Q69" s="71"/>
      <c r="R69" s="71"/>
      <c r="T69" s="71"/>
      <c r="U69" s="71"/>
      <c r="V69" s="71"/>
      <c r="W69" s="71"/>
      <c r="X69" s="71"/>
      <c r="Y69" s="71"/>
      <c r="Z69" s="71"/>
    </row>
    <row r="70" spans="1:26" ht="14.25" customHeight="1">
      <c r="A70" s="71"/>
      <c r="B70" s="71"/>
      <c r="C70" s="71"/>
      <c r="D70" s="71"/>
      <c r="E70" s="71"/>
      <c r="F70" s="71"/>
      <c r="G70" s="71"/>
      <c r="H70" s="71"/>
      <c r="I70" s="71"/>
      <c r="J70" s="71"/>
      <c r="K70" s="71"/>
      <c r="L70" s="71"/>
      <c r="M70" s="71"/>
      <c r="N70" s="71"/>
      <c r="O70" s="71"/>
      <c r="P70" s="71"/>
      <c r="Q70" s="71"/>
      <c r="R70" s="71"/>
      <c r="T70" s="71"/>
      <c r="U70" s="71"/>
      <c r="V70" s="71"/>
      <c r="W70" s="71"/>
      <c r="X70" s="71"/>
      <c r="Y70" s="71"/>
      <c r="Z70" s="71"/>
    </row>
    <row r="71" spans="1:26" ht="14.25" customHeight="1">
      <c r="A71" s="71"/>
      <c r="B71" s="71"/>
      <c r="C71" s="71"/>
      <c r="D71" s="71"/>
      <c r="E71" s="71"/>
      <c r="F71" s="71"/>
      <c r="G71" s="71"/>
      <c r="H71" s="71"/>
      <c r="I71" s="71"/>
      <c r="J71" s="71"/>
      <c r="K71" s="71"/>
      <c r="L71" s="71"/>
      <c r="M71" s="71"/>
      <c r="N71" s="71"/>
      <c r="O71" s="71"/>
      <c r="P71" s="71"/>
      <c r="Q71" s="71"/>
      <c r="R71" s="71"/>
      <c r="T71" s="71"/>
      <c r="U71" s="71"/>
      <c r="V71" s="71"/>
      <c r="W71" s="71"/>
      <c r="X71" s="71"/>
      <c r="Y71" s="71"/>
      <c r="Z71" s="71"/>
    </row>
    <row r="72" spans="1:26" ht="14.25" customHeight="1">
      <c r="A72" s="71"/>
      <c r="B72" s="71"/>
      <c r="C72" s="71"/>
      <c r="D72" s="71"/>
      <c r="E72" s="71"/>
      <c r="F72" s="71"/>
      <c r="G72" s="71"/>
      <c r="H72" s="71"/>
      <c r="I72" s="71"/>
      <c r="J72" s="71"/>
      <c r="K72" s="71"/>
      <c r="L72" s="71"/>
      <c r="M72" s="71"/>
      <c r="N72" s="71"/>
      <c r="O72" s="71"/>
      <c r="P72" s="71"/>
      <c r="Q72" s="71"/>
      <c r="R72" s="71"/>
      <c r="T72" s="71"/>
      <c r="U72" s="71"/>
      <c r="V72" s="71"/>
      <c r="W72" s="71"/>
      <c r="X72" s="71"/>
      <c r="Y72" s="71"/>
      <c r="Z72" s="71"/>
    </row>
    <row r="73" spans="1:26" ht="14.25" customHeight="1">
      <c r="A73" s="71"/>
      <c r="B73" s="71"/>
      <c r="C73" s="71"/>
      <c r="D73" s="71"/>
      <c r="E73" s="71"/>
      <c r="F73" s="71"/>
      <c r="G73" s="71"/>
      <c r="H73" s="71"/>
      <c r="I73" s="71"/>
      <c r="J73" s="71"/>
      <c r="K73" s="71"/>
      <c r="L73" s="71"/>
      <c r="M73" s="71"/>
      <c r="N73" s="71"/>
      <c r="O73" s="71"/>
      <c r="P73" s="71"/>
      <c r="Q73" s="71"/>
      <c r="R73" s="71"/>
      <c r="T73" s="71"/>
      <c r="U73" s="71"/>
      <c r="V73" s="71"/>
      <c r="W73" s="71"/>
      <c r="X73" s="71"/>
      <c r="Y73" s="71"/>
      <c r="Z73" s="71"/>
    </row>
    <row r="74" spans="1:26" ht="14.25" customHeight="1">
      <c r="A74" s="71"/>
      <c r="B74" s="71"/>
      <c r="C74" s="71"/>
      <c r="D74" s="71"/>
      <c r="E74" s="71"/>
      <c r="F74" s="71"/>
      <c r="G74" s="71"/>
      <c r="H74" s="71"/>
      <c r="I74" s="71"/>
      <c r="J74" s="71"/>
      <c r="K74" s="71"/>
      <c r="L74" s="71"/>
      <c r="M74" s="71"/>
      <c r="N74" s="71"/>
      <c r="O74" s="71"/>
      <c r="P74" s="71"/>
      <c r="Q74" s="71"/>
      <c r="R74" s="71"/>
      <c r="T74" s="71"/>
      <c r="U74" s="71"/>
      <c r="V74" s="71"/>
      <c r="W74" s="71"/>
      <c r="X74" s="71"/>
      <c r="Y74" s="71"/>
      <c r="Z74" s="71"/>
    </row>
    <row r="75" spans="1:26" ht="14.25" customHeight="1">
      <c r="A75" s="71"/>
      <c r="B75" s="71"/>
      <c r="C75" s="71"/>
      <c r="D75" s="71"/>
      <c r="E75" s="71"/>
      <c r="F75" s="71"/>
      <c r="G75" s="71"/>
      <c r="H75" s="71"/>
      <c r="I75" s="71"/>
      <c r="J75" s="71"/>
      <c r="K75" s="71"/>
      <c r="L75" s="71"/>
      <c r="M75" s="71"/>
      <c r="N75" s="71"/>
      <c r="O75" s="71"/>
      <c r="P75" s="71"/>
      <c r="Q75" s="71"/>
      <c r="R75" s="71"/>
      <c r="T75" s="71"/>
      <c r="U75" s="71"/>
      <c r="V75" s="71"/>
      <c r="W75" s="71"/>
      <c r="X75" s="71"/>
      <c r="Y75" s="71"/>
      <c r="Z75" s="71"/>
    </row>
    <row r="76" spans="1:26" ht="14.25" customHeight="1">
      <c r="A76" s="71"/>
      <c r="B76" s="71"/>
      <c r="C76" s="71"/>
      <c r="D76" s="71"/>
      <c r="E76" s="71"/>
      <c r="F76" s="71"/>
      <c r="G76" s="71"/>
      <c r="H76" s="71"/>
      <c r="I76" s="71"/>
      <c r="J76" s="71"/>
      <c r="K76" s="71"/>
      <c r="L76" s="71"/>
      <c r="M76" s="71"/>
      <c r="N76" s="71"/>
      <c r="O76" s="71"/>
      <c r="P76" s="71"/>
      <c r="Q76" s="71"/>
      <c r="R76" s="71"/>
      <c r="T76" s="71"/>
      <c r="U76" s="71"/>
      <c r="V76" s="71"/>
      <c r="W76" s="71"/>
      <c r="X76" s="71"/>
      <c r="Y76" s="71"/>
      <c r="Z76" s="71"/>
    </row>
    <row r="77" spans="1:26" ht="14.25" customHeight="1">
      <c r="A77" s="71"/>
      <c r="B77" s="71"/>
      <c r="C77" s="71"/>
      <c r="D77" s="71"/>
      <c r="E77" s="71"/>
      <c r="F77" s="71"/>
      <c r="G77" s="71"/>
      <c r="H77" s="71"/>
      <c r="I77" s="71"/>
      <c r="J77" s="71"/>
      <c r="K77" s="71"/>
      <c r="L77" s="71"/>
      <c r="M77" s="71"/>
      <c r="N77" s="71"/>
      <c r="O77" s="71"/>
      <c r="P77" s="71"/>
      <c r="Q77" s="71"/>
      <c r="R77" s="71"/>
      <c r="T77" s="71"/>
      <c r="U77" s="71"/>
      <c r="V77" s="71"/>
      <c r="W77" s="71"/>
      <c r="X77" s="71"/>
      <c r="Y77" s="71"/>
      <c r="Z77" s="71"/>
    </row>
    <row r="78" spans="1:26" ht="14.25" customHeight="1">
      <c r="A78" s="71"/>
      <c r="B78" s="71"/>
      <c r="C78" s="71"/>
      <c r="D78" s="71"/>
      <c r="E78" s="71"/>
      <c r="F78" s="71"/>
      <c r="G78" s="71"/>
      <c r="H78" s="71"/>
      <c r="I78" s="71"/>
      <c r="J78" s="71"/>
      <c r="K78" s="71"/>
      <c r="L78" s="71"/>
      <c r="M78" s="71"/>
      <c r="N78" s="71"/>
      <c r="O78" s="71"/>
      <c r="P78" s="71"/>
      <c r="Q78" s="71"/>
      <c r="R78" s="71"/>
      <c r="T78" s="71"/>
      <c r="U78" s="71"/>
      <c r="V78" s="71"/>
      <c r="W78" s="71"/>
      <c r="X78" s="71"/>
      <c r="Y78" s="71"/>
      <c r="Z78" s="71"/>
    </row>
    <row r="79" spans="1:26" ht="14.25" customHeight="1">
      <c r="A79" s="71"/>
      <c r="B79" s="71"/>
      <c r="C79" s="71"/>
      <c r="D79" s="71"/>
      <c r="E79" s="71"/>
      <c r="F79" s="71"/>
      <c r="G79" s="71"/>
      <c r="H79" s="71"/>
      <c r="I79" s="71"/>
      <c r="J79" s="71"/>
      <c r="K79" s="71"/>
      <c r="L79" s="71"/>
      <c r="M79" s="71"/>
      <c r="N79" s="71"/>
      <c r="O79" s="71"/>
      <c r="P79" s="71"/>
      <c r="Q79" s="71"/>
      <c r="R79" s="71"/>
      <c r="T79" s="71"/>
      <c r="U79" s="71"/>
      <c r="V79" s="71"/>
      <c r="W79" s="71"/>
      <c r="X79" s="71"/>
      <c r="Y79" s="71"/>
      <c r="Z79" s="71"/>
    </row>
    <row r="80" spans="1:26" ht="14.25" customHeight="1">
      <c r="A80" s="71"/>
      <c r="B80" s="71"/>
      <c r="C80" s="71"/>
      <c r="D80" s="71"/>
      <c r="E80" s="71"/>
      <c r="F80" s="71"/>
      <c r="G80" s="71"/>
      <c r="H80" s="71"/>
      <c r="I80" s="71"/>
      <c r="J80" s="71"/>
      <c r="K80" s="71"/>
      <c r="L80" s="71"/>
      <c r="M80" s="71"/>
      <c r="N80" s="71"/>
      <c r="O80" s="71"/>
      <c r="P80" s="71"/>
      <c r="Q80" s="71"/>
      <c r="R80" s="71"/>
      <c r="T80" s="71"/>
      <c r="U80" s="71"/>
      <c r="V80" s="71"/>
      <c r="W80" s="71"/>
      <c r="X80" s="71"/>
      <c r="Y80" s="71"/>
      <c r="Z80" s="71"/>
    </row>
    <row r="81" spans="1:26" ht="14.25" customHeight="1">
      <c r="A81" s="71"/>
      <c r="B81" s="71"/>
      <c r="C81" s="71"/>
      <c r="D81" s="71"/>
      <c r="E81" s="71"/>
      <c r="F81" s="71"/>
      <c r="G81" s="71"/>
      <c r="H81" s="71"/>
      <c r="I81" s="71"/>
      <c r="J81" s="71"/>
      <c r="K81" s="71"/>
      <c r="L81" s="71"/>
      <c r="M81" s="71"/>
      <c r="N81" s="71"/>
      <c r="O81" s="71"/>
      <c r="P81" s="71"/>
      <c r="Q81" s="71"/>
      <c r="R81" s="71"/>
      <c r="T81" s="71"/>
      <c r="U81" s="71"/>
      <c r="V81" s="71"/>
      <c r="W81" s="71"/>
      <c r="X81" s="71"/>
      <c r="Y81" s="71"/>
      <c r="Z81" s="71"/>
    </row>
    <row r="82" spans="1:26" ht="14.25" customHeight="1">
      <c r="A82" s="71"/>
      <c r="B82" s="71"/>
      <c r="C82" s="71"/>
      <c r="D82" s="71"/>
      <c r="E82" s="71"/>
      <c r="F82" s="71"/>
      <c r="G82" s="71"/>
      <c r="H82" s="71"/>
      <c r="I82" s="71"/>
      <c r="J82" s="71"/>
      <c r="K82" s="71"/>
      <c r="L82" s="71"/>
      <c r="M82" s="71"/>
      <c r="N82" s="71"/>
      <c r="O82" s="71"/>
      <c r="P82" s="71"/>
      <c r="Q82" s="71"/>
      <c r="R82" s="71"/>
      <c r="T82" s="71"/>
      <c r="U82" s="71"/>
      <c r="V82" s="71"/>
      <c r="W82" s="71"/>
      <c r="X82" s="71"/>
      <c r="Y82" s="71"/>
      <c r="Z82" s="71"/>
    </row>
    <row r="83" spans="1:26" ht="14.25" customHeight="1">
      <c r="A83" s="71"/>
      <c r="B83" s="71"/>
      <c r="C83" s="71"/>
      <c r="D83" s="71"/>
      <c r="E83" s="71"/>
      <c r="F83" s="71"/>
      <c r="G83" s="71"/>
      <c r="H83" s="71"/>
      <c r="I83" s="71"/>
      <c r="J83" s="71"/>
      <c r="K83" s="71"/>
      <c r="L83" s="71"/>
      <c r="M83" s="71"/>
      <c r="N83" s="71"/>
      <c r="O83" s="71"/>
      <c r="P83" s="71"/>
      <c r="Q83" s="71"/>
      <c r="R83" s="71"/>
      <c r="T83" s="71"/>
      <c r="U83" s="71"/>
      <c r="V83" s="71"/>
      <c r="W83" s="71"/>
      <c r="X83" s="71"/>
      <c r="Y83" s="71"/>
      <c r="Z83" s="71"/>
    </row>
    <row r="84" spans="1:26" ht="14.25" customHeight="1">
      <c r="A84" s="71"/>
      <c r="B84" s="71"/>
      <c r="C84" s="71"/>
      <c r="D84" s="71"/>
      <c r="E84" s="71"/>
      <c r="F84" s="71"/>
      <c r="G84" s="71"/>
      <c r="H84" s="71"/>
      <c r="I84" s="71"/>
      <c r="J84" s="71"/>
      <c r="K84" s="71"/>
      <c r="L84" s="71"/>
      <c r="M84" s="71"/>
      <c r="N84" s="71"/>
      <c r="O84" s="71"/>
      <c r="P84" s="71"/>
      <c r="Q84" s="71"/>
      <c r="R84" s="71"/>
      <c r="T84" s="71"/>
      <c r="U84" s="71"/>
      <c r="V84" s="71"/>
      <c r="W84" s="71"/>
      <c r="X84" s="71"/>
      <c r="Y84" s="71"/>
      <c r="Z84" s="71"/>
    </row>
    <row r="85" spans="1:26" ht="14.25" customHeight="1">
      <c r="A85" s="71"/>
      <c r="B85" s="71"/>
      <c r="C85" s="71"/>
      <c r="D85" s="71"/>
      <c r="E85" s="71"/>
      <c r="F85" s="71"/>
      <c r="G85" s="71"/>
      <c r="H85" s="71"/>
      <c r="I85" s="71"/>
      <c r="J85" s="71"/>
      <c r="K85" s="71"/>
      <c r="L85" s="71"/>
      <c r="M85" s="71"/>
      <c r="N85" s="71"/>
      <c r="O85" s="71"/>
      <c r="P85" s="71"/>
      <c r="Q85" s="71"/>
      <c r="R85" s="71"/>
      <c r="T85" s="71"/>
      <c r="U85" s="71"/>
      <c r="V85" s="71"/>
      <c r="W85" s="71"/>
      <c r="X85" s="71"/>
      <c r="Y85" s="71"/>
      <c r="Z85" s="71"/>
    </row>
    <row r="86" spans="1:26" ht="14.25" customHeight="1">
      <c r="A86" s="71"/>
      <c r="B86" s="71"/>
      <c r="C86" s="71"/>
      <c r="D86" s="71"/>
      <c r="E86" s="71"/>
      <c r="F86" s="71"/>
      <c r="G86" s="71"/>
      <c r="H86" s="71"/>
      <c r="I86" s="71"/>
      <c r="J86" s="71"/>
      <c r="K86" s="71"/>
      <c r="L86" s="71"/>
      <c r="M86" s="71"/>
      <c r="N86" s="71"/>
      <c r="O86" s="71"/>
      <c r="P86" s="71"/>
      <c r="Q86" s="71"/>
      <c r="R86" s="71"/>
      <c r="T86" s="71"/>
      <c r="U86" s="71"/>
      <c r="V86" s="71"/>
      <c r="W86" s="71"/>
      <c r="X86" s="71"/>
      <c r="Y86" s="71"/>
      <c r="Z86" s="71"/>
    </row>
    <row r="87" spans="1:26" ht="14.25" customHeight="1">
      <c r="A87" s="71"/>
      <c r="B87" s="71"/>
      <c r="C87" s="71"/>
      <c r="D87" s="71"/>
      <c r="E87" s="71"/>
      <c r="F87" s="71"/>
      <c r="G87" s="71"/>
      <c r="H87" s="71"/>
      <c r="I87" s="71"/>
      <c r="J87" s="71"/>
      <c r="K87" s="71"/>
      <c r="L87" s="71"/>
      <c r="M87" s="71"/>
      <c r="N87" s="71"/>
      <c r="O87" s="71"/>
      <c r="P87" s="71"/>
      <c r="Q87" s="71"/>
      <c r="R87" s="71"/>
      <c r="T87" s="71"/>
      <c r="U87" s="71"/>
      <c r="V87" s="71"/>
      <c r="W87" s="71"/>
      <c r="X87" s="71"/>
      <c r="Y87" s="71"/>
      <c r="Z87" s="71"/>
    </row>
    <row r="88" spans="1:26" ht="14.25" customHeight="1">
      <c r="A88" s="71"/>
      <c r="B88" s="71"/>
      <c r="C88" s="71"/>
      <c r="D88" s="71"/>
      <c r="E88" s="71"/>
      <c r="F88" s="71"/>
      <c r="G88" s="71"/>
      <c r="H88" s="71"/>
      <c r="I88" s="71"/>
      <c r="J88" s="71"/>
      <c r="K88" s="71"/>
      <c r="L88" s="71"/>
      <c r="M88" s="71"/>
      <c r="N88" s="71"/>
      <c r="O88" s="71"/>
      <c r="P88" s="71"/>
      <c r="Q88" s="71"/>
      <c r="R88" s="71"/>
      <c r="T88" s="71"/>
      <c r="U88" s="71"/>
      <c r="V88" s="71"/>
      <c r="W88" s="71"/>
      <c r="X88" s="71"/>
      <c r="Y88" s="71"/>
      <c r="Z88" s="71"/>
    </row>
    <row r="89" spans="1:26" ht="14.25" customHeight="1">
      <c r="A89" s="71"/>
      <c r="B89" s="71"/>
      <c r="C89" s="71"/>
      <c r="D89" s="71"/>
      <c r="E89" s="71"/>
      <c r="F89" s="71"/>
      <c r="G89" s="71"/>
      <c r="H89" s="71"/>
      <c r="I89" s="71"/>
      <c r="J89" s="71"/>
      <c r="K89" s="71"/>
      <c r="L89" s="71"/>
      <c r="M89" s="71"/>
      <c r="N89" s="71"/>
      <c r="O89" s="71"/>
      <c r="P89" s="71"/>
      <c r="Q89" s="71"/>
      <c r="R89" s="71"/>
      <c r="T89" s="71"/>
      <c r="U89" s="71"/>
      <c r="V89" s="71"/>
      <c r="W89" s="71"/>
      <c r="X89" s="71"/>
      <c r="Y89" s="71"/>
      <c r="Z89" s="71"/>
    </row>
    <row r="90" spans="1:26" ht="14.25" customHeight="1">
      <c r="A90" s="71"/>
      <c r="B90" s="71"/>
      <c r="C90" s="71"/>
      <c r="D90" s="71"/>
      <c r="E90" s="71"/>
      <c r="F90" s="71"/>
      <c r="G90" s="71"/>
      <c r="H90" s="71"/>
      <c r="I90" s="71"/>
      <c r="J90" s="71"/>
      <c r="K90" s="71"/>
      <c r="L90" s="71"/>
      <c r="M90" s="71"/>
      <c r="N90" s="71"/>
      <c r="O90" s="71"/>
      <c r="P90" s="71"/>
      <c r="Q90" s="71"/>
      <c r="R90" s="71"/>
      <c r="T90" s="71"/>
      <c r="U90" s="71"/>
      <c r="V90" s="71"/>
      <c r="W90" s="71"/>
      <c r="X90" s="71"/>
      <c r="Y90" s="71"/>
      <c r="Z90" s="71"/>
    </row>
    <row r="91" spans="1:26" ht="14.25" customHeight="1">
      <c r="A91" s="71"/>
      <c r="B91" s="71"/>
      <c r="C91" s="71"/>
      <c r="D91" s="71"/>
      <c r="E91" s="71"/>
      <c r="F91" s="71"/>
      <c r="G91" s="71"/>
      <c r="H91" s="71"/>
      <c r="I91" s="71"/>
      <c r="J91" s="71"/>
      <c r="K91" s="71"/>
      <c r="L91" s="71"/>
      <c r="M91" s="71"/>
      <c r="N91" s="71"/>
      <c r="O91" s="71"/>
      <c r="P91" s="71"/>
      <c r="Q91" s="71"/>
      <c r="R91" s="71"/>
      <c r="T91" s="71"/>
      <c r="U91" s="71"/>
      <c r="V91" s="71"/>
      <c r="W91" s="71"/>
      <c r="X91" s="71"/>
      <c r="Y91" s="71"/>
      <c r="Z91" s="71"/>
    </row>
    <row r="92" spans="1:26" ht="14.25" customHeight="1">
      <c r="A92" s="71"/>
      <c r="B92" s="71"/>
      <c r="C92" s="71"/>
      <c r="D92" s="71"/>
      <c r="E92" s="71"/>
      <c r="F92" s="71"/>
      <c r="G92" s="71"/>
      <c r="H92" s="71"/>
      <c r="I92" s="71"/>
      <c r="J92" s="71"/>
      <c r="K92" s="71"/>
      <c r="L92" s="71"/>
      <c r="M92" s="71"/>
      <c r="N92" s="71"/>
      <c r="O92" s="71"/>
      <c r="P92" s="71"/>
      <c r="Q92" s="71"/>
      <c r="R92" s="71"/>
      <c r="T92" s="71"/>
      <c r="U92" s="71"/>
      <c r="V92" s="71"/>
      <c r="W92" s="71"/>
      <c r="X92" s="71"/>
      <c r="Y92" s="71"/>
      <c r="Z92" s="71"/>
    </row>
    <row r="93" spans="1:26" ht="14.25" customHeight="1">
      <c r="A93" s="71"/>
      <c r="B93" s="71"/>
      <c r="C93" s="71"/>
      <c r="D93" s="71"/>
      <c r="E93" s="71"/>
      <c r="F93" s="71"/>
      <c r="G93" s="71"/>
      <c r="H93" s="71"/>
      <c r="I93" s="71"/>
      <c r="J93" s="71"/>
      <c r="K93" s="71"/>
      <c r="L93" s="71"/>
      <c r="M93" s="71"/>
      <c r="N93" s="71"/>
      <c r="O93" s="71"/>
      <c r="P93" s="71"/>
      <c r="Q93" s="71"/>
      <c r="R93" s="71"/>
      <c r="T93" s="71"/>
      <c r="U93" s="71"/>
      <c r="V93" s="71"/>
      <c r="W93" s="71"/>
      <c r="X93" s="71"/>
      <c r="Y93" s="71"/>
      <c r="Z93" s="71"/>
    </row>
    <row r="94" spans="1:26" ht="14.25" customHeight="1">
      <c r="A94" s="71"/>
      <c r="B94" s="71"/>
      <c r="C94" s="71"/>
      <c r="D94" s="71"/>
      <c r="E94" s="71"/>
      <c r="F94" s="71"/>
      <c r="G94" s="71"/>
      <c r="H94" s="71"/>
      <c r="I94" s="71"/>
      <c r="J94" s="71"/>
      <c r="K94" s="71"/>
      <c r="L94" s="71"/>
      <c r="M94" s="71"/>
      <c r="N94" s="71"/>
      <c r="O94" s="71"/>
      <c r="P94" s="71"/>
      <c r="Q94" s="71"/>
      <c r="R94" s="71"/>
      <c r="T94" s="71"/>
      <c r="U94" s="71"/>
      <c r="V94" s="71"/>
      <c r="W94" s="71"/>
      <c r="X94" s="71"/>
      <c r="Y94" s="71"/>
      <c r="Z94" s="71"/>
    </row>
    <row r="95" spans="1:26" ht="14.25" customHeight="1">
      <c r="A95" s="71"/>
      <c r="B95" s="71"/>
      <c r="C95" s="71"/>
      <c r="D95" s="71"/>
      <c r="E95" s="71"/>
      <c r="F95" s="71"/>
      <c r="G95" s="71"/>
      <c r="H95" s="71"/>
      <c r="I95" s="71"/>
      <c r="J95" s="71"/>
      <c r="K95" s="71"/>
      <c r="L95" s="71"/>
      <c r="M95" s="71"/>
      <c r="N95" s="71"/>
      <c r="O95" s="71"/>
      <c r="P95" s="71"/>
      <c r="Q95" s="71"/>
      <c r="R95" s="71"/>
      <c r="T95" s="71"/>
      <c r="U95" s="71"/>
      <c r="V95" s="71"/>
      <c r="W95" s="71"/>
      <c r="X95" s="71"/>
      <c r="Y95" s="71"/>
      <c r="Z95" s="71"/>
    </row>
    <row r="96" spans="1:26" ht="14.25" customHeight="1">
      <c r="A96" s="71"/>
      <c r="B96" s="71"/>
      <c r="C96" s="71"/>
      <c r="D96" s="71"/>
      <c r="E96" s="71"/>
      <c r="F96" s="71"/>
      <c r="G96" s="71"/>
      <c r="H96" s="71"/>
      <c r="I96" s="71"/>
      <c r="J96" s="71"/>
      <c r="K96" s="71"/>
      <c r="L96" s="71"/>
      <c r="M96" s="71"/>
      <c r="N96" s="71"/>
      <c r="O96" s="71"/>
      <c r="P96" s="71"/>
      <c r="Q96" s="71"/>
      <c r="R96" s="71"/>
      <c r="T96" s="71"/>
      <c r="U96" s="71"/>
      <c r="V96" s="71"/>
      <c r="W96" s="71"/>
      <c r="X96" s="71"/>
      <c r="Y96" s="71"/>
      <c r="Z96" s="71"/>
    </row>
    <row r="97" spans="1:26" ht="14.25" customHeight="1">
      <c r="A97" s="71"/>
      <c r="B97" s="71"/>
      <c r="C97" s="71"/>
      <c r="D97" s="71"/>
      <c r="E97" s="71"/>
      <c r="F97" s="71"/>
      <c r="G97" s="71"/>
      <c r="H97" s="71"/>
      <c r="I97" s="71"/>
      <c r="J97" s="71"/>
      <c r="K97" s="71"/>
      <c r="L97" s="71"/>
      <c r="M97" s="71"/>
      <c r="N97" s="71"/>
      <c r="O97" s="71"/>
      <c r="P97" s="71"/>
      <c r="Q97" s="71"/>
      <c r="R97" s="71"/>
      <c r="T97" s="71"/>
      <c r="U97" s="71"/>
      <c r="V97" s="71"/>
      <c r="W97" s="71"/>
      <c r="X97" s="71"/>
      <c r="Y97" s="71"/>
      <c r="Z97" s="71"/>
    </row>
    <row r="98" spans="1:26" ht="14.25" customHeight="1">
      <c r="A98" s="71"/>
      <c r="B98" s="71"/>
      <c r="C98" s="71"/>
      <c r="D98" s="71"/>
      <c r="E98" s="71"/>
      <c r="F98" s="71"/>
      <c r="G98" s="71"/>
      <c r="H98" s="71"/>
      <c r="I98" s="71"/>
      <c r="J98" s="71"/>
      <c r="K98" s="71"/>
      <c r="L98" s="71"/>
      <c r="M98" s="71"/>
      <c r="N98" s="71"/>
      <c r="O98" s="71"/>
      <c r="P98" s="71"/>
      <c r="Q98" s="71"/>
      <c r="R98" s="71"/>
      <c r="T98" s="71"/>
      <c r="U98" s="71"/>
      <c r="V98" s="71"/>
      <c r="W98" s="71"/>
      <c r="X98" s="71"/>
      <c r="Y98" s="71"/>
      <c r="Z98" s="71"/>
    </row>
    <row r="99" spans="1:26" ht="14.25" customHeight="1">
      <c r="A99" s="71"/>
      <c r="B99" s="71"/>
      <c r="C99" s="71"/>
      <c r="D99" s="71"/>
      <c r="E99" s="71"/>
      <c r="F99" s="71"/>
      <c r="G99" s="71"/>
      <c r="H99" s="71"/>
      <c r="I99" s="71"/>
      <c r="J99" s="71"/>
      <c r="K99" s="71"/>
      <c r="L99" s="71"/>
      <c r="M99" s="71"/>
      <c r="N99" s="71"/>
      <c r="O99" s="71"/>
      <c r="P99" s="71"/>
      <c r="Q99" s="71"/>
      <c r="R99" s="71"/>
      <c r="T99" s="71"/>
      <c r="U99" s="71"/>
      <c r="V99" s="71"/>
      <c r="W99" s="71"/>
      <c r="X99" s="71"/>
      <c r="Y99" s="71"/>
      <c r="Z99" s="71"/>
    </row>
    <row r="100" spans="1:26" ht="14.25" customHeight="1">
      <c r="A100" s="71"/>
      <c r="B100" s="71"/>
      <c r="C100" s="71"/>
      <c r="D100" s="71"/>
      <c r="E100" s="71"/>
      <c r="F100" s="71"/>
      <c r="G100" s="71"/>
      <c r="H100" s="71"/>
      <c r="I100" s="71"/>
      <c r="J100" s="71"/>
      <c r="K100" s="71"/>
      <c r="L100" s="71"/>
      <c r="M100" s="71"/>
      <c r="N100" s="71"/>
      <c r="O100" s="71"/>
      <c r="P100" s="71"/>
      <c r="Q100" s="71"/>
      <c r="R100" s="71"/>
      <c r="T100" s="71"/>
      <c r="U100" s="71"/>
      <c r="V100" s="71"/>
      <c r="W100" s="71"/>
      <c r="X100" s="71"/>
      <c r="Y100" s="71"/>
      <c r="Z100" s="71"/>
    </row>
    <row r="101" spans="1:26" ht="14.25" customHeight="1">
      <c r="A101" s="71"/>
      <c r="B101" s="71"/>
      <c r="C101" s="71"/>
      <c r="D101" s="71"/>
      <c r="E101" s="71"/>
      <c r="F101" s="71"/>
      <c r="G101" s="71"/>
      <c r="H101" s="71"/>
      <c r="I101" s="71"/>
      <c r="J101" s="71"/>
      <c r="K101" s="71"/>
      <c r="L101" s="71"/>
      <c r="M101" s="71"/>
      <c r="N101" s="71"/>
      <c r="O101" s="71"/>
      <c r="P101" s="71"/>
      <c r="Q101" s="71"/>
      <c r="R101" s="71"/>
      <c r="T101" s="71"/>
      <c r="U101" s="71"/>
      <c r="V101" s="71"/>
      <c r="W101" s="71"/>
      <c r="X101" s="71"/>
      <c r="Y101" s="71"/>
      <c r="Z101" s="71"/>
    </row>
    <row r="102" spans="1:26" ht="14.25" customHeight="1">
      <c r="A102" s="71"/>
      <c r="B102" s="71"/>
      <c r="C102" s="71"/>
      <c r="D102" s="71"/>
      <c r="E102" s="71"/>
      <c r="F102" s="71"/>
      <c r="G102" s="71"/>
      <c r="H102" s="71"/>
      <c r="I102" s="71"/>
      <c r="J102" s="71"/>
      <c r="K102" s="71"/>
      <c r="L102" s="71"/>
      <c r="M102" s="71"/>
      <c r="N102" s="71"/>
      <c r="O102" s="71"/>
      <c r="P102" s="71"/>
      <c r="Q102" s="71"/>
      <c r="R102" s="71"/>
      <c r="T102" s="71"/>
      <c r="U102" s="71"/>
      <c r="V102" s="71"/>
      <c r="W102" s="71"/>
      <c r="X102" s="71"/>
      <c r="Y102" s="71"/>
      <c r="Z102" s="71"/>
    </row>
    <row r="103" spans="1:26" ht="14.25" customHeight="1">
      <c r="A103" s="71"/>
      <c r="B103" s="71"/>
      <c r="C103" s="71"/>
      <c r="D103" s="71"/>
      <c r="E103" s="71"/>
      <c r="F103" s="71"/>
      <c r="G103" s="71"/>
      <c r="H103" s="71"/>
      <c r="I103" s="71"/>
      <c r="J103" s="71"/>
      <c r="K103" s="71"/>
      <c r="L103" s="71"/>
      <c r="M103" s="71"/>
      <c r="N103" s="71"/>
      <c r="O103" s="71"/>
      <c r="P103" s="71"/>
      <c r="Q103" s="71"/>
      <c r="R103" s="71"/>
      <c r="T103" s="71"/>
      <c r="U103" s="71"/>
      <c r="V103" s="71"/>
      <c r="W103" s="71"/>
      <c r="X103" s="71"/>
      <c r="Y103" s="71"/>
      <c r="Z103" s="71"/>
    </row>
    <row r="104" spans="1:26" ht="14.25" customHeight="1">
      <c r="A104" s="71"/>
      <c r="B104" s="71"/>
      <c r="C104" s="71"/>
      <c r="D104" s="71"/>
      <c r="E104" s="71"/>
      <c r="F104" s="71"/>
      <c r="G104" s="71"/>
      <c r="H104" s="71"/>
      <c r="I104" s="71"/>
      <c r="J104" s="71"/>
      <c r="K104" s="71"/>
      <c r="L104" s="71"/>
      <c r="M104" s="71"/>
      <c r="N104" s="71"/>
      <c r="O104" s="71"/>
      <c r="P104" s="71"/>
      <c r="Q104" s="71"/>
      <c r="R104" s="71"/>
      <c r="T104" s="71"/>
      <c r="U104" s="71"/>
      <c r="V104" s="71"/>
      <c r="W104" s="71"/>
      <c r="X104" s="71"/>
      <c r="Y104" s="71"/>
      <c r="Z104" s="71"/>
    </row>
    <row r="105" spans="1:26" ht="14.25" customHeight="1">
      <c r="A105" s="71"/>
      <c r="B105" s="71"/>
      <c r="C105" s="71"/>
      <c r="D105" s="71"/>
      <c r="E105" s="71"/>
      <c r="F105" s="71"/>
      <c r="G105" s="71"/>
      <c r="H105" s="71"/>
      <c r="I105" s="71"/>
      <c r="J105" s="71"/>
      <c r="K105" s="71"/>
      <c r="L105" s="71"/>
      <c r="M105" s="71"/>
      <c r="N105" s="71"/>
      <c r="O105" s="71"/>
      <c r="P105" s="71"/>
      <c r="Q105" s="71"/>
      <c r="R105" s="71"/>
      <c r="T105" s="71"/>
      <c r="U105" s="71"/>
      <c r="V105" s="71"/>
      <c r="W105" s="71"/>
      <c r="X105" s="71"/>
      <c r="Y105" s="71"/>
      <c r="Z105" s="71"/>
    </row>
    <row r="106" spans="1:26" ht="14.25" customHeight="1">
      <c r="A106" s="71"/>
      <c r="B106" s="71"/>
      <c r="C106" s="71"/>
      <c r="D106" s="71"/>
      <c r="E106" s="71"/>
      <c r="F106" s="71"/>
      <c r="G106" s="71"/>
      <c r="H106" s="71"/>
      <c r="I106" s="71"/>
      <c r="J106" s="71"/>
      <c r="K106" s="71"/>
      <c r="L106" s="71"/>
      <c r="M106" s="71"/>
      <c r="N106" s="71"/>
      <c r="O106" s="71"/>
      <c r="P106" s="71"/>
      <c r="Q106" s="71"/>
      <c r="R106" s="71"/>
      <c r="T106" s="71"/>
      <c r="U106" s="71"/>
      <c r="V106" s="71"/>
      <c r="W106" s="71"/>
      <c r="X106" s="71"/>
      <c r="Y106" s="71"/>
      <c r="Z106" s="71"/>
    </row>
    <row r="107" spans="1:26" ht="14.25" customHeight="1">
      <c r="A107" s="71"/>
      <c r="B107" s="71"/>
      <c r="C107" s="71"/>
      <c r="D107" s="71"/>
      <c r="E107" s="71"/>
      <c r="F107" s="71"/>
      <c r="G107" s="71"/>
      <c r="H107" s="71"/>
      <c r="I107" s="71"/>
      <c r="J107" s="71"/>
      <c r="K107" s="71"/>
      <c r="L107" s="71"/>
      <c r="M107" s="71"/>
      <c r="N107" s="71"/>
      <c r="O107" s="71"/>
      <c r="P107" s="71"/>
      <c r="Q107" s="71"/>
      <c r="R107" s="71"/>
      <c r="T107" s="71"/>
      <c r="U107" s="71"/>
      <c r="V107" s="71"/>
      <c r="W107" s="71"/>
      <c r="X107" s="71"/>
      <c r="Y107" s="71"/>
      <c r="Z107" s="71"/>
    </row>
    <row r="108" spans="1:26" ht="14.25" customHeight="1">
      <c r="A108" s="71"/>
      <c r="B108" s="71"/>
      <c r="C108" s="71"/>
      <c r="D108" s="71"/>
      <c r="E108" s="71"/>
      <c r="F108" s="71"/>
      <c r="G108" s="71"/>
      <c r="H108" s="71"/>
      <c r="I108" s="71"/>
      <c r="J108" s="71"/>
      <c r="K108" s="71"/>
      <c r="L108" s="71"/>
      <c r="M108" s="71"/>
      <c r="N108" s="71"/>
      <c r="O108" s="71"/>
      <c r="P108" s="71"/>
      <c r="Q108" s="71"/>
      <c r="R108" s="71"/>
      <c r="T108" s="71"/>
      <c r="U108" s="71"/>
      <c r="V108" s="71"/>
      <c r="W108" s="71"/>
      <c r="X108" s="71"/>
      <c r="Y108" s="71"/>
      <c r="Z108" s="71"/>
    </row>
    <row r="109" spans="1:26" ht="14.25" customHeight="1">
      <c r="A109" s="71"/>
      <c r="B109" s="71"/>
      <c r="C109" s="71"/>
      <c r="D109" s="71"/>
      <c r="E109" s="71"/>
      <c r="F109" s="71"/>
      <c r="G109" s="71"/>
      <c r="H109" s="71"/>
      <c r="I109" s="71"/>
      <c r="J109" s="71"/>
      <c r="K109" s="71"/>
      <c r="L109" s="71"/>
      <c r="M109" s="71"/>
      <c r="N109" s="71"/>
      <c r="O109" s="71"/>
      <c r="P109" s="71"/>
      <c r="Q109" s="71"/>
      <c r="R109" s="71"/>
      <c r="T109" s="71"/>
      <c r="U109" s="71"/>
      <c r="V109" s="71"/>
      <c r="W109" s="71"/>
      <c r="X109" s="71"/>
      <c r="Y109" s="71"/>
      <c r="Z109" s="71"/>
    </row>
    <row r="110" spans="1:26" ht="14.25" customHeight="1">
      <c r="A110" s="71"/>
      <c r="B110" s="71"/>
      <c r="C110" s="71"/>
      <c r="D110" s="71"/>
      <c r="E110" s="71"/>
      <c r="F110" s="71"/>
      <c r="G110" s="71"/>
      <c r="H110" s="71"/>
      <c r="I110" s="71"/>
      <c r="J110" s="71"/>
      <c r="K110" s="71"/>
      <c r="L110" s="71"/>
      <c r="M110" s="71"/>
      <c r="N110" s="71"/>
      <c r="O110" s="71"/>
      <c r="P110" s="71"/>
      <c r="Q110" s="71"/>
      <c r="R110" s="71"/>
      <c r="T110" s="71"/>
      <c r="U110" s="71"/>
      <c r="V110" s="71"/>
      <c r="W110" s="71"/>
      <c r="X110" s="71"/>
      <c r="Y110" s="71"/>
      <c r="Z110" s="71"/>
    </row>
    <row r="111" spans="1:26" ht="14.25" customHeight="1">
      <c r="A111" s="71"/>
      <c r="B111" s="71"/>
      <c r="C111" s="71"/>
      <c r="D111" s="71"/>
      <c r="E111" s="71"/>
      <c r="F111" s="71"/>
      <c r="G111" s="71"/>
      <c r="H111" s="71"/>
      <c r="I111" s="71"/>
      <c r="J111" s="71"/>
      <c r="K111" s="71"/>
      <c r="L111" s="71"/>
      <c r="M111" s="71"/>
      <c r="N111" s="71"/>
      <c r="O111" s="71"/>
      <c r="P111" s="71"/>
      <c r="Q111" s="71"/>
      <c r="R111" s="71"/>
      <c r="T111" s="71"/>
      <c r="U111" s="71"/>
      <c r="V111" s="71"/>
      <c r="W111" s="71"/>
      <c r="X111" s="71"/>
      <c r="Y111" s="71"/>
      <c r="Z111" s="71"/>
    </row>
    <row r="112" spans="1:26" ht="14.25" customHeight="1">
      <c r="A112" s="71"/>
      <c r="B112" s="71"/>
      <c r="C112" s="71"/>
      <c r="D112" s="71"/>
      <c r="E112" s="71"/>
      <c r="F112" s="71"/>
      <c r="G112" s="71"/>
      <c r="H112" s="71"/>
      <c r="I112" s="71"/>
      <c r="J112" s="71"/>
      <c r="K112" s="71"/>
      <c r="L112" s="71"/>
      <c r="M112" s="71"/>
      <c r="N112" s="71"/>
      <c r="O112" s="71"/>
      <c r="P112" s="71"/>
      <c r="Q112" s="71"/>
      <c r="R112" s="71"/>
      <c r="T112" s="71"/>
      <c r="U112" s="71"/>
      <c r="V112" s="71"/>
      <c r="W112" s="71"/>
      <c r="X112" s="71"/>
      <c r="Y112" s="71"/>
      <c r="Z112" s="71"/>
    </row>
    <row r="113" spans="1:26" ht="14.25" customHeight="1">
      <c r="A113" s="71"/>
      <c r="B113" s="71"/>
      <c r="C113" s="71"/>
      <c r="D113" s="71"/>
      <c r="E113" s="71"/>
      <c r="F113" s="71"/>
      <c r="G113" s="71"/>
      <c r="H113" s="71"/>
      <c r="I113" s="71"/>
      <c r="J113" s="71"/>
      <c r="K113" s="71"/>
      <c r="L113" s="71"/>
      <c r="M113" s="71"/>
      <c r="N113" s="71"/>
      <c r="O113" s="71"/>
      <c r="P113" s="71"/>
      <c r="Q113" s="71"/>
      <c r="R113" s="71"/>
      <c r="T113" s="71"/>
      <c r="U113" s="71"/>
      <c r="V113" s="71"/>
      <c r="W113" s="71"/>
      <c r="X113" s="71"/>
      <c r="Y113" s="71"/>
      <c r="Z113" s="71"/>
    </row>
    <row r="114" spans="1:26" ht="14.25" customHeight="1">
      <c r="A114" s="71"/>
      <c r="B114" s="71"/>
      <c r="C114" s="71"/>
      <c r="D114" s="71"/>
      <c r="E114" s="71"/>
      <c r="F114" s="71"/>
      <c r="G114" s="71"/>
      <c r="H114" s="71"/>
      <c r="I114" s="71"/>
      <c r="J114" s="71"/>
      <c r="K114" s="71"/>
      <c r="L114" s="71"/>
      <c r="M114" s="71"/>
      <c r="N114" s="71"/>
      <c r="O114" s="71"/>
      <c r="P114" s="71"/>
      <c r="Q114" s="71"/>
      <c r="R114" s="71"/>
      <c r="T114" s="71"/>
      <c r="U114" s="71"/>
      <c r="V114" s="71"/>
      <c r="W114" s="71"/>
      <c r="X114" s="71"/>
      <c r="Y114" s="71"/>
      <c r="Z114" s="71"/>
    </row>
    <row r="115" spans="1:26" ht="14.25" customHeight="1">
      <c r="A115" s="71"/>
      <c r="B115" s="71"/>
      <c r="C115" s="71"/>
      <c r="D115" s="71"/>
      <c r="E115" s="71"/>
      <c r="F115" s="71"/>
      <c r="G115" s="71"/>
      <c r="H115" s="71"/>
      <c r="I115" s="71"/>
      <c r="J115" s="71"/>
      <c r="K115" s="71"/>
      <c r="L115" s="71"/>
      <c r="M115" s="71"/>
      <c r="N115" s="71"/>
      <c r="O115" s="71"/>
      <c r="P115" s="71"/>
      <c r="Q115" s="71"/>
      <c r="R115" s="71"/>
      <c r="T115" s="71"/>
      <c r="U115" s="71"/>
      <c r="V115" s="71"/>
      <c r="W115" s="71"/>
      <c r="X115" s="71"/>
      <c r="Y115" s="71"/>
      <c r="Z115" s="71"/>
    </row>
    <row r="116" spans="1:26" ht="14.25" customHeight="1">
      <c r="A116" s="71"/>
      <c r="B116" s="71"/>
      <c r="C116" s="71"/>
      <c r="D116" s="71"/>
      <c r="E116" s="71"/>
      <c r="F116" s="71"/>
      <c r="G116" s="71"/>
      <c r="H116" s="71"/>
      <c r="I116" s="71"/>
      <c r="J116" s="71"/>
      <c r="K116" s="71"/>
      <c r="L116" s="71"/>
      <c r="M116" s="71"/>
      <c r="N116" s="71"/>
      <c r="O116" s="71"/>
      <c r="P116" s="71"/>
      <c r="Q116" s="71"/>
      <c r="R116" s="71"/>
      <c r="T116" s="71"/>
      <c r="U116" s="71"/>
      <c r="V116" s="71"/>
      <c r="W116" s="71"/>
      <c r="X116" s="71"/>
      <c r="Y116" s="71"/>
      <c r="Z116" s="71"/>
    </row>
    <row r="117" spans="1:26" ht="14.25" customHeight="1">
      <c r="A117" s="71"/>
      <c r="B117" s="71"/>
      <c r="C117" s="71"/>
      <c r="D117" s="71"/>
      <c r="E117" s="71"/>
      <c r="F117" s="71"/>
      <c r="G117" s="71"/>
      <c r="H117" s="71"/>
      <c r="I117" s="71"/>
      <c r="J117" s="71"/>
      <c r="K117" s="71"/>
      <c r="L117" s="71"/>
      <c r="M117" s="71"/>
      <c r="N117" s="71"/>
      <c r="O117" s="71"/>
      <c r="P117" s="71"/>
      <c r="Q117" s="71"/>
      <c r="R117" s="71"/>
      <c r="T117" s="71"/>
      <c r="U117" s="71"/>
      <c r="V117" s="71"/>
      <c r="W117" s="71"/>
      <c r="X117" s="71"/>
      <c r="Y117" s="71"/>
      <c r="Z117" s="71"/>
    </row>
    <row r="118" spans="1:26" ht="14.25" customHeight="1">
      <c r="A118" s="71"/>
      <c r="B118" s="71"/>
      <c r="C118" s="71"/>
      <c r="D118" s="71"/>
      <c r="E118" s="71"/>
      <c r="F118" s="71"/>
      <c r="G118" s="71"/>
      <c r="H118" s="71"/>
      <c r="I118" s="71"/>
      <c r="J118" s="71"/>
      <c r="K118" s="71"/>
      <c r="L118" s="71"/>
      <c r="M118" s="71"/>
      <c r="N118" s="71"/>
      <c r="O118" s="71"/>
      <c r="P118" s="71"/>
      <c r="Q118" s="71"/>
      <c r="R118" s="71"/>
      <c r="T118" s="71"/>
      <c r="U118" s="71"/>
      <c r="V118" s="71"/>
      <c r="W118" s="71"/>
      <c r="X118" s="71"/>
      <c r="Y118" s="71"/>
      <c r="Z118" s="71"/>
    </row>
    <row r="119" spans="1:26" ht="14.25" customHeight="1">
      <c r="A119" s="71"/>
      <c r="B119" s="71"/>
      <c r="C119" s="71"/>
      <c r="D119" s="71"/>
      <c r="E119" s="71"/>
      <c r="F119" s="71"/>
      <c r="G119" s="71"/>
      <c r="H119" s="71"/>
      <c r="I119" s="71"/>
      <c r="J119" s="71"/>
      <c r="K119" s="71"/>
      <c r="L119" s="71"/>
      <c r="M119" s="71"/>
      <c r="N119" s="71"/>
      <c r="O119" s="71"/>
      <c r="P119" s="71"/>
      <c r="Q119" s="71"/>
      <c r="R119" s="71"/>
      <c r="T119" s="71"/>
      <c r="U119" s="71"/>
      <c r="V119" s="71"/>
      <c r="W119" s="71"/>
      <c r="X119" s="71"/>
      <c r="Y119" s="71"/>
      <c r="Z119" s="71"/>
    </row>
    <row r="120" spans="1:26" ht="14.25" customHeight="1">
      <c r="A120" s="71"/>
      <c r="B120" s="71"/>
      <c r="C120" s="71"/>
      <c r="D120" s="71"/>
      <c r="E120" s="71"/>
      <c r="F120" s="71"/>
      <c r="G120" s="71"/>
      <c r="H120" s="71"/>
      <c r="I120" s="71"/>
      <c r="J120" s="71"/>
      <c r="K120" s="71"/>
      <c r="L120" s="71"/>
      <c r="M120" s="71"/>
      <c r="N120" s="71"/>
      <c r="O120" s="71"/>
      <c r="P120" s="71"/>
      <c r="Q120" s="71"/>
      <c r="R120" s="71"/>
      <c r="T120" s="71"/>
      <c r="U120" s="71"/>
      <c r="V120" s="71"/>
      <c r="W120" s="71"/>
      <c r="X120" s="71"/>
      <c r="Y120" s="71"/>
      <c r="Z120" s="71"/>
    </row>
    <row r="121" spans="1:26" ht="14.25" customHeight="1">
      <c r="A121" s="71"/>
      <c r="B121" s="71"/>
      <c r="C121" s="71"/>
      <c r="D121" s="71"/>
      <c r="E121" s="71"/>
      <c r="F121" s="71"/>
      <c r="G121" s="71"/>
      <c r="H121" s="71"/>
      <c r="I121" s="71"/>
      <c r="J121" s="71"/>
      <c r="K121" s="71"/>
      <c r="L121" s="71"/>
      <c r="M121" s="71"/>
      <c r="N121" s="71"/>
      <c r="O121" s="71"/>
      <c r="P121" s="71"/>
      <c r="Q121" s="71"/>
      <c r="R121" s="71"/>
      <c r="T121" s="71"/>
      <c r="U121" s="71"/>
      <c r="V121" s="71"/>
      <c r="W121" s="71"/>
      <c r="X121" s="71"/>
      <c r="Y121" s="71"/>
      <c r="Z121" s="71"/>
    </row>
    <row r="122" spans="1:26" ht="14.25" customHeight="1">
      <c r="A122" s="71"/>
      <c r="B122" s="71"/>
      <c r="C122" s="71"/>
      <c r="D122" s="71"/>
      <c r="E122" s="71"/>
      <c r="F122" s="71"/>
      <c r="G122" s="71"/>
      <c r="H122" s="71"/>
      <c r="I122" s="71"/>
      <c r="J122" s="71"/>
      <c r="K122" s="71"/>
      <c r="L122" s="71"/>
      <c r="M122" s="71"/>
      <c r="N122" s="71"/>
      <c r="O122" s="71"/>
      <c r="P122" s="71"/>
      <c r="Q122" s="71"/>
      <c r="R122" s="71"/>
      <c r="T122" s="71"/>
      <c r="U122" s="71"/>
      <c r="V122" s="71"/>
      <c r="W122" s="71"/>
      <c r="X122" s="71"/>
      <c r="Y122" s="71"/>
      <c r="Z122" s="71"/>
    </row>
    <row r="123" spans="1:26" ht="14.25" customHeight="1">
      <c r="A123" s="71"/>
      <c r="B123" s="71"/>
      <c r="C123" s="71"/>
      <c r="D123" s="71"/>
      <c r="E123" s="71"/>
      <c r="F123" s="71"/>
      <c r="G123" s="71"/>
      <c r="H123" s="71"/>
      <c r="I123" s="71"/>
      <c r="J123" s="71"/>
      <c r="K123" s="71"/>
      <c r="L123" s="71"/>
      <c r="M123" s="71"/>
      <c r="N123" s="71"/>
      <c r="O123" s="71"/>
      <c r="P123" s="71"/>
      <c r="Q123" s="71"/>
      <c r="R123" s="71"/>
      <c r="T123" s="71"/>
      <c r="U123" s="71"/>
      <c r="V123" s="71"/>
      <c r="W123" s="71"/>
      <c r="X123" s="71"/>
      <c r="Y123" s="71"/>
      <c r="Z123" s="71"/>
    </row>
    <row r="124" spans="1:26" ht="14.25" customHeight="1">
      <c r="A124" s="71"/>
      <c r="B124" s="71"/>
      <c r="C124" s="71"/>
      <c r="D124" s="71"/>
      <c r="E124" s="71"/>
      <c r="F124" s="71"/>
      <c r="G124" s="71"/>
      <c r="H124" s="71"/>
      <c r="I124" s="71"/>
      <c r="J124" s="71"/>
      <c r="K124" s="71"/>
      <c r="L124" s="71"/>
      <c r="M124" s="71"/>
      <c r="N124" s="71"/>
      <c r="O124" s="71"/>
      <c r="P124" s="71"/>
      <c r="Q124" s="71"/>
      <c r="R124" s="71"/>
      <c r="T124" s="71"/>
      <c r="U124" s="71"/>
      <c r="V124" s="71"/>
      <c r="W124" s="71"/>
      <c r="X124" s="71"/>
      <c r="Y124" s="71"/>
      <c r="Z124" s="71"/>
    </row>
    <row r="125" spans="1:26" ht="14.25" customHeight="1">
      <c r="A125" s="71"/>
      <c r="B125" s="71"/>
      <c r="C125" s="71"/>
      <c r="D125" s="71"/>
      <c r="E125" s="71"/>
      <c r="F125" s="71"/>
      <c r="G125" s="71"/>
      <c r="H125" s="71"/>
      <c r="I125" s="71"/>
      <c r="J125" s="71"/>
      <c r="K125" s="71"/>
      <c r="L125" s="71"/>
      <c r="M125" s="71"/>
      <c r="N125" s="71"/>
      <c r="O125" s="71"/>
      <c r="P125" s="71"/>
      <c r="Q125" s="71"/>
      <c r="R125" s="71"/>
      <c r="T125" s="71"/>
      <c r="U125" s="71"/>
      <c r="V125" s="71"/>
      <c r="W125" s="71"/>
      <c r="X125" s="71"/>
      <c r="Y125" s="71"/>
      <c r="Z125" s="71"/>
    </row>
    <row r="126" spans="1:26" ht="14.25" customHeight="1">
      <c r="A126" s="71"/>
      <c r="B126" s="71"/>
      <c r="C126" s="71"/>
      <c r="D126" s="71"/>
      <c r="E126" s="71"/>
      <c r="F126" s="71"/>
      <c r="G126" s="71"/>
      <c r="H126" s="71"/>
      <c r="I126" s="71"/>
      <c r="J126" s="71"/>
      <c r="K126" s="71"/>
      <c r="L126" s="71"/>
      <c r="M126" s="71"/>
      <c r="N126" s="71"/>
      <c r="O126" s="71"/>
      <c r="P126" s="71"/>
      <c r="Q126" s="71"/>
      <c r="R126" s="71"/>
      <c r="T126" s="71"/>
      <c r="U126" s="71"/>
      <c r="V126" s="71"/>
      <c r="W126" s="71"/>
      <c r="X126" s="71"/>
      <c r="Y126" s="71"/>
      <c r="Z126" s="71"/>
    </row>
    <row r="127" spans="1:26" ht="14.25" customHeight="1">
      <c r="A127" s="71"/>
      <c r="B127" s="71"/>
      <c r="C127" s="71"/>
      <c r="D127" s="71"/>
      <c r="E127" s="71"/>
      <c r="F127" s="71"/>
      <c r="G127" s="71"/>
      <c r="H127" s="71"/>
      <c r="I127" s="71"/>
      <c r="J127" s="71"/>
      <c r="K127" s="71"/>
      <c r="L127" s="71"/>
      <c r="M127" s="71"/>
      <c r="N127" s="71"/>
      <c r="O127" s="71"/>
      <c r="P127" s="71"/>
      <c r="Q127" s="71"/>
      <c r="R127" s="71"/>
      <c r="T127" s="71"/>
      <c r="U127" s="71"/>
      <c r="V127" s="71"/>
      <c r="W127" s="71"/>
      <c r="X127" s="71"/>
      <c r="Y127" s="71"/>
      <c r="Z127" s="71"/>
    </row>
    <row r="128" spans="1:26" ht="14.25" customHeight="1">
      <c r="A128" s="71"/>
      <c r="B128" s="71"/>
      <c r="C128" s="71"/>
      <c r="D128" s="71"/>
      <c r="E128" s="71"/>
      <c r="F128" s="71"/>
      <c r="G128" s="71"/>
      <c r="H128" s="71"/>
      <c r="I128" s="71"/>
      <c r="J128" s="71"/>
      <c r="K128" s="71"/>
      <c r="L128" s="71"/>
      <c r="M128" s="71"/>
      <c r="N128" s="71"/>
      <c r="O128" s="71"/>
      <c r="P128" s="71"/>
      <c r="Q128" s="71"/>
      <c r="R128" s="71"/>
      <c r="T128" s="71"/>
      <c r="U128" s="71"/>
      <c r="V128" s="71"/>
      <c r="W128" s="71"/>
      <c r="X128" s="71"/>
      <c r="Y128" s="71"/>
      <c r="Z128" s="71"/>
    </row>
    <row r="129" spans="1:26" ht="14.25" customHeight="1">
      <c r="A129" s="71"/>
      <c r="B129" s="71"/>
      <c r="C129" s="71"/>
      <c r="D129" s="71"/>
      <c r="E129" s="71"/>
      <c r="F129" s="71"/>
      <c r="G129" s="71"/>
      <c r="H129" s="71"/>
      <c r="I129" s="71"/>
      <c r="J129" s="71"/>
      <c r="K129" s="71"/>
      <c r="L129" s="71"/>
      <c r="M129" s="71"/>
      <c r="N129" s="71"/>
      <c r="O129" s="71"/>
      <c r="P129" s="71"/>
      <c r="Q129" s="71"/>
      <c r="R129" s="71"/>
      <c r="T129" s="71"/>
      <c r="U129" s="71"/>
      <c r="V129" s="71"/>
      <c r="W129" s="71"/>
      <c r="X129" s="71"/>
      <c r="Y129" s="71"/>
      <c r="Z129" s="71"/>
    </row>
    <row r="130" spans="1:26" ht="14.25" customHeight="1">
      <c r="A130" s="71"/>
      <c r="B130" s="71"/>
      <c r="C130" s="71"/>
      <c r="D130" s="71"/>
      <c r="E130" s="71"/>
      <c r="F130" s="71"/>
      <c r="G130" s="71"/>
      <c r="H130" s="71"/>
      <c r="I130" s="71"/>
      <c r="J130" s="71"/>
      <c r="K130" s="71"/>
      <c r="L130" s="71"/>
      <c r="M130" s="71"/>
      <c r="N130" s="71"/>
      <c r="O130" s="71"/>
      <c r="P130" s="71"/>
      <c r="Q130" s="71"/>
      <c r="R130" s="71"/>
      <c r="T130" s="71"/>
      <c r="U130" s="71"/>
      <c r="V130" s="71"/>
      <c r="W130" s="71"/>
      <c r="X130" s="71"/>
      <c r="Y130" s="71"/>
      <c r="Z130" s="71"/>
    </row>
    <row r="131" spans="1:26" ht="14.25" customHeight="1">
      <c r="A131" s="71"/>
      <c r="B131" s="71"/>
      <c r="C131" s="71"/>
      <c r="D131" s="71"/>
      <c r="E131" s="71"/>
      <c r="F131" s="71"/>
      <c r="G131" s="71"/>
      <c r="H131" s="71"/>
      <c r="I131" s="71"/>
      <c r="J131" s="71"/>
      <c r="K131" s="71"/>
      <c r="L131" s="71"/>
      <c r="M131" s="71"/>
      <c r="N131" s="71"/>
      <c r="O131" s="71"/>
      <c r="P131" s="71"/>
      <c r="Q131" s="71"/>
      <c r="R131" s="71"/>
      <c r="T131" s="71"/>
      <c r="U131" s="71"/>
      <c r="V131" s="71"/>
      <c r="W131" s="71"/>
      <c r="X131" s="71"/>
      <c r="Y131" s="71"/>
      <c r="Z131" s="71"/>
    </row>
    <row r="132" spans="1:26" ht="14.25" customHeight="1">
      <c r="A132" s="71"/>
      <c r="B132" s="71"/>
      <c r="C132" s="71"/>
      <c r="D132" s="71"/>
      <c r="E132" s="71"/>
      <c r="F132" s="71"/>
      <c r="G132" s="71"/>
      <c r="H132" s="71"/>
      <c r="I132" s="71"/>
      <c r="J132" s="71"/>
      <c r="K132" s="71"/>
      <c r="L132" s="71"/>
      <c r="M132" s="71"/>
      <c r="N132" s="71"/>
      <c r="O132" s="71"/>
      <c r="P132" s="71"/>
      <c r="Q132" s="71"/>
      <c r="R132" s="71"/>
      <c r="T132" s="71"/>
      <c r="U132" s="71"/>
      <c r="V132" s="71"/>
      <c r="W132" s="71"/>
      <c r="X132" s="71"/>
      <c r="Y132" s="71"/>
      <c r="Z132" s="71"/>
    </row>
    <row r="133" spans="1:26" ht="14.25" customHeight="1">
      <c r="A133" s="71"/>
      <c r="B133" s="71"/>
      <c r="C133" s="71"/>
      <c r="D133" s="71"/>
      <c r="E133" s="71"/>
      <c r="F133" s="71"/>
      <c r="G133" s="71"/>
      <c r="H133" s="71"/>
      <c r="I133" s="71"/>
      <c r="J133" s="71"/>
      <c r="K133" s="71"/>
      <c r="L133" s="71"/>
      <c r="M133" s="71"/>
      <c r="N133" s="71"/>
      <c r="O133" s="71"/>
      <c r="P133" s="71"/>
      <c r="Q133" s="71"/>
      <c r="R133" s="71"/>
      <c r="T133" s="71"/>
      <c r="U133" s="71"/>
      <c r="V133" s="71"/>
      <c r="W133" s="71"/>
      <c r="X133" s="71"/>
      <c r="Y133" s="71"/>
      <c r="Z133" s="71"/>
    </row>
    <row r="134" spans="1:26" ht="14.25" customHeight="1">
      <c r="A134" s="71"/>
      <c r="B134" s="71"/>
      <c r="C134" s="71"/>
      <c r="D134" s="71"/>
      <c r="E134" s="71"/>
      <c r="F134" s="71"/>
      <c r="G134" s="71"/>
      <c r="H134" s="71"/>
      <c r="I134" s="71"/>
      <c r="J134" s="71"/>
      <c r="K134" s="71"/>
      <c r="L134" s="71"/>
      <c r="M134" s="71"/>
      <c r="N134" s="71"/>
      <c r="O134" s="71"/>
      <c r="P134" s="71"/>
      <c r="Q134" s="71"/>
      <c r="R134" s="71"/>
      <c r="T134" s="71"/>
      <c r="U134" s="71"/>
      <c r="V134" s="71"/>
      <c r="W134" s="71"/>
      <c r="X134" s="71"/>
      <c r="Y134" s="71"/>
      <c r="Z134" s="71"/>
    </row>
    <row r="135" spans="1:26" ht="14.25" customHeight="1">
      <c r="A135" s="71"/>
      <c r="B135" s="71"/>
      <c r="C135" s="71"/>
      <c r="D135" s="71"/>
      <c r="E135" s="71"/>
      <c r="F135" s="71"/>
      <c r="G135" s="71"/>
      <c r="H135" s="71"/>
      <c r="I135" s="71"/>
      <c r="J135" s="71"/>
      <c r="K135" s="71"/>
      <c r="L135" s="71"/>
      <c r="M135" s="71"/>
      <c r="N135" s="71"/>
      <c r="O135" s="71"/>
      <c r="P135" s="71"/>
      <c r="Q135" s="71"/>
      <c r="R135" s="71"/>
      <c r="T135" s="71"/>
      <c r="U135" s="71"/>
      <c r="V135" s="71"/>
      <c r="W135" s="71"/>
      <c r="X135" s="71"/>
      <c r="Y135" s="71"/>
      <c r="Z135" s="71"/>
    </row>
    <row r="136" spans="1:26" ht="14.25" customHeight="1">
      <c r="A136" s="71"/>
      <c r="B136" s="71"/>
      <c r="C136" s="71"/>
      <c r="D136" s="71"/>
      <c r="E136" s="71"/>
      <c r="F136" s="71"/>
      <c r="G136" s="71"/>
      <c r="H136" s="71"/>
      <c r="I136" s="71"/>
      <c r="J136" s="71"/>
      <c r="K136" s="71"/>
      <c r="L136" s="71"/>
      <c r="M136" s="71"/>
      <c r="N136" s="71"/>
      <c r="O136" s="71"/>
      <c r="P136" s="71"/>
      <c r="Q136" s="71"/>
      <c r="R136" s="71"/>
      <c r="T136" s="71"/>
      <c r="U136" s="71"/>
      <c r="V136" s="71"/>
      <c r="W136" s="71"/>
      <c r="X136" s="71"/>
      <c r="Y136" s="71"/>
      <c r="Z136" s="71"/>
    </row>
    <row r="137" spans="1:26" ht="14.25" customHeight="1">
      <c r="A137" s="71"/>
      <c r="B137" s="71"/>
      <c r="C137" s="71"/>
      <c r="D137" s="71"/>
      <c r="E137" s="71"/>
      <c r="F137" s="71"/>
      <c r="G137" s="71"/>
      <c r="H137" s="71"/>
      <c r="I137" s="71"/>
      <c r="J137" s="71"/>
      <c r="K137" s="71"/>
      <c r="L137" s="71"/>
      <c r="M137" s="71"/>
      <c r="N137" s="71"/>
      <c r="O137" s="71"/>
      <c r="P137" s="71"/>
      <c r="Q137" s="71"/>
      <c r="R137" s="71"/>
      <c r="T137" s="71"/>
      <c r="U137" s="71"/>
      <c r="V137" s="71"/>
      <c r="W137" s="71"/>
      <c r="X137" s="71"/>
      <c r="Y137" s="71"/>
      <c r="Z137" s="71"/>
    </row>
    <row r="138" spans="1:26" ht="14.25" customHeight="1">
      <c r="A138" s="71"/>
      <c r="B138" s="71"/>
      <c r="C138" s="71"/>
      <c r="D138" s="71"/>
      <c r="E138" s="71"/>
      <c r="F138" s="71"/>
      <c r="G138" s="71"/>
      <c r="H138" s="71"/>
      <c r="I138" s="71"/>
      <c r="J138" s="71"/>
      <c r="K138" s="71"/>
      <c r="L138" s="71"/>
      <c r="M138" s="71"/>
      <c r="N138" s="71"/>
      <c r="O138" s="71"/>
      <c r="P138" s="71"/>
      <c r="Q138" s="71"/>
      <c r="R138" s="71"/>
      <c r="T138" s="71"/>
      <c r="U138" s="71"/>
      <c r="V138" s="71"/>
      <c r="W138" s="71"/>
      <c r="X138" s="71"/>
      <c r="Y138" s="71"/>
      <c r="Z138" s="71"/>
    </row>
    <row r="139" spans="1:26" ht="14.25" customHeight="1">
      <c r="A139" s="71"/>
      <c r="B139" s="71"/>
      <c r="C139" s="71"/>
      <c r="D139" s="71"/>
      <c r="E139" s="71"/>
      <c r="F139" s="71"/>
      <c r="G139" s="71"/>
      <c r="H139" s="71"/>
      <c r="I139" s="71"/>
      <c r="J139" s="71"/>
      <c r="K139" s="71"/>
      <c r="L139" s="71"/>
      <c r="M139" s="71"/>
      <c r="N139" s="71"/>
      <c r="O139" s="71"/>
      <c r="P139" s="71"/>
      <c r="Q139" s="71"/>
      <c r="R139" s="71"/>
      <c r="T139" s="71"/>
      <c r="U139" s="71"/>
      <c r="V139" s="71"/>
      <c r="W139" s="71"/>
      <c r="X139" s="71"/>
      <c r="Y139" s="71"/>
      <c r="Z139" s="71"/>
    </row>
    <row r="140" spans="1:26" ht="14.25" customHeight="1">
      <c r="A140" s="71"/>
      <c r="B140" s="71"/>
      <c r="C140" s="71"/>
      <c r="D140" s="71"/>
      <c r="E140" s="71"/>
      <c r="F140" s="71"/>
      <c r="G140" s="71"/>
      <c r="H140" s="71"/>
      <c r="I140" s="71"/>
      <c r="J140" s="71"/>
      <c r="K140" s="71"/>
      <c r="L140" s="71"/>
      <c r="M140" s="71"/>
      <c r="N140" s="71"/>
      <c r="O140" s="71"/>
      <c r="P140" s="71"/>
      <c r="Q140" s="71"/>
      <c r="R140" s="71"/>
      <c r="T140" s="71"/>
      <c r="U140" s="71"/>
      <c r="V140" s="71"/>
      <c r="W140" s="71"/>
      <c r="X140" s="71"/>
      <c r="Y140" s="71"/>
      <c r="Z140" s="71"/>
    </row>
    <row r="141" spans="1:26" ht="14.25" customHeight="1">
      <c r="A141" s="71"/>
      <c r="B141" s="71"/>
      <c r="C141" s="71"/>
      <c r="D141" s="71"/>
      <c r="E141" s="71"/>
      <c r="F141" s="71"/>
      <c r="G141" s="71"/>
      <c r="H141" s="71"/>
      <c r="I141" s="71"/>
      <c r="J141" s="71"/>
      <c r="K141" s="71"/>
      <c r="L141" s="71"/>
      <c r="M141" s="71"/>
      <c r="N141" s="71"/>
      <c r="O141" s="71"/>
      <c r="P141" s="71"/>
      <c r="Q141" s="71"/>
      <c r="R141" s="71"/>
      <c r="T141" s="71"/>
      <c r="U141" s="71"/>
      <c r="V141" s="71"/>
      <c r="W141" s="71"/>
      <c r="X141" s="71"/>
      <c r="Y141" s="71"/>
      <c r="Z141" s="71"/>
    </row>
    <row r="142" spans="1:26" ht="14.25" customHeight="1">
      <c r="A142" s="71"/>
      <c r="B142" s="71"/>
      <c r="C142" s="71"/>
      <c r="D142" s="71"/>
      <c r="E142" s="71"/>
      <c r="F142" s="71"/>
      <c r="G142" s="71"/>
      <c r="H142" s="71"/>
      <c r="I142" s="71"/>
      <c r="J142" s="71"/>
      <c r="K142" s="71"/>
      <c r="L142" s="71"/>
      <c r="M142" s="71"/>
      <c r="N142" s="71"/>
      <c r="O142" s="71"/>
      <c r="P142" s="71"/>
      <c r="Q142" s="71"/>
      <c r="R142" s="71"/>
      <c r="T142" s="71"/>
      <c r="U142" s="71"/>
      <c r="V142" s="71"/>
      <c r="W142" s="71"/>
      <c r="X142" s="71"/>
      <c r="Y142" s="71"/>
      <c r="Z142" s="71"/>
    </row>
    <row r="143" spans="1:26" ht="14.25" customHeight="1">
      <c r="A143" s="71"/>
      <c r="B143" s="71"/>
      <c r="C143" s="71"/>
      <c r="D143" s="71"/>
      <c r="E143" s="71"/>
      <c r="F143" s="71"/>
      <c r="G143" s="71"/>
      <c r="H143" s="71"/>
      <c r="I143" s="71"/>
      <c r="J143" s="71"/>
      <c r="K143" s="71"/>
      <c r="L143" s="71"/>
      <c r="M143" s="71"/>
      <c r="N143" s="71"/>
      <c r="O143" s="71"/>
      <c r="P143" s="71"/>
      <c r="Q143" s="71"/>
      <c r="R143" s="71"/>
      <c r="T143" s="71"/>
      <c r="U143" s="71"/>
      <c r="V143" s="71"/>
      <c r="W143" s="71"/>
      <c r="X143" s="71"/>
      <c r="Y143" s="71"/>
      <c r="Z143" s="71"/>
    </row>
    <row r="144" spans="1:26" ht="14.25" customHeight="1">
      <c r="A144" s="71"/>
      <c r="B144" s="71"/>
      <c r="C144" s="71"/>
      <c r="D144" s="71"/>
      <c r="E144" s="71"/>
      <c r="F144" s="71"/>
      <c r="G144" s="71"/>
      <c r="H144" s="71"/>
      <c r="I144" s="71"/>
      <c r="J144" s="71"/>
      <c r="K144" s="71"/>
      <c r="L144" s="71"/>
      <c r="M144" s="71"/>
      <c r="N144" s="71"/>
      <c r="O144" s="71"/>
      <c r="P144" s="71"/>
      <c r="Q144" s="71"/>
      <c r="R144" s="71"/>
      <c r="T144" s="71"/>
      <c r="U144" s="71"/>
      <c r="V144" s="71"/>
      <c r="W144" s="71"/>
      <c r="X144" s="71"/>
      <c r="Y144" s="71"/>
      <c r="Z144" s="71"/>
    </row>
    <row r="145" spans="1:26" ht="14.25" customHeight="1">
      <c r="A145" s="71"/>
      <c r="B145" s="71"/>
      <c r="C145" s="71"/>
      <c r="D145" s="71"/>
      <c r="E145" s="71"/>
      <c r="F145" s="71"/>
      <c r="G145" s="71"/>
      <c r="H145" s="71"/>
      <c r="I145" s="71"/>
      <c r="J145" s="71"/>
      <c r="K145" s="71"/>
      <c r="L145" s="71"/>
      <c r="M145" s="71"/>
      <c r="N145" s="71"/>
      <c r="O145" s="71"/>
      <c r="P145" s="71"/>
      <c r="Q145" s="71"/>
      <c r="R145" s="71"/>
      <c r="T145" s="71"/>
      <c r="U145" s="71"/>
      <c r="V145" s="71"/>
      <c r="W145" s="71"/>
      <c r="X145" s="71"/>
      <c r="Y145" s="71"/>
      <c r="Z145" s="71"/>
    </row>
    <row r="146" spans="1:26" ht="14.25" customHeight="1">
      <c r="A146" s="71"/>
      <c r="B146" s="71"/>
      <c r="C146" s="71"/>
      <c r="D146" s="71"/>
      <c r="E146" s="71"/>
      <c r="F146" s="71"/>
      <c r="G146" s="71"/>
      <c r="H146" s="71"/>
      <c r="I146" s="71"/>
      <c r="J146" s="71"/>
      <c r="K146" s="71"/>
      <c r="L146" s="71"/>
      <c r="M146" s="71"/>
      <c r="N146" s="71"/>
      <c r="O146" s="71"/>
      <c r="P146" s="71"/>
      <c r="Q146" s="71"/>
      <c r="R146" s="71"/>
      <c r="T146" s="71"/>
      <c r="U146" s="71"/>
      <c r="V146" s="71"/>
      <c r="W146" s="71"/>
      <c r="X146" s="71"/>
      <c r="Y146" s="71"/>
      <c r="Z146" s="71"/>
    </row>
    <row r="147" spans="1:26" ht="14.25" customHeight="1">
      <c r="A147" s="71"/>
      <c r="B147" s="71"/>
      <c r="C147" s="71"/>
      <c r="D147" s="71"/>
      <c r="E147" s="71"/>
      <c r="F147" s="71"/>
      <c r="G147" s="71"/>
      <c r="H147" s="71"/>
      <c r="I147" s="71"/>
      <c r="J147" s="71"/>
      <c r="K147" s="71"/>
      <c r="L147" s="71"/>
      <c r="M147" s="71"/>
      <c r="N147" s="71"/>
      <c r="O147" s="71"/>
      <c r="P147" s="71"/>
      <c r="Q147" s="71"/>
      <c r="R147" s="71"/>
      <c r="T147" s="71"/>
      <c r="U147" s="71"/>
      <c r="V147" s="71"/>
      <c r="W147" s="71"/>
      <c r="X147" s="71"/>
      <c r="Y147" s="71"/>
      <c r="Z147" s="71"/>
    </row>
    <row r="148" spans="1:26" ht="14.25" customHeight="1">
      <c r="A148" s="71"/>
      <c r="B148" s="71"/>
      <c r="C148" s="71"/>
      <c r="D148" s="71"/>
      <c r="E148" s="71"/>
      <c r="F148" s="71"/>
      <c r="G148" s="71"/>
      <c r="H148" s="71"/>
      <c r="I148" s="71"/>
      <c r="J148" s="71"/>
      <c r="K148" s="71"/>
      <c r="L148" s="71"/>
      <c r="M148" s="71"/>
      <c r="N148" s="71"/>
      <c r="O148" s="71"/>
      <c r="P148" s="71"/>
      <c r="Q148" s="71"/>
      <c r="R148" s="71"/>
      <c r="T148" s="71"/>
      <c r="U148" s="71"/>
      <c r="V148" s="71"/>
      <c r="W148" s="71"/>
      <c r="X148" s="71"/>
      <c r="Y148" s="71"/>
      <c r="Z148" s="71"/>
    </row>
    <row r="149" spans="1:26" ht="14.25" customHeight="1">
      <c r="A149" s="71"/>
      <c r="B149" s="71"/>
      <c r="C149" s="71"/>
      <c r="D149" s="71"/>
      <c r="E149" s="71"/>
      <c r="F149" s="71"/>
      <c r="G149" s="71"/>
      <c r="H149" s="71"/>
      <c r="I149" s="71"/>
      <c r="J149" s="71"/>
      <c r="K149" s="71"/>
      <c r="L149" s="71"/>
      <c r="M149" s="71"/>
      <c r="N149" s="71"/>
      <c r="O149" s="71"/>
      <c r="P149" s="71"/>
      <c r="Q149" s="71"/>
      <c r="R149" s="71"/>
      <c r="T149" s="71"/>
      <c r="U149" s="71"/>
      <c r="V149" s="71"/>
      <c r="W149" s="71"/>
      <c r="X149" s="71"/>
      <c r="Y149" s="71"/>
      <c r="Z149" s="71"/>
    </row>
    <row r="150" spans="1:26" ht="14.25" customHeight="1">
      <c r="A150" s="71"/>
      <c r="B150" s="71"/>
      <c r="C150" s="71"/>
      <c r="D150" s="71"/>
      <c r="E150" s="71"/>
      <c r="F150" s="71"/>
      <c r="G150" s="71"/>
      <c r="H150" s="71"/>
      <c r="I150" s="71"/>
      <c r="J150" s="71"/>
      <c r="K150" s="71"/>
      <c r="L150" s="71"/>
      <c r="M150" s="71"/>
      <c r="N150" s="71"/>
      <c r="O150" s="71"/>
      <c r="P150" s="71"/>
      <c r="Q150" s="71"/>
      <c r="R150" s="71"/>
      <c r="T150" s="71"/>
      <c r="U150" s="71"/>
      <c r="V150" s="71"/>
      <c r="W150" s="71"/>
      <c r="X150" s="71"/>
      <c r="Y150" s="71"/>
      <c r="Z150" s="71"/>
    </row>
    <row r="151" spans="1:26" ht="14.25" customHeight="1">
      <c r="A151" s="71"/>
      <c r="B151" s="71"/>
      <c r="C151" s="71"/>
      <c r="D151" s="71"/>
      <c r="E151" s="71"/>
      <c r="F151" s="71"/>
      <c r="G151" s="71"/>
      <c r="H151" s="71"/>
      <c r="I151" s="71"/>
      <c r="J151" s="71"/>
      <c r="K151" s="71"/>
      <c r="L151" s="71"/>
      <c r="M151" s="71"/>
      <c r="N151" s="71"/>
      <c r="O151" s="71"/>
      <c r="P151" s="71"/>
      <c r="Q151" s="71"/>
      <c r="R151" s="71"/>
      <c r="T151" s="71"/>
      <c r="U151" s="71"/>
      <c r="V151" s="71"/>
      <c r="W151" s="71"/>
      <c r="X151" s="71"/>
      <c r="Y151" s="71"/>
      <c r="Z151" s="71"/>
    </row>
    <row r="152" spans="1:26" ht="14.25" customHeight="1">
      <c r="A152" s="71"/>
      <c r="B152" s="71"/>
      <c r="C152" s="71"/>
      <c r="D152" s="71"/>
      <c r="E152" s="71"/>
      <c r="F152" s="71"/>
      <c r="G152" s="71"/>
      <c r="H152" s="71"/>
      <c r="I152" s="71"/>
      <c r="J152" s="71"/>
      <c r="K152" s="71"/>
      <c r="L152" s="71"/>
      <c r="M152" s="71"/>
      <c r="N152" s="71"/>
      <c r="O152" s="71"/>
      <c r="P152" s="71"/>
      <c r="Q152" s="71"/>
      <c r="R152" s="71"/>
      <c r="T152" s="71"/>
      <c r="U152" s="71"/>
      <c r="V152" s="71"/>
      <c r="W152" s="71"/>
      <c r="X152" s="71"/>
      <c r="Y152" s="71"/>
      <c r="Z152" s="71"/>
    </row>
    <row r="153" spans="1:26" ht="14.25" customHeight="1">
      <c r="A153" s="71"/>
      <c r="B153" s="71"/>
      <c r="C153" s="71"/>
      <c r="D153" s="71"/>
      <c r="E153" s="71"/>
      <c r="F153" s="71"/>
      <c r="G153" s="71"/>
      <c r="H153" s="71"/>
      <c r="I153" s="71"/>
      <c r="J153" s="71"/>
      <c r="K153" s="71"/>
      <c r="L153" s="71"/>
      <c r="M153" s="71"/>
      <c r="N153" s="71"/>
      <c r="O153" s="71"/>
      <c r="P153" s="71"/>
      <c r="Q153" s="71"/>
      <c r="R153" s="71"/>
      <c r="T153" s="71"/>
      <c r="U153" s="71"/>
      <c r="V153" s="71"/>
      <c r="W153" s="71"/>
      <c r="X153" s="71"/>
      <c r="Y153" s="71"/>
      <c r="Z153" s="71"/>
    </row>
    <row r="154" spans="1:26" ht="14.25" customHeight="1">
      <c r="A154" s="71"/>
      <c r="B154" s="71"/>
      <c r="C154" s="71"/>
      <c r="D154" s="71"/>
      <c r="E154" s="71"/>
      <c r="F154" s="71"/>
      <c r="G154" s="71"/>
      <c r="H154" s="71"/>
      <c r="I154" s="71"/>
      <c r="J154" s="71"/>
      <c r="K154" s="71"/>
      <c r="L154" s="71"/>
      <c r="M154" s="71"/>
      <c r="N154" s="71"/>
      <c r="O154" s="71"/>
      <c r="P154" s="71"/>
      <c r="Q154" s="71"/>
      <c r="R154" s="71"/>
      <c r="T154" s="71"/>
      <c r="U154" s="71"/>
      <c r="V154" s="71"/>
      <c r="W154" s="71"/>
      <c r="X154" s="71"/>
      <c r="Y154" s="71"/>
      <c r="Z154" s="71"/>
    </row>
    <row r="155" spans="1:26" ht="14.25" customHeight="1">
      <c r="A155" s="71"/>
      <c r="B155" s="71"/>
      <c r="C155" s="71"/>
      <c r="D155" s="71"/>
      <c r="E155" s="71"/>
      <c r="F155" s="71"/>
      <c r="G155" s="71"/>
      <c r="H155" s="71"/>
      <c r="I155" s="71"/>
      <c r="J155" s="71"/>
      <c r="K155" s="71"/>
      <c r="L155" s="71"/>
      <c r="M155" s="71"/>
      <c r="N155" s="71"/>
      <c r="O155" s="71"/>
      <c r="P155" s="71"/>
      <c r="Q155" s="71"/>
      <c r="R155" s="71"/>
      <c r="T155" s="71"/>
      <c r="U155" s="71"/>
      <c r="V155" s="71"/>
      <c r="W155" s="71"/>
      <c r="X155" s="71"/>
      <c r="Y155" s="71"/>
      <c r="Z155" s="71"/>
    </row>
    <row r="156" spans="1:26" ht="14.25" customHeight="1">
      <c r="A156" s="71"/>
      <c r="B156" s="71"/>
      <c r="C156" s="71"/>
      <c r="D156" s="71"/>
      <c r="E156" s="71"/>
      <c r="F156" s="71"/>
      <c r="G156" s="71"/>
      <c r="H156" s="71"/>
      <c r="I156" s="71"/>
      <c r="J156" s="71"/>
      <c r="K156" s="71"/>
      <c r="L156" s="71"/>
      <c r="M156" s="71"/>
      <c r="N156" s="71"/>
      <c r="O156" s="71"/>
      <c r="P156" s="71"/>
      <c r="Q156" s="71"/>
      <c r="R156" s="71"/>
      <c r="T156" s="71"/>
      <c r="U156" s="71"/>
      <c r="V156" s="71"/>
      <c r="W156" s="71"/>
      <c r="X156" s="71"/>
      <c r="Y156" s="71"/>
      <c r="Z156" s="71"/>
    </row>
    <row r="157" spans="1:26" ht="14.25" customHeight="1">
      <c r="A157" s="71"/>
      <c r="B157" s="71"/>
      <c r="C157" s="71"/>
      <c r="D157" s="71"/>
      <c r="E157" s="71"/>
      <c r="F157" s="71"/>
      <c r="G157" s="71"/>
      <c r="H157" s="71"/>
      <c r="I157" s="71"/>
      <c r="J157" s="71"/>
      <c r="K157" s="71"/>
      <c r="L157" s="71"/>
      <c r="M157" s="71"/>
      <c r="N157" s="71"/>
      <c r="O157" s="71"/>
      <c r="P157" s="71"/>
      <c r="Q157" s="71"/>
      <c r="R157" s="71"/>
      <c r="T157" s="71"/>
      <c r="U157" s="71"/>
      <c r="V157" s="71"/>
      <c r="W157" s="71"/>
      <c r="X157" s="71"/>
      <c r="Y157" s="71"/>
      <c r="Z157" s="71"/>
    </row>
    <row r="158" spans="1:26" ht="14.25" customHeight="1">
      <c r="A158" s="71"/>
      <c r="B158" s="71"/>
      <c r="C158" s="71"/>
      <c r="D158" s="71"/>
      <c r="E158" s="71"/>
      <c r="F158" s="71"/>
      <c r="G158" s="71"/>
      <c r="H158" s="71"/>
      <c r="I158" s="71"/>
      <c r="J158" s="71"/>
      <c r="K158" s="71"/>
      <c r="L158" s="71"/>
      <c r="M158" s="71"/>
      <c r="N158" s="71"/>
      <c r="O158" s="71"/>
      <c r="P158" s="71"/>
      <c r="Q158" s="71"/>
      <c r="R158" s="71"/>
      <c r="T158" s="71"/>
      <c r="U158" s="71"/>
      <c r="V158" s="71"/>
      <c r="W158" s="71"/>
      <c r="X158" s="71"/>
      <c r="Y158" s="71"/>
      <c r="Z158" s="71"/>
    </row>
    <row r="159" spans="1:26" ht="14.25" customHeight="1">
      <c r="A159" s="71"/>
      <c r="B159" s="71"/>
      <c r="C159" s="71"/>
      <c r="D159" s="71"/>
      <c r="E159" s="71"/>
      <c r="F159" s="71"/>
      <c r="G159" s="71"/>
      <c r="H159" s="71"/>
      <c r="I159" s="71"/>
      <c r="J159" s="71"/>
      <c r="K159" s="71"/>
      <c r="L159" s="71"/>
      <c r="M159" s="71"/>
      <c r="N159" s="71"/>
      <c r="O159" s="71"/>
      <c r="P159" s="71"/>
      <c r="Q159" s="71"/>
      <c r="R159" s="71"/>
      <c r="T159" s="71"/>
      <c r="U159" s="71"/>
      <c r="V159" s="71"/>
      <c r="W159" s="71"/>
      <c r="X159" s="71"/>
      <c r="Y159" s="71"/>
      <c r="Z159" s="71"/>
    </row>
    <row r="160" spans="1:26" ht="14.25" customHeight="1">
      <c r="A160" s="71"/>
      <c r="B160" s="71"/>
      <c r="C160" s="71"/>
      <c r="D160" s="71"/>
      <c r="E160" s="71"/>
      <c r="F160" s="71"/>
      <c r="G160" s="71"/>
      <c r="H160" s="71"/>
      <c r="I160" s="71"/>
      <c r="J160" s="71"/>
      <c r="K160" s="71"/>
      <c r="L160" s="71"/>
      <c r="M160" s="71"/>
      <c r="N160" s="71"/>
      <c r="O160" s="71"/>
      <c r="P160" s="71"/>
      <c r="Q160" s="71"/>
      <c r="R160" s="71"/>
      <c r="T160" s="71"/>
      <c r="U160" s="71"/>
      <c r="V160" s="71"/>
      <c r="W160" s="71"/>
      <c r="X160" s="71"/>
      <c r="Y160" s="71"/>
      <c r="Z160" s="71"/>
    </row>
    <row r="161" spans="1:26" ht="14.25" customHeight="1">
      <c r="A161" s="71"/>
      <c r="B161" s="71"/>
      <c r="C161" s="71"/>
      <c r="D161" s="71"/>
      <c r="E161" s="71"/>
      <c r="F161" s="71"/>
      <c r="G161" s="71"/>
      <c r="H161" s="71"/>
      <c r="I161" s="71"/>
      <c r="J161" s="71"/>
      <c r="K161" s="71"/>
      <c r="L161" s="71"/>
      <c r="M161" s="71"/>
      <c r="N161" s="71"/>
      <c r="O161" s="71"/>
      <c r="P161" s="71"/>
      <c r="Q161" s="71"/>
      <c r="R161" s="71"/>
      <c r="T161" s="71"/>
      <c r="U161" s="71"/>
      <c r="V161" s="71"/>
      <c r="W161" s="71"/>
      <c r="X161" s="71"/>
      <c r="Y161" s="71"/>
      <c r="Z161" s="71"/>
    </row>
    <row r="162" spans="1:26" ht="14.25" customHeight="1">
      <c r="A162" s="71"/>
      <c r="B162" s="71"/>
      <c r="C162" s="71"/>
      <c r="D162" s="71"/>
      <c r="E162" s="71"/>
      <c r="F162" s="71"/>
      <c r="G162" s="71"/>
      <c r="H162" s="71"/>
      <c r="I162" s="71"/>
      <c r="J162" s="71"/>
      <c r="K162" s="71"/>
      <c r="L162" s="71"/>
      <c r="M162" s="71"/>
      <c r="N162" s="71"/>
      <c r="O162" s="71"/>
      <c r="P162" s="71"/>
      <c r="Q162" s="71"/>
      <c r="R162" s="71"/>
      <c r="T162" s="71"/>
      <c r="U162" s="71"/>
      <c r="V162" s="71"/>
      <c r="W162" s="71"/>
      <c r="X162" s="71"/>
      <c r="Y162" s="71"/>
      <c r="Z162" s="71"/>
    </row>
    <row r="163" spans="1:26" ht="14.25" customHeight="1">
      <c r="A163" s="71"/>
      <c r="B163" s="71"/>
      <c r="C163" s="71"/>
      <c r="D163" s="71"/>
      <c r="E163" s="71"/>
      <c r="F163" s="71"/>
      <c r="G163" s="71"/>
      <c r="H163" s="71"/>
      <c r="I163" s="71"/>
      <c r="J163" s="71"/>
      <c r="K163" s="71"/>
      <c r="L163" s="71"/>
      <c r="M163" s="71"/>
      <c r="N163" s="71"/>
      <c r="O163" s="71"/>
      <c r="P163" s="71"/>
      <c r="Q163" s="71"/>
      <c r="R163" s="71"/>
      <c r="T163" s="71"/>
      <c r="U163" s="71"/>
      <c r="V163" s="71"/>
      <c r="W163" s="71"/>
      <c r="X163" s="71"/>
      <c r="Y163" s="71"/>
      <c r="Z163" s="71"/>
    </row>
    <row r="164" spans="1:26" ht="14.25" customHeight="1">
      <c r="A164" s="71"/>
      <c r="B164" s="71"/>
      <c r="C164" s="71"/>
      <c r="D164" s="71"/>
      <c r="E164" s="71"/>
      <c r="F164" s="71"/>
      <c r="G164" s="71"/>
      <c r="H164" s="71"/>
      <c r="I164" s="71"/>
      <c r="J164" s="71"/>
      <c r="K164" s="71"/>
      <c r="L164" s="71"/>
      <c r="M164" s="71"/>
      <c r="N164" s="71"/>
      <c r="O164" s="71"/>
      <c r="P164" s="71"/>
      <c r="Q164" s="71"/>
      <c r="R164" s="71"/>
      <c r="T164" s="71"/>
      <c r="U164" s="71"/>
      <c r="V164" s="71"/>
      <c r="W164" s="71"/>
      <c r="X164" s="71"/>
      <c r="Y164" s="71"/>
      <c r="Z164" s="71"/>
    </row>
    <row r="165" spans="1:26" ht="14.25" customHeight="1">
      <c r="A165" s="71"/>
      <c r="B165" s="71"/>
      <c r="C165" s="71"/>
      <c r="D165" s="71"/>
      <c r="E165" s="71"/>
      <c r="F165" s="71"/>
      <c r="G165" s="71"/>
      <c r="H165" s="71"/>
      <c r="I165" s="71"/>
      <c r="J165" s="71"/>
      <c r="K165" s="71"/>
      <c r="L165" s="71"/>
      <c r="M165" s="71"/>
      <c r="N165" s="71"/>
      <c r="O165" s="71"/>
      <c r="P165" s="71"/>
      <c r="Q165" s="71"/>
      <c r="R165" s="71"/>
      <c r="T165" s="71"/>
      <c r="U165" s="71"/>
      <c r="V165" s="71"/>
      <c r="W165" s="71"/>
      <c r="X165" s="71"/>
      <c r="Y165" s="71"/>
      <c r="Z165" s="71"/>
    </row>
    <row r="166" spans="1:26" ht="14.25" customHeight="1">
      <c r="A166" s="71"/>
      <c r="B166" s="71"/>
      <c r="C166" s="71"/>
      <c r="D166" s="71"/>
      <c r="E166" s="71"/>
      <c r="F166" s="71"/>
      <c r="G166" s="71"/>
      <c r="H166" s="71"/>
      <c r="I166" s="71"/>
      <c r="J166" s="71"/>
      <c r="K166" s="71"/>
      <c r="L166" s="71"/>
      <c r="M166" s="71"/>
      <c r="N166" s="71"/>
      <c r="O166" s="71"/>
      <c r="P166" s="71"/>
      <c r="Q166" s="71"/>
      <c r="R166" s="71"/>
      <c r="T166" s="71"/>
      <c r="U166" s="71"/>
      <c r="V166" s="71"/>
      <c r="W166" s="71"/>
      <c r="X166" s="71"/>
      <c r="Y166" s="71"/>
      <c r="Z166" s="71"/>
    </row>
    <row r="167" spans="1:26" ht="14.25" customHeight="1">
      <c r="A167" s="71"/>
      <c r="B167" s="71"/>
      <c r="C167" s="71"/>
      <c r="D167" s="71"/>
      <c r="E167" s="71"/>
      <c r="F167" s="71"/>
      <c r="G167" s="71"/>
      <c r="H167" s="71"/>
      <c r="I167" s="71"/>
      <c r="J167" s="71"/>
      <c r="K167" s="71"/>
      <c r="L167" s="71"/>
      <c r="M167" s="71"/>
      <c r="N167" s="71"/>
      <c r="O167" s="71"/>
      <c r="P167" s="71"/>
      <c r="Q167" s="71"/>
      <c r="R167" s="71"/>
      <c r="T167" s="71"/>
      <c r="U167" s="71"/>
      <c r="V167" s="71"/>
      <c r="W167" s="71"/>
      <c r="X167" s="71"/>
      <c r="Y167" s="71"/>
      <c r="Z167" s="71"/>
    </row>
    <row r="168" spans="1:26" ht="14.25" customHeight="1">
      <c r="A168" s="71"/>
      <c r="B168" s="71"/>
      <c r="C168" s="71"/>
      <c r="D168" s="71"/>
      <c r="E168" s="71"/>
      <c r="F168" s="71"/>
      <c r="G168" s="71"/>
      <c r="H168" s="71"/>
      <c r="I168" s="71"/>
      <c r="J168" s="71"/>
      <c r="K168" s="71"/>
      <c r="L168" s="71"/>
      <c r="M168" s="71"/>
      <c r="N168" s="71"/>
      <c r="O168" s="71"/>
      <c r="P168" s="71"/>
      <c r="Q168" s="71"/>
      <c r="R168" s="71"/>
      <c r="T168" s="71"/>
      <c r="U168" s="71"/>
      <c r="V168" s="71"/>
      <c r="W168" s="71"/>
      <c r="X168" s="71"/>
      <c r="Y168" s="71"/>
      <c r="Z168" s="71"/>
    </row>
    <row r="169" spans="1:26" ht="14.25" customHeight="1">
      <c r="A169" s="71"/>
      <c r="B169" s="71"/>
      <c r="C169" s="71"/>
      <c r="D169" s="71"/>
      <c r="E169" s="71"/>
      <c r="F169" s="71"/>
      <c r="G169" s="71"/>
      <c r="H169" s="71"/>
      <c r="I169" s="71"/>
      <c r="J169" s="71"/>
      <c r="K169" s="71"/>
      <c r="L169" s="71"/>
      <c r="M169" s="71"/>
      <c r="N169" s="71"/>
      <c r="O169" s="71"/>
      <c r="P169" s="71"/>
      <c r="Q169" s="71"/>
      <c r="R169" s="71"/>
      <c r="T169" s="71"/>
      <c r="U169" s="71"/>
      <c r="V169" s="71"/>
      <c r="W169" s="71"/>
      <c r="X169" s="71"/>
      <c r="Y169" s="71"/>
      <c r="Z169" s="71"/>
    </row>
    <row r="170" spans="1:26" ht="14.25" customHeight="1">
      <c r="A170" s="71"/>
      <c r="B170" s="71"/>
      <c r="C170" s="71"/>
      <c r="D170" s="71"/>
      <c r="E170" s="71"/>
      <c r="F170" s="71"/>
      <c r="G170" s="71"/>
      <c r="H170" s="71"/>
      <c r="I170" s="71"/>
      <c r="J170" s="71"/>
      <c r="K170" s="71"/>
      <c r="L170" s="71"/>
      <c r="M170" s="71"/>
      <c r="N170" s="71"/>
      <c r="O170" s="71"/>
      <c r="P170" s="71"/>
      <c r="Q170" s="71"/>
      <c r="R170" s="71"/>
      <c r="T170" s="71"/>
      <c r="U170" s="71"/>
      <c r="V170" s="71"/>
      <c r="W170" s="71"/>
      <c r="X170" s="71"/>
      <c r="Y170" s="71"/>
      <c r="Z170" s="71"/>
    </row>
    <row r="171" spans="1:26" ht="14.25" customHeight="1">
      <c r="A171" s="71"/>
      <c r="B171" s="71"/>
      <c r="C171" s="71"/>
      <c r="D171" s="71"/>
      <c r="E171" s="71"/>
      <c r="F171" s="71"/>
      <c r="G171" s="71"/>
      <c r="H171" s="71"/>
      <c r="I171" s="71"/>
      <c r="J171" s="71"/>
      <c r="K171" s="71"/>
      <c r="L171" s="71"/>
      <c r="M171" s="71"/>
      <c r="N171" s="71"/>
      <c r="O171" s="71"/>
      <c r="P171" s="71"/>
      <c r="Q171" s="71"/>
      <c r="R171" s="71"/>
      <c r="T171" s="71"/>
      <c r="U171" s="71"/>
      <c r="V171" s="71"/>
      <c r="W171" s="71"/>
      <c r="X171" s="71"/>
      <c r="Y171" s="71"/>
      <c r="Z171" s="71"/>
    </row>
    <row r="172" spans="1:26" ht="14.25" customHeight="1">
      <c r="A172" s="71"/>
      <c r="B172" s="71"/>
      <c r="C172" s="71"/>
      <c r="D172" s="71"/>
      <c r="E172" s="71"/>
      <c r="F172" s="71"/>
      <c r="G172" s="71"/>
      <c r="H172" s="71"/>
      <c r="I172" s="71"/>
      <c r="J172" s="71"/>
      <c r="K172" s="71"/>
      <c r="L172" s="71"/>
      <c r="M172" s="71"/>
      <c r="N172" s="71"/>
      <c r="O172" s="71"/>
      <c r="P172" s="71"/>
      <c r="Q172" s="71"/>
      <c r="R172" s="71"/>
      <c r="T172" s="71"/>
      <c r="U172" s="71"/>
      <c r="V172" s="71"/>
      <c r="W172" s="71"/>
      <c r="X172" s="71"/>
      <c r="Y172" s="71"/>
      <c r="Z172" s="71"/>
    </row>
    <row r="173" spans="1:26" ht="14.25" customHeight="1">
      <c r="A173" s="71"/>
      <c r="B173" s="71"/>
      <c r="C173" s="71"/>
      <c r="D173" s="71"/>
      <c r="E173" s="71"/>
      <c r="F173" s="71"/>
      <c r="G173" s="71"/>
      <c r="H173" s="71"/>
      <c r="I173" s="71"/>
      <c r="J173" s="71"/>
      <c r="K173" s="71"/>
      <c r="L173" s="71"/>
      <c r="M173" s="71"/>
      <c r="N173" s="71"/>
      <c r="O173" s="71"/>
      <c r="P173" s="71"/>
      <c r="Q173" s="71"/>
      <c r="R173" s="71"/>
      <c r="T173" s="71"/>
      <c r="U173" s="71"/>
      <c r="V173" s="71"/>
      <c r="W173" s="71"/>
      <c r="X173" s="71"/>
      <c r="Y173" s="71"/>
      <c r="Z173" s="71"/>
    </row>
    <row r="174" spans="1:26" ht="14.25" customHeight="1">
      <c r="A174" s="71"/>
      <c r="B174" s="71"/>
      <c r="C174" s="71"/>
      <c r="D174" s="71"/>
      <c r="E174" s="71"/>
      <c r="F174" s="71"/>
      <c r="G174" s="71"/>
      <c r="H174" s="71"/>
      <c r="I174" s="71"/>
      <c r="J174" s="71"/>
      <c r="K174" s="71"/>
      <c r="L174" s="71"/>
      <c r="M174" s="71"/>
      <c r="N174" s="71"/>
      <c r="O174" s="71"/>
      <c r="P174" s="71"/>
      <c r="Q174" s="71"/>
      <c r="R174" s="71"/>
      <c r="T174" s="71"/>
      <c r="U174" s="71"/>
      <c r="V174" s="71"/>
      <c r="W174" s="71"/>
      <c r="X174" s="71"/>
      <c r="Y174" s="71"/>
      <c r="Z174" s="71"/>
    </row>
    <row r="175" spans="1:26" ht="14.25" customHeight="1">
      <c r="A175" s="71"/>
      <c r="B175" s="71"/>
      <c r="C175" s="71"/>
      <c r="D175" s="71"/>
      <c r="E175" s="71"/>
      <c r="F175" s="71"/>
      <c r="G175" s="71"/>
      <c r="H175" s="71"/>
      <c r="I175" s="71"/>
      <c r="J175" s="71"/>
      <c r="K175" s="71"/>
      <c r="L175" s="71"/>
      <c r="M175" s="71"/>
      <c r="N175" s="71"/>
      <c r="O175" s="71"/>
      <c r="P175" s="71"/>
      <c r="Q175" s="71"/>
      <c r="R175" s="71"/>
      <c r="T175" s="71"/>
      <c r="U175" s="71"/>
      <c r="V175" s="71"/>
      <c r="W175" s="71"/>
      <c r="X175" s="71"/>
      <c r="Y175" s="71"/>
      <c r="Z175" s="71"/>
    </row>
    <row r="176" spans="1:26" ht="14.25" customHeight="1">
      <c r="A176" s="71"/>
      <c r="B176" s="71"/>
      <c r="C176" s="71"/>
      <c r="D176" s="71"/>
      <c r="E176" s="71"/>
      <c r="F176" s="71"/>
      <c r="G176" s="71"/>
      <c r="H176" s="71"/>
      <c r="I176" s="71"/>
      <c r="J176" s="71"/>
      <c r="K176" s="71"/>
      <c r="L176" s="71"/>
      <c r="M176" s="71"/>
      <c r="N176" s="71"/>
      <c r="O176" s="71"/>
      <c r="P176" s="71"/>
      <c r="Q176" s="71"/>
      <c r="R176" s="71"/>
      <c r="T176" s="71"/>
      <c r="U176" s="71"/>
      <c r="V176" s="71"/>
      <c r="W176" s="71"/>
      <c r="X176" s="71"/>
      <c r="Y176" s="71"/>
      <c r="Z176" s="71"/>
    </row>
    <row r="177" spans="1:26" ht="14.25" customHeight="1">
      <c r="A177" s="71"/>
      <c r="B177" s="71"/>
      <c r="C177" s="71"/>
      <c r="D177" s="71"/>
      <c r="E177" s="71"/>
      <c r="F177" s="71"/>
      <c r="G177" s="71"/>
      <c r="H177" s="71"/>
      <c r="I177" s="71"/>
      <c r="J177" s="71"/>
      <c r="K177" s="71"/>
      <c r="L177" s="71"/>
      <c r="M177" s="71"/>
      <c r="N177" s="71"/>
      <c r="O177" s="71"/>
      <c r="P177" s="71"/>
      <c r="Q177" s="71"/>
      <c r="R177" s="71"/>
      <c r="T177" s="71"/>
      <c r="U177" s="71"/>
      <c r="V177" s="71"/>
      <c r="W177" s="71"/>
      <c r="X177" s="71"/>
      <c r="Y177" s="71"/>
      <c r="Z177" s="71"/>
    </row>
    <row r="178" spans="1:26" ht="14.25" customHeight="1">
      <c r="A178" s="71"/>
      <c r="B178" s="71"/>
      <c r="C178" s="71"/>
      <c r="D178" s="71"/>
      <c r="E178" s="71"/>
      <c r="F178" s="71"/>
      <c r="G178" s="71"/>
      <c r="H178" s="71"/>
      <c r="I178" s="71"/>
      <c r="J178" s="71"/>
      <c r="K178" s="71"/>
      <c r="L178" s="71"/>
      <c r="M178" s="71"/>
      <c r="N178" s="71"/>
      <c r="O178" s="71"/>
      <c r="P178" s="71"/>
      <c r="Q178" s="71"/>
      <c r="R178" s="71"/>
      <c r="T178" s="71"/>
      <c r="U178" s="71"/>
      <c r="V178" s="71"/>
      <c r="W178" s="71"/>
      <c r="X178" s="71"/>
      <c r="Y178" s="71"/>
      <c r="Z178" s="71"/>
    </row>
    <row r="179" spans="1:26" ht="14.25" customHeight="1">
      <c r="A179" s="71"/>
      <c r="B179" s="71"/>
      <c r="C179" s="71"/>
      <c r="D179" s="71"/>
      <c r="E179" s="71"/>
      <c r="F179" s="71"/>
      <c r="G179" s="71"/>
      <c r="H179" s="71"/>
      <c r="I179" s="71"/>
      <c r="J179" s="71"/>
      <c r="K179" s="71"/>
      <c r="L179" s="71"/>
      <c r="M179" s="71"/>
      <c r="N179" s="71"/>
      <c r="O179" s="71"/>
      <c r="P179" s="71"/>
      <c r="Q179" s="71"/>
      <c r="R179" s="71"/>
      <c r="T179" s="71"/>
      <c r="U179" s="71"/>
      <c r="V179" s="71"/>
      <c r="W179" s="71"/>
      <c r="X179" s="71"/>
      <c r="Y179" s="71"/>
      <c r="Z179" s="71"/>
    </row>
    <row r="180" spans="1:26" ht="14.25" customHeight="1">
      <c r="A180" s="71"/>
      <c r="B180" s="71"/>
      <c r="C180" s="71"/>
      <c r="D180" s="71"/>
      <c r="E180" s="71"/>
      <c r="F180" s="71"/>
      <c r="G180" s="71"/>
      <c r="H180" s="71"/>
      <c r="I180" s="71"/>
      <c r="J180" s="71"/>
      <c r="K180" s="71"/>
      <c r="L180" s="71"/>
      <c r="M180" s="71"/>
      <c r="N180" s="71"/>
      <c r="O180" s="71"/>
      <c r="P180" s="71"/>
      <c r="Q180" s="71"/>
      <c r="R180" s="71"/>
      <c r="T180" s="71"/>
      <c r="U180" s="71"/>
      <c r="V180" s="71"/>
      <c r="W180" s="71"/>
      <c r="X180" s="71"/>
      <c r="Y180" s="71"/>
      <c r="Z180" s="71"/>
    </row>
    <row r="181" spans="1:26" ht="14.25" customHeight="1">
      <c r="A181" s="71"/>
      <c r="B181" s="71"/>
      <c r="C181" s="71"/>
      <c r="D181" s="71"/>
      <c r="E181" s="71"/>
      <c r="F181" s="71"/>
      <c r="G181" s="71"/>
      <c r="H181" s="71"/>
      <c r="I181" s="71"/>
      <c r="J181" s="71"/>
      <c r="K181" s="71"/>
      <c r="L181" s="71"/>
      <c r="M181" s="71"/>
      <c r="N181" s="71"/>
      <c r="O181" s="71"/>
      <c r="P181" s="71"/>
      <c r="Q181" s="71"/>
      <c r="R181" s="71"/>
      <c r="T181" s="71"/>
      <c r="U181" s="71"/>
      <c r="V181" s="71"/>
      <c r="W181" s="71"/>
      <c r="X181" s="71"/>
      <c r="Y181" s="71"/>
      <c r="Z181" s="71"/>
    </row>
    <row r="182" spans="1:26" ht="14.25" customHeight="1">
      <c r="A182" s="71"/>
      <c r="B182" s="71"/>
      <c r="C182" s="71"/>
      <c r="D182" s="71"/>
      <c r="E182" s="71"/>
      <c r="F182" s="71"/>
      <c r="G182" s="71"/>
      <c r="H182" s="71"/>
      <c r="I182" s="71"/>
      <c r="J182" s="71"/>
      <c r="K182" s="71"/>
      <c r="L182" s="71"/>
      <c r="M182" s="71"/>
      <c r="N182" s="71"/>
      <c r="O182" s="71"/>
      <c r="P182" s="71"/>
      <c r="Q182" s="71"/>
      <c r="R182" s="71"/>
      <c r="T182" s="71"/>
      <c r="U182" s="71"/>
      <c r="V182" s="71"/>
      <c r="W182" s="71"/>
      <c r="X182" s="71"/>
      <c r="Y182" s="71"/>
      <c r="Z182" s="71"/>
    </row>
    <row r="183" spans="1:26" ht="14.25" customHeight="1">
      <c r="A183" s="71"/>
      <c r="B183" s="71"/>
      <c r="C183" s="71"/>
      <c r="D183" s="71"/>
      <c r="E183" s="71"/>
      <c r="F183" s="71"/>
      <c r="G183" s="71"/>
      <c r="H183" s="71"/>
      <c r="I183" s="71"/>
      <c r="J183" s="71"/>
      <c r="K183" s="71"/>
      <c r="L183" s="71"/>
      <c r="M183" s="71"/>
      <c r="N183" s="71"/>
      <c r="O183" s="71"/>
      <c r="P183" s="71"/>
      <c r="Q183" s="71"/>
      <c r="R183" s="71"/>
      <c r="T183" s="71"/>
      <c r="U183" s="71"/>
      <c r="V183" s="71"/>
      <c r="W183" s="71"/>
      <c r="X183" s="71"/>
      <c r="Y183" s="71"/>
      <c r="Z183" s="71"/>
    </row>
    <row r="184" spans="1:26" ht="14.25" customHeight="1">
      <c r="A184" s="71"/>
      <c r="B184" s="71"/>
      <c r="C184" s="71"/>
      <c r="D184" s="71"/>
      <c r="E184" s="71"/>
      <c r="F184" s="71"/>
      <c r="G184" s="71"/>
      <c r="H184" s="71"/>
      <c r="I184" s="71"/>
      <c r="J184" s="71"/>
      <c r="K184" s="71"/>
      <c r="L184" s="71"/>
      <c r="M184" s="71"/>
      <c r="N184" s="71"/>
      <c r="O184" s="71"/>
      <c r="P184" s="71"/>
      <c r="Q184" s="71"/>
      <c r="R184" s="71"/>
      <c r="T184" s="71"/>
      <c r="U184" s="71"/>
      <c r="V184" s="71"/>
      <c r="W184" s="71"/>
      <c r="X184" s="71"/>
      <c r="Y184" s="71"/>
      <c r="Z184" s="71"/>
    </row>
    <row r="185" spans="1:26" ht="14.25" customHeight="1">
      <c r="A185" s="71"/>
      <c r="B185" s="71"/>
      <c r="C185" s="71"/>
      <c r="D185" s="71"/>
      <c r="E185" s="71"/>
      <c r="F185" s="71"/>
      <c r="G185" s="71"/>
      <c r="H185" s="71"/>
      <c r="I185" s="71"/>
      <c r="J185" s="71"/>
      <c r="K185" s="71"/>
      <c r="L185" s="71"/>
      <c r="M185" s="71"/>
      <c r="N185" s="71"/>
      <c r="O185" s="71"/>
      <c r="P185" s="71"/>
      <c r="Q185" s="71"/>
      <c r="R185" s="71"/>
      <c r="T185" s="71"/>
      <c r="U185" s="71"/>
      <c r="V185" s="71"/>
      <c r="W185" s="71"/>
      <c r="X185" s="71"/>
      <c r="Y185" s="71"/>
      <c r="Z185" s="71"/>
    </row>
    <row r="186" spans="1:26" ht="14.25" customHeight="1">
      <c r="A186" s="71"/>
      <c r="B186" s="71"/>
      <c r="C186" s="71"/>
      <c r="D186" s="71"/>
      <c r="E186" s="71"/>
      <c r="F186" s="71"/>
      <c r="G186" s="71"/>
      <c r="H186" s="71"/>
      <c r="I186" s="71"/>
      <c r="J186" s="71"/>
      <c r="K186" s="71"/>
      <c r="L186" s="71"/>
      <c r="M186" s="71"/>
      <c r="N186" s="71"/>
      <c r="O186" s="71"/>
      <c r="P186" s="71"/>
      <c r="Q186" s="71"/>
      <c r="R186" s="71"/>
      <c r="T186" s="71"/>
      <c r="U186" s="71"/>
      <c r="V186" s="71"/>
      <c r="W186" s="71"/>
      <c r="X186" s="71"/>
      <c r="Y186" s="71"/>
      <c r="Z186" s="71"/>
    </row>
    <row r="187" spans="1:26" ht="14.25" customHeight="1">
      <c r="A187" s="71"/>
      <c r="B187" s="71"/>
      <c r="C187" s="71"/>
      <c r="D187" s="71"/>
      <c r="E187" s="71"/>
      <c r="F187" s="71"/>
      <c r="G187" s="71"/>
      <c r="H187" s="71"/>
      <c r="I187" s="71"/>
      <c r="J187" s="71"/>
      <c r="K187" s="71"/>
      <c r="L187" s="71"/>
      <c r="M187" s="71"/>
      <c r="N187" s="71"/>
      <c r="O187" s="71"/>
      <c r="P187" s="71"/>
      <c r="Q187" s="71"/>
      <c r="R187" s="71"/>
      <c r="T187" s="71"/>
      <c r="U187" s="71"/>
      <c r="V187" s="71"/>
      <c r="W187" s="71"/>
      <c r="X187" s="71"/>
      <c r="Y187" s="71"/>
      <c r="Z187" s="71"/>
    </row>
    <row r="188" spans="1:26" ht="14.25" customHeight="1">
      <c r="A188" s="71"/>
      <c r="B188" s="71"/>
      <c r="C188" s="71"/>
      <c r="D188" s="71"/>
      <c r="E188" s="71"/>
      <c r="F188" s="71"/>
      <c r="G188" s="71"/>
      <c r="H188" s="71"/>
      <c r="I188" s="71"/>
      <c r="J188" s="71"/>
      <c r="K188" s="71"/>
      <c r="L188" s="71"/>
      <c r="M188" s="71"/>
      <c r="N188" s="71"/>
      <c r="O188" s="71"/>
      <c r="P188" s="71"/>
      <c r="Q188" s="71"/>
      <c r="R188" s="71"/>
      <c r="T188" s="71"/>
      <c r="U188" s="71"/>
      <c r="V188" s="71"/>
      <c r="W188" s="71"/>
      <c r="X188" s="71"/>
      <c r="Y188" s="71"/>
      <c r="Z188" s="71"/>
    </row>
    <row r="189" spans="1:26" ht="14.25" customHeight="1">
      <c r="A189" s="71"/>
      <c r="B189" s="71"/>
      <c r="C189" s="71"/>
      <c r="D189" s="71"/>
      <c r="E189" s="71"/>
      <c r="F189" s="71"/>
      <c r="G189" s="71"/>
      <c r="H189" s="71"/>
      <c r="I189" s="71"/>
      <c r="J189" s="71"/>
      <c r="K189" s="71"/>
      <c r="L189" s="71"/>
      <c r="M189" s="71"/>
      <c r="N189" s="71"/>
      <c r="O189" s="71"/>
      <c r="P189" s="71"/>
      <c r="Q189" s="71"/>
      <c r="R189" s="71"/>
      <c r="T189" s="71"/>
      <c r="U189" s="71"/>
      <c r="V189" s="71"/>
      <c r="W189" s="71"/>
      <c r="X189" s="71"/>
      <c r="Y189" s="71"/>
      <c r="Z189" s="71"/>
    </row>
    <row r="190" spans="1:26" ht="14.25" customHeight="1">
      <c r="A190" s="71"/>
      <c r="B190" s="71"/>
      <c r="C190" s="71"/>
      <c r="D190" s="71"/>
      <c r="E190" s="71"/>
      <c r="F190" s="71"/>
      <c r="G190" s="71"/>
      <c r="H190" s="71"/>
      <c r="I190" s="71"/>
      <c r="J190" s="71"/>
      <c r="K190" s="71"/>
      <c r="L190" s="71"/>
      <c r="M190" s="71"/>
      <c r="N190" s="71"/>
      <c r="O190" s="71"/>
      <c r="P190" s="71"/>
      <c r="Q190" s="71"/>
      <c r="R190" s="71"/>
      <c r="T190" s="71"/>
      <c r="U190" s="71"/>
      <c r="V190" s="71"/>
      <c r="W190" s="71"/>
      <c r="X190" s="71"/>
      <c r="Y190" s="71"/>
      <c r="Z190" s="71"/>
    </row>
    <row r="191" spans="1:26" ht="14.25" customHeight="1">
      <c r="A191" s="71"/>
      <c r="B191" s="71"/>
      <c r="C191" s="71"/>
      <c r="D191" s="71"/>
      <c r="E191" s="71"/>
      <c r="F191" s="71"/>
      <c r="G191" s="71"/>
      <c r="H191" s="71"/>
      <c r="I191" s="71"/>
      <c r="J191" s="71"/>
      <c r="K191" s="71"/>
      <c r="L191" s="71"/>
      <c r="M191" s="71"/>
      <c r="N191" s="71"/>
      <c r="O191" s="71"/>
      <c r="P191" s="71"/>
      <c r="Q191" s="71"/>
      <c r="R191" s="71"/>
      <c r="T191" s="71"/>
      <c r="U191" s="71"/>
      <c r="V191" s="71"/>
      <c r="W191" s="71"/>
      <c r="X191" s="71"/>
      <c r="Y191" s="71"/>
      <c r="Z191" s="71"/>
    </row>
    <row r="192" spans="1:26" ht="14.25" customHeight="1">
      <c r="A192" s="71"/>
      <c r="B192" s="71"/>
      <c r="C192" s="71"/>
      <c r="D192" s="71"/>
      <c r="E192" s="71"/>
      <c r="F192" s="71"/>
      <c r="G192" s="71"/>
      <c r="H192" s="71"/>
      <c r="I192" s="71"/>
      <c r="J192" s="71"/>
      <c r="K192" s="71"/>
      <c r="L192" s="71"/>
      <c r="M192" s="71"/>
      <c r="N192" s="71"/>
      <c r="O192" s="71"/>
      <c r="P192" s="71"/>
      <c r="Q192" s="71"/>
      <c r="R192" s="71"/>
      <c r="T192" s="71"/>
      <c r="U192" s="71"/>
      <c r="V192" s="71"/>
      <c r="W192" s="71"/>
      <c r="X192" s="71"/>
      <c r="Y192" s="71"/>
      <c r="Z192" s="71"/>
    </row>
    <row r="193" spans="1:26" ht="14.25" customHeight="1">
      <c r="A193" s="71"/>
      <c r="B193" s="71"/>
      <c r="C193" s="71"/>
      <c r="D193" s="71"/>
      <c r="E193" s="71"/>
      <c r="F193" s="71"/>
      <c r="G193" s="71"/>
      <c r="H193" s="71"/>
      <c r="I193" s="71"/>
      <c r="J193" s="71"/>
      <c r="K193" s="71"/>
      <c r="L193" s="71"/>
      <c r="M193" s="71"/>
      <c r="N193" s="71"/>
      <c r="O193" s="71"/>
      <c r="P193" s="71"/>
      <c r="Q193" s="71"/>
      <c r="R193" s="71"/>
      <c r="T193" s="71"/>
      <c r="U193" s="71"/>
      <c r="V193" s="71"/>
      <c r="W193" s="71"/>
      <c r="X193" s="71"/>
      <c r="Y193" s="71"/>
      <c r="Z193" s="71"/>
    </row>
    <row r="194" spans="1:26" ht="14.25" customHeight="1">
      <c r="A194" s="71"/>
      <c r="B194" s="71"/>
      <c r="C194" s="71"/>
      <c r="D194" s="71"/>
      <c r="E194" s="71"/>
      <c r="F194" s="71"/>
      <c r="G194" s="71"/>
      <c r="H194" s="71"/>
      <c r="I194" s="71"/>
      <c r="J194" s="71"/>
      <c r="K194" s="71"/>
      <c r="L194" s="71"/>
      <c r="M194" s="71"/>
      <c r="N194" s="71"/>
      <c r="O194" s="71"/>
      <c r="P194" s="71"/>
      <c r="Q194" s="71"/>
      <c r="R194" s="71"/>
      <c r="T194" s="71"/>
      <c r="U194" s="71"/>
      <c r="V194" s="71"/>
      <c r="W194" s="71"/>
      <c r="X194" s="71"/>
      <c r="Y194" s="71"/>
      <c r="Z194" s="71"/>
    </row>
    <row r="195" spans="1:26" ht="14.25" customHeight="1">
      <c r="A195" s="71"/>
      <c r="B195" s="71"/>
      <c r="C195" s="71"/>
      <c r="D195" s="71"/>
      <c r="E195" s="71"/>
      <c r="F195" s="71"/>
      <c r="G195" s="71"/>
      <c r="H195" s="71"/>
      <c r="I195" s="71"/>
      <c r="J195" s="71"/>
      <c r="K195" s="71"/>
      <c r="L195" s="71"/>
      <c r="M195" s="71"/>
      <c r="N195" s="71"/>
      <c r="O195" s="71"/>
      <c r="P195" s="71"/>
      <c r="Q195" s="71"/>
      <c r="R195" s="71"/>
      <c r="T195" s="71"/>
      <c r="U195" s="71"/>
      <c r="V195" s="71"/>
      <c r="W195" s="71"/>
      <c r="X195" s="71"/>
      <c r="Y195" s="71"/>
      <c r="Z195" s="71"/>
    </row>
    <row r="196" spans="1:26" ht="14.25" customHeight="1">
      <c r="A196" s="71"/>
      <c r="B196" s="71"/>
      <c r="C196" s="71"/>
      <c r="D196" s="71"/>
      <c r="E196" s="71"/>
      <c r="F196" s="71"/>
      <c r="G196" s="71"/>
      <c r="H196" s="71"/>
      <c r="I196" s="71"/>
      <c r="J196" s="71"/>
      <c r="K196" s="71"/>
      <c r="L196" s="71"/>
      <c r="M196" s="71"/>
      <c r="N196" s="71"/>
      <c r="O196" s="71"/>
      <c r="P196" s="71"/>
      <c r="Q196" s="71"/>
      <c r="R196" s="71"/>
      <c r="T196" s="71"/>
      <c r="U196" s="71"/>
      <c r="V196" s="71"/>
      <c r="W196" s="71"/>
      <c r="X196" s="71"/>
      <c r="Y196" s="71"/>
      <c r="Z196" s="71"/>
    </row>
    <row r="197" spans="1:26" ht="14.25" customHeight="1">
      <c r="A197" s="71"/>
      <c r="B197" s="71"/>
      <c r="C197" s="71"/>
      <c r="D197" s="71"/>
      <c r="E197" s="71"/>
      <c r="F197" s="71"/>
      <c r="G197" s="71"/>
      <c r="H197" s="71"/>
      <c r="I197" s="71"/>
      <c r="J197" s="71"/>
      <c r="K197" s="71"/>
      <c r="L197" s="71"/>
      <c r="M197" s="71"/>
      <c r="N197" s="71"/>
      <c r="O197" s="71"/>
      <c r="P197" s="71"/>
      <c r="Q197" s="71"/>
      <c r="R197" s="71"/>
      <c r="T197" s="71"/>
      <c r="U197" s="71"/>
      <c r="V197" s="71"/>
      <c r="W197" s="71"/>
      <c r="X197" s="71"/>
      <c r="Y197" s="71"/>
      <c r="Z197" s="71"/>
    </row>
    <row r="198" spans="1:26" ht="14.25" customHeight="1">
      <c r="A198" s="71"/>
      <c r="B198" s="71"/>
      <c r="C198" s="71"/>
      <c r="D198" s="71"/>
      <c r="E198" s="71"/>
      <c r="F198" s="71"/>
      <c r="G198" s="71"/>
      <c r="H198" s="71"/>
      <c r="I198" s="71"/>
      <c r="J198" s="71"/>
      <c r="K198" s="71"/>
      <c r="L198" s="71"/>
      <c r="M198" s="71"/>
      <c r="N198" s="71"/>
      <c r="O198" s="71"/>
      <c r="P198" s="71"/>
      <c r="Q198" s="71"/>
      <c r="R198" s="71"/>
      <c r="T198" s="71"/>
      <c r="U198" s="71"/>
      <c r="V198" s="71"/>
      <c r="W198" s="71"/>
      <c r="X198" s="71"/>
      <c r="Y198" s="71"/>
      <c r="Z198" s="71"/>
    </row>
    <row r="199" spans="1:26" ht="14.25" customHeight="1">
      <c r="A199" s="71"/>
      <c r="B199" s="71"/>
      <c r="C199" s="71"/>
      <c r="D199" s="71"/>
      <c r="E199" s="71"/>
      <c r="F199" s="71"/>
      <c r="G199" s="71"/>
      <c r="H199" s="71"/>
      <c r="I199" s="71"/>
      <c r="J199" s="71"/>
      <c r="K199" s="71"/>
      <c r="L199" s="71"/>
      <c r="M199" s="71"/>
      <c r="N199" s="71"/>
      <c r="O199" s="71"/>
      <c r="P199" s="71"/>
      <c r="Q199" s="71"/>
      <c r="R199" s="71"/>
      <c r="T199" s="71"/>
      <c r="U199" s="71"/>
      <c r="V199" s="71"/>
      <c r="W199" s="71"/>
      <c r="X199" s="71"/>
      <c r="Y199" s="71"/>
      <c r="Z199" s="71"/>
    </row>
    <row r="200" spans="1:26" ht="14.25" customHeight="1">
      <c r="A200" s="71"/>
      <c r="B200" s="71"/>
      <c r="C200" s="71"/>
      <c r="D200" s="71"/>
      <c r="E200" s="71"/>
      <c r="F200" s="71"/>
      <c r="G200" s="71"/>
      <c r="H200" s="71"/>
      <c r="I200" s="71"/>
      <c r="J200" s="71"/>
      <c r="K200" s="71"/>
      <c r="L200" s="71"/>
      <c r="M200" s="71"/>
      <c r="N200" s="71"/>
      <c r="O200" s="71"/>
      <c r="P200" s="71"/>
      <c r="Q200" s="71"/>
      <c r="R200" s="71"/>
      <c r="T200" s="71"/>
      <c r="U200" s="71"/>
      <c r="V200" s="71"/>
      <c r="W200" s="71"/>
      <c r="X200" s="71"/>
      <c r="Y200" s="71"/>
      <c r="Z200" s="71"/>
    </row>
    <row r="201" spans="1:26" ht="14.25" customHeight="1">
      <c r="A201" s="71"/>
      <c r="B201" s="71"/>
      <c r="C201" s="71"/>
      <c r="D201" s="71"/>
      <c r="E201" s="71"/>
      <c r="F201" s="71"/>
      <c r="G201" s="71"/>
      <c r="H201" s="71"/>
      <c r="I201" s="71"/>
      <c r="J201" s="71"/>
      <c r="K201" s="71"/>
      <c r="L201" s="71"/>
      <c r="M201" s="71"/>
      <c r="N201" s="71"/>
      <c r="O201" s="71"/>
      <c r="P201" s="71"/>
      <c r="Q201" s="71"/>
      <c r="R201" s="71"/>
      <c r="T201" s="71"/>
      <c r="U201" s="71"/>
      <c r="V201" s="71"/>
      <c r="W201" s="71"/>
      <c r="X201" s="71"/>
      <c r="Y201" s="71"/>
      <c r="Z201" s="71"/>
    </row>
    <row r="202" spans="1:26" ht="14.25" customHeight="1">
      <c r="A202" s="71"/>
      <c r="B202" s="71"/>
      <c r="C202" s="71"/>
      <c r="D202" s="71"/>
      <c r="E202" s="71"/>
      <c r="F202" s="71"/>
      <c r="G202" s="71"/>
      <c r="H202" s="71"/>
      <c r="I202" s="71"/>
      <c r="J202" s="71"/>
      <c r="K202" s="71"/>
      <c r="L202" s="71"/>
      <c r="M202" s="71"/>
      <c r="N202" s="71"/>
      <c r="O202" s="71"/>
      <c r="P202" s="71"/>
      <c r="Q202" s="71"/>
      <c r="R202" s="71"/>
      <c r="T202" s="71"/>
      <c r="U202" s="71"/>
      <c r="V202" s="71"/>
      <c r="W202" s="71"/>
      <c r="X202" s="71"/>
      <c r="Y202" s="71"/>
      <c r="Z202" s="71"/>
    </row>
    <row r="203" spans="1:26" ht="14.25" customHeight="1">
      <c r="A203" s="71"/>
      <c r="B203" s="71"/>
      <c r="C203" s="71"/>
      <c r="D203" s="71"/>
      <c r="E203" s="71"/>
      <c r="F203" s="71"/>
      <c r="G203" s="71"/>
      <c r="H203" s="71"/>
      <c r="I203" s="71"/>
      <c r="J203" s="71"/>
      <c r="K203" s="71"/>
      <c r="L203" s="71"/>
      <c r="M203" s="71"/>
      <c r="N203" s="71"/>
      <c r="O203" s="71"/>
      <c r="P203" s="71"/>
      <c r="Q203" s="71"/>
      <c r="R203" s="71"/>
      <c r="T203" s="71"/>
      <c r="U203" s="71"/>
      <c r="V203" s="71"/>
      <c r="W203" s="71"/>
      <c r="X203" s="71"/>
      <c r="Y203" s="71"/>
      <c r="Z203" s="71"/>
    </row>
    <row r="204" spans="1:26" ht="14.25" customHeight="1">
      <c r="A204" s="71"/>
      <c r="B204" s="71"/>
      <c r="C204" s="71"/>
      <c r="D204" s="71"/>
      <c r="E204" s="71"/>
      <c r="F204" s="71"/>
      <c r="G204" s="71"/>
      <c r="H204" s="71"/>
      <c r="I204" s="71"/>
      <c r="J204" s="71"/>
      <c r="K204" s="71"/>
      <c r="L204" s="71"/>
      <c r="M204" s="71"/>
      <c r="N204" s="71"/>
      <c r="O204" s="71"/>
      <c r="P204" s="71"/>
      <c r="Q204" s="71"/>
      <c r="R204" s="71"/>
      <c r="T204" s="71"/>
      <c r="U204" s="71"/>
      <c r="V204" s="71"/>
      <c r="W204" s="71"/>
      <c r="X204" s="71"/>
      <c r="Y204" s="71"/>
      <c r="Z204" s="71"/>
    </row>
    <row r="205" spans="1:26" ht="14.25" customHeight="1">
      <c r="A205" s="71"/>
      <c r="B205" s="71"/>
      <c r="C205" s="71"/>
      <c r="D205" s="71"/>
      <c r="E205" s="71"/>
      <c r="F205" s="71"/>
      <c r="G205" s="71"/>
      <c r="H205" s="71"/>
      <c r="I205" s="71"/>
      <c r="J205" s="71"/>
      <c r="K205" s="71"/>
      <c r="L205" s="71"/>
      <c r="M205" s="71"/>
      <c r="N205" s="71"/>
      <c r="O205" s="71"/>
      <c r="P205" s="71"/>
      <c r="Q205" s="71"/>
      <c r="R205" s="71"/>
      <c r="T205" s="71"/>
      <c r="U205" s="71"/>
      <c r="V205" s="71"/>
      <c r="W205" s="71"/>
      <c r="X205" s="71"/>
      <c r="Y205" s="71"/>
      <c r="Z205" s="71"/>
    </row>
    <row r="206" spans="1:26" ht="14.25" customHeight="1">
      <c r="A206" s="71"/>
      <c r="B206" s="71"/>
      <c r="C206" s="71"/>
      <c r="D206" s="71"/>
      <c r="E206" s="71"/>
      <c r="F206" s="71"/>
      <c r="G206" s="71"/>
      <c r="H206" s="71"/>
      <c r="I206" s="71"/>
      <c r="J206" s="71"/>
      <c r="K206" s="71"/>
      <c r="L206" s="71"/>
      <c r="M206" s="71"/>
      <c r="N206" s="71"/>
      <c r="O206" s="71"/>
      <c r="P206" s="71"/>
      <c r="Q206" s="71"/>
      <c r="R206" s="71"/>
      <c r="T206" s="71"/>
      <c r="U206" s="71"/>
      <c r="V206" s="71"/>
      <c r="W206" s="71"/>
      <c r="X206" s="71"/>
      <c r="Y206" s="71"/>
      <c r="Z206" s="71"/>
    </row>
    <row r="207" spans="1:26" ht="14.25" customHeight="1">
      <c r="A207" s="71"/>
      <c r="B207" s="71"/>
      <c r="C207" s="71"/>
      <c r="D207" s="71"/>
      <c r="E207" s="71"/>
      <c r="F207" s="71"/>
      <c r="G207" s="71"/>
      <c r="H207" s="71"/>
      <c r="I207" s="71"/>
      <c r="J207" s="71"/>
      <c r="K207" s="71"/>
      <c r="L207" s="71"/>
      <c r="M207" s="71"/>
      <c r="N207" s="71"/>
      <c r="O207" s="71"/>
      <c r="P207" s="71"/>
      <c r="Q207" s="71"/>
      <c r="R207" s="71"/>
      <c r="T207" s="71"/>
      <c r="U207" s="71"/>
      <c r="V207" s="71"/>
      <c r="W207" s="71"/>
      <c r="X207" s="71"/>
      <c r="Y207" s="71"/>
      <c r="Z207" s="71"/>
    </row>
    <row r="208" spans="1:26" ht="14.25" customHeight="1">
      <c r="A208" s="71"/>
      <c r="B208" s="71"/>
      <c r="C208" s="71"/>
      <c r="D208" s="71"/>
      <c r="E208" s="71"/>
      <c r="F208" s="71"/>
      <c r="G208" s="71"/>
      <c r="H208" s="71"/>
      <c r="I208" s="71"/>
      <c r="J208" s="71"/>
      <c r="K208" s="71"/>
      <c r="L208" s="71"/>
      <c r="M208" s="71"/>
      <c r="N208" s="71"/>
      <c r="O208" s="71"/>
      <c r="P208" s="71"/>
      <c r="Q208" s="71"/>
      <c r="R208" s="71"/>
      <c r="T208" s="71"/>
      <c r="U208" s="71"/>
      <c r="V208" s="71"/>
      <c r="W208" s="71"/>
      <c r="X208" s="71"/>
      <c r="Y208" s="71"/>
      <c r="Z208" s="71"/>
    </row>
    <row r="209" spans="1:26" ht="14.25" customHeight="1">
      <c r="A209" s="71"/>
      <c r="B209" s="71"/>
      <c r="C209" s="71"/>
      <c r="D209" s="71"/>
      <c r="E209" s="71"/>
      <c r="F209" s="71"/>
      <c r="G209" s="71"/>
      <c r="H209" s="71"/>
      <c r="I209" s="71"/>
      <c r="J209" s="71"/>
      <c r="K209" s="71"/>
      <c r="L209" s="71"/>
      <c r="M209" s="71"/>
      <c r="N209" s="71"/>
      <c r="O209" s="71"/>
      <c r="P209" s="71"/>
      <c r="Q209" s="71"/>
      <c r="R209" s="71"/>
      <c r="T209" s="71"/>
      <c r="U209" s="71"/>
      <c r="V209" s="71"/>
      <c r="W209" s="71"/>
      <c r="X209" s="71"/>
      <c r="Y209" s="71"/>
      <c r="Z209" s="71"/>
    </row>
    <row r="210" spans="1:26" ht="14.25" customHeight="1">
      <c r="A210" s="71"/>
      <c r="B210" s="71"/>
      <c r="C210" s="71"/>
      <c r="D210" s="71"/>
      <c r="E210" s="71"/>
      <c r="F210" s="71"/>
      <c r="G210" s="71"/>
      <c r="H210" s="71"/>
      <c r="I210" s="71"/>
      <c r="J210" s="71"/>
      <c r="K210" s="71"/>
      <c r="L210" s="71"/>
      <c r="M210" s="71"/>
      <c r="N210" s="71"/>
      <c r="O210" s="71"/>
      <c r="P210" s="71"/>
      <c r="Q210" s="71"/>
      <c r="R210" s="71"/>
      <c r="T210" s="71"/>
      <c r="U210" s="71"/>
      <c r="V210" s="71"/>
      <c r="W210" s="71"/>
      <c r="X210" s="71"/>
      <c r="Y210" s="71"/>
      <c r="Z210" s="71"/>
    </row>
    <row r="211" spans="1:26" ht="14.25" customHeight="1">
      <c r="A211" s="71"/>
      <c r="B211" s="71"/>
      <c r="C211" s="71"/>
      <c r="D211" s="71"/>
      <c r="E211" s="71"/>
      <c r="F211" s="71"/>
      <c r="G211" s="71"/>
      <c r="H211" s="71"/>
      <c r="I211" s="71"/>
      <c r="J211" s="71"/>
      <c r="K211" s="71"/>
      <c r="L211" s="71"/>
      <c r="M211" s="71"/>
      <c r="N211" s="71"/>
      <c r="O211" s="71"/>
      <c r="P211" s="71"/>
      <c r="Q211" s="71"/>
      <c r="R211" s="71"/>
      <c r="T211" s="71"/>
      <c r="U211" s="71"/>
      <c r="V211" s="71"/>
      <c r="W211" s="71"/>
      <c r="X211" s="71"/>
      <c r="Y211" s="71"/>
      <c r="Z211" s="71"/>
    </row>
    <row r="212" spans="1:26" ht="14.25" customHeight="1">
      <c r="A212" s="71"/>
      <c r="B212" s="71"/>
      <c r="C212" s="71"/>
      <c r="D212" s="71"/>
      <c r="E212" s="71"/>
      <c r="F212" s="71"/>
      <c r="G212" s="71"/>
      <c r="H212" s="71"/>
      <c r="I212" s="71"/>
      <c r="J212" s="71"/>
      <c r="K212" s="71"/>
      <c r="L212" s="71"/>
      <c r="M212" s="71"/>
      <c r="N212" s="71"/>
      <c r="O212" s="71"/>
      <c r="P212" s="71"/>
      <c r="Q212" s="71"/>
      <c r="R212" s="71"/>
      <c r="T212" s="71"/>
      <c r="U212" s="71"/>
      <c r="V212" s="71"/>
      <c r="W212" s="71"/>
      <c r="X212" s="71"/>
      <c r="Y212" s="71"/>
      <c r="Z212" s="71"/>
    </row>
    <row r="213" spans="1:26" ht="14.25" customHeight="1">
      <c r="A213" s="71"/>
      <c r="B213" s="71"/>
      <c r="C213" s="71"/>
      <c r="D213" s="71"/>
      <c r="E213" s="71"/>
      <c r="F213" s="71"/>
      <c r="G213" s="71"/>
      <c r="H213" s="71"/>
      <c r="I213" s="71"/>
      <c r="J213" s="71"/>
      <c r="K213" s="71"/>
      <c r="L213" s="71"/>
      <c r="M213" s="71"/>
      <c r="N213" s="71"/>
      <c r="O213" s="71"/>
      <c r="P213" s="71"/>
      <c r="Q213" s="71"/>
      <c r="R213" s="71"/>
      <c r="T213" s="71"/>
      <c r="U213" s="71"/>
      <c r="V213" s="71"/>
      <c r="W213" s="71"/>
      <c r="X213" s="71"/>
      <c r="Y213" s="71"/>
      <c r="Z213" s="71"/>
    </row>
    <row r="214" spans="1:26" ht="14.25" customHeight="1">
      <c r="A214" s="71"/>
      <c r="B214" s="71"/>
      <c r="C214" s="71"/>
      <c r="D214" s="71"/>
      <c r="E214" s="71"/>
      <c r="F214" s="71"/>
      <c r="G214" s="71"/>
      <c r="H214" s="71"/>
      <c r="I214" s="71"/>
      <c r="J214" s="71"/>
      <c r="K214" s="71"/>
      <c r="L214" s="71"/>
      <c r="M214" s="71"/>
      <c r="N214" s="71"/>
      <c r="O214" s="71"/>
      <c r="P214" s="71"/>
      <c r="Q214" s="71"/>
      <c r="R214" s="71"/>
      <c r="T214" s="71"/>
      <c r="U214" s="71"/>
      <c r="V214" s="71"/>
      <c r="W214" s="71"/>
      <c r="X214" s="71"/>
      <c r="Y214" s="71"/>
      <c r="Z214" s="71"/>
    </row>
    <row r="215" spans="1:26" ht="14.25" customHeight="1">
      <c r="A215" s="71"/>
      <c r="B215" s="71"/>
      <c r="C215" s="71"/>
      <c r="D215" s="71"/>
      <c r="E215" s="71"/>
      <c r="F215" s="71"/>
      <c r="G215" s="71"/>
      <c r="H215" s="71"/>
      <c r="I215" s="71"/>
      <c r="J215" s="71"/>
      <c r="K215" s="71"/>
      <c r="L215" s="71"/>
      <c r="M215" s="71"/>
      <c r="N215" s="71"/>
      <c r="O215" s="71"/>
      <c r="P215" s="71"/>
      <c r="Q215" s="71"/>
      <c r="R215" s="71"/>
      <c r="T215" s="71"/>
      <c r="U215" s="71"/>
      <c r="V215" s="71"/>
      <c r="W215" s="71"/>
      <c r="X215" s="71"/>
      <c r="Y215" s="71"/>
      <c r="Z215" s="71"/>
    </row>
    <row r="216" spans="1:26" ht="14.25" customHeight="1">
      <c r="A216" s="71"/>
      <c r="B216" s="71"/>
      <c r="C216" s="71"/>
      <c r="D216" s="71"/>
      <c r="E216" s="71"/>
      <c r="F216" s="71"/>
      <c r="G216" s="71"/>
      <c r="H216" s="71"/>
      <c r="I216" s="71"/>
      <c r="J216" s="71"/>
      <c r="K216" s="71"/>
      <c r="L216" s="71"/>
      <c r="M216" s="71"/>
      <c r="N216" s="71"/>
      <c r="O216" s="71"/>
      <c r="P216" s="71"/>
      <c r="Q216" s="71"/>
      <c r="R216" s="71"/>
      <c r="T216" s="71"/>
      <c r="U216" s="71"/>
      <c r="V216" s="71"/>
      <c r="W216" s="71"/>
      <c r="X216" s="71"/>
      <c r="Y216" s="71"/>
      <c r="Z216" s="71"/>
    </row>
    <row r="217" spans="1:26" ht="14.25" customHeight="1">
      <c r="A217" s="71"/>
      <c r="B217" s="71"/>
      <c r="C217" s="71"/>
      <c r="D217" s="71"/>
      <c r="E217" s="71"/>
      <c r="F217" s="71"/>
      <c r="G217" s="71"/>
      <c r="H217" s="71"/>
      <c r="I217" s="71"/>
      <c r="J217" s="71"/>
      <c r="K217" s="71"/>
      <c r="L217" s="71"/>
      <c r="M217" s="71"/>
      <c r="N217" s="71"/>
      <c r="O217" s="71"/>
      <c r="P217" s="71"/>
      <c r="Q217" s="71"/>
      <c r="R217" s="71"/>
      <c r="T217" s="71"/>
      <c r="U217" s="71"/>
      <c r="V217" s="71"/>
      <c r="W217" s="71"/>
      <c r="X217" s="71"/>
      <c r="Y217" s="71"/>
      <c r="Z217" s="71"/>
    </row>
    <row r="218" spans="1:26" ht="14.25" customHeight="1">
      <c r="A218" s="71"/>
      <c r="B218" s="71"/>
      <c r="C218" s="71"/>
      <c r="D218" s="71"/>
      <c r="E218" s="71"/>
      <c r="F218" s="71"/>
      <c r="G218" s="71"/>
      <c r="H218" s="71"/>
      <c r="I218" s="71"/>
      <c r="J218" s="71"/>
      <c r="K218" s="71"/>
      <c r="L218" s="71"/>
      <c r="M218" s="71"/>
      <c r="N218" s="71"/>
      <c r="O218" s="71"/>
      <c r="P218" s="71"/>
      <c r="Q218" s="71"/>
      <c r="R218" s="71"/>
      <c r="T218" s="71"/>
      <c r="U218" s="71"/>
      <c r="V218" s="71"/>
      <c r="W218" s="71"/>
      <c r="X218" s="71"/>
      <c r="Y218" s="71"/>
      <c r="Z218" s="71"/>
    </row>
    <row r="219" spans="1:26" ht="14.25" customHeight="1">
      <c r="A219" s="71"/>
      <c r="B219" s="71"/>
      <c r="C219" s="71"/>
      <c r="D219" s="71"/>
      <c r="E219" s="71"/>
      <c r="F219" s="71"/>
      <c r="G219" s="71"/>
      <c r="H219" s="71"/>
      <c r="I219" s="71"/>
      <c r="J219" s="71"/>
      <c r="K219" s="71"/>
      <c r="L219" s="71"/>
      <c r="M219" s="71"/>
      <c r="N219" s="71"/>
      <c r="O219" s="71"/>
      <c r="P219" s="71"/>
      <c r="Q219" s="71"/>
      <c r="R219" s="71"/>
      <c r="T219" s="71"/>
      <c r="U219" s="71"/>
      <c r="V219" s="71"/>
      <c r="W219" s="71"/>
      <c r="X219" s="71"/>
      <c r="Y219" s="71"/>
      <c r="Z219" s="71"/>
    </row>
    <row r="220" spans="1:26" ht="14.25" customHeight="1">
      <c r="A220" s="71"/>
      <c r="B220" s="71"/>
      <c r="C220" s="71"/>
      <c r="D220" s="71"/>
      <c r="E220" s="71"/>
      <c r="F220" s="71"/>
      <c r="G220" s="71"/>
      <c r="H220" s="71"/>
      <c r="I220" s="71"/>
      <c r="J220" s="71"/>
      <c r="K220" s="71"/>
      <c r="L220" s="71"/>
      <c r="M220" s="71"/>
      <c r="N220" s="71"/>
      <c r="O220" s="71"/>
      <c r="P220" s="71"/>
      <c r="Q220" s="71"/>
      <c r="R220" s="71"/>
      <c r="T220" s="71"/>
      <c r="U220" s="71"/>
      <c r="V220" s="71"/>
      <c r="W220" s="71"/>
      <c r="X220" s="71"/>
      <c r="Y220" s="71"/>
      <c r="Z220" s="71"/>
    </row>
    <row r="221" spans="1:26" ht="14.25" customHeight="1">
      <c r="A221" s="71"/>
      <c r="B221" s="71"/>
      <c r="C221" s="71"/>
      <c r="D221" s="71"/>
      <c r="E221" s="71"/>
      <c r="F221" s="71"/>
      <c r="G221" s="71"/>
      <c r="H221" s="71"/>
      <c r="I221" s="71"/>
      <c r="J221" s="71"/>
      <c r="K221" s="71"/>
      <c r="L221" s="71"/>
      <c r="M221" s="71"/>
      <c r="N221" s="71"/>
      <c r="O221" s="71"/>
      <c r="P221" s="71"/>
      <c r="Q221" s="71"/>
      <c r="R221" s="71"/>
      <c r="T221" s="71"/>
      <c r="U221" s="71"/>
      <c r="V221" s="71"/>
      <c r="W221" s="71"/>
      <c r="X221" s="71"/>
      <c r="Y221" s="71"/>
      <c r="Z221" s="71"/>
    </row>
    <row r="222" spans="1:26" ht="14.25" customHeight="1">
      <c r="A222" s="71"/>
      <c r="B222" s="71"/>
      <c r="C222" s="71"/>
      <c r="D222" s="71"/>
      <c r="E222" s="71"/>
      <c r="F222" s="71"/>
      <c r="G222" s="71"/>
      <c r="H222" s="71"/>
      <c r="I222" s="71"/>
      <c r="J222" s="71"/>
      <c r="K222" s="71"/>
      <c r="L222" s="71"/>
      <c r="M222" s="71"/>
      <c r="N222" s="71"/>
      <c r="O222" s="71"/>
      <c r="P222" s="71"/>
      <c r="Q222" s="71"/>
      <c r="R222" s="71"/>
      <c r="T222" s="71"/>
      <c r="U222" s="71"/>
      <c r="V222" s="71"/>
      <c r="W222" s="71"/>
      <c r="X222" s="71"/>
      <c r="Y222" s="71"/>
      <c r="Z222" s="71"/>
    </row>
    <row r="223" spans="1:26" ht="14.25" customHeight="1">
      <c r="A223" s="71"/>
      <c r="B223" s="71"/>
      <c r="C223" s="71"/>
      <c r="D223" s="71"/>
      <c r="E223" s="71"/>
      <c r="F223" s="71"/>
      <c r="G223" s="71"/>
      <c r="H223" s="71"/>
      <c r="I223" s="71"/>
      <c r="J223" s="71"/>
      <c r="K223" s="71"/>
      <c r="L223" s="71"/>
      <c r="M223" s="71"/>
      <c r="N223" s="71"/>
      <c r="O223" s="71"/>
      <c r="P223" s="71"/>
      <c r="Q223" s="71"/>
      <c r="R223" s="71"/>
      <c r="T223" s="71"/>
      <c r="U223" s="71"/>
      <c r="V223" s="71"/>
      <c r="W223" s="71"/>
      <c r="X223" s="71"/>
      <c r="Y223" s="71"/>
      <c r="Z223" s="71"/>
    </row>
    <row r="224" spans="1:26" ht="14.25" customHeight="1">
      <c r="A224" s="71"/>
      <c r="B224" s="71"/>
      <c r="C224" s="71"/>
      <c r="D224" s="71"/>
      <c r="E224" s="71"/>
      <c r="F224" s="71"/>
      <c r="G224" s="71"/>
      <c r="H224" s="71"/>
      <c r="I224" s="71"/>
      <c r="J224" s="71"/>
      <c r="K224" s="71"/>
      <c r="L224" s="71"/>
      <c r="M224" s="71"/>
      <c r="N224" s="71"/>
      <c r="O224" s="71"/>
      <c r="P224" s="71"/>
      <c r="Q224" s="71"/>
      <c r="R224" s="71"/>
      <c r="T224" s="71"/>
      <c r="U224" s="71"/>
      <c r="V224" s="71"/>
      <c r="W224" s="71"/>
      <c r="X224" s="71"/>
      <c r="Y224" s="71"/>
      <c r="Z224" s="71"/>
    </row>
    <row r="225" spans="1:26" ht="14.25" customHeight="1">
      <c r="A225" s="71"/>
      <c r="B225" s="71"/>
      <c r="C225" s="71"/>
      <c r="D225" s="71"/>
      <c r="E225" s="71"/>
      <c r="F225" s="71"/>
      <c r="G225" s="71"/>
      <c r="H225" s="71"/>
      <c r="I225" s="71"/>
      <c r="J225" s="71"/>
      <c r="K225" s="71"/>
      <c r="L225" s="71"/>
      <c r="M225" s="71"/>
      <c r="N225" s="71"/>
      <c r="O225" s="71"/>
      <c r="P225" s="71"/>
      <c r="Q225" s="71"/>
      <c r="R225" s="71"/>
      <c r="T225" s="71"/>
      <c r="U225" s="71"/>
      <c r="V225" s="71"/>
      <c r="W225" s="71"/>
      <c r="X225" s="71"/>
      <c r="Y225" s="71"/>
      <c r="Z225" s="71"/>
    </row>
    <row r="226" spans="1:26" ht="14.25" customHeight="1">
      <c r="A226" s="71"/>
      <c r="B226" s="71"/>
      <c r="C226" s="71"/>
      <c r="D226" s="71"/>
      <c r="E226" s="71"/>
      <c r="F226" s="71"/>
      <c r="G226" s="71"/>
      <c r="H226" s="71"/>
      <c r="I226" s="71"/>
      <c r="J226" s="71"/>
      <c r="K226" s="71"/>
      <c r="L226" s="71"/>
      <c r="M226" s="71"/>
      <c r="N226" s="71"/>
      <c r="O226" s="71"/>
      <c r="P226" s="71"/>
      <c r="Q226" s="71"/>
      <c r="R226" s="71"/>
      <c r="T226" s="71"/>
      <c r="U226" s="71"/>
      <c r="V226" s="71"/>
      <c r="W226" s="71"/>
      <c r="X226" s="71"/>
      <c r="Y226" s="71"/>
      <c r="Z226" s="71"/>
    </row>
    <row r="227" spans="1:26" ht="14.25" customHeight="1">
      <c r="A227" s="71"/>
      <c r="B227" s="71"/>
      <c r="C227" s="71"/>
      <c r="D227" s="71"/>
      <c r="E227" s="71"/>
      <c r="F227" s="71"/>
      <c r="G227" s="71"/>
      <c r="H227" s="71"/>
      <c r="I227" s="71"/>
      <c r="J227" s="71"/>
      <c r="K227" s="71"/>
      <c r="L227" s="71"/>
      <c r="M227" s="71"/>
      <c r="N227" s="71"/>
      <c r="O227" s="71"/>
      <c r="P227" s="71"/>
      <c r="Q227" s="71"/>
      <c r="R227" s="71"/>
      <c r="T227" s="71"/>
      <c r="U227" s="71"/>
      <c r="V227" s="71"/>
      <c r="W227" s="71"/>
      <c r="X227" s="71"/>
      <c r="Y227" s="71"/>
      <c r="Z227" s="71"/>
    </row>
    <row r="228" spans="1:26" ht="14.25" customHeight="1">
      <c r="A228" s="71"/>
      <c r="B228" s="71"/>
      <c r="C228" s="71"/>
      <c r="D228" s="71"/>
      <c r="E228" s="71"/>
      <c r="F228" s="71"/>
      <c r="G228" s="71"/>
      <c r="H228" s="71"/>
      <c r="I228" s="71"/>
      <c r="J228" s="71"/>
      <c r="K228" s="71"/>
      <c r="L228" s="71"/>
      <c r="M228" s="71"/>
      <c r="N228" s="71"/>
      <c r="O228" s="71"/>
      <c r="P228" s="71"/>
      <c r="Q228" s="71"/>
      <c r="R228" s="71"/>
      <c r="T228" s="71"/>
      <c r="U228" s="71"/>
      <c r="V228" s="71"/>
      <c r="W228" s="71"/>
      <c r="X228" s="71"/>
      <c r="Y228" s="71"/>
      <c r="Z228" s="71"/>
    </row>
    <row r="229" spans="1:26" ht="14.25" customHeight="1">
      <c r="A229" s="71"/>
      <c r="B229" s="71"/>
      <c r="C229" s="71"/>
      <c r="D229" s="71"/>
      <c r="E229" s="71"/>
      <c r="F229" s="71"/>
      <c r="G229" s="71"/>
      <c r="H229" s="71"/>
      <c r="I229" s="71"/>
      <c r="J229" s="71"/>
      <c r="K229" s="71"/>
      <c r="L229" s="71"/>
      <c r="M229" s="71"/>
      <c r="N229" s="71"/>
      <c r="O229" s="71"/>
      <c r="P229" s="71"/>
      <c r="Q229" s="71"/>
      <c r="R229" s="71"/>
      <c r="T229" s="71"/>
      <c r="U229" s="71"/>
      <c r="V229" s="71"/>
      <c r="W229" s="71"/>
      <c r="X229" s="71"/>
      <c r="Y229" s="71"/>
      <c r="Z229" s="71"/>
    </row>
    <row r="230" spans="1:26" ht="14.25" customHeight="1">
      <c r="A230" s="71"/>
      <c r="B230" s="71"/>
      <c r="C230" s="71"/>
      <c r="D230" s="71"/>
      <c r="E230" s="71"/>
      <c r="F230" s="71"/>
      <c r="G230" s="71"/>
      <c r="H230" s="71"/>
      <c r="I230" s="71"/>
      <c r="J230" s="71"/>
      <c r="K230" s="71"/>
      <c r="L230" s="71"/>
      <c r="M230" s="71"/>
      <c r="N230" s="71"/>
      <c r="O230" s="71"/>
      <c r="P230" s="71"/>
      <c r="Q230" s="71"/>
      <c r="R230" s="71"/>
      <c r="T230" s="71"/>
      <c r="U230" s="71"/>
      <c r="V230" s="71"/>
      <c r="W230" s="71"/>
      <c r="X230" s="71"/>
      <c r="Y230" s="71"/>
      <c r="Z230" s="71"/>
    </row>
    <row r="231" spans="1:26" ht="14.25" customHeight="1">
      <c r="A231" s="71"/>
      <c r="B231" s="71"/>
      <c r="C231" s="71"/>
      <c r="D231" s="71"/>
      <c r="E231" s="71"/>
      <c r="F231" s="71"/>
      <c r="G231" s="71"/>
      <c r="H231" s="71"/>
      <c r="I231" s="71"/>
      <c r="J231" s="71"/>
      <c r="K231" s="71"/>
      <c r="L231" s="71"/>
      <c r="M231" s="71"/>
      <c r="N231" s="71"/>
      <c r="O231" s="71"/>
      <c r="P231" s="71"/>
      <c r="Q231" s="71"/>
      <c r="R231" s="71"/>
      <c r="T231" s="71"/>
      <c r="U231" s="71"/>
      <c r="V231" s="71"/>
      <c r="W231" s="71"/>
      <c r="X231" s="71"/>
      <c r="Y231" s="71"/>
      <c r="Z231" s="71"/>
    </row>
    <row r="232" spans="1:26" ht="14.25" customHeight="1">
      <c r="A232" s="71"/>
      <c r="B232" s="71"/>
      <c r="C232" s="71"/>
      <c r="D232" s="71"/>
      <c r="E232" s="71"/>
      <c r="F232" s="71"/>
      <c r="G232" s="71"/>
      <c r="H232" s="71"/>
      <c r="I232" s="71"/>
      <c r="J232" s="71"/>
      <c r="K232" s="71"/>
      <c r="L232" s="71"/>
      <c r="M232" s="71"/>
      <c r="N232" s="71"/>
      <c r="O232" s="71"/>
      <c r="P232" s="71"/>
      <c r="Q232" s="71"/>
      <c r="R232" s="71"/>
      <c r="T232" s="71"/>
      <c r="U232" s="71"/>
      <c r="V232" s="71"/>
      <c r="W232" s="71"/>
      <c r="X232" s="71"/>
      <c r="Y232" s="71"/>
      <c r="Z232" s="71"/>
    </row>
    <row r="233" spans="1:26" ht="14.25" customHeight="1">
      <c r="A233" s="71"/>
      <c r="B233" s="71"/>
      <c r="C233" s="71"/>
      <c r="D233" s="71"/>
      <c r="E233" s="71"/>
      <c r="F233" s="71"/>
      <c r="G233" s="71"/>
      <c r="H233" s="71"/>
      <c r="I233" s="71"/>
      <c r="J233" s="71"/>
      <c r="K233" s="71"/>
      <c r="L233" s="71"/>
      <c r="M233" s="71"/>
      <c r="N233" s="71"/>
      <c r="O233" s="71"/>
      <c r="P233" s="71"/>
      <c r="Q233" s="71"/>
      <c r="R233" s="71"/>
      <c r="T233" s="71"/>
      <c r="U233" s="71"/>
      <c r="V233" s="71"/>
      <c r="W233" s="71"/>
      <c r="X233" s="71"/>
      <c r="Y233" s="71"/>
      <c r="Z233" s="71"/>
    </row>
    <row r="234" spans="1:26" ht="14.25" customHeight="1">
      <c r="A234" s="71"/>
      <c r="B234" s="71"/>
      <c r="C234" s="71"/>
      <c r="D234" s="71"/>
      <c r="E234" s="71"/>
      <c r="F234" s="71"/>
      <c r="G234" s="71"/>
      <c r="H234" s="71"/>
      <c r="I234" s="71"/>
      <c r="J234" s="71"/>
      <c r="K234" s="71"/>
      <c r="L234" s="71"/>
      <c r="M234" s="71"/>
      <c r="N234" s="71"/>
      <c r="O234" s="71"/>
      <c r="P234" s="71"/>
      <c r="Q234" s="71"/>
      <c r="R234" s="71"/>
      <c r="T234" s="71"/>
      <c r="U234" s="71"/>
      <c r="V234" s="71"/>
      <c r="W234" s="71"/>
      <c r="X234" s="71"/>
      <c r="Y234" s="71"/>
      <c r="Z234" s="71"/>
    </row>
    <row r="235" spans="1:26" ht="14.25" customHeight="1">
      <c r="A235" s="71"/>
      <c r="B235" s="71"/>
      <c r="C235" s="71"/>
      <c r="D235" s="71"/>
      <c r="E235" s="71"/>
      <c r="F235" s="71"/>
      <c r="G235" s="71"/>
      <c r="H235" s="71"/>
      <c r="I235" s="71"/>
      <c r="J235" s="71"/>
      <c r="K235" s="71"/>
      <c r="L235" s="71"/>
      <c r="M235" s="71"/>
      <c r="N235" s="71"/>
      <c r="O235" s="71"/>
      <c r="P235" s="71"/>
      <c r="Q235" s="71"/>
      <c r="R235" s="71"/>
      <c r="T235" s="71"/>
      <c r="U235" s="71"/>
      <c r="V235" s="71"/>
      <c r="W235" s="71"/>
      <c r="X235" s="71"/>
      <c r="Y235" s="71"/>
      <c r="Z235" s="71"/>
    </row>
    <row r="236" spans="1:26" ht="14.25" customHeight="1">
      <c r="A236" s="71"/>
      <c r="B236" s="71"/>
      <c r="C236" s="71"/>
      <c r="D236" s="71"/>
      <c r="E236" s="71"/>
      <c r="F236" s="71"/>
      <c r="G236" s="71"/>
      <c r="H236" s="71"/>
      <c r="I236" s="71"/>
      <c r="J236" s="71"/>
      <c r="K236" s="71"/>
      <c r="L236" s="71"/>
      <c r="M236" s="71"/>
      <c r="N236" s="71"/>
      <c r="O236" s="71"/>
      <c r="P236" s="71"/>
      <c r="Q236" s="71"/>
      <c r="R236" s="71"/>
      <c r="T236" s="71"/>
      <c r="U236" s="71"/>
      <c r="V236" s="71"/>
      <c r="W236" s="71"/>
      <c r="X236" s="71"/>
      <c r="Y236" s="71"/>
      <c r="Z236" s="71"/>
    </row>
    <row r="237" spans="1:26" ht="14.25" customHeight="1">
      <c r="A237" s="71"/>
      <c r="B237" s="71"/>
      <c r="C237" s="71"/>
      <c r="D237" s="71"/>
      <c r="E237" s="71"/>
      <c r="F237" s="71"/>
      <c r="G237" s="71"/>
      <c r="H237" s="71"/>
      <c r="I237" s="71"/>
      <c r="J237" s="71"/>
      <c r="K237" s="71"/>
      <c r="L237" s="71"/>
      <c r="M237" s="71"/>
      <c r="N237" s="71"/>
      <c r="O237" s="71"/>
      <c r="P237" s="71"/>
      <c r="Q237" s="71"/>
      <c r="R237" s="71"/>
      <c r="T237" s="71"/>
      <c r="U237" s="71"/>
      <c r="V237" s="71"/>
      <c r="W237" s="71"/>
      <c r="X237" s="71"/>
      <c r="Y237" s="71"/>
      <c r="Z237" s="71"/>
    </row>
    <row r="238" spans="1:26" ht="14.25" customHeight="1">
      <c r="A238" s="71"/>
      <c r="B238" s="71"/>
      <c r="C238" s="71"/>
      <c r="D238" s="71"/>
      <c r="E238" s="71"/>
      <c r="F238" s="71"/>
      <c r="G238" s="71"/>
      <c r="H238" s="71"/>
      <c r="I238" s="71"/>
      <c r="J238" s="71"/>
      <c r="K238" s="71"/>
      <c r="L238" s="71"/>
      <c r="M238" s="71"/>
      <c r="N238" s="71"/>
      <c r="O238" s="71"/>
      <c r="P238" s="71"/>
      <c r="Q238" s="71"/>
      <c r="R238" s="71"/>
      <c r="T238" s="71"/>
      <c r="U238" s="71"/>
      <c r="V238" s="71"/>
      <c r="W238" s="71"/>
      <c r="X238" s="71"/>
      <c r="Y238" s="71"/>
      <c r="Z238" s="71"/>
    </row>
    <row r="239" spans="1:26" ht="14.25" customHeight="1">
      <c r="A239" s="71"/>
      <c r="B239" s="71"/>
      <c r="C239" s="71"/>
      <c r="D239" s="71"/>
      <c r="E239" s="71"/>
      <c r="F239" s="71"/>
      <c r="G239" s="71"/>
      <c r="H239" s="71"/>
      <c r="I239" s="71"/>
      <c r="J239" s="71"/>
      <c r="K239" s="71"/>
      <c r="L239" s="71"/>
      <c r="M239" s="71"/>
      <c r="N239" s="71"/>
      <c r="O239" s="71"/>
      <c r="P239" s="71"/>
      <c r="Q239" s="71"/>
      <c r="R239" s="71"/>
      <c r="T239" s="71"/>
      <c r="U239" s="71"/>
      <c r="V239" s="71"/>
      <c r="W239" s="71"/>
      <c r="X239" s="71"/>
      <c r="Y239" s="71"/>
      <c r="Z239" s="71"/>
    </row>
    <row r="240" spans="1:26" ht="14.25" customHeight="1">
      <c r="A240" s="71"/>
      <c r="B240" s="71"/>
      <c r="C240" s="71"/>
      <c r="D240" s="71"/>
      <c r="E240" s="71"/>
      <c r="F240" s="71"/>
      <c r="G240" s="71"/>
      <c r="H240" s="71"/>
      <c r="I240" s="71"/>
      <c r="J240" s="71"/>
      <c r="K240" s="71"/>
      <c r="L240" s="71"/>
      <c r="M240" s="71"/>
      <c r="N240" s="71"/>
      <c r="O240" s="71"/>
      <c r="P240" s="71"/>
      <c r="Q240" s="71"/>
      <c r="R240" s="71"/>
      <c r="T240" s="71"/>
      <c r="U240" s="71"/>
      <c r="V240" s="71"/>
      <c r="W240" s="71"/>
      <c r="X240" s="71"/>
      <c r="Y240" s="71"/>
      <c r="Z240" s="71"/>
    </row>
    <row r="241" spans="1:26" ht="14.25" customHeight="1">
      <c r="A241" s="71"/>
      <c r="B241" s="71"/>
      <c r="C241" s="71"/>
      <c r="D241" s="71"/>
      <c r="E241" s="71"/>
      <c r="F241" s="71"/>
      <c r="G241" s="71"/>
      <c r="H241" s="71"/>
      <c r="I241" s="71"/>
      <c r="J241" s="71"/>
      <c r="K241" s="71"/>
      <c r="L241" s="71"/>
      <c r="M241" s="71"/>
      <c r="N241" s="71"/>
      <c r="O241" s="71"/>
      <c r="P241" s="71"/>
      <c r="Q241" s="71"/>
      <c r="R241" s="71"/>
      <c r="T241" s="71"/>
      <c r="U241" s="71"/>
      <c r="V241" s="71"/>
      <c r="W241" s="71"/>
      <c r="X241" s="71"/>
      <c r="Y241" s="71"/>
      <c r="Z241" s="71"/>
    </row>
    <row r="242" spans="1:26" ht="14.25" customHeight="1">
      <c r="A242" s="71"/>
      <c r="B242" s="71"/>
      <c r="C242" s="71"/>
      <c r="D242" s="71"/>
      <c r="E242" s="71"/>
      <c r="F242" s="71"/>
      <c r="G242" s="71"/>
      <c r="H242" s="71"/>
      <c r="I242" s="71"/>
      <c r="J242" s="71"/>
      <c r="K242" s="71"/>
      <c r="L242" s="71"/>
      <c r="M242" s="71"/>
      <c r="N242" s="71"/>
      <c r="O242" s="71"/>
      <c r="P242" s="71"/>
      <c r="Q242" s="71"/>
      <c r="R242" s="71"/>
      <c r="T242" s="71"/>
      <c r="U242" s="71"/>
      <c r="V242" s="71"/>
      <c r="W242" s="71"/>
      <c r="X242" s="71"/>
      <c r="Y242" s="71"/>
      <c r="Z242" s="71"/>
    </row>
    <row r="243" spans="1:26" ht="14.25" customHeight="1">
      <c r="A243" s="71"/>
      <c r="B243" s="71"/>
      <c r="C243" s="71"/>
      <c r="D243" s="71"/>
      <c r="E243" s="71"/>
      <c r="F243" s="71"/>
      <c r="G243" s="71"/>
      <c r="H243" s="71"/>
      <c r="I243" s="71"/>
      <c r="J243" s="71"/>
      <c r="K243" s="71"/>
      <c r="L243" s="71"/>
      <c r="M243" s="71"/>
      <c r="N243" s="71"/>
      <c r="O243" s="71"/>
      <c r="P243" s="71"/>
      <c r="Q243" s="71"/>
      <c r="R243" s="71"/>
      <c r="T243" s="71"/>
      <c r="U243" s="71"/>
      <c r="V243" s="71"/>
      <c r="W243" s="71"/>
      <c r="X243" s="71"/>
      <c r="Y243" s="71"/>
      <c r="Z243" s="71"/>
    </row>
    <row r="244" spans="1:26" ht="14.25" customHeight="1">
      <c r="A244" s="71"/>
      <c r="B244" s="71"/>
      <c r="C244" s="71"/>
      <c r="D244" s="71"/>
      <c r="E244" s="71"/>
      <c r="F244" s="71"/>
      <c r="G244" s="71"/>
      <c r="H244" s="71"/>
      <c r="I244" s="71"/>
      <c r="J244" s="71"/>
      <c r="K244" s="71"/>
      <c r="L244" s="71"/>
      <c r="M244" s="71"/>
      <c r="N244" s="71"/>
      <c r="O244" s="71"/>
      <c r="P244" s="71"/>
      <c r="Q244" s="71"/>
      <c r="R244" s="71"/>
      <c r="T244" s="71"/>
      <c r="U244" s="71"/>
      <c r="V244" s="71"/>
      <c r="W244" s="71"/>
      <c r="X244" s="71"/>
      <c r="Y244" s="71"/>
      <c r="Z244" s="71"/>
    </row>
    <row r="245" spans="1:26" ht="14.25" customHeight="1">
      <c r="A245" s="71"/>
      <c r="B245" s="71"/>
      <c r="C245" s="71"/>
      <c r="D245" s="71"/>
      <c r="E245" s="71"/>
      <c r="F245" s="71"/>
      <c r="G245" s="71"/>
      <c r="H245" s="71"/>
      <c r="I245" s="71"/>
      <c r="J245" s="71"/>
      <c r="K245" s="71"/>
      <c r="L245" s="71"/>
      <c r="M245" s="71"/>
      <c r="N245" s="71"/>
      <c r="O245" s="71"/>
      <c r="P245" s="71"/>
      <c r="Q245" s="71"/>
      <c r="R245" s="71"/>
      <c r="T245" s="71"/>
      <c r="U245" s="71"/>
      <c r="V245" s="71"/>
      <c r="W245" s="71"/>
      <c r="X245" s="71"/>
      <c r="Y245" s="71"/>
      <c r="Z245" s="71"/>
    </row>
    <row r="246" spans="1:26" ht="14.25" customHeight="1">
      <c r="A246" s="71"/>
      <c r="B246" s="71"/>
      <c r="C246" s="71"/>
      <c r="D246" s="71"/>
      <c r="E246" s="71"/>
      <c r="F246" s="71"/>
      <c r="G246" s="71"/>
      <c r="H246" s="71"/>
      <c r="I246" s="71"/>
      <c r="J246" s="71"/>
      <c r="K246" s="71"/>
      <c r="L246" s="71"/>
      <c r="M246" s="71"/>
      <c r="N246" s="71"/>
      <c r="O246" s="71"/>
      <c r="P246" s="71"/>
      <c r="Q246" s="71"/>
      <c r="R246" s="71"/>
      <c r="T246" s="71"/>
      <c r="U246" s="71"/>
      <c r="V246" s="71"/>
      <c r="W246" s="71"/>
      <c r="X246" s="71"/>
      <c r="Y246" s="71"/>
      <c r="Z246" s="71"/>
    </row>
    <row r="247" spans="1:26" ht="14.25" customHeight="1">
      <c r="A247" s="71"/>
      <c r="B247" s="71"/>
      <c r="C247" s="71"/>
      <c r="D247" s="71"/>
      <c r="E247" s="71"/>
      <c r="F247" s="71"/>
      <c r="G247" s="71"/>
      <c r="H247" s="71"/>
      <c r="I247" s="71"/>
      <c r="J247" s="71"/>
      <c r="K247" s="71"/>
      <c r="L247" s="71"/>
      <c r="M247" s="71"/>
      <c r="N247" s="71"/>
      <c r="O247" s="71"/>
      <c r="P247" s="71"/>
      <c r="Q247" s="71"/>
      <c r="R247" s="71"/>
      <c r="T247" s="71"/>
      <c r="U247" s="71"/>
      <c r="V247" s="71"/>
      <c r="W247" s="71"/>
      <c r="X247" s="71"/>
      <c r="Y247" s="71"/>
      <c r="Z247" s="71"/>
    </row>
    <row r="248" spans="1:26" ht="14.25" customHeight="1">
      <c r="A248" s="71"/>
      <c r="B248" s="71"/>
      <c r="C248" s="71"/>
      <c r="D248" s="71"/>
      <c r="E248" s="71"/>
      <c r="F248" s="71"/>
      <c r="G248" s="71"/>
      <c r="H248" s="71"/>
      <c r="I248" s="71"/>
      <c r="J248" s="71"/>
      <c r="K248" s="71"/>
      <c r="L248" s="71"/>
      <c r="M248" s="71"/>
      <c r="N248" s="71"/>
      <c r="O248" s="71"/>
      <c r="P248" s="71"/>
      <c r="Q248" s="71"/>
      <c r="R248" s="71"/>
      <c r="T248" s="71"/>
      <c r="U248" s="71"/>
      <c r="V248" s="71"/>
      <c r="W248" s="71"/>
      <c r="X248" s="71"/>
      <c r="Y248" s="71"/>
      <c r="Z248" s="71"/>
    </row>
    <row r="249" spans="1:26" ht="14.25" customHeight="1">
      <c r="A249" s="71"/>
      <c r="B249" s="71"/>
      <c r="C249" s="71"/>
      <c r="D249" s="71"/>
      <c r="E249" s="71"/>
      <c r="F249" s="71"/>
      <c r="G249" s="71"/>
      <c r="H249" s="71"/>
      <c r="I249" s="71"/>
      <c r="J249" s="71"/>
      <c r="K249" s="71"/>
      <c r="L249" s="71"/>
      <c r="M249" s="71"/>
      <c r="N249" s="71"/>
      <c r="O249" s="71"/>
      <c r="P249" s="71"/>
      <c r="Q249" s="71"/>
      <c r="R249" s="71"/>
      <c r="T249" s="71"/>
      <c r="U249" s="71"/>
      <c r="V249" s="71"/>
      <c r="W249" s="71"/>
      <c r="X249" s="71"/>
      <c r="Y249" s="71"/>
      <c r="Z249" s="71"/>
    </row>
    <row r="250" spans="1:26" ht="14.25" customHeight="1">
      <c r="A250" s="71"/>
      <c r="B250" s="71"/>
      <c r="C250" s="71"/>
      <c r="D250" s="71"/>
      <c r="E250" s="71"/>
      <c r="F250" s="71"/>
      <c r="G250" s="71"/>
      <c r="H250" s="71"/>
      <c r="I250" s="71"/>
      <c r="J250" s="71"/>
      <c r="K250" s="71"/>
      <c r="L250" s="71"/>
      <c r="M250" s="71"/>
      <c r="N250" s="71"/>
      <c r="O250" s="71"/>
      <c r="P250" s="71"/>
      <c r="Q250" s="71"/>
      <c r="R250" s="71"/>
      <c r="T250" s="71"/>
      <c r="U250" s="71"/>
      <c r="V250" s="71"/>
      <c r="W250" s="71"/>
      <c r="X250" s="71"/>
      <c r="Y250" s="71"/>
      <c r="Z250" s="71"/>
    </row>
    <row r="251" spans="1:26" ht="14.25" customHeight="1">
      <c r="A251" s="71"/>
      <c r="B251" s="71"/>
      <c r="C251" s="71"/>
      <c r="D251" s="71"/>
      <c r="E251" s="71"/>
      <c r="F251" s="71"/>
      <c r="G251" s="71"/>
      <c r="H251" s="71"/>
      <c r="I251" s="71"/>
      <c r="J251" s="71"/>
      <c r="K251" s="71"/>
      <c r="L251" s="71"/>
      <c r="M251" s="71"/>
      <c r="N251" s="71"/>
      <c r="O251" s="71"/>
      <c r="P251" s="71"/>
      <c r="Q251" s="71"/>
      <c r="R251" s="71"/>
      <c r="T251" s="71"/>
      <c r="U251" s="71"/>
      <c r="V251" s="71"/>
      <c r="W251" s="71"/>
      <c r="X251" s="71"/>
      <c r="Y251" s="71"/>
      <c r="Z251" s="71"/>
    </row>
    <row r="252" spans="1:26" ht="14.25" customHeight="1">
      <c r="A252" s="71"/>
      <c r="B252" s="71"/>
      <c r="C252" s="71"/>
      <c r="D252" s="71"/>
      <c r="E252" s="71"/>
      <c r="F252" s="71"/>
      <c r="G252" s="71"/>
      <c r="H252" s="71"/>
      <c r="I252" s="71"/>
      <c r="J252" s="71"/>
      <c r="K252" s="71"/>
      <c r="L252" s="71"/>
      <c r="M252" s="71"/>
      <c r="N252" s="71"/>
      <c r="O252" s="71"/>
      <c r="P252" s="71"/>
      <c r="Q252" s="71"/>
      <c r="R252" s="71"/>
      <c r="T252" s="71"/>
      <c r="U252" s="71"/>
      <c r="V252" s="71"/>
      <c r="W252" s="71"/>
      <c r="X252" s="71"/>
      <c r="Y252" s="71"/>
      <c r="Z252" s="71"/>
    </row>
    <row r="253" spans="1:26" ht="14.25" customHeight="1">
      <c r="A253" s="71"/>
      <c r="B253" s="71"/>
      <c r="C253" s="71"/>
      <c r="D253" s="71"/>
      <c r="E253" s="71"/>
      <c r="F253" s="71"/>
      <c r="G253" s="71"/>
      <c r="H253" s="71"/>
      <c r="I253" s="71"/>
      <c r="J253" s="71"/>
      <c r="K253" s="71"/>
      <c r="L253" s="71"/>
      <c r="M253" s="71"/>
      <c r="N253" s="71"/>
      <c r="O253" s="71"/>
      <c r="P253" s="71"/>
      <c r="Q253" s="71"/>
      <c r="R253" s="71"/>
      <c r="T253" s="71"/>
      <c r="U253" s="71"/>
      <c r="V253" s="71"/>
      <c r="W253" s="71"/>
      <c r="X253" s="71"/>
      <c r="Y253" s="71"/>
      <c r="Z253" s="71"/>
    </row>
    <row r="254" spans="1:26" ht="14.25" customHeight="1">
      <c r="A254" s="71"/>
      <c r="B254" s="71"/>
      <c r="C254" s="71"/>
      <c r="D254" s="71"/>
      <c r="E254" s="71"/>
      <c r="F254" s="71"/>
      <c r="G254" s="71"/>
      <c r="H254" s="71"/>
      <c r="I254" s="71"/>
      <c r="J254" s="71"/>
      <c r="K254" s="71"/>
      <c r="L254" s="71"/>
      <c r="M254" s="71"/>
      <c r="N254" s="71"/>
      <c r="O254" s="71"/>
      <c r="P254" s="71"/>
      <c r="Q254" s="71"/>
      <c r="R254" s="71"/>
      <c r="T254" s="71"/>
      <c r="U254" s="71"/>
      <c r="V254" s="71"/>
      <c r="W254" s="71"/>
      <c r="X254" s="71"/>
      <c r="Y254" s="71"/>
      <c r="Z254" s="71"/>
    </row>
    <row r="255" spans="1:26" ht="14.25" customHeight="1">
      <c r="A255" s="71"/>
      <c r="B255" s="71"/>
      <c r="C255" s="71"/>
      <c r="D255" s="71"/>
      <c r="E255" s="71"/>
      <c r="F255" s="71"/>
      <c r="G255" s="71"/>
      <c r="H255" s="71"/>
      <c r="I255" s="71"/>
      <c r="J255" s="71"/>
      <c r="K255" s="71"/>
      <c r="L255" s="71"/>
      <c r="M255" s="71"/>
      <c r="N255" s="71"/>
      <c r="O255" s="71"/>
      <c r="P255" s="71"/>
      <c r="Q255" s="71"/>
      <c r="R255" s="71"/>
      <c r="T255" s="71"/>
      <c r="U255" s="71"/>
      <c r="V255" s="71"/>
      <c r="W255" s="71"/>
      <c r="X255" s="71"/>
      <c r="Y255" s="71"/>
      <c r="Z255" s="71"/>
    </row>
    <row r="256" spans="1:26" ht="14.25" customHeight="1">
      <c r="A256" s="71"/>
      <c r="B256" s="71"/>
      <c r="C256" s="71"/>
      <c r="D256" s="71"/>
      <c r="E256" s="71"/>
      <c r="F256" s="71"/>
      <c r="G256" s="71"/>
      <c r="H256" s="71"/>
      <c r="I256" s="71"/>
      <c r="J256" s="71"/>
      <c r="K256" s="71"/>
      <c r="L256" s="71"/>
      <c r="M256" s="71"/>
      <c r="N256" s="71"/>
      <c r="O256" s="71"/>
      <c r="P256" s="71"/>
      <c r="Q256" s="71"/>
      <c r="R256" s="71"/>
      <c r="T256" s="71"/>
      <c r="U256" s="71"/>
      <c r="V256" s="71"/>
      <c r="W256" s="71"/>
      <c r="X256" s="71"/>
      <c r="Y256" s="71"/>
      <c r="Z256" s="71"/>
    </row>
    <row r="257" spans="1:26" ht="14.25" customHeight="1">
      <c r="A257" s="71"/>
      <c r="B257" s="71"/>
      <c r="C257" s="71"/>
      <c r="D257" s="71"/>
      <c r="E257" s="71"/>
      <c r="F257" s="71"/>
      <c r="G257" s="71"/>
      <c r="H257" s="71"/>
      <c r="I257" s="71"/>
      <c r="J257" s="71"/>
      <c r="K257" s="71"/>
      <c r="L257" s="71"/>
      <c r="M257" s="71"/>
      <c r="N257" s="71"/>
      <c r="O257" s="71"/>
      <c r="P257" s="71"/>
      <c r="Q257" s="71"/>
      <c r="R257" s="71"/>
      <c r="T257" s="71"/>
      <c r="U257" s="71"/>
      <c r="V257" s="71"/>
      <c r="W257" s="71"/>
      <c r="X257" s="71"/>
      <c r="Y257" s="71"/>
      <c r="Z257" s="71"/>
    </row>
    <row r="258" spans="1:26" ht="14.25" customHeight="1">
      <c r="A258" s="71"/>
      <c r="B258" s="71"/>
      <c r="C258" s="71"/>
      <c r="D258" s="71"/>
      <c r="E258" s="71"/>
      <c r="F258" s="71"/>
      <c r="G258" s="71"/>
      <c r="H258" s="71"/>
      <c r="I258" s="71"/>
      <c r="J258" s="71"/>
      <c r="K258" s="71"/>
      <c r="L258" s="71"/>
      <c r="M258" s="71"/>
      <c r="N258" s="71"/>
      <c r="O258" s="71"/>
      <c r="P258" s="71"/>
      <c r="Q258" s="71"/>
      <c r="R258" s="71"/>
      <c r="T258" s="71"/>
      <c r="U258" s="71"/>
      <c r="V258" s="71"/>
      <c r="W258" s="71"/>
      <c r="X258" s="71"/>
      <c r="Y258" s="71"/>
      <c r="Z258" s="71"/>
    </row>
    <row r="259" spans="1:26" ht="14.25" customHeight="1">
      <c r="A259" s="71"/>
      <c r="B259" s="71"/>
      <c r="C259" s="71"/>
      <c r="D259" s="71"/>
      <c r="E259" s="71"/>
      <c r="F259" s="71"/>
      <c r="G259" s="71"/>
      <c r="H259" s="71"/>
      <c r="I259" s="71"/>
      <c r="J259" s="71"/>
      <c r="K259" s="71"/>
      <c r="L259" s="71"/>
      <c r="M259" s="71"/>
      <c r="N259" s="71"/>
      <c r="O259" s="71"/>
      <c r="P259" s="71"/>
      <c r="Q259" s="71"/>
      <c r="R259" s="71"/>
      <c r="T259" s="71"/>
      <c r="U259" s="71"/>
      <c r="V259" s="71"/>
      <c r="W259" s="71"/>
      <c r="X259" s="71"/>
      <c r="Y259" s="71"/>
      <c r="Z259" s="71"/>
    </row>
    <row r="260" spans="1:26" ht="14.25" customHeight="1">
      <c r="A260" s="71"/>
      <c r="B260" s="71"/>
      <c r="C260" s="71"/>
      <c r="D260" s="71"/>
      <c r="E260" s="71"/>
      <c r="F260" s="71"/>
      <c r="G260" s="71"/>
      <c r="H260" s="71"/>
      <c r="I260" s="71"/>
      <c r="J260" s="71"/>
      <c r="K260" s="71"/>
      <c r="L260" s="71"/>
      <c r="M260" s="71"/>
      <c r="N260" s="71"/>
      <c r="O260" s="71"/>
      <c r="P260" s="71"/>
      <c r="Q260" s="71"/>
      <c r="R260" s="71"/>
      <c r="T260" s="71"/>
      <c r="U260" s="71"/>
      <c r="V260" s="71"/>
      <c r="W260" s="71"/>
      <c r="X260" s="71"/>
      <c r="Y260" s="71"/>
      <c r="Z260" s="71"/>
    </row>
    <row r="261" spans="1:26" ht="14.25" customHeight="1">
      <c r="A261" s="71"/>
      <c r="B261" s="71"/>
      <c r="C261" s="71"/>
      <c r="D261" s="71"/>
      <c r="E261" s="71"/>
      <c r="F261" s="71"/>
      <c r="G261" s="71"/>
      <c r="H261" s="71"/>
      <c r="I261" s="71"/>
      <c r="J261" s="71"/>
      <c r="K261" s="71"/>
      <c r="L261" s="71"/>
      <c r="M261" s="71"/>
      <c r="N261" s="71"/>
      <c r="O261" s="71"/>
      <c r="P261" s="71"/>
      <c r="Q261" s="71"/>
      <c r="R261" s="71"/>
      <c r="T261" s="71"/>
      <c r="U261" s="71"/>
      <c r="V261" s="71"/>
      <c r="W261" s="71"/>
      <c r="X261" s="71"/>
      <c r="Y261" s="71"/>
      <c r="Z261" s="71"/>
    </row>
    <row r="262" spans="1:26" ht="14.25" customHeight="1">
      <c r="A262" s="71"/>
      <c r="B262" s="71"/>
      <c r="C262" s="71"/>
      <c r="D262" s="71"/>
      <c r="E262" s="71"/>
      <c r="F262" s="71"/>
      <c r="G262" s="71"/>
      <c r="H262" s="71"/>
      <c r="I262" s="71"/>
      <c r="J262" s="71"/>
      <c r="K262" s="71"/>
      <c r="L262" s="71"/>
      <c r="M262" s="71"/>
      <c r="N262" s="71"/>
      <c r="O262" s="71"/>
      <c r="P262" s="71"/>
      <c r="Q262" s="71"/>
      <c r="R262" s="71"/>
      <c r="T262" s="71"/>
      <c r="U262" s="71"/>
      <c r="V262" s="71"/>
      <c r="W262" s="71"/>
      <c r="X262" s="71"/>
      <c r="Y262" s="71"/>
      <c r="Z262" s="71"/>
    </row>
    <row r="263" spans="1:26" ht="14.25" customHeight="1">
      <c r="A263" s="71"/>
      <c r="B263" s="71"/>
      <c r="C263" s="71"/>
      <c r="D263" s="71"/>
      <c r="E263" s="71"/>
      <c r="F263" s="71"/>
      <c r="G263" s="71"/>
      <c r="H263" s="71"/>
      <c r="I263" s="71"/>
      <c r="J263" s="71"/>
      <c r="K263" s="71"/>
      <c r="L263" s="71"/>
      <c r="M263" s="71"/>
      <c r="N263" s="71"/>
      <c r="O263" s="71"/>
      <c r="P263" s="71"/>
      <c r="Q263" s="71"/>
      <c r="R263" s="71"/>
      <c r="T263" s="71"/>
      <c r="U263" s="71"/>
      <c r="V263" s="71"/>
      <c r="W263" s="71"/>
      <c r="X263" s="71"/>
      <c r="Y263" s="71"/>
      <c r="Z263" s="71"/>
    </row>
    <row r="264" spans="1:26" ht="14.25" customHeight="1">
      <c r="A264" s="71"/>
      <c r="B264" s="71"/>
      <c r="C264" s="71"/>
      <c r="D264" s="71"/>
      <c r="E264" s="71"/>
      <c r="F264" s="71"/>
      <c r="G264" s="71"/>
      <c r="H264" s="71"/>
      <c r="I264" s="71"/>
      <c r="J264" s="71"/>
      <c r="K264" s="71"/>
      <c r="L264" s="71"/>
      <c r="M264" s="71"/>
      <c r="N264" s="71"/>
      <c r="O264" s="71"/>
      <c r="P264" s="71"/>
      <c r="Q264" s="71"/>
      <c r="R264" s="71"/>
      <c r="T264" s="71"/>
      <c r="U264" s="71"/>
      <c r="V264" s="71"/>
      <c r="W264" s="71"/>
      <c r="X264" s="71"/>
      <c r="Y264" s="71"/>
      <c r="Z264" s="71"/>
    </row>
    <row r="265" spans="1:26" ht="14.25" customHeight="1">
      <c r="A265" s="71"/>
      <c r="B265" s="71"/>
      <c r="C265" s="71"/>
      <c r="D265" s="71"/>
      <c r="E265" s="71"/>
      <c r="F265" s="71"/>
      <c r="G265" s="71"/>
      <c r="H265" s="71"/>
      <c r="I265" s="71"/>
      <c r="J265" s="71"/>
      <c r="K265" s="71"/>
      <c r="L265" s="71"/>
      <c r="M265" s="71"/>
      <c r="N265" s="71"/>
      <c r="O265" s="71"/>
      <c r="P265" s="71"/>
      <c r="Q265" s="71"/>
      <c r="R265" s="71"/>
      <c r="T265" s="71"/>
      <c r="U265" s="71"/>
      <c r="V265" s="71"/>
      <c r="W265" s="71"/>
      <c r="X265" s="71"/>
      <c r="Y265" s="71"/>
      <c r="Z265" s="71"/>
    </row>
    <row r="266" spans="1:26" ht="14.25" customHeight="1">
      <c r="A266" s="71"/>
      <c r="B266" s="71"/>
      <c r="C266" s="71"/>
      <c r="D266" s="71"/>
      <c r="E266" s="71"/>
      <c r="F266" s="71"/>
      <c r="G266" s="71"/>
      <c r="H266" s="71"/>
      <c r="I266" s="71"/>
      <c r="J266" s="71"/>
      <c r="K266" s="71"/>
      <c r="L266" s="71"/>
      <c r="M266" s="71"/>
      <c r="N266" s="71"/>
      <c r="O266" s="71"/>
      <c r="P266" s="71"/>
      <c r="Q266" s="71"/>
      <c r="R266" s="71"/>
      <c r="T266" s="71"/>
      <c r="U266" s="71"/>
      <c r="V266" s="71"/>
      <c r="W266" s="71"/>
      <c r="X266" s="71"/>
      <c r="Y266" s="71"/>
      <c r="Z266" s="71"/>
    </row>
    <row r="267" spans="1:26" ht="14.25" customHeight="1">
      <c r="A267" s="71"/>
      <c r="B267" s="71"/>
      <c r="C267" s="71"/>
      <c r="D267" s="71"/>
      <c r="E267" s="71"/>
      <c r="F267" s="71"/>
      <c r="G267" s="71"/>
      <c r="H267" s="71"/>
      <c r="I267" s="71"/>
      <c r="J267" s="71"/>
      <c r="K267" s="71"/>
      <c r="L267" s="71"/>
      <c r="M267" s="71"/>
      <c r="N267" s="71"/>
      <c r="O267" s="71"/>
      <c r="P267" s="71"/>
      <c r="Q267" s="71"/>
      <c r="R267" s="71"/>
      <c r="T267" s="71"/>
      <c r="U267" s="71"/>
      <c r="V267" s="71"/>
      <c r="W267" s="71"/>
      <c r="X267" s="71"/>
      <c r="Y267" s="71"/>
      <c r="Z267" s="71"/>
    </row>
    <row r="268" spans="1:26" ht="14.25" customHeight="1">
      <c r="A268" s="71"/>
      <c r="B268" s="71"/>
      <c r="C268" s="71"/>
      <c r="D268" s="71"/>
      <c r="E268" s="71"/>
      <c r="F268" s="71"/>
      <c r="G268" s="71"/>
      <c r="H268" s="71"/>
      <c r="I268" s="71"/>
      <c r="J268" s="71"/>
      <c r="K268" s="71"/>
      <c r="L268" s="71"/>
      <c r="M268" s="71"/>
      <c r="N268" s="71"/>
      <c r="O268" s="71"/>
      <c r="P268" s="71"/>
      <c r="Q268" s="71"/>
      <c r="R268" s="71"/>
      <c r="T268" s="71"/>
      <c r="U268" s="71"/>
      <c r="V268" s="71"/>
      <c r="W268" s="71"/>
      <c r="X268" s="71"/>
      <c r="Y268" s="71"/>
      <c r="Z268" s="71"/>
    </row>
    <row r="269" spans="1:26" ht="14.25" customHeight="1">
      <c r="A269" s="71"/>
      <c r="B269" s="71"/>
      <c r="C269" s="71"/>
      <c r="D269" s="71"/>
      <c r="E269" s="71"/>
      <c r="F269" s="71"/>
      <c r="G269" s="71"/>
      <c r="H269" s="71"/>
      <c r="I269" s="71"/>
      <c r="J269" s="71"/>
      <c r="K269" s="71"/>
      <c r="L269" s="71"/>
      <c r="M269" s="71"/>
      <c r="N269" s="71"/>
      <c r="O269" s="71"/>
      <c r="P269" s="71"/>
      <c r="Q269" s="71"/>
      <c r="R269" s="71"/>
      <c r="T269" s="71"/>
      <c r="U269" s="71"/>
      <c r="V269" s="71"/>
      <c r="W269" s="71"/>
      <c r="X269" s="71"/>
      <c r="Y269" s="71"/>
      <c r="Z269" s="71"/>
    </row>
    <row r="270" spans="1:26" ht="14.25" customHeight="1">
      <c r="A270" s="71"/>
      <c r="B270" s="71"/>
      <c r="C270" s="71"/>
      <c r="D270" s="71"/>
      <c r="E270" s="71"/>
      <c r="F270" s="71"/>
      <c r="G270" s="71"/>
      <c r="H270" s="71"/>
      <c r="I270" s="71"/>
      <c r="J270" s="71"/>
      <c r="K270" s="71"/>
      <c r="L270" s="71"/>
      <c r="M270" s="71"/>
      <c r="N270" s="71"/>
      <c r="O270" s="71"/>
      <c r="P270" s="71"/>
      <c r="Q270" s="71"/>
      <c r="R270" s="71"/>
      <c r="T270" s="71"/>
      <c r="U270" s="71"/>
      <c r="V270" s="71"/>
      <c r="W270" s="71"/>
      <c r="X270" s="71"/>
      <c r="Y270" s="71"/>
      <c r="Z270" s="71"/>
    </row>
    <row r="271" spans="1:26" ht="14.25" customHeight="1">
      <c r="A271" s="71"/>
      <c r="B271" s="71"/>
      <c r="C271" s="71"/>
      <c r="D271" s="71"/>
      <c r="E271" s="71"/>
      <c r="F271" s="71"/>
      <c r="G271" s="71"/>
      <c r="H271" s="71"/>
      <c r="I271" s="71"/>
      <c r="J271" s="71"/>
      <c r="K271" s="71"/>
      <c r="L271" s="71"/>
      <c r="M271" s="71"/>
      <c r="N271" s="71"/>
      <c r="O271" s="71"/>
      <c r="P271" s="71"/>
      <c r="Q271" s="71"/>
      <c r="R271" s="71"/>
      <c r="T271" s="71"/>
      <c r="U271" s="71"/>
      <c r="V271" s="71"/>
      <c r="W271" s="71"/>
      <c r="X271" s="71"/>
      <c r="Y271" s="71"/>
      <c r="Z271" s="71"/>
    </row>
    <row r="272" spans="1:26" ht="14.25" customHeight="1">
      <c r="A272" s="71"/>
      <c r="B272" s="71"/>
      <c r="C272" s="71"/>
      <c r="D272" s="71"/>
      <c r="E272" s="71"/>
      <c r="F272" s="71"/>
      <c r="G272" s="71"/>
      <c r="H272" s="71"/>
      <c r="I272" s="71"/>
      <c r="J272" s="71"/>
      <c r="K272" s="71"/>
      <c r="L272" s="71"/>
      <c r="M272" s="71"/>
      <c r="N272" s="71"/>
      <c r="O272" s="71"/>
      <c r="P272" s="71"/>
      <c r="Q272" s="71"/>
      <c r="R272" s="71"/>
      <c r="T272" s="71"/>
      <c r="U272" s="71"/>
      <c r="V272" s="71"/>
      <c r="W272" s="71"/>
      <c r="X272" s="71"/>
      <c r="Y272" s="71"/>
      <c r="Z272" s="71"/>
    </row>
    <row r="273" spans="1:26" ht="14.25" customHeight="1">
      <c r="A273" s="71"/>
      <c r="B273" s="71"/>
      <c r="C273" s="71"/>
      <c r="D273" s="71"/>
      <c r="E273" s="71"/>
      <c r="F273" s="71"/>
      <c r="G273" s="71"/>
      <c r="H273" s="71"/>
      <c r="I273" s="71"/>
      <c r="J273" s="71"/>
      <c r="K273" s="71"/>
      <c r="L273" s="71"/>
      <c r="M273" s="71"/>
      <c r="N273" s="71"/>
      <c r="O273" s="71"/>
      <c r="P273" s="71"/>
      <c r="Q273" s="71"/>
      <c r="R273" s="71"/>
      <c r="T273" s="71"/>
      <c r="U273" s="71"/>
      <c r="V273" s="71"/>
      <c r="W273" s="71"/>
      <c r="X273" s="71"/>
      <c r="Y273" s="71"/>
      <c r="Z273" s="71"/>
    </row>
    <row r="274" spans="1:26" ht="14.25" customHeight="1">
      <c r="A274" s="71"/>
      <c r="B274" s="71"/>
      <c r="C274" s="71"/>
      <c r="D274" s="71"/>
      <c r="E274" s="71"/>
      <c r="F274" s="71"/>
      <c r="G274" s="71"/>
      <c r="H274" s="71"/>
      <c r="I274" s="71"/>
      <c r="J274" s="71"/>
      <c r="K274" s="71"/>
      <c r="L274" s="71"/>
      <c r="M274" s="71"/>
      <c r="N274" s="71"/>
      <c r="O274" s="71"/>
      <c r="P274" s="71"/>
      <c r="Q274" s="71"/>
      <c r="R274" s="71"/>
      <c r="T274" s="71"/>
      <c r="U274" s="71"/>
      <c r="V274" s="71"/>
      <c r="W274" s="71"/>
      <c r="X274" s="71"/>
      <c r="Y274" s="71"/>
      <c r="Z274" s="71"/>
    </row>
    <row r="275" spans="1:26" ht="14.25" customHeight="1">
      <c r="A275" s="71"/>
      <c r="B275" s="71"/>
      <c r="C275" s="71"/>
      <c r="D275" s="71"/>
      <c r="E275" s="71"/>
      <c r="F275" s="71"/>
      <c r="G275" s="71"/>
      <c r="H275" s="71"/>
      <c r="I275" s="71"/>
      <c r="J275" s="71"/>
      <c r="K275" s="71"/>
      <c r="L275" s="71"/>
      <c r="M275" s="71"/>
      <c r="N275" s="71"/>
      <c r="O275" s="71"/>
      <c r="P275" s="71"/>
      <c r="Q275" s="71"/>
      <c r="R275" s="71"/>
      <c r="T275" s="71"/>
      <c r="U275" s="71"/>
      <c r="V275" s="71"/>
      <c r="W275" s="71"/>
      <c r="X275" s="71"/>
      <c r="Y275" s="71"/>
      <c r="Z275" s="71"/>
    </row>
    <row r="276" spans="1:26" ht="14.25" customHeight="1">
      <c r="A276" s="71"/>
      <c r="B276" s="71"/>
      <c r="C276" s="71"/>
      <c r="D276" s="71"/>
      <c r="E276" s="71"/>
      <c r="F276" s="71"/>
      <c r="G276" s="71"/>
      <c r="H276" s="71"/>
      <c r="I276" s="71"/>
      <c r="J276" s="71"/>
      <c r="K276" s="71"/>
      <c r="L276" s="71"/>
      <c r="M276" s="71"/>
      <c r="N276" s="71"/>
      <c r="O276" s="71"/>
      <c r="P276" s="71"/>
      <c r="Q276" s="71"/>
      <c r="R276" s="71"/>
      <c r="T276" s="71"/>
      <c r="U276" s="71"/>
      <c r="V276" s="71"/>
      <c r="W276" s="71"/>
      <c r="X276" s="71"/>
      <c r="Y276" s="71"/>
      <c r="Z276" s="71"/>
    </row>
    <row r="277" spans="1:26" ht="14.25" customHeight="1">
      <c r="A277" s="71"/>
      <c r="B277" s="71"/>
      <c r="C277" s="71"/>
      <c r="D277" s="71"/>
      <c r="E277" s="71"/>
      <c r="F277" s="71"/>
      <c r="G277" s="71"/>
      <c r="H277" s="71"/>
      <c r="I277" s="71"/>
      <c r="J277" s="71"/>
      <c r="K277" s="71"/>
      <c r="L277" s="71"/>
      <c r="M277" s="71"/>
      <c r="N277" s="71"/>
      <c r="O277" s="71"/>
      <c r="P277" s="71"/>
      <c r="Q277" s="71"/>
      <c r="R277" s="71"/>
      <c r="T277" s="71"/>
      <c r="U277" s="71"/>
      <c r="V277" s="71"/>
      <c r="W277" s="71"/>
      <c r="X277" s="71"/>
      <c r="Y277" s="71"/>
      <c r="Z277" s="71"/>
    </row>
    <row r="278" spans="1:26" ht="14.25" customHeight="1">
      <c r="A278" s="71"/>
      <c r="B278" s="71"/>
      <c r="C278" s="71"/>
      <c r="D278" s="71"/>
      <c r="E278" s="71"/>
      <c r="F278" s="71"/>
      <c r="G278" s="71"/>
      <c r="H278" s="71"/>
      <c r="I278" s="71"/>
      <c r="J278" s="71"/>
      <c r="K278" s="71"/>
      <c r="L278" s="71"/>
      <c r="M278" s="71"/>
      <c r="N278" s="71"/>
      <c r="O278" s="71"/>
      <c r="P278" s="71"/>
      <c r="Q278" s="71"/>
      <c r="R278" s="71"/>
      <c r="T278" s="71"/>
      <c r="U278" s="71"/>
      <c r="V278" s="71"/>
      <c r="W278" s="71"/>
      <c r="X278" s="71"/>
      <c r="Y278" s="71"/>
      <c r="Z278" s="71"/>
    </row>
    <row r="279" spans="1:26" ht="14.25" customHeight="1">
      <c r="A279" s="71"/>
      <c r="B279" s="71"/>
      <c r="C279" s="71"/>
      <c r="D279" s="71"/>
      <c r="E279" s="71"/>
      <c r="F279" s="71"/>
      <c r="G279" s="71"/>
      <c r="H279" s="71"/>
      <c r="I279" s="71"/>
      <c r="J279" s="71"/>
      <c r="K279" s="71"/>
      <c r="L279" s="71"/>
      <c r="M279" s="71"/>
      <c r="N279" s="71"/>
      <c r="O279" s="71"/>
      <c r="P279" s="71"/>
      <c r="Q279" s="71"/>
      <c r="R279" s="71"/>
      <c r="T279" s="71"/>
      <c r="U279" s="71"/>
      <c r="V279" s="71"/>
      <c r="W279" s="71"/>
      <c r="X279" s="71"/>
      <c r="Y279" s="71"/>
      <c r="Z279" s="71"/>
    </row>
    <row r="280" spans="1:26" ht="14.25" customHeight="1">
      <c r="A280" s="71"/>
      <c r="B280" s="71"/>
      <c r="C280" s="71"/>
      <c r="D280" s="71"/>
      <c r="E280" s="71"/>
      <c r="F280" s="71"/>
      <c r="G280" s="71"/>
      <c r="H280" s="71"/>
      <c r="I280" s="71"/>
      <c r="J280" s="71"/>
      <c r="K280" s="71"/>
      <c r="L280" s="71"/>
      <c r="M280" s="71"/>
      <c r="N280" s="71"/>
      <c r="O280" s="71"/>
      <c r="P280" s="71"/>
      <c r="Q280" s="71"/>
      <c r="R280" s="71"/>
      <c r="T280" s="71"/>
      <c r="U280" s="71"/>
      <c r="V280" s="71"/>
      <c r="W280" s="71"/>
      <c r="X280" s="71"/>
      <c r="Y280" s="71"/>
      <c r="Z280" s="71"/>
    </row>
    <row r="281" spans="1:26" ht="14.25" customHeight="1">
      <c r="A281" s="71"/>
      <c r="B281" s="71"/>
      <c r="C281" s="71"/>
      <c r="D281" s="71"/>
      <c r="E281" s="71"/>
      <c r="F281" s="71"/>
      <c r="G281" s="71"/>
      <c r="H281" s="71"/>
      <c r="I281" s="71"/>
      <c r="J281" s="71"/>
      <c r="K281" s="71"/>
      <c r="L281" s="71"/>
      <c r="M281" s="71"/>
      <c r="N281" s="71"/>
      <c r="O281" s="71"/>
      <c r="P281" s="71"/>
      <c r="Q281" s="71"/>
      <c r="R281" s="71"/>
      <c r="T281" s="71"/>
      <c r="U281" s="71"/>
      <c r="V281" s="71"/>
      <c r="W281" s="71"/>
      <c r="X281" s="71"/>
      <c r="Y281" s="71"/>
      <c r="Z281" s="71"/>
    </row>
    <row r="282" spans="1:26" ht="14.25" customHeight="1">
      <c r="A282" s="71"/>
      <c r="B282" s="71"/>
      <c r="C282" s="71"/>
      <c r="D282" s="71"/>
      <c r="E282" s="71"/>
      <c r="F282" s="71"/>
      <c r="G282" s="71"/>
      <c r="H282" s="71"/>
      <c r="I282" s="71"/>
      <c r="J282" s="71"/>
      <c r="K282" s="71"/>
      <c r="L282" s="71"/>
      <c r="M282" s="71"/>
      <c r="N282" s="71"/>
      <c r="O282" s="71"/>
      <c r="P282" s="71"/>
      <c r="Q282" s="71"/>
      <c r="R282" s="71"/>
      <c r="T282" s="71"/>
      <c r="U282" s="71"/>
      <c r="V282" s="71"/>
      <c r="W282" s="71"/>
      <c r="X282" s="71"/>
      <c r="Y282" s="71"/>
      <c r="Z282" s="71"/>
    </row>
    <row r="283" spans="1:26" ht="14.25" customHeight="1">
      <c r="A283" s="71"/>
      <c r="B283" s="71"/>
      <c r="C283" s="71"/>
      <c r="D283" s="71"/>
      <c r="E283" s="71"/>
      <c r="F283" s="71"/>
      <c r="G283" s="71"/>
      <c r="H283" s="71"/>
      <c r="I283" s="71"/>
      <c r="J283" s="71"/>
      <c r="K283" s="71"/>
      <c r="L283" s="71"/>
      <c r="M283" s="71"/>
      <c r="N283" s="71"/>
      <c r="O283" s="71"/>
      <c r="P283" s="71"/>
      <c r="Q283" s="71"/>
      <c r="R283" s="71"/>
      <c r="T283" s="71"/>
      <c r="U283" s="71"/>
      <c r="V283" s="71"/>
      <c r="W283" s="71"/>
      <c r="X283" s="71"/>
      <c r="Y283" s="71"/>
      <c r="Z283" s="71"/>
    </row>
    <row r="284" spans="1:26" ht="14.25" customHeight="1">
      <c r="A284" s="71"/>
      <c r="B284" s="71"/>
      <c r="C284" s="71"/>
      <c r="D284" s="71"/>
      <c r="E284" s="71"/>
      <c r="F284" s="71"/>
      <c r="G284" s="71"/>
      <c r="H284" s="71"/>
      <c r="I284" s="71"/>
      <c r="J284" s="71"/>
      <c r="K284" s="71"/>
      <c r="L284" s="71"/>
      <c r="M284" s="71"/>
      <c r="N284" s="71"/>
      <c r="O284" s="71"/>
      <c r="P284" s="71"/>
      <c r="Q284" s="71"/>
      <c r="R284" s="71"/>
      <c r="T284" s="71"/>
      <c r="U284" s="71"/>
      <c r="V284" s="71"/>
      <c r="W284" s="71"/>
      <c r="X284" s="71"/>
      <c r="Y284" s="71"/>
      <c r="Z284" s="71"/>
    </row>
    <row r="285" spans="1:26" ht="14.25" customHeight="1">
      <c r="A285" s="71"/>
      <c r="B285" s="71"/>
      <c r="C285" s="71"/>
      <c r="D285" s="71"/>
      <c r="E285" s="71"/>
      <c r="F285" s="71"/>
      <c r="G285" s="71"/>
      <c r="H285" s="71"/>
      <c r="I285" s="71"/>
      <c r="J285" s="71"/>
      <c r="K285" s="71"/>
      <c r="L285" s="71"/>
      <c r="M285" s="71"/>
      <c r="N285" s="71"/>
      <c r="O285" s="71"/>
      <c r="P285" s="71"/>
      <c r="Q285" s="71"/>
      <c r="R285" s="71"/>
      <c r="T285" s="71"/>
      <c r="U285" s="71"/>
      <c r="V285" s="71"/>
      <c r="W285" s="71"/>
      <c r="X285" s="71"/>
      <c r="Y285" s="71"/>
      <c r="Z285" s="71"/>
    </row>
    <row r="286" spans="1:26" ht="14.25" customHeight="1">
      <c r="A286" s="71"/>
      <c r="B286" s="71"/>
      <c r="C286" s="71"/>
      <c r="D286" s="71"/>
      <c r="E286" s="71"/>
      <c r="F286" s="71"/>
      <c r="G286" s="71"/>
      <c r="H286" s="71"/>
      <c r="I286" s="71"/>
      <c r="J286" s="71"/>
      <c r="K286" s="71"/>
      <c r="L286" s="71"/>
      <c r="M286" s="71"/>
      <c r="N286" s="71"/>
      <c r="O286" s="71"/>
      <c r="P286" s="71"/>
      <c r="Q286" s="71"/>
      <c r="R286" s="71"/>
      <c r="T286" s="71"/>
      <c r="U286" s="71"/>
      <c r="V286" s="71"/>
      <c r="W286" s="71"/>
      <c r="X286" s="71"/>
      <c r="Y286" s="71"/>
      <c r="Z286" s="71"/>
    </row>
    <row r="287" spans="1:26" ht="14.25" customHeight="1">
      <c r="A287" s="71"/>
      <c r="B287" s="71"/>
      <c r="C287" s="71"/>
      <c r="D287" s="71"/>
      <c r="E287" s="71"/>
      <c r="F287" s="71"/>
      <c r="G287" s="71"/>
      <c r="H287" s="71"/>
      <c r="I287" s="71"/>
      <c r="J287" s="71"/>
      <c r="K287" s="71"/>
      <c r="L287" s="71"/>
      <c r="M287" s="71"/>
      <c r="N287" s="71"/>
      <c r="O287" s="71"/>
      <c r="P287" s="71"/>
      <c r="Q287" s="71"/>
      <c r="R287" s="71"/>
      <c r="T287" s="71"/>
      <c r="U287" s="71"/>
      <c r="V287" s="71"/>
      <c r="W287" s="71"/>
      <c r="X287" s="71"/>
      <c r="Y287" s="71"/>
      <c r="Z287" s="71"/>
    </row>
    <row r="288" spans="1:26" ht="14.25" customHeight="1">
      <c r="A288" s="71"/>
      <c r="B288" s="71"/>
      <c r="C288" s="71"/>
      <c r="D288" s="71"/>
      <c r="E288" s="71"/>
      <c r="F288" s="71"/>
      <c r="G288" s="71"/>
      <c r="H288" s="71"/>
      <c r="I288" s="71"/>
      <c r="J288" s="71"/>
      <c r="K288" s="71"/>
      <c r="L288" s="71"/>
      <c r="M288" s="71"/>
      <c r="N288" s="71"/>
      <c r="O288" s="71"/>
      <c r="P288" s="71"/>
      <c r="Q288" s="71"/>
      <c r="R288" s="71"/>
      <c r="T288" s="71"/>
      <c r="U288" s="71"/>
      <c r="V288" s="71"/>
      <c r="W288" s="71"/>
      <c r="X288" s="71"/>
      <c r="Y288" s="71"/>
      <c r="Z288" s="71"/>
    </row>
    <row r="289" spans="1:26" ht="14.25" customHeight="1">
      <c r="A289" s="71"/>
      <c r="B289" s="71"/>
      <c r="C289" s="71"/>
      <c r="D289" s="71"/>
      <c r="E289" s="71"/>
      <c r="F289" s="71"/>
      <c r="G289" s="71"/>
      <c r="H289" s="71"/>
      <c r="I289" s="71"/>
      <c r="J289" s="71"/>
      <c r="K289" s="71"/>
      <c r="L289" s="71"/>
      <c r="M289" s="71"/>
      <c r="N289" s="71"/>
      <c r="O289" s="71"/>
      <c r="P289" s="71"/>
      <c r="Q289" s="71"/>
      <c r="R289" s="71"/>
      <c r="T289" s="71"/>
      <c r="U289" s="71"/>
      <c r="V289" s="71"/>
      <c r="W289" s="71"/>
      <c r="X289" s="71"/>
      <c r="Y289" s="71"/>
      <c r="Z289" s="71"/>
    </row>
    <row r="290" spans="1:26" ht="14.25" customHeight="1">
      <c r="A290" s="71"/>
      <c r="B290" s="71"/>
      <c r="C290" s="71"/>
      <c r="D290" s="71"/>
      <c r="E290" s="71"/>
      <c r="F290" s="71"/>
      <c r="G290" s="71"/>
      <c r="H290" s="71"/>
      <c r="I290" s="71"/>
      <c r="J290" s="71"/>
      <c r="K290" s="71"/>
      <c r="L290" s="71"/>
      <c r="M290" s="71"/>
      <c r="N290" s="71"/>
      <c r="O290" s="71"/>
      <c r="P290" s="71"/>
      <c r="Q290" s="71"/>
      <c r="R290" s="71"/>
      <c r="T290" s="71"/>
      <c r="U290" s="71"/>
      <c r="V290" s="71"/>
      <c r="W290" s="71"/>
      <c r="X290" s="71"/>
      <c r="Y290" s="71"/>
      <c r="Z290" s="71"/>
    </row>
    <row r="291" spans="1:26" ht="14.25" customHeight="1">
      <c r="A291" s="71"/>
      <c r="B291" s="71"/>
      <c r="C291" s="71"/>
      <c r="D291" s="71"/>
      <c r="E291" s="71"/>
      <c r="F291" s="71"/>
      <c r="G291" s="71"/>
      <c r="H291" s="71"/>
      <c r="I291" s="71"/>
      <c r="J291" s="71"/>
      <c r="K291" s="71"/>
      <c r="L291" s="71"/>
      <c r="M291" s="71"/>
      <c r="N291" s="71"/>
      <c r="O291" s="71"/>
      <c r="P291" s="71"/>
      <c r="Q291" s="71"/>
      <c r="R291" s="71"/>
      <c r="T291" s="71"/>
      <c r="U291" s="71"/>
      <c r="V291" s="71"/>
      <c r="W291" s="71"/>
      <c r="X291" s="71"/>
      <c r="Y291" s="71"/>
      <c r="Z291" s="71"/>
    </row>
    <row r="292" spans="1:26" ht="14.25" customHeight="1">
      <c r="A292" s="71"/>
      <c r="B292" s="71"/>
      <c r="C292" s="71"/>
      <c r="D292" s="71"/>
      <c r="E292" s="71"/>
      <c r="F292" s="71"/>
      <c r="G292" s="71"/>
      <c r="H292" s="71"/>
      <c r="I292" s="71"/>
      <c r="J292" s="71"/>
      <c r="K292" s="71"/>
      <c r="L292" s="71"/>
      <c r="M292" s="71"/>
      <c r="N292" s="71"/>
      <c r="O292" s="71"/>
      <c r="P292" s="71"/>
      <c r="Q292" s="71"/>
      <c r="R292" s="71"/>
      <c r="T292" s="71"/>
      <c r="U292" s="71"/>
      <c r="V292" s="71"/>
      <c r="W292" s="71"/>
      <c r="X292" s="71"/>
      <c r="Y292" s="71"/>
      <c r="Z292" s="71"/>
    </row>
    <row r="293" spans="1:26" ht="14.25" customHeight="1">
      <c r="A293" s="71"/>
      <c r="B293" s="71"/>
      <c r="C293" s="71"/>
      <c r="D293" s="71"/>
      <c r="E293" s="71"/>
      <c r="F293" s="71"/>
      <c r="G293" s="71"/>
      <c r="H293" s="71"/>
      <c r="I293" s="71"/>
      <c r="J293" s="71"/>
      <c r="K293" s="71"/>
      <c r="L293" s="71"/>
      <c r="M293" s="71"/>
      <c r="N293" s="71"/>
      <c r="O293" s="71"/>
      <c r="P293" s="71"/>
      <c r="Q293" s="71"/>
      <c r="R293" s="71"/>
      <c r="T293" s="71"/>
      <c r="U293" s="71"/>
      <c r="V293" s="71"/>
      <c r="W293" s="71"/>
      <c r="X293" s="71"/>
      <c r="Y293" s="71"/>
      <c r="Z293" s="71"/>
    </row>
    <row r="294" spans="1:26" ht="14.25" customHeight="1">
      <c r="A294" s="71"/>
      <c r="B294" s="71"/>
      <c r="C294" s="71"/>
      <c r="D294" s="71"/>
      <c r="E294" s="71"/>
      <c r="F294" s="71"/>
      <c r="G294" s="71"/>
      <c r="H294" s="71"/>
      <c r="I294" s="71"/>
      <c r="J294" s="71"/>
      <c r="K294" s="71"/>
      <c r="L294" s="71"/>
      <c r="M294" s="71"/>
      <c r="N294" s="71"/>
      <c r="O294" s="71"/>
      <c r="P294" s="71"/>
      <c r="Q294" s="71"/>
      <c r="R294" s="71"/>
      <c r="T294" s="71"/>
      <c r="U294" s="71"/>
      <c r="V294" s="71"/>
      <c r="W294" s="71"/>
      <c r="X294" s="71"/>
      <c r="Y294" s="71"/>
      <c r="Z294" s="71"/>
    </row>
    <row r="295" spans="1:26" ht="14.25" customHeight="1">
      <c r="A295" s="71"/>
      <c r="B295" s="71"/>
      <c r="C295" s="71"/>
      <c r="D295" s="71"/>
      <c r="E295" s="71"/>
      <c r="F295" s="71"/>
      <c r="G295" s="71"/>
      <c r="H295" s="71"/>
      <c r="I295" s="71"/>
      <c r="J295" s="71"/>
      <c r="K295" s="71"/>
      <c r="L295" s="71"/>
      <c r="M295" s="71"/>
      <c r="N295" s="71"/>
      <c r="O295" s="71"/>
      <c r="P295" s="71"/>
      <c r="Q295" s="71"/>
      <c r="R295" s="71"/>
      <c r="T295" s="71"/>
      <c r="U295" s="71"/>
      <c r="V295" s="71"/>
      <c r="W295" s="71"/>
      <c r="X295" s="71"/>
      <c r="Y295" s="71"/>
      <c r="Z295" s="71"/>
    </row>
    <row r="296" spans="1:26" ht="14.25" customHeight="1">
      <c r="A296" s="71"/>
      <c r="B296" s="71"/>
      <c r="C296" s="71"/>
      <c r="D296" s="71"/>
      <c r="E296" s="71"/>
      <c r="F296" s="71"/>
      <c r="G296" s="71"/>
      <c r="H296" s="71"/>
      <c r="I296" s="71"/>
      <c r="J296" s="71"/>
      <c r="K296" s="71"/>
      <c r="L296" s="71"/>
      <c r="M296" s="71"/>
      <c r="N296" s="71"/>
      <c r="O296" s="71"/>
      <c r="P296" s="71"/>
      <c r="Q296" s="71"/>
      <c r="R296" s="71"/>
      <c r="T296" s="71"/>
      <c r="U296" s="71"/>
      <c r="V296" s="71"/>
      <c r="W296" s="71"/>
      <c r="X296" s="71"/>
      <c r="Y296" s="71"/>
      <c r="Z296" s="71"/>
    </row>
    <row r="297" spans="1:26" ht="14.25" customHeight="1">
      <c r="A297" s="71"/>
      <c r="B297" s="71"/>
      <c r="C297" s="71"/>
      <c r="D297" s="71"/>
      <c r="E297" s="71"/>
      <c r="F297" s="71"/>
      <c r="G297" s="71"/>
      <c r="H297" s="71"/>
      <c r="I297" s="71"/>
      <c r="J297" s="71"/>
      <c r="K297" s="71"/>
      <c r="L297" s="71"/>
      <c r="M297" s="71"/>
      <c r="N297" s="71"/>
      <c r="O297" s="71"/>
      <c r="P297" s="71"/>
      <c r="Q297" s="71"/>
      <c r="R297" s="71"/>
      <c r="T297" s="71"/>
      <c r="U297" s="71"/>
      <c r="V297" s="71"/>
      <c r="W297" s="71"/>
      <c r="X297" s="71"/>
      <c r="Y297" s="71"/>
      <c r="Z297" s="71"/>
    </row>
    <row r="298" spans="1:26" ht="14.25" customHeight="1">
      <c r="A298" s="71"/>
      <c r="B298" s="71"/>
      <c r="C298" s="71"/>
      <c r="D298" s="71"/>
      <c r="E298" s="71"/>
      <c r="F298" s="71"/>
      <c r="G298" s="71"/>
      <c r="H298" s="71"/>
      <c r="I298" s="71"/>
      <c r="J298" s="71"/>
      <c r="K298" s="71"/>
      <c r="L298" s="71"/>
      <c r="M298" s="71"/>
      <c r="N298" s="71"/>
      <c r="O298" s="71"/>
      <c r="P298" s="71"/>
      <c r="Q298" s="71"/>
      <c r="R298" s="71"/>
      <c r="T298" s="71"/>
      <c r="U298" s="71"/>
      <c r="V298" s="71"/>
      <c r="W298" s="71"/>
      <c r="X298" s="71"/>
      <c r="Y298" s="71"/>
      <c r="Z298" s="71"/>
    </row>
    <row r="299" spans="1:26" ht="14.25" customHeight="1">
      <c r="A299" s="71"/>
      <c r="B299" s="71"/>
      <c r="C299" s="71"/>
      <c r="D299" s="71"/>
      <c r="E299" s="71"/>
      <c r="F299" s="71"/>
      <c r="G299" s="71"/>
      <c r="H299" s="71"/>
      <c r="I299" s="71"/>
      <c r="J299" s="71"/>
      <c r="K299" s="71"/>
      <c r="L299" s="71"/>
      <c r="M299" s="71"/>
      <c r="N299" s="71"/>
      <c r="O299" s="71"/>
      <c r="P299" s="71"/>
      <c r="Q299" s="71"/>
      <c r="R299" s="71"/>
      <c r="T299" s="71"/>
      <c r="U299" s="71"/>
      <c r="V299" s="71"/>
      <c r="W299" s="71"/>
      <c r="X299" s="71"/>
      <c r="Y299" s="71"/>
      <c r="Z299" s="71"/>
    </row>
    <row r="300" spans="1:26" ht="14.25" customHeight="1">
      <c r="A300" s="71"/>
      <c r="B300" s="71"/>
      <c r="C300" s="71"/>
      <c r="D300" s="71"/>
      <c r="E300" s="71"/>
      <c r="F300" s="71"/>
      <c r="G300" s="71"/>
      <c r="H300" s="71"/>
      <c r="I300" s="71"/>
      <c r="J300" s="71"/>
      <c r="K300" s="71"/>
      <c r="L300" s="71"/>
      <c r="M300" s="71"/>
      <c r="N300" s="71"/>
      <c r="O300" s="71"/>
      <c r="P300" s="71"/>
      <c r="Q300" s="71"/>
      <c r="R300" s="71"/>
      <c r="T300" s="71"/>
      <c r="U300" s="71"/>
      <c r="V300" s="71"/>
      <c r="W300" s="71"/>
      <c r="X300" s="71"/>
      <c r="Y300" s="71"/>
      <c r="Z300" s="71"/>
    </row>
    <row r="301" spans="1:26" ht="14.25" customHeight="1">
      <c r="A301" s="71"/>
      <c r="B301" s="71"/>
      <c r="C301" s="71"/>
      <c r="D301" s="71"/>
      <c r="E301" s="71"/>
      <c r="F301" s="71"/>
      <c r="G301" s="71"/>
      <c r="H301" s="71"/>
      <c r="I301" s="71"/>
      <c r="J301" s="71"/>
      <c r="K301" s="71"/>
      <c r="L301" s="71"/>
      <c r="M301" s="71"/>
      <c r="N301" s="71"/>
      <c r="O301" s="71"/>
      <c r="P301" s="71"/>
      <c r="Q301" s="71"/>
      <c r="R301" s="71"/>
      <c r="T301" s="71"/>
      <c r="U301" s="71"/>
      <c r="V301" s="71"/>
      <c r="W301" s="71"/>
      <c r="X301" s="71"/>
      <c r="Y301" s="71"/>
      <c r="Z301" s="71"/>
    </row>
    <row r="302" spans="1:26" ht="14.25" customHeight="1">
      <c r="A302" s="71"/>
      <c r="B302" s="71"/>
      <c r="C302" s="71"/>
      <c r="D302" s="71"/>
      <c r="E302" s="71"/>
      <c r="F302" s="71"/>
      <c r="G302" s="71"/>
      <c r="H302" s="71"/>
      <c r="I302" s="71"/>
      <c r="J302" s="71"/>
      <c r="K302" s="71"/>
      <c r="L302" s="71"/>
      <c r="M302" s="71"/>
      <c r="N302" s="71"/>
      <c r="O302" s="71"/>
      <c r="P302" s="71"/>
      <c r="Q302" s="71"/>
      <c r="R302" s="71"/>
      <c r="T302" s="71"/>
      <c r="U302" s="71"/>
      <c r="V302" s="71"/>
      <c r="W302" s="71"/>
      <c r="X302" s="71"/>
      <c r="Y302" s="71"/>
      <c r="Z302" s="71"/>
    </row>
    <row r="303" spans="1:26" ht="14.25" customHeight="1">
      <c r="A303" s="71"/>
      <c r="B303" s="71"/>
      <c r="C303" s="71"/>
      <c r="D303" s="71"/>
      <c r="E303" s="71"/>
      <c r="F303" s="71"/>
      <c r="G303" s="71"/>
      <c r="H303" s="71"/>
      <c r="I303" s="71"/>
      <c r="J303" s="71"/>
      <c r="K303" s="71"/>
      <c r="L303" s="71"/>
      <c r="M303" s="71"/>
      <c r="N303" s="71"/>
      <c r="O303" s="71"/>
      <c r="P303" s="71"/>
      <c r="Q303" s="71"/>
      <c r="R303" s="71"/>
      <c r="T303" s="71"/>
      <c r="U303" s="71"/>
      <c r="V303" s="71"/>
      <c r="W303" s="71"/>
      <c r="X303" s="71"/>
      <c r="Y303" s="71"/>
      <c r="Z303" s="71"/>
    </row>
    <row r="304" spans="1:26" ht="14.25" customHeight="1">
      <c r="A304" s="71"/>
      <c r="B304" s="71"/>
      <c r="C304" s="71"/>
      <c r="D304" s="71"/>
      <c r="E304" s="71"/>
      <c r="F304" s="71"/>
      <c r="G304" s="71"/>
      <c r="H304" s="71"/>
      <c r="I304" s="71"/>
      <c r="J304" s="71"/>
      <c r="K304" s="71"/>
      <c r="L304" s="71"/>
      <c r="M304" s="71"/>
      <c r="N304" s="71"/>
      <c r="O304" s="71"/>
      <c r="P304" s="71"/>
      <c r="Q304" s="71"/>
      <c r="R304" s="71"/>
      <c r="T304" s="71"/>
      <c r="U304" s="71"/>
      <c r="V304" s="71"/>
      <c r="W304" s="71"/>
      <c r="X304" s="71"/>
      <c r="Y304" s="71"/>
      <c r="Z304" s="71"/>
    </row>
    <row r="305" spans="1:26" ht="14.25" customHeight="1">
      <c r="A305" s="71"/>
      <c r="B305" s="71"/>
      <c r="C305" s="71"/>
      <c r="D305" s="71"/>
      <c r="E305" s="71"/>
      <c r="F305" s="71"/>
      <c r="G305" s="71"/>
      <c r="H305" s="71"/>
      <c r="I305" s="71"/>
      <c r="J305" s="71"/>
      <c r="K305" s="71"/>
      <c r="L305" s="71"/>
      <c r="M305" s="71"/>
      <c r="N305" s="71"/>
      <c r="O305" s="71"/>
      <c r="P305" s="71"/>
      <c r="Q305" s="71"/>
      <c r="R305" s="71"/>
      <c r="T305" s="71"/>
      <c r="U305" s="71"/>
      <c r="V305" s="71"/>
      <c r="W305" s="71"/>
      <c r="X305" s="71"/>
      <c r="Y305" s="71"/>
      <c r="Z305" s="71"/>
    </row>
    <row r="306" spans="1:26" ht="14.25" customHeight="1">
      <c r="A306" s="71"/>
      <c r="B306" s="71"/>
      <c r="C306" s="71"/>
      <c r="D306" s="71"/>
      <c r="E306" s="71"/>
      <c r="F306" s="71"/>
      <c r="G306" s="71"/>
      <c r="H306" s="71"/>
      <c r="I306" s="71"/>
      <c r="J306" s="71"/>
      <c r="K306" s="71"/>
      <c r="L306" s="71"/>
      <c r="M306" s="71"/>
      <c r="N306" s="71"/>
      <c r="O306" s="71"/>
      <c r="P306" s="71"/>
      <c r="Q306" s="71"/>
      <c r="R306" s="71"/>
      <c r="T306" s="71"/>
      <c r="U306" s="71"/>
      <c r="V306" s="71"/>
      <c r="W306" s="71"/>
      <c r="X306" s="71"/>
      <c r="Y306" s="71"/>
      <c r="Z306" s="71"/>
    </row>
    <row r="307" spans="1:26" ht="14.25" customHeight="1">
      <c r="A307" s="71"/>
      <c r="B307" s="71"/>
      <c r="C307" s="71"/>
      <c r="D307" s="71"/>
      <c r="E307" s="71"/>
      <c r="F307" s="71"/>
      <c r="G307" s="71"/>
      <c r="H307" s="71"/>
      <c r="I307" s="71"/>
      <c r="J307" s="71"/>
      <c r="K307" s="71"/>
      <c r="L307" s="71"/>
      <c r="M307" s="71"/>
      <c r="N307" s="71"/>
      <c r="O307" s="71"/>
      <c r="P307" s="71"/>
      <c r="Q307" s="71"/>
      <c r="R307" s="71"/>
      <c r="T307" s="71"/>
      <c r="U307" s="71"/>
      <c r="V307" s="71"/>
      <c r="W307" s="71"/>
      <c r="X307" s="71"/>
      <c r="Y307" s="71"/>
      <c r="Z307" s="71"/>
    </row>
    <row r="308" spans="1:26" ht="14.25" customHeight="1">
      <c r="A308" s="71"/>
      <c r="B308" s="71"/>
      <c r="C308" s="71"/>
      <c r="D308" s="71"/>
      <c r="E308" s="71"/>
      <c r="F308" s="71"/>
      <c r="G308" s="71"/>
      <c r="H308" s="71"/>
      <c r="I308" s="71"/>
      <c r="J308" s="71"/>
      <c r="K308" s="71"/>
      <c r="L308" s="71"/>
      <c r="M308" s="71"/>
      <c r="N308" s="71"/>
      <c r="O308" s="71"/>
      <c r="P308" s="71"/>
      <c r="Q308" s="71"/>
      <c r="R308" s="71"/>
      <c r="T308" s="71"/>
      <c r="U308" s="71"/>
      <c r="V308" s="71"/>
      <c r="W308" s="71"/>
      <c r="X308" s="71"/>
      <c r="Y308" s="71"/>
      <c r="Z308" s="71"/>
    </row>
    <row r="309" spans="1:26" ht="14.25" customHeight="1">
      <c r="A309" s="71"/>
      <c r="B309" s="71"/>
      <c r="C309" s="71"/>
      <c r="D309" s="71"/>
      <c r="E309" s="71"/>
      <c r="F309" s="71"/>
      <c r="G309" s="71"/>
      <c r="H309" s="71"/>
      <c r="I309" s="71"/>
      <c r="J309" s="71"/>
      <c r="K309" s="71"/>
      <c r="L309" s="71"/>
      <c r="M309" s="71"/>
      <c r="N309" s="71"/>
      <c r="O309" s="71"/>
      <c r="P309" s="71"/>
      <c r="Q309" s="71"/>
      <c r="R309" s="71"/>
      <c r="T309" s="71"/>
      <c r="U309" s="71"/>
      <c r="V309" s="71"/>
      <c r="W309" s="71"/>
      <c r="X309" s="71"/>
      <c r="Y309" s="71"/>
      <c r="Z309" s="71"/>
    </row>
    <row r="310" spans="1:26" ht="14.25" customHeight="1">
      <c r="A310" s="71"/>
      <c r="B310" s="71"/>
      <c r="C310" s="71"/>
      <c r="D310" s="71"/>
      <c r="E310" s="71"/>
      <c r="F310" s="71"/>
      <c r="G310" s="71"/>
      <c r="H310" s="71"/>
      <c r="I310" s="71"/>
      <c r="J310" s="71"/>
      <c r="K310" s="71"/>
      <c r="L310" s="71"/>
      <c r="M310" s="71"/>
      <c r="N310" s="71"/>
      <c r="O310" s="71"/>
      <c r="P310" s="71"/>
      <c r="Q310" s="71"/>
      <c r="R310" s="71"/>
      <c r="T310" s="71"/>
      <c r="U310" s="71"/>
      <c r="V310" s="71"/>
      <c r="W310" s="71"/>
      <c r="X310" s="71"/>
      <c r="Y310" s="71"/>
      <c r="Z310" s="71"/>
    </row>
    <row r="311" spans="1:26" ht="14.25" customHeight="1">
      <c r="A311" s="71"/>
      <c r="B311" s="71"/>
      <c r="C311" s="71"/>
      <c r="D311" s="71"/>
      <c r="E311" s="71"/>
      <c r="F311" s="71"/>
      <c r="G311" s="71"/>
      <c r="H311" s="71"/>
      <c r="I311" s="71"/>
      <c r="J311" s="71"/>
      <c r="K311" s="71"/>
      <c r="L311" s="71"/>
      <c r="M311" s="71"/>
      <c r="N311" s="71"/>
      <c r="O311" s="71"/>
      <c r="P311" s="71"/>
      <c r="Q311" s="71"/>
      <c r="R311" s="71"/>
      <c r="T311" s="71"/>
      <c r="U311" s="71"/>
      <c r="V311" s="71"/>
      <c r="W311" s="71"/>
      <c r="X311" s="71"/>
      <c r="Y311" s="71"/>
      <c r="Z311" s="71"/>
    </row>
    <row r="312" spans="1:26" ht="14.25" customHeight="1">
      <c r="A312" s="71"/>
      <c r="B312" s="71"/>
      <c r="C312" s="71"/>
      <c r="D312" s="71"/>
      <c r="E312" s="71"/>
      <c r="F312" s="71"/>
      <c r="G312" s="71"/>
      <c r="H312" s="71"/>
      <c r="I312" s="71"/>
      <c r="J312" s="71"/>
      <c r="K312" s="71"/>
      <c r="L312" s="71"/>
      <c r="M312" s="71"/>
      <c r="N312" s="71"/>
      <c r="O312" s="71"/>
      <c r="P312" s="71"/>
      <c r="Q312" s="71"/>
      <c r="R312" s="71"/>
      <c r="T312" s="71"/>
      <c r="U312" s="71"/>
      <c r="V312" s="71"/>
      <c r="W312" s="71"/>
      <c r="X312" s="71"/>
      <c r="Y312" s="71"/>
      <c r="Z312" s="71"/>
    </row>
    <row r="313" spans="1:26" ht="14.25" customHeight="1">
      <c r="A313" s="71"/>
      <c r="B313" s="71"/>
      <c r="C313" s="71"/>
      <c r="D313" s="71"/>
      <c r="E313" s="71"/>
      <c r="F313" s="71"/>
      <c r="G313" s="71"/>
      <c r="H313" s="71"/>
      <c r="I313" s="71"/>
      <c r="J313" s="71"/>
      <c r="K313" s="71"/>
      <c r="L313" s="71"/>
      <c r="M313" s="71"/>
      <c r="N313" s="71"/>
      <c r="O313" s="71"/>
      <c r="P313" s="71"/>
      <c r="Q313" s="71"/>
      <c r="R313" s="71"/>
      <c r="T313" s="71"/>
      <c r="U313" s="71"/>
      <c r="V313" s="71"/>
      <c r="W313" s="71"/>
      <c r="X313" s="71"/>
      <c r="Y313" s="71"/>
      <c r="Z313" s="71"/>
    </row>
    <row r="314" spans="1:26" ht="14.25" customHeight="1">
      <c r="A314" s="71"/>
      <c r="B314" s="71"/>
      <c r="C314" s="71"/>
      <c r="D314" s="71"/>
      <c r="E314" s="71"/>
      <c r="F314" s="71"/>
      <c r="G314" s="71"/>
      <c r="H314" s="71"/>
      <c r="I314" s="71"/>
      <c r="J314" s="71"/>
      <c r="K314" s="71"/>
      <c r="L314" s="71"/>
      <c r="M314" s="71"/>
      <c r="N314" s="71"/>
      <c r="O314" s="71"/>
      <c r="P314" s="71"/>
      <c r="Q314" s="71"/>
      <c r="R314" s="71"/>
      <c r="T314" s="71"/>
      <c r="U314" s="71"/>
      <c r="V314" s="71"/>
      <c r="W314" s="71"/>
      <c r="X314" s="71"/>
      <c r="Y314" s="71"/>
      <c r="Z314" s="71"/>
    </row>
    <row r="315" spans="1:26" ht="14.25" customHeight="1">
      <c r="A315" s="71"/>
      <c r="B315" s="71"/>
      <c r="C315" s="71"/>
      <c r="D315" s="71"/>
      <c r="E315" s="71"/>
      <c r="F315" s="71"/>
      <c r="G315" s="71"/>
      <c r="H315" s="71"/>
      <c r="I315" s="71"/>
      <c r="J315" s="71"/>
      <c r="K315" s="71"/>
      <c r="L315" s="71"/>
      <c r="M315" s="71"/>
      <c r="N315" s="71"/>
      <c r="O315" s="71"/>
      <c r="P315" s="71"/>
      <c r="Q315" s="71"/>
      <c r="R315" s="71"/>
      <c r="T315" s="71"/>
      <c r="U315" s="71"/>
      <c r="V315" s="71"/>
      <c r="W315" s="71"/>
      <c r="X315" s="71"/>
      <c r="Y315" s="71"/>
      <c r="Z315" s="71"/>
    </row>
    <row r="316" spans="1:26" ht="14.25" customHeight="1">
      <c r="A316" s="71"/>
      <c r="B316" s="71"/>
      <c r="C316" s="71"/>
      <c r="D316" s="71"/>
      <c r="E316" s="71"/>
      <c r="F316" s="71"/>
      <c r="G316" s="71"/>
      <c r="H316" s="71"/>
      <c r="I316" s="71"/>
      <c r="J316" s="71"/>
      <c r="K316" s="71"/>
      <c r="L316" s="71"/>
      <c r="M316" s="71"/>
      <c r="N316" s="71"/>
      <c r="O316" s="71"/>
      <c r="P316" s="71"/>
      <c r="Q316" s="71"/>
      <c r="R316" s="71"/>
      <c r="T316" s="71"/>
      <c r="U316" s="71"/>
      <c r="V316" s="71"/>
      <c r="W316" s="71"/>
      <c r="X316" s="71"/>
      <c r="Y316" s="71"/>
      <c r="Z316" s="71"/>
    </row>
    <row r="317" spans="1:26" ht="14.25" customHeight="1">
      <c r="A317" s="71"/>
      <c r="B317" s="71"/>
      <c r="C317" s="71"/>
      <c r="D317" s="71"/>
      <c r="E317" s="71"/>
      <c r="F317" s="71"/>
      <c r="G317" s="71"/>
      <c r="H317" s="71"/>
      <c r="I317" s="71"/>
      <c r="J317" s="71"/>
      <c r="K317" s="71"/>
      <c r="L317" s="71"/>
      <c r="M317" s="71"/>
      <c r="N317" s="71"/>
      <c r="O317" s="71"/>
      <c r="P317" s="71"/>
      <c r="Q317" s="71"/>
      <c r="R317" s="71"/>
      <c r="T317" s="71"/>
      <c r="U317" s="71"/>
      <c r="V317" s="71"/>
      <c r="W317" s="71"/>
      <c r="X317" s="71"/>
      <c r="Y317" s="71"/>
      <c r="Z317" s="71"/>
    </row>
    <row r="318" spans="1:26" ht="14.25" customHeight="1">
      <c r="A318" s="71"/>
      <c r="B318" s="71"/>
      <c r="C318" s="71"/>
      <c r="D318" s="71"/>
      <c r="E318" s="71"/>
      <c r="F318" s="71"/>
      <c r="G318" s="71"/>
      <c r="H318" s="71"/>
      <c r="I318" s="71"/>
      <c r="J318" s="71"/>
      <c r="K318" s="71"/>
      <c r="L318" s="71"/>
      <c r="M318" s="71"/>
      <c r="N318" s="71"/>
      <c r="O318" s="71"/>
      <c r="P318" s="71"/>
      <c r="Q318" s="71"/>
      <c r="R318" s="71"/>
      <c r="T318" s="71"/>
      <c r="U318" s="71"/>
      <c r="V318" s="71"/>
      <c r="W318" s="71"/>
      <c r="X318" s="71"/>
      <c r="Y318" s="71"/>
      <c r="Z318" s="71"/>
    </row>
    <row r="319" spans="1:26" ht="14.25" customHeight="1">
      <c r="A319" s="71"/>
      <c r="B319" s="71"/>
      <c r="C319" s="71"/>
      <c r="D319" s="71"/>
      <c r="E319" s="71"/>
      <c r="F319" s="71"/>
      <c r="G319" s="71"/>
      <c r="H319" s="71"/>
      <c r="I319" s="71"/>
      <c r="J319" s="71"/>
      <c r="K319" s="71"/>
      <c r="L319" s="71"/>
      <c r="M319" s="71"/>
      <c r="N319" s="71"/>
      <c r="O319" s="71"/>
      <c r="P319" s="71"/>
      <c r="Q319" s="71"/>
      <c r="R319" s="71"/>
      <c r="T319" s="71"/>
      <c r="U319" s="71"/>
      <c r="V319" s="71"/>
      <c r="W319" s="71"/>
      <c r="X319" s="71"/>
      <c r="Y319" s="71"/>
      <c r="Z319" s="71"/>
    </row>
    <row r="320" spans="1:26" ht="14.25" customHeight="1">
      <c r="A320" s="71"/>
      <c r="B320" s="71"/>
      <c r="C320" s="71"/>
      <c r="D320" s="71"/>
      <c r="E320" s="71"/>
      <c r="F320" s="71"/>
      <c r="G320" s="71"/>
      <c r="H320" s="71"/>
      <c r="I320" s="71"/>
      <c r="J320" s="71"/>
      <c r="K320" s="71"/>
      <c r="L320" s="71"/>
      <c r="M320" s="71"/>
      <c r="N320" s="71"/>
      <c r="O320" s="71"/>
      <c r="P320" s="71"/>
      <c r="Q320" s="71"/>
      <c r="R320" s="71"/>
      <c r="T320" s="71"/>
      <c r="U320" s="71"/>
      <c r="V320" s="71"/>
      <c r="W320" s="71"/>
      <c r="X320" s="71"/>
      <c r="Y320" s="71"/>
      <c r="Z320" s="71"/>
    </row>
    <row r="321" spans="1:26" ht="14.25" customHeight="1">
      <c r="A321" s="71"/>
      <c r="B321" s="71"/>
      <c r="C321" s="71"/>
      <c r="D321" s="71"/>
      <c r="E321" s="71"/>
      <c r="F321" s="71"/>
      <c r="G321" s="71"/>
      <c r="H321" s="71"/>
      <c r="I321" s="71"/>
      <c r="J321" s="71"/>
      <c r="K321" s="71"/>
      <c r="L321" s="71"/>
      <c r="M321" s="71"/>
      <c r="N321" s="71"/>
      <c r="O321" s="71"/>
      <c r="P321" s="71"/>
      <c r="Q321" s="71"/>
      <c r="R321" s="71"/>
      <c r="T321" s="71"/>
      <c r="U321" s="71"/>
      <c r="V321" s="71"/>
      <c r="W321" s="71"/>
      <c r="X321" s="71"/>
      <c r="Y321" s="71"/>
      <c r="Z321" s="71"/>
    </row>
    <row r="322" spans="1:26" ht="14.25" customHeight="1">
      <c r="A322" s="71"/>
      <c r="B322" s="71"/>
      <c r="C322" s="71"/>
      <c r="D322" s="71"/>
      <c r="E322" s="71"/>
      <c r="F322" s="71"/>
      <c r="G322" s="71"/>
      <c r="H322" s="71"/>
      <c r="I322" s="71"/>
      <c r="J322" s="71"/>
      <c r="K322" s="71"/>
      <c r="L322" s="71"/>
      <c r="M322" s="71"/>
      <c r="N322" s="71"/>
      <c r="O322" s="71"/>
      <c r="P322" s="71"/>
      <c r="Q322" s="71"/>
      <c r="R322" s="71"/>
      <c r="T322" s="71"/>
      <c r="U322" s="71"/>
      <c r="V322" s="71"/>
      <c r="W322" s="71"/>
      <c r="X322" s="71"/>
      <c r="Y322" s="71"/>
      <c r="Z322" s="71"/>
    </row>
    <row r="323" spans="1:26" ht="14.25" customHeight="1">
      <c r="A323" s="71"/>
      <c r="B323" s="71"/>
      <c r="C323" s="71"/>
      <c r="D323" s="71"/>
      <c r="E323" s="71"/>
      <c r="F323" s="71"/>
      <c r="G323" s="71"/>
      <c r="H323" s="71"/>
      <c r="I323" s="71"/>
      <c r="J323" s="71"/>
      <c r="K323" s="71"/>
      <c r="L323" s="71"/>
      <c r="M323" s="71"/>
      <c r="N323" s="71"/>
      <c r="O323" s="71"/>
      <c r="P323" s="71"/>
      <c r="Q323" s="71"/>
      <c r="R323" s="71"/>
      <c r="T323" s="71"/>
      <c r="U323" s="71"/>
      <c r="V323" s="71"/>
      <c r="W323" s="71"/>
      <c r="X323" s="71"/>
      <c r="Y323" s="71"/>
      <c r="Z323" s="71"/>
    </row>
    <row r="324" spans="1:26" ht="14.25" customHeight="1">
      <c r="A324" s="71"/>
      <c r="B324" s="71"/>
      <c r="C324" s="71"/>
      <c r="D324" s="71"/>
      <c r="E324" s="71"/>
      <c r="F324" s="71"/>
      <c r="G324" s="71"/>
      <c r="H324" s="71"/>
      <c r="I324" s="71"/>
      <c r="J324" s="71"/>
      <c r="K324" s="71"/>
      <c r="L324" s="71"/>
      <c r="M324" s="71"/>
      <c r="N324" s="71"/>
      <c r="O324" s="71"/>
      <c r="P324" s="71"/>
      <c r="Q324" s="71"/>
      <c r="R324" s="71"/>
      <c r="T324" s="71"/>
      <c r="U324" s="71"/>
      <c r="V324" s="71"/>
      <c r="W324" s="71"/>
      <c r="X324" s="71"/>
      <c r="Y324" s="71"/>
      <c r="Z324" s="71"/>
    </row>
    <row r="325" spans="1:26" ht="14.25" customHeight="1">
      <c r="A325" s="71"/>
      <c r="B325" s="71"/>
      <c r="C325" s="71"/>
      <c r="D325" s="71"/>
      <c r="E325" s="71"/>
      <c r="F325" s="71"/>
      <c r="G325" s="71"/>
      <c r="H325" s="71"/>
      <c r="I325" s="71"/>
      <c r="J325" s="71"/>
      <c r="K325" s="71"/>
      <c r="L325" s="71"/>
      <c r="M325" s="71"/>
      <c r="N325" s="71"/>
      <c r="O325" s="71"/>
      <c r="P325" s="71"/>
      <c r="Q325" s="71"/>
      <c r="R325" s="71"/>
      <c r="T325" s="71"/>
      <c r="U325" s="71"/>
      <c r="V325" s="71"/>
      <c r="W325" s="71"/>
      <c r="X325" s="71"/>
      <c r="Y325" s="71"/>
      <c r="Z325" s="71"/>
    </row>
    <row r="326" spans="1:26" ht="14.25" customHeight="1">
      <c r="A326" s="71"/>
      <c r="B326" s="71"/>
      <c r="C326" s="71"/>
      <c r="D326" s="71"/>
      <c r="E326" s="71"/>
      <c r="F326" s="71"/>
      <c r="G326" s="71"/>
      <c r="H326" s="71"/>
      <c r="I326" s="71"/>
      <c r="J326" s="71"/>
      <c r="K326" s="71"/>
      <c r="L326" s="71"/>
      <c r="M326" s="71"/>
      <c r="N326" s="71"/>
      <c r="O326" s="71"/>
      <c r="P326" s="71"/>
      <c r="Q326" s="71"/>
      <c r="R326" s="71"/>
      <c r="T326" s="71"/>
      <c r="U326" s="71"/>
      <c r="V326" s="71"/>
      <c r="W326" s="71"/>
      <c r="X326" s="71"/>
      <c r="Y326" s="71"/>
      <c r="Z326" s="71"/>
    </row>
    <row r="327" spans="1:26" ht="14.25" customHeight="1">
      <c r="A327" s="71"/>
      <c r="B327" s="71"/>
      <c r="C327" s="71"/>
      <c r="D327" s="71"/>
      <c r="E327" s="71"/>
      <c r="F327" s="71"/>
      <c r="G327" s="71"/>
      <c r="H327" s="71"/>
      <c r="I327" s="71"/>
      <c r="J327" s="71"/>
      <c r="K327" s="71"/>
      <c r="L327" s="71"/>
      <c r="M327" s="71"/>
      <c r="N327" s="71"/>
      <c r="O327" s="71"/>
      <c r="P327" s="71"/>
      <c r="Q327" s="71"/>
      <c r="R327" s="71"/>
      <c r="T327" s="71"/>
      <c r="U327" s="71"/>
      <c r="V327" s="71"/>
      <c r="W327" s="71"/>
      <c r="X327" s="71"/>
      <c r="Y327" s="71"/>
      <c r="Z327" s="71"/>
    </row>
    <row r="328" spans="1:26" ht="14.25" customHeight="1">
      <c r="A328" s="71"/>
      <c r="B328" s="71"/>
      <c r="C328" s="71"/>
      <c r="D328" s="71"/>
      <c r="E328" s="71"/>
      <c r="F328" s="71"/>
      <c r="G328" s="71"/>
      <c r="H328" s="71"/>
      <c r="I328" s="71"/>
      <c r="J328" s="71"/>
      <c r="K328" s="71"/>
      <c r="L328" s="71"/>
      <c r="M328" s="71"/>
      <c r="N328" s="71"/>
      <c r="O328" s="71"/>
      <c r="P328" s="71"/>
      <c r="Q328" s="71"/>
      <c r="R328" s="71"/>
      <c r="T328" s="71"/>
      <c r="U328" s="71"/>
      <c r="V328" s="71"/>
      <c r="W328" s="71"/>
      <c r="X328" s="71"/>
      <c r="Y328" s="71"/>
      <c r="Z328" s="71"/>
    </row>
    <row r="329" spans="1:26" ht="14.25" customHeight="1">
      <c r="A329" s="71"/>
      <c r="B329" s="71"/>
      <c r="C329" s="71"/>
      <c r="D329" s="71"/>
      <c r="E329" s="71"/>
      <c r="F329" s="71"/>
      <c r="G329" s="71"/>
      <c r="H329" s="71"/>
      <c r="I329" s="71"/>
      <c r="J329" s="71"/>
      <c r="K329" s="71"/>
      <c r="L329" s="71"/>
      <c r="M329" s="71"/>
      <c r="N329" s="71"/>
      <c r="O329" s="71"/>
      <c r="P329" s="71"/>
      <c r="Q329" s="71"/>
      <c r="R329" s="71"/>
      <c r="T329" s="71"/>
      <c r="U329" s="71"/>
      <c r="V329" s="71"/>
      <c r="W329" s="71"/>
      <c r="X329" s="71"/>
      <c r="Y329" s="71"/>
      <c r="Z329" s="71"/>
    </row>
    <row r="330" spans="1:26" ht="14.25" customHeight="1">
      <c r="A330" s="71"/>
      <c r="B330" s="71"/>
      <c r="C330" s="71"/>
      <c r="D330" s="71"/>
      <c r="E330" s="71"/>
      <c r="F330" s="71"/>
      <c r="G330" s="71"/>
      <c r="H330" s="71"/>
      <c r="I330" s="71"/>
      <c r="J330" s="71"/>
      <c r="K330" s="71"/>
      <c r="L330" s="71"/>
      <c r="M330" s="71"/>
      <c r="N330" s="71"/>
      <c r="O330" s="71"/>
      <c r="P330" s="71"/>
      <c r="Q330" s="71"/>
      <c r="R330" s="71"/>
      <c r="T330" s="71"/>
      <c r="U330" s="71"/>
      <c r="V330" s="71"/>
      <c r="W330" s="71"/>
      <c r="X330" s="71"/>
      <c r="Y330" s="71"/>
      <c r="Z330" s="71"/>
    </row>
    <row r="331" spans="1:26" ht="14.25" customHeight="1">
      <c r="A331" s="71"/>
      <c r="B331" s="71"/>
      <c r="C331" s="71"/>
      <c r="D331" s="71"/>
      <c r="E331" s="71"/>
      <c r="F331" s="71"/>
      <c r="G331" s="71"/>
      <c r="H331" s="71"/>
      <c r="I331" s="71"/>
      <c r="J331" s="71"/>
      <c r="K331" s="71"/>
      <c r="L331" s="71"/>
      <c r="M331" s="71"/>
      <c r="N331" s="71"/>
      <c r="O331" s="71"/>
      <c r="P331" s="71"/>
      <c r="Q331" s="71"/>
      <c r="R331" s="71"/>
      <c r="T331" s="71"/>
      <c r="U331" s="71"/>
      <c r="V331" s="71"/>
      <c r="W331" s="71"/>
      <c r="X331" s="71"/>
      <c r="Y331" s="71"/>
      <c r="Z331" s="71"/>
    </row>
    <row r="332" spans="1:26" ht="14.25" customHeight="1">
      <c r="A332" s="71"/>
      <c r="B332" s="71"/>
      <c r="C332" s="71"/>
      <c r="D332" s="71"/>
      <c r="E332" s="71"/>
      <c r="F332" s="71"/>
      <c r="G332" s="71"/>
      <c r="H332" s="71"/>
      <c r="I332" s="71"/>
      <c r="J332" s="71"/>
      <c r="K332" s="71"/>
      <c r="L332" s="71"/>
      <c r="M332" s="71"/>
      <c r="N332" s="71"/>
      <c r="O332" s="71"/>
      <c r="P332" s="71"/>
      <c r="Q332" s="71"/>
      <c r="R332" s="71"/>
      <c r="T332" s="71"/>
      <c r="U332" s="71"/>
      <c r="V332" s="71"/>
      <c r="W332" s="71"/>
      <c r="X332" s="71"/>
      <c r="Y332" s="71"/>
      <c r="Z332" s="71"/>
    </row>
    <row r="333" spans="1:26" ht="14.25" customHeight="1">
      <c r="A333" s="71"/>
      <c r="B333" s="71"/>
      <c r="C333" s="71"/>
      <c r="D333" s="71"/>
      <c r="E333" s="71"/>
      <c r="F333" s="71"/>
      <c r="G333" s="71"/>
      <c r="H333" s="71"/>
      <c r="I333" s="71"/>
      <c r="J333" s="71"/>
      <c r="K333" s="71"/>
      <c r="L333" s="71"/>
      <c r="M333" s="71"/>
      <c r="N333" s="71"/>
      <c r="O333" s="71"/>
      <c r="P333" s="71"/>
      <c r="Q333" s="71"/>
      <c r="R333" s="71"/>
      <c r="T333" s="71"/>
      <c r="U333" s="71"/>
      <c r="V333" s="71"/>
      <c r="W333" s="71"/>
      <c r="X333" s="71"/>
      <c r="Y333" s="71"/>
      <c r="Z333" s="71"/>
    </row>
    <row r="334" spans="1:26" ht="14.25" customHeight="1">
      <c r="A334" s="71"/>
      <c r="B334" s="71"/>
      <c r="C334" s="71"/>
      <c r="D334" s="71"/>
      <c r="E334" s="71"/>
      <c r="F334" s="71"/>
      <c r="G334" s="71"/>
      <c r="H334" s="71"/>
      <c r="I334" s="71"/>
      <c r="J334" s="71"/>
      <c r="K334" s="71"/>
      <c r="L334" s="71"/>
      <c r="M334" s="71"/>
      <c r="N334" s="71"/>
      <c r="O334" s="71"/>
      <c r="P334" s="71"/>
      <c r="Q334" s="71"/>
      <c r="R334" s="71"/>
      <c r="T334" s="71"/>
      <c r="U334" s="71"/>
      <c r="V334" s="71"/>
      <c r="W334" s="71"/>
      <c r="X334" s="71"/>
      <c r="Y334" s="71"/>
      <c r="Z334" s="71"/>
    </row>
    <row r="335" spans="1:26" ht="14.25" customHeight="1">
      <c r="A335" s="71"/>
      <c r="B335" s="71"/>
      <c r="C335" s="71"/>
      <c r="D335" s="71"/>
      <c r="E335" s="71"/>
      <c r="F335" s="71"/>
      <c r="G335" s="71"/>
      <c r="H335" s="71"/>
      <c r="I335" s="71"/>
      <c r="J335" s="71"/>
      <c r="K335" s="71"/>
      <c r="L335" s="71"/>
      <c r="M335" s="71"/>
      <c r="N335" s="71"/>
      <c r="O335" s="71"/>
      <c r="P335" s="71"/>
      <c r="Q335" s="71"/>
      <c r="R335" s="71"/>
      <c r="T335" s="71"/>
      <c r="U335" s="71"/>
      <c r="V335" s="71"/>
      <c r="W335" s="71"/>
      <c r="X335" s="71"/>
      <c r="Y335" s="71"/>
      <c r="Z335" s="71"/>
    </row>
    <row r="336" spans="1:26" ht="14.25" customHeight="1">
      <c r="A336" s="71"/>
      <c r="B336" s="71"/>
      <c r="C336" s="71"/>
      <c r="D336" s="71"/>
      <c r="E336" s="71"/>
      <c r="F336" s="71"/>
      <c r="G336" s="71"/>
      <c r="H336" s="71"/>
      <c r="I336" s="71"/>
      <c r="J336" s="71"/>
      <c r="K336" s="71"/>
      <c r="L336" s="71"/>
      <c r="M336" s="71"/>
      <c r="N336" s="71"/>
      <c r="O336" s="71"/>
      <c r="P336" s="71"/>
      <c r="Q336" s="71"/>
      <c r="R336" s="71"/>
      <c r="T336" s="71"/>
      <c r="U336" s="71"/>
      <c r="V336" s="71"/>
      <c r="W336" s="71"/>
      <c r="X336" s="71"/>
      <c r="Y336" s="71"/>
      <c r="Z336" s="71"/>
    </row>
    <row r="337" spans="1:26" ht="14.25" customHeight="1">
      <c r="A337" s="71"/>
      <c r="B337" s="71"/>
      <c r="C337" s="71"/>
      <c r="D337" s="71"/>
      <c r="E337" s="71"/>
      <c r="F337" s="71"/>
      <c r="G337" s="71"/>
      <c r="H337" s="71"/>
      <c r="I337" s="71"/>
      <c r="J337" s="71"/>
      <c r="K337" s="71"/>
      <c r="L337" s="71"/>
      <c r="M337" s="71"/>
      <c r="N337" s="71"/>
      <c r="O337" s="71"/>
      <c r="P337" s="71"/>
      <c r="Q337" s="71"/>
      <c r="R337" s="71"/>
      <c r="T337" s="71"/>
      <c r="U337" s="71"/>
      <c r="V337" s="71"/>
      <c r="W337" s="71"/>
      <c r="X337" s="71"/>
      <c r="Y337" s="71"/>
      <c r="Z337" s="71"/>
    </row>
    <row r="338" spans="1:26" ht="14.25" customHeight="1">
      <c r="A338" s="71"/>
      <c r="B338" s="71"/>
      <c r="C338" s="71"/>
      <c r="D338" s="71"/>
      <c r="E338" s="71"/>
      <c r="F338" s="71"/>
      <c r="G338" s="71"/>
      <c r="H338" s="71"/>
      <c r="I338" s="71"/>
      <c r="J338" s="71"/>
      <c r="K338" s="71"/>
      <c r="L338" s="71"/>
      <c r="M338" s="71"/>
      <c r="N338" s="71"/>
      <c r="O338" s="71"/>
      <c r="P338" s="71"/>
      <c r="Q338" s="71"/>
      <c r="R338" s="71"/>
      <c r="T338" s="71"/>
      <c r="U338" s="71"/>
      <c r="V338" s="71"/>
      <c r="W338" s="71"/>
      <c r="X338" s="71"/>
      <c r="Y338" s="71"/>
      <c r="Z338" s="71"/>
    </row>
    <row r="339" spans="1:26" ht="14.25" customHeight="1">
      <c r="A339" s="71"/>
      <c r="B339" s="71"/>
      <c r="C339" s="71"/>
      <c r="D339" s="71"/>
      <c r="E339" s="71"/>
      <c r="F339" s="71"/>
      <c r="G339" s="71"/>
      <c r="H339" s="71"/>
      <c r="I339" s="71"/>
      <c r="J339" s="71"/>
      <c r="K339" s="71"/>
      <c r="L339" s="71"/>
      <c r="M339" s="71"/>
      <c r="N339" s="71"/>
      <c r="O339" s="71"/>
      <c r="P339" s="71"/>
      <c r="Q339" s="71"/>
      <c r="R339" s="71"/>
      <c r="T339" s="71"/>
      <c r="U339" s="71"/>
      <c r="V339" s="71"/>
      <c r="W339" s="71"/>
      <c r="X339" s="71"/>
      <c r="Y339" s="71"/>
      <c r="Z339" s="71"/>
    </row>
    <row r="340" spans="1:26" ht="14.25" customHeight="1">
      <c r="A340" s="71"/>
      <c r="B340" s="71"/>
      <c r="C340" s="71"/>
      <c r="D340" s="71"/>
      <c r="E340" s="71"/>
      <c r="F340" s="71"/>
      <c r="G340" s="71"/>
      <c r="H340" s="71"/>
      <c r="I340" s="71"/>
      <c r="J340" s="71"/>
      <c r="K340" s="71"/>
      <c r="L340" s="71"/>
      <c r="M340" s="71"/>
      <c r="N340" s="71"/>
      <c r="O340" s="71"/>
      <c r="P340" s="71"/>
      <c r="Q340" s="71"/>
      <c r="R340" s="71"/>
      <c r="T340" s="71"/>
      <c r="U340" s="71"/>
      <c r="V340" s="71"/>
      <c r="W340" s="71"/>
      <c r="X340" s="71"/>
      <c r="Y340" s="71"/>
      <c r="Z340" s="71"/>
    </row>
    <row r="341" spans="1:26" ht="14.25" customHeight="1">
      <c r="A341" s="71"/>
      <c r="B341" s="71"/>
      <c r="C341" s="71"/>
      <c r="D341" s="71"/>
      <c r="E341" s="71"/>
      <c r="F341" s="71"/>
      <c r="G341" s="71"/>
      <c r="H341" s="71"/>
      <c r="I341" s="71"/>
      <c r="J341" s="71"/>
      <c r="K341" s="71"/>
      <c r="L341" s="71"/>
      <c r="M341" s="71"/>
      <c r="N341" s="71"/>
      <c r="O341" s="71"/>
      <c r="P341" s="71"/>
      <c r="Q341" s="71"/>
      <c r="R341" s="71"/>
      <c r="T341" s="71"/>
      <c r="U341" s="71"/>
      <c r="V341" s="71"/>
      <c r="W341" s="71"/>
      <c r="X341" s="71"/>
      <c r="Y341" s="71"/>
      <c r="Z341" s="71"/>
    </row>
    <row r="342" spans="1:26" ht="14.25" customHeight="1">
      <c r="A342" s="71"/>
      <c r="B342" s="71"/>
      <c r="C342" s="71"/>
      <c r="D342" s="71"/>
      <c r="E342" s="71"/>
      <c r="F342" s="71"/>
      <c r="G342" s="71"/>
      <c r="H342" s="71"/>
      <c r="I342" s="71"/>
      <c r="J342" s="71"/>
      <c r="K342" s="71"/>
      <c r="L342" s="71"/>
      <c r="M342" s="71"/>
      <c r="N342" s="71"/>
      <c r="O342" s="71"/>
      <c r="P342" s="71"/>
      <c r="Q342" s="71"/>
      <c r="R342" s="71"/>
      <c r="T342" s="71"/>
      <c r="U342" s="71"/>
      <c r="V342" s="71"/>
      <c r="W342" s="71"/>
      <c r="X342" s="71"/>
      <c r="Y342" s="71"/>
      <c r="Z342" s="71"/>
    </row>
    <row r="343" spans="1:26" ht="14.25" customHeight="1">
      <c r="A343" s="71"/>
      <c r="B343" s="71"/>
      <c r="C343" s="71"/>
      <c r="D343" s="71"/>
      <c r="E343" s="71"/>
      <c r="F343" s="71"/>
      <c r="G343" s="71"/>
      <c r="H343" s="71"/>
      <c r="I343" s="71"/>
      <c r="J343" s="71"/>
      <c r="K343" s="71"/>
      <c r="L343" s="71"/>
      <c r="M343" s="71"/>
      <c r="N343" s="71"/>
      <c r="O343" s="71"/>
      <c r="P343" s="71"/>
      <c r="Q343" s="71"/>
      <c r="R343" s="71"/>
      <c r="T343" s="71"/>
      <c r="U343" s="71"/>
      <c r="V343" s="71"/>
      <c r="W343" s="71"/>
      <c r="X343" s="71"/>
      <c r="Y343" s="71"/>
      <c r="Z343" s="71"/>
    </row>
    <row r="344" spans="1:26" ht="14.25" customHeight="1">
      <c r="A344" s="71"/>
      <c r="B344" s="71"/>
      <c r="C344" s="71"/>
      <c r="D344" s="71"/>
      <c r="E344" s="71"/>
      <c r="F344" s="71"/>
      <c r="G344" s="71"/>
      <c r="H344" s="71"/>
      <c r="I344" s="71"/>
      <c r="J344" s="71"/>
      <c r="K344" s="71"/>
      <c r="L344" s="71"/>
      <c r="M344" s="71"/>
      <c r="N344" s="71"/>
      <c r="O344" s="71"/>
      <c r="P344" s="71"/>
      <c r="Q344" s="71"/>
      <c r="R344" s="71"/>
      <c r="T344" s="71"/>
      <c r="U344" s="71"/>
      <c r="V344" s="71"/>
      <c r="W344" s="71"/>
      <c r="X344" s="71"/>
      <c r="Y344" s="71"/>
      <c r="Z344" s="71"/>
    </row>
    <row r="345" spans="1:26" ht="14.25" customHeight="1">
      <c r="A345" s="71"/>
      <c r="B345" s="71"/>
      <c r="C345" s="71"/>
      <c r="D345" s="71"/>
      <c r="E345" s="71"/>
      <c r="F345" s="71"/>
      <c r="G345" s="71"/>
      <c r="H345" s="71"/>
      <c r="I345" s="71"/>
      <c r="J345" s="71"/>
      <c r="K345" s="71"/>
      <c r="L345" s="71"/>
      <c r="M345" s="71"/>
      <c r="N345" s="71"/>
      <c r="O345" s="71"/>
      <c r="P345" s="71"/>
      <c r="Q345" s="71"/>
      <c r="R345" s="71"/>
      <c r="T345" s="71"/>
      <c r="U345" s="71"/>
      <c r="V345" s="71"/>
      <c r="W345" s="71"/>
      <c r="X345" s="71"/>
      <c r="Y345" s="71"/>
      <c r="Z345" s="71"/>
    </row>
    <row r="346" spans="1:26" ht="14.25" customHeight="1">
      <c r="A346" s="71"/>
      <c r="B346" s="71"/>
      <c r="C346" s="71"/>
      <c r="D346" s="71"/>
      <c r="E346" s="71"/>
      <c r="F346" s="71"/>
      <c r="G346" s="71"/>
      <c r="H346" s="71"/>
      <c r="I346" s="71"/>
      <c r="J346" s="71"/>
      <c r="K346" s="71"/>
      <c r="L346" s="71"/>
      <c r="M346" s="71"/>
      <c r="N346" s="71"/>
      <c r="O346" s="71"/>
      <c r="P346" s="71"/>
      <c r="Q346" s="71"/>
      <c r="R346" s="71"/>
      <c r="T346" s="71"/>
      <c r="U346" s="71"/>
      <c r="V346" s="71"/>
      <c r="W346" s="71"/>
      <c r="X346" s="71"/>
      <c r="Y346" s="71"/>
      <c r="Z346" s="71"/>
    </row>
    <row r="347" spans="1:26" ht="14.25" customHeight="1">
      <c r="A347" s="71"/>
      <c r="B347" s="71"/>
      <c r="C347" s="71"/>
      <c r="D347" s="71"/>
      <c r="E347" s="71"/>
      <c r="F347" s="71"/>
      <c r="G347" s="71"/>
      <c r="H347" s="71"/>
      <c r="I347" s="71"/>
      <c r="J347" s="71"/>
      <c r="K347" s="71"/>
      <c r="L347" s="71"/>
      <c r="M347" s="71"/>
      <c r="N347" s="71"/>
      <c r="O347" s="71"/>
      <c r="P347" s="71"/>
      <c r="Q347" s="71"/>
      <c r="R347" s="71"/>
      <c r="T347" s="71"/>
      <c r="U347" s="71"/>
      <c r="V347" s="71"/>
      <c r="W347" s="71"/>
      <c r="X347" s="71"/>
      <c r="Y347" s="71"/>
      <c r="Z347" s="71"/>
    </row>
    <row r="348" spans="1:26" ht="14.25" customHeight="1">
      <c r="A348" s="71"/>
      <c r="B348" s="71"/>
      <c r="C348" s="71"/>
      <c r="D348" s="71"/>
      <c r="E348" s="71"/>
      <c r="F348" s="71"/>
      <c r="G348" s="71"/>
      <c r="H348" s="71"/>
      <c r="I348" s="71"/>
      <c r="J348" s="71"/>
      <c r="K348" s="71"/>
      <c r="L348" s="71"/>
      <c r="M348" s="71"/>
      <c r="N348" s="71"/>
      <c r="O348" s="71"/>
      <c r="P348" s="71"/>
      <c r="Q348" s="71"/>
      <c r="R348" s="71"/>
      <c r="T348" s="71"/>
      <c r="U348" s="71"/>
      <c r="V348" s="71"/>
      <c r="W348" s="71"/>
      <c r="X348" s="71"/>
      <c r="Y348" s="71"/>
      <c r="Z348" s="71"/>
    </row>
    <row r="349" spans="1:26" ht="14.25" customHeight="1">
      <c r="A349" s="71"/>
      <c r="B349" s="71"/>
      <c r="C349" s="71"/>
      <c r="D349" s="71"/>
      <c r="E349" s="71"/>
      <c r="F349" s="71"/>
      <c r="G349" s="71"/>
      <c r="H349" s="71"/>
      <c r="I349" s="71"/>
      <c r="J349" s="71"/>
      <c r="K349" s="71"/>
      <c r="L349" s="71"/>
      <c r="M349" s="71"/>
      <c r="N349" s="71"/>
      <c r="O349" s="71"/>
      <c r="P349" s="71"/>
      <c r="Q349" s="71"/>
      <c r="R349" s="71"/>
      <c r="T349" s="71"/>
      <c r="U349" s="71"/>
      <c r="V349" s="71"/>
      <c r="W349" s="71"/>
      <c r="X349" s="71"/>
      <c r="Y349" s="71"/>
      <c r="Z349" s="71"/>
    </row>
    <row r="350" spans="1:26" ht="14.25" customHeight="1">
      <c r="A350" s="71"/>
      <c r="B350" s="71"/>
      <c r="C350" s="71"/>
      <c r="D350" s="71"/>
      <c r="E350" s="71"/>
      <c r="F350" s="71"/>
      <c r="G350" s="71"/>
      <c r="H350" s="71"/>
      <c r="I350" s="71"/>
      <c r="J350" s="71"/>
      <c r="K350" s="71"/>
      <c r="L350" s="71"/>
      <c r="M350" s="71"/>
      <c r="N350" s="71"/>
      <c r="O350" s="71"/>
      <c r="P350" s="71"/>
      <c r="Q350" s="71"/>
      <c r="R350" s="71"/>
      <c r="T350" s="71"/>
      <c r="U350" s="71"/>
      <c r="V350" s="71"/>
      <c r="W350" s="71"/>
      <c r="X350" s="71"/>
      <c r="Y350" s="71"/>
      <c r="Z350" s="71"/>
    </row>
    <row r="351" spans="1:26" ht="14.25" customHeight="1">
      <c r="A351" s="71"/>
      <c r="B351" s="71"/>
      <c r="C351" s="71"/>
      <c r="D351" s="71"/>
      <c r="E351" s="71"/>
      <c r="F351" s="71"/>
      <c r="G351" s="71"/>
      <c r="H351" s="71"/>
      <c r="I351" s="71"/>
      <c r="J351" s="71"/>
      <c r="K351" s="71"/>
      <c r="L351" s="71"/>
      <c r="M351" s="71"/>
      <c r="N351" s="71"/>
      <c r="O351" s="71"/>
      <c r="P351" s="71"/>
      <c r="Q351" s="71"/>
      <c r="R351" s="71"/>
      <c r="T351" s="71"/>
      <c r="U351" s="71"/>
      <c r="V351" s="71"/>
      <c r="W351" s="71"/>
      <c r="X351" s="71"/>
      <c r="Y351" s="71"/>
      <c r="Z351" s="71"/>
    </row>
    <row r="352" spans="1:26" ht="14.25" customHeight="1">
      <c r="A352" s="71"/>
      <c r="B352" s="71"/>
      <c r="C352" s="71"/>
      <c r="D352" s="71"/>
      <c r="E352" s="71"/>
      <c r="F352" s="71"/>
      <c r="G352" s="71"/>
      <c r="H352" s="71"/>
      <c r="I352" s="71"/>
      <c r="J352" s="71"/>
      <c r="K352" s="71"/>
      <c r="L352" s="71"/>
      <c r="M352" s="71"/>
      <c r="N352" s="71"/>
      <c r="O352" s="71"/>
      <c r="P352" s="71"/>
      <c r="Q352" s="71"/>
      <c r="R352" s="71"/>
      <c r="T352" s="71"/>
      <c r="U352" s="71"/>
      <c r="V352" s="71"/>
      <c r="W352" s="71"/>
      <c r="X352" s="71"/>
      <c r="Y352" s="71"/>
      <c r="Z352" s="71"/>
    </row>
    <row r="353" spans="1:26" ht="14.25" customHeight="1">
      <c r="A353" s="71"/>
      <c r="B353" s="71"/>
      <c r="C353" s="71"/>
      <c r="D353" s="71"/>
      <c r="E353" s="71"/>
      <c r="F353" s="71"/>
      <c r="G353" s="71"/>
      <c r="H353" s="71"/>
      <c r="I353" s="71"/>
      <c r="J353" s="71"/>
      <c r="K353" s="71"/>
      <c r="L353" s="71"/>
      <c r="M353" s="71"/>
      <c r="N353" s="71"/>
      <c r="O353" s="71"/>
      <c r="P353" s="71"/>
      <c r="Q353" s="71"/>
      <c r="R353" s="71"/>
      <c r="T353" s="71"/>
      <c r="U353" s="71"/>
      <c r="V353" s="71"/>
      <c r="W353" s="71"/>
      <c r="X353" s="71"/>
      <c r="Y353" s="71"/>
      <c r="Z353" s="71"/>
    </row>
    <row r="354" spans="1:26" ht="14.25" customHeight="1">
      <c r="A354" s="71"/>
      <c r="B354" s="71"/>
      <c r="C354" s="71"/>
      <c r="D354" s="71"/>
      <c r="E354" s="71"/>
      <c r="F354" s="71"/>
      <c r="G354" s="71"/>
      <c r="H354" s="71"/>
      <c r="I354" s="71"/>
      <c r="J354" s="71"/>
      <c r="K354" s="71"/>
      <c r="L354" s="71"/>
      <c r="M354" s="71"/>
      <c r="N354" s="71"/>
      <c r="O354" s="71"/>
      <c r="P354" s="71"/>
      <c r="Q354" s="71"/>
      <c r="R354" s="71"/>
      <c r="T354" s="71"/>
      <c r="U354" s="71"/>
      <c r="V354" s="71"/>
      <c r="W354" s="71"/>
      <c r="X354" s="71"/>
      <c r="Y354" s="71"/>
      <c r="Z354" s="71"/>
    </row>
    <row r="355" spans="1:26" ht="14.25" customHeight="1">
      <c r="A355" s="71"/>
      <c r="B355" s="71"/>
      <c r="C355" s="71"/>
      <c r="D355" s="71"/>
      <c r="E355" s="71"/>
      <c r="F355" s="71"/>
      <c r="G355" s="71"/>
      <c r="H355" s="71"/>
      <c r="I355" s="71"/>
      <c r="J355" s="71"/>
      <c r="K355" s="71"/>
      <c r="L355" s="71"/>
      <c r="M355" s="71"/>
      <c r="N355" s="71"/>
      <c r="O355" s="71"/>
      <c r="P355" s="71"/>
      <c r="Q355" s="71"/>
      <c r="R355" s="71"/>
      <c r="T355" s="71"/>
      <c r="U355" s="71"/>
      <c r="V355" s="71"/>
      <c r="W355" s="71"/>
      <c r="X355" s="71"/>
      <c r="Y355" s="71"/>
      <c r="Z355" s="71"/>
    </row>
    <row r="356" spans="1:26" ht="14.25" customHeight="1">
      <c r="A356" s="71"/>
      <c r="B356" s="71"/>
      <c r="C356" s="71"/>
      <c r="D356" s="71"/>
      <c r="E356" s="71"/>
      <c r="F356" s="71"/>
      <c r="G356" s="71"/>
      <c r="H356" s="71"/>
      <c r="I356" s="71"/>
      <c r="J356" s="71"/>
      <c r="K356" s="71"/>
      <c r="L356" s="71"/>
      <c r="M356" s="71"/>
      <c r="N356" s="71"/>
      <c r="O356" s="71"/>
      <c r="P356" s="71"/>
      <c r="Q356" s="71"/>
      <c r="R356" s="71"/>
      <c r="T356" s="71"/>
      <c r="U356" s="71"/>
      <c r="V356" s="71"/>
      <c r="W356" s="71"/>
      <c r="X356" s="71"/>
      <c r="Y356" s="71"/>
      <c r="Z356" s="71"/>
    </row>
    <row r="357" spans="1:26" ht="14.25" customHeight="1">
      <c r="A357" s="71"/>
      <c r="B357" s="71"/>
      <c r="C357" s="71"/>
      <c r="D357" s="71"/>
      <c r="E357" s="71"/>
      <c r="F357" s="71"/>
      <c r="G357" s="71"/>
      <c r="H357" s="71"/>
      <c r="I357" s="71"/>
      <c r="J357" s="71"/>
      <c r="K357" s="71"/>
      <c r="L357" s="71"/>
      <c r="M357" s="71"/>
      <c r="N357" s="71"/>
      <c r="O357" s="71"/>
      <c r="P357" s="71"/>
      <c r="Q357" s="71"/>
      <c r="R357" s="71"/>
      <c r="T357" s="71"/>
      <c r="U357" s="71"/>
      <c r="V357" s="71"/>
      <c r="W357" s="71"/>
      <c r="X357" s="71"/>
      <c r="Y357" s="71"/>
      <c r="Z357" s="71"/>
    </row>
    <row r="358" spans="1:26" ht="14.25" customHeight="1">
      <c r="A358" s="71"/>
      <c r="B358" s="71"/>
      <c r="C358" s="71"/>
      <c r="D358" s="71"/>
      <c r="E358" s="71"/>
      <c r="F358" s="71"/>
      <c r="G358" s="71"/>
      <c r="H358" s="71"/>
      <c r="I358" s="71"/>
      <c r="J358" s="71"/>
      <c r="K358" s="71"/>
      <c r="L358" s="71"/>
      <c r="M358" s="71"/>
      <c r="N358" s="71"/>
      <c r="O358" s="71"/>
      <c r="P358" s="71"/>
      <c r="Q358" s="71"/>
      <c r="R358" s="71"/>
      <c r="T358" s="71"/>
      <c r="U358" s="71"/>
      <c r="V358" s="71"/>
      <c r="W358" s="71"/>
      <c r="X358" s="71"/>
      <c r="Y358" s="71"/>
      <c r="Z358" s="71"/>
    </row>
    <row r="359" spans="1:26" ht="14.25" customHeight="1">
      <c r="A359" s="71"/>
      <c r="B359" s="71"/>
      <c r="C359" s="71"/>
      <c r="D359" s="71"/>
      <c r="E359" s="71"/>
      <c r="F359" s="71"/>
      <c r="G359" s="71"/>
      <c r="H359" s="71"/>
      <c r="I359" s="71"/>
      <c r="J359" s="71"/>
      <c r="K359" s="71"/>
      <c r="L359" s="71"/>
      <c r="M359" s="71"/>
      <c r="N359" s="71"/>
      <c r="O359" s="71"/>
      <c r="P359" s="71"/>
      <c r="Q359" s="71"/>
      <c r="R359" s="71"/>
      <c r="T359" s="71"/>
      <c r="U359" s="71"/>
      <c r="V359" s="71"/>
      <c r="W359" s="71"/>
      <c r="X359" s="71"/>
      <c r="Y359" s="71"/>
      <c r="Z359" s="71"/>
    </row>
    <row r="360" spans="1:26" ht="14.25" customHeight="1">
      <c r="A360" s="71"/>
      <c r="B360" s="71"/>
      <c r="C360" s="71"/>
      <c r="D360" s="71"/>
      <c r="E360" s="71"/>
      <c r="F360" s="71"/>
      <c r="G360" s="71"/>
      <c r="H360" s="71"/>
      <c r="I360" s="71"/>
      <c r="J360" s="71"/>
      <c r="K360" s="71"/>
      <c r="L360" s="71"/>
      <c r="M360" s="71"/>
      <c r="N360" s="71"/>
      <c r="O360" s="71"/>
      <c r="P360" s="71"/>
      <c r="Q360" s="71"/>
      <c r="R360" s="71"/>
      <c r="T360" s="71"/>
      <c r="U360" s="71"/>
      <c r="V360" s="71"/>
      <c r="W360" s="71"/>
      <c r="X360" s="71"/>
      <c r="Y360" s="71"/>
      <c r="Z360" s="71"/>
    </row>
    <row r="361" spans="1:26" ht="14.25" customHeight="1">
      <c r="A361" s="71"/>
      <c r="B361" s="71"/>
      <c r="C361" s="71"/>
      <c r="D361" s="71"/>
      <c r="E361" s="71"/>
      <c r="F361" s="71"/>
      <c r="G361" s="71"/>
      <c r="H361" s="71"/>
      <c r="I361" s="71"/>
      <c r="J361" s="71"/>
      <c r="K361" s="71"/>
      <c r="L361" s="71"/>
      <c r="M361" s="71"/>
      <c r="N361" s="71"/>
      <c r="O361" s="71"/>
      <c r="P361" s="71"/>
      <c r="Q361" s="71"/>
      <c r="R361" s="71"/>
      <c r="T361" s="71"/>
      <c r="U361" s="71"/>
      <c r="V361" s="71"/>
      <c r="W361" s="71"/>
      <c r="X361" s="71"/>
      <c r="Y361" s="71"/>
      <c r="Z361" s="71"/>
    </row>
    <row r="362" spans="1:26" ht="14.25" customHeight="1">
      <c r="A362" s="71"/>
      <c r="B362" s="71"/>
      <c r="C362" s="71"/>
      <c r="D362" s="71"/>
      <c r="E362" s="71"/>
      <c r="F362" s="71"/>
      <c r="G362" s="71"/>
      <c r="H362" s="71"/>
      <c r="I362" s="71"/>
      <c r="J362" s="71"/>
      <c r="K362" s="71"/>
      <c r="L362" s="71"/>
      <c r="M362" s="71"/>
      <c r="N362" s="71"/>
      <c r="O362" s="71"/>
      <c r="P362" s="71"/>
      <c r="Q362" s="71"/>
      <c r="R362" s="71"/>
      <c r="T362" s="71"/>
      <c r="U362" s="71"/>
      <c r="V362" s="71"/>
      <c r="W362" s="71"/>
      <c r="X362" s="71"/>
      <c r="Y362" s="71"/>
      <c r="Z362" s="71"/>
    </row>
    <row r="363" spans="1:26" ht="14.25" customHeight="1">
      <c r="A363" s="71"/>
      <c r="B363" s="71"/>
      <c r="C363" s="71"/>
      <c r="D363" s="71"/>
      <c r="E363" s="71"/>
      <c r="F363" s="71"/>
      <c r="G363" s="71"/>
      <c r="H363" s="71"/>
      <c r="I363" s="71"/>
      <c r="J363" s="71"/>
      <c r="K363" s="71"/>
      <c r="L363" s="71"/>
      <c r="M363" s="71"/>
      <c r="N363" s="71"/>
      <c r="O363" s="71"/>
      <c r="P363" s="71"/>
      <c r="Q363" s="71"/>
      <c r="R363" s="71"/>
      <c r="T363" s="71"/>
      <c r="U363" s="71"/>
      <c r="V363" s="71"/>
      <c r="W363" s="71"/>
      <c r="X363" s="71"/>
      <c r="Y363" s="71"/>
      <c r="Z363" s="71"/>
    </row>
    <row r="364" spans="1:26" ht="14.25" customHeight="1">
      <c r="A364" s="71"/>
      <c r="B364" s="71"/>
      <c r="C364" s="71"/>
      <c r="D364" s="71"/>
      <c r="E364" s="71"/>
      <c r="F364" s="71"/>
      <c r="G364" s="71"/>
      <c r="H364" s="71"/>
      <c r="I364" s="71"/>
      <c r="J364" s="71"/>
      <c r="K364" s="71"/>
      <c r="L364" s="71"/>
      <c r="M364" s="71"/>
      <c r="N364" s="71"/>
      <c r="O364" s="71"/>
      <c r="P364" s="71"/>
      <c r="Q364" s="71"/>
      <c r="R364" s="71"/>
      <c r="T364" s="71"/>
      <c r="U364" s="71"/>
      <c r="V364" s="71"/>
      <c r="W364" s="71"/>
      <c r="X364" s="71"/>
      <c r="Y364" s="71"/>
      <c r="Z364" s="71"/>
    </row>
    <row r="365" spans="1:26" ht="14.25" customHeight="1">
      <c r="A365" s="71"/>
      <c r="B365" s="71"/>
      <c r="C365" s="71"/>
      <c r="D365" s="71"/>
      <c r="E365" s="71"/>
      <c r="F365" s="71"/>
      <c r="G365" s="71"/>
      <c r="H365" s="71"/>
      <c r="I365" s="71"/>
      <c r="J365" s="71"/>
      <c r="K365" s="71"/>
      <c r="L365" s="71"/>
      <c r="M365" s="71"/>
      <c r="N365" s="71"/>
      <c r="O365" s="71"/>
      <c r="P365" s="71"/>
      <c r="Q365" s="71"/>
      <c r="R365" s="71"/>
      <c r="T365" s="71"/>
      <c r="U365" s="71"/>
      <c r="V365" s="71"/>
      <c r="W365" s="71"/>
      <c r="X365" s="71"/>
      <c r="Y365" s="71"/>
      <c r="Z365" s="71"/>
    </row>
    <row r="366" spans="1:26" ht="14.25" customHeight="1">
      <c r="A366" s="71"/>
      <c r="B366" s="71"/>
      <c r="C366" s="71"/>
      <c r="D366" s="71"/>
      <c r="E366" s="71"/>
      <c r="F366" s="71"/>
      <c r="G366" s="71"/>
      <c r="H366" s="71"/>
      <c r="I366" s="71"/>
      <c r="J366" s="71"/>
      <c r="K366" s="71"/>
      <c r="L366" s="71"/>
      <c r="M366" s="71"/>
      <c r="N366" s="71"/>
      <c r="O366" s="71"/>
      <c r="P366" s="71"/>
      <c r="Q366" s="71"/>
      <c r="R366" s="71"/>
      <c r="T366" s="71"/>
      <c r="U366" s="71"/>
      <c r="V366" s="71"/>
      <c r="W366" s="71"/>
      <c r="X366" s="71"/>
      <c r="Y366" s="71"/>
      <c r="Z366" s="71"/>
    </row>
    <row r="367" spans="1:26" ht="14.25" customHeight="1">
      <c r="A367" s="71"/>
      <c r="B367" s="71"/>
      <c r="C367" s="71"/>
      <c r="D367" s="71"/>
      <c r="E367" s="71"/>
      <c r="F367" s="71"/>
      <c r="G367" s="71"/>
      <c r="H367" s="71"/>
      <c r="I367" s="71"/>
      <c r="J367" s="71"/>
      <c r="K367" s="71"/>
      <c r="L367" s="71"/>
      <c r="M367" s="71"/>
      <c r="N367" s="71"/>
      <c r="O367" s="71"/>
      <c r="P367" s="71"/>
      <c r="Q367" s="71"/>
      <c r="R367" s="71"/>
      <c r="T367" s="71"/>
      <c r="U367" s="71"/>
      <c r="V367" s="71"/>
      <c r="W367" s="71"/>
      <c r="X367" s="71"/>
      <c r="Y367" s="71"/>
      <c r="Z367" s="71"/>
    </row>
    <row r="368" spans="1:26" ht="14.25" customHeight="1">
      <c r="A368" s="71"/>
      <c r="B368" s="71"/>
      <c r="C368" s="71"/>
      <c r="D368" s="71"/>
      <c r="E368" s="71"/>
      <c r="F368" s="71"/>
      <c r="G368" s="71"/>
      <c r="H368" s="71"/>
      <c r="I368" s="71"/>
      <c r="J368" s="71"/>
      <c r="K368" s="71"/>
      <c r="L368" s="71"/>
      <c r="M368" s="71"/>
      <c r="N368" s="71"/>
      <c r="O368" s="71"/>
      <c r="P368" s="71"/>
      <c r="Q368" s="71"/>
      <c r="R368" s="71"/>
      <c r="T368" s="71"/>
      <c r="U368" s="71"/>
      <c r="V368" s="71"/>
      <c r="W368" s="71"/>
      <c r="X368" s="71"/>
      <c r="Y368" s="71"/>
      <c r="Z368" s="71"/>
    </row>
    <row r="369" spans="1:26" ht="14.25" customHeight="1">
      <c r="A369" s="71"/>
      <c r="B369" s="71"/>
      <c r="C369" s="71"/>
      <c r="D369" s="71"/>
      <c r="E369" s="71"/>
      <c r="F369" s="71"/>
      <c r="G369" s="71"/>
      <c r="H369" s="71"/>
      <c r="I369" s="71"/>
      <c r="J369" s="71"/>
      <c r="K369" s="71"/>
      <c r="L369" s="71"/>
      <c r="M369" s="71"/>
      <c r="N369" s="71"/>
      <c r="O369" s="71"/>
      <c r="P369" s="71"/>
      <c r="Q369" s="71"/>
      <c r="R369" s="71"/>
      <c r="T369" s="71"/>
      <c r="U369" s="71"/>
      <c r="V369" s="71"/>
      <c r="W369" s="71"/>
      <c r="X369" s="71"/>
      <c r="Y369" s="71"/>
      <c r="Z369" s="71"/>
    </row>
    <row r="370" spans="1:26" ht="14.25" customHeight="1">
      <c r="A370" s="71"/>
      <c r="B370" s="71"/>
      <c r="C370" s="71"/>
      <c r="D370" s="71"/>
      <c r="E370" s="71"/>
      <c r="F370" s="71"/>
      <c r="G370" s="71"/>
      <c r="H370" s="71"/>
      <c r="I370" s="71"/>
      <c r="J370" s="71"/>
      <c r="K370" s="71"/>
      <c r="L370" s="71"/>
      <c r="M370" s="71"/>
      <c r="N370" s="71"/>
      <c r="O370" s="71"/>
      <c r="P370" s="71"/>
      <c r="Q370" s="71"/>
      <c r="R370" s="71"/>
      <c r="T370" s="71"/>
      <c r="U370" s="71"/>
      <c r="V370" s="71"/>
      <c r="W370" s="71"/>
      <c r="X370" s="71"/>
      <c r="Y370" s="71"/>
      <c r="Z370" s="71"/>
    </row>
    <row r="371" spans="1:26" ht="14.25" customHeight="1">
      <c r="A371" s="71"/>
      <c r="B371" s="71"/>
      <c r="C371" s="71"/>
      <c r="D371" s="71"/>
      <c r="E371" s="71"/>
      <c r="F371" s="71"/>
      <c r="G371" s="71"/>
      <c r="H371" s="71"/>
      <c r="I371" s="71"/>
      <c r="J371" s="71"/>
      <c r="K371" s="71"/>
      <c r="L371" s="71"/>
      <c r="M371" s="71"/>
      <c r="N371" s="71"/>
      <c r="O371" s="71"/>
      <c r="P371" s="71"/>
      <c r="Q371" s="71"/>
      <c r="R371" s="71"/>
      <c r="T371" s="71"/>
      <c r="U371" s="71"/>
      <c r="V371" s="71"/>
      <c r="W371" s="71"/>
      <c r="X371" s="71"/>
      <c r="Y371" s="71"/>
      <c r="Z371" s="71"/>
    </row>
    <row r="372" spans="1:26" ht="14.25" customHeight="1">
      <c r="A372" s="71"/>
      <c r="B372" s="71"/>
      <c r="C372" s="71"/>
      <c r="D372" s="71"/>
      <c r="E372" s="71"/>
      <c r="F372" s="71"/>
      <c r="G372" s="71"/>
      <c r="H372" s="71"/>
      <c r="I372" s="71"/>
      <c r="J372" s="71"/>
      <c r="K372" s="71"/>
      <c r="L372" s="71"/>
      <c r="M372" s="71"/>
      <c r="N372" s="71"/>
      <c r="O372" s="71"/>
      <c r="P372" s="71"/>
      <c r="Q372" s="71"/>
      <c r="R372" s="71"/>
      <c r="T372" s="71"/>
      <c r="U372" s="71"/>
      <c r="V372" s="71"/>
      <c r="W372" s="71"/>
      <c r="X372" s="71"/>
      <c r="Y372" s="71"/>
      <c r="Z372" s="71"/>
    </row>
    <row r="373" spans="1:26" ht="14.25" customHeight="1">
      <c r="A373" s="71"/>
      <c r="B373" s="71"/>
      <c r="C373" s="71"/>
      <c r="D373" s="71"/>
      <c r="E373" s="71"/>
      <c r="F373" s="71"/>
      <c r="G373" s="71"/>
      <c r="H373" s="71"/>
      <c r="I373" s="71"/>
      <c r="J373" s="71"/>
      <c r="K373" s="71"/>
      <c r="L373" s="71"/>
      <c r="M373" s="71"/>
      <c r="N373" s="71"/>
      <c r="O373" s="71"/>
      <c r="P373" s="71"/>
      <c r="Q373" s="71"/>
      <c r="R373" s="71"/>
      <c r="T373" s="71"/>
      <c r="U373" s="71"/>
      <c r="V373" s="71"/>
      <c r="W373" s="71"/>
      <c r="X373" s="71"/>
      <c r="Y373" s="71"/>
      <c r="Z373" s="71"/>
    </row>
    <row r="374" spans="1:26" ht="14.25" customHeight="1">
      <c r="A374" s="71"/>
      <c r="B374" s="71"/>
      <c r="C374" s="71"/>
      <c r="D374" s="71"/>
      <c r="E374" s="71"/>
      <c r="F374" s="71"/>
      <c r="G374" s="71"/>
      <c r="H374" s="71"/>
      <c r="I374" s="71"/>
      <c r="J374" s="71"/>
      <c r="K374" s="71"/>
      <c r="L374" s="71"/>
      <c r="M374" s="71"/>
      <c r="N374" s="71"/>
      <c r="O374" s="71"/>
      <c r="P374" s="71"/>
      <c r="Q374" s="71"/>
      <c r="R374" s="71"/>
      <c r="T374" s="71"/>
      <c r="U374" s="71"/>
      <c r="V374" s="71"/>
      <c r="W374" s="71"/>
      <c r="X374" s="71"/>
      <c r="Y374" s="71"/>
      <c r="Z374" s="71"/>
    </row>
    <row r="375" spans="1:26" ht="14.25" customHeight="1">
      <c r="A375" s="71"/>
      <c r="B375" s="71"/>
      <c r="C375" s="71"/>
      <c r="D375" s="71"/>
      <c r="E375" s="71"/>
      <c r="F375" s="71"/>
      <c r="G375" s="71"/>
      <c r="H375" s="71"/>
      <c r="I375" s="71"/>
      <c r="J375" s="71"/>
      <c r="K375" s="71"/>
      <c r="L375" s="71"/>
      <c r="M375" s="71"/>
      <c r="N375" s="71"/>
      <c r="O375" s="71"/>
      <c r="P375" s="71"/>
      <c r="Q375" s="71"/>
      <c r="R375" s="71"/>
      <c r="T375" s="71"/>
      <c r="U375" s="71"/>
      <c r="V375" s="71"/>
      <c r="W375" s="71"/>
      <c r="X375" s="71"/>
      <c r="Y375" s="71"/>
      <c r="Z375" s="71"/>
    </row>
    <row r="376" spans="1:26" ht="14.25" customHeight="1">
      <c r="A376" s="71"/>
      <c r="B376" s="71"/>
      <c r="C376" s="71"/>
      <c r="D376" s="71"/>
      <c r="E376" s="71"/>
      <c r="F376" s="71"/>
      <c r="G376" s="71"/>
      <c r="H376" s="71"/>
      <c r="I376" s="71"/>
      <c r="J376" s="71"/>
      <c r="K376" s="71"/>
      <c r="L376" s="71"/>
      <c r="M376" s="71"/>
      <c r="N376" s="71"/>
      <c r="O376" s="71"/>
      <c r="P376" s="71"/>
      <c r="Q376" s="71"/>
      <c r="R376" s="71"/>
      <c r="T376" s="71"/>
      <c r="U376" s="71"/>
      <c r="V376" s="71"/>
      <c r="W376" s="71"/>
      <c r="X376" s="71"/>
      <c r="Y376" s="71"/>
      <c r="Z376" s="71"/>
    </row>
    <row r="377" spans="1:26" ht="14.25" customHeight="1">
      <c r="A377" s="71"/>
      <c r="B377" s="71"/>
      <c r="C377" s="71"/>
      <c r="D377" s="71"/>
      <c r="E377" s="71"/>
      <c r="F377" s="71"/>
      <c r="G377" s="71"/>
      <c r="H377" s="71"/>
      <c r="I377" s="71"/>
      <c r="J377" s="71"/>
      <c r="K377" s="71"/>
      <c r="L377" s="71"/>
      <c r="M377" s="71"/>
      <c r="N377" s="71"/>
      <c r="O377" s="71"/>
      <c r="P377" s="71"/>
      <c r="Q377" s="71"/>
      <c r="R377" s="71"/>
      <c r="T377" s="71"/>
      <c r="U377" s="71"/>
      <c r="V377" s="71"/>
      <c r="W377" s="71"/>
      <c r="X377" s="71"/>
      <c r="Y377" s="71"/>
      <c r="Z377" s="71"/>
    </row>
    <row r="378" spans="1:26" ht="14.25" customHeight="1">
      <c r="A378" s="71"/>
      <c r="B378" s="71"/>
      <c r="C378" s="71"/>
      <c r="D378" s="71"/>
      <c r="E378" s="71"/>
      <c r="F378" s="71"/>
      <c r="G378" s="71"/>
      <c r="H378" s="71"/>
      <c r="I378" s="71"/>
      <c r="J378" s="71"/>
      <c r="K378" s="71"/>
      <c r="L378" s="71"/>
      <c r="M378" s="71"/>
      <c r="N378" s="71"/>
      <c r="O378" s="71"/>
      <c r="P378" s="71"/>
      <c r="Q378" s="71"/>
      <c r="R378" s="71"/>
      <c r="T378" s="71"/>
      <c r="U378" s="71"/>
      <c r="V378" s="71"/>
      <c r="W378" s="71"/>
      <c r="X378" s="71"/>
      <c r="Y378" s="71"/>
      <c r="Z378" s="71"/>
    </row>
    <row r="379" spans="1:26" ht="14.25" customHeight="1">
      <c r="A379" s="71"/>
      <c r="B379" s="71"/>
      <c r="C379" s="71"/>
      <c r="D379" s="71"/>
      <c r="E379" s="71"/>
      <c r="F379" s="71"/>
      <c r="G379" s="71"/>
      <c r="H379" s="71"/>
      <c r="I379" s="71"/>
      <c r="J379" s="71"/>
      <c r="K379" s="71"/>
      <c r="L379" s="71"/>
      <c r="M379" s="71"/>
      <c r="N379" s="71"/>
      <c r="O379" s="71"/>
      <c r="P379" s="71"/>
      <c r="Q379" s="71"/>
      <c r="R379" s="71"/>
      <c r="T379" s="71"/>
      <c r="U379" s="71"/>
      <c r="V379" s="71"/>
      <c r="W379" s="71"/>
      <c r="X379" s="71"/>
      <c r="Y379" s="71"/>
      <c r="Z379" s="71"/>
    </row>
    <row r="380" spans="1:26" ht="14.25" customHeight="1">
      <c r="A380" s="71"/>
      <c r="B380" s="71"/>
      <c r="C380" s="71"/>
      <c r="D380" s="71"/>
      <c r="E380" s="71"/>
      <c r="F380" s="71"/>
      <c r="G380" s="71"/>
      <c r="H380" s="71"/>
      <c r="I380" s="71"/>
      <c r="J380" s="71"/>
      <c r="K380" s="71"/>
      <c r="L380" s="71"/>
      <c r="M380" s="71"/>
      <c r="N380" s="71"/>
      <c r="O380" s="71"/>
      <c r="P380" s="71"/>
      <c r="Q380" s="71"/>
      <c r="R380" s="71"/>
      <c r="T380" s="71"/>
      <c r="U380" s="71"/>
      <c r="V380" s="71"/>
      <c r="W380" s="71"/>
      <c r="X380" s="71"/>
      <c r="Y380" s="71"/>
      <c r="Z380" s="71"/>
    </row>
    <row r="381" spans="1:26" ht="14.25" customHeight="1">
      <c r="A381" s="71"/>
      <c r="B381" s="71"/>
      <c r="C381" s="71"/>
      <c r="D381" s="71"/>
      <c r="E381" s="71"/>
      <c r="F381" s="71"/>
      <c r="G381" s="71"/>
      <c r="H381" s="71"/>
      <c r="I381" s="71"/>
      <c r="J381" s="71"/>
      <c r="K381" s="71"/>
      <c r="L381" s="71"/>
      <c r="M381" s="71"/>
      <c r="N381" s="71"/>
      <c r="O381" s="71"/>
      <c r="P381" s="71"/>
      <c r="Q381" s="71"/>
      <c r="R381" s="71"/>
      <c r="T381" s="71"/>
      <c r="U381" s="71"/>
      <c r="V381" s="71"/>
      <c r="W381" s="71"/>
      <c r="X381" s="71"/>
      <c r="Y381" s="71"/>
      <c r="Z381" s="71"/>
    </row>
    <row r="382" spans="1:26" ht="14.25" customHeight="1">
      <c r="A382" s="71"/>
      <c r="B382" s="71"/>
      <c r="C382" s="71"/>
      <c r="D382" s="71"/>
      <c r="E382" s="71"/>
      <c r="F382" s="71"/>
      <c r="G382" s="71"/>
      <c r="H382" s="71"/>
      <c r="I382" s="71"/>
      <c r="J382" s="71"/>
      <c r="K382" s="71"/>
      <c r="L382" s="71"/>
      <c r="M382" s="71"/>
      <c r="N382" s="71"/>
      <c r="O382" s="71"/>
      <c r="P382" s="71"/>
      <c r="Q382" s="71"/>
      <c r="R382" s="71"/>
      <c r="T382" s="71"/>
      <c r="U382" s="71"/>
      <c r="V382" s="71"/>
      <c r="W382" s="71"/>
      <c r="X382" s="71"/>
      <c r="Y382" s="71"/>
      <c r="Z382" s="71"/>
    </row>
    <row r="383" spans="1:26" ht="14.25" customHeight="1">
      <c r="A383" s="71"/>
      <c r="B383" s="71"/>
      <c r="C383" s="71"/>
      <c r="D383" s="71"/>
      <c r="E383" s="71"/>
      <c r="F383" s="71"/>
      <c r="G383" s="71"/>
      <c r="H383" s="71"/>
      <c r="I383" s="71"/>
      <c r="J383" s="71"/>
      <c r="K383" s="71"/>
      <c r="L383" s="71"/>
      <c r="M383" s="71"/>
      <c r="N383" s="71"/>
      <c r="O383" s="71"/>
      <c r="P383" s="71"/>
      <c r="Q383" s="71"/>
      <c r="R383" s="71"/>
      <c r="T383" s="71"/>
      <c r="U383" s="71"/>
      <c r="V383" s="71"/>
      <c r="W383" s="71"/>
      <c r="X383" s="71"/>
      <c r="Y383" s="71"/>
      <c r="Z383" s="71"/>
    </row>
    <row r="384" spans="1:26" ht="14.25" customHeight="1">
      <c r="A384" s="71"/>
      <c r="B384" s="71"/>
      <c r="C384" s="71"/>
      <c r="D384" s="71"/>
      <c r="E384" s="71"/>
      <c r="F384" s="71"/>
      <c r="G384" s="71"/>
      <c r="H384" s="71"/>
      <c r="I384" s="71"/>
      <c r="J384" s="71"/>
      <c r="K384" s="71"/>
      <c r="L384" s="71"/>
      <c r="M384" s="71"/>
      <c r="N384" s="71"/>
      <c r="O384" s="71"/>
      <c r="P384" s="71"/>
      <c r="Q384" s="71"/>
      <c r="R384" s="71"/>
      <c r="T384" s="71"/>
      <c r="U384" s="71"/>
      <c r="V384" s="71"/>
      <c r="W384" s="71"/>
      <c r="X384" s="71"/>
      <c r="Y384" s="71"/>
      <c r="Z384" s="71"/>
    </row>
    <row r="385" spans="1:26" ht="14.25" customHeight="1">
      <c r="A385" s="71"/>
      <c r="B385" s="71"/>
      <c r="C385" s="71"/>
      <c r="D385" s="71"/>
      <c r="E385" s="71"/>
      <c r="F385" s="71"/>
      <c r="G385" s="71"/>
      <c r="H385" s="71"/>
      <c r="I385" s="71"/>
      <c r="J385" s="71"/>
      <c r="K385" s="71"/>
      <c r="L385" s="71"/>
      <c r="M385" s="71"/>
      <c r="N385" s="71"/>
      <c r="O385" s="71"/>
      <c r="P385" s="71"/>
      <c r="Q385" s="71"/>
      <c r="R385" s="71"/>
      <c r="T385" s="71"/>
      <c r="U385" s="71"/>
      <c r="V385" s="71"/>
      <c r="W385" s="71"/>
      <c r="X385" s="71"/>
      <c r="Y385" s="71"/>
      <c r="Z385" s="71"/>
    </row>
    <row r="386" spans="1:26" ht="14.25" customHeight="1">
      <c r="A386" s="71"/>
      <c r="B386" s="71"/>
      <c r="C386" s="71"/>
      <c r="D386" s="71"/>
      <c r="E386" s="71"/>
      <c r="F386" s="71"/>
      <c r="G386" s="71"/>
      <c r="H386" s="71"/>
      <c r="I386" s="71"/>
      <c r="J386" s="71"/>
      <c r="K386" s="71"/>
      <c r="L386" s="71"/>
      <c r="M386" s="71"/>
      <c r="N386" s="71"/>
      <c r="O386" s="71"/>
      <c r="P386" s="71"/>
      <c r="Q386" s="71"/>
      <c r="R386" s="71"/>
      <c r="T386" s="71"/>
      <c r="U386" s="71"/>
      <c r="V386" s="71"/>
      <c r="W386" s="71"/>
      <c r="X386" s="71"/>
      <c r="Y386" s="71"/>
      <c r="Z386" s="71"/>
    </row>
    <row r="387" spans="1:26" ht="14.25" customHeight="1">
      <c r="A387" s="71"/>
      <c r="B387" s="71"/>
      <c r="C387" s="71"/>
      <c r="D387" s="71"/>
      <c r="E387" s="71"/>
      <c r="F387" s="71"/>
      <c r="G387" s="71"/>
      <c r="H387" s="71"/>
      <c r="I387" s="71"/>
      <c r="J387" s="71"/>
      <c r="K387" s="71"/>
      <c r="L387" s="71"/>
      <c r="M387" s="71"/>
      <c r="N387" s="71"/>
      <c r="O387" s="71"/>
      <c r="P387" s="71"/>
      <c r="Q387" s="71"/>
      <c r="R387" s="71"/>
      <c r="T387" s="71"/>
      <c r="U387" s="71"/>
      <c r="V387" s="71"/>
      <c r="W387" s="71"/>
      <c r="X387" s="71"/>
      <c r="Y387" s="71"/>
      <c r="Z387" s="71"/>
    </row>
    <row r="388" spans="1:26" ht="14.25" customHeight="1">
      <c r="A388" s="71"/>
      <c r="B388" s="71"/>
      <c r="C388" s="71"/>
      <c r="D388" s="71"/>
      <c r="E388" s="71"/>
      <c r="F388" s="71"/>
      <c r="G388" s="71"/>
      <c r="H388" s="71"/>
      <c r="I388" s="71"/>
      <c r="J388" s="71"/>
      <c r="K388" s="71"/>
      <c r="L388" s="71"/>
      <c r="M388" s="71"/>
      <c r="N388" s="71"/>
      <c r="O388" s="71"/>
      <c r="P388" s="71"/>
      <c r="Q388" s="71"/>
      <c r="R388" s="71"/>
      <c r="T388" s="71"/>
      <c r="U388" s="71"/>
      <c r="V388" s="71"/>
      <c r="W388" s="71"/>
      <c r="X388" s="71"/>
      <c r="Y388" s="71"/>
      <c r="Z388" s="71"/>
    </row>
    <row r="389" spans="1:26" ht="14.25" customHeight="1">
      <c r="A389" s="71"/>
      <c r="B389" s="71"/>
      <c r="C389" s="71"/>
      <c r="D389" s="71"/>
      <c r="E389" s="71"/>
      <c r="F389" s="71"/>
      <c r="G389" s="71"/>
      <c r="H389" s="71"/>
      <c r="I389" s="71"/>
      <c r="J389" s="71"/>
      <c r="K389" s="71"/>
      <c r="L389" s="71"/>
      <c r="M389" s="71"/>
      <c r="N389" s="71"/>
      <c r="O389" s="71"/>
      <c r="P389" s="71"/>
      <c r="Q389" s="71"/>
      <c r="R389" s="71"/>
      <c r="T389" s="71"/>
      <c r="U389" s="71"/>
      <c r="V389" s="71"/>
      <c r="W389" s="71"/>
      <c r="X389" s="71"/>
      <c r="Y389" s="71"/>
      <c r="Z389" s="71"/>
    </row>
    <row r="390" spans="1:26" ht="14.25" customHeight="1">
      <c r="A390" s="71"/>
      <c r="B390" s="71"/>
      <c r="C390" s="71"/>
      <c r="D390" s="71"/>
      <c r="E390" s="71"/>
      <c r="F390" s="71"/>
      <c r="G390" s="71"/>
      <c r="H390" s="71"/>
      <c r="I390" s="71"/>
      <c r="J390" s="71"/>
      <c r="K390" s="71"/>
      <c r="L390" s="71"/>
      <c r="M390" s="71"/>
      <c r="N390" s="71"/>
      <c r="O390" s="71"/>
      <c r="P390" s="71"/>
      <c r="Q390" s="71"/>
      <c r="R390" s="71"/>
      <c r="T390" s="71"/>
      <c r="U390" s="71"/>
      <c r="V390" s="71"/>
      <c r="W390" s="71"/>
      <c r="X390" s="71"/>
      <c r="Y390" s="71"/>
      <c r="Z390" s="71"/>
    </row>
    <row r="391" spans="1:26" ht="14.25" customHeight="1">
      <c r="A391" s="71"/>
      <c r="B391" s="71"/>
      <c r="C391" s="71"/>
      <c r="D391" s="71"/>
      <c r="E391" s="71"/>
      <c r="F391" s="71"/>
      <c r="G391" s="71"/>
      <c r="H391" s="71"/>
      <c r="I391" s="71"/>
      <c r="J391" s="71"/>
      <c r="K391" s="71"/>
      <c r="L391" s="71"/>
      <c r="M391" s="71"/>
      <c r="N391" s="71"/>
      <c r="O391" s="71"/>
      <c r="P391" s="71"/>
      <c r="Q391" s="71"/>
      <c r="R391" s="71"/>
      <c r="T391" s="71"/>
      <c r="U391" s="71"/>
      <c r="V391" s="71"/>
      <c r="W391" s="71"/>
      <c r="X391" s="71"/>
      <c r="Y391" s="71"/>
      <c r="Z391" s="71"/>
    </row>
    <row r="392" spans="1:26" ht="14.25" customHeight="1">
      <c r="A392" s="71"/>
      <c r="B392" s="71"/>
      <c r="C392" s="71"/>
      <c r="D392" s="71"/>
      <c r="E392" s="71"/>
      <c r="F392" s="71"/>
      <c r="G392" s="71"/>
      <c r="H392" s="71"/>
      <c r="I392" s="71"/>
      <c r="J392" s="71"/>
      <c r="K392" s="71"/>
      <c r="L392" s="71"/>
      <c r="M392" s="71"/>
      <c r="N392" s="71"/>
      <c r="O392" s="71"/>
      <c r="P392" s="71"/>
      <c r="Q392" s="71"/>
      <c r="R392" s="71"/>
      <c r="T392" s="71"/>
      <c r="U392" s="71"/>
      <c r="V392" s="71"/>
      <c r="W392" s="71"/>
      <c r="X392" s="71"/>
      <c r="Y392" s="71"/>
      <c r="Z392" s="71"/>
    </row>
    <row r="393" spans="1:26" ht="14.25" customHeight="1">
      <c r="A393" s="71"/>
      <c r="B393" s="71"/>
      <c r="C393" s="71"/>
      <c r="D393" s="71"/>
      <c r="E393" s="71"/>
      <c r="F393" s="71"/>
      <c r="G393" s="71"/>
      <c r="H393" s="71"/>
      <c r="I393" s="71"/>
      <c r="J393" s="71"/>
      <c r="K393" s="71"/>
      <c r="L393" s="71"/>
      <c r="M393" s="71"/>
      <c r="N393" s="71"/>
      <c r="O393" s="71"/>
      <c r="P393" s="71"/>
      <c r="Q393" s="71"/>
      <c r="R393" s="71"/>
      <c r="T393" s="71"/>
      <c r="U393" s="71"/>
      <c r="V393" s="71"/>
      <c r="W393" s="71"/>
      <c r="X393" s="71"/>
      <c r="Y393" s="71"/>
      <c r="Z393" s="71"/>
    </row>
    <row r="394" spans="1:26" ht="14.25" customHeight="1">
      <c r="A394" s="71"/>
      <c r="B394" s="71"/>
      <c r="C394" s="71"/>
      <c r="D394" s="71"/>
      <c r="E394" s="71"/>
      <c r="F394" s="71"/>
      <c r="G394" s="71"/>
      <c r="H394" s="71"/>
      <c r="I394" s="71"/>
      <c r="J394" s="71"/>
      <c r="K394" s="71"/>
      <c r="L394" s="71"/>
      <c r="M394" s="71"/>
      <c r="N394" s="71"/>
      <c r="O394" s="71"/>
      <c r="P394" s="71"/>
      <c r="Q394" s="71"/>
      <c r="R394" s="71"/>
      <c r="T394" s="71"/>
      <c r="U394" s="71"/>
      <c r="V394" s="71"/>
      <c r="W394" s="71"/>
      <c r="X394" s="71"/>
      <c r="Y394" s="71"/>
      <c r="Z394" s="71"/>
    </row>
    <row r="395" spans="1:26" ht="14.25" customHeight="1">
      <c r="A395" s="71"/>
      <c r="B395" s="71"/>
      <c r="C395" s="71"/>
      <c r="D395" s="71"/>
      <c r="E395" s="71"/>
      <c r="F395" s="71"/>
      <c r="G395" s="71"/>
      <c r="H395" s="71"/>
      <c r="I395" s="71"/>
      <c r="J395" s="71"/>
      <c r="K395" s="71"/>
      <c r="L395" s="71"/>
      <c r="M395" s="71"/>
      <c r="N395" s="71"/>
      <c r="O395" s="71"/>
      <c r="P395" s="71"/>
      <c r="Q395" s="71"/>
      <c r="R395" s="71"/>
      <c r="T395" s="71"/>
      <c r="U395" s="71"/>
      <c r="V395" s="71"/>
      <c r="W395" s="71"/>
      <c r="X395" s="71"/>
      <c r="Y395" s="71"/>
      <c r="Z395" s="71"/>
    </row>
    <row r="396" spans="1:26" ht="14.25" customHeight="1">
      <c r="A396" s="71"/>
      <c r="B396" s="71"/>
      <c r="C396" s="71"/>
      <c r="D396" s="71"/>
      <c r="E396" s="71"/>
      <c r="F396" s="71"/>
      <c r="G396" s="71"/>
      <c r="H396" s="71"/>
      <c r="I396" s="71"/>
      <c r="J396" s="71"/>
      <c r="K396" s="71"/>
      <c r="L396" s="71"/>
      <c r="M396" s="71"/>
      <c r="N396" s="71"/>
      <c r="O396" s="71"/>
      <c r="P396" s="71"/>
      <c r="Q396" s="71"/>
      <c r="R396" s="71"/>
      <c r="T396" s="71"/>
      <c r="U396" s="71"/>
      <c r="V396" s="71"/>
      <c r="W396" s="71"/>
      <c r="X396" s="71"/>
      <c r="Y396" s="71"/>
      <c r="Z396" s="71"/>
    </row>
    <row r="397" spans="1:26" ht="14.25" customHeight="1">
      <c r="A397" s="71"/>
      <c r="B397" s="71"/>
      <c r="C397" s="71"/>
      <c r="D397" s="71"/>
      <c r="E397" s="71"/>
      <c r="F397" s="71"/>
      <c r="G397" s="71"/>
      <c r="H397" s="71"/>
      <c r="I397" s="71"/>
      <c r="J397" s="71"/>
      <c r="K397" s="71"/>
      <c r="L397" s="71"/>
      <c r="M397" s="71"/>
      <c r="N397" s="71"/>
      <c r="O397" s="71"/>
      <c r="P397" s="71"/>
      <c r="Q397" s="71"/>
      <c r="R397" s="71"/>
      <c r="T397" s="71"/>
      <c r="U397" s="71"/>
      <c r="V397" s="71"/>
      <c r="W397" s="71"/>
      <c r="X397" s="71"/>
      <c r="Y397" s="71"/>
      <c r="Z397" s="71"/>
    </row>
    <row r="398" spans="1:26" ht="14.25" customHeight="1">
      <c r="A398" s="71"/>
      <c r="B398" s="71"/>
      <c r="C398" s="71"/>
      <c r="D398" s="71"/>
      <c r="E398" s="71"/>
      <c r="F398" s="71"/>
      <c r="G398" s="71"/>
      <c r="H398" s="71"/>
      <c r="I398" s="71"/>
      <c r="J398" s="71"/>
      <c r="K398" s="71"/>
      <c r="L398" s="71"/>
      <c r="M398" s="71"/>
      <c r="N398" s="71"/>
      <c r="O398" s="71"/>
      <c r="P398" s="71"/>
      <c r="Q398" s="71"/>
      <c r="R398" s="71"/>
      <c r="T398" s="71"/>
      <c r="U398" s="71"/>
      <c r="V398" s="71"/>
      <c r="W398" s="71"/>
      <c r="X398" s="71"/>
      <c r="Y398" s="71"/>
      <c r="Z398" s="71"/>
    </row>
    <row r="399" spans="1:26" ht="14.25" customHeight="1">
      <c r="A399" s="71"/>
      <c r="B399" s="71"/>
      <c r="C399" s="71"/>
      <c r="D399" s="71"/>
      <c r="E399" s="71"/>
      <c r="F399" s="71"/>
      <c r="G399" s="71"/>
      <c r="H399" s="71"/>
      <c r="I399" s="71"/>
      <c r="J399" s="71"/>
      <c r="K399" s="71"/>
      <c r="L399" s="71"/>
      <c r="M399" s="71"/>
      <c r="N399" s="71"/>
      <c r="O399" s="71"/>
      <c r="P399" s="71"/>
      <c r="Q399" s="71"/>
      <c r="R399" s="71"/>
      <c r="T399" s="71"/>
      <c r="U399" s="71"/>
      <c r="V399" s="71"/>
      <c r="W399" s="71"/>
      <c r="X399" s="71"/>
      <c r="Y399" s="71"/>
      <c r="Z399" s="71"/>
    </row>
    <row r="400" spans="1:26" ht="14.25" customHeight="1">
      <c r="A400" s="71"/>
      <c r="B400" s="71"/>
      <c r="C400" s="71"/>
      <c r="D400" s="71"/>
      <c r="E400" s="71"/>
      <c r="F400" s="71"/>
      <c r="G400" s="71"/>
      <c r="H400" s="71"/>
      <c r="I400" s="71"/>
      <c r="J400" s="71"/>
      <c r="K400" s="71"/>
      <c r="L400" s="71"/>
      <c r="M400" s="71"/>
      <c r="N400" s="71"/>
      <c r="O400" s="71"/>
      <c r="P400" s="71"/>
      <c r="Q400" s="71"/>
      <c r="R400" s="71"/>
      <c r="T400" s="71"/>
      <c r="U400" s="71"/>
      <c r="V400" s="71"/>
      <c r="W400" s="71"/>
      <c r="X400" s="71"/>
      <c r="Y400" s="71"/>
      <c r="Z400" s="71"/>
    </row>
    <row r="401" spans="1:26" ht="14.25" customHeight="1">
      <c r="A401" s="71"/>
      <c r="B401" s="71"/>
      <c r="C401" s="71"/>
      <c r="D401" s="71"/>
      <c r="E401" s="71"/>
      <c r="F401" s="71"/>
      <c r="G401" s="71"/>
      <c r="H401" s="71"/>
      <c r="I401" s="71"/>
      <c r="J401" s="71"/>
      <c r="K401" s="71"/>
      <c r="L401" s="71"/>
      <c r="M401" s="71"/>
      <c r="N401" s="71"/>
      <c r="O401" s="71"/>
      <c r="P401" s="71"/>
      <c r="Q401" s="71"/>
      <c r="R401" s="71"/>
      <c r="T401" s="71"/>
      <c r="U401" s="71"/>
      <c r="V401" s="71"/>
      <c r="W401" s="71"/>
      <c r="X401" s="71"/>
      <c r="Y401" s="71"/>
      <c r="Z401" s="71"/>
    </row>
    <row r="402" spans="1:26" ht="14.25" customHeight="1">
      <c r="A402" s="71"/>
      <c r="B402" s="71"/>
      <c r="C402" s="71"/>
      <c r="D402" s="71"/>
      <c r="E402" s="71"/>
      <c r="F402" s="71"/>
      <c r="G402" s="71"/>
      <c r="H402" s="71"/>
      <c r="I402" s="71"/>
      <c r="J402" s="71"/>
      <c r="K402" s="71"/>
      <c r="L402" s="71"/>
      <c r="M402" s="71"/>
      <c r="N402" s="71"/>
      <c r="O402" s="71"/>
      <c r="P402" s="71"/>
      <c r="Q402" s="71"/>
      <c r="R402" s="71"/>
      <c r="T402" s="71"/>
      <c r="U402" s="71"/>
      <c r="V402" s="71"/>
      <c r="W402" s="71"/>
      <c r="X402" s="71"/>
      <c r="Y402" s="71"/>
      <c r="Z402" s="71"/>
    </row>
    <row r="403" spans="1:26" ht="14.25" customHeight="1">
      <c r="A403" s="71"/>
      <c r="B403" s="71"/>
      <c r="C403" s="71"/>
      <c r="D403" s="71"/>
      <c r="E403" s="71"/>
      <c r="F403" s="71"/>
      <c r="G403" s="71"/>
      <c r="H403" s="71"/>
      <c r="I403" s="71"/>
      <c r="J403" s="71"/>
      <c r="K403" s="71"/>
      <c r="L403" s="71"/>
      <c r="M403" s="71"/>
      <c r="N403" s="71"/>
      <c r="O403" s="71"/>
      <c r="P403" s="71"/>
      <c r="Q403" s="71"/>
      <c r="R403" s="71"/>
      <c r="T403" s="71"/>
      <c r="U403" s="71"/>
      <c r="V403" s="71"/>
      <c r="W403" s="71"/>
      <c r="X403" s="71"/>
      <c r="Y403" s="71"/>
      <c r="Z403" s="71"/>
    </row>
    <row r="404" spans="1:26" ht="14.25" customHeight="1">
      <c r="A404" s="71"/>
      <c r="B404" s="71"/>
      <c r="C404" s="71"/>
      <c r="D404" s="71"/>
      <c r="E404" s="71"/>
      <c r="F404" s="71"/>
      <c r="G404" s="71"/>
      <c r="H404" s="71"/>
      <c r="I404" s="71"/>
      <c r="J404" s="71"/>
      <c r="K404" s="71"/>
      <c r="L404" s="71"/>
      <c r="M404" s="71"/>
      <c r="N404" s="71"/>
      <c r="O404" s="71"/>
      <c r="P404" s="71"/>
      <c r="Q404" s="71"/>
      <c r="R404" s="71"/>
      <c r="T404" s="71"/>
      <c r="U404" s="71"/>
      <c r="V404" s="71"/>
      <c r="W404" s="71"/>
      <c r="X404" s="71"/>
      <c r="Y404" s="71"/>
      <c r="Z404" s="71"/>
    </row>
    <row r="405" spans="1:26" ht="14.25" customHeight="1">
      <c r="A405" s="71"/>
      <c r="B405" s="71"/>
      <c r="C405" s="71"/>
      <c r="D405" s="71"/>
      <c r="E405" s="71"/>
      <c r="F405" s="71"/>
      <c r="G405" s="71"/>
      <c r="H405" s="71"/>
      <c r="I405" s="71"/>
      <c r="J405" s="71"/>
      <c r="K405" s="71"/>
      <c r="L405" s="71"/>
      <c r="M405" s="71"/>
      <c r="N405" s="71"/>
      <c r="O405" s="71"/>
      <c r="P405" s="71"/>
      <c r="Q405" s="71"/>
      <c r="R405" s="71"/>
      <c r="T405" s="71"/>
      <c r="U405" s="71"/>
      <c r="V405" s="71"/>
      <c r="W405" s="71"/>
      <c r="X405" s="71"/>
      <c r="Y405" s="71"/>
      <c r="Z405" s="71"/>
    </row>
    <row r="406" spans="1:26" ht="14.25" customHeight="1">
      <c r="A406" s="71"/>
      <c r="B406" s="71"/>
      <c r="C406" s="71"/>
      <c r="D406" s="71"/>
      <c r="E406" s="71"/>
      <c r="F406" s="71"/>
      <c r="G406" s="71"/>
      <c r="H406" s="71"/>
      <c r="I406" s="71"/>
      <c r="J406" s="71"/>
      <c r="K406" s="71"/>
      <c r="L406" s="71"/>
      <c r="M406" s="71"/>
      <c r="N406" s="71"/>
      <c r="O406" s="71"/>
      <c r="P406" s="71"/>
      <c r="Q406" s="71"/>
      <c r="R406" s="71"/>
      <c r="T406" s="71"/>
      <c r="U406" s="71"/>
      <c r="V406" s="71"/>
      <c r="W406" s="71"/>
      <c r="X406" s="71"/>
      <c r="Y406" s="71"/>
      <c r="Z406" s="71"/>
    </row>
    <row r="407" spans="1:26" ht="14.25" customHeight="1">
      <c r="A407" s="71"/>
      <c r="B407" s="71"/>
      <c r="C407" s="71"/>
      <c r="D407" s="71"/>
      <c r="E407" s="71"/>
      <c r="F407" s="71"/>
      <c r="G407" s="71"/>
      <c r="H407" s="71"/>
      <c r="I407" s="71"/>
      <c r="J407" s="71"/>
      <c r="K407" s="71"/>
      <c r="L407" s="71"/>
      <c r="M407" s="71"/>
      <c r="N407" s="71"/>
      <c r="O407" s="71"/>
      <c r="P407" s="71"/>
      <c r="Q407" s="71"/>
      <c r="R407" s="71"/>
      <c r="T407" s="71"/>
      <c r="U407" s="71"/>
      <c r="V407" s="71"/>
      <c r="W407" s="71"/>
      <c r="X407" s="71"/>
      <c r="Y407" s="71"/>
      <c r="Z407" s="71"/>
    </row>
    <row r="408" spans="1:26" ht="14.25" customHeight="1">
      <c r="A408" s="71"/>
      <c r="B408" s="71"/>
      <c r="C408" s="71"/>
      <c r="D408" s="71"/>
      <c r="E408" s="71"/>
      <c r="F408" s="71"/>
      <c r="G408" s="71"/>
      <c r="H408" s="71"/>
      <c r="I408" s="71"/>
      <c r="J408" s="71"/>
      <c r="K408" s="71"/>
      <c r="L408" s="71"/>
      <c r="M408" s="71"/>
      <c r="N408" s="71"/>
      <c r="O408" s="71"/>
      <c r="P408" s="71"/>
      <c r="Q408" s="71"/>
      <c r="R408" s="71"/>
      <c r="T408" s="71"/>
      <c r="U408" s="71"/>
      <c r="V408" s="71"/>
      <c r="W408" s="71"/>
      <c r="X408" s="71"/>
      <c r="Y408" s="71"/>
      <c r="Z408" s="71"/>
    </row>
    <row r="409" spans="1:26" ht="14.25" customHeight="1">
      <c r="A409" s="71"/>
      <c r="B409" s="71"/>
      <c r="C409" s="71"/>
      <c r="D409" s="71"/>
      <c r="E409" s="71"/>
      <c r="F409" s="71"/>
      <c r="G409" s="71"/>
      <c r="H409" s="71"/>
      <c r="I409" s="71"/>
      <c r="J409" s="71"/>
      <c r="K409" s="71"/>
      <c r="L409" s="71"/>
      <c r="M409" s="71"/>
      <c r="N409" s="71"/>
      <c r="O409" s="71"/>
      <c r="P409" s="71"/>
      <c r="Q409" s="71"/>
      <c r="R409" s="71"/>
      <c r="T409" s="71"/>
      <c r="U409" s="71"/>
      <c r="V409" s="71"/>
      <c r="W409" s="71"/>
      <c r="X409" s="71"/>
      <c r="Y409" s="71"/>
      <c r="Z409" s="71"/>
    </row>
    <row r="410" spans="1:26" ht="14.25" customHeight="1">
      <c r="A410" s="71"/>
      <c r="B410" s="71"/>
      <c r="C410" s="71"/>
      <c r="D410" s="71"/>
      <c r="E410" s="71"/>
      <c r="F410" s="71"/>
      <c r="G410" s="71"/>
      <c r="H410" s="71"/>
      <c r="I410" s="71"/>
      <c r="J410" s="71"/>
      <c r="K410" s="71"/>
      <c r="L410" s="71"/>
      <c r="M410" s="71"/>
      <c r="N410" s="71"/>
      <c r="O410" s="71"/>
      <c r="P410" s="71"/>
      <c r="Q410" s="71"/>
      <c r="R410" s="71"/>
      <c r="T410" s="71"/>
      <c r="U410" s="71"/>
      <c r="V410" s="71"/>
      <c r="W410" s="71"/>
      <c r="X410" s="71"/>
      <c r="Y410" s="71"/>
      <c r="Z410" s="71"/>
    </row>
    <row r="411" spans="1:26" ht="14.25" customHeight="1">
      <c r="A411" s="71"/>
      <c r="B411" s="71"/>
      <c r="C411" s="71"/>
      <c r="D411" s="71"/>
      <c r="E411" s="71"/>
      <c r="F411" s="71"/>
      <c r="G411" s="71"/>
      <c r="H411" s="71"/>
      <c r="I411" s="71"/>
      <c r="J411" s="71"/>
      <c r="K411" s="71"/>
      <c r="L411" s="71"/>
      <c r="M411" s="71"/>
      <c r="N411" s="71"/>
      <c r="O411" s="71"/>
      <c r="P411" s="71"/>
      <c r="Q411" s="71"/>
      <c r="R411" s="71"/>
      <c r="T411" s="71"/>
      <c r="U411" s="71"/>
      <c r="V411" s="71"/>
      <c r="W411" s="71"/>
      <c r="X411" s="71"/>
      <c r="Y411" s="71"/>
      <c r="Z411" s="71"/>
    </row>
    <row r="412" spans="1:26" ht="14.25" customHeight="1">
      <c r="A412" s="71"/>
      <c r="B412" s="71"/>
      <c r="C412" s="71"/>
      <c r="D412" s="71"/>
      <c r="E412" s="71"/>
      <c r="F412" s="71"/>
      <c r="G412" s="71"/>
      <c r="H412" s="71"/>
      <c r="I412" s="71"/>
      <c r="J412" s="71"/>
      <c r="K412" s="71"/>
      <c r="L412" s="71"/>
      <c r="M412" s="71"/>
      <c r="N412" s="71"/>
      <c r="O412" s="71"/>
      <c r="P412" s="71"/>
      <c r="Q412" s="71"/>
      <c r="R412" s="71"/>
      <c r="T412" s="71"/>
      <c r="U412" s="71"/>
      <c r="V412" s="71"/>
      <c r="W412" s="71"/>
      <c r="X412" s="71"/>
      <c r="Y412" s="71"/>
      <c r="Z412" s="71"/>
    </row>
    <row r="413" spans="1:26" ht="14.25" customHeight="1">
      <c r="A413" s="71"/>
      <c r="B413" s="71"/>
      <c r="C413" s="71"/>
      <c r="D413" s="71"/>
      <c r="E413" s="71"/>
      <c r="F413" s="71"/>
      <c r="G413" s="71"/>
      <c r="H413" s="71"/>
      <c r="I413" s="71"/>
      <c r="J413" s="71"/>
      <c r="K413" s="71"/>
      <c r="L413" s="71"/>
      <c r="M413" s="71"/>
      <c r="N413" s="71"/>
      <c r="O413" s="71"/>
      <c r="P413" s="71"/>
      <c r="Q413" s="71"/>
      <c r="R413" s="71"/>
      <c r="T413" s="71"/>
      <c r="U413" s="71"/>
      <c r="V413" s="71"/>
      <c r="W413" s="71"/>
      <c r="X413" s="71"/>
      <c r="Y413" s="71"/>
      <c r="Z413" s="71"/>
    </row>
    <row r="414" spans="1:26" ht="14.25" customHeight="1">
      <c r="A414" s="71"/>
      <c r="B414" s="71"/>
      <c r="C414" s="71"/>
      <c r="D414" s="71"/>
      <c r="E414" s="71"/>
      <c r="F414" s="71"/>
      <c r="G414" s="71"/>
      <c r="H414" s="71"/>
      <c r="I414" s="71"/>
      <c r="J414" s="71"/>
      <c r="K414" s="71"/>
      <c r="L414" s="71"/>
      <c r="M414" s="71"/>
      <c r="N414" s="71"/>
      <c r="O414" s="71"/>
      <c r="P414" s="71"/>
      <c r="Q414" s="71"/>
      <c r="R414" s="71"/>
      <c r="T414" s="71"/>
      <c r="U414" s="71"/>
      <c r="V414" s="71"/>
      <c r="W414" s="71"/>
      <c r="X414" s="71"/>
      <c r="Y414" s="71"/>
      <c r="Z414" s="71"/>
    </row>
    <row r="415" spans="1:26" ht="14.25" customHeight="1">
      <c r="A415" s="71"/>
      <c r="B415" s="71"/>
      <c r="C415" s="71"/>
      <c r="D415" s="71"/>
      <c r="E415" s="71"/>
      <c r="F415" s="71"/>
      <c r="G415" s="71"/>
      <c r="H415" s="71"/>
      <c r="I415" s="71"/>
      <c r="J415" s="71"/>
      <c r="K415" s="71"/>
      <c r="L415" s="71"/>
      <c r="M415" s="71"/>
      <c r="N415" s="71"/>
      <c r="O415" s="71"/>
      <c r="P415" s="71"/>
      <c r="Q415" s="71"/>
      <c r="R415" s="71"/>
      <c r="T415" s="71"/>
      <c r="U415" s="71"/>
      <c r="V415" s="71"/>
      <c r="W415" s="71"/>
      <c r="X415" s="71"/>
      <c r="Y415" s="71"/>
      <c r="Z415" s="71"/>
    </row>
    <row r="416" spans="1:26" ht="14.25" customHeight="1">
      <c r="A416" s="71"/>
      <c r="B416" s="71"/>
      <c r="C416" s="71"/>
      <c r="D416" s="71"/>
      <c r="E416" s="71"/>
      <c r="F416" s="71"/>
      <c r="G416" s="71"/>
      <c r="H416" s="71"/>
      <c r="I416" s="71"/>
      <c r="J416" s="71"/>
      <c r="K416" s="71"/>
      <c r="L416" s="71"/>
      <c r="M416" s="71"/>
      <c r="N416" s="71"/>
      <c r="O416" s="71"/>
      <c r="P416" s="71"/>
      <c r="Q416" s="71"/>
      <c r="R416" s="71"/>
      <c r="T416" s="71"/>
      <c r="U416" s="71"/>
      <c r="V416" s="71"/>
      <c r="W416" s="71"/>
      <c r="X416" s="71"/>
      <c r="Y416" s="71"/>
      <c r="Z416" s="71"/>
    </row>
    <row r="417" spans="1:26" ht="14.25" customHeight="1">
      <c r="A417" s="71"/>
      <c r="B417" s="71"/>
      <c r="C417" s="71"/>
      <c r="D417" s="71"/>
      <c r="E417" s="71"/>
      <c r="F417" s="71"/>
      <c r="G417" s="71"/>
      <c r="H417" s="71"/>
      <c r="I417" s="71"/>
      <c r="J417" s="71"/>
      <c r="K417" s="71"/>
      <c r="L417" s="71"/>
      <c r="M417" s="71"/>
      <c r="N417" s="71"/>
      <c r="O417" s="71"/>
      <c r="P417" s="71"/>
      <c r="Q417" s="71"/>
      <c r="R417" s="71"/>
      <c r="T417" s="71"/>
      <c r="U417" s="71"/>
      <c r="V417" s="71"/>
      <c r="W417" s="71"/>
      <c r="X417" s="71"/>
      <c r="Y417" s="71"/>
      <c r="Z417" s="71"/>
    </row>
    <row r="418" spans="1:26" ht="14.25" customHeight="1">
      <c r="A418" s="71"/>
      <c r="B418" s="71"/>
      <c r="C418" s="71"/>
      <c r="D418" s="71"/>
      <c r="E418" s="71"/>
      <c r="F418" s="71"/>
      <c r="G418" s="71"/>
      <c r="H418" s="71"/>
      <c r="I418" s="71"/>
      <c r="J418" s="71"/>
      <c r="K418" s="71"/>
      <c r="L418" s="71"/>
      <c r="M418" s="71"/>
      <c r="N418" s="71"/>
      <c r="O418" s="71"/>
      <c r="P418" s="71"/>
      <c r="Q418" s="71"/>
      <c r="R418" s="71"/>
      <c r="T418" s="71"/>
      <c r="U418" s="71"/>
      <c r="V418" s="71"/>
      <c r="W418" s="71"/>
      <c r="X418" s="71"/>
      <c r="Y418" s="71"/>
      <c r="Z418" s="71"/>
    </row>
    <row r="419" spans="1:26" ht="14.25" customHeight="1">
      <c r="A419" s="71"/>
      <c r="B419" s="71"/>
      <c r="C419" s="71"/>
      <c r="D419" s="71"/>
      <c r="E419" s="71"/>
      <c r="F419" s="71"/>
      <c r="G419" s="71"/>
      <c r="H419" s="71"/>
      <c r="I419" s="71"/>
      <c r="J419" s="71"/>
      <c r="K419" s="71"/>
      <c r="L419" s="71"/>
      <c r="M419" s="71"/>
      <c r="N419" s="71"/>
      <c r="O419" s="71"/>
      <c r="P419" s="71"/>
      <c r="Q419" s="71"/>
      <c r="R419" s="71"/>
      <c r="T419" s="71"/>
      <c r="U419" s="71"/>
      <c r="V419" s="71"/>
      <c r="W419" s="71"/>
      <c r="X419" s="71"/>
      <c r="Y419" s="71"/>
      <c r="Z419" s="71"/>
    </row>
    <row r="420" spans="1:26" ht="14.25" customHeight="1">
      <c r="A420" s="71"/>
      <c r="B420" s="71"/>
      <c r="C420" s="71"/>
      <c r="D420" s="71"/>
      <c r="E420" s="71"/>
      <c r="F420" s="71"/>
      <c r="G420" s="71"/>
      <c r="H420" s="71"/>
      <c r="I420" s="71"/>
      <c r="J420" s="71"/>
      <c r="K420" s="71"/>
      <c r="L420" s="71"/>
      <c r="M420" s="71"/>
      <c r="N420" s="71"/>
      <c r="O420" s="71"/>
      <c r="P420" s="71"/>
      <c r="Q420" s="71"/>
      <c r="R420" s="71"/>
      <c r="T420" s="71"/>
      <c r="U420" s="71"/>
      <c r="V420" s="71"/>
      <c r="W420" s="71"/>
      <c r="X420" s="71"/>
      <c r="Y420" s="71"/>
      <c r="Z420" s="71"/>
    </row>
    <row r="421" spans="1:26" ht="14.25" customHeight="1">
      <c r="A421" s="71"/>
      <c r="B421" s="71"/>
      <c r="C421" s="71"/>
      <c r="D421" s="71"/>
      <c r="E421" s="71"/>
      <c r="F421" s="71"/>
      <c r="G421" s="71"/>
      <c r="H421" s="71"/>
      <c r="I421" s="71"/>
      <c r="J421" s="71"/>
      <c r="K421" s="71"/>
      <c r="L421" s="71"/>
      <c r="M421" s="71"/>
      <c r="N421" s="71"/>
      <c r="O421" s="71"/>
      <c r="P421" s="71"/>
      <c r="Q421" s="71"/>
      <c r="R421" s="71"/>
      <c r="T421" s="71"/>
      <c r="U421" s="71"/>
      <c r="V421" s="71"/>
      <c r="W421" s="71"/>
      <c r="X421" s="71"/>
      <c r="Y421" s="71"/>
      <c r="Z421" s="71"/>
    </row>
    <row r="422" spans="1:26" ht="14.25" customHeight="1">
      <c r="A422" s="71"/>
      <c r="B422" s="71"/>
      <c r="C422" s="71"/>
      <c r="D422" s="71"/>
      <c r="E422" s="71"/>
      <c r="F422" s="71"/>
      <c r="G422" s="71"/>
      <c r="H422" s="71"/>
      <c r="I422" s="71"/>
      <c r="J422" s="71"/>
      <c r="K422" s="71"/>
      <c r="L422" s="71"/>
      <c r="M422" s="71"/>
      <c r="N422" s="71"/>
      <c r="O422" s="71"/>
      <c r="P422" s="71"/>
      <c r="Q422" s="71"/>
      <c r="R422" s="71"/>
      <c r="T422" s="71"/>
      <c r="U422" s="71"/>
      <c r="V422" s="71"/>
      <c r="W422" s="71"/>
      <c r="X422" s="71"/>
      <c r="Y422" s="71"/>
      <c r="Z422" s="71"/>
    </row>
    <row r="423" spans="1:26" ht="14.25" customHeight="1">
      <c r="A423" s="71"/>
      <c r="B423" s="71"/>
      <c r="C423" s="71"/>
      <c r="D423" s="71"/>
      <c r="E423" s="71"/>
      <c r="F423" s="71"/>
      <c r="G423" s="71"/>
      <c r="H423" s="71"/>
      <c r="I423" s="71"/>
      <c r="J423" s="71"/>
      <c r="K423" s="71"/>
      <c r="L423" s="71"/>
      <c r="M423" s="71"/>
      <c r="N423" s="71"/>
      <c r="O423" s="71"/>
      <c r="P423" s="71"/>
      <c r="Q423" s="71"/>
      <c r="R423" s="71"/>
      <c r="T423" s="71"/>
      <c r="U423" s="71"/>
      <c r="V423" s="71"/>
      <c r="W423" s="71"/>
      <c r="X423" s="71"/>
      <c r="Y423" s="71"/>
      <c r="Z423" s="71"/>
    </row>
    <row r="424" spans="1:26" ht="14.25" customHeight="1">
      <c r="A424" s="71"/>
      <c r="B424" s="71"/>
      <c r="C424" s="71"/>
      <c r="D424" s="71"/>
      <c r="E424" s="71"/>
      <c r="F424" s="71"/>
      <c r="G424" s="71"/>
      <c r="H424" s="71"/>
      <c r="I424" s="71"/>
      <c r="J424" s="71"/>
      <c r="K424" s="71"/>
      <c r="L424" s="71"/>
      <c r="M424" s="71"/>
      <c r="N424" s="71"/>
      <c r="O424" s="71"/>
      <c r="P424" s="71"/>
      <c r="Q424" s="71"/>
      <c r="R424" s="71"/>
      <c r="T424" s="71"/>
      <c r="U424" s="71"/>
      <c r="V424" s="71"/>
      <c r="W424" s="71"/>
      <c r="X424" s="71"/>
      <c r="Y424" s="71"/>
      <c r="Z424" s="71"/>
    </row>
    <row r="425" spans="1:26" ht="14.25" customHeight="1">
      <c r="A425" s="71"/>
      <c r="B425" s="71"/>
      <c r="C425" s="71"/>
      <c r="D425" s="71"/>
      <c r="E425" s="71"/>
      <c r="F425" s="71"/>
      <c r="G425" s="71"/>
      <c r="H425" s="71"/>
      <c r="I425" s="71"/>
      <c r="J425" s="71"/>
      <c r="K425" s="71"/>
      <c r="L425" s="71"/>
      <c r="M425" s="71"/>
      <c r="N425" s="71"/>
      <c r="O425" s="71"/>
      <c r="P425" s="71"/>
      <c r="Q425" s="71"/>
      <c r="R425" s="71"/>
      <c r="T425" s="71"/>
      <c r="U425" s="71"/>
      <c r="V425" s="71"/>
      <c r="W425" s="71"/>
      <c r="X425" s="71"/>
      <c r="Y425" s="71"/>
      <c r="Z425" s="71"/>
    </row>
    <row r="426" spans="1:26" ht="14.25" customHeight="1">
      <c r="A426" s="71"/>
      <c r="B426" s="71"/>
      <c r="C426" s="71"/>
      <c r="D426" s="71"/>
      <c r="E426" s="71"/>
      <c r="F426" s="71"/>
      <c r="G426" s="71"/>
      <c r="H426" s="71"/>
      <c r="I426" s="71"/>
      <c r="J426" s="71"/>
      <c r="K426" s="71"/>
      <c r="L426" s="71"/>
      <c r="M426" s="71"/>
      <c r="N426" s="71"/>
      <c r="O426" s="71"/>
      <c r="P426" s="71"/>
      <c r="Q426" s="71"/>
      <c r="R426" s="71"/>
      <c r="T426" s="71"/>
      <c r="U426" s="71"/>
      <c r="V426" s="71"/>
      <c r="W426" s="71"/>
      <c r="X426" s="71"/>
      <c r="Y426" s="71"/>
      <c r="Z426" s="71"/>
    </row>
    <row r="427" spans="1:26" ht="14.25" customHeight="1">
      <c r="A427" s="71"/>
      <c r="B427" s="71"/>
      <c r="C427" s="71"/>
      <c r="D427" s="71"/>
      <c r="E427" s="71"/>
      <c r="F427" s="71"/>
      <c r="G427" s="71"/>
      <c r="H427" s="71"/>
      <c r="I427" s="71"/>
      <c r="J427" s="71"/>
      <c r="K427" s="71"/>
      <c r="L427" s="71"/>
      <c r="M427" s="71"/>
      <c r="N427" s="71"/>
      <c r="O427" s="71"/>
      <c r="P427" s="71"/>
      <c r="Q427" s="71"/>
      <c r="R427" s="71"/>
      <c r="T427" s="71"/>
      <c r="U427" s="71"/>
      <c r="V427" s="71"/>
      <c r="W427" s="71"/>
      <c r="X427" s="71"/>
      <c r="Y427" s="71"/>
      <c r="Z427" s="71"/>
    </row>
    <row r="428" spans="1:26" ht="14.25" customHeight="1">
      <c r="A428" s="71"/>
      <c r="B428" s="71"/>
      <c r="C428" s="71"/>
      <c r="D428" s="71"/>
      <c r="E428" s="71"/>
      <c r="F428" s="71"/>
      <c r="G428" s="71"/>
      <c r="H428" s="71"/>
      <c r="I428" s="71"/>
      <c r="J428" s="71"/>
      <c r="K428" s="71"/>
      <c r="L428" s="71"/>
      <c r="M428" s="71"/>
      <c r="N428" s="71"/>
      <c r="O428" s="71"/>
      <c r="P428" s="71"/>
      <c r="Q428" s="71"/>
      <c r="R428" s="71"/>
      <c r="T428" s="71"/>
      <c r="U428" s="71"/>
      <c r="V428" s="71"/>
      <c r="W428" s="71"/>
      <c r="X428" s="71"/>
      <c r="Y428" s="71"/>
      <c r="Z428" s="71"/>
    </row>
    <row r="429" spans="1:26" ht="14.25" customHeight="1">
      <c r="A429" s="71"/>
      <c r="B429" s="71"/>
      <c r="C429" s="71"/>
      <c r="D429" s="71"/>
      <c r="E429" s="71"/>
      <c r="F429" s="71"/>
      <c r="G429" s="71"/>
      <c r="H429" s="71"/>
      <c r="I429" s="71"/>
      <c r="J429" s="71"/>
      <c r="K429" s="71"/>
      <c r="L429" s="71"/>
      <c r="M429" s="71"/>
      <c r="N429" s="71"/>
      <c r="O429" s="71"/>
      <c r="P429" s="71"/>
      <c r="Q429" s="71"/>
      <c r="R429" s="71"/>
      <c r="T429" s="71"/>
      <c r="U429" s="71"/>
      <c r="V429" s="71"/>
      <c r="W429" s="71"/>
      <c r="X429" s="71"/>
      <c r="Y429" s="71"/>
      <c r="Z429" s="71"/>
    </row>
    <row r="430" spans="1:26" ht="14.25" customHeight="1">
      <c r="A430" s="71"/>
      <c r="B430" s="71"/>
      <c r="C430" s="71"/>
      <c r="D430" s="71"/>
      <c r="E430" s="71"/>
      <c r="F430" s="71"/>
      <c r="G430" s="71"/>
      <c r="H430" s="71"/>
      <c r="I430" s="71"/>
      <c r="J430" s="71"/>
      <c r="K430" s="71"/>
      <c r="L430" s="71"/>
      <c r="M430" s="71"/>
      <c r="N430" s="71"/>
      <c r="O430" s="71"/>
      <c r="P430" s="71"/>
      <c r="Q430" s="71"/>
      <c r="R430" s="71"/>
      <c r="T430" s="71"/>
      <c r="U430" s="71"/>
      <c r="V430" s="71"/>
      <c r="W430" s="71"/>
      <c r="X430" s="71"/>
      <c r="Y430" s="71"/>
      <c r="Z430" s="71"/>
    </row>
    <row r="431" spans="1:26" ht="14.25" customHeight="1">
      <c r="A431" s="71"/>
      <c r="B431" s="71"/>
      <c r="C431" s="71"/>
      <c r="D431" s="71"/>
      <c r="E431" s="71"/>
      <c r="F431" s="71"/>
      <c r="G431" s="71"/>
      <c r="H431" s="71"/>
      <c r="I431" s="71"/>
      <c r="J431" s="71"/>
      <c r="K431" s="71"/>
      <c r="L431" s="71"/>
      <c r="M431" s="71"/>
      <c r="N431" s="71"/>
      <c r="O431" s="71"/>
      <c r="P431" s="71"/>
      <c r="Q431" s="71"/>
      <c r="R431" s="71"/>
      <c r="T431" s="71"/>
      <c r="U431" s="71"/>
      <c r="V431" s="71"/>
      <c r="W431" s="71"/>
      <c r="X431" s="71"/>
      <c r="Y431" s="71"/>
      <c r="Z431" s="71"/>
    </row>
    <row r="432" spans="1:26" ht="14.25" customHeight="1">
      <c r="A432" s="71"/>
      <c r="B432" s="71"/>
      <c r="C432" s="71"/>
      <c r="D432" s="71"/>
      <c r="E432" s="71"/>
      <c r="F432" s="71"/>
      <c r="G432" s="71"/>
      <c r="H432" s="71"/>
      <c r="I432" s="71"/>
      <c r="J432" s="71"/>
      <c r="K432" s="71"/>
      <c r="L432" s="71"/>
      <c r="M432" s="71"/>
      <c r="N432" s="71"/>
      <c r="O432" s="71"/>
      <c r="P432" s="71"/>
      <c r="Q432" s="71"/>
      <c r="R432" s="71"/>
      <c r="T432" s="71"/>
      <c r="U432" s="71"/>
      <c r="V432" s="71"/>
      <c r="W432" s="71"/>
      <c r="X432" s="71"/>
      <c r="Y432" s="71"/>
      <c r="Z432" s="71"/>
    </row>
    <row r="433" spans="1:26" ht="14.25" customHeight="1">
      <c r="A433" s="71"/>
      <c r="B433" s="71"/>
      <c r="C433" s="71"/>
      <c r="D433" s="71"/>
      <c r="E433" s="71"/>
      <c r="F433" s="71"/>
      <c r="G433" s="71"/>
      <c r="H433" s="71"/>
      <c r="I433" s="71"/>
      <c r="J433" s="71"/>
      <c r="K433" s="71"/>
      <c r="L433" s="71"/>
      <c r="M433" s="71"/>
      <c r="N433" s="71"/>
      <c r="O433" s="71"/>
      <c r="P433" s="71"/>
      <c r="Q433" s="71"/>
      <c r="R433" s="71"/>
      <c r="T433" s="71"/>
      <c r="U433" s="71"/>
      <c r="V433" s="71"/>
      <c r="W433" s="71"/>
      <c r="X433" s="71"/>
      <c r="Y433" s="71"/>
      <c r="Z433" s="71"/>
    </row>
    <row r="434" spans="1:26" ht="14.25" customHeight="1">
      <c r="A434" s="71"/>
      <c r="B434" s="71"/>
      <c r="C434" s="71"/>
      <c r="D434" s="71"/>
      <c r="E434" s="71"/>
      <c r="F434" s="71"/>
      <c r="G434" s="71"/>
      <c r="H434" s="71"/>
      <c r="I434" s="71"/>
      <c r="J434" s="71"/>
      <c r="K434" s="71"/>
      <c r="L434" s="71"/>
      <c r="M434" s="71"/>
      <c r="N434" s="71"/>
      <c r="O434" s="71"/>
      <c r="P434" s="71"/>
      <c r="Q434" s="71"/>
      <c r="R434" s="71"/>
      <c r="T434" s="71"/>
      <c r="U434" s="71"/>
      <c r="V434" s="71"/>
      <c r="W434" s="71"/>
      <c r="X434" s="71"/>
      <c r="Y434" s="71"/>
      <c r="Z434" s="71"/>
    </row>
    <row r="435" spans="1:26" ht="14.25" customHeight="1">
      <c r="A435" s="71"/>
      <c r="B435" s="71"/>
      <c r="C435" s="71"/>
      <c r="D435" s="71"/>
      <c r="E435" s="71"/>
      <c r="F435" s="71"/>
      <c r="G435" s="71"/>
      <c r="H435" s="71"/>
      <c r="I435" s="71"/>
      <c r="J435" s="71"/>
      <c r="K435" s="71"/>
      <c r="L435" s="71"/>
      <c r="M435" s="71"/>
      <c r="N435" s="71"/>
      <c r="O435" s="71"/>
      <c r="P435" s="71"/>
      <c r="Q435" s="71"/>
      <c r="R435" s="71"/>
      <c r="T435" s="71"/>
      <c r="U435" s="71"/>
      <c r="V435" s="71"/>
      <c r="W435" s="71"/>
      <c r="X435" s="71"/>
      <c r="Y435" s="71"/>
      <c r="Z435" s="71"/>
    </row>
    <row r="436" spans="1:26" ht="14.25" customHeight="1">
      <c r="A436" s="71"/>
      <c r="B436" s="71"/>
      <c r="C436" s="71"/>
      <c r="D436" s="71"/>
      <c r="E436" s="71"/>
      <c r="F436" s="71"/>
      <c r="G436" s="71"/>
      <c r="H436" s="71"/>
      <c r="I436" s="71"/>
      <c r="J436" s="71"/>
      <c r="K436" s="71"/>
      <c r="L436" s="71"/>
      <c r="M436" s="71"/>
      <c r="N436" s="71"/>
      <c r="O436" s="71"/>
      <c r="P436" s="71"/>
      <c r="Q436" s="71"/>
      <c r="R436" s="71"/>
      <c r="T436" s="71"/>
      <c r="U436" s="71"/>
      <c r="V436" s="71"/>
      <c r="W436" s="71"/>
      <c r="X436" s="71"/>
      <c r="Y436" s="71"/>
      <c r="Z436" s="71"/>
    </row>
    <row r="437" spans="1:26" ht="14.25" customHeight="1">
      <c r="A437" s="71"/>
      <c r="B437" s="71"/>
      <c r="C437" s="71"/>
      <c r="D437" s="71"/>
      <c r="E437" s="71"/>
      <c r="F437" s="71"/>
      <c r="G437" s="71"/>
      <c r="H437" s="71"/>
      <c r="I437" s="71"/>
      <c r="J437" s="71"/>
      <c r="K437" s="71"/>
      <c r="L437" s="71"/>
      <c r="M437" s="71"/>
      <c r="N437" s="71"/>
      <c r="O437" s="71"/>
      <c r="P437" s="71"/>
      <c r="Q437" s="71"/>
      <c r="R437" s="71"/>
      <c r="T437" s="71"/>
      <c r="U437" s="71"/>
      <c r="V437" s="71"/>
      <c r="W437" s="71"/>
      <c r="X437" s="71"/>
      <c r="Y437" s="71"/>
      <c r="Z437" s="71"/>
    </row>
    <row r="438" spans="1:26" ht="14.25" customHeight="1">
      <c r="A438" s="71"/>
      <c r="B438" s="71"/>
      <c r="C438" s="71"/>
      <c r="D438" s="71"/>
      <c r="E438" s="71"/>
      <c r="F438" s="71"/>
      <c r="G438" s="71"/>
      <c r="H438" s="71"/>
      <c r="I438" s="71"/>
      <c r="J438" s="71"/>
      <c r="K438" s="71"/>
      <c r="L438" s="71"/>
      <c r="M438" s="71"/>
      <c r="N438" s="71"/>
      <c r="O438" s="71"/>
      <c r="P438" s="71"/>
      <c r="Q438" s="71"/>
      <c r="R438" s="71"/>
      <c r="T438" s="71"/>
      <c r="U438" s="71"/>
      <c r="V438" s="71"/>
      <c r="W438" s="71"/>
      <c r="X438" s="71"/>
      <c r="Y438" s="71"/>
      <c r="Z438" s="71"/>
    </row>
    <row r="439" spans="1:26" ht="14.25" customHeight="1">
      <c r="A439" s="71"/>
      <c r="B439" s="71"/>
      <c r="C439" s="71"/>
      <c r="D439" s="71"/>
      <c r="E439" s="71"/>
      <c r="F439" s="71"/>
      <c r="G439" s="71"/>
      <c r="H439" s="71"/>
      <c r="I439" s="71"/>
      <c r="J439" s="71"/>
      <c r="K439" s="71"/>
      <c r="L439" s="71"/>
      <c r="M439" s="71"/>
      <c r="N439" s="71"/>
      <c r="O439" s="71"/>
      <c r="P439" s="71"/>
      <c r="Q439" s="71"/>
      <c r="R439" s="71"/>
      <c r="T439" s="71"/>
      <c r="U439" s="71"/>
      <c r="V439" s="71"/>
      <c r="W439" s="71"/>
      <c r="X439" s="71"/>
      <c r="Y439" s="71"/>
      <c r="Z439" s="71"/>
    </row>
    <row r="440" spans="1:26" ht="14.25" customHeight="1">
      <c r="A440" s="71"/>
      <c r="B440" s="71"/>
      <c r="C440" s="71"/>
      <c r="D440" s="71"/>
      <c r="E440" s="71"/>
      <c r="F440" s="71"/>
      <c r="G440" s="71"/>
      <c r="H440" s="71"/>
      <c r="I440" s="71"/>
      <c r="J440" s="71"/>
      <c r="K440" s="71"/>
      <c r="L440" s="71"/>
      <c r="M440" s="71"/>
      <c r="N440" s="71"/>
      <c r="O440" s="71"/>
      <c r="P440" s="71"/>
      <c r="Q440" s="71"/>
      <c r="R440" s="71"/>
      <c r="T440" s="71"/>
      <c r="U440" s="71"/>
      <c r="V440" s="71"/>
      <c r="W440" s="71"/>
      <c r="X440" s="71"/>
      <c r="Y440" s="71"/>
      <c r="Z440" s="71"/>
    </row>
    <row r="441" spans="1:26" ht="14.25" customHeight="1">
      <c r="A441" s="71"/>
      <c r="B441" s="71"/>
      <c r="C441" s="71"/>
      <c r="D441" s="71"/>
      <c r="E441" s="71"/>
      <c r="F441" s="71"/>
      <c r="G441" s="71"/>
      <c r="H441" s="71"/>
      <c r="I441" s="71"/>
      <c r="J441" s="71"/>
      <c r="K441" s="71"/>
      <c r="L441" s="71"/>
      <c r="M441" s="71"/>
      <c r="N441" s="71"/>
      <c r="O441" s="71"/>
      <c r="P441" s="71"/>
      <c r="Q441" s="71"/>
      <c r="R441" s="71"/>
      <c r="T441" s="71"/>
      <c r="U441" s="71"/>
      <c r="V441" s="71"/>
      <c r="W441" s="71"/>
      <c r="X441" s="71"/>
      <c r="Y441" s="71"/>
      <c r="Z441" s="71"/>
    </row>
    <row r="442" spans="1:26" ht="14.25" customHeight="1">
      <c r="A442" s="71"/>
      <c r="B442" s="71"/>
      <c r="C442" s="71"/>
      <c r="D442" s="71"/>
      <c r="E442" s="71"/>
      <c r="F442" s="71"/>
      <c r="G442" s="71"/>
      <c r="H442" s="71"/>
      <c r="I442" s="71"/>
      <c r="J442" s="71"/>
      <c r="K442" s="71"/>
      <c r="L442" s="71"/>
      <c r="M442" s="71"/>
      <c r="N442" s="71"/>
      <c r="O442" s="71"/>
      <c r="P442" s="71"/>
      <c r="Q442" s="71"/>
      <c r="R442" s="71"/>
      <c r="T442" s="71"/>
      <c r="U442" s="71"/>
      <c r="V442" s="71"/>
      <c r="W442" s="71"/>
      <c r="X442" s="71"/>
      <c r="Y442" s="71"/>
      <c r="Z442" s="71"/>
    </row>
    <row r="443" spans="1:26" ht="14.25" customHeight="1">
      <c r="A443" s="71"/>
      <c r="B443" s="71"/>
      <c r="C443" s="71"/>
      <c r="D443" s="71"/>
      <c r="E443" s="71"/>
      <c r="F443" s="71"/>
      <c r="G443" s="71"/>
      <c r="H443" s="71"/>
      <c r="I443" s="71"/>
      <c r="J443" s="71"/>
      <c r="K443" s="71"/>
      <c r="L443" s="71"/>
      <c r="M443" s="71"/>
      <c r="N443" s="71"/>
      <c r="O443" s="71"/>
      <c r="P443" s="71"/>
      <c r="Q443" s="71"/>
      <c r="R443" s="71"/>
      <c r="T443" s="71"/>
      <c r="U443" s="71"/>
      <c r="V443" s="71"/>
      <c r="W443" s="71"/>
      <c r="X443" s="71"/>
      <c r="Y443" s="71"/>
      <c r="Z443" s="71"/>
    </row>
    <row r="444" spans="1:26" ht="14.25" customHeight="1">
      <c r="A444" s="71"/>
      <c r="B444" s="71"/>
      <c r="C444" s="71"/>
      <c r="D444" s="71"/>
      <c r="E444" s="71"/>
      <c r="F444" s="71"/>
      <c r="G444" s="71"/>
      <c r="H444" s="71"/>
      <c r="I444" s="71"/>
      <c r="J444" s="71"/>
      <c r="K444" s="71"/>
      <c r="L444" s="71"/>
      <c r="M444" s="71"/>
      <c r="N444" s="71"/>
      <c r="O444" s="71"/>
      <c r="P444" s="71"/>
      <c r="Q444" s="71"/>
      <c r="R444" s="71"/>
      <c r="T444" s="71"/>
      <c r="U444" s="71"/>
      <c r="V444" s="71"/>
      <c r="W444" s="71"/>
      <c r="X444" s="71"/>
      <c r="Y444" s="71"/>
      <c r="Z444" s="71"/>
    </row>
    <row r="445" spans="1:26" ht="14.25" customHeight="1">
      <c r="A445" s="71"/>
      <c r="B445" s="71"/>
      <c r="C445" s="71"/>
      <c r="D445" s="71"/>
      <c r="E445" s="71"/>
      <c r="F445" s="71"/>
      <c r="G445" s="71"/>
      <c r="H445" s="71"/>
      <c r="I445" s="71"/>
      <c r="J445" s="71"/>
      <c r="K445" s="71"/>
      <c r="L445" s="71"/>
      <c r="M445" s="71"/>
      <c r="N445" s="71"/>
      <c r="O445" s="71"/>
      <c r="P445" s="71"/>
      <c r="Q445" s="71"/>
      <c r="R445" s="71"/>
      <c r="T445" s="71"/>
      <c r="U445" s="71"/>
      <c r="V445" s="71"/>
      <c r="W445" s="71"/>
      <c r="X445" s="71"/>
      <c r="Y445" s="71"/>
      <c r="Z445" s="71"/>
    </row>
    <row r="446" spans="1:26" ht="14.25" customHeight="1">
      <c r="A446" s="71"/>
      <c r="B446" s="71"/>
      <c r="C446" s="71"/>
      <c r="D446" s="71"/>
      <c r="E446" s="71"/>
      <c r="F446" s="71"/>
      <c r="G446" s="71"/>
      <c r="H446" s="71"/>
      <c r="I446" s="71"/>
      <c r="J446" s="71"/>
      <c r="K446" s="71"/>
      <c r="L446" s="71"/>
      <c r="M446" s="71"/>
      <c r="N446" s="71"/>
      <c r="O446" s="71"/>
      <c r="P446" s="71"/>
      <c r="Q446" s="71"/>
      <c r="R446" s="71"/>
      <c r="T446" s="71"/>
      <c r="U446" s="71"/>
      <c r="V446" s="71"/>
      <c r="W446" s="71"/>
      <c r="X446" s="71"/>
      <c r="Y446" s="71"/>
      <c r="Z446" s="71"/>
    </row>
    <row r="447" spans="1:26" ht="14.25" customHeight="1">
      <c r="A447" s="71"/>
      <c r="B447" s="71"/>
      <c r="C447" s="71"/>
      <c r="D447" s="71"/>
      <c r="E447" s="71"/>
      <c r="F447" s="71"/>
      <c r="G447" s="71"/>
      <c r="H447" s="71"/>
      <c r="I447" s="71"/>
      <c r="J447" s="71"/>
      <c r="K447" s="71"/>
      <c r="L447" s="71"/>
      <c r="M447" s="71"/>
      <c r="N447" s="71"/>
      <c r="O447" s="71"/>
      <c r="P447" s="71"/>
      <c r="Q447" s="71"/>
      <c r="R447" s="71"/>
      <c r="T447" s="71"/>
      <c r="U447" s="71"/>
      <c r="V447" s="71"/>
      <c r="W447" s="71"/>
      <c r="X447" s="71"/>
      <c r="Y447" s="71"/>
      <c r="Z447" s="71"/>
    </row>
    <row r="448" spans="1:26" ht="14.25" customHeight="1">
      <c r="A448" s="71"/>
      <c r="B448" s="71"/>
      <c r="C448" s="71"/>
      <c r="D448" s="71"/>
      <c r="E448" s="71"/>
      <c r="F448" s="71"/>
      <c r="G448" s="71"/>
      <c r="H448" s="71"/>
      <c r="I448" s="71"/>
      <c r="J448" s="71"/>
      <c r="K448" s="71"/>
      <c r="L448" s="71"/>
      <c r="M448" s="71"/>
      <c r="N448" s="71"/>
      <c r="O448" s="71"/>
      <c r="P448" s="71"/>
      <c r="Q448" s="71"/>
      <c r="R448" s="71"/>
      <c r="T448" s="71"/>
      <c r="U448" s="71"/>
      <c r="V448" s="71"/>
      <c r="W448" s="71"/>
      <c r="X448" s="71"/>
      <c r="Y448" s="71"/>
      <c r="Z448" s="71"/>
    </row>
    <row r="449" spans="1:26" ht="14.25" customHeight="1">
      <c r="A449" s="71"/>
      <c r="B449" s="71"/>
      <c r="C449" s="71"/>
      <c r="D449" s="71"/>
      <c r="E449" s="71"/>
      <c r="F449" s="71"/>
      <c r="G449" s="71"/>
      <c r="H449" s="71"/>
      <c r="I449" s="71"/>
      <c r="J449" s="71"/>
      <c r="K449" s="71"/>
      <c r="L449" s="71"/>
      <c r="M449" s="71"/>
      <c r="N449" s="71"/>
      <c r="O449" s="71"/>
      <c r="P449" s="71"/>
      <c r="Q449" s="71"/>
      <c r="R449" s="71"/>
      <c r="T449" s="71"/>
      <c r="U449" s="71"/>
      <c r="V449" s="71"/>
      <c r="W449" s="71"/>
      <c r="X449" s="71"/>
      <c r="Y449" s="71"/>
      <c r="Z449" s="71"/>
    </row>
    <row r="450" spans="1:26" ht="14.25" customHeight="1">
      <c r="A450" s="71"/>
      <c r="B450" s="71"/>
      <c r="C450" s="71"/>
      <c r="D450" s="71"/>
      <c r="E450" s="71"/>
      <c r="F450" s="71"/>
      <c r="G450" s="71"/>
      <c r="H450" s="71"/>
      <c r="I450" s="71"/>
      <c r="J450" s="71"/>
      <c r="K450" s="71"/>
      <c r="L450" s="71"/>
      <c r="M450" s="71"/>
      <c r="N450" s="71"/>
      <c r="O450" s="71"/>
      <c r="P450" s="71"/>
      <c r="Q450" s="71"/>
      <c r="R450" s="71"/>
      <c r="T450" s="71"/>
      <c r="U450" s="71"/>
      <c r="V450" s="71"/>
      <c r="W450" s="71"/>
      <c r="X450" s="71"/>
      <c r="Y450" s="71"/>
      <c r="Z450" s="71"/>
    </row>
    <row r="451" spans="1:26" ht="14.25" customHeight="1">
      <c r="A451" s="71"/>
      <c r="B451" s="71"/>
      <c r="C451" s="71"/>
      <c r="D451" s="71"/>
      <c r="E451" s="71"/>
      <c r="F451" s="71"/>
      <c r="G451" s="71"/>
      <c r="H451" s="71"/>
      <c r="I451" s="71"/>
      <c r="J451" s="71"/>
      <c r="K451" s="71"/>
      <c r="L451" s="71"/>
      <c r="M451" s="71"/>
      <c r="N451" s="71"/>
      <c r="O451" s="71"/>
      <c r="P451" s="71"/>
      <c r="Q451" s="71"/>
      <c r="R451" s="71"/>
      <c r="T451" s="71"/>
      <c r="U451" s="71"/>
      <c r="V451" s="71"/>
      <c r="W451" s="71"/>
      <c r="X451" s="71"/>
      <c r="Y451" s="71"/>
      <c r="Z451" s="71"/>
    </row>
    <row r="452" spans="1:26" ht="14.25" customHeight="1">
      <c r="A452" s="71"/>
      <c r="B452" s="71"/>
      <c r="C452" s="71"/>
      <c r="D452" s="71"/>
      <c r="E452" s="71"/>
      <c r="F452" s="71"/>
      <c r="G452" s="71"/>
      <c r="H452" s="71"/>
      <c r="I452" s="71"/>
      <c r="J452" s="71"/>
      <c r="K452" s="71"/>
      <c r="L452" s="71"/>
      <c r="M452" s="71"/>
      <c r="N452" s="71"/>
      <c r="O452" s="71"/>
      <c r="P452" s="71"/>
      <c r="Q452" s="71"/>
      <c r="R452" s="71"/>
      <c r="T452" s="71"/>
      <c r="U452" s="71"/>
      <c r="V452" s="71"/>
      <c r="W452" s="71"/>
      <c r="X452" s="71"/>
      <c r="Y452" s="71"/>
      <c r="Z452" s="71"/>
    </row>
    <row r="453" spans="1:26" ht="14.25" customHeight="1">
      <c r="A453" s="71"/>
      <c r="B453" s="71"/>
      <c r="C453" s="71"/>
      <c r="D453" s="71"/>
      <c r="E453" s="71"/>
      <c r="F453" s="71"/>
      <c r="G453" s="71"/>
      <c r="H453" s="71"/>
      <c r="I453" s="71"/>
      <c r="J453" s="71"/>
      <c r="K453" s="71"/>
      <c r="L453" s="71"/>
      <c r="M453" s="71"/>
      <c r="N453" s="71"/>
      <c r="O453" s="71"/>
      <c r="P453" s="71"/>
      <c r="Q453" s="71"/>
      <c r="R453" s="71"/>
      <c r="T453" s="71"/>
      <c r="U453" s="71"/>
      <c r="V453" s="71"/>
      <c r="W453" s="71"/>
      <c r="X453" s="71"/>
      <c r="Y453" s="71"/>
      <c r="Z453" s="71"/>
    </row>
    <row r="454" spans="1:26" ht="14.25" customHeight="1">
      <c r="A454" s="71"/>
      <c r="B454" s="71"/>
      <c r="C454" s="71"/>
      <c r="D454" s="71"/>
      <c r="E454" s="71"/>
      <c r="F454" s="71"/>
      <c r="G454" s="71"/>
      <c r="H454" s="71"/>
      <c r="I454" s="71"/>
      <c r="J454" s="71"/>
      <c r="K454" s="71"/>
      <c r="L454" s="71"/>
      <c r="M454" s="71"/>
      <c r="N454" s="71"/>
      <c r="O454" s="71"/>
      <c r="P454" s="71"/>
      <c r="Q454" s="71"/>
      <c r="R454" s="71"/>
      <c r="T454" s="71"/>
      <c r="U454" s="71"/>
      <c r="V454" s="71"/>
      <c r="W454" s="71"/>
      <c r="X454" s="71"/>
      <c r="Y454" s="71"/>
      <c r="Z454" s="71"/>
    </row>
    <row r="455" spans="1:26" ht="14.25" customHeight="1">
      <c r="A455" s="71"/>
      <c r="B455" s="71"/>
      <c r="C455" s="71"/>
      <c r="D455" s="71"/>
      <c r="E455" s="71"/>
      <c r="F455" s="71"/>
      <c r="G455" s="71"/>
      <c r="H455" s="71"/>
      <c r="I455" s="71"/>
      <c r="J455" s="71"/>
      <c r="K455" s="71"/>
      <c r="L455" s="71"/>
      <c r="M455" s="71"/>
      <c r="N455" s="71"/>
      <c r="O455" s="71"/>
      <c r="P455" s="71"/>
      <c r="Q455" s="71"/>
      <c r="R455" s="71"/>
      <c r="T455" s="71"/>
      <c r="U455" s="71"/>
      <c r="V455" s="71"/>
      <c r="W455" s="71"/>
      <c r="X455" s="71"/>
      <c r="Y455" s="71"/>
      <c r="Z455" s="71"/>
    </row>
    <row r="456" spans="1:26" ht="14.25" customHeight="1">
      <c r="A456" s="71"/>
      <c r="B456" s="71"/>
      <c r="C456" s="71"/>
      <c r="D456" s="71"/>
      <c r="E456" s="71"/>
      <c r="F456" s="71"/>
      <c r="G456" s="71"/>
      <c r="H456" s="71"/>
      <c r="I456" s="71"/>
      <c r="J456" s="71"/>
      <c r="K456" s="71"/>
      <c r="L456" s="71"/>
      <c r="M456" s="71"/>
      <c r="N456" s="71"/>
      <c r="O456" s="71"/>
      <c r="P456" s="71"/>
      <c r="Q456" s="71"/>
      <c r="R456" s="71"/>
      <c r="T456" s="71"/>
      <c r="U456" s="71"/>
      <c r="V456" s="71"/>
      <c r="W456" s="71"/>
      <c r="X456" s="71"/>
      <c r="Y456" s="71"/>
      <c r="Z456" s="71"/>
    </row>
    <row r="457" spans="1:26" ht="14.25" customHeight="1">
      <c r="A457" s="71"/>
      <c r="B457" s="71"/>
      <c r="C457" s="71"/>
      <c r="D457" s="71"/>
      <c r="E457" s="71"/>
      <c r="F457" s="71"/>
      <c r="G457" s="71"/>
      <c r="H457" s="71"/>
      <c r="I457" s="71"/>
      <c r="J457" s="71"/>
      <c r="K457" s="71"/>
      <c r="L457" s="71"/>
      <c r="M457" s="71"/>
      <c r="N457" s="71"/>
      <c r="O457" s="71"/>
      <c r="P457" s="71"/>
      <c r="Q457" s="71"/>
      <c r="R457" s="71"/>
      <c r="T457" s="71"/>
      <c r="U457" s="71"/>
      <c r="V457" s="71"/>
      <c r="W457" s="71"/>
      <c r="X457" s="71"/>
      <c r="Y457" s="71"/>
      <c r="Z457" s="71"/>
    </row>
    <row r="458" spans="1:26" ht="14.25" customHeight="1">
      <c r="A458" s="71"/>
      <c r="B458" s="71"/>
      <c r="C458" s="71"/>
      <c r="D458" s="71"/>
      <c r="E458" s="71"/>
      <c r="F458" s="71"/>
      <c r="G458" s="71"/>
      <c r="H458" s="71"/>
      <c r="I458" s="71"/>
      <c r="J458" s="71"/>
      <c r="K458" s="71"/>
      <c r="L458" s="71"/>
      <c r="M458" s="71"/>
      <c r="N458" s="71"/>
      <c r="O458" s="71"/>
      <c r="P458" s="71"/>
      <c r="Q458" s="71"/>
      <c r="R458" s="71"/>
      <c r="T458" s="71"/>
      <c r="U458" s="71"/>
      <c r="V458" s="71"/>
      <c r="W458" s="71"/>
      <c r="X458" s="71"/>
      <c r="Y458" s="71"/>
      <c r="Z458" s="71"/>
    </row>
    <row r="459" spans="1:26" ht="14.25" customHeight="1">
      <c r="A459" s="71"/>
      <c r="B459" s="71"/>
      <c r="C459" s="71"/>
      <c r="D459" s="71"/>
      <c r="E459" s="71"/>
      <c r="F459" s="71"/>
      <c r="G459" s="71"/>
      <c r="H459" s="71"/>
      <c r="I459" s="71"/>
      <c r="J459" s="71"/>
      <c r="K459" s="71"/>
      <c r="L459" s="71"/>
      <c r="M459" s="71"/>
      <c r="N459" s="71"/>
      <c r="O459" s="71"/>
      <c r="P459" s="71"/>
      <c r="Q459" s="71"/>
      <c r="R459" s="71"/>
      <c r="T459" s="71"/>
      <c r="U459" s="71"/>
      <c r="V459" s="71"/>
      <c r="W459" s="71"/>
      <c r="X459" s="71"/>
      <c r="Y459" s="71"/>
      <c r="Z459" s="71"/>
    </row>
    <row r="460" spans="1:26" ht="14.25" customHeight="1">
      <c r="A460" s="71"/>
      <c r="B460" s="71"/>
      <c r="C460" s="71"/>
      <c r="D460" s="71"/>
      <c r="E460" s="71"/>
      <c r="F460" s="71"/>
      <c r="G460" s="71"/>
      <c r="H460" s="71"/>
      <c r="I460" s="71"/>
      <c r="J460" s="71"/>
      <c r="K460" s="71"/>
      <c r="L460" s="71"/>
      <c r="M460" s="71"/>
      <c r="N460" s="71"/>
      <c r="O460" s="71"/>
      <c r="P460" s="71"/>
      <c r="Q460" s="71"/>
      <c r="R460" s="71"/>
      <c r="T460" s="71"/>
      <c r="U460" s="71"/>
      <c r="V460" s="71"/>
      <c r="W460" s="71"/>
      <c r="X460" s="71"/>
      <c r="Y460" s="71"/>
      <c r="Z460" s="71"/>
    </row>
    <row r="461" spans="1:26" ht="14.25" customHeight="1">
      <c r="A461" s="71"/>
      <c r="B461" s="71"/>
      <c r="C461" s="71"/>
      <c r="D461" s="71"/>
      <c r="E461" s="71"/>
      <c r="F461" s="71"/>
      <c r="G461" s="71"/>
      <c r="H461" s="71"/>
      <c r="I461" s="71"/>
      <c r="J461" s="71"/>
      <c r="K461" s="71"/>
      <c r="L461" s="71"/>
      <c r="M461" s="71"/>
      <c r="N461" s="71"/>
      <c r="O461" s="71"/>
      <c r="P461" s="71"/>
      <c r="Q461" s="71"/>
      <c r="R461" s="71"/>
      <c r="T461" s="71"/>
      <c r="U461" s="71"/>
      <c r="V461" s="71"/>
      <c r="W461" s="71"/>
      <c r="X461" s="71"/>
      <c r="Y461" s="71"/>
      <c r="Z461" s="71"/>
    </row>
    <row r="462" spans="1:26" ht="14.25" customHeight="1">
      <c r="A462" s="71"/>
      <c r="B462" s="71"/>
      <c r="C462" s="71"/>
      <c r="D462" s="71"/>
      <c r="E462" s="71"/>
      <c r="F462" s="71"/>
      <c r="G462" s="71"/>
      <c r="H462" s="71"/>
      <c r="I462" s="71"/>
      <c r="J462" s="71"/>
      <c r="K462" s="71"/>
      <c r="L462" s="71"/>
      <c r="M462" s="71"/>
      <c r="N462" s="71"/>
      <c r="O462" s="71"/>
      <c r="P462" s="71"/>
      <c r="Q462" s="71"/>
      <c r="R462" s="71"/>
      <c r="T462" s="71"/>
      <c r="U462" s="71"/>
      <c r="V462" s="71"/>
      <c r="W462" s="71"/>
      <c r="X462" s="71"/>
      <c r="Y462" s="71"/>
      <c r="Z462" s="71"/>
    </row>
    <row r="463" spans="1:26" ht="14.25" customHeight="1">
      <c r="A463" s="71"/>
      <c r="B463" s="71"/>
      <c r="C463" s="71"/>
      <c r="D463" s="71"/>
      <c r="E463" s="71"/>
      <c r="F463" s="71"/>
      <c r="G463" s="71"/>
      <c r="H463" s="71"/>
      <c r="I463" s="71"/>
      <c r="J463" s="71"/>
      <c r="K463" s="71"/>
      <c r="L463" s="71"/>
      <c r="M463" s="71"/>
      <c r="N463" s="71"/>
      <c r="O463" s="71"/>
      <c r="P463" s="71"/>
      <c r="Q463" s="71"/>
      <c r="R463" s="71"/>
      <c r="T463" s="71"/>
      <c r="U463" s="71"/>
      <c r="V463" s="71"/>
      <c r="W463" s="71"/>
      <c r="X463" s="71"/>
      <c r="Y463" s="71"/>
      <c r="Z463" s="71"/>
    </row>
    <row r="464" spans="1:26" ht="14.25" customHeight="1">
      <c r="A464" s="71"/>
      <c r="B464" s="71"/>
      <c r="C464" s="71"/>
      <c r="D464" s="71"/>
      <c r="E464" s="71"/>
      <c r="F464" s="71"/>
      <c r="G464" s="71"/>
      <c r="H464" s="71"/>
      <c r="I464" s="71"/>
      <c r="J464" s="71"/>
      <c r="K464" s="71"/>
      <c r="L464" s="71"/>
      <c r="M464" s="71"/>
      <c r="N464" s="71"/>
      <c r="O464" s="71"/>
      <c r="P464" s="71"/>
      <c r="Q464" s="71"/>
      <c r="R464" s="71"/>
      <c r="T464" s="71"/>
      <c r="U464" s="71"/>
      <c r="V464" s="71"/>
      <c r="W464" s="71"/>
      <c r="X464" s="71"/>
      <c r="Y464" s="71"/>
      <c r="Z464" s="71"/>
    </row>
    <row r="465" spans="1:26" ht="14.25" customHeight="1">
      <c r="A465" s="71"/>
      <c r="B465" s="71"/>
      <c r="C465" s="71"/>
      <c r="D465" s="71"/>
      <c r="E465" s="71"/>
      <c r="F465" s="71"/>
      <c r="G465" s="71"/>
      <c r="H465" s="71"/>
      <c r="I465" s="71"/>
      <c r="J465" s="71"/>
      <c r="K465" s="71"/>
      <c r="L465" s="71"/>
      <c r="M465" s="71"/>
      <c r="N465" s="71"/>
      <c r="O465" s="71"/>
      <c r="P465" s="71"/>
      <c r="Q465" s="71"/>
      <c r="R465" s="71"/>
      <c r="T465" s="71"/>
      <c r="U465" s="71"/>
      <c r="V465" s="71"/>
      <c r="W465" s="71"/>
      <c r="X465" s="71"/>
      <c r="Y465" s="71"/>
      <c r="Z465" s="71"/>
    </row>
    <row r="466" spans="1:26" ht="14.25" customHeight="1">
      <c r="A466" s="71"/>
      <c r="B466" s="71"/>
      <c r="C466" s="71"/>
      <c r="D466" s="71"/>
      <c r="E466" s="71"/>
      <c r="F466" s="71"/>
      <c r="G466" s="71"/>
      <c r="H466" s="71"/>
      <c r="I466" s="71"/>
      <c r="J466" s="71"/>
      <c r="K466" s="71"/>
      <c r="L466" s="71"/>
      <c r="M466" s="71"/>
      <c r="N466" s="71"/>
      <c r="O466" s="71"/>
      <c r="P466" s="71"/>
      <c r="Q466" s="71"/>
      <c r="R466" s="71"/>
      <c r="T466" s="71"/>
      <c r="U466" s="71"/>
      <c r="V466" s="71"/>
      <c r="W466" s="71"/>
      <c r="X466" s="71"/>
      <c r="Y466" s="71"/>
      <c r="Z466" s="71"/>
    </row>
    <row r="467" spans="1:26" ht="14.25" customHeight="1">
      <c r="A467" s="71"/>
      <c r="B467" s="71"/>
      <c r="C467" s="71"/>
      <c r="D467" s="71"/>
      <c r="E467" s="71"/>
      <c r="F467" s="71"/>
      <c r="G467" s="71"/>
      <c r="H467" s="71"/>
      <c r="I467" s="71"/>
      <c r="J467" s="71"/>
      <c r="K467" s="71"/>
      <c r="L467" s="71"/>
      <c r="M467" s="71"/>
      <c r="N467" s="71"/>
      <c r="O467" s="71"/>
      <c r="P467" s="71"/>
      <c r="Q467" s="71"/>
      <c r="R467" s="71"/>
      <c r="T467" s="71"/>
      <c r="U467" s="71"/>
      <c r="V467" s="71"/>
      <c r="W467" s="71"/>
      <c r="X467" s="71"/>
      <c r="Y467" s="71"/>
      <c r="Z467" s="71"/>
    </row>
    <row r="468" spans="1:26" ht="14.25" customHeight="1">
      <c r="A468" s="71"/>
      <c r="B468" s="71"/>
      <c r="C468" s="71"/>
      <c r="D468" s="71"/>
      <c r="E468" s="71"/>
      <c r="F468" s="71"/>
      <c r="G468" s="71"/>
      <c r="H468" s="71"/>
      <c r="I468" s="71"/>
      <c r="J468" s="71"/>
      <c r="K468" s="71"/>
      <c r="L468" s="71"/>
      <c r="M468" s="71"/>
      <c r="N468" s="71"/>
      <c r="O468" s="71"/>
      <c r="P468" s="71"/>
      <c r="Q468" s="71"/>
      <c r="R468" s="71"/>
      <c r="T468" s="71"/>
      <c r="U468" s="71"/>
      <c r="V468" s="71"/>
      <c r="W468" s="71"/>
      <c r="X468" s="71"/>
      <c r="Y468" s="71"/>
      <c r="Z468" s="71"/>
    </row>
    <row r="469" spans="1:26" ht="14.25" customHeight="1">
      <c r="A469" s="71"/>
      <c r="B469" s="71"/>
      <c r="C469" s="71"/>
      <c r="D469" s="71"/>
      <c r="E469" s="71"/>
      <c r="F469" s="71"/>
      <c r="G469" s="71"/>
      <c r="H469" s="71"/>
      <c r="I469" s="71"/>
      <c r="J469" s="71"/>
      <c r="K469" s="71"/>
      <c r="L469" s="71"/>
      <c r="M469" s="71"/>
      <c r="N469" s="71"/>
      <c r="O469" s="71"/>
      <c r="P469" s="71"/>
      <c r="Q469" s="71"/>
      <c r="R469" s="71"/>
      <c r="T469" s="71"/>
      <c r="U469" s="71"/>
      <c r="V469" s="71"/>
      <c r="W469" s="71"/>
      <c r="X469" s="71"/>
      <c r="Y469" s="71"/>
      <c r="Z469" s="71"/>
    </row>
    <row r="470" spans="1:26" ht="14.25" customHeight="1">
      <c r="A470" s="71"/>
      <c r="B470" s="71"/>
      <c r="C470" s="71"/>
      <c r="D470" s="71"/>
      <c r="E470" s="71"/>
      <c r="F470" s="71"/>
      <c r="G470" s="71"/>
      <c r="H470" s="71"/>
      <c r="I470" s="71"/>
      <c r="J470" s="71"/>
      <c r="K470" s="71"/>
      <c r="L470" s="71"/>
      <c r="M470" s="71"/>
      <c r="N470" s="71"/>
      <c r="O470" s="71"/>
      <c r="P470" s="71"/>
      <c r="Q470" s="71"/>
      <c r="R470" s="71"/>
      <c r="T470" s="71"/>
      <c r="U470" s="71"/>
      <c r="V470" s="71"/>
      <c r="W470" s="71"/>
      <c r="X470" s="71"/>
      <c r="Y470" s="71"/>
      <c r="Z470" s="71"/>
    </row>
    <row r="471" spans="1:26" ht="14.25" customHeight="1">
      <c r="A471" s="71"/>
      <c r="B471" s="71"/>
      <c r="C471" s="71"/>
      <c r="D471" s="71"/>
      <c r="E471" s="71"/>
      <c r="F471" s="71"/>
      <c r="G471" s="71"/>
      <c r="H471" s="71"/>
      <c r="I471" s="71"/>
      <c r="J471" s="71"/>
      <c r="K471" s="71"/>
      <c r="L471" s="71"/>
      <c r="M471" s="71"/>
      <c r="N471" s="71"/>
      <c r="O471" s="71"/>
      <c r="P471" s="71"/>
      <c r="Q471" s="71"/>
      <c r="R471" s="71"/>
      <c r="T471" s="71"/>
      <c r="U471" s="71"/>
      <c r="V471" s="71"/>
      <c r="W471" s="71"/>
      <c r="X471" s="71"/>
      <c r="Y471" s="71"/>
      <c r="Z471" s="71"/>
    </row>
    <row r="472" spans="1:26" ht="14.25" customHeight="1">
      <c r="A472" s="71"/>
      <c r="B472" s="71"/>
      <c r="C472" s="71"/>
      <c r="D472" s="71"/>
      <c r="E472" s="71"/>
      <c r="F472" s="71"/>
      <c r="G472" s="71"/>
      <c r="H472" s="71"/>
      <c r="I472" s="71"/>
      <c r="J472" s="71"/>
      <c r="K472" s="71"/>
      <c r="L472" s="71"/>
      <c r="M472" s="71"/>
      <c r="N472" s="71"/>
      <c r="O472" s="71"/>
      <c r="P472" s="71"/>
      <c r="Q472" s="71"/>
      <c r="R472" s="71"/>
      <c r="T472" s="71"/>
      <c r="U472" s="71"/>
      <c r="V472" s="71"/>
      <c r="W472" s="71"/>
      <c r="X472" s="71"/>
      <c r="Y472" s="71"/>
      <c r="Z472" s="71"/>
    </row>
    <row r="473" spans="1:26" ht="14.25" customHeight="1">
      <c r="A473" s="71"/>
      <c r="B473" s="71"/>
      <c r="C473" s="71"/>
      <c r="D473" s="71"/>
      <c r="E473" s="71"/>
      <c r="F473" s="71"/>
      <c r="G473" s="71"/>
      <c r="H473" s="71"/>
      <c r="I473" s="71"/>
      <c r="J473" s="71"/>
      <c r="K473" s="71"/>
      <c r="L473" s="71"/>
      <c r="M473" s="71"/>
      <c r="N473" s="71"/>
      <c r="O473" s="71"/>
      <c r="P473" s="71"/>
      <c r="Q473" s="71"/>
      <c r="R473" s="71"/>
      <c r="T473" s="71"/>
      <c r="U473" s="71"/>
      <c r="V473" s="71"/>
      <c r="W473" s="71"/>
      <c r="X473" s="71"/>
      <c r="Y473" s="71"/>
      <c r="Z473" s="71"/>
    </row>
    <row r="474" spans="1:26" ht="14.25" customHeight="1">
      <c r="A474" s="71"/>
      <c r="B474" s="71"/>
      <c r="C474" s="71"/>
      <c r="D474" s="71"/>
      <c r="E474" s="71"/>
      <c r="F474" s="71"/>
      <c r="G474" s="71"/>
      <c r="H474" s="71"/>
      <c r="I474" s="71"/>
      <c r="J474" s="71"/>
      <c r="K474" s="71"/>
      <c r="L474" s="71"/>
      <c r="M474" s="71"/>
      <c r="N474" s="71"/>
      <c r="O474" s="71"/>
      <c r="P474" s="71"/>
      <c r="Q474" s="71"/>
      <c r="R474" s="71"/>
      <c r="T474" s="71"/>
      <c r="U474" s="71"/>
      <c r="V474" s="71"/>
      <c r="W474" s="71"/>
      <c r="X474" s="71"/>
      <c r="Y474" s="71"/>
      <c r="Z474" s="71"/>
    </row>
    <row r="475" spans="1:26" ht="14.25" customHeight="1">
      <c r="A475" s="71"/>
      <c r="B475" s="71"/>
      <c r="C475" s="71"/>
      <c r="D475" s="71"/>
      <c r="E475" s="71"/>
      <c r="F475" s="71"/>
      <c r="G475" s="71"/>
      <c r="H475" s="71"/>
      <c r="I475" s="71"/>
      <c r="J475" s="71"/>
      <c r="K475" s="71"/>
      <c r="L475" s="71"/>
      <c r="M475" s="71"/>
      <c r="N475" s="71"/>
      <c r="O475" s="71"/>
      <c r="P475" s="71"/>
      <c r="Q475" s="71"/>
      <c r="R475" s="71"/>
      <c r="T475" s="71"/>
      <c r="U475" s="71"/>
      <c r="V475" s="71"/>
      <c r="W475" s="71"/>
      <c r="X475" s="71"/>
      <c r="Y475" s="71"/>
      <c r="Z475" s="71"/>
    </row>
    <row r="476" spans="1:26" ht="14.25" customHeight="1">
      <c r="A476" s="71"/>
      <c r="B476" s="71"/>
      <c r="C476" s="71"/>
      <c r="D476" s="71"/>
      <c r="E476" s="71"/>
      <c r="F476" s="71"/>
      <c r="G476" s="71"/>
      <c r="H476" s="71"/>
      <c r="I476" s="71"/>
      <c r="J476" s="71"/>
      <c r="K476" s="71"/>
      <c r="L476" s="71"/>
      <c r="M476" s="71"/>
      <c r="N476" s="71"/>
      <c r="O476" s="71"/>
      <c r="P476" s="71"/>
      <c r="Q476" s="71"/>
      <c r="R476" s="71"/>
      <c r="T476" s="71"/>
      <c r="U476" s="71"/>
      <c r="V476" s="71"/>
      <c r="W476" s="71"/>
      <c r="X476" s="71"/>
      <c r="Y476" s="71"/>
      <c r="Z476" s="71"/>
    </row>
    <row r="477" spans="1:26" ht="14.25" customHeight="1">
      <c r="A477" s="71"/>
      <c r="B477" s="71"/>
      <c r="C477" s="71"/>
      <c r="D477" s="71"/>
      <c r="E477" s="71"/>
      <c r="F477" s="71"/>
      <c r="G477" s="71"/>
      <c r="H477" s="71"/>
      <c r="I477" s="71"/>
      <c r="J477" s="71"/>
      <c r="K477" s="71"/>
      <c r="L477" s="71"/>
      <c r="M477" s="71"/>
      <c r="N477" s="71"/>
      <c r="O477" s="71"/>
      <c r="P477" s="71"/>
      <c r="Q477" s="71"/>
      <c r="R477" s="71"/>
      <c r="T477" s="71"/>
      <c r="U477" s="71"/>
      <c r="V477" s="71"/>
      <c r="W477" s="71"/>
      <c r="X477" s="71"/>
      <c r="Y477" s="71"/>
      <c r="Z477" s="71"/>
    </row>
    <row r="478" spans="1:26" ht="14.25" customHeight="1">
      <c r="A478" s="71"/>
      <c r="B478" s="71"/>
      <c r="C478" s="71"/>
      <c r="D478" s="71"/>
      <c r="E478" s="71"/>
      <c r="F478" s="71"/>
      <c r="G478" s="71"/>
      <c r="H478" s="71"/>
      <c r="I478" s="71"/>
      <c r="J478" s="71"/>
      <c r="K478" s="71"/>
      <c r="L478" s="71"/>
      <c r="M478" s="71"/>
      <c r="N478" s="71"/>
      <c r="O478" s="71"/>
      <c r="P478" s="71"/>
      <c r="Q478" s="71"/>
      <c r="R478" s="71"/>
      <c r="T478" s="71"/>
      <c r="U478" s="71"/>
      <c r="V478" s="71"/>
      <c r="W478" s="71"/>
      <c r="X478" s="71"/>
      <c r="Y478" s="71"/>
      <c r="Z478" s="71"/>
    </row>
    <row r="479" spans="1:26" ht="14.25" customHeight="1">
      <c r="A479" s="71"/>
      <c r="B479" s="71"/>
      <c r="C479" s="71"/>
      <c r="D479" s="71"/>
      <c r="E479" s="71"/>
      <c r="F479" s="71"/>
      <c r="G479" s="71"/>
      <c r="H479" s="71"/>
      <c r="I479" s="71"/>
      <c r="J479" s="71"/>
      <c r="K479" s="71"/>
      <c r="L479" s="71"/>
      <c r="M479" s="71"/>
      <c r="N479" s="71"/>
      <c r="O479" s="71"/>
      <c r="P479" s="71"/>
      <c r="Q479" s="71"/>
      <c r="R479" s="71"/>
      <c r="T479" s="71"/>
      <c r="U479" s="71"/>
      <c r="V479" s="71"/>
      <c r="W479" s="71"/>
      <c r="X479" s="71"/>
      <c r="Y479" s="71"/>
      <c r="Z479" s="71"/>
    </row>
    <row r="480" spans="1:26" ht="14.25" customHeight="1">
      <c r="A480" s="71"/>
      <c r="B480" s="71"/>
      <c r="C480" s="71"/>
      <c r="D480" s="71"/>
      <c r="E480" s="71"/>
      <c r="F480" s="71"/>
      <c r="G480" s="71"/>
      <c r="H480" s="71"/>
      <c r="I480" s="71"/>
      <c r="J480" s="71"/>
      <c r="K480" s="71"/>
      <c r="L480" s="71"/>
      <c r="M480" s="71"/>
      <c r="N480" s="71"/>
      <c r="O480" s="71"/>
      <c r="P480" s="71"/>
      <c r="Q480" s="71"/>
      <c r="R480" s="71"/>
      <c r="T480" s="71"/>
      <c r="U480" s="71"/>
      <c r="V480" s="71"/>
      <c r="W480" s="71"/>
      <c r="X480" s="71"/>
      <c r="Y480" s="71"/>
      <c r="Z480" s="71"/>
    </row>
    <row r="481" spans="1:26" ht="14.25" customHeight="1">
      <c r="A481" s="71"/>
      <c r="B481" s="71"/>
      <c r="C481" s="71"/>
      <c r="D481" s="71"/>
      <c r="E481" s="71"/>
      <c r="F481" s="71"/>
      <c r="G481" s="71"/>
      <c r="H481" s="71"/>
      <c r="I481" s="71"/>
      <c r="J481" s="71"/>
      <c r="K481" s="71"/>
      <c r="L481" s="71"/>
      <c r="M481" s="71"/>
      <c r="N481" s="71"/>
      <c r="O481" s="71"/>
      <c r="P481" s="71"/>
      <c r="Q481" s="71"/>
      <c r="R481" s="71"/>
      <c r="T481" s="71"/>
      <c r="U481" s="71"/>
      <c r="V481" s="71"/>
      <c r="W481" s="71"/>
      <c r="X481" s="71"/>
      <c r="Y481" s="71"/>
      <c r="Z481" s="71"/>
    </row>
    <row r="482" spans="1:26" ht="14.25" customHeight="1">
      <c r="A482" s="71"/>
      <c r="B482" s="71"/>
      <c r="C482" s="71"/>
      <c r="D482" s="71"/>
      <c r="E482" s="71"/>
      <c r="F482" s="71"/>
      <c r="G482" s="71"/>
      <c r="H482" s="71"/>
      <c r="I482" s="71"/>
      <c r="J482" s="71"/>
      <c r="K482" s="71"/>
      <c r="L482" s="71"/>
      <c r="M482" s="71"/>
      <c r="N482" s="71"/>
      <c r="O482" s="71"/>
      <c r="P482" s="71"/>
      <c r="Q482" s="71"/>
      <c r="R482" s="71"/>
      <c r="T482" s="71"/>
      <c r="U482" s="71"/>
      <c r="V482" s="71"/>
      <c r="W482" s="71"/>
      <c r="X482" s="71"/>
      <c r="Y482" s="71"/>
      <c r="Z482" s="71"/>
    </row>
    <row r="483" spans="1:26" ht="14.25" customHeight="1">
      <c r="A483" s="71"/>
      <c r="B483" s="71"/>
      <c r="C483" s="71"/>
      <c r="D483" s="71"/>
      <c r="E483" s="71"/>
      <c r="F483" s="71"/>
      <c r="G483" s="71"/>
      <c r="H483" s="71"/>
      <c r="I483" s="71"/>
      <c r="J483" s="71"/>
      <c r="K483" s="71"/>
      <c r="L483" s="71"/>
      <c r="M483" s="71"/>
      <c r="N483" s="71"/>
      <c r="O483" s="71"/>
      <c r="P483" s="71"/>
      <c r="Q483" s="71"/>
      <c r="R483" s="71"/>
      <c r="T483" s="71"/>
      <c r="U483" s="71"/>
      <c r="V483" s="71"/>
      <c r="W483" s="71"/>
      <c r="X483" s="71"/>
      <c r="Y483" s="71"/>
      <c r="Z483" s="71"/>
    </row>
    <row r="484" spans="1:26" ht="14.25" customHeight="1">
      <c r="A484" s="71"/>
      <c r="B484" s="71"/>
      <c r="C484" s="71"/>
      <c r="D484" s="71"/>
      <c r="E484" s="71"/>
      <c r="F484" s="71"/>
      <c r="G484" s="71"/>
      <c r="H484" s="71"/>
      <c r="I484" s="71"/>
      <c r="J484" s="71"/>
      <c r="K484" s="71"/>
      <c r="L484" s="71"/>
      <c r="M484" s="71"/>
      <c r="N484" s="71"/>
      <c r="O484" s="71"/>
      <c r="P484" s="71"/>
      <c r="Q484" s="71"/>
      <c r="R484" s="71"/>
      <c r="T484" s="71"/>
      <c r="U484" s="71"/>
      <c r="V484" s="71"/>
      <c r="W484" s="71"/>
      <c r="X484" s="71"/>
      <c r="Y484" s="71"/>
      <c r="Z484" s="71"/>
    </row>
    <row r="485" spans="1:26" ht="14.25" customHeight="1">
      <c r="A485" s="71"/>
      <c r="B485" s="71"/>
      <c r="C485" s="71"/>
      <c r="D485" s="71"/>
      <c r="E485" s="71"/>
      <c r="F485" s="71"/>
      <c r="G485" s="71"/>
      <c r="H485" s="71"/>
      <c r="I485" s="71"/>
      <c r="J485" s="71"/>
      <c r="K485" s="71"/>
      <c r="L485" s="71"/>
      <c r="M485" s="71"/>
      <c r="N485" s="71"/>
      <c r="O485" s="71"/>
      <c r="P485" s="71"/>
      <c r="Q485" s="71"/>
      <c r="R485" s="71"/>
      <c r="T485" s="71"/>
      <c r="U485" s="71"/>
      <c r="V485" s="71"/>
      <c r="W485" s="71"/>
      <c r="X485" s="71"/>
      <c r="Y485" s="71"/>
      <c r="Z485" s="71"/>
    </row>
    <row r="486" spans="1:26" ht="14.25" customHeight="1">
      <c r="A486" s="71"/>
      <c r="B486" s="71"/>
      <c r="C486" s="71"/>
      <c r="D486" s="71"/>
      <c r="E486" s="71"/>
      <c r="F486" s="71"/>
      <c r="G486" s="71"/>
      <c r="H486" s="71"/>
      <c r="I486" s="71"/>
      <c r="J486" s="71"/>
      <c r="K486" s="71"/>
      <c r="L486" s="71"/>
      <c r="M486" s="71"/>
      <c r="N486" s="71"/>
      <c r="O486" s="71"/>
      <c r="P486" s="71"/>
      <c r="Q486" s="71"/>
      <c r="R486" s="71"/>
      <c r="T486" s="71"/>
      <c r="U486" s="71"/>
      <c r="V486" s="71"/>
      <c r="W486" s="71"/>
      <c r="X486" s="71"/>
      <c r="Y486" s="71"/>
      <c r="Z486" s="71"/>
    </row>
    <row r="487" spans="1:26" ht="14.25" customHeight="1">
      <c r="A487" s="71"/>
      <c r="B487" s="71"/>
      <c r="C487" s="71"/>
      <c r="D487" s="71"/>
      <c r="E487" s="71"/>
      <c r="F487" s="71"/>
      <c r="G487" s="71"/>
      <c r="H487" s="71"/>
      <c r="I487" s="71"/>
      <c r="J487" s="71"/>
      <c r="K487" s="71"/>
      <c r="L487" s="71"/>
      <c r="M487" s="71"/>
      <c r="N487" s="71"/>
      <c r="O487" s="71"/>
      <c r="P487" s="71"/>
      <c r="Q487" s="71"/>
      <c r="R487" s="71"/>
      <c r="T487" s="71"/>
      <c r="U487" s="71"/>
      <c r="V487" s="71"/>
      <c r="W487" s="71"/>
      <c r="X487" s="71"/>
      <c r="Y487" s="71"/>
      <c r="Z487" s="71"/>
    </row>
    <row r="488" spans="1:26" ht="14.25" customHeight="1">
      <c r="A488" s="71"/>
      <c r="B488" s="71"/>
      <c r="C488" s="71"/>
      <c r="D488" s="71"/>
      <c r="E488" s="71"/>
      <c r="F488" s="71"/>
      <c r="G488" s="71"/>
      <c r="H488" s="71"/>
      <c r="I488" s="71"/>
      <c r="J488" s="71"/>
      <c r="K488" s="71"/>
      <c r="L488" s="71"/>
      <c r="M488" s="71"/>
      <c r="N488" s="71"/>
      <c r="O488" s="71"/>
      <c r="P488" s="71"/>
      <c r="Q488" s="71"/>
      <c r="R488" s="71"/>
      <c r="T488" s="71"/>
      <c r="U488" s="71"/>
      <c r="V488" s="71"/>
      <c r="W488" s="71"/>
      <c r="X488" s="71"/>
      <c r="Y488" s="71"/>
      <c r="Z488" s="71"/>
    </row>
    <row r="489" spans="1:26" ht="14.25" customHeight="1">
      <c r="A489" s="71"/>
      <c r="B489" s="71"/>
      <c r="C489" s="71"/>
      <c r="D489" s="71"/>
      <c r="E489" s="71"/>
      <c r="F489" s="71"/>
      <c r="G489" s="71"/>
      <c r="H489" s="71"/>
      <c r="I489" s="71"/>
      <c r="J489" s="71"/>
      <c r="K489" s="71"/>
      <c r="L489" s="71"/>
      <c r="M489" s="71"/>
      <c r="N489" s="71"/>
      <c r="O489" s="71"/>
      <c r="P489" s="71"/>
      <c r="Q489" s="71"/>
      <c r="R489" s="71"/>
      <c r="T489" s="71"/>
      <c r="U489" s="71"/>
      <c r="V489" s="71"/>
      <c r="W489" s="71"/>
      <c r="X489" s="71"/>
      <c r="Y489" s="71"/>
      <c r="Z489" s="71"/>
    </row>
    <row r="490" spans="1:26" ht="14.25" customHeight="1">
      <c r="A490" s="71"/>
      <c r="B490" s="71"/>
      <c r="C490" s="71"/>
      <c r="D490" s="71"/>
      <c r="E490" s="71"/>
      <c r="F490" s="71"/>
      <c r="G490" s="71"/>
      <c r="H490" s="71"/>
      <c r="I490" s="71"/>
      <c r="J490" s="71"/>
      <c r="K490" s="71"/>
      <c r="L490" s="71"/>
      <c r="M490" s="71"/>
      <c r="N490" s="71"/>
      <c r="O490" s="71"/>
      <c r="P490" s="71"/>
      <c r="Q490" s="71"/>
      <c r="R490" s="71"/>
      <c r="T490" s="71"/>
      <c r="U490" s="71"/>
      <c r="V490" s="71"/>
      <c r="W490" s="71"/>
      <c r="X490" s="71"/>
      <c r="Y490" s="71"/>
      <c r="Z490" s="71"/>
    </row>
    <row r="491" spans="1:26" ht="14.25" customHeight="1">
      <c r="A491" s="71"/>
      <c r="B491" s="71"/>
      <c r="C491" s="71"/>
      <c r="D491" s="71"/>
      <c r="E491" s="71"/>
      <c r="F491" s="71"/>
      <c r="G491" s="71"/>
      <c r="H491" s="71"/>
      <c r="I491" s="71"/>
      <c r="J491" s="71"/>
      <c r="K491" s="71"/>
      <c r="L491" s="71"/>
      <c r="M491" s="71"/>
      <c r="N491" s="71"/>
      <c r="O491" s="71"/>
      <c r="P491" s="71"/>
      <c r="Q491" s="71"/>
      <c r="R491" s="71"/>
      <c r="T491" s="71"/>
      <c r="U491" s="71"/>
      <c r="V491" s="71"/>
      <c r="W491" s="71"/>
      <c r="X491" s="71"/>
      <c r="Y491" s="71"/>
      <c r="Z491" s="71"/>
    </row>
    <row r="492" spans="1:26" ht="14.25" customHeight="1">
      <c r="A492" s="71"/>
      <c r="B492" s="71"/>
      <c r="C492" s="71"/>
      <c r="D492" s="71"/>
      <c r="E492" s="71"/>
      <c r="F492" s="71"/>
      <c r="G492" s="71"/>
      <c r="H492" s="71"/>
      <c r="I492" s="71"/>
      <c r="J492" s="71"/>
      <c r="K492" s="71"/>
      <c r="L492" s="71"/>
      <c r="M492" s="71"/>
      <c r="N492" s="71"/>
      <c r="O492" s="71"/>
      <c r="P492" s="71"/>
      <c r="Q492" s="71"/>
      <c r="R492" s="71"/>
      <c r="T492" s="71"/>
      <c r="U492" s="71"/>
      <c r="V492" s="71"/>
      <c r="W492" s="71"/>
      <c r="X492" s="71"/>
      <c r="Y492" s="71"/>
      <c r="Z492" s="71"/>
    </row>
    <row r="493" spans="1:26" ht="14.25" customHeight="1">
      <c r="A493" s="71"/>
      <c r="B493" s="71"/>
      <c r="C493" s="71"/>
      <c r="D493" s="71"/>
      <c r="E493" s="71"/>
      <c r="F493" s="71"/>
      <c r="G493" s="71"/>
      <c r="H493" s="71"/>
      <c r="I493" s="71"/>
      <c r="J493" s="71"/>
      <c r="K493" s="71"/>
      <c r="L493" s="71"/>
      <c r="M493" s="71"/>
      <c r="N493" s="71"/>
      <c r="O493" s="71"/>
      <c r="P493" s="71"/>
      <c r="Q493" s="71"/>
      <c r="R493" s="71"/>
      <c r="T493" s="71"/>
      <c r="U493" s="71"/>
      <c r="V493" s="71"/>
      <c r="W493" s="71"/>
      <c r="X493" s="71"/>
      <c r="Y493" s="71"/>
      <c r="Z493" s="71"/>
    </row>
    <row r="494" spans="1:26" ht="14.25" customHeight="1">
      <c r="A494" s="71"/>
      <c r="B494" s="71"/>
      <c r="C494" s="71"/>
      <c r="D494" s="71"/>
      <c r="E494" s="71"/>
      <c r="F494" s="71"/>
      <c r="G494" s="71"/>
      <c r="H494" s="71"/>
      <c r="I494" s="71"/>
      <c r="J494" s="71"/>
      <c r="K494" s="71"/>
      <c r="L494" s="71"/>
      <c r="M494" s="71"/>
      <c r="N494" s="71"/>
      <c r="O494" s="71"/>
      <c r="P494" s="71"/>
      <c r="Q494" s="71"/>
      <c r="R494" s="71"/>
      <c r="T494" s="71"/>
      <c r="U494" s="71"/>
      <c r="V494" s="71"/>
      <c r="W494" s="71"/>
      <c r="X494" s="71"/>
      <c r="Y494" s="71"/>
      <c r="Z494" s="71"/>
    </row>
    <row r="495" spans="1:26" ht="14.25" customHeight="1">
      <c r="A495" s="71"/>
      <c r="B495" s="71"/>
      <c r="C495" s="71"/>
      <c r="D495" s="71"/>
      <c r="E495" s="71"/>
      <c r="F495" s="71"/>
      <c r="G495" s="71"/>
      <c r="H495" s="71"/>
      <c r="I495" s="71"/>
      <c r="J495" s="71"/>
      <c r="K495" s="71"/>
      <c r="L495" s="71"/>
      <c r="M495" s="71"/>
      <c r="N495" s="71"/>
      <c r="O495" s="71"/>
      <c r="P495" s="71"/>
      <c r="Q495" s="71"/>
      <c r="R495" s="71"/>
      <c r="T495" s="71"/>
      <c r="U495" s="71"/>
      <c r="V495" s="71"/>
      <c r="W495" s="71"/>
      <c r="X495" s="71"/>
      <c r="Y495" s="71"/>
      <c r="Z495" s="71"/>
    </row>
    <row r="496" spans="1:26" ht="14.25" customHeight="1">
      <c r="A496" s="71"/>
      <c r="B496" s="71"/>
      <c r="C496" s="71"/>
      <c r="D496" s="71"/>
      <c r="E496" s="71"/>
      <c r="F496" s="71"/>
      <c r="G496" s="71"/>
      <c r="H496" s="71"/>
      <c r="I496" s="71"/>
      <c r="J496" s="71"/>
      <c r="K496" s="71"/>
      <c r="L496" s="71"/>
      <c r="M496" s="71"/>
      <c r="N496" s="71"/>
      <c r="O496" s="71"/>
      <c r="P496" s="71"/>
      <c r="Q496" s="71"/>
      <c r="R496" s="71"/>
      <c r="T496" s="71"/>
      <c r="U496" s="71"/>
      <c r="V496" s="71"/>
      <c r="W496" s="71"/>
      <c r="X496" s="71"/>
      <c r="Y496" s="71"/>
      <c r="Z496" s="71"/>
    </row>
    <row r="497" spans="1:26" ht="14.25" customHeight="1">
      <c r="A497" s="71"/>
      <c r="B497" s="71"/>
      <c r="C497" s="71"/>
      <c r="D497" s="71"/>
      <c r="E497" s="71"/>
      <c r="F497" s="71"/>
      <c r="G497" s="71"/>
      <c r="H497" s="71"/>
      <c r="I497" s="71"/>
      <c r="J497" s="71"/>
      <c r="K497" s="71"/>
      <c r="L497" s="71"/>
      <c r="M497" s="71"/>
      <c r="N497" s="71"/>
      <c r="O497" s="71"/>
      <c r="P497" s="71"/>
      <c r="Q497" s="71"/>
      <c r="R497" s="71"/>
      <c r="T497" s="71"/>
      <c r="U497" s="71"/>
      <c r="V497" s="71"/>
      <c r="W497" s="71"/>
      <c r="X497" s="71"/>
      <c r="Y497" s="71"/>
      <c r="Z497" s="71"/>
    </row>
    <row r="498" spans="1:26" ht="14.25" customHeight="1">
      <c r="A498" s="71"/>
      <c r="B498" s="71"/>
      <c r="C498" s="71"/>
      <c r="D498" s="71"/>
      <c r="E498" s="71"/>
      <c r="F498" s="71"/>
      <c r="G498" s="71"/>
      <c r="H498" s="71"/>
      <c r="I498" s="71"/>
      <c r="J498" s="71"/>
      <c r="K498" s="71"/>
      <c r="L498" s="71"/>
      <c r="M498" s="71"/>
      <c r="N498" s="71"/>
      <c r="O498" s="71"/>
      <c r="P498" s="71"/>
      <c r="Q498" s="71"/>
      <c r="R498" s="71"/>
      <c r="T498" s="71"/>
      <c r="U498" s="71"/>
      <c r="V498" s="71"/>
      <c r="W498" s="71"/>
      <c r="X498" s="71"/>
      <c r="Y498" s="71"/>
      <c r="Z498" s="71"/>
    </row>
    <row r="499" spans="1:26" ht="14.25" customHeight="1">
      <c r="A499" s="71"/>
      <c r="B499" s="71"/>
      <c r="C499" s="71"/>
      <c r="D499" s="71"/>
      <c r="E499" s="71"/>
      <c r="F499" s="71"/>
      <c r="G499" s="71"/>
      <c r="H499" s="71"/>
      <c r="I499" s="71"/>
      <c r="J499" s="71"/>
      <c r="K499" s="71"/>
      <c r="L499" s="71"/>
      <c r="M499" s="71"/>
      <c r="N499" s="71"/>
      <c r="O499" s="71"/>
      <c r="P499" s="71"/>
      <c r="Q499" s="71"/>
      <c r="R499" s="71"/>
      <c r="T499" s="71"/>
      <c r="U499" s="71"/>
      <c r="V499" s="71"/>
      <c r="W499" s="71"/>
      <c r="X499" s="71"/>
      <c r="Y499" s="71"/>
      <c r="Z499" s="71"/>
    </row>
    <row r="500" spans="1:26" ht="14.25" customHeight="1">
      <c r="A500" s="71"/>
      <c r="B500" s="71"/>
      <c r="C500" s="71"/>
      <c r="D500" s="71"/>
      <c r="E500" s="71"/>
      <c r="F500" s="71"/>
      <c r="G500" s="71"/>
      <c r="H500" s="71"/>
      <c r="I500" s="71"/>
      <c r="J500" s="71"/>
      <c r="K500" s="71"/>
      <c r="L500" s="71"/>
      <c r="M500" s="71"/>
      <c r="N500" s="71"/>
      <c r="O500" s="71"/>
      <c r="P500" s="71"/>
      <c r="Q500" s="71"/>
      <c r="R500" s="71"/>
      <c r="T500" s="71"/>
      <c r="U500" s="71"/>
      <c r="V500" s="71"/>
      <c r="W500" s="71"/>
      <c r="X500" s="71"/>
      <c r="Y500" s="71"/>
      <c r="Z500" s="71"/>
    </row>
    <row r="501" spans="1:26" ht="14.25" customHeight="1">
      <c r="A501" s="71"/>
      <c r="B501" s="71"/>
      <c r="C501" s="71"/>
      <c r="D501" s="71"/>
      <c r="E501" s="71"/>
      <c r="F501" s="71"/>
      <c r="G501" s="71"/>
      <c r="H501" s="71"/>
      <c r="I501" s="71"/>
      <c r="J501" s="71"/>
      <c r="K501" s="71"/>
      <c r="L501" s="71"/>
      <c r="M501" s="71"/>
      <c r="N501" s="71"/>
      <c r="O501" s="71"/>
      <c r="P501" s="71"/>
      <c r="Q501" s="71"/>
      <c r="R501" s="71"/>
      <c r="T501" s="71"/>
      <c r="U501" s="71"/>
      <c r="V501" s="71"/>
      <c r="W501" s="71"/>
      <c r="X501" s="71"/>
      <c r="Y501" s="71"/>
      <c r="Z501" s="71"/>
    </row>
    <row r="502" spans="1:26" ht="14.25" customHeight="1">
      <c r="A502" s="71"/>
      <c r="B502" s="71"/>
      <c r="C502" s="71"/>
      <c r="D502" s="71"/>
      <c r="E502" s="71"/>
      <c r="F502" s="71"/>
      <c r="G502" s="71"/>
      <c r="H502" s="71"/>
      <c r="I502" s="71"/>
      <c r="J502" s="71"/>
      <c r="K502" s="71"/>
      <c r="L502" s="71"/>
      <c r="M502" s="71"/>
      <c r="N502" s="71"/>
      <c r="O502" s="71"/>
      <c r="P502" s="71"/>
      <c r="Q502" s="71"/>
      <c r="R502" s="71"/>
      <c r="T502" s="71"/>
      <c r="U502" s="71"/>
      <c r="V502" s="71"/>
      <c r="W502" s="71"/>
      <c r="X502" s="71"/>
      <c r="Y502" s="71"/>
      <c r="Z502" s="71"/>
    </row>
    <row r="503" spans="1:26" ht="14.25" customHeight="1">
      <c r="A503" s="71"/>
      <c r="B503" s="71"/>
      <c r="C503" s="71"/>
      <c r="D503" s="71"/>
      <c r="E503" s="71"/>
      <c r="F503" s="71"/>
      <c r="G503" s="71"/>
      <c r="H503" s="71"/>
      <c r="I503" s="71"/>
      <c r="J503" s="71"/>
      <c r="K503" s="71"/>
      <c r="L503" s="71"/>
      <c r="M503" s="71"/>
      <c r="N503" s="71"/>
      <c r="O503" s="71"/>
      <c r="P503" s="71"/>
      <c r="Q503" s="71"/>
      <c r="R503" s="71"/>
      <c r="T503" s="71"/>
      <c r="U503" s="71"/>
      <c r="V503" s="71"/>
      <c r="W503" s="71"/>
      <c r="X503" s="71"/>
      <c r="Y503" s="71"/>
      <c r="Z503" s="71"/>
    </row>
    <row r="504" spans="1:26" ht="14.25" customHeight="1">
      <c r="A504" s="71"/>
      <c r="B504" s="71"/>
      <c r="C504" s="71"/>
      <c r="D504" s="71"/>
      <c r="E504" s="71"/>
      <c r="F504" s="71"/>
      <c r="G504" s="71"/>
      <c r="H504" s="71"/>
      <c r="I504" s="71"/>
      <c r="J504" s="71"/>
      <c r="K504" s="71"/>
      <c r="L504" s="71"/>
      <c r="M504" s="71"/>
      <c r="N504" s="71"/>
      <c r="O504" s="71"/>
      <c r="P504" s="71"/>
      <c r="Q504" s="71"/>
      <c r="R504" s="71"/>
      <c r="T504" s="71"/>
      <c r="U504" s="71"/>
      <c r="V504" s="71"/>
      <c r="W504" s="71"/>
      <c r="X504" s="71"/>
      <c r="Y504" s="71"/>
      <c r="Z504" s="71"/>
    </row>
    <row r="505" spans="1:26" ht="14.25" customHeight="1">
      <c r="A505" s="71"/>
      <c r="B505" s="71"/>
      <c r="C505" s="71"/>
      <c r="D505" s="71"/>
      <c r="E505" s="71"/>
      <c r="F505" s="71"/>
      <c r="G505" s="71"/>
      <c r="H505" s="71"/>
      <c r="I505" s="71"/>
      <c r="J505" s="71"/>
      <c r="K505" s="71"/>
      <c r="L505" s="71"/>
      <c r="M505" s="71"/>
      <c r="N505" s="71"/>
      <c r="O505" s="71"/>
      <c r="P505" s="71"/>
      <c r="Q505" s="71"/>
      <c r="R505" s="71"/>
      <c r="T505" s="71"/>
      <c r="U505" s="71"/>
      <c r="V505" s="71"/>
      <c r="W505" s="71"/>
      <c r="X505" s="71"/>
      <c r="Y505" s="71"/>
      <c r="Z505" s="71"/>
    </row>
    <row r="506" spans="1:26" ht="14.25" customHeight="1">
      <c r="A506" s="71"/>
      <c r="B506" s="71"/>
      <c r="C506" s="71"/>
      <c r="D506" s="71"/>
      <c r="E506" s="71"/>
      <c r="F506" s="71"/>
      <c r="G506" s="71"/>
      <c r="H506" s="71"/>
      <c r="I506" s="71"/>
      <c r="J506" s="71"/>
      <c r="K506" s="71"/>
      <c r="L506" s="71"/>
      <c r="M506" s="71"/>
      <c r="N506" s="71"/>
      <c r="O506" s="71"/>
      <c r="P506" s="71"/>
      <c r="Q506" s="71"/>
      <c r="R506" s="71"/>
      <c r="T506" s="71"/>
      <c r="U506" s="71"/>
      <c r="V506" s="71"/>
      <c r="W506" s="71"/>
      <c r="X506" s="71"/>
      <c r="Y506" s="71"/>
      <c r="Z506" s="71"/>
    </row>
    <row r="507" spans="1:26" ht="14.25" customHeight="1">
      <c r="A507" s="71"/>
      <c r="B507" s="71"/>
      <c r="C507" s="71"/>
      <c r="D507" s="71"/>
      <c r="E507" s="71"/>
      <c r="F507" s="71"/>
      <c r="G507" s="71"/>
      <c r="H507" s="71"/>
      <c r="I507" s="71"/>
      <c r="J507" s="71"/>
      <c r="K507" s="71"/>
      <c r="L507" s="71"/>
      <c r="M507" s="71"/>
      <c r="N507" s="71"/>
      <c r="O507" s="71"/>
      <c r="P507" s="71"/>
      <c r="Q507" s="71"/>
      <c r="R507" s="71"/>
      <c r="T507" s="71"/>
      <c r="U507" s="71"/>
      <c r="V507" s="71"/>
      <c r="W507" s="71"/>
      <c r="X507" s="71"/>
      <c r="Y507" s="71"/>
      <c r="Z507" s="71"/>
    </row>
    <row r="508" spans="1:26" ht="14.25" customHeight="1">
      <c r="A508" s="71"/>
      <c r="B508" s="71"/>
      <c r="C508" s="71"/>
      <c r="D508" s="71"/>
      <c r="E508" s="71"/>
      <c r="F508" s="71"/>
      <c r="G508" s="71"/>
      <c r="H508" s="71"/>
      <c r="I508" s="71"/>
      <c r="J508" s="71"/>
      <c r="K508" s="71"/>
      <c r="L508" s="71"/>
      <c r="M508" s="71"/>
      <c r="N508" s="71"/>
      <c r="O508" s="71"/>
      <c r="P508" s="71"/>
      <c r="Q508" s="71"/>
      <c r="R508" s="71"/>
      <c r="T508" s="71"/>
      <c r="U508" s="71"/>
      <c r="V508" s="71"/>
      <c r="W508" s="71"/>
      <c r="X508" s="71"/>
      <c r="Y508" s="71"/>
      <c r="Z508" s="71"/>
    </row>
    <row r="509" spans="1:26" ht="14.25" customHeight="1">
      <c r="A509" s="71"/>
      <c r="B509" s="71"/>
      <c r="C509" s="71"/>
      <c r="D509" s="71"/>
      <c r="E509" s="71"/>
      <c r="F509" s="71"/>
      <c r="G509" s="71"/>
      <c r="H509" s="71"/>
      <c r="I509" s="71"/>
      <c r="J509" s="71"/>
      <c r="K509" s="71"/>
      <c r="L509" s="71"/>
      <c r="M509" s="71"/>
      <c r="N509" s="71"/>
      <c r="O509" s="71"/>
      <c r="P509" s="71"/>
      <c r="Q509" s="71"/>
      <c r="R509" s="71"/>
      <c r="T509" s="71"/>
      <c r="U509" s="71"/>
      <c r="V509" s="71"/>
      <c r="W509" s="71"/>
      <c r="X509" s="71"/>
      <c r="Y509" s="71"/>
      <c r="Z509" s="71"/>
    </row>
    <row r="510" spans="1:26" ht="14.25" customHeight="1">
      <c r="A510" s="71"/>
      <c r="B510" s="71"/>
      <c r="C510" s="71"/>
      <c r="D510" s="71"/>
      <c r="E510" s="71"/>
      <c r="F510" s="71"/>
      <c r="G510" s="71"/>
      <c r="H510" s="71"/>
      <c r="I510" s="71"/>
      <c r="J510" s="71"/>
      <c r="K510" s="71"/>
      <c r="L510" s="71"/>
      <c r="M510" s="71"/>
      <c r="N510" s="71"/>
      <c r="O510" s="71"/>
      <c r="P510" s="71"/>
      <c r="Q510" s="71"/>
      <c r="R510" s="71"/>
      <c r="T510" s="71"/>
      <c r="U510" s="71"/>
      <c r="V510" s="71"/>
      <c r="W510" s="71"/>
      <c r="X510" s="71"/>
      <c r="Y510" s="71"/>
      <c r="Z510" s="71"/>
    </row>
    <row r="511" spans="1:26" ht="14.25" customHeight="1">
      <c r="A511" s="71"/>
      <c r="B511" s="71"/>
      <c r="C511" s="71"/>
      <c r="D511" s="71"/>
      <c r="E511" s="71"/>
      <c r="F511" s="71"/>
      <c r="G511" s="71"/>
      <c r="H511" s="71"/>
      <c r="I511" s="71"/>
      <c r="J511" s="71"/>
      <c r="K511" s="71"/>
      <c r="L511" s="71"/>
      <c r="M511" s="71"/>
      <c r="N511" s="71"/>
      <c r="O511" s="71"/>
      <c r="P511" s="71"/>
      <c r="Q511" s="71"/>
      <c r="R511" s="71"/>
      <c r="T511" s="71"/>
      <c r="U511" s="71"/>
      <c r="V511" s="71"/>
      <c r="W511" s="71"/>
      <c r="X511" s="71"/>
      <c r="Y511" s="71"/>
      <c r="Z511" s="71"/>
    </row>
    <row r="512" spans="1:26" ht="14.25" customHeight="1">
      <c r="A512" s="71"/>
      <c r="B512" s="71"/>
      <c r="C512" s="71"/>
      <c r="D512" s="71"/>
      <c r="E512" s="71"/>
      <c r="F512" s="71"/>
      <c r="G512" s="71"/>
      <c r="H512" s="71"/>
      <c r="I512" s="71"/>
      <c r="J512" s="71"/>
      <c r="K512" s="71"/>
      <c r="L512" s="71"/>
      <c r="M512" s="71"/>
      <c r="N512" s="71"/>
      <c r="O512" s="71"/>
      <c r="P512" s="71"/>
      <c r="Q512" s="71"/>
      <c r="R512" s="71"/>
      <c r="T512" s="71"/>
      <c r="U512" s="71"/>
      <c r="V512" s="71"/>
      <c r="W512" s="71"/>
      <c r="X512" s="71"/>
      <c r="Y512" s="71"/>
      <c r="Z512" s="71"/>
    </row>
    <row r="513" spans="1:26" ht="14.25" customHeight="1">
      <c r="A513" s="71"/>
      <c r="B513" s="71"/>
      <c r="C513" s="71"/>
      <c r="D513" s="71"/>
      <c r="E513" s="71"/>
      <c r="F513" s="71"/>
      <c r="G513" s="71"/>
      <c r="H513" s="71"/>
      <c r="I513" s="71"/>
      <c r="J513" s="71"/>
      <c r="K513" s="71"/>
      <c r="L513" s="71"/>
      <c r="M513" s="71"/>
      <c r="N513" s="71"/>
      <c r="O513" s="71"/>
      <c r="P513" s="71"/>
      <c r="Q513" s="71"/>
      <c r="R513" s="71"/>
      <c r="T513" s="71"/>
      <c r="U513" s="71"/>
      <c r="V513" s="71"/>
      <c r="W513" s="71"/>
      <c r="X513" s="71"/>
      <c r="Y513" s="71"/>
      <c r="Z513" s="71"/>
    </row>
    <row r="514" spans="1:26" ht="14.25" customHeight="1">
      <c r="A514" s="71"/>
      <c r="B514" s="71"/>
      <c r="C514" s="71"/>
      <c r="D514" s="71"/>
      <c r="E514" s="71"/>
      <c r="F514" s="71"/>
      <c r="G514" s="71"/>
      <c r="H514" s="71"/>
      <c r="I514" s="71"/>
      <c r="J514" s="71"/>
      <c r="K514" s="71"/>
      <c r="L514" s="71"/>
      <c r="M514" s="71"/>
      <c r="N514" s="71"/>
      <c r="O514" s="71"/>
      <c r="P514" s="71"/>
      <c r="Q514" s="71"/>
      <c r="R514" s="71"/>
      <c r="T514" s="71"/>
      <c r="U514" s="71"/>
      <c r="V514" s="71"/>
      <c r="W514" s="71"/>
      <c r="X514" s="71"/>
      <c r="Y514" s="71"/>
      <c r="Z514" s="71"/>
    </row>
    <row r="515" spans="1:26" ht="14.25" customHeight="1">
      <c r="A515" s="71"/>
      <c r="B515" s="71"/>
      <c r="C515" s="71"/>
      <c r="D515" s="71"/>
      <c r="E515" s="71"/>
      <c r="F515" s="71"/>
      <c r="G515" s="71"/>
      <c r="H515" s="71"/>
      <c r="I515" s="71"/>
      <c r="J515" s="71"/>
      <c r="K515" s="71"/>
      <c r="L515" s="71"/>
      <c r="M515" s="71"/>
      <c r="N515" s="71"/>
      <c r="O515" s="71"/>
      <c r="P515" s="71"/>
      <c r="Q515" s="71"/>
      <c r="R515" s="71"/>
      <c r="T515" s="71"/>
      <c r="U515" s="71"/>
      <c r="V515" s="71"/>
      <c r="W515" s="71"/>
      <c r="X515" s="71"/>
      <c r="Y515" s="71"/>
      <c r="Z515" s="71"/>
    </row>
    <row r="516" spans="1:26" ht="14.25" customHeight="1">
      <c r="A516" s="71"/>
      <c r="B516" s="71"/>
      <c r="C516" s="71"/>
      <c r="D516" s="71"/>
      <c r="E516" s="71"/>
      <c r="F516" s="71"/>
      <c r="G516" s="71"/>
      <c r="H516" s="71"/>
      <c r="I516" s="71"/>
      <c r="J516" s="71"/>
      <c r="K516" s="71"/>
      <c r="L516" s="71"/>
      <c r="M516" s="71"/>
      <c r="N516" s="71"/>
      <c r="O516" s="71"/>
      <c r="P516" s="71"/>
      <c r="Q516" s="71"/>
      <c r="R516" s="71"/>
      <c r="T516" s="71"/>
      <c r="U516" s="71"/>
      <c r="V516" s="71"/>
      <c r="W516" s="71"/>
      <c r="X516" s="71"/>
      <c r="Y516" s="71"/>
      <c r="Z516" s="71"/>
    </row>
    <row r="517" spans="1:26" ht="14.25" customHeight="1">
      <c r="A517" s="71"/>
      <c r="B517" s="71"/>
      <c r="C517" s="71"/>
      <c r="D517" s="71"/>
      <c r="E517" s="71"/>
      <c r="F517" s="71"/>
      <c r="G517" s="71"/>
      <c r="H517" s="71"/>
      <c r="I517" s="71"/>
      <c r="J517" s="71"/>
      <c r="K517" s="71"/>
      <c r="L517" s="71"/>
      <c r="M517" s="71"/>
      <c r="N517" s="71"/>
      <c r="O517" s="71"/>
      <c r="P517" s="71"/>
      <c r="Q517" s="71"/>
      <c r="R517" s="71"/>
      <c r="T517" s="71"/>
      <c r="U517" s="71"/>
      <c r="V517" s="71"/>
      <c r="W517" s="71"/>
      <c r="X517" s="71"/>
      <c r="Y517" s="71"/>
      <c r="Z517" s="71"/>
    </row>
    <row r="518" spans="1:26" ht="14.25" customHeight="1">
      <c r="A518" s="71"/>
      <c r="B518" s="71"/>
      <c r="C518" s="71"/>
      <c r="D518" s="71"/>
      <c r="E518" s="71"/>
      <c r="F518" s="71"/>
      <c r="G518" s="71"/>
      <c r="H518" s="71"/>
      <c r="I518" s="71"/>
      <c r="J518" s="71"/>
      <c r="K518" s="71"/>
      <c r="L518" s="71"/>
      <c r="M518" s="71"/>
      <c r="N518" s="71"/>
      <c r="O518" s="71"/>
      <c r="P518" s="71"/>
      <c r="Q518" s="71"/>
      <c r="R518" s="71"/>
      <c r="T518" s="71"/>
      <c r="U518" s="71"/>
      <c r="V518" s="71"/>
      <c r="W518" s="71"/>
      <c r="X518" s="71"/>
      <c r="Y518" s="71"/>
      <c r="Z518" s="71"/>
    </row>
    <row r="519" spans="1:26" ht="14.25" customHeight="1">
      <c r="A519" s="71"/>
      <c r="B519" s="71"/>
      <c r="C519" s="71"/>
      <c r="D519" s="71"/>
      <c r="E519" s="71"/>
      <c r="F519" s="71"/>
      <c r="G519" s="71"/>
      <c r="H519" s="71"/>
      <c r="I519" s="71"/>
      <c r="J519" s="71"/>
      <c r="K519" s="71"/>
      <c r="L519" s="71"/>
      <c r="M519" s="71"/>
      <c r="N519" s="71"/>
      <c r="O519" s="71"/>
      <c r="P519" s="71"/>
      <c r="Q519" s="71"/>
      <c r="R519" s="71"/>
      <c r="T519" s="71"/>
      <c r="U519" s="71"/>
      <c r="V519" s="71"/>
      <c r="W519" s="71"/>
      <c r="X519" s="71"/>
      <c r="Y519" s="71"/>
      <c r="Z519" s="71"/>
    </row>
    <row r="520" spans="1:26" ht="14.25" customHeight="1">
      <c r="A520" s="71"/>
      <c r="B520" s="71"/>
      <c r="C520" s="71"/>
      <c r="D520" s="71"/>
      <c r="E520" s="71"/>
      <c r="F520" s="71"/>
      <c r="G520" s="71"/>
      <c r="H520" s="71"/>
      <c r="I520" s="71"/>
      <c r="J520" s="71"/>
      <c r="K520" s="71"/>
      <c r="L520" s="71"/>
      <c r="M520" s="71"/>
      <c r="N520" s="71"/>
      <c r="O520" s="71"/>
      <c r="P520" s="71"/>
      <c r="Q520" s="71"/>
      <c r="R520" s="71"/>
      <c r="T520" s="71"/>
      <c r="U520" s="71"/>
      <c r="V520" s="71"/>
      <c r="W520" s="71"/>
      <c r="X520" s="71"/>
      <c r="Y520" s="71"/>
      <c r="Z520" s="71"/>
    </row>
    <row r="521" spans="1:26" ht="14.25" customHeight="1">
      <c r="A521" s="71"/>
      <c r="B521" s="71"/>
      <c r="C521" s="71"/>
      <c r="D521" s="71"/>
      <c r="E521" s="71"/>
      <c r="F521" s="71"/>
      <c r="G521" s="71"/>
      <c r="H521" s="71"/>
      <c r="I521" s="71"/>
      <c r="J521" s="71"/>
      <c r="K521" s="71"/>
      <c r="L521" s="71"/>
      <c r="M521" s="71"/>
      <c r="N521" s="71"/>
      <c r="O521" s="71"/>
      <c r="P521" s="71"/>
      <c r="Q521" s="71"/>
      <c r="R521" s="71"/>
      <c r="T521" s="71"/>
      <c r="U521" s="71"/>
      <c r="V521" s="71"/>
      <c r="W521" s="71"/>
      <c r="X521" s="71"/>
      <c r="Y521" s="71"/>
      <c r="Z521" s="71"/>
    </row>
    <row r="522" spans="1:26" ht="14.25" customHeight="1">
      <c r="A522" s="71"/>
      <c r="B522" s="71"/>
      <c r="C522" s="71"/>
      <c r="D522" s="71"/>
      <c r="E522" s="71"/>
      <c r="F522" s="71"/>
      <c r="G522" s="71"/>
      <c r="H522" s="71"/>
      <c r="I522" s="71"/>
      <c r="J522" s="71"/>
      <c r="K522" s="71"/>
      <c r="L522" s="71"/>
      <c r="M522" s="71"/>
      <c r="N522" s="71"/>
      <c r="O522" s="71"/>
      <c r="P522" s="71"/>
      <c r="Q522" s="71"/>
      <c r="R522" s="71"/>
      <c r="T522" s="71"/>
      <c r="U522" s="71"/>
      <c r="V522" s="71"/>
      <c r="W522" s="71"/>
      <c r="X522" s="71"/>
      <c r="Y522" s="71"/>
      <c r="Z522" s="71"/>
    </row>
    <row r="523" spans="1:26" ht="14.25" customHeight="1">
      <c r="A523" s="71"/>
      <c r="B523" s="71"/>
      <c r="C523" s="71"/>
      <c r="D523" s="71"/>
      <c r="E523" s="71"/>
      <c r="F523" s="71"/>
      <c r="G523" s="71"/>
      <c r="H523" s="71"/>
      <c r="I523" s="71"/>
      <c r="J523" s="71"/>
      <c r="K523" s="71"/>
      <c r="L523" s="71"/>
      <c r="M523" s="71"/>
      <c r="N523" s="71"/>
      <c r="O523" s="71"/>
      <c r="P523" s="71"/>
      <c r="Q523" s="71"/>
      <c r="R523" s="71"/>
      <c r="T523" s="71"/>
      <c r="U523" s="71"/>
      <c r="V523" s="71"/>
      <c r="W523" s="71"/>
      <c r="X523" s="71"/>
      <c r="Y523" s="71"/>
      <c r="Z523" s="71"/>
    </row>
    <row r="524" spans="1:26" ht="14.25" customHeight="1">
      <c r="A524" s="71"/>
      <c r="B524" s="71"/>
      <c r="C524" s="71"/>
      <c r="D524" s="71"/>
      <c r="E524" s="71"/>
      <c r="F524" s="71"/>
      <c r="G524" s="71"/>
      <c r="H524" s="71"/>
      <c r="I524" s="71"/>
      <c r="J524" s="71"/>
      <c r="K524" s="71"/>
      <c r="L524" s="71"/>
      <c r="M524" s="71"/>
      <c r="N524" s="71"/>
      <c r="O524" s="71"/>
      <c r="P524" s="71"/>
      <c r="Q524" s="71"/>
      <c r="R524" s="71"/>
      <c r="T524" s="71"/>
      <c r="U524" s="71"/>
      <c r="V524" s="71"/>
      <c r="W524" s="71"/>
      <c r="X524" s="71"/>
      <c r="Y524" s="71"/>
      <c r="Z524" s="71"/>
    </row>
    <row r="525" spans="1:26" ht="14.25" customHeight="1">
      <c r="A525" s="71"/>
      <c r="B525" s="71"/>
      <c r="C525" s="71"/>
      <c r="D525" s="71"/>
      <c r="E525" s="71"/>
      <c r="F525" s="71"/>
      <c r="G525" s="71"/>
      <c r="H525" s="71"/>
      <c r="I525" s="71"/>
      <c r="J525" s="71"/>
      <c r="K525" s="71"/>
      <c r="L525" s="71"/>
      <c r="M525" s="71"/>
      <c r="N525" s="71"/>
      <c r="O525" s="71"/>
      <c r="P525" s="71"/>
      <c r="Q525" s="71"/>
      <c r="R525" s="71"/>
      <c r="T525" s="71"/>
      <c r="U525" s="71"/>
      <c r="V525" s="71"/>
      <c r="W525" s="71"/>
      <c r="X525" s="71"/>
      <c r="Y525" s="71"/>
      <c r="Z525" s="71"/>
    </row>
    <row r="526" spans="1:26" ht="14.25" customHeight="1">
      <c r="A526" s="71"/>
      <c r="B526" s="71"/>
      <c r="C526" s="71"/>
      <c r="D526" s="71"/>
      <c r="E526" s="71"/>
      <c r="F526" s="71"/>
      <c r="G526" s="71"/>
      <c r="H526" s="71"/>
      <c r="I526" s="71"/>
      <c r="J526" s="71"/>
      <c r="K526" s="71"/>
      <c r="L526" s="71"/>
      <c r="M526" s="71"/>
      <c r="N526" s="71"/>
      <c r="O526" s="71"/>
      <c r="P526" s="71"/>
      <c r="Q526" s="71"/>
      <c r="R526" s="71"/>
      <c r="T526" s="71"/>
      <c r="U526" s="71"/>
      <c r="V526" s="71"/>
      <c r="W526" s="71"/>
      <c r="X526" s="71"/>
      <c r="Y526" s="71"/>
      <c r="Z526" s="71"/>
    </row>
    <row r="527" spans="1:26" ht="14.25" customHeight="1">
      <c r="A527" s="71"/>
      <c r="B527" s="71"/>
      <c r="C527" s="71"/>
      <c r="D527" s="71"/>
      <c r="E527" s="71"/>
      <c r="F527" s="71"/>
      <c r="G527" s="71"/>
      <c r="H527" s="71"/>
      <c r="I527" s="71"/>
      <c r="J527" s="71"/>
      <c r="K527" s="71"/>
      <c r="L527" s="71"/>
      <c r="M527" s="71"/>
      <c r="N527" s="71"/>
      <c r="O527" s="71"/>
      <c r="P527" s="71"/>
      <c r="Q527" s="71"/>
      <c r="R527" s="71"/>
      <c r="T527" s="71"/>
      <c r="U527" s="71"/>
      <c r="V527" s="71"/>
      <c r="W527" s="71"/>
      <c r="X527" s="71"/>
      <c r="Y527" s="71"/>
      <c r="Z527" s="71"/>
    </row>
    <row r="528" spans="1:26" ht="14.25" customHeight="1">
      <c r="A528" s="71"/>
      <c r="B528" s="71"/>
      <c r="C528" s="71"/>
      <c r="D528" s="71"/>
      <c r="E528" s="71"/>
      <c r="F528" s="71"/>
      <c r="G528" s="71"/>
      <c r="H528" s="71"/>
      <c r="I528" s="71"/>
      <c r="J528" s="71"/>
      <c r="K528" s="71"/>
      <c r="L528" s="71"/>
      <c r="M528" s="71"/>
      <c r="N528" s="71"/>
      <c r="O528" s="71"/>
      <c r="P528" s="71"/>
      <c r="Q528" s="71"/>
      <c r="R528" s="71"/>
      <c r="T528" s="71"/>
      <c r="U528" s="71"/>
      <c r="V528" s="71"/>
      <c r="W528" s="71"/>
      <c r="X528" s="71"/>
      <c r="Y528" s="71"/>
      <c r="Z528" s="71"/>
    </row>
    <row r="529" spans="1:26" ht="14.25" customHeight="1">
      <c r="A529" s="71"/>
      <c r="B529" s="71"/>
      <c r="C529" s="71"/>
      <c r="D529" s="71"/>
      <c r="E529" s="71"/>
      <c r="F529" s="71"/>
      <c r="G529" s="71"/>
      <c r="H529" s="71"/>
      <c r="I529" s="71"/>
      <c r="J529" s="71"/>
      <c r="K529" s="71"/>
      <c r="L529" s="71"/>
      <c r="M529" s="71"/>
      <c r="N529" s="71"/>
      <c r="O529" s="71"/>
      <c r="P529" s="71"/>
      <c r="Q529" s="71"/>
      <c r="R529" s="71"/>
      <c r="T529" s="71"/>
      <c r="U529" s="71"/>
      <c r="V529" s="71"/>
      <c r="W529" s="71"/>
      <c r="X529" s="71"/>
      <c r="Y529" s="71"/>
      <c r="Z529" s="71"/>
    </row>
    <row r="530" spans="1:26" ht="14.25" customHeight="1">
      <c r="A530" s="71"/>
      <c r="B530" s="71"/>
      <c r="C530" s="71"/>
      <c r="D530" s="71"/>
      <c r="E530" s="71"/>
      <c r="F530" s="71"/>
      <c r="G530" s="71"/>
      <c r="H530" s="71"/>
      <c r="I530" s="71"/>
      <c r="J530" s="71"/>
      <c r="K530" s="71"/>
      <c r="L530" s="71"/>
      <c r="M530" s="71"/>
      <c r="N530" s="71"/>
      <c r="O530" s="71"/>
      <c r="P530" s="71"/>
      <c r="Q530" s="71"/>
      <c r="R530" s="71"/>
      <c r="T530" s="71"/>
      <c r="U530" s="71"/>
      <c r="V530" s="71"/>
      <c r="W530" s="71"/>
      <c r="X530" s="71"/>
      <c r="Y530" s="71"/>
      <c r="Z530" s="71"/>
    </row>
    <row r="531" spans="1:26" ht="14.25" customHeight="1">
      <c r="A531" s="71"/>
      <c r="B531" s="71"/>
      <c r="C531" s="71"/>
      <c r="D531" s="71"/>
      <c r="E531" s="71"/>
      <c r="F531" s="71"/>
      <c r="G531" s="71"/>
      <c r="H531" s="71"/>
      <c r="I531" s="71"/>
      <c r="J531" s="71"/>
      <c r="K531" s="71"/>
      <c r="L531" s="71"/>
      <c r="M531" s="71"/>
      <c r="N531" s="71"/>
      <c r="O531" s="71"/>
      <c r="P531" s="71"/>
      <c r="Q531" s="71"/>
      <c r="R531" s="71"/>
      <c r="T531" s="71"/>
      <c r="U531" s="71"/>
      <c r="V531" s="71"/>
      <c r="W531" s="71"/>
      <c r="X531" s="71"/>
      <c r="Y531" s="71"/>
      <c r="Z531" s="71"/>
    </row>
    <row r="532" spans="1:26" ht="14.25" customHeight="1">
      <c r="A532" s="71"/>
      <c r="B532" s="71"/>
      <c r="C532" s="71"/>
      <c r="D532" s="71"/>
      <c r="E532" s="71"/>
      <c r="F532" s="71"/>
      <c r="G532" s="71"/>
      <c r="H532" s="71"/>
      <c r="I532" s="71"/>
      <c r="J532" s="71"/>
      <c r="K532" s="71"/>
      <c r="L532" s="71"/>
      <c r="M532" s="71"/>
      <c r="N532" s="71"/>
      <c r="O532" s="71"/>
      <c r="P532" s="71"/>
      <c r="Q532" s="71"/>
      <c r="R532" s="71"/>
      <c r="T532" s="71"/>
      <c r="U532" s="71"/>
      <c r="V532" s="71"/>
      <c r="W532" s="71"/>
      <c r="X532" s="71"/>
      <c r="Y532" s="71"/>
      <c r="Z532" s="71"/>
    </row>
    <row r="533" spans="1:26" ht="14.25" customHeight="1">
      <c r="A533" s="71"/>
      <c r="B533" s="71"/>
      <c r="C533" s="71"/>
      <c r="D533" s="71"/>
      <c r="E533" s="71"/>
      <c r="F533" s="71"/>
      <c r="G533" s="71"/>
      <c r="H533" s="71"/>
      <c r="I533" s="71"/>
      <c r="J533" s="71"/>
      <c r="K533" s="71"/>
      <c r="L533" s="71"/>
      <c r="M533" s="71"/>
      <c r="N533" s="71"/>
      <c r="O533" s="71"/>
      <c r="P533" s="71"/>
      <c r="Q533" s="71"/>
      <c r="R533" s="71"/>
      <c r="T533" s="71"/>
      <c r="U533" s="71"/>
      <c r="V533" s="71"/>
      <c r="W533" s="71"/>
      <c r="X533" s="71"/>
      <c r="Y533" s="71"/>
      <c r="Z533" s="71"/>
    </row>
    <row r="534" spans="1:26" ht="14.25" customHeight="1">
      <c r="A534" s="71"/>
      <c r="B534" s="71"/>
      <c r="C534" s="71"/>
      <c r="D534" s="71"/>
      <c r="E534" s="71"/>
      <c r="F534" s="71"/>
      <c r="G534" s="71"/>
      <c r="H534" s="71"/>
      <c r="I534" s="71"/>
      <c r="J534" s="71"/>
      <c r="K534" s="71"/>
      <c r="L534" s="71"/>
      <c r="M534" s="71"/>
      <c r="N534" s="71"/>
      <c r="O534" s="71"/>
      <c r="P534" s="71"/>
      <c r="Q534" s="71"/>
      <c r="R534" s="71"/>
      <c r="T534" s="71"/>
      <c r="U534" s="71"/>
      <c r="V534" s="71"/>
      <c r="W534" s="71"/>
      <c r="X534" s="71"/>
      <c r="Y534" s="71"/>
      <c r="Z534" s="71"/>
    </row>
    <row r="535" spans="1:26" ht="14.25" customHeight="1">
      <c r="A535" s="71"/>
      <c r="B535" s="71"/>
      <c r="C535" s="71"/>
      <c r="D535" s="71"/>
      <c r="E535" s="71"/>
      <c r="F535" s="71"/>
      <c r="G535" s="71"/>
      <c r="H535" s="71"/>
      <c r="I535" s="71"/>
      <c r="J535" s="71"/>
      <c r="K535" s="71"/>
      <c r="L535" s="71"/>
      <c r="M535" s="71"/>
      <c r="N535" s="71"/>
      <c r="O535" s="71"/>
      <c r="P535" s="71"/>
      <c r="Q535" s="71"/>
      <c r="R535" s="71"/>
      <c r="T535" s="71"/>
      <c r="U535" s="71"/>
      <c r="V535" s="71"/>
      <c r="W535" s="71"/>
      <c r="X535" s="71"/>
      <c r="Y535" s="71"/>
      <c r="Z535" s="71"/>
    </row>
    <row r="536" spans="1:26" ht="14.25" customHeight="1">
      <c r="A536" s="71"/>
      <c r="B536" s="71"/>
      <c r="C536" s="71"/>
      <c r="D536" s="71"/>
      <c r="E536" s="71"/>
      <c r="F536" s="71"/>
      <c r="G536" s="71"/>
      <c r="H536" s="71"/>
      <c r="I536" s="71"/>
      <c r="J536" s="71"/>
      <c r="K536" s="71"/>
      <c r="L536" s="71"/>
      <c r="M536" s="71"/>
      <c r="N536" s="71"/>
      <c r="O536" s="71"/>
      <c r="P536" s="71"/>
      <c r="Q536" s="71"/>
      <c r="R536" s="71"/>
      <c r="T536" s="71"/>
      <c r="U536" s="71"/>
      <c r="V536" s="71"/>
      <c r="W536" s="71"/>
      <c r="X536" s="71"/>
      <c r="Y536" s="71"/>
      <c r="Z536" s="71"/>
    </row>
    <row r="537" spans="1:26" ht="14.25" customHeight="1">
      <c r="A537" s="71"/>
      <c r="B537" s="71"/>
      <c r="C537" s="71"/>
      <c r="D537" s="71"/>
      <c r="E537" s="71"/>
      <c r="F537" s="71"/>
      <c r="G537" s="71"/>
      <c r="H537" s="71"/>
      <c r="I537" s="71"/>
      <c r="J537" s="71"/>
      <c r="K537" s="71"/>
      <c r="L537" s="71"/>
      <c r="M537" s="71"/>
      <c r="N537" s="71"/>
      <c r="O537" s="71"/>
      <c r="P537" s="71"/>
      <c r="Q537" s="71"/>
      <c r="R537" s="71"/>
      <c r="T537" s="71"/>
      <c r="U537" s="71"/>
      <c r="V537" s="71"/>
      <c r="W537" s="71"/>
      <c r="X537" s="71"/>
      <c r="Y537" s="71"/>
      <c r="Z537" s="71"/>
    </row>
    <row r="538" spans="1:26" ht="14.25" customHeight="1">
      <c r="A538" s="71"/>
      <c r="B538" s="71"/>
      <c r="C538" s="71"/>
      <c r="D538" s="71"/>
      <c r="E538" s="71"/>
      <c r="F538" s="71"/>
      <c r="G538" s="71"/>
      <c r="H538" s="71"/>
      <c r="I538" s="71"/>
      <c r="J538" s="71"/>
      <c r="K538" s="71"/>
      <c r="L538" s="71"/>
      <c r="M538" s="71"/>
      <c r="N538" s="71"/>
      <c r="O538" s="71"/>
      <c r="P538" s="71"/>
      <c r="Q538" s="71"/>
      <c r="R538" s="71"/>
      <c r="T538" s="71"/>
      <c r="U538" s="71"/>
      <c r="V538" s="71"/>
      <c r="W538" s="71"/>
      <c r="X538" s="71"/>
      <c r="Y538" s="71"/>
      <c r="Z538" s="71"/>
    </row>
    <row r="539" spans="1:26" ht="14.25" customHeight="1">
      <c r="A539" s="71"/>
      <c r="B539" s="71"/>
      <c r="C539" s="71"/>
      <c r="D539" s="71"/>
      <c r="E539" s="71"/>
      <c r="F539" s="71"/>
      <c r="G539" s="71"/>
      <c r="H539" s="71"/>
      <c r="I539" s="71"/>
      <c r="J539" s="71"/>
      <c r="K539" s="71"/>
      <c r="L539" s="71"/>
      <c r="M539" s="71"/>
      <c r="N539" s="71"/>
      <c r="O539" s="71"/>
      <c r="P539" s="71"/>
      <c r="Q539" s="71"/>
      <c r="R539" s="71"/>
      <c r="T539" s="71"/>
      <c r="U539" s="71"/>
      <c r="V539" s="71"/>
      <c r="W539" s="71"/>
      <c r="X539" s="71"/>
      <c r="Y539" s="71"/>
      <c r="Z539" s="71"/>
    </row>
    <row r="540" spans="1:26" ht="14.25" customHeight="1">
      <c r="A540" s="71"/>
      <c r="B540" s="71"/>
      <c r="C540" s="71"/>
      <c r="D540" s="71"/>
      <c r="E540" s="71"/>
      <c r="F540" s="71"/>
      <c r="G540" s="71"/>
      <c r="H540" s="71"/>
      <c r="I540" s="71"/>
      <c r="J540" s="71"/>
      <c r="K540" s="71"/>
      <c r="L540" s="71"/>
      <c r="M540" s="71"/>
      <c r="N540" s="71"/>
      <c r="O540" s="71"/>
      <c r="P540" s="71"/>
      <c r="Q540" s="71"/>
      <c r="R540" s="71"/>
      <c r="T540" s="71"/>
      <c r="U540" s="71"/>
      <c r="V540" s="71"/>
      <c r="W540" s="71"/>
      <c r="X540" s="71"/>
      <c r="Y540" s="71"/>
      <c r="Z540" s="71"/>
    </row>
    <row r="541" spans="1:26" ht="14.25" customHeight="1">
      <c r="A541" s="71"/>
      <c r="B541" s="71"/>
      <c r="C541" s="71"/>
      <c r="D541" s="71"/>
      <c r="E541" s="71"/>
      <c r="F541" s="71"/>
      <c r="G541" s="71"/>
      <c r="H541" s="71"/>
      <c r="I541" s="71"/>
      <c r="J541" s="71"/>
      <c r="K541" s="71"/>
      <c r="L541" s="71"/>
      <c r="M541" s="71"/>
      <c r="N541" s="71"/>
      <c r="O541" s="71"/>
      <c r="P541" s="71"/>
      <c r="Q541" s="71"/>
      <c r="R541" s="71"/>
      <c r="T541" s="71"/>
      <c r="U541" s="71"/>
      <c r="V541" s="71"/>
      <c r="W541" s="71"/>
      <c r="X541" s="71"/>
      <c r="Y541" s="71"/>
      <c r="Z541" s="71"/>
    </row>
    <row r="542" spans="1:26" ht="14.25" customHeight="1">
      <c r="A542" s="71"/>
      <c r="B542" s="71"/>
      <c r="C542" s="71"/>
      <c r="D542" s="71"/>
      <c r="E542" s="71"/>
      <c r="F542" s="71"/>
      <c r="G542" s="71"/>
      <c r="H542" s="71"/>
      <c r="I542" s="71"/>
      <c r="J542" s="71"/>
      <c r="K542" s="71"/>
      <c r="L542" s="71"/>
      <c r="M542" s="71"/>
      <c r="N542" s="71"/>
      <c r="O542" s="71"/>
      <c r="P542" s="71"/>
      <c r="Q542" s="71"/>
      <c r="R542" s="71"/>
      <c r="T542" s="71"/>
      <c r="U542" s="71"/>
      <c r="V542" s="71"/>
      <c r="W542" s="71"/>
      <c r="X542" s="71"/>
      <c r="Y542" s="71"/>
      <c r="Z542" s="71"/>
    </row>
    <row r="543" spans="1:26" ht="14.25" customHeight="1">
      <c r="A543" s="71"/>
      <c r="B543" s="71"/>
      <c r="C543" s="71"/>
      <c r="D543" s="71"/>
      <c r="E543" s="71"/>
      <c r="F543" s="71"/>
      <c r="G543" s="71"/>
      <c r="H543" s="71"/>
      <c r="I543" s="71"/>
      <c r="J543" s="71"/>
      <c r="K543" s="71"/>
      <c r="L543" s="71"/>
      <c r="M543" s="71"/>
      <c r="N543" s="71"/>
      <c r="O543" s="71"/>
      <c r="P543" s="71"/>
      <c r="Q543" s="71"/>
      <c r="R543" s="71"/>
      <c r="T543" s="71"/>
      <c r="U543" s="71"/>
      <c r="V543" s="71"/>
      <c r="W543" s="71"/>
      <c r="X543" s="71"/>
      <c r="Y543" s="71"/>
      <c r="Z543" s="71"/>
    </row>
    <row r="544" spans="1:26" ht="14.25" customHeight="1">
      <c r="A544" s="71"/>
      <c r="B544" s="71"/>
      <c r="C544" s="71"/>
      <c r="D544" s="71"/>
      <c r="E544" s="71"/>
      <c r="F544" s="71"/>
      <c r="G544" s="71"/>
      <c r="H544" s="71"/>
      <c r="I544" s="71"/>
      <c r="J544" s="71"/>
      <c r="K544" s="71"/>
      <c r="L544" s="71"/>
      <c r="M544" s="71"/>
      <c r="N544" s="71"/>
      <c r="O544" s="71"/>
      <c r="P544" s="71"/>
      <c r="Q544" s="71"/>
      <c r="R544" s="71"/>
      <c r="T544" s="71"/>
      <c r="U544" s="71"/>
      <c r="V544" s="71"/>
      <c r="W544" s="71"/>
      <c r="X544" s="71"/>
      <c r="Y544" s="71"/>
      <c r="Z544" s="71"/>
    </row>
    <row r="545" spans="1:26" ht="14.25" customHeight="1">
      <c r="A545" s="71"/>
      <c r="B545" s="71"/>
      <c r="C545" s="71"/>
      <c r="D545" s="71"/>
      <c r="E545" s="71"/>
      <c r="F545" s="71"/>
      <c r="G545" s="71"/>
      <c r="H545" s="71"/>
      <c r="I545" s="71"/>
      <c r="J545" s="71"/>
      <c r="K545" s="71"/>
      <c r="L545" s="71"/>
      <c r="M545" s="71"/>
      <c r="N545" s="71"/>
      <c r="O545" s="71"/>
      <c r="P545" s="71"/>
      <c r="Q545" s="71"/>
      <c r="R545" s="71"/>
      <c r="T545" s="71"/>
      <c r="U545" s="71"/>
      <c r="V545" s="71"/>
      <c r="W545" s="71"/>
      <c r="X545" s="71"/>
      <c r="Y545" s="71"/>
      <c r="Z545" s="71"/>
    </row>
    <row r="546" spans="1:26" ht="14.25" customHeight="1">
      <c r="A546" s="71"/>
      <c r="B546" s="71"/>
      <c r="C546" s="71"/>
      <c r="D546" s="71"/>
      <c r="E546" s="71"/>
      <c r="F546" s="71"/>
      <c r="G546" s="71"/>
      <c r="H546" s="71"/>
      <c r="I546" s="71"/>
      <c r="J546" s="71"/>
      <c r="K546" s="71"/>
      <c r="L546" s="71"/>
      <c r="M546" s="71"/>
      <c r="N546" s="71"/>
      <c r="O546" s="71"/>
      <c r="P546" s="71"/>
      <c r="Q546" s="71"/>
      <c r="R546" s="71"/>
      <c r="T546" s="71"/>
      <c r="U546" s="71"/>
      <c r="V546" s="71"/>
      <c r="W546" s="71"/>
      <c r="X546" s="71"/>
      <c r="Y546" s="71"/>
      <c r="Z546" s="71"/>
    </row>
    <row r="547" spans="1:26" ht="14.25" customHeight="1">
      <c r="A547" s="71"/>
      <c r="B547" s="71"/>
      <c r="C547" s="71"/>
      <c r="D547" s="71"/>
      <c r="E547" s="71"/>
      <c r="F547" s="71"/>
      <c r="G547" s="71"/>
      <c r="H547" s="71"/>
      <c r="I547" s="71"/>
      <c r="J547" s="71"/>
      <c r="K547" s="71"/>
      <c r="L547" s="71"/>
      <c r="M547" s="71"/>
      <c r="N547" s="71"/>
      <c r="O547" s="71"/>
      <c r="P547" s="71"/>
      <c r="Q547" s="71"/>
      <c r="R547" s="71"/>
      <c r="T547" s="71"/>
      <c r="U547" s="71"/>
      <c r="V547" s="71"/>
      <c r="W547" s="71"/>
      <c r="X547" s="71"/>
      <c r="Y547" s="71"/>
      <c r="Z547" s="71"/>
    </row>
    <row r="548" spans="1:26" ht="14.25" customHeight="1">
      <c r="A548" s="71"/>
      <c r="B548" s="71"/>
      <c r="C548" s="71"/>
      <c r="D548" s="71"/>
      <c r="E548" s="71"/>
      <c r="F548" s="71"/>
      <c r="G548" s="71"/>
      <c r="H548" s="71"/>
      <c r="I548" s="71"/>
      <c r="J548" s="71"/>
      <c r="K548" s="71"/>
      <c r="L548" s="71"/>
      <c r="M548" s="71"/>
      <c r="N548" s="71"/>
      <c r="O548" s="71"/>
      <c r="P548" s="71"/>
      <c r="Q548" s="71"/>
      <c r="R548" s="71"/>
      <c r="T548" s="71"/>
      <c r="U548" s="71"/>
      <c r="V548" s="71"/>
      <c r="W548" s="71"/>
      <c r="X548" s="71"/>
      <c r="Y548" s="71"/>
      <c r="Z548" s="71"/>
    </row>
    <row r="549" spans="1:26" ht="14.25" customHeight="1">
      <c r="A549" s="71"/>
      <c r="B549" s="71"/>
      <c r="C549" s="71"/>
      <c r="D549" s="71"/>
      <c r="E549" s="71"/>
      <c r="F549" s="71"/>
      <c r="G549" s="71"/>
      <c r="H549" s="71"/>
      <c r="I549" s="71"/>
      <c r="J549" s="71"/>
      <c r="K549" s="71"/>
      <c r="L549" s="71"/>
      <c r="M549" s="71"/>
      <c r="N549" s="71"/>
      <c r="O549" s="71"/>
      <c r="P549" s="71"/>
      <c r="Q549" s="71"/>
      <c r="R549" s="71"/>
      <c r="T549" s="71"/>
      <c r="U549" s="71"/>
      <c r="V549" s="71"/>
      <c r="W549" s="71"/>
      <c r="X549" s="71"/>
      <c r="Y549" s="71"/>
      <c r="Z549" s="71"/>
    </row>
    <row r="550" spans="1:26" ht="14.25" customHeight="1">
      <c r="A550" s="71"/>
      <c r="B550" s="71"/>
      <c r="C550" s="71"/>
      <c r="D550" s="71"/>
      <c r="E550" s="71"/>
      <c r="F550" s="71"/>
      <c r="G550" s="71"/>
      <c r="H550" s="71"/>
      <c r="I550" s="71"/>
      <c r="J550" s="71"/>
      <c r="K550" s="71"/>
      <c r="L550" s="71"/>
      <c r="M550" s="71"/>
      <c r="N550" s="71"/>
      <c r="O550" s="71"/>
      <c r="P550" s="71"/>
      <c r="Q550" s="71"/>
      <c r="R550" s="71"/>
      <c r="T550" s="71"/>
      <c r="U550" s="71"/>
      <c r="V550" s="71"/>
      <c r="W550" s="71"/>
      <c r="X550" s="71"/>
      <c r="Y550" s="71"/>
      <c r="Z550" s="71"/>
    </row>
    <row r="551" spans="1:26" ht="14.25" customHeight="1">
      <c r="A551" s="71"/>
      <c r="B551" s="71"/>
      <c r="C551" s="71"/>
      <c r="D551" s="71"/>
      <c r="E551" s="71"/>
      <c r="F551" s="71"/>
      <c r="G551" s="71"/>
      <c r="H551" s="71"/>
      <c r="I551" s="71"/>
      <c r="J551" s="71"/>
      <c r="K551" s="71"/>
      <c r="L551" s="71"/>
      <c r="M551" s="71"/>
      <c r="N551" s="71"/>
      <c r="O551" s="71"/>
      <c r="P551" s="71"/>
      <c r="Q551" s="71"/>
      <c r="R551" s="71"/>
      <c r="T551" s="71"/>
      <c r="U551" s="71"/>
      <c r="V551" s="71"/>
      <c r="W551" s="71"/>
      <c r="X551" s="71"/>
      <c r="Y551" s="71"/>
      <c r="Z551" s="71"/>
    </row>
    <row r="552" spans="1:26" ht="14.25" customHeight="1">
      <c r="A552" s="71"/>
      <c r="B552" s="71"/>
      <c r="C552" s="71"/>
      <c r="D552" s="71"/>
      <c r="E552" s="71"/>
      <c r="F552" s="71"/>
      <c r="G552" s="71"/>
      <c r="H552" s="71"/>
      <c r="I552" s="71"/>
      <c r="J552" s="71"/>
      <c r="K552" s="71"/>
      <c r="L552" s="71"/>
      <c r="M552" s="71"/>
      <c r="N552" s="71"/>
      <c r="O552" s="71"/>
      <c r="P552" s="71"/>
      <c r="Q552" s="71"/>
      <c r="R552" s="71"/>
      <c r="T552" s="71"/>
      <c r="U552" s="71"/>
      <c r="V552" s="71"/>
      <c r="W552" s="71"/>
      <c r="X552" s="71"/>
      <c r="Y552" s="71"/>
      <c r="Z552" s="71"/>
    </row>
    <row r="553" spans="1:26" ht="14.25" customHeight="1">
      <c r="A553" s="71"/>
      <c r="B553" s="71"/>
      <c r="C553" s="71"/>
      <c r="D553" s="71"/>
      <c r="E553" s="71"/>
      <c r="F553" s="71"/>
      <c r="G553" s="71"/>
      <c r="H553" s="71"/>
      <c r="I553" s="71"/>
      <c r="J553" s="71"/>
      <c r="K553" s="71"/>
      <c r="L553" s="71"/>
      <c r="M553" s="71"/>
      <c r="N553" s="71"/>
      <c r="O553" s="71"/>
      <c r="P553" s="71"/>
      <c r="Q553" s="71"/>
      <c r="R553" s="71"/>
      <c r="T553" s="71"/>
      <c r="U553" s="71"/>
      <c r="V553" s="71"/>
      <c r="W553" s="71"/>
      <c r="X553" s="71"/>
      <c r="Y553" s="71"/>
      <c r="Z553" s="71"/>
    </row>
    <row r="554" spans="1:26" ht="14.25" customHeight="1">
      <c r="A554" s="71"/>
      <c r="B554" s="71"/>
      <c r="C554" s="71"/>
      <c r="D554" s="71"/>
      <c r="E554" s="71"/>
      <c r="F554" s="71"/>
      <c r="G554" s="71"/>
      <c r="H554" s="71"/>
      <c r="I554" s="71"/>
      <c r="J554" s="71"/>
      <c r="K554" s="71"/>
      <c r="L554" s="71"/>
      <c r="M554" s="71"/>
      <c r="N554" s="71"/>
      <c r="O554" s="71"/>
      <c r="P554" s="71"/>
      <c r="Q554" s="71"/>
      <c r="R554" s="71"/>
      <c r="T554" s="71"/>
      <c r="U554" s="71"/>
      <c r="V554" s="71"/>
      <c r="W554" s="71"/>
      <c r="X554" s="71"/>
      <c r="Y554" s="71"/>
      <c r="Z554" s="71"/>
    </row>
    <row r="555" spans="1:26" ht="14.25" customHeight="1">
      <c r="A555" s="71"/>
      <c r="B555" s="71"/>
      <c r="C555" s="71"/>
      <c r="D555" s="71"/>
      <c r="E555" s="71"/>
      <c r="F555" s="71"/>
      <c r="G555" s="71"/>
      <c r="H555" s="71"/>
      <c r="I555" s="71"/>
      <c r="J555" s="71"/>
      <c r="K555" s="71"/>
      <c r="L555" s="71"/>
      <c r="M555" s="71"/>
      <c r="N555" s="71"/>
      <c r="O555" s="71"/>
      <c r="P555" s="71"/>
      <c r="Q555" s="71"/>
      <c r="R555" s="71"/>
      <c r="T555" s="71"/>
      <c r="U555" s="71"/>
      <c r="V555" s="71"/>
      <c r="W555" s="71"/>
      <c r="X555" s="71"/>
      <c r="Y555" s="71"/>
      <c r="Z555" s="71"/>
    </row>
    <row r="556" spans="1:26" ht="14.25" customHeight="1">
      <c r="A556" s="71"/>
      <c r="B556" s="71"/>
      <c r="C556" s="71"/>
      <c r="D556" s="71"/>
      <c r="E556" s="71"/>
      <c r="F556" s="71"/>
      <c r="G556" s="71"/>
      <c r="H556" s="71"/>
      <c r="I556" s="71"/>
      <c r="J556" s="71"/>
      <c r="K556" s="71"/>
      <c r="L556" s="71"/>
      <c r="M556" s="71"/>
      <c r="N556" s="71"/>
      <c r="O556" s="71"/>
      <c r="P556" s="71"/>
      <c r="Q556" s="71"/>
      <c r="R556" s="71"/>
      <c r="T556" s="71"/>
      <c r="U556" s="71"/>
      <c r="V556" s="71"/>
      <c r="W556" s="71"/>
      <c r="X556" s="71"/>
      <c r="Y556" s="71"/>
      <c r="Z556" s="71"/>
    </row>
    <row r="557" spans="1:26" ht="14.25" customHeight="1">
      <c r="A557" s="71"/>
      <c r="B557" s="71"/>
      <c r="C557" s="71"/>
      <c r="D557" s="71"/>
      <c r="E557" s="71"/>
      <c r="F557" s="71"/>
      <c r="G557" s="71"/>
      <c r="H557" s="71"/>
      <c r="I557" s="71"/>
      <c r="J557" s="71"/>
      <c r="K557" s="71"/>
      <c r="L557" s="71"/>
      <c r="M557" s="71"/>
      <c r="N557" s="71"/>
      <c r="O557" s="71"/>
      <c r="P557" s="71"/>
      <c r="Q557" s="71"/>
      <c r="R557" s="71"/>
      <c r="T557" s="71"/>
      <c r="U557" s="71"/>
      <c r="V557" s="71"/>
      <c r="W557" s="71"/>
      <c r="X557" s="71"/>
      <c r="Y557" s="71"/>
      <c r="Z557" s="71"/>
    </row>
    <row r="558" spans="1:26" ht="14.25" customHeight="1">
      <c r="A558" s="71"/>
      <c r="B558" s="71"/>
      <c r="C558" s="71"/>
      <c r="D558" s="71"/>
      <c r="E558" s="71"/>
      <c r="F558" s="71"/>
      <c r="G558" s="71"/>
      <c r="H558" s="71"/>
      <c r="I558" s="71"/>
      <c r="J558" s="71"/>
      <c r="K558" s="71"/>
      <c r="L558" s="71"/>
      <c r="M558" s="71"/>
      <c r="N558" s="71"/>
      <c r="O558" s="71"/>
      <c r="P558" s="71"/>
      <c r="Q558" s="71"/>
      <c r="R558" s="71"/>
      <c r="T558" s="71"/>
      <c r="U558" s="71"/>
      <c r="V558" s="71"/>
      <c r="W558" s="71"/>
      <c r="X558" s="71"/>
      <c r="Y558" s="71"/>
      <c r="Z558" s="71"/>
    </row>
    <row r="559" spans="1:26" ht="14.25" customHeight="1">
      <c r="A559" s="71"/>
      <c r="B559" s="71"/>
      <c r="C559" s="71"/>
      <c r="D559" s="71"/>
      <c r="E559" s="71"/>
      <c r="F559" s="71"/>
      <c r="G559" s="71"/>
      <c r="H559" s="71"/>
      <c r="I559" s="71"/>
      <c r="J559" s="71"/>
      <c r="K559" s="71"/>
      <c r="L559" s="71"/>
      <c r="M559" s="71"/>
      <c r="N559" s="71"/>
      <c r="O559" s="71"/>
      <c r="P559" s="71"/>
      <c r="Q559" s="71"/>
      <c r="R559" s="71"/>
      <c r="T559" s="71"/>
      <c r="U559" s="71"/>
      <c r="V559" s="71"/>
      <c r="W559" s="71"/>
      <c r="X559" s="71"/>
      <c r="Y559" s="71"/>
      <c r="Z559" s="71"/>
    </row>
    <row r="560" spans="1:26" ht="14.25" customHeight="1">
      <c r="A560" s="71"/>
      <c r="B560" s="71"/>
      <c r="C560" s="71"/>
      <c r="D560" s="71"/>
      <c r="E560" s="71"/>
      <c r="F560" s="71"/>
      <c r="G560" s="71"/>
      <c r="H560" s="71"/>
      <c r="I560" s="71"/>
      <c r="J560" s="71"/>
      <c r="K560" s="71"/>
      <c r="L560" s="71"/>
      <c r="M560" s="71"/>
      <c r="N560" s="71"/>
      <c r="O560" s="71"/>
      <c r="P560" s="71"/>
      <c r="Q560" s="71"/>
      <c r="R560" s="71"/>
      <c r="T560" s="71"/>
      <c r="U560" s="71"/>
      <c r="V560" s="71"/>
      <c r="W560" s="71"/>
      <c r="X560" s="71"/>
      <c r="Y560" s="71"/>
      <c r="Z560" s="71"/>
    </row>
    <row r="561" spans="1:26" ht="14.25" customHeight="1">
      <c r="A561" s="71"/>
      <c r="B561" s="71"/>
      <c r="C561" s="71"/>
      <c r="D561" s="71"/>
      <c r="E561" s="71"/>
      <c r="F561" s="71"/>
      <c r="G561" s="71"/>
      <c r="H561" s="71"/>
      <c r="I561" s="71"/>
      <c r="J561" s="71"/>
      <c r="K561" s="71"/>
      <c r="L561" s="71"/>
      <c r="M561" s="71"/>
      <c r="N561" s="71"/>
      <c r="O561" s="71"/>
      <c r="P561" s="71"/>
      <c r="Q561" s="71"/>
      <c r="R561" s="71"/>
      <c r="T561" s="71"/>
      <c r="U561" s="71"/>
      <c r="V561" s="71"/>
      <c r="W561" s="71"/>
      <c r="X561" s="71"/>
      <c r="Y561" s="71"/>
      <c r="Z561" s="71"/>
    </row>
    <row r="562" spans="1:26" ht="14.25" customHeight="1">
      <c r="A562" s="71"/>
      <c r="B562" s="71"/>
      <c r="C562" s="71"/>
      <c r="D562" s="71"/>
      <c r="E562" s="71"/>
      <c r="F562" s="71"/>
      <c r="G562" s="71"/>
      <c r="H562" s="71"/>
      <c r="I562" s="71"/>
      <c r="J562" s="71"/>
      <c r="K562" s="71"/>
      <c r="L562" s="71"/>
      <c r="M562" s="71"/>
      <c r="N562" s="71"/>
      <c r="O562" s="71"/>
      <c r="P562" s="71"/>
      <c r="Q562" s="71"/>
      <c r="R562" s="71"/>
      <c r="T562" s="71"/>
      <c r="U562" s="71"/>
      <c r="V562" s="71"/>
      <c r="W562" s="71"/>
      <c r="X562" s="71"/>
      <c r="Y562" s="71"/>
      <c r="Z562" s="71"/>
    </row>
    <row r="563" spans="1:26" ht="14.25" customHeight="1">
      <c r="A563" s="71"/>
      <c r="B563" s="71"/>
      <c r="C563" s="71"/>
      <c r="D563" s="71"/>
      <c r="E563" s="71"/>
      <c r="F563" s="71"/>
      <c r="G563" s="71"/>
      <c r="H563" s="71"/>
      <c r="I563" s="71"/>
      <c r="J563" s="71"/>
      <c r="K563" s="71"/>
      <c r="L563" s="71"/>
      <c r="M563" s="71"/>
      <c r="N563" s="71"/>
      <c r="O563" s="71"/>
      <c r="P563" s="71"/>
      <c r="Q563" s="71"/>
      <c r="R563" s="71"/>
      <c r="T563" s="71"/>
      <c r="U563" s="71"/>
      <c r="V563" s="71"/>
      <c r="W563" s="71"/>
      <c r="X563" s="71"/>
      <c r="Y563" s="71"/>
      <c r="Z563" s="71"/>
    </row>
    <row r="564" spans="1:26" ht="14.25" customHeight="1">
      <c r="A564" s="71"/>
      <c r="B564" s="71"/>
      <c r="C564" s="71"/>
      <c r="D564" s="71"/>
      <c r="E564" s="71"/>
      <c r="F564" s="71"/>
      <c r="G564" s="71"/>
      <c r="H564" s="71"/>
      <c r="I564" s="71"/>
      <c r="J564" s="71"/>
      <c r="K564" s="71"/>
      <c r="L564" s="71"/>
      <c r="M564" s="71"/>
      <c r="N564" s="71"/>
      <c r="O564" s="71"/>
      <c r="P564" s="71"/>
      <c r="Q564" s="71"/>
      <c r="R564" s="71"/>
      <c r="T564" s="71"/>
      <c r="U564" s="71"/>
      <c r="V564" s="71"/>
      <c r="W564" s="71"/>
      <c r="X564" s="71"/>
      <c r="Y564" s="71"/>
      <c r="Z564" s="71"/>
    </row>
    <row r="565" spans="1:26" ht="14.25" customHeight="1">
      <c r="A565" s="71"/>
      <c r="B565" s="71"/>
      <c r="C565" s="71"/>
      <c r="D565" s="71"/>
      <c r="E565" s="71"/>
      <c r="F565" s="71"/>
      <c r="G565" s="71"/>
      <c r="H565" s="71"/>
      <c r="I565" s="71"/>
      <c r="J565" s="71"/>
      <c r="K565" s="71"/>
      <c r="L565" s="71"/>
      <c r="M565" s="71"/>
      <c r="N565" s="71"/>
      <c r="O565" s="71"/>
      <c r="P565" s="71"/>
      <c r="Q565" s="71"/>
      <c r="R565" s="71"/>
      <c r="T565" s="71"/>
      <c r="U565" s="71"/>
      <c r="V565" s="71"/>
      <c r="W565" s="71"/>
      <c r="X565" s="71"/>
      <c r="Y565" s="71"/>
      <c r="Z565" s="71"/>
    </row>
    <row r="566" spans="1:26" ht="14.25" customHeight="1">
      <c r="A566" s="71"/>
      <c r="B566" s="71"/>
      <c r="C566" s="71"/>
      <c r="D566" s="71"/>
      <c r="E566" s="71"/>
      <c r="F566" s="71"/>
      <c r="G566" s="71"/>
      <c r="H566" s="71"/>
      <c r="I566" s="71"/>
      <c r="J566" s="71"/>
      <c r="K566" s="71"/>
      <c r="L566" s="71"/>
      <c r="M566" s="71"/>
      <c r="N566" s="71"/>
      <c r="O566" s="71"/>
      <c r="P566" s="71"/>
      <c r="Q566" s="71"/>
      <c r="R566" s="71"/>
      <c r="T566" s="71"/>
      <c r="U566" s="71"/>
      <c r="V566" s="71"/>
      <c r="W566" s="71"/>
      <c r="X566" s="71"/>
      <c r="Y566" s="71"/>
      <c r="Z566" s="71"/>
    </row>
    <row r="567" spans="1:26" ht="14.25" customHeight="1">
      <c r="A567" s="71"/>
      <c r="B567" s="71"/>
      <c r="C567" s="71"/>
      <c r="D567" s="71"/>
      <c r="E567" s="71"/>
      <c r="F567" s="71"/>
      <c r="G567" s="71"/>
      <c r="H567" s="71"/>
      <c r="I567" s="71"/>
      <c r="J567" s="71"/>
      <c r="K567" s="71"/>
      <c r="L567" s="71"/>
      <c r="M567" s="71"/>
      <c r="N567" s="71"/>
      <c r="O567" s="71"/>
      <c r="P567" s="71"/>
      <c r="Q567" s="71"/>
      <c r="R567" s="71"/>
      <c r="T567" s="71"/>
      <c r="U567" s="71"/>
      <c r="V567" s="71"/>
      <c r="W567" s="71"/>
      <c r="X567" s="71"/>
      <c r="Y567" s="71"/>
      <c r="Z567" s="71"/>
    </row>
    <row r="568" spans="1:26" ht="14.25" customHeight="1">
      <c r="A568" s="71"/>
      <c r="B568" s="71"/>
      <c r="C568" s="71"/>
      <c r="D568" s="71"/>
      <c r="E568" s="71"/>
      <c r="F568" s="71"/>
      <c r="G568" s="71"/>
      <c r="H568" s="71"/>
      <c r="I568" s="71"/>
      <c r="J568" s="71"/>
      <c r="K568" s="71"/>
      <c r="L568" s="71"/>
      <c r="M568" s="71"/>
      <c r="N568" s="71"/>
      <c r="O568" s="71"/>
      <c r="P568" s="71"/>
      <c r="Q568" s="71"/>
      <c r="R568" s="71"/>
      <c r="T568" s="71"/>
      <c r="U568" s="71"/>
      <c r="V568" s="71"/>
      <c r="W568" s="71"/>
      <c r="X568" s="71"/>
      <c r="Y568" s="71"/>
      <c r="Z568" s="71"/>
    </row>
    <row r="569" spans="1:26" ht="14.25" customHeight="1">
      <c r="A569" s="71"/>
      <c r="B569" s="71"/>
      <c r="C569" s="71"/>
      <c r="D569" s="71"/>
      <c r="E569" s="71"/>
      <c r="F569" s="71"/>
      <c r="G569" s="71"/>
      <c r="H569" s="71"/>
      <c r="I569" s="71"/>
      <c r="J569" s="71"/>
      <c r="K569" s="71"/>
      <c r="L569" s="71"/>
      <c r="M569" s="71"/>
      <c r="N569" s="71"/>
      <c r="O569" s="71"/>
      <c r="P569" s="71"/>
      <c r="Q569" s="71"/>
      <c r="R569" s="71"/>
      <c r="T569" s="71"/>
      <c r="U569" s="71"/>
      <c r="V569" s="71"/>
      <c r="W569" s="71"/>
      <c r="X569" s="71"/>
      <c r="Y569" s="71"/>
      <c r="Z569" s="71"/>
    </row>
    <row r="570" spans="1:26" ht="14.25" customHeight="1">
      <c r="A570" s="71"/>
      <c r="B570" s="71"/>
      <c r="C570" s="71"/>
      <c r="D570" s="71"/>
      <c r="E570" s="71"/>
      <c r="F570" s="71"/>
      <c r="G570" s="71"/>
      <c r="H570" s="71"/>
      <c r="I570" s="71"/>
      <c r="J570" s="71"/>
      <c r="K570" s="71"/>
      <c r="L570" s="71"/>
      <c r="M570" s="71"/>
      <c r="N570" s="71"/>
      <c r="O570" s="71"/>
      <c r="P570" s="71"/>
      <c r="Q570" s="71"/>
      <c r="R570" s="71"/>
      <c r="T570" s="71"/>
      <c r="U570" s="71"/>
      <c r="V570" s="71"/>
      <c r="W570" s="71"/>
      <c r="X570" s="71"/>
      <c r="Y570" s="71"/>
      <c r="Z570" s="71"/>
    </row>
    <row r="571" spans="1:26" ht="14.25" customHeight="1">
      <c r="A571" s="71"/>
      <c r="B571" s="71"/>
      <c r="C571" s="71"/>
      <c r="D571" s="71"/>
      <c r="E571" s="71"/>
      <c r="F571" s="71"/>
      <c r="G571" s="71"/>
      <c r="H571" s="71"/>
      <c r="I571" s="71"/>
      <c r="J571" s="71"/>
      <c r="K571" s="71"/>
      <c r="L571" s="71"/>
      <c r="M571" s="71"/>
      <c r="N571" s="71"/>
      <c r="O571" s="71"/>
      <c r="P571" s="71"/>
      <c r="Q571" s="71"/>
      <c r="R571" s="71"/>
      <c r="T571" s="71"/>
      <c r="U571" s="71"/>
      <c r="V571" s="71"/>
      <c r="W571" s="71"/>
      <c r="X571" s="71"/>
      <c r="Y571" s="71"/>
      <c r="Z571" s="71"/>
    </row>
    <row r="572" spans="1:26" ht="14.25" customHeight="1">
      <c r="A572" s="71"/>
      <c r="B572" s="71"/>
      <c r="C572" s="71"/>
      <c r="D572" s="71"/>
      <c r="E572" s="71"/>
      <c r="F572" s="71"/>
      <c r="G572" s="71"/>
      <c r="H572" s="71"/>
      <c r="I572" s="71"/>
      <c r="J572" s="71"/>
      <c r="K572" s="71"/>
      <c r="L572" s="71"/>
      <c r="M572" s="71"/>
      <c r="N572" s="71"/>
      <c r="O572" s="71"/>
      <c r="P572" s="71"/>
      <c r="Q572" s="71"/>
      <c r="R572" s="71"/>
      <c r="T572" s="71"/>
      <c r="U572" s="71"/>
      <c r="V572" s="71"/>
      <c r="W572" s="71"/>
      <c r="X572" s="71"/>
      <c r="Y572" s="71"/>
      <c r="Z572" s="71"/>
    </row>
    <row r="573" spans="1:26" ht="14.25" customHeight="1">
      <c r="A573" s="71"/>
      <c r="B573" s="71"/>
      <c r="C573" s="71"/>
      <c r="D573" s="71"/>
      <c r="E573" s="71"/>
      <c r="F573" s="71"/>
      <c r="G573" s="71"/>
      <c r="H573" s="71"/>
      <c r="I573" s="71"/>
      <c r="J573" s="71"/>
      <c r="K573" s="71"/>
      <c r="L573" s="71"/>
      <c r="M573" s="71"/>
      <c r="N573" s="71"/>
      <c r="O573" s="71"/>
      <c r="P573" s="71"/>
      <c r="Q573" s="71"/>
      <c r="R573" s="71"/>
      <c r="T573" s="71"/>
      <c r="U573" s="71"/>
      <c r="V573" s="71"/>
      <c r="W573" s="71"/>
      <c r="X573" s="71"/>
      <c r="Y573" s="71"/>
      <c r="Z573" s="71"/>
    </row>
    <row r="574" spans="1:26" ht="14.25" customHeight="1">
      <c r="A574" s="71"/>
      <c r="B574" s="71"/>
      <c r="C574" s="71"/>
      <c r="D574" s="71"/>
      <c r="E574" s="71"/>
      <c r="F574" s="71"/>
      <c r="G574" s="71"/>
      <c r="H574" s="71"/>
      <c r="I574" s="71"/>
      <c r="J574" s="71"/>
      <c r="K574" s="71"/>
      <c r="L574" s="71"/>
      <c r="M574" s="71"/>
      <c r="N574" s="71"/>
      <c r="O574" s="71"/>
      <c r="P574" s="71"/>
      <c r="Q574" s="71"/>
      <c r="R574" s="71"/>
      <c r="T574" s="71"/>
      <c r="U574" s="71"/>
      <c r="V574" s="71"/>
      <c r="W574" s="71"/>
      <c r="X574" s="71"/>
      <c r="Y574" s="71"/>
      <c r="Z574" s="71"/>
    </row>
    <row r="575" spans="1:26" ht="14.25" customHeight="1">
      <c r="A575" s="71"/>
      <c r="B575" s="71"/>
      <c r="C575" s="71"/>
      <c r="D575" s="71"/>
      <c r="E575" s="71"/>
      <c r="F575" s="71"/>
      <c r="G575" s="71"/>
      <c r="H575" s="71"/>
      <c r="I575" s="71"/>
      <c r="J575" s="71"/>
      <c r="K575" s="71"/>
      <c r="L575" s="71"/>
      <c r="M575" s="71"/>
      <c r="N575" s="71"/>
      <c r="O575" s="71"/>
      <c r="P575" s="71"/>
      <c r="Q575" s="71"/>
      <c r="R575" s="71"/>
      <c r="T575" s="71"/>
      <c r="U575" s="71"/>
      <c r="V575" s="71"/>
      <c r="W575" s="71"/>
      <c r="X575" s="71"/>
      <c r="Y575" s="71"/>
      <c r="Z575" s="71"/>
    </row>
    <row r="576" spans="1:26" ht="14.25" customHeight="1">
      <c r="A576" s="71"/>
      <c r="B576" s="71"/>
      <c r="C576" s="71"/>
      <c r="D576" s="71"/>
      <c r="E576" s="71"/>
      <c r="F576" s="71"/>
      <c r="G576" s="71"/>
      <c r="H576" s="71"/>
      <c r="I576" s="71"/>
      <c r="J576" s="71"/>
      <c r="K576" s="71"/>
      <c r="L576" s="71"/>
      <c r="M576" s="71"/>
      <c r="N576" s="71"/>
      <c r="O576" s="71"/>
      <c r="P576" s="71"/>
      <c r="Q576" s="71"/>
      <c r="R576" s="71"/>
      <c r="T576" s="71"/>
      <c r="U576" s="71"/>
      <c r="V576" s="71"/>
      <c r="W576" s="71"/>
      <c r="X576" s="71"/>
      <c r="Y576" s="71"/>
      <c r="Z576" s="71"/>
    </row>
    <row r="577" spans="1:26" ht="14.25" customHeight="1">
      <c r="A577" s="71"/>
      <c r="B577" s="71"/>
      <c r="C577" s="71"/>
      <c r="D577" s="71"/>
      <c r="E577" s="71"/>
      <c r="F577" s="71"/>
      <c r="G577" s="71"/>
      <c r="H577" s="71"/>
      <c r="I577" s="71"/>
      <c r="J577" s="71"/>
      <c r="K577" s="71"/>
      <c r="L577" s="71"/>
      <c r="M577" s="71"/>
      <c r="N577" s="71"/>
      <c r="O577" s="71"/>
      <c r="P577" s="71"/>
      <c r="Q577" s="71"/>
      <c r="R577" s="71"/>
      <c r="T577" s="71"/>
      <c r="U577" s="71"/>
      <c r="V577" s="71"/>
      <c r="W577" s="71"/>
      <c r="X577" s="71"/>
      <c r="Y577" s="71"/>
      <c r="Z577" s="71"/>
    </row>
    <row r="578" spans="1:26" ht="14.25" customHeight="1">
      <c r="A578" s="71"/>
      <c r="B578" s="71"/>
      <c r="C578" s="71"/>
      <c r="D578" s="71"/>
      <c r="E578" s="71"/>
      <c r="F578" s="71"/>
      <c r="G578" s="71"/>
      <c r="H578" s="71"/>
      <c r="I578" s="71"/>
      <c r="J578" s="71"/>
      <c r="K578" s="71"/>
      <c r="L578" s="71"/>
      <c r="M578" s="71"/>
      <c r="N578" s="71"/>
      <c r="O578" s="71"/>
      <c r="P578" s="71"/>
      <c r="Q578" s="71"/>
      <c r="R578" s="71"/>
      <c r="T578" s="71"/>
      <c r="U578" s="71"/>
      <c r="V578" s="71"/>
      <c r="W578" s="71"/>
      <c r="X578" s="71"/>
      <c r="Y578" s="71"/>
      <c r="Z578" s="71"/>
    </row>
    <row r="579" spans="1:26" ht="14.25" customHeight="1">
      <c r="A579" s="71"/>
      <c r="B579" s="71"/>
      <c r="C579" s="71"/>
      <c r="D579" s="71"/>
      <c r="E579" s="71"/>
      <c r="F579" s="71"/>
      <c r="G579" s="71"/>
      <c r="H579" s="71"/>
      <c r="I579" s="71"/>
      <c r="J579" s="71"/>
      <c r="K579" s="71"/>
      <c r="L579" s="71"/>
      <c r="M579" s="71"/>
      <c r="N579" s="71"/>
      <c r="O579" s="71"/>
      <c r="P579" s="71"/>
      <c r="Q579" s="71"/>
      <c r="R579" s="71"/>
      <c r="T579" s="71"/>
      <c r="U579" s="71"/>
      <c r="V579" s="71"/>
      <c r="W579" s="71"/>
      <c r="X579" s="71"/>
      <c r="Y579" s="71"/>
      <c r="Z579" s="71"/>
    </row>
    <row r="580" spans="1:26" ht="14.25" customHeight="1">
      <c r="A580" s="71"/>
      <c r="B580" s="71"/>
      <c r="C580" s="71"/>
      <c r="D580" s="71"/>
      <c r="E580" s="71"/>
      <c r="F580" s="71"/>
      <c r="G580" s="71"/>
      <c r="H580" s="71"/>
      <c r="I580" s="71"/>
      <c r="J580" s="71"/>
      <c r="K580" s="71"/>
      <c r="L580" s="71"/>
      <c r="M580" s="71"/>
      <c r="N580" s="71"/>
      <c r="O580" s="71"/>
      <c r="P580" s="71"/>
      <c r="Q580" s="71"/>
      <c r="R580" s="71"/>
      <c r="T580" s="71"/>
      <c r="U580" s="71"/>
      <c r="V580" s="71"/>
      <c r="W580" s="71"/>
      <c r="X580" s="71"/>
      <c r="Y580" s="71"/>
      <c r="Z580" s="71"/>
    </row>
    <row r="581" spans="1:26" ht="14.25" customHeight="1">
      <c r="A581" s="71"/>
      <c r="B581" s="71"/>
      <c r="C581" s="71"/>
      <c r="D581" s="71"/>
      <c r="E581" s="71"/>
      <c r="F581" s="71"/>
      <c r="G581" s="71"/>
      <c r="H581" s="71"/>
      <c r="I581" s="71"/>
      <c r="J581" s="71"/>
      <c r="K581" s="71"/>
      <c r="L581" s="71"/>
      <c r="M581" s="71"/>
      <c r="N581" s="71"/>
      <c r="O581" s="71"/>
      <c r="P581" s="71"/>
      <c r="Q581" s="71"/>
      <c r="R581" s="71"/>
      <c r="T581" s="71"/>
      <c r="U581" s="71"/>
      <c r="V581" s="71"/>
      <c r="W581" s="71"/>
      <c r="X581" s="71"/>
      <c r="Y581" s="71"/>
      <c r="Z581" s="71"/>
    </row>
    <row r="582" spans="1:26" ht="14.25" customHeight="1">
      <c r="A582" s="71"/>
      <c r="B582" s="71"/>
      <c r="C582" s="71"/>
      <c r="D582" s="71"/>
      <c r="E582" s="71"/>
      <c r="F582" s="71"/>
      <c r="G582" s="71"/>
      <c r="H582" s="71"/>
      <c r="I582" s="71"/>
      <c r="J582" s="71"/>
      <c r="K582" s="71"/>
      <c r="L582" s="71"/>
      <c r="M582" s="71"/>
      <c r="N582" s="71"/>
      <c r="O582" s="71"/>
      <c r="P582" s="71"/>
      <c r="Q582" s="71"/>
      <c r="R582" s="71"/>
      <c r="T582" s="71"/>
      <c r="U582" s="71"/>
      <c r="V582" s="71"/>
      <c r="W582" s="71"/>
      <c r="X582" s="71"/>
      <c r="Y582" s="71"/>
      <c r="Z582" s="71"/>
    </row>
    <row r="583" spans="1:26" ht="14.25" customHeight="1">
      <c r="A583" s="71"/>
      <c r="B583" s="71"/>
      <c r="C583" s="71"/>
      <c r="D583" s="71"/>
      <c r="E583" s="71"/>
      <c r="F583" s="71"/>
      <c r="G583" s="71"/>
      <c r="H583" s="71"/>
      <c r="I583" s="71"/>
      <c r="J583" s="71"/>
      <c r="K583" s="71"/>
      <c r="L583" s="71"/>
      <c r="M583" s="71"/>
      <c r="N583" s="71"/>
      <c r="O583" s="71"/>
      <c r="P583" s="71"/>
      <c r="Q583" s="71"/>
      <c r="R583" s="71"/>
      <c r="T583" s="71"/>
      <c r="U583" s="71"/>
      <c r="V583" s="71"/>
      <c r="W583" s="71"/>
      <c r="X583" s="71"/>
      <c r="Y583" s="71"/>
      <c r="Z583" s="71"/>
    </row>
    <row r="584" spans="1:26" ht="14.25" customHeight="1">
      <c r="A584" s="71"/>
      <c r="B584" s="71"/>
      <c r="C584" s="71"/>
      <c r="D584" s="71"/>
      <c r="E584" s="71"/>
      <c r="F584" s="71"/>
      <c r="G584" s="71"/>
      <c r="H584" s="71"/>
      <c r="I584" s="71"/>
      <c r="J584" s="71"/>
      <c r="K584" s="71"/>
      <c r="L584" s="71"/>
      <c r="M584" s="71"/>
      <c r="N584" s="71"/>
      <c r="O584" s="71"/>
      <c r="P584" s="71"/>
      <c r="Q584" s="71"/>
      <c r="R584" s="71"/>
      <c r="T584" s="71"/>
      <c r="U584" s="71"/>
      <c r="V584" s="71"/>
      <c r="W584" s="71"/>
      <c r="X584" s="71"/>
      <c r="Y584" s="71"/>
      <c r="Z584" s="71"/>
    </row>
    <row r="585" spans="1:26" ht="14.25" customHeight="1">
      <c r="A585" s="71"/>
      <c r="B585" s="71"/>
      <c r="C585" s="71"/>
      <c r="D585" s="71"/>
      <c r="E585" s="71"/>
      <c r="F585" s="71"/>
      <c r="G585" s="71"/>
      <c r="H585" s="71"/>
      <c r="I585" s="71"/>
      <c r="J585" s="71"/>
      <c r="K585" s="71"/>
      <c r="L585" s="71"/>
      <c r="M585" s="71"/>
      <c r="N585" s="71"/>
      <c r="O585" s="71"/>
      <c r="P585" s="71"/>
      <c r="Q585" s="71"/>
      <c r="R585" s="71"/>
      <c r="T585" s="71"/>
      <c r="U585" s="71"/>
      <c r="V585" s="71"/>
      <c r="W585" s="71"/>
      <c r="X585" s="71"/>
      <c r="Y585" s="71"/>
      <c r="Z585" s="71"/>
    </row>
    <row r="586" spans="1:26" ht="14.25" customHeight="1">
      <c r="A586" s="71"/>
      <c r="B586" s="71"/>
      <c r="C586" s="71"/>
      <c r="D586" s="71"/>
      <c r="E586" s="71"/>
      <c r="F586" s="71"/>
      <c r="G586" s="71"/>
      <c r="H586" s="71"/>
      <c r="I586" s="71"/>
      <c r="J586" s="71"/>
      <c r="K586" s="71"/>
      <c r="L586" s="71"/>
      <c r="M586" s="71"/>
      <c r="N586" s="71"/>
      <c r="O586" s="71"/>
      <c r="P586" s="71"/>
      <c r="Q586" s="71"/>
      <c r="R586" s="71"/>
      <c r="T586" s="71"/>
      <c r="U586" s="71"/>
      <c r="V586" s="71"/>
      <c r="W586" s="71"/>
      <c r="X586" s="71"/>
      <c r="Y586" s="71"/>
      <c r="Z586" s="71"/>
    </row>
    <row r="587" spans="1:26" ht="14.25" customHeight="1">
      <c r="A587" s="71"/>
      <c r="B587" s="71"/>
      <c r="C587" s="71"/>
      <c r="D587" s="71"/>
      <c r="E587" s="71"/>
      <c r="F587" s="71"/>
      <c r="G587" s="71"/>
      <c r="H587" s="71"/>
      <c r="I587" s="71"/>
      <c r="J587" s="71"/>
      <c r="K587" s="71"/>
      <c r="L587" s="71"/>
      <c r="M587" s="71"/>
      <c r="N587" s="71"/>
      <c r="O587" s="71"/>
      <c r="P587" s="71"/>
      <c r="Q587" s="71"/>
      <c r="R587" s="71"/>
      <c r="T587" s="71"/>
      <c r="U587" s="71"/>
      <c r="V587" s="71"/>
      <c r="W587" s="71"/>
      <c r="X587" s="71"/>
      <c r="Y587" s="71"/>
      <c r="Z587" s="71"/>
    </row>
    <row r="588" spans="1:26" ht="14.25" customHeight="1">
      <c r="A588" s="71"/>
      <c r="B588" s="71"/>
      <c r="C588" s="71"/>
      <c r="D588" s="71"/>
      <c r="E588" s="71"/>
      <c r="F588" s="71"/>
      <c r="G588" s="71"/>
      <c r="H588" s="71"/>
      <c r="I588" s="71"/>
      <c r="J588" s="71"/>
      <c r="K588" s="71"/>
      <c r="L588" s="71"/>
      <c r="M588" s="71"/>
      <c r="N588" s="71"/>
      <c r="O588" s="71"/>
      <c r="P588" s="71"/>
      <c r="Q588" s="71"/>
      <c r="R588" s="71"/>
      <c r="T588" s="71"/>
      <c r="U588" s="71"/>
      <c r="V588" s="71"/>
      <c r="W588" s="71"/>
      <c r="X588" s="71"/>
      <c r="Y588" s="71"/>
      <c r="Z588" s="71"/>
    </row>
    <row r="589" spans="1:26" ht="14.25" customHeight="1">
      <c r="A589" s="71"/>
      <c r="B589" s="71"/>
      <c r="C589" s="71"/>
      <c r="D589" s="71"/>
      <c r="E589" s="71"/>
      <c r="F589" s="71"/>
      <c r="G589" s="71"/>
      <c r="H589" s="71"/>
      <c r="I589" s="71"/>
      <c r="J589" s="71"/>
      <c r="K589" s="71"/>
      <c r="L589" s="71"/>
      <c r="M589" s="71"/>
      <c r="N589" s="71"/>
      <c r="O589" s="71"/>
      <c r="P589" s="71"/>
      <c r="Q589" s="71"/>
      <c r="R589" s="71"/>
      <c r="T589" s="71"/>
      <c r="U589" s="71"/>
      <c r="V589" s="71"/>
      <c r="W589" s="71"/>
      <c r="X589" s="71"/>
      <c r="Y589" s="71"/>
      <c r="Z589" s="71"/>
    </row>
    <row r="590" spans="1:26" ht="14.25" customHeight="1">
      <c r="A590" s="71"/>
      <c r="B590" s="71"/>
      <c r="C590" s="71"/>
      <c r="D590" s="71"/>
      <c r="E590" s="71"/>
      <c r="F590" s="71"/>
      <c r="G590" s="71"/>
      <c r="H590" s="71"/>
      <c r="I590" s="71"/>
      <c r="J590" s="71"/>
      <c r="K590" s="71"/>
      <c r="L590" s="71"/>
      <c r="M590" s="71"/>
      <c r="N590" s="71"/>
      <c r="O590" s="71"/>
      <c r="P590" s="71"/>
      <c r="Q590" s="71"/>
      <c r="R590" s="71"/>
      <c r="T590" s="71"/>
      <c r="U590" s="71"/>
      <c r="V590" s="71"/>
      <c r="W590" s="71"/>
      <c r="X590" s="71"/>
      <c r="Y590" s="71"/>
      <c r="Z590" s="71"/>
    </row>
    <row r="591" spans="1:26" ht="14.25" customHeight="1">
      <c r="A591" s="71"/>
      <c r="B591" s="71"/>
      <c r="C591" s="71"/>
      <c r="D591" s="71"/>
      <c r="E591" s="71"/>
      <c r="F591" s="71"/>
      <c r="G591" s="71"/>
      <c r="H591" s="71"/>
      <c r="I591" s="71"/>
      <c r="J591" s="71"/>
      <c r="K591" s="71"/>
      <c r="L591" s="71"/>
      <c r="M591" s="71"/>
      <c r="N591" s="71"/>
      <c r="O591" s="71"/>
      <c r="P591" s="71"/>
      <c r="Q591" s="71"/>
      <c r="R591" s="71"/>
      <c r="T591" s="71"/>
      <c r="U591" s="71"/>
      <c r="V591" s="71"/>
      <c r="W591" s="71"/>
      <c r="X591" s="71"/>
      <c r="Y591" s="71"/>
      <c r="Z591" s="71"/>
    </row>
    <row r="592" spans="1:26" ht="14.25" customHeight="1">
      <c r="A592" s="71"/>
      <c r="B592" s="71"/>
      <c r="C592" s="71"/>
      <c r="D592" s="71"/>
      <c r="E592" s="71"/>
      <c r="F592" s="71"/>
      <c r="G592" s="71"/>
      <c r="H592" s="71"/>
      <c r="I592" s="71"/>
      <c r="J592" s="71"/>
      <c r="K592" s="71"/>
      <c r="L592" s="71"/>
      <c r="M592" s="71"/>
      <c r="N592" s="71"/>
      <c r="O592" s="71"/>
      <c r="P592" s="71"/>
      <c r="Q592" s="71"/>
      <c r="R592" s="71"/>
      <c r="T592" s="71"/>
      <c r="U592" s="71"/>
      <c r="V592" s="71"/>
      <c r="W592" s="71"/>
      <c r="X592" s="71"/>
      <c r="Y592" s="71"/>
      <c r="Z592" s="71"/>
    </row>
    <row r="593" spans="1:26" ht="14.25" customHeight="1">
      <c r="A593" s="71"/>
      <c r="B593" s="71"/>
      <c r="C593" s="71"/>
      <c r="D593" s="71"/>
      <c r="E593" s="71"/>
      <c r="F593" s="71"/>
      <c r="G593" s="71"/>
      <c r="H593" s="71"/>
      <c r="I593" s="71"/>
      <c r="J593" s="71"/>
      <c r="K593" s="71"/>
      <c r="L593" s="71"/>
      <c r="M593" s="71"/>
      <c r="N593" s="71"/>
      <c r="O593" s="71"/>
      <c r="P593" s="71"/>
      <c r="Q593" s="71"/>
      <c r="R593" s="71"/>
      <c r="T593" s="71"/>
      <c r="U593" s="71"/>
      <c r="V593" s="71"/>
      <c r="W593" s="71"/>
      <c r="X593" s="71"/>
      <c r="Y593" s="71"/>
      <c r="Z593" s="71"/>
    </row>
    <row r="594" spans="1:26" ht="14.25" customHeight="1">
      <c r="A594" s="71"/>
      <c r="B594" s="71"/>
      <c r="C594" s="71"/>
      <c r="D594" s="71"/>
      <c r="E594" s="71"/>
      <c r="F594" s="71"/>
      <c r="G594" s="71"/>
      <c r="H594" s="71"/>
      <c r="I594" s="71"/>
      <c r="J594" s="71"/>
      <c r="K594" s="71"/>
      <c r="L594" s="71"/>
      <c r="M594" s="71"/>
      <c r="N594" s="71"/>
      <c r="O594" s="71"/>
      <c r="P594" s="71"/>
      <c r="Q594" s="71"/>
      <c r="R594" s="71"/>
      <c r="T594" s="71"/>
      <c r="U594" s="71"/>
      <c r="V594" s="71"/>
      <c r="W594" s="71"/>
      <c r="X594" s="71"/>
      <c r="Y594" s="71"/>
      <c r="Z594" s="71"/>
    </row>
    <row r="595" spans="1:26" ht="14.25" customHeight="1">
      <c r="A595" s="71"/>
      <c r="B595" s="71"/>
      <c r="C595" s="71"/>
      <c r="D595" s="71"/>
      <c r="E595" s="71"/>
      <c r="F595" s="71"/>
      <c r="G595" s="71"/>
      <c r="H595" s="71"/>
      <c r="I595" s="71"/>
      <c r="J595" s="71"/>
      <c r="K595" s="71"/>
      <c r="L595" s="71"/>
      <c r="M595" s="71"/>
      <c r="N595" s="71"/>
      <c r="O595" s="71"/>
      <c r="P595" s="71"/>
      <c r="Q595" s="71"/>
      <c r="R595" s="71"/>
      <c r="T595" s="71"/>
      <c r="U595" s="71"/>
      <c r="V595" s="71"/>
      <c r="W595" s="71"/>
      <c r="X595" s="71"/>
      <c r="Y595" s="71"/>
      <c r="Z595" s="71"/>
    </row>
    <row r="596" spans="1:26" ht="14.25" customHeight="1">
      <c r="A596" s="71"/>
      <c r="B596" s="71"/>
      <c r="C596" s="71"/>
      <c r="D596" s="71"/>
      <c r="E596" s="71"/>
      <c r="F596" s="71"/>
      <c r="G596" s="71"/>
      <c r="H596" s="71"/>
      <c r="I596" s="71"/>
      <c r="J596" s="71"/>
      <c r="K596" s="71"/>
      <c r="L596" s="71"/>
      <c r="M596" s="71"/>
      <c r="N596" s="71"/>
      <c r="O596" s="71"/>
      <c r="P596" s="71"/>
      <c r="Q596" s="71"/>
      <c r="R596" s="71"/>
      <c r="T596" s="71"/>
      <c r="U596" s="71"/>
      <c r="V596" s="71"/>
      <c r="W596" s="71"/>
      <c r="X596" s="71"/>
      <c r="Y596" s="71"/>
      <c r="Z596" s="71"/>
    </row>
    <row r="597" spans="1:26" ht="14.25" customHeight="1">
      <c r="A597" s="71"/>
      <c r="B597" s="71"/>
      <c r="C597" s="71"/>
      <c r="D597" s="71"/>
      <c r="E597" s="71"/>
      <c r="F597" s="71"/>
      <c r="G597" s="71"/>
      <c r="H597" s="71"/>
      <c r="I597" s="71"/>
      <c r="J597" s="71"/>
      <c r="K597" s="71"/>
      <c r="L597" s="71"/>
      <c r="M597" s="71"/>
      <c r="N597" s="71"/>
      <c r="O597" s="71"/>
      <c r="P597" s="71"/>
      <c r="Q597" s="71"/>
      <c r="R597" s="71"/>
      <c r="T597" s="71"/>
      <c r="U597" s="71"/>
      <c r="V597" s="71"/>
      <c r="W597" s="71"/>
      <c r="X597" s="71"/>
      <c r="Y597" s="71"/>
      <c r="Z597" s="71"/>
    </row>
    <row r="598" spans="1:26" ht="14.25" customHeight="1">
      <c r="A598" s="71"/>
      <c r="B598" s="71"/>
      <c r="C598" s="71"/>
      <c r="D598" s="71"/>
      <c r="E598" s="71"/>
      <c r="F598" s="71"/>
      <c r="G598" s="71"/>
      <c r="H598" s="71"/>
      <c r="I598" s="71"/>
      <c r="J598" s="71"/>
      <c r="K598" s="71"/>
      <c r="L598" s="71"/>
      <c r="M598" s="71"/>
      <c r="N598" s="71"/>
      <c r="O598" s="71"/>
      <c r="P598" s="71"/>
      <c r="Q598" s="71"/>
      <c r="R598" s="71"/>
      <c r="T598" s="71"/>
      <c r="U598" s="71"/>
      <c r="V598" s="71"/>
      <c r="W598" s="71"/>
      <c r="X598" s="71"/>
      <c r="Y598" s="71"/>
      <c r="Z598" s="71"/>
    </row>
    <row r="599" spans="1:26" ht="14.25" customHeight="1">
      <c r="A599" s="71"/>
      <c r="B599" s="71"/>
      <c r="C599" s="71"/>
      <c r="D599" s="71"/>
      <c r="E599" s="71"/>
      <c r="F599" s="71"/>
      <c r="G599" s="71"/>
      <c r="H599" s="71"/>
      <c r="I599" s="71"/>
      <c r="J599" s="71"/>
      <c r="K599" s="71"/>
      <c r="L599" s="71"/>
      <c r="M599" s="71"/>
      <c r="N599" s="71"/>
      <c r="O599" s="71"/>
      <c r="P599" s="71"/>
      <c r="Q599" s="71"/>
      <c r="R599" s="71"/>
      <c r="T599" s="71"/>
      <c r="U599" s="71"/>
      <c r="V599" s="71"/>
      <c r="W599" s="71"/>
      <c r="X599" s="71"/>
      <c r="Y599" s="71"/>
      <c r="Z599" s="71"/>
    </row>
    <row r="600" spans="1:26" ht="14.25" customHeight="1">
      <c r="A600" s="71"/>
      <c r="B600" s="71"/>
      <c r="C600" s="71"/>
      <c r="D600" s="71"/>
      <c r="E600" s="71"/>
      <c r="F600" s="71"/>
      <c r="G600" s="71"/>
      <c r="H600" s="71"/>
      <c r="I600" s="71"/>
      <c r="J600" s="71"/>
      <c r="K600" s="71"/>
      <c r="L600" s="71"/>
      <c r="M600" s="71"/>
      <c r="N600" s="71"/>
      <c r="O600" s="71"/>
      <c r="P600" s="71"/>
      <c r="Q600" s="71"/>
      <c r="R600" s="71"/>
      <c r="T600" s="71"/>
      <c r="U600" s="71"/>
      <c r="V600" s="71"/>
      <c r="W600" s="71"/>
      <c r="X600" s="71"/>
      <c r="Y600" s="71"/>
      <c r="Z600" s="71"/>
    </row>
    <row r="601" spans="1:26" ht="14.25" customHeight="1">
      <c r="A601" s="71"/>
      <c r="B601" s="71"/>
      <c r="C601" s="71"/>
      <c r="D601" s="71"/>
      <c r="E601" s="71"/>
      <c r="F601" s="71"/>
      <c r="G601" s="71"/>
      <c r="H601" s="71"/>
      <c r="I601" s="71"/>
      <c r="J601" s="71"/>
      <c r="K601" s="71"/>
      <c r="L601" s="71"/>
      <c r="M601" s="71"/>
      <c r="N601" s="71"/>
      <c r="O601" s="71"/>
      <c r="P601" s="71"/>
      <c r="Q601" s="71"/>
      <c r="R601" s="71"/>
      <c r="T601" s="71"/>
      <c r="U601" s="71"/>
      <c r="V601" s="71"/>
      <c r="W601" s="71"/>
      <c r="X601" s="71"/>
      <c r="Y601" s="71"/>
      <c r="Z601" s="71"/>
    </row>
    <row r="602" spans="1:26" ht="14.25" customHeight="1">
      <c r="A602" s="71"/>
      <c r="B602" s="71"/>
      <c r="C602" s="71"/>
      <c r="D602" s="71"/>
      <c r="E602" s="71"/>
      <c r="F602" s="71"/>
      <c r="G602" s="71"/>
      <c r="H602" s="71"/>
      <c r="I602" s="71"/>
      <c r="J602" s="71"/>
      <c r="K602" s="71"/>
      <c r="L602" s="71"/>
      <c r="M602" s="71"/>
      <c r="N602" s="71"/>
      <c r="O602" s="71"/>
      <c r="P602" s="71"/>
      <c r="Q602" s="71"/>
      <c r="R602" s="71"/>
      <c r="T602" s="71"/>
      <c r="U602" s="71"/>
      <c r="V602" s="71"/>
      <c r="W602" s="71"/>
      <c r="X602" s="71"/>
      <c r="Y602" s="71"/>
      <c r="Z602" s="71"/>
    </row>
    <row r="603" spans="1:26" ht="14.25" customHeight="1">
      <c r="A603" s="71"/>
      <c r="B603" s="71"/>
      <c r="C603" s="71"/>
      <c r="D603" s="71"/>
      <c r="E603" s="71"/>
      <c r="F603" s="71"/>
      <c r="G603" s="71"/>
      <c r="H603" s="71"/>
      <c r="I603" s="71"/>
      <c r="J603" s="71"/>
      <c r="K603" s="71"/>
      <c r="L603" s="71"/>
      <c r="M603" s="71"/>
      <c r="N603" s="71"/>
      <c r="O603" s="71"/>
      <c r="P603" s="71"/>
      <c r="Q603" s="71"/>
      <c r="R603" s="71"/>
      <c r="T603" s="71"/>
      <c r="U603" s="71"/>
      <c r="V603" s="71"/>
      <c r="W603" s="71"/>
      <c r="X603" s="71"/>
      <c r="Y603" s="71"/>
      <c r="Z603" s="71"/>
    </row>
    <row r="604" spans="1:26" ht="14.25" customHeight="1">
      <c r="A604" s="71"/>
      <c r="B604" s="71"/>
      <c r="C604" s="71"/>
      <c r="D604" s="71"/>
      <c r="E604" s="71"/>
      <c r="F604" s="71"/>
      <c r="G604" s="71"/>
      <c r="H604" s="71"/>
      <c r="I604" s="71"/>
      <c r="J604" s="71"/>
      <c r="K604" s="71"/>
      <c r="L604" s="71"/>
      <c r="M604" s="71"/>
      <c r="N604" s="71"/>
      <c r="O604" s="71"/>
      <c r="P604" s="71"/>
      <c r="Q604" s="71"/>
      <c r="R604" s="71"/>
      <c r="T604" s="71"/>
      <c r="U604" s="71"/>
      <c r="V604" s="71"/>
      <c r="W604" s="71"/>
      <c r="X604" s="71"/>
      <c r="Y604" s="71"/>
      <c r="Z604" s="71"/>
    </row>
    <row r="605" spans="1:26" ht="14.25" customHeight="1">
      <c r="A605" s="71"/>
      <c r="B605" s="71"/>
      <c r="C605" s="71"/>
      <c r="D605" s="71"/>
      <c r="E605" s="71"/>
      <c r="F605" s="71"/>
      <c r="G605" s="71"/>
      <c r="H605" s="71"/>
      <c r="I605" s="71"/>
      <c r="J605" s="71"/>
      <c r="K605" s="71"/>
      <c r="L605" s="71"/>
      <c r="M605" s="71"/>
      <c r="N605" s="71"/>
      <c r="O605" s="71"/>
      <c r="P605" s="71"/>
      <c r="Q605" s="71"/>
      <c r="R605" s="71"/>
      <c r="T605" s="71"/>
      <c r="U605" s="71"/>
      <c r="V605" s="71"/>
      <c r="W605" s="71"/>
      <c r="X605" s="71"/>
      <c r="Y605" s="71"/>
      <c r="Z605" s="71"/>
    </row>
    <row r="606" spans="1:26" ht="14.25" customHeight="1">
      <c r="A606" s="71"/>
      <c r="B606" s="71"/>
      <c r="C606" s="71"/>
      <c r="D606" s="71"/>
      <c r="E606" s="71"/>
      <c r="F606" s="71"/>
      <c r="G606" s="71"/>
      <c r="H606" s="71"/>
      <c r="I606" s="71"/>
      <c r="J606" s="71"/>
      <c r="K606" s="71"/>
      <c r="L606" s="71"/>
      <c r="M606" s="71"/>
      <c r="N606" s="71"/>
      <c r="O606" s="71"/>
      <c r="P606" s="71"/>
      <c r="Q606" s="71"/>
      <c r="R606" s="71"/>
      <c r="T606" s="71"/>
      <c r="U606" s="71"/>
      <c r="V606" s="71"/>
      <c r="W606" s="71"/>
      <c r="X606" s="71"/>
      <c r="Y606" s="71"/>
      <c r="Z606" s="71"/>
    </row>
    <row r="607" spans="1:26" ht="14.25" customHeight="1">
      <c r="A607" s="71"/>
      <c r="B607" s="71"/>
      <c r="C607" s="71"/>
      <c r="D607" s="71"/>
      <c r="E607" s="71"/>
      <c r="F607" s="71"/>
      <c r="G607" s="71"/>
      <c r="H607" s="71"/>
      <c r="I607" s="71"/>
      <c r="J607" s="71"/>
      <c r="K607" s="71"/>
      <c r="L607" s="71"/>
      <c r="M607" s="71"/>
      <c r="N607" s="71"/>
      <c r="O607" s="71"/>
      <c r="P607" s="71"/>
      <c r="Q607" s="71"/>
      <c r="R607" s="71"/>
      <c r="T607" s="71"/>
      <c r="U607" s="71"/>
      <c r="V607" s="71"/>
      <c r="W607" s="71"/>
      <c r="X607" s="71"/>
      <c r="Y607" s="71"/>
      <c r="Z607" s="71"/>
    </row>
    <row r="608" spans="1:26" ht="14.25" customHeight="1">
      <c r="A608" s="71"/>
      <c r="B608" s="71"/>
      <c r="C608" s="71"/>
      <c r="D608" s="71"/>
      <c r="E608" s="71"/>
      <c r="F608" s="71"/>
      <c r="G608" s="71"/>
      <c r="H608" s="71"/>
      <c r="I608" s="71"/>
      <c r="J608" s="71"/>
      <c r="K608" s="71"/>
      <c r="L608" s="71"/>
      <c r="M608" s="71"/>
      <c r="N608" s="71"/>
      <c r="O608" s="71"/>
      <c r="P608" s="71"/>
      <c r="Q608" s="71"/>
      <c r="R608" s="71"/>
      <c r="T608" s="71"/>
      <c r="U608" s="71"/>
      <c r="V608" s="71"/>
      <c r="W608" s="71"/>
      <c r="X608" s="71"/>
      <c r="Y608" s="71"/>
      <c r="Z608" s="71"/>
    </row>
    <row r="609" spans="1:26" ht="14.25" customHeight="1">
      <c r="A609" s="71"/>
      <c r="B609" s="71"/>
      <c r="C609" s="71"/>
      <c r="D609" s="71"/>
      <c r="E609" s="71"/>
      <c r="F609" s="71"/>
      <c r="G609" s="71"/>
      <c r="H609" s="71"/>
      <c r="I609" s="71"/>
      <c r="J609" s="71"/>
      <c r="K609" s="71"/>
      <c r="L609" s="71"/>
      <c r="M609" s="71"/>
      <c r="N609" s="71"/>
      <c r="O609" s="71"/>
      <c r="P609" s="71"/>
      <c r="Q609" s="71"/>
      <c r="R609" s="71"/>
      <c r="T609" s="71"/>
      <c r="U609" s="71"/>
      <c r="V609" s="71"/>
      <c r="W609" s="71"/>
      <c r="X609" s="71"/>
      <c r="Y609" s="71"/>
      <c r="Z609" s="71"/>
    </row>
    <row r="610" spans="1:26" ht="14.25" customHeight="1">
      <c r="A610" s="71"/>
      <c r="B610" s="71"/>
      <c r="C610" s="71"/>
      <c r="D610" s="71"/>
      <c r="E610" s="71"/>
      <c r="F610" s="71"/>
      <c r="G610" s="71"/>
      <c r="H610" s="71"/>
      <c r="I610" s="71"/>
      <c r="J610" s="71"/>
      <c r="K610" s="71"/>
      <c r="L610" s="71"/>
      <c r="M610" s="71"/>
      <c r="N610" s="71"/>
      <c r="O610" s="71"/>
      <c r="P610" s="71"/>
      <c r="Q610" s="71"/>
      <c r="R610" s="71"/>
      <c r="T610" s="71"/>
      <c r="U610" s="71"/>
      <c r="V610" s="71"/>
      <c r="W610" s="71"/>
      <c r="X610" s="71"/>
      <c r="Y610" s="71"/>
      <c r="Z610" s="71"/>
    </row>
    <row r="611" spans="1:26" ht="14.25" customHeight="1">
      <c r="A611" s="71"/>
      <c r="B611" s="71"/>
      <c r="C611" s="71"/>
      <c r="D611" s="71"/>
      <c r="E611" s="71"/>
      <c r="F611" s="71"/>
      <c r="G611" s="71"/>
      <c r="H611" s="71"/>
      <c r="I611" s="71"/>
      <c r="J611" s="71"/>
      <c r="K611" s="71"/>
      <c r="L611" s="71"/>
      <c r="M611" s="71"/>
      <c r="N611" s="71"/>
      <c r="O611" s="71"/>
      <c r="P611" s="71"/>
      <c r="Q611" s="71"/>
      <c r="R611" s="71"/>
      <c r="T611" s="71"/>
      <c r="U611" s="71"/>
      <c r="V611" s="71"/>
      <c r="W611" s="71"/>
      <c r="X611" s="71"/>
      <c r="Y611" s="71"/>
      <c r="Z611" s="71"/>
    </row>
    <row r="612" spans="1:26" ht="14.25" customHeight="1">
      <c r="A612" s="71"/>
      <c r="B612" s="71"/>
      <c r="C612" s="71"/>
      <c r="D612" s="71"/>
      <c r="E612" s="71"/>
      <c r="F612" s="71"/>
      <c r="G612" s="71"/>
      <c r="H612" s="71"/>
      <c r="I612" s="71"/>
      <c r="J612" s="71"/>
      <c r="K612" s="71"/>
      <c r="L612" s="71"/>
      <c r="M612" s="71"/>
      <c r="N612" s="71"/>
      <c r="O612" s="71"/>
      <c r="P612" s="71"/>
      <c r="Q612" s="71"/>
      <c r="R612" s="71"/>
      <c r="T612" s="71"/>
      <c r="U612" s="71"/>
      <c r="V612" s="71"/>
      <c r="W612" s="71"/>
      <c r="X612" s="71"/>
      <c r="Y612" s="71"/>
      <c r="Z612" s="71"/>
    </row>
    <row r="613" spans="1:26" ht="14.25" customHeight="1">
      <c r="A613" s="71"/>
      <c r="B613" s="71"/>
      <c r="C613" s="71"/>
      <c r="D613" s="71"/>
      <c r="E613" s="71"/>
      <c r="F613" s="71"/>
      <c r="G613" s="71"/>
      <c r="H613" s="71"/>
      <c r="I613" s="71"/>
      <c r="J613" s="71"/>
      <c r="K613" s="71"/>
      <c r="L613" s="71"/>
      <c r="M613" s="71"/>
      <c r="N613" s="71"/>
      <c r="O613" s="71"/>
      <c r="P613" s="71"/>
      <c r="Q613" s="71"/>
      <c r="R613" s="71"/>
      <c r="T613" s="71"/>
      <c r="U613" s="71"/>
      <c r="V613" s="71"/>
      <c r="W613" s="71"/>
      <c r="X613" s="71"/>
      <c r="Y613" s="71"/>
      <c r="Z613" s="71"/>
    </row>
    <row r="614" spans="1:26" ht="14.25" customHeight="1">
      <c r="A614" s="71"/>
      <c r="B614" s="71"/>
      <c r="C614" s="71"/>
      <c r="D614" s="71"/>
      <c r="E614" s="71"/>
      <c r="F614" s="71"/>
      <c r="G614" s="71"/>
      <c r="H614" s="71"/>
      <c r="I614" s="71"/>
      <c r="J614" s="71"/>
      <c r="K614" s="71"/>
      <c r="L614" s="71"/>
      <c r="M614" s="71"/>
      <c r="N614" s="71"/>
      <c r="O614" s="71"/>
      <c r="P614" s="71"/>
      <c r="Q614" s="71"/>
      <c r="R614" s="71"/>
      <c r="T614" s="71"/>
      <c r="U614" s="71"/>
      <c r="V614" s="71"/>
      <c r="W614" s="71"/>
      <c r="X614" s="71"/>
      <c r="Y614" s="71"/>
      <c r="Z614" s="71"/>
    </row>
    <row r="615" spans="1:26" ht="14.25" customHeight="1">
      <c r="A615" s="71"/>
      <c r="B615" s="71"/>
      <c r="C615" s="71"/>
      <c r="D615" s="71"/>
      <c r="E615" s="71"/>
      <c r="F615" s="71"/>
      <c r="G615" s="71"/>
      <c r="H615" s="71"/>
      <c r="I615" s="71"/>
      <c r="J615" s="71"/>
      <c r="K615" s="71"/>
      <c r="L615" s="71"/>
      <c r="M615" s="71"/>
      <c r="N615" s="71"/>
      <c r="O615" s="71"/>
      <c r="P615" s="71"/>
      <c r="Q615" s="71"/>
      <c r="R615" s="71"/>
      <c r="T615" s="71"/>
      <c r="U615" s="71"/>
      <c r="V615" s="71"/>
      <c r="W615" s="71"/>
      <c r="X615" s="71"/>
      <c r="Y615" s="71"/>
      <c r="Z615" s="71"/>
    </row>
    <row r="616" spans="1:26" ht="14.25" customHeight="1">
      <c r="A616" s="71"/>
      <c r="B616" s="71"/>
      <c r="C616" s="71"/>
      <c r="D616" s="71"/>
      <c r="E616" s="71"/>
      <c r="F616" s="71"/>
      <c r="G616" s="71"/>
      <c r="H616" s="71"/>
      <c r="I616" s="71"/>
      <c r="J616" s="71"/>
      <c r="K616" s="71"/>
      <c r="L616" s="71"/>
      <c r="M616" s="71"/>
      <c r="N616" s="71"/>
      <c r="O616" s="71"/>
      <c r="P616" s="71"/>
      <c r="Q616" s="71"/>
      <c r="R616" s="71"/>
      <c r="T616" s="71"/>
      <c r="U616" s="71"/>
      <c r="V616" s="71"/>
      <c r="W616" s="71"/>
      <c r="X616" s="71"/>
      <c r="Y616" s="71"/>
      <c r="Z616" s="71"/>
    </row>
    <row r="617" spans="1:26" ht="14.25" customHeight="1">
      <c r="A617" s="71"/>
      <c r="B617" s="71"/>
      <c r="C617" s="71"/>
      <c r="D617" s="71"/>
      <c r="E617" s="71"/>
      <c r="F617" s="71"/>
      <c r="G617" s="71"/>
      <c r="H617" s="71"/>
      <c r="I617" s="71"/>
      <c r="J617" s="71"/>
      <c r="K617" s="71"/>
      <c r="L617" s="71"/>
      <c r="M617" s="71"/>
      <c r="N617" s="71"/>
      <c r="O617" s="71"/>
      <c r="P617" s="71"/>
      <c r="Q617" s="71"/>
      <c r="R617" s="71"/>
      <c r="T617" s="71"/>
      <c r="U617" s="71"/>
      <c r="V617" s="71"/>
      <c r="W617" s="71"/>
      <c r="X617" s="71"/>
      <c r="Y617" s="71"/>
      <c r="Z617" s="71"/>
    </row>
    <row r="618" spans="1:26" ht="14.25" customHeight="1">
      <c r="A618" s="71"/>
      <c r="B618" s="71"/>
      <c r="C618" s="71"/>
      <c r="D618" s="71"/>
      <c r="E618" s="71"/>
      <c r="F618" s="71"/>
      <c r="G618" s="71"/>
      <c r="H618" s="71"/>
      <c r="I618" s="71"/>
      <c r="J618" s="71"/>
      <c r="K618" s="71"/>
      <c r="L618" s="71"/>
      <c r="M618" s="71"/>
      <c r="N618" s="71"/>
      <c r="O618" s="71"/>
      <c r="P618" s="71"/>
      <c r="Q618" s="71"/>
      <c r="R618" s="71"/>
      <c r="T618" s="71"/>
      <c r="U618" s="71"/>
      <c r="V618" s="71"/>
      <c r="W618" s="71"/>
      <c r="X618" s="71"/>
      <c r="Y618" s="71"/>
      <c r="Z618" s="71"/>
    </row>
    <row r="619" spans="1:26" ht="14.25" customHeight="1">
      <c r="A619" s="71"/>
      <c r="B619" s="71"/>
      <c r="C619" s="71"/>
      <c r="D619" s="71"/>
      <c r="E619" s="71"/>
      <c r="F619" s="71"/>
      <c r="G619" s="71"/>
      <c r="H619" s="71"/>
      <c r="I619" s="71"/>
      <c r="J619" s="71"/>
      <c r="K619" s="71"/>
      <c r="L619" s="71"/>
      <c r="M619" s="71"/>
      <c r="N619" s="71"/>
      <c r="O619" s="71"/>
      <c r="P619" s="71"/>
      <c r="Q619" s="71"/>
      <c r="R619" s="71"/>
      <c r="T619" s="71"/>
      <c r="U619" s="71"/>
      <c r="V619" s="71"/>
      <c r="W619" s="71"/>
      <c r="X619" s="71"/>
      <c r="Y619" s="71"/>
      <c r="Z619" s="71"/>
    </row>
    <row r="620" spans="1:26" ht="14.25" customHeight="1">
      <c r="A620" s="71"/>
      <c r="B620" s="71"/>
      <c r="C620" s="71"/>
      <c r="D620" s="71"/>
      <c r="E620" s="71"/>
      <c r="F620" s="71"/>
      <c r="G620" s="71"/>
      <c r="H620" s="71"/>
      <c r="I620" s="71"/>
      <c r="J620" s="71"/>
      <c r="K620" s="71"/>
      <c r="L620" s="71"/>
      <c r="M620" s="71"/>
      <c r="N620" s="71"/>
      <c r="O620" s="71"/>
      <c r="P620" s="71"/>
      <c r="Q620" s="71"/>
      <c r="R620" s="71"/>
      <c r="T620" s="71"/>
      <c r="U620" s="71"/>
      <c r="V620" s="71"/>
      <c r="W620" s="71"/>
      <c r="X620" s="71"/>
      <c r="Y620" s="71"/>
      <c r="Z620" s="71"/>
    </row>
    <row r="621" spans="1:26" ht="14.25" customHeight="1">
      <c r="A621" s="71"/>
      <c r="B621" s="71"/>
      <c r="C621" s="71"/>
      <c r="D621" s="71"/>
      <c r="E621" s="71"/>
      <c r="F621" s="71"/>
      <c r="G621" s="71"/>
      <c r="H621" s="71"/>
      <c r="I621" s="71"/>
      <c r="J621" s="71"/>
      <c r="K621" s="71"/>
      <c r="L621" s="71"/>
      <c r="M621" s="71"/>
      <c r="N621" s="71"/>
      <c r="O621" s="71"/>
      <c r="P621" s="71"/>
      <c r="Q621" s="71"/>
      <c r="R621" s="71"/>
      <c r="T621" s="71"/>
      <c r="U621" s="71"/>
      <c r="V621" s="71"/>
      <c r="W621" s="71"/>
      <c r="X621" s="71"/>
      <c r="Y621" s="71"/>
      <c r="Z621" s="71"/>
    </row>
    <row r="622" spans="1:26" ht="14.25" customHeight="1">
      <c r="A622" s="71"/>
      <c r="B622" s="71"/>
      <c r="C622" s="71"/>
      <c r="D622" s="71"/>
      <c r="E622" s="71"/>
      <c r="F622" s="71"/>
      <c r="G622" s="71"/>
      <c r="H622" s="71"/>
      <c r="I622" s="71"/>
      <c r="J622" s="71"/>
      <c r="K622" s="71"/>
      <c r="L622" s="71"/>
      <c r="M622" s="71"/>
      <c r="N622" s="71"/>
      <c r="O622" s="71"/>
      <c r="P622" s="71"/>
      <c r="Q622" s="71"/>
      <c r="R622" s="71"/>
      <c r="T622" s="71"/>
      <c r="U622" s="71"/>
      <c r="V622" s="71"/>
      <c r="W622" s="71"/>
      <c r="X622" s="71"/>
      <c r="Y622" s="71"/>
      <c r="Z622" s="71"/>
    </row>
    <row r="623" spans="1:26" ht="14.25" customHeight="1">
      <c r="A623" s="71"/>
      <c r="B623" s="71"/>
      <c r="C623" s="71"/>
      <c r="D623" s="71"/>
      <c r="E623" s="71"/>
      <c r="F623" s="71"/>
      <c r="G623" s="71"/>
      <c r="H623" s="71"/>
      <c r="I623" s="71"/>
      <c r="J623" s="71"/>
      <c r="K623" s="71"/>
      <c r="L623" s="71"/>
      <c r="M623" s="71"/>
      <c r="N623" s="71"/>
      <c r="O623" s="71"/>
      <c r="P623" s="71"/>
      <c r="Q623" s="71"/>
      <c r="R623" s="71"/>
      <c r="T623" s="71"/>
      <c r="U623" s="71"/>
      <c r="V623" s="71"/>
      <c r="W623" s="71"/>
      <c r="X623" s="71"/>
      <c r="Y623" s="71"/>
      <c r="Z623" s="71"/>
    </row>
    <row r="624" spans="1:26" ht="14.25" customHeight="1">
      <c r="A624" s="71"/>
      <c r="B624" s="71"/>
      <c r="C624" s="71"/>
      <c r="D624" s="71"/>
      <c r="E624" s="71"/>
      <c r="F624" s="71"/>
      <c r="G624" s="71"/>
      <c r="H624" s="71"/>
      <c r="I624" s="71"/>
      <c r="J624" s="71"/>
      <c r="K624" s="71"/>
      <c r="L624" s="71"/>
      <c r="M624" s="71"/>
      <c r="N624" s="71"/>
      <c r="O624" s="71"/>
      <c r="P624" s="71"/>
      <c r="Q624" s="71"/>
      <c r="R624" s="71"/>
      <c r="T624" s="71"/>
      <c r="U624" s="71"/>
      <c r="V624" s="71"/>
      <c r="W624" s="71"/>
      <c r="X624" s="71"/>
      <c r="Y624" s="71"/>
      <c r="Z624" s="71"/>
    </row>
    <row r="625" spans="1:26" ht="14.25" customHeight="1">
      <c r="A625" s="71"/>
      <c r="B625" s="71"/>
      <c r="C625" s="71"/>
      <c r="D625" s="71"/>
      <c r="E625" s="71"/>
      <c r="F625" s="71"/>
      <c r="G625" s="71"/>
      <c r="H625" s="71"/>
      <c r="I625" s="71"/>
      <c r="J625" s="71"/>
      <c r="K625" s="71"/>
      <c r="L625" s="71"/>
      <c r="M625" s="71"/>
      <c r="N625" s="71"/>
      <c r="O625" s="71"/>
      <c r="P625" s="71"/>
      <c r="Q625" s="71"/>
      <c r="R625" s="71"/>
      <c r="T625" s="71"/>
      <c r="U625" s="71"/>
      <c r="V625" s="71"/>
      <c r="W625" s="71"/>
      <c r="X625" s="71"/>
      <c r="Y625" s="71"/>
      <c r="Z625" s="71"/>
    </row>
    <row r="626" spans="1:26" ht="14.25" customHeight="1">
      <c r="A626" s="71"/>
      <c r="B626" s="71"/>
      <c r="C626" s="71"/>
      <c r="D626" s="71"/>
      <c r="E626" s="71"/>
      <c r="F626" s="71"/>
      <c r="G626" s="71"/>
      <c r="H626" s="71"/>
      <c r="I626" s="71"/>
      <c r="J626" s="71"/>
      <c r="K626" s="71"/>
      <c r="L626" s="71"/>
      <c r="M626" s="71"/>
      <c r="N626" s="71"/>
      <c r="O626" s="71"/>
      <c r="P626" s="71"/>
      <c r="Q626" s="71"/>
      <c r="R626" s="71"/>
      <c r="T626" s="71"/>
      <c r="U626" s="71"/>
      <c r="V626" s="71"/>
      <c r="W626" s="71"/>
      <c r="X626" s="71"/>
      <c r="Y626" s="71"/>
      <c r="Z626" s="71"/>
    </row>
    <row r="627" spans="1:26" ht="14.25" customHeight="1">
      <c r="A627" s="71"/>
      <c r="B627" s="71"/>
      <c r="C627" s="71"/>
      <c r="D627" s="71"/>
      <c r="E627" s="71"/>
      <c r="F627" s="71"/>
      <c r="G627" s="71"/>
      <c r="H627" s="71"/>
      <c r="I627" s="71"/>
      <c r="J627" s="71"/>
      <c r="K627" s="71"/>
      <c r="L627" s="71"/>
      <c r="M627" s="71"/>
      <c r="N627" s="71"/>
      <c r="O627" s="71"/>
      <c r="P627" s="71"/>
      <c r="Q627" s="71"/>
      <c r="R627" s="71"/>
      <c r="T627" s="71"/>
      <c r="U627" s="71"/>
      <c r="V627" s="71"/>
      <c r="W627" s="71"/>
      <c r="X627" s="71"/>
      <c r="Y627" s="71"/>
      <c r="Z627" s="71"/>
    </row>
    <row r="628" spans="1:26" ht="14.25" customHeight="1">
      <c r="A628" s="71"/>
      <c r="B628" s="71"/>
      <c r="C628" s="71"/>
      <c r="D628" s="71"/>
      <c r="E628" s="71"/>
      <c r="F628" s="71"/>
      <c r="G628" s="71"/>
      <c r="H628" s="71"/>
      <c r="I628" s="71"/>
      <c r="J628" s="71"/>
      <c r="K628" s="71"/>
      <c r="L628" s="71"/>
      <c r="M628" s="71"/>
      <c r="N628" s="71"/>
      <c r="O628" s="71"/>
      <c r="P628" s="71"/>
      <c r="Q628" s="71"/>
      <c r="R628" s="71"/>
      <c r="T628" s="71"/>
      <c r="U628" s="71"/>
      <c r="V628" s="71"/>
      <c r="W628" s="71"/>
      <c r="X628" s="71"/>
      <c r="Y628" s="71"/>
      <c r="Z628" s="71"/>
    </row>
    <row r="629" spans="1:26" ht="14.25" customHeight="1">
      <c r="A629" s="71"/>
      <c r="B629" s="71"/>
      <c r="C629" s="71"/>
      <c r="D629" s="71"/>
      <c r="E629" s="71"/>
      <c r="F629" s="71"/>
      <c r="G629" s="71"/>
      <c r="H629" s="71"/>
      <c r="I629" s="71"/>
      <c r="J629" s="71"/>
      <c r="K629" s="71"/>
      <c r="L629" s="71"/>
      <c r="M629" s="71"/>
      <c r="N629" s="71"/>
      <c r="O629" s="71"/>
      <c r="P629" s="71"/>
      <c r="Q629" s="71"/>
      <c r="R629" s="71"/>
      <c r="T629" s="71"/>
      <c r="U629" s="71"/>
      <c r="V629" s="71"/>
      <c r="W629" s="71"/>
      <c r="X629" s="71"/>
      <c r="Y629" s="71"/>
      <c r="Z629" s="71"/>
    </row>
    <row r="630" spans="1:26" ht="14.25" customHeight="1">
      <c r="A630" s="71"/>
      <c r="B630" s="71"/>
      <c r="C630" s="71"/>
      <c r="D630" s="71"/>
      <c r="E630" s="71"/>
      <c r="F630" s="71"/>
      <c r="G630" s="71"/>
      <c r="H630" s="71"/>
      <c r="I630" s="71"/>
      <c r="J630" s="71"/>
      <c r="K630" s="71"/>
      <c r="L630" s="71"/>
      <c r="M630" s="71"/>
      <c r="N630" s="71"/>
      <c r="O630" s="71"/>
      <c r="P630" s="71"/>
      <c r="Q630" s="71"/>
      <c r="R630" s="71"/>
      <c r="T630" s="71"/>
      <c r="U630" s="71"/>
      <c r="V630" s="71"/>
      <c r="W630" s="71"/>
      <c r="X630" s="71"/>
      <c r="Y630" s="71"/>
      <c r="Z630" s="71"/>
    </row>
    <row r="631" spans="1:26" ht="14.25" customHeight="1">
      <c r="A631" s="71"/>
      <c r="B631" s="71"/>
      <c r="C631" s="71"/>
      <c r="D631" s="71"/>
      <c r="E631" s="71"/>
      <c r="F631" s="71"/>
      <c r="G631" s="71"/>
      <c r="H631" s="71"/>
      <c r="I631" s="71"/>
      <c r="J631" s="71"/>
      <c r="K631" s="71"/>
      <c r="L631" s="71"/>
      <c r="M631" s="71"/>
      <c r="N631" s="71"/>
      <c r="O631" s="71"/>
      <c r="P631" s="71"/>
      <c r="Q631" s="71"/>
      <c r="R631" s="71"/>
      <c r="T631" s="71"/>
      <c r="U631" s="71"/>
      <c r="V631" s="71"/>
      <c r="W631" s="71"/>
      <c r="X631" s="71"/>
      <c r="Y631" s="71"/>
      <c r="Z631" s="71"/>
    </row>
    <row r="632" spans="1:26" ht="14.25" customHeight="1">
      <c r="A632" s="71"/>
      <c r="B632" s="71"/>
      <c r="C632" s="71"/>
      <c r="D632" s="71"/>
      <c r="E632" s="71"/>
      <c r="F632" s="71"/>
      <c r="G632" s="71"/>
      <c r="H632" s="71"/>
      <c r="I632" s="71"/>
      <c r="J632" s="71"/>
      <c r="K632" s="71"/>
      <c r="L632" s="71"/>
      <c r="M632" s="71"/>
      <c r="N632" s="71"/>
      <c r="O632" s="71"/>
      <c r="P632" s="71"/>
      <c r="Q632" s="71"/>
      <c r="R632" s="71"/>
      <c r="T632" s="71"/>
      <c r="U632" s="71"/>
      <c r="V632" s="71"/>
      <c r="W632" s="71"/>
      <c r="X632" s="71"/>
      <c r="Y632" s="71"/>
      <c r="Z632" s="71"/>
    </row>
    <row r="633" spans="1:26" ht="14.25" customHeight="1">
      <c r="A633" s="71"/>
      <c r="B633" s="71"/>
      <c r="C633" s="71"/>
      <c r="D633" s="71"/>
      <c r="E633" s="71"/>
      <c r="F633" s="71"/>
      <c r="G633" s="71"/>
      <c r="H633" s="71"/>
      <c r="I633" s="71"/>
      <c r="J633" s="71"/>
      <c r="K633" s="71"/>
      <c r="L633" s="71"/>
      <c r="M633" s="71"/>
      <c r="N633" s="71"/>
      <c r="O633" s="71"/>
      <c r="P633" s="71"/>
      <c r="Q633" s="71"/>
      <c r="R633" s="71"/>
      <c r="T633" s="71"/>
      <c r="U633" s="71"/>
      <c r="V633" s="71"/>
      <c r="W633" s="71"/>
      <c r="X633" s="71"/>
      <c r="Y633" s="71"/>
      <c r="Z633" s="71"/>
    </row>
    <row r="634" spans="1:26" ht="14.25" customHeight="1">
      <c r="A634" s="71"/>
      <c r="B634" s="71"/>
      <c r="C634" s="71"/>
      <c r="D634" s="71"/>
      <c r="E634" s="71"/>
      <c r="F634" s="71"/>
      <c r="G634" s="71"/>
      <c r="H634" s="71"/>
      <c r="I634" s="71"/>
      <c r="J634" s="71"/>
      <c r="K634" s="71"/>
      <c r="L634" s="71"/>
      <c r="M634" s="71"/>
      <c r="N634" s="71"/>
      <c r="O634" s="71"/>
      <c r="P634" s="71"/>
      <c r="Q634" s="71"/>
      <c r="R634" s="71"/>
      <c r="T634" s="71"/>
      <c r="U634" s="71"/>
      <c r="V634" s="71"/>
      <c r="W634" s="71"/>
      <c r="X634" s="71"/>
      <c r="Y634" s="71"/>
      <c r="Z634" s="71"/>
    </row>
    <row r="635" spans="1:26" ht="14.25" customHeight="1">
      <c r="A635" s="71"/>
      <c r="B635" s="71"/>
      <c r="C635" s="71"/>
      <c r="D635" s="71"/>
      <c r="E635" s="71"/>
      <c r="F635" s="71"/>
      <c r="G635" s="71"/>
      <c r="H635" s="71"/>
      <c r="I635" s="71"/>
      <c r="J635" s="71"/>
      <c r="K635" s="71"/>
      <c r="L635" s="71"/>
      <c r="M635" s="71"/>
      <c r="N635" s="71"/>
      <c r="O635" s="71"/>
      <c r="P635" s="71"/>
      <c r="Q635" s="71"/>
      <c r="R635" s="71"/>
      <c r="T635" s="71"/>
      <c r="U635" s="71"/>
      <c r="V635" s="71"/>
      <c r="W635" s="71"/>
      <c r="X635" s="71"/>
      <c r="Y635" s="71"/>
      <c r="Z635" s="71"/>
    </row>
    <row r="636" spans="1:26" ht="14.25" customHeight="1">
      <c r="A636" s="71"/>
      <c r="B636" s="71"/>
      <c r="C636" s="71"/>
      <c r="D636" s="71"/>
      <c r="E636" s="71"/>
      <c r="F636" s="71"/>
      <c r="G636" s="71"/>
      <c r="H636" s="71"/>
      <c r="I636" s="71"/>
      <c r="J636" s="71"/>
      <c r="K636" s="71"/>
      <c r="L636" s="71"/>
      <c r="M636" s="71"/>
      <c r="N636" s="71"/>
      <c r="O636" s="71"/>
      <c r="P636" s="71"/>
      <c r="Q636" s="71"/>
      <c r="R636" s="71"/>
      <c r="T636" s="71"/>
      <c r="U636" s="71"/>
      <c r="V636" s="71"/>
      <c r="W636" s="71"/>
      <c r="X636" s="71"/>
      <c r="Y636" s="71"/>
      <c r="Z636" s="71"/>
    </row>
    <row r="637" spans="1:26" ht="14.25" customHeight="1">
      <c r="A637" s="71"/>
      <c r="B637" s="71"/>
      <c r="C637" s="71"/>
      <c r="D637" s="71"/>
      <c r="E637" s="71"/>
      <c r="F637" s="71"/>
      <c r="G637" s="71"/>
      <c r="H637" s="71"/>
      <c r="I637" s="71"/>
      <c r="J637" s="71"/>
      <c r="K637" s="71"/>
      <c r="L637" s="71"/>
      <c r="M637" s="71"/>
      <c r="N637" s="71"/>
      <c r="O637" s="71"/>
      <c r="P637" s="71"/>
      <c r="Q637" s="71"/>
      <c r="R637" s="71"/>
      <c r="T637" s="71"/>
      <c r="U637" s="71"/>
      <c r="V637" s="71"/>
      <c r="W637" s="71"/>
      <c r="X637" s="71"/>
      <c r="Y637" s="71"/>
      <c r="Z637" s="71"/>
    </row>
    <row r="638" spans="1:26" ht="14.25" customHeight="1">
      <c r="A638" s="71"/>
      <c r="B638" s="71"/>
      <c r="C638" s="71"/>
      <c r="D638" s="71"/>
      <c r="E638" s="71"/>
      <c r="F638" s="71"/>
      <c r="G638" s="71"/>
      <c r="H638" s="71"/>
      <c r="I638" s="71"/>
      <c r="J638" s="71"/>
      <c r="K638" s="71"/>
      <c r="L638" s="71"/>
      <c r="M638" s="71"/>
      <c r="N638" s="71"/>
      <c r="O638" s="71"/>
      <c r="P638" s="71"/>
      <c r="Q638" s="71"/>
      <c r="R638" s="71"/>
      <c r="T638" s="71"/>
      <c r="U638" s="71"/>
      <c r="V638" s="71"/>
      <c r="W638" s="71"/>
      <c r="X638" s="71"/>
      <c r="Y638" s="71"/>
      <c r="Z638" s="71"/>
    </row>
    <row r="639" spans="1:26" ht="14.25" customHeight="1">
      <c r="A639" s="71"/>
      <c r="B639" s="71"/>
      <c r="C639" s="71"/>
      <c r="D639" s="71"/>
      <c r="E639" s="71"/>
      <c r="F639" s="71"/>
      <c r="G639" s="71"/>
      <c r="H639" s="71"/>
      <c r="I639" s="71"/>
      <c r="J639" s="71"/>
      <c r="K639" s="71"/>
      <c r="L639" s="71"/>
      <c r="M639" s="71"/>
      <c r="N639" s="71"/>
      <c r="O639" s="71"/>
      <c r="P639" s="71"/>
      <c r="Q639" s="71"/>
      <c r="R639" s="71"/>
      <c r="T639" s="71"/>
      <c r="U639" s="71"/>
      <c r="V639" s="71"/>
      <c r="W639" s="71"/>
      <c r="X639" s="71"/>
      <c r="Y639" s="71"/>
      <c r="Z639" s="71"/>
    </row>
    <row r="640" spans="1:26" ht="14.25" customHeight="1">
      <c r="A640" s="71"/>
      <c r="B640" s="71"/>
      <c r="C640" s="71"/>
      <c r="D640" s="71"/>
      <c r="E640" s="71"/>
      <c r="F640" s="71"/>
      <c r="G640" s="71"/>
      <c r="H640" s="71"/>
      <c r="I640" s="71"/>
      <c r="J640" s="71"/>
      <c r="K640" s="71"/>
      <c r="L640" s="71"/>
      <c r="M640" s="71"/>
      <c r="N640" s="71"/>
      <c r="O640" s="71"/>
      <c r="P640" s="71"/>
      <c r="Q640" s="71"/>
      <c r="R640" s="71"/>
      <c r="T640" s="71"/>
      <c r="U640" s="71"/>
      <c r="V640" s="71"/>
      <c r="W640" s="71"/>
      <c r="X640" s="71"/>
      <c r="Y640" s="71"/>
      <c r="Z640" s="71"/>
    </row>
    <row r="641" spans="1:26" ht="14.25" customHeight="1">
      <c r="A641" s="71"/>
      <c r="B641" s="71"/>
      <c r="C641" s="71"/>
      <c r="D641" s="71"/>
      <c r="E641" s="71"/>
      <c r="F641" s="71"/>
      <c r="G641" s="71"/>
      <c r="H641" s="71"/>
      <c r="I641" s="71"/>
      <c r="J641" s="71"/>
      <c r="K641" s="71"/>
      <c r="L641" s="71"/>
      <c r="M641" s="71"/>
      <c r="N641" s="71"/>
      <c r="O641" s="71"/>
      <c r="P641" s="71"/>
      <c r="Q641" s="71"/>
      <c r="R641" s="71"/>
      <c r="T641" s="71"/>
      <c r="U641" s="71"/>
      <c r="V641" s="71"/>
      <c r="W641" s="71"/>
      <c r="X641" s="71"/>
      <c r="Y641" s="71"/>
      <c r="Z641" s="71"/>
    </row>
    <row r="642" spans="1:26" ht="14.25" customHeight="1">
      <c r="A642" s="71"/>
      <c r="B642" s="71"/>
      <c r="C642" s="71"/>
      <c r="D642" s="71"/>
      <c r="E642" s="71"/>
      <c r="F642" s="71"/>
      <c r="G642" s="71"/>
      <c r="H642" s="71"/>
      <c r="I642" s="71"/>
      <c r="J642" s="71"/>
      <c r="K642" s="71"/>
      <c r="L642" s="71"/>
      <c r="M642" s="71"/>
      <c r="N642" s="71"/>
      <c r="O642" s="71"/>
      <c r="P642" s="71"/>
      <c r="Q642" s="71"/>
      <c r="R642" s="71"/>
      <c r="T642" s="71"/>
      <c r="U642" s="71"/>
      <c r="V642" s="71"/>
      <c r="W642" s="71"/>
      <c r="X642" s="71"/>
      <c r="Y642" s="71"/>
      <c r="Z642" s="71"/>
    </row>
    <row r="643" spans="1:26" ht="14.25" customHeight="1">
      <c r="A643" s="71"/>
      <c r="B643" s="71"/>
      <c r="C643" s="71"/>
      <c r="D643" s="71"/>
      <c r="E643" s="71"/>
      <c r="F643" s="71"/>
      <c r="G643" s="71"/>
      <c r="H643" s="71"/>
      <c r="I643" s="71"/>
      <c r="J643" s="71"/>
      <c r="K643" s="71"/>
      <c r="L643" s="71"/>
      <c r="M643" s="71"/>
      <c r="N643" s="71"/>
      <c r="O643" s="71"/>
      <c r="P643" s="71"/>
      <c r="Q643" s="71"/>
      <c r="R643" s="71"/>
      <c r="T643" s="71"/>
      <c r="U643" s="71"/>
      <c r="V643" s="71"/>
      <c r="W643" s="71"/>
      <c r="X643" s="71"/>
      <c r="Y643" s="71"/>
      <c r="Z643" s="71"/>
    </row>
    <row r="644" spans="1:26" ht="14.25" customHeight="1">
      <c r="A644" s="71"/>
      <c r="B644" s="71"/>
      <c r="C644" s="71"/>
      <c r="D644" s="71"/>
      <c r="E644" s="71"/>
      <c r="F644" s="71"/>
      <c r="G644" s="71"/>
      <c r="H644" s="71"/>
      <c r="I644" s="71"/>
      <c r="J644" s="71"/>
      <c r="K644" s="71"/>
      <c r="L644" s="71"/>
      <c r="M644" s="71"/>
      <c r="N644" s="71"/>
      <c r="O644" s="71"/>
      <c r="P644" s="71"/>
      <c r="Q644" s="71"/>
      <c r="R644" s="71"/>
      <c r="T644" s="71"/>
      <c r="U644" s="71"/>
      <c r="V644" s="71"/>
      <c r="W644" s="71"/>
      <c r="X644" s="71"/>
      <c r="Y644" s="71"/>
      <c r="Z644" s="71"/>
    </row>
    <row r="645" spans="1:26" ht="14.25" customHeight="1">
      <c r="A645" s="71"/>
      <c r="B645" s="71"/>
      <c r="C645" s="71"/>
      <c r="D645" s="71"/>
      <c r="E645" s="71"/>
      <c r="F645" s="71"/>
      <c r="G645" s="71"/>
      <c r="H645" s="71"/>
      <c r="I645" s="71"/>
      <c r="J645" s="71"/>
      <c r="K645" s="71"/>
      <c r="L645" s="71"/>
      <c r="M645" s="71"/>
      <c r="N645" s="71"/>
      <c r="O645" s="71"/>
      <c r="P645" s="71"/>
      <c r="Q645" s="71"/>
      <c r="R645" s="71"/>
      <c r="T645" s="71"/>
      <c r="U645" s="71"/>
      <c r="V645" s="71"/>
      <c r="W645" s="71"/>
      <c r="X645" s="71"/>
      <c r="Y645" s="71"/>
      <c r="Z645" s="71"/>
    </row>
    <row r="646" spans="1:26" ht="14.25" customHeight="1">
      <c r="A646" s="71"/>
      <c r="B646" s="71"/>
      <c r="C646" s="71"/>
      <c r="D646" s="71"/>
      <c r="E646" s="71"/>
      <c r="F646" s="71"/>
      <c r="G646" s="71"/>
      <c r="H646" s="71"/>
      <c r="I646" s="71"/>
      <c r="J646" s="71"/>
      <c r="K646" s="71"/>
      <c r="L646" s="71"/>
      <c r="M646" s="71"/>
      <c r="N646" s="71"/>
      <c r="O646" s="71"/>
      <c r="P646" s="71"/>
      <c r="Q646" s="71"/>
      <c r="R646" s="71"/>
      <c r="T646" s="71"/>
      <c r="U646" s="71"/>
      <c r="V646" s="71"/>
      <c r="W646" s="71"/>
      <c r="X646" s="71"/>
      <c r="Y646" s="71"/>
      <c r="Z646" s="71"/>
    </row>
    <row r="647" spans="1:26" ht="14.25" customHeight="1">
      <c r="A647" s="71"/>
      <c r="B647" s="71"/>
      <c r="C647" s="71"/>
      <c r="D647" s="71"/>
      <c r="E647" s="71"/>
      <c r="F647" s="71"/>
      <c r="G647" s="71"/>
      <c r="H647" s="71"/>
      <c r="I647" s="71"/>
      <c r="J647" s="71"/>
      <c r="K647" s="71"/>
      <c r="L647" s="71"/>
      <c r="M647" s="71"/>
      <c r="N647" s="71"/>
      <c r="O647" s="71"/>
      <c r="P647" s="71"/>
      <c r="Q647" s="71"/>
      <c r="R647" s="71"/>
      <c r="T647" s="71"/>
      <c r="U647" s="71"/>
      <c r="V647" s="71"/>
      <c r="W647" s="71"/>
      <c r="X647" s="71"/>
      <c r="Y647" s="71"/>
      <c r="Z647" s="71"/>
    </row>
    <row r="648" spans="1:26" ht="14.25" customHeight="1">
      <c r="A648" s="71"/>
      <c r="B648" s="71"/>
      <c r="C648" s="71"/>
      <c r="D648" s="71"/>
      <c r="E648" s="71"/>
      <c r="F648" s="71"/>
      <c r="G648" s="71"/>
      <c r="H648" s="71"/>
      <c r="I648" s="71"/>
      <c r="J648" s="71"/>
      <c r="K648" s="71"/>
      <c r="L648" s="71"/>
      <c r="M648" s="71"/>
      <c r="N648" s="71"/>
      <c r="O648" s="71"/>
      <c r="P648" s="71"/>
      <c r="Q648" s="71"/>
      <c r="R648" s="71"/>
      <c r="T648" s="71"/>
      <c r="U648" s="71"/>
      <c r="V648" s="71"/>
      <c r="W648" s="71"/>
      <c r="X648" s="71"/>
      <c r="Y648" s="71"/>
      <c r="Z648" s="71"/>
    </row>
    <row r="649" spans="1:26" ht="14.25" customHeight="1">
      <c r="A649" s="71"/>
      <c r="B649" s="71"/>
      <c r="C649" s="71"/>
      <c r="D649" s="71"/>
      <c r="E649" s="71"/>
      <c r="F649" s="71"/>
      <c r="G649" s="71"/>
      <c r="H649" s="71"/>
      <c r="I649" s="71"/>
      <c r="J649" s="71"/>
      <c r="K649" s="71"/>
      <c r="L649" s="71"/>
      <c r="M649" s="71"/>
      <c r="N649" s="71"/>
      <c r="O649" s="71"/>
      <c r="P649" s="71"/>
      <c r="Q649" s="71"/>
      <c r="R649" s="71"/>
      <c r="T649" s="71"/>
      <c r="U649" s="71"/>
      <c r="V649" s="71"/>
      <c r="W649" s="71"/>
      <c r="X649" s="71"/>
      <c r="Y649" s="71"/>
      <c r="Z649" s="71"/>
    </row>
    <row r="650" spans="1:26" ht="14.25" customHeight="1">
      <c r="A650" s="71"/>
      <c r="B650" s="71"/>
      <c r="C650" s="71"/>
      <c r="D650" s="71"/>
      <c r="E650" s="71"/>
      <c r="F650" s="71"/>
      <c r="G650" s="71"/>
      <c r="H650" s="71"/>
      <c r="I650" s="71"/>
      <c r="J650" s="71"/>
      <c r="K650" s="71"/>
      <c r="L650" s="71"/>
      <c r="M650" s="71"/>
      <c r="N650" s="71"/>
      <c r="O650" s="71"/>
      <c r="P650" s="71"/>
      <c r="Q650" s="71"/>
      <c r="R650" s="71"/>
      <c r="T650" s="71"/>
      <c r="U650" s="71"/>
      <c r="V650" s="71"/>
      <c r="W650" s="71"/>
      <c r="X650" s="71"/>
      <c r="Y650" s="71"/>
      <c r="Z650" s="71"/>
    </row>
    <row r="651" spans="1:26" ht="14.25" customHeight="1">
      <c r="A651" s="71"/>
      <c r="B651" s="71"/>
      <c r="C651" s="71"/>
      <c r="D651" s="71"/>
      <c r="E651" s="71"/>
      <c r="F651" s="71"/>
      <c r="G651" s="71"/>
      <c r="H651" s="71"/>
      <c r="I651" s="71"/>
      <c r="J651" s="71"/>
      <c r="K651" s="71"/>
      <c r="L651" s="71"/>
      <c r="M651" s="71"/>
      <c r="N651" s="71"/>
      <c r="O651" s="71"/>
      <c r="P651" s="71"/>
      <c r="Q651" s="71"/>
      <c r="R651" s="71"/>
      <c r="T651" s="71"/>
      <c r="U651" s="71"/>
      <c r="V651" s="71"/>
      <c r="W651" s="71"/>
      <c r="X651" s="71"/>
      <c r="Y651" s="71"/>
      <c r="Z651" s="71"/>
    </row>
    <row r="652" spans="1:26" ht="14.25" customHeight="1">
      <c r="A652" s="71"/>
      <c r="B652" s="71"/>
      <c r="C652" s="71"/>
      <c r="D652" s="71"/>
      <c r="E652" s="71"/>
      <c r="F652" s="71"/>
      <c r="G652" s="71"/>
      <c r="H652" s="71"/>
      <c r="I652" s="71"/>
      <c r="J652" s="71"/>
      <c r="K652" s="71"/>
      <c r="L652" s="71"/>
      <c r="M652" s="71"/>
      <c r="N652" s="71"/>
      <c r="O652" s="71"/>
      <c r="P652" s="71"/>
      <c r="Q652" s="71"/>
      <c r="R652" s="71"/>
      <c r="T652" s="71"/>
      <c r="U652" s="71"/>
      <c r="V652" s="71"/>
      <c r="W652" s="71"/>
      <c r="X652" s="71"/>
      <c r="Y652" s="71"/>
      <c r="Z652" s="71"/>
    </row>
    <row r="653" spans="1:26" ht="14.25" customHeight="1">
      <c r="A653" s="71"/>
      <c r="B653" s="71"/>
      <c r="C653" s="71"/>
      <c r="D653" s="71"/>
      <c r="E653" s="71"/>
      <c r="F653" s="71"/>
      <c r="G653" s="71"/>
      <c r="H653" s="71"/>
      <c r="I653" s="71"/>
      <c r="J653" s="71"/>
      <c r="K653" s="71"/>
      <c r="L653" s="71"/>
      <c r="M653" s="71"/>
      <c r="N653" s="71"/>
      <c r="O653" s="71"/>
      <c r="P653" s="71"/>
      <c r="Q653" s="71"/>
      <c r="R653" s="71"/>
      <c r="T653" s="71"/>
      <c r="U653" s="71"/>
      <c r="V653" s="71"/>
      <c r="W653" s="71"/>
      <c r="X653" s="71"/>
      <c r="Y653" s="71"/>
      <c r="Z653" s="71"/>
    </row>
    <row r="654" spans="1:26" ht="14.25" customHeight="1">
      <c r="A654" s="71"/>
      <c r="B654" s="71"/>
      <c r="C654" s="71"/>
      <c r="D654" s="71"/>
      <c r="E654" s="71"/>
      <c r="F654" s="71"/>
      <c r="G654" s="71"/>
      <c r="H654" s="71"/>
      <c r="I654" s="71"/>
      <c r="J654" s="71"/>
      <c r="K654" s="71"/>
      <c r="L654" s="71"/>
      <c r="M654" s="71"/>
      <c r="N654" s="71"/>
      <c r="O654" s="71"/>
      <c r="P654" s="71"/>
      <c r="Q654" s="71"/>
      <c r="R654" s="71"/>
      <c r="T654" s="71"/>
      <c r="U654" s="71"/>
      <c r="V654" s="71"/>
      <c r="W654" s="71"/>
      <c r="X654" s="71"/>
      <c r="Y654" s="71"/>
      <c r="Z654" s="71"/>
    </row>
    <row r="655" spans="1:26" ht="14.25" customHeight="1">
      <c r="A655" s="71"/>
      <c r="B655" s="71"/>
      <c r="C655" s="71"/>
      <c r="D655" s="71"/>
      <c r="E655" s="71"/>
      <c r="F655" s="71"/>
      <c r="G655" s="71"/>
      <c r="H655" s="71"/>
      <c r="I655" s="71"/>
      <c r="J655" s="71"/>
      <c r="K655" s="71"/>
      <c r="L655" s="71"/>
      <c r="M655" s="71"/>
      <c r="N655" s="71"/>
      <c r="O655" s="71"/>
      <c r="P655" s="71"/>
      <c r="Q655" s="71"/>
      <c r="R655" s="71"/>
      <c r="T655" s="71"/>
      <c r="U655" s="71"/>
      <c r="V655" s="71"/>
      <c r="W655" s="71"/>
      <c r="X655" s="71"/>
      <c r="Y655" s="71"/>
      <c r="Z655" s="71"/>
    </row>
    <row r="656" spans="1:26" ht="14.25" customHeight="1">
      <c r="A656" s="71"/>
      <c r="B656" s="71"/>
      <c r="C656" s="71"/>
      <c r="D656" s="71"/>
      <c r="E656" s="71"/>
      <c r="F656" s="71"/>
      <c r="G656" s="71"/>
      <c r="H656" s="71"/>
      <c r="I656" s="71"/>
      <c r="J656" s="71"/>
      <c r="K656" s="71"/>
      <c r="L656" s="71"/>
      <c r="M656" s="71"/>
      <c r="N656" s="71"/>
      <c r="O656" s="71"/>
      <c r="P656" s="71"/>
      <c r="Q656" s="71"/>
      <c r="R656" s="71"/>
      <c r="T656" s="71"/>
      <c r="U656" s="71"/>
      <c r="V656" s="71"/>
      <c r="W656" s="71"/>
      <c r="X656" s="71"/>
      <c r="Y656" s="71"/>
      <c r="Z656" s="71"/>
    </row>
    <row r="657" spans="1:26" ht="14.25" customHeight="1">
      <c r="A657" s="71"/>
      <c r="B657" s="71"/>
      <c r="C657" s="71"/>
      <c r="D657" s="71"/>
      <c r="E657" s="71"/>
      <c r="F657" s="71"/>
      <c r="G657" s="71"/>
      <c r="H657" s="71"/>
      <c r="I657" s="71"/>
      <c r="J657" s="71"/>
      <c r="K657" s="71"/>
      <c r="L657" s="71"/>
      <c r="M657" s="71"/>
      <c r="N657" s="71"/>
      <c r="O657" s="71"/>
      <c r="P657" s="71"/>
      <c r="Q657" s="71"/>
      <c r="R657" s="71"/>
      <c r="T657" s="71"/>
      <c r="U657" s="71"/>
      <c r="V657" s="71"/>
      <c r="W657" s="71"/>
      <c r="X657" s="71"/>
      <c r="Y657" s="71"/>
      <c r="Z657" s="71"/>
    </row>
    <row r="658" spans="1:26" ht="14.25" customHeight="1">
      <c r="A658" s="71"/>
      <c r="B658" s="71"/>
      <c r="C658" s="71"/>
      <c r="D658" s="71"/>
      <c r="E658" s="71"/>
      <c r="F658" s="71"/>
      <c r="G658" s="71"/>
      <c r="H658" s="71"/>
      <c r="I658" s="71"/>
      <c r="J658" s="71"/>
      <c r="K658" s="71"/>
      <c r="L658" s="71"/>
      <c r="M658" s="71"/>
      <c r="N658" s="71"/>
      <c r="O658" s="71"/>
      <c r="P658" s="71"/>
      <c r="Q658" s="71"/>
      <c r="R658" s="71"/>
      <c r="T658" s="71"/>
      <c r="U658" s="71"/>
      <c r="V658" s="71"/>
      <c r="W658" s="71"/>
      <c r="X658" s="71"/>
      <c r="Y658" s="71"/>
      <c r="Z658" s="71"/>
    </row>
    <row r="659" spans="1:26" ht="14.25" customHeight="1">
      <c r="A659" s="71"/>
      <c r="B659" s="71"/>
      <c r="C659" s="71"/>
      <c r="D659" s="71"/>
      <c r="E659" s="71"/>
      <c r="F659" s="71"/>
      <c r="G659" s="71"/>
      <c r="H659" s="71"/>
      <c r="I659" s="71"/>
      <c r="J659" s="71"/>
      <c r="K659" s="71"/>
      <c r="L659" s="71"/>
      <c r="M659" s="71"/>
      <c r="N659" s="71"/>
      <c r="O659" s="71"/>
      <c r="P659" s="71"/>
      <c r="Q659" s="71"/>
      <c r="R659" s="71"/>
      <c r="T659" s="71"/>
      <c r="U659" s="71"/>
      <c r="V659" s="71"/>
      <c r="W659" s="71"/>
      <c r="X659" s="71"/>
      <c r="Y659" s="71"/>
      <c r="Z659" s="71"/>
    </row>
    <row r="660" spans="1:26" ht="14.25" customHeight="1">
      <c r="A660" s="71"/>
      <c r="B660" s="71"/>
      <c r="C660" s="71"/>
      <c r="D660" s="71"/>
      <c r="E660" s="71"/>
      <c r="F660" s="71"/>
      <c r="G660" s="71"/>
      <c r="H660" s="71"/>
      <c r="I660" s="71"/>
      <c r="J660" s="71"/>
      <c r="K660" s="71"/>
      <c r="L660" s="71"/>
      <c r="M660" s="71"/>
      <c r="N660" s="71"/>
      <c r="O660" s="71"/>
      <c r="P660" s="71"/>
      <c r="Q660" s="71"/>
      <c r="R660" s="71"/>
      <c r="T660" s="71"/>
      <c r="U660" s="71"/>
      <c r="V660" s="71"/>
      <c r="W660" s="71"/>
      <c r="X660" s="71"/>
      <c r="Y660" s="71"/>
      <c r="Z660" s="71"/>
    </row>
    <row r="661" spans="1:26" ht="14.25" customHeight="1">
      <c r="A661" s="71"/>
      <c r="B661" s="71"/>
      <c r="C661" s="71"/>
      <c r="D661" s="71"/>
      <c r="E661" s="71"/>
      <c r="F661" s="71"/>
      <c r="G661" s="71"/>
      <c r="H661" s="71"/>
      <c r="I661" s="71"/>
      <c r="J661" s="71"/>
      <c r="K661" s="71"/>
      <c r="L661" s="71"/>
      <c r="M661" s="71"/>
      <c r="N661" s="71"/>
      <c r="O661" s="71"/>
      <c r="P661" s="71"/>
      <c r="Q661" s="71"/>
      <c r="R661" s="71"/>
      <c r="T661" s="71"/>
      <c r="U661" s="71"/>
      <c r="V661" s="71"/>
      <c r="W661" s="71"/>
      <c r="X661" s="71"/>
      <c r="Y661" s="71"/>
      <c r="Z661" s="71"/>
    </row>
    <row r="662" spans="1:26" ht="14.25" customHeight="1">
      <c r="A662" s="71"/>
      <c r="B662" s="71"/>
      <c r="C662" s="71"/>
      <c r="D662" s="71"/>
      <c r="E662" s="71"/>
      <c r="F662" s="71"/>
      <c r="G662" s="71"/>
      <c r="H662" s="71"/>
      <c r="I662" s="71"/>
      <c r="J662" s="71"/>
      <c r="K662" s="71"/>
      <c r="L662" s="71"/>
      <c r="M662" s="71"/>
      <c r="N662" s="71"/>
      <c r="O662" s="71"/>
      <c r="P662" s="71"/>
      <c r="Q662" s="71"/>
      <c r="R662" s="71"/>
      <c r="T662" s="71"/>
      <c r="U662" s="71"/>
      <c r="V662" s="71"/>
      <c r="W662" s="71"/>
      <c r="X662" s="71"/>
      <c r="Y662" s="71"/>
      <c r="Z662" s="71"/>
    </row>
    <row r="663" spans="1:26" ht="14.25" customHeight="1">
      <c r="A663" s="71"/>
      <c r="B663" s="71"/>
      <c r="C663" s="71"/>
      <c r="D663" s="71"/>
      <c r="E663" s="71"/>
      <c r="F663" s="71"/>
      <c r="G663" s="71"/>
      <c r="H663" s="71"/>
      <c r="I663" s="71"/>
      <c r="J663" s="71"/>
      <c r="K663" s="71"/>
      <c r="L663" s="71"/>
      <c r="M663" s="71"/>
      <c r="N663" s="71"/>
      <c r="O663" s="71"/>
      <c r="P663" s="71"/>
      <c r="Q663" s="71"/>
      <c r="R663" s="71"/>
      <c r="T663" s="71"/>
      <c r="U663" s="71"/>
      <c r="V663" s="71"/>
      <c r="W663" s="71"/>
      <c r="X663" s="71"/>
      <c r="Y663" s="71"/>
      <c r="Z663" s="71"/>
    </row>
    <row r="664" spans="1:26" ht="14.25" customHeight="1">
      <c r="A664" s="71"/>
      <c r="B664" s="71"/>
      <c r="C664" s="71"/>
      <c r="D664" s="71"/>
      <c r="E664" s="71"/>
      <c r="F664" s="71"/>
      <c r="G664" s="71"/>
      <c r="H664" s="71"/>
      <c r="I664" s="71"/>
      <c r="J664" s="71"/>
      <c r="K664" s="71"/>
      <c r="L664" s="71"/>
      <c r="M664" s="71"/>
      <c r="N664" s="71"/>
      <c r="O664" s="71"/>
      <c r="P664" s="71"/>
      <c r="Q664" s="71"/>
      <c r="R664" s="71"/>
      <c r="T664" s="71"/>
      <c r="U664" s="71"/>
      <c r="V664" s="71"/>
      <c r="W664" s="71"/>
      <c r="X664" s="71"/>
      <c r="Y664" s="71"/>
      <c r="Z664" s="71"/>
    </row>
    <row r="665" spans="1:26" ht="14.25" customHeight="1">
      <c r="A665" s="71"/>
      <c r="B665" s="71"/>
      <c r="C665" s="71"/>
      <c r="D665" s="71"/>
      <c r="E665" s="71"/>
      <c r="F665" s="71"/>
      <c r="G665" s="71"/>
      <c r="H665" s="71"/>
      <c r="I665" s="71"/>
      <c r="J665" s="71"/>
      <c r="K665" s="71"/>
      <c r="L665" s="71"/>
      <c r="M665" s="71"/>
      <c r="N665" s="71"/>
      <c r="O665" s="71"/>
      <c r="P665" s="71"/>
      <c r="Q665" s="71"/>
      <c r="R665" s="71"/>
      <c r="T665" s="71"/>
      <c r="U665" s="71"/>
      <c r="V665" s="71"/>
      <c r="W665" s="71"/>
      <c r="X665" s="71"/>
      <c r="Y665" s="71"/>
      <c r="Z665" s="71"/>
    </row>
    <row r="666" spans="1:26" ht="14.25" customHeight="1">
      <c r="A666" s="71"/>
      <c r="B666" s="71"/>
      <c r="C666" s="71"/>
      <c r="D666" s="71"/>
      <c r="E666" s="71"/>
      <c r="F666" s="71"/>
      <c r="G666" s="71"/>
      <c r="H666" s="71"/>
      <c r="I666" s="71"/>
      <c r="J666" s="71"/>
      <c r="K666" s="71"/>
      <c r="L666" s="71"/>
      <c r="M666" s="71"/>
      <c r="N666" s="71"/>
      <c r="O666" s="71"/>
      <c r="P666" s="71"/>
      <c r="Q666" s="71"/>
      <c r="R666" s="71"/>
      <c r="T666" s="71"/>
      <c r="U666" s="71"/>
      <c r="V666" s="71"/>
      <c r="W666" s="71"/>
      <c r="X666" s="71"/>
      <c r="Y666" s="71"/>
      <c r="Z666" s="71"/>
    </row>
    <row r="667" spans="1:26" ht="14.25" customHeight="1">
      <c r="A667" s="71"/>
      <c r="B667" s="71"/>
      <c r="C667" s="71"/>
      <c r="D667" s="71"/>
      <c r="E667" s="71"/>
      <c r="F667" s="71"/>
      <c r="G667" s="71"/>
      <c r="H667" s="71"/>
      <c r="I667" s="71"/>
      <c r="J667" s="71"/>
      <c r="K667" s="71"/>
      <c r="L667" s="71"/>
      <c r="M667" s="71"/>
      <c r="N667" s="71"/>
      <c r="O667" s="71"/>
      <c r="P667" s="71"/>
      <c r="Q667" s="71"/>
      <c r="R667" s="71"/>
      <c r="T667" s="71"/>
      <c r="U667" s="71"/>
      <c r="V667" s="71"/>
      <c r="W667" s="71"/>
      <c r="X667" s="71"/>
      <c r="Y667" s="71"/>
      <c r="Z667" s="71"/>
    </row>
    <row r="668" spans="1:26" ht="14.25" customHeight="1">
      <c r="A668" s="71"/>
      <c r="B668" s="71"/>
      <c r="C668" s="71"/>
      <c r="D668" s="71"/>
      <c r="E668" s="71"/>
      <c r="F668" s="71"/>
      <c r="G668" s="71"/>
      <c r="H668" s="71"/>
      <c r="I668" s="71"/>
      <c r="J668" s="71"/>
      <c r="K668" s="71"/>
      <c r="L668" s="71"/>
      <c r="M668" s="71"/>
      <c r="N668" s="71"/>
      <c r="O668" s="71"/>
      <c r="P668" s="71"/>
      <c r="Q668" s="71"/>
      <c r="R668" s="71"/>
      <c r="T668" s="71"/>
      <c r="U668" s="71"/>
      <c r="V668" s="71"/>
      <c r="W668" s="71"/>
      <c r="X668" s="71"/>
      <c r="Y668" s="71"/>
      <c r="Z668" s="71"/>
    </row>
    <row r="669" spans="1:26" ht="14.25" customHeight="1">
      <c r="A669" s="71"/>
      <c r="B669" s="71"/>
      <c r="C669" s="71"/>
      <c r="D669" s="71"/>
      <c r="E669" s="71"/>
      <c r="F669" s="71"/>
      <c r="G669" s="71"/>
      <c r="H669" s="71"/>
      <c r="I669" s="71"/>
      <c r="J669" s="71"/>
      <c r="K669" s="71"/>
      <c r="L669" s="71"/>
      <c r="M669" s="71"/>
      <c r="N669" s="71"/>
      <c r="O669" s="71"/>
      <c r="P669" s="71"/>
      <c r="Q669" s="71"/>
      <c r="R669" s="71"/>
      <c r="T669" s="71"/>
      <c r="U669" s="71"/>
      <c r="V669" s="71"/>
      <c r="W669" s="71"/>
      <c r="X669" s="71"/>
      <c r="Y669" s="71"/>
      <c r="Z669" s="71"/>
    </row>
    <row r="670" spans="1:26" ht="14.25" customHeight="1">
      <c r="A670" s="71"/>
      <c r="B670" s="71"/>
      <c r="C670" s="71"/>
      <c r="D670" s="71"/>
      <c r="E670" s="71"/>
      <c r="F670" s="71"/>
      <c r="G670" s="71"/>
      <c r="H670" s="71"/>
      <c r="I670" s="71"/>
      <c r="J670" s="71"/>
      <c r="K670" s="71"/>
      <c r="L670" s="71"/>
      <c r="M670" s="71"/>
      <c r="N670" s="71"/>
      <c r="O670" s="71"/>
      <c r="P670" s="71"/>
      <c r="Q670" s="71"/>
      <c r="R670" s="71"/>
      <c r="T670" s="71"/>
      <c r="U670" s="71"/>
      <c r="V670" s="71"/>
      <c r="W670" s="71"/>
      <c r="X670" s="71"/>
      <c r="Y670" s="71"/>
      <c r="Z670" s="71"/>
    </row>
    <row r="671" spans="1:26" ht="14.25" customHeight="1">
      <c r="A671" s="71"/>
      <c r="B671" s="71"/>
      <c r="C671" s="71"/>
      <c r="D671" s="71"/>
      <c r="E671" s="71"/>
      <c r="F671" s="71"/>
      <c r="G671" s="71"/>
      <c r="H671" s="71"/>
      <c r="I671" s="71"/>
      <c r="J671" s="71"/>
      <c r="K671" s="71"/>
      <c r="L671" s="71"/>
      <c r="M671" s="71"/>
      <c r="N671" s="71"/>
      <c r="O671" s="71"/>
      <c r="P671" s="71"/>
      <c r="Q671" s="71"/>
      <c r="R671" s="71"/>
      <c r="T671" s="71"/>
      <c r="U671" s="71"/>
      <c r="V671" s="71"/>
      <c r="W671" s="71"/>
      <c r="X671" s="71"/>
      <c r="Y671" s="71"/>
      <c r="Z671" s="71"/>
    </row>
    <row r="672" spans="1:26" ht="14.25" customHeight="1">
      <c r="A672" s="71"/>
      <c r="B672" s="71"/>
      <c r="C672" s="71"/>
      <c r="D672" s="71"/>
      <c r="E672" s="71"/>
      <c r="F672" s="71"/>
      <c r="G672" s="71"/>
      <c r="H672" s="71"/>
      <c r="I672" s="71"/>
      <c r="J672" s="71"/>
      <c r="K672" s="71"/>
      <c r="L672" s="71"/>
      <c r="M672" s="71"/>
      <c r="N672" s="71"/>
      <c r="O672" s="71"/>
      <c r="P672" s="71"/>
      <c r="Q672" s="71"/>
      <c r="R672" s="71"/>
      <c r="T672" s="71"/>
      <c r="U672" s="71"/>
      <c r="V672" s="71"/>
      <c r="W672" s="71"/>
      <c r="X672" s="71"/>
      <c r="Y672" s="71"/>
      <c r="Z672" s="71"/>
    </row>
    <row r="673" spans="1:26" ht="14.25" customHeight="1">
      <c r="A673" s="71"/>
      <c r="B673" s="71"/>
      <c r="C673" s="71"/>
      <c r="D673" s="71"/>
      <c r="E673" s="71"/>
      <c r="F673" s="71"/>
      <c r="G673" s="71"/>
      <c r="H673" s="71"/>
      <c r="I673" s="71"/>
      <c r="J673" s="71"/>
      <c r="K673" s="71"/>
      <c r="L673" s="71"/>
      <c r="M673" s="71"/>
      <c r="N673" s="71"/>
      <c r="O673" s="71"/>
      <c r="P673" s="71"/>
      <c r="Q673" s="71"/>
      <c r="R673" s="71"/>
      <c r="T673" s="71"/>
      <c r="U673" s="71"/>
      <c r="V673" s="71"/>
      <c r="W673" s="71"/>
      <c r="X673" s="71"/>
      <c r="Y673" s="71"/>
      <c r="Z673" s="71"/>
    </row>
    <row r="674" spans="1:26" ht="14.25" customHeight="1">
      <c r="A674" s="71"/>
      <c r="B674" s="71"/>
      <c r="C674" s="71"/>
      <c r="D674" s="71"/>
      <c r="E674" s="71"/>
      <c r="F674" s="71"/>
      <c r="G674" s="71"/>
      <c r="H674" s="71"/>
      <c r="I674" s="71"/>
      <c r="J674" s="71"/>
      <c r="K674" s="71"/>
      <c r="L674" s="71"/>
      <c r="M674" s="71"/>
      <c r="N674" s="71"/>
      <c r="O674" s="71"/>
      <c r="P674" s="71"/>
      <c r="Q674" s="71"/>
      <c r="R674" s="71"/>
      <c r="T674" s="71"/>
      <c r="U674" s="71"/>
      <c r="V674" s="71"/>
      <c r="W674" s="71"/>
      <c r="X674" s="71"/>
      <c r="Y674" s="71"/>
      <c r="Z674" s="71"/>
    </row>
    <row r="675" spans="1:26" ht="14.25" customHeight="1">
      <c r="A675" s="71"/>
      <c r="B675" s="71"/>
      <c r="C675" s="71"/>
      <c r="D675" s="71"/>
      <c r="E675" s="71"/>
      <c r="F675" s="71"/>
      <c r="G675" s="71"/>
      <c r="H675" s="71"/>
      <c r="I675" s="71"/>
      <c r="J675" s="71"/>
      <c r="K675" s="71"/>
      <c r="L675" s="71"/>
      <c r="M675" s="71"/>
      <c r="N675" s="71"/>
      <c r="O675" s="71"/>
      <c r="P675" s="71"/>
      <c r="Q675" s="71"/>
      <c r="R675" s="71"/>
      <c r="T675" s="71"/>
      <c r="U675" s="71"/>
      <c r="V675" s="71"/>
      <c r="W675" s="71"/>
      <c r="X675" s="71"/>
      <c r="Y675" s="71"/>
      <c r="Z675" s="71"/>
    </row>
    <row r="676" spans="1:26" ht="14.25" customHeight="1">
      <c r="A676" s="71"/>
      <c r="B676" s="71"/>
      <c r="C676" s="71"/>
      <c r="D676" s="71"/>
      <c r="E676" s="71"/>
      <c r="F676" s="71"/>
      <c r="G676" s="71"/>
      <c r="H676" s="71"/>
      <c r="I676" s="71"/>
      <c r="J676" s="71"/>
      <c r="K676" s="71"/>
      <c r="L676" s="71"/>
      <c r="M676" s="71"/>
      <c r="N676" s="71"/>
      <c r="O676" s="71"/>
      <c r="P676" s="71"/>
      <c r="Q676" s="71"/>
      <c r="R676" s="71"/>
      <c r="T676" s="71"/>
      <c r="U676" s="71"/>
      <c r="V676" s="71"/>
      <c r="W676" s="71"/>
      <c r="X676" s="71"/>
      <c r="Y676" s="71"/>
      <c r="Z676" s="71"/>
    </row>
    <row r="677" spans="1:26" ht="14.25" customHeight="1">
      <c r="A677" s="71"/>
      <c r="B677" s="71"/>
      <c r="C677" s="71"/>
      <c r="D677" s="71"/>
      <c r="E677" s="71"/>
      <c r="F677" s="71"/>
      <c r="G677" s="71"/>
      <c r="H677" s="71"/>
      <c r="I677" s="71"/>
      <c r="J677" s="71"/>
      <c r="K677" s="71"/>
      <c r="L677" s="71"/>
      <c r="M677" s="71"/>
      <c r="N677" s="71"/>
      <c r="O677" s="71"/>
      <c r="P677" s="71"/>
      <c r="Q677" s="71"/>
      <c r="R677" s="71"/>
      <c r="T677" s="71"/>
      <c r="U677" s="71"/>
      <c r="V677" s="71"/>
      <c r="W677" s="71"/>
      <c r="X677" s="71"/>
      <c r="Y677" s="71"/>
      <c r="Z677" s="71"/>
    </row>
    <row r="678" spans="1:26" ht="14.25" customHeight="1">
      <c r="A678" s="71"/>
      <c r="B678" s="71"/>
      <c r="C678" s="71"/>
      <c r="D678" s="71"/>
      <c r="E678" s="71"/>
      <c r="F678" s="71"/>
      <c r="G678" s="71"/>
      <c r="H678" s="71"/>
      <c r="I678" s="71"/>
      <c r="J678" s="71"/>
      <c r="K678" s="71"/>
      <c r="L678" s="71"/>
      <c r="M678" s="71"/>
      <c r="N678" s="71"/>
      <c r="O678" s="71"/>
      <c r="P678" s="71"/>
      <c r="Q678" s="71"/>
      <c r="R678" s="71"/>
      <c r="T678" s="71"/>
      <c r="U678" s="71"/>
      <c r="V678" s="71"/>
      <c r="W678" s="71"/>
      <c r="X678" s="71"/>
      <c r="Y678" s="71"/>
      <c r="Z678" s="71"/>
    </row>
    <row r="679" spans="1:26" ht="14.25" customHeight="1">
      <c r="A679" s="71"/>
      <c r="B679" s="71"/>
      <c r="C679" s="71"/>
      <c r="D679" s="71"/>
      <c r="E679" s="71"/>
      <c r="F679" s="71"/>
      <c r="G679" s="71"/>
      <c r="H679" s="71"/>
      <c r="I679" s="71"/>
      <c r="J679" s="71"/>
      <c r="K679" s="71"/>
      <c r="L679" s="71"/>
      <c r="M679" s="71"/>
      <c r="N679" s="71"/>
      <c r="O679" s="71"/>
      <c r="P679" s="71"/>
      <c r="Q679" s="71"/>
      <c r="R679" s="71"/>
      <c r="T679" s="71"/>
      <c r="U679" s="71"/>
      <c r="V679" s="71"/>
      <c r="W679" s="71"/>
      <c r="X679" s="71"/>
      <c r="Y679" s="71"/>
      <c r="Z679" s="71"/>
    </row>
    <row r="680" spans="1:26" ht="14.25" customHeight="1">
      <c r="A680" s="71"/>
      <c r="B680" s="71"/>
      <c r="C680" s="71"/>
      <c r="D680" s="71"/>
      <c r="E680" s="71"/>
      <c r="F680" s="71"/>
      <c r="G680" s="71"/>
      <c r="H680" s="71"/>
      <c r="I680" s="71"/>
      <c r="J680" s="71"/>
      <c r="K680" s="71"/>
      <c r="L680" s="71"/>
      <c r="M680" s="71"/>
      <c r="N680" s="71"/>
      <c r="O680" s="71"/>
      <c r="P680" s="71"/>
      <c r="Q680" s="71"/>
      <c r="R680" s="71"/>
      <c r="T680" s="71"/>
      <c r="U680" s="71"/>
      <c r="V680" s="71"/>
      <c r="W680" s="71"/>
      <c r="X680" s="71"/>
      <c r="Y680" s="71"/>
      <c r="Z680" s="71"/>
    </row>
    <row r="681" spans="1:26" ht="14.25" customHeight="1">
      <c r="A681" s="71"/>
      <c r="B681" s="71"/>
      <c r="C681" s="71"/>
      <c r="D681" s="71"/>
      <c r="E681" s="71"/>
      <c r="F681" s="71"/>
      <c r="G681" s="71"/>
      <c r="H681" s="71"/>
      <c r="I681" s="71"/>
      <c r="J681" s="71"/>
      <c r="K681" s="71"/>
      <c r="L681" s="71"/>
      <c r="M681" s="71"/>
      <c r="N681" s="71"/>
      <c r="O681" s="71"/>
      <c r="P681" s="71"/>
      <c r="Q681" s="71"/>
      <c r="R681" s="71"/>
      <c r="T681" s="71"/>
      <c r="U681" s="71"/>
      <c r="V681" s="71"/>
      <c r="W681" s="71"/>
      <c r="X681" s="71"/>
      <c r="Y681" s="71"/>
      <c r="Z681" s="71"/>
    </row>
    <row r="682" spans="1:26" ht="14.25" customHeight="1">
      <c r="A682" s="71"/>
      <c r="B682" s="71"/>
      <c r="C682" s="71"/>
      <c r="D682" s="71"/>
      <c r="E682" s="71"/>
      <c r="F682" s="71"/>
      <c r="G682" s="71"/>
      <c r="H682" s="71"/>
      <c r="I682" s="71"/>
      <c r="J682" s="71"/>
      <c r="K682" s="71"/>
      <c r="L682" s="71"/>
      <c r="M682" s="71"/>
      <c r="N682" s="71"/>
      <c r="O682" s="71"/>
      <c r="P682" s="71"/>
      <c r="Q682" s="71"/>
      <c r="R682" s="71"/>
      <c r="T682" s="71"/>
      <c r="U682" s="71"/>
      <c r="V682" s="71"/>
      <c r="W682" s="71"/>
      <c r="X682" s="71"/>
      <c r="Y682" s="71"/>
      <c r="Z682" s="71"/>
    </row>
    <row r="683" spans="1:26" ht="14.25" customHeight="1">
      <c r="A683" s="71"/>
      <c r="B683" s="71"/>
      <c r="C683" s="71"/>
      <c r="D683" s="71"/>
      <c r="E683" s="71"/>
      <c r="F683" s="71"/>
      <c r="G683" s="71"/>
      <c r="H683" s="71"/>
      <c r="I683" s="71"/>
      <c r="J683" s="71"/>
      <c r="K683" s="71"/>
      <c r="L683" s="71"/>
      <c r="M683" s="71"/>
      <c r="N683" s="71"/>
      <c r="O683" s="71"/>
      <c r="P683" s="71"/>
      <c r="Q683" s="71"/>
      <c r="R683" s="71"/>
      <c r="T683" s="71"/>
      <c r="U683" s="71"/>
      <c r="V683" s="71"/>
      <c r="W683" s="71"/>
      <c r="X683" s="71"/>
      <c r="Y683" s="71"/>
      <c r="Z683" s="71"/>
    </row>
    <row r="684" spans="1:26" ht="14.25" customHeight="1">
      <c r="A684" s="71"/>
      <c r="B684" s="71"/>
      <c r="C684" s="71"/>
      <c r="D684" s="71"/>
      <c r="E684" s="71"/>
      <c r="F684" s="71"/>
      <c r="G684" s="71"/>
      <c r="H684" s="71"/>
      <c r="I684" s="71"/>
      <c r="J684" s="71"/>
      <c r="K684" s="71"/>
      <c r="L684" s="71"/>
      <c r="M684" s="71"/>
      <c r="N684" s="71"/>
      <c r="O684" s="71"/>
      <c r="P684" s="71"/>
      <c r="Q684" s="71"/>
      <c r="R684" s="71"/>
      <c r="T684" s="71"/>
      <c r="U684" s="71"/>
      <c r="V684" s="71"/>
      <c r="W684" s="71"/>
      <c r="X684" s="71"/>
      <c r="Y684" s="71"/>
      <c r="Z684" s="71"/>
    </row>
    <row r="685" spans="1:26" ht="14.25" customHeight="1">
      <c r="A685" s="71"/>
      <c r="B685" s="71"/>
      <c r="C685" s="71"/>
      <c r="D685" s="71"/>
      <c r="E685" s="71"/>
      <c r="F685" s="71"/>
      <c r="G685" s="71"/>
      <c r="H685" s="71"/>
      <c r="I685" s="71"/>
      <c r="J685" s="71"/>
      <c r="K685" s="71"/>
      <c r="L685" s="71"/>
      <c r="M685" s="71"/>
      <c r="N685" s="71"/>
      <c r="O685" s="71"/>
      <c r="P685" s="71"/>
      <c r="Q685" s="71"/>
      <c r="R685" s="71"/>
      <c r="T685" s="71"/>
      <c r="U685" s="71"/>
      <c r="V685" s="71"/>
      <c r="W685" s="71"/>
      <c r="X685" s="71"/>
      <c r="Y685" s="71"/>
      <c r="Z685" s="71"/>
    </row>
    <row r="686" spans="1:26" ht="14.25" customHeight="1">
      <c r="A686" s="71"/>
      <c r="B686" s="71"/>
      <c r="C686" s="71"/>
      <c r="D686" s="71"/>
      <c r="E686" s="71"/>
      <c r="F686" s="71"/>
      <c r="G686" s="71"/>
      <c r="H686" s="71"/>
      <c r="I686" s="71"/>
      <c r="J686" s="71"/>
      <c r="K686" s="71"/>
      <c r="L686" s="71"/>
      <c r="M686" s="71"/>
      <c r="N686" s="71"/>
      <c r="O686" s="71"/>
      <c r="P686" s="71"/>
      <c r="Q686" s="71"/>
      <c r="R686" s="71"/>
      <c r="T686" s="71"/>
      <c r="U686" s="71"/>
      <c r="V686" s="71"/>
      <c r="W686" s="71"/>
      <c r="X686" s="71"/>
      <c r="Y686" s="71"/>
      <c r="Z686" s="71"/>
    </row>
    <row r="687" spans="1:26" ht="14.25" customHeight="1">
      <c r="A687" s="71"/>
      <c r="B687" s="71"/>
      <c r="C687" s="71"/>
      <c r="D687" s="71"/>
      <c r="E687" s="71"/>
      <c r="F687" s="71"/>
      <c r="G687" s="71"/>
      <c r="H687" s="71"/>
      <c r="I687" s="71"/>
      <c r="J687" s="71"/>
      <c r="K687" s="71"/>
      <c r="L687" s="71"/>
      <c r="M687" s="71"/>
      <c r="N687" s="71"/>
      <c r="O687" s="71"/>
      <c r="P687" s="71"/>
      <c r="Q687" s="71"/>
      <c r="R687" s="71"/>
      <c r="T687" s="71"/>
      <c r="U687" s="71"/>
      <c r="V687" s="71"/>
      <c r="W687" s="71"/>
      <c r="X687" s="71"/>
      <c r="Y687" s="71"/>
      <c r="Z687" s="71"/>
    </row>
    <row r="688" spans="1:26" ht="14.25" customHeight="1">
      <c r="A688" s="71"/>
      <c r="B688" s="71"/>
      <c r="C688" s="71"/>
      <c r="D688" s="71"/>
      <c r="E688" s="71"/>
      <c r="F688" s="71"/>
      <c r="G688" s="71"/>
      <c r="H688" s="71"/>
      <c r="I688" s="71"/>
      <c r="J688" s="71"/>
      <c r="K688" s="71"/>
      <c r="L688" s="71"/>
      <c r="M688" s="71"/>
      <c r="N688" s="71"/>
      <c r="O688" s="71"/>
      <c r="P688" s="71"/>
      <c r="Q688" s="71"/>
      <c r="R688" s="71"/>
      <c r="T688" s="71"/>
      <c r="U688" s="71"/>
      <c r="V688" s="71"/>
      <c r="W688" s="71"/>
      <c r="X688" s="71"/>
      <c r="Y688" s="71"/>
      <c r="Z688" s="71"/>
    </row>
    <row r="689" spans="1:26" ht="14.25" customHeight="1">
      <c r="A689" s="71"/>
      <c r="B689" s="71"/>
      <c r="C689" s="71"/>
      <c r="D689" s="71"/>
      <c r="E689" s="71"/>
      <c r="F689" s="71"/>
      <c r="G689" s="71"/>
      <c r="H689" s="71"/>
      <c r="I689" s="71"/>
      <c r="J689" s="71"/>
      <c r="K689" s="71"/>
      <c r="L689" s="71"/>
      <c r="M689" s="71"/>
      <c r="N689" s="71"/>
      <c r="O689" s="71"/>
      <c r="P689" s="71"/>
      <c r="Q689" s="71"/>
      <c r="R689" s="71"/>
      <c r="T689" s="71"/>
      <c r="U689" s="71"/>
      <c r="V689" s="71"/>
      <c r="W689" s="71"/>
      <c r="X689" s="71"/>
      <c r="Y689" s="71"/>
      <c r="Z689" s="71"/>
    </row>
    <row r="690" spans="1:26" ht="14.25" customHeight="1">
      <c r="A690" s="71"/>
      <c r="B690" s="71"/>
      <c r="C690" s="71"/>
      <c r="D690" s="71"/>
      <c r="E690" s="71"/>
      <c r="F690" s="71"/>
      <c r="G690" s="71"/>
      <c r="H690" s="71"/>
      <c r="I690" s="71"/>
      <c r="J690" s="71"/>
      <c r="K690" s="71"/>
      <c r="L690" s="71"/>
      <c r="M690" s="71"/>
      <c r="N690" s="71"/>
      <c r="O690" s="71"/>
      <c r="P690" s="71"/>
      <c r="Q690" s="71"/>
      <c r="R690" s="71"/>
      <c r="T690" s="71"/>
      <c r="U690" s="71"/>
      <c r="V690" s="71"/>
      <c r="W690" s="71"/>
      <c r="X690" s="71"/>
      <c r="Y690" s="71"/>
      <c r="Z690" s="71"/>
    </row>
    <row r="691" spans="1:26" ht="14.25" customHeight="1">
      <c r="A691" s="71"/>
      <c r="B691" s="71"/>
      <c r="C691" s="71"/>
      <c r="D691" s="71"/>
      <c r="E691" s="71"/>
      <c r="F691" s="71"/>
      <c r="G691" s="71"/>
      <c r="H691" s="71"/>
      <c r="I691" s="71"/>
      <c r="J691" s="71"/>
      <c r="K691" s="71"/>
      <c r="L691" s="71"/>
      <c r="M691" s="71"/>
      <c r="N691" s="71"/>
      <c r="O691" s="71"/>
      <c r="P691" s="71"/>
      <c r="Q691" s="71"/>
      <c r="R691" s="71"/>
      <c r="T691" s="71"/>
      <c r="U691" s="71"/>
      <c r="V691" s="71"/>
      <c r="W691" s="71"/>
      <c r="X691" s="71"/>
      <c r="Y691" s="71"/>
      <c r="Z691" s="71"/>
    </row>
    <row r="692" spans="1:26" ht="14.25" customHeight="1">
      <c r="A692" s="71"/>
      <c r="B692" s="71"/>
      <c r="C692" s="71"/>
      <c r="D692" s="71"/>
      <c r="E692" s="71"/>
      <c r="F692" s="71"/>
      <c r="G692" s="71"/>
      <c r="H692" s="71"/>
      <c r="I692" s="71"/>
      <c r="J692" s="71"/>
      <c r="K692" s="71"/>
      <c r="L692" s="71"/>
      <c r="M692" s="71"/>
      <c r="N692" s="71"/>
      <c r="O692" s="71"/>
      <c r="P692" s="71"/>
      <c r="Q692" s="71"/>
      <c r="R692" s="71"/>
      <c r="T692" s="71"/>
      <c r="U692" s="71"/>
      <c r="V692" s="71"/>
      <c r="W692" s="71"/>
      <c r="X692" s="71"/>
      <c r="Y692" s="71"/>
      <c r="Z692" s="71"/>
    </row>
    <row r="693" spans="1:26" ht="14.25" customHeight="1">
      <c r="A693" s="71"/>
      <c r="B693" s="71"/>
      <c r="C693" s="71"/>
      <c r="D693" s="71"/>
      <c r="E693" s="71"/>
      <c r="F693" s="71"/>
      <c r="G693" s="71"/>
      <c r="H693" s="71"/>
      <c r="I693" s="71"/>
      <c r="J693" s="71"/>
      <c r="K693" s="71"/>
      <c r="L693" s="71"/>
      <c r="M693" s="71"/>
      <c r="N693" s="71"/>
      <c r="O693" s="71"/>
      <c r="P693" s="71"/>
      <c r="Q693" s="71"/>
      <c r="R693" s="71"/>
      <c r="T693" s="71"/>
      <c r="U693" s="71"/>
      <c r="V693" s="71"/>
      <c r="W693" s="71"/>
      <c r="X693" s="71"/>
      <c r="Y693" s="71"/>
      <c r="Z693" s="71"/>
    </row>
    <row r="694" spans="1:26" ht="14.25" customHeight="1">
      <c r="A694" s="71"/>
      <c r="B694" s="71"/>
      <c r="C694" s="71"/>
      <c r="D694" s="71"/>
      <c r="E694" s="71"/>
      <c r="F694" s="71"/>
      <c r="G694" s="71"/>
      <c r="H694" s="71"/>
      <c r="I694" s="71"/>
      <c r="J694" s="71"/>
      <c r="K694" s="71"/>
      <c r="L694" s="71"/>
      <c r="M694" s="71"/>
      <c r="N694" s="71"/>
      <c r="O694" s="71"/>
      <c r="P694" s="71"/>
      <c r="Q694" s="71"/>
      <c r="R694" s="71"/>
      <c r="T694" s="71"/>
      <c r="U694" s="71"/>
      <c r="V694" s="71"/>
      <c r="W694" s="71"/>
      <c r="X694" s="71"/>
      <c r="Y694" s="71"/>
      <c r="Z694" s="71"/>
    </row>
    <row r="695" spans="1:26" ht="14.25" customHeight="1">
      <c r="A695" s="71"/>
      <c r="B695" s="71"/>
      <c r="C695" s="71"/>
      <c r="D695" s="71"/>
      <c r="E695" s="71"/>
      <c r="F695" s="71"/>
      <c r="G695" s="71"/>
      <c r="H695" s="71"/>
      <c r="I695" s="71"/>
      <c r="J695" s="71"/>
      <c r="K695" s="71"/>
      <c r="L695" s="71"/>
      <c r="M695" s="71"/>
      <c r="N695" s="71"/>
      <c r="O695" s="71"/>
      <c r="P695" s="71"/>
      <c r="Q695" s="71"/>
      <c r="R695" s="71"/>
      <c r="T695" s="71"/>
      <c r="U695" s="71"/>
      <c r="V695" s="71"/>
      <c r="W695" s="71"/>
      <c r="X695" s="71"/>
      <c r="Y695" s="71"/>
      <c r="Z695" s="71"/>
    </row>
    <row r="696" spans="1:26" ht="14.25" customHeight="1">
      <c r="A696" s="71"/>
      <c r="B696" s="71"/>
      <c r="C696" s="71"/>
      <c r="D696" s="71"/>
      <c r="E696" s="71"/>
      <c r="F696" s="71"/>
      <c r="G696" s="71"/>
      <c r="H696" s="71"/>
      <c r="I696" s="71"/>
      <c r="J696" s="71"/>
      <c r="K696" s="71"/>
      <c r="L696" s="71"/>
      <c r="M696" s="71"/>
      <c r="N696" s="71"/>
      <c r="O696" s="71"/>
      <c r="P696" s="71"/>
      <c r="Q696" s="71"/>
      <c r="R696" s="71"/>
      <c r="T696" s="71"/>
      <c r="U696" s="71"/>
      <c r="V696" s="71"/>
      <c r="W696" s="71"/>
      <c r="X696" s="71"/>
      <c r="Y696" s="71"/>
      <c r="Z696" s="71"/>
    </row>
    <row r="697" spans="1:26" ht="14.25" customHeight="1">
      <c r="A697" s="71"/>
      <c r="B697" s="71"/>
      <c r="C697" s="71"/>
      <c r="D697" s="71"/>
      <c r="E697" s="71"/>
      <c r="F697" s="71"/>
      <c r="G697" s="71"/>
      <c r="H697" s="71"/>
      <c r="I697" s="71"/>
      <c r="J697" s="71"/>
      <c r="K697" s="71"/>
      <c r="L697" s="71"/>
      <c r="M697" s="71"/>
      <c r="N697" s="71"/>
      <c r="O697" s="71"/>
      <c r="P697" s="71"/>
      <c r="Q697" s="71"/>
      <c r="R697" s="71"/>
      <c r="T697" s="71"/>
      <c r="U697" s="71"/>
      <c r="V697" s="71"/>
      <c r="W697" s="71"/>
      <c r="X697" s="71"/>
      <c r="Y697" s="71"/>
      <c r="Z697" s="71"/>
    </row>
    <row r="698" spans="1:26" ht="14.25" customHeight="1">
      <c r="A698" s="71"/>
      <c r="B698" s="71"/>
      <c r="C698" s="71"/>
      <c r="D698" s="71"/>
      <c r="E698" s="71"/>
      <c r="F698" s="71"/>
      <c r="G698" s="71"/>
      <c r="H698" s="71"/>
      <c r="I698" s="71"/>
      <c r="J698" s="71"/>
      <c r="K698" s="71"/>
      <c r="L698" s="71"/>
      <c r="M698" s="71"/>
      <c r="N698" s="71"/>
      <c r="O698" s="71"/>
      <c r="P698" s="71"/>
      <c r="Q698" s="71"/>
      <c r="R698" s="71"/>
      <c r="T698" s="71"/>
      <c r="U698" s="71"/>
      <c r="V698" s="71"/>
      <c r="W698" s="71"/>
      <c r="X698" s="71"/>
      <c r="Y698" s="71"/>
      <c r="Z698" s="71"/>
    </row>
    <row r="699" spans="1:26" ht="14.25" customHeight="1">
      <c r="A699" s="71"/>
      <c r="B699" s="71"/>
      <c r="C699" s="71"/>
      <c r="D699" s="71"/>
      <c r="E699" s="71"/>
      <c r="F699" s="71"/>
      <c r="G699" s="71"/>
      <c r="H699" s="71"/>
      <c r="I699" s="71"/>
      <c r="J699" s="71"/>
      <c r="K699" s="71"/>
      <c r="L699" s="71"/>
      <c r="M699" s="71"/>
      <c r="N699" s="71"/>
      <c r="O699" s="71"/>
      <c r="P699" s="71"/>
      <c r="Q699" s="71"/>
      <c r="R699" s="71"/>
      <c r="T699" s="71"/>
      <c r="U699" s="71"/>
      <c r="V699" s="71"/>
      <c r="W699" s="71"/>
      <c r="X699" s="71"/>
      <c r="Y699" s="71"/>
      <c r="Z699" s="71"/>
    </row>
    <row r="700" spans="1:26" ht="14.25" customHeight="1">
      <c r="A700" s="71"/>
      <c r="B700" s="71"/>
      <c r="C700" s="71"/>
      <c r="D700" s="71"/>
      <c r="E700" s="71"/>
      <c r="F700" s="71"/>
      <c r="G700" s="71"/>
      <c r="H700" s="71"/>
      <c r="I700" s="71"/>
      <c r="J700" s="71"/>
      <c r="K700" s="71"/>
      <c r="L700" s="71"/>
      <c r="M700" s="71"/>
      <c r="N700" s="71"/>
      <c r="O700" s="71"/>
      <c r="P700" s="71"/>
      <c r="Q700" s="71"/>
      <c r="R700" s="71"/>
      <c r="T700" s="71"/>
      <c r="U700" s="71"/>
      <c r="V700" s="71"/>
      <c r="W700" s="71"/>
      <c r="X700" s="71"/>
      <c r="Y700" s="71"/>
      <c r="Z700" s="71"/>
    </row>
    <row r="701" spans="1:26" ht="14.25" customHeight="1">
      <c r="A701" s="71"/>
      <c r="B701" s="71"/>
      <c r="C701" s="71"/>
      <c r="D701" s="71"/>
      <c r="E701" s="71"/>
      <c r="F701" s="71"/>
      <c r="G701" s="71"/>
      <c r="H701" s="71"/>
      <c r="I701" s="71"/>
      <c r="J701" s="71"/>
      <c r="K701" s="71"/>
      <c r="L701" s="71"/>
      <c r="M701" s="71"/>
      <c r="N701" s="71"/>
      <c r="O701" s="71"/>
      <c r="P701" s="71"/>
      <c r="Q701" s="71"/>
      <c r="R701" s="71"/>
      <c r="T701" s="71"/>
      <c r="U701" s="71"/>
      <c r="V701" s="71"/>
      <c r="W701" s="71"/>
      <c r="X701" s="71"/>
      <c r="Y701" s="71"/>
      <c r="Z701" s="71"/>
    </row>
    <row r="702" spans="1:26" ht="14.25" customHeight="1">
      <c r="A702" s="71"/>
      <c r="B702" s="71"/>
      <c r="C702" s="71"/>
      <c r="D702" s="71"/>
      <c r="E702" s="71"/>
      <c r="F702" s="71"/>
      <c r="G702" s="71"/>
      <c r="H702" s="71"/>
      <c r="I702" s="71"/>
      <c r="J702" s="71"/>
      <c r="K702" s="71"/>
      <c r="L702" s="71"/>
      <c r="M702" s="71"/>
      <c r="N702" s="71"/>
      <c r="O702" s="71"/>
      <c r="P702" s="71"/>
      <c r="Q702" s="71"/>
      <c r="R702" s="71"/>
      <c r="T702" s="71"/>
      <c r="U702" s="71"/>
      <c r="V702" s="71"/>
      <c r="W702" s="71"/>
      <c r="X702" s="71"/>
      <c r="Y702" s="71"/>
      <c r="Z702" s="71"/>
    </row>
    <row r="703" spans="1:26" ht="14.25" customHeight="1">
      <c r="A703" s="71"/>
      <c r="B703" s="71"/>
      <c r="C703" s="71"/>
      <c r="D703" s="71"/>
      <c r="E703" s="71"/>
      <c r="F703" s="71"/>
      <c r="G703" s="71"/>
      <c r="H703" s="71"/>
      <c r="I703" s="71"/>
      <c r="J703" s="71"/>
      <c r="K703" s="71"/>
      <c r="L703" s="71"/>
      <c r="M703" s="71"/>
      <c r="N703" s="71"/>
      <c r="O703" s="71"/>
      <c r="P703" s="71"/>
      <c r="Q703" s="71"/>
      <c r="R703" s="71"/>
      <c r="T703" s="71"/>
      <c r="U703" s="71"/>
      <c r="V703" s="71"/>
      <c r="W703" s="71"/>
      <c r="X703" s="71"/>
      <c r="Y703" s="71"/>
      <c r="Z703" s="71"/>
    </row>
    <row r="704" spans="1:26" ht="14.25" customHeight="1">
      <c r="A704" s="71"/>
      <c r="B704" s="71"/>
      <c r="C704" s="71"/>
      <c r="D704" s="71"/>
      <c r="E704" s="71"/>
      <c r="F704" s="71"/>
      <c r="G704" s="71"/>
      <c r="H704" s="71"/>
      <c r="I704" s="71"/>
      <c r="J704" s="71"/>
      <c r="K704" s="71"/>
      <c r="L704" s="71"/>
      <c r="M704" s="71"/>
      <c r="N704" s="71"/>
      <c r="O704" s="71"/>
      <c r="P704" s="71"/>
      <c r="Q704" s="71"/>
      <c r="R704" s="71"/>
      <c r="T704" s="71"/>
      <c r="U704" s="71"/>
      <c r="V704" s="71"/>
      <c r="W704" s="71"/>
      <c r="X704" s="71"/>
      <c r="Y704" s="71"/>
      <c r="Z704" s="71"/>
    </row>
    <row r="705" spans="1:26" ht="14.25" customHeight="1">
      <c r="A705" s="71"/>
      <c r="B705" s="71"/>
      <c r="C705" s="71"/>
      <c r="D705" s="71"/>
      <c r="E705" s="71"/>
      <c r="F705" s="71"/>
      <c r="G705" s="71"/>
      <c r="H705" s="71"/>
      <c r="I705" s="71"/>
      <c r="J705" s="71"/>
      <c r="K705" s="71"/>
      <c r="L705" s="71"/>
      <c r="M705" s="71"/>
      <c r="N705" s="71"/>
      <c r="O705" s="71"/>
      <c r="P705" s="71"/>
      <c r="Q705" s="71"/>
      <c r="R705" s="71"/>
      <c r="T705" s="71"/>
      <c r="U705" s="71"/>
      <c r="V705" s="71"/>
      <c r="W705" s="71"/>
      <c r="X705" s="71"/>
      <c r="Y705" s="71"/>
      <c r="Z705" s="71"/>
    </row>
    <row r="706" spans="1:26" ht="14.25" customHeight="1">
      <c r="A706" s="71"/>
      <c r="B706" s="71"/>
      <c r="C706" s="71"/>
      <c r="D706" s="71"/>
      <c r="E706" s="71"/>
      <c r="F706" s="71"/>
      <c r="G706" s="71"/>
      <c r="H706" s="71"/>
      <c r="I706" s="71"/>
      <c r="J706" s="71"/>
      <c r="K706" s="71"/>
      <c r="L706" s="71"/>
      <c r="M706" s="71"/>
      <c r="N706" s="71"/>
      <c r="O706" s="71"/>
      <c r="P706" s="71"/>
      <c r="Q706" s="71"/>
      <c r="R706" s="71"/>
      <c r="T706" s="71"/>
      <c r="U706" s="71"/>
      <c r="V706" s="71"/>
      <c r="W706" s="71"/>
      <c r="X706" s="71"/>
      <c r="Y706" s="71"/>
      <c r="Z706" s="71"/>
    </row>
    <row r="707" spans="1:26" ht="14.25" customHeight="1">
      <c r="A707" s="71"/>
      <c r="B707" s="71"/>
      <c r="C707" s="71"/>
      <c r="D707" s="71"/>
      <c r="E707" s="71"/>
      <c r="F707" s="71"/>
      <c r="G707" s="71"/>
      <c r="H707" s="71"/>
      <c r="I707" s="71"/>
      <c r="J707" s="71"/>
      <c r="K707" s="71"/>
      <c r="L707" s="71"/>
      <c r="M707" s="71"/>
      <c r="N707" s="71"/>
      <c r="O707" s="71"/>
      <c r="P707" s="71"/>
      <c r="Q707" s="71"/>
      <c r="R707" s="71"/>
      <c r="T707" s="71"/>
      <c r="U707" s="71"/>
      <c r="V707" s="71"/>
      <c r="W707" s="71"/>
      <c r="X707" s="71"/>
      <c r="Y707" s="71"/>
      <c r="Z707" s="71"/>
    </row>
    <row r="708" spans="1:26" ht="14.25" customHeight="1">
      <c r="A708" s="71"/>
      <c r="B708" s="71"/>
      <c r="C708" s="71"/>
      <c r="D708" s="71"/>
      <c r="E708" s="71"/>
      <c r="F708" s="71"/>
      <c r="G708" s="71"/>
      <c r="H708" s="71"/>
      <c r="I708" s="71"/>
      <c r="J708" s="71"/>
      <c r="K708" s="71"/>
      <c r="L708" s="71"/>
      <c r="M708" s="71"/>
      <c r="N708" s="71"/>
      <c r="O708" s="71"/>
      <c r="P708" s="71"/>
      <c r="Q708" s="71"/>
      <c r="R708" s="71"/>
      <c r="T708" s="71"/>
      <c r="U708" s="71"/>
      <c r="V708" s="71"/>
      <c r="W708" s="71"/>
      <c r="X708" s="71"/>
      <c r="Y708" s="71"/>
      <c r="Z708" s="71"/>
    </row>
    <row r="709" spans="1:26" ht="14.25" customHeight="1">
      <c r="A709" s="71"/>
      <c r="B709" s="71"/>
      <c r="C709" s="71"/>
      <c r="D709" s="71"/>
      <c r="E709" s="71"/>
      <c r="F709" s="71"/>
      <c r="G709" s="71"/>
      <c r="H709" s="71"/>
      <c r="I709" s="71"/>
      <c r="J709" s="71"/>
      <c r="K709" s="71"/>
      <c r="L709" s="71"/>
      <c r="M709" s="71"/>
      <c r="N709" s="71"/>
      <c r="O709" s="71"/>
      <c r="P709" s="71"/>
      <c r="Q709" s="71"/>
      <c r="R709" s="71"/>
      <c r="T709" s="71"/>
      <c r="U709" s="71"/>
      <c r="V709" s="71"/>
      <c r="W709" s="71"/>
      <c r="X709" s="71"/>
      <c r="Y709" s="71"/>
      <c r="Z709" s="71"/>
    </row>
    <row r="710" spans="1:26" ht="14.25" customHeight="1">
      <c r="A710" s="71"/>
      <c r="B710" s="71"/>
      <c r="C710" s="71"/>
      <c r="D710" s="71"/>
      <c r="E710" s="71"/>
      <c r="F710" s="71"/>
      <c r="G710" s="71"/>
      <c r="H710" s="71"/>
      <c r="I710" s="71"/>
      <c r="J710" s="71"/>
      <c r="K710" s="71"/>
      <c r="L710" s="71"/>
      <c r="M710" s="71"/>
      <c r="N710" s="71"/>
      <c r="O710" s="71"/>
      <c r="P710" s="71"/>
      <c r="Q710" s="71"/>
      <c r="R710" s="71"/>
      <c r="T710" s="71"/>
      <c r="U710" s="71"/>
      <c r="V710" s="71"/>
      <c r="W710" s="71"/>
      <c r="X710" s="71"/>
      <c r="Y710" s="71"/>
      <c r="Z710" s="71"/>
    </row>
    <row r="711" spans="1:26" ht="14.25" customHeight="1">
      <c r="A711" s="71"/>
      <c r="B711" s="71"/>
      <c r="C711" s="71"/>
      <c r="D711" s="71"/>
      <c r="E711" s="71"/>
      <c r="F711" s="71"/>
      <c r="G711" s="71"/>
      <c r="H711" s="71"/>
      <c r="I711" s="71"/>
      <c r="J711" s="71"/>
      <c r="K711" s="71"/>
      <c r="L711" s="71"/>
      <c r="M711" s="71"/>
      <c r="N711" s="71"/>
      <c r="O711" s="71"/>
      <c r="P711" s="71"/>
      <c r="Q711" s="71"/>
      <c r="R711" s="71"/>
      <c r="T711" s="71"/>
      <c r="U711" s="71"/>
      <c r="V711" s="71"/>
      <c r="W711" s="71"/>
      <c r="X711" s="71"/>
      <c r="Y711" s="71"/>
      <c r="Z711" s="71"/>
    </row>
    <row r="712" spans="1:26" ht="14.25" customHeight="1">
      <c r="A712" s="71"/>
      <c r="B712" s="71"/>
      <c r="C712" s="71"/>
      <c r="D712" s="71"/>
      <c r="E712" s="71"/>
      <c r="F712" s="71"/>
      <c r="G712" s="71"/>
      <c r="H712" s="71"/>
      <c r="I712" s="71"/>
      <c r="J712" s="71"/>
      <c r="K712" s="71"/>
      <c r="L712" s="71"/>
      <c r="M712" s="71"/>
      <c r="N712" s="71"/>
      <c r="O712" s="71"/>
      <c r="P712" s="71"/>
      <c r="Q712" s="71"/>
      <c r="R712" s="71"/>
      <c r="T712" s="71"/>
      <c r="U712" s="71"/>
      <c r="V712" s="71"/>
      <c r="W712" s="71"/>
      <c r="X712" s="71"/>
      <c r="Y712" s="71"/>
      <c r="Z712" s="71"/>
    </row>
    <row r="713" spans="1:26" ht="14.25" customHeight="1">
      <c r="A713" s="71"/>
      <c r="B713" s="71"/>
      <c r="C713" s="71"/>
      <c r="D713" s="71"/>
      <c r="E713" s="71"/>
      <c r="F713" s="71"/>
      <c r="G713" s="71"/>
      <c r="H713" s="71"/>
      <c r="I713" s="71"/>
      <c r="J713" s="71"/>
      <c r="K713" s="71"/>
      <c r="L713" s="71"/>
      <c r="M713" s="71"/>
      <c r="N713" s="71"/>
      <c r="O713" s="71"/>
      <c r="P713" s="71"/>
      <c r="Q713" s="71"/>
      <c r="R713" s="71"/>
      <c r="T713" s="71"/>
      <c r="U713" s="71"/>
      <c r="V713" s="71"/>
      <c r="W713" s="71"/>
      <c r="X713" s="71"/>
      <c r="Y713" s="71"/>
      <c r="Z713" s="71"/>
    </row>
    <row r="714" spans="1:26" ht="14.25" customHeight="1">
      <c r="A714" s="71"/>
      <c r="B714" s="71"/>
      <c r="C714" s="71"/>
      <c r="D714" s="71"/>
      <c r="E714" s="71"/>
      <c r="F714" s="71"/>
      <c r="G714" s="71"/>
      <c r="H714" s="71"/>
      <c r="I714" s="71"/>
      <c r="J714" s="71"/>
      <c r="K714" s="71"/>
      <c r="L714" s="71"/>
      <c r="M714" s="71"/>
      <c r="N714" s="71"/>
      <c r="O714" s="71"/>
      <c r="P714" s="71"/>
      <c r="Q714" s="71"/>
      <c r="R714" s="71"/>
      <c r="T714" s="71"/>
      <c r="U714" s="71"/>
      <c r="V714" s="71"/>
      <c r="W714" s="71"/>
      <c r="X714" s="71"/>
      <c r="Y714" s="71"/>
      <c r="Z714" s="71"/>
    </row>
    <row r="715" spans="1:26" ht="14.25" customHeight="1">
      <c r="A715" s="71"/>
      <c r="B715" s="71"/>
      <c r="C715" s="71"/>
      <c r="D715" s="71"/>
      <c r="E715" s="71"/>
      <c r="F715" s="71"/>
      <c r="G715" s="71"/>
      <c r="H715" s="71"/>
      <c r="I715" s="71"/>
      <c r="J715" s="71"/>
      <c r="K715" s="71"/>
      <c r="L715" s="71"/>
      <c r="M715" s="71"/>
      <c r="N715" s="71"/>
      <c r="O715" s="71"/>
      <c r="P715" s="71"/>
      <c r="Q715" s="71"/>
      <c r="R715" s="71"/>
      <c r="T715" s="71"/>
      <c r="U715" s="71"/>
      <c r="V715" s="71"/>
      <c r="W715" s="71"/>
      <c r="X715" s="71"/>
      <c r="Y715" s="71"/>
      <c r="Z715" s="71"/>
    </row>
    <row r="716" spans="1:26" ht="14.25" customHeight="1">
      <c r="A716" s="71"/>
      <c r="B716" s="71"/>
      <c r="C716" s="71"/>
      <c r="D716" s="71"/>
      <c r="E716" s="71"/>
      <c r="F716" s="71"/>
      <c r="G716" s="71"/>
      <c r="H716" s="71"/>
      <c r="I716" s="71"/>
      <c r="J716" s="71"/>
      <c r="K716" s="71"/>
      <c r="L716" s="71"/>
      <c r="M716" s="71"/>
      <c r="N716" s="71"/>
      <c r="O716" s="71"/>
      <c r="P716" s="71"/>
      <c r="Q716" s="71"/>
      <c r="R716" s="71"/>
      <c r="T716" s="71"/>
      <c r="U716" s="71"/>
      <c r="V716" s="71"/>
      <c r="W716" s="71"/>
      <c r="X716" s="71"/>
      <c r="Y716" s="71"/>
      <c r="Z716" s="71"/>
    </row>
    <row r="717" spans="1:26" ht="14.25" customHeight="1">
      <c r="A717" s="71"/>
      <c r="B717" s="71"/>
      <c r="C717" s="71"/>
      <c r="D717" s="71"/>
      <c r="E717" s="71"/>
      <c r="F717" s="71"/>
      <c r="G717" s="71"/>
      <c r="H717" s="71"/>
      <c r="I717" s="71"/>
      <c r="J717" s="71"/>
      <c r="K717" s="71"/>
      <c r="L717" s="71"/>
      <c r="M717" s="71"/>
      <c r="N717" s="71"/>
      <c r="O717" s="71"/>
      <c r="P717" s="71"/>
      <c r="Q717" s="71"/>
      <c r="R717" s="71"/>
      <c r="T717" s="71"/>
      <c r="U717" s="71"/>
      <c r="V717" s="71"/>
      <c r="W717" s="71"/>
      <c r="X717" s="71"/>
      <c r="Y717" s="71"/>
      <c r="Z717" s="71"/>
    </row>
    <row r="718" spans="1:26" ht="14.25" customHeight="1">
      <c r="A718" s="71"/>
      <c r="B718" s="71"/>
      <c r="C718" s="71"/>
      <c r="D718" s="71"/>
      <c r="E718" s="71"/>
      <c r="F718" s="71"/>
      <c r="G718" s="71"/>
      <c r="H718" s="71"/>
      <c r="I718" s="71"/>
      <c r="J718" s="71"/>
      <c r="K718" s="71"/>
      <c r="L718" s="71"/>
      <c r="M718" s="71"/>
      <c r="N718" s="71"/>
      <c r="O718" s="71"/>
      <c r="P718" s="71"/>
      <c r="Q718" s="71"/>
      <c r="R718" s="71"/>
      <c r="T718" s="71"/>
      <c r="U718" s="71"/>
      <c r="V718" s="71"/>
      <c r="W718" s="71"/>
      <c r="X718" s="71"/>
      <c r="Y718" s="71"/>
      <c r="Z718" s="71"/>
    </row>
    <row r="719" spans="1:26" ht="14.25" customHeight="1">
      <c r="A719" s="71"/>
      <c r="B719" s="71"/>
      <c r="C719" s="71"/>
      <c r="D719" s="71"/>
      <c r="E719" s="71"/>
      <c r="F719" s="71"/>
      <c r="G719" s="71"/>
      <c r="H719" s="71"/>
      <c r="I719" s="71"/>
      <c r="J719" s="71"/>
      <c r="K719" s="71"/>
      <c r="L719" s="71"/>
      <c r="M719" s="71"/>
      <c r="N719" s="71"/>
      <c r="O719" s="71"/>
      <c r="P719" s="71"/>
      <c r="Q719" s="71"/>
      <c r="R719" s="71"/>
      <c r="T719" s="71"/>
      <c r="U719" s="71"/>
      <c r="V719" s="71"/>
      <c r="W719" s="71"/>
      <c r="X719" s="71"/>
      <c r="Y719" s="71"/>
      <c r="Z719" s="71"/>
    </row>
    <row r="720" spans="1:26" ht="14.25" customHeight="1">
      <c r="A720" s="71"/>
      <c r="B720" s="71"/>
      <c r="C720" s="71"/>
      <c r="D720" s="71"/>
      <c r="E720" s="71"/>
      <c r="F720" s="71"/>
      <c r="G720" s="71"/>
      <c r="H720" s="71"/>
      <c r="I720" s="71"/>
      <c r="J720" s="71"/>
      <c r="K720" s="71"/>
      <c r="L720" s="71"/>
      <c r="M720" s="71"/>
      <c r="N720" s="71"/>
      <c r="O720" s="71"/>
      <c r="P720" s="71"/>
      <c r="Q720" s="71"/>
      <c r="R720" s="71"/>
      <c r="T720" s="71"/>
      <c r="U720" s="71"/>
      <c r="V720" s="71"/>
      <c r="W720" s="71"/>
      <c r="X720" s="71"/>
      <c r="Y720" s="71"/>
      <c r="Z720" s="71"/>
    </row>
    <row r="721" spans="1:26" ht="14.25" customHeight="1">
      <c r="A721" s="71"/>
      <c r="B721" s="71"/>
      <c r="C721" s="71"/>
      <c r="D721" s="71"/>
      <c r="E721" s="71"/>
      <c r="F721" s="71"/>
      <c r="G721" s="71"/>
      <c r="H721" s="71"/>
      <c r="I721" s="71"/>
      <c r="J721" s="71"/>
      <c r="K721" s="71"/>
      <c r="L721" s="71"/>
      <c r="M721" s="71"/>
      <c r="N721" s="71"/>
      <c r="O721" s="71"/>
      <c r="P721" s="71"/>
      <c r="Q721" s="71"/>
      <c r="R721" s="71"/>
      <c r="T721" s="71"/>
      <c r="U721" s="71"/>
      <c r="V721" s="71"/>
      <c r="W721" s="71"/>
      <c r="X721" s="71"/>
      <c r="Y721" s="71"/>
      <c r="Z721" s="71"/>
    </row>
    <row r="722" spans="1:26" ht="14.25" customHeight="1">
      <c r="A722" s="71"/>
      <c r="B722" s="71"/>
      <c r="C722" s="71"/>
      <c r="D722" s="71"/>
      <c r="E722" s="71"/>
      <c r="F722" s="71"/>
      <c r="G722" s="71"/>
      <c r="H722" s="71"/>
      <c r="I722" s="71"/>
      <c r="J722" s="71"/>
      <c r="K722" s="71"/>
      <c r="L722" s="71"/>
      <c r="M722" s="71"/>
      <c r="N722" s="71"/>
      <c r="O722" s="71"/>
      <c r="P722" s="71"/>
      <c r="Q722" s="71"/>
      <c r="R722" s="71"/>
      <c r="T722" s="71"/>
      <c r="U722" s="71"/>
      <c r="V722" s="71"/>
      <c r="W722" s="71"/>
      <c r="X722" s="71"/>
      <c r="Y722" s="71"/>
      <c r="Z722" s="71"/>
    </row>
    <row r="723" spans="1:26" ht="14.25" customHeight="1">
      <c r="A723" s="71"/>
      <c r="B723" s="71"/>
      <c r="C723" s="71"/>
      <c r="D723" s="71"/>
      <c r="E723" s="71"/>
      <c r="F723" s="71"/>
      <c r="G723" s="71"/>
      <c r="H723" s="71"/>
      <c r="I723" s="71"/>
      <c r="J723" s="71"/>
      <c r="K723" s="71"/>
      <c r="L723" s="71"/>
      <c r="M723" s="71"/>
      <c r="N723" s="71"/>
      <c r="O723" s="71"/>
      <c r="P723" s="71"/>
      <c r="Q723" s="71"/>
      <c r="R723" s="71"/>
      <c r="T723" s="71"/>
      <c r="U723" s="71"/>
      <c r="V723" s="71"/>
      <c r="W723" s="71"/>
      <c r="X723" s="71"/>
      <c r="Y723" s="71"/>
      <c r="Z723" s="71"/>
    </row>
    <row r="724" spans="1:26" ht="14.25" customHeight="1">
      <c r="A724" s="71"/>
      <c r="B724" s="71"/>
      <c r="C724" s="71"/>
      <c r="D724" s="71"/>
      <c r="E724" s="71"/>
      <c r="F724" s="71"/>
      <c r="G724" s="71"/>
      <c r="H724" s="71"/>
      <c r="I724" s="71"/>
      <c r="J724" s="71"/>
      <c r="K724" s="71"/>
      <c r="L724" s="71"/>
      <c r="M724" s="71"/>
      <c r="N724" s="71"/>
      <c r="O724" s="71"/>
      <c r="P724" s="71"/>
      <c r="Q724" s="71"/>
      <c r="R724" s="71"/>
      <c r="T724" s="71"/>
      <c r="U724" s="71"/>
      <c r="V724" s="71"/>
      <c r="W724" s="71"/>
      <c r="X724" s="71"/>
      <c r="Y724" s="71"/>
      <c r="Z724" s="71"/>
    </row>
    <row r="725" spans="1:26" ht="14.25" customHeight="1">
      <c r="A725" s="71"/>
      <c r="B725" s="71"/>
      <c r="C725" s="71"/>
      <c r="D725" s="71"/>
      <c r="E725" s="71"/>
      <c r="F725" s="71"/>
      <c r="G725" s="71"/>
      <c r="H725" s="71"/>
      <c r="I725" s="71"/>
      <c r="J725" s="71"/>
      <c r="K725" s="71"/>
      <c r="L725" s="71"/>
      <c r="M725" s="71"/>
      <c r="N725" s="71"/>
      <c r="O725" s="71"/>
      <c r="P725" s="71"/>
      <c r="Q725" s="71"/>
      <c r="R725" s="71"/>
      <c r="T725" s="71"/>
      <c r="U725" s="71"/>
      <c r="V725" s="71"/>
      <c r="W725" s="71"/>
      <c r="X725" s="71"/>
      <c r="Y725" s="71"/>
      <c r="Z725" s="71"/>
    </row>
    <row r="726" spans="1:26" ht="14.25" customHeight="1">
      <c r="A726" s="71"/>
      <c r="B726" s="71"/>
      <c r="C726" s="71"/>
      <c r="D726" s="71"/>
      <c r="E726" s="71"/>
      <c r="F726" s="71"/>
      <c r="G726" s="71"/>
      <c r="H726" s="71"/>
      <c r="I726" s="71"/>
      <c r="J726" s="71"/>
      <c r="K726" s="71"/>
      <c r="L726" s="71"/>
      <c r="M726" s="71"/>
      <c r="N726" s="71"/>
      <c r="O726" s="71"/>
      <c r="P726" s="71"/>
      <c r="Q726" s="71"/>
      <c r="R726" s="71"/>
      <c r="T726" s="71"/>
      <c r="U726" s="71"/>
      <c r="V726" s="71"/>
      <c r="W726" s="71"/>
      <c r="X726" s="71"/>
      <c r="Y726" s="71"/>
      <c r="Z726" s="71"/>
    </row>
    <row r="727" spans="1:26" ht="14.25" customHeight="1">
      <c r="A727" s="71"/>
      <c r="B727" s="71"/>
      <c r="C727" s="71"/>
      <c r="D727" s="71"/>
      <c r="E727" s="71"/>
      <c r="F727" s="71"/>
      <c r="G727" s="71"/>
      <c r="H727" s="71"/>
      <c r="I727" s="71"/>
      <c r="J727" s="71"/>
      <c r="K727" s="71"/>
      <c r="L727" s="71"/>
      <c r="M727" s="71"/>
      <c r="N727" s="71"/>
      <c r="O727" s="71"/>
      <c r="P727" s="71"/>
      <c r="Q727" s="71"/>
      <c r="R727" s="71"/>
      <c r="T727" s="71"/>
      <c r="U727" s="71"/>
      <c r="V727" s="71"/>
      <c r="W727" s="71"/>
      <c r="X727" s="71"/>
      <c r="Y727" s="71"/>
      <c r="Z727" s="71"/>
    </row>
    <row r="728" spans="1:26" ht="14.25" customHeight="1">
      <c r="A728" s="71"/>
      <c r="B728" s="71"/>
      <c r="C728" s="71"/>
      <c r="D728" s="71"/>
      <c r="E728" s="71"/>
      <c r="F728" s="71"/>
      <c r="G728" s="71"/>
      <c r="H728" s="71"/>
      <c r="I728" s="71"/>
      <c r="J728" s="71"/>
      <c r="K728" s="71"/>
      <c r="L728" s="71"/>
      <c r="M728" s="71"/>
      <c r="N728" s="71"/>
      <c r="O728" s="71"/>
      <c r="P728" s="71"/>
      <c r="Q728" s="71"/>
      <c r="R728" s="71"/>
      <c r="T728" s="71"/>
      <c r="U728" s="71"/>
      <c r="V728" s="71"/>
      <c r="W728" s="71"/>
      <c r="X728" s="71"/>
      <c r="Y728" s="71"/>
      <c r="Z728" s="71"/>
    </row>
    <row r="729" spans="1:26" ht="14.25" customHeight="1">
      <c r="A729" s="71"/>
      <c r="B729" s="71"/>
      <c r="C729" s="71"/>
      <c r="D729" s="71"/>
      <c r="E729" s="71"/>
      <c r="F729" s="71"/>
      <c r="G729" s="71"/>
      <c r="H729" s="71"/>
      <c r="I729" s="71"/>
      <c r="J729" s="71"/>
      <c r="K729" s="71"/>
      <c r="L729" s="71"/>
      <c r="M729" s="71"/>
      <c r="N729" s="71"/>
      <c r="O729" s="71"/>
      <c r="P729" s="71"/>
      <c r="Q729" s="71"/>
      <c r="R729" s="71"/>
      <c r="T729" s="71"/>
      <c r="U729" s="71"/>
      <c r="V729" s="71"/>
      <c r="W729" s="71"/>
      <c r="X729" s="71"/>
      <c r="Y729" s="71"/>
      <c r="Z729" s="71"/>
    </row>
    <row r="730" spans="1:26" ht="14.25" customHeight="1">
      <c r="A730" s="71"/>
      <c r="B730" s="71"/>
      <c r="C730" s="71"/>
      <c r="D730" s="71"/>
      <c r="E730" s="71"/>
      <c r="F730" s="71"/>
      <c r="G730" s="71"/>
      <c r="H730" s="71"/>
      <c r="I730" s="71"/>
      <c r="J730" s="71"/>
      <c r="K730" s="71"/>
      <c r="L730" s="71"/>
      <c r="M730" s="71"/>
      <c r="N730" s="71"/>
      <c r="O730" s="71"/>
      <c r="P730" s="71"/>
      <c r="Q730" s="71"/>
      <c r="R730" s="71"/>
      <c r="T730" s="71"/>
      <c r="U730" s="71"/>
      <c r="V730" s="71"/>
      <c r="W730" s="71"/>
      <c r="X730" s="71"/>
      <c r="Y730" s="71"/>
      <c r="Z730" s="71"/>
    </row>
    <row r="731" spans="1:26" ht="14.25" customHeight="1">
      <c r="A731" s="71"/>
      <c r="B731" s="71"/>
      <c r="C731" s="71"/>
      <c r="D731" s="71"/>
      <c r="E731" s="71"/>
      <c r="F731" s="71"/>
      <c r="G731" s="71"/>
      <c r="H731" s="71"/>
      <c r="I731" s="71"/>
      <c r="J731" s="71"/>
      <c r="K731" s="71"/>
      <c r="L731" s="71"/>
      <c r="M731" s="71"/>
      <c r="N731" s="71"/>
      <c r="O731" s="71"/>
      <c r="P731" s="71"/>
      <c r="Q731" s="71"/>
      <c r="R731" s="71"/>
      <c r="T731" s="71"/>
      <c r="U731" s="71"/>
      <c r="V731" s="71"/>
      <c r="W731" s="71"/>
      <c r="X731" s="71"/>
      <c r="Y731" s="71"/>
      <c r="Z731" s="71"/>
    </row>
    <row r="732" spans="1:26" ht="14.25" customHeight="1">
      <c r="A732" s="71"/>
      <c r="B732" s="71"/>
      <c r="C732" s="71"/>
      <c r="D732" s="71"/>
      <c r="E732" s="71"/>
      <c r="F732" s="71"/>
      <c r="G732" s="71"/>
      <c r="H732" s="71"/>
      <c r="I732" s="71"/>
      <c r="J732" s="71"/>
      <c r="K732" s="71"/>
      <c r="L732" s="71"/>
      <c r="M732" s="71"/>
      <c r="N732" s="71"/>
      <c r="O732" s="71"/>
      <c r="P732" s="71"/>
      <c r="Q732" s="71"/>
      <c r="R732" s="71"/>
      <c r="T732" s="71"/>
      <c r="U732" s="71"/>
      <c r="V732" s="71"/>
      <c r="W732" s="71"/>
      <c r="X732" s="71"/>
      <c r="Y732" s="71"/>
      <c r="Z732" s="71"/>
    </row>
    <row r="733" spans="1:26" ht="14.25" customHeight="1">
      <c r="A733" s="71"/>
      <c r="B733" s="71"/>
      <c r="C733" s="71"/>
      <c r="D733" s="71"/>
      <c r="E733" s="71"/>
      <c r="F733" s="71"/>
      <c r="G733" s="71"/>
      <c r="H733" s="71"/>
      <c r="I733" s="71"/>
      <c r="J733" s="71"/>
      <c r="K733" s="71"/>
      <c r="L733" s="71"/>
      <c r="M733" s="71"/>
      <c r="N733" s="71"/>
      <c r="O733" s="71"/>
      <c r="P733" s="71"/>
      <c r="Q733" s="71"/>
      <c r="R733" s="71"/>
      <c r="T733" s="71"/>
      <c r="U733" s="71"/>
      <c r="V733" s="71"/>
      <c r="W733" s="71"/>
      <c r="X733" s="71"/>
      <c r="Y733" s="71"/>
      <c r="Z733" s="71"/>
    </row>
    <row r="734" spans="1:26" ht="14.25" customHeight="1">
      <c r="A734" s="71"/>
      <c r="B734" s="71"/>
      <c r="C734" s="71"/>
      <c r="D734" s="71"/>
      <c r="E734" s="71"/>
      <c r="F734" s="71"/>
      <c r="G734" s="71"/>
      <c r="H734" s="71"/>
      <c r="I734" s="71"/>
      <c r="J734" s="71"/>
      <c r="K734" s="71"/>
      <c r="L734" s="71"/>
      <c r="M734" s="71"/>
      <c r="N734" s="71"/>
      <c r="O734" s="71"/>
      <c r="P734" s="71"/>
      <c r="Q734" s="71"/>
      <c r="R734" s="71"/>
      <c r="T734" s="71"/>
      <c r="U734" s="71"/>
      <c r="V734" s="71"/>
      <c r="W734" s="71"/>
      <c r="X734" s="71"/>
      <c r="Y734" s="71"/>
      <c r="Z734" s="71"/>
    </row>
    <row r="735" spans="1:26" ht="14.25" customHeight="1">
      <c r="A735" s="71"/>
      <c r="B735" s="71"/>
      <c r="C735" s="71"/>
      <c r="D735" s="71"/>
      <c r="E735" s="71"/>
      <c r="F735" s="71"/>
      <c r="G735" s="71"/>
      <c r="H735" s="71"/>
      <c r="I735" s="71"/>
      <c r="J735" s="71"/>
      <c r="K735" s="71"/>
      <c r="L735" s="71"/>
      <c r="M735" s="71"/>
      <c r="N735" s="71"/>
      <c r="O735" s="71"/>
      <c r="P735" s="71"/>
      <c r="Q735" s="71"/>
      <c r="R735" s="71"/>
      <c r="T735" s="71"/>
      <c r="U735" s="71"/>
      <c r="V735" s="71"/>
      <c r="W735" s="71"/>
      <c r="X735" s="71"/>
      <c r="Y735" s="71"/>
      <c r="Z735" s="71"/>
    </row>
    <row r="736" spans="1:26" ht="14.25" customHeight="1">
      <c r="A736" s="71"/>
      <c r="B736" s="71"/>
      <c r="C736" s="71"/>
      <c r="D736" s="71"/>
      <c r="E736" s="71"/>
      <c r="F736" s="71"/>
      <c r="G736" s="71"/>
      <c r="H736" s="71"/>
      <c r="I736" s="71"/>
      <c r="J736" s="71"/>
      <c r="K736" s="71"/>
      <c r="L736" s="71"/>
      <c r="M736" s="71"/>
      <c r="N736" s="71"/>
      <c r="O736" s="71"/>
      <c r="P736" s="71"/>
      <c r="Q736" s="71"/>
      <c r="R736" s="71"/>
      <c r="T736" s="71"/>
      <c r="U736" s="71"/>
      <c r="V736" s="71"/>
      <c r="W736" s="71"/>
      <c r="X736" s="71"/>
      <c r="Y736" s="71"/>
      <c r="Z736" s="71"/>
    </row>
    <row r="737" spans="1:26" ht="14.25" customHeight="1">
      <c r="A737" s="71"/>
      <c r="B737" s="71"/>
      <c r="C737" s="71"/>
      <c r="D737" s="71"/>
      <c r="E737" s="71"/>
      <c r="F737" s="71"/>
      <c r="G737" s="71"/>
      <c r="H737" s="71"/>
      <c r="I737" s="71"/>
      <c r="J737" s="71"/>
      <c r="K737" s="71"/>
      <c r="L737" s="71"/>
      <c r="M737" s="71"/>
      <c r="N737" s="71"/>
      <c r="O737" s="71"/>
      <c r="P737" s="71"/>
      <c r="Q737" s="71"/>
      <c r="R737" s="71"/>
      <c r="T737" s="71"/>
      <c r="U737" s="71"/>
      <c r="V737" s="71"/>
      <c r="W737" s="71"/>
      <c r="X737" s="71"/>
      <c r="Y737" s="71"/>
      <c r="Z737" s="71"/>
    </row>
    <row r="738" spans="1:26" ht="14.25" customHeight="1">
      <c r="A738" s="71"/>
      <c r="B738" s="71"/>
      <c r="C738" s="71"/>
      <c r="D738" s="71"/>
      <c r="E738" s="71"/>
      <c r="F738" s="71"/>
      <c r="G738" s="71"/>
      <c r="H738" s="71"/>
      <c r="I738" s="71"/>
      <c r="J738" s="71"/>
      <c r="K738" s="71"/>
      <c r="L738" s="71"/>
      <c r="M738" s="71"/>
      <c r="N738" s="71"/>
      <c r="O738" s="71"/>
      <c r="P738" s="71"/>
      <c r="Q738" s="71"/>
      <c r="R738" s="71"/>
      <c r="T738" s="71"/>
      <c r="U738" s="71"/>
      <c r="V738" s="71"/>
      <c r="W738" s="71"/>
      <c r="X738" s="71"/>
      <c r="Y738" s="71"/>
      <c r="Z738" s="71"/>
    </row>
    <row r="739" spans="1:26" ht="14.25" customHeight="1">
      <c r="A739" s="71"/>
      <c r="B739" s="71"/>
      <c r="C739" s="71"/>
      <c r="D739" s="71"/>
      <c r="E739" s="71"/>
      <c r="F739" s="71"/>
      <c r="G739" s="71"/>
      <c r="H739" s="71"/>
      <c r="I739" s="71"/>
      <c r="J739" s="71"/>
      <c r="K739" s="71"/>
      <c r="L739" s="71"/>
      <c r="M739" s="71"/>
      <c r="N739" s="71"/>
      <c r="O739" s="71"/>
      <c r="P739" s="71"/>
      <c r="Q739" s="71"/>
      <c r="R739" s="71"/>
      <c r="T739" s="71"/>
      <c r="U739" s="71"/>
      <c r="V739" s="71"/>
      <c r="W739" s="71"/>
      <c r="X739" s="71"/>
      <c r="Y739" s="71"/>
      <c r="Z739" s="71"/>
    </row>
    <row r="740" spans="1:26" ht="14.25" customHeight="1">
      <c r="A740" s="71"/>
      <c r="B740" s="71"/>
      <c r="C740" s="71"/>
      <c r="D740" s="71"/>
      <c r="E740" s="71"/>
      <c r="F740" s="71"/>
      <c r="G740" s="71"/>
      <c r="H740" s="71"/>
      <c r="I740" s="71"/>
      <c r="J740" s="71"/>
      <c r="K740" s="71"/>
      <c r="L740" s="71"/>
      <c r="M740" s="71"/>
      <c r="N740" s="71"/>
      <c r="O740" s="71"/>
      <c r="P740" s="71"/>
      <c r="Q740" s="71"/>
      <c r="R740" s="71"/>
      <c r="T740" s="71"/>
      <c r="U740" s="71"/>
      <c r="V740" s="71"/>
      <c r="W740" s="71"/>
      <c r="X740" s="71"/>
      <c r="Y740" s="71"/>
      <c r="Z740" s="71"/>
    </row>
    <row r="741" spans="1:26" ht="14.25" customHeight="1">
      <c r="A741" s="71"/>
      <c r="B741" s="71"/>
      <c r="C741" s="71"/>
      <c r="D741" s="71"/>
      <c r="E741" s="71"/>
      <c r="F741" s="71"/>
      <c r="G741" s="71"/>
      <c r="H741" s="71"/>
      <c r="I741" s="71"/>
      <c r="J741" s="71"/>
      <c r="K741" s="71"/>
      <c r="L741" s="71"/>
      <c r="M741" s="71"/>
      <c r="N741" s="71"/>
      <c r="O741" s="71"/>
      <c r="P741" s="71"/>
      <c r="Q741" s="71"/>
      <c r="R741" s="71"/>
      <c r="T741" s="71"/>
      <c r="U741" s="71"/>
      <c r="V741" s="71"/>
      <c r="W741" s="71"/>
      <c r="X741" s="71"/>
      <c r="Y741" s="71"/>
      <c r="Z741" s="71"/>
    </row>
    <row r="742" spans="1:26" ht="14.25" customHeight="1">
      <c r="A742" s="71"/>
      <c r="B742" s="71"/>
      <c r="C742" s="71"/>
      <c r="D742" s="71"/>
      <c r="E742" s="71"/>
      <c r="F742" s="71"/>
      <c r="G742" s="71"/>
      <c r="H742" s="71"/>
      <c r="I742" s="71"/>
      <c r="J742" s="71"/>
      <c r="K742" s="71"/>
      <c r="L742" s="71"/>
      <c r="M742" s="71"/>
      <c r="N742" s="71"/>
      <c r="O742" s="71"/>
      <c r="P742" s="71"/>
      <c r="Q742" s="71"/>
      <c r="R742" s="71"/>
      <c r="T742" s="71"/>
      <c r="U742" s="71"/>
      <c r="V742" s="71"/>
      <c r="W742" s="71"/>
      <c r="X742" s="71"/>
      <c r="Y742" s="71"/>
      <c r="Z742" s="71"/>
    </row>
    <row r="743" spans="1:26" ht="14.25" customHeight="1">
      <c r="A743" s="71"/>
      <c r="B743" s="71"/>
      <c r="C743" s="71"/>
      <c r="D743" s="71"/>
      <c r="E743" s="71"/>
      <c r="F743" s="71"/>
      <c r="G743" s="71"/>
      <c r="H743" s="71"/>
      <c r="I743" s="71"/>
      <c r="J743" s="71"/>
      <c r="K743" s="71"/>
      <c r="L743" s="71"/>
      <c r="M743" s="71"/>
      <c r="N743" s="71"/>
      <c r="O743" s="71"/>
      <c r="P743" s="71"/>
      <c r="Q743" s="71"/>
      <c r="R743" s="71"/>
      <c r="T743" s="71"/>
      <c r="U743" s="71"/>
      <c r="V743" s="71"/>
      <c r="W743" s="71"/>
      <c r="X743" s="71"/>
      <c r="Y743" s="71"/>
      <c r="Z743" s="71"/>
    </row>
    <row r="744" spans="1:26" ht="14.25" customHeight="1">
      <c r="A744" s="71"/>
      <c r="B744" s="71"/>
      <c r="C744" s="71"/>
      <c r="D744" s="71"/>
      <c r="E744" s="71"/>
      <c r="F744" s="71"/>
      <c r="G744" s="71"/>
      <c r="H744" s="71"/>
      <c r="I744" s="71"/>
      <c r="J744" s="71"/>
      <c r="K744" s="71"/>
      <c r="L744" s="71"/>
      <c r="M744" s="71"/>
      <c r="N744" s="71"/>
      <c r="O744" s="71"/>
      <c r="P744" s="71"/>
      <c r="Q744" s="71"/>
      <c r="R744" s="71"/>
      <c r="T744" s="71"/>
      <c r="U744" s="71"/>
      <c r="V744" s="71"/>
      <c r="W744" s="71"/>
      <c r="X744" s="71"/>
      <c r="Y744" s="71"/>
      <c r="Z744" s="71"/>
    </row>
    <row r="745" spans="1:26" ht="14.25" customHeight="1">
      <c r="A745" s="71"/>
      <c r="B745" s="71"/>
      <c r="C745" s="71"/>
      <c r="D745" s="71"/>
      <c r="E745" s="71"/>
      <c r="F745" s="71"/>
      <c r="G745" s="71"/>
      <c r="H745" s="71"/>
      <c r="I745" s="71"/>
      <c r="J745" s="71"/>
      <c r="K745" s="71"/>
      <c r="L745" s="71"/>
      <c r="M745" s="71"/>
      <c r="N745" s="71"/>
      <c r="O745" s="71"/>
      <c r="P745" s="71"/>
      <c r="Q745" s="71"/>
      <c r="R745" s="71"/>
      <c r="T745" s="71"/>
      <c r="U745" s="71"/>
      <c r="V745" s="71"/>
      <c r="W745" s="71"/>
      <c r="X745" s="71"/>
      <c r="Y745" s="71"/>
      <c r="Z745" s="71"/>
    </row>
    <row r="746" spans="1:26" ht="14.25" customHeight="1">
      <c r="A746" s="71"/>
      <c r="B746" s="71"/>
      <c r="C746" s="71"/>
      <c r="D746" s="71"/>
      <c r="E746" s="71"/>
      <c r="F746" s="71"/>
      <c r="G746" s="71"/>
      <c r="H746" s="71"/>
      <c r="I746" s="71"/>
      <c r="J746" s="71"/>
      <c r="K746" s="71"/>
      <c r="L746" s="71"/>
      <c r="M746" s="71"/>
      <c r="N746" s="71"/>
      <c r="O746" s="71"/>
      <c r="P746" s="71"/>
      <c r="Q746" s="71"/>
      <c r="R746" s="71"/>
      <c r="T746" s="71"/>
      <c r="U746" s="71"/>
      <c r="V746" s="71"/>
      <c r="W746" s="71"/>
      <c r="X746" s="71"/>
      <c r="Y746" s="71"/>
      <c r="Z746" s="71"/>
    </row>
    <row r="747" spans="1:26" ht="14.25" customHeight="1">
      <c r="A747" s="71"/>
      <c r="B747" s="71"/>
      <c r="C747" s="71"/>
      <c r="D747" s="71"/>
      <c r="E747" s="71"/>
      <c r="F747" s="71"/>
      <c r="G747" s="71"/>
      <c r="H747" s="71"/>
      <c r="I747" s="71"/>
      <c r="J747" s="71"/>
      <c r="K747" s="71"/>
      <c r="L747" s="71"/>
      <c r="M747" s="71"/>
      <c r="N747" s="71"/>
      <c r="O747" s="71"/>
      <c r="P747" s="71"/>
      <c r="Q747" s="71"/>
      <c r="R747" s="71"/>
      <c r="T747" s="71"/>
      <c r="U747" s="71"/>
      <c r="V747" s="71"/>
      <c r="W747" s="71"/>
      <c r="X747" s="71"/>
      <c r="Y747" s="71"/>
      <c r="Z747" s="71"/>
    </row>
    <row r="748" spans="1:26" ht="14.25" customHeight="1">
      <c r="A748" s="71"/>
      <c r="B748" s="71"/>
      <c r="C748" s="71"/>
      <c r="D748" s="71"/>
      <c r="E748" s="71"/>
      <c r="F748" s="71"/>
      <c r="G748" s="71"/>
      <c r="H748" s="71"/>
      <c r="I748" s="71"/>
      <c r="J748" s="71"/>
      <c r="K748" s="71"/>
      <c r="L748" s="71"/>
      <c r="M748" s="71"/>
      <c r="N748" s="71"/>
      <c r="O748" s="71"/>
      <c r="P748" s="71"/>
      <c r="Q748" s="71"/>
      <c r="R748" s="71"/>
      <c r="T748" s="71"/>
      <c r="U748" s="71"/>
      <c r="V748" s="71"/>
      <c r="W748" s="71"/>
      <c r="X748" s="71"/>
      <c r="Y748" s="71"/>
      <c r="Z748" s="71"/>
    </row>
    <row r="749" spans="1:26" ht="14.25" customHeight="1">
      <c r="A749" s="71"/>
      <c r="B749" s="71"/>
      <c r="C749" s="71"/>
      <c r="D749" s="71"/>
      <c r="E749" s="71"/>
      <c r="F749" s="71"/>
      <c r="G749" s="71"/>
      <c r="H749" s="71"/>
      <c r="I749" s="71"/>
      <c r="J749" s="71"/>
      <c r="K749" s="71"/>
      <c r="L749" s="71"/>
      <c r="M749" s="71"/>
      <c r="N749" s="71"/>
      <c r="O749" s="71"/>
      <c r="P749" s="71"/>
      <c r="Q749" s="71"/>
      <c r="R749" s="71"/>
      <c r="T749" s="71"/>
      <c r="U749" s="71"/>
      <c r="V749" s="71"/>
      <c r="W749" s="71"/>
      <c r="X749" s="71"/>
      <c r="Y749" s="71"/>
      <c r="Z749" s="71"/>
    </row>
    <row r="750" spans="1:26" ht="14.25" customHeight="1">
      <c r="A750" s="71"/>
      <c r="B750" s="71"/>
      <c r="C750" s="71"/>
      <c r="D750" s="71"/>
      <c r="E750" s="71"/>
      <c r="F750" s="71"/>
      <c r="G750" s="71"/>
      <c r="H750" s="71"/>
      <c r="I750" s="71"/>
      <c r="J750" s="71"/>
      <c r="K750" s="71"/>
      <c r="L750" s="71"/>
      <c r="M750" s="71"/>
      <c r="N750" s="71"/>
      <c r="O750" s="71"/>
      <c r="P750" s="71"/>
      <c r="Q750" s="71"/>
      <c r="R750" s="71"/>
      <c r="T750" s="71"/>
      <c r="U750" s="71"/>
      <c r="V750" s="71"/>
      <c r="W750" s="71"/>
      <c r="X750" s="71"/>
      <c r="Y750" s="71"/>
      <c r="Z750" s="71"/>
    </row>
    <row r="751" spans="1:26" ht="14.25" customHeight="1">
      <c r="A751" s="71"/>
      <c r="B751" s="71"/>
      <c r="C751" s="71"/>
      <c r="D751" s="71"/>
      <c r="E751" s="71"/>
      <c r="F751" s="71"/>
      <c r="G751" s="71"/>
      <c r="H751" s="71"/>
      <c r="I751" s="71"/>
      <c r="J751" s="71"/>
      <c r="K751" s="71"/>
      <c r="L751" s="71"/>
      <c r="M751" s="71"/>
      <c r="N751" s="71"/>
      <c r="O751" s="71"/>
      <c r="P751" s="71"/>
      <c r="Q751" s="71"/>
      <c r="R751" s="71"/>
      <c r="T751" s="71"/>
      <c r="U751" s="71"/>
      <c r="V751" s="71"/>
      <c r="W751" s="71"/>
      <c r="X751" s="71"/>
      <c r="Y751" s="71"/>
      <c r="Z751" s="71"/>
    </row>
    <row r="752" spans="1:26" ht="14.25" customHeight="1">
      <c r="A752" s="71"/>
      <c r="B752" s="71"/>
      <c r="C752" s="71"/>
      <c r="D752" s="71"/>
      <c r="E752" s="71"/>
      <c r="F752" s="71"/>
      <c r="G752" s="71"/>
      <c r="H752" s="71"/>
      <c r="I752" s="71"/>
      <c r="J752" s="71"/>
      <c r="K752" s="71"/>
      <c r="L752" s="71"/>
      <c r="M752" s="71"/>
      <c r="N752" s="71"/>
      <c r="O752" s="71"/>
      <c r="P752" s="71"/>
      <c r="Q752" s="71"/>
      <c r="R752" s="71"/>
      <c r="T752" s="71"/>
      <c r="U752" s="71"/>
      <c r="V752" s="71"/>
      <c r="W752" s="71"/>
      <c r="X752" s="71"/>
      <c r="Y752" s="71"/>
      <c r="Z752" s="71"/>
    </row>
    <row r="753" spans="1:26" ht="14.25" customHeight="1">
      <c r="A753" s="71"/>
      <c r="B753" s="71"/>
      <c r="C753" s="71"/>
      <c r="D753" s="71"/>
      <c r="E753" s="71"/>
      <c r="F753" s="71"/>
      <c r="G753" s="71"/>
      <c r="H753" s="71"/>
      <c r="I753" s="71"/>
      <c r="J753" s="71"/>
      <c r="K753" s="71"/>
      <c r="L753" s="71"/>
      <c r="M753" s="71"/>
      <c r="N753" s="71"/>
      <c r="O753" s="71"/>
      <c r="P753" s="71"/>
      <c r="Q753" s="71"/>
      <c r="R753" s="71"/>
      <c r="T753" s="71"/>
      <c r="U753" s="71"/>
      <c r="V753" s="71"/>
      <c r="W753" s="71"/>
      <c r="X753" s="71"/>
      <c r="Y753" s="71"/>
      <c r="Z753" s="71"/>
    </row>
    <row r="754" spans="1:26" ht="14.25" customHeight="1">
      <c r="A754" s="71"/>
      <c r="B754" s="71"/>
      <c r="C754" s="71"/>
      <c r="D754" s="71"/>
      <c r="E754" s="71"/>
      <c r="F754" s="71"/>
      <c r="G754" s="71"/>
      <c r="H754" s="71"/>
      <c r="I754" s="71"/>
      <c r="J754" s="71"/>
      <c r="K754" s="71"/>
      <c r="L754" s="71"/>
      <c r="M754" s="71"/>
      <c r="N754" s="71"/>
      <c r="O754" s="71"/>
      <c r="P754" s="71"/>
      <c r="Q754" s="71"/>
      <c r="R754" s="71"/>
      <c r="T754" s="71"/>
      <c r="U754" s="71"/>
      <c r="V754" s="71"/>
      <c r="W754" s="71"/>
      <c r="X754" s="71"/>
      <c r="Y754" s="71"/>
      <c r="Z754" s="71"/>
    </row>
    <row r="755" spans="1:26" ht="14.25" customHeight="1">
      <c r="A755" s="71"/>
      <c r="B755" s="71"/>
      <c r="C755" s="71"/>
      <c r="D755" s="71"/>
      <c r="E755" s="71"/>
      <c r="F755" s="71"/>
      <c r="G755" s="71"/>
      <c r="H755" s="71"/>
      <c r="I755" s="71"/>
      <c r="J755" s="71"/>
      <c r="K755" s="71"/>
      <c r="L755" s="71"/>
      <c r="M755" s="71"/>
      <c r="N755" s="71"/>
      <c r="O755" s="71"/>
      <c r="P755" s="71"/>
      <c r="Q755" s="71"/>
      <c r="R755" s="71"/>
      <c r="T755" s="71"/>
      <c r="U755" s="71"/>
      <c r="V755" s="71"/>
      <c r="W755" s="71"/>
      <c r="X755" s="71"/>
      <c r="Y755" s="71"/>
      <c r="Z755" s="71"/>
    </row>
    <row r="756" spans="1:26" ht="14.25" customHeight="1">
      <c r="A756" s="71"/>
      <c r="B756" s="71"/>
      <c r="C756" s="71"/>
      <c r="D756" s="71"/>
      <c r="E756" s="71"/>
      <c r="F756" s="71"/>
      <c r="G756" s="71"/>
      <c r="H756" s="71"/>
      <c r="I756" s="71"/>
      <c r="J756" s="71"/>
      <c r="K756" s="71"/>
      <c r="L756" s="71"/>
      <c r="M756" s="71"/>
      <c r="N756" s="71"/>
      <c r="O756" s="71"/>
      <c r="P756" s="71"/>
      <c r="Q756" s="71"/>
      <c r="R756" s="71"/>
      <c r="T756" s="71"/>
      <c r="U756" s="71"/>
      <c r="V756" s="71"/>
      <c r="W756" s="71"/>
      <c r="X756" s="71"/>
      <c r="Y756" s="71"/>
      <c r="Z756" s="71"/>
    </row>
    <row r="757" spans="1:26" ht="14.25" customHeight="1">
      <c r="A757" s="71"/>
      <c r="B757" s="71"/>
      <c r="C757" s="71"/>
      <c r="D757" s="71"/>
      <c r="E757" s="71"/>
      <c r="F757" s="71"/>
      <c r="G757" s="71"/>
      <c r="H757" s="71"/>
      <c r="I757" s="71"/>
      <c r="J757" s="71"/>
      <c r="K757" s="71"/>
      <c r="L757" s="71"/>
      <c r="M757" s="71"/>
      <c r="N757" s="71"/>
      <c r="O757" s="71"/>
      <c r="P757" s="71"/>
      <c r="Q757" s="71"/>
      <c r="R757" s="71"/>
      <c r="T757" s="71"/>
      <c r="U757" s="71"/>
      <c r="V757" s="71"/>
      <c r="W757" s="71"/>
      <c r="X757" s="71"/>
      <c r="Y757" s="71"/>
      <c r="Z757" s="71"/>
    </row>
    <row r="758" spans="1:26" ht="14.25" customHeight="1">
      <c r="A758" s="71"/>
      <c r="B758" s="71"/>
      <c r="C758" s="71"/>
      <c r="D758" s="71"/>
      <c r="E758" s="71"/>
      <c r="F758" s="71"/>
      <c r="G758" s="71"/>
      <c r="H758" s="71"/>
      <c r="I758" s="71"/>
      <c r="J758" s="71"/>
      <c r="K758" s="71"/>
      <c r="L758" s="71"/>
      <c r="M758" s="71"/>
      <c r="N758" s="71"/>
      <c r="O758" s="71"/>
      <c r="P758" s="71"/>
      <c r="Q758" s="71"/>
      <c r="R758" s="71"/>
      <c r="T758" s="71"/>
      <c r="U758" s="71"/>
      <c r="V758" s="71"/>
      <c r="W758" s="71"/>
      <c r="X758" s="71"/>
      <c r="Y758" s="71"/>
      <c r="Z758" s="71"/>
    </row>
    <row r="759" spans="1:26" ht="14.25" customHeight="1">
      <c r="A759" s="71"/>
      <c r="B759" s="71"/>
      <c r="C759" s="71"/>
      <c r="D759" s="71"/>
      <c r="E759" s="71"/>
      <c r="F759" s="71"/>
      <c r="G759" s="71"/>
      <c r="H759" s="71"/>
      <c r="I759" s="71"/>
      <c r="J759" s="71"/>
      <c r="K759" s="71"/>
      <c r="L759" s="71"/>
      <c r="M759" s="71"/>
      <c r="N759" s="71"/>
      <c r="O759" s="71"/>
      <c r="P759" s="71"/>
      <c r="Q759" s="71"/>
      <c r="R759" s="71"/>
      <c r="T759" s="71"/>
      <c r="U759" s="71"/>
      <c r="V759" s="71"/>
      <c r="W759" s="71"/>
      <c r="X759" s="71"/>
      <c r="Y759" s="71"/>
      <c r="Z759" s="71"/>
    </row>
    <row r="760" spans="1:26" ht="14.25" customHeight="1">
      <c r="A760" s="71"/>
      <c r="B760" s="71"/>
      <c r="C760" s="71"/>
      <c r="D760" s="71"/>
      <c r="E760" s="71"/>
      <c r="F760" s="71"/>
      <c r="G760" s="71"/>
      <c r="H760" s="71"/>
      <c r="I760" s="71"/>
      <c r="J760" s="71"/>
      <c r="K760" s="71"/>
      <c r="L760" s="71"/>
      <c r="M760" s="71"/>
      <c r="N760" s="71"/>
      <c r="O760" s="71"/>
      <c r="P760" s="71"/>
      <c r="Q760" s="71"/>
      <c r="R760" s="71"/>
      <c r="T760" s="71"/>
      <c r="U760" s="71"/>
      <c r="V760" s="71"/>
      <c r="W760" s="71"/>
      <c r="X760" s="71"/>
      <c r="Y760" s="71"/>
      <c r="Z760" s="71"/>
    </row>
    <row r="761" spans="1:26" ht="14.25" customHeight="1">
      <c r="A761" s="71"/>
      <c r="B761" s="71"/>
      <c r="C761" s="71"/>
      <c r="D761" s="71"/>
      <c r="E761" s="71"/>
      <c r="F761" s="71"/>
      <c r="G761" s="71"/>
      <c r="H761" s="71"/>
      <c r="I761" s="71"/>
      <c r="J761" s="71"/>
      <c r="K761" s="71"/>
      <c r="L761" s="71"/>
      <c r="M761" s="71"/>
      <c r="N761" s="71"/>
      <c r="O761" s="71"/>
      <c r="P761" s="71"/>
      <c r="Q761" s="71"/>
      <c r="R761" s="71"/>
      <c r="T761" s="71"/>
      <c r="U761" s="71"/>
      <c r="V761" s="71"/>
      <c r="W761" s="71"/>
      <c r="X761" s="71"/>
      <c r="Y761" s="71"/>
      <c r="Z761" s="71"/>
    </row>
    <row r="762" spans="1:26" ht="14.25" customHeight="1">
      <c r="A762" s="71"/>
      <c r="B762" s="71"/>
      <c r="C762" s="71"/>
      <c r="D762" s="71"/>
      <c r="E762" s="71"/>
      <c r="F762" s="71"/>
      <c r="G762" s="71"/>
      <c r="H762" s="71"/>
      <c r="I762" s="71"/>
      <c r="J762" s="71"/>
      <c r="K762" s="71"/>
      <c r="L762" s="71"/>
      <c r="M762" s="71"/>
      <c r="N762" s="71"/>
      <c r="O762" s="71"/>
      <c r="P762" s="71"/>
      <c r="Q762" s="71"/>
      <c r="R762" s="71"/>
      <c r="T762" s="71"/>
      <c r="U762" s="71"/>
      <c r="V762" s="71"/>
      <c r="W762" s="71"/>
      <c r="X762" s="71"/>
      <c r="Y762" s="71"/>
      <c r="Z762" s="71"/>
    </row>
    <row r="763" spans="1:26" ht="14.25" customHeight="1">
      <c r="A763" s="71"/>
      <c r="B763" s="71"/>
      <c r="C763" s="71"/>
      <c r="D763" s="71"/>
      <c r="E763" s="71"/>
      <c r="F763" s="71"/>
      <c r="G763" s="71"/>
      <c r="H763" s="71"/>
      <c r="I763" s="71"/>
      <c r="J763" s="71"/>
      <c r="K763" s="71"/>
      <c r="L763" s="71"/>
      <c r="M763" s="71"/>
      <c r="N763" s="71"/>
      <c r="O763" s="71"/>
      <c r="P763" s="71"/>
      <c r="Q763" s="71"/>
      <c r="R763" s="71"/>
      <c r="T763" s="71"/>
      <c r="U763" s="71"/>
      <c r="V763" s="71"/>
      <c r="W763" s="71"/>
      <c r="X763" s="71"/>
      <c r="Y763" s="71"/>
      <c r="Z763" s="71"/>
    </row>
    <row r="764" spans="1:26" ht="14.25" customHeight="1">
      <c r="A764" s="71"/>
      <c r="B764" s="71"/>
      <c r="C764" s="71"/>
      <c r="D764" s="71"/>
      <c r="E764" s="71"/>
      <c r="F764" s="71"/>
      <c r="G764" s="71"/>
      <c r="H764" s="71"/>
      <c r="I764" s="71"/>
      <c r="J764" s="71"/>
      <c r="K764" s="71"/>
      <c r="L764" s="71"/>
      <c r="M764" s="71"/>
      <c r="N764" s="71"/>
      <c r="O764" s="71"/>
      <c r="P764" s="71"/>
      <c r="Q764" s="71"/>
      <c r="R764" s="71"/>
      <c r="T764" s="71"/>
      <c r="U764" s="71"/>
      <c r="V764" s="71"/>
      <c r="W764" s="71"/>
      <c r="X764" s="71"/>
      <c r="Y764" s="71"/>
      <c r="Z764" s="71"/>
    </row>
    <row r="765" spans="1:26" ht="14.25" customHeight="1">
      <c r="A765" s="71"/>
      <c r="B765" s="71"/>
      <c r="C765" s="71"/>
      <c r="D765" s="71"/>
      <c r="E765" s="71"/>
      <c r="F765" s="71"/>
      <c r="G765" s="71"/>
      <c r="H765" s="71"/>
      <c r="I765" s="71"/>
      <c r="J765" s="71"/>
      <c r="K765" s="71"/>
      <c r="L765" s="71"/>
      <c r="M765" s="71"/>
      <c r="N765" s="71"/>
      <c r="O765" s="71"/>
      <c r="P765" s="71"/>
      <c r="Q765" s="71"/>
      <c r="R765" s="71"/>
      <c r="T765" s="71"/>
      <c r="U765" s="71"/>
      <c r="V765" s="71"/>
      <c r="W765" s="71"/>
      <c r="X765" s="71"/>
      <c r="Y765" s="71"/>
      <c r="Z765" s="71"/>
    </row>
    <row r="766" spans="1:26" ht="14.25" customHeight="1">
      <c r="A766" s="71"/>
      <c r="B766" s="71"/>
      <c r="C766" s="71"/>
      <c r="D766" s="71"/>
      <c r="E766" s="71"/>
      <c r="F766" s="71"/>
      <c r="G766" s="71"/>
      <c r="H766" s="71"/>
      <c r="I766" s="71"/>
      <c r="J766" s="71"/>
      <c r="K766" s="71"/>
      <c r="L766" s="71"/>
      <c r="M766" s="71"/>
      <c r="N766" s="71"/>
      <c r="O766" s="71"/>
      <c r="P766" s="71"/>
      <c r="Q766" s="71"/>
      <c r="R766" s="71"/>
      <c r="T766" s="71"/>
      <c r="U766" s="71"/>
      <c r="V766" s="71"/>
      <c r="W766" s="71"/>
      <c r="X766" s="71"/>
      <c r="Y766" s="71"/>
      <c r="Z766" s="71"/>
    </row>
    <row r="767" spans="1:26" ht="14.25" customHeight="1">
      <c r="A767" s="71"/>
      <c r="B767" s="71"/>
      <c r="C767" s="71"/>
      <c r="D767" s="71"/>
      <c r="E767" s="71"/>
      <c r="F767" s="71"/>
      <c r="G767" s="71"/>
      <c r="H767" s="71"/>
      <c r="I767" s="71"/>
      <c r="J767" s="71"/>
      <c r="K767" s="71"/>
      <c r="L767" s="71"/>
      <c r="M767" s="71"/>
      <c r="N767" s="71"/>
      <c r="O767" s="71"/>
      <c r="P767" s="71"/>
      <c r="Q767" s="71"/>
      <c r="R767" s="71"/>
      <c r="T767" s="71"/>
      <c r="U767" s="71"/>
      <c r="V767" s="71"/>
      <c r="W767" s="71"/>
      <c r="X767" s="71"/>
      <c r="Y767" s="71"/>
      <c r="Z767" s="71"/>
    </row>
    <row r="768" spans="1:26" ht="14.25" customHeight="1">
      <c r="A768" s="71"/>
      <c r="B768" s="71"/>
      <c r="C768" s="71"/>
      <c r="D768" s="71"/>
      <c r="E768" s="71"/>
      <c r="F768" s="71"/>
      <c r="G768" s="71"/>
      <c r="H768" s="71"/>
      <c r="I768" s="71"/>
      <c r="J768" s="71"/>
      <c r="K768" s="71"/>
      <c r="L768" s="71"/>
      <c r="M768" s="71"/>
      <c r="N768" s="71"/>
      <c r="O768" s="71"/>
      <c r="P768" s="71"/>
      <c r="Q768" s="71"/>
      <c r="R768" s="71"/>
      <c r="T768" s="71"/>
      <c r="U768" s="71"/>
      <c r="V768" s="71"/>
      <c r="W768" s="71"/>
      <c r="X768" s="71"/>
      <c r="Y768" s="71"/>
      <c r="Z768" s="71"/>
    </row>
    <row r="769" spans="1:26" ht="14.25" customHeight="1">
      <c r="A769" s="71"/>
      <c r="B769" s="71"/>
      <c r="C769" s="71"/>
      <c r="D769" s="71"/>
      <c r="E769" s="71"/>
      <c r="F769" s="71"/>
      <c r="G769" s="71"/>
      <c r="H769" s="71"/>
      <c r="I769" s="71"/>
      <c r="J769" s="71"/>
      <c r="K769" s="71"/>
      <c r="L769" s="71"/>
      <c r="M769" s="71"/>
      <c r="N769" s="71"/>
      <c r="O769" s="71"/>
      <c r="P769" s="71"/>
      <c r="Q769" s="71"/>
      <c r="R769" s="71"/>
      <c r="T769" s="71"/>
      <c r="U769" s="71"/>
      <c r="V769" s="71"/>
      <c r="W769" s="71"/>
      <c r="X769" s="71"/>
      <c r="Y769" s="71"/>
      <c r="Z769" s="71"/>
    </row>
    <row r="770" spans="1:26" ht="14.25" customHeight="1">
      <c r="A770" s="71"/>
      <c r="B770" s="71"/>
      <c r="C770" s="71"/>
      <c r="D770" s="71"/>
      <c r="E770" s="71"/>
      <c r="F770" s="71"/>
      <c r="G770" s="71"/>
      <c r="H770" s="71"/>
      <c r="I770" s="71"/>
      <c r="J770" s="71"/>
      <c r="K770" s="71"/>
      <c r="L770" s="71"/>
      <c r="M770" s="71"/>
      <c r="N770" s="71"/>
      <c r="O770" s="71"/>
      <c r="P770" s="71"/>
      <c r="Q770" s="71"/>
      <c r="R770" s="71"/>
      <c r="T770" s="71"/>
      <c r="U770" s="71"/>
      <c r="V770" s="71"/>
      <c r="W770" s="71"/>
      <c r="X770" s="71"/>
      <c r="Y770" s="71"/>
      <c r="Z770" s="71"/>
    </row>
    <row r="771" spans="1:26" ht="14.25" customHeight="1">
      <c r="A771" s="71"/>
      <c r="B771" s="71"/>
      <c r="C771" s="71"/>
      <c r="D771" s="71"/>
      <c r="E771" s="71"/>
      <c r="F771" s="71"/>
      <c r="G771" s="71"/>
      <c r="H771" s="71"/>
      <c r="I771" s="71"/>
      <c r="J771" s="71"/>
      <c r="K771" s="71"/>
      <c r="L771" s="71"/>
      <c r="M771" s="71"/>
      <c r="N771" s="71"/>
      <c r="O771" s="71"/>
      <c r="P771" s="71"/>
      <c r="Q771" s="71"/>
      <c r="R771" s="71"/>
      <c r="T771" s="71"/>
      <c r="U771" s="71"/>
      <c r="V771" s="71"/>
      <c r="W771" s="71"/>
      <c r="X771" s="71"/>
      <c r="Y771" s="71"/>
      <c r="Z771" s="71"/>
    </row>
    <row r="772" spans="1:26" ht="14.25" customHeight="1">
      <c r="A772" s="71"/>
      <c r="B772" s="71"/>
      <c r="C772" s="71"/>
      <c r="D772" s="71"/>
      <c r="E772" s="71"/>
      <c r="F772" s="71"/>
      <c r="G772" s="71"/>
      <c r="H772" s="71"/>
      <c r="I772" s="71"/>
      <c r="J772" s="71"/>
      <c r="K772" s="71"/>
      <c r="L772" s="71"/>
      <c r="M772" s="71"/>
      <c r="N772" s="71"/>
      <c r="O772" s="71"/>
      <c r="P772" s="71"/>
      <c r="Q772" s="71"/>
      <c r="R772" s="71"/>
      <c r="T772" s="71"/>
      <c r="U772" s="71"/>
      <c r="V772" s="71"/>
      <c r="W772" s="71"/>
      <c r="X772" s="71"/>
      <c r="Y772" s="71"/>
      <c r="Z772" s="71"/>
    </row>
    <row r="773" spans="1:26" ht="14.25" customHeight="1">
      <c r="A773" s="71"/>
      <c r="B773" s="71"/>
      <c r="C773" s="71"/>
      <c r="D773" s="71"/>
      <c r="E773" s="71"/>
      <c r="F773" s="71"/>
      <c r="G773" s="71"/>
      <c r="H773" s="71"/>
      <c r="I773" s="71"/>
      <c r="J773" s="71"/>
      <c r="K773" s="71"/>
      <c r="L773" s="71"/>
      <c r="M773" s="71"/>
      <c r="N773" s="71"/>
      <c r="O773" s="71"/>
      <c r="P773" s="71"/>
      <c r="Q773" s="71"/>
      <c r="R773" s="71"/>
      <c r="T773" s="71"/>
      <c r="U773" s="71"/>
      <c r="V773" s="71"/>
      <c r="W773" s="71"/>
      <c r="X773" s="71"/>
      <c r="Y773" s="71"/>
      <c r="Z773" s="71"/>
    </row>
    <row r="774" spans="1:26" ht="14.25" customHeight="1">
      <c r="A774" s="71"/>
      <c r="B774" s="71"/>
      <c r="C774" s="71"/>
      <c r="D774" s="71"/>
      <c r="E774" s="71"/>
      <c r="F774" s="71"/>
      <c r="G774" s="71"/>
      <c r="H774" s="71"/>
      <c r="I774" s="71"/>
      <c r="J774" s="71"/>
      <c r="K774" s="71"/>
      <c r="L774" s="71"/>
      <c r="M774" s="71"/>
      <c r="N774" s="71"/>
      <c r="O774" s="71"/>
      <c r="P774" s="71"/>
      <c r="Q774" s="71"/>
      <c r="R774" s="71"/>
      <c r="T774" s="71"/>
      <c r="U774" s="71"/>
      <c r="V774" s="71"/>
      <c r="W774" s="71"/>
      <c r="X774" s="71"/>
      <c r="Y774" s="71"/>
      <c r="Z774" s="71"/>
    </row>
    <row r="775" spans="1:26" ht="14.25" customHeight="1">
      <c r="A775" s="71"/>
      <c r="B775" s="71"/>
      <c r="C775" s="71"/>
      <c r="D775" s="71"/>
      <c r="E775" s="71"/>
      <c r="F775" s="71"/>
      <c r="G775" s="71"/>
      <c r="H775" s="71"/>
      <c r="I775" s="71"/>
      <c r="J775" s="71"/>
      <c r="K775" s="71"/>
      <c r="L775" s="71"/>
      <c r="M775" s="71"/>
      <c r="N775" s="71"/>
      <c r="O775" s="71"/>
      <c r="P775" s="71"/>
      <c r="Q775" s="71"/>
      <c r="R775" s="71"/>
      <c r="T775" s="71"/>
      <c r="U775" s="71"/>
      <c r="V775" s="71"/>
      <c r="W775" s="71"/>
      <c r="X775" s="71"/>
      <c r="Y775" s="71"/>
      <c r="Z775" s="71"/>
    </row>
    <row r="776" spans="1:26" ht="14.25" customHeight="1">
      <c r="A776" s="71"/>
      <c r="B776" s="71"/>
      <c r="C776" s="71"/>
      <c r="D776" s="71"/>
      <c r="E776" s="71"/>
      <c r="F776" s="71"/>
      <c r="G776" s="71"/>
      <c r="H776" s="71"/>
      <c r="I776" s="71"/>
      <c r="J776" s="71"/>
      <c r="K776" s="71"/>
      <c r="L776" s="71"/>
      <c r="M776" s="71"/>
      <c r="N776" s="71"/>
      <c r="O776" s="71"/>
      <c r="P776" s="71"/>
      <c r="Q776" s="71"/>
      <c r="R776" s="71"/>
      <c r="T776" s="71"/>
      <c r="U776" s="71"/>
      <c r="V776" s="71"/>
      <c r="W776" s="71"/>
      <c r="X776" s="71"/>
      <c r="Y776" s="71"/>
      <c r="Z776" s="71"/>
    </row>
    <row r="777" spans="1:26" ht="14.25" customHeight="1">
      <c r="A777" s="71"/>
      <c r="B777" s="71"/>
      <c r="C777" s="71"/>
      <c r="D777" s="71"/>
      <c r="E777" s="71"/>
      <c r="F777" s="71"/>
      <c r="G777" s="71"/>
      <c r="H777" s="71"/>
      <c r="I777" s="71"/>
      <c r="J777" s="71"/>
      <c r="K777" s="71"/>
      <c r="L777" s="71"/>
      <c r="M777" s="71"/>
      <c r="N777" s="71"/>
      <c r="O777" s="71"/>
      <c r="P777" s="71"/>
      <c r="Q777" s="71"/>
      <c r="R777" s="71"/>
      <c r="T777" s="71"/>
      <c r="U777" s="71"/>
      <c r="V777" s="71"/>
      <c r="W777" s="71"/>
      <c r="X777" s="71"/>
      <c r="Y777" s="71"/>
      <c r="Z777" s="71"/>
    </row>
    <row r="778" spans="1:26" ht="14.25" customHeight="1">
      <c r="A778" s="71"/>
      <c r="B778" s="71"/>
      <c r="C778" s="71"/>
      <c r="D778" s="71"/>
      <c r="E778" s="71"/>
      <c r="F778" s="71"/>
      <c r="G778" s="71"/>
      <c r="H778" s="71"/>
      <c r="I778" s="71"/>
      <c r="J778" s="71"/>
      <c r="K778" s="71"/>
      <c r="L778" s="71"/>
      <c r="M778" s="71"/>
      <c r="N778" s="71"/>
      <c r="O778" s="71"/>
      <c r="P778" s="71"/>
      <c r="Q778" s="71"/>
      <c r="R778" s="71"/>
      <c r="T778" s="71"/>
      <c r="U778" s="71"/>
      <c r="V778" s="71"/>
      <c r="W778" s="71"/>
      <c r="X778" s="71"/>
      <c r="Y778" s="71"/>
      <c r="Z778" s="71"/>
    </row>
    <row r="779" spans="1:26" ht="14.25" customHeight="1">
      <c r="A779" s="71"/>
      <c r="B779" s="71"/>
      <c r="C779" s="71"/>
      <c r="D779" s="71"/>
      <c r="E779" s="71"/>
      <c r="F779" s="71"/>
      <c r="G779" s="71"/>
      <c r="H779" s="71"/>
      <c r="I779" s="71"/>
      <c r="J779" s="71"/>
      <c r="K779" s="71"/>
      <c r="L779" s="71"/>
      <c r="M779" s="71"/>
      <c r="N779" s="71"/>
      <c r="O779" s="71"/>
      <c r="P779" s="71"/>
      <c r="Q779" s="71"/>
      <c r="R779" s="71"/>
      <c r="T779" s="71"/>
      <c r="U779" s="71"/>
      <c r="V779" s="71"/>
      <c r="W779" s="71"/>
      <c r="X779" s="71"/>
      <c r="Y779" s="71"/>
      <c r="Z779" s="71"/>
    </row>
    <row r="780" spans="1:26" ht="14.25" customHeight="1">
      <c r="A780" s="71"/>
      <c r="B780" s="71"/>
      <c r="C780" s="71"/>
      <c r="D780" s="71"/>
      <c r="E780" s="71"/>
      <c r="F780" s="71"/>
      <c r="G780" s="71"/>
      <c r="H780" s="71"/>
      <c r="I780" s="71"/>
      <c r="J780" s="71"/>
      <c r="K780" s="71"/>
      <c r="L780" s="71"/>
      <c r="M780" s="71"/>
      <c r="N780" s="71"/>
      <c r="O780" s="71"/>
      <c r="P780" s="71"/>
      <c r="Q780" s="71"/>
      <c r="R780" s="71"/>
      <c r="T780" s="71"/>
      <c r="U780" s="71"/>
      <c r="V780" s="71"/>
      <c r="W780" s="71"/>
      <c r="X780" s="71"/>
      <c r="Y780" s="71"/>
      <c r="Z780" s="71"/>
    </row>
    <row r="781" spans="1:26" ht="14.25" customHeight="1">
      <c r="A781" s="71"/>
      <c r="B781" s="71"/>
      <c r="C781" s="71"/>
      <c r="D781" s="71"/>
      <c r="E781" s="71"/>
      <c r="F781" s="71"/>
      <c r="G781" s="71"/>
      <c r="H781" s="71"/>
      <c r="I781" s="71"/>
      <c r="J781" s="71"/>
      <c r="K781" s="71"/>
      <c r="L781" s="71"/>
      <c r="M781" s="71"/>
      <c r="N781" s="71"/>
      <c r="O781" s="71"/>
      <c r="P781" s="71"/>
      <c r="Q781" s="71"/>
      <c r="R781" s="71"/>
      <c r="T781" s="71"/>
      <c r="U781" s="71"/>
      <c r="V781" s="71"/>
      <c r="W781" s="71"/>
      <c r="X781" s="71"/>
      <c r="Y781" s="71"/>
      <c r="Z781" s="71"/>
    </row>
    <row r="782" spans="1:26" ht="14.25" customHeight="1">
      <c r="A782" s="71"/>
      <c r="B782" s="71"/>
      <c r="C782" s="71"/>
      <c r="D782" s="71"/>
      <c r="E782" s="71"/>
      <c r="F782" s="71"/>
      <c r="G782" s="71"/>
      <c r="H782" s="71"/>
      <c r="I782" s="71"/>
      <c r="J782" s="71"/>
      <c r="K782" s="71"/>
      <c r="L782" s="71"/>
      <c r="M782" s="71"/>
      <c r="N782" s="71"/>
      <c r="O782" s="71"/>
      <c r="P782" s="71"/>
      <c r="Q782" s="71"/>
      <c r="R782" s="71"/>
      <c r="T782" s="71"/>
      <c r="U782" s="71"/>
      <c r="V782" s="71"/>
      <c r="W782" s="71"/>
      <c r="X782" s="71"/>
      <c r="Y782" s="71"/>
      <c r="Z782" s="71"/>
    </row>
    <row r="783" spans="1:26" ht="14.25" customHeight="1">
      <c r="A783" s="71"/>
      <c r="B783" s="71"/>
      <c r="C783" s="71"/>
      <c r="D783" s="71"/>
      <c r="E783" s="71"/>
      <c r="F783" s="71"/>
      <c r="G783" s="71"/>
      <c r="H783" s="71"/>
      <c r="I783" s="71"/>
      <c r="J783" s="71"/>
      <c r="K783" s="71"/>
      <c r="L783" s="71"/>
      <c r="M783" s="71"/>
      <c r="N783" s="71"/>
      <c r="O783" s="71"/>
      <c r="P783" s="71"/>
      <c r="Q783" s="71"/>
      <c r="R783" s="71"/>
      <c r="T783" s="71"/>
      <c r="U783" s="71"/>
      <c r="V783" s="71"/>
      <c r="W783" s="71"/>
      <c r="X783" s="71"/>
      <c r="Y783" s="71"/>
      <c r="Z783" s="71"/>
    </row>
    <row r="784" spans="1:26" ht="14.25" customHeight="1">
      <c r="A784" s="71"/>
      <c r="B784" s="71"/>
      <c r="C784" s="71"/>
      <c r="D784" s="71"/>
      <c r="E784" s="71"/>
      <c r="F784" s="71"/>
      <c r="G784" s="71"/>
      <c r="H784" s="71"/>
      <c r="I784" s="71"/>
      <c r="J784" s="71"/>
      <c r="K784" s="71"/>
      <c r="L784" s="71"/>
      <c r="M784" s="71"/>
      <c r="N784" s="71"/>
      <c r="O784" s="71"/>
      <c r="P784" s="71"/>
      <c r="Q784" s="71"/>
      <c r="R784" s="71"/>
      <c r="T784" s="71"/>
      <c r="U784" s="71"/>
      <c r="V784" s="71"/>
      <c r="W784" s="71"/>
      <c r="X784" s="71"/>
      <c r="Y784" s="71"/>
      <c r="Z784" s="71"/>
    </row>
    <row r="785" spans="1:26" ht="14.25" customHeight="1">
      <c r="A785" s="71"/>
      <c r="B785" s="71"/>
      <c r="C785" s="71"/>
      <c r="D785" s="71"/>
      <c r="E785" s="71"/>
      <c r="F785" s="71"/>
      <c r="G785" s="71"/>
      <c r="H785" s="71"/>
      <c r="I785" s="71"/>
      <c r="J785" s="71"/>
      <c r="K785" s="71"/>
      <c r="L785" s="71"/>
      <c r="M785" s="71"/>
      <c r="N785" s="71"/>
      <c r="O785" s="71"/>
      <c r="P785" s="71"/>
      <c r="Q785" s="71"/>
      <c r="R785" s="71"/>
      <c r="T785" s="71"/>
      <c r="U785" s="71"/>
      <c r="V785" s="71"/>
      <c r="W785" s="71"/>
      <c r="X785" s="71"/>
      <c r="Y785" s="71"/>
      <c r="Z785" s="71"/>
    </row>
    <row r="786" spans="1:26" ht="14.25" customHeight="1">
      <c r="A786" s="71"/>
      <c r="B786" s="71"/>
      <c r="C786" s="71"/>
      <c r="D786" s="71"/>
      <c r="E786" s="71"/>
      <c r="F786" s="71"/>
      <c r="G786" s="71"/>
      <c r="H786" s="71"/>
      <c r="I786" s="71"/>
      <c r="J786" s="71"/>
      <c r="K786" s="71"/>
      <c r="L786" s="71"/>
      <c r="M786" s="71"/>
      <c r="N786" s="71"/>
      <c r="O786" s="71"/>
      <c r="P786" s="71"/>
      <c r="Q786" s="71"/>
      <c r="R786" s="71"/>
      <c r="T786" s="71"/>
      <c r="U786" s="71"/>
      <c r="V786" s="71"/>
      <c r="W786" s="71"/>
      <c r="X786" s="71"/>
      <c r="Y786" s="71"/>
      <c r="Z786" s="71"/>
    </row>
    <row r="787" spans="1:26" ht="14.25" customHeight="1">
      <c r="A787" s="71"/>
      <c r="B787" s="71"/>
      <c r="C787" s="71"/>
      <c r="D787" s="71"/>
      <c r="E787" s="71"/>
      <c r="F787" s="71"/>
      <c r="G787" s="71"/>
      <c r="H787" s="71"/>
      <c r="I787" s="71"/>
      <c r="J787" s="71"/>
      <c r="K787" s="71"/>
      <c r="L787" s="71"/>
      <c r="M787" s="71"/>
      <c r="N787" s="71"/>
      <c r="O787" s="71"/>
      <c r="P787" s="71"/>
      <c r="Q787" s="71"/>
      <c r="R787" s="71"/>
      <c r="T787" s="71"/>
      <c r="U787" s="71"/>
      <c r="V787" s="71"/>
      <c r="W787" s="71"/>
      <c r="X787" s="71"/>
      <c r="Y787" s="71"/>
      <c r="Z787" s="71"/>
    </row>
    <row r="788" spans="1:26" ht="14.25" customHeight="1">
      <c r="A788" s="71"/>
      <c r="B788" s="71"/>
      <c r="C788" s="71"/>
      <c r="D788" s="71"/>
      <c r="E788" s="71"/>
      <c r="F788" s="71"/>
      <c r="G788" s="71"/>
      <c r="H788" s="71"/>
      <c r="I788" s="71"/>
      <c r="J788" s="71"/>
      <c r="K788" s="71"/>
      <c r="L788" s="71"/>
      <c r="M788" s="71"/>
      <c r="N788" s="71"/>
      <c r="O788" s="71"/>
      <c r="P788" s="71"/>
      <c r="Q788" s="71"/>
      <c r="R788" s="71"/>
      <c r="T788" s="71"/>
      <c r="U788" s="71"/>
      <c r="V788" s="71"/>
      <c r="W788" s="71"/>
      <c r="X788" s="71"/>
      <c r="Y788" s="71"/>
      <c r="Z788" s="71"/>
    </row>
    <row r="789" spans="1:26" ht="14.25" customHeight="1">
      <c r="A789" s="71"/>
      <c r="B789" s="71"/>
      <c r="C789" s="71"/>
      <c r="D789" s="71"/>
      <c r="E789" s="71"/>
      <c r="F789" s="71"/>
      <c r="G789" s="71"/>
      <c r="H789" s="71"/>
      <c r="I789" s="71"/>
      <c r="J789" s="71"/>
      <c r="K789" s="71"/>
      <c r="L789" s="71"/>
      <c r="M789" s="71"/>
      <c r="N789" s="71"/>
      <c r="O789" s="71"/>
      <c r="P789" s="71"/>
      <c r="Q789" s="71"/>
      <c r="R789" s="71"/>
      <c r="T789" s="71"/>
      <c r="U789" s="71"/>
      <c r="V789" s="71"/>
      <c r="W789" s="71"/>
      <c r="X789" s="71"/>
      <c r="Y789" s="71"/>
      <c r="Z789" s="71"/>
    </row>
    <row r="790" spans="1:26" ht="14.25" customHeight="1">
      <c r="A790" s="71"/>
      <c r="B790" s="71"/>
      <c r="C790" s="71"/>
      <c r="D790" s="71"/>
      <c r="E790" s="71"/>
      <c r="F790" s="71"/>
      <c r="G790" s="71"/>
      <c r="H790" s="71"/>
      <c r="I790" s="71"/>
      <c r="J790" s="71"/>
      <c r="K790" s="71"/>
      <c r="L790" s="71"/>
      <c r="M790" s="71"/>
      <c r="N790" s="71"/>
      <c r="O790" s="71"/>
      <c r="P790" s="71"/>
      <c r="Q790" s="71"/>
      <c r="R790" s="71"/>
      <c r="T790" s="71"/>
      <c r="U790" s="71"/>
      <c r="V790" s="71"/>
      <c r="W790" s="71"/>
      <c r="X790" s="71"/>
      <c r="Y790" s="71"/>
      <c r="Z790" s="71"/>
    </row>
    <row r="791" spans="1:26" ht="14.25" customHeight="1">
      <c r="A791" s="71"/>
      <c r="B791" s="71"/>
      <c r="C791" s="71"/>
      <c r="D791" s="71"/>
      <c r="E791" s="71"/>
      <c r="F791" s="71"/>
      <c r="G791" s="71"/>
      <c r="H791" s="71"/>
      <c r="I791" s="71"/>
      <c r="J791" s="71"/>
      <c r="K791" s="71"/>
      <c r="L791" s="71"/>
      <c r="M791" s="71"/>
      <c r="N791" s="71"/>
      <c r="O791" s="71"/>
      <c r="P791" s="71"/>
      <c r="Q791" s="71"/>
      <c r="R791" s="71"/>
      <c r="T791" s="71"/>
      <c r="U791" s="71"/>
      <c r="V791" s="71"/>
      <c r="W791" s="71"/>
      <c r="X791" s="71"/>
      <c r="Y791" s="71"/>
      <c r="Z791" s="71"/>
    </row>
    <row r="792" spans="1:26" ht="14.25" customHeight="1">
      <c r="A792" s="71"/>
      <c r="B792" s="71"/>
      <c r="C792" s="71"/>
      <c r="D792" s="71"/>
      <c r="E792" s="71"/>
      <c r="F792" s="71"/>
      <c r="G792" s="71"/>
      <c r="H792" s="71"/>
      <c r="I792" s="71"/>
      <c r="J792" s="71"/>
      <c r="K792" s="71"/>
      <c r="L792" s="71"/>
      <c r="M792" s="71"/>
      <c r="N792" s="71"/>
      <c r="O792" s="71"/>
      <c r="P792" s="71"/>
      <c r="Q792" s="71"/>
      <c r="R792" s="71"/>
      <c r="T792" s="71"/>
      <c r="U792" s="71"/>
      <c r="V792" s="71"/>
      <c r="W792" s="71"/>
      <c r="X792" s="71"/>
      <c r="Y792" s="71"/>
      <c r="Z792" s="71"/>
    </row>
    <row r="793" spans="1:26" ht="14.25" customHeight="1">
      <c r="A793" s="71"/>
      <c r="B793" s="71"/>
      <c r="C793" s="71"/>
      <c r="D793" s="71"/>
      <c r="E793" s="71"/>
      <c r="F793" s="71"/>
      <c r="G793" s="71"/>
      <c r="H793" s="71"/>
      <c r="I793" s="71"/>
      <c r="J793" s="71"/>
      <c r="K793" s="71"/>
      <c r="L793" s="71"/>
      <c r="M793" s="71"/>
      <c r="N793" s="71"/>
      <c r="O793" s="71"/>
      <c r="P793" s="71"/>
      <c r="Q793" s="71"/>
      <c r="R793" s="71"/>
      <c r="T793" s="71"/>
      <c r="U793" s="71"/>
      <c r="V793" s="71"/>
      <c r="W793" s="71"/>
      <c r="X793" s="71"/>
      <c r="Y793" s="71"/>
      <c r="Z793" s="71"/>
    </row>
    <row r="794" spans="1:26" ht="14.25" customHeight="1">
      <c r="A794" s="71"/>
      <c r="B794" s="71"/>
      <c r="C794" s="71"/>
      <c r="D794" s="71"/>
      <c r="E794" s="71"/>
      <c r="F794" s="71"/>
      <c r="G794" s="71"/>
      <c r="H794" s="71"/>
      <c r="I794" s="71"/>
      <c r="J794" s="71"/>
      <c r="K794" s="71"/>
      <c r="L794" s="71"/>
      <c r="M794" s="71"/>
      <c r="N794" s="71"/>
      <c r="O794" s="71"/>
      <c r="P794" s="71"/>
      <c r="Q794" s="71"/>
      <c r="R794" s="71"/>
      <c r="T794" s="71"/>
      <c r="U794" s="71"/>
      <c r="V794" s="71"/>
      <c r="W794" s="71"/>
      <c r="X794" s="71"/>
      <c r="Y794" s="71"/>
      <c r="Z794" s="71"/>
    </row>
    <row r="795" spans="1:26" ht="14.25" customHeight="1">
      <c r="A795" s="71"/>
      <c r="B795" s="71"/>
      <c r="C795" s="71"/>
      <c r="D795" s="71"/>
      <c r="E795" s="71"/>
      <c r="F795" s="71"/>
      <c r="G795" s="71"/>
      <c r="H795" s="71"/>
      <c r="I795" s="71"/>
      <c r="J795" s="71"/>
      <c r="K795" s="71"/>
      <c r="L795" s="71"/>
      <c r="M795" s="71"/>
      <c r="N795" s="71"/>
      <c r="O795" s="71"/>
      <c r="P795" s="71"/>
      <c r="Q795" s="71"/>
      <c r="R795" s="71"/>
      <c r="T795" s="71"/>
      <c r="U795" s="71"/>
      <c r="V795" s="71"/>
      <c r="W795" s="71"/>
      <c r="X795" s="71"/>
      <c r="Y795" s="71"/>
      <c r="Z795" s="71"/>
    </row>
    <row r="796" spans="1:26" ht="14.25" customHeight="1">
      <c r="A796" s="71"/>
      <c r="B796" s="71"/>
      <c r="C796" s="71"/>
      <c r="D796" s="71"/>
      <c r="E796" s="71"/>
      <c r="F796" s="71"/>
      <c r="G796" s="71"/>
      <c r="H796" s="71"/>
      <c r="I796" s="71"/>
      <c r="J796" s="71"/>
      <c r="K796" s="71"/>
      <c r="L796" s="71"/>
      <c r="M796" s="71"/>
      <c r="N796" s="71"/>
      <c r="O796" s="71"/>
      <c r="P796" s="71"/>
      <c r="Q796" s="71"/>
      <c r="R796" s="71"/>
      <c r="T796" s="71"/>
      <c r="U796" s="71"/>
      <c r="V796" s="71"/>
      <c r="W796" s="71"/>
      <c r="X796" s="71"/>
      <c r="Y796" s="71"/>
      <c r="Z796" s="71"/>
    </row>
    <row r="797" spans="1:26" ht="14.25" customHeight="1">
      <c r="A797" s="71"/>
      <c r="B797" s="71"/>
      <c r="C797" s="71"/>
      <c r="D797" s="71"/>
      <c r="E797" s="71"/>
      <c r="F797" s="71"/>
      <c r="G797" s="71"/>
      <c r="H797" s="71"/>
      <c r="I797" s="71"/>
      <c r="J797" s="71"/>
      <c r="K797" s="71"/>
      <c r="L797" s="71"/>
      <c r="M797" s="71"/>
      <c r="N797" s="71"/>
      <c r="O797" s="71"/>
      <c r="P797" s="71"/>
      <c r="Q797" s="71"/>
      <c r="R797" s="71"/>
      <c r="T797" s="71"/>
      <c r="U797" s="71"/>
      <c r="V797" s="71"/>
      <c r="W797" s="71"/>
      <c r="X797" s="71"/>
      <c r="Y797" s="71"/>
      <c r="Z797" s="71"/>
    </row>
    <row r="798" spans="1:26" ht="14.25" customHeight="1">
      <c r="A798" s="71"/>
      <c r="B798" s="71"/>
      <c r="C798" s="71"/>
      <c r="D798" s="71"/>
      <c r="E798" s="71"/>
      <c r="F798" s="71"/>
      <c r="G798" s="71"/>
      <c r="H798" s="71"/>
      <c r="I798" s="71"/>
      <c r="J798" s="71"/>
      <c r="K798" s="71"/>
      <c r="L798" s="71"/>
      <c r="M798" s="71"/>
      <c r="N798" s="71"/>
      <c r="O798" s="71"/>
      <c r="P798" s="71"/>
      <c r="Q798" s="71"/>
      <c r="R798" s="71"/>
      <c r="T798" s="71"/>
      <c r="U798" s="71"/>
      <c r="V798" s="71"/>
      <c r="W798" s="71"/>
      <c r="X798" s="71"/>
      <c r="Y798" s="71"/>
      <c r="Z798" s="71"/>
    </row>
    <row r="799" spans="1:26" ht="14.25" customHeight="1">
      <c r="A799" s="71"/>
      <c r="B799" s="71"/>
      <c r="C799" s="71"/>
      <c r="D799" s="71"/>
      <c r="E799" s="71"/>
      <c r="F799" s="71"/>
      <c r="G799" s="71"/>
      <c r="H799" s="71"/>
      <c r="I799" s="71"/>
      <c r="J799" s="71"/>
      <c r="K799" s="71"/>
      <c r="L799" s="71"/>
      <c r="M799" s="71"/>
      <c r="N799" s="71"/>
      <c r="O799" s="71"/>
      <c r="P799" s="71"/>
      <c r="Q799" s="71"/>
      <c r="R799" s="71"/>
      <c r="T799" s="71"/>
      <c r="U799" s="71"/>
      <c r="V799" s="71"/>
      <c r="W799" s="71"/>
      <c r="X799" s="71"/>
      <c r="Y799" s="71"/>
      <c r="Z799" s="71"/>
    </row>
    <row r="800" spans="1:26" ht="14.25" customHeight="1">
      <c r="A800" s="71"/>
      <c r="B800" s="71"/>
      <c r="C800" s="71"/>
      <c r="D800" s="71"/>
      <c r="E800" s="71"/>
      <c r="F800" s="71"/>
      <c r="G800" s="71"/>
      <c r="H800" s="71"/>
      <c r="I800" s="71"/>
      <c r="J800" s="71"/>
      <c r="K800" s="71"/>
      <c r="L800" s="71"/>
      <c r="M800" s="71"/>
      <c r="N800" s="71"/>
      <c r="O800" s="71"/>
      <c r="P800" s="71"/>
      <c r="Q800" s="71"/>
      <c r="R800" s="71"/>
      <c r="T800" s="71"/>
      <c r="U800" s="71"/>
      <c r="V800" s="71"/>
      <c r="W800" s="71"/>
      <c r="X800" s="71"/>
      <c r="Y800" s="71"/>
      <c r="Z800" s="71"/>
    </row>
    <row r="801" spans="1:26" ht="14.25" customHeight="1">
      <c r="A801" s="71"/>
      <c r="B801" s="71"/>
      <c r="C801" s="71"/>
      <c r="D801" s="71"/>
      <c r="E801" s="71"/>
      <c r="F801" s="71"/>
      <c r="G801" s="71"/>
      <c r="H801" s="71"/>
      <c r="I801" s="71"/>
      <c r="J801" s="71"/>
      <c r="K801" s="71"/>
      <c r="L801" s="71"/>
      <c r="M801" s="71"/>
      <c r="N801" s="71"/>
      <c r="O801" s="71"/>
      <c r="P801" s="71"/>
      <c r="Q801" s="71"/>
      <c r="R801" s="71"/>
      <c r="T801" s="71"/>
      <c r="U801" s="71"/>
      <c r="V801" s="71"/>
      <c r="W801" s="71"/>
      <c r="X801" s="71"/>
      <c r="Y801" s="71"/>
      <c r="Z801" s="71"/>
    </row>
    <row r="802" spans="1:26" ht="14.25" customHeight="1">
      <c r="A802" s="71"/>
      <c r="B802" s="71"/>
      <c r="C802" s="71"/>
      <c r="D802" s="71"/>
      <c r="E802" s="71"/>
      <c r="F802" s="71"/>
      <c r="G802" s="71"/>
      <c r="H802" s="71"/>
      <c r="I802" s="71"/>
      <c r="J802" s="71"/>
      <c r="K802" s="71"/>
      <c r="L802" s="71"/>
      <c r="M802" s="71"/>
      <c r="N802" s="71"/>
      <c r="O802" s="71"/>
      <c r="P802" s="71"/>
      <c r="Q802" s="71"/>
      <c r="R802" s="71"/>
      <c r="T802" s="71"/>
      <c r="U802" s="71"/>
      <c r="V802" s="71"/>
      <c r="W802" s="71"/>
      <c r="X802" s="71"/>
      <c r="Y802" s="71"/>
      <c r="Z802" s="71"/>
    </row>
    <row r="803" spans="1:26" ht="14.25" customHeight="1">
      <c r="A803" s="71"/>
      <c r="B803" s="71"/>
      <c r="C803" s="71"/>
      <c r="D803" s="71"/>
      <c r="E803" s="71"/>
      <c r="F803" s="71"/>
      <c r="G803" s="71"/>
      <c r="H803" s="71"/>
      <c r="I803" s="71"/>
      <c r="J803" s="71"/>
      <c r="K803" s="71"/>
      <c r="L803" s="71"/>
      <c r="M803" s="71"/>
      <c r="N803" s="71"/>
      <c r="O803" s="71"/>
      <c r="P803" s="71"/>
      <c r="Q803" s="71"/>
      <c r="R803" s="71"/>
      <c r="T803" s="71"/>
      <c r="U803" s="71"/>
      <c r="V803" s="71"/>
      <c r="W803" s="71"/>
      <c r="X803" s="71"/>
      <c r="Y803" s="71"/>
      <c r="Z803" s="71"/>
    </row>
    <row r="804" spans="1:26" ht="14.25" customHeight="1">
      <c r="A804" s="71"/>
      <c r="B804" s="71"/>
      <c r="C804" s="71"/>
      <c r="D804" s="71"/>
      <c r="E804" s="71"/>
      <c r="F804" s="71"/>
      <c r="G804" s="71"/>
      <c r="H804" s="71"/>
      <c r="I804" s="71"/>
      <c r="J804" s="71"/>
      <c r="K804" s="71"/>
      <c r="L804" s="71"/>
      <c r="M804" s="71"/>
      <c r="N804" s="71"/>
      <c r="O804" s="71"/>
      <c r="P804" s="71"/>
      <c r="Q804" s="71"/>
      <c r="R804" s="71"/>
      <c r="T804" s="71"/>
      <c r="U804" s="71"/>
      <c r="V804" s="71"/>
      <c r="W804" s="71"/>
      <c r="X804" s="71"/>
      <c r="Y804" s="71"/>
      <c r="Z804" s="71"/>
    </row>
    <row r="805" spans="1:26" ht="14.25" customHeight="1">
      <c r="A805" s="71"/>
      <c r="B805" s="71"/>
      <c r="C805" s="71"/>
      <c r="D805" s="71"/>
      <c r="E805" s="71"/>
      <c r="F805" s="71"/>
      <c r="G805" s="71"/>
      <c r="H805" s="71"/>
      <c r="I805" s="71"/>
      <c r="J805" s="71"/>
      <c r="K805" s="71"/>
      <c r="L805" s="71"/>
      <c r="M805" s="71"/>
      <c r="N805" s="71"/>
      <c r="O805" s="71"/>
      <c r="P805" s="71"/>
      <c r="Q805" s="71"/>
      <c r="R805" s="71"/>
      <c r="T805" s="71"/>
      <c r="U805" s="71"/>
      <c r="V805" s="71"/>
      <c r="W805" s="71"/>
      <c r="X805" s="71"/>
      <c r="Y805" s="71"/>
      <c r="Z805" s="71"/>
    </row>
    <row r="806" spans="1:26" ht="14.25" customHeight="1">
      <c r="A806" s="71"/>
      <c r="B806" s="71"/>
      <c r="C806" s="71"/>
      <c r="D806" s="71"/>
      <c r="E806" s="71"/>
      <c r="F806" s="71"/>
      <c r="G806" s="71"/>
      <c r="H806" s="71"/>
      <c r="I806" s="71"/>
      <c r="J806" s="71"/>
      <c r="K806" s="71"/>
      <c r="L806" s="71"/>
      <c r="M806" s="71"/>
      <c r="N806" s="71"/>
      <c r="O806" s="71"/>
      <c r="P806" s="71"/>
      <c r="Q806" s="71"/>
      <c r="R806" s="71"/>
      <c r="T806" s="71"/>
      <c r="U806" s="71"/>
      <c r="V806" s="71"/>
      <c r="W806" s="71"/>
      <c r="X806" s="71"/>
      <c r="Y806" s="71"/>
      <c r="Z806" s="71"/>
    </row>
    <row r="807" spans="1:26" ht="14.25" customHeight="1">
      <c r="A807" s="71"/>
      <c r="B807" s="71"/>
      <c r="C807" s="71"/>
      <c r="D807" s="71"/>
      <c r="E807" s="71"/>
      <c r="F807" s="71"/>
      <c r="G807" s="71"/>
      <c r="H807" s="71"/>
      <c r="I807" s="71"/>
      <c r="J807" s="71"/>
      <c r="K807" s="71"/>
      <c r="L807" s="71"/>
      <c r="M807" s="71"/>
      <c r="N807" s="71"/>
      <c r="O807" s="71"/>
      <c r="P807" s="71"/>
      <c r="Q807" s="71"/>
      <c r="R807" s="71"/>
      <c r="T807" s="71"/>
      <c r="U807" s="71"/>
      <c r="V807" s="71"/>
      <c r="W807" s="71"/>
      <c r="X807" s="71"/>
      <c r="Y807" s="71"/>
      <c r="Z807" s="71"/>
    </row>
    <row r="808" spans="1:26" ht="14.25" customHeight="1">
      <c r="A808" s="71"/>
      <c r="B808" s="71"/>
      <c r="C808" s="71"/>
      <c r="D808" s="71"/>
      <c r="E808" s="71"/>
      <c r="F808" s="71"/>
      <c r="G808" s="71"/>
      <c r="H808" s="71"/>
      <c r="I808" s="71"/>
      <c r="J808" s="71"/>
      <c r="K808" s="71"/>
      <c r="L808" s="71"/>
      <c r="M808" s="71"/>
      <c r="N808" s="71"/>
      <c r="O808" s="71"/>
      <c r="P808" s="71"/>
      <c r="Q808" s="71"/>
      <c r="R808" s="71"/>
      <c r="T808" s="71"/>
      <c r="U808" s="71"/>
      <c r="V808" s="71"/>
      <c r="W808" s="71"/>
      <c r="X808" s="71"/>
      <c r="Y808" s="71"/>
      <c r="Z808" s="71"/>
    </row>
    <row r="809" spans="1:26" ht="14.25" customHeight="1">
      <c r="A809" s="71"/>
      <c r="B809" s="71"/>
      <c r="C809" s="71"/>
      <c r="D809" s="71"/>
      <c r="E809" s="71"/>
      <c r="F809" s="71"/>
      <c r="G809" s="71"/>
      <c r="H809" s="71"/>
      <c r="I809" s="71"/>
      <c r="J809" s="71"/>
      <c r="K809" s="71"/>
      <c r="L809" s="71"/>
      <c r="M809" s="71"/>
      <c r="N809" s="71"/>
      <c r="O809" s="71"/>
      <c r="P809" s="71"/>
      <c r="Q809" s="71"/>
      <c r="R809" s="71"/>
      <c r="T809" s="71"/>
      <c r="U809" s="71"/>
      <c r="V809" s="71"/>
      <c r="W809" s="71"/>
      <c r="X809" s="71"/>
      <c r="Y809" s="71"/>
      <c r="Z809" s="71"/>
    </row>
    <row r="810" spans="1:26" ht="14.25" customHeight="1">
      <c r="A810" s="71"/>
      <c r="B810" s="71"/>
      <c r="C810" s="71"/>
      <c r="D810" s="71"/>
      <c r="E810" s="71"/>
      <c r="F810" s="71"/>
      <c r="G810" s="71"/>
      <c r="H810" s="71"/>
      <c r="I810" s="71"/>
      <c r="J810" s="71"/>
      <c r="K810" s="71"/>
      <c r="L810" s="71"/>
      <c r="M810" s="71"/>
      <c r="N810" s="71"/>
      <c r="O810" s="71"/>
      <c r="P810" s="71"/>
      <c r="Q810" s="71"/>
      <c r="R810" s="71"/>
      <c r="T810" s="71"/>
      <c r="U810" s="71"/>
      <c r="V810" s="71"/>
      <c r="W810" s="71"/>
      <c r="X810" s="71"/>
      <c r="Y810" s="71"/>
      <c r="Z810" s="71"/>
    </row>
    <row r="811" spans="1:26" ht="14.25" customHeight="1">
      <c r="A811" s="71"/>
      <c r="B811" s="71"/>
      <c r="C811" s="71"/>
      <c r="D811" s="71"/>
      <c r="E811" s="71"/>
      <c r="F811" s="71"/>
      <c r="G811" s="71"/>
      <c r="H811" s="71"/>
      <c r="I811" s="71"/>
      <c r="J811" s="71"/>
      <c r="K811" s="71"/>
      <c r="L811" s="71"/>
      <c r="M811" s="71"/>
      <c r="N811" s="71"/>
      <c r="O811" s="71"/>
      <c r="P811" s="71"/>
      <c r="Q811" s="71"/>
      <c r="R811" s="71"/>
      <c r="T811" s="71"/>
      <c r="U811" s="71"/>
      <c r="V811" s="71"/>
      <c r="W811" s="71"/>
      <c r="X811" s="71"/>
      <c r="Y811" s="71"/>
      <c r="Z811" s="71"/>
    </row>
    <row r="812" spans="1:26" ht="14.25" customHeight="1">
      <c r="A812" s="71"/>
      <c r="B812" s="71"/>
      <c r="C812" s="71"/>
      <c r="D812" s="71"/>
      <c r="E812" s="71"/>
      <c r="F812" s="71"/>
      <c r="G812" s="71"/>
      <c r="H812" s="71"/>
      <c r="I812" s="71"/>
      <c r="J812" s="71"/>
      <c r="K812" s="71"/>
      <c r="L812" s="71"/>
      <c r="M812" s="71"/>
      <c r="N812" s="71"/>
      <c r="O812" s="71"/>
      <c r="P812" s="71"/>
      <c r="Q812" s="71"/>
      <c r="R812" s="71"/>
      <c r="T812" s="71"/>
      <c r="U812" s="71"/>
      <c r="V812" s="71"/>
      <c r="W812" s="71"/>
      <c r="X812" s="71"/>
      <c r="Y812" s="71"/>
      <c r="Z812" s="71"/>
    </row>
    <row r="813" spans="1:26" ht="14.25" customHeight="1">
      <c r="A813" s="71"/>
      <c r="B813" s="71"/>
      <c r="C813" s="71"/>
      <c r="D813" s="71"/>
      <c r="E813" s="71"/>
      <c r="F813" s="71"/>
      <c r="G813" s="71"/>
      <c r="H813" s="71"/>
      <c r="I813" s="71"/>
      <c r="J813" s="71"/>
      <c r="K813" s="71"/>
      <c r="L813" s="71"/>
      <c r="M813" s="71"/>
      <c r="N813" s="71"/>
      <c r="O813" s="71"/>
      <c r="P813" s="71"/>
      <c r="Q813" s="71"/>
      <c r="R813" s="71"/>
      <c r="T813" s="71"/>
      <c r="U813" s="71"/>
      <c r="V813" s="71"/>
      <c r="W813" s="71"/>
      <c r="X813" s="71"/>
      <c r="Y813" s="71"/>
      <c r="Z813" s="71"/>
    </row>
    <row r="814" spans="1:26" ht="14.25" customHeight="1">
      <c r="A814" s="71"/>
      <c r="B814" s="71"/>
      <c r="C814" s="71"/>
      <c r="D814" s="71"/>
      <c r="E814" s="71"/>
      <c r="F814" s="71"/>
      <c r="G814" s="71"/>
      <c r="H814" s="71"/>
      <c r="I814" s="71"/>
      <c r="J814" s="71"/>
      <c r="K814" s="71"/>
      <c r="L814" s="71"/>
      <c r="M814" s="71"/>
      <c r="N814" s="71"/>
      <c r="O814" s="71"/>
      <c r="P814" s="71"/>
      <c r="Q814" s="71"/>
      <c r="R814" s="71"/>
      <c r="T814" s="71"/>
      <c r="U814" s="71"/>
      <c r="V814" s="71"/>
      <c r="W814" s="71"/>
      <c r="X814" s="71"/>
      <c r="Y814" s="71"/>
      <c r="Z814" s="71"/>
    </row>
    <row r="815" spans="1:26" ht="14.25" customHeight="1">
      <c r="A815" s="71"/>
      <c r="B815" s="71"/>
      <c r="C815" s="71"/>
      <c r="D815" s="71"/>
      <c r="E815" s="71"/>
      <c r="F815" s="71"/>
      <c r="G815" s="71"/>
      <c r="H815" s="71"/>
      <c r="I815" s="71"/>
      <c r="J815" s="71"/>
      <c r="K815" s="71"/>
      <c r="L815" s="71"/>
      <c r="M815" s="71"/>
      <c r="N815" s="71"/>
      <c r="O815" s="71"/>
      <c r="P815" s="71"/>
      <c r="Q815" s="71"/>
      <c r="R815" s="71"/>
      <c r="T815" s="71"/>
      <c r="U815" s="71"/>
      <c r="V815" s="71"/>
      <c r="W815" s="71"/>
      <c r="X815" s="71"/>
      <c r="Y815" s="71"/>
      <c r="Z815" s="71"/>
    </row>
    <row r="816" spans="1:26" ht="14.25" customHeight="1">
      <c r="A816" s="71"/>
      <c r="B816" s="71"/>
      <c r="C816" s="71"/>
      <c r="D816" s="71"/>
      <c r="E816" s="71"/>
      <c r="F816" s="71"/>
      <c r="G816" s="71"/>
      <c r="H816" s="71"/>
      <c r="I816" s="71"/>
      <c r="J816" s="71"/>
      <c r="K816" s="71"/>
      <c r="L816" s="71"/>
      <c r="M816" s="71"/>
      <c r="N816" s="71"/>
      <c r="O816" s="71"/>
      <c r="P816" s="71"/>
      <c r="Q816" s="71"/>
      <c r="R816" s="71"/>
      <c r="T816" s="71"/>
      <c r="U816" s="71"/>
      <c r="V816" s="71"/>
      <c r="W816" s="71"/>
      <c r="X816" s="71"/>
      <c r="Y816" s="71"/>
      <c r="Z816" s="71"/>
    </row>
    <row r="817" spans="1:26" ht="14.25" customHeight="1">
      <c r="A817" s="71"/>
      <c r="B817" s="71"/>
      <c r="C817" s="71"/>
      <c r="D817" s="71"/>
      <c r="E817" s="71"/>
      <c r="F817" s="71"/>
      <c r="G817" s="71"/>
      <c r="H817" s="71"/>
      <c r="I817" s="71"/>
      <c r="J817" s="71"/>
      <c r="K817" s="71"/>
      <c r="L817" s="71"/>
      <c r="M817" s="71"/>
      <c r="N817" s="71"/>
      <c r="O817" s="71"/>
      <c r="P817" s="71"/>
      <c r="Q817" s="71"/>
      <c r="R817" s="71"/>
      <c r="T817" s="71"/>
      <c r="U817" s="71"/>
      <c r="V817" s="71"/>
      <c r="W817" s="71"/>
      <c r="X817" s="71"/>
      <c r="Y817" s="71"/>
      <c r="Z817" s="71"/>
    </row>
    <row r="818" spans="1:26" ht="14.25" customHeight="1">
      <c r="A818" s="71"/>
      <c r="B818" s="71"/>
      <c r="C818" s="71"/>
      <c r="D818" s="71"/>
      <c r="E818" s="71"/>
      <c r="F818" s="71"/>
      <c r="G818" s="71"/>
      <c r="H818" s="71"/>
      <c r="I818" s="71"/>
      <c r="J818" s="71"/>
      <c r="K818" s="71"/>
      <c r="L818" s="71"/>
      <c r="M818" s="71"/>
      <c r="N818" s="71"/>
      <c r="O818" s="71"/>
      <c r="P818" s="71"/>
      <c r="Q818" s="71"/>
      <c r="R818" s="71"/>
      <c r="T818" s="71"/>
      <c r="U818" s="71"/>
      <c r="V818" s="71"/>
      <c r="W818" s="71"/>
      <c r="X818" s="71"/>
      <c r="Y818" s="71"/>
      <c r="Z818" s="71"/>
    </row>
    <row r="819" spans="1:26" ht="14.25" customHeight="1">
      <c r="A819" s="71"/>
      <c r="B819" s="71"/>
      <c r="C819" s="71"/>
      <c r="D819" s="71"/>
      <c r="E819" s="71"/>
      <c r="F819" s="71"/>
      <c r="G819" s="71"/>
      <c r="H819" s="71"/>
      <c r="I819" s="71"/>
      <c r="J819" s="71"/>
      <c r="K819" s="71"/>
      <c r="L819" s="71"/>
      <c r="M819" s="71"/>
      <c r="N819" s="71"/>
      <c r="O819" s="71"/>
      <c r="P819" s="71"/>
      <c r="Q819" s="71"/>
      <c r="R819" s="71"/>
      <c r="T819" s="71"/>
      <c r="U819" s="71"/>
      <c r="V819" s="71"/>
      <c r="W819" s="71"/>
      <c r="X819" s="71"/>
      <c r="Y819" s="71"/>
      <c r="Z819" s="71"/>
    </row>
    <row r="820" spans="1:26" ht="14.25" customHeight="1">
      <c r="A820" s="71"/>
      <c r="B820" s="71"/>
      <c r="C820" s="71"/>
      <c r="D820" s="71"/>
      <c r="E820" s="71"/>
      <c r="F820" s="71"/>
      <c r="G820" s="71"/>
      <c r="H820" s="71"/>
      <c r="I820" s="71"/>
      <c r="J820" s="71"/>
      <c r="K820" s="71"/>
      <c r="L820" s="71"/>
      <c r="M820" s="71"/>
      <c r="N820" s="71"/>
      <c r="O820" s="71"/>
      <c r="P820" s="71"/>
      <c r="Q820" s="71"/>
      <c r="R820" s="71"/>
      <c r="T820" s="71"/>
      <c r="U820" s="71"/>
      <c r="V820" s="71"/>
      <c r="W820" s="71"/>
      <c r="X820" s="71"/>
      <c r="Y820" s="71"/>
      <c r="Z820" s="71"/>
    </row>
    <row r="821" spans="1:26" ht="14.25" customHeight="1">
      <c r="A821" s="71"/>
      <c r="B821" s="71"/>
      <c r="C821" s="71"/>
      <c r="D821" s="71"/>
      <c r="E821" s="71"/>
      <c r="F821" s="71"/>
      <c r="G821" s="71"/>
      <c r="H821" s="71"/>
      <c r="I821" s="71"/>
      <c r="J821" s="71"/>
      <c r="K821" s="71"/>
      <c r="L821" s="71"/>
      <c r="M821" s="71"/>
      <c r="N821" s="71"/>
      <c r="O821" s="71"/>
      <c r="P821" s="71"/>
      <c r="Q821" s="71"/>
      <c r="R821" s="71"/>
      <c r="T821" s="71"/>
      <c r="U821" s="71"/>
      <c r="V821" s="71"/>
      <c r="W821" s="71"/>
      <c r="X821" s="71"/>
      <c r="Y821" s="71"/>
      <c r="Z821" s="71"/>
    </row>
    <row r="822" spans="1:26" ht="14.25" customHeight="1">
      <c r="A822" s="71"/>
      <c r="B822" s="71"/>
      <c r="C822" s="71"/>
      <c r="D822" s="71"/>
      <c r="E822" s="71"/>
      <c r="F822" s="71"/>
      <c r="G822" s="71"/>
      <c r="H822" s="71"/>
      <c r="I822" s="71"/>
      <c r="J822" s="71"/>
      <c r="K822" s="71"/>
      <c r="L822" s="71"/>
      <c r="M822" s="71"/>
      <c r="N822" s="71"/>
      <c r="O822" s="71"/>
      <c r="P822" s="71"/>
      <c r="Q822" s="71"/>
      <c r="R822" s="71"/>
      <c r="T822" s="71"/>
      <c r="U822" s="71"/>
      <c r="V822" s="71"/>
      <c r="W822" s="71"/>
      <c r="X822" s="71"/>
      <c r="Y822" s="71"/>
      <c r="Z822" s="71"/>
    </row>
    <row r="823" spans="1:26" ht="14.25" customHeight="1">
      <c r="A823" s="71"/>
      <c r="B823" s="71"/>
      <c r="C823" s="71"/>
      <c r="D823" s="71"/>
      <c r="E823" s="71"/>
      <c r="F823" s="71"/>
      <c r="G823" s="71"/>
      <c r="H823" s="71"/>
      <c r="I823" s="71"/>
      <c r="J823" s="71"/>
      <c r="K823" s="71"/>
      <c r="L823" s="71"/>
      <c r="M823" s="71"/>
      <c r="N823" s="71"/>
      <c r="O823" s="71"/>
      <c r="P823" s="71"/>
      <c r="Q823" s="71"/>
      <c r="R823" s="71"/>
      <c r="T823" s="71"/>
      <c r="U823" s="71"/>
      <c r="V823" s="71"/>
      <c r="W823" s="71"/>
      <c r="X823" s="71"/>
      <c r="Y823" s="71"/>
      <c r="Z823" s="71"/>
    </row>
    <row r="824" spans="1:26" ht="14.25" customHeight="1">
      <c r="A824" s="71"/>
      <c r="B824" s="71"/>
      <c r="C824" s="71"/>
      <c r="D824" s="71"/>
      <c r="E824" s="71"/>
      <c r="F824" s="71"/>
      <c r="G824" s="71"/>
      <c r="H824" s="71"/>
      <c r="I824" s="71"/>
      <c r="J824" s="71"/>
      <c r="K824" s="71"/>
      <c r="L824" s="71"/>
      <c r="M824" s="71"/>
      <c r="N824" s="71"/>
      <c r="O824" s="71"/>
      <c r="P824" s="71"/>
      <c r="Q824" s="71"/>
      <c r="R824" s="71"/>
      <c r="T824" s="71"/>
      <c r="U824" s="71"/>
      <c r="V824" s="71"/>
      <c r="W824" s="71"/>
      <c r="X824" s="71"/>
      <c r="Y824" s="71"/>
      <c r="Z824" s="71"/>
    </row>
    <row r="825" spans="1:26" ht="14.25" customHeight="1">
      <c r="A825" s="71"/>
      <c r="B825" s="71"/>
      <c r="C825" s="71"/>
      <c r="D825" s="71"/>
      <c r="E825" s="71"/>
      <c r="F825" s="71"/>
      <c r="G825" s="71"/>
      <c r="H825" s="71"/>
      <c r="I825" s="71"/>
      <c r="J825" s="71"/>
      <c r="K825" s="71"/>
      <c r="L825" s="71"/>
      <c r="M825" s="71"/>
      <c r="N825" s="71"/>
      <c r="O825" s="71"/>
      <c r="P825" s="71"/>
      <c r="Q825" s="71"/>
      <c r="R825" s="71"/>
      <c r="T825" s="71"/>
      <c r="U825" s="71"/>
      <c r="V825" s="71"/>
      <c r="W825" s="71"/>
      <c r="X825" s="71"/>
      <c r="Y825" s="71"/>
      <c r="Z825" s="71"/>
    </row>
    <row r="826" spans="1:26" ht="14.25" customHeight="1">
      <c r="A826" s="71"/>
      <c r="B826" s="71"/>
      <c r="C826" s="71"/>
      <c r="D826" s="71"/>
      <c r="E826" s="71"/>
      <c r="F826" s="71"/>
      <c r="G826" s="71"/>
      <c r="H826" s="71"/>
      <c r="I826" s="71"/>
      <c r="J826" s="71"/>
      <c r="K826" s="71"/>
      <c r="L826" s="71"/>
      <c r="M826" s="71"/>
      <c r="N826" s="71"/>
      <c r="O826" s="71"/>
      <c r="P826" s="71"/>
      <c r="Q826" s="71"/>
      <c r="R826" s="71"/>
      <c r="T826" s="71"/>
      <c r="U826" s="71"/>
      <c r="V826" s="71"/>
      <c r="W826" s="71"/>
      <c r="X826" s="71"/>
      <c r="Y826" s="71"/>
      <c r="Z826" s="71"/>
    </row>
    <row r="827" spans="1:26" ht="14.25" customHeight="1">
      <c r="A827" s="71"/>
      <c r="B827" s="71"/>
      <c r="C827" s="71"/>
      <c r="D827" s="71"/>
      <c r="E827" s="71"/>
      <c r="F827" s="71"/>
      <c r="G827" s="71"/>
      <c r="H827" s="71"/>
      <c r="I827" s="71"/>
      <c r="J827" s="71"/>
      <c r="K827" s="71"/>
      <c r="L827" s="71"/>
      <c r="M827" s="71"/>
      <c r="N827" s="71"/>
      <c r="O827" s="71"/>
      <c r="P827" s="71"/>
      <c r="Q827" s="71"/>
      <c r="R827" s="71"/>
      <c r="T827" s="71"/>
      <c r="U827" s="71"/>
      <c r="V827" s="71"/>
      <c r="W827" s="71"/>
      <c r="X827" s="71"/>
      <c r="Y827" s="71"/>
      <c r="Z827" s="71"/>
    </row>
    <row r="828" spans="1:26" ht="14.25" customHeight="1">
      <c r="A828" s="71"/>
      <c r="B828" s="71"/>
      <c r="C828" s="71"/>
      <c r="D828" s="71"/>
      <c r="E828" s="71"/>
      <c r="F828" s="71"/>
      <c r="G828" s="71"/>
      <c r="H828" s="71"/>
      <c r="I828" s="71"/>
      <c r="J828" s="71"/>
      <c r="K828" s="71"/>
      <c r="L828" s="71"/>
      <c r="M828" s="71"/>
      <c r="N828" s="71"/>
      <c r="O828" s="71"/>
      <c r="P828" s="71"/>
      <c r="Q828" s="71"/>
      <c r="R828" s="71"/>
      <c r="T828" s="71"/>
      <c r="U828" s="71"/>
      <c r="V828" s="71"/>
      <c r="W828" s="71"/>
      <c r="X828" s="71"/>
      <c r="Y828" s="71"/>
      <c r="Z828" s="71"/>
    </row>
    <row r="829" spans="1:26" ht="14.25" customHeight="1">
      <c r="A829" s="71"/>
      <c r="B829" s="71"/>
      <c r="C829" s="71"/>
      <c r="D829" s="71"/>
      <c r="E829" s="71"/>
      <c r="F829" s="71"/>
      <c r="G829" s="71"/>
      <c r="H829" s="71"/>
      <c r="I829" s="71"/>
      <c r="J829" s="71"/>
      <c r="K829" s="71"/>
      <c r="L829" s="71"/>
      <c r="M829" s="71"/>
      <c r="N829" s="71"/>
      <c r="O829" s="71"/>
      <c r="P829" s="71"/>
      <c r="Q829" s="71"/>
      <c r="R829" s="71"/>
      <c r="T829" s="71"/>
      <c r="U829" s="71"/>
      <c r="V829" s="71"/>
      <c r="W829" s="71"/>
      <c r="X829" s="71"/>
      <c r="Y829" s="71"/>
      <c r="Z829" s="71"/>
    </row>
    <row r="830" spans="1:26" ht="14.25" customHeight="1">
      <c r="A830" s="71"/>
      <c r="B830" s="71"/>
      <c r="C830" s="71"/>
      <c r="D830" s="71"/>
      <c r="E830" s="71"/>
      <c r="F830" s="71"/>
      <c r="G830" s="71"/>
      <c r="H830" s="71"/>
      <c r="I830" s="71"/>
      <c r="J830" s="71"/>
      <c r="K830" s="71"/>
      <c r="L830" s="71"/>
      <c r="M830" s="71"/>
      <c r="N830" s="71"/>
      <c r="O830" s="71"/>
      <c r="P830" s="71"/>
      <c r="Q830" s="71"/>
      <c r="R830" s="71"/>
      <c r="T830" s="71"/>
      <c r="U830" s="71"/>
      <c r="V830" s="71"/>
      <c r="W830" s="71"/>
      <c r="X830" s="71"/>
      <c r="Y830" s="71"/>
      <c r="Z830" s="71"/>
    </row>
    <row r="831" spans="1:26" ht="14.25" customHeight="1">
      <c r="A831" s="71"/>
      <c r="B831" s="71"/>
      <c r="C831" s="71"/>
      <c r="D831" s="71"/>
      <c r="E831" s="71"/>
      <c r="F831" s="71"/>
      <c r="G831" s="71"/>
      <c r="H831" s="71"/>
      <c r="I831" s="71"/>
      <c r="J831" s="71"/>
      <c r="K831" s="71"/>
      <c r="L831" s="71"/>
      <c r="M831" s="71"/>
      <c r="N831" s="71"/>
      <c r="O831" s="71"/>
      <c r="P831" s="71"/>
      <c r="Q831" s="71"/>
      <c r="R831" s="71"/>
      <c r="T831" s="71"/>
      <c r="U831" s="71"/>
      <c r="V831" s="71"/>
      <c r="W831" s="71"/>
      <c r="X831" s="71"/>
      <c r="Y831" s="71"/>
      <c r="Z831" s="71"/>
    </row>
    <row r="832" spans="1:26" ht="14.25" customHeight="1">
      <c r="A832" s="71"/>
      <c r="B832" s="71"/>
      <c r="C832" s="71"/>
      <c r="D832" s="71"/>
      <c r="E832" s="71"/>
      <c r="F832" s="71"/>
      <c r="G832" s="71"/>
      <c r="H832" s="71"/>
      <c r="I832" s="71"/>
      <c r="J832" s="71"/>
      <c r="K832" s="71"/>
      <c r="L832" s="71"/>
      <c r="M832" s="71"/>
      <c r="N832" s="71"/>
      <c r="O832" s="71"/>
      <c r="P832" s="71"/>
      <c r="Q832" s="71"/>
      <c r="R832" s="71"/>
      <c r="T832" s="71"/>
      <c r="U832" s="71"/>
      <c r="V832" s="71"/>
      <c r="W832" s="71"/>
      <c r="X832" s="71"/>
      <c r="Y832" s="71"/>
      <c r="Z832" s="71"/>
    </row>
    <row r="833" spans="1:26" ht="14.25" customHeight="1">
      <c r="A833" s="71"/>
      <c r="B833" s="71"/>
      <c r="C833" s="71"/>
      <c r="D833" s="71"/>
      <c r="E833" s="71"/>
      <c r="F833" s="71"/>
      <c r="G833" s="71"/>
      <c r="H833" s="71"/>
      <c r="I833" s="71"/>
      <c r="J833" s="71"/>
      <c r="K833" s="71"/>
      <c r="L833" s="71"/>
      <c r="M833" s="71"/>
      <c r="N833" s="71"/>
      <c r="O833" s="71"/>
      <c r="P833" s="71"/>
      <c r="Q833" s="71"/>
      <c r="R833" s="71"/>
      <c r="T833" s="71"/>
      <c r="U833" s="71"/>
      <c r="V833" s="71"/>
      <c r="W833" s="71"/>
      <c r="X833" s="71"/>
      <c r="Y833" s="71"/>
      <c r="Z833" s="71"/>
    </row>
    <row r="834" spans="1:26" ht="14.25" customHeight="1">
      <c r="A834" s="71"/>
      <c r="B834" s="71"/>
      <c r="C834" s="71"/>
      <c r="D834" s="71"/>
      <c r="E834" s="71"/>
      <c r="F834" s="71"/>
      <c r="G834" s="71"/>
      <c r="H834" s="71"/>
      <c r="I834" s="71"/>
      <c r="J834" s="71"/>
      <c r="K834" s="71"/>
      <c r="L834" s="71"/>
      <c r="M834" s="71"/>
      <c r="N834" s="71"/>
      <c r="O834" s="71"/>
      <c r="P834" s="71"/>
      <c r="Q834" s="71"/>
      <c r="R834" s="71"/>
      <c r="T834" s="71"/>
      <c r="U834" s="71"/>
      <c r="V834" s="71"/>
      <c r="W834" s="71"/>
      <c r="X834" s="71"/>
      <c r="Y834" s="71"/>
      <c r="Z834" s="71"/>
    </row>
    <row r="835" spans="1:26" ht="14.25" customHeight="1">
      <c r="A835" s="71"/>
      <c r="B835" s="71"/>
      <c r="C835" s="71"/>
      <c r="D835" s="71"/>
      <c r="E835" s="71"/>
      <c r="F835" s="71"/>
      <c r="G835" s="71"/>
      <c r="H835" s="71"/>
      <c r="I835" s="71"/>
      <c r="J835" s="71"/>
      <c r="K835" s="71"/>
      <c r="L835" s="71"/>
      <c r="M835" s="71"/>
      <c r="N835" s="71"/>
      <c r="O835" s="71"/>
      <c r="P835" s="71"/>
      <c r="Q835" s="71"/>
      <c r="R835" s="71"/>
      <c r="T835" s="71"/>
      <c r="U835" s="71"/>
      <c r="V835" s="71"/>
      <c r="W835" s="71"/>
      <c r="X835" s="71"/>
      <c r="Y835" s="71"/>
      <c r="Z835" s="71"/>
    </row>
    <row r="836" spans="1:26" ht="14.25" customHeight="1">
      <c r="A836" s="71"/>
      <c r="B836" s="71"/>
      <c r="C836" s="71"/>
      <c r="D836" s="71"/>
      <c r="E836" s="71"/>
      <c r="F836" s="71"/>
      <c r="G836" s="71"/>
      <c r="H836" s="71"/>
      <c r="I836" s="71"/>
      <c r="J836" s="71"/>
      <c r="K836" s="71"/>
      <c r="L836" s="71"/>
      <c r="M836" s="71"/>
      <c r="N836" s="71"/>
      <c r="O836" s="71"/>
      <c r="P836" s="71"/>
      <c r="Q836" s="71"/>
      <c r="R836" s="71"/>
      <c r="T836" s="71"/>
      <c r="U836" s="71"/>
      <c r="V836" s="71"/>
      <c r="W836" s="71"/>
      <c r="X836" s="71"/>
      <c r="Y836" s="71"/>
      <c r="Z836" s="71"/>
    </row>
    <row r="837" spans="1:26" ht="14.25" customHeight="1">
      <c r="A837" s="71"/>
      <c r="B837" s="71"/>
      <c r="C837" s="71"/>
      <c r="D837" s="71"/>
      <c r="E837" s="71"/>
      <c r="F837" s="71"/>
      <c r="G837" s="71"/>
      <c r="H837" s="71"/>
      <c r="I837" s="71"/>
      <c r="J837" s="71"/>
      <c r="K837" s="71"/>
      <c r="L837" s="71"/>
      <c r="M837" s="71"/>
      <c r="N837" s="71"/>
      <c r="O837" s="71"/>
      <c r="P837" s="71"/>
      <c r="Q837" s="71"/>
      <c r="R837" s="71"/>
      <c r="T837" s="71"/>
      <c r="U837" s="71"/>
      <c r="V837" s="71"/>
      <c r="W837" s="71"/>
      <c r="X837" s="71"/>
      <c r="Y837" s="71"/>
      <c r="Z837" s="71"/>
    </row>
    <row r="838" spans="1:26" ht="14.25" customHeight="1">
      <c r="A838" s="71"/>
      <c r="B838" s="71"/>
      <c r="C838" s="71"/>
      <c r="D838" s="71"/>
      <c r="E838" s="71"/>
      <c r="F838" s="71"/>
      <c r="G838" s="71"/>
      <c r="H838" s="71"/>
      <c r="I838" s="71"/>
      <c r="J838" s="71"/>
      <c r="K838" s="71"/>
      <c r="L838" s="71"/>
      <c r="M838" s="71"/>
      <c r="N838" s="71"/>
      <c r="O838" s="71"/>
      <c r="P838" s="71"/>
      <c r="Q838" s="71"/>
      <c r="R838" s="71"/>
      <c r="T838" s="71"/>
      <c r="U838" s="71"/>
      <c r="V838" s="71"/>
      <c r="W838" s="71"/>
      <c r="X838" s="71"/>
      <c r="Y838" s="71"/>
      <c r="Z838" s="71"/>
    </row>
    <row r="839" spans="1:26" ht="14.25" customHeight="1">
      <c r="A839" s="71"/>
      <c r="B839" s="71"/>
      <c r="C839" s="71"/>
      <c r="D839" s="71"/>
      <c r="E839" s="71"/>
      <c r="F839" s="71"/>
      <c r="G839" s="71"/>
      <c r="H839" s="71"/>
      <c r="I839" s="71"/>
      <c r="J839" s="71"/>
      <c r="K839" s="71"/>
      <c r="L839" s="71"/>
      <c r="M839" s="71"/>
      <c r="N839" s="71"/>
      <c r="O839" s="71"/>
      <c r="P839" s="71"/>
      <c r="Q839" s="71"/>
      <c r="R839" s="71"/>
      <c r="T839" s="71"/>
      <c r="U839" s="71"/>
      <c r="V839" s="71"/>
      <c r="W839" s="71"/>
      <c r="X839" s="71"/>
      <c r="Y839" s="71"/>
      <c r="Z839" s="71"/>
    </row>
    <row r="840" spans="1:26" ht="14.25" customHeight="1">
      <c r="A840" s="71"/>
      <c r="B840" s="71"/>
      <c r="C840" s="71"/>
      <c r="D840" s="71"/>
      <c r="E840" s="71"/>
      <c r="F840" s="71"/>
      <c r="G840" s="71"/>
      <c r="H840" s="71"/>
      <c r="I840" s="71"/>
      <c r="J840" s="71"/>
      <c r="K840" s="71"/>
      <c r="L840" s="71"/>
      <c r="M840" s="71"/>
      <c r="N840" s="71"/>
      <c r="O840" s="71"/>
      <c r="P840" s="71"/>
      <c r="Q840" s="71"/>
      <c r="R840" s="71"/>
      <c r="T840" s="71"/>
      <c r="U840" s="71"/>
      <c r="V840" s="71"/>
      <c r="W840" s="71"/>
      <c r="X840" s="71"/>
      <c r="Y840" s="71"/>
      <c r="Z840" s="71"/>
    </row>
    <row r="841" spans="1:26" ht="14.25" customHeight="1">
      <c r="A841" s="71"/>
      <c r="B841" s="71"/>
      <c r="C841" s="71"/>
      <c r="D841" s="71"/>
      <c r="E841" s="71"/>
      <c r="F841" s="71"/>
      <c r="G841" s="71"/>
      <c r="H841" s="71"/>
      <c r="I841" s="71"/>
      <c r="J841" s="71"/>
      <c r="K841" s="71"/>
      <c r="L841" s="71"/>
      <c r="M841" s="71"/>
      <c r="N841" s="71"/>
      <c r="O841" s="71"/>
      <c r="P841" s="71"/>
      <c r="Q841" s="71"/>
      <c r="R841" s="71"/>
      <c r="T841" s="71"/>
      <c r="U841" s="71"/>
      <c r="V841" s="71"/>
      <c r="W841" s="71"/>
      <c r="X841" s="71"/>
      <c r="Y841" s="71"/>
      <c r="Z841" s="71"/>
    </row>
    <row r="842" spans="1:26" ht="14.25" customHeight="1">
      <c r="A842" s="71"/>
      <c r="B842" s="71"/>
      <c r="C842" s="71"/>
      <c r="D842" s="71"/>
      <c r="E842" s="71"/>
      <c r="F842" s="71"/>
      <c r="G842" s="71"/>
      <c r="H842" s="71"/>
      <c r="I842" s="71"/>
      <c r="J842" s="71"/>
      <c r="K842" s="71"/>
      <c r="L842" s="71"/>
      <c r="M842" s="71"/>
      <c r="N842" s="71"/>
      <c r="O842" s="71"/>
      <c r="P842" s="71"/>
      <c r="Q842" s="71"/>
      <c r="R842" s="71"/>
      <c r="T842" s="71"/>
      <c r="U842" s="71"/>
      <c r="V842" s="71"/>
      <c r="W842" s="71"/>
      <c r="X842" s="71"/>
      <c r="Y842" s="71"/>
      <c r="Z842" s="71"/>
    </row>
    <row r="843" spans="1:26" ht="14.25" customHeight="1">
      <c r="A843" s="71"/>
      <c r="B843" s="71"/>
      <c r="C843" s="71"/>
      <c r="D843" s="71"/>
      <c r="E843" s="71"/>
      <c r="F843" s="71"/>
      <c r="G843" s="71"/>
      <c r="H843" s="71"/>
      <c r="I843" s="71"/>
      <c r="J843" s="71"/>
      <c r="K843" s="71"/>
      <c r="L843" s="71"/>
      <c r="M843" s="71"/>
      <c r="N843" s="71"/>
      <c r="O843" s="71"/>
      <c r="P843" s="71"/>
      <c r="Q843" s="71"/>
      <c r="R843" s="71"/>
      <c r="T843" s="71"/>
      <c r="U843" s="71"/>
      <c r="V843" s="71"/>
      <c r="W843" s="71"/>
      <c r="X843" s="71"/>
      <c r="Y843" s="71"/>
      <c r="Z843" s="71"/>
    </row>
    <row r="844" spans="1:26" ht="14.25" customHeight="1">
      <c r="A844" s="71"/>
      <c r="B844" s="71"/>
      <c r="C844" s="71"/>
      <c r="D844" s="71"/>
      <c r="E844" s="71"/>
      <c r="F844" s="71"/>
      <c r="G844" s="71"/>
      <c r="H844" s="71"/>
      <c r="I844" s="71"/>
      <c r="J844" s="71"/>
      <c r="K844" s="71"/>
      <c r="L844" s="71"/>
      <c r="M844" s="71"/>
      <c r="N844" s="71"/>
      <c r="O844" s="71"/>
      <c r="P844" s="71"/>
      <c r="Q844" s="71"/>
      <c r="R844" s="71"/>
      <c r="T844" s="71"/>
      <c r="U844" s="71"/>
      <c r="V844" s="71"/>
      <c r="W844" s="71"/>
      <c r="X844" s="71"/>
      <c r="Y844" s="71"/>
      <c r="Z844" s="71"/>
    </row>
    <row r="845" spans="1:26" ht="14.25" customHeight="1">
      <c r="A845" s="71"/>
      <c r="B845" s="71"/>
      <c r="C845" s="71"/>
      <c r="D845" s="71"/>
      <c r="E845" s="71"/>
      <c r="F845" s="71"/>
      <c r="G845" s="71"/>
      <c r="H845" s="71"/>
      <c r="I845" s="71"/>
      <c r="J845" s="71"/>
      <c r="K845" s="71"/>
      <c r="L845" s="71"/>
      <c r="M845" s="71"/>
      <c r="N845" s="71"/>
      <c r="O845" s="71"/>
      <c r="P845" s="71"/>
      <c r="Q845" s="71"/>
      <c r="R845" s="71"/>
      <c r="T845" s="71"/>
      <c r="U845" s="71"/>
      <c r="V845" s="71"/>
      <c r="W845" s="71"/>
      <c r="X845" s="71"/>
      <c r="Y845" s="71"/>
      <c r="Z845" s="71"/>
    </row>
    <row r="846" spans="1:26" ht="14.25" customHeight="1">
      <c r="A846" s="71"/>
      <c r="B846" s="71"/>
      <c r="C846" s="71"/>
      <c r="D846" s="71"/>
      <c r="E846" s="71"/>
      <c r="F846" s="71"/>
      <c r="G846" s="71"/>
      <c r="H846" s="71"/>
      <c r="I846" s="71"/>
      <c r="J846" s="71"/>
      <c r="K846" s="71"/>
      <c r="L846" s="71"/>
      <c r="M846" s="71"/>
      <c r="N846" s="71"/>
      <c r="O846" s="71"/>
      <c r="P846" s="71"/>
      <c r="Q846" s="71"/>
      <c r="R846" s="71"/>
      <c r="T846" s="71"/>
      <c r="U846" s="71"/>
      <c r="V846" s="71"/>
      <c r="W846" s="71"/>
      <c r="X846" s="71"/>
      <c r="Y846" s="71"/>
      <c r="Z846" s="71"/>
    </row>
    <row r="847" spans="1:26" ht="14.25" customHeight="1">
      <c r="A847" s="71"/>
      <c r="B847" s="71"/>
      <c r="C847" s="71"/>
      <c r="D847" s="71"/>
      <c r="E847" s="71"/>
      <c r="F847" s="71"/>
      <c r="G847" s="71"/>
      <c r="H847" s="71"/>
      <c r="I847" s="71"/>
      <c r="J847" s="71"/>
      <c r="K847" s="71"/>
      <c r="L847" s="71"/>
      <c r="M847" s="71"/>
      <c r="N847" s="71"/>
      <c r="O847" s="71"/>
      <c r="P847" s="71"/>
      <c r="Q847" s="71"/>
      <c r="R847" s="71"/>
      <c r="T847" s="71"/>
      <c r="U847" s="71"/>
      <c r="V847" s="71"/>
      <c r="W847" s="71"/>
      <c r="X847" s="71"/>
      <c r="Y847" s="71"/>
      <c r="Z847" s="71"/>
    </row>
    <row r="848" spans="1:26" ht="14.25" customHeight="1">
      <c r="A848" s="71"/>
      <c r="B848" s="71"/>
      <c r="C848" s="71"/>
      <c r="D848" s="71"/>
      <c r="E848" s="71"/>
      <c r="F848" s="71"/>
      <c r="G848" s="71"/>
      <c r="H848" s="71"/>
      <c r="I848" s="71"/>
      <c r="J848" s="71"/>
      <c r="K848" s="71"/>
      <c r="L848" s="71"/>
      <c r="M848" s="71"/>
      <c r="N848" s="71"/>
      <c r="O848" s="71"/>
      <c r="P848" s="71"/>
      <c r="Q848" s="71"/>
      <c r="R848" s="71"/>
      <c r="T848" s="71"/>
      <c r="U848" s="71"/>
      <c r="V848" s="71"/>
      <c r="W848" s="71"/>
      <c r="X848" s="71"/>
      <c r="Y848" s="71"/>
      <c r="Z848" s="71"/>
    </row>
    <row r="849" spans="1:26" ht="14.25" customHeight="1">
      <c r="A849" s="71"/>
      <c r="B849" s="71"/>
      <c r="C849" s="71"/>
      <c r="D849" s="71"/>
      <c r="E849" s="71"/>
      <c r="F849" s="71"/>
      <c r="G849" s="71"/>
      <c r="H849" s="71"/>
      <c r="I849" s="71"/>
      <c r="J849" s="71"/>
      <c r="K849" s="71"/>
      <c r="L849" s="71"/>
      <c r="M849" s="71"/>
      <c r="N849" s="71"/>
      <c r="O849" s="71"/>
      <c r="P849" s="71"/>
      <c r="Q849" s="71"/>
      <c r="R849" s="71"/>
      <c r="T849" s="71"/>
      <c r="U849" s="71"/>
      <c r="V849" s="71"/>
      <c r="W849" s="71"/>
      <c r="X849" s="71"/>
      <c r="Y849" s="71"/>
      <c r="Z849" s="71"/>
    </row>
    <row r="850" spans="1:26" ht="14.25" customHeight="1">
      <c r="A850" s="71"/>
      <c r="B850" s="71"/>
      <c r="C850" s="71"/>
      <c r="D850" s="71"/>
      <c r="E850" s="71"/>
      <c r="F850" s="71"/>
      <c r="G850" s="71"/>
      <c r="H850" s="71"/>
      <c r="I850" s="71"/>
      <c r="J850" s="71"/>
      <c r="K850" s="71"/>
      <c r="L850" s="71"/>
      <c r="M850" s="71"/>
      <c r="N850" s="71"/>
      <c r="O850" s="71"/>
      <c r="P850" s="71"/>
      <c r="Q850" s="71"/>
      <c r="R850" s="71"/>
      <c r="T850" s="71"/>
      <c r="U850" s="71"/>
      <c r="V850" s="71"/>
      <c r="W850" s="71"/>
      <c r="X850" s="71"/>
      <c r="Y850" s="71"/>
      <c r="Z850" s="71"/>
    </row>
    <row r="851" spans="1:26" ht="14.25" customHeight="1">
      <c r="A851" s="71"/>
      <c r="B851" s="71"/>
      <c r="C851" s="71"/>
      <c r="D851" s="71"/>
      <c r="E851" s="71"/>
      <c r="F851" s="71"/>
      <c r="G851" s="71"/>
      <c r="H851" s="71"/>
      <c r="I851" s="71"/>
      <c r="J851" s="71"/>
      <c r="K851" s="71"/>
      <c r="L851" s="71"/>
      <c r="M851" s="71"/>
      <c r="N851" s="71"/>
      <c r="O851" s="71"/>
      <c r="P851" s="71"/>
      <c r="Q851" s="71"/>
      <c r="R851" s="71"/>
      <c r="T851" s="71"/>
      <c r="U851" s="71"/>
      <c r="V851" s="71"/>
      <c r="W851" s="71"/>
      <c r="X851" s="71"/>
      <c r="Y851" s="71"/>
      <c r="Z851" s="71"/>
    </row>
    <row r="852" spans="1:26" ht="14.25" customHeight="1">
      <c r="A852" s="71"/>
      <c r="B852" s="71"/>
      <c r="C852" s="71"/>
      <c r="D852" s="71"/>
      <c r="E852" s="71"/>
      <c r="F852" s="71"/>
      <c r="G852" s="71"/>
      <c r="H852" s="71"/>
      <c r="I852" s="71"/>
      <c r="J852" s="71"/>
      <c r="K852" s="71"/>
      <c r="L852" s="71"/>
      <c r="M852" s="71"/>
      <c r="N852" s="71"/>
      <c r="O852" s="71"/>
      <c r="P852" s="71"/>
      <c r="Q852" s="71"/>
      <c r="R852" s="71"/>
      <c r="T852" s="71"/>
      <c r="U852" s="71"/>
      <c r="V852" s="71"/>
      <c r="W852" s="71"/>
      <c r="X852" s="71"/>
      <c r="Y852" s="71"/>
      <c r="Z852" s="71"/>
    </row>
    <row r="853" spans="1:26" ht="14.25" customHeight="1">
      <c r="A853" s="71"/>
      <c r="B853" s="71"/>
      <c r="C853" s="71"/>
      <c r="D853" s="71"/>
      <c r="E853" s="71"/>
      <c r="F853" s="71"/>
      <c r="G853" s="71"/>
      <c r="H853" s="71"/>
      <c r="I853" s="71"/>
      <c r="J853" s="71"/>
      <c r="K853" s="71"/>
      <c r="L853" s="71"/>
      <c r="M853" s="71"/>
      <c r="N853" s="71"/>
      <c r="O853" s="71"/>
      <c r="P853" s="71"/>
      <c r="Q853" s="71"/>
      <c r="R853" s="71"/>
      <c r="T853" s="71"/>
      <c r="U853" s="71"/>
      <c r="V853" s="71"/>
      <c r="W853" s="71"/>
      <c r="X853" s="71"/>
      <c r="Y853" s="71"/>
      <c r="Z853" s="71"/>
    </row>
    <row r="854" spans="1:26" ht="14.25" customHeight="1">
      <c r="A854" s="71"/>
      <c r="B854" s="71"/>
      <c r="C854" s="71"/>
      <c r="D854" s="71"/>
      <c r="E854" s="71"/>
      <c r="F854" s="71"/>
      <c r="G854" s="71"/>
      <c r="H854" s="71"/>
      <c r="I854" s="71"/>
      <c r="J854" s="71"/>
      <c r="K854" s="71"/>
      <c r="L854" s="71"/>
      <c r="M854" s="71"/>
      <c r="N854" s="71"/>
      <c r="O854" s="71"/>
      <c r="P854" s="71"/>
      <c r="Q854" s="71"/>
      <c r="R854" s="71"/>
      <c r="T854" s="71"/>
      <c r="U854" s="71"/>
      <c r="V854" s="71"/>
      <c r="W854" s="71"/>
      <c r="X854" s="71"/>
      <c r="Y854" s="71"/>
      <c r="Z854" s="71"/>
    </row>
    <row r="855" spans="1:26" ht="14.25" customHeight="1">
      <c r="A855" s="71"/>
      <c r="B855" s="71"/>
      <c r="C855" s="71"/>
      <c r="D855" s="71"/>
      <c r="E855" s="71"/>
      <c r="F855" s="71"/>
      <c r="G855" s="71"/>
      <c r="H855" s="71"/>
      <c r="I855" s="71"/>
      <c r="J855" s="71"/>
      <c r="K855" s="71"/>
      <c r="L855" s="71"/>
      <c r="M855" s="71"/>
      <c r="N855" s="71"/>
      <c r="O855" s="71"/>
      <c r="P855" s="71"/>
      <c r="Q855" s="71"/>
      <c r="R855" s="71"/>
      <c r="T855" s="71"/>
      <c r="U855" s="71"/>
      <c r="V855" s="71"/>
      <c r="W855" s="71"/>
      <c r="X855" s="71"/>
      <c r="Y855" s="71"/>
      <c r="Z855" s="71"/>
    </row>
    <row r="856" spans="1:26" ht="14.25" customHeight="1">
      <c r="A856" s="71"/>
      <c r="B856" s="71"/>
      <c r="C856" s="71"/>
      <c r="D856" s="71"/>
      <c r="E856" s="71"/>
      <c r="F856" s="71"/>
      <c r="G856" s="71"/>
      <c r="H856" s="71"/>
      <c r="I856" s="71"/>
      <c r="J856" s="71"/>
      <c r="K856" s="71"/>
      <c r="L856" s="71"/>
      <c r="M856" s="71"/>
      <c r="N856" s="71"/>
      <c r="O856" s="71"/>
      <c r="P856" s="71"/>
      <c r="Q856" s="71"/>
      <c r="R856" s="71"/>
      <c r="T856" s="71"/>
      <c r="U856" s="71"/>
      <c r="V856" s="71"/>
      <c r="W856" s="71"/>
      <c r="X856" s="71"/>
      <c r="Y856" s="71"/>
      <c r="Z856" s="71"/>
    </row>
    <row r="857" spans="1:26" ht="14.25" customHeight="1">
      <c r="A857" s="71"/>
      <c r="B857" s="71"/>
      <c r="C857" s="71"/>
      <c r="D857" s="71"/>
      <c r="E857" s="71"/>
      <c r="F857" s="71"/>
      <c r="G857" s="71"/>
      <c r="H857" s="71"/>
      <c r="I857" s="71"/>
      <c r="J857" s="71"/>
      <c r="K857" s="71"/>
      <c r="L857" s="71"/>
      <c r="M857" s="71"/>
      <c r="N857" s="71"/>
      <c r="O857" s="71"/>
      <c r="P857" s="71"/>
      <c r="Q857" s="71"/>
      <c r="R857" s="71"/>
      <c r="T857" s="71"/>
      <c r="U857" s="71"/>
      <c r="V857" s="71"/>
      <c r="W857" s="71"/>
      <c r="X857" s="71"/>
      <c r="Y857" s="71"/>
      <c r="Z857" s="71"/>
    </row>
    <row r="858" spans="1:26" ht="14.25" customHeight="1">
      <c r="A858" s="71"/>
      <c r="B858" s="71"/>
      <c r="C858" s="71"/>
      <c r="D858" s="71"/>
      <c r="E858" s="71"/>
      <c r="F858" s="71"/>
      <c r="G858" s="71"/>
      <c r="H858" s="71"/>
      <c r="I858" s="71"/>
      <c r="J858" s="71"/>
      <c r="K858" s="71"/>
      <c r="L858" s="71"/>
      <c r="M858" s="71"/>
      <c r="N858" s="71"/>
      <c r="O858" s="71"/>
      <c r="P858" s="71"/>
      <c r="Q858" s="71"/>
      <c r="R858" s="71"/>
      <c r="T858" s="71"/>
      <c r="U858" s="71"/>
      <c r="V858" s="71"/>
      <c r="W858" s="71"/>
      <c r="X858" s="71"/>
      <c r="Y858" s="71"/>
      <c r="Z858" s="71"/>
    </row>
    <row r="859" spans="1:26" ht="14.25" customHeight="1">
      <c r="A859" s="71"/>
      <c r="B859" s="71"/>
      <c r="C859" s="71"/>
      <c r="D859" s="71"/>
      <c r="E859" s="71"/>
      <c r="F859" s="71"/>
      <c r="G859" s="71"/>
      <c r="H859" s="71"/>
      <c r="I859" s="71"/>
      <c r="J859" s="71"/>
      <c r="K859" s="71"/>
      <c r="L859" s="71"/>
      <c r="M859" s="71"/>
      <c r="N859" s="71"/>
      <c r="O859" s="71"/>
      <c r="P859" s="71"/>
      <c r="Q859" s="71"/>
      <c r="R859" s="71"/>
      <c r="T859" s="71"/>
      <c r="U859" s="71"/>
      <c r="V859" s="71"/>
      <c r="W859" s="71"/>
      <c r="X859" s="71"/>
      <c r="Y859" s="71"/>
      <c r="Z859" s="71"/>
    </row>
    <row r="860" spans="1:26" ht="14.25" customHeight="1">
      <c r="A860" s="71"/>
      <c r="B860" s="71"/>
      <c r="C860" s="71"/>
      <c r="D860" s="71"/>
      <c r="E860" s="71"/>
      <c r="F860" s="71"/>
      <c r="G860" s="71"/>
      <c r="H860" s="71"/>
      <c r="I860" s="71"/>
      <c r="J860" s="71"/>
      <c r="K860" s="71"/>
      <c r="L860" s="71"/>
      <c r="M860" s="71"/>
      <c r="N860" s="71"/>
      <c r="O860" s="71"/>
      <c r="P860" s="71"/>
      <c r="Q860" s="71"/>
      <c r="R860" s="71"/>
      <c r="T860" s="71"/>
      <c r="U860" s="71"/>
      <c r="V860" s="71"/>
      <c r="W860" s="71"/>
      <c r="X860" s="71"/>
      <c r="Y860" s="71"/>
      <c r="Z860" s="71"/>
    </row>
    <row r="861" spans="1:26" ht="14.25" customHeight="1">
      <c r="A861" s="71"/>
      <c r="B861" s="71"/>
      <c r="C861" s="71"/>
      <c r="D861" s="71"/>
      <c r="E861" s="71"/>
      <c r="F861" s="71"/>
      <c r="G861" s="71"/>
      <c r="H861" s="71"/>
      <c r="I861" s="71"/>
      <c r="J861" s="71"/>
      <c r="K861" s="71"/>
      <c r="L861" s="71"/>
      <c r="M861" s="71"/>
      <c r="N861" s="71"/>
      <c r="O861" s="71"/>
      <c r="P861" s="71"/>
      <c r="Q861" s="71"/>
      <c r="R861" s="71"/>
      <c r="T861" s="71"/>
      <c r="U861" s="71"/>
      <c r="V861" s="71"/>
      <c r="W861" s="71"/>
      <c r="X861" s="71"/>
      <c r="Y861" s="71"/>
      <c r="Z861" s="71"/>
    </row>
    <row r="862" spans="1:26" ht="14.25" customHeight="1">
      <c r="A862" s="71"/>
      <c r="B862" s="71"/>
      <c r="C862" s="71"/>
      <c r="D862" s="71"/>
      <c r="E862" s="71"/>
      <c r="F862" s="71"/>
      <c r="G862" s="71"/>
      <c r="H862" s="71"/>
      <c r="I862" s="71"/>
      <c r="J862" s="71"/>
      <c r="K862" s="71"/>
      <c r="L862" s="71"/>
      <c r="M862" s="71"/>
      <c r="N862" s="71"/>
      <c r="O862" s="71"/>
      <c r="P862" s="71"/>
      <c r="Q862" s="71"/>
      <c r="R862" s="71"/>
      <c r="T862" s="71"/>
      <c r="U862" s="71"/>
      <c r="V862" s="71"/>
      <c r="W862" s="71"/>
      <c r="X862" s="71"/>
      <c r="Y862" s="71"/>
      <c r="Z862" s="71"/>
    </row>
    <row r="863" spans="1:26" ht="14.25" customHeight="1">
      <c r="A863" s="71"/>
      <c r="B863" s="71"/>
      <c r="C863" s="71"/>
      <c r="D863" s="71"/>
      <c r="E863" s="71"/>
      <c r="F863" s="71"/>
      <c r="G863" s="71"/>
      <c r="H863" s="71"/>
      <c r="I863" s="71"/>
      <c r="J863" s="71"/>
      <c r="K863" s="71"/>
      <c r="L863" s="71"/>
      <c r="M863" s="71"/>
      <c r="N863" s="71"/>
      <c r="O863" s="71"/>
      <c r="P863" s="71"/>
      <c r="Q863" s="71"/>
      <c r="R863" s="71"/>
      <c r="T863" s="71"/>
      <c r="U863" s="71"/>
      <c r="V863" s="71"/>
      <c r="W863" s="71"/>
      <c r="X863" s="71"/>
      <c r="Y863" s="71"/>
      <c r="Z863" s="71"/>
    </row>
    <row r="864" spans="1:26" ht="14.25" customHeight="1">
      <c r="A864" s="71"/>
      <c r="B864" s="71"/>
      <c r="C864" s="71"/>
      <c r="D864" s="71"/>
      <c r="E864" s="71"/>
      <c r="F864" s="71"/>
      <c r="G864" s="71"/>
      <c r="H864" s="71"/>
      <c r="I864" s="71"/>
      <c r="J864" s="71"/>
      <c r="K864" s="71"/>
      <c r="L864" s="71"/>
      <c r="M864" s="71"/>
      <c r="N864" s="71"/>
      <c r="O864" s="71"/>
      <c r="P864" s="71"/>
      <c r="Q864" s="71"/>
      <c r="R864" s="71"/>
      <c r="T864" s="71"/>
      <c r="U864" s="71"/>
      <c r="V864" s="71"/>
      <c r="W864" s="71"/>
      <c r="X864" s="71"/>
      <c r="Y864" s="71"/>
      <c r="Z864" s="71"/>
    </row>
    <row r="865" spans="1:26" ht="14.25" customHeight="1">
      <c r="A865" s="71"/>
      <c r="B865" s="71"/>
      <c r="C865" s="71"/>
      <c r="D865" s="71"/>
      <c r="E865" s="71"/>
      <c r="F865" s="71"/>
      <c r="G865" s="71"/>
      <c r="H865" s="71"/>
      <c r="I865" s="71"/>
      <c r="J865" s="71"/>
      <c r="K865" s="71"/>
      <c r="L865" s="71"/>
      <c r="M865" s="71"/>
      <c r="N865" s="71"/>
      <c r="O865" s="71"/>
      <c r="P865" s="71"/>
      <c r="Q865" s="71"/>
      <c r="R865" s="71"/>
      <c r="T865" s="71"/>
      <c r="U865" s="71"/>
      <c r="V865" s="71"/>
      <c r="W865" s="71"/>
      <c r="X865" s="71"/>
      <c r="Y865" s="71"/>
      <c r="Z865" s="71"/>
    </row>
    <row r="866" spans="1:26" ht="14.25" customHeight="1">
      <c r="A866" s="71"/>
      <c r="B866" s="71"/>
      <c r="C866" s="71"/>
      <c r="D866" s="71"/>
      <c r="E866" s="71"/>
      <c r="F866" s="71"/>
      <c r="G866" s="71"/>
      <c r="H866" s="71"/>
      <c r="I866" s="71"/>
      <c r="J866" s="71"/>
      <c r="K866" s="71"/>
      <c r="L866" s="71"/>
      <c r="M866" s="71"/>
      <c r="N866" s="71"/>
      <c r="O866" s="71"/>
      <c r="P866" s="71"/>
      <c r="Q866" s="71"/>
      <c r="R866" s="71"/>
      <c r="T866" s="71"/>
      <c r="U866" s="71"/>
      <c r="V866" s="71"/>
      <c r="W866" s="71"/>
      <c r="X866" s="71"/>
      <c r="Y866" s="71"/>
      <c r="Z866" s="71"/>
    </row>
    <row r="867" spans="1:26" ht="14.25" customHeight="1">
      <c r="A867" s="71"/>
      <c r="B867" s="71"/>
      <c r="C867" s="71"/>
      <c r="D867" s="71"/>
      <c r="E867" s="71"/>
      <c r="F867" s="71"/>
      <c r="G867" s="71"/>
      <c r="H867" s="71"/>
      <c r="I867" s="71"/>
      <c r="J867" s="71"/>
      <c r="K867" s="71"/>
      <c r="L867" s="71"/>
      <c r="M867" s="71"/>
      <c r="N867" s="71"/>
      <c r="O867" s="71"/>
      <c r="P867" s="71"/>
      <c r="Q867" s="71"/>
      <c r="R867" s="71"/>
      <c r="T867" s="71"/>
      <c r="U867" s="71"/>
      <c r="V867" s="71"/>
      <c r="W867" s="71"/>
      <c r="X867" s="71"/>
      <c r="Y867" s="71"/>
      <c r="Z867" s="71"/>
    </row>
    <row r="868" spans="1:26" ht="14.25" customHeight="1">
      <c r="A868" s="71"/>
      <c r="B868" s="71"/>
      <c r="C868" s="71"/>
      <c r="D868" s="71"/>
      <c r="E868" s="71"/>
      <c r="F868" s="71"/>
      <c r="G868" s="71"/>
      <c r="H868" s="71"/>
      <c r="I868" s="71"/>
      <c r="J868" s="71"/>
      <c r="K868" s="71"/>
      <c r="L868" s="71"/>
      <c r="M868" s="71"/>
      <c r="N868" s="71"/>
      <c r="O868" s="71"/>
      <c r="P868" s="71"/>
      <c r="Q868" s="71"/>
      <c r="R868" s="71"/>
      <c r="T868" s="71"/>
      <c r="U868" s="71"/>
      <c r="V868" s="71"/>
      <c r="W868" s="71"/>
      <c r="X868" s="71"/>
      <c r="Y868" s="71"/>
      <c r="Z868" s="71"/>
    </row>
    <row r="869" spans="1:26" ht="14.25" customHeight="1">
      <c r="A869" s="71"/>
      <c r="B869" s="71"/>
      <c r="C869" s="71"/>
      <c r="D869" s="71"/>
      <c r="E869" s="71"/>
      <c r="F869" s="71"/>
      <c r="G869" s="71"/>
      <c r="H869" s="71"/>
      <c r="I869" s="71"/>
      <c r="J869" s="71"/>
      <c r="K869" s="71"/>
      <c r="L869" s="71"/>
      <c r="M869" s="71"/>
      <c r="N869" s="71"/>
      <c r="O869" s="71"/>
      <c r="P869" s="71"/>
      <c r="Q869" s="71"/>
      <c r="R869" s="71"/>
      <c r="T869" s="71"/>
      <c r="U869" s="71"/>
      <c r="V869" s="71"/>
      <c r="W869" s="71"/>
      <c r="X869" s="71"/>
      <c r="Y869" s="71"/>
      <c r="Z869" s="71"/>
    </row>
    <row r="870" spans="1:26" ht="14.25" customHeight="1">
      <c r="A870" s="71"/>
      <c r="B870" s="71"/>
      <c r="C870" s="71"/>
      <c r="D870" s="71"/>
      <c r="E870" s="71"/>
      <c r="F870" s="71"/>
      <c r="G870" s="71"/>
      <c r="H870" s="71"/>
      <c r="I870" s="71"/>
      <c r="J870" s="71"/>
      <c r="K870" s="71"/>
      <c r="L870" s="71"/>
      <c r="M870" s="71"/>
      <c r="N870" s="71"/>
      <c r="O870" s="71"/>
      <c r="P870" s="71"/>
      <c r="Q870" s="71"/>
      <c r="R870" s="71"/>
      <c r="T870" s="71"/>
      <c r="U870" s="71"/>
      <c r="V870" s="71"/>
      <c r="W870" s="71"/>
      <c r="X870" s="71"/>
      <c r="Y870" s="71"/>
      <c r="Z870" s="71"/>
    </row>
    <row r="871" spans="1:26" ht="14.25" customHeight="1">
      <c r="A871" s="71"/>
      <c r="B871" s="71"/>
      <c r="C871" s="71"/>
      <c r="D871" s="71"/>
      <c r="E871" s="71"/>
      <c r="F871" s="71"/>
      <c r="G871" s="71"/>
      <c r="H871" s="71"/>
      <c r="I871" s="71"/>
      <c r="J871" s="71"/>
      <c r="K871" s="71"/>
      <c r="L871" s="71"/>
      <c r="M871" s="71"/>
      <c r="N871" s="71"/>
      <c r="O871" s="71"/>
      <c r="P871" s="71"/>
      <c r="Q871" s="71"/>
      <c r="R871" s="71"/>
      <c r="T871" s="71"/>
      <c r="U871" s="71"/>
      <c r="V871" s="71"/>
      <c r="W871" s="71"/>
      <c r="X871" s="71"/>
      <c r="Y871" s="71"/>
      <c r="Z871" s="71"/>
    </row>
    <row r="872" spans="1:26" ht="14.25" customHeight="1">
      <c r="A872" s="71"/>
      <c r="B872" s="71"/>
      <c r="C872" s="71"/>
      <c r="D872" s="71"/>
      <c r="E872" s="71"/>
      <c r="F872" s="71"/>
      <c r="G872" s="71"/>
      <c r="H872" s="71"/>
      <c r="I872" s="71"/>
      <c r="J872" s="71"/>
      <c r="K872" s="71"/>
      <c r="L872" s="71"/>
      <c r="M872" s="71"/>
      <c r="N872" s="71"/>
      <c r="O872" s="71"/>
      <c r="P872" s="71"/>
      <c r="Q872" s="71"/>
      <c r="R872" s="71"/>
      <c r="T872" s="71"/>
      <c r="U872" s="71"/>
      <c r="V872" s="71"/>
      <c r="W872" s="71"/>
      <c r="X872" s="71"/>
      <c r="Y872" s="71"/>
      <c r="Z872" s="71"/>
    </row>
    <row r="873" spans="1:26" ht="14.25" customHeight="1">
      <c r="A873" s="71"/>
      <c r="B873" s="71"/>
      <c r="C873" s="71"/>
      <c r="D873" s="71"/>
      <c r="E873" s="71"/>
      <c r="F873" s="71"/>
      <c r="G873" s="71"/>
      <c r="H873" s="71"/>
      <c r="I873" s="71"/>
      <c r="J873" s="71"/>
      <c r="K873" s="71"/>
      <c r="L873" s="71"/>
      <c r="M873" s="71"/>
      <c r="N873" s="71"/>
      <c r="O873" s="71"/>
      <c r="P873" s="71"/>
      <c r="Q873" s="71"/>
      <c r="R873" s="71"/>
      <c r="T873" s="71"/>
      <c r="U873" s="71"/>
      <c r="V873" s="71"/>
      <c r="W873" s="71"/>
      <c r="X873" s="71"/>
      <c r="Y873" s="71"/>
      <c r="Z873" s="71"/>
    </row>
    <row r="874" spans="1:26" ht="14.25" customHeight="1">
      <c r="A874" s="71"/>
      <c r="B874" s="71"/>
      <c r="C874" s="71"/>
      <c r="D874" s="71"/>
      <c r="E874" s="71"/>
      <c r="F874" s="71"/>
      <c r="G874" s="71"/>
      <c r="H874" s="71"/>
      <c r="I874" s="71"/>
      <c r="J874" s="71"/>
      <c r="K874" s="71"/>
      <c r="L874" s="71"/>
      <c r="M874" s="71"/>
      <c r="N874" s="71"/>
      <c r="O874" s="71"/>
      <c r="P874" s="71"/>
      <c r="Q874" s="71"/>
      <c r="R874" s="71"/>
      <c r="T874" s="71"/>
      <c r="U874" s="71"/>
      <c r="V874" s="71"/>
      <c r="W874" s="71"/>
      <c r="X874" s="71"/>
      <c r="Y874" s="71"/>
      <c r="Z874" s="71"/>
    </row>
    <row r="875" spans="1:26" ht="14.25" customHeight="1">
      <c r="A875" s="71"/>
      <c r="B875" s="71"/>
      <c r="C875" s="71"/>
      <c r="D875" s="71"/>
      <c r="E875" s="71"/>
      <c r="F875" s="71"/>
      <c r="G875" s="71"/>
      <c r="H875" s="71"/>
      <c r="I875" s="71"/>
      <c r="J875" s="71"/>
      <c r="K875" s="71"/>
      <c r="L875" s="71"/>
      <c r="M875" s="71"/>
      <c r="N875" s="71"/>
      <c r="O875" s="71"/>
      <c r="P875" s="71"/>
      <c r="Q875" s="71"/>
      <c r="R875" s="71"/>
      <c r="T875" s="71"/>
      <c r="U875" s="71"/>
      <c r="V875" s="71"/>
      <c r="W875" s="71"/>
      <c r="X875" s="71"/>
      <c r="Y875" s="71"/>
      <c r="Z875" s="71"/>
    </row>
    <row r="876" spans="1:26" ht="14.25" customHeight="1">
      <c r="A876" s="71"/>
      <c r="B876" s="71"/>
      <c r="C876" s="71"/>
      <c r="D876" s="71"/>
      <c r="E876" s="71"/>
      <c r="F876" s="71"/>
      <c r="G876" s="71"/>
      <c r="H876" s="71"/>
      <c r="I876" s="71"/>
      <c r="J876" s="71"/>
      <c r="K876" s="71"/>
      <c r="L876" s="71"/>
      <c r="M876" s="71"/>
      <c r="N876" s="71"/>
      <c r="O876" s="71"/>
      <c r="P876" s="71"/>
      <c r="Q876" s="71"/>
      <c r="R876" s="71"/>
      <c r="T876" s="71"/>
      <c r="U876" s="71"/>
      <c r="V876" s="71"/>
      <c r="W876" s="71"/>
      <c r="X876" s="71"/>
      <c r="Y876" s="71"/>
      <c r="Z876" s="71"/>
    </row>
    <row r="877" spans="1:26" ht="14.25" customHeight="1">
      <c r="A877" s="71"/>
      <c r="B877" s="71"/>
      <c r="C877" s="71"/>
      <c r="D877" s="71"/>
      <c r="E877" s="71"/>
      <c r="F877" s="71"/>
      <c r="G877" s="71"/>
      <c r="H877" s="71"/>
      <c r="I877" s="71"/>
      <c r="J877" s="71"/>
      <c r="K877" s="71"/>
      <c r="L877" s="71"/>
      <c r="M877" s="71"/>
      <c r="N877" s="71"/>
      <c r="O877" s="71"/>
      <c r="P877" s="71"/>
      <c r="Q877" s="71"/>
      <c r="R877" s="71"/>
      <c r="T877" s="71"/>
      <c r="U877" s="71"/>
      <c r="V877" s="71"/>
      <c r="W877" s="71"/>
      <c r="X877" s="71"/>
      <c r="Y877" s="71"/>
      <c r="Z877" s="71"/>
    </row>
    <row r="878" spans="1:26" ht="14.25" customHeight="1">
      <c r="A878" s="71"/>
      <c r="B878" s="71"/>
      <c r="C878" s="71"/>
      <c r="D878" s="71"/>
      <c r="E878" s="71"/>
      <c r="F878" s="71"/>
      <c r="G878" s="71"/>
      <c r="H878" s="71"/>
      <c r="I878" s="71"/>
      <c r="J878" s="71"/>
      <c r="K878" s="71"/>
      <c r="L878" s="71"/>
      <c r="M878" s="71"/>
      <c r="N878" s="71"/>
      <c r="O878" s="71"/>
      <c r="P878" s="71"/>
      <c r="Q878" s="71"/>
      <c r="R878" s="71"/>
      <c r="T878" s="71"/>
      <c r="U878" s="71"/>
      <c r="V878" s="71"/>
      <c r="W878" s="71"/>
      <c r="X878" s="71"/>
      <c r="Y878" s="71"/>
      <c r="Z878" s="71"/>
    </row>
    <row r="879" spans="1:26" ht="14.25" customHeight="1">
      <c r="A879" s="71"/>
      <c r="B879" s="71"/>
      <c r="C879" s="71"/>
      <c r="D879" s="71"/>
      <c r="E879" s="71"/>
      <c r="F879" s="71"/>
      <c r="G879" s="71"/>
      <c r="H879" s="71"/>
      <c r="I879" s="71"/>
      <c r="J879" s="71"/>
      <c r="K879" s="71"/>
      <c r="L879" s="71"/>
      <c r="M879" s="71"/>
      <c r="N879" s="71"/>
      <c r="O879" s="71"/>
      <c r="P879" s="71"/>
      <c r="Q879" s="71"/>
      <c r="R879" s="71"/>
      <c r="T879" s="71"/>
      <c r="U879" s="71"/>
      <c r="V879" s="71"/>
      <c r="W879" s="71"/>
      <c r="X879" s="71"/>
      <c r="Y879" s="71"/>
      <c r="Z879" s="71"/>
    </row>
    <row r="880" spans="1:26" ht="14.25" customHeight="1">
      <c r="A880" s="71"/>
      <c r="B880" s="71"/>
      <c r="C880" s="71"/>
      <c r="D880" s="71"/>
      <c r="E880" s="71"/>
      <c r="F880" s="71"/>
      <c r="G880" s="71"/>
      <c r="H880" s="71"/>
      <c r="I880" s="71"/>
      <c r="J880" s="71"/>
      <c r="K880" s="71"/>
      <c r="L880" s="71"/>
      <c r="M880" s="71"/>
      <c r="N880" s="71"/>
      <c r="O880" s="71"/>
      <c r="P880" s="71"/>
      <c r="Q880" s="71"/>
      <c r="R880" s="71"/>
      <c r="T880" s="71"/>
      <c r="U880" s="71"/>
      <c r="V880" s="71"/>
      <c r="W880" s="71"/>
      <c r="X880" s="71"/>
      <c r="Y880" s="71"/>
      <c r="Z880" s="71"/>
    </row>
    <row r="881" spans="1:26" ht="14.25" customHeight="1">
      <c r="A881" s="71"/>
      <c r="B881" s="71"/>
      <c r="C881" s="71"/>
      <c r="D881" s="71"/>
      <c r="E881" s="71"/>
      <c r="F881" s="71"/>
      <c r="G881" s="71"/>
      <c r="H881" s="71"/>
      <c r="I881" s="71"/>
      <c r="J881" s="71"/>
      <c r="K881" s="71"/>
      <c r="L881" s="71"/>
      <c r="M881" s="71"/>
      <c r="N881" s="71"/>
      <c r="O881" s="71"/>
      <c r="P881" s="71"/>
      <c r="Q881" s="71"/>
      <c r="R881" s="71"/>
      <c r="T881" s="71"/>
      <c r="U881" s="71"/>
      <c r="V881" s="71"/>
      <c r="W881" s="71"/>
      <c r="X881" s="71"/>
      <c r="Y881" s="71"/>
      <c r="Z881" s="71"/>
    </row>
    <row r="882" spans="1:26" ht="14.25" customHeight="1">
      <c r="A882" s="71"/>
      <c r="B882" s="71"/>
      <c r="C882" s="71"/>
      <c r="D882" s="71"/>
      <c r="E882" s="71"/>
      <c r="F882" s="71"/>
      <c r="G882" s="71"/>
      <c r="H882" s="71"/>
      <c r="I882" s="71"/>
      <c r="J882" s="71"/>
      <c r="K882" s="71"/>
      <c r="L882" s="71"/>
      <c r="M882" s="71"/>
      <c r="N882" s="71"/>
      <c r="O882" s="71"/>
      <c r="P882" s="71"/>
      <c r="Q882" s="71"/>
      <c r="R882" s="71"/>
      <c r="T882" s="71"/>
      <c r="U882" s="71"/>
      <c r="V882" s="71"/>
      <c r="W882" s="71"/>
      <c r="X882" s="71"/>
      <c r="Y882" s="71"/>
      <c r="Z882" s="71"/>
    </row>
    <row r="883" spans="1:26" ht="14.25" customHeight="1">
      <c r="A883" s="71"/>
      <c r="B883" s="71"/>
      <c r="C883" s="71"/>
      <c r="D883" s="71"/>
      <c r="E883" s="71"/>
      <c r="F883" s="71"/>
      <c r="G883" s="71"/>
      <c r="H883" s="71"/>
      <c r="I883" s="71"/>
      <c r="J883" s="71"/>
      <c r="K883" s="71"/>
      <c r="L883" s="71"/>
      <c r="M883" s="71"/>
      <c r="N883" s="71"/>
      <c r="O883" s="71"/>
      <c r="P883" s="71"/>
      <c r="Q883" s="71"/>
      <c r="R883" s="71"/>
      <c r="T883" s="71"/>
      <c r="U883" s="71"/>
      <c r="V883" s="71"/>
      <c r="W883" s="71"/>
      <c r="X883" s="71"/>
      <c r="Y883" s="71"/>
      <c r="Z883" s="71"/>
    </row>
    <row r="884" spans="1:26" ht="14.25" customHeight="1">
      <c r="A884" s="71"/>
      <c r="B884" s="71"/>
      <c r="C884" s="71"/>
      <c r="D884" s="71"/>
      <c r="E884" s="71"/>
      <c r="F884" s="71"/>
      <c r="G884" s="71"/>
      <c r="H884" s="71"/>
      <c r="I884" s="71"/>
      <c r="J884" s="71"/>
      <c r="K884" s="71"/>
      <c r="L884" s="71"/>
      <c r="M884" s="71"/>
      <c r="N884" s="71"/>
      <c r="O884" s="71"/>
      <c r="P884" s="71"/>
      <c r="Q884" s="71"/>
      <c r="R884" s="71"/>
      <c r="T884" s="71"/>
      <c r="U884" s="71"/>
      <c r="V884" s="71"/>
      <c r="W884" s="71"/>
      <c r="X884" s="71"/>
      <c r="Y884" s="71"/>
      <c r="Z884" s="71"/>
    </row>
    <row r="885" spans="1:26" ht="14.25" customHeight="1">
      <c r="A885" s="71"/>
      <c r="B885" s="71"/>
      <c r="C885" s="71"/>
      <c r="D885" s="71"/>
      <c r="E885" s="71"/>
      <c r="F885" s="71"/>
      <c r="G885" s="71"/>
      <c r="H885" s="71"/>
      <c r="I885" s="71"/>
      <c r="J885" s="71"/>
      <c r="K885" s="71"/>
      <c r="L885" s="71"/>
      <c r="M885" s="71"/>
      <c r="N885" s="71"/>
      <c r="O885" s="71"/>
      <c r="P885" s="71"/>
      <c r="Q885" s="71"/>
      <c r="R885" s="71"/>
      <c r="T885" s="71"/>
      <c r="U885" s="71"/>
      <c r="V885" s="71"/>
      <c r="W885" s="71"/>
      <c r="X885" s="71"/>
      <c r="Y885" s="71"/>
      <c r="Z885" s="71"/>
    </row>
    <row r="886" spans="1:26" ht="14.25" customHeight="1">
      <c r="A886" s="71"/>
      <c r="B886" s="71"/>
      <c r="C886" s="71"/>
      <c r="D886" s="71"/>
      <c r="E886" s="71"/>
      <c r="F886" s="71"/>
      <c r="G886" s="71"/>
      <c r="H886" s="71"/>
      <c r="I886" s="71"/>
      <c r="J886" s="71"/>
      <c r="K886" s="71"/>
      <c r="L886" s="71"/>
      <c r="M886" s="71"/>
      <c r="N886" s="71"/>
      <c r="O886" s="71"/>
      <c r="P886" s="71"/>
      <c r="Q886" s="71"/>
      <c r="R886" s="71"/>
      <c r="T886" s="71"/>
      <c r="U886" s="71"/>
      <c r="V886" s="71"/>
      <c r="W886" s="71"/>
      <c r="X886" s="71"/>
      <c r="Y886" s="71"/>
      <c r="Z886" s="71"/>
    </row>
    <row r="887" spans="1:26" ht="14.25" customHeight="1">
      <c r="A887" s="71"/>
      <c r="B887" s="71"/>
      <c r="C887" s="71"/>
      <c r="D887" s="71"/>
      <c r="E887" s="71"/>
      <c r="F887" s="71"/>
      <c r="G887" s="71"/>
      <c r="H887" s="71"/>
      <c r="I887" s="71"/>
      <c r="J887" s="71"/>
      <c r="K887" s="71"/>
      <c r="L887" s="71"/>
      <c r="M887" s="71"/>
      <c r="N887" s="71"/>
      <c r="O887" s="71"/>
      <c r="P887" s="71"/>
      <c r="Q887" s="71"/>
      <c r="R887" s="71"/>
      <c r="T887" s="71"/>
      <c r="U887" s="71"/>
      <c r="V887" s="71"/>
      <c r="W887" s="71"/>
      <c r="X887" s="71"/>
      <c r="Y887" s="71"/>
      <c r="Z887" s="71"/>
    </row>
    <row r="888" spans="1:26" ht="14.25" customHeight="1">
      <c r="A888" s="71"/>
      <c r="B888" s="71"/>
      <c r="C888" s="71"/>
      <c r="D888" s="71"/>
      <c r="E888" s="71"/>
      <c r="F888" s="71"/>
      <c r="G888" s="71"/>
      <c r="H888" s="71"/>
      <c r="I888" s="71"/>
      <c r="J888" s="71"/>
      <c r="K888" s="71"/>
      <c r="L888" s="71"/>
      <c r="M888" s="71"/>
      <c r="N888" s="71"/>
      <c r="O888" s="71"/>
      <c r="P888" s="71"/>
      <c r="Q888" s="71"/>
      <c r="R888" s="71"/>
      <c r="T888" s="71"/>
      <c r="U888" s="71"/>
      <c r="V888" s="71"/>
      <c r="W888" s="71"/>
      <c r="X888" s="71"/>
      <c r="Y888" s="71"/>
      <c r="Z888" s="71"/>
    </row>
    <row r="889" spans="1:26" ht="14.25" customHeight="1">
      <c r="A889" s="71"/>
      <c r="B889" s="71"/>
      <c r="C889" s="71"/>
      <c r="D889" s="71"/>
      <c r="E889" s="71"/>
      <c r="F889" s="71"/>
      <c r="G889" s="71"/>
      <c r="H889" s="71"/>
      <c r="I889" s="71"/>
      <c r="J889" s="71"/>
      <c r="K889" s="71"/>
      <c r="L889" s="71"/>
      <c r="M889" s="71"/>
      <c r="N889" s="71"/>
      <c r="O889" s="71"/>
      <c r="P889" s="71"/>
      <c r="Q889" s="71"/>
      <c r="R889" s="71"/>
      <c r="T889" s="71"/>
      <c r="U889" s="71"/>
      <c r="V889" s="71"/>
      <c r="W889" s="71"/>
      <c r="X889" s="71"/>
      <c r="Y889" s="71"/>
      <c r="Z889" s="71"/>
    </row>
    <row r="890" spans="1:26" ht="14.25" customHeight="1">
      <c r="A890" s="71"/>
      <c r="B890" s="71"/>
      <c r="C890" s="71"/>
      <c r="D890" s="71"/>
      <c r="E890" s="71"/>
      <c r="F890" s="71"/>
      <c r="G890" s="71"/>
      <c r="H890" s="71"/>
      <c r="I890" s="71"/>
      <c r="J890" s="71"/>
      <c r="K890" s="71"/>
      <c r="L890" s="71"/>
      <c r="M890" s="71"/>
      <c r="N890" s="71"/>
      <c r="O890" s="71"/>
      <c r="P890" s="71"/>
      <c r="Q890" s="71"/>
      <c r="R890" s="71"/>
      <c r="T890" s="71"/>
      <c r="U890" s="71"/>
      <c r="V890" s="71"/>
      <c r="W890" s="71"/>
      <c r="X890" s="71"/>
      <c r="Y890" s="71"/>
      <c r="Z890" s="71"/>
    </row>
    <row r="891" spans="1:26" ht="14.25" customHeight="1">
      <c r="A891" s="71"/>
      <c r="B891" s="71"/>
      <c r="C891" s="71"/>
      <c r="D891" s="71"/>
      <c r="E891" s="71"/>
      <c r="F891" s="71"/>
      <c r="G891" s="71"/>
      <c r="H891" s="71"/>
      <c r="I891" s="71"/>
      <c r="J891" s="71"/>
      <c r="K891" s="71"/>
      <c r="L891" s="71"/>
      <c r="M891" s="71"/>
      <c r="N891" s="71"/>
      <c r="O891" s="71"/>
      <c r="P891" s="71"/>
      <c r="Q891" s="71"/>
      <c r="R891" s="71"/>
      <c r="T891" s="71"/>
      <c r="U891" s="71"/>
      <c r="V891" s="71"/>
      <c r="W891" s="71"/>
      <c r="X891" s="71"/>
      <c r="Y891" s="71"/>
      <c r="Z891" s="71"/>
    </row>
    <row r="892" spans="1:26" ht="14.25" customHeight="1">
      <c r="A892" s="71"/>
      <c r="B892" s="71"/>
      <c r="C892" s="71"/>
      <c r="D892" s="71"/>
      <c r="E892" s="71"/>
      <c r="F892" s="71"/>
      <c r="G892" s="71"/>
      <c r="H892" s="71"/>
      <c r="I892" s="71"/>
      <c r="J892" s="71"/>
      <c r="K892" s="71"/>
      <c r="L892" s="71"/>
      <c r="M892" s="71"/>
      <c r="N892" s="71"/>
      <c r="O892" s="71"/>
      <c r="P892" s="71"/>
      <c r="Q892" s="71"/>
      <c r="R892" s="71"/>
      <c r="T892" s="71"/>
      <c r="U892" s="71"/>
      <c r="V892" s="71"/>
      <c r="W892" s="71"/>
      <c r="X892" s="71"/>
      <c r="Y892" s="71"/>
      <c r="Z892" s="71"/>
    </row>
    <row r="893" spans="1:26" ht="14.25" customHeight="1">
      <c r="A893" s="71"/>
      <c r="B893" s="71"/>
      <c r="C893" s="71"/>
      <c r="D893" s="71"/>
      <c r="E893" s="71"/>
      <c r="F893" s="71"/>
      <c r="G893" s="71"/>
      <c r="H893" s="71"/>
      <c r="I893" s="71"/>
      <c r="J893" s="71"/>
      <c r="K893" s="71"/>
      <c r="L893" s="71"/>
      <c r="M893" s="71"/>
      <c r="N893" s="71"/>
      <c r="O893" s="71"/>
      <c r="P893" s="71"/>
      <c r="Q893" s="71"/>
      <c r="R893" s="71"/>
      <c r="T893" s="71"/>
      <c r="U893" s="71"/>
      <c r="V893" s="71"/>
      <c r="W893" s="71"/>
      <c r="X893" s="71"/>
      <c r="Y893" s="71"/>
      <c r="Z893" s="71"/>
    </row>
    <row r="894" spans="1:26" ht="14.25" customHeight="1">
      <c r="A894" s="71"/>
      <c r="B894" s="71"/>
      <c r="C894" s="71"/>
      <c r="D894" s="71"/>
      <c r="E894" s="71"/>
      <c r="F894" s="71"/>
      <c r="G894" s="71"/>
      <c r="H894" s="71"/>
      <c r="I894" s="71"/>
      <c r="J894" s="71"/>
      <c r="K894" s="71"/>
      <c r="L894" s="71"/>
      <c r="M894" s="71"/>
      <c r="N894" s="71"/>
      <c r="O894" s="71"/>
      <c r="P894" s="71"/>
      <c r="Q894" s="71"/>
      <c r="R894" s="71"/>
      <c r="T894" s="71"/>
      <c r="U894" s="71"/>
      <c r="V894" s="71"/>
      <c r="W894" s="71"/>
      <c r="X894" s="71"/>
      <c r="Y894" s="71"/>
      <c r="Z894" s="71"/>
    </row>
    <row r="895" spans="1:26" ht="14.25" customHeight="1">
      <c r="A895" s="71"/>
      <c r="B895" s="71"/>
      <c r="C895" s="71"/>
      <c r="D895" s="71"/>
      <c r="E895" s="71"/>
      <c r="F895" s="71"/>
      <c r="G895" s="71"/>
      <c r="H895" s="71"/>
      <c r="I895" s="71"/>
      <c r="J895" s="71"/>
      <c r="K895" s="71"/>
      <c r="L895" s="71"/>
      <c r="M895" s="71"/>
      <c r="N895" s="71"/>
      <c r="O895" s="71"/>
      <c r="P895" s="71"/>
      <c r="Q895" s="71"/>
      <c r="R895" s="71"/>
      <c r="T895" s="71"/>
      <c r="U895" s="71"/>
      <c r="V895" s="71"/>
      <c r="W895" s="71"/>
      <c r="X895" s="71"/>
      <c r="Y895" s="71"/>
      <c r="Z895" s="71"/>
    </row>
    <row r="896" spans="1:26" ht="14.25" customHeight="1">
      <c r="A896" s="71"/>
      <c r="B896" s="71"/>
      <c r="C896" s="71"/>
      <c r="D896" s="71"/>
      <c r="E896" s="71"/>
      <c r="F896" s="71"/>
      <c r="G896" s="71"/>
      <c r="H896" s="71"/>
      <c r="I896" s="71"/>
      <c r="J896" s="71"/>
      <c r="K896" s="71"/>
      <c r="L896" s="71"/>
      <c r="M896" s="71"/>
      <c r="N896" s="71"/>
      <c r="O896" s="71"/>
      <c r="P896" s="71"/>
      <c r="Q896" s="71"/>
      <c r="R896" s="71"/>
      <c r="T896" s="71"/>
      <c r="U896" s="71"/>
      <c r="V896" s="71"/>
      <c r="W896" s="71"/>
      <c r="X896" s="71"/>
      <c r="Y896" s="71"/>
      <c r="Z896" s="71"/>
    </row>
    <row r="897" spans="1:26" ht="14.25" customHeight="1">
      <c r="A897" s="71"/>
      <c r="B897" s="71"/>
      <c r="C897" s="71"/>
      <c r="D897" s="71"/>
      <c r="E897" s="71"/>
      <c r="F897" s="71"/>
      <c r="G897" s="71"/>
      <c r="H897" s="71"/>
      <c r="I897" s="71"/>
      <c r="J897" s="71"/>
      <c r="K897" s="71"/>
      <c r="L897" s="71"/>
      <c r="M897" s="71"/>
      <c r="N897" s="71"/>
      <c r="O897" s="71"/>
      <c r="P897" s="71"/>
      <c r="Q897" s="71"/>
      <c r="R897" s="71"/>
      <c r="T897" s="71"/>
      <c r="U897" s="71"/>
      <c r="V897" s="71"/>
      <c r="W897" s="71"/>
      <c r="X897" s="71"/>
      <c r="Y897" s="71"/>
      <c r="Z897" s="71"/>
    </row>
    <row r="898" spans="1:26" ht="14.25" customHeight="1">
      <c r="A898" s="71"/>
      <c r="B898" s="71"/>
      <c r="C898" s="71"/>
      <c r="D898" s="71"/>
      <c r="E898" s="71"/>
      <c r="F898" s="71"/>
      <c r="G898" s="71"/>
      <c r="H898" s="71"/>
      <c r="I898" s="71"/>
      <c r="J898" s="71"/>
      <c r="K898" s="71"/>
      <c r="L898" s="71"/>
      <c r="M898" s="71"/>
      <c r="N898" s="71"/>
      <c r="O898" s="71"/>
      <c r="P898" s="71"/>
      <c r="Q898" s="71"/>
      <c r="R898" s="71"/>
      <c r="T898" s="71"/>
      <c r="U898" s="71"/>
      <c r="V898" s="71"/>
      <c r="W898" s="71"/>
      <c r="X898" s="71"/>
      <c r="Y898" s="71"/>
      <c r="Z898" s="71"/>
    </row>
    <row r="899" spans="1:26" ht="14.25" customHeight="1">
      <c r="A899" s="71"/>
      <c r="B899" s="71"/>
      <c r="C899" s="71"/>
      <c r="D899" s="71"/>
      <c r="E899" s="71"/>
      <c r="F899" s="71"/>
      <c r="G899" s="71"/>
      <c r="H899" s="71"/>
      <c r="I899" s="71"/>
      <c r="J899" s="71"/>
      <c r="K899" s="71"/>
      <c r="L899" s="71"/>
      <c r="M899" s="71"/>
      <c r="N899" s="71"/>
      <c r="O899" s="71"/>
      <c r="P899" s="71"/>
      <c r="Q899" s="71"/>
      <c r="R899" s="71"/>
      <c r="T899" s="71"/>
      <c r="U899" s="71"/>
      <c r="V899" s="71"/>
      <c r="W899" s="71"/>
      <c r="X899" s="71"/>
      <c r="Y899" s="71"/>
      <c r="Z899" s="71"/>
    </row>
    <row r="900" spans="1:26" ht="14.25" customHeight="1">
      <c r="A900" s="71"/>
      <c r="B900" s="71"/>
      <c r="C900" s="71"/>
      <c r="D900" s="71"/>
      <c r="E900" s="71"/>
      <c r="F900" s="71"/>
      <c r="G900" s="71"/>
      <c r="H900" s="71"/>
      <c r="I900" s="71"/>
      <c r="J900" s="71"/>
      <c r="K900" s="71"/>
      <c r="L900" s="71"/>
      <c r="M900" s="71"/>
      <c r="N900" s="71"/>
      <c r="O900" s="71"/>
      <c r="P900" s="71"/>
      <c r="Q900" s="71"/>
      <c r="R900" s="71"/>
      <c r="T900" s="71"/>
      <c r="U900" s="71"/>
      <c r="V900" s="71"/>
      <c r="W900" s="71"/>
      <c r="X900" s="71"/>
      <c r="Y900" s="71"/>
      <c r="Z900" s="71"/>
    </row>
    <row r="901" spans="1:26" ht="14.25" customHeight="1">
      <c r="A901" s="71"/>
      <c r="B901" s="71"/>
      <c r="C901" s="71"/>
      <c r="D901" s="71"/>
      <c r="E901" s="71"/>
      <c r="F901" s="71"/>
      <c r="G901" s="71"/>
      <c r="H901" s="71"/>
      <c r="I901" s="71"/>
      <c r="J901" s="71"/>
      <c r="K901" s="71"/>
      <c r="L901" s="71"/>
      <c r="M901" s="71"/>
      <c r="N901" s="71"/>
      <c r="O901" s="71"/>
      <c r="P901" s="71"/>
      <c r="Q901" s="71"/>
      <c r="R901" s="71"/>
      <c r="T901" s="71"/>
      <c r="U901" s="71"/>
      <c r="V901" s="71"/>
      <c r="W901" s="71"/>
      <c r="X901" s="71"/>
      <c r="Y901" s="71"/>
      <c r="Z901" s="71"/>
    </row>
    <row r="902" spans="1:26" ht="14.25" customHeight="1">
      <c r="A902" s="71"/>
      <c r="B902" s="71"/>
      <c r="C902" s="71"/>
      <c r="D902" s="71"/>
      <c r="E902" s="71"/>
      <c r="F902" s="71"/>
      <c r="G902" s="71"/>
      <c r="H902" s="71"/>
      <c r="I902" s="71"/>
      <c r="J902" s="71"/>
      <c r="K902" s="71"/>
      <c r="L902" s="71"/>
      <c r="M902" s="71"/>
      <c r="N902" s="71"/>
      <c r="O902" s="71"/>
      <c r="P902" s="71"/>
      <c r="Q902" s="71"/>
      <c r="R902" s="71"/>
      <c r="T902" s="71"/>
      <c r="U902" s="71"/>
      <c r="V902" s="71"/>
      <c r="W902" s="71"/>
      <c r="X902" s="71"/>
      <c r="Y902" s="71"/>
      <c r="Z902" s="71"/>
    </row>
    <row r="903" spans="1:26" ht="14.25" customHeight="1">
      <c r="A903" s="71"/>
      <c r="B903" s="71"/>
      <c r="C903" s="71"/>
      <c r="D903" s="71"/>
      <c r="E903" s="71"/>
      <c r="F903" s="71"/>
      <c r="G903" s="71"/>
      <c r="H903" s="71"/>
      <c r="I903" s="71"/>
      <c r="J903" s="71"/>
      <c r="K903" s="71"/>
      <c r="L903" s="71"/>
      <c r="M903" s="71"/>
      <c r="N903" s="71"/>
      <c r="O903" s="71"/>
      <c r="P903" s="71"/>
      <c r="Q903" s="71"/>
      <c r="R903" s="71"/>
      <c r="T903" s="71"/>
      <c r="U903" s="71"/>
      <c r="V903" s="71"/>
      <c r="W903" s="71"/>
      <c r="X903" s="71"/>
      <c r="Y903" s="71"/>
      <c r="Z903" s="71"/>
    </row>
    <row r="904" spans="1:26" ht="14.25" customHeight="1">
      <c r="A904" s="71"/>
      <c r="B904" s="71"/>
      <c r="C904" s="71"/>
      <c r="D904" s="71"/>
      <c r="E904" s="71"/>
      <c r="F904" s="71"/>
      <c r="G904" s="71"/>
      <c r="H904" s="71"/>
      <c r="I904" s="71"/>
      <c r="J904" s="71"/>
      <c r="K904" s="71"/>
      <c r="L904" s="71"/>
      <c r="M904" s="71"/>
      <c r="N904" s="71"/>
      <c r="O904" s="71"/>
      <c r="P904" s="71"/>
      <c r="Q904" s="71"/>
      <c r="R904" s="71"/>
      <c r="T904" s="71"/>
      <c r="U904" s="71"/>
      <c r="V904" s="71"/>
      <c r="W904" s="71"/>
      <c r="X904" s="71"/>
      <c r="Y904" s="71"/>
      <c r="Z904" s="71"/>
    </row>
    <row r="905" spans="1:26" ht="14.25" customHeight="1">
      <c r="A905" s="71"/>
      <c r="B905" s="71"/>
      <c r="C905" s="71"/>
      <c r="D905" s="71"/>
      <c r="E905" s="71"/>
      <c r="F905" s="71"/>
      <c r="G905" s="71"/>
      <c r="H905" s="71"/>
      <c r="I905" s="71"/>
      <c r="J905" s="71"/>
      <c r="K905" s="71"/>
      <c r="L905" s="71"/>
      <c r="M905" s="71"/>
      <c r="N905" s="71"/>
      <c r="O905" s="71"/>
      <c r="P905" s="71"/>
      <c r="Q905" s="71"/>
      <c r="R905" s="71"/>
      <c r="T905" s="71"/>
      <c r="U905" s="71"/>
      <c r="V905" s="71"/>
      <c r="W905" s="71"/>
      <c r="X905" s="71"/>
      <c r="Y905" s="71"/>
      <c r="Z905" s="71"/>
    </row>
    <row r="906" spans="1:26" ht="14.25" customHeight="1">
      <c r="A906" s="71"/>
      <c r="B906" s="71"/>
      <c r="C906" s="71"/>
      <c r="D906" s="71"/>
      <c r="E906" s="71"/>
      <c r="F906" s="71"/>
      <c r="G906" s="71"/>
      <c r="H906" s="71"/>
      <c r="I906" s="71"/>
      <c r="J906" s="71"/>
      <c r="K906" s="71"/>
      <c r="L906" s="71"/>
      <c r="M906" s="71"/>
      <c r="N906" s="71"/>
      <c r="O906" s="71"/>
      <c r="P906" s="71"/>
      <c r="Q906" s="71"/>
      <c r="R906" s="71"/>
      <c r="T906" s="71"/>
      <c r="U906" s="71"/>
      <c r="V906" s="71"/>
      <c r="W906" s="71"/>
      <c r="X906" s="71"/>
      <c r="Y906" s="71"/>
      <c r="Z906" s="71"/>
    </row>
    <row r="907" spans="1:26" ht="14.25" customHeight="1">
      <c r="A907" s="71"/>
      <c r="B907" s="71"/>
      <c r="C907" s="71"/>
      <c r="D907" s="71"/>
      <c r="E907" s="71"/>
      <c r="F907" s="71"/>
      <c r="G907" s="71"/>
      <c r="H907" s="71"/>
      <c r="I907" s="71"/>
      <c r="J907" s="71"/>
      <c r="K907" s="71"/>
      <c r="L907" s="71"/>
      <c r="M907" s="71"/>
      <c r="N907" s="71"/>
      <c r="O907" s="71"/>
      <c r="P907" s="71"/>
      <c r="Q907" s="71"/>
      <c r="R907" s="71"/>
      <c r="T907" s="71"/>
      <c r="U907" s="71"/>
      <c r="V907" s="71"/>
      <c r="W907" s="71"/>
      <c r="X907" s="71"/>
      <c r="Y907" s="71"/>
      <c r="Z907" s="71"/>
    </row>
    <row r="908" spans="1:26" ht="14.25" customHeight="1">
      <c r="A908" s="71"/>
      <c r="B908" s="71"/>
      <c r="C908" s="71"/>
      <c r="D908" s="71"/>
      <c r="E908" s="71"/>
      <c r="F908" s="71"/>
      <c r="G908" s="71"/>
      <c r="H908" s="71"/>
      <c r="I908" s="71"/>
      <c r="J908" s="71"/>
      <c r="K908" s="71"/>
      <c r="L908" s="71"/>
      <c r="M908" s="71"/>
      <c r="N908" s="71"/>
      <c r="O908" s="71"/>
      <c r="P908" s="71"/>
      <c r="Q908" s="71"/>
      <c r="R908" s="71"/>
      <c r="T908" s="71"/>
      <c r="U908" s="71"/>
      <c r="V908" s="71"/>
      <c r="W908" s="71"/>
      <c r="X908" s="71"/>
      <c r="Y908" s="71"/>
      <c r="Z908" s="71"/>
    </row>
    <row r="909" spans="1:26" ht="14.25" customHeight="1">
      <c r="A909" s="71"/>
      <c r="B909" s="71"/>
      <c r="C909" s="71"/>
      <c r="D909" s="71"/>
      <c r="E909" s="71"/>
      <c r="F909" s="71"/>
      <c r="G909" s="71"/>
      <c r="H909" s="71"/>
      <c r="I909" s="71"/>
      <c r="J909" s="71"/>
      <c r="K909" s="71"/>
      <c r="L909" s="71"/>
      <c r="M909" s="71"/>
      <c r="N909" s="71"/>
      <c r="O909" s="71"/>
      <c r="P909" s="71"/>
      <c r="Q909" s="71"/>
      <c r="R909" s="71"/>
      <c r="T909" s="71"/>
      <c r="U909" s="71"/>
      <c r="V909" s="71"/>
      <c r="W909" s="71"/>
      <c r="X909" s="71"/>
      <c r="Y909" s="71"/>
      <c r="Z909" s="71"/>
    </row>
    <row r="910" spans="1:26" ht="14.25" customHeight="1">
      <c r="A910" s="71"/>
      <c r="B910" s="71"/>
      <c r="C910" s="71"/>
      <c r="D910" s="71"/>
      <c r="E910" s="71"/>
      <c r="F910" s="71"/>
      <c r="G910" s="71"/>
      <c r="H910" s="71"/>
      <c r="I910" s="71"/>
      <c r="J910" s="71"/>
      <c r="K910" s="71"/>
      <c r="L910" s="71"/>
      <c r="M910" s="71"/>
      <c r="N910" s="71"/>
      <c r="O910" s="71"/>
      <c r="P910" s="71"/>
      <c r="Q910" s="71"/>
      <c r="R910" s="71"/>
      <c r="T910" s="71"/>
      <c r="U910" s="71"/>
      <c r="V910" s="71"/>
      <c r="W910" s="71"/>
      <c r="X910" s="71"/>
      <c r="Y910" s="71"/>
      <c r="Z910" s="71"/>
    </row>
    <row r="911" spans="1:26" ht="14.25" customHeight="1">
      <c r="A911" s="71"/>
      <c r="B911" s="71"/>
      <c r="C911" s="71"/>
      <c r="D911" s="71"/>
      <c r="E911" s="71"/>
      <c r="F911" s="71"/>
      <c r="G911" s="71"/>
      <c r="H911" s="71"/>
      <c r="I911" s="71"/>
      <c r="J911" s="71"/>
      <c r="K911" s="71"/>
      <c r="L911" s="71"/>
      <c r="M911" s="71"/>
      <c r="N911" s="71"/>
      <c r="O911" s="71"/>
      <c r="P911" s="71"/>
      <c r="Q911" s="71"/>
      <c r="R911" s="71"/>
      <c r="T911" s="71"/>
      <c r="U911" s="71"/>
      <c r="V911" s="71"/>
      <c r="W911" s="71"/>
      <c r="X911" s="71"/>
      <c r="Y911" s="71"/>
      <c r="Z911" s="71"/>
    </row>
    <row r="912" spans="1:26" ht="14.25" customHeight="1">
      <c r="A912" s="71"/>
      <c r="B912" s="71"/>
      <c r="C912" s="71"/>
      <c r="D912" s="71"/>
      <c r="E912" s="71"/>
      <c r="F912" s="71"/>
      <c r="G912" s="71"/>
      <c r="H912" s="71"/>
      <c r="I912" s="71"/>
      <c r="J912" s="71"/>
      <c r="K912" s="71"/>
      <c r="L912" s="71"/>
      <c r="M912" s="71"/>
      <c r="N912" s="71"/>
      <c r="O912" s="71"/>
      <c r="P912" s="71"/>
      <c r="Q912" s="71"/>
      <c r="R912" s="71"/>
      <c r="T912" s="71"/>
      <c r="U912" s="71"/>
      <c r="V912" s="71"/>
      <c r="W912" s="71"/>
      <c r="X912" s="71"/>
      <c r="Y912" s="71"/>
      <c r="Z912" s="71"/>
    </row>
    <row r="913" spans="1:26" ht="14.25" customHeight="1">
      <c r="A913" s="71"/>
      <c r="B913" s="71"/>
      <c r="C913" s="71"/>
      <c r="D913" s="71"/>
      <c r="E913" s="71"/>
      <c r="F913" s="71"/>
      <c r="G913" s="71"/>
      <c r="H913" s="71"/>
      <c r="I913" s="71"/>
      <c r="J913" s="71"/>
      <c r="K913" s="71"/>
      <c r="L913" s="71"/>
      <c r="M913" s="71"/>
      <c r="N913" s="71"/>
      <c r="O913" s="71"/>
      <c r="P913" s="71"/>
      <c r="Q913" s="71"/>
      <c r="R913" s="71"/>
      <c r="T913" s="71"/>
      <c r="U913" s="71"/>
      <c r="V913" s="71"/>
      <c r="W913" s="71"/>
      <c r="X913" s="71"/>
      <c r="Y913" s="71"/>
      <c r="Z913" s="71"/>
    </row>
    <row r="914" spans="1:26" ht="14.25" customHeight="1">
      <c r="A914" s="71"/>
      <c r="B914" s="71"/>
      <c r="C914" s="71"/>
      <c r="D914" s="71"/>
      <c r="E914" s="71"/>
      <c r="F914" s="71"/>
      <c r="G914" s="71"/>
      <c r="H914" s="71"/>
      <c r="I914" s="71"/>
      <c r="J914" s="71"/>
      <c r="K914" s="71"/>
      <c r="L914" s="71"/>
      <c r="M914" s="71"/>
      <c r="N914" s="71"/>
      <c r="O914" s="71"/>
      <c r="P914" s="71"/>
      <c r="Q914" s="71"/>
      <c r="R914" s="71"/>
      <c r="T914" s="71"/>
      <c r="U914" s="71"/>
      <c r="V914" s="71"/>
      <c r="W914" s="71"/>
      <c r="X914" s="71"/>
      <c r="Y914" s="71"/>
      <c r="Z914" s="71"/>
    </row>
    <row r="915" spans="1:26" ht="14.25" customHeight="1">
      <c r="A915" s="71"/>
      <c r="B915" s="71"/>
      <c r="C915" s="71"/>
      <c r="D915" s="71"/>
      <c r="E915" s="71"/>
      <c r="F915" s="71"/>
      <c r="G915" s="71"/>
      <c r="H915" s="71"/>
      <c r="I915" s="71"/>
      <c r="J915" s="71"/>
      <c r="K915" s="71"/>
      <c r="L915" s="71"/>
      <c r="M915" s="71"/>
      <c r="N915" s="71"/>
      <c r="O915" s="71"/>
      <c r="P915" s="71"/>
      <c r="Q915" s="71"/>
      <c r="R915" s="71"/>
      <c r="T915" s="71"/>
      <c r="U915" s="71"/>
      <c r="V915" s="71"/>
      <c r="W915" s="71"/>
      <c r="X915" s="71"/>
      <c r="Y915" s="71"/>
      <c r="Z915" s="71"/>
    </row>
    <row r="916" spans="1:26" ht="14.25" customHeight="1">
      <c r="A916" s="71"/>
      <c r="B916" s="71"/>
      <c r="C916" s="71"/>
      <c r="D916" s="71"/>
      <c r="E916" s="71"/>
      <c r="F916" s="71"/>
      <c r="G916" s="71"/>
      <c r="H916" s="71"/>
      <c r="I916" s="71"/>
      <c r="J916" s="71"/>
      <c r="K916" s="71"/>
      <c r="L916" s="71"/>
      <c r="M916" s="71"/>
      <c r="N916" s="71"/>
      <c r="O916" s="71"/>
      <c r="P916" s="71"/>
      <c r="Q916" s="71"/>
      <c r="R916" s="71"/>
      <c r="T916" s="71"/>
      <c r="U916" s="71"/>
      <c r="V916" s="71"/>
      <c r="W916" s="71"/>
      <c r="X916" s="71"/>
      <c r="Y916" s="71"/>
      <c r="Z916" s="71"/>
    </row>
    <row r="917" spans="1:26" ht="14.25" customHeight="1">
      <c r="A917" s="71"/>
      <c r="B917" s="71"/>
      <c r="C917" s="71"/>
      <c r="D917" s="71"/>
      <c r="E917" s="71"/>
      <c r="F917" s="71"/>
      <c r="G917" s="71"/>
      <c r="H917" s="71"/>
      <c r="I917" s="71"/>
      <c r="J917" s="71"/>
      <c r="K917" s="71"/>
      <c r="L917" s="71"/>
      <c r="M917" s="71"/>
      <c r="N917" s="71"/>
      <c r="O917" s="71"/>
      <c r="P917" s="71"/>
      <c r="Q917" s="71"/>
      <c r="R917" s="71"/>
      <c r="T917" s="71"/>
      <c r="U917" s="71"/>
      <c r="V917" s="71"/>
      <c r="W917" s="71"/>
      <c r="X917" s="71"/>
      <c r="Y917" s="71"/>
      <c r="Z917" s="71"/>
    </row>
    <row r="918" spans="1:26" ht="14.25" customHeight="1">
      <c r="A918" s="71"/>
      <c r="B918" s="71"/>
      <c r="C918" s="71"/>
      <c r="D918" s="71"/>
      <c r="E918" s="71"/>
      <c r="F918" s="71"/>
      <c r="G918" s="71"/>
      <c r="H918" s="71"/>
      <c r="I918" s="71"/>
      <c r="J918" s="71"/>
      <c r="K918" s="71"/>
      <c r="L918" s="71"/>
      <c r="M918" s="71"/>
      <c r="N918" s="71"/>
      <c r="O918" s="71"/>
      <c r="P918" s="71"/>
      <c r="Q918" s="71"/>
      <c r="R918" s="71"/>
      <c r="T918" s="71"/>
      <c r="U918" s="71"/>
      <c r="V918" s="71"/>
      <c r="W918" s="71"/>
      <c r="X918" s="71"/>
      <c r="Y918" s="71"/>
      <c r="Z918" s="71"/>
    </row>
    <row r="919" spans="1:26" ht="14.25" customHeight="1">
      <c r="A919" s="71"/>
      <c r="B919" s="71"/>
      <c r="C919" s="71"/>
      <c r="D919" s="71"/>
      <c r="E919" s="71"/>
      <c r="F919" s="71"/>
      <c r="G919" s="71"/>
      <c r="H919" s="71"/>
      <c r="I919" s="71"/>
      <c r="J919" s="71"/>
      <c r="K919" s="71"/>
      <c r="L919" s="71"/>
      <c r="M919" s="71"/>
      <c r="N919" s="71"/>
      <c r="O919" s="71"/>
      <c r="P919" s="71"/>
      <c r="Q919" s="71"/>
      <c r="R919" s="71"/>
      <c r="T919" s="71"/>
      <c r="U919" s="71"/>
      <c r="V919" s="71"/>
      <c r="W919" s="71"/>
      <c r="X919" s="71"/>
      <c r="Y919" s="71"/>
      <c r="Z919" s="71"/>
    </row>
    <row r="920" spans="1:26" ht="14.25" customHeight="1">
      <c r="A920" s="71"/>
      <c r="B920" s="71"/>
      <c r="C920" s="71"/>
      <c r="D920" s="71"/>
      <c r="E920" s="71"/>
      <c r="F920" s="71"/>
      <c r="G920" s="71"/>
      <c r="H920" s="71"/>
      <c r="I920" s="71"/>
      <c r="J920" s="71"/>
      <c r="K920" s="71"/>
      <c r="L920" s="71"/>
      <c r="M920" s="71"/>
      <c r="N920" s="71"/>
      <c r="O920" s="71"/>
      <c r="P920" s="71"/>
      <c r="Q920" s="71"/>
      <c r="R920" s="71"/>
      <c r="T920" s="71"/>
      <c r="U920" s="71"/>
      <c r="V920" s="71"/>
      <c r="W920" s="71"/>
      <c r="X920" s="71"/>
      <c r="Y920" s="71"/>
      <c r="Z920" s="71"/>
    </row>
    <row r="921" spans="1:26" ht="14.25" customHeight="1">
      <c r="A921" s="71"/>
      <c r="B921" s="71"/>
      <c r="C921" s="71"/>
      <c r="D921" s="71"/>
      <c r="E921" s="71"/>
      <c r="F921" s="71"/>
      <c r="G921" s="71"/>
      <c r="H921" s="71"/>
      <c r="I921" s="71"/>
      <c r="J921" s="71"/>
      <c r="K921" s="71"/>
      <c r="L921" s="71"/>
      <c r="M921" s="71"/>
      <c r="N921" s="71"/>
      <c r="O921" s="71"/>
      <c r="P921" s="71"/>
      <c r="Q921" s="71"/>
      <c r="R921" s="71"/>
      <c r="T921" s="71"/>
      <c r="U921" s="71"/>
      <c r="V921" s="71"/>
      <c r="W921" s="71"/>
      <c r="X921" s="71"/>
      <c r="Y921" s="71"/>
      <c r="Z921" s="71"/>
    </row>
    <row r="922" spans="1:26" ht="14.25" customHeight="1">
      <c r="A922" s="71"/>
      <c r="B922" s="71"/>
      <c r="C922" s="71"/>
      <c r="D922" s="71"/>
      <c r="E922" s="71"/>
      <c r="F922" s="71"/>
      <c r="G922" s="71"/>
      <c r="H922" s="71"/>
      <c r="I922" s="71"/>
      <c r="J922" s="71"/>
      <c r="K922" s="71"/>
      <c r="L922" s="71"/>
      <c r="M922" s="71"/>
      <c r="N922" s="71"/>
      <c r="O922" s="71"/>
      <c r="P922" s="71"/>
      <c r="Q922" s="71"/>
      <c r="R922" s="71"/>
      <c r="T922" s="71"/>
      <c r="U922" s="71"/>
      <c r="V922" s="71"/>
      <c r="W922" s="71"/>
      <c r="X922" s="71"/>
      <c r="Y922" s="71"/>
      <c r="Z922" s="71"/>
    </row>
    <row r="923" spans="1:26" ht="14.25" customHeight="1">
      <c r="A923" s="71"/>
      <c r="B923" s="71"/>
      <c r="C923" s="71"/>
      <c r="D923" s="71"/>
      <c r="E923" s="71"/>
      <c r="F923" s="71"/>
      <c r="G923" s="71"/>
      <c r="H923" s="71"/>
      <c r="I923" s="71"/>
      <c r="J923" s="71"/>
      <c r="K923" s="71"/>
      <c r="L923" s="71"/>
      <c r="M923" s="71"/>
      <c r="N923" s="71"/>
      <c r="O923" s="71"/>
      <c r="P923" s="71"/>
      <c r="Q923" s="71"/>
      <c r="R923" s="71"/>
      <c r="T923" s="71"/>
      <c r="U923" s="71"/>
      <c r="V923" s="71"/>
      <c r="W923" s="71"/>
      <c r="X923" s="71"/>
      <c r="Y923" s="71"/>
      <c r="Z923" s="71"/>
    </row>
    <row r="924" spans="1:26" ht="14.25" customHeight="1">
      <c r="A924" s="71"/>
      <c r="B924" s="71"/>
      <c r="C924" s="71"/>
      <c r="D924" s="71"/>
      <c r="E924" s="71"/>
      <c r="F924" s="71"/>
      <c r="G924" s="71"/>
      <c r="H924" s="71"/>
      <c r="I924" s="71"/>
      <c r="J924" s="71"/>
      <c r="K924" s="71"/>
      <c r="L924" s="71"/>
      <c r="M924" s="71"/>
      <c r="N924" s="71"/>
      <c r="O924" s="71"/>
      <c r="P924" s="71"/>
      <c r="Q924" s="71"/>
      <c r="R924" s="71"/>
      <c r="T924" s="71"/>
      <c r="U924" s="71"/>
      <c r="V924" s="71"/>
      <c r="W924" s="71"/>
      <c r="X924" s="71"/>
      <c r="Y924" s="71"/>
      <c r="Z924" s="71"/>
    </row>
    <row r="925" spans="1:26" ht="14.25" customHeight="1">
      <c r="A925" s="71"/>
      <c r="B925" s="71"/>
      <c r="C925" s="71"/>
      <c r="D925" s="71"/>
      <c r="E925" s="71"/>
      <c r="F925" s="71"/>
      <c r="G925" s="71"/>
      <c r="H925" s="71"/>
      <c r="I925" s="71"/>
      <c r="J925" s="71"/>
      <c r="K925" s="71"/>
      <c r="L925" s="71"/>
      <c r="M925" s="71"/>
      <c r="N925" s="71"/>
      <c r="O925" s="71"/>
      <c r="P925" s="71"/>
      <c r="Q925" s="71"/>
      <c r="R925" s="71"/>
      <c r="T925" s="71"/>
      <c r="U925" s="71"/>
      <c r="V925" s="71"/>
      <c r="W925" s="71"/>
      <c r="X925" s="71"/>
      <c r="Y925" s="71"/>
      <c r="Z925" s="71"/>
    </row>
    <row r="926" spans="1:26" ht="14.25" customHeight="1">
      <c r="A926" s="71"/>
      <c r="B926" s="71"/>
      <c r="C926" s="71"/>
      <c r="D926" s="71"/>
      <c r="E926" s="71"/>
      <c r="F926" s="71"/>
      <c r="G926" s="71"/>
      <c r="H926" s="71"/>
      <c r="I926" s="71"/>
      <c r="J926" s="71"/>
      <c r="K926" s="71"/>
      <c r="L926" s="71"/>
      <c r="M926" s="71"/>
      <c r="N926" s="71"/>
      <c r="O926" s="71"/>
      <c r="P926" s="71"/>
      <c r="Q926" s="71"/>
      <c r="R926" s="71"/>
      <c r="T926" s="71"/>
      <c r="U926" s="71"/>
      <c r="V926" s="71"/>
      <c r="W926" s="71"/>
      <c r="X926" s="71"/>
      <c r="Y926" s="71"/>
      <c r="Z926" s="71"/>
    </row>
    <row r="927" spans="1:26" ht="14.25" customHeight="1">
      <c r="A927" s="71"/>
      <c r="B927" s="71"/>
      <c r="C927" s="71"/>
      <c r="D927" s="71"/>
      <c r="E927" s="71"/>
      <c r="F927" s="71"/>
      <c r="G927" s="71"/>
      <c r="H927" s="71"/>
      <c r="I927" s="71"/>
      <c r="J927" s="71"/>
      <c r="K927" s="71"/>
      <c r="L927" s="71"/>
      <c r="M927" s="71"/>
      <c r="N927" s="71"/>
      <c r="O927" s="71"/>
      <c r="P927" s="71"/>
      <c r="Q927" s="71"/>
      <c r="R927" s="71"/>
      <c r="T927" s="71"/>
      <c r="U927" s="71"/>
      <c r="V927" s="71"/>
      <c r="W927" s="71"/>
      <c r="X927" s="71"/>
      <c r="Y927" s="71"/>
      <c r="Z927" s="71"/>
    </row>
    <row r="928" spans="1:26" ht="14.25" customHeight="1">
      <c r="A928" s="71"/>
      <c r="B928" s="71"/>
      <c r="C928" s="71"/>
      <c r="D928" s="71"/>
      <c r="E928" s="71"/>
      <c r="F928" s="71"/>
      <c r="G928" s="71"/>
      <c r="H928" s="71"/>
      <c r="I928" s="71"/>
      <c r="J928" s="71"/>
      <c r="K928" s="71"/>
      <c r="L928" s="71"/>
      <c r="M928" s="71"/>
      <c r="N928" s="71"/>
      <c r="O928" s="71"/>
      <c r="P928" s="71"/>
      <c r="Q928" s="71"/>
      <c r="R928" s="71"/>
      <c r="T928" s="71"/>
      <c r="U928" s="71"/>
      <c r="V928" s="71"/>
      <c r="W928" s="71"/>
      <c r="X928" s="71"/>
      <c r="Y928" s="71"/>
      <c r="Z928" s="71"/>
    </row>
    <row r="929" spans="1:26" ht="14.25" customHeight="1">
      <c r="A929" s="71"/>
      <c r="B929" s="71"/>
      <c r="C929" s="71"/>
      <c r="D929" s="71"/>
      <c r="E929" s="71"/>
      <c r="F929" s="71"/>
      <c r="G929" s="71"/>
      <c r="H929" s="71"/>
      <c r="I929" s="71"/>
      <c r="J929" s="71"/>
      <c r="K929" s="71"/>
      <c r="L929" s="71"/>
      <c r="M929" s="71"/>
      <c r="N929" s="71"/>
      <c r="O929" s="71"/>
      <c r="P929" s="71"/>
      <c r="Q929" s="71"/>
      <c r="R929" s="71"/>
      <c r="T929" s="71"/>
      <c r="U929" s="71"/>
      <c r="V929" s="71"/>
      <c r="W929" s="71"/>
      <c r="X929" s="71"/>
      <c r="Y929" s="71"/>
      <c r="Z929" s="71"/>
    </row>
    <row r="930" spans="1:26" ht="14.25" customHeight="1">
      <c r="A930" s="71"/>
      <c r="B930" s="71"/>
      <c r="C930" s="71"/>
      <c r="D930" s="71"/>
      <c r="E930" s="71"/>
      <c r="F930" s="71"/>
      <c r="G930" s="71"/>
      <c r="H930" s="71"/>
      <c r="I930" s="71"/>
      <c r="J930" s="71"/>
      <c r="K930" s="71"/>
      <c r="L930" s="71"/>
      <c r="M930" s="71"/>
      <c r="N930" s="71"/>
      <c r="O930" s="71"/>
      <c r="P930" s="71"/>
      <c r="Q930" s="71"/>
      <c r="R930" s="71"/>
      <c r="T930" s="71"/>
      <c r="U930" s="71"/>
      <c r="V930" s="71"/>
      <c r="W930" s="71"/>
      <c r="X930" s="71"/>
      <c r="Y930" s="71"/>
      <c r="Z930" s="71"/>
    </row>
    <row r="931" spans="1:26" ht="14.25" customHeight="1">
      <c r="A931" s="71"/>
      <c r="B931" s="71"/>
      <c r="C931" s="71"/>
      <c r="D931" s="71"/>
      <c r="E931" s="71"/>
      <c r="F931" s="71"/>
      <c r="G931" s="71"/>
      <c r="H931" s="71"/>
      <c r="I931" s="71"/>
      <c r="J931" s="71"/>
      <c r="K931" s="71"/>
      <c r="L931" s="71"/>
      <c r="M931" s="71"/>
      <c r="N931" s="71"/>
      <c r="O931" s="71"/>
      <c r="P931" s="71"/>
      <c r="Q931" s="71"/>
      <c r="R931" s="71"/>
      <c r="T931" s="71"/>
      <c r="U931" s="71"/>
      <c r="V931" s="71"/>
      <c r="W931" s="71"/>
      <c r="X931" s="71"/>
      <c r="Y931" s="71"/>
      <c r="Z931" s="71"/>
    </row>
    <row r="932" spans="1:26" ht="14.25" customHeight="1">
      <c r="A932" s="71"/>
      <c r="B932" s="71"/>
      <c r="C932" s="71"/>
      <c r="D932" s="71"/>
      <c r="E932" s="71"/>
      <c r="F932" s="71"/>
      <c r="G932" s="71"/>
      <c r="H932" s="71"/>
      <c r="I932" s="71"/>
      <c r="J932" s="71"/>
      <c r="K932" s="71"/>
      <c r="L932" s="71"/>
      <c r="M932" s="71"/>
      <c r="N932" s="71"/>
      <c r="O932" s="71"/>
      <c r="P932" s="71"/>
      <c r="Q932" s="71"/>
      <c r="R932" s="71"/>
      <c r="T932" s="71"/>
      <c r="U932" s="71"/>
      <c r="V932" s="71"/>
      <c r="W932" s="71"/>
      <c r="X932" s="71"/>
      <c r="Y932" s="71"/>
      <c r="Z932" s="71"/>
    </row>
    <row r="933" spans="1:26" ht="14.25" customHeight="1">
      <c r="A933" s="71"/>
      <c r="B933" s="71"/>
      <c r="C933" s="71"/>
      <c r="D933" s="71"/>
      <c r="E933" s="71"/>
      <c r="F933" s="71"/>
      <c r="G933" s="71"/>
      <c r="H933" s="71"/>
      <c r="I933" s="71"/>
      <c r="J933" s="71"/>
      <c r="K933" s="71"/>
      <c r="L933" s="71"/>
      <c r="M933" s="71"/>
      <c r="N933" s="71"/>
      <c r="O933" s="71"/>
      <c r="P933" s="71"/>
      <c r="Q933" s="71"/>
      <c r="R933" s="71"/>
      <c r="T933" s="71"/>
      <c r="U933" s="71"/>
      <c r="V933" s="71"/>
      <c r="W933" s="71"/>
      <c r="X933" s="71"/>
      <c r="Y933" s="71"/>
      <c r="Z933" s="71"/>
    </row>
    <row r="934" spans="1:26" ht="14.25" customHeight="1">
      <c r="A934" s="71"/>
      <c r="B934" s="71"/>
      <c r="C934" s="71"/>
      <c r="D934" s="71"/>
      <c r="E934" s="71"/>
      <c r="F934" s="71"/>
      <c r="G934" s="71"/>
      <c r="H934" s="71"/>
      <c r="I934" s="71"/>
      <c r="J934" s="71"/>
      <c r="K934" s="71"/>
      <c r="L934" s="71"/>
      <c r="M934" s="71"/>
      <c r="N934" s="71"/>
      <c r="O934" s="71"/>
      <c r="P934" s="71"/>
      <c r="Q934" s="71"/>
      <c r="R934" s="71"/>
      <c r="T934" s="71"/>
      <c r="U934" s="71"/>
      <c r="V934" s="71"/>
      <c r="W934" s="71"/>
      <c r="X934" s="71"/>
      <c r="Y934" s="71"/>
      <c r="Z934" s="71"/>
    </row>
    <row r="935" spans="1:26" ht="14.25" customHeight="1">
      <c r="A935" s="71"/>
      <c r="B935" s="71"/>
      <c r="C935" s="71"/>
      <c r="D935" s="71"/>
      <c r="E935" s="71"/>
      <c r="F935" s="71"/>
      <c r="G935" s="71"/>
      <c r="H935" s="71"/>
      <c r="I935" s="71"/>
      <c r="J935" s="71"/>
      <c r="K935" s="71"/>
      <c r="L935" s="71"/>
      <c r="M935" s="71"/>
      <c r="N935" s="71"/>
      <c r="O935" s="71"/>
      <c r="P935" s="71"/>
      <c r="Q935" s="71"/>
      <c r="R935" s="71"/>
      <c r="T935" s="71"/>
      <c r="U935" s="71"/>
      <c r="V935" s="71"/>
      <c r="W935" s="71"/>
      <c r="X935" s="71"/>
      <c r="Y935" s="71"/>
      <c r="Z935" s="71"/>
    </row>
    <row r="936" spans="1:26" ht="14.25" customHeight="1">
      <c r="A936" s="71"/>
      <c r="B936" s="71"/>
      <c r="C936" s="71"/>
      <c r="D936" s="71"/>
      <c r="E936" s="71"/>
      <c r="F936" s="71"/>
      <c r="G936" s="71"/>
      <c r="H936" s="71"/>
      <c r="I936" s="71"/>
      <c r="J936" s="71"/>
      <c r="K936" s="71"/>
      <c r="L936" s="71"/>
      <c r="M936" s="71"/>
      <c r="N936" s="71"/>
      <c r="O936" s="71"/>
      <c r="P936" s="71"/>
      <c r="Q936" s="71"/>
      <c r="R936" s="71"/>
      <c r="T936" s="71"/>
      <c r="U936" s="71"/>
      <c r="V936" s="71"/>
      <c r="W936" s="71"/>
      <c r="X936" s="71"/>
      <c r="Y936" s="71"/>
      <c r="Z936" s="71"/>
    </row>
    <row r="937" spans="1:26" ht="14.25" customHeight="1">
      <c r="A937" s="71"/>
      <c r="B937" s="71"/>
      <c r="C937" s="71"/>
      <c r="D937" s="71"/>
      <c r="E937" s="71"/>
      <c r="F937" s="71"/>
      <c r="G937" s="71"/>
      <c r="H937" s="71"/>
      <c r="I937" s="71"/>
      <c r="J937" s="71"/>
      <c r="K937" s="71"/>
      <c r="L937" s="71"/>
      <c r="M937" s="71"/>
      <c r="N937" s="71"/>
      <c r="O937" s="71"/>
      <c r="P937" s="71"/>
      <c r="Q937" s="71"/>
      <c r="R937" s="71"/>
      <c r="T937" s="71"/>
      <c r="U937" s="71"/>
      <c r="V937" s="71"/>
      <c r="W937" s="71"/>
      <c r="X937" s="71"/>
      <c r="Y937" s="71"/>
      <c r="Z937" s="71"/>
    </row>
    <row r="938" spans="1:26" ht="14.25" customHeight="1">
      <c r="A938" s="71"/>
      <c r="B938" s="71"/>
      <c r="C938" s="71"/>
      <c r="D938" s="71"/>
      <c r="E938" s="71"/>
      <c r="F938" s="71"/>
      <c r="G938" s="71"/>
      <c r="H938" s="71"/>
      <c r="I938" s="71"/>
      <c r="J938" s="71"/>
      <c r="K938" s="71"/>
      <c r="L938" s="71"/>
      <c r="M938" s="71"/>
      <c r="N938" s="71"/>
      <c r="O938" s="71"/>
      <c r="P938" s="71"/>
      <c r="Q938" s="71"/>
      <c r="R938" s="71"/>
      <c r="T938" s="71"/>
      <c r="U938" s="71"/>
      <c r="V938" s="71"/>
      <c r="W938" s="71"/>
      <c r="X938" s="71"/>
      <c r="Y938" s="71"/>
      <c r="Z938" s="71"/>
    </row>
    <row r="939" spans="1:26" ht="14.25" customHeight="1">
      <c r="A939" s="71"/>
      <c r="B939" s="71"/>
      <c r="C939" s="71"/>
      <c r="D939" s="71"/>
      <c r="E939" s="71"/>
      <c r="F939" s="71"/>
      <c r="G939" s="71"/>
      <c r="H939" s="71"/>
      <c r="I939" s="71"/>
      <c r="J939" s="71"/>
      <c r="K939" s="71"/>
      <c r="L939" s="71"/>
      <c r="M939" s="71"/>
      <c r="N939" s="71"/>
      <c r="O939" s="71"/>
      <c r="P939" s="71"/>
      <c r="Q939" s="71"/>
      <c r="R939" s="71"/>
      <c r="T939" s="71"/>
      <c r="U939" s="71"/>
      <c r="V939" s="71"/>
      <c r="W939" s="71"/>
      <c r="X939" s="71"/>
      <c r="Y939" s="71"/>
      <c r="Z939" s="71"/>
    </row>
    <row r="940" spans="1:26" ht="14.25" customHeight="1">
      <c r="A940" s="71"/>
      <c r="B940" s="71"/>
      <c r="C940" s="71"/>
      <c r="D940" s="71"/>
      <c r="E940" s="71"/>
      <c r="F940" s="71"/>
      <c r="G940" s="71"/>
      <c r="H940" s="71"/>
      <c r="I940" s="71"/>
      <c r="J940" s="71"/>
      <c r="K940" s="71"/>
      <c r="L940" s="71"/>
      <c r="M940" s="71"/>
      <c r="N940" s="71"/>
      <c r="O940" s="71"/>
      <c r="P940" s="71"/>
      <c r="Q940" s="71"/>
      <c r="R940" s="71"/>
      <c r="T940" s="71"/>
      <c r="U940" s="71"/>
      <c r="V940" s="71"/>
      <c r="W940" s="71"/>
      <c r="X940" s="71"/>
      <c r="Y940" s="71"/>
      <c r="Z940" s="71"/>
    </row>
    <row r="941" spans="1:26" ht="14.25" customHeight="1">
      <c r="A941" s="71"/>
      <c r="B941" s="71"/>
      <c r="C941" s="71"/>
      <c r="D941" s="71"/>
      <c r="E941" s="71"/>
      <c r="F941" s="71"/>
      <c r="G941" s="71"/>
      <c r="H941" s="71"/>
      <c r="I941" s="71"/>
      <c r="J941" s="71"/>
      <c r="K941" s="71"/>
      <c r="L941" s="71"/>
      <c r="M941" s="71"/>
      <c r="N941" s="71"/>
      <c r="O941" s="71"/>
      <c r="P941" s="71"/>
      <c r="Q941" s="71"/>
      <c r="R941" s="71"/>
      <c r="T941" s="71"/>
      <c r="U941" s="71"/>
      <c r="V941" s="71"/>
      <c r="W941" s="71"/>
      <c r="X941" s="71"/>
      <c r="Y941" s="71"/>
      <c r="Z941" s="71"/>
    </row>
    <row r="942" spans="1:26" ht="14.25" customHeight="1">
      <c r="A942" s="71"/>
      <c r="B942" s="71"/>
      <c r="C942" s="71"/>
      <c r="D942" s="71"/>
      <c r="E942" s="71"/>
      <c r="F942" s="71"/>
      <c r="G942" s="71"/>
      <c r="H942" s="71"/>
      <c r="I942" s="71"/>
      <c r="J942" s="71"/>
      <c r="K942" s="71"/>
      <c r="L942" s="71"/>
      <c r="M942" s="71"/>
      <c r="N942" s="71"/>
      <c r="O942" s="71"/>
      <c r="P942" s="71"/>
      <c r="Q942" s="71"/>
      <c r="R942" s="71"/>
      <c r="T942" s="71"/>
      <c r="U942" s="71"/>
      <c r="V942" s="71"/>
      <c r="W942" s="71"/>
      <c r="X942" s="71"/>
      <c r="Y942" s="71"/>
      <c r="Z942" s="71"/>
    </row>
    <row r="943" spans="1:26" ht="14.25" customHeight="1">
      <c r="A943" s="71"/>
      <c r="B943" s="71"/>
      <c r="C943" s="71"/>
      <c r="D943" s="71"/>
      <c r="E943" s="71"/>
      <c r="F943" s="71"/>
      <c r="G943" s="71"/>
      <c r="H943" s="71"/>
      <c r="I943" s="71"/>
      <c r="J943" s="71"/>
      <c r="K943" s="71"/>
      <c r="L943" s="71"/>
      <c r="M943" s="71"/>
      <c r="N943" s="71"/>
      <c r="O943" s="71"/>
      <c r="P943" s="71"/>
      <c r="Q943" s="71"/>
      <c r="R943" s="71"/>
      <c r="T943" s="71"/>
      <c r="U943" s="71"/>
      <c r="V943" s="71"/>
      <c r="W943" s="71"/>
      <c r="X943" s="71"/>
      <c r="Y943" s="71"/>
      <c r="Z943" s="71"/>
    </row>
    <row r="944" spans="1:26" ht="14.25" customHeight="1">
      <c r="A944" s="71"/>
      <c r="B944" s="71"/>
      <c r="C944" s="71"/>
      <c r="D944" s="71"/>
      <c r="E944" s="71"/>
      <c r="F944" s="71"/>
      <c r="G944" s="71"/>
      <c r="H944" s="71"/>
      <c r="I944" s="71"/>
      <c r="J944" s="71"/>
      <c r="K944" s="71"/>
      <c r="L944" s="71"/>
      <c r="M944" s="71"/>
      <c r="N944" s="71"/>
      <c r="O944" s="71"/>
      <c r="P944" s="71"/>
      <c r="Q944" s="71"/>
      <c r="R944" s="71"/>
      <c r="T944" s="71"/>
      <c r="U944" s="71"/>
      <c r="V944" s="71"/>
      <c r="W944" s="71"/>
      <c r="X944" s="71"/>
      <c r="Y944" s="71"/>
      <c r="Z944" s="71"/>
    </row>
    <row r="945" spans="1:26" ht="14.25" customHeight="1">
      <c r="A945" s="71"/>
      <c r="B945" s="71"/>
      <c r="C945" s="71"/>
      <c r="D945" s="71"/>
      <c r="E945" s="71"/>
      <c r="F945" s="71"/>
      <c r="G945" s="71"/>
      <c r="H945" s="71"/>
      <c r="I945" s="71"/>
      <c r="J945" s="71"/>
      <c r="K945" s="71"/>
      <c r="L945" s="71"/>
      <c r="M945" s="71"/>
      <c r="N945" s="71"/>
      <c r="O945" s="71"/>
      <c r="P945" s="71"/>
      <c r="Q945" s="71"/>
      <c r="R945" s="71"/>
      <c r="T945" s="71"/>
      <c r="U945" s="71"/>
      <c r="V945" s="71"/>
      <c r="W945" s="71"/>
      <c r="X945" s="71"/>
      <c r="Y945" s="71"/>
      <c r="Z945" s="71"/>
    </row>
    <row r="946" spans="1:26" ht="14.25" customHeight="1">
      <c r="A946" s="71"/>
      <c r="B946" s="71"/>
      <c r="C946" s="71"/>
      <c r="D946" s="71"/>
      <c r="E946" s="71"/>
      <c r="F946" s="71"/>
      <c r="G946" s="71"/>
      <c r="H946" s="71"/>
      <c r="I946" s="71"/>
      <c r="J946" s="71"/>
      <c r="K946" s="71"/>
      <c r="L946" s="71"/>
      <c r="M946" s="71"/>
      <c r="N946" s="71"/>
      <c r="O946" s="71"/>
      <c r="P946" s="71"/>
      <c r="Q946" s="71"/>
      <c r="R946" s="71"/>
      <c r="T946" s="71"/>
      <c r="U946" s="71"/>
      <c r="V946" s="71"/>
      <c r="W946" s="71"/>
      <c r="X946" s="71"/>
      <c r="Y946" s="71"/>
      <c r="Z946" s="71"/>
    </row>
    <row r="947" spans="1:26" ht="14.25" customHeight="1">
      <c r="A947" s="71"/>
      <c r="B947" s="71"/>
      <c r="C947" s="71"/>
      <c r="D947" s="71"/>
      <c r="E947" s="71"/>
      <c r="F947" s="71"/>
      <c r="G947" s="71"/>
      <c r="H947" s="71"/>
      <c r="I947" s="71"/>
      <c r="J947" s="71"/>
      <c r="K947" s="71"/>
      <c r="L947" s="71"/>
      <c r="M947" s="71"/>
      <c r="N947" s="71"/>
      <c r="O947" s="71"/>
      <c r="P947" s="71"/>
      <c r="Q947" s="71"/>
      <c r="R947" s="71"/>
      <c r="T947" s="71"/>
      <c r="U947" s="71"/>
      <c r="V947" s="71"/>
      <c r="W947" s="71"/>
      <c r="X947" s="71"/>
      <c r="Y947" s="71"/>
      <c r="Z947" s="71"/>
    </row>
    <row r="948" spans="1:26" ht="14.25" customHeight="1">
      <c r="A948" s="71"/>
      <c r="B948" s="71"/>
      <c r="C948" s="71"/>
      <c r="D948" s="71"/>
      <c r="E948" s="71"/>
      <c r="F948" s="71"/>
      <c r="G948" s="71"/>
      <c r="H948" s="71"/>
      <c r="I948" s="71"/>
      <c r="J948" s="71"/>
      <c r="K948" s="71"/>
      <c r="L948" s="71"/>
      <c r="M948" s="71"/>
      <c r="N948" s="71"/>
      <c r="O948" s="71"/>
      <c r="P948" s="71"/>
      <c r="Q948" s="71"/>
      <c r="R948" s="71"/>
      <c r="T948" s="71"/>
      <c r="U948" s="71"/>
      <c r="V948" s="71"/>
      <c r="W948" s="71"/>
      <c r="X948" s="71"/>
      <c r="Y948" s="71"/>
      <c r="Z948" s="71"/>
    </row>
    <row r="949" spans="1:26" ht="14.25" customHeight="1">
      <c r="A949" s="71"/>
      <c r="B949" s="71"/>
      <c r="C949" s="71"/>
      <c r="D949" s="71"/>
      <c r="E949" s="71"/>
      <c r="F949" s="71"/>
      <c r="G949" s="71"/>
      <c r="H949" s="71"/>
      <c r="I949" s="71"/>
      <c r="J949" s="71"/>
      <c r="K949" s="71"/>
      <c r="L949" s="71"/>
      <c r="M949" s="71"/>
      <c r="N949" s="71"/>
      <c r="O949" s="71"/>
      <c r="P949" s="71"/>
      <c r="Q949" s="71"/>
      <c r="R949" s="71"/>
      <c r="T949" s="71"/>
      <c r="U949" s="71"/>
      <c r="V949" s="71"/>
      <c r="W949" s="71"/>
      <c r="X949" s="71"/>
      <c r="Y949" s="71"/>
      <c r="Z949" s="71"/>
    </row>
    <row r="950" spans="1:26" ht="14.25" customHeight="1">
      <c r="A950" s="71"/>
      <c r="B950" s="71"/>
      <c r="C950" s="71"/>
      <c r="D950" s="71"/>
      <c r="E950" s="71"/>
      <c r="F950" s="71"/>
      <c r="G950" s="71"/>
      <c r="H950" s="71"/>
      <c r="I950" s="71"/>
      <c r="J950" s="71"/>
      <c r="K950" s="71"/>
      <c r="L950" s="71"/>
      <c r="M950" s="71"/>
      <c r="N950" s="71"/>
      <c r="O950" s="71"/>
      <c r="P950" s="71"/>
      <c r="Q950" s="71"/>
      <c r="R950" s="71"/>
      <c r="T950" s="71"/>
      <c r="U950" s="71"/>
      <c r="V950" s="71"/>
      <c r="W950" s="71"/>
      <c r="X950" s="71"/>
      <c r="Y950" s="71"/>
      <c r="Z950" s="71"/>
    </row>
    <row r="951" spans="1:26" ht="14.25" customHeight="1">
      <c r="A951" s="71"/>
      <c r="B951" s="71"/>
      <c r="C951" s="71"/>
      <c r="D951" s="71"/>
      <c r="E951" s="71"/>
      <c r="F951" s="71"/>
      <c r="G951" s="71"/>
      <c r="H951" s="71"/>
      <c r="I951" s="71"/>
      <c r="J951" s="71"/>
      <c r="K951" s="71"/>
      <c r="L951" s="71"/>
      <c r="M951" s="71"/>
      <c r="N951" s="71"/>
      <c r="O951" s="71"/>
      <c r="P951" s="71"/>
      <c r="Q951" s="71"/>
      <c r="R951" s="71"/>
      <c r="T951" s="71"/>
      <c r="U951" s="71"/>
      <c r="V951" s="71"/>
      <c r="W951" s="71"/>
      <c r="X951" s="71"/>
      <c r="Y951" s="71"/>
      <c r="Z951" s="71"/>
    </row>
    <row r="952" spans="1:26" ht="14.25" customHeight="1">
      <c r="A952" s="71"/>
      <c r="B952" s="71"/>
      <c r="C952" s="71"/>
      <c r="D952" s="71"/>
      <c r="E952" s="71"/>
      <c r="F952" s="71"/>
      <c r="G952" s="71"/>
      <c r="H952" s="71"/>
      <c r="I952" s="71"/>
      <c r="J952" s="71"/>
      <c r="K952" s="71"/>
      <c r="L952" s="71"/>
      <c r="M952" s="71"/>
      <c r="N952" s="71"/>
      <c r="O952" s="71"/>
      <c r="P952" s="71"/>
      <c r="Q952" s="71"/>
      <c r="R952" s="71"/>
      <c r="T952" s="71"/>
      <c r="U952" s="71"/>
      <c r="V952" s="71"/>
      <c r="W952" s="71"/>
      <c r="X952" s="71"/>
      <c r="Y952" s="71"/>
      <c r="Z952" s="71"/>
    </row>
    <row r="953" spans="1:26" ht="14.25" customHeight="1">
      <c r="A953" s="71"/>
      <c r="B953" s="71"/>
      <c r="C953" s="71"/>
      <c r="D953" s="71"/>
      <c r="E953" s="71"/>
      <c r="F953" s="71"/>
      <c r="G953" s="71"/>
      <c r="H953" s="71"/>
      <c r="I953" s="71"/>
      <c r="J953" s="71"/>
      <c r="K953" s="71"/>
      <c r="L953" s="71"/>
      <c r="M953" s="71"/>
      <c r="N953" s="71"/>
      <c r="O953" s="71"/>
      <c r="P953" s="71"/>
      <c r="Q953" s="71"/>
      <c r="R953" s="71"/>
      <c r="T953" s="71"/>
      <c r="U953" s="71"/>
      <c r="V953" s="71"/>
      <c r="W953" s="71"/>
      <c r="X953" s="71"/>
      <c r="Y953" s="71"/>
      <c r="Z953" s="71"/>
    </row>
    <row r="954" spans="1:26" ht="14.25" customHeight="1">
      <c r="A954" s="71"/>
      <c r="B954" s="71"/>
      <c r="C954" s="71"/>
      <c r="D954" s="71"/>
      <c r="E954" s="71"/>
      <c r="F954" s="71"/>
      <c r="G954" s="71"/>
      <c r="H954" s="71"/>
      <c r="I954" s="71"/>
      <c r="J954" s="71"/>
      <c r="K954" s="71"/>
      <c r="L954" s="71"/>
      <c r="M954" s="71"/>
      <c r="N954" s="71"/>
      <c r="O954" s="71"/>
      <c r="P954" s="71"/>
      <c r="Q954" s="71"/>
      <c r="R954" s="71"/>
      <c r="T954" s="71"/>
      <c r="U954" s="71"/>
      <c r="V954" s="71"/>
      <c r="W954" s="71"/>
      <c r="X954" s="71"/>
      <c r="Y954" s="71"/>
      <c r="Z954" s="71"/>
    </row>
    <row r="955" spans="1:26" ht="14.25" customHeight="1">
      <c r="A955" s="71"/>
      <c r="B955" s="71"/>
      <c r="C955" s="71"/>
      <c r="D955" s="71"/>
      <c r="E955" s="71"/>
      <c r="F955" s="71"/>
      <c r="G955" s="71"/>
      <c r="H955" s="71"/>
      <c r="I955" s="71"/>
      <c r="J955" s="71"/>
      <c r="K955" s="71"/>
      <c r="L955" s="71"/>
      <c r="M955" s="71"/>
      <c r="N955" s="71"/>
      <c r="O955" s="71"/>
      <c r="P955" s="71"/>
      <c r="Q955" s="71"/>
      <c r="R955" s="71"/>
      <c r="T955" s="71"/>
      <c r="U955" s="71"/>
      <c r="V955" s="71"/>
      <c r="W955" s="71"/>
      <c r="X955" s="71"/>
      <c r="Y955" s="71"/>
      <c r="Z955" s="71"/>
    </row>
    <row r="956" spans="1:26" ht="14.25" customHeight="1">
      <c r="A956" s="71"/>
      <c r="B956" s="71"/>
      <c r="C956" s="71"/>
      <c r="D956" s="71"/>
      <c r="E956" s="71"/>
      <c r="F956" s="71"/>
      <c r="G956" s="71"/>
      <c r="H956" s="71"/>
      <c r="I956" s="71"/>
      <c r="J956" s="71"/>
      <c r="K956" s="71"/>
      <c r="L956" s="71"/>
      <c r="M956" s="71"/>
      <c r="N956" s="71"/>
      <c r="O956" s="71"/>
      <c r="P956" s="71"/>
      <c r="Q956" s="71"/>
      <c r="R956" s="71"/>
      <c r="T956" s="71"/>
      <c r="U956" s="71"/>
      <c r="V956" s="71"/>
      <c r="W956" s="71"/>
      <c r="X956" s="71"/>
      <c r="Y956" s="71"/>
      <c r="Z956" s="71"/>
    </row>
    <row r="957" spans="1:26" ht="14.25" customHeight="1">
      <c r="A957" s="71"/>
      <c r="B957" s="71"/>
      <c r="C957" s="71"/>
      <c r="D957" s="71"/>
      <c r="E957" s="71"/>
      <c r="F957" s="71"/>
      <c r="G957" s="71"/>
      <c r="H957" s="71"/>
      <c r="I957" s="71"/>
      <c r="J957" s="71"/>
      <c r="K957" s="71"/>
      <c r="L957" s="71"/>
      <c r="M957" s="71"/>
      <c r="N957" s="71"/>
      <c r="O957" s="71"/>
      <c r="P957" s="71"/>
      <c r="Q957" s="71"/>
      <c r="R957" s="71"/>
      <c r="T957" s="71"/>
      <c r="U957" s="71"/>
      <c r="V957" s="71"/>
      <c r="W957" s="71"/>
      <c r="X957" s="71"/>
      <c r="Y957" s="71"/>
      <c r="Z957" s="71"/>
    </row>
    <row r="958" spans="1:26" ht="14.25" customHeight="1">
      <c r="A958" s="71"/>
      <c r="B958" s="71"/>
      <c r="C958" s="71"/>
      <c r="D958" s="71"/>
      <c r="E958" s="71"/>
      <c r="F958" s="71"/>
      <c r="G958" s="71"/>
      <c r="H958" s="71"/>
      <c r="I958" s="71"/>
      <c r="J958" s="71"/>
      <c r="K958" s="71"/>
      <c r="L958" s="71"/>
      <c r="M958" s="71"/>
      <c r="N958" s="71"/>
      <c r="O958" s="71"/>
      <c r="P958" s="71"/>
      <c r="Q958" s="71"/>
      <c r="R958" s="71"/>
      <c r="T958" s="71"/>
      <c r="U958" s="71"/>
      <c r="V958" s="71"/>
      <c r="W958" s="71"/>
      <c r="X958" s="71"/>
      <c r="Y958" s="71"/>
      <c r="Z958" s="71"/>
    </row>
    <row r="959" spans="1:26" ht="14.25" customHeight="1">
      <c r="A959" s="71"/>
      <c r="B959" s="71"/>
      <c r="C959" s="71"/>
      <c r="D959" s="71"/>
      <c r="E959" s="71"/>
      <c r="F959" s="71"/>
      <c r="G959" s="71"/>
      <c r="H959" s="71"/>
      <c r="I959" s="71"/>
      <c r="J959" s="71"/>
      <c r="K959" s="71"/>
      <c r="L959" s="71"/>
      <c r="M959" s="71"/>
      <c r="N959" s="71"/>
      <c r="O959" s="71"/>
      <c r="P959" s="71"/>
      <c r="Q959" s="71"/>
      <c r="R959" s="71"/>
      <c r="T959" s="71"/>
      <c r="U959" s="71"/>
      <c r="V959" s="71"/>
      <c r="W959" s="71"/>
      <c r="X959" s="71"/>
      <c r="Y959" s="71"/>
      <c r="Z959" s="71"/>
    </row>
    <row r="960" spans="1:26" ht="14.25" customHeight="1">
      <c r="A960" s="71"/>
      <c r="B960" s="71"/>
      <c r="C960" s="71"/>
      <c r="D960" s="71"/>
      <c r="E960" s="71"/>
      <c r="F960" s="71"/>
      <c r="G960" s="71"/>
      <c r="H960" s="71"/>
      <c r="I960" s="71"/>
      <c r="J960" s="71"/>
      <c r="K960" s="71"/>
      <c r="L960" s="71"/>
      <c r="M960" s="71"/>
      <c r="N960" s="71"/>
      <c r="O960" s="71"/>
      <c r="P960" s="71"/>
      <c r="Q960" s="71"/>
      <c r="R960" s="71"/>
      <c r="T960" s="71"/>
      <c r="U960" s="71"/>
      <c r="V960" s="71"/>
      <c r="W960" s="71"/>
      <c r="X960" s="71"/>
      <c r="Y960" s="71"/>
      <c r="Z960" s="71"/>
    </row>
    <row r="961" spans="1:26" ht="14.25" customHeight="1">
      <c r="A961" s="71"/>
      <c r="B961" s="71"/>
      <c r="C961" s="71"/>
      <c r="D961" s="71"/>
      <c r="E961" s="71"/>
      <c r="F961" s="71"/>
      <c r="G961" s="71"/>
      <c r="H961" s="71"/>
      <c r="I961" s="71"/>
      <c r="J961" s="71"/>
      <c r="K961" s="71"/>
      <c r="L961" s="71"/>
      <c r="M961" s="71"/>
      <c r="N961" s="71"/>
      <c r="O961" s="71"/>
      <c r="P961" s="71"/>
      <c r="Q961" s="71"/>
      <c r="R961" s="71"/>
      <c r="T961" s="71"/>
      <c r="U961" s="71"/>
      <c r="V961" s="71"/>
      <c r="W961" s="71"/>
      <c r="X961" s="71"/>
      <c r="Y961" s="71"/>
      <c r="Z961" s="71"/>
    </row>
    <row r="962" spans="1:26" ht="14.25" customHeight="1">
      <c r="A962" s="71"/>
      <c r="B962" s="71"/>
      <c r="C962" s="71"/>
      <c r="D962" s="71"/>
      <c r="E962" s="71"/>
      <c r="F962" s="71"/>
      <c r="G962" s="71"/>
      <c r="H962" s="71"/>
      <c r="I962" s="71"/>
      <c r="J962" s="71"/>
      <c r="K962" s="71"/>
      <c r="L962" s="71"/>
      <c r="M962" s="71"/>
      <c r="N962" s="71"/>
      <c r="O962" s="71"/>
      <c r="P962" s="71"/>
      <c r="Q962" s="71"/>
      <c r="R962" s="71"/>
      <c r="T962" s="71"/>
      <c r="U962" s="71"/>
      <c r="V962" s="71"/>
      <c r="W962" s="71"/>
      <c r="X962" s="71"/>
      <c r="Y962" s="71"/>
      <c r="Z962" s="71"/>
    </row>
    <row r="963" spans="1:26" ht="14.25" customHeight="1">
      <c r="A963" s="71"/>
      <c r="B963" s="71"/>
      <c r="C963" s="71"/>
      <c r="D963" s="71"/>
      <c r="E963" s="71"/>
      <c r="F963" s="71"/>
      <c r="G963" s="71"/>
      <c r="H963" s="71"/>
      <c r="I963" s="71"/>
      <c r="J963" s="71"/>
      <c r="K963" s="71"/>
      <c r="L963" s="71"/>
      <c r="M963" s="71"/>
      <c r="N963" s="71"/>
      <c r="O963" s="71"/>
      <c r="P963" s="71"/>
      <c r="Q963" s="71"/>
      <c r="R963" s="71"/>
      <c r="T963" s="71"/>
      <c r="U963" s="71"/>
      <c r="V963" s="71"/>
      <c r="W963" s="71"/>
      <c r="X963" s="71"/>
      <c r="Y963" s="71"/>
      <c r="Z963" s="71"/>
    </row>
    <row r="964" spans="1:26" ht="14.25" customHeight="1">
      <c r="A964" s="71"/>
      <c r="B964" s="71"/>
      <c r="C964" s="71"/>
      <c r="D964" s="71"/>
      <c r="E964" s="71"/>
      <c r="F964" s="71"/>
      <c r="G964" s="71"/>
      <c r="H964" s="71"/>
      <c r="I964" s="71"/>
      <c r="J964" s="71"/>
      <c r="K964" s="71"/>
      <c r="L964" s="71"/>
      <c r="M964" s="71"/>
      <c r="N964" s="71"/>
      <c r="O964" s="71"/>
      <c r="P964" s="71"/>
      <c r="Q964" s="71"/>
      <c r="R964" s="71"/>
      <c r="T964" s="71"/>
      <c r="U964" s="71"/>
      <c r="V964" s="71"/>
      <c r="W964" s="71"/>
      <c r="X964" s="71"/>
      <c r="Y964" s="71"/>
      <c r="Z964" s="71"/>
    </row>
    <row r="965" spans="1:26" ht="14.25" customHeight="1">
      <c r="A965" s="71"/>
      <c r="B965" s="71"/>
      <c r="C965" s="71"/>
      <c r="D965" s="71"/>
      <c r="E965" s="71"/>
      <c r="F965" s="71"/>
      <c r="G965" s="71"/>
      <c r="H965" s="71"/>
      <c r="I965" s="71"/>
      <c r="J965" s="71"/>
      <c r="K965" s="71"/>
      <c r="L965" s="71"/>
      <c r="M965" s="71"/>
      <c r="N965" s="71"/>
      <c r="O965" s="71"/>
      <c r="P965" s="71"/>
      <c r="Q965" s="71"/>
      <c r="R965" s="71"/>
      <c r="T965" s="71"/>
      <c r="U965" s="71"/>
      <c r="V965" s="71"/>
      <c r="W965" s="71"/>
      <c r="X965" s="71"/>
      <c r="Y965" s="71"/>
      <c r="Z965" s="71"/>
    </row>
    <row r="966" spans="1:26" ht="14.25" customHeight="1">
      <c r="A966" s="71"/>
      <c r="B966" s="71"/>
      <c r="C966" s="71"/>
      <c r="D966" s="71"/>
      <c r="E966" s="71"/>
      <c r="F966" s="71"/>
      <c r="G966" s="71"/>
      <c r="H966" s="71"/>
      <c r="I966" s="71"/>
      <c r="J966" s="71"/>
      <c r="K966" s="71"/>
      <c r="L966" s="71"/>
      <c r="M966" s="71"/>
      <c r="N966" s="71"/>
      <c r="O966" s="71"/>
      <c r="P966" s="71"/>
      <c r="Q966" s="71"/>
      <c r="R966" s="71"/>
      <c r="T966" s="71"/>
      <c r="U966" s="71"/>
      <c r="V966" s="71"/>
      <c r="W966" s="71"/>
      <c r="X966" s="71"/>
      <c r="Y966" s="71"/>
      <c r="Z966" s="71"/>
    </row>
    <row r="967" spans="1:26" ht="14.25" customHeight="1">
      <c r="A967" s="71"/>
      <c r="B967" s="71"/>
      <c r="C967" s="71"/>
      <c r="D967" s="71"/>
      <c r="E967" s="71"/>
      <c r="F967" s="71"/>
      <c r="G967" s="71"/>
      <c r="H967" s="71"/>
      <c r="I967" s="71"/>
      <c r="J967" s="71"/>
      <c r="K967" s="71"/>
      <c r="L967" s="71"/>
      <c r="M967" s="71"/>
      <c r="N967" s="71"/>
      <c r="O967" s="71"/>
      <c r="P967" s="71"/>
      <c r="Q967" s="71"/>
      <c r="R967" s="71"/>
      <c r="T967" s="71"/>
      <c r="U967" s="71"/>
      <c r="V967" s="71"/>
      <c r="W967" s="71"/>
      <c r="X967" s="71"/>
      <c r="Y967" s="71"/>
      <c r="Z967" s="71"/>
    </row>
    <row r="968" spans="1:26" ht="14.25" customHeight="1">
      <c r="A968" s="71"/>
      <c r="B968" s="71"/>
      <c r="C968" s="71"/>
      <c r="D968" s="71"/>
      <c r="E968" s="71"/>
      <c r="F968" s="71"/>
      <c r="G968" s="71"/>
      <c r="H968" s="71"/>
      <c r="I968" s="71"/>
      <c r="J968" s="71"/>
      <c r="K968" s="71"/>
      <c r="L968" s="71"/>
      <c r="M968" s="71"/>
      <c r="N968" s="71"/>
      <c r="O968" s="71"/>
      <c r="P968" s="71"/>
      <c r="Q968" s="71"/>
      <c r="R968" s="71"/>
      <c r="T968" s="71"/>
      <c r="U968" s="71"/>
      <c r="V968" s="71"/>
      <c r="W968" s="71"/>
      <c r="X968" s="71"/>
      <c r="Y968" s="71"/>
      <c r="Z968" s="71"/>
    </row>
    <row r="969" spans="1:26" ht="14.25" customHeight="1">
      <c r="A969" s="71"/>
      <c r="B969" s="71"/>
      <c r="C969" s="71"/>
      <c r="D969" s="71"/>
      <c r="E969" s="71"/>
      <c r="F969" s="71"/>
      <c r="G969" s="71"/>
      <c r="H969" s="71"/>
      <c r="I969" s="71"/>
      <c r="J969" s="71"/>
      <c r="K969" s="71"/>
      <c r="L969" s="71"/>
      <c r="M969" s="71"/>
      <c r="N969" s="71"/>
      <c r="O969" s="71"/>
      <c r="P969" s="71"/>
      <c r="Q969" s="71"/>
      <c r="R969" s="71"/>
      <c r="T969" s="71"/>
      <c r="U969" s="71"/>
      <c r="V969" s="71"/>
      <c r="W969" s="71"/>
      <c r="X969" s="71"/>
      <c r="Y969" s="71"/>
      <c r="Z969" s="71"/>
    </row>
    <row r="970" spans="1:26" ht="14.25" customHeight="1">
      <c r="A970" s="71"/>
      <c r="B970" s="71"/>
      <c r="C970" s="71"/>
      <c r="D970" s="71"/>
      <c r="E970" s="71"/>
      <c r="F970" s="71"/>
      <c r="G970" s="71"/>
      <c r="H970" s="71"/>
      <c r="I970" s="71"/>
      <c r="J970" s="71"/>
      <c r="K970" s="71"/>
      <c r="L970" s="71"/>
      <c r="M970" s="71"/>
      <c r="N970" s="71"/>
      <c r="O970" s="71"/>
      <c r="P970" s="71"/>
      <c r="Q970" s="71"/>
      <c r="R970" s="71"/>
      <c r="T970" s="71"/>
      <c r="U970" s="71"/>
      <c r="V970" s="71"/>
      <c r="W970" s="71"/>
      <c r="X970" s="71"/>
      <c r="Y970" s="71"/>
      <c r="Z970" s="71"/>
    </row>
    <row r="971" spans="1:26" ht="14.25" customHeight="1">
      <c r="A971" s="71"/>
      <c r="B971" s="71"/>
      <c r="C971" s="71"/>
      <c r="D971" s="71"/>
      <c r="E971" s="71"/>
      <c r="F971" s="71"/>
      <c r="G971" s="71"/>
      <c r="H971" s="71"/>
      <c r="I971" s="71"/>
      <c r="J971" s="71"/>
      <c r="K971" s="71"/>
      <c r="L971" s="71"/>
      <c r="M971" s="71"/>
      <c r="N971" s="71"/>
      <c r="O971" s="71"/>
      <c r="P971" s="71"/>
      <c r="Q971" s="71"/>
      <c r="R971" s="71"/>
      <c r="T971" s="71"/>
      <c r="U971" s="71"/>
      <c r="V971" s="71"/>
      <c r="W971" s="71"/>
      <c r="X971" s="71"/>
      <c r="Y971" s="71"/>
      <c r="Z971" s="71"/>
    </row>
    <row r="972" spans="1:26" ht="14.25" customHeight="1">
      <c r="A972" s="71"/>
      <c r="B972" s="71"/>
      <c r="C972" s="71"/>
      <c r="D972" s="71"/>
      <c r="E972" s="71"/>
      <c r="F972" s="71"/>
      <c r="G972" s="71"/>
      <c r="H972" s="71"/>
      <c r="I972" s="71"/>
      <c r="J972" s="71"/>
      <c r="K972" s="71"/>
      <c r="L972" s="71"/>
      <c r="M972" s="71"/>
      <c r="N972" s="71"/>
      <c r="O972" s="71"/>
      <c r="P972" s="71"/>
      <c r="Q972" s="71"/>
      <c r="R972" s="71"/>
      <c r="T972" s="71"/>
      <c r="U972" s="71"/>
      <c r="V972" s="71"/>
      <c r="W972" s="71"/>
      <c r="X972" s="71"/>
      <c r="Y972" s="71"/>
      <c r="Z972" s="71"/>
    </row>
    <row r="973" spans="1:26" ht="14.25" customHeight="1">
      <c r="A973" s="71"/>
      <c r="B973" s="71"/>
      <c r="C973" s="71"/>
      <c r="D973" s="71"/>
      <c r="E973" s="71"/>
      <c r="F973" s="71"/>
      <c r="G973" s="71"/>
      <c r="H973" s="71"/>
      <c r="I973" s="71"/>
      <c r="J973" s="71"/>
      <c r="K973" s="71"/>
      <c r="L973" s="71"/>
      <c r="M973" s="71"/>
      <c r="N973" s="71"/>
      <c r="O973" s="71"/>
      <c r="P973" s="71"/>
      <c r="Q973" s="71"/>
      <c r="R973" s="71"/>
      <c r="T973" s="71"/>
      <c r="U973" s="71"/>
      <c r="V973" s="71"/>
      <c r="W973" s="71"/>
      <c r="X973" s="71"/>
      <c r="Y973" s="71"/>
      <c r="Z973" s="71"/>
    </row>
    <row r="974" spans="1:26" ht="14.25" customHeight="1">
      <c r="A974" s="71"/>
      <c r="B974" s="71"/>
      <c r="C974" s="71"/>
      <c r="D974" s="71"/>
      <c r="E974" s="71"/>
      <c r="F974" s="71"/>
      <c r="G974" s="71"/>
      <c r="H974" s="71"/>
      <c r="I974" s="71"/>
      <c r="J974" s="71"/>
      <c r="K974" s="71"/>
      <c r="L974" s="71"/>
      <c r="M974" s="71"/>
      <c r="N974" s="71"/>
      <c r="O974" s="71"/>
      <c r="P974" s="71"/>
      <c r="Q974" s="71"/>
      <c r="R974" s="71"/>
      <c r="T974" s="71"/>
      <c r="U974" s="71"/>
      <c r="V974" s="71"/>
      <c r="W974" s="71"/>
      <c r="X974" s="71"/>
      <c r="Y974" s="71"/>
      <c r="Z974" s="71"/>
    </row>
    <row r="975" spans="1:26" ht="14.25" customHeight="1">
      <c r="A975" s="71"/>
      <c r="B975" s="71"/>
      <c r="C975" s="71"/>
      <c r="D975" s="71"/>
      <c r="E975" s="71"/>
      <c r="F975" s="71"/>
      <c r="G975" s="71"/>
      <c r="H975" s="71"/>
      <c r="I975" s="71"/>
      <c r="J975" s="71"/>
      <c r="K975" s="71"/>
      <c r="L975" s="71"/>
      <c r="M975" s="71"/>
      <c r="N975" s="71"/>
      <c r="O975" s="71"/>
      <c r="P975" s="71"/>
      <c r="Q975" s="71"/>
      <c r="R975" s="71"/>
      <c r="T975" s="71"/>
      <c r="U975" s="71"/>
      <c r="V975" s="71"/>
      <c r="W975" s="71"/>
      <c r="X975" s="71"/>
      <c r="Y975" s="71"/>
      <c r="Z975" s="71"/>
    </row>
    <row r="976" spans="1:26" ht="14.25" customHeight="1">
      <c r="A976" s="71"/>
      <c r="B976" s="71"/>
      <c r="C976" s="71"/>
      <c r="D976" s="71"/>
      <c r="E976" s="71"/>
      <c r="F976" s="71"/>
      <c r="G976" s="71"/>
      <c r="H976" s="71"/>
      <c r="I976" s="71"/>
      <c r="J976" s="71"/>
      <c r="K976" s="71"/>
      <c r="L976" s="71"/>
      <c r="M976" s="71"/>
      <c r="N976" s="71"/>
      <c r="O976" s="71"/>
      <c r="P976" s="71"/>
      <c r="Q976" s="71"/>
      <c r="R976" s="71"/>
      <c r="T976" s="71"/>
      <c r="U976" s="71"/>
      <c r="V976" s="71"/>
      <c r="W976" s="71"/>
      <c r="X976" s="71"/>
      <c r="Y976" s="71"/>
      <c r="Z976" s="71"/>
    </row>
    <row r="977" spans="1:26" ht="14.25" customHeight="1">
      <c r="A977" s="71"/>
      <c r="B977" s="71"/>
      <c r="C977" s="71"/>
      <c r="D977" s="71"/>
      <c r="E977" s="71"/>
      <c r="F977" s="71"/>
      <c r="G977" s="71"/>
      <c r="H977" s="71"/>
      <c r="I977" s="71"/>
      <c r="J977" s="71"/>
      <c r="K977" s="71"/>
      <c r="L977" s="71"/>
      <c r="M977" s="71"/>
      <c r="N977" s="71"/>
      <c r="O977" s="71"/>
      <c r="P977" s="71"/>
      <c r="Q977" s="71"/>
      <c r="R977" s="71"/>
      <c r="T977" s="71"/>
      <c r="U977" s="71"/>
      <c r="V977" s="71"/>
      <c r="W977" s="71"/>
      <c r="X977" s="71"/>
      <c r="Y977" s="71"/>
      <c r="Z977" s="71"/>
    </row>
    <row r="978" spans="1:26" ht="14.25" customHeight="1">
      <c r="A978" s="71"/>
      <c r="B978" s="71"/>
      <c r="C978" s="71"/>
      <c r="D978" s="71"/>
      <c r="E978" s="71"/>
      <c r="F978" s="71"/>
      <c r="G978" s="71"/>
      <c r="H978" s="71"/>
      <c r="I978" s="71"/>
      <c r="J978" s="71"/>
      <c r="K978" s="71"/>
      <c r="L978" s="71"/>
      <c r="M978" s="71"/>
      <c r="N978" s="71"/>
      <c r="O978" s="71"/>
      <c r="P978" s="71"/>
      <c r="Q978" s="71"/>
      <c r="R978" s="71"/>
      <c r="T978" s="71"/>
      <c r="U978" s="71"/>
      <c r="V978" s="71"/>
      <c r="W978" s="71"/>
      <c r="X978" s="71"/>
      <c r="Y978" s="71"/>
      <c r="Z978" s="71"/>
    </row>
    <row r="979" spans="1:26" ht="14.25" customHeight="1">
      <c r="A979" s="71"/>
      <c r="B979" s="71"/>
      <c r="C979" s="71"/>
      <c r="D979" s="71"/>
      <c r="E979" s="71"/>
      <c r="F979" s="71"/>
      <c r="G979" s="71"/>
      <c r="H979" s="71"/>
      <c r="I979" s="71"/>
      <c r="J979" s="71"/>
      <c r="K979" s="71"/>
      <c r="L979" s="71"/>
      <c r="M979" s="71"/>
      <c r="N979" s="71"/>
      <c r="O979" s="71"/>
      <c r="P979" s="71"/>
      <c r="Q979" s="71"/>
      <c r="R979" s="71"/>
      <c r="T979" s="71"/>
      <c r="U979" s="71"/>
      <c r="V979" s="71"/>
      <c r="W979" s="71"/>
      <c r="X979" s="71"/>
      <c r="Y979" s="71"/>
      <c r="Z979" s="71"/>
    </row>
    <row r="980" spans="1:26" ht="14.25" customHeight="1">
      <c r="A980" s="71"/>
      <c r="B980" s="71"/>
      <c r="C980" s="71"/>
      <c r="D980" s="71"/>
      <c r="E980" s="71"/>
      <c r="F980" s="71"/>
      <c r="G980" s="71"/>
      <c r="H980" s="71"/>
      <c r="I980" s="71"/>
      <c r="J980" s="71"/>
      <c r="K980" s="71"/>
      <c r="L980" s="71"/>
      <c r="M980" s="71"/>
      <c r="N980" s="71"/>
      <c r="O980" s="71"/>
      <c r="P980" s="71"/>
      <c r="Q980" s="71"/>
      <c r="R980" s="71"/>
      <c r="T980" s="71"/>
      <c r="U980" s="71"/>
      <c r="V980" s="71"/>
      <c r="W980" s="71"/>
      <c r="X980" s="71"/>
      <c r="Y980" s="71"/>
      <c r="Z980" s="71"/>
    </row>
    <row r="981" spans="1:26" ht="14.25" customHeight="1">
      <c r="A981" s="71"/>
      <c r="B981" s="71"/>
      <c r="C981" s="71"/>
      <c r="D981" s="71"/>
      <c r="E981" s="71"/>
      <c r="F981" s="71"/>
      <c r="G981" s="71"/>
      <c r="H981" s="71"/>
      <c r="I981" s="71"/>
      <c r="J981" s="71"/>
      <c r="K981" s="71"/>
      <c r="L981" s="71"/>
      <c r="M981" s="71"/>
      <c r="N981" s="71"/>
      <c r="O981" s="71"/>
      <c r="P981" s="71"/>
      <c r="Q981" s="71"/>
      <c r="R981" s="71"/>
      <c r="T981" s="71"/>
      <c r="U981" s="71"/>
      <c r="V981" s="71"/>
      <c r="W981" s="71"/>
      <c r="X981" s="71"/>
      <c r="Y981" s="71"/>
      <c r="Z981" s="71"/>
    </row>
    <row r="982" spans="1:26" ht="14.25" customHeight="1">
      <c r="A982" s="71"/>
      <c r="B982" s="71"/>
      <c r="C982" s="71"/>
      <c r="D982" s="71"/>
      <c r="E982" s="71"/>
      <c r="F982" s="71"/>
      <c r="G982" s="71"/>
      <c r="H982" s="71"/>
      <c r="I982" s="71"/>
      <c r="J982" s="71"/>
      <c r="K982" s="71"/>
      <c r="L982" s="71"/>
      <c r="M982" s="71"/>
      <c r="N982" s="71"/>
      <c r="O982" s="71"/>
      <c r="P982" s="71"/>
      <c r="Q982" s="71"/>
      <c r="R982" s="71"/>
      <c r="T982" s="71"/>
      <c r="U982" s="71"/>
      <c r="V982" s="71"/>
      <c r="W982" s="71"/>
      <c r="X982" s="71"/>
      <c r="Y982" s="71"/>
      <c r="Z982" s="71"/>
    </row>
    <row r="983" spans="1:26" ht="14.25" customHeight="1">
      <c r="A983" s="71"/>
      <c r="B983" s="71"/>
      <c r="C983" s="71"/>
      <c r="D983" s="71"/>
      <c r="E983" s="71"/>
      <c r="F983" s="71"/>
      <c r="G983" s="71"/>
      <c r="H983" s="71"/>
      <c r="I983" s="71"/>
      <c r="J983" s="71"/>
      <c r="K983" s="71"/>
      <c r="L983" s="71"/>
      <c r="M983" s="71"/>
      <c r="N983" s="71"/>
      <c r="O983" s="71"/>
      <c r="P983" s="71"/>
      <c r="Q983" s="71"/>
      <c r="R983" s="71"/>
      <c r="T983" s="71"/>
      <c r="U983" s="71"/>
      <c r="V983" s="71"/>
      <c r="W983" s="71"/>
      <c r="X983" s="71"/>
      <c r="Y983" s="71"/>
      <c r="Z983" s="71"/>
    </row>
    <row r="984" spans="1:26" ht="14.25" customHeight="1">
      <c r="A984" s="71"/>
      <c r="B984" s="71"/>
      <c r="C984" s="71"/>
      <c r="D984" s="71"/>
      <c r="E984" s="71"/>
      <c r="F984" s="71"/>
      <c r="G984" s="71"/>
      <c r="H984" s="71"/>
      <c r="I984" s="71"/>
      <c r="J984" s="71"/>
      <c r="K984" s="71"/>
      <c r="L984" s="71"/>
      <c r="M984" s="71"/>
      <c r="N984" s="71"/>
      <c r="O984" s="71"/>
      <c r="P984" s="71"/>
      <c r="Q984" s="71"/>
      <c r="R984" s="71"/>
      <c r="T984" s="71"/>
      <c r="U984" s="71"/>
      <c r="V984" s="71"/>
      <c r="W984" s="71"/>
      <c r="X984" s="71"/>
      <c r="Y984" s="71"/>
      <c r="Z984" s="71"/>
    </row>
    <row r="985" spans="1:26" ht="14.25" customHeight="1">
      <c r="A985" s="71"/>
      <c r="B985" s="71"/>
      <c r="C985" s="71"/>
      <c r="D985" s="71"/>
      <c r="E985" s="71"/>
      <c r="F985" s="71"/>
      <c r="G985" s="71"/>
      <c r="H985" s="71"/>
      <c r="I985" s="71"/>
      <c r="J985" s="71"/>
      <c r="K985" s="71"/>
      <c r="L985" s="71"/>
      <c r="M985" s="71"/>
      <c r="N985" s="71"/>
      <c r="O985" s="71"/>
      <c r="P985" s="71"/>
      <c r="Q985" s="71"/>
      <c r="R985" s="71"/>
      <c r="T985" s="71"/>
      <c r="U985" s="71"/>
      <c r="V985" s="71"/>
      <c r="W985" s="71"/>
      <c r="X985" s="71"/>
      <c r="Y985" s="71"/>
      <c r="Z985" s="71"/>
    </row>
    <row r="986" spans="1:26" ht="14.25" customHeight="1">
      <c r="A986" s="71"/>
      <c r="B986" s="71"/>
      <c r="C986" s="71"/>
      <c r="D986" s="71"/>
      <c r="E986" s="71"/>
      <c r="F986" s="71"/>
      <c r="G986" s="71"/>
      <c r="H986" s="71"/>
      <c r="I986" s="71"/>
      <c r="J986" s="71"/>
      <c r="K986" s="71"/>
      <c r="L986" s="71"/>
      <c r="M986" s="71"/>
      <c r="N986" s="71"/>
      <c r="O986" s="71"/>
      <c r="P986" s="71"/>
      <c r="Q986" s="71"/>
      <c r="R986" s="71"/>
      <c r="T986" s="71"/>
      <c r="U986" s="71"/>
      <c r="V986" s="71"/>
      <c r="W986" s="71"/>
      <c r="X986" s="71"/>
      <c r="Y986" s="71"/>
      <c r="Z986" s="71"/>
    </row>
    <row r="987" spans="1:26" ht="14.25" customHeight="1">
      <c r="A987" s="71"/>
      <c r="B987" s="71"/>
      <c r="C987" s="71"/>
      <c r="D987" s="71"/>
      <c r="E987" s="71"/>
      <c r="F987" s="71"/>
      <c r="G987" s="71"/>
      <c r="H987" s="71"/>
      <c r="I987" s="71"/>
      <c r="J987" s="71"/>
      <c r="K987" s="71"/>
      <c r="L987" s="71"/>
      <c r="M987" s="71"/>
      <c r="N987" s="71"/>
      <c r="O987" s="71"/>
      <c r="P987" s="71"/>
      <c r="Q987" s="71"/>
      <c r="R987" s="71"/>
      <c r="T987" s="71"/>
      <c r="U987" s="71"/>
      <c r="V987" s="71"/>
      <c r="W987" s="71"/>
      <c r="X987" s="71"/>
      <c r="Y987" s="71"/>
      <c r="Z987" s="71"/>
    </row>
    <row r="988" spans="1:26" ht="14.25" customHeight="1">
      <c r="A988" s="71"/>
      <c r="B988" s="71"/>
      <c r="C988" s="71"/>
      <c r="D988" s="71"/>
      <c r="E988" s="71"/>
      <c r="F988" s="71"/>
      <c r="G988" s="71"/>
      <c r="H988" s="71"/>
      <c r="I988" s="71"/>
      <c r="J988" s="71"/>
      <c r="K988" s="71"/>
      <c r="L988" s="71"/>
      <c r="M988" s="71"/>
      <c r="N988" s="71"/>
      <c r="O988" s="71"/>
      <c r="P988" s="71"/>
      <c r="Q988" s="71"/>
      <c r="R988" s="71"/>
      <c r="T988" s="71"/>
      <c r="U988" s="71"/>
      <c r="V988" s="71"/>
      <c r="W988" s="71"/>
      <c r="X988" s="71"/>
      <c r="Y988" s="71"/>
      <c r="Z988" s="71"/>
    </row>
    <row r="989" spans="1:26" ht="14.25" customHeight="1">
      <c r="A989" s="71"/>
      <c r="B989" s="71"/>
      <c r="C989" s="71"/>
      <c r="D989" s="71"/>
      <c r="E989" s="71"/>
      <c r="F989" s="71"/>
      <c r="G989" s="71"/>
      <c r="H989" s="71"/>
      <c r="I989" s="71"/>
      <c r="J989" s="71"/>
      <c r="K989" s="71"/>
      <c r="L989" s="71"/>
      <c r="M989" s="71"/>
      <c r="N989" s="71"/>
      <c r="O989" s="71"/>
      <c r="P989" s="71"/>
      <c r="Q989" s="71"/>
      <c r="R989" s="71"/>
      <c r="T989" s="71"/>
      <c r="U989" s="71"/>
      <c r="V989" s="71"/>
      <c r="W989" s="71"/>
      <c r="X989" s="71"/>
      <c r="Y989" s="71"/>
      <c r="Z989" s="71"/>
    </row>
    <row r="990" spans="1:26" ht="14.25" customHeight="1">
      <c r="A990" s="71"/>
      <c r="B990" s="71"/>
      <c r="C990" s="71"/>
      <c r="D990" s="71"/>
      <c r="E990" s="71"/>
      <c r="F990" s="71"/>
      <c r="G990" s="71"/>
      <c r="H990" s="71"/>
      <c r="I990" s="71"/>
      <c r="J990" s="71"/>
      <c r="K990" s="71"/>
      <c r="L990" s="71"/>
      <c r="M990" s="71"/>
      <c r="N990" s="71"/>
      <c r="O990" s="71"/>
      <c r="P990" s="71"/>
      <c r="Q990" s="71"/>
      <c r="R990" s="71"/>
      <c r="T990" s="71"/>
      <c r="U990" s="71"/>
      <c r="V990" s="71"/>
      <c r="W990" s="71"/>
      <c r="X990" s="71"/>
      <c r="Y990" s="71"/>
      <c r="Z990" s="71"/>
    </row>
    <row r="991" spans="1:26" ht="14.25" customHeight="1">
      <c r="A991" s="71"/>
      <c r="B991" s="71"/>
      <c r="C991" s="71"/>
      <c r="D991" s="71"/>
      <c r="E991" s="71"/>
      <c r="F991" s="71"/>
      <c r="G991" s="71"/>
      <c r="H991" s="71"/>
      <c r="I991" s="71"/>
      <c r="J991" s="71"/>
      <c r="K991" s="71"/>
      <c r="L991" s="71"/>
      <c r="M991" s="71"/>
      <c r="N991" s="71"/>
      <c r="O991" s="71"/>
      <c r="P991" s="71"/>
      <c r="Q991" s="71"/>
      <c r="R991" s="71"/>
      <c r="T991" s="71"/>
      <c r="U991" s="71"/>
      <c r="V991" s="71"/>
      <c r="W991" s="71"/>
      <c r="X991" s="71"/>
      <c r="Y991" s="71"/>
      <c r="Z991" s="71"/>
    </row>
    <row r="992" spans="1:26" ht="14.25" customHeight="1">
      <c r="A992" s="71"/>
      <c r="B992" s="71"/>
      <c r="C992" s="71"/>
      <c r="D992" s="71"/>
      <c r="E992" s="71"/>
      <c r="F992" s="71"/>
      <c r="G992" s="71"/>
      <c r="H992" s="71"/>
      <c r="I992" s="71"/>
      <c r="J992" s="71"/>
      <c r="K992" s="71"/>
      <c r="L992" s="71"/>
      <c r="M992" s="71"/>
      <c r="N992" s="71"/>
      <c r="O992" s="71"/>
      <c r="P992" s="71"/>
      <c r="Q992" s="71"/>
      <c r="R992" s="71"/>
      <c r="T992" s="71"/>
      <c r="U992" s="71"/>
      <c r="V992" s="71"/>
      <c r="W992" s="71"/>
      <c r="X992" s="71"/>
      <c r="Y992" s="71"/>
      <c r="Z992" s="71"/>
    </row>
    <row r="993" spans="1:26" ht="14.25" customHeight="1">
      <c r="A993" s="71"/>
      <c r="B993" s="71"/>
      <c r="C993" s="71"/>
      <c r="D993" s="71"/>
      <c r="E993" s="71"/>
      <c r="F993" s="71"/>
      <c r="G993" s="71"/>
      <c r="H993" s="71"/>
      <c r="I993" s="71"/>
      <c r="J993" s="71"/>
      <c r="K993" s="71"/>
      <c r="L993" s="71"/>
      <c r="M993" s="71"/>
      <c r="N993" s="71"/>
      <c r="O993" s="71"/>
      <c r="P993" s="71"/>
      <c r="Q993" s="71"/>
      <c r="R993" s="71"/>
      <c r="T993" s="71"/>
      <c r="U993" s="71"/>
      <c r="V993" s="71"/>
      <c r="W993" s="71"/>
      <c r="X993" s="71"/>
      <c r="Y993" s="71"/>
      <c r="Z993" s="71"/>
    </row>
    <row r="994" spans="1:26" ht="14.25" customHeight="1">
      <c r="A994" s="71"/>
      <c r="B994" s="71"/>
      <c r="C994" s="71"/>
      <c r="D994" s="71"/>
      <c r="E994" s="71"/>
      <c r="F994" s="71"/>
      <c r="G994" s="71"/>
      <c r="H994" s="71"/>
      <c r="I994" s="71"/>
      <c r="J994" s="71"/>
      <c r="K994" s="71"/>
      <c r="L994" s="71"/>
      <c r="M994" s="71"/>
      <c r="N994" s="71"/>
      <c r="O994" s="71"/>
      <c r="P994" s="71"/>
      <c r="Q994" s="71"/>
      <c r="R994" s="71"/>
      <c r="T994" s="71"/>
      <c r="U994" s="71"/>
      <c r="V994" s="71"/>
      <c r="W994" s="71"/>
      <c r="X994" s="71"/>
      <c r="Y994" s="71"/>
      <c r="Z994" s="71"/>
    </row>
    <row r="995" spans="1:26" ht="14.25" customHeight="1">
      <c r="A995" s="71"/>
      <c r="B995" s="71"/>
      <c r="C995" s="71"/>
      <c r="D995" s="71"/>
      <c r="E995" s="71"/>
      <c r="F995" s="71"/>
      <c r="G995" s="71"/>
      <c r="H995" s="71"/>
      <c r="I995" s="71"/>
      <c r="J995" s="71"/>
      <c r="K995" s="71"/>
      <c r="L995" s="71"/>
      <c r="M995" s="71"/>
      <c r="N995" s="71"/>
      <c r="O995" s="71"/>
      <c r="P995" s="71"/>
      <c r="Q995" s="71"/>
      <c r="R995" s="71"/>
      <c r="T995" s="71"/>
      <c r="U995" s="71"/>
      <c r="V995" s="71"/>
      <c r="W995" s="71"/>
      <c r="X995" s="71"/>
      <c r="Y995" s="71"/>
      <c r="Z995" s="71"/>
    </row>
    <row r="996" spans="1:26" ht="14.25" customHeight="1">
      <c r="A996" s="71"/>
      <c r="B996" s="71"/>
      <c r="C996" s="71"/>
      <c r="D996" s="71"/>
      <c r="E996" s="71"/>
      <c r="F996" s="71"/>
      <c r="G996" s="71"/>
      <c r="H996" s="71"/>
      <c r="I996" s="71"/>
      <c r="J996" s="71"/>
      <c r="K996" s="71"/>
      <c r="L996" s="71"/>
      <c r="M996" s="71"/>
      <c r="N996" s="71"/>
      <c r="O996" s="71"/>
      <c r="P996" s="71"/>
      <c r="Q996" s="71"/>
      <c r="R996" s="71"/>
      <c r="T996" s="71"/>
      <c r="U996" s="71"/>
      <c r="V996" s="71"/>
      <c r="W996" s="71"/>
      <c r="X996" s="71"/>
      <c r="Y996" s="71"/>
      <c r="Z996" s="71"/>
    </row>
    <row r="997" spans="1:26" ht="14.25" customHeight="1">
      <c r="A997" s="71"/>
      <c r="B997" s="71"/>
      <c r="C997" s="71"/>
      <c r="D997" s="71"/>
      <c r="E997" s="71"/>
      <c r="F997" s="71"/>
      <c r="G997" s="71"/>
      <c r="H997" s="71"/>
      <c r="I997" s="71"/>
      <c r="J997" s="71"/>
      <c r="K997" s="71"/>
      <c r="L997" s="71"/>
      <c r="M997" s="71"/>
      <c r="N997" s="71"/>
      <c r="O997" s="71"/>
      <c r="P997" s="71"/>
      <c r="Q997" s="71"/>
      <c r="R997" s="71"/>
      <c r="T997" s="71"/>
      <c r="U997" s="71"/>
      <c r="V997" s="71"/>
      <c r="W997" s="71"/>
      <c r="X997" s="71"/>
      <c r="Y997" s="71"/>
      <c r="Z997" s="71"/>
    </row>
    <row r="998" spans="1:26" ht="14.25" customHeight="1">
      <c r="A998" s="71"/>
      <c r="B998" s="71"/>
      <c r="C998" s="71"/>
      <c r="D998" s="71"/>
      <c r="E998" s="71"/>
      <c r="F998" s="71"/>
      <c r="G998" s="71"/>
      <c r="H998" s="71"/>
      <c r="I998" s="71"/>
      <c r="J998" s="71"/>
      <c r="K998" s="71"/>
      <c r="L998" s="71"/>
      <c r="M998" s="71"/>
      <c r="N998" s="71"/>
      <c r="O998" s="71"/>
      <c r="P998" s="71"/>
      <c r="Q998" s="71"/>
      <c r="R998" s="71"/>
      <c r="T998" s="71"/>
      <c r="U998" s="71"/>
      <c r="V998" s="71"/>
      <c r="W998" s="71"/>
      <c r="X998" s="71"/>
      <c r="Y998" s="71"/>
      <c r="Z998" s="71"/>
    </row>
    <row r="999" spans="1:26" ht="14.25" customHeight="1">
      <c r="A999" s="71"/>
      <c r="B999" s="71"/>
      <c r="C999" s="71"/>
      <c r="D999" s="71"/>
      <c r="E999" s="71"/>
      <c r="F999" s="71"/>
      <c r="G999" s="71"/>
      <c r="H999" s="71"/>
      <c r="I999" s="71"/>
      <c r="J999" s="71"/>
      <c r="K999" s="71"/>
      <c r="L999" s="71"/>
      <c r="M999" s="71"/>
      <c r="N999" s="71"/>
      <c r="O999" s="71"/>
      <c r="P999" s="71"/>
      <c r="Q999" s="71"/>
      <c r="R999" s="71"/>
      <c r="T999" s="71"/>
      <c r="U999" s="71"/>
      <c r="V999" s="71"/>
      <c r="W999" s="71"/>
      <c r="X999" s="71"/>
      <c r="Y999" s="71"/>
      <c r="Z999" s="71"/>
    </row>
    <row r="1000" spans="1:26" ht="14.25" customHeight="1">
      <c r="A1000" s="71"/>
      <c r="B1000" s="71"/>
      <c r="C1000" s="71"/>
      <c r="D1000" s="71"/>
      <c r="E1000" s="71"/>
      <c r="F1000" s="71"/>
      <c r="G1000" s="71"/>
      <c r="H1000" s="71"/>
      <c r="I1000" s="71"/>
      <c r="J1000" s="71"/>
      <c r="K1000" s="71"/>
      <c r="L1000" s="71"/>
      <c r="M1000" s="71"/>
      <c r="N1000" s="71"/>
      <c r="O1000" s="71"/>
      <c r="P1000" s="71"/>
      <c r="Q1000" s="71"/>
      <c r="R1000" s="71"/>
      <c r="T1000" s="71"/>
      <c r="U1000" s="71"/>
      <c r="V1000" s="71"/>
      <c r="W1000" s="71"/>
      <c r="X1000" s="71"/>
      <c r="Y1000" s="71"/>
      <c r="Z1000" s="71"/>
    </row>
  </sheetData>
  <mergeCells count="5">
    <mergeCell ref="A37:B37"/>
    <mergeCell ref="A39:B39"/>
    <mergeCell ref="C39:D39"/>
    <mergeCell ref="A41:B41"/>
    <mergeCell ref="C41:D41"/>
  </mergeCells>
  <hyperlinks>
    <hyperlink ref="B17" r:id="rId1" xr:uid="{00000000-0004-0000-0500-000000000000}"/>
    <hyperlink ref="C17" r:id="rId2" xr:uid="{00000000-0004-0000-0500-000001000000}"/>
    <hyperlink ref="D17" r:id="rId3" xr:uid="{00000000-0004-0000-0500-000002000000}"/>
    <hyperlink ref="F17" r:id="rId4" xr:uid="{00000000-0004-0000-0500-000003000000}"/>
    <hyperlink ref="G17" r:id="rId5" xr:uid="{00000000-0004-0000-0500-000004000000}"/>
    <hyperlink ref="H17" r:id="rId6" xr:uid="{00000000-0004-0000-0500-000005000000}"/>
    <hyperlink ref="I17" r:id="rId7" xr:uid="{00000000-0004-0000-0500-000006000000}"/>
    <hyperlink ref="J17" r:id="rId8" xr:uid="{00000000-0004-0000-0500-000007000000}"/>
    <hyperlink ref="L17" r:id="rId9" xr:uid="{00000000-0004-0000-0500-000008000000}"/>
    <hyperlink ref="M17" r:id="rId10" xr:uid="{00000000-0004-0000-0500-000009000000}"/>
    <hyperlink ref="N17" r:id="rId11" xr:uid="{00000000-0004-0000-0500-00000A000000}"/>
    <hyperlink ref="O17" r:id="rId12" xr:uid="{00000000-0004-0000-0500-00000B000000}"/>
    <hyperlink ref="P17" r:id="rId13" xr:uid="{00000000-0004-0000-0500-00000C000000}"/>
    <hyperlink ref="Q17" r:id="rId14" xr:uid="{00000000-0004-0000-0500-00000D000000}"/>
    <hyperlink ref="R17" r:id="rId15" xr:uid="{00000000-0004-0000-0500-00000E000000}"/>
  </hyperlinks>
  <pageMargins left="0.7" right="0.7" top="0.75" bottom="0.75" header="0" footer="0"/>
  <pageSetup orientation="portrait" r:id="rId16"/>
  <drawing r:id="rId17"/>
  <legacyDrawing r:id="rId18"/>
  <tableParts count="1">
    <tablePart r:id="rId1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BD4E4ACEE17047B2CD88717FF8D421" ma:contentTypeVersion="21" ma:contentTypeDescription="Create a new document." ma:contentTypeScope="" ma:versionID="a39149432796a8a5ac3476c29ac77687">
  <xsd:schema xmlns:xsd="http://www.w3.org/2001/XMLSchema" xmlns:xs="http://www.w3.org/2001/XMLSchema" xmlns:p="http://schemas.microsoft.com/office/2006/metadata/properties" xmlns:ns2="edf6b5f7-d342-49f2-86e7-16b167db190f" xmlns:ns3="2b47590b-d718-474f-a7b3-10b44959738c" targetNamespace="http://schemas.microsoft.com/office/2006/metadata/properties" ma:root="true" ma:fieldsID="1a52db9392da18844b66f7fc49b74c14" ns2:_="" ns3:_="">
    <xsd:import namespace="edf6b5f7-d342-49f2-86e7-16b167db190f"/>
    <xsd:import namespace="2b47590b-d718-474f-a7b3-10b44959738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6b5f7-d342-49f2-86e7-16b167db19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54ba23b-1f8a-4162-98cf-07c68cba3f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47590b-d718-474f-a7b3-10b44959738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d814ff0-5522-4f97-b5fe-6179ba350c79}" ma:internalName="TaxCatchAll" ma:showField="CatchAllData" ma:web="2b47590b-d718-474f-a7b3-10b4495973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edf6b5f7-d342-49f2-86e7-16b167db190f" xsi:nil="true"/>
    <TaxCatchAll xmlns="2b47590b-d718-474f-a7b3-10b44959738c" xsi:nil="true"/>
    <lcf76f155ced4ddcb4097134ff3c332f xmlns="edf6b5f7-d342-49f2-86e7-16b167db190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E27CE98-CAEA-4E7E-8250-4A618ABD7183}">
  <ds:schemaRefs>
    <ds:schemaRef ds:uri="http://schemas.microsoft.com/sharepoint/v3/contenttype/forms"/>
  </ds:schemaRefs>
</ds:datastoreItem>
</file>

<file path=customXml/itemProps2.xml><?xml version="1.0" encoding="utf-8"?>
<ds:datastoreItem xmlns:ds="http://schemas.openxmlformats.org/officeDocument/2006/customXml" ds:itemID="{A953DA86-8F17-4295-A8B3-BB3AA73B3A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f6b5f7-d342-49f2-86e7-16b167db190f"/>
    <ds:schemaRef ds:uri="2b47590b-d718-474f-a7b3-10b4495973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8380C8-452E-4E9D-81F2-D9126FC0B61B}">
  <ds:schemaRefs>
    <ds:schemaRef ds:uri="http://schemas.microsoft.com/office/2006/metadata/properties"/>
    <ds:schemaRef ds:uri="http://schemas.microsoft.com/office/infopath/2007/PartnerControls"/>
    <ds:schemaRef ds:uri="edf6b5f7-d342-49f2-86e7-16b167db190f"/>
    <ds:schemaRef ds:uri="2b47590b-d718-474f-a7b3-10b4495973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96</vt:i4>
      </vt:variant>
    </vt:vector>
  </HeadingPairs>
  <TitlesOfParts>
    <vt:vector size="125" baseType="lpstr">
      <vt:lpstr>High Level Quotes - Slide 1</vt:lpstr>
      <vt:lpstr>SOP</vt:lpstr>
      <vt:lpstr>Inputs</vt:lpstr>
      <vt:lpstr>Premium Breakdown</vt:lpstr>
      <vt:lpstr>High Level Quotes - Working</vt:lpstr>
      <vt:lpstr>Policy &amp; Technical Features - o</vt:lpstr>
      <vt:lpstr>Policy &amp; Technical Features</vt:lpstr>
      <vt:lpstr>Company Info</vt:lpstr>
      <vt:lpstr>Base GHI</vt:lpstr>
      <vt:lpstr>GHI Features (Option 1)</vt:lpstr>
      <vt:lpstr>GPA DB old</vt:lpstr>
      <vt:lpstr>GHI DB</vt:lpstr>
      <vt:lpstr>GPA Features (Option 1)</vt:lpstr>
      <vt:lpstr>GPA DB</vt:lpstr>
      <vt:lpstr>GTLI Features (Option 1)</vt:lpstr>
      <vt:lpstr>OPD Policy Features (Option 1)</vt:lpstr>
      <vt:lpstr>GHI Insurers</vt:lpstr>
      <vt:lpstr>GTLI Insurers</vt:lpstr>
      <vt:lpstr>GTLI DB</vt:lpstr>
      <vt:lpstr>GTLI Policy Features - old</vt:lpstr>
      <vt:lpstr>Flexi Top-Up Rate Card_dont use</vt:lpstr>
      <vt:lpstr>Technical Paramters</vt:lpstr>
      <vt:lpstr>Technical DB (Health)</vt:lpstr>
      <vt:lpstr>Technical DB (Life)</vt:lpstr>
      <vt:lpstr>Flexi Top-up Rate Card</vt:lpstr>
      <vt:lpstr>OPD DB</vt:lpstr>
      <vt:lpstr>Summary_Sentence</vt:lpstr>
      <vt:lpstr>BackUp Data</vt:lpstr>
      <vt:lpstr>Sheet2</vt:lpstr>
      <vt:lpstr>AdditionsandDeletions</vt:lpstr>
      <vt:lpstr>AYUSHTreatments</vt:lpstr>
      <vt:lpstr>CashlessAuthorizationTAT</vt:lpstr>
      <vt:lpstr>CashlessNetwork</vt:lpstr>
      <vt:lpstr>ClaimsIntermediary</vt:lpstr>
      <vt:lpstr>CoPay</vt:lpstr>
      <vt:lpstr>CorporateBuffer</vt:lpstr>
      <vt:lpstr>COVID19Coverage</vt:lpstr>
      <vt:lpstr>DayCareTreatments</vt:lpstr>
      <vt:lpstr>DentalCoverage</vt:lpstr>
      <vt:lpstr>DiseaseCapping</vt:lpstr>
      <vt:lpstr>DoctorTeleconsultations</vt:lpstr>
      <vt:lpstr>DomicillaryHospitalization</vt:lpstr>
      <vt:lpstr>EmergencyAirAmbulance</vt:lpstr>
      <vt:lpstr>EmergencyAmbulance</vt:lpstr>
      <vt:lpstr>FamilyDefinition</vt:lpstr>
      <vt:lpstr>features</vt:lpstr>
      <vt:lpstr>'High Level Quotes - Working'!GHI_Quotes</vt:lpstr>
      <vt:lpstr>GPA_features</vt:lpstr>
      <vt:lpstr>GPA_Insurers</vt:lpstr>
      <vt:lpstr>GPA_number_of_lives_expiring</vt:lpstr>
      <vt:lpstr>GPA_opt1_number_of_employees_expiring</vt:lpstr>
      <vt:lpstr>GPA_opt1_number_of_employees_renewal</vt:lpstr>
      <vt:lpstr>GPA_opt1_number_of_lives_renewal</vt:lpstr>
      <vt:lpstr>GPA_opt2_number_of_employees_expiring</vt:lpstr>
      <vt:lpstr>GPA_opt2_number_of_employees_renewal</vt:lpstr>
      <vt:lpstr>GPA_opt2_number_of_lives_renewal</vt:lpstr>
      <vt:lpstr>'High Level Quotes - Working'!GPA_Quotes</vt:lpstr>
      <vt:lpstr>GPA_Quotes</vt:lpstr>
      <vt:lpstr>GTLI_Features</vt:lpstr>
      <vt:lpstr>GTLI_number_of_employees_expiring</vt:lpstr>
      <vt:lpstr>GTLI_number_of_lives_expiring</vt:lpstr>
      <vt:lpstr>GTLI_opt1_number_of_employees_renewal</vt:lpstr>
      <vt:lpstr>GTLI_opt2_number_of_employees_renewal</vt:lpstr>
      <vt:lpstr>'High Level Quotes - Working'!GTLI_Quotes</vt:lpstr>
      <vt:lpstr>GTLI_Quotes</vt:lpstr>
      <vt:lpstr>HealthCheckups</vt:lpstr>
      <vt:lpstr>InitialWaitingPeriod</vt:lpstr>
      <vt:lpstr>InpatientHospitalization</vt:lpstr>
      <vt:lpstr>'Policy &amp; Technical Features'!Know_Your_Insurers</vt:lpstr>
      <vt:lpstr>Know_Your_Insurers</vt:lpstr>
      <vt:lpstr>LasikEyeSurgery</vt:lpstr>
      <vt:lpstr>Logo</vt:lpstr>
      <vt:lpstr>MaternityCover</vt:lpstr>
      <vt:lpstr>MaternityWaitingPeriod</vt:lpstr>
      <vt:lpstr>MedicinesDelivery</vt:lpstr>
      <vt:lpstr>MidtermAdditionofDependents</vt:lpstr>
      <vt:lpstr>Midtermadditionofparents</vt:lpstr>
      <vt:lpstr>MidtermIncreaseinSumInsured</vt:lpstr>
      <vt:lpstr>ModernTreatmentsandRoboticSurgeries</vt:lpstr>
      <vt:lpstr>'High Level Quotes - Working'!number_of_employees_expiring</vt:lpstr>
      <vt:lpstr>number_of_employees_expiring</vt:lpstr>
      <vt:lpstr>'High Level Quotes - Working'!number_of_lives_expiring</vt:lpstr>
      <vt:lpstr>number_of_lives_expiring</vt:lpstr>
      <vt:lpstr>'High Level Quotes - Working'!opt1_number_of_employees_renewal</vt:lpstr>
      <vt:lpstr>opt1_number_of_employees_renewal</vt:lpstr>
      <vt:lpstr>'High Level Quotes - Working'!opt1_number_of_lives_renewal</vt:lpstr>
      <vt:lpstr>opt1_number_of_lives_renewal</vt:lpstr>
      <vt:lpstr>'High Level Quotes - Working'!opt2_number_of_employees_renewal</vt:lpstr>
      <vt:lpstr>opt2_number_of_employees_renewal</vt:lpstr>
      <vt:lpstr>'High Level Quotes - Working'!opt2_number_of_lives_renewal</vt:lpstr>
      <vt:lpstr>opt2_number_of_lives_renewal</vt:lpstr>
      <vt:lpstr>'High Level Quotes - Working'!opt3_number_of_employees_renewal</vt:lpstr>
      <vt:lpstr>opt3_number_of_employees_renewal</vt:lpstr>
      <vt:lpstr>'High Level Quotes - Working'!opt3_number_of_lives_renewal</vt:lpstr>
      <vt:lpstr>opt3_number_of_lives_renewal</vt:lpstr>
      <vt:lpstr>'High Level Quotes - Working'!opt4_number_of_employees_renewal</vt:lpstr>
      <vt:lpstr>opt4_number_of_employees_renewal</vt:lpstr>
      <vt:lpstr>'High Level Quotes - Working'!opt4_number_of_lives_renewal</vt:lpstr>
      <vt:lpstr>opt4_number_of_lives_renewal</vt:lpstr>
      <vt:lpstr>'High Level Quotes - Working'!opt5_number_of_employees_renewal</vt:lpstr>
      <vt:lpstr>opt5_number_of_employees_renewal</vt:lpstr>
      <vt:lpstr>'High Level Quotes - Working'!opt5_number_of_lives_renewal</vt:lpstr>
      <vt:lpstr>opt5_number_of_lives_renewal</vt:lpstr>
      <vt:lpstr>OrganDonorExpenses</vt:lpstr>
      <vt:lpstr>PanIndiaCoverage</vt:lpstr>
      <vt:lpstr>'Policy &amp; Technical Features'!Policy_Features</vt:lpstr>
      <vt:lpstr>Policy_Features</vt:lpstr>
      <vt:lpstr>'GPA Features (Option 1)'!policy_features_custom</vt:lpstr>
      <vt:lpstr>'GTLI Features (Option 1)'!policy_features_custom</vt:lpstr>
      <vt:lpstr>'GTLI Policy Features - old'!policy_features_custom</vt:lpstr>
      <vt:lpstr>policy_features_custom</vt:lpstr>
      <vt:lpstr>PreandPostHospitalizationCoverage</vt:lpstr>
      <vt:lpstr>PreandPostNatalExpenses</vt:lpstr>
      <vt:lpstr>PsychiatricIllness</vt:lpstr>
      <vt:lpstr>ReimburementClaimSettlementTAT</vt:lpstr>
      <vt:lpstr>ReimbursementClaimfiling</vt:lpstr>
      <vt:lpstr>ReimbursementClaimIntimation</vt:lpstr>
      <vt:lpstr>ReimbursementClaimSubmission</vt:lpstr>
      <vt:lpstr>ReimbursementNetwork</vt:lpstr>
      <vt:lpstr>RoomRentRestriction</vt:lpstr>
      <vt:lpstr>SpecificDiseasesWaitingPeriod</vt:lpstr>
      <vt:lpstr>Terrorism</vt:lpstr>
      <vt:lpstr>TPA</vt:lpstr>
      <vt:lpstr>TypeofCover</vt:lpstr>
      <vt:lpstr>UpgradeOption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Deep Suchak</dc:creator>
  <cp:keywords/>
  <dc:description/>
  <cp:lastModifiedBy>Mayank Mehta</cp:lastModifiedBy>
  <cp:revision/>
  <dcterms:created xsi:type="dcterms:W3CDTF">2022-03-21T12:21:20Z</dcterms:created>
  <dcterms:modified xsi:type="dcterms:W3CDTF">2026-06-18T08:34:15Z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0x01010070BD4E4ACEE17047B2CD88717FF8D421</vt:lpwstr>
  </property>
  <property fmtid="{D5CDD505-2E9C-101B-9397-08002B2CF9AE}" pid="3" name="MediaServiceImageTags">
    <vt:lpwstr/>
  </property>
</Properties>
</file>