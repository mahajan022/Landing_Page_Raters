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althysurein.sharepoint.com/sites/HealthySureGroup/HealthySure/HealthySure/Employee Benefits Platform/Sales &amp; BD/Sales/Benchmarking/"/>
    </mc:Choice>
  </mc:AlternateContent>
  <xr:revisionPtr revIDLastSave="2297" documentId="8_{E117738B-375E-4863-9686-24B5AA60787A}" xr6:coauthVersionLast="47" xr6:coauthVersionMax="47" xr10:uidLastSave="{B56023EB-385B-4686-BF60-B4AFAEA9C264}"/>
  <bookViews>
    <workbookView xWindow="-108" yWindow="-108" windowWidth="23256" windowHeight="13896" firstSheet="1" activeTab="2" xr2:uid="{BCAE2E96-74D1-412B-A7BB-2252F2C16E8E}"/>
  </bookViews>
  <sheets>
    <sheet name="Base Data" sheetId="2" state="hidden" r:id="rId1"/>
    <sheet name="Benchmarking" sheetId="3" r:id="rId2"/>
    <sheet name="Standard vs Comprehensive" sheetId="4" r:id="rId3"/>
  </sheets>
  <definedNames>
    <definedName name="_xlnm._FilterDatabase" localSheetId="0" hidden="1">'Base Data'!$A$1:$K$81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3" l="1" a="1"/>
  <c r="F8" i="3" s="1"/>
  <c r="G8" i="3" s="1"/>
  <c r="F15" i="3" a="1"/>
  <c r="F15" i="3" s="1"/>
  <c r="G15" i="3" s="1"/>
  <c r="F14" i="3" a="1"/>
  <c r="F14" i="3" s="1"/>
  <c r="G14" i="3" s="1"/>
  <c r="F13" i="3" a="1"/>
  <c r="F13" i="3" s="1"/>
  <c r="G13" i="3" s="1"/>
  <c r="F12" i="3" a="1"/>
  <c r="F12" i="3" s="1"/>
  <c r="G12" i="3" s="1"/>
  <c r="F11" i="3" a="1"/>
  <c r="F11" i="3" s="1"/>
  <c r="G11" i="3" s="1"/>
  <c r="F10" i="3" a="1"/>
  <c r="F10" i="3" s="1"/>
  <c r="G10" i="3" s="1"/>
  <c r="F9" i="3" a="1"/>
  <c r="F9" i="3" s="1"/>
  <c r="G9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<sst xmlns="http://schemas.openxmlformats.org/spreadsheetml/2006/main" count="967" uniqueCount="125">
  <si>
    <t>Industry</t>
  </si>
  <si>
    <t>Employee Count</t>
  </si>
  <si>
    <t>Sum Insured (L)</t>
  </si>
  <si>
    <t>Graded SI</t>
  </si>
  <si>
    <t>Family Definition</t>
  </si>
  <si>
    <t>Corporate Buffer</t>
  </si>
  <si>
    <t>RR Capping</t>
  </si>
  <si>
    <t>Maternity</t>
  </si>
  <si>
    <t>OPD Cover</t>
  </si>
  <si>
    <t>GPA</t>
  </si>
  <si>
    <t>GTLI</t>
  </si>
  <si>
    <t>Automobile</t>
  </si>
  <si>
    <t>0-50</t>
  </si>
  <si>
    <t>N</t>
  </si>
  <si>
    <t>ESC</t>
  </si>
  <si>
    <t>1%-2%</t>
  </si>
  <si>
    <t>50K</t>
  </si>
  <si>
    <t>No Data</t>
  </si>
  <si>
    <t>51-200</t>
  </si>
  <si>
    <t>Y</t>
  </si>
  <si>
    <t>ESCP</t>
  </si>
  <si>
    <t>No Capping</t>
  </si>
  <si>
    <t>201-500</t>
  </si>
  <si>
    <t>2%-4%</t>
  </si>
  <si>
    <t>Tally with Sandesh list</t>
  </si>
  <si>
    <t>&gt;501</t>
  </si>
  <si>
    <t>Finance</t>
  </si>
  <si>
    <t>Consumer Durables</t>
  </si>
  <si>
    <t>30K</t>
  </si>
  <si>
    <t>75K</t>
  </si>
  <si>
    <t>NBFC</t>
  </si>
  <si>
    <t>Fintech</t>
  </si>
  <si>
    <t>FMCG</t>
  </si>
  <si>
    <t>Healthcare</t>
  </si>
  <si>
    <t>IT</t>
  </si>
  <si>
    <t>&gt;1 Lac</t>
  </si>
  <si>
    <t>Media</t>
  </si>
  <si>
    <t>Pharma</t>
  </si>
  <si>
    <t>E</t>
  </si>
  <si>
    <t>Realty</t>
  </si>
  <si>
    <t>Hospitality</t>
  </si>
  <si>
    <t>Education</t>
  </si>
  <si>
    <t>Edtech</t>
  </si>
  <si>
    <t>Logistics</t>
  </si>
  <si>
    <t>Consulting/Accounting</t>
  </si>
  <si>
    <t>Ecommerce</t>
  </si>
  <si>
    <t>1L</t>
  </si>
  <si>
    <t>Tech</t>
  </si>
  <si>
    <t>No capping</t>
  </si>
  <si>
    <t>Marketing</t>
  </si>
  <si>
    <t>HR/Staffing Solutions</t>
  </si>
  <si>
    <t>COMPANY DETAILS</t>
  </si>
  <si>
    <t>&gt;500</t>
  </si>
  <si>
    <t>Company Name</t>
  </si>
  <si>
    <t>Industry Name</t>
  </si>
  <si>
    <t>Employee Strength</t>
  </si>
  <si>
    <t>POLICY FEATURES</t>
  </si>
  <si>
    <t>Industry Benchmark</t>
  </si>
  <si>
    <t>Healthysure Recommendations</t>
  </si>
  <si>
    <t>Sum Insured (Lacs)</t>
  </si>
  <si>
    <t>Graded Sum Insured</t>
  </si>
  <si>
    <t>Room Rent</t>
  </si>
  <si>
    <r>
      <t xml:space="preserve">↑ ↑ Recommend an increase in sum insured as per industry standards </t>
    </r>
    <r>
      <rPr>
        <sz val="11"/>
        <color theme="1"/>
        <rFont val="Aptos Narrow"/>
        <family val="2"/>
      </rPr>
      <t>↑ ↑</t>
    </r>
  </si>
  <si>
    <r>
      <t xml:space="preserve">↔ ↔ Current policy feature is as per industry standards </t>
    </r>
    <r>
      <rPr>
        <sz val="11"/>
        <color theme="1"/>
        <rFont val="Aptos Narrow"/>
        <family val="2"/>
      </rPr>
      <t>↔ ↔</t>
    </r>
  </si>
  <si>
    <t>✓ ✓ Current policy feature is better than industry standards ✓ ✓</t>
  </si>
  <si>
    <t>No recommendations</t>
  </si>
  <si>
    <t>↑ ↑Recommend having a graded Sum Insured↑ ↑</t>
  </si>
  <si>
    <t>↑ ↑ Recommend adding Spouse and Child to the current policy ↑ ↑</t>
  </si>
  <si>
    <t>↑ ↑ Recommend adding Spouse, Child &amp; Parents to the current policy ↑ ↑</t>
  </si>
  <si>
    <t>↑ ↑ Recommend adding Parents to the current policy ↑ ↑</t>
  </si>
  <si>
    <t>↑ ↑ Recommend upgrading Room Rent Capping to 2%-4% ↑ ↑</t>
  </si>
  <si>
    <t>↑ ↑ Recommend upgrading to No Capping on Room Rent ↑ ↑</t>
  </si>
  <si>
    <t>↑ ↑Recommend a 50K Maternity Cover↑ ↑</t>
  </si>
  <si>
    <t>↑ ↑Recommend a 30K Maternity Cover↑ ↑</t>
  </si>
  <si>
    <t>↑ ↑Recommend a 75K Maternity Cover↑ ↑</t>
  </si>
  <si>
    <t>↑ ↑Recommend a 1 Lac Maternity Cover↑ ↑</t>
  </si>
  <si>
    <t>↑ ↑Recommend the addition of a Corporate Buffer↑ ↑</t>
  </si>
  <si>
    <t>↑ ↑Recommend a Group Personal Accident Policy↑ ↑</t>
  </si>
  <si>
    <t>↑ ↑Recommend a Group Term Life Policy↑ ↑</t>
  </si>
  <si>
    <t>XXX</t>
  </si>
  <si>
    <t>Features</t>
  </si>
  <si>
    <t>Standard</t>
  </si>
  <si>
    <t>Comprehensive</t>
  </si>
  <si>
    <t>Sum Insured</t>
  </si>
  <si>
    <t>Graded (5/10) Lacs</t>
  </si>
  <si>
    <t>Graded (7.5/15) Lacs</t>
  </si>
  <si>
    <t>Employee, Spouse, Children 
(no limit on children count)</t>
  </si>
  <si>
    <t>Employee, Spouse, Children 
(no limit on children count)
+ 2 Parents / PIL</t>
  </si>
  <si>
    <t>Co-Pay</t>
  </si>
  <si>
    <t>0% Copay for ESC
NA for Parents/ PIL</t>
  </si>
  <si>
    <t>0% Copay for ESC
0-20% for Parents/ PIL</t>
  </si>
  <si>
    <t>Room Rent Restrictions</t>
  </si>
  <si>
    <t>Normal – 2% of SI/ day, 
ICU – 4% of SI/day</t>
  </si>
  <si>
    <t>Normal – Single Private AC, 
ICU – No Limit</t>
  </si>
  <si>
    <t>IPD Hospitalization</t>
  </si>
  <si>
    <t xml:space="preserve">✔ </t>
  </si>
  <si>
    <t>Daycare Procedures</t>
  </si>
  <si>
    <t>Domiciliary Hospitalization</t>
  </si>
  <si>
    <t>AYUSH Hospitalization</t>
  </si>
  <si>
    <t>Maternity Cover</t>
  </si>
  <si>
    <t>Normal – 50K, 
C-Section – 75K</t>
  </si>
  <si>
    <t>Normal – 100K, 
C-Section – 150K</t>
  </si>
  <si>
    <t>Infertility Treatment</t>
  </si>
  <si>
    <t>✖</t>
  </si>
  <si>
    <t>Upto Maternity SI</t>
  </si>
  <si>
    <t>Disease Cappings</t>
  </si>
  <si>
    <t>Cataract - upto Rs. 75,000
Sinus Surgery - upto Rs. 35,000</t>
  </si>
  <si>
    <t>No Limit</t>
  </si>
  <si>
    <t xml:space="preserve">Psychiatric Illness </t>
  </si>
  <si>
    <t>Covered - upto Rs. 30,000</t>
  </si>
  <si>
    <t>Organ Donor Expenses</t>
  </si>
  <si>
    <t>OPD Treatment</t>
  </si>
  <si>
    <t>Rs. 15,000 - Rs. 30,000
(covering medicines, consultations, diagnostics, vision, dental)</t>
  </si>
  <si>
    <t>Health Check-up</t>
  </si>
  <si>
    <t>1 Annual Health Check-up</t>
  </si>
  <si>
    <t>Mental &amp; Emotional Wellbeing</t>
  </si>
  <si>
    <t>5 sessions / Unlimited per employee</t>
  </si>
  <si>
    <t>Doctor teleconsultations</t>
  </si>
  <si>
    <t>Live In Partner</t>
  </si>
  <si>
    <t>LGBTQ Partner</t>
  </si>
  <si>
    <t>Accident Insurance</t>
  </si>
  <si>
    <t>Rs. 25 lacs</t>
  </si>
  <si>
    <t>3-5x of CTC upto Rs. 3 Cr</t>
  </si>
  <si>
    <t>Term Life Insurance</t>
  </si>
  <si>
    <t>2-3x of CTC upto Rs. 3 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</si>
</sst>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0"/>
      <color theme="0"/>
      <name val="Roboto"/>
    </font>
    <font>
      <b/>
      <sz val="11"/>
      <color theme="0"/>
      <name val="Aptos"/>
      <family val="2"/>
    </font>
    <font>
      <sz val="11"/>
      <color theme="1"/>
      <name val="Aptos"/>
      <family val="2"/>
    </font>
    <font>
      <b/>
      <sz val="11"/>
      <color rgb="FF000000"/>
      <name val="Aptos"/>
      <family val="2"/>
    </font>
    <font>
      <sz val="11"/>
      <color rgb="FF000000"/>
      <name val="Aptos"/>
      <family val="2"/>
    </font>
    <font>
      <sz val="10"/>
      <color rgb="FF242424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11A38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7F6F3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9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17" fontId="0" fillId="0" borderId="6" xfId="0" quotePrefix="1" applyNumberForma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6" borderId="3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9" fontId="0" fillId="0" borderId="5" xfId="1" applyFont="1" applyBorder="1" applyAlignment="1">
      <alignment horizontal="center"/>
    </xf>
    <xf numFmtId="9" fontId="0" fillId="0" borderId="8" xfId="1" applyFont="1" applyBorder="1" applyAlignment="1">
      <alignment horizontal="center"/>
    </xf>
    <xf numFmtId="9" fontId="0" fillId="0" borderId="10" xfId="1" applyFont="1" applyBorder="1" applyAlignment="1">
      <alignment horizontal="center"/>
    </xf>
    <xf numFmtId="9" fontId="0" fillId="0" borderId="0" xfId="1" applyFont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3" xfId="0" applyFont="1" applyBorder="1" applyAlignment="1">
      <alignment horizontal="center"/>
    </xf>
    <xf numFmtId="2" fontId="0" fillId="0" borderId="0" xfId="1" applyNumberFormat="1" applyFont="1"/>
    <xf numFmtId="1" fontId="0" fillId="0" borderId="0" xfId="1" applyNumberFormat="1" applyFont="1"/>
    <xf numFmtId="164" fontId="4" fillId="10" borderId="14" xfId="0" applyNumberFormat="1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164" fontId="4" fillId="10" borderId="14" xfId="0" applyNumberFormat="1" applyFont="1" applyFill="1" applyBorder="1" applyAlignment="1">
      <alignment horizontal="center" vertical="center" wrapText="1"/>
    </xf>
    <xf numFmtId="164" fontId="4" fillId="10" borderId="15" xfId="0" applyNumberFormat="1" applyFont="1" applyFill="1" applyBorder="1" applyAlignment="1">
      <alignment horizontal="center" vertical="center" wrapText="1"/>
    </xf>
    <xf numFmtId="164" fontId="4" fillId="10" borderId="16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5" fillId="10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7" fillId="13" borderId="17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 readingOrder="1"/>
    </xf>
    <xf numFmtId="9" fontId="8" fillId="0" borderId="1" xfId="0" applyNumberFormat="1" applyFont="1" applyBorder="1" applyAlignment="1">
      <alignment horizontal="center" vertical="center" wrapText="1" readingOrder="1"/>
    </xf>
    <xf numFmtId="0" fontId="8" fillId="14" borderId="18" xfId="0" applyFont="1" applyFill="1" applyBorder="1" applyAlignment="1">
      <alignment horizontal="center" vertical="center" wrapText="1" readingOrder="1"/>
    </xf>
    <xf numFmtId="0" fontId="9" fillId="14" borderId="18" xfId="0" applyFont="1" applyFill="1" applyBorder="1" applyAlignment="1">
      <alignment horizontal="center" vertical="center" wrapText="1" readingOrder="1"/>
    </xf>
  </cellXfs>
  <cellStyles count="2">
    <cellStyle name="Normal" xfId="0" builtinId="0"/>
    <cellStyle name="Percent" xfId="1" builtinId="5"/>
  </cellStyles>
  <dxfs count="76"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CCCC"/>
      <color rgb="FF99FFCC"/>
      <color rgb="FFFF4B4B"/>
      <color rgb="FF00FF00"/>
      <color rgb="FFF67E7E"/>
      <color rgb="FFF29176"/>
      <color rgb="FFFA8966"/>
      <color rgb="FFFF5A3F"/>
      <color rgb="FFFF9999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FD15D-CD61-428C-917D-E89848EBFE13}">
  <dimension ref="A1:M81"/>
  <sheetViews>
    <sheetView workbookViewId="0">
      <pane xSplit="2" ySplit="1" topLeftCell="C13" activePane="bottomRight" state="frozen"/>
      <selection pane="topRight" activeCell="C1" sqref="C1"/>
      <selection pane="bottomLeft" activeCell="A2" sqref="A2"/>
      <selection pane="bottomRight" activeCell="L4" sqref="L4"/>
    </sheetView>
  </sheetViews>
  <sheetFormatPr defaultRowHeight="14.4" x14ac:dyDescent="0.3"/>
  <cols>
    <col min="1" max="1" width="20.77734375" bestFit="1" customWidth="1"/>
    <col min="2" max="2" width="8.5546875" bestFit="1" customWidth="1"/>
    <col min="3" max="3" width="10.44140625" bestFit="1" customWidth="1"/>
    <col min="4" max="4" width="7.88671875" bestFit="1" customWidth="1"/>
    <col min="5" max="6" width="9.88671875" bestFit="1" customWidth="1"/>
    <col min="7" max="7" width="11" bestFit="1" customWidth="1"/>
    <col min="8" max="8" width="9.33203125" bestFit="1" customWidth="1"/>
    <col min="9" max="11" width="7.88671875" bestFit="1" customWidth="1"/>
    <col min="13" max="13" width="20.109375" bestFit="1" customWidth="1"/>
  </cols>
  <sheetData>
    <row r="1" spans="1:13" ht="31.2" customHeight="1" thickBot="1" x14ac:dyDescent="0.35">
      <c r="A1" s="3" t="s">
        <v>0</v>
      </c>
      <c r="B1" s="4" t="s">
        <v>1</v>
      </c>
      <c r="C1" s="5" t="s">
        <v>2</v>
      </c>
      <c r="D1" s="5" t="s">
        <v>3</v>
      </c>
      <c r="E1" s="6" t="s">
        <v>4</v>
      </c>
      <c r="F1" s="4" t="s">
        <v>5</v>
      </c>
      <c r="G1" s="7" t="s">
        <v>6</v>
      </c>
      <c r="H1" s="8" t="s">
        <v>7</v>
      </c>
      <c r="I1" s="19" t="s">
        <v>8</v>
      </c>
      <c r="J1" s="20" t="s">
        <v>9</v>
      </c>
      <c r="K1" s="21" t="s">
        <v>10</v>
      </c>
    </row>
    <row r="2" spans="1:13" x14ac:dyDescent="0.3">
      <c r="A2" s="9" t="s">
        <v>11</v>
      </c>
      <c r="B2" s="10" t="s">
        <v>12</v>
      </c>
      <c r="C2" s="11">
        <v>3</v>
      </c>
      <c r="D2" s="11" t="s">
        <v>13</v>
      </c>
      <c r="E2" s="11" t="s">
        <v>14</v>
      </c>
      <c r="F2" s="11" t="s">
        <v>13</v>
      </c>
      <c r="G2" s="11" t="s">
        <v>15</v>
      </c>
      <c r="H2" s="11" t="s">
        <v>16</v>
      </c>
      <c r="I2" s="24" t="s">
        <v>17</v>
      </c>
      <c r="J2" s="24" t="s">
        <v>17</v>
      </c>
      <c r="K2" s="24" t="s">
        <v>17</v>
      </c>
    </row>
    <row r="3" spans="1:13" x14ac:dyDescent="0.3">
      <c r="A3" s="13" t="s">
        <v>11</v>
      </c>
      <c r="B3" s="2" t="s">
        <v>18</v>
      </c>
      <c r="C3" s="1">
        <v>5</v>
      </c>
      <c r="D3" s="1" t="s">
        <v>19</v>
      </c>
      <c r="E3" s="1" t="s">
        <v>20</v>
      </c>
      <c r="F3" s="1" t="s">
        <v>13</v>
      </c>
      <c r="G3" s="1" t="s">
        <v>21</v>
      </c>
      <c r="H3" s="1" t="s">
        <v>16</v>
      </c>
      <c r="I3" s="24" t="s">
        <v>17</v>
      </c>
      <c r="J3" s="1" t="s">
        <v>19</v>
      </c>
      <c r="K3" s="14" t="s">
        <v>19</v>
      </c>
    </row>
    <row r="4" spans="1:13" x14ac:dyDescent="0.3">
      <c r="A4" s="13" t="s">
        <v>11</v>
      </c>
      <c r="B4" s="2" t="s">
        <v>22</v>
      </c>
      <c r="C4" s="1">
        <v>5</v>
      </c>
      <c r="D4" s="1" t="s">
        <v>19</v>
      </c>
      <c r="E4" s="1" t="s">
        <v>20</v>
      </c>
      <c r="F4" s="1" t="s">
        <v>19</v>
      </c>
      <c r="G4" s="1" t="s">
        <v>23</v>
      </c>
      <c r="H4" s="1" t="s">
        <v>16</v>
      </c>
      <c r="I4" s="24" t="s">
        <v>17</v>
      </c>
      <c r="J4" s="1" t="s">
        <v>19</v>
      </c>
      <c r="K4" s="24" t="s">
        <v>17</v>
      </c>
      <c r="M4" t="s">
        <v>24</v>
      </c>
    </row>
    <row r="5" spans="1:13" ht="15" thickBot="1" x14ac:dyDescent="0.35">
      <c r="A5" s="15" t="s">
        <v>11</v>
      </c>
      <c r="B5" s="16" t="s">
        <v>25</v>
      </c>
      <c r="C5" s="24" t="s">
        <v>17</v>
      </c>
      <c r="D5" s="24" t="s">
        <v>17</v>
      </c>
      <c r="E5" s="24" t="s">
        <v>17</v>
      </c>
      <c r="F5" s="24" t="s">
        <v>17</v>
      </c>
      <c r="G5" s="24" t="s">
        <v>17</v>
      </c>
      <c r="H5" s="24" t="s">
        <v>17</v>
      </c>
      <c r="I5" s="24" t="s">
        <v>17</v>
      </c>
      <c r="J5" s="24" t="s">
        <v>17</v>
      </c>
      <c r="K5" s="24" t="s">
        <v>17</v>
      </c>
    </row>
    <row r="6" spans="1:13" x14ac:dyDescent="0.3">
      <c r="A6" s="9" t="s">
        <v>26</v>
      </c>
      <c r="B6" s="10" t="s">
        <v>12</v>
      </c>
      <c r="C6" s="11">
        <v>5</v>
      </c>
      <c r="D6" s="11" t="s">
        <v>13</v>
      </c>
      <c r="E6" s="11" t="s">
        <v>20</v>
      </c>
      <c r="F6" s="11" t="s">
        <v>13</v>
      </c>
      <c r="G6" s="11" t="s">
        <v>21</v>
      </c>
      <c r="H6" s="11" t="s">
        <v>16</v>
      </c>
      <c r="I6" s="24" t="s">
        <v>17</v>
      </c>
      <c r="J6" s="24" t="s">
        <v>17</v>
      </c>
      <c r="K6" s="24" t="s">
        <v>17</v>
      </c>
    </row>
    <row r="7" spans="1:13" x14ac:dyDescent="0.3">
      <c r="A7" s="13" t="s">
        <v>26</v>
      </c>
      <c r="B7" s="2" t="s">
        <v>18</v>
      </c>
      <c r="C7" s="1">
        <v>3</v>
      </c>
      <c r="D7" s="1" t="s">
        <v>13</v>
      </c>
      <c r="E7" s="1" t="s">
        <v>14</v>
      </c>
      <c r="F7" s="1" t="s">
        <v>19</v>
      </c>
      <c r="G7" s="1" t="s">
        <v>23</v>
      </c>
      <c r="H7" s="1" t="s">
        <v>16</v>
      </c>
      <c r="I7" s="24" t="s">
        <v>17</v>
      </c>
      <c r="J7" s="14" t="s">
        <v>19</v>
      </c>
      <c r="K7" s="14" t="s">
        <v>19</v>
      </c>
    </row>
    <row r="8" spans="1:13" x14ac:dyDescent="0.3">
      <c r="A8" s="13" t="s">
        <v>26</v>
      </c>
      <c r="B8" s="2" t="s">
        <v>22</v>
      </c>
      <c r="C8" s="1">
        <v>3</v>
      </c>
      <c r="D8" s="1" t="s">
        <v>13</v>
      </c>
      <c r="E8" s="1" t="s">
        <v>14</v>
      </c>
      <c r="F8" s="1" t="s">
        <v>19</v>
      </c>
      <c r="G8" s="1" t="s">
        <v>23</v>
      </c>
      <c r="H8" s="1" t="s">
        <v>16</v>
      </c>
      <c r="I8" s="24" t="s">
        <v>17</v>
      </c>
      <c r="J8" s="24" t="s">
        <v>17</v>
      </c>
      <c r="K8" s="24" t="s">
        <v>17</v>
      </c>
    </row>
    <row r="9" spans="1:13" ht="15" thickBot="1" x14ac:dyDescent="0.35">
      <c r="A9" s="15" t="s">
        <v>26</v>
      </c>
      <c r="B9" s="16" t="s">
        <v>25</v>
      </c>
      <c r="C9" s="17">
        <v>3</v>
      </c>
      <c r="D9" s="17" t="s">
        <v>13</v>
      </c>
      <c r="E9" s="17" t="s">
        <v>14</v>
      </c>
      <c r="F9" s="17" t="s">
        <v>19</v>
      </c>
      <c r="G9" s="17" t="s">
        <v>23</v>
      </c>
      <c r="H9" s="17" t="s">
        <v>16</v>
      </c>
      <c r="I9" s="24" t="s">
        <v>17</v>
      </c>
      <c r="J9" s="1" t="s">
        <v>19</v>
      </c>
      <c r="K9" s="1" t="s">
        <v>19</v>
      </c>
    </row>
    <row r="10" spans="1:13" x14ac:dyDescent="0.3">
      <c r="A10" s="9" t="s">
        <v>27</v>
      </c>
      <c r="B10" s="10" t="s">
        <v>12</v>
      </c>
      <c r="C10" s="11">
        <v>3</v>
      </c>
      <c r="D10" s="11" t="s">
        <v>13</v>
      </c>
      <c r="E10" s="11" t="s">
        <v>14</v>
      </c>
      <c r="F10" s="11" t="s">
        <v>13</v>
      </c>
      <c r="G10" s="11" t="s">
        <v>23</v>
      </c>
      <c r="H10" s="11" t="s">
        <v>16</v>
      </c>
      <c r="I10" s="24" t="s">
        <v>17</v>
      </c>
      <c r="J10" s="11" t="s">
        <v>19</v>
      </c>
      <c r="K10" s="12" t="s">
        <v>19</v>
      </c>
    </row>
    <row r="11" spans="1:13" x14ac:dyDescent="0.3">
      <c r="A11" s="13" t="s">
        <v>27</v>
      </c>
      <c r="B11" s="2" t="s">
        <v>18</v>
      </c>
      <c r="C11" s="1">
        <v>5</v>
      </c>
      <c r="D11" s="1" t="s">
        <v>19</v>
      </c>
      <c r="E11" s="1" t="s">
        <v>20</v>
      </c>
      <c r="F11" s="1" t="s">
        <v>13</v>
      </c>
      <c r="G11" s="1" t="s">
        <v>23</v>
      </c>
      <c r="H11" s="1" t="s">
        <v>28</v>
      </c>
      <c r="I11" s="24" t="s">
        <v>17</v>
      </c>
      <c r="J11" s="1" t="s">
        <v>19</v>
      </c>
      <c r="K11" s="14" t="s">
        <v>19</v>
      </c>
    </row>
    <row r="12" spans="1:13" x14ac:dyDescent="0.3">
      <c r="A12" s="13" t="s">
        <v>27</v>
      </c>
      <c r="B12" s="2" t="s">
        <v>22</v>
      </c>
      <c r="C12" s="1">
        <v>3</v>
      </c>
      <c r="D12" s="1" t="s">
        <v>13</v>
      </c>
      <c r="E12" s="1" t="s">
        <v>14</v>
      </c>
      <c r="F12" s="1" t="s">
        <v>13</v>
      </c>
      <c r="G12" s="1" t="s">
        <v>23</v>
      </c>
      <c r="H12" s="1" t="s">
        <v>16</v>
      </c>
      <c r="I12" s="24" t="s">
        <v>17</v>
      </c>
      <c r="J12" s="1" t="s">
        <v>19</v>
      </c>
      <c r="K12" s="14" t="s">
        <v>19</v>
      </c>
    </row>
    <row r="13" spans="1:13" ht="15" thickBot="1" x14ac:dyDescent="0.35">
      <c r="A13" s="15" t="s">
        <v>27</v>
      </c>
      <c r="B13" s="16" t="s">
        <v>25</v>
      </c>
      <c r="C13" s="17">
        <v>7</v>
      </c>
      <c r="D13" s="17" t="s">
        <v>19</v>
      </c>
      <c r="E13" s="17" t="s">
        <v>20</v>
      </c>
      <c r="F13" s="17" t="s">
        <v>13</v>
      </c>
      <c r="G13" s="17" t="s">
        <v>23</v>
      </c>
      <c r="H13" s="17" t="s">
        <v>29</v>
      </c>
      <c r="I13" s="24" t="s">
        <v>17</v>
      </c>
      <c r="J13" s="17" t="s">
        <v>19</v>
      </c>
      <c r="K13" s="18" t="s">
        <v>19</v>
      </c>
    </row>
    <row r="14" spans="1:13" x14ac:dyDescent="0.3">
      <c r="A14" s="9" t="s">
        <v>30</v>
      </c>
      <c r="B14" s="10" t="s">
        <v>12</v>
      </c>
      <c r="C14" s="11">
        <v>5</v>
      </c>
      <c r="D14" s="11" t="s">
        <v>19</v>
      </c>
      <c r="E14" s="11" t="s">
        <v>20</v>
      </c>
      <c r="F14" s="11" t="s">
        <v>13</v>
      </c>
      <c r="G14" s="11" t="s">
        <v>23</v>
      </c>
      <c r="H14" s="11" t="s">
        <v>16</v>
      </c>
      <c r="I14" s="24" t="s">
        <v>17</v>
      </c>
      <c r="J14" s="11" t="s">
        <v>19</v>
      </c>
      <c r="K14" s="24" t="s">
        <v>17</v>
      </c>
    </row>
    <row r="15" spans="1:13" x14ac:dyDescent="0.3">
      <c r="A15" s="13" t="s">
        <v>30</v>
      </c>
      <c r="B15" s="2" t="s">
        <v>18</v>
      </c>
      <c r="C15" s="1">
        <v>2</v>
      </c>
      <c r="D15" s="1" t="s">
        <v>13</v>
      </c>
      <c r="E15" s="1" t="s">
        <v>14</v>
      </c>
      <c r="F15" s="1" t="s">
        <v>13</v>
      </c>
      <c r="G15" s="1" t="s">
        <v>15</v>
      </c>
      <c r="H15" s="1" t="s">
        <v>16</v>
      </c>
      <c r="I15" s="24" t="s">
        <v>17</v>
      </c>
      <c r="J15" s="1" t="s">
        <v>19</v>
      </c>
      <c r="K15" s="14" t="s">
        <v>19</v>
      </c>
    </row>
    <row r="16" spans="1:13" x14ac:dyDescent="0.3">
      <c r="A16" s="13" t="s">
        <v>30</v>
      </c>
      <c r="B16" s="2" t="s">
        <v>22</v>
      </c>
      <c r="C16" s="24" t="s">
        <v>17</v>
      </c>
      <c r="D16" s="24" t="s">
        <v>17</v>
      </c>
      <c r="E16" s="24" t="s">
        <v>17</v>
      </c>
      <c r="F16" s="24" t="s">
        <v>17</v>
      </c>
      <c r="G16" s="24" t="s">
        <v>17</v>
      </c>
      <c r="H16" s="24" t="s">
        <v>17</v>
      </c>
      <c r="I16" s="24" t="s">
        <v>17</v>
      </c>
      <c r="J16" s="24" t="s">
        <v>17</v>
      </c>
      <c r="K16" s="24" t="s">
        <v>17</v>
      </c>
    </row>
    <row r="17" spans="1:11" ht="15" thickBot="1" x14ac:dyDescent="0.35">
      <c r="A17" s="15" t="s">
        <v>30</v>
      </c>
      <c r="B17" s="16" t="s">
        <v>25</v>
      </c>
      <c r="C17" s="17">
        <v>5</v>
      </c>
      <c r="D17" s="17" t="s">
        <v>13</v>
      </c>
      <c r="E17" s="17" t="s">
        <v>14</v>
      </c>
      <c r="F17" s="17" t="s">
        <v>13</v>
      </c>
      <c r="G17" s="17" t="s">
        <v>15</v>
      </c>
      <c r="H17" s="17" t="s">
        <v>28</v>
      </c>
      <c r="I17" s="24" t="s">
        <v>17</v>
      </c>
      <c r="J17" s="17" t="s">
        <v>19</v>
      </c>
      <c r="K17" s="18" t="s">
        <v>19</v>
      </c>
    </row>
    <row r="18" spans="1:11" x14ac:dyDescent="0.3">
      <c r="A18" s="9" t="s">
        <v>31</v>
      </c>
      <c r="B18" s="10" t="s">
        <v>12</v>
      </c>
      <c r="C18" s="11">
        <v>5</v>
      </c>
      <c r="D18" s="11" t="s">
        <v>13</v>
      </c>
      <c r="E18" s="11" t="s">
        <v>14</v>
      </c>
      <c r="F18" s="11" t="s">
        <v>13</v>
      </c>
      <c r="G18" s="11" t="s">
        <v>21</v>
      </c>
      <c r="H18" s="11" t="s">
        <v>16</v>
      </c>
      <c r="I18" s="24" t="s">
        <v>17</v>
      </c>
      <c r="J18" s="11" t="s">
        <v>19</v>
      </c>
      <c r="K18" s="12" t="s">
        <v>19</v>
      </c>
    </row>
    <row r="19" spans="1:11" x14ac:dyDescent="0.3">
      <c r="A19" s="13" t="s">
        <v>31</v>
      </c>
      <c r="B19" s="2" t="s">
        <v>18</v>
      </c>
      <c r="C19" s="1">
        <v>5</v>
      </c>
      <c r="D19" s="1" t="s">
        <v>19</v>
      </c>
      <c r="E19" s="1" t="s">
        <v>14</v>
      </c>
      <c r="F19" s="1" t="s">
        <v>13</v>
      </c>
      <c r="G19" s="1" t="s">
        <v>23</v>
      </c>
      <c r="H19" s="1" t="s">
        <v>16</v>
      </c>
      <c r="I19" s="24" t="s">
        <v>17</v>
      </c>
      <c r="J19" s="1" t="s">
        <v>19</v>
      </c>
      <c r="K19" s="14" t="s">
        <v>19</v>
      </c>
    </row>
    <row r="20" spans="1:11" x14ac:dyDescent="0.3">
      <c r="A20" s="13" t="s">
        <v>31</v>
      </c>
      <c r="B20" s="2" t="s">
        <v>22</v>
      </c>
      <c r="C20" s="1">
        <v>3</v>
      </c>
      <c r="D20" s="1" t="s">
        <v>13</v>
      </c>
      <c r="E20" s="1" t="s">
        <v>20</v>
      </c>
      <c r="F20" s="1" t="s">
        <v>13</v>
      </c>
      <c r="G20" s="1" t="s">
        <v>21</v>
      </c>
      <c r="H20" s="1" t="s">
        <v>16</v>
      </c>
      <c r="I20" s="24" t="s">
        <v>17</v>
      </c>
      <c r="J20" s="1" t="s">
        <v>19</v>
      </c>
      <c r="K20" s="14" t="s">
        <v>19</v>
      </c>
    </row>
    <row r="21" spans="1:11" ht="15" thickBot="1" x14ac:dyDescent="0.35">
      <c r="A21" s="15" t="s">
        <v>31</v>
      </c>
      <c r="B21" s="16" t="s">
        <v>25</v>
      </c>
      <c r="C21" s="24" t="s">
        <v>17</v>
      </c>
      <c r="D21" s="24" t="s">
        <v>17</v>
      </c>
      <c r="E21" s="24" t="s">
        <v>17</v>
      </c>
      <c r="F21" s="24" t="s">
        <v>17</v>
      </c>
      <c r="G21" s="24" t="s">
        <v>17</v>
      </c>
      <c r="H21" s="24" t="s">
        <v>17</v>
      </c>
      <c r="I21" s="24" t="s">
        <v>17</v>
      </c>
      <c r="J21" s="24" t="s">
        <v>17</v>
      </c>
      <c r="K21" s="1" t="s">
        <v>19</v>
      </c>
    </row>
    <row r="22" spans="1:11" x14ac:dyDescent="0.3">
      <c r="A22" s="9" t="s">
        <v>32</v>
      </c>
      <c r="B22" s="10" t="s">
        <v>12</v>
      </c>
      <c r="C22" s="11">
        <v>5</v>
      </c>
      <c r="D22" s="11" t="s">
        <v>13</v>
      </c>
      <c r="E22" s="11" t="s">
        <v>14</v>
      </c>
      <c r="F22" s="11" t="s">
        <v>13</v>
      </c>
      <c r="G22" s="11" t="s">
        <v>21</v>
      </c>
      <c r="H22" s="11" t="s">
        <v>16</v>
      </c>
      <c r="I22" s="24" t="s">
        <v>17</v>
      </c>
      <c r="J22" s="11" t="s">
        <v>19</v>
      </c>
      <c r="K22" s="12" t="s">
        <v>13</v>
      </c>
    </row>
    <row r="23" spans="1:11" x14ac:dyDescent="0.3">
      <c r="A23" s="13" t="s">
        <v>32</v>
      </c>
      <c r="B23" s="2" t="s">
        <v>18</v>
      </c>
      <c r="C23" s="1">
        <v>3</v>
      </c>
      <c r="D23" s="1" t="s">
        <v>13</v>
      </c>
      <c r="E23" s="1" t="s">
        <v>14</v>
      </c>
      <c r="F23" s="1" t="s">
        <v>13</v>
      </c>
      <c r="G23" s="1" t="s">
        <v>21</v>
      </c>
      <c r="H23" s="1" t="s">
        <v>28</v>
      </c>
      <c r="I23" s="24" t="s">
        <v>17</v>
      </c>
      <c r="J23" s="1" t="s">
        <v>19</v>
      </c>
      <c r="K23" s="14" t="s">
        <v>13</v>
      </c>
    </row>
    <row r="24" spans="1:11" x14ac:dyDescent="0.3">
      <c r="A24" s="13" t="s">
        <v>32</v>
      </c>
      <c r="B24" s="2" t="s">
        <v>22</v>
      </c>
      <c r="C24" s="1">
        <v>3</v>
      </c>
      <c r="D24" s="1" t="s">
        <v>13</v>
      </c>
      <c r="E24" s="1" t="s">
        <v>14</v>
      </c>
      <c r="F24" s="1" t="s">
        <v>13</v>
      </c>
      <c r="G24" s="1" t="s">
        <v>23</v>
      </c>
      <c r="H24" s="1" t="s">
        <v>16</v>
      </c>
      <c r="I24" s="24" t="s">
        <v>17</v>
      </c>
      <c r="J24" s="1" t="s">
        <v>19</v>
      </c>
      <c r="K24" s="14" t="s">
        <v>13</v>
      </c>
    </row>
    <row r="25" spans="1:11" ht="15" thickBot="1" x14ac:dyDescent="0.35">
      <c r="A25" s="15" t="s">
        <v>32</v>
      </c>
      <c r="B25" s="16" t="s">
        <v>25</v>
      </c>
      <c r="C25" s="17">
        <v>3</v>
      </c>
      <c r="D25" s="17" t="s">
        <v>19</v>
      </c>
      <c r="E25" s="17" t="s">
        <v>14</v>
      </c>
      <c r="F25" s="17" t="s">
        <v>19</v>
      </c>
      <c r="G25" s="17" t="s">
        <v>23</v>
      </c>
      <c r="H25" s="17" t="s">
        <v>28</v>
      </c>
      <c r="I25" s="24" t="s">
        <v>17</v>
      </c>
      <c r="J25" s="17" t="s">
        <v>19</v>
      </c>
      <c r="K25" s="18" t="s">
        <v>13</v>
      </c>
    </row>
    <row r="26" spans="1:11" x14ac:dyDescent="0.3">
      <c r="A26" s="9" t="s">
        <v>33</v>
      </c>
      <c r="B26" s="10" t="s">
        <v>12</v>
      </c>
      <c r="C26" s="11">
        <v>5</v>
      </c>
      <c r="D26" s="11" t="s">
        <v>19</v>
      </c>
      <c r="E26" s="11" t="s">
        <v>14</v>
      </c>
      <c r="F26" s="11" t="s">
        <v>13</v>
      </c>
      <c r="G26" s="11" t="s">
        <v>21</v>
      </c>
      <c r="H26" s="11" t="s">
        <v>16</v>
      </c>
      <c r="I26" s="24" t="s">
        <v>17</v>
      </c>
      <c r="J26" s="11" t="s">
        <v>19</v>
      </c>
      <c r="K26" s="12" t="s">
        <v>13</v>
      </c>
    </row>
    <row r="27" spans="1:11" x14ac:dyDescent="0.3">
      <c r="A27" s="13" t="s">
        <v>33</v>
      </c>
      <c r="B27" s="2" t="s">
        <v>18</v>
      </c>
      <c r="C27" s="1">
        <v>5</v>
      </c>
      <c r="D27" s="1" t="s">
        <v>13</v>
      </c>
      <c r="E27" s="1" t="s">
        <v>14</v>
      </c>
      <c r="F27" s="1" t="s">
        <v>19</v>
      </c>
      <c r="G27" s="1" t="s">
        <v>21</v>
      </c>
      <c r="H27" s="1" t="s">
        <v>16</v>
      </c>
      <c r="I27" s="24" t="s">
        <v>17</v>
      </c>
      <c r="J27" s="1" t="s">
        <v>19</v>
      </c>
      <c r="K27" s="14" t="s">
        <v>13</v>
      </c>
    </row>
    <row r="28" spans="1:11" x14ac:dyDescent="0.3">
      <c r="A28" s="13" t="s">
        <v>33</v>
      </c>
      <c r="B28" s="2" t="s">
        <v>22</v>
      </c>
      <c r="C28" s="1">
        <v>3</v>
      </c>
      <c r="D28" s="1" t="s">
        <v>13</v>
      </c>
      <c r="E28" s="1" t="s">
        <v>14</v>
      </c>
      <c r="F28" s="1" t="s">
        <v>13</v>
      </c>
      <c r="G28" s="1" t="s">
        <v>21</v>
      </c>
      <c r="H28" s="1" t="s">
        <v>16</v>
      </c>
      <c r="I28" s="24" t="s">
        <v>17</v>
      </c>
      <c r="J28" s="1" t="s">
        <v>19</v>
      </c>
      <c r="K28" s="14" t="s">
        <v>13</v>
      </c>
    </row>
    <row r="29" spans="1:11" ht="15" thickBot="1" x14ac:dyDescent="0.35">
      <c r="A29" s="15" t="s">
        <v>33</v>
      </c>
      <c r="B29" s="16" t="s">
        <v>25</v>
      </c>
      <c r="C29" s="17">
        <v>3</v>
      </c>
      <c r="D29" s="17" t="s">
        <v>13</v>
      </c>
      <c r="E29" s="17" t="s">
        <v>14</v>
      </c>
      <c r="F29" s="17" t="s">
        <v>13</v>
      </c>
      <c r="G29" s="17" t="s">
        <v>21</v>
      </c>
      <c r="H29" s="17" t="s">
        <v>16</v>
      </c>
      <c r="I29" s="24" t="s">
        <v>17</v>
      </c>
      <c r="J29" s="17" t="s">
        <v>19</v>
      </c>
      <c r="K29" s="18" t="s">
        <v>13</v>
      </c>
    </row>
    <row r="30" spans="1:11" x14ac:dyDescent="0.3">
      <c r="A30" s="9" t="s">
        <v>34</v>
      </c>
      <c r="B30" s="10" t="s">
        <v>12</v>
      </c>
      <c r="C30" s="11">
        <v>3</v>
      </c>
      <c r="D30" s="11" t="s">
        <v>13</v>
      </c>
      <c r="E30" s="11" t="s">
        <v>14</v>
      </c>
      <c r="F30" s="11" t="s">
        <v>13</v>
      </c>
      <c r="G30" s="11" t="s">
        <v>15</v>
      </c>
      <c r="H30" s="11" t="s">
        <v>16</v>
      </c>
      <c r="I30" s="24" t="s">
        <v>17</v>
      </c>
      <c r="J30" s="11" t="s">
        <v>19</v>
      </c>
      <c r="K30" s="12" t="s">
        <v>19</v>
      </c>
    </row>
    <row r="31" spans="1:11" x14ac:dyDescent="0.3">
      <c r="A31" s="13" t="s">
        <v>34</v>
      </c>
      <c r="B31" s="2" t="s">
        <v>18</v>
      </c>
      <c r="C31" s="1">
        <v>3</v>
      </c>
      <c r="D31" s="1" t="s">
        <v>13</v>
      </c>
      <c r="E31" s="1" t="s">
        <v>14</v>
      </c>
      <c r="F31" s="1" t="s">
        <v>13</v>
      </c>
      <c r="G31" s="1" t="s">
        <v>23</v>
      </c>
      <c r="H31" s="1" t="s">
        <v>16</v>
      </c>
      <c r="I31" s="24" t="s">
        <v>17</v>
      </c>
      <c r="J31" s="1" t="s">
        <v>19</v>
      </c>
      <c r="K31" s="14" t="s">
        <v>19</v>
      </c>
    </row>
    <row r="32" spans="1:11" x14ac:dyDescent="0.3">
      <c r="A32" s="13" t="s">
        <v>34</v>
      </c>
      <c r="B32" s="2" t="s">
        <v>22</v>
      </c>
      <c r="C32" s="1">
        <v>5</v>
      </c>
      <c r="D32" s="1" t="s">
        <v>13</v>
      </c>
      <c r="E32" s="1" t="s">
        <v>20</v>
      </c>
      <c r="F32" s="1" t="s">
        <v>19</v>
      </c>
      <c r="G32" s="1" t="s">
        <v>21</v>
      </c>
      <c r="H32" s="1" t="s">
        <v>35</v>
      </c>
      <c r="I32" s="24" t="s">
        <v>17</v>
      </c>
      <c r="J32" s="1" t="s">
        <v>19</v>
      </c>
      <c r="K32" s="14" t="s">
        <v>19</v>
      </c>
    </row>
    <row r="33" spans="1:11" ht="15" thickBot="1" x14ac:dyDescent="0.35">
      <c r="A33" s="15" t="s">
        <v>34</v>
      </c>
      <c r="B33" s="16" t="s">
        <v>25</v>
      </c>
      <c r="C33" s="17">
        <v>5</v>
      </c>
      <c r="D33" s="17" t="s">
        <v>13</v>
      </c>
      <c r="E33" s="17" t="s">
        <v>14</v>
      </c>
      <c r="F33" s="17" t="s">
        <v>13</v>
      </c>
      <c r="G33" s="17" t="s">
        <v>15</v>
      </c>
      <c r="H33" s="1" t="s">
        <v>35</v>
      </c>
      <c r="I33" s="24" t="s">
        <v>17</v>
      </c>
      <c r="J33" s="17" t="s">
        <v>19</v>
      </c>
      <c r="K33" s="18" t="s">
        <v>19</v>
      </c>
    </row>
    <row r="34" spans="1:11" x14ac:dyDescent="0.3">
      <c r="A34" s="9" t="s">
        <v>36</v>
      </c>
      <c r="B34" s="10" t="s">
        <v>12</v>
      </c>
      <c r="C34" s="11">
        <v>3</v>
      </c>
      <c r="D34" s="11" t="s">
        <v>13</v>
      </c>
      <c r="E34" s="11" t="s">
        <v>14</v>
      </c>
      <c r="F34" s="11" t="s">
        <v>13</v>
      </c>
      <c r="G34" s="11" t="s">
        <v>23</v>
      </c>
      <c r="H34" s="11" t="s">
        <v>16</v>
      </c>
      <c r="I34" s="24" t="s">
        <v>17</v>
      </c>
      <c r="J34" s="11" t="s">
        <v>13</v>
      </c>
      <c r="K34" s="12" t="s">
        <v>13</v>
      </c>
    </row>
    <row r="35" spans="1:11" x14ac:dyDescent="0.3">
      <c r="A35" s="13" t="s">
        <v>36</v>
      </c>
      <c r="B35" s="2" t="s">
        <v>18</v>
      </c>
      <c r="C35" s="1">
        <v>8</v>
      </c>
      <c r="D35" s="1" t="s">
        <v>19</v>
      </c>
      <c r="E35" s="1" t="s">
        <v>14</v>
      </c>
      <c r="F35" s="1" t="s">
        <v>13</v>
      </c>
      <c r="G35" s="1" t="s">
        <v>23</v>
      </c>
      <c r="H35" s="1" t="s">
        <v>16</v>
      </c>
      <c r="I35" s="24" t="s">
        <v>17</v>
      </c>
      <c r="J35" s="1" t="s">
        <v>13</v>
      </c>
      <c r="K35" s="14" t="s">
        <v>13</v>
      </c>
    </row>
    <row r="36" spans="1:11" x14ac:dyDescent="0.3">
      <c r="A36" s="13" t="s">
        <v>36</v>
      </c>
      <c r="B36" s="2" t="s">
        <v>22</v>
      </c>
      <c r="C36" s="1">
        <v>5</v>
      </c>
      <c r="D36" s="1" t="s">
        <v>19</v>
      </c>
      <c r="E36" s="1" t="s">
        <v>14</v>
      </c>
      <c r="F36" s="1" t="s">
        <v>13</v>
      </c>
      <c r="G36" s="1" t="s">
        <v>23</v>
      </c>
      <c r="H36" s="1" t="s">
        <v>16</v>
      </c>
      <c r="I36" s="24" t="s">
        <v>17</v>
      </c>
      <c r="J36" s="24" t="s">
        <v>17</v>
      </c>
      <c r="K36" s="24" t="s">
        <v>17</v>
      </c>
    </row>
    <row r="37" spans="1:11" ht="15" thickBot="1" x14ac:dyDescent="0.35">
      <c r="A37" s="15" t="s">
        <v>36</v>
      </c>
      <c r="B37" s="16" t="s">
        <v>25</v>
      </c>
      <c r="C37" s="24" t="s">
        <v>17</v>
      </c>
      <c r="D37" s="24" t="s">
        <v>17</v>
      </c>
      <c r="E37" s="24" t="s">
        <v>17</v>
      </c>
      <c r="F37" s="24" t="s">
        <v>17</v>
      </c>
      <c r="G37" s="24" t="s">
        <v>17</v>
      </c>
      <c r="H37" s="24" t="s">
        <v>17</v>
      </c>
      <c r="I37" s="24" t="s">
        <v>17</v>
      </c>
      <c r="J37" s="1" t="s">
        <v>19</v>
      </c>
      <c r="K37" s="24" t="s">
        <v>17</v>
      </c>
    </row>
    <row r="38" spans="1:11" ht="15" thickBot="1" x14ac:dyDescent="0.35">
      <c r="A38" s="9" t="s">
        <v>37</v>
      </c>
      <c r="B38" s="10" t="s">
        <v>12</v>
      </c>
      <c r="C38" s="11">
        <v>7</v>
      </c>
      <c r="D38" s="11" t="s">
        <v>19</v>
      </c>
      <c r="E38" s="11" t="s">
        <v>14</v>
      </c>
      <c r="F38" s="11" t="s">
        <v>13</v>
      </c>
      <c r="G38" s="11" t="s">
        <v>23</v>
      </c>
      <c r="H38" s="11" t="s">
        <v>13</v>
      </c>
      <c r="I38" s="24" t="s">
        <v>17</v>
      </c>
      <c r="J38" s="11" t="s">
        <v>19</v>
      </c>
      <c r="K38" s="12" t="s">
        <v>19</v>
      </c>
    </row>
    <row r="39" spans="1:11" ht="15" thickBot="1" x14ac:dyDescent="0.35">
      <c r="A39" s="13" t="s">
        <v>37</v>
      </c>
      <c r="B39" s="2" t="s">
        <v>18</v>
      </c>
      <c r="C39" s="17">
        <v>3</v>
      </c>
      <c r="D39" s="17" t="s">
        <v>13</v>
      </c>
      <c r="E39" s="17" t="s">
        <v>38</v>
      </c>
      <c r="F39" s="1" t="s">
        <v>19</v>
      </c>
      <c r="G39" s="11" t="s">
        <v>23</v>
      </c>
      <c r="H39" s="11" t="s">
        <v>28</v>
      </c>
      <c r="I39" s="24" t="s">
        <v>17</v>
      </c>
      <c r="J39" s="11" t="s">
        <v>19</v>
      </c>
      <c r="K39" s="12" t="s">
        <v>19</v>
      </c>
    </row>
    <row r="40" spans="1:11" ht="15" thickBot="1" x14ac:dyDescent="0.35">
      <c r="A40" s="13" t="s">
        <v>37</v>
      </c>
      <c r="B40" s="2" t="s">
        <v>22</v>
      </c>
      <c r="C40" s="17">
        <v>3</v>
      </c>
      <c r="D40" s="17" t="s">
        <v>13</v>
      </c>
      <c r="E40" s="17" t="s">
        <v>38</v>
      </c>
      <c r="F40" s="17" t="s">
        <v>13</v>
      </c>
      <c r="G40" s="1" t="s">
        <v>15</v>
      </c>
      <c r="H40" s="17" t="s">
        <v>13</v>
      </c>
      <c r="I40" s="24" t="s">
        <v>17</v>
      </c>
      <c r="J40" s="24" t="s">
        <v>17</v>
      </c>
      <c r="K40" s="24" t="s">
        <v>17</v>
      </c>
    </row>
    <row r="41" spans="1:11" ht="15" thickBot="1" x14ac:dyDescent="0.35">
      <c r="A41" s="15" t="s">
        <v>37</v>
      </c>
      <c r="B41" s="16" t="s">
        <v>25</v>
      </c>
      <c r="C41" s="17">
        <v>5</v>
      </c>
      <c r="D41" s="17" t="s">
        <v>19</v>
      </c>
      <c r="E41" s="17" t="s">
        <v>14</v>
      </c>
      <c r="F41" s="17" t="s">
        <v>13</v>
      </c>
      <c r="G41" s="17" t="s">
        <v>23</v>
      </c>
      <c r="H41" s="17" t="s">
        <v>13</v>
      </c>
      <c r="I41" s="24" t="s">
        <v>17</v>
      </c>
      <c r="J41" s="17" t="s">
        <v>19</v>
      </c>
      <c r="K41" s="18" t="s">
        <v>19</v>
      </c>
    </row>
    <row r="42" spans="1:11" x14ac:dyDescent="0.3">
      <c r="A42" s="9" t="s">
        <v>39</v>
      </c>
      <c r="B42" s="10" t="s">
        <v>12</v>
      </c>
      <c r="C42" s="11">
        <v>3</v>
      </c>
      <c r="D42" s="11" t="s">
        <v>13</v>
      </c>
      <c r="E42" s="11" t="s">
        <v>38</v>
      </c>
      <c r="F42" s="11" t="s">
        <v>13</v>
      </c>
      <c r="G42" s="11" t="s">
        <v>23</v>
      </c>
      <c r="H42" s="11" t="s">
        <v>16</v>
      </c>
      <c r="I42" s="24" t="s">
        <v>17</v>
      </c>
      <c r="J42" s="11" t="s">
        <v>19</v>
      </c>
      <c r="K42" s="12" t="s">
        <v>13</v>
      </c>
    </row>
    <row r="43" spans="1:11" x14ac:dyDescent="0.3">
      <c r="A43" s="13" t="s">
        <v>39</v>
      </c>
      <c r="B43" s="2" t="s">
        <v>18</v>
      </c>
      <c r="C43" s="1">
        <v>3</v>
      </c>
      <c r="D43" s="1" t="s">
        <v>13</v>
      </c>
      <c r="E43" s="1" t="s">
        <v>14</v>
      </c>
      <c r="F43" s="1" t="s">
        <v>19</v>
      </c>
      <c r="G43" s="1" t="s">
        <v>21</v>
      </c>
      <c r="H43" s="1" t="s">
        <v>29</v>
      </c>
      <c r="I43" s="24" t="s">
        <v>17</v>
      </c>
      <c r="J43" s="1" t="s">
        <v>19</v>
      </c>
      <c r="K43" s="14" t="s">
        <v>13</v>
      </c>
    </row>
    <row r="44" spans="1:11" x14ac:dyDescent="0.3">
      <c r="A44" s="13" t="s">
        <v>39</v>
      </c>
      <c r="B44" s="2" t="s">
        <v>22</v>
      </c>
      <c r="C44" s="1">
        <v>5</v>
      </c>
      <c r="D44" s="1" t="s">
        <v>19</v>
      </c>
      <c r="E44" s="1" t="s">
        <v>14</v>
      </c>
      <c r="F44" s="1" t="s">
        <v>19</v>
      </c>
      <c r="G44" s="1" t="s">
        <v>15</v>
      </c>
      <c r="H44" s="1" t="s">
        <v>29</v>
      </c>
      <c r="I44" s="24" t="s">
        <v>17</v>
      </c>
      <c r="J44" s="24" t="s">
        <v>17</v>
      </c>
      <c r="K44" s="24" t="s">
        <v>17</v>
      </c>
    </row>
    <row r="45" spans="1:11" ht="15" thickBot="1" x14ac:dyDescent="0.35">
      <c r="A45" s="15" t="s">
        <v>39</v>
      </c>
      <c r="B45" s="16" t="s">
        <v>25</v>
      </c>
      <c r="C45" s="17">
        <v>3</v>
      </c>
      <c r="D45" s="17" t="s">
        <v>13</v>
      </c>
      <c r="E45" s="17" t="s">
        <v>20</v>
      </c>
      <c r="F45" s="17" t="s">
        <v>19</v>
      </c>
      <c r="G45" s="17" t="s">
        <v>23</v>
      </c>
      <c r="H45" s="17" t="s">
        <v>28</v>
      </c>
      <c r="I45" s="24" t="s">
        <v>17</v>
      </c>
      <c r="J45" s="1" t="s">
        <v>19</v>
      </c>
      <c r="K45" s="24" t="s">
        <v>17</v>
      </c>
    </row>
    <row r="46" spans="1:11" x14ac:dyDescent="0.3">
      <c r="A46" s="9" t="s">
        <v>40</v>
      </c>
      <c r="B46" s="10" t="s">
        <v>12</v>
      </c>
      <c r="C46" s="11">
        <v>3</v>
      </c>
      <c r="D46" s="11" t="s">
        <v>13</v>
      </c>
      <c r="E46" s="11" t="s">
        <v>14</v>
      </c>
      <c r="F46" s="11" t="s">
        <v>13</v>
      </c>
      <c r="G46" s="11" t="s">
        <v>23</v>
      </c>
      <c r="H46" s="11" t="s">
        <v>16</v>
      </c>
      <c r="I46" s="24" t="s">
        <v>17</v>
      </c>
      <c r="J46" s="24" t="s">
        <v>17</v>
      </c>
      <c r="K46" s="24" t="s">
        <v>17</v>
      </c>
    </row>
    <row r="47" spans="1:11" x14ac:dyDescent="0.3">
      <c r="A47" s="13" t="s">
        <v>40</v>
      </c>
      <c r="B47" s="2" t="s">
        <v>18</v>
      </c>
      <c r="C47" s="1">
        <v>4</v>
      </c>
      <c r="D47" s="1" t="s">
        <v>13</v>
      </c>
      <c r="E47" s="1" t="s">
        <v>14</v>
      </c>
      <c r="F47" s="1" t="s">
        <v>13</v>
      </c>
      <c r="G47" s="1" t="s">
        <v>21</v>
      </c>
      <c r="H47" s="1" t="s">
        <v>16</v>
      </c>
      <c r="I47" s="24" t="s">
        <v>17</v>
      </c>
      <c r="J47" s="24" t="s">
        <v>17</v>
      </c>
      <c r="K47" s="24" t="s">
        <v>17</v>
      </c>
    </row>
    <row r="48" spans="1:11" x14ac:dyDescent="0.3">
      <c r="A48" s="13" t="s">
        <v>40</v>
      </c>
      <c r="B48" s="2" t="s">
        <v>22</v>
      </c>
      <c r="C48" s="24" t="s">
        <v>17</v>
      </c>
      <c r="D48" s="24" t="s">
        <v>17</v>
      </c>
      <c r="E48" s="24" t="s">
        <v>17</v>
      </c>
      <c r="F48" s="24" t="s">
        <v>17</v>
      </c>
      <c r="G48" s="24" t="s">
        <v>17</v>
      </c>
      <c r="H48" s="24" t="s">
        <v>17</v>
      </c>
      <c r="I48" s="24" t="s">
        <v>17</v>
      </c>
      <c r="J48" s="24" t="s">
        <v>17</v>
      </c>
      <c r="K48" s="24" t="s">
        <v>17</v>
      </c>
    </row>
    <row r="49" spans="1:11" ht="15" thickBot="1" x14ac:dyDescent="0.35">
      <c r="A49" s="15" t="s">
        <v>40</v>
      </c>
      <c r="B49" s="16" t="s">
        <v>25</v>
      </c>
      <c r="C49" s="24" t="s">
        <v>17</v>
      </c>
      <c r="D49" s="24" t="s">
        <v>17</v>
      </c>
      <c r="E49" s="24" t="s">
        <v>17</v>
      </c>
      <c r="F49" s="24" t="s">
        <v>17</v>
      </c>
      <c r="G49" s="24" t="s">
        <v>17</v>
      </c>
      <c r="H49" s="24" t="s">
        <v>17</v>
      </c>
      <c r="I49" s="24" t="s">
        <v>17</v>
      </c>
      <c r="J49" s="1" t="s">
        <v>19</v>
      </c>
      <c r="K49" s="24" t="s">
        <v>17</v>
      </c>
    </row>
    <row r="50" spans="1:11" x14ac:dyDescent="0.3">
      <c r="A50" s="9" t="s">
        <v>41</v>
      </c>
      <c r="B50" s="10" t="s">
        <v>12</v>
      </c>
      <c r="C50" s="11">
        <v>5</v>
      </c>
      <c r="D50" s="11" t="s">
        <v>13</v>
      </c>
      <c r="E50" s="11" t="s">
        <v>14</v>
      </c>
      <c r="F50" s="11" t="s">
        <v>13</v>
      </c>
      <c r="G50" s="11" t="s">
        <v>23</v>
      </c>
      <c r="H50" s="11" t="s">
        <v>16</v>
      </c>
      <c r="I50" s="24" t="s">
        <v>17</v>
      </c>
      <c r="J50" s="11" t="s">
        <v>13</v>
      </c>
      <c r="K50" s="12" t="s">
        <v>13</v>
      </c>
    </row>
    <row r="51" spans="1:11" x14ac:dyDescent="0.3">
      <c r="A51" s="13" t="s">
        <v>41</v>
      </c>
      <c r="B51" s="2" t="s">
        <v>18</v>
      </c>
      <c r="C51" s="37">
        <v>3</v>
      </c>
      <c r="D51" s="36" t="s">
        <v>13</v>
      </c>
      <c r="E51" s="37" t="s">
        <v>38</v>
      </c>
      <c r="F51" s="36" t="s">
        <v>13</v>
      </c>
      <c r="G51" s="37" t="s">
        <v>23</v>
      </c>
      <c r="H51" s="36" t="s">
        <v>13</v>
      </c>
      <c r="I51" s="24" t="s">
        <v>17</v>
      </c>
      <c r="J51" s="1" t="s">
        <v>19</v>
      </c>
      <c r="K51" s="14" t="s">
        <v>19</v>
      </c>
    </row>
    <row r="52" spans="1:11" x14ac:dyDescent="0.3">
      <c r="A52" s="13" t="s">
        <v>41</v>
      </c>
      <c r="B52" s="2" t="s">
        <v>22</v>
      </c>
      <c r="C52" s="37">
        <v>5</v>
      </c>
      <c r="D52" s="1" t="s">
        <v>19</v>
      </c>
      <c r="E52" s="37" t="s">
        <v>20</v>
      </c>
      <c r="F52" s="14" t="s">
        <v>13</v>
      </c>
      <c r="G52" s="37" t="s">
        <v>23</v>
      </c>
      <c r="H52" s="37" t="s">
        <v>16</v>
      </c>
      <c r="I52" s="24" t="s">
        <v>17</v>
      </c>
      <c r="J52" s="1" t="s">
        <v>19</v>
      </c>
      <c r="K52" s="14" t="s">
        <v>13</v>
      </c>
    </row>
    <row r="53" spans="1:11" ht="15" thickBot="1" x14ac:dyDescent="0.35">
      <c r="A53" s="15" t="s">
        <v>41</v>
      </c>
      <c r="B53" s="16" t="s">
        <v>25</v>
      </c>
      <c r="C53" s="1">
        <v>5</v>
      </c>
      <c r="D53" s="1" t="s">
        <v>19</v>
      </c>
      <c r="E53" s="1" t="s">
        <v>14</v>
      </c>
      <c r="F53" s="1" t="s">
        <v>19</v>
      </c>
      <c r="G53" s="1" t="s">
        <v>23</v>
      </c>
      <c r="H53" s="1" t="s">
        <v>16</v>
      </c>
      <c r="I53" s="24" t="s">
        <v>17</v>
      </c>
      <c r="J53" s="1" t="s">
        <v>19</v>
      </c>
      <c r="K53" s="1" t="s">
        <v>19</v>
      </c>
    </row>
    <row r="54" spans="1:11" x14ac:dyDescent="0.3">
      <c r="A54" s="9" t="s">
        <v>42</v>
      </c>
      <c r="B54" s="10" t="s">
        <v>12</v>
      </c>
      <c r="C54" s="37">
        <v>7</v>
      </c>
      <c r="D54" s="1" t="s">
        <v>19</v>
      </c>
      <c r="E54" s="37" t="s">
        <v>38</v>
      </c>
      <c r="F54" s="36" t="s">
        <v>13</v>
      </c>
      <c r="G54" s="37" t="s">
        <v>23</v>
      </c>
      <c r="H54" s="36" t="s">
        <v>13</v>
      </c>
      <c r="I54" s="24" t="s">
        <v>17</v>
      </c>
      <c r="J54" s="24" t="s">
        <v>17</v>
      </c>
      <c r="K54" s="24" t="s">
        <v>17</v>
      </c>
    </row>
    <row r="55" spans="1:11" x14ac:dyDescent="0.3">
      <c r="A55" s="13" t="s">
        <v>42</v>
      </c>
      <c r="B55" s="2" t="s">
        <v>18</v>
      </c>
      <c r="C55" s="1">
        <v>5</v>
      </c>
      <c r="D55" s="1" t="s">
        <v>13</v>
      </c>
      <c r="E55" s="1" t="s">
        <v>14</v>
      </c>
      <c r="F55" s="1" t="s">
        <v>13</v>
      </c>
      <c r="G55" s="1" t="s">
        <v>23</v>
      </c>
      <c r="H55" s="1" t="s">
        <v>16</v>
      </c>
      <c r="I55" s="24" t="s">
        <v>17</v>
      </c>
      <c r="J55" s="14" t="s">
        <v>19</v>
      </c>
      <c r="K55" s="24" t="s">
        <v>17</v>
      </c>
    </row>
    <row r="56" spans="1:11" x14ac:dyDescent="0.3">
      <c r="A56" s="13" t="s">
        <v>42</v>
      </c>
      <c r="B56" s="2" t="s">
        <v>22</v>
      </c>
      <c r="C56" s="1">
        <v>5</v>
      </c>
      <c r="D56" s="14" t="s">
        <v>13</v>
      </c>
      <c r="E56" s="1" t="s">
        <v>20</v>
      </c>
      <c r="F56" s="14" t="s">
        <v>13</v>
      </c>
      <c r="G56" s="1" t="s">
        <v>23</v>
      </c>
      <c r="H56" s="1" t="s">
        <v>16</v>
      </c>
      <c r="I56" s="24" t="s">
        <v>17</v>
      </c>
      <c r="J56" s="1" t="s">
        <v>19</v>
      </c>
      <c r="K56" s="24" t="s">
        <v>17</v>
      </c>
    </row>
    <row r="57" spans="1:11" ht="15" thickBot="1" x14ac:dyDescent="0.35">
      <c r="A57" s="15" t="s">
        <v>42</v>
      </c>
      <c r="B57" s="16" t="s">
        <v>25</v>
      </c>
      <c r="C57" s="1">
        <v>3</v>
      </c>
      <c r="D57" s="36" t="s">
        <v>13</v>
      </c>
      <c r="E57" s="1" t="s">
        <v>14</v>
      </c>
      <c r="F57" s="36" t="s">
        <v>13</v>
      </c>
      <c r="G57" s="1" t="s">
        <v>23</v>
      </c>
      <c r="H57" s="36" t="s">
        <v>13</v>
      </c>
      <c r="I57" s="24" t="s">
        <v>17</v>
      </c>
      <c r="J57" s="24" t="s">
        <v>17</v>
      </c>
      <c r="K57" s="24" t="s">
        <v>17</v>
      </c>
    </row>
    <row r="58" spans="1:11" x14ac:dyDescent="0.3">
      <c r="A58" s="9" t="s">
        <v>43</v>
      </c>
      <c r="B58" s="10" t="s">
        <v>12</v>
      </c>
      <c r="C58" s="11">
        <v>5</v>
      </c>
      <c r="D58" s="11" t="s">
        <v>19</v>
      </c>
      <c r="E58" s="11" t="s">
        <v>38</v>
      </c>
      <c r="F58" s="11" t="s">
        <v>13</v>
      </c>
      <c r="G58" s="11" t="s">
        <v>15</v>
      </c>
      <c r="H58" s="11" t="s">
        <v>16</v>
      </c>
      <c r="I58" s="24" t="s">
        <v>17</v>
      </c>
      <c r="J58" s="1" t="s">
        <v>19</v>
      </c>
      <c r="K58" s="24" t="s">
        <v>17</v>
      </c>
    </row>
    <row r="59" spans="1:11" ht="15" thickBot="1" x14ac:dyDescent="0.35">
      <c r="A59" s="13" t="s">
        <v>43</v>
      </c>
      <c r="B59" s="2" t="s">
        <v>18</v>
      </c>
      <c r="C59" s="1">
        <v>5</v>
      </c>
      <c r="D59" s="1" t="s">
        <v>13</v>
      </c>
      <c r="E59" s="1" t="s">
        <v>20</v>
      </c>
      <c r="F59" s="1" t="s">
        <v>13</v>
      </c>
      <c r="G59" s="1" t="s">
        <v>23</v>
      </c>
      <c r="H59" s="1" t="s">
        <v>16</v>
      </c>
      <c r="I59" s="24" t="s">
        <v>17</v>
      </c>
      <c r="J59" s="1" t="s">
        <v>19</v>
      </c>
      <c r="K59" s="24" t="s">
        <v>17</v>
      </c>
    </row>
    <row r="60" spans="1:11" ht="15" thickBot="1" x14ac:dyDescent="0.35">
      <c r="A60" s="13" t="s">
        <v>43</v>
      </c>
      <c r="B60" s="2" t="s">
        <v>22</v>
      </c>
      <c r="C60" s="1">
        <v>2</v>
      </c>
      <c r="D60" s="1" t="s">
        <v>13</v>
      </c>
      <c r="E60" s="1" t="s">
        <v>38</v>
      </c>
      <c r="F60" s="1" t="s">
        <v>13</v>
      </c>
      <c r="G60" s="11" t="s">
        <v>15</v>
      </c>
      <c r="H60" s="1" t="s">
        <v>13</v>
      </c>
      <c r="I60" s="24" t="s">
        <v>17</v>
      </c>
      <c r="J60" s="1" t="s">
        <v>19</v>
      </c>
      <c r="K60" s="14" t="s">
        <v>13</v>
      </c>
    </row>
    <row r="61" spans="1:11" ht="15" thickBot="1" x14ac:dyDescent="0.35">
      <c r="A61" s="15" t="s">
        <v>43</v>
      </c>
      <c r="B61" s="16" t="s">
        <v>25</v>
      </c>
      <c r="C61" s="11">
        <v>3</v>
      </c>
      <c r="D61" s="11" t="s">
        <v>19</v>
      </c>
      <c r="E61" s="11" t="s">
        <v>14</v>
      </c>
      <c r="F61" s="1" t="s">
        <v>13</v>
      </c>
      <c r="G61" s="11" t="s">
        <v>21</v>
      </c>
      <c r="H61" s="1" t="s">
        <v>16</v>
      </c>
      <c r="I61" s="24" t="s">
        <v>17</v>
      </c>
      <c r="J61" s="1" t="s">
        <v>19</v>
      </c>
      <c r="K61" s="24" t="s">
        <v>17</v>
      </c>
    </row>
    <row r="62" spans="1:11" x14ac:dyDescent="0.3">
      <c r="A62" s="9" t="s">
        <v>44</v>
      </c>
      <c r="B62" s="10" t="s">
        <v>12</v>
      </c>
      <c r="C62" s="11">
        <v>5</v>
      </c>
      <c r="D62" s="11" t="s">
        <v>19</v>
      </c>
      <c r="E62" s="11" t="s">
        <v>20</v>
      </c>
      <c r="F62" s="11" t="s">
        <v>13</v>
      </c>
      <c r="G62" s="11" t="s">
        <v>21</v>
      </c>
      <c r="H62" s="11" t="s">
        <v>16</v>
      </c>
      <c r="I62" s="24" t="s">
        <v>17</v>
      </c>
      <c r="J62" s="11" t="s">
        <v>19</v>
      </c>
      <c r="K62" s="12" t="s">
        <v>19</v>
      </c>
    </row>
    <row r="63" spans="1:11" x14ac:dyDescent="0.3">
      <c r="A63" s="13" t="s">
        <v>44</v>
      </c>
      <c r="B63" s="2" t="s">
        <v>18</v>
      </c>
      <c r="C63" s="1">
        <v>5</v>
      </c>
      <c r="D63" s="1" t="s">
        <v>13</v>
      </c>
      <c r="E63" s="1" t="s">
        <v>14</v>
      </c>
      <c r="F63" s="1" t="s">
        <v>13</v>
      </c>
      <c r="G63" s="1" t="s">
        <v>23</v>
      </c>
      <c r="H63" s="1" t="s">
        <v>16</v>
      </c>
      <c r="I63" s="24" t="s">
        <v>17</v>
      </c>
      <c r="J63" s="1" t="s">
        <v>19</v>
      </c>
      <c r="K63" s="14" t="s">
        <v>13</v>
      </c>
    </row>
    <row r="64" spans="1:11" x14ac:dyDescent="0.3">
      <c r="A64" s="13" t="s">
        <v>44</v>
      </c>
      <c r="B64" s="2" t="s">
        <v>22</v>
      </c>
      <c r="C64" s="1">
        <v>5</v>
      </c>
      <c r="D64" s="1" t="s">
        <v>19</v>
      </c>
      <c r="E64" s="1" t="s">
        <v>20</v>
      </c>
      <c r="F64" s="1" t="s">
        <v>13</v>
      </c>
      <c r="G64" s="1" t="s">
        <v>21</v>
      </c>
      <c r="H64" s="1" t="s">
        <v>16</v>
      </c>
      <c r="I64" s="24" t="s">
        <v>17</v>
      </c>
      <c r="J64" s="1" t="s">
        <v>19</v>
      </c>
      <c r="K64" s="14" t="s">
        <v>13</v>
      </c>
    </row>
    <row r="65" spans="1:11" ht="15" thickBot="1" x14ac:dyDescent="0.35">
      <c r="A65" s="15" t="s">
        <v>44</v>
      </c>
      <c r="B65" s="16" t="s">
        <v>25</v>
      </c>
      <c r="C65" s="1">
        <v>5</v>
      </c>
      <c r="D65" s="1" t="s">
        <v>13</v>
      </c>
      <c r="E65" s="1" t="s">
        <v>20</v>
      </c>
      <c r="F65" s="1" t="s">
        <v>19</v>
      </c>
      <c r="G65" s="1" t="s">
        <v>21</v>
      </c>
      <c r="H65" s="1" t="s">
        <v>29</v>
      </c>
      <c r="I65" s="24" t="s">
        <v>17</v>
      </c>
      <c r="J65" s="17" t="s">
        <v>19</v>
      </c>
      <c r="K65" s="18" t="s">
        <v>19</v>
      </c>
    </row>
    <row r="66" spans="1:11" x14ac:dyDescent="0.3">
      <c r="A66" s="9" t="s">
        <v>45</v>
      </c>
      <c r="B66" s="10" t="s">
        <v>12</v>
      </c>
      <c r="C66" s="11">
        <v>3</v>
      </c>
      <c r="D66" s="11" t="s">
        <v>13</v>
      </c>
      <c r="E66" s="11" t="s">
        <v>38</v>
      </c>
      <c r="F66" s="11" t="s">
        <v>13</v>
      </c>
      <c r="G66" s="11" t="s">
        <v>15</v>
      </c>
      <c r="H66" s="11" t="s">
        <v>16</v>
      </c>
      <c r="I66" s="24" t="s">
        <v>17</v>
      </c>
      <c r="J66" s="24" t="s">
        <v>17</v>
      </c>
      <c r="K66" s="24" t="s">
        <v>17</v>
      </c>
    </row>
    <row r="67" spans="1:11" x14ac:dyDescent="0.3">
      <c r="A67" s="13" t="s">
        <v>45</v>
      </c>
      <c r="B67" s="2" t="s">
        <v>18</v>
      </c>
      <c r="C67" s="1">
        <v>3</v>
      </c>
      <c r="D67" s="1" t="s">
        <v>13</v>
      </c>
      <c r="E67" s="1" t="s">
        <v>14</v>
      </c>
      <c r="F67" s="1" t="s">
        <v>13</v>
      </c>
      <c r="G67" s="1" t="s">
        <v>21</v>
      </c>
      <c r="H67" s="1" t="s">
        <v>46</v>
      </c>
      <c r="I67" s="24" t="s">
        <v>17</v>
      </c>
      <c r="J67" s="14" t="s">
        <v>19</v>
      </c>
      <c r="K67" s="24" t="s">
        <v>17</v>
      </c>
    </row>
    <row r="68" spans="1:11" x14ac:dyDescent="0.3">
      <c r="A68" s="13" t="s">
        <v>45</v>
      </c>
      <c r="B68" s="2" t="s">
        <v>22</v>
      </c>
      <c r="C68" s="24" t="s">
        <v>17</v>
      </c>
      <c r="D68" s="24" t="s">
        <v>17</v>
      </c>
      <c r="E68" s="24" t="s">
        <v>17</v>
      </c>
      <c r="F68" s="24" t="s">
        <v>17</v>
      </c>
      <c r="G68" s="24" t="s">
        <v>17</v>
      </c>
      <c r="H68" s="24" t="s">
        <v>17</v>
      </c>
      <c r="I68" s="24" t="s">
        <v>17</v>
      </c>
      <c r="J68" s="24" t="s">
        <v>17</v>
      </c>
      <c r="K68" s="24" t="s">
        <v>17</v>
      </c>
    </row>
    <row r="69" spans="1:11" ht="15" thickBot="1" x14ac:dyDescent="0.35">
      <c r="A69" s="15" t="s">
        <v>45</v>
      </c>
      <c r="B69" s="16" t="s">
        <v>25</v>
      </c>
      <c r="C69" s="17">
        <v>3</v>
      </c>
      <c r="D69" s="17" t="s">
        <v>19</v>
      </c>
      <c r="E69" s="17" t="s">
        <v>14</v>
      </c>
      <c r="F69" s="17" t="s">
        <v>13</v>
      </c>
      <c r="G69" s="17" t="s">
        <v>23</v>
      </c>
      <c r="H69" s="17" t="s">
        <v>16</v>
      </c>
      <c r="I69" s="24" t="s">
        <v>17</v>
      </c>
      <c r="J69" s="24" t="s">
        <v>17</v>
      </c>
      <c r="K69" s="24" t="s">
        <v>17</v>
      </c>
    </row>
    <row r="70" spans="1:11" x14ac:dyDescent="0.3">
      <c r="A70" s="9" t="s">
        <v>47</v>
      </c>
      <c r="B70" s="10" t="s">
        <v>12</v>
      </c>
      <c r="C70" s="11">
        <v>5</v>
      </c>
      <c r="D70" s="11" t="s">
        <v>13</v>
      </c>
      <c r="E70" s="11" t="s">
        <v>14</v>
      </c>
      <c r="F70" s="11" t="s">
        <v>13</v>
      </c>
      <c r="G70" s="11" t="s">
        <v>23</v>
      </c>
      <c r="H70" s="11" t="s">
        <v>16</v>
      </c>
      <c r="I70" s="24" t="s">
        <v>17</v>
      </c>
      <c r="J70" s="22" t="s">
        <v>19</v>
      </c>
      <c r="K70" s="24" t="s">
        <v>17</v>
      </c>
    </row>
    <row r="71" spans="1:11" x14ac:dyDescent="0.3">
      <c r="A71" s="13" t="s">
        <v>47</v>
      </c>
      <c r="B71" s="2" t="s">
        <v>18</v>
      </c>
      <c r="C71" s="1">
        <v>5</v>
      </c>
      <c r="D71" s="1" t="s">
        <v>13</v>
      </c>
      <c r="E71" s="1" t="s">
        <v>20</v>
      </c>
      <c r="F71" s="1" t="s">
        <v>13</v>
      </c>
      <c r="G71" s="1" t="s">
        <v>48</v>
      </c>
      <c r="H71" s="1" t="s">
        <v>29</v>
      </c>
      <c r="I71" s="24" t="s">
        <v>17</v>
      </c>
      <c r="J71" s="14" t="s">
        <v>19</v>
      </c>
      <c r="K71" s="24" t="s">
        <v>17</v>
      </c>
    </row>
    <row r="72" spans="1:11" x14ac:dyDescent="0.3">
      <c r="A72" s="13" t="s">
        <v>47</v>
      </c>
      <c r="B72" s="2" t="s">
        <v>22</v>
      </c>
      <c r="C72" s="1">
        <v>5</v>
      </c>
      <c r="D72" s="1" t="s">
        <v>13</v>
      </c>
      <c r="E72" s="1" t="s">
        <v>20</v>
      </c>
      <c r="F72" s="22" t="s">
        <v>19</v>
      </c>
      <c r="G72" s="1" t="s">
        <v>23</v>
      </c>
      <c r="H72" s="1" t="s">
        <v>29</v>
      </c>
      <c r="I72" s="24" t="s">
        <v>17</v>
      </c>
      <c r="J72" s="22" t="s">
        <v>19</v>
      </c>
      <c r="K72" s="23" t="s">
        <v>13</v>
      </c>
    </row>
    <row r="73" spans="1:11" ht="15" thickBot="1" x14ac:dyDescent="0.35">
      <c r="A73" s="15" t="s">
        <v>47</v>
      </c>
      <c r="B73" s="16" t="s">
        <v>25</v>
      </c>
      <c r="C73" s="17">
        <v>4</v>
      </c>
      <c r="D73" s="17" t="s">
        <v>13</v>
      </c>
      <c r="E73" s="17" t="s">
        <v>20</v>
      </c>
      <c r="F73" s="17" t="s">
        <v>19</v>
      </c>
      <c r="G73" s="17" t="s">
        <v>23</v>
      </c>
      <c r="H73" s="17" t="s">
        <v>29</v>
      </c>
      <c r="I73" s="24" t="s">
        <v>17</v>
      </c>
      <c r="J73" s="1" t="s">
        <v>19</v>
      </c>
      <c r="K73" s="1" t="s">
        <v>19</v>
      </c>
    </row>
    <row r="74" spans="1:11" x14ac:dyDescent="0.3">
      <c r="A74" s="9" t="s">
        <v>49</v>
      </c>
      <c r="B74" s="10" t="s">
        <v>12</v>
      </c>
      <c r="C74" s="11">
        <v>5</v>
      </c>
      <c r="D74" s="11" t="s">
        <v>19</v>
      </c>
      <c r="E74" s="11" t="s">
        <v>14</v>
      </c>
      <c r="F74" s="11" t="s">
        <v>13</v>
      </c>
      <c r="G74" s="11" t="s">
        <v>23</v>
      </c>
      <c r="H74" s="11" t="s">
        <v>16</v>
      </c>
      <c r="I74" s="24" t="s">
        <v>17</v>
      </c>
      <c r="J74" s="11" t="s">
        <v>19</v>
      </c>
      <c r="K74" s="12" t="s">
        <v>13</v>
      </c>
    </row>
    <row r="75" spans="1:11" x14ac:dyDescent="0.3">
      <c r="A75" s="13" t="s">
        <v>49</v>
      </c>
      <c r="B75" s="2" t="s">
        <v>18</v>
      </c>
      <c r="C75" s="1">
        <v>7</v>
      </c>
      <c r="D75" s="1" t="s">
        <v>19</v>
      </c>
      <c r="E75" s="1" t="s">
        <v>20</v>
      </c>
      <c r="F75" s="1" t="s">
        <v>19</v>
      </c>
      <c r="G75" s="1" t="s">
        <v>23</v>
      </c>
      <c r="H75" s="1" t="s">
        <v>16</v>
      </c>
      <c r="I75" s="24" t="s">
        <v>17</v>
      </c>
      <c r="J75" s="1" t="s">
        <v>19</v>
      </c>
      <c r="K75" s="14" t="s">
        <v>13</v>
      </c>
    </row>
    <row r="76" spans="1:11" x14ac:dyDescent="0.3">
      <c r="A76" s="13" t="s">
        <v>49</v>
      </c>
      <c r="B76" s="2" t="s">
        <v>22</v>
      </c>
      <c r="C76" s="1">
        <v>10</v>
      </c>
      <c r="D76" s="1" t="s">
        <v>19</v>
      </c>
      <c r="E76" s="1" t="s">
        <v>14</v>
      </c>
      <c r="F76" s="1" t="s">
        <v>13</v>
      </c>
      <c r="G76" s="1" t="s">
        <v>21</v>
      </c>
      <c r="H76" s="1" t="s">
        <v>16</v>
      </c>
      <c r="I76" s="24" t="s">
        <v>17</v>
      </c>
      <c r="J76" s="24" t="s">
        <v>17</v>
      </c>
      <c r="K76" s="24" t="s">
        <v>17</v>
      </c>
    </row>
    <row r="77" spans="1:11" ht="15" thickBot="1" x14ac:dyDescent="0.35">
      <c r="A77" s="15" t="s">
        <v>49</v>
      </c>
      <c r="B77" s="16" t="s">
        <v>25</v>
      </c>
      <c r="C77" s="24" t="s">
        <v>17</v>
      </c>
      <c r="D77" s="24" t="s">
        <v>17</v>
      </c>
      <c r="E77" s="24" t="s">
        <v>17</v>
      </c>
      <c r="F77" s="24" t="s">
        <v>17</v>
      </c>
      <c r="G77" s="24" t="s">
        <v>17</v>
      </c>
      <c r="H77" s="24" t="s">
        <v>17</v>
      </c>
      <c r="I77" s="24" t="s">
        <v>17</v>
      </c>
      <c r="J77" s="24" t="s">
        <v>17</v>
      </c>
      <c r="K77" s="24" t="s">
        <v>17</v>
      </c>
    </row>
    <row r="78" spans="1:11" x14ac:dyDescent="0.3">
      <c r="A78" s="9" t="s">
        <v>50</v>
      </c>
      <c r="B78" s="10" t="s">
        <v>12</v>
      </c>
      <c r="C78" s="11">
        <v>3</v>
      </c>
      <c r="D78" s="11" t="s">
        <v>13</v>
      </c>
      <c r="E78" s="11" t="s">
        <v>38</v>
      </c>
      <c r="F78" s="11" t="s">
        <v>13</v>
      </c>
      <c r="G78" s="11" t="s">
        <v>23</v>
      </c>
      <c r="H78" s="11" t="s">
        <v>16</v>
      </c>
      <c r="I78" s="24" t="s">
        <v>17</v>
      </c>
      <c r="J78" s="1" t="s">
        <v>19</v>
      </c>
      <c r="K78" s="1" t="s">
        <v>19</v>
      </c>
    </row>
    <row r="79" spans="1:11" x14ac:dyDescent="0.3">
      <c r="A79" s="13" t="s">
        <v>50</v>
      </c>
      <c r="B79" s="2" t="s">
        <v>18</v>
      </c>
      <c r="C79" s="1">
        <v>10</v>
      </c>
      <c r="D79" s="1" t="s">
        <v>19</v>
      </c>
      <c r="E79" s="1" t="s">
        <v>14</v>
      </c>
      <c r="F79" s="1" t="s">
        <v>13</v>
      </c>
      <c r="G79" s="1" t="s">
        <v>21</v>
      </c>
      <c r="H79" s="1" t="s">
        <v>16</v>
      </c>
      <c r="I79" s="24" t="s">
        <v>17</v>
      </c>
      <c r="J79" s="24" t="s">
        <v>17</v>
      </c>
      <c r="K79" s="24" t="s">
        <v>17</v>
      </c>
    </row>
    <row r="80" spans="1:11" x14ac:dyDescent="0.3">
      <c r="A80" s="13" t="s">
        <v>50</v>
      </c>
      <c r="B80" s="2" t="s">
        <v>22</v>
      </c>
      <c r="C80" s="1">
        <v>10</v>
      </c>
      <c r="D80" s="1" t="s">
        <v>19</v>
      </c>
      <c r="E80" s="1" t="s">
        <v>14</v>
      </c>
      <c r="F80" s="1" t="s">
        <v>13</v>
      </c>
      <c r="G80" s="1" t="s">
        <v>23</v>
      </c>
      <c r="H80" s="1" t="s">
        <v>16</v>
      </c>
      <c r="I80" s="24" t="s">
        <v>17</v>
      </c>
      <c r="J80" s="1" t="s">
        <v>19</v>
      </c>
      <c r="K80" s="14" t="s">
        <v>13</v>
      </c>
    </row>
    <row r="81" spans="1:11" ht="15" thickBot="1" x14ac:dyDescent="0.35">
      <c r="A81" s="15" t="s">
        <v>50</v>
      </c>
      <c r="B81" s="16" t="s">
        <v>25</v>
      </c>
      <c r="C81" s="24" t="s">
        <v>17</v>
      </c>
      <c r="D81" s="24" t="s">
        <v>17</v>
      </c>
      <c r="E81" s="24" t="s">
        <v>17</v>
      </c>
      <c r="F81" s="24" t="s">
        <v>17</v>
      </c>
      <c r="G81" s="24" t="s">
        <v>17</v>
      </c>
      <c r="H81" s="24" t="s">
        <v>17</v>
      </c>
      <c r="I81" s="24" t="s">
        <v>17</v>
      </c>
      <c r="J81" s="24" t="s">
        <v>17</v>
      </c>
      <c r="K81" s="24" t="s">
        <v>17</v>
      </c>
    </row>
  </sheetData>
  <conditionalFormatting sqref="D4">
    <cfRule type="cellIs" dxfId="75" priority="9" operator="equal">
      <formula>"N"</formula>
    </cfRule>
    <cfRule type="cellIs" dxfId="74" priority="10" operator="equal">
      <formula>"Y"</formula>
    </cfRule>
  </conditionalFormatting>
  <conditionalFormatting sqref="D44">
    <cfRule type="cellIs" dxfId="73" priority="15" operator="equal">
      <formula>"N"</formula>
    </cfRule>
    <cfRule type="cellIs" dxfId="72" priority="16" operator="equal">
      <formula>"Y"</formula>
    </cfRule>
  </conditionalFormatting>
  <conditionalFormatting sqref="D52">
    <cfRule type="cellIs" dxfId="71" priority="5" operator="equal">
      <formula>"N"</formula>
    </cfRule>
    <cfRule type="cellIs" dxfId="70" priority="6" operator="equal">
      <formula>"Y"</formula>
    </cfRule>
  </conditionalFormatting>
  <conditionalFormatting sqref="D54">
    <cfRule type="cellIs" dxfId="69" priority="3" operator="equal">
      <formula>"N"</formula>
    </cfRule>
    <cfRule type="cellIs" dxfId="68" priority="4" operator="equal">
      <formula>"Y"</formula>
    </cfRule>
  </conditionalFormatting>
  <conditionalFormatting sqref="D56">
    <cfRule type="cellIs" dxfId="67" priority="22" operator="equal">
      <formula>"Y"</formula>
    </cfRule>
    <cfRule type="cellIs" dxfId="66" priority="21" operator="equal">
      <formula>"N"</formula>
    </cfRule>
  </conditionalFormatting>
  <conditionalFormatting sqref="D2:H3 J3:K3 D6:H15 J15:K15 D17:H20 J17:K20 J22:K35 D22:H36 J38:K39 J41:K43 D50:H50 D55:H55 J60:K60 J61 J62:K65 D78:H80 J80:K80">
    <cfRule type="cellIs" dxfId="65" priority="101" operator="equal">
      <formula>"N"</formula>
    </cfRule>
    <cfRule type="cellIs" dxfId="64" priority="102" operator="equal">
      <formula>"Y"</formula>
    </cfRule>
  </conditionalFormatting>
  <conditionalFormatting sqref="D38:H43">
    <cfRule type="cellIs" dxfId="63" priority="77" operator="equal">
      <formula>"N"</formula>
    </cfRule>
    <cfRule type="cellIs" dxfId="62" priority="78" operator="equal">
      <formula>"Y"</formula>
    </cfRule>
  </conditionalFormatting>
  <conditionalFormatting sqref="D45:H47">
    <cfRule type="cellIs" dxfId="61" priority="48" operator="equal">
      <formula>"Y"</formula>
    </cfRule>
    <cfRule type="cellIs" dxfId="60" priority="47" operator="equal">
      <formula>"N"</formula>
    </cfRule>
  </conditionalFormatting>
  <conditionalFormatting sqref="D53:H53">
    <cfRule type="cellIs" dxfId="59" priority="89" operator="equal">
      <formula>"N"</formula>
    </cfRule>
    <cfRule type="cellIs" dxfId="58" priority="90" operator="equal">
      <formula>"Y"</formula>
    </cfRule>
  </conditionalFormatting>
  <conditionalFormatting sqref="D58:H67">
    <cfRule type="cellIs" dxfId="57" priority="2" operator="equal">
      <formula>"Y"</formula>
    </cfRule>
    <cfRule type="cellIs" dxfId="56" priority="1" operator="equal">
      <formula>"N"</formula>
    </cfRule>
  </conditionalFormatting>
  <conditionalFormatting sqref="D69:H76">
    <cfRule type="cellIs" dxfId="55" priority="46" operator="equal">
      <formula>"Y"</formula>
    </cfRule>
    <cfRule type="cellIs" dxfId="54" priority="45" operator="equal">
      <formula>"N"</formula>
    </cfRule>
  </conditionalFormatting>
  <conditionalFormatting sqref="F4">
    <cfRule type="cellIs" dxfId="53" priority="11" operator="equal">
      <formula>"N"</formula>
    </cfRule>
    <cfRule type="cellIs" dxfId="52" priority="12" operator="equal">
      <formula>"Y"</formula>
    </cfRule>
  </conditionalFormatting>
  <conditionalFormatting sqref="F44">
    <cfRule type="cellIs" dxfId="51" priority="18" operator="equal">
      <formula>"Y"</formula>
    </cfRule>
    <cfRule type="cellIs" dxfId="50" priority="17" operator="equal">
      <formula>"N"</formula>
    </cfRule>
  </conditionalFormatting>
  <conditionalFormatting sqref="F52">
    <cfRule type="cellIs" dxfId="49" priority="7" operator="equal">
      <formula>"N"</formula>
    </cfRule>
    <cfRule type="cellIs" dxfId="48" priority="8" operator="equal">
      <formula>"Y"</formula>
    </cfRule>
  </conditionalFormatting>
  <conditionalFormatting sqref="F56">
    <cfRule type="cellIs" dxfId="47" priority="20" operator="equal">
      <formula>"Y"</formula>
    </cfRule>
    <cfRule type="cellIs" dxfId="46" priority="19" operator="equal">
      <formula>"N"</formula>
    </cfRule>
  </conditionalFormatting>
  <conditionalFormatting sqref="J4">
    <cfRule type="cellIs" dxfId="45" priority="13" operator="equal">
      <formula>"N"</formula>
    </cfRule>
    <cfRule type="cellIs" dxfId="44" priority="14" operator="equal">
      <formula>"Y"</formula>
    </cfRule>
  </conditionalFormatting>
  <conditionalFormatting sqref="J14">
    <cfRule type="cellIs" dxfId="43" priority="37" operator="equal">
      <formula>"N"</formula>
    </cfRule>
    <cfRule type="cellIs" dxfId="42" priority="38" operator="equal">
      <formula>"Y"</formula>
    </cfRule>
  </conditionalFormatting>
  <conditionalFormatting sqref="J37">
    <cfRule type="cellIs" dxfId="41" priority="40" operator="equal">
      <formula>"Y"</formula>
    </cfRule>
    <cfRule type="cellIs" dxfId="40" priority="39" operator="equal">
      <formula>"N"</formula>
    </cfRule>
  </conditionalFormatting>
  <conditionalFormatting sqref="J45">
    <cfRule type="cellIs" dxfId="39" priority="44" operator="equal">
      <formula>"Y"</formula>
    </cfRule>
    <cfRule type="cellIs" dxfId="38" priority="43" operator="equal">
      <formula>"N"</formula>
    </cfRule>
  </conditionalFormatting>
  <conditionalFormatting sqref="J49">
    <cfRule type="cellIs" dxfId="37" priority="41" operator="equal">
      <formula>"N"</formula>
    </cfRule>
    <cfRule type="cellIs" dxfId="36" priority="42" operator="equal">
      <formula>"Y"</formula>
    </cfRule>
  </conditionalFormatting>
  <conditionalFormatting sqref="J55:J56">
    <cfRule type="cellIs" dxfId="35" priority="23" operator="equal">
      <formula>"N"</formula>
    </cfRule>
    <cfRule type="cellIs" dxfId="34" priority="24" operator="equal">
      <formula>"Y"</formula>
    </cfRule>
  </conditionalFormatting>
  <conditionalFormatting sqref="J58:J59">
    <cfRule type="cellIs" dxfId="33" priority="95" operator="equal">
      <formula>"N"</formula>
    </cfRule>
    <cfRule type="cellIs" dxfId="32" priority="96" operator="equal">
      <formula>"Y"</formula>
    </cfRule>
  </conditionalFormatting>
  <conditionalFormatting sqref="J67">
    <cfRule type="cellIs" dxfId="31" priority="30" operator="equal">
      <formula>"Y"</formula>
    </cfRule>
    <cfRule type="cellIs" dxfId="30" priority="29" operator="equal">
      <formula>"N"</formula>
    </cfRule>
  </conditionalFormatting>
  <conditionalFormatting sqref="J70:J71">
    <cfRule type="cellIs" dxfId="29" priority="35" operator="equal">
      <formula>"N"</formula>
    </cfRule>
    <cfRule type="cellIs" dxfId="28" priority="36" operator="equal">
      <formula>"Y"</formula>
    </cfRule>
  </conditionalFormatting>
  <conditionalFormatting sqref="J7:K7">
    <cfRule type="cellIs" dxfId="27" priority="31" operator="equal">
      <formula>"N"</formula>
    </cfRule>
    <cfRule type="cellIs" dxfId="26" priority="32" operator="equal">
      <formula>"Y"</formula>
    </cfRule>
  </conditionalFormatting>
  <conditionalFormatting sqref="J9:K13">
    <cfRule type="cellIs" dxfId="25" priority="59" operator="equal">
      <formula>"N"</formula>
    </cfRule>
    <cfRule type="cellIs" dxfId="24" priority="60" operator="equal">
      <formula>"Y"</formula>
    </cfRule>
  </conditionalFormatting>
  <conditionalFormatting sqref="J50:K53">
    <cfRule type="cellIs" dxfId="23" priority="92" operator="equal">
      <formula>"Y"</formula>
    </cfRule>
    <cfRule type="cellIs" dxfId="22" priority="91" operator="equal">
      <formula>"N"</formula>
    </cfRule>
  </conditionalFormatting>
  <conditionalFormatting sqref="J72:K75">
    <cfRule type="cellIs" dxfId="21" priority="61" operator="equal">
      <formula>"N"</formula>
    </cfRule>
    <cfRule type="cellIs" dxfId="20" priority="62" operator="equal">
      <formula>"Y"</formula>
    </cfRule>
  </conditionalFormatting>
  <conditionalFormatting sqref="J78:K78">
    <cfRule type="cellIs" dxfId="19" priority="97" operator="equal">
      <formula>"N"</formula>
    </cfRule>
    <cfRule type="cellIs" dxfId="18" priority="98" operator="equal">
      <formula>"Y"</formula>
    </cfRule>
  </conditionalFormatting>
  <conditionalFormatting sqref="K21">
    <cfRule type="cellIs" dxfId="17" priority="57" operator="equal">
      <formula>"N"</formula>
    </cfRule>
    <cfRule type="cellIs" dxfId="16" priority="58" operator="equal">
      <formula>"Y"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77903-ADE8-4E36-8EBC-04DCF220DAB7}">
  <dimension ref="A1:O35"/>
  <sheetViews>
    <sheetView topLeftCell="D1" zoomScaleNormal="100" workbookViewId="0">
      <selection activeCell="F9" sqref="F9"/>
    </sheetView>
  </sheetViews>
  <sheetFormatPr defaultRowHeight="14.4" x14ac:dyDescent="0.3"/>
  <cols>
    <col min="1" max="1" width="19.33203125" style="28" hidden="1" customWidth="1"/>
    <col min="2" max="3" width="8.88671875" hidden="1" customWidth="1"/>
    <col min="4" max="4" width="19.33203125" customWidth="1"/>
    <col min="5" max="5" width="22.6640625" customWidth="1"/>
    <col min="6" max="6" width="18.6640625" bestFit="1" customWidth="1"/>
  </cols>
  <sheetData>
    <row r="1" spans="1:15" x14ac:dyDescent="0.3">
      <c r="A1" s="26" t="s">
        <v>11</v>
      </c>
      <c r="B1" t="s">
        <v>12</v>
      </c>
    </row>
    <row r="2" spans="1:15" ht="15" thickBot="1" x14ac:dyDescent="0.35">
      <c r="A2" s="26" t="s">
        <v>44</v>
      </c>
      <c r="B2" t="s">
        <v>18</v>
      </c>
    </row>
    <row r="3" spans="1:15" ht="15" thickBot="1" x14ac:dyDescent="0.35">
      <c r="A3" s="27" t="s">
        <v>27</v>
      </c>
      <c r="B3" t="s">
        <v>22</v>
      </c>
      <c r="D3" s="38" t="s">
        <v>51</v>
      </c>
      <c r="E3" s="39"/>
    </row>
    <row r="4" spans="1:15" x14ac:dyDescent="0.3">
      <c r="A4" s="25" t="s">
        <v>45</v>
      </c>
      <c r="B4" t="s">
        <v>52</v>
      </c>
      <c r="D4" s="31" t="s">
        <v>53</v>
      </c>
      <c r="E4" s="30" t="s">
        <v>79</v>
      </c>
    </row>
    <row r="5" spans="1:15" x14ac:dyDescent="0.3">
      <c r="A5" s="26" t="s">
        <v>42</v>
      </c>
      <c r="D5" s="31" t="s">
        <v>54</v>
      </c>
      <c r="E5" s="30" t="s">
        <v>34</v>
      </c>
    </row>
    <row r="6" spans="1:15" ht="15" thickBot="1" x14ac:dyDescent="0.35">
      <c r="A6" s="26" t="s">
        <v>41</v>
      </c>
      <c r="B6" t="s">
        <v>19</v>
      </c>
      <c r="D6" s="31" t="s">
        <v>55</v>
      </c>
      <c r="E6" s="30" t="s">
        <v>22</v>
      </c>
    </row>
    <row r="7" spans="1:15" ht="15" thickBot="1" x14ac:dyDescent="0.35">
      <c r="A7" s="27" t="s">
        <v>26</v>
      </c>
      <c r="B7" t="s">
        <v>13</v>
      </c>
      <c r="D7" s="38" t="s">
        <v>56</v>
      </c>
      <c r="E7" s="39"/>
      <c r="F7" s="35" t="s">
        <v>57</v>
      </c>
      <c r="G7" s="38" t="s">
        <v>58</v>
      </c>
      <c r="H7" s="39"/>
      <c r="I7" s="39"/>
      <c r="J7" s="39"/>
      <c r="K7" s="39"/>
      <c r="L7" s="39"/>
      <c r="M7" s="39"/>
      <c r="N7" s="39"/>
      <c r="O7" s="40"/>
    </row>
    <row r="8" spans="1:15" x14ac:dyDescent="0.3">
      <c r="A8" s="25" t="s">
        <v>31</v>
      </c>
      <c r="D8" s="31" t="s">
        <v>59</v>
      </c>
      <c r="E8" s="30">
        <v>3</v>
      </c>
      <c r="F8" s="32" cm="1">
        <f t="array" ref="F8">_xlfn.IFS(OR(E8="",E5="",E6=""),"-",AND(E5=A1,E6=B1),'Base Data'!C2,AND(E5=A1,E6=B2),'Base Data'!C3,AND(E5=A1,E6=B3),'Base Data'!C4,AND(E5=A1,E6=B4),'Base Data'!C5,AND(E5=A2,E6=B1),'Base Data'!C62,AND(E5=A2,E6=B2),'Base Data'!C63,AND(E5=A2,E6=B3),'Base Data'!C64,AND(E5=A2,E6=B4),'Base Data'!C65,AND(E5=A3,E6=B1),'Base Data'!C10,AND(E5=A3,E6=B2),'Base Data'!C11,AND(E5=A3,E6=B3),'Base Data'!C12,AND(E5=A3,E6=B4),'Base Data'!C13,AND(E5=A4,E6=B1),'Base Data'!C66,AND(E5=A4,E6=B2),'Base Data'!C67,AND(E5=A4,E6=B3),'Base Data'!C68,AND(E5=A4,E6=B4),'Base Data'!C69,AND(E5=A5,E6=B1),'Base Data'!C54,AND(E5=A5,E6=B2),'Base Data'!C55,AND(E5=A5,E6=B3),'Base Data'!C56,AND(E5=A5,E6=B4),'Base Data'!C57,AND(E5=A7,E6=B1),'Base Data'!C6,AND(E5=A7,E6=B2),'Base Data'!C7,AND(E5=A7,E6=B3),'Base Data'!C8,AND(E5=A7,E6=B4),'Base Data'!C9,AND(E5=A8,E6=B1),'Base Data'!C18,AND(E5=A8,E6=B2),'Base Data'!C19,AND(E5=A8,E6=B3),'Base Data'!C20,AND(E5=A8,E6=B4),'Base Data'!C21,AND(E5=A9,E6=B1),'Base Data'!C22,AND(E5=A9,E6=B2),'Base Data'!C23,AND(E5=A9,E6=B3),'Base Data'!C24,AND(E5=A9,E6=B4),'Base Data'!C25,AND(E5=A10,E6=B1),'Base Data'!C26,AND(E5=A10,E6=B2),'Base Data'!C27,AND(E5=A10,E6=B3),'Base Data'!C28,AND(E5=A10,E6=B4),'Base Data'!C29,AND(E5=A11,E6=B1),'Base Data'!C46,AND(E5=A11,E6=B2),'Base Data'!C47,AND(E5=A11,E6=B3),'Base Data'!C48,AND(E5=A11,E6=B4),'Base Data'!C49,AND(E5=A12,E6=B1),'Base Data'!C78,AND(E5=A12,E6=B2),'Base Data'!C79,AND(E5=A12,E6=B3),'Base Data'!C80,AND(E5=A12,E6=B4),'Base Data'!C81,AND(E5=A13,E6=B1),'Base Data'!C30,AND(E5=A13,E6=B2),'Base Data'!C31,AND(E5=A13,E6=B3),'Base Data'!C32,AND(E5=A13,E6=B4),'Base Data'!C33,AND(E5=A14,E6=B1),'Base Data'!C58,AND(E5=A14,E6=B2),'Base Data'!C59,AND(E5=A14,E6=B3),'Base Data'!C60,AND(E5=A14,E6=B4),'Base Data'!C61,AND(E5=A15,E6=B1),'Base Data'!C74,AND(E5=A15,E6=B2),'Base Data'!C75,AND(E5=A15,E6=B3),'Base Data'!C76,AND(E5=A15,E6=B4),'Base Data'!C77,AND(E5=A16,E6=B1),'Base Data'!C34,AND(E5=A16,E6=B2),'Base Data'!C35,AND(E5=A16,E6=B3),'Base Data'!C36,AND(E5=A16,E6=B4),'Base Data'!C37,AND(E5=A17,E6=B1),'Base Data'!C14,AND(E5=A17,E6=B2),'Base Data'!C15,AND(E5=A17,E6=B3),'Base Data'!C16,AND(E5=A17,E6=B4),'Base Data'!C17,AND(E5=A18,E6=B1),'Base Data'!#REF!,AND(E5=A18,E6=B2),'Base Data'!#REF!,AND(E5=A18,E6=B3),'Base Data'!#REF!,AND(E5=A18,E6=B4),'Base Data'!#REF!,AND(E5=A19,E6=B1),'Base Data'!C38,AND(E5=A19,E6=B2),'Base Data'!C39,AND(E5=A19,E6=B3),'Base Data'!C40,AND(E5=A19,E6=B4),'Base Data'!C41,AND(E5=A20,E6=B1),'Base Data'!C42,AND(E5=A20,E6=B2),'Base Data'!C43,AND(E5=A20,E6=B3),'Base Data'!C44,AND(E5=A20,E6=B4),'Base Data'!C45,AND(E5=A21,E6=B1),'Base Data'!C54,AND(E5=A21,E6=B2),'Base Data'!C55,AND(E5=A21,E6=B3),'Base Data'!C56,AND(E5=A21,E6=B4),'Base Data'!C57)</f>
        <v>5</v>
      </c>
      <c r="G8" s="41" t="str">
        <f>IF(F8="No Data",D22,IF(OR(E4="",E5="",E6=""),"-",IF(F8=E8,D20,IF(F8&gt;E8,D19,IF(F8&lt;E8,D21)))))</f>
        <v>↑ ↑ Recommend an increase in sum insured as per industry standards ↑ ↑</v>
      </c>
      <c r="H8" s="41"/>
      <c r="I8" s="41"/>
      <c r="J8" s="41"/>
      <c r="K8" s="41"/>
      <c r="L8" s="41"/>
      <c r="M8" s="41"/>
      <c r="N8" s="41"/>
      <c r="O8" s="41"/>
    </row>
    <row r="9" spans="1:15" x14ac:dyDescent="0.3">
      <c r="A9" s="26" t="s">
        <v>32</v>
      </c>
      <c r="B9" t="s">
        <v>38</v>
      </c>
      <c r="D9" s="31" t="s">
        <v>60</v>
      </c>
      <c r="E9" s="30" t="s">
        <v>19</v>
      </c>
      <c r="F9" s="32" t="str" cm="1">
        <f t="array" ref="F9">_xlfn.IFS(OR(E9="",E5="",E6=""),"-",AND(E5=A1,E6=B1),'Base Data'!D2,AND(E5=A1,E6=B2),'Base Data'!D3,AND(E5=A1,E6=B3),'Base Data'!CD4,AND(E5=A1,E6=B4),'Base Data'!D5,AND(E5=A2,E6=B1),'Base Data'!D62,AND(E5=A2,E6=B2),'Base Data'!D63,AND(E5=A2,E6=B3),'Base Data'!D64,AND(E5=A2,E6=B4),'Base Data'!D65,AND(E5=A3,E6=B1),'Base Data'!D10,AND(E5=A3,E6=B2),'Base Data'!D11,AND(E5=A3,E6=B3),'Base Data'!D12,AND(E5=A3,E6=B4),'Base Data'!D13,AND(E5=A4,E6=B1),'Base Data'!D66,AND(E5=A4,E6=B2),'Base Data'!D67,AND(E5=A4,E6=B3),'Base Data'!D68,AND(E5=A4,E6=B4),'Base Data'!D69,AND(E5=A5,E6=B1),'Base Data'!D54,AND(E5=A5,E6=B2),'Base Data'!D55,AND(E5=A5,E6=B3),'Base Data'!D56,AND(E5=A5,E6=B4),'Base Data'!D57,AND(E5=A7,E6=B1),'Base Data'!D6,AND(E5=A7,E6=B2),'Base Data'!D7,AND(E5=A7,E6=B3),'Base Data'!D8,AND(E5=A7,E6=B4),'Base Data'!D9,AND(E5=A8,E6=B1),'Base Data'!D18,AND(E5=A8,E6=B2),'Base Data'!D19,AND(E5=A8,E6=B3),'Base Data'!D20,AND(E5=A8,E6=B4),'Base Data'!D21,AND(E5=A9,E6=B1),'Base Data'!D22,AND(E5=A9,E6=B2),'Base Data'!D23,AND(E5=A9,E6=B3),'Base Data'!D24,AND(E5=A9,E6=B4),'Base Data'!D25,AND(E5=A10,E6=B1),'Base Data'!D26,AND(E5=A10,E6=B2),'Base Data'!D27,AND(E5=A10,E6=B3),'Base Data'!D28,AND(E5=A10,E6=B4),'Base Data'!D29,AND(E5=A11,E6=B1),'Base Data'!D46,AND(E5=A11,E6=B2),'Base Data'!D47,AND(E5=A11,E6=B3),'Base Data'!D48,AND(E5=A11,E6=B4),'Base Data'!D49,AND(E5=A12,E6=B1),'Base Data'!D78,AND(E5=A12,E6=B2),'Base Data'!D79,AND(E5=A12,E6=B3),'Base Data'!D80,AND(E5=A12,E6=B4),'Base Data'!D81,AND(E5=A13,E6=B1),'Base Data'!D30,AND(E5=A13,E6=B2),'Base Data'!D31,AND(E5=A13,E6=B3),'Base Data'!D32,AND(E5=A13,E6=B4),'Base Data'!D33,AND(E5=A14,E6=B1),'Base Data'!D58,AND(E5=A14,E6=B2),'Base Data'!D59,AND(E5=A14,E6=B3),'Base Data'!D60,AND(E5=A14,E6=B4),'Base Data'!D61,AND(E5=A15,E6=B1),'Base Data'!D74,AND(E5=A15,E6=B2),'Base Data'!D75,AND(E5=A15,E6=B3),'Base Data'!D76,AND(E5=A15,E6=B4),'Base Data'!D77,AND(E5=A16,E6=B1),'Base Data'!D34,AND(E5=A16,E6=B2),'Base Data'!D35,AND(E5=A16,E6=B3),'Base Data'!D36,AND(E5=A16,E6=B4),'Base Data'!D37,AND(E5=A17,E6=B1),'Base Data'!D14,AND(E5=A17,E6=B2),'Base Data'!D15,AND(E5=A17,E6=B3),'Base Data'!D16,AND(E5=A17,E6=B4),'Base Data'!D17,AND(E5=A18,E6=B1),'Base Data'!#REF!,AND(E5=A18,E6=B2),'Base Data'!#REF!,AND(E5=A18,E6=B3),'Base Data'!#REF!,AND(E5=A18,E6=B4),'Base Data'!#REF!,AND(E5=A19,E6=B1),'Base Data'!D38,AND(E5=A19,E6=B2),'Base Data'!D39,AND(E5=A19,E6=B3),'Base Data'!D40,AND(E5=A19,E6=B4),'Base Data'!D41,AND(E5=A20,E6=B1),'Base Data'!D42,AND(E5=A20,E6=B2),'Base Data'!D43,AND(E5=A20,E6=B3),'Base Data'!D44,AND(E5=A20,E6=B4),'Base Data'!D45,AND(E5=A21,E6=B1),'Base Data'!D54,AND(E5=A21,E6=B2),'Base Data'!D55,AND(E5=A21,E6=B3),'Base Data'!D56,AND(E5=A21,E6=B4),'Base Data'!D57)</f>
        <v>N</v>
      </c>
      <c r="G9" s="41" t="str">
        <f>IF(F9="No Data",D22,IF(OR(E9="",E5="",E6=""),"-",IF(E9=F9,D20,IF(AND(E9="Y",F9="N"),D21,IF(AND(E9="N",F9="Y"),D23)))))</f>
        <v>✓ ✓ Current policy feature is better than industry standards ✓ ✓</v>
      </c>
      <c r="H9" s="41"/>
      <c r="I9" s="41"/>
      <c r="J9" s="41"/>
      <c r="K9" s="41"/>
      <c r="L9" s="41"/>
      <c r="M9" s="41"/>
      <c r="N9" s="41"/>
      <c r="O9" s="41"/>
    </row>
    <row r="10" spans="1:15" x14ac:dyDescent="0.3">
      <c r="A10" s="26" t="s">
        <v>33</v>
      </c>
      <c r="B10" t="s">
        <v>14</v>
      </c>
      <c r="D10" s="31" t="s">
        <v>4</v>
      </c>
      <c r="E10" s="30" t="s">
        <v>14</v>
      </c>
      <c r="F10" s="32" t="str" cm="1">
        <f t="array" ref="F10">_xlfn.IFS(OR(E10="",E5="",E6=""),"-",AND(E5=A1,E6=B1),'Base Data'!E2,AND(E5=A1,E6=B2),'Base Data'!E3,AND(E5=A1,E6=B3),'Base Data'!CD4,AND(E5=A1,E6=B4),'Base Data'!E5,AND(E5=A2,E6=B1),'Base Data'!E62,AND(E5=A2,E6=B2),'Base Data'!E63,AND(E5=A2,E6=B3),'Base Data'!E64,AND(E5=A2,E6=B4),'Base Data'!E65,AND(E5=A3,E6=B1),'Base Data'!E10,AND(E5=A3,E6=B2),'Base Data'!E11,AND(E5=A3,E6=B3),'Base Data'!E12,AND(E5=A3,E6=B4),'Base Data'!E13,AND(E5=A4,E6=B1),'Base Data'!E66,AND(E5=A4,E6=B2),'Base Data'!E67,AND(E5=A4,E6=B3),'Base Data'!E68,AND(E5=A4,E6=B4),'Base Data'!E69,AND(E5=A5,E6=B1),'Base Data'!E54,AND(E5=A5,E6=B2),'Base Data'!E55,AND(E5=A5,E6=B3),'Base Data'!E56,AND(E5=A5,E6=B4),'Base Data'!E57,AND(E5=A7,E6=B1),'Base Data'!E6,AND(E5=A7,E6=B2),'Base Data'!E7,AND(E5=A7,E6=B3),'Base Data'!E8,AND(E5=A7,E6=B4),'Base Data'!E9,AND(E5=A8,E6=B1),'Base Data'!E18,AND(E5=A8,E6=B2),'Base Data'!E19,AND(E5=A8,E6=B3),'Base Data'!E20,AND(E5=A8,E6=B4),'Base Data'!E21,AND(E5=A9,E6=B1),'Base Data'!E22,AND(E5=A9,E6=B2),'Base Data'!E23,AND(E5=A9,E6=B3),'Base Data'!E24,AND(E5=A9,E6=B4),'Base Data'!E25,AND(E5=A10,E6=B1),'Base Data'!E26,AND(E5=A10,E6=B2),'Base Data'!E27,AND(E5=A10,E6=B3),'Base Data'!E28,AND(E5=A10,E6=B4),'Base Data'!E29,AND(E5=A11,E6=B1),'Base Data'!E46,AND(E5=A11,E6=B2),'Base Data'!E47,AND(E5=A11,E6=B3),'Base Data'!E48,AND(E5=A11,E6=B4),'Base Data'!E49,AND(E5=A12,E6=B1),'Base Data'!E78,AND(E5=A12,E6=B2),'Base Data'!E79,AND(E5=A12,E6=B3),'Base Data'!E80,AND(E5=A12,E6=B4),'Base Data'!E81,AND(E5=A13,E6=B1),'Base Data'!E30,AND(E5=A13,E6=B2),'Base Data'!E31,AND(E5=A13,E6=B3),'Base Data'!E32,AND(E5=A13,E6=B4),'Base Data'!E33,AND(E5=A14,E6=B1),'Base Data'!E58,AND(E5=A14,E6=B2),'Base Data'!E59,AND(E5=A14,E6=B3),'Base Data'!E60,AND(E5=A14,E6=B4),'Base Data'!E61,AND(E5=A15,E6=B1),'Base Data'!E74,AND(E5=A15,E6=B2),'Base Data'!E75,AND(E5=A15,E6=B3),'Base Data'!E76,AND(E5=A15,E6=B4),'Base Data'!E77,AND(E5=A16,E6=B1),'Base Data'!E34,AND(E5=A16,E6=B2),'Base Data'!E35,AND(E5=A16,E6=B3),'Base Data'!E36,AND(E5=A16,E6=B4),'Base Data'!E37,AND(E5=A17,E6=B1),'Base Data'!E14,AND(E5=A17,E6=B2),'Base Data'!E15,AND(E5=A17,E6=B3),'Base Data'!E16,AND(E5=A17,E6=B4),'Base Data'!E17,AND(E5=A18,E6=B1),'Base Data'!#REF!,AND(E5=A18,E6=B2),'Base Data'!#REF!,AND(E5=A18,E6=B3),'Base Data'!#REF!,AND(E5=A18,E6=B4),'Base Data'!#REF!,AND(E5=A19,E6=B1),'Base Data'!E38,AND(E5=A19,E6=B2),'Base Data'!E39,AND(E5=A19,E6=B3),'Base Data'!E40,AND(E5=A19,E6=B4),'Base Data'!E41,AND(E5=A20,E6=B1),'Base Data'!E42,AND(E5=A20,E6=B2),'Base Data'!E43,AND(E5=A20,E6=B3),'Base Data'!E44,AND(E5=A20,E6=B4),'Base Data'!E45,AND(E5=A21,E6=B1),'Base Data'!E54,AND(E5=A21,E6=B2),'Base Data'!E55,AND(E5=A21,E6=B3),'Base Data'!E56,AND(E5=A21,E6=B4),'Base Data'!E57)</f>
        <v>ESCP</v>
      </c>
      <c r="G10" s="41" t="str">
        <f>IF(F10="No Data",D22,IF(OR(E10="",E5="",E6=""),"-",IF(AND(E10="E",F10="ESC"),D24,IF(AND(E10="E",F10="ESCP"),D25,IF(AND(E10="ESC",F10="ESCP"),D26,IF(AND(E10="ESC",F10="E"),D21,IF(AND(E10="ESCP",F10="E"),D21,IF(AND(E10="ESCP",F10="ESC"),D21,IF(AND(E10="E",F10="E"),D24,IF(AND(E10="ESC",F10="ESC"),D26,IF(AND(E10="ESCP",F10="ESCP"),D20)))))))))))</f>
        <v>↑ ↑ Recommend adding Parents to the current policy ↑ ↑</v>
      </c>
      <c r="H10" s="41"/>
      <c r="I10" s="41"/>
      <c r="J10" s="41"/>
      <c r="K10" s="41"/>
      <c r="L10" s="41"/>
      <c r="M10" s="41"/>
      <c r="N10" s="41"/>
      <c r="O10" s="41"/>
    </row>
    <row r="11" spans="1:15" ht="15" thickBot="1" x14ac:dyDescent="0.35">
      <c r="A11" s="27" t="s">
        <v>40</v>
      </c>
      <c r="B11" t="s">
        <v>20</v>
      </c>
      <c r="D11" s="31" t="s">
        <v>61</v>
      </c>
      <c r="E11" s="30" t="s">
        <v>21</v>
      </c>
      <c r="F11" s="32" t="str" cm="1">
        <f t="array" ref="F11">_xlfn.IFS(OR(E11="",E5="",E6=""),"-",AND(E5=A1,E6=B1),'Base Data'!G2,AND(E5=A1,E6=B2),'Base Data'!G3,AND(E5=A1,E6=B3),'Base Data'!CD4,AND(E5=A1,E6=B4),'Base Data'!G5,AND(E5=A2,E6=B1),'Base Data'!G62,AND(E5=A2,E6=B2),'Base Data'!G63,AND(E5=A2,E6=B3),'Base Data'!G64,AND(E5=A2,E6=B4),'Base Data'!G65,AND(E5=A3,E6=B1),'Base Data'!G10,AND(E5=A3,E6=B2),'Base Data'!G11,AND(E5=A3,E6=B3),'Base Data'!G12,AND(E5=A3,E6=B4),'Base Data'!G13,AND(E5=A4,E6=B1),'Base Data'!G66,AND(E5=A4,E6=B2),'Base Data'!G67,AND(E5=A4,E6=B3),'Base Data'!G68,AND(E5=A4,E6=B4),'Base Data'!G69,AND(E5=A5,E6=B1),'Base Data'!G54,AND(E5=A5,E6=B2),'Base Data'!G55,AND(E5=A5,E6=B3),'Base Data'!G56,AND(E5=A5,E6=B4),'Base Data'!G57,AND(E5=A7,E6=B1),'Base Data'!G6,AND(E5=A7,E6=B2),'Base Data'!G7,AND(E5=A7,E6=B3),'Base Data'!G8,AND(E5=A7,E6=B4),'Base Data'!G9,AND(E5=A8,E6=B1),'Base Data'!G18,AND(E5=A8,E6=B2),'Base Data'!G19,AND(E5=A8,E6=B3),'Base Data'!G20,AND(E5=A8,E6=B4),'Base Data'!G21,AND(E5=A9,E6=B1),'Base Data'!G22,AND(E5=A9,E6=B2),'Base Data'!G23,AND(E5=A9,E6=B3),'Base Data'!G24,AND(E5=A9,E6=B4),'Base Data'!G25,AND(E5=A10,E6=B1),'Base Data'!G26,AND(E5=A10,E6=B2),'Base Data'!G27,AND(E5=A10,E6=B3),'Base Data'!G28,AND(E5=A10,E6=B4),'Base Data'!G29,AND(E5=A11,E6=B1),'Base Data'!G46,AND(E5=A11,E6=B2),'Base Data'!G47,AND(E5=A11,E6=B3),'Base Data'!G48,AND(E5=A11,E6=B4),'Base Data'!G49,AND(E5=A12,E6=B1),'Base Data'!G78,AND(E5=A12,E6=B2),'Base Data'!G79,AND(E5=A12,E6=B3),'Base Data'!G80,AND(E5=A12,E6=B4),'Base Data'!G81,AND(E5=A13,E6=B1),'Base Data'!G30,AND(E5=A13,E6=B2),'Base Data'!G31,AND(E5=A13,E6=B3),'Base Data'!G32,AND(E5=A13,E6=B4),'Base Data'!G33,AND(E5=A14,E6=B1),'Base Data'!G58,AND(E5=A14,E6=B2),'Base Data'!G59,AND(E5=A14,E6=B3),'Base Data'!G60,AND(E5=A14,E6=B4),'Base Data'!G61,AND(E5=A15,E6=B1),'Base Data'!G74,AND(E5=A15,E6=B2),'Base Data'!G75,AND(E5=A15,E6=B3),'Base Data'!G76,AND(E5=A15,E6=B4),'Base Data'!G77,AND(E5=A16,E6=B1),'Base Data'!G34,AND(E5=A16,E6=B2),'Base Data'!G35,AND(E5=A16,E6=B3),'Base Data'!G36,AND(E5=A16,E6=B4),'Base Data'!G37,AND(E5=A17,E6=B1),'Base Data'!G14,AND(E5=A17,E6=B2),'Base Data'!G15,AND(E5=A17,E6=B3),'Base Data'!G16,AND(E5=A17,E6=B4),'Base Data'!G17,AND(E5=A18,E6=B1),'Base Data'!#REF!,AND(E5=A18,E6=B2),'Base Data'!#REF!,AND(E5=A18,E6=B3),'Base Data'!#REF!,AND(E5=A18,E6=B4),'Base Data'!#REF!,AND(E5=A19,E6=B1),'Base Data'!G38,AND(E5=A19,E6=B2),'Base Data'!G39,AND(E5=A19,E6=B3),'Base Data'!G40,AND(E5=A19,E6=B4),'Base Data'!G41,AND(E5=A20,E6=B1),'Base Data'!G42,AND(E5=A20,E6=B2),'Base Data'!G43,AND(E5=A20,E6=B3),'Base Data'!G44,AND(E5=A20,E6=B4),'Base Data'!G45,AND(E5=A21,E6=B1),'Base Data'!G54,AND(E5=A21,E6=B2),'Base Data'!G55,AND(E5=A21,E6=B3),'Base Data'!G56,AND(E5=A21,E6=B4),'Base Data'!G57)</f>
        <v>No Capping</v>
      </c>
      <c r="G11" s="41" t="str">
        <f>IF(F11="No Data",D22,IF(OR(E11="",E5="",E6=""),"-",IF(AND(E11="1%-2%",F11="1%-2%"),D20,IF(AND(E11="1%-2%",F11="2%-4%"),D27,IF(AND(E11="1%-2%",F11="No Capping"),D28,IF(AND(E11="2%-4%",F11="1%-2%"),D21,IF(AND(E11="2%-4%",F11="2%-4%"),D20,IF(AND(E11="2%-4%",F11="No Capping"),D28,IF(AND(E11="No Capping",F11="1%-2%"),D21,IF(AND(E11="No Capping",F11="2%-4%"),D21,D20))))))))))</f>
        <v>↔ ↔ Current policy feature is as per industry standards ↔ ↔</v>
      </c>
      <c r="H11" s="41"/>
      <c r="I11" s="41"/>
      <c r="J11" s="41"/>
      <c r="K11" s="41"/>
      <c r="L11" s="41"/>
      <c r="M11" s="41"/>
      <c r="N11" s="41"/>
      <c r="O11" s="41"/>
    </row>
    <row r="12" spans="1:15" x14ac:dyDescent="0.3">
      <c r="A12" s="25" t="s">
        <v>50</v>
      </c>
      <c r="D12" s="31" t="s">
        <v>7</v>
      </c>
      <c r="E12" s="30" t="s">
        <v>16</v>
      </c>
      <c r="F12" s="32" t="str" cm="1">
        <f t="array" ref="F12">_xlfn.IFS(OR(E12="",E5="",E6=""),"-",AND(E5=A1,E6=B1),'Base Data'!H2,AND(E5=A1,E6=B2),'Base Data'!H3,AND(E5=A1,E6=B3),'Base Data'!CD4,AND(E5=A1,E6=B4),'Base Data'!H5,AND(E5=A2,E6=B1),'Base Data'!H62,AND(E5=A2,E6=B2),'Base Data'!H63,AND(E5=A2,E6=B3),'Base Data'!H64,AND(E5=A2,E6=B4),'Base Data'!H65,AND(E5=A3,E6=B1),'Base Data'!H10,AND(E5=A3,E6=B2),'Base Data'!H11,AND(E5=A3,E6=B3),'Base Data'!H12,AND(E5=A3,E6=B4),'Base Data'!H13,AND(E5=A4,E6=B1),'Base Data'!H66,AND(E5=A4,E6=B2),'Base Data'!H67,AND(E5=A4,E6=B3),'Base Data'!H68,AND(E5=A4,E6=B4),'Base Data'!H69,AND(E5=A5,E6=B1),'Base Data'!H54,AND(E5=A5,E6=B2),'Base Data'!H55,AND(E5=A5,E6=B3),'Base Data'!H56,AND(E5=A5,E6=B4),'Base Data'!H57,AND(E5=A7,E6=B1),'Base Data'!H6,AND(E5=A7,E6=B2),'Base Data'!H7,AND(E5=A7,E6=B3),'Base Data'!H8,AND(E5=A7,E6=B4),'Base Data'!H9,AND(E5=A8,E6=B1),'Base Data'!H18,AND(E5=A8,E6=B2),'Base Data'!H19,AND(E5=A8,E6=B3),'Base Data'!H20,AND(E5=A8,E6=B4),'Base Data'!H21,AND(E5=A9,E6=B1),'Base Data'!H22,AND(E5=A9,E6=B2),'Base Data'!H23,AND(E5=A9,E6=B3),'Base Data'!H24,AND(E5=A9,E6=B4),'Base Data'!H25,AND(E5=A10,E6=B1),'Base Data'!H26,AND(E5=A10,E6=B2),'Base Data'!H27,AND(E5=A10,E6=B3),'Base Data'!H28,AND(E5=A10,E6=B4),'Base Data'!H29,AND(E5=A11,E6=B1),'Base Data'!H46,AND(E5=A11,E6=B2),'Base Data'!H47,AND(E5=A11,E6=B3),'Base Data'!H48,AND(E5=A11,E6=B4),'Base Data'!H49,AND(E5=A12,E6=B1),'Base Data'!H78,AND(E5=A12,E6=B2),'Base Data'!H79,AND(E5=A12,E6=B3),'Base Data'!H80,AND(E5=A12,E6=B4),'Base Data'!H81,AND(E5=A13,E6=B1),'Base Data'!H30,AND(E5=A13,E6=B2),'Base Data'!H31,AND(E5=A13,E6=B3),'Base Data'!H32,AND(E5=A13,E6=B4),'Base Data'!H33,AND(E5=A14,E6=B1),'Base Data'!H58,AND(E5=A14,E6=B2),'Base Data'!H59,AND(E5=A14,E6=B3),'Base Data'!H60,AND(E5=A14,E6=B4),'Base Data'!H61,AND(E5=A15,E6=B1),'Base Data'!H74,AND(E5=A15,E6=B2),'Base Data'!H75,AND(E5=A15,E6=B3),'Base Data'!H76,AND(E5=A15,E6=B4),'Base Data'!H77,AND(E5=A16,E6=B1),'Base Data'!H34,AND(E5=A16,E6=B2),'Base Data'!H35,AND(E5=A16,E6=B3),'Base Data'!H36,AND(E5=A16,E6=B4),'Base Data'!H37,AND(E5=A17,E6=B1),'Base Data'!H14,AND(E5=A17,E6=B2),'Base Data'!H15,AND(E5=A17,E6=B3),'Base Data'!H16,AND(E5=A17,E6=B4),'Base Data'!H17,AND(E5=A18,E6=B1),'Base Data'!#REF!,AND(E5=A18,E6=B2),'Base Data'!#REF!,AND(E5=A18,E6=B3),'Base Data'!#REF!,AND(E5=A18,E6=B4),'Base Data'!#REF!,AND(E5=A19,E6=B1),'Base Data'!H38,AND(E5=A19,E6=B2),'Base Data'!H39,AND(E5=A19,E6=B3),'Base Data'!H40,AND(E5=A19,E6=B4),'Base Data'!H41,AND(E5=A20,E6=B1),'Base Data'!H42,AND(E5=A20,E6=B2),'Base Data'!H43,AND(E5=A20,E6=B3),'Base Data'!H44,AND(E5=A20,E6=B4),'Base Data'!H45,AND(E5=A21,E6=B1),'Base Data'!H54,AND(E5=A21,E6=B2),'Base Data'!H55,AND(E5=A21,E6=B3),'Base Data'!H56,AND(E5=A21,E6=B4),'Base Data'!H57)</f>
        <v>&gt;1 Lac</v>
      </c>
      <c r="G12" s="41" t="str">
        <f>IF(F12="No Data",D22,IF(OR(E12="",E5="",E6=""),"-",IF(AND(E12="N",F12="N"),D29,IF(AND(E12="N",F12="30K"),D30,IF(AND(E12="N",F12="50K"),D29,IF(AND(E12="N",F12="75K"),D31,IF(AND(E12="N",F12="&gt;1 Lac"),D32,IF(AND(E12="30K",F12="N"),D29,IF(AND(E12="30K",F12="30K"),D29,IF(AND(E12="30K",F12="50K"),D29,IF(AND(E12="30K",F12="75K"),D31,IF(AND(E12="30K",F12="&gt;1 Lac"),D32,IF(AND(E12="50K",F12="N"),D21,IF(AND(E12="50K",F12="30K"),D21,IF(AND(E12="50K",F12="50K"),D20,IF(AND(E12="50K",F12="75K"),D31,IF(AND(E12="50K",F12="&gt;1 Lac"),D32,IF(AND(E12="75K",F12="N"),D21,IF(AND(E12="75K",F12="30K"),D21,IF(AND(E12="75K",F12="50K"),D21,IF(AND(E12="75K",F12="75K"),D20,IF(AND(E12="75K",F12="&gt;1 Lac"),D32,IF(E12="&gt;1 Lac",D21)))))))))))))))))))))))</f>
        <v>↑ ↑Recommend a 1 Lac Maternity Cover↑ ↑</v>
      </c>
      <c r="H12" s="41"/>
      <c r="I12" s="41"/>
      <c r="J12" s="41"/>
      <c r="K12" s="41"/>
      <c r="L12" s="41"/>
      <c r="M12" s="41"/>
      <c r="N12" s="41"/>
      <c r="O12" s="41"/>
    </row>
    <row r="13" spans="1:15" x14ac:dyDescent="0.3">
      <c r="A13" s="26" t="s">
        <v>34</v>
      </c>
      <c r="B13" t="s">
        <v>15</v>
      </c>
      <c r="D13" s="31" t="s">
        <v>5</v>
      </c>
      <c r="E13" s="30" t="s">
        <v>19</v>
      </c>
      <c r="F13" s="32" t="str" cm="1">
        <f t="array" ref="F13">_xlfn.IFS(OR(E13="",E5="",E6=""),"-",AND(E5=A1,E6=B1),'Base Data'!F2,AND(E5=A1,E6=B2),'Base Data'!F3,AND(E5=A1,E6=B3),'Base Data'!CD4,AND(E5=A1,E6=B4),'Base Data'!F5,AND(E5=A2,E6=B1),'Base Data'!F62,AND(E5=A2,E6=B2),'Base Data'!F63,AND(E5=A2,E6=B3),'Base Data'!F64,AND(E5=A2,E6=B4),'Base Data'!F65,AND(E5=A3,E6=B1),'Base Data'!F10,AND(E5=A3,E6=B2),'Base Data'!F11,AND(E5=A3,E6=B3),'Base Data'!F12,AND(E5=A3,E6=B4),'Base Data'!F13,AND(E5=A4,E6=B1),'Base Data'!F66,AND(E5=A4,E6=B2),'Base Data'!F67,AND(E5=A4,E6=B3),'Base Data'!F68,AND(E5=A4,E6=B4),'Base Data'!F69,AND(E5=A5,E6=B1),'Base Data'!F54,AND(E5=A5,E6=B2),'Base Data'!F55,AND(E5=A5,E6=B3),'Base Data'!F56,AND(E5=A5,E6=B4),'Base Data'!F57,AND(E5=A7,E6=B1),'Base Data'!F6,AND(E5=A7,E6=B2),'Base Data'!F7,AND(E5=A7,E6=B3),'Base Data'!F8,AND(E5=A7,E6=B4),'Base Data'!F9,AND(E5=A8,E6=B1),'Base Data'!F18,AND(E5=A8,E6=B2),'Base Data'!F19,AND(E5=A8,E6=B3),'Base Data'!F20,AND(E5=A8,E6=B4),'Base Data'!F21,AND(E5=A9,E6=B1),'Base Data'!F22,AND(E5=A9,E6=B2),'Base Data'!F23,AND(E5=A9,E6=B3),'Base Data'!F24,AND(E5=A9,E6=B4),'Base Data'!F25,AND(E5=A10,E6=B1),'Base Data'!F26,AND(E5=A10,E6=B2),'Base Data'!F27,AND(E5=A10,E6=B3),'Base Data'!F28,AND(E5=A10,E6=B4),'Base Data'!F29,AND(E5=A11,E6=B1),'Base Data'!F46,AND(E5=A11,E6=B2),'Base Data'!F47,AND(E5=A11,E6=B3),'Base Data'!F48,AND(E5=A11,E6=B4),'Base Data'!F49,AND(E5=A12,E6=B1),'Base Data'!F78,AND(E5=A12,E6=B2),'Base Data'!F79,AND(E5=A12,E6=B3),'Base Data'!F80,AND(E5=A12,E6=B4),'Base Data'!F81,AND(E5=A13,E6=B1),'Base Data'!F30,AND(E5=A13,E6=B2),'Base Data'!F31,AND(E5=A13,E6=B3),'Base Data'!F32,AND(E5=A13,E6=B4),'Base Data'!F33,AND(E5=A14,E6=B1),'Base Data'!F58,AND(E5=A14,E6=B2),'Base Data'!F59,AND(E5=A14,E6=B3),'Base Data'!F60,AND(E5=A14,E6=B4),'Base Data'!F61,AND(E5=A15,E6=B1),'Base Data'!F74,AND(E5=A15,E6=B2),'Base Data'!F75,AND(E5=A15,E6=B3),'Base Data'!F76,AND(E5=A15,E6=B4),'Base Data'!F77,AND(E5=A16,E6=B1),'Base Data'!F34,AND(E5=A16,E6=B2),'Base Data'!F35,AND(E5=A16,E6=B3),'Base Data'!F36,AND(E5=A16,E6=B4),'Base Data'!F37,AND(E5=A17,E6=B1),'Base Data'!F14,AND(E5=A17,E6=B2),'Base Data'!F15,AND(E5=A17,E6=B3),'Base Data'!F16,AND(E5=A17,E6=B4),'Base Data'!F17,AND(E5=A18,E6=B1),'Base Data'!#REF!,AND(E5=A18,E6=B2),'Base Data'!#REF!,AND(E5=A18,E6=B3),'Base Data'!#REF!,AND(E5=A18,E6=B4),'Base Data'!#REF!,AND(E5=A19,E6=B1),'Base Data'!F38,AND(E5=A19,E6=B2),'Base Data'!F39,AND(E5=A19,E6=B3),'Base Data'!F40,AND(E5=A19,E6=B4),'Base Data'!F41,AND(E5=A20,E6=B1),'Base Data'!F42,AND(E5=A20,E6=B2),'Base Data'!F43,AND(E5=A20,E6=B3),'Base Data'!F44,AND(E5=A20,E6=B4),'Base Data'!F45,AND(E5=A21,E6=B1),'Base Data'!F54,AND(E5=A21,E6=B2),'Base Data'!F55,AND(E5=A21,E6=B3),'Base Data'!F56,AND(E5=A21,E6=B4),'Base Data'!F57)</f>
        <v>Y</v>
      </c>
      <c r="G13" s="41" t="str">
        <f>IF(F13="No Data",D22,IF(OR(E13="",E5="",E6=""),"-",IF(E13=F13,D20,IF(AND(E13="Y",F13="N"),D21,IF(AND(E13="N",F13="Y"),D33)))))</f>
        <v>↔ ↔ Current policy feature is as per industry standards ↔ ↔</v>
      </c>
      <c r="H13" s="41"/>
      <c r="I13" s="41"/>
      <c r="J13" s="41"/>
      <c r="K13" s="41"/>
      <c r="L13" s="41"/>
      <c r="M13" s="41"/>
      <c r="N13" s="41"/>
      <c r="O13" s="41"/>
    </row>
    <row r="14" spans="1:15" x14ac:dyDescent="0.3">
      <c r="A14" s="26" t="s">
        <v>43</v>
      </c>
      <c r="B14" t="s">
        <v>23</v>
      </c>
      <c r="D14" s="31" t="s">
        <v>9</v>
      </c>
      <c r="E14" s="30" t="s">
        <v>19</v>
      </c>
      <c r="F14" s="32" t="str" cm="1">
        <f t="array" ref="F14">_xlfn.IFS(OR(E14="",E5="",E6=""),"-",AND(E5=A1,E6=B1),'Base Data'!J2,AND(E5=A1,E6=B2),'Base Data'!J3,AND(E5=A1,E6=B3),'Base Data'!CD4,AND(E5=A1,E6=B4),'Base Data'!J5,AND(E5=A2,E6=B1),'Base Data'!J62,AND(E5=A2,E6=B2),'Base Data'!J63,AND(E5=A2,E6=B3),'Base Data'!J64,AND(E5=A2,E6=B4),'Base Data'!J65,AND(E5=A3,E6=B1),'Base Data'!J10,AND(E5=A3,E6=B2),'Base Data'!J11,AND(E5=A3,E6=B3),'Base Data'!J12,AND(E5=A3,E6=B4),'Base Data'!J13,AND(E5=A4,E6=B1),'Base Data'!J66,AND(E5=A4,E6=B2),'Base Data'!J67,AND(E5=A4,E6=B3),'Base Data'!J68,AND(E5=A4,E6=B4),'Base Data'!J69,AND(E5=A5,E6=B1),'Base Data'!J54,AND(E5=A5,E6=B2),'Base Data'!J55,AND(E5=A5,E6=B3),'Base Data'!J56,AND(E5=A5,E6=B4),'Base Data'!J57,AND(E5=A7,E6=B1),'Base Data'!J6,AND(E5=A7,E6=B2),'Base Data'!J7,AND(E5=A7,E6=B3),'Base Data'!J8,AND(E5=A7,E6=B4),'Base Data'!J9,AND(E5=A8,E6=B1),'Base Data'!J18,AND(E5=A8,E6=B2),'Base Data'!J19,AND(E5=A8,E6=B3),'Base Data'!J20,AND(E5=A8,E6=B4),'Base Data'!J21,AND(E5=A9,E6=B1),'Base Data'!J22,AND(E5=A9,E6=B2),'Base Data'!J23,AND(E5=A9,E6=B3),'Base Data'!J24,AND(E5=A9,E6=B4),'Base Data'!J25,AND(E5=A10,E6=B1),'Base Data'!J26,AND(E5=A10,E6=B2),'Base Data'!J27,AND(E5=A10,E6=B3),'Base Data'!J28,AND(E5=A10,E6=B4),'Base Data'!J29,AND(E5=A11,E6=B1),'Base Data'!J46,AND(E5=A11,E6=B2),'Base Data'!J47,AND(E5=A11,E6=B3),'Base Data'!J48,AND(E5=A11,E6=B4),'Base Data'!J49,AND(E5=A12,E6=B1),'Base Data'!J78,AND(E5=A12,E6=B2),'Base Data'!J79,AND(E5=A12,E6=B3),'Base Data'!J80,AND(E5=A12,E6=B4),'Base Data'!J81,AND(E5=A13,E6=B1),'Base Data'!J30,AND(E5=A13,E6=B2),'Base Data'!J31,AND(E5=A13,E6=B3),'Base Data'!J32,AND(E5=A13,E6=B4),'Base Data'!J33,AND(E5=A14,E6=B1),'Base Data'!J58,AND(E5=A14,E6=B2),'Base Data'!J59,AND(E5=A14,E6=B3),'Base Data'!J60,AND(E5=A14,E6=B4),'Base Data'!J61,AND(E5=A15,E6=B1),'Base Data'!J74,AND(E5=A15,E6=B2),'Base Data'!J75,AND(E5=A15,E6=B3),'Base Data'!J76,AND(E5=A15,E6=B4),'Base Data'!J77,AND(E5=A16,E6=B1),'Base Data'!J34,AND(E5=A16,E6=B2),'Base Data'!J35,AND(E5=A16,E6=B3),'Base Data'!J36,AND(E5=A16,E6=B4),'Base Data'!J37,AND(E5=A17,E6=B1),'Base Data'!J14,AND(E5=A17,E6=B2),'Base Data'!J15,AND(E5=A17,E6=B3),'Base Data'!J16,AND(E5=A17,E6=B4),'Base Data'!J17,AND(E5=A18,E6=B1),'Base Data'!#REF!,AND(E5=A18,E6=B2),'Base Data'!#REF!,AND(E5=A18,E6=B3),'Base Data'!#REF!,AND(E5=A18,E6=B4),'Base Data'!#REF!,AND(E5=A19,E6=B1),'Base Data'!J38,AND(E5=A19,E6=B2),'Base Data'!J39,AND(E5=A19,E6=B3),'Base Data'!J40,AND(E5=A19,E6=B4),'Base Data'!J41,AND(E5=A20,E6=B1),'Base Data'!J42,AND(E5=A20,E6=B2),'Base Data'!J43,AND(E5=A20,E6=B3),'Base Data'!J44,AND(E5=A20,E6=B4),'Base Data'!J45,AND(E5=A21,E6=B1),'Base Data'!J54,AND(E5=A21,E6=B2),'Base Data'!J55,AND(E5=A21,E6=B3),'Base Data'!J56,AND(E5=A21,E6=B4),'Base Data'!J57)</f>
        <v>Y</v>
      </c>
      <c r="G14" s="41" t="str">
        <f>IF(F14="No Data",D22,IF(OR(E14="",E5="",E6=""),"-",IF(E14=F14,D20,IF(AND(E14="Y",F14="N"),D21,IF(AND(E14="N",F14="Y"),D34)))))</f>
        <v>↔ ↔ Current policy feature is as per industry standards ↔ ↔</v>
      </c>
      <c r="H14" s="41"/>
      <c r="I14" s="41"/>
      <c r="J14" s="41"/>
      <c r="K14" s="41"/>
      <c r="L14" s="41"/>
      <c r="M14" s="41"/>
      <c r="N14" s="41"/>
      <c r="O14" s="41"/>
    </row>
    <row r="15" spans="1:15" ht="15" thickBot="1" x14ac:dyDescent="0.35">
      <c r="A15" s="27" t="s">
        <v>49</v>
      </c>
      <c r="B15" t="s">
        <v>21</v>
      </c>
      <c r="D15" s="31" t="s">
        <v>10</v>
      </c>
      <c r="E15" s="30" t="s">
        <v>13</v>
      </c>
      <c r="F15" s="32" t="str" cm="1">
        <f t="array" ref="F15">_xlfn.IFS(OR(E15="",E5="",E6=""),"-",AND(E5=A1,E6=B1),'Base Data'!K2,AND(E5=A1,E6=B2),'Base Data'!K3,AND(E5=A1,E6=B3),'Base Data'!CD4,AND(E5=A1,E6=B4),'Base Data'!K5,AND(E5=A2,E6=B1),'Base Data'!K62,AND(E5=A2,E6=B2),'Base Data'!K63,AND(E5=A2,E6=B3),'Base Data'!K64,AND(E5=A2,E6=B4),'Base Data'!K65,AND(E5=A3,E6=B1),'Base Data'!K10,AND(E5=A3,E6=B2),'Base Data'!K11,AND(E5=A3,E6=B3),'Base Data'!K12,AND(E5=A3,E6=B4),'Base Data'!K13,AND(E5=A4,E6=B1),'Base Data'!K66,AND(E5=A4,E6=B2),'Base Data'!K67,AND(E5=A4,E6=B3),'Base Data'!K68,AND(E5=A4,E6=B4),'Base Data'!K69,AND(E5=A5,E6=B1),'Base Data'!K54,AND(E5=A5,E6=B2),'Base Data'!K55,AND(E5=A5,E6=B3),'Base Data'!K56,AND(E5=A5,E6=B4),'Base Data'!K57,AND(E5=A7,E6=B1),'Base Data'!K6,AND(E5=A7,E6=B2),'Base Data'!K7,AND(E5=A7,E6=B3),'Base Data'!K8,AND(E5=A7,E6=B4),'Base Data'!K9,AND(E5=A8,E6=B1),'Base Data'!K18,AND(E5=A8,E6=B2),'Base Data'!K19,AND(E5=A8,E6=B3),'Base Data'!K20,AND(E5=A8,E6=B4),'Base Data'!K21,AND(E5=A9,E6=B1),'Base Data'!K22,AND(E5=A9,E6=B2),'Base Data'!K23,AND(E5=A9,E6=B3),'Base Data'!K24,AND(E5=A9,E6=B4),'Base Data'!K25,AND(E5=A10,E6=B1),'Base Data'!K26,AND(E5=A10,E6=B2),'Base Data'!K27,AND(E5=A10,E6=B3),'Base Data'!K28,AND(E5=A10,E6=B4),'Base Data'!K29,AND(E5=A11,E6=B1),'Base Data'!K46,AND(E5=A11,E6=B2),'Base Data'!K47,AND(E5=A11,E6=B3),'Base Data'!K48,AND(E5=A11,E6=B4),'Base Data'!K49,AND(E5=A12,E6=B1),'Base Data'!K78,AND(E5=A12,E6=B2),'Base Data'!K79,AND(E5=A12,E6=B3),'Base Data'!K80,AND(E5=A12,E6=B4),'Base Data'!K81,AND(E5=A13,E6=B1),'Base Data'!K30,AND(E5=A13,E6=B2),'Base Data'!K31,AND(E5=A13,E6=B3),'Base Data'!K32,AND(E5=A13,E6=B4),'Base Data'!K33,AND(E5=A14,E6=B1),'Base Data'!K58,AND(E5=A14,E6=B2),'Base Data'!K59,AND(E5=A14,E6=B3),'Base Data'!K60,AND(E5=A14,E6=B4),'Base Data'!K61,AND(E5=A15,E6=B1),'Base Data'!K74,AND(E5=A15,E6=B2),'Base Data'!K75,AND(E5=A15,E6=B3),'Base Data'!K76,AND(E5=A15,E6=B4),'Base Data'!K77,AND(E5=A16,E6=B1),'Base Data'!K34,AND(E5=A16,E6=B2),'Base Data'!K35,AND(E5=A16,E6=B3),'Base Data'!K36,AND(E5=A16,E6=B4),'Base Data'!K37,AND(E5=A17,E6=B1),'Base Data'!K14,AND(E5=A17,E6=B2),'Base Data'!K15,AND(E5=A17,E6=B3),'Base Data'!K16,AND(E5=A17,E6=B4),'Base Data'!K17,AND(E5=A18,E6=B1),'Base Data'!#REF!,AND(E5=A18,E6=B2),'Base Data'!#REF!,AND(E5=A18,E6=B3),'Base Data'!#REF!,AND(E5=A18,E6=B4),'Base Data'!#REF!,AND(E5=A19,E6=B1),'Base Data'!K38,AND(E5=A19,E6=B2),'Base Data'!K39,AND(E5=A19,E6=B3),'Base Data'!K40,AND(E5=A19,E6=B4),'Base Data'!K41,AND(E5=A20,E6=B1),'Base Data'!K42,AND(E5=A20,E6=B2),'Base Data'!K43,AND(E5=A20,E6=B3),'Base Data'!K44,AND(E5=A20,E6=B4),'Base Data'!K45,AND(E5=A21,E6=B1),'Base Data'!K54,AND(E5=A21,E6=B2),'Base Data'!K55,AND(E5=A21,E6=B3),'Base Data'!K56,AND(E5=A21,E6=B4),'Base Data'!K57)</f>
        <v>Y</v>
      </c>
      <c r="G15" s="41" t="str">
        <f>IF(F15="No Data",D22,IF(OR(E15="",E5="",E6=""),"-",IF(E15=F15,D20,IF(AND(E15="Y",F15="N"),D21,IF(AND(E15="N",F15="Y"),D35)))))</f>
        <v>↑ ↑Recommend a Group Term Life Policy↑ ↑</v>
      </c>
      <c r="H15" s="41"/>
      <c r="I15" s="41"/>
      <c r="J15" s="41"/>
      <c r="K15" s="41"/>
      <c r="L15" s="41"/>
      <c r="M15" s="41"/>
      <c r="N15" s="41"/>
      <c r="O15" s="41"/>
    </row>
    <row r="16" spans="1:15" hidden="1" x14ac:dyDescent="0.3">
      <c r="A16" s="25" t="s">
        <v>36</v>
      </c>
      <c r="C16" s="29"/>
      <c r="D16" s="31" t="s">
        <v>8</v>
      </c>
      <c r="E16" s="30"/>
      <c r="F16" s="32"/>
      <c r="G16" s="41"/>
      <c r="H16" s="41"/>
      <c r="I16" s="41"/>
      <c r="J16" s="41"/>
      <c r="K16" s="41"/>
      <c r="L16" s="41"/>
      <c r="M16" s="41"/>
      <c r="N16" s="41"/>
      <c r="O16" s="41"/>
    </row>
    <row r="17" spans="1:4" hidden="1" x14ac:dyDescent="0.3">
      <c r="A17" s="26" t="s">
        <v>30</v>
      </c>
      <c r="B17" t="s">
        <v>13</v>
      </c>
      <c r="C17" s="29"/>
    </row>
    <row r="18" spans="1:4" hidden="1" x14ac:dyDescent="0.3">
      <c r="A18" s="26"/>
      <c r="B18" t="s">
        <v>28</v>
      </c>
      <c r="C18" s="29"/>
    </row>
    <row r="19" spans="1:4" ht="15" hidden="1" thickBot="1" x14ac:dyDescent="0.35">
      <c r="A19" s="27" t="s">
        <v>37</v>
      </c>
      <c r="B19" t="s">
        <v>16</v>
      </c>
      <c r="C19" s="29"/>
      <c r="D19" t="s">
        <v>62</v>
      </c>
    </row>
    <row r="20" spans="1:4" hidden="1" x14ac:dyDescent="0.3">
      <c r="A20" s="25" t="s">
        <v>39</v>
      </c>
      <c r="B20" t="s">
        <v>29</v>
      </c>
      <c r="C20" s="29"/>
      <c r="D20" t="s">
        <v>63</v>
      </c>
    </row>
    <row r="21" spans="1:4" hidden="1" x14ac:dyDescent="0.3">
      <c r="A21" s="26" t="s">
        <v>47</v>
      </c>
      <c r="B21" t="s">
        <v>35</v>
      </c>
      <c r="D21" t="s">
        <v>64</v>
      </c>
    </row>
    <row r="22" spans="1:4" hidden="1" x14ac:dyDescent="0.3">
      <c r="A22" s="33"/>
      <c r="D22" t="s">
        <v>65</v>
      </c>
    </row>
    <row r="23" spans="1:4" hidden="1" x14ac:dyDescent="0.3">
      <c r="A23" s="34">
        <v>2</v>
      </c>
      <c r="D23" t="s">
        <v>66</v>
      </c>
    </row>
    <row r="24" spans="1:4" hidden="1" x14ac:dyDescent="0.3">
      <c r="A24" s="34">
        <v>3</v>
      </c>
      <c r="D24" t="s">
        <v>67</v>
      </c>
    </row>
    <row r="25" spans="1:4" hidden="1" x14ac:dyDescent="0.3">
      <c r="A25" s="34">
        <v>4</v>
      </c>
      <c r="D25" t="s">
        <v>68</v>
      </c>
    </row>
    <row r="26" spans="1:4" hidden="1" x14ac:dyDescent="0.3">
      <c r="A26" s="34">
        <v>5</v>
      </c>
      <c r="D26" t="s">
        <v>69</v>
      </c>
    </row>
    <row r="27" spans="1:4" hidden="1" x14ac:dyDescent="0.3">
      <c r="A27" s="34">
        <v>6</v>
      </c>
      <c r="D27" t="s">
        <v>70</v>
      </c>
    </row>
    <row r="28" spans="1:4" hidden="1" x14ac:dyDescent="0.3">
      <c r="A28" s="34">
        <v>7</v>
      </c>
      <c r="D28" t="s">
        <v>71</v>
      </c>
    </row>
    <row r="29" spans="1:4" hidden="1" x14ac:dyDescent="0.3">
      <c r="A29" s="34">
        <v>8</v>
      </c>
      <c r="D29" t="s">
        <v>72</v>
      </c>
    </row>
    <row r="30" spans="1:4" hidden="1" x14ac:dyDescent="0.3">
      <c r="A30" s="34">
        <v>9</v>
      </c>
      <c r="D30" t="s">
        <v>73</v>
      </c>
    </row>
    <row r="31" spans="1:4" hidden="1" x14ac:dyDescent="0.3">
      <c r="A31" s="34">
        <v>10</v>
      </c>
      <c r="D31" t="s">
        <v>74</v>
      </c>
    </row>
    <row r="32" spans="1:4" hidden="1" x14ac:dyDescent="0.3">
      <c r="D32" t="s">
        <v>75</v>
      </c>
    </row>
    <row r="33" spans="4:4" hidden="1" x14ac:dyDescent="0.3">
      <c r="D33" t="s">
        <v>76</v>
      </c>
    </row>
    <row r="34" spans="4:4" hidden="1" x14ac:dyDescent="0.3">
      <c r="D34" t="s">
        <v>77</v>
      </c>
    </row>
    <row r="35" spans="4:4" hidden="1" x14ac:dyDescent="0.3">
      <c r="D35" t="s">
        <v>78</v>
      </c>
    </row>
  </sheetData>
  <sortState xmlns:xlrd2="http://schemas.microsoft.com/office/spreadsheetml/2017/richdata2" ref="A1:A83">
    <sortCondition ref="A1:A83"/>
  </sortState>
  <mergeCells count="12">
    <mergeCell ref="G15:O15"/>
    <mergeCell ref="G16:O16"/>
    <mergeCell ref="G9:O9"/>
    <mergeCell ref="G10:O10"/>
    <mergeCell ref="G11:O11"/>
    <mergeCell ref="G12:O12"/>
    <mergeCell ref="G13:O13"/>
    <mergeCell ref="D3:E3"/>
    <mergeCell ref="D7:E7"/>
    <mergeCell ref="G7:O7"/>
    <mergeCell ref="G8:O8"/>
    <mergeCell ref="G14:O14"/>
  </mergeCells>
  <conditionalFormatting sqref="C16:C20">
    <cfRule type="cellIs" dxfId="15" priority="34" operator="equal">
      <formula>"N"</formula>
    </cfRule>
    <cfRule type="cellIs" dxfId="14" priority="35" operator="equal">
      <formula>"Y"</formula>
    </cfRule>
  </conditionalFormatting>
  <dataValidations count="8">
    <dataValidation type="list" allowBlank="1" showInputMessage="1" showErrorMessage="1" sqref="E5" xr:uid="{42903CF5-2BE5-416E-B0B1-0B90792C9EFB}">
      <formula1>$A$1:$A$21</formula1>
    </dataValidation>
    <dataValidation type="list" allowBlank="1" showInputMessage="1" showErrorMessage="1" sqref="E6" xr:uid="{7E2F6272-4D4A-408C-A2C6-447545BD3CBA}">
      <formula1>$B$1:$B$4</formula1>
    </dataValidation>
    <dataValidation type="list" allowBlank="1" showInputMessage="1" showErrorMessage="1" sqref="E8" xr:uid="{4D2AFEF8-A5AC-406A-9415-88444679F29F}">
      <formula1>$A$23:$A$31</formula1>
    </dataValidation>
    <dataValidation type="list" allowBlank="1" showInputMessage="1" showErrorMessage="1" sqref="E16" xr:uid="{341677EF-CF7F-41CA-851C-0F076F0C9D7F}">
      <formula1>$B$16:$B$17</formula1>
    </dataValidation>
    <dataValidation type="list" allowBlank="1" showInputMessage="1" showErrorMessage="1" sqref="E10" xr:uid="{30BEE1B5-0007-4B25-926B-C51F2248338B}">
      <formula1>$B$9:$B$11</formula1>
    </dataValidation>
    <dataValidation type="list" allowBlank="1" showInputMessage="1" showErrorMessage="1" sqref="E11" xr:uid="{A657642C-FE8B-4D7F-AEED-C610B9B84A86}">
      <formula1>$B$13:$B$15</formula1>
    </dataValidation>
    <dataValidation type="list" allowBlank="1" showInputMessage="1" showErrorMessage="1" sqref="E12" xr:uid="{2FBF588C-6A65-4296-8DCF-F63F56AA1100}">
      <formula1>$B$17:$B$21</formula1>
    </dataValidation>
    <dataValidation type="list" allowBlank="1" showInputMessage="1" showErrorMessage="1" sqref="E9 E13 E14 E15" xr:uid="{92723092-6B75-45BD-8DCB-4CB3DA5DFB72}">
      <formula1>$B$6:$B$7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id="{B6501570-7DC0-4673-8ED2-66BC8E8D8353}">
            <xm:f>NOT(ISERROR(SEARCH($D$33,G8)))</xm:f>
            <xm:f>$D$33</xm:f>
            <x14:dxf>
              <font>
                <color rgb="FFFF0000"/>
              </font>
              <fill>
                <patternFill>
                  <bgColor theme="5" tint="0.79998168889431442"/>
                </patternFill>
              </fill>
            </x14:dxf>
          </x14:cfRule>
          <x14:cfRule type="containsText" priority="4" operator="containsText" id="{D02BDA45-2175-4F1C-8A94-1928D2AF3827}">
            <xm:f>NOT(ISERROR(SEARCH($D$32,G8)))</xm:f>
            <xm:f>$D$32</xm:f>
            <x14:dxf>
              <font>
                <color rgb="FFFF0000"/>
              </font>
              <fill>
                <patternFill>
                  <bgColor theme="5" tint="0.79998168889431442"/>
                </patternFill>
              </fill>
            </x14:dxf>
          </x14:cfRule>
          <x14:cfRule type="containsText" priority="5" operator="containsText" id="{A70C0156-5612-427A-AC85-D02B75DE8AA8}">
            <xm:f>NOT(ISERROR(SEARCH($D$31,G8)))</xm:f>
            <xm:f>$D$31</xm:f>
            <x14:dxf>
              <font>
                <color rgb="FFFF0000"/>
              </font>
              <fill>
                <patternFill>
                  <bgColor theme="5" tint="0.79998168889431442"/>
                </patternFill>
              </fill>
            </x14:dxf>
          </x14:cfRule>
          <x14:cfRule type="containsText" priority="6" operator="containsText" id="{947AE351-42F2-46C6-AC61-0477437098AE}">
            <xm:f>NOT(ISERROR(SEARCH($D$30,G8)))</xm:f>
            <xm:f>$D$30</xm:f>
            <x14:dxf>
              <font>
                <color rgb="FFFF0000"/>
              </font>
              <fill>
                <patternFill>
                  <bgColor theme="5" tint="0.79998168889431442"/>
                </patternFill>
              </fill>
            </x14:dxf>
          </x14:cfRule>
          <x14:cfRule type="containsText" priority="7" operator="containsText" id="{2A35E474-B12A-439A-A1AB-07868B349AAB}">
            <xm:f>NOT(ISERROR(SEARCH($D$29,G8)))</xm:f>
            <xm:f>$D$29</xm:f>
            <x14:dxf>
              <font>
                <color rgb="FFFF0000"/>
              </font>
              <fill>
                <patternFill>
                  <bgColor theme="5" tint="0.79998168889431442"/>
                </patternFill>
              </fill>
            </x14:dxf>
          </x14:cfRule>
          <x14:cfRule type="containsText" priority="8" operator="containsText" id="{FAC9F180-1B92-4083-B83A-7003658ED143}">
            <xm:f>NOT(ISERROR(SEARCH($D$28,G8)))</xm:f>
            <xm:f>$D$28</xm:f>
            <x14:dxf>
              <font>
                <color rgb="FFFF0000"/>
              </font>
              <fill>
                <patternFill>
                  <bgColor theme="5" tint="0.79998168889431442"/>
                </patternFill>
              </fill>
            </x14:dxf>
          </x14:cfRule>
          <x14:cfRule type="containsText" priority="9" operator="containsText" id="{F2839518-BAE7-4693-B931-F67D90B3802B}">
            <xm:f>NOT(ISERROR(SEARCH($D$27,G8)))</xm:f>
            <xm:f>$D$27</xm:f>
            <x14:dxf>
              <font>
                <color rgb="FFFF0000"/>
              </font>
              <fill>
                <patternFill>
                  <bgColor theme="5" tint="0.79998168889431442"/>
                </patternFill>
              </fill>
            </x14:dxf>
          </x14:cfRule>
          <x14:cfRule type="containsText" priority="10" operator="containsText" id="{ADE8323D-0FB5-4720-8828-E1FF00D8440E}">
            <xm:f>NOT(ISERROR(SEARCH($D$26,G8)))</xm:f>
            <xm:f>$D$26</xm:f>
            <x14:dxf>
              <font>
                <color rgb="FFFF0000"/>
              </font>
              <fill>
                <patternFill>
                  <bgColor theme="5" tint="0.79998168889431442"/>
                </patternFill>
              </fill>
            </x14:dxf>
          </x14:cfRule>
          <x14:cfRule type="containsText" priority="11" operator="containsText" id="{59EB52E3-A62C-4632-9078-98A60A926C90}">
            <xm:f>NOT(ISERROR(SEARCH($D$25,G8)))</xm:f>
            <xm:f>$D$25</xm:f>
            <x14:dxf>
              <font>
                <color rgb="FFFF0000"/>
              </font>
              <fill>
                <patternFill>
                  <bgColor theme="5" tint="0.79998168889431442"/>
                </patternFill>
              </fill>
            </x14:dxf>
          </x14:cfRule>
          <x14:cfRule type="containsText" priority="12" operator="containsText" id="{3288FD8B-93E1-42A9-ACC0-8B551ECF6B85}">
            <xm:f>NOT(ISERROR(SEARCH($D$24,G8)))</xm:f>
            <xm:f>$D$24</xm:f>
            <x14:dxf>
              <font>
                <color rgb="FFFF0000"/>
              </font>
              <fill>
                <patternFill>
                  <bgColor theme="5" tint="0.79998168889431442"/>
                </patternFill>
              </fill>
            </x14:dxf>
          </x14:cfRule>
          <x14:cfRule type="containsText" priority="13" operator="containsText" id="{B34FCD29-840A-4AF6-B8F8-F75255EA2DFA}">
            <xm:f>NOT(ISERROR(SEARCH($D$23,G8)))</xm:f>
            <xm:f>$D$23</xm:f>
            <x14:dxf>
              <font>
                <color rgb="FFFF0000"/>
              </font>
              <fill>
                <patternFill>
                  <bgColor theme="5" tint="0.79998168889431442"/>
                </patternFill>
              </fill>
            </x14:dxf>
          </x14:cfRule>
          <x14:cfRule type="containsText" priority="14" operator="containsText" id="{972C7F02-C8CC-4AD5-AA42-8C0BBE305953}">
            <xm:f>NOT(ISERROR(SEARCH($D$21,G8)))</xm:f>
            <xm:f>$D$21</xm:f>
            <x14:dxf>
              <font>
                <color theme="9" tint="-0.24994659260841701"/>
              </font>
              <fill>
                <patternFill>
                  <bgColor theme="9" tint="0.59996337778862885"/>
                </patternFill>
              </fill>
            </x14:dxf>
          </x14:cfRule>
          <x14:cfRule type="containsText" priority="15" operator="containsText" id="{E6F72AAF-0C8D-415A-9AF6-066F3347F1B4}">
            <xm:f>NOT(ISERROR(SEARCH($D$19,G8)))</xm:f>
            <xm:f>$D$19</xm:f>
            <x14:dxf>
              <font>
                <color rgb="FFFF0000"/>
              </font>
              <fill>
                <patternFill>
                  <bgColor theme="5" tint="0.79998168889431442"/>
                </patternFill>
              </fill>
            </x14:dxf>
          </x14:cfRule>
          <xm:sqref>G8:O16</xm:sqref>
        </x14:conditionalFormatting>
        <x14:conditionalFormatting xmlns:xm="http://schemas.microsoft.com/office/excel/2006/main">
          <x14:cfRule type="containsText" priority="1" operator="containsText" id="{BCE96DFE-D23E-464B-A963-66ABED1662FC}">
            <xm:f>NOT(ISERROR(SEARCH($D$34,G14)))</xm:f>
            <xm:f>$D$34</xm:f>
            <x14:dxf>
              <font>
                <color rgb="FFFF0000"/>
              </font>
              <fill>
                <patternFill>
                  <bgColor theme="5" tint="0.79998168889431442"/>
                </patternFill>
              </fill>
            </x14:dxf>
          </x14:cfRule>
          <xm:sqref>G14:O14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7FBF0-8738-4943-B284-E6EA9769E487}">
  <dimension ref="A4:C25"/>
  <sheetViews>
    <sheetView showGridLines="0" tabSelected="1" workbookViewId="0">
      <selection activeCell="D12" sqref="D12"/>
    </sheetView>
  </sheetViews>
  <sheetFormatPr defaultColWidth="39.44140625" defaultRowHeight="14.4" x14ac:dyDescent="0.3"/>
  <cols>
    <col min="1" max="16384" width="39.44140625" style="43"/>
  </cols>
  <sheetData>
    <row r="4" spans="1:3" x14ac:dyDescent="0.3">
      <c r="A4" s="42" t="s">
        <v>80</v>
      </c>
      <c r="B4" s="42" t="s">
        <v>81</v>
      </c>
      <c r="C4" s="42" t="s">
        <v>82</v>
      </c>
    </row>
    <row r="5" spans="1:3" x14ac:dyDescent="0.3">
      <c r="A5" s="44" t="s">
        <v>83</v>
      </c>
      <c r="B5" s="45" t="s">
        <v>84</v>
      </c>
      <c r="C5" s="45" t="s">
        <v>85</v>
      </c>
    </row>
    <row r="6" spans="1:3" ht="43.2" x14ac:dyDescent="0.3">
      <c r="A6" s="44" t="s">
        <v>4</v>
      </c>
      <c r="B6" s="45" t="s">
        <v>86</v>
      </c>
      <c r="C6" s="45" t="s">
        <v>87</v>
      </c>
    </row>
    <row r="7" spans="1:3" ht="28.8" x14ac:dyDescent="0.3">
      <c r="A7" s="44" t="s">
        <v>88</v>
      </c>
      <c r="B7" s="46" t="s">
        <v>89</v>
      </c>
      <c r="C7" s="46" t="s">
        <v>90</v>
      </c>
    </row>
    <row r="8" spans="1:3" ht="28.8" x14ac:dyDescent="0.3">
      <c r="A8" s="44" t="s">
        <v>91</v>
      </c>
      <c r="B8" s="45" t="s">
        <v>92</v>
      </c>
      <c r="C8" s="45" t="s">
        <v>93</v>
      </c>
    </row>
    <row r="9" spans="1:3" x14ac:dyDescent="0.3">
      <c r="A9" s="44" t="s">
        <v>94</v>
      </c>
      <c r="B9" s="45" t="s">
        <v>95</v>
      </c>
      <c r="C9" s="45" t="s">
        <v>95</v>
      </c>
    </row>
    <row r="10" spans="1:3" x14ac:dyDescent="0.3">
      <c r="A10" s="44" t="s">
        <v>96</v>
      </c>
      <c r="B10" s="45" t="s">
        <v>95</v>
      </c>
      <c r="C10" s="45" t="s">
        <v>95</v>
      </c>
    </row>
    <row r="11" spans="1:3" x14ac:dyDescent="0.3">
      <c r="A11" s="44" t="s">
        <v>97</v>
      </c>
      <c r="B11" s="45" t="s">
        <v>95</v>
      </c>
      <c r="C11" s="45" t="s">
        <v>95</v>
      </c>
    </row>
    <row r="12" spans="1:3" x14ac:dyDescent="0.3">
      <c r="A12" s="44" t="s">
        <v>98</v>
      </c>
      <c r="B12" s="45" t="s">
        <v>95</v>
      </c>
      <c r="C12" s="45" t="s">
        <v>95</v>
      </c>
    </row>
    <row r="13" spans="1:3" ht="28.8" x14ac:dyDescent="0.3">
      <c r="A13" s="44" t="s">
        <v>99</v>
      </c>
      <c r="B13" s="45" t="s">
        <v>100</v>
      </c>
      <c r="C13" s="45" t="s">
        <v>101</v>
      </c>
    </row>
    <row r="14" spans="1:3" x14ac:dyDescent="0.3">
      <c r="A14" s="44" t="s">
        <v>102</v>
      </c>
      <c r="B14" s="45" t="s">
        <v>103</v>
      </c>
      <c r="C14" s="45" t="s">
        <v>104</v>
      </c>
    </row>
    <row r="15" spans="1:3" ht="28.8" x14ac:dyDescent="0.3">
      <c r="A15" s="44" t="s">
        <v>105</v>
      </c>
      <c r="B15" s="45" t="s">
        <v>106</v>
      </c>
      <c r="C15" s="45" t="s">
        <v>107</v>
      </c>
    </row>
    <row r="16" spans="1:3" x14ac:dyDescent="0.3">
      <c r="A16" s="44" t="s">
        <v>108</v>
      </c>
      <c r="B16" s="45" t="s">
        <v>109</v>
      </c>
      <c r="C16" s="45" t="s">
        <v>107</v>
      </c>
    </row>
    <row r="17" spans="1:3" x14ac:dyDescent="0.3">
      <c r="A17" s="44" t="s">
        <v>110</v>
      </c>
      <c r="B17" s="45" t="s">
        <v>103</v>
      </c>
      <c r="C17" s="45" t="s">
        <v>95</v>
      </c>
    </row>
    <row r="18" spans="1:3" ht="43.2" x14ac:dyDescent="0.3">
      <c r="A18" s="44" t="s">
        <v>111</v>
      </c>
      <c r="B18" s="45" t="s">
        <v>103</v>
      </c>
      <c r="C18" s="45" t="s">
        <v>112</v>
      </c>
    </row>
    <row r="19" spans="1:3" x14ac:dyDescent="0.3">
      <c r="A19" s="44" t="s">
        <v>113</v>
      </c>
      <c r="B19" s="45" t="s">
        <v>103</v>
      </c>
      <c r="C19" s="45" t="s">
        <v>114</v>
      </c>
    </row>
    <row r="20" spans="1:3" x14ac:dyDescent="0.3">
      <c r="A20" s="44" t="s">
        <v>115</v>
      </c>
      <c r="B20" s="45" t="s">
        <v>103</v>
      </c>
      <c r="C20" s="45" t="s">
        <v>116</v>
      </c>
    </row>
    <row r="21" spans="1:3" x14ac:dyDescent="0.3">
      <c r="A21" s="44" t="s">
        <v>117</v>
      </c>
      <c r="B21" s="45" t="s">
        <v>95</v>
      </c>
      <c r="C21" s="45" t="s">
        <v>95</v>
      </c>
    </row>
    <row r="22" spans="1:3" x14ac:dyDescent="0.3">
      <c r="A22" s="44" t="s">
        <v>118</v>
      </c>
      <c r="B22" s="45" t="s">
        <v>103</v>
      </c>
      <c r="C22" s="45" t="s">
        <v>95</v>
      </c>
    </row>
    <row r="23" spans="1:3" x14ac:dyDescent="0.3">
      <c r="A23" s="44" t="s">
        <v>119</v>
      </c>
      <c r="B23" s="45" t="s">
        <v>103</v>
      </c>
      <c r="C23" s="45" t="s">
        <v>95</v>
      </c>
    </row>
    <row r="24" spans="1:3" x14ac:dyDescent="0.3">
      <c r="A24" s="44" t="s">
        <v>120</v>
      </c>
      <c r="B24" s="47" t="s">
        <v>121</v>
      </c>
      <c r="C24" s="47" t="s">
        <v>122</v>
      </c>
    </row>
    <row r="25" spans="1:3" x14ac:dyDescent="0.3">
      <c r="A25" s="44" t="s">
        <v>123</v>
      </c>
      <c r="B25" s="48" t="s">
        <v>103</v>
      </c>
      <c r="C25" s="47" t="s">
        <v>124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edf6b5f7-d342-49f2-86e7-16b167db190f" xsi:nil="true"/>
    <TaxCatchAll xmlns="2b47590b-d718-474f-a7b3-10b44959738c" xsi:nil="true"/>
    <lcf76f155ced4ddcb4097134ff3c332f xmlns="edf6b5f7-d342-49f2-86e7-16b167db190f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BD4E4ACEE17047B2CD88717FF8D421" ma:contentTypeVersion="21" ma:contentTypeDescription="Create a new document." ma:contentTypeScope="" ma:versionID="a39149432796a8a5ac3476c29ac77687">
  <xsd:schema xmlns:xsd="http://www.w3.org/2001/XMLSchema" xmlns:xs="http://www.w3.org/2001/XMLSchema" xmlns:p="http://schemas.microsoft.com/office/2006/metadata/properties" xmlns:ns2="edf6b5f7-d342-49f2-86e7-16b167db190f" xmlns:ns3="2b47590b-d718-474f-a7b3-10b44959738c" targetNamespace="http://schemas.microsoft.com/office/2006/metadata/properties" ma:root="true" ma:fieldsID="1a52db9392da18844b66f7fc49b74c14" ns2:_="" ns3:_="">
    <xsd:import namespace="edf6b5f7-d342-49f2-86e7-16b167db190f"/>
    <xsd:import namespace="2b47590b-d718-474f-a7b3-10b4495973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f6b5f7-d342-49f2-86e7-16b167db19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54ba23b-1f8a-4162-98cf-07c68cba3f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47590b-d718-474f-a7b3-10b44959738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d814ff0-5522-4f97-b5fe-6179ba350c79}" ma:internalName="TaxCatchAll" ma:showField="CatchAllData" ma:web="2b47590b-d718-474f-a7b3-10b4495973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1C1EF77-3066-43DF-97EC-A6EFCFA429E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ECF3E9D-D885-4261-A031-C85B7613403C}">
  <ds:schemaRefs>
    <ds:schemaRef ds:uri="http://schemas.microsoft.com/office/2006/metadata/properties"/>
    <ds:schemaRef ds:uri="http://schemas.microsoft.com/office/infopath/2007/PartnerControls"/>
    <ds:schemaRef ds:uri="edf6b5f7-d342-49f2-86e7-16b167db190f"/>
    <ds:schemaRef ds:uri="2b47590b-d718-474f-a7b3-10b44959738c"/>
  </ds:schemaRefs>
</ds:datastoreItem>
</file>

<file path=customXml/itemProps3.xml><?xml version="1.0" encoding="utf-8"?>
<ds:datastoreItem xmlns:ds="http://schemas.openxmlformats.org/officeDocument/2006/customXml" ds:itemID="{F3BD1F3A-B9D6-4BCD-898C-7E5260030C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f6b5f7-d342-49f2-86e7-16b167db190f"/>
    <ds:schemaRef ds:uri="2b47590b-d718-474f-a7b3-10b4495973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Base Data</vt:lpstr>
      <vt:lpstr>Benchmarking</vt:lpstr>
      <vt:lpstr>Standard vs Comprehensive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Nipun Taneja</dc:creator>
  <cp:keywords/>
  <dc:description/>
  <cp:lastModifiedBy>Anuj Parekh</cp:lastModifiedBy>
  <cp:revision/>
  <dcterms:created xsi:type="dcterms:W3CDTF">2024-07-31T09:12:00Z</dcterms:created>
  <dcterms:modified xsi:type="dcterms:W3CDTF">2026-06-18T19:38:26Z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0x01010070BD4E4ACEE17047B2CD88717FF8D421</vt:lpwstr>
  </property>
  <property fmtid="{D5CDD505-2E9C-101B-9397-08002B2CF9AE}" pid="3" name="MediaServiceImageTags">
    <vt:lpwstr/>
  </property>
</Properties>
</file>