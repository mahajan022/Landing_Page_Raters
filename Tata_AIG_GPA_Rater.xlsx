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ealthysurein.sharepoint.com/sites/HealthySureGroup/HealthySure/HealthySure/Employee Benefits Platform/Placements/Premium Calculators/Insurers/TATA AIG/GPA/"/>
    </mc:Choice>
  </mc:AlternateContent>
  <xr:revisionPtr revIDLastSave="142" documentId="8_{8ACED2F8-9746-4A2C-8FA3-F81CBD23FBFF}" xr6:coauthVersionLast="47" xr6:coauthVersionMax="47" xr10:uidLastSave="{4CC85F55-E1DA-4BDD-912A-2235EA0E262B}"/>
  <bookViews>
    <workbookView xWindow="-108" yWindow="-108" windowWidth="23256" windowHeight="13896" tabRatio="500" xr2:uid="{00000000-000D-0000-FFFF-FFFF00000000}"/>
  </bookViews>
  <sheets>
    <sheet name="Rater" sheetId="1" r:id="rId1"/>
    <sheet name="Policy Terms" sheetId="2" r:id="rId2"/>
    <sheet name="Commissions" sheetId="3" state="hidden" r:id="rId3"/>
    <sheet name="Decline 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5" i="1"/>
  <c r="G41" i="1" s="1"/>
  <c r="C35" i="1"/>
  <c r="C32" i="1"/>
  <c r="C41" i="1" l="1"/>
  <c r="C37" i="1"/>
  <c r="C40" i="1" s="1"/>
  <c r="G39" i="1"/>
  <c r="G40" i="1"/>
  <c r="G45" i="1" s="1"/>
  <c r="C45" i="1" l="1"/>
  <c r="G42" i="1"/>
  <c r="G44" i="1"/>
  <c r="G46" i="1" s="1"/>
  <c r="C39" i="1"/>
  <c r="C42" i="1" l="1"/>
  <c r="C44" i="1"/>
  <c r="C46" i="1" s="1"/>
</calcChain>
</file>

<file path=xl/sharedStrings.xml><?xml version="1.0" encoding="utf-8"?>
<sst xmlns="http://schemas.openxmlformats.org/spreadsheetml/2006/main" count="141" uniqueCount="82">
  <si>
    <t>Healthysure x Tata AIG — Group Personal Accident Rater (SME)</t>
  </si>
  <si>
    <t>Terms valid till 30th Sep 2026  |  Min 7 lives, Max 500 lives  |  Min Premium: INR 3,500  |  Only Permanent Employees</t>
  </si>
  <si>
    <t>SECTION 1 — PREMIUM RATES PER MILLE (excl. GST)  |  Rates on Death Sum Insured</t>
  </si>
  <si>
    <t>Industry</t>
  </si>
  <si>
    <t>Basic</t>
  </si>
  <si>
    <t>Standard</t>
  </si>
  <si>
    <t>Pro</t>
  </si>
  <si>
    <t>IT / ITES / BPO / KPO</t>
  </si>
  <si>
    <t>Financial Services / Consultancy / Insurance</t>
  </si>
  <si>
    <t>Retailers / Trader / Wholesaler</t>
  </si>
  <si>
    <t>Hotel Industry</t>
  </si>
  <si>
    <t>Manufacturing</t>
  </si>
  <si>
    <t>Construction</t>
  </si>
  <si>
    <t>* Rates are per mille (‰) on Death Sum Insured. All figures exclude GST.</t>
  </si>
  <si>
    <t>SECTION 2 — COMMISSION STRUCTURE</t>
  </si>
  <si>
    <t>Component</t>
  </si>
  <si>
    <t>Base Commission</t>
  </si>
  <si>
    <t>Base Rewards</t>
  </si>
  <si>
    <t>Base Payout</t>
  </si>
  <si>
    <t>Rewards on Excess Premium</t>
  </si>
  <si>
    <t>80:20</t>
  </si>
  <si>
    <t>SECTION 3 — PREMIUM CALCULATOR  (Change highlighted cells)</t>
  </si>
  <si>
    <t>Plan Type</t>
  </si>
  <si>
    <t>SI per Employee (INR)</t>
  </si>
  <si>
    <t>Aggregate SI (INR)</t>
  </si>
  <si>
    <t>No. of Employees</t>
  </si>
  <si>
    <t>Base Rewards %</t>
  </si>
  <si>
    <t xml:space="preserve"> </t>
  </si>
  <si>
    <t>LEGEND</t>
  </si>
  <si>
    <t>Green — Calculated (do not edit)</t>
  </si>
  <si>
    <t>Features</t>
  </si>
  <si>
    <t>Claims</t>
  </si>
  <si>
    <t>Nil</t>
  </si>
  <si>
    <t>Number of Lives</t>
  </si>
  <si>
    <t>Min 7</t>
  </si>
  <si>
    <t>Max 500</t>
  </si>
  <si>
    <t>Minimum Premium requirement</t>
  </si>
  <si>
    <t>INR 3500</t>
  </si>
  <si>
    <t>Description of Insured</t>
  </si>
  <si>
    <t>Only Permanent Employees of the company are covered.</t>
  </si>
  <si>
    <t>SI Type</t>
  </si>
  <si>
    <t>Flat</t>
  </si>
  <si>
    <t>Max SI per person</t>
  </si>
  <si>
    <t>INR 1Cr</t>
  </si>
  <si>
    <t>Industry of Insured</t>
  </si>
  <si>
    <t>Rates per mille on death sum-insured</t>
  </si>
  <si>
    <t>IT / ITES / BPO  KPO</t>
  </si>
  <si>
    <t>Coverages :</t>
  </si>
  <si>
    <t>Accidental Death</t>
  </si>
  <si>
    <t>100% of SI</t>
  </si>
  <si>
    <t>Permanent Total Disablement</t>
  </si>
  <si>
    <t>Permanent Partial Disablement</t>
  </si>
  <si>
    <t>Up to 100% of SI based on extent of disability</t>
  </si>
  <si>
    <t>Fixed INR 1,00,000 or Actuals whichever is lower.</t>
  </si>
  <si>
    <t>Ambulance Charges</t>
  </si>
  <si>
    <t>NA</t>
  </si>
  <si>
    <t>Additional Benefits</t>
  </si>
  <si>
    <t>Children Education Benefit-  10% of SI upto Rs. 5000 per child (max 2 children upto 25 years of age)
Compassionate Visit - 10% SI upto Rs. 25,000
Funeral Expenses - 2.5% of SI upto Rs. 2500
Transportation of Dead Body - 2.5% of SI upto Rs.2500</t>
  </si>
  <si>
    <t>Temporary Total Disablement
(if patient confined to bed due to temporary and total inability to engage in any occupation or any activity)</t>
  </si>
  <si>
    <t>1% of SI or Rs. 5,000 per week or actual salary, whichever is lower for 104 weeks</t>
  </si>
  <si>
    <t xml:space="preserve">Rewards </t>
  </si>
  <si>
    <t>To be Prepared By TATA AIG</t>
  </si>
  <si>
    <t>White — User Input (change these)</t>
  </si>
  <si>
    <t>Rewards on excess premium collected</t>
  </si>
  <si>
    <t>Base Commission %</t>
  </si>
  <si>
    <t>Total Earnings</t>
  </si>
  <si>
    <t xml:space="preserve">Base Rewards 7.5% </t>
  </si>
  <si>
    <t xml:space="preserve">Base Commission 7.5% </t>
  </si>
  <si>
    <t xml:space="preserve">Gross Premium </t>
  </si>
  <si>
    <t xml:space="preserve">Base Rewards  7.5% </t>
  </si>
  <si>
    <t>Per Mille rate - Selling price</t>
  </si>
  <si>
    <t>Per Mille rate - Insurance co</t>
  </si>
  <si>
    <t>Total Earnings %</t>
  </si>
  <si>
    <t>Total Rewards %</t>
  </si>
  <si>
    <t>Flat Sum Insured</t>
  </si>
  <si>
    <t>Graded Sum Insured</t>
  </si>
  <si>
    <r>
      <t xml:space="preserve">Group Accident Guard Product - SME </t>
    </r>
    <r>
      <rPr>
        <b/>
        <u/>
        <sz val="10"/>
        <color theme="1"/>
        <rFont val="Calibri"/>
        <family val="2"/>
        <scheme val="minor"/>
      </rPr>
      <t>(Terms are valid  till 30th Sep'26 only)</t>
    </r>
  </si>
  <si>
    <r>
      <t>10% of the CSI or 40% of the Admissible Claim or Actuals whichever is less 
(</t>
    </r>
    <r>
      <rPr>
        <b/>
        <sz val="12"/>
        <color theme="1"/>
        <rFont val="Calibri"/>
        <family val="2"/>
        <scheme val="minor"/>
      </rPr>
      <t>only if accidental death or disability - PTD/ PPD</t>
    </r>
    <r>
      <rPr>
        <sz val="12"/>
        <color theme="1"/>
        <rFont val="Calibri"/>
        <family val="2"/>
        <scheme val="minor"/>
      </rPr>
      <t>)</t>
    </r>
  </si>
  <si>
    <r>
      <t xml:space="preserve">Children Education Benefit-  10% of SI upto Rs. 5000 per child (max 2 children upto 25 years of age)
Compassionate Visit - 10% SI upto Rs. 25,000
Funeral Expenses - 2.5% of SI upto Rs. 5000
Transportation of Dead Body - 2.5% of SI upto </t>
    </r>
    <r>
      <rPr>
        <b/>
        <sz val="11"/>
        <color theme="5" tint="-0.249977111117893"/>
        <rFont val="Calibri"/>
        <family val="2"/>
        <scheme val="minor"/>
      </rPr>
      <t>Rs.5000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5" tint="-0.249977111117893"/>
        <rFont val="Calibri"/>
        <family val="2"/>
        <scheme val="minor"/>
      </rPr>
      <t>Lifestyle modification - 10% SI upto Rs. 10,000</t>
    </r>
  </si>
  <si>
    <r>
      <t>Children Education Benefit-  Upto</t>
    </r>
    <r>
      <rPr>
        <b/>
        <sz val="11"/>
        <color theme="5" tint="-0.249977111117893"/>
        <rFont val="Calibri"/>
        <family val="2"/>
        <scheme val="minor"/>
      </rPr>
      <t xml:space="preserve"> Rs. 10,000</t>
    </r>
    <r>
      <rPr>
        <sz val="11"/>
        <color theme="1"/>
        <rFont val="Calibri"/>
        <family val="2"/>
        <scheme val="minor"/>
      </rPr>
      <t xml:space="preserve"> per child (max 2 children upto 25 years of age)
Compassionate Visit - 10% SI upto Rs. 25,000
Funeral Expenses - 5% of SI upto Rs. 10,000
Transportation of Dead Body - </t>
    </r>
    <r>
      <rPr>
        <b/>
        <sz val="11"/>
        <color theme="5" tint="-0.249977111117893"/>
        <rFont val="Calibri"/>
        <family val="2"/>
        <scheme val="minor"/>
      </rPr>
      <t>5%</t>
    </r>
    <r>
      <rPr>
        <sz val="11"/>
        <color theme="1"/>
        <rFont val="Calibri"/>
        <family val="2"/>
        <scheme val="minor"/>
      </rPr>
      <t xml:space="preserve"> of SI upto </t>
    </r>
    <r>
      <rPr>
        <b/>
        <sz val="11"/>
        <color theme="5" tint="-0.249977111117893"/>
        <rFont val="Calibri"/>
        <family val="2"/>
        <scheme val="minor"/>
      </rPr>
      <t>Rs.10,000</t>
    </r>
    <r>
      <rPr>
        <sz val="11"/>
        <color theme="1"/>
        <rFont val="Calibri"/>
        <family val="2"/>
        <scheme val="minor"/>
      </rPr>
      <t xml:space="preserve">
Lifestyle modification - 10% SI upto </t>
    </r>
    <r>
      <rPr>
        <b/>
        <sz val="11"/>
        <color theme="5" tint="-0.249977111117893"/>
        <rFont val="Calibri"/>
        <family val="2"/>
        <scheme val="minor"/>
      </rPr>
      <t>Rs. 25,000</t>
    </r>
  </si>
  <si>
    <r>
      <rPr>
        <sz val="12"/>
        <color rgb="FF000000"/>
        <rFont val="Calibri"/>
        <family val="2"/>
      </rPr>
      <t xml:space="preserve">1% of SI or </t>
    </r>
    <r>
      <rPr>
        <b/>
        <sz val="12"/>
        <color theme="5" tint="-0.249977111117893"/>
        <rFont val="Calibri"/>
        <family val="2"/>
      </rPr>
      <t>Rs. 10,000</t>
    </r>
    <r>
      <rPr>
        <sz val="12"/>
        <color rgb="FF000000"/>
        <rFont val="Calibri"/>
        <family val="2"/>
      </rPr>
      <t xml:space="preserve"> per week or actual salary, whichever is lower for 104 weeks</t>
    </r>
  </si>
  <si>
    <r>
      <t xml:space="preserve">Accidental Hospitalization - </t>
    </r>
    <r>
      <rPr>
        <b/>
        <sz val="12"/>
        <color theme="1"/>
        <rFont val="Calibri"/>
        <family val="2"/>
        <scheme val="minor"/>
      </rPr>
      <t>Medex IPD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</si>
</sst>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₹#,##0"/>
  </numFmts>
  <fonts count="3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rgb="FFFFFFFF"/>
      <name val="Arial"/>
      <family val="2"/>
    </font>
    <font>
      <i/>
      <sz val="9"/>
      <color rgb="FF1F3864"/>
      <name val="Arial"/>
      <family val="2"/>
    </font>
    <font>
      <sz val="9"/>
      <name val="Arial"/>
      <family val="2"/>
    </font>
    <font>
      <b/>
      <sz val="9"/>
      <color rgb="FF1F3864"/>
      <name val="Arial"/>
      <family val="2"/>
    </font>
    <font>
      <i/>
      <sz val="9"/>
      <color rgb="FF595959"/>
      <name val="Arial"/>
      <family val="2"/>
    </font>
    <font>
      <b/>
      <sz val="9"/>
      <color rgb="FF2F5496"/>
      <name val="Arial"/>
      <family val="2"/>
    </font>
    <font>
      <sz val="9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i/>
      <sz val="9"/>
      <color rgb="FF595959"/>
      <name val="Calibri"/>
      <family val="2"/>
    </font>
    <font>
      <sz val="9"/>
      <color rgb="FF1F3864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0"/>
      <color theme="0"/>
      <name val="Calibri"/>
      <family val="2"/>
    </font>
    <font>
      <b/>
      <u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theme="5" tint="-0.249977111117893"/>
      <name val="Calibri"/>
      <family val="2"/>
    </font>
    <font>
      <b/>
      <u/>
      <sz val="10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D9E1F2"/>
        <bgColor rgb="FFD6E4F0"/>
      </patternFill>
    </fill>
    <fill>
      <patternFill patternType="solid">
        <fgColor rgb="FF2F5496"/>
        <bgColor rgb="FF2F5597"/>
      </patternFill>
    </fill>
    <fill>
      <patternFill patternType="solid">
        <fgColor rgb="FF2E4057"/>
        <bgColor rgb="FF1F3864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595959"/>
        <bgColor rgb="FF2E4057"/>
      </patternFill>
    </fill>
    <fill>
      <patternFill patternType="solid">
        <fgColor rgb="FFFFFF00"/>
        <bgColor rgb="FFFFFF00"/>
      </patternFill>
    </fill>
    <fill>
      <patternFill patternType="solid">
        <fgColor theme="3" tint="-0.249977111117893"/>
        <bgColor rgb="FFF2F2F2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4" tint="0.79998168889431442"/>
        <bgColor rgb="FFD9E1F2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C9A227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C9A227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D0D0D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6" fillId="0" borderId="0"/>
    <xf numFmtId="0" fontId="2" fillId="0" borderId="0"/>
  </cellStyleXfs>
  <cellXfs count="107">
    <xf numFmtId="0" fontId="0" fillId="0" borderId="0" xfId="0"/>
    <xf numFmtId="0" fontId="3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2" fontId="7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2" fontId="7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0" xfId="0" applyFont="1" applyFill="1"/>
    <xf numFmtId="0" fontId="12" fillId="7" borderId="2" xfId="0" applyFont="1" applyFill="1" applyBorder="1" applyAlignment="1">
      <alignment horizontal="left" vertical="center" indent="1"/>
    </xf>
    <xf numFmtId="0" fontId="10" fillId="7" borderId="3" xfId="0" applyFont="1" applyFill="1" applyBorder="1"/>
    <xf numFmtId="0" fontId="3" fillId="0" borderId="0" xfId="0" applyFont="1" applyAlignment="1">
      <alignment horizontal="left" vertical="center"/>
    </xf>
    <xf numFmtId="0" fontId="10" fillId="0" borderId="0" xfId="0" applyFont="1"/>
    <xf numFmtId="164" fontId="10" fillId="0" borderId="0" xfId="0" applyNumberFormat="1" applyFont="1" applyAlignment="1">
      <alignment horizontal="center" vertical="center"/>
    </xf>
    <xf numFmtId="0" fontId="13" fillId="7" borderId="0" xfId="0" applyFont="1" applyFill="1"/>
    <xf numFmtId="0" fontId="0" fillId="0" borderId="0" xfId="0" applyAlignment="1">
      <alignment horizontal="left" vertical="center"/>
    </xf>
    <xf numFmtId="0" fontId="15" fillId="0" borderId="2" xfId="0" applyFont="1" applyBorder="1" applyAlignment="1">
      <alignment vertical="center" wrapText="1"/>
    </xf>
    <xf numFmtId="10" fontId="15" fillId="0" borderId="2" xfId="0" applyNumberFormat="1" applyFont="1" applyBorder="1" applyAlignment="1">
      <alignment horizontal="center" vertical="center"/>
    </xf>
    <xf numFmtId="10" fontId="15" fillId="0" borderId="2" xfId="0" applyNumberFormat="1" applyFont="1" applyBorder="1" applyAlignment="1">
      <alignment horizontal="center" vertical="center" wrapText="1"/>
    </xf>
    <xf numFmtId="46" fontId="15" fillId="0" borderId="2" xfId="0" applyNumberFormat="1" applyFont="1" applyBorder="1" applyAlignment="1">
      <alignment horizontal="center" vertical="center" wrapText="1"/>
    </xf>
    <xf numFmtId="0" fontId="0" fillId="10" borderId="0" xfId="0" applyFill="1"/>
    <xf numFmtId="165" fontId="12" fillId="12" borderId="2" xfId="0" applyNumberFormat="1" applyFont="1" applyFill="1" applyBorder="1" applyAlignment="1">
      <alignment horizontal="left" vertical="center" indent="1"/>
    </xf>
    <xf numFmtId="164" fontId="3" fillId="12" borderId="2" xfId="0" applyNumberFormat="1" applyFont="1" applyFill="1" applyBorder="1" applyAlignment="1">
      <alignment horizontal="left" vertical="center" indent="1"/>
    </xf>
    <xf numFmtId="164" fontId="10" fillId="13" borderId="2" xfId="0" applyNumberFormat="1" applyFont="1" applyFill="1" applyBorder="1" applyAlignment="1">
      <alignment horizontal="left" vertical="center" indent="1"/>
    </xf>
    <xf numFmtId="0" fontId="17" fillId="15" borderId="2" xfId="0" applyFont="1" applyFill="1" applyBorder="1" applyAlignment="1">
      <alignment horizontal="left" vertical="center" indent="1"/>
    </xf>
    <xf numFmtId="2" fontId="17" fillId="15" borderId="2" xfId="0" applyNumberFormat="1" applyFont="1" applyFill="1" applyBorder="1" applyAlignment="1">
      <alignment horizontal="left" vertical="center" indent="1"/>
    </xf>
    <xf numFmtId="2" fontId="12" fillId="12" borderId="2" xfId="0" applyNumberFormat="1" applyFont="1" applyFill="1" applyBorder="1" applyAlignment="1">
      <alignment horizontal="left" vertical="center" indent="1"/>
    </xf>
    <xf numFmtId="0" fontId="18" fillId="7" borderId="2" xfId="0" applyFont="1" applyFill="1" applyBorder="1" applyAlignment="1">
      <alignment horizontal="left" vertical="center" indent="1"/>
    </xf>
    <xf numFmtId="165" fontId="18" fillId="12" borderId="2" xfId="0" applyNumberFormat="1" applyFont="1" applyFill="1" applyBorder="1" applyAlignment="1">
      <alignment horizontal="left" vertical="center" indent="1"/>
    </xf>
    <xf numFmtId="0" fontId="19" fillId="7" borderId="2" xfId="0" applyFont="1" applyFill="1" applyBorder="1" applyAlignment="1">
      <alignment horizontal="left" vertical="center" indent="1"/>
    </xf>
    <xf numFmtId="0" fontId="2" fillId="0" borderId="9" xfId="2" applyBorder="1" applyAlignment="1">
      <alignment horizontal="left" vertical="center" wrapText="1"/>
    </xf>
    <xf numFmtId="0" fontId="2" fillId="0" borderId="0" xfId="2"/>
    <xf numFmtId="0" fontId="21" fillId="0" borderId="2" xfId="2" applyFont="1" applyBorder="1"/>
    <xf numFmtId="0" fontId="22" fillId="16" borderId="4" xfId="2" applyFont="1" applyFill="1" applyBorder="1" applyAlignment="1">
      <alignment horizontal="center" vertical="center" wrapText="1"/>
    </xf>
    <xf numFmtId="0" fontId="22" fillId="16" borderId="5" xfId="2" applyFont="1" applyFill="1" applyBorder="1" applyAlignment="1">
      <alignment horizontal="center" vertical="center" wrapText="1"/>
    </xf>
    <xf numFmtId="0" fontId="22" fillId="16" borderId="5" xfId="2" applyFont="1" applyFill="1" applyBorder="1" applyAlignment="1">
      <alignment horizontal="center" wrapText="1"/>
    </xf>
    <xf numFmtId="0" fontId="22" fillId="16" borderId="6" xfId="2" applyFont="1" applyFill="1" applyBorder="1" applyAlignment="1">
      <alignment horizontal="center" wrapText="1"/>
    </xf>
    <xf numFmtId="0" fontId="2" fillId="0" borderId="7" xfId="2" applyBorder="1" applyAlignment="1">
      <alignment horizontal="left" vertical="center" wrapText="1"/>
    </xf>
    <xf numFmtId="0" fontId="2" fillId="0" borderId="2" xfId="2" applyBorder="1" applyAlignment="1">
      <alignment horizontal="center" vertical="center" wrapText="1"/>
    </xf>
    <xf numFmtId="0" fontId="2" fillId="0" borderId="8" xfId="2" applyBorder="1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11" xfId="2" applyBorder="1" applyAlignment="1">
      <alignment horizontal="center" vertical="center" wrapText="1"/>
    </xf>
    <xf numFmtId="0" fontId="23" fillId="17" borderId="12" xfId="2" applyFont="1" applyFill="1" applyBorder="1" applyAlignment="1">
      <alignment horizontal="left" vertical="center" wrapText="1"/>
    </xf>
    <xf numFmtId="0" fontId="23" fillId="17" borderId="13" xfId="2" applyFont="1" applyFill="1" applyBorder="1" applyAlignment="1">
      <alignment horizontal="center" vertical="center" wrapText="1"/>
    </xf>
    <xf numFmtId="0" fontId="23" fillId="17" borderId="14" xfId="2" applyFont="1" applyFill="1" applyBorder="1" applyAlignment="1">
      <alignment horizontal="center" vertical="center" wrapText="1"/>
    </xf>
    <xf numFmtId="0" fontId="24" fillId="0" borderId="4" xfId="2" applyFont="1" applyBorder="1" applyAlignment="1">
      <alignment horizontal="left" vertical="center" wrapText="1"/>
    </xf>
    <xf numFmtId="2" fontId="2" fillId="0" borderId="5" xfId="2" applyNumberFormat="1" applyBorder="1" applyAlignment="1">
      <alignment horizontal="center" vertical="center" wrapText="1"/>
    </xf>
    <xf numFmtId="2" fontId="2" fillId="0" borderId="6" xfId="2" applyNumberFormat="1" applyBorder="1" applyAlignment="1">
      <alignment horizontal="center" vertical="center" wrapText="1"/>
    </xf>
    <xf numFmtId="0" fontId="24" fillId="0" borderId="7" xfId="2" applyFont="1" applyBorder="1" applyAlignment="1">
      <alignment horizontal="left" vertical="center" wrapText="1"/>
    </xf>
    <xf numFmtId="2" fontId="2" fillId="0" borderId="2" xfId="2" applyNumberFormat="1" applyBorder="1" applyAlignment="1">
      <alignment horizontal="center" vertical="center" wrapText="1"/>
    </xf>
    <xf numFmtId="2" fontId="2" fillId="0" borderId="8" xfId="2" applyNumberFormat="1" applyBorder="1" applyAlignment="1">
      <alignment horizontal="center" vertical="center" wrapText="1"/>
    </xf>
    <xf numFmtId="0" fontId="24" fillId="0" borderId="15" xfId="2" applyFont="1" applyBorder="1" applyAlignment="1">
      <alignment horizontal="left" vertical="center" wrapText="1"/>
    </xf>
    <xf numFmtId="2" fontId="2" fillId="0" borderId="16" xfId="2" applyNumberFormat="1" applyBorder="1" applyAlignment="1">
      <alignment horizontal="center" vertical="center" wrapText="1"/>
    </xf>
    <xf numFmtId="2" fontId="2" fillId="0" borderId="17" xfId="2" applyNumberFormat="1" applyBorder="1" applyAlignment="1">
      <alignment horizontal="center" vertical="center" wrapText="1"/>
    </xf>
    <xf numFmtId="0" fontId="25" fillId="17" borderId="12" xfId="2" applyFont="1" applyFill="1" applyBorder="1" applyAlignment="1">
      <alignment horizontal="left" vertical="center" wrapText="1"/>
    </xf>
    <xf numFmtId="2" fontId="2" fillId="17" borderId="13" xfId="2" applyNumberFormat="1" applyFill="1" applyBorder="1" applyAlignment="1">
      <alignment horizontal="center" vertical="center" wrapText="1"/>
    </xf>
    <xf numFmtId="2" fontId="2" fillId="17" borderId="14" xfId="2" applyNumberFormat="1" applyFill="1" applyBorder="1" applyAlignment="1">
      <alignment horizontal="center" vertical="center" wrapText="1"/>
    </xf>
    <xf numFmtId="0" fontId="26" fillId="17" borderId="4" xfId="2" applyFont="1" applyFill="1" applyBorder="1" applyAlignment="1">
      <alignment horizontal="left" vertical="center" wrapText="1"/>
    </xf>
    <xf numFmtId="0" fontId="26" fillId="17" borderId="5" xfId="2" applyFont="1" applyFill="1" applyBorder="1" applyAlignment="1">
      <alignment horizontal="center" vertical="center" wrapText="1"/>
    </xf>
    <xf numFmtId="0" fontId="26" fillId="17" borderId="6" xfId="2" applyFont="1" applyFill="1" applyBorder="1" applyAlignment="1">
      <alignment horizontal="center" vertical="center" wrapText="1"/>
    </xf>
    <xf numFmtId="0" fontId="26" fillId="17" borderId="7" xfId="2" applyFont="1" applyFill="1" applyBorder="1" applyAlignment="1">
      <alignment horizontal="left" vertical="center" wrapText="1"/>
    </xf>
    <xf numFmtId="0" fontId="26" fillId="17" borderId="2" xfId="2" applyFont="1" applyFill="1" applyBorder="1" applyAlignment="1">
      <alignment horizontal="center" vertical="center" wrapText="1"/>
    </xf>
    <xf numFmtId="0" fontId="26" fillId="17" borderId="8" xfId="2" applyFont="1" applyFill="1" applyBorder="1" applyAlignment="1">
      <alignment horizontal="center" vertical="center" wrapText="1"/>
    </xf>
    <xf numFmtId="0" fontId="2" fillId="17" borderId="2" xfId="2" applyFill="1" applyBorder="1" applyAlignment="1">
      <alignment horizontal="center" vertical="center" wrapText="1"/>
    </xf>
    <xf numFmtId="0" fontId="2" fillId="17" borderId="8" xfId="2" applyFill="1" applyBorder="1" applyAlignment="1">
      <alignment horizontal="center" vertical="center" wrapText="1"/>
    </xf>
    <xf numFmtId="0" fontId="26" fillId="17" borderId="15" xfId="2" applyFont="1" applyFill="1" applyBorder="1" applyAlignment="1">
      <alignment horizontal="left" vertical="center" wrapText="1"/>
    </xf>
    <xf numFmtId="0" fontId="26" fillId="17" borderId="16" xfId="2" applyFont="1" applyFill="1" applyBorder="1" applyAlignment="1">
      <alignment horizontal="center" vertical="center" wrapText="1"/>
    </xf>
    <xf numFmtId="0" fontId="27" fillId="17" borderId="17" xfId="2" applyFont="1" applyFill="1" applyBorder="1" applyAlignment="1">
      <alignment horizontal="center" vertical="center" wrapText="1"/>
    </xf>
    <xf numFmtId="0" fontId="2" fillId="0" borderId="2" xfId="2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0" fontId="31" fillId="17" borderId="2" xfId="2" applyFont="1" applyFill="1" applyBorder="1" applyAlignment="1">
      <alignment horizontal="center" vertical="center" wrapText="1"/>
    </xf>
    <xf numFmtId="0" fontId="32" fillId="17" borderId="2" xfId="2" applyFont="1" applyFill="1" applyBorder="1" applyAlignment="1">
      <alignment horizontal="center" vertical="center" wrapText="1"/>
    </xf>
    <xf numFmtId="0" fontId="32" fillId="17" borderId="8" xfId="2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10" fillId="13" borderId="2" xfId="0" applyNumberFormat="1" applyFont="1" applyFill="1" applyBorder="1" applyAlignment="1">
      <alignment horizontal="left" vertical="center" indent="1"/>
    </xf>
    <xf numFmtId="0" fontId="20" fillId="11" borderId="22" xfId="0" applyFont="1" applyFill="1" applyBorder="1" applyAlignment="1">
      <alignment horizontal="center" vertical="center" wrapText="1"/>
    </xf>
    <xf numFmtId="0" fontId="20" fillId="11" borderId="0" xfId="0" applyFont="1" applyFill="1" applyAlignment="1">
      <alignment horizontal="center" vertical="center" wrapText="1"/>
    </xf>
    <xf numFmtId="0" fontId="12" fillId="7" borderId="10" xfId="0" applyFont="1" applyFill="1" applyBorder="1" applyAlignment="1">
      <alignment horizontal="left" vertical="center" indent="1"/>
    </xf>
    <xf numFmtId="0" fontId="12" fillId="7" borderId="24" xfId="0" applyFont="1" applyFill="1" applyBorder="1" applyAlignment="1">
      <alignment horizontal="left" vertical="center" indent="1"/>
    </xf>
    <xf numFmtId="0" fontId="12" fillId="7" borderId="25" xfId="0" applyFont="1" applyFill="1" applyBorder="1" applyAlignment="1">
      <alignment horizontal="left" vertical="center" indent="1"/>
    </xf>
    <xf numFmtId="165" fontId="17" fillId="15" borderId="2" xfId="0" applyNumberFormat="1" applyFont="1" applyFill="1" applyBorder="1" applyAlignment="1">
      <alignment horizontal="left" vertical="center" indent="1"/>
    </xf>
    <xf numFmtId="165" fontId="12" fillId="12" borderId="2" xfId="0" applyNumberFormat="1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164" fontId="3" fillId="12" borderId="2" xfId="0" applyNumberFormat="1" applyFont="1" applyFill="1" applyBorder="1" applyAlignment="1">
      <alignment horizontal="left" vertical="center" indent="1"/>
    </xf>
    <xf numFmtId="0" fontId="10" fillId="7" borderId="0" xfId="0" applyFont="1" applyFill="1"/>
    <xf numFmtId="165" fontId="18" fillId="12" borderId="2" xfId="0" applyNumberFormat="1" applyFont="1" applyFill="1" applyBorder="1" applyAlignment="1">
      <alignment horizontal="left" vertical="center" indent="1"/>
    </xf>
    <xf numFmtId="0" fontId="10" fillId="7" borderId="23" xfId="0" applyFont="1" applyFill="1" applyBorder="1"/>
    <xf numFmtId="0" fontId="12" fillId="12" borderId="0" xfId="0" applyFont="1" applyFill="1" applyAlignment="1">
      <alignment horizontal="left" vertical="center" indent="2"/>
    </xf>
    <xf numFmtId="0" fontId="11" fillId="9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left" vertical="center" indent="2"/>
    </xf>
    <xf numFmtId="2" fontId="17" fillId="15" borderId="2" xfId="0" applyNumberFormat="1" applyFont="1" applyFill="1" applyBorder="1" applyAlignment="1">
      <alignment horizontal="left" vertical="center" indent="1"/>
    </xf>
    <xf numFmtId="2" fontId="12" fillId="12" borderId="2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17" fillId="15" borderId="2" xfId="0" applyFont="1" applyFill="1" applyBorder="1" applyAlignment="1">
      <alignment horizontal="left" vertical="center" indent="1"/>
    </xf>
    <xf numFmtId="0" fontId="11" fillId="4" borderId="0" xfId="0" applyFont="1" applyFill="1" applyAlignment="1">
      <alignment horizontal="center" vertical="center"/>
    </xf>
    <xf numFmtId="0" fontId="20" fillId="11" borderId="18" xfId="0" applyFont="1" applyFill="1" applyBorder="1" applyAlignment="1">
      <alignment horizontal="center" vertical="center" wrapText="1"/>
    </xf>
    <xf numFmtId="0" fontId="20" fillId="11" borderId="19" xfId="0" applyFont="1" applyFill="1" applyBorder="1" applyAlignment="1">
      <alignment horizontal="center" vertical="center" wrapText="1"/>
    </xf>
    <xf numFmtId="0" fontId="20" fillId="11" borderId="20" xfId="0" applyFont="1" applyFill="1" applyBorder="1" applyAlignment="1">
      <alignment horizontal="center" vertical="center" wrapText="1"/>
    </xf>
    <xf numFmtId="0" fontId="20" fillId="11" borderId="21" xfId="0" applyFont="1" applyFill="1" applyBorder="1" applyAlignment="1">
      <alignment horizontal="center" vertical="center" wrapText="1"/>
    </xf>
    <xf numFmtId="0" fontId="2" fillId="0" borderId="9" xfId="2" applyBorder="1" applyAlignment="1">
      <alignment horizontal="left" vertical="center" wrapText="1"/>
    </xf>
    <xf numFmtId="0" fontId="2" fillId="0" borderId="27" xfId="2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6000000}"/>
    <cellStyle name="Normal 2 2" xfId="2" xr:uid="{C6E19A0C-048D-49FF-94D3-3C2AA2A157D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6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2F5597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E1F2"/>
      <rgbColor rgb="FFFF99CC"/>
      <rgbColor rgb="FFCC99FF"/>
      <rgbColor rgb="FFD0D0D0"/>
      <rgbColor rgb="FF3366FF"/>
      <rgbColor rgb="FF33CCCC"/>
      <rgbColor rgb="FF99CC00"/>
      <rgbColor rgb="FFFFCC00"/>
      <rgbColor rgb="FFC9A227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AB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63"/>
  <sheetViews>
    <sheetView showGridLines="0" tabSelected="1" topLeftCell="A24" zoomScaleNormal="100" workbookViewId="0">
      <selection activeCell="C35" sqref="C35:D35"/>
    </sheetView>
  </sheetViews>
  <sheetFormatPr defaultColWidth="8.6640625" defaultRowHeight="14.4" x14ac:dyDescent="0.3"/>
  <cols>
    <col min="1" max="1" width="2" customWidth="1"/>
    <col min="2" max="2" width="33.44140625" customWidth="1"/>
    <col min="3" max="5" width="17.33203125" customWidth="1"/>
    <col min="6" max="6" width="28.77734375" bestFit="1" customWidth="1"/>
    <col min="7" max="7" width="38" customWidth="1"/>
    <col min="8" max="8" width="22" customWidth="1"/>
    <col min="9" max="11" width="4" customWidth="1"/>
  </cols>
  <sheetData>
    <row r="1" spans="1:13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7.75" customHeight="1" x14ac:dyDescent="0.3">
      <c r="A2" s="1"/>
      <c r="B2" s="77" t="s">
        <v>0</v>
      </c>
      <c r="C2" s="77"/>
      <c r="D2" s="77"/>
      <c r="E2" s="77"/>
      <c r="F2" s="77"/>
      <c r="G2" s="77"/>
      <c r="H2" s="1"/>
      <c r="I2" s="1"/>
      <c r="J2" s="1"/>
      <c r="K2" s="1"/>
      <c r="L2" s="1"/>
      <c r="M2" s="1"/>
    </row>
    <row r="3" spans="1:13" ht="15.75" customHeight="1" x14ac:dyDescent="0.3">
      <c r="A3" s="1"/>
      <c r="B3" s="78" t="s">
        <v>1</v>
      </c>
      <c r="C3" s="78"/>
      <c r="D3" s="78"/>
      <c r="E3" s="78"/>
      <c r="F3" s="78"/>
      <c r="G3" s="78"/>
      <c r="H3" s="1"/>
      <c r="I3" s="1"/>
      <c r="J3" s="1"/>
      <c r="K3" s="1"/>
      <c r="L3" s="1"/>
      <c r="M3" s="1"/>
    </row>
    <row r="4" spans="1:13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9.5" customHeight="1" x14ac:dyDescent="0.3">
      <c r="A5" s="1"/>
      <c r="B5" s="76" t="s">
        <v>2</v>
      </c>
      <c r="C5" s="76"/>
      <c r="D5" s="76"/>
      <c r="E5" s="76"/>
      <c r="F5" s="1"/>
      <c r="G5" s="1"/>
      <c r="H5" s="1"/>
      <c r="I5" s="1"/>
      <c r="J5" s="1"/>
      <c r="K5" s="1"/>
      <c r="L5" s="1"/>
      <c r="M5" s="1"/>
    </row>
    <row r="6" spans="1:13" ht="19.5" customHeight="1" x14ac:dyDescent="0.3">
      <c r="A6" s="1"/>
      <c r="B6" s="2" t="s">
        <v>3</v>
      </c>
      <c r="C6" s="2" t="s">
        <v>4</v>
      </c>
      <c r="D6" s="2" t="s">
        <v>5</v>
      </c>
      <c r="E6" s="2" t="s">
        <v>6</v>
      </c>
      <c r="F6" s="1"/>
      <c r="G6" s="1"/>
      <c r="H6" s="1"/>
      <c r="I6" s="1"/>
      <c r="J6" s="1"/>
      <c r="K6" s="1"/>
      <c r="L6" s="1"/>
      <c r="M6" s="1"/>
    </row>
    <row r="7" spans="1:13" ht="18" customHeight="1" x14ac:dyDescent="0.3">
      <c r="A7" s="1"/>
      <c r="B7" s="3" t="s">
        <v>7</v>
      </c>
      <c r="C7" s="4">
        <v>0.15</v>
      </c>
      <c r="D7" s="4">
        <v>0.2</v>
      </c>
      <c r="E7" s="4">
        <v>0.25</v>
      </c>
      <c r="F7" s="1"/>
      <c r="G7" s="1"/>
      <c r="H7" s="1"/>
      <c r="I7" s="1"/>
      <c r="J7" s="1"/>
      <c r="K7" s="1"/>
      <c r="L7" s="1"/>
      <c r="M7" s="1"/>
    </row>
    <row r="8" spans="1:13" ht="18" customHeight="1" x14ac:dyDescent="0.3">
      <c r="A8" s="1"/>
      <c r="B8" s="5" t="s">
        <v>8</v>
      </c>
      <c r="C8" s="6">
        <v>0.15</v>
      </c>
      <c r="D8" s="6">
        <v>0.2</v>
      </c>
      <c r="E8" s="6">
        <v>0.25</v>
      </c>
      <c r="F8" s="1"/>
      <c r="G8" s="1"/>
      <c r="H8" s="1"/>
      <c r="I8" s="1"/>
      <c r="J8" s="1"/>
      <c r="K8" s="1"/>
      <c r="L8" s="1"/>
      <c r="M8" s="1"/>
    </row>
    <row r="9" spans="1:13" ht="18" customHeight="1" x14ac:dyDescent="0.3">
      <c r="A9" s="1"/>
      <c r="B9" s="3" t="s">
        <v>9</v>
      </c>
      <c r="C9" s="4">
        <v>0.2</v>
      </c>
      <c r="D9" s="4">
        <v>0.25</v>
      </c>
      <c r="E9" s="4">
        <v>0.3</v>
      </c>
      <c r="F9" s="1"/>
      <c r="G9" s="1"/>
      <c r="H9" s="1"/>
      <c r="I9" s="1"/>
      <c r="J9" s="1"/>
      <c r="K9" s="1"/>
      <c r="L9" s="1"/>
      <c r="M9" s="1"/>
    </row>
    <row r="10" spans="1:13" ht="18" customHeight="1" x14ac:dyDescent="0.3">
      <c r="A10" s="1"/>
      <c r="B10" s="5" t="s">
        <v>10</v>
      </c>
      <c r="C10" s="6">
        <v>0.2</v>
      </c>
      <c r="D10" s="6">
        <v>0.25</v>
      </c>
      <c r="E10" s="6">
        <v>0.3</v>
      </c>
      <c r="F10" s="1"/>
      <c r="G10" s="1"/>
      <c r="H10" s="1"/>
      <c r="I10" s="1"/>
      <c r="J10" s="1"/>
      <c r="K10" s="1"/>
      <c r="L10" s="1"/>
      <c r="M10" s="1"/>
    </row>
    <row r="11" spans="1:13" ht="18" customHeight="1" x14ac:dyDescent="0.3">
      <c r="A11" s="1"/>
      <c r="B11" s="3" t="s">
        <v>11</v>
      </c>
      <c r="C11" s="4">
        <v>0.2</v>
      </c>
      <c r="D11" s="4">
        <v>0.3</v>
      </c>
      <c r="E11" s="4">
        <v>0.32</v>
      </c>
      <c r="F11" s="1"/>
      <c r="G11" s="1"/>
      <c r="H11" s="1"/>
      <c r="I11" s="1"/>
      <c r="J11" s="1"/>
      <c r="K11" s="1"/>
      <c r="L11" s="1"/>
      <c r="M11" s="1"/>
    </row>
    <row r="12" spans="1:13" ht="18" customHeight="1" x14ac:dyDescent="0.3">
      <c r="A12" s="1"/>
      <c r="B12" s="5" t="s">
        <v>12</v>
      </c>
      <c r="C12" s="6">
        <v>0.26</v>
      </c>
      <c r="D12" s="6">
        <v>0.32</v>
      </c>
      <c r="E12" s="6">
        <v>0.4</v>
      </c>
      <c r="F12" s="1"/>
      <c r="G12" s="1"/>
      <c r="H12" s="1"/>
      <c r="I12" s="1"/>
      <c r="J12" s="1"/>
      <c r="K12" s="1"/>
      <c r="L12" s="1"/>
      <c r="M12" s="1"/>
    </row>
    <row r="13" spans="1:13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3.5" customHeight="1" x14ac:dyDescent="0.3">
      <c r="A14" s="1"/>
      <c r="B14" s="97" t="s">
        <v>13</v>
      </c>
      <c r="C14" s="97"/>
      <c r="D14" s="97"/>
      <c r="E14" s="97"/>
      <c r="F14" s="1"/>
      <c r="G14" s="1"/>
      <c r="H14" s="1"/>
      <c r="I14" s="1"/>
      <c r="J14" s="1"/>
      <c r="K14" s="1"/>
      <c r="L14" s="1"/>
      <c r="M14" s="1"/>
    </row>
    <row r="15" spans="1:13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9.5" customHeight="1" x14ac:dyDescent="0.3">
      <c r="A16" s="1"/>
      <c r="B16" s="98" t="s">
        <v>14</v>
      </c>
      <c r="C16" s="98"/>
      <c r="D16" s="98"/>
      <c r="E16" s="98"/>
      <c r="F16" s="1"/>
      <c r="G16" s="1"/>
      <c r="H16" s="1"/>
      <c r="I16" s="1"/>
      <c r="J16" s="1"/>
      <c r="K16" s="1"/>
      <c r="L16" s="1"/>
      <c r="M16" s="1"/>
    </row>
    <row r="17" spans="1:13" ht="18" customHeight="1" x14ac:dyDescent="0.3">
      <c r="A17" s="1"/>
      <c r="B17" s="2" t="s">
        <v>15</v>
      </c>
      <c r="C17" s="2" t="s">
        <v>4</v>
      </c>
      <c r="D17" s="2" t="s">
        <v>5</v>
      </c>
      <c r="E17" s="2" t="s">
        <v>6</v>
      </c>
      <c r="F17" s="1"/>
      <c r="G17" s="1"/>
      <c r="H17" s="1"/>
      <c r="I17" s="1"/>
      <c r="J17" s="1"/>
      <c r="K17" s="1"/>
      <c r="L17" s="1"/>
      <c r="M17" s="1"/>
    </row>
    <row r="18" spans="1:13" ht="15.75" customHeight="1" x14ac:dyDescent="0.3">
      <c r="A18" s="1"/>
      <c r="B18" s="7" t="s">
        <v>16</v>
      </c>
      <c r="C18" s="8">
        <v>7.4999999999999997E-2</v>
      </c>
      <c r="D18" s="8">
        <v>7.4999999999999997E-2</v>
      </c>
      <c r="E18" s="8">
        <v>7.4999999999999997E-2</v>
      </c>
      <c r="F18" s="1"/>
      <c r="G18" s="1"/>
      <c r="H18" s="1"/>
      <c r="I18" s="1"/>
      <c r="J18" s="1"/>
      <c r="K18" s="1"/>
      <c r="L18" s="1"/>
      <c r="M18" s="1"/>
    </row>
    <row r="19" spans="1:13" ht="15.75" customHeight="1" x14ac:dyDescent="0.3">
      <c r="A19" s="1"/>
      <c r="B19" s="5" t="s">
        <v>17</v>
      </c>
      <c r="C19" s="9">
        <v>7.4999999999999997E-2</v>
      </c>
      <c r="D19" s="9">
        <v>7.4999999999999997E-2</v>
      </c>
      <c r="E19" s="9">
        <v>7.4999999999999997E-2</v>
      </c>
      <c r="F19" s="1"/>
      <c r="G19" s="1"/>
      <c r="H19" s="1"/>
      <c r="I19" s="1"/>
      <c r="J19" s="1"/>
      <c r="K19" s="1"/>
      <c r="L19" s="1"/>
      <c r="M19" s="1"/>
    </row>
    <row r="20" spans="1:13" ht="15.75" customHeight="1" x14ac:dyDescent="0.3">
      <c r="A20" s="1"/>
      <c r="B20" s="7" t="s">
        <v>18</v>
      </c>
      <c r="C20" s="8">
        <v>0.15</v>
      </c>
      <c r="D20" s="8">
        <v>0.15</v>
      </c>
      <c r="E20" s="8">
        <v>0.15</v>
      </c>
      <c r="F20" s="1"/>
      <c r="G20" s="1"/>
      <c r="H20" s="1"/>
      <c r="I20" s="1"/>
      <c r="J20" s="1"/>
      <c r="K20" s="1"/>
      <c r="L20" s="1"/>
      <c r="M20" s="1"/>
    </row>
    <row r="21" spans="1:13" ht="15.75" customHeight="1" x14ac:dyDescent="0.3">
      <c r="A21" s="1"/>
      <c r="B21" s="5" t="s">
        <v>19</v>
      </c>
      <c r="C21" s="10" t="s">
        <v>20</v>
      </c>
      <c r="D21" s="10" t="s">
        <v>20</v>
      </c>
      <c r="E21" s="10" t="s">
        <v>20</v>
      </c>
      <c r="F21" s="1"/>
      <c r="G21" s="1"/>
      <c r="H21" s="1"/>
      <c r="I21" s="1"/>
      <c r="J21" s="1"/>
      <c r="K21" s="1"/>
      <c r="L21" s="1"/>
      <c r="M21" s="1"/>
    </row>
    <row r="22" spans="1:13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9.5" customHeight="1" x14ac:dyDescent="0.3">
      <c r="A24" s="11"/>
      <c r="B24" s="100" t="s">
        <v>21</v>
      </c>
      <c r="C24" s="100"/>
      <c r="D24" s="100"/>
      <c r="E24" s="100"/>
      <c r="F24" s="100"/>
      <c r="G24" s="100"/>
      <c r="H24" s="11"/>
      <c r="I24" s="11"/>
      <c r="J24" s="11"/>
      <c r="K24" s="11"/>
      <c r="L24" s="11"/>
      <c r="M24" s="11"/>
    </row>
    <row r="25" spans="1:13" ht="15.75" customHeight="1" x14ac:dyDescent="0.3">
      <c r="A25" s="11"/>
      <c r="B25" s="80" t="s">
        <v>74</v>
      </c>
      <c r="C25" s="81"/>
      <c r="D25" s="81"/>
      <c r="F25" s="101" t="s">
        <v>75</v>
      </c>
      <c r="G25" s="102"/>
      <c r="I25" s="11"/>
      <c r="J25" s="11"/>
      <c r="K25" s="11"/>
      <c r="L25" s="11"/>
      <c r="M25" s="11"/>
    </row>
    <row r="26" spans="1:13" ht="15.75" customHeight="1" x14ac:dyDescent="0.3">
      <c r="A26" s="11"/>
      <c r="B26" s="80"/>
      <c r="C26" s="81"/>
      <c r="D26" s="81"/>
      <c r="F26" s="103"/>
      <c r="G26" s="104"/>
      <c r="I26" s="11"/>
      <c r="J26" s="11"/>
      <c r="K26" s="11"/>
      <c r="L26" s="11"/>
      <c r="M26" s="11"/>
    </row>
    <row r="27" spans="1:13" ht="18" customHeight="1" x14ac:dyDescent="0.3">
      <c r="A27" s="11"/>
      <c r="B27" s="12" t="s">
        <v>22</v>
      </c>
      <c r="C27" s="99" t="s">
        <v>4</v>
      </c>
      <c r="D27" s="99"/>
      <c r="F27" s="12" t="s">
        <v>22</v>
      </c>
      <c r="G27" s="27" t="s">
        <v>4</v>
      </c>
      <c r="I27" s="11"/>
      <c r="J27" s="11"/>
      <c r="K27" s="11"/>
      <c r="L27" s="11"/>
      <c r="M27" s="11"/>
    </row>
    <row r="28" spans="1:13" ht="18" customHeight="1" x14ac:dyDescent="0.3">
      <c r="A28" s="11"/>
      <c r="B28" s="12" t="s">
        <v>3</v>
      </c>
      <c r="C28" s="99" t="s">
        <v>7</v>
      </c>
      <c r="D28" s="99"/>
      <c r="F28" s="12" t="s">
        <v>3</v>
      </c>
      <c r="G28" s="27" t="s">
        <v>7</v>
      </c>
      <c r="I28" s="11"/>
      <c r="J28" s="11"/>
      <c r="K28" s="11"/>
      <c r="L28" s="11"/>
      <c r="M28" s="11"/>
    </row>
    <row r="29" spans="1:13" ht="4.5" customHeight="1" x14ac:dyDescent="0.3">
      <c r="A29" s="11"/>
      <c r="B29" s="11"/>
      <c r="C29" s="89"/>
      <c r="D29" s="89"/>
      <c r="F29" s="11"/>
      <c r="G29" s="11"/>
      <c r="I29" s="11"/>
      <c r="J29" s="11"/>
      <c r="K29" s="11"/>
      <c r="L29" s="11"/>
      <c r="M29" s="11"/>
    </row>
    <row r="30" spans="1:13" ht="18" customHeight="1" x14ac:dyDescent="0.3">
      <c r="A30" s="11"/>
      <c r="B30" s="12" t="s">
        <v>23</v>
      </c>
      <c r="C30" s="85">
        <v>1000000</v>
      </c>
      <c r="D30" s="85"/>
      <c r="F30" s="82" t="s">
        <v>24</v>
      </c>
      <c r="G30" s="85">
        <v>150000000</v>
      </c>
      <c r="I30" s="11"/>
      <c r="J30" s="11"/>
      <c r="K30" s="11"/>
      <c r="L30" s="11"/>
      <c r="M30" s="11"/>
    </row>
    <row r="31" spans="1:13" ht="18" customHeight="1" x14ac:dyDescent="0.3">
      <c r="A31" s="11"/>
      <c r="B31" s="12" t="s">
        <v>25</v>
      </c>
      <c r="C31" s="99">
        <v>7</v>
      </c>
      <c r="D31" s="99"/>
      <c r="F31" s="83"/>
      <c r="G31" s="85"/>
      <c r="I31" s="11"/>
      <c r="J31" s="11"/>
      <c r="K31" s="11"/>
      <c r="L31" s="11"/>
      <c r="M31" s="11"/>
    </row>
    <row r="32" spans="1:13" ht="18" customHeight="1" x14ac:dyDescent="0.3">
      <c r="A32" s="11"/>
      <c r="B32" s="12" t="s">
        <v>24</v>
      </c>
      <c r="C32" s="86">
        <f>C30*C31</f>
        <v>7000000</v>
      </c>
      <c r="D32" s="86"/>
      <c r="F32" s="84"/>
      <c r="G32" s="85"/>
      <c r="I32" s="11"/>
      <c r="J32" s="11"/>
      <c r="K32" s="11"/>
      <c r="L32" s="11"/>
      <c r="M32" s="11"/>
    </row>
    <row r="33" spans="1:13" ht="4.5" customHeight="1" x14ac:dyDescent="0.3">
      <c r="A33" s="11"/>
      <c r="B33" s="11"/>
      <c r="C33" s="89"/>
      <c r="D33" s="89"/>
      <c r="F33" s="11"/>
      <c r="G33" s="11"/>
      <c r="I33" s="11"/>
      <c r="J33" s="11"/>
      <c r="K33" s="11"/>
      <c r="L33" s="11"/>
      <c r="M33" s="11"/>
    </row>
    <row r="34" spans="1:13" ht="18" customHeight="1" x14ac:dyDescent="0.3">
      <c r="A34" s="11"/>
      <c r="B34" s="32" t="s">
        <v>70</v>
      </c>
      <c r="C34" s="95">
        <v>0.67286000000000001</v>
      </c>
      <c r="D34" s="95"/>
      <c r="F34" s="32" t="s">
        <v>70</v>
      </c>
      <c r="G34" s="28">
        <v>0.4</v>
      </c>
      <c r="I34" s="11"/>
      <c r="J34" s="11"/>
      <c r="K34" s="11"/>
      <c r="L34" s="11"/>
      <c r="M34" s="11"/>
    </row>
    <row r="35" spans="1:13" ht="18" customHeight="1" x14ac:dyDescent="0.3">
      <c r="A35" s="11"/>
      <c r="B35" s="32" t="s">
        <v>71</v>
      </c>
      <c r="C35" s="96">
        <f>IFERROR(CHOOSE(MATCH(C28,{"IT / ITES / BPO / KPO","Financial Services / Consultancy / Insurance","Retailers / Trader / Wholesaler","Hotel Industry","Manufacturing","Construction"},0),CHOOSE(MATCH(C27,{"Basic","Standard","Pro"},0),0.15,0.2,0.25),CHOOSE(MATCH(C27,{"Basic","Standard","Pro"},0),0.15,0.2,0.25),CHOOSE(MATCH(C27,{"Basic","Standard","Pro"},0),0.2,0.25,0.3),CHOOSE(MATCH(C27,{"Basic","Standard","Pro"},0),0.2,0.25,0.3),CHOOSE(MATCH(C27,{"Basic","Standard","Pro"},0),0.2,0.3,0.32),CHOOSE(MATCH(C27,{"Basic","Standard","Pro"},0),0.26,0.32,0.4)),"?")</f>
        <v>0.15</v>
      </c>
      <c r="D35" s="96"/>
      <c r="F35" s="32" t="s">
        <v>71</v>
      </c>
      <c r="G35" s="29">
        <f>IFERROR(CHOOSE(MATCH(G28,{"IT / ITES / BPO / KPO","Financial Services / Consultancy / Insurance","Retailers / Trader / Wholesaler","Hotel Industry","Manufacturing","Construction"},0),CHOOSE(MATCH(G27,{"Basic","Standard","Pro"},0),0.15,0.2,0.25),CHOOSE(MATCH(G27,{"Basic","Standard","Pro"},0),0.15,0.2,0.25),CHOOSE(MATCH(G27,{"Basic","Standard","Pro"},0),0.2,0.25,0.3),CHOOSE(MATCH(G27,{"Basic","Standard","Pro"},0),0.2,0.25,0.3),CHOOSE(MATCH(G27,{"Basic","Standard","Pro"},0),0.2,0.3,0.32),CHOOSE(MATCH(G27,{"Basic","Standard","Pro"},0),0.26,0.32,0.4)),"?")</f>
        <v>0.15</v>
      </c>
      <c r="I35" s="11"/>
      <c r="J35" s="11"/>
      <c r="K35" s="11"/>
      <c r="L35" s="11"/>
      <c r="M35" s="11"/>
    </row>
    <row r="36" spans="1:13" ht="4.5" customHeight="1" x14ac:dyDescent="0.3">
      <c r="A36" s="11"/>
      <c r="B36" s="11"/>
      <c r="C36" s="89"/>
      <c r="D36" s="89"/>
      <c r="F36" s="11"/>
      <c r="G36" s="11"/>
      <c r="I36" s="11"/>
      <c r="J36" s="11"/>
      <c r="K36" s="11"/>
      <c r="L36" s="11"/>
      <c r="M36" s="11"/>
    </row>
    <row r="37" spans="1:13" ht="18" customHeight="1" x14ac:dyDescent="0.3">
      <c r="A37" s="11"/>
      <c r="B37" s="30" t="s">
        <v>68</v>
      </c>
      <c r="C37" s="90">
        <f>C32*C34/1000</f>
        <v>4710.0200000000004</v>
      </c>
      <c r="D37" s="90"/>
      <c r="F37" s="30" t="s">
        <v>68</v>
      </c>
      <c r="G37" s="31">
        <f>MAX(3500,G30*G34/1000)</f>
        <v>60000</v>
      </c>
      <c r="I37" s="11"/>
      <c r="J37" s="11"/>
      <c r="K37" s="11"/>
      <c r="L37" s="11"/>
      <c r="M37" s="11"/>
    </row>
    <row r="38" spans="1:13" ht="3.75" customHeight="1" x14ac:dyDescent="0.3">
      <c r="A38" s="11"/>
      <c r="B38" s="13"/>
      <c r="C38" s="91"/>
      <c r="D38" s="89"/>
      <c r="F38" s="13"/>
      <c r="G38" s="11"/>
      <c r="I38" s="11"/>
      <c r="J38" s="11"/>
      <c r="K38" s="11"/>
      <c r="L38" s="11"/>
      <c r="M38" s="1"/>
    </row>
    <row r="39" spans="1:13" ht="18" customHeight="1" x14ac:dyDescent="0.3">
      <c r="A39" s="11"/>
      <c r="B39" s="32" t="s">
        <v>67</v>
      </c>
      <c r="C39" s="86">
        <f>C37*0.075</f>
        <v>353.25150000000002</v>
      </c>
      <c r="D39" s="86"/>
      <c r="F39" s="32" t="s">
        <v>67</v>
      </c>
      <c r="G39" s="24">
        <f>G37*0.075</f>
        <v>4500</v>
      </c>
      <c r="I39" s="11"/>
      <c r="J39" s="11"/>
      <c r="K39" s="11"/>
      <c r="L39" s="11"/>
      <c r="M39" s="11"/>
    </row>
    <row r="40" spans="1:13" ht="18" customHeight="1" x14ac:dyDescent="0.3">
      <c r="A40" s="1"/>
      <c r="B40" s="32" t="s">
        <v>66</v>
      </c>
      <c r="C40" s="86">
        <f>C37*0.075</f>
        <v>353.25150000000002</v>
      </c>
      <c r="D40" s="86"/>
      <c r="F40" s="32" t="s">
        <v>69</v>
      </c>
      <c r="G40" s="24">
        <f>G37*0.075</f>
        <v>4500</v>
      </c>
      <c r="I40" s="1"/>
      <c r="J40" s="1"/>
      <c r="K40" s="1"/>
      <c r="L40" s="1"/>
      <c r="M40" s="1"/>
    </row>
    <row r="41" spans="1:13" ht="18" customHeight="1" x14ac:dyDescent="0.3">
      <c r="A41" s="1"/>
      <c r="B41" s="12" t="s">
        <v>63</v>
      </c>
      <c r="C41" s="86">
        <f>C32*(C34-C35)*0.65/1000</f>
        <v>2379.0129999999999</v>
      </c>
      <c r="D41" s="86"/>
      <c r="F41" s="12" t="s">
        <v>63</v>
      </c>
      <c r="G41" s="24">
        <f>G30*(G34-G35)*0.65/1000</f>
        <v>24375</v>
      </c>
      <c r="I41" s="1"/>
      <c r="J41" s="1"/>
      <c r="K41" s="1"/>
      <c r="L41" s="1"/>
      <c r="M41" s="1"/>
    </row>
    <row r="42" spans="1:13" ht="18" customHeight="1" x14ac:dyDescent="0.3">
      <c r="A42" s="1"/>
      <c r="B42" s="32" t="s">
        <v>65</v>
      </c>
      <c r="C42" s="86">
        <f>SUM(C39:C41)</f>
        <v>3085.5160000000001</v>
      </c>
      <c r="D42" s="86"/>
      <c r="F42" s="32" t="s">
        <v>65</v>
      </c>
      <c r="G42" s="24">
        <f>SUM(G39:G41)</f>
        <v>33375</v>
      </c>
      <c r="I42" s="1"/>
      <c r="J42" s="1"/>
      <c r="K42" s="1"/>
      <c r="L42" s="1"/>
      <c r="M42" s="1"/>
    </row>
    <row r="43" spans="1:13" ht="7.5" customHeight="1" x14ac:dyDescent="0.3">
      <c r="A43" s="1"/>
      <c r="B43" s="14"/>
      <c r="C43" s="87"/>
      <c r="D43" s="87"/>
      <c r="F43" s="14"/>
      <c r="G43" s="14"/>
      <c r="I43" s="1"/>
      <c r="J43" s="1"/>
      <c r="K43" s="1"/>
      <c r="L43" s="1"/>
      <c r="M43" s="1"/>
    </row>
    <row r="44" spans="1:13" ht="19.2" customHeight="1" x14ac:dyDescent="0.3">
      <c r="A44" s="1"/>
      <c r="B44" s="12" t="s">
        <v>64</v>
      </c>
      <c r="C44" s="88">
        <f>C39/C37</f>
        <v>7.4999999999999997E-2</v>
      </c>
      <c r="D44" s="88"/>
      <c r="F44" s="12" t="s">
        <v>64</v>
      </c>
      <c r="G44" s="25">
        <f>G39/G37</f>
        <v>7.4999999999999997E-2</v>
      </c>
      <c r="I44" s="1"/>
      <c r="J44" s="1"/>
      <c r="K44" s="1"/>
      <c r="L44" s="1"/>
      <c r="M44" s="1"/>
    </row>
    <row r="45" spans="1:13" ht="18" customHeight="1" x14ac:dyDescent="0.3">
      <c r="A45" s="11"/>
      <c r="B45" s="32" t="s">
        <v>73</v>
      </c>
      <c r="C45" s="88">
        <f>(C40+C41)/C37</f>
        <v>0.58009615670421777</v>
      </c>
      <c r="D45" s="88"/>
      <c r="F45" s="12" t="s">
        <v>26</v>
      </c>
      <c r="G45" s="25">
        <f>(G40+G41)/G37</f>
        <v>0.48125000000000001</v>
      </c>
      <c r="I45" s="11"/>
      <c r="J45" s="11"/>
      <c r="K45" s="11"/>
      <c r="L45" s="11"/>
      <c r="M45" s="11"/>
    </row>
    <row r="46" spans="1:13" ht="18" customHeight="1" x14ac:dyDescent="0.3">
      <c r="A46" s="11"/>
      <c r="B46" s="32" t="s">
        <v>72</v>
      </c>
      <c r="C46" s="79">
        <f>SUM(C44:C45)</f>
        <v>0.65509615670421772</v>
      </c>
      <c r="D46" s="79"/>
      <c r="F46" s="32" t="s">
        <v>72</v>
      </c>
      <c r="G46" s="26">
        <f>SUM(G44:G45)</f>
        <v>0.55625000000000002</v>
      </c>
      <c r="I46" s="11"/>
      <c r="J46" s="11"/>
      <c r="K46" s="11"/>
      <c r="L46" s="11"/>
      <c r="M46" s="11"/>
    </row>
    <row r="47" spans="1:13" ht="18" customHeight="1" x14ac:dyDescent="0.3">
      <c r="A47" s="11"/>
      <c r="B47" s="16"/>
      <c r="C47" s="15"/>
      <c r="D47" s="15"/>
      <c r="E47" s="16"/>
      <c r="F47" s="15"/>
      <c r="G47" s="15"/>
      <c r="H47" s="11"/>
      <c r="I47" s="11"/>
      <c r="J47" s="11"/>
      <c r="K47" s="11"/>
      <c r="L47" s="11"/>
      <c r="M47" s="11"/>
    </row>
    <row r="48" spans="1:13" ht="14.25" hidden="1" customHeight="1" x14ac:dyDescent="0.3">
      <c r="A48" s="11"/>
      <c r="B48" s="11"/>
      <c r="C48" s="1"/>
      <c r="D48" s="1"/>
      <c r="E48" s="1"/>
      <c r="F48" s="1"/>
      <c r="G48" s="11"/>
      <c r="H48" s="11"/>
      <c r="I48" s="11"/>
      <c r="J48" s="11"/>
      <c r="K48" s="11"/>
      <c r="L48" s="11"/>
      <c r="M48" s="11"/>
    </row>
    <row r="49" spans="1:13" ht="12" customHeight="1" x14ac:dyDescent="0.3">
      <c r="A49" s="11"/>
      <c r="B49" s="17" t="s">
        <v>27</v>
      </c>
      <c r="C49" s="1"/>
      <c r="D49" s="1"/>
      <c r="E49" s="1"/>
      <c r="F49" s="1"/>
      <c r="G49" s="11"/>
      <c r="H49" s="11"/>
      <c r="I49" s="11"/>
      <c r="J49" s="11"/>
      <c r="K49" s="11"/>
      <c r="L49" s="11"/>
      <c r="M49" s="11"/>
    </row>
    <row r="50" spans="1:13" ht="14.25" hidden="1" customHeight="1" x14ac:dyDescent="0.3">
      <c r="A50" s="11"/>
      <c r="B50" s="11"/>
      <c r="G50" s="11"/>
      <c r="H50" s="11"/>
      <c r="I50" s="11"/>
      <c r="J50" s="11"/>
      <c r="K50" s="11"/>
      <c r="L50" s="11"/>
      <c r="M50" s="11"/>
    </row>
    <row r="51" spans="1:13" ht="15.75" customHeight="1" x14ac:dyDescent="0.3">
      <c r="A51" s="11"/>
      <c r="B51" s="93" t="s">
        <v>28</v>
      </c>
      <c r="C51" s="93"/>
      <c r="D51" s="93"/>
      <c r="E51" s="93"/>
      <c r="F51" s="93"/>
      <c r="G51" s="11"/>
      <c r="H51" s="11"/>
      <c r="I51" s="11"/>
      <c r="J51" s="11"/>
      <c r="K51" s="11"/>
      <c r="L51" s="11"/>
      <c r="M51" s="11"/>
    </row>
    <row r="52" spans="1:13" ht="15" customHeight="1" x14ac:dyDescent="0.3">
      <c r="A52" s="11"/>
      <c r="B52" s="94" t="s">
        <v>62</v>
      </c>
      <c r="C52" s="94"/>
      <c r="D52" s="94"/>
      <c r="E52" s="94"/>
      <c r="F52" s="94"/>
      <c r="G52" s="11"/>
      <c r="H52" s="11"/>
      <c r="I52" s="11"/>
      <c r="J52" s="11"/>
      <c r="K52" s="11"/>
      <c r="L52" s="11"/>
      <c r="M52" s="11"/>
    </row>
    <row r="53" spans="1:13" ht="15" customHeight="1" x14ac:dyDescent="0.3">
      <c r="A53" s="11"/>
      <c r="B53" s="92" t="s">
        <v>29</v>
      </c>
      <c r="C53" s="92"/>
      <c r="D53" s="92"/>
      <c r="E53" s="92"/>
      <c r="F53" s="92"/>
      <c r="G53" s="11"/>
      <c r="H53" s="11"/>
      <c r="I53" s="11"/>
      <c r="J53" s="11"/>
      <c r="K53" s="11"/>
      <c r="L53" s="11"/>
      <c r="M53" s="11"/>
    </row>
    <row r="54" spans="1:13" ht="1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4.2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4.2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4.2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4.2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4.25" customHeight="1" x14ac:dyDescent="0.3"/>
    <row r="62" spans="1:13" ht="14.25" customHeight="1" x14ac:dyDescent="0.3"/>
    <row r="63" spans="1:13" ht="14.25" customHeight="1" x14ac:dyDescent="0.3"/>
  </sheetData>
  <mergeCells count="33">
    <mergeCell ref="B14:E14"/>
    <mergeCell ref="B16:E16"/>
    <mergeCell ref="C31:D31"/>
    <mergeCell ref="C32:D32"/>
    <mergeCell ref="C33:D33"/>
    <mergeCell ref="B24:G24"/>
    <mergeCell ref="F25:G26"/>
    <mergeCell ref="C27:D27"/>
    <mergeCell ref="C28:D28"/>
    <mergeCell ref="C29:D29"/>
    <mergeCell ref="C30:D30"/>
    <mergeCell ref="C40:D40"/>
    <mergeCell ref="B53:F53"/>
    <mergeCell ref="B51:F51"/>
    <mergeCell ref="B52:F52"/>
    <mergeCell ref="C34:D34"/>
    <mergeCell ref="C35:D35"/>
    <mergeCell ref="B5:E5"/>
    <mergeCell ref="B2:G2"/>
    <mergeCell ref="B3:G3"/>
    <mergeCell ref="C46:D46"/>
    <mergeCell ref="B25:D26"/>
    <mergeCell ref="F30:F32"/>
    <mergeCell ref="G30:G32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</mergeCells>
  <dataValidations count="3">
    <dataValidation type="list" showErrorMessage="1" errorTitle="Invalid Plan" error="Please select Basic, Standard, or Pro." sqref="C27 G27" xr:uid="{00000000-0002-0000-0000-000000000000}">
      <formula1>"Basic,Standard,Pro"</formula1>
      <formula2>0</formula2>
    </dataValidation>
    <dataValidation type="list" showErrorMessage="1" errorTitle="Invalid Industry" error="Please select a valid industry." sqref="C28 G28" xr:uid="{00000000-0002-0000-0000-000001000000}">
      <formula1>"IT / ITES / BPO / KPO,Financial Services / Consultancy / Insurance,Retailers / Trader / Wholesaler,Hotel Industry,Manufacturing,Construction"</formula1>
      <formula2>0</formula2>
    </dataValidation>
    <dataValidation type="whole" showErrorMessage="1" errorTitle="Invalid No. of Employees" error="Must be between 7 and 500 as per Tata AIG terms." sqref="C31" xr:uid="{00000000-0002-0000-0000-000002000000}">
      <formula1>7</formula1>
      <formula2>500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4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6" sqref="A6"/>
      <selection pane="bottomRight" activeCell="C16" sqref="C16"/>
    </sheetView>
  </sheetViews>
  <sheetFormatPr defaultColWidth="8.6640625" defaultRowHeight="14.4" x14ac:dyDescent="0.3"/>
  <cols>
    <col min="1" max="1" width="2.44140625" customWidth="1"/>
    <col min="2" max="2" width="37.88671875" customWidth="1"/>
    <col min="3" max="5" width="50" customWidth="1"/>
  </cols>
  <sheetData>
    <row r="1" spans="2:5" ht="15.75" customHeight="1" thickBot="1" x14ac:dyDescent="0.35">
      <c r="B1" s="35" t="s">
        <v>76</v>
      </c>
      <c r="C1" s="34"/>
      <c r="D1" s="34"/>
      <c r="E1" s="34"/>
    </row>
    <row r="2" spans="2:5" ht="15" customHeight="1" x14ac:dyDescent="0.3">
      <c r="B2" s="36" t="s">
        <v>30</v>
      </c>
      <c r="C2" s="37" t="s">
        <v>4</v>
      </c>
      <c r="D2" s="38" t="s">
        <v>5</v>
      </c>
      <c r="E2" s="39" t="s">
        <v>6</v>
      </c>
    </row>
    <row r="3" spans="2:5" ht="14.25" customHeight="1" x14ac:dyDescent="0.3">
      <c r="B3" s="40" t="s">
        <v>31</v>
      </c>
      <c r="C3" s="41" t="s">
        <v>32</v>
      </c>
      <c r="D3" s="41" t="s">
        <v>32</v>
      </c>
      <c r="E3" s="42" t="s">
        <v>32</v>
      </c>
    </row>
    <row r="4" spans="2:5" ht="14.25" customHeight="1" x14ac:dyDescent="0.3">
      <c r="B4" s="105" t="s">
        <v>33</v>
      </c>
      <c r="C4" s="41" t="s">
        <v>34</v>
      </c>
      <c r="D4" s="41" t="s">
        <v>34</v>
      </c>
      <c r="E4" s="42" t="s">
        <v>34</v>
      </c>
    </row>
    <row r="5" spans="2:5" ht="14.25" customHeight="1" x14ac:dyDescent="0.3">
      <c r="B5" s="106"/>
      <c r="C5" s="41" t="s">
        <v>35</v>
      </c>
      <c r="D5" s="41" t="s">
        <v>35</v>
      </c>
      <c r="E5" s="42" t="s">
        <v>35</v>
      </c>
    </row>
    <row r="6" spans="2:5" ht="14.25" customHeight="1" x14ac:dyDescent="0.3">
      <c r="B6" s="40" t="s">
        <v>36</v>
      </c>
      <c r="C6" s="41" t="s">
        <v>37</v>
      </c>
      <c r="D6" s="41" t="s">
        <v>37</v>
      </c>
      <c r="E6" s="42" t="s">
        <v>37</v>
      </c>
    </row>
    <row r="7" spans="2:5" ht="14.25" customHeight="1" x14ac:dyDescent="0.3">
      <c r="B7" s="40" t="s">
        <v>38</v>
      </c>
      <c r="C7" s="71" t="s">
        <v>39</v>
      </c>
      <c r="D7" s="71" t="s">
        <v>39</v>
      </c>
      <c r="E7" s="72" t="s">
        <v>39</v>
      </c>
    </row>
    <row r="8" spans="2:5" ht="14.25" customHeight="1" x14ac:dyDescent="0.3">
      <c r="B8" s="40" t="s">
        <v>40</v>
      </c>
      <c r="C8" s="41" t="s">
        <v>41</v>
      </c>
      <c r="D8" s="41" t="s">
        <v>41</v>
      </c>
      <c r="E8" s="42" t="s">
        <v>41</v>
      </c>
    </row>
    <row r="9" spans="2:5" ht="15" customHeight="1" thickBot="1" x14ac:dyDescent="0.35">
      <c r="B9" s="33" t="s">
        <v>42</v>
      </c>
      <c r="C9" s="43" t="s">
        <v>43</v>
      </c>
      <c r="D9" s="43" t="s">
        <v>43</v>
      </c>
      <c r="E9" s="44" t="s">
        <v>43</v>
      </c>
    </row>
    <row r="10" spans="2:5" s="18" customFormat="1" ht="15.75" customHeight="1" thickBot="1" x14ac:dyDescent="0.35">
      <c r="B10" s="45" t="s">
        <v>44</v>
      </c>
      <c r="C10" s="46" t="s">
        <v>45</v>
      </c>
      <c r="D10" s="46" t="s">
        <v>45</v>
      </c>
      <c r="E10" s="47" t="s">
        <v>45</v>
      </c>
    </row>
    <row r="11" spans="2:5" ht="14.25" customHeight="1" x14ac:dyDescent="0.3">
      <c r="B11" s="48" t="s">
        <v>46</v>
      </c>
      <c r="C11" s="49">
        <v>0.15</v>
      </c>
      <c r="D11" s="49">
        <v>0.2</v>
      </c>
      <c r="E11" s="50">
        <v>0.25</v>
      </c>
    </row>
    <row r="12" spans="2:5" ht="14.25" customHeight="1" x14ac:dyDescent="0.3">
      <c r="B12" s="51" t="s">
        <v>11</v>
      </c>
      <c r="C12" s="52">
        <v>0.2</v>
      </c>
      <c r="D12" s="52">
        <v>0.3</v>
      </c>
      <c r="E12" s="53">
        <v>0.32</v>
      </c>
    </row>
    <row r="13" spans="2:5" ht="14.25" customHeight="1" x14ac:dyDescent="0.3">
      <c r="B13" s="51" t="s">
        <v>8</v>
      </c>
      <c r="C13" s="52">
        <v>0.15</v>
      </c>
      <c r="D13" s="52">
        <v>0.2</v>
      </c>
      <c r="E13" s="53">
        <v>0.25</v>
      </c>
    </row>
    <row r="14" spans="2:5" ht="14.25" customHeight="1" x14ac:dyDescent="0.3">
      <c r="B14" s="51" t="s">
        <v>12</v>
      </c>
      <c r="C14" s="52">
        <v>0.26</v>
      </c>
      <c r="D14" s="52">
        <v>0.32</v>
      </c>
      <c r="E14" s="53">
        <v>0.4</v>
      </c>
    </row>
    <row r="15" spans="2:5" ht="14.25" customHeight="1" x14ac:dyDescent="0.3">
      <c r="B15" s="51" t="s">
        <v>9</v>
      </c>
      <c r="C15" s="52">
        <v>0.2</v>
      </c>
      <c r="D15" s="52">
        <v>0.25</v>
      </c>
      <c r="E15" s="53">
        <v>0.3</v>
      </c>
    </row>
    <row r="16" spans="2:5" ht="15" customHeight="1" thickBot="1" x14ac:dyDescent="0.35">
      <c r="B16" s="54" t="s">
        <v>10</v>
      </c>
      <c r="C16" s="55">
        <v>0.2</v>
      </c>
      <c r="D16" s="55">
        <v>0.25</v>
      </c>
      <c r="E16" s="56">
        <v>0.3</v>
      </c>
    </row>
    <row r="17" spans="2:5" ht="15.75" customHeight="1" thickBot="1" x14ac:dyDescent="0.35">
      <c r="B17" s="57" t="s">
        <v>47</v>
      </c>
      <c r="C17" s="58"/>
      <c r="D17" s="58"/>
      <c r="E17" s="59"/>
    </row>
    <row r="18" spans="2:5" ht="15.6" x14ac:dyDescent="0.3">
      <c r="B18" s="60" t="s">
        <v>48</v>
      </c>
      <c r="C18" s="61" t="s">
        <v>49</v>
      </c>
      <c r="D18" s="61" t="s">
        <v>49</v>
      </c>
      <c r="E18" s="62" t="s">
        <v>49</v>
      </c>
    </row>
    <row r="19" spans="2:5" ht="15.6" x14ac:dyDescent="0.3">
      <c r="B19" s="63" t="s">
        <v>50</v>
      </c>
      <c r="C19" s="64" t="s">
        <v>49</v>
      </c>
      <c r="D19" s="64" t="s">
        <v>49</v>
      </c>
      <c r="E19" s="65" t="s">
        <v>49</v>
      </c>
    </row>
    <row r="20" spans="2:5" ht="15.6" x14ac:dyDescent="0.3">
      <c r="B20" s="63" t="s">
        <v>51</v>
      </c>
      <c r="C20" s="64" t="s">
        <v>52</v>
      </c>
      <c r="D20" s="64" t="s">
        <v>52</v>
      </c>
      <c r="E20" s="65" t="s">
        <v>52</v>
      </c>
    </row>
    <row r="21" spans="2:5" ht="78.599999999999994" thickBot="1" x14ac:dyDescent="0.35">
      <c r="B21" s="68" t="s">
        <v>58</v>
      </c>
      <c r="C21" s="69" t="s">
        <v>59</v>
      </c>
      <c r="D21" s="69" t="s">
        <v>59</v>
      </c>
      <c r="E21" s="70" t="s">
        <v>80</v>
      </c>
    </row>
    <row r="22" spans="2:5" ht="46.8" x14ac:dyDescent="0.3">
      <c r="B22" s="63" t="s">
        <v>81</v>
      </c>
      <c r="C22" s="64" t="s">
        <v>77</v>
      </c>
      <c r="D22" s="73" t="s">
        <v>53</v>
      </c>
      <c r="E22" s="73" t="s">
        <v>53</v>
      </c>
    </row>
    <row r="23" spans="2:5" ht="86.4" x14ac:dyDescent="0.3">
      <c r="B23" s="63" t="s">
        <v>56</v>
      </c>
      <c r="C23" s="66" t="s">
        <v>57</v>
      </c>
      <c r="D23" s="66" t="s">
        <v>78</v>
      </c>
      <c r="E23" s="67" t="s">
        <v>79</v>
      </c>
    </row>
    <row r="24" spans="2:5" ht="15.6" x14ac:dyDescent="0.3">
      <c r="B24" s="63" t="s">
        <v>54</v>
      </c>
      <c r="C24" s="66" t="s">
        <v>55</v>
      </c>
      <c r="D24" s="74">
        <v>5000</v>
      </c>
      <c r="E24" s="75">
        <v>5000</v>
      </c>
    </row>
  </sheetData>
  <mergeCells count="1">
    <mergeCell ref="B4:B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E5"/>
  <sheetViews>
    <sheetView showGridLines="0" zoomScale="174" zoomScaleNormal="100" workbookViewId="0">
      <selection activeCell="C12" sqref="C12"/>
    </sheetView>
  </sheetViews>
  <sheetFormatPr defaultColWidth="8.6640625" defaultRowHeight="14.4" x14ac:dyDescent="0.3"/>
  <cols>
    <col min="2" max="5" width="21" customWidth="1"/>
  </cols>
  <sheetData>
    <row r="3" spans="2:5" ht="14.25" customHeight="1" x14ac:dyDescent="0.3">
      <c r="B3" s="19" t="s">
        <v>16</v>
      </c>
      <c r="C3" s="20">
        <v>7.4999999999999997E-2</v>
      </c>
      <c r="D3" s="20">
        <v>7.4999999999999997E-2</v>
      </c>
      <c r="E3" s="20">
        <v>7.4999999999999997E-2</v>
      </c>
    </row>
    <row r="4" spans="2:5" ht="14.25" customHeight="1" x14ac:dyDescent="0.3">
      <c r="B4" s="19" t="s">
        <v>60</v>
      </c>
      <c r="C4" s="21">
        <v>7.4999999999999997E-2</v>
      </c>
      <c r="D4" s="21">
        <v>7.4999999999999997E-2</v>
      </c>
      <c r="E4" s="21">
        <v>7.4999999999999997E-2</v>
      </c>
    </row>
    <row r="5" spans="2:5" ht="28.5" customHeight="1" x14ac:dyDescent="0.3">
      <c r="B5" s="19" t="s">
        <v>19</v>
      </c>
      <c r="C5" s="22" t="s">
        <v>20</v>
      </c>
      <c r="D5" s="22" t="s">
        <v>20</v>
      </c>
      <c r="E5" s="22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E5"/>
  <sheetViews>
    <sheetView zoomScaleNormal="100" workbookViewId="0">
      <selection activeCell="E13" sqref="E13"/>
    </sheetView>
  </sheetViews>
  <sheetFormatPr defaultColWidth="8.6640625" defaultRowHeight="14.4" x14ac:dyDescent="0.3"/>
  <sheetData>
    <row r="5" spans="3:5" ht="14.25" customHeight="1" x14ac:dyDescent="0.3">
      <c r="C5" s="23" t="s">
        <v>61</v>
      </c>
      <c r="D5" s="23"/>
      <c r="E5" s="23"/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D4E4ACEE17047B2CD88717FF8D421" ma:contentTypeVersion="21" ma:contentTypeDescription="Create a new document." ma:contentTypeScope="" ma:versionID="a39149432796a8a5ac3476c29ac77687">
  <xsd:schema xmlns:xsd="http://www.w3.org/2001/XMLSchema" xmlns:xs="http://www.w3.org/2001/XMLSchema" xmlns:p="http://schemas.microsoft.com/office/2006/metadata/properties" xmlns:ns2="edf6b5f7-d342-49f2-86e7-16b167db190f" xmlns:ns3="2b47590b-d718-474f-a7b3-10b44959738c" targetNamespace="http://schemas.microsoft.com/office/2006/metadata/properties" ma:root="true" ma:fieldsID="1a52db9392da18844b66f7fc49b74c14" ns2:_="" ns3:_="">
    <xsd:import namespace="edf6b5f7-d342-49f2-86e7-16b167db190f"/>
    <xsd:import namespace="2b47590b-d718-474f-a7b3-10b449597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6b5f7-d342-49f2-86e7-16b167db19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4ba23b-1f8a-4162-98cf-07c68cba3f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7590b-d718-474f-a7b3-10b449597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14ff0-5522-4f97-b5fe-6179ba350c79}" ma:internalName="TaxCatchAll" ma:showField="CatchAllData" ma:web="2b47590b-d718-474f-a7b3-10b449597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f6b5f7-d342-49f2-86e7-16b167db190f">
      <Terms xmlns="http://schemas.microsoft.com/office/infopath/2007/PartnerControls"/>
    </lcf76f155ced4ddcb4097134ff3c332f>
    <TaxCatchAll xmlns="2b47590b-d718-474f-a7b3-10b44959738c" xsi:nil="true"/>
    <_Flow_SignoffStatus xmlns="edf6b5f7-d342-49f2-86e7-16b167db190f" xsi:nil="true"/>
  </documentManagement>
</p:properties>
</file>

<file path=customXml/itemProps1.xml><?xml version="1.0" encoding="utf-8"?>
<ds:datastoreItem xmlns:ds="http://schemas.openxmlformats.org/officeDocument/2006/customXml" ds:itemID="{42EB2E04-3AF4-405A-8EB1-4ADD98B0E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240171-4CDA-4870-BB1B-4210EFD0B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6b5f7-d342-49f2-86e7-16b167db190f"/>
    <ds:schemaRef ds:uri="2b47590b-d718-474f-a7b3-10b449597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4B00E5-EFAA-4D4D-9DE9-FFF27A1B6AB4}">
  <ds:schemaRefs>
    <ds:schemaRef ds:uri="http://schemas.microsoft.com/office/2006/metadata/properties"/>
    <ds:schemaRef ds:uri="http://schemas.microsoft.com/office/infopath/2007/PartnerControls"/>
    <ds:schemaRef ds:uri="edf6b5f7-d342-49f2-86e7-16b167db190f"/>
    <ds:schemaRef ds:uri="2b47590b-d718-474f-a7b3-10b4495973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Rater</vt:lpstr>
      <vt:lpstr>Policy Terms</vt:lpstr>
      <vt:lpstr>Commissions</vt:lpstr>
      <vt:lpstr>Decline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Abhang, Santosh</dc:creator>
  <dc:description/>
  <cp:lastModifiedBy>Aditya Rane</cp:lastModifiedBy>
  <cp:revision>0</cp:revision>
  <dcterms:created xsi:type="dcterms:W3CDTF">2026-04-24T07:21:08Z</dcterms:created>
  <dcterms:modified xsi:type="dcterms:W3CDTF">2026-05-27T09:11:49Z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0x01010070BD4E4ACEE17047B2CD88717FF8D421</vt:lpwstr>
  </property>
</Properties>
</file>