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healthysurein.sharepoint.com/sites/HealthySureGroup/HealthySure/HealthySure/Employee Benefits Platform/Placements/RFQs/GHI/"/>
    </mc:Choice>
  </mc:AlternateContent>
  <xr:revisionPtr revIDLastSave="253" documentId="8_{99A231EA-108F-47F2-8A4B-51737FD0CFEE}" xr6:coauthVersionLast="47" xr6:coauthVersionMax="47" xr10:uidLastSave="{5641A006-3E8A-5718-85E4-B1827D536A2B}"/>
  <bookViews>
    <workbookView xWindow="-110" yWindow="-110" windowWidth="19420" windowHeight="11500" tabRatio="686" activeTab="2" xr2:uid="{030FBE25-8AE6-46E2-A0DB-BB8C571CC9D9}"/>
  </bookViews>
  <sheets>
    <sheet name="Company Info" sheetId="21" r:id="rId1"/>
    <sheet name="Expiring Policy Terms" sheetId="4" state="hidden" r:id="rId2"/>
    <sheet name="GHI RFQ" sheetId="6" r:id="rId3"/>
    <sheet name="Employee_Data" sheetId="28" r:id="rId4"/>
    <sheet name="Age Band Pivot" sheetId="29" r:id="rId5"/>
    <sheet name="Claims Analysis" sheetId="26" r:id="rId6"/>
    <sheet name="Renewal Quote Predict" sheetId="27" r:id="rId7"/>
    <sheet name="Records to be corrected" sheetId="24" r:id="rId8"/>
    <sheet name="Age Band - Only PSU" sheetId="18" state="hidden" r:id="rId9"/>
  </sheets>
  <externalReferences>
    <externalReference r:id="rId10"/>
  </externalReferences>
  <definedNames>
    <definedName name="_xlnm._FilterDatabase" localSheetId="3" hidden="1">Employee_Data!$A$2:$L$11</definedName>
  </definedNames>
  <calcPr calcId="191028"/>
  <pivotCaches>
    <pivotCache cacheId="1"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4" i="27" l="1"/>
  <c r="B16" i="6"/>
  <c r="C16" i="6"/>
  <c r="D18" i="6"/>
  <c r="C13" i="27"/>
  <c r="C12" i="27"/>
  <c r="B27" i="6"/>
  <c r="D19" i="6" s="1"/>
  <c r="C27" i="6"/>
  <c r="D20" i="6" s="1"/>
  <c r="D27" i="6"/>
  <c r="C15" i="6"/>
  <c r="B15" i="6"/>
  <c r="D6" i="26" l="1"/>
  <c r="D8" i="26" s="1"/>
  <c r="C6" i="26"/>
  <c r="C8" i="26" s="1"/>
  <c r="F8" i="27" a="1"/>
  <c r="F8" i="27" s="1"/>
  <c r="D17" i="6"/>
  <c r="B43" i="6"/>
  <c r="F4" i="27"/>
  <c r="F3" i="27"/>
  <c r="E7" i="26"/>
  <c r="E5" i="26"/>
  <c r="E4" i="26"/>
  <c r="E3" i="26"/>
  <c r="E2" i="26"/>
  <c r="B2" i="6"/>
  <c r="C4" i="27"/>
  <c r="E6" i="26" l="1"/>
  <c r="F5" i="27"/>
  <c r="F6" i="27" a="1"/>
  <c r="F6" i="27" s="1"/>
  <c r="F7" i="27" s="1"/>
  <c r="E8" i="26"/>
  <c r="B6" i="26"/>
  <c r="B8" i="26" s="1"/>
  <c r="V11" i="28"/>
  <c r="U11" i="28"/>
  <c r="T11" i="28"/>
  <c r="S11" i="28"/>
  <c r="R11" i="28" a="1"/>
  <c r="R11" i="28" s="1"/>
  <c r="Q11" i="28"/>
  <c r="P11" i="28"/>
  <c r="O11" i="28"/>
  <c r="N11" i="28"/>
  <c r="F11" i="28"/>
  <c r="G11" i="28" s="1"/>
  <c r="A11" i="28"/>
  <c r="V10" i="28"/>
  <c r="U10" i="28"/>
  <c r="T10" i="28"/>
  <c r="S10" i="28"/>
  <c r="R10" i="28" a="1"/>
  <c r="R10" i="28" s="1"/>
  <c r="Q10" i="28"/>
  <c r="P10" i="28"/>
  <c r="O10" i="28"/>
  <c r="N10" i="28"/>
  <c r="F10" i="28"/>
  <c r="G10" i="28" s="1"/>
  <c r="A10" i="28"/>
  <c r="V9" i="28"/>
  <c r="U9" i="28"/>
  <c r="T9" i="28"/>
  <c r="S9" i="28"/>
  <c r="R9" i="28" a="1"/>
  <c r="R9" i="28" s="1"/>
  <c r="Q9" i="28"/>
  <c r="P9" i="28"/>
  <c r="O9" i="28"/>
  <c r="N9" i="28"/>
  <c r="F9" i="28"/>
  <c r="G9" i="28" s="1"/>
  <c r="A9" i="28"/>
  <c r="V8" i="28"/>
  <c r="U8" i="28"/>
  <c r="T8" i="28"/>
  <c r="S8" i="28"/>
  <c r="R8" i="28" a="1"/>
  <c r="R8" i="28" s="1"/>
  <c r="Q8" i="28"/>
  <c r="P8" i="28"/>
  <c r="O8" i="28"/>
  <c r="N8" i="28"/>
  <c r="F8" i="28"/>
  <c r="G8" i="28" s="1"/>
  <c r="A8" i="28"/>
  <c r="V7" i="28"/>
  <c r="U7" i="28"/>
  <c r="T7" i="28"/>
  <c r="S7" i="28"/>
  <c r="R7" i="28" a="1"/>
  <c r="R7" i="28" s="1"/>
  <c r="Q7" i="28"/>
  <c r="P7" i="28"/>
  <c r="O7" i="28"/>
  <c r="N7" i="28"/>
  <c r="F7" i="28"/>
  <c r="G7" i="28" s="1"/>
  <c r="A7" i="28"/>
  <c r="V6" i="28"/>
  <c r="U6" i="28"/>
  <c r="T6" i="28"/>
  <c r="S6" i="28"/>
  <c r="R6" i="28" a="1"/>
  <c r="R6" i="28" s="1"/>
  <c r="Q6" i="28"/>
  <c r="P6" i="28"/>
  <c r="O6" i="28"/>
  <c r="N6" i="28"/>
  <c r="F6" i="28"/>
  <c r="G6" i="28" s="1"/>
  <c r="A6" i="28"/>
  <c r="V5" i="28"/>
  <c r="U5" i="28"/>
  <c r="T5" i="28"/>
  <c r="S5" i="28"/>
  <c r="R5" i="28" a="1"/>
  <c r="R5" i="28" s="1"/>
  <c r="Q5" i="28"/>
  <c r="P5" i="28"/>
  <c r="O5" i="28"/>
  <c r="N5" i="28"/>
  <c r="F5" i="28"/>
  <c r="G5" i="28" s="1"/>
  <c r="A5" i="28"/>
  <c r="V4" i="28"/>
  <c r="U4" i="28"/>
  <c r="T4" i="28"/>
  <c r="S4" i="28"/>
  <c r="R4" i="28" a="1"/>
  <c r="R4" i="28" s="1"/>
  <c r="Q4" i="28"/>
  <c r="P4" i="28"/>
  <c r="O4" i="28"/>
  <c r="N4" i="28"/>
  <c r="F4" i="28"/>
  <c r="G4" i="28" s="1"/>
  <c r="A4" i="28"/>
  <c r="V3" i="28"/>
  <c r="U3" i="28"/>
  <c r="T3" i="28"/>
  <c r="S3" i="28"/>
  <c r="R3" i="28" a="1"/>
  <c r="R3" i="28" s="1"/>
  <c r="Q3" i="28"/>
  <c r="P3" i="28"/>
  <c r="O3" i="28"/>
  <c r="N3" i="28"/>
  <c r="F3" i="28"/>
  <c r="G3" i="28" s="1"/>
  <c r="A3" i="28"/>
  <c r="M4" i="28" l="1"/>
  <c r="M8" i="28"/>
  <c r="M10" i="28"/>
  <c r="M6" i="28"/>
  <c r="M11" i="28"/>
  <c r="M7" i="28"/>
  <c r="M3" i="28"/>
  <c r="M5" i="28"/>
  <c r="M9" i="28"/>
  <c r="M1" i="28" l="1"/>
  <c r="C7" i="27" l="1"/>
  <c r="C6" i="27" s="1"/>
  <c r="F9" i="27"/>
  <c r="D13" i="6"/>
  <c r="C15" i="27" l="1"/>
  <c r="C16" i="27" s="1"/>
  <c r="C17" i="27" l="1"/>
  <c r="C18" i="27" s="1"/>
  <c r="D14" i="6" s="1"/>
  <c r="D15" i="6" l="1"/>
  <c r="D16" i="6"/>
  <c r="C19" i="27"/>
  <c r="C20" i="27" s="1"/>
  <c r="C22" i="27" s="1"/>
  <c r="C21" i="27" s="1"/>
  <c r="F37" i="18"/>
  <c r="R39" i="18"/>
  <c r="M40" i="18"/>
  <c r="O34" i="18"/>
  <c r="O31" i="18"/>
  <c r="M27" i="18"/>
  <c r="F24" i="18"/>
  <c r="O20" i="18"/>
  <c r="O17" i="18"/>
  <c r="M13" i="18"/>
  <c r="F10" i="18"/>
  <c r="R38" i="18" s="1"/>
  <c r="O6" i="18"/>
  <c r="R37" i="18" s="1"/>
  <c r="O3" i="18"/>
  <c r="R36" i="18" l="1"/>
  <c r="R40" i="1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<sst xmlns="http://schemas.openxmlformats.org/spreadsheetml/2006/main" count="566" uniqueCount="297">
  <si>
    <t>HealthySure Template</t>
  </si>
  <si>
    <t>Basic Company Details</t>
  </si>
  <si>
    <t>Brand Name of the Company</t>
  </si>
  <si>
    <t>Legal Name of the Company</t>
  </si>
  <si>
    <t>Address of the Company</t>
  </si>
  <si>
    <t>Pincode of the Company</t>
  </si>
  <si>
    <t>Contact Person - Name</t>
  </si>
  <si>
    <t>Pending</t>
  </si>
  <si>
    <t>Contact Person - Mobile No</t>
  </si>
  <si>
    <t>Contact Person - Email ID</t>
  </si>
  <si>
    <t>GST or PAN of Company</t>
  </si>
  <si>
    <t>Nature of Industry</t>
  </si>
  <si>
    <t>Expiring Policy Terms</t>
  </si>
  <si>
    <t>Insured Name</t>
  </si>
  <si>
    <t>:</t>
  </si>
  <si>
    <t>WRITER BUSINESS SERVICES PRIVATE LIMITED</t>
  </si>
  <si>
    <t>Address</t>
  </si>
  <si>
    <t>Mumbai</t>
  </si>
  <si>
    <t>Existing Insurer</t>
  </si>
  <si>
    <t>Iffco</t>
  </si>
  <si>
    <t>Existing TPA</t>
  </si>
  <si>
    <t>Paramount</t>
  </si>
  <si>
    <t>Policy Period</t>
  </si>
  <si>
    <t>27/07/2020 - 26/07/2021</t>
  </si>
  <si>
    <t>Scope of Coverage:</t>
  </si>
  <si>
    <t>Expiring</t>
  </si>
  <si>
    <t>Family Definition</t>
  </si>
  <si>
    <t>Self + Spouse + 2 Dependent Children (upto the age of 23 years) + 2 Dependent Parents (upto the
age of 80 years).</t>
  </si>
  <si>
    <t>Coverage of Dependent's till policy expiry in case of death of the employee</t>
  </si>
  <si>
    <t>Not Covered</t>
  </si>
  <si>
    <t>Sum Insured</t>
  </si>
  <si>
    <t xml:space="preserve"> Rs. 200,000, Rs. 300,000,Rs,500000</t>
  </si>
  <si>
    <t>Domiciliary hospitalization expenses</t>
  </si>
  <si>
    <t>Pre-existing Diseases Coverage</t>
  </si>
  <si>
    <t>Covered from Day One</t>
  </si>
  <si>
    <t>First 30 days and 1st and 2nd &amp; 4th year waiting period</t>
  </si>
  <si>
    <t>Waived off</t>
  </si>
  <si>
    <t>Maternity cover </t>
  </si>
  <si>
    <t>9 months waiting period for Maternity cover</t>
  </si>
  <si>
    <t>Not Applicable</t>
  </si>
  <si>
    <t xml:space="preserve">Room rent </t>
  </si>
  <si>
    <t>1.5% of SI for normal and 2.5% of SI for ICU/ICCU, all other charges accordance with the room
rent restriction. In case if the insured opts for a higher room rent than his eligibility, the proporationate increase in the
cost of room rent and other incidental charges will have to be borne by the employee</t>
  </si>
  <si>
    <t>Pre &amp; Post hospitalization expenses covered for 30 &amp; 60 days respectively</t>
  </si>
  <si>
    <t>Covered</t>
  </si>
  <si>
    <t>Pre post natal Cover</t>
  </si>
  <si>
    <t>Baby covered</t>
  </si>
  <si>
    <t>New born baby covered from day one</t>
  </si>
  <si>
    <t>Day care surgeries</t>
  </si>
  <si>
    <t>Ambulance Charges  </t>
  </si>
  <si>
    <t>covered upto Rs. 1,000/- per incident in case of emergency.</t>
  </si>
  <si>
    <t>Hospitalization due to terrorism </t>
  </si>
  <si>
    <t>Co Pay</t>
  </si>
  <si>
    <t>30% Co-Pay on all parental claims &amp; No Co-Pay on Capped Ailments.</t>
  </si>
  <si>
    <t>Sub Limits for specified illness</t>
  </si>
  <si>
    <t xml:space="preserve">1. Cataract - Rs. 35,000/- Per Eye. 
2. Tympanoplasty - Rs. 45,000/
3. Fistula, Piles, Hydrocele, Sinusitis (Fees) - Rs. 45,000/
4. Appendicitis, Hernia - Rs. 45,000/
5. Benign Prostrate, Hypertophy (Turp) - Rs. 70,000/
6. Cholecystectomy, Lapchole - Rs. 70,000/
7. Tonsilitis/Tonsilectomy - Rs. 30,000/
8. Laparoscopic Procedure - Rs. 85,000/
9. Joint Replacement (Each Joint) Excluding Implant Cost - Rs. 1,40,000/
10. Coronary Artery Disease, Ischemic heart Disease Requiring Angioplasty/Ptca (Excluding Cost Of Stent) - Rs. 1,65,000 
</t>
  </si>
  <si>
    <t>Corporate Buffer</t>
  </si>
  <si>
    <t xml:space="preserve">Corporate Buffer for 1 Crore with restricted to INR 500,00 for all Ailments except Maternity </t>
  </si>
  <si>
    <t xml:space="preserve">Organ Donor Expenses </t>
  </si>
  <si>
    <t xml:space="preserve">In case of an organ transplant, if there is a need of an organ donor, hospitalisation charges for the organ donor should be covered excl. Organ cost </t>
  </si>
  <si>
    <t xml:space="preserve">Psychiatric treatment </t>
  </si>
  <si>
    <t xml:space="preserve">covered only for Employees on IPD Basis </t>
  </si>
  <si>
    <t xml:space="preserve">Bereavement Cover </t>
  </si>
  <si>
    <t xml:space="preserve">100% of the claimed amount is paid if the claimant passes away during hospitalization cover </t>
  </si>
  <si>
    <t>Mid term Increase in Sum Insured</t>
  </si>
  <si>
    <t>not allowed except due to promotion to higher cadre.</t>
  </si>
  <si>
    <t>Mid-term Addition of Dependents</t>
  </si>
  <si>
    <t>only in case of new born baby and spouse in case of marriage.</t>
  </si>
  <si>
    <t>Mid-term addition of parents</t>
  </si>
  <si>
    <t>not allowed except for new joinees.</t>
  </si>
  <si>
    <t>Addition/Deletion</t>
  </si>
  <si>
    <t>Addition/Deletion on prorata basis from Date of Joining and Date of Leaving respectively subject to CD balance.</t>
  </si>
  <si>
    <t>Refund of premium on account of Mid-term Deletion of member</t>
  </si>
  <si>
    <t>allowed from the date of resignation subject to
receipt of intimation within 45 days from the date of resignation failing which refund will be calculated from the date of
intimation to the Company. No refund for deletion if employee or family member has claimed during the Policy</t>
  </si>
  <si>
    <t>Claim Intimation</t>
  </si>
  <si>
    <t>waived off</t>
  </si>
  <si>
    <t>Claim document submission</t>
  </si>
  <si>
    <t>within 45 days from date of discharge</t>
  </si>
  <si>
    <t>Portability</t>
  </si>
  <si>
    <t>HEALTHYSURE</t>
  </si>
  <si>
    <t>Policy Type</t>
  </si>
  <si>
    <t>Group Mediclaim Cover</t>
  </si>
  <si>
    <t>Case Type</t>
  </si>
  <si>
    <t>Renewal</t>
  </si>
  <si>
    <t>Policy Expiry Date</t>
  </si>
  <si>
    <t>Previous Year Insurer</t>
  </si>
  <si>
    <t>Previous Year TPA</t>
  </si>
  <si>
    <t>Previous Year Broker</t>
  </si>
  <si>
    <t>CLAIMS INFORMATION</t>
  </si>
  <si>
    <t>2023-24</t>
  </si>
  <si>
    <t>2024-25</t>
  </si>
  <si>
    <t>Premium at Inception</t>
  </si>
  <si>
    <t>Not Available</t>
  </si>
  <si>
    <t>Premium at Expiry</t>
  </si>
  <si>
    <t xml:space="preserve">Claims (Paid + Outstanding) </t>
  </si>
  <si>
    <t>Annualised claims</t>
  </si>
  <si>
    <t>Loss Ratio on annualised claims</t>
  </si>
  <si>
    <t>Claims MIS Date</t>
  </si>
  <si>
    <t>Insurer</t>
  </si>
  <si>
    <t>Inception NOL</t>
  </si>
  <si>
    <t>Expiring NOL</t>
  </si>
  <si>
    <t>EMPLOYEE COUNT</t>
  </si>
  <si>
    <t xml:space="preserve">Total Employees </t>
  </si>
  <si>
    <t>Total Spouse</t>
  </si>
  <si>
    <t>Total Children</t>
  </si>
  <si>
    <t>Total Parents/Parents-in-law</t>
  </si>
  <si>
    <t>Total Members</t>
  </si>
  <si>
    <t>Reason for Increase/Decrease in Demography</t>
  </si>
  <si>
    <t>Company is in growth phase / mass-hiring etc</t>
  </si>
  <si>
    <t>GMC COVERAGE</t>
  </si>
  <si>
    <t>Policy Features</t>
  </si>
  <si>
    <t>Previous Year</t>
  </si>
  <si>
    <t>Current Year</t>
  </si>
  <si>
    <t>Self , Spouse, 4 Children upto 25 yrs
&amp; 
2 Parents/Parent- in-law upto 80 yrs</t>
  </si>
  <si>
    <t>Same</t>
  </si>
  <si>
    <t xml:space="preserve">Rs. X lacs </t>
  </si>
  <si>
    <t>Family Floater</t>
  </si>
  <si>
    <t>Rater Type</t>
  </si>
  <si>
    <t>Age Bandwise Rates per life/ Flat Rate per life</t>
  </si>
  <si>
    <t xml:space="preserve">Co-Pay </t>
  </si>
  <si>
    <t>0% for All</t>
  </si>
  <si>
    <t xml:space="preserve">Parental Co-Pay </t>
  </si>
  <si>
    <t>Room Rent Restriction</t>
  </si>
  <si>
    <t>Normal - 2% of SI per day 
ICU - 4% of SI per day</t>
  </si>
  <si>
    <t>Room Rent Proportionate Clause</t>
  </si>
  <si>
    <t>Applicable</t>
  </si>
  <si>
    <t>Rs. XXX restricted to Family Floater SI
&lt;for all ailments/ critical illness&gt;</t>
  </si>
  <si>
    <t>Hospitals Covered</t>
  </si>
  <si>
    <t>All Hospitals</t>
  </si>
  <si>
    <t>Cashless Network</t>
  </si>
  <si>
    <t>As per Insurer</t>
  </si>
  <si>
    <t>Reimbursements Claims Filing</t>
  </si>
  <si>
    <t>Paperless/ Hard copy submission</t>
  </si>
  <si>
    <t>Paperless</t>
  </si>
  <si>
    <t>TPA</t>
  </si>
  <si>
    <t>Daycare Treatments</t>
  </si>
  <si>
    <t>Disease Capping</t>
  </si>
  <si>
    <t>NIL</t>
  </si>
  <si>
    <t>Pre and Post Hospitalization</t>
  </si>
  <si>
    <t>30/60 days
(For in-patient Hospitalization)</t>
  </si>
  <si>
    <t xml:space="preserve">Initial Waiting Period </t>
  </si>
  <si>
    <t>Waived</t>
  </si>
  <si>
    <t>Specific Diseases Waiting Period</t>
  </si>
  <si>
    <t>Pre-Existing Diseases Waiting Period</t>
  </si>
  <si>
    <t>Maternity Cover</t>
  </si>
  <si>
    <t>Normal - Rs. 50,000
C Section - Rs. 50,000</t>
  </si>
  <si>
    <t>Maternity Waiting Period</t>
  </si>
  <si>
    <t>Pre and Post Natal Expenses</t>
  </si>
  <si>
    <t>Covered upto Rs. 2,500
within/ over and above maternity limit</t>
  </si>
  <si>
    <t>New Born Baby Coverage</t>
  </si>
  <si>
    <t>From Day 1</t>
  </si>
  <si>
    <t>COVID-19 Coverage</t>
  </si>
  <si>
    <t>Included 
(min. 24 hours in-patient hospitalisation)</t>
  </si>
  <si>
    <t>Domiciliary Hospitalization</t>
  </si>
  <si>
    <t>Psychiatric Illness</t>
  </si>
  <si>
    <r>
      <t xml:space="preserve">Covered upto 50% of SI 
</t>
    </r>
    <r>
      <rPr>
        <sz val="8"/>
        <rFont val="Calibri"/>
        <family val="2"/>
        <scheme val="minor"/>
      </rPr>
      <t>(other than mental retardation, subnormal intelligence, cerebral palsy, cretinism, mongolism, mental intellectual disability, Parkinson’s disease, Alzheimer’s disease and Dementia)</t>
    </r>
  </si>
  <si>
    <t>Alternative Treatments</t>
  </si>
  <si>
    <t>Organ Donor Expenses</t>
  </si>
  <si>
    <t xml:space="preserve">Emergency Road Ambulance </t>
  </si>
  <si>
    <t>Rs. 2,500 per hospitalization</t>
  </si>
  <si>
    <t xml:space="preserve">Emergency Air Ambulance </t>
  </si>
  <si>
    <t>Covered upto Rs 1,00,000 or family SI whichever is less</t>
  </si>
  <si>
    <t>Cochlear Implant</t>
  </si>
  <si>
    <t>Lasik Treatment</t>
  </si>
  <si>
    <t>Modern Treatments</t>
  </si>
  <si>
    <r>
      <t xml:space="preserve">Covered with 50% co-pay
</t>
    </r>
    <r>
      <rPr>
        <sz val="8"/>
        <rFont val="Calibri"/>
        <family val="2"/>
        <scheme val="minor"/>
      </rPr>
      <t>(other than mental retardation, subnormal intelligence, cerebral palsy, cretinism, mongolism, mental intellectual disability, Parkinson’s disease, Alzheimer’s disease and Dementia)</t>
    </r>
  </si>
  <si>
    <t>Cataract Limit</t>
  </si>
  <si>
    <t>Covered upto Rs. 50,000</t>
  </si>
  <si>
    <t>Attendant Charges</t>
  </si>
  <si>
    <t>Covered upto Rs. 5,000 if length of stay for the patient is more than 5 days</t>
  </si>
  <si>
    <t>Functional Endoscopic Sinus Surgery</t>
  </si>
  <si>
    <t>Covered within a limit of Rs. 35,000</t>
  </si>
  <si>
    <t>Lucentis Expenses</t>
  </si>
  <si>
    <t>Covered upto Rs 50,000 Per family within the SI</t>
  </si>
  <si>
    <t>Internal Congenital Diseases</t>
  </si>
  <si>
    <t>External Congenital Diseases</t>
  </si>
  <si>
    <t>OPD Treatment</t>
  </si>
  <si>
    <t>Not covered unless part of pre / post hospitalization</t>
  </si>
  <si>
    <t>Territorial Limit</t>
  </si>
  <si>
    <t>India</t>
  </si>
  <si>
    <t>Other Terms &amp; Conditions</t>
  </si>
  <si>
    <t>Additions &amp; Deletions</t>
  </si>
  <si>
    <t>Addition/Deletion on prorata basis from Date of Joining and Date of Leaving respectively subject to CD balance</t>
  </si>
  <si>
    <t>Claim Intimation (Reimbursements)</t>
  </si>
  <si>
    <t>Claim Document Submission Clause</t>
  </si>
  <si>
    <t>Within XX days from date of discharge</t>
  </si>
  <si>
    <t>Not allowed except due to promotion to higher cadre</t>
  </si>
  <si>
    <t>Only in case of new born baby and spouse in case of marriage</t>
  </si>
  <si>
    <t>Not allowed except for new joinees</t>
  </si>
  <si>
    <t>Number of errors:</t>
  </si>
  <si>
    <t>S.No.</t>
  </si>
  <si>
    <t>Employee ID</t>
  </si>
  <si>
    <t>Employment Type
(On-Roll/Off-Roll)</t>
  </si>
  <si>
    <t>Member Name</t>
  </si>
  <si>
    <t>Date of Birth</t>
  </si>
  <si>
    <t>Age</t>
  </si>
  <si>
    <t>Age Band</t>
  </si>
  <si>
    <t>Gender</t>
  </si>
  <si>
    <t>Relationship to Self</t>
  </si>
  <si>
    <t>GHI Sum Insured</t>
  </si>
  <si>
    <t>Mobile Number</t>
  </si>
  <si>
    <t>Email</t>
  </si>
  <si>
    <t>Error</t>
  </si>
  <si>
    <t>Error_Relationship</t>
  </si>
  <si>
    <t>Error_Age</t>
  </si>
  <si>
    <t>Error_Gender</t>
  </si>
  <si>
    <t>Error_Ph</t>
  </si>
  <si>
    <t>Error_Email</t>
  </si>
  <si>
    <t>Error_Name</t>
  </si>
  <si>
    <t>Error_DoB</t>
  </si>
  <si>
    <t>Error_Duplicate</t>
  </si>
  <si>
    <t>Error_EmployeeID</t>
  </si>
  <si>
    <t>Other Errors, if any</t>
  </si>
  <si>
    <t>Self and Spouse age more than 18</t>
  </si>
  <si>
    <t>Count of Relationship to Self</t>
  </si>
  <si>
    <t>Column Labels</t>
  </si>
  <si>
    <t>Children age less than 25</t>
  </si>
  <si>
    <t>Row Labels</t>
  </si>
  <si>
    <t>(blank)</t>
  </si>
  <si>
    <t>Grand Total</t>
  </si>
  <si>
    <t>Parents age more than 40</t>
  </si>
  <si>
    <t>From 86</t>
  </si>
  <si>
    <t>Particulars</t>
  </si>
  <si>
    <t>No. of Claims</t>
  </si>
  <si>
    <t>Claims Paid
(Rs.)</t>
  </si>
  <si>
    <t>Outstanding
(Rs.)</t>
  </si>
  <si>
    <t>Claims Paid + O/S
(Rs.)</t>
  </si>
  <si>
    <t>Highlighted in Claims MIS</t>
  </si>
  <si>
    <t>Total Claims</t>
  </si>
  <si>
    <t>Major claims (&gt;2 lacs) by employees who have exited the co</t>
  </si>
  <si>
    <t>Major claims (&gt;2 lacs) by members who have died</t>
  </si>
  <si>
    <t>Accidental claims</t>
  </si>
  <si>
    <t>Net Claims</t>
  </si>
  <si>
    <t>Claims which are non-recurring</t>
  </si>
  <si>
    <t>Net Claims (excl. recurring claims)</t>
  </si>
  <si>
    <t>Premium Calculator</t>
  </si>
  <si>
    <t>Policy period From</t>
  </si>
  <si>
    <t>No. of lives at the start of policy</t>
  </si>
  <si>
    <t>Policy period To</t>
  </si>
  <si>
    <t>No. of lives at the end of policy</t>
  </si>
  <si>
    <t>Claims MIS report generation date</t>
  </si>
  <si>
    <t>Simple Avg of lives in previous year</t>
  </si>
  <si>
    <t>Policy completed days</t>
  </si>
  <si>
    <t>Weighted Avg of lives in previous year</t>
  </si>
  <si>
    <t>Balance days</t>
  </si>
  <si>
    <t>Selected Average of lives in previous year</t>
  </si>
  <si>
    <t xml:space="preserve">Incurred But Not Reported cases in % </t>
  </si>
  <si>
    <t>No of lives for renewal</t>
  </si>
  <si>
    <t>% Change</t>
  </si>
  <si>
    <t>Amount</t>
  </si>
  <si>
    <t>Buffer</t>
  </si>
  <si>
    <t>Amount of claims paid</t>
  </si>
  <si>
    <t>Inflation cost</t>
  </si>
  <si>
    <t>Outstanding claims (claims in process)</t>
  </si>
  <si>
    <t>Management Costs</t>
  </si>
  <si>
    <t>Incurred But Not Reported Claims</t>
  </si>
  <si>
    <t>Total Claims as on date</t>
  </si>
  <si>
    <t>Claims for remainder period</t>
  </si>
  <si>
    <t>Annualized Claims</t>
  </si>
  <si>
    <t>Claims Increase due to increase in no. of lives</t>
  </si>
  <si>
    <t>Expected claims for next year (Burning Costs)</t>
  </si>
  <si>
    <t>Buffer, Inflation, Management cost</t>
  </si>
  <si>
    <t>Total</t>
  </si>
  <si>
    <t>Records to be corrected</t>
  </si>
  <si>
    <t>For 2 Lakhs Sum Insured</t>
  </si>
  <si>
    <t>Self</t>
  </si>
  <si>
    <t>0-20</t>
  </si>
  <si>
    <t>21-25</t>
  </si>
  <si>
    <t>26-30</t>
  </si>
  <si>
    <t>31-35</t>
  </si>
  <si>
    <t>36-40</t>
  </si>
  <si>
    <t>41-45</t>
  </si>
  <si>
    <t>46-50</t>
  </si>
  <si>
    <t>51-55</t>
  </si>
  <si>
    <t>56-60</t>
  </si>
  <si>
    <t>61-65</t>
  </si>
  <si>
    <t>66-70</t>
  </si>
  <si>
    <t>71-75</t>
  </si>
  <si>
    <t>76-80</t>
  </si>
  <si>
    <t>TOTAL</t>
  </si>
  <si>
    <t>Spouse</t>
  </si>
  <si>
    <t>Children</t>
  </si>
  <si>
    <t>30+</t>
  </si>
  <si>
    <t>Parents</t>
  </si>
  <si>
    <t>81-85</t>
  </si>
  <si>
    <t>85+</t>
  </si>
  <si>
    <t>For 3 Lakhs Sum Insured</t>
  </si>
  <si>
    <t>For 5 Lakhs Sum Insured</t>
  </si>
  <si>
    <t>-</t>
  </si>
  <si>
    <t>Total Lives</t>
  </si>
  <si>
    <t>2025-26</t>
  </si>
  <si>
    <t>At Inception (2025-26)</t>
  </si>
  <si>
    <t>At Expiry (2025-26)</t>
  </si>
  <si>
    <t>For Renewal (2026-27)</t>
  </si>
  <si>
    <t>ABC</t>
  </si>
  <si>
    <t>ABC Pvt Ltd</t>
  </si>
  <si>
    <t>Claims Per Life</t>
  </si>
  <si>
    <t>Covered if correction index is +/- 6.5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</si>
</sst>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dd/mmm/yyyy"/>
    <numFmt numFmtId="165" formatCode="[$INR]\ #,##0"/>
    <numFmt numFmtId="166" formatCode="_ * #,##0_ ;_ * \-#,##0_ ;_ * &quot;-&quot;??_ ;_ @_ "/>
    <numFmt numFmtId="167" formatCode="[$-409]dd\-mmm\-yy;@"/>
    <numFmt numFmtId="168" formatCode="dd/mm/yyyy;@"/>
    <numFmt numFmtId="169" formatCode="0.0%"/>
    <numFmt numFmtId="170" formatCode="#,##0_ ;\-#,##0\ "/>
  </numFmts>
  <fonts count="35" x14ac:knownFonts="1">
    <font>
      <sz val="11"/>
      <color theme="1"/>
      <name val="Calibri"/>
      <family val="2"/>
      <scheme val="minor"/>
    </font>
    <font>
      <b/>
      <sz val="11"/>
      <color theme="0"/>
      <name val="Calibri"/>
      <family val="2"/>
      <scheme val="minor"/>
    </font>
    <font>
      <b/>
      <sz val="11"/>
      <color theme="1"/>
      <name val="Calibri"/>
      <family val="2"/>
      <scheme val="minor"/>
    </font>
    <font>
      <sz val="11"/>
      <color theme="1"/>
      <name val="Calibri"/>
      <family val="2"/>
      <scheme val="minor"/>
    </font>
    <font>
      <sz val="10"/>
      <name val="Verdana"/>
      <family val="2"/>
    </font>
    <font>
      <b/>
      <sz val="14"/>
      <name val="Verdana"/>
      <family val="2"/>
    </font>
    <font>
      <b/>
      <sz val="10"/>
      <name val="Verdana"/>
      <family val="2"/>
    </font>
    <font>
      <sz val="10"/>
      <name val="Arial"/>
      <family val="2"/>
    </font>
    <font>
      <b/>
      <sz val="11"/>
      <name val="Calibri"/>
      <family val="2"/>
      <scheme val="minor"/>
    </font>
    <font>
      <sz val="11"/>
      <name val="Calibri"/>
      <family val="2"/>
      <scheme val="minor"/>
    </font>
    <font>
      <b/>
      <sz val="11"/>
      <color indexed="8"/>
      <name val="Calibri"/>
      <family val="2"/>
      <scheme val="minor"/>
    </font>
    <font>
      <sz val="10.5"/>
      <name val="Calibri"/>
      <family val="2"/>
      <scheme val="minor"/>
    </font>
    <font>
      <b/>
      <sz val="10.5"/>
      <name val="Calibri"/>
      <family val="2"/>
      <scheme val="minor"/>
    </font>
    <font>
      <b/>
      <sz val="15"/>
      <color theme="0"/>
      <name val="Calibri"/>
      <family val="2"/>
      <scheme val="minor"/>
    </font>
    <font>
      <b/>
      <sz val="10"/>
      <color rgb="FF000000"/>
      <name val="Arial"/>
      <family val="2"/>
    </font>
    <font>
      <sz val="10"/>
      <color rgb="FF000000"/>
      <name val="Arial"/>
      <family val="2"/>
    </font>
    <font>
      <b/>
      <sz val="11"/>
      <color rgb="FFFF0000"/>
      <name val="Calibri"/>
      <family val="2"/>
      <scheme val="minor"/>
    </font>
    <font>
      <b/>
      <sz val="10"/>
      <name val="Calibri"/>
      <family val="2"/>
      <scheme val="minor"/>
    </font>
    <font>
      <sz val="8"/>
      <name val="Calibri"/>
      <family val="2"/>
      <scheme val="minor"/>
    </font>
    <font>
      <sz val="10"/>
      <name val="Calibri"/>
      <family val="2"/>
      <scheme val="minor"/>
    </font>
    <font>
      <u/>
      <sz val="11"/>
      <color rgb="FF0000FF"/>
      <name val="Calibri"/>
      <family val="2"/>
      <scheme val="minor"/>
    </font>
    <font>
      <sz val="11"/>
      <color rgb="FFFF0000"/>
      <name val="Calibri"/>
      <family val="2"/>
      <scheme val="minor"/>
    </font>
    <font>
      <b/>
      <sz val="11"/>
      <color rgb="FFFFFFFF"/>
      <name val="Calibri"/>
      <family val="2"/>
      <scheme val="minor"/>
    </font>
    <font>
      <sz val="11"/>
      <color rgb="FF000000"/>
      <name val="Calibri"/>
      <family val="2"/>
      <scheme val="minor"/>
    </font>
    <font>
      <b/>
      <sz val="11"/>
      <color rgb="FF000000"/>
      <name val="Calibri"/>
      <family val="2"/>
      <scheme val="minor"/>
    </font>
    <font>
      <b/>
      <sz val="16"/>
      <color theme="0"/>
      <name val="Calibri"/>
      <family val="2"/>
      <scheme val="minor"/>
    </font>
    <font>
      <sz val="12"/>
      <color theme="1"/>
      <name val="Calibri"/>
      <family val="2"/>
      <scheme val="minor"/>
    </font>
    <font>
      <sz val="12"/>
      <name val="Calibri"/>
      <family val="2"/>
      <scheme val="minor"/>
    </font>
    <font>
      <sz val="12"/>
      <color rgb="FF000000"/>
      <name val="Calibri"/>
      <family val="2"/>
      <scheme val="minor"/>
    </font>
    <font>
      <b/>
      <sz val="12"/>
      <name val="Calibri"/>
      <family val="2"/>
      <scheme val="minor"/>
    </font>
    <font>
      <b/>
      <sz val="12"/>
      <color theme="0"/>
      <name val="Calibri"/>
      <family val="2"/>
      <scheme val="minor"/>
    </font>
    <font>
      <b/>
      <sz val="12"/>
      <color rgb="FF000000"/>
      <name val="Calibri"/>
      <family val="2"/>
      <scheme val="minor"/>
    </font>
    <font>
      <b/>
      <sz val="15"/>
      <color theme="3"/>
      <name val="Calibri"/>
      <family val="2"/>
      <scheme val="minor"/>
    </font>
    <font>
      <sz val="10"/>
      <color rgb="FFFF0000"/>
      <name val="Calibri"/>
      <family val="2"/>
      <scheme val="minor"/>
    </font>
    <font>
      <sz val="11"/>
      <color rgb="FF000000"/>
      <name val="Calibri"/>
      <family val="2"/>
    </font>
  </fonts>
  <fills count="19">
    <fill>
      <patternFill patternType="none"/>
    </fill>
    <fill>
      <patternFill patternType="gray125"/>
    </fill>
    <fill>
      <patternFill patternType="solid">
        <fgColor rgb="FF51C5A9"/>
        <bgColor indexed="64"/>
      </patternFill>
    </fill>
    <fill>
      <patternFill patternType="solid">
        <fgColor rgb="FFD9F3ED"/>
        <bgColor indexed="64"/>
      </patternFill>
    </fill>
    <fill>
      <patternFill patternType="solid">
        <fgColor theme="0"/>
        <bgColor indexed="64"/>
      </patternFill>
    </fill>
    <fill>
      <patternFill patternType="solid">
        <fgColor theme="4" tint="0.39997558519241921"/>
        <bgColor indexed="64"/>
      </patternFill>
    </fill>
    <fill>
      <patternFill patternType="solid">
        <fgColor indexed="9"/>
        <bgColor indexed="64"/>
      </patternFill>
    </fill>
    <fill>
      <patternFill patternType="solid">
        <fgColor rgb="FFFFFF00"/>
        <bgColor indexed="64"/>
      </patternFill>
    </fill>
    <fill>
      <patternFill patternType="solid">
        <fgColor indexed="9"/>
        <bgColor indexed="26"/>
      </patternFill>
    </fill>
    <fill>
      <patternFill patternType="solid">
        <fgColor rgb="FFFFFFFF"/>
        <bgColor indexed="64"/>
      </patternFill>
    </fill>
    <fill>
      <patternFill patternType="solid">
        <fgColor rgb="FFD9F3ED"/>
        <bgColor indexed="26"/>
      </patternFill>
    </fill>
    <fill>
      <patternFill patternType="solid">
        <fgColor rgb="FFFFC000"/>
        <bgColor indexed="64"/>
      </patternFill>
    </fill>
    <fill>
      <patternFill patternType="solid">
        <fgColor rgb="FFFF000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357C95"/>
        <bgColor indexed="64"/>
      </patternFill>
    </fill>
    <fill>
      <patternFill patternType="solid">
        <fgColor rgb="FFE6F2F6"/>
        <bgColor indexed="64"/>
      </patternFill>
    </fill>
    <fill>
      <patternFill patternType="solid">
        <fgColor rgb="FFD9F3ED"/>
        <bgColor rgb="FF000000"/>
      </patternFill>
    </fill>
    <fill>
      <patternFill patternType="solid">
        <fgColor theme="0" tint="-4.9989318521683403E-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top/>
      <bottom style="thick">
        <color theme="4"/>
      </bottom>
      <diagonal/>
    </border>
    <border>
      <left style="thin">
        <color indexed="64"/>
      </left>
      <right/>
      <top/>
      <bottom style="thin">
        <color indexed="64"/>
      </bottom>
      <diagonal/>
    </border>
    <border>
      <left style="thin">
        <color indexed="64"/>
      </left>
      <right/>
      <top/>
      <bottom/>
      <diagonal/>
    </border>
  </borders>
  <cellStyleXfs count="9">
    <xf numFmtId="0" fontId="0" fillId="0" borderId="0"/>
    <xf numFmtId="43" fontId="3" fillId="0" borderId="0" applyFont="0" applyFill="0" applyBorder="0" applyAlignment="0" applyProtection="0"/>
    <xf numFmtId="0" fontId="7" fillId="0" borderId="0"/>
    <xf numFmtId="0" fontId="20" fillId="0" borderId="0" applyNumberFormat="0" applyFill="0" applyBorder="0" applyAlignment="0" applyProtection="0">
      <alignment vertical="center"/>
    </xf>
    <xf numFmtId="9" fontId="3" fillId="0" borderId="0" applyFont="0" applyFill="0" applyBorder="0" applyAlignment="0" applyProtection="0"/>
    <xf numFmtId="0" fontId="7" fillId="0" borderId="0"/>
    <xf numFmtId="43" fontId="3" fillId="0" borderId="0" applyFont="0" applyFill="0" applyBorder="0" applyAlignment="0" applyProtection="0"/>
    <xf numFmtId="0" fontId="32" fillId="0" borderId="9" applyNumberFormat="0" applyFill="0" applyAlignment="0" applyProtection="0"/>
    <xf numFmtId="0" fontId="21" fillId="0" borderId="0" applyNumberFormat="0" applyFill="0" applyBorder="0" applyAlignment="0" applyProtection="0"/>
  </cellStyleXfs>
  <cellXfs count="186">
    <xf numFmtId="0" fontId="0" fillId="0" borderId="0" xfId="0"/>
    <xf numFmtId="0" fontId="2" fillId="0" borderId="0" xfId="0" applyFont="1"/>
    <xf numFmtId="0" fontId="4" fillId="4" borderId="0" xfId="0" applyFont="1" applyFill="1"/>
    <xf numFmtId="0" fontId="4" fillId="4" borderId="0" xfId="0" applyFont="1" applyFill="1" applyAlignment="1">
      <alignment horizontal="center" vertical="center"/>
    </xf>
    <xf numFmtId="0" fontId="4" fillId="0" borderId="1" xfId="0" applyFont="1" applyBorder="1"/>
    <xf numFmtId="0" fontId="6" fillId="0" borderId="1" xfId="0" applyFont="1" applyBorder="1" applyAlignment="1">
      <alignment horizontal="center" vertical="center"/>
    </xf>
    <xf numFmtId="0" fontId="6" fillId="0" borderId="4" xfId="0" applyFont="1" applyBorder="1" applyAlignment="1">
      <alignment horizontal="left"/>
    </xf>
    <xf numFmtId="0" fontId="6" fillId="0" borderId="4" xfId="0" applyFont="1" applyBorder="1" applyAlignment="1">
      <alignment horizontal="left" vertical="center" wrapText="1"/>
    </xf>
    <xf numFmtId="14" fontId="6" fillId="0" borderId="1" xfId="0" applyNumberFormat="1" applyFont="1" applyBorder="1" applyAlignment="1">
      <alignment horizontal="center"/>
    </xf>
    <xf numFmtId="0" fontId="6" fillId="5" borderId="1" xfId="0" applyFont="1" applyFill="1" applyBorder="1" applyAlignment="1">
      <alignment horizontal="left" vertical="center" wrapText="1"/>
    </xf>
    <xf numFmtId="0" fontId="6" fillId="5"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4" fillId="0" borderId="1" xfId="0" applyFont="1" applyBorder="1" applyAlignment="1">
      <alignment horizontal="center" vertical="center" wrapText="1"/>
    </xf>
    <xf numFmtId="165" fontId="4" fillId="0" borderId="1" xfId="0" applyNumberFormat="1" applyFont="1" applyBorder="1" applyAlignment="1">
      <alignment horizontal="center" vertical="center" wrapText="1"/>
    </xf>
    <xf numFmtId="0" fontId="4" fillId="0" borderId="1" xfId="0" applyFont="1" applyBorder="1" applyAlignment="1">
      <alignment vertical="center" wrapText="1"/>
    </xf>
    <xf numFmtId="0" fontId="4" fillId="7" borderId="1" xfId="0" applyFont="1" applyFill="1" applyBorder="1" applyAlignment="1">
      <alignment horizontal="center" vertical="center" wrapText="1"/>
    </xf>
    <xf numFmtId="0" fontId="0" fillId="0" borderId="1" xfId="0" applyBorder="1" applyAlignment="1">
      <alignment horizontal="center"/>
    </xf>
    <xf numFmtId="0" fontId="14" fillId="9" borderId="1" xfId="0" applyFont="1" applyFill="1" applyBorder="1" applyAlignment="1">
      <alignment horizontal="left" vertical="center" wrapText="1"/>
    </xf>
    <xf numFmtId="0" fontId="14" fillId="9" borderId="1" xfId="0" applyFont="1" applyFill="1" applyBorder="1" applyAlignment="1">
      <alignment horizontal="center" vertical="center" wrapText="1"/>
    </xf>
    <xf numFmtId="0" fontId="15" fillId="9" borderId="1" xfId="0" applyFont="1" applyFill="1" applyBorder="1" applyAlignment="1">
      <alignment horizontal="left" vertical="center" wrapText="1"/>
    </xf>
    <xf numFmtId="0" fontId="16" fillId="7" borderId="1" xfId="0" applyFont="1" applyFill="1" applyBorder="1" applyAlignment="1">
      <alignment horizontal="center"/>
    </xf>
    <xf numFmtId="0" fontId="14" fillId="9" borderId="5" xfId="0" applyFont="1" applyFill="1" applyBorder="1" applyAlignment="1">
      <alignment horizontal="left" vertical="center" wrapText="1"/>
    </xf>
    <xf numFmtId="0" fontId="14" fillId="9" borderId="5" xfId="0" applyFont="1" applyFill="1" applyBorder="1" applyAlignment="1">
      <alignment horizontal="center" vertical="center" wrapText="1"/>
    </xf>
    <xf numFmtId="0" fontId="15" fillId="9" borderId="0" xfId="0" applyFont="1" applyFill="1" applyAlignment="1">
      <alignment horizontal="left" vertical="center" wrapText="1"/>
    </xf>
    <xf numFmtId="0" fontId="0" fillId="0" borderId="0" xfId="0" applyAlignment="1">
      <alignment horizontal="center"/>
    </xf>
    <xf numFmtId="0" fontId="16" fillId="0" borderId="0" xfId="0" applyFont="1" applyAlignment="1">
      <alignment horizontal="center"/>
    </xf>
    <xf numFmtId="0" fontId="8" fillId="0" borderId="1" xfId="2" applyFont="1" applyBorder="1" applyAlignment="1">
      <alignment vertical="top" wrapText="1" readingOrder="1"/>
    </xf>
    <xf numFmtId="0" fontId="0" fillId="0" borderId="0" xfId="0" applyAlignment="1">
      <alignment wrapText="1"/>
    </xf>
    <xf numFmtId="0" fontId="2" fillId="3" borderId="1" xfId="0" applyFont="1" applyFill="1" applyBorder="1" applyAlignment="1">
      <alignment vertical="center" wrapText="1"/>
    </xf>
    <xf numFmtId="0" fontId="8" fillId="0" borderId="1" xfId="2" applyFont="1" applyBorder="1" applyAlignment="1">
      <alignment horizontal="left" wrapText="1"/>
    </xf>
    <xf numFmtId="0" fontId="10" fillId="8" borderId="1" xfId="2" applyFont="1" applyFill="1" applyBorder="1" applyAlignment="1">
      <alignment horizontal="left" wrapText="1"/>
    </xf>
    <xf numFmtId="0" fontId="0" fillId="0" borderId="0" xfId="0" applyAlignment="1">
      <alignment vertical="top" wrapText="1"/>
    </xf>
    <xf numFmtId="3" fontId="9" fillId="0" borderId="1" xfId="2" applyNumberFormat="1" applyFont="1" applyBorder="1" applyAlignment="1">
      <alignment horizontal="center" vertical="top" wrapText="1" readingOrder="1"/>
    </xf>
    <xf numFmtId="0" fontId="8" fillId="3" borderId="1" xfId="0" applyFont="1" applyFill="1" applyBorder="1" applyAlignment="1">
      <alignment horizontal="center" vertical="center" wrapText="1"/>
    </xf>
    <xf numFmtId="0" fontId="8" fillId="3" borderId="1" xfId="0" applyFont="1" applyFill="1" applyBorder="1" applyAlignment="1">
      <alignment horizontal="center" vertical="top" wrapText="1"/>
    </xf>
    <xf numFmtId="0" fontId="2" fillId="0" borderId="1" xfId="0" applyFont="1" applyBorder="1" applyAlignment="1">
      <alignment vertical="center" wrapText="1"/>
    </xf>
    <xf numFmtId="0" fontId="2" fillId="3" borderId="1" xfId="0" applyFont="1" applyFill="1" applyBorder="1" applyAlignment="1">
      <alignment horizontal="center" vertical="center" wrapText="1"/>
    </xf>
    <xf numFmtId="0" fontId="9" fillId="0" borderId="0" xfId="0" applyFont="1" applyAlignment="1">
      <alignment horizontal="center" vertical="center"/>
    </xf>
    <xf numFmtId="0" fontId="0" fillId="0" borderId="0" xfId="0" applyAlignment="1">
      <alignment horizontal="center" vertical="center" wrapText="1"/>
    </xf>
    <xf numFmtId="9" fontId="0" fillId="0" borderId="0" xfId="0" applyNumberFormat="1" applyAlignment="1">
      <alignment horizontal="center" vertical="center" wrapText="1"/>
    </xf>
    <xf numFmtId="0" fontId="2" fillId="3" borderId="1" xfId="0" applyFont="1" applyFill="1" applyBorder="1" applyAlignment="1">
      <alignment vertical="center"/>
    </xf>
    <xf numFmtId="0" fontId="2" fillId="0" borderId="1" xfId="0" applyFont="1" applyBorder="1" applyAlignment="1">
      <alignment vertical="center"/>
    </xf>
    <xf numFmtId="0" fontId="3" fillId="3" borderId="1" xfId="0" applyFont="1" applyFill="1" applyBorder="1" applyAlignment="1">
      <alignment vertical="center" wrapText="1"/>
    </xf>
    <xf numFmtId="0" fontId="0" fillId="0" borderId="1" xfId="0" applyBorder="1" applyAlignment="1" applyProtection="1">
      <alignment horizontal="left"/>
      <protection locked="0"/>
    </xf>
    <xf numFmtId="0" fontId="0" fillId="3" borderId="1" xfId="0" applyFill="1" applyBorder="1" applyAlignment="1">
      <alignment vertical="center" wrapText="1"/>
    </xf>
    <xf numFmtId="0" fontId="22" fillId="2" borderId="1" xfId="0" applyFont="1" applyFill="1" applyBorder="1" applyAlignment="1">
      <alignment horizontal="left" vertical="center" wrapText="1"/>
    </xf>
    <xf numFmtId="0" fontId="1" fillId="2" borderId="1" xfId="0" applyFont="1" applyFill="1" applyBorder="1" applyAlignment="1">
      <alignment horizontal="center" vertical="top" wrapText="1"/>
    </xf>
    <xf numFmtId="164" fontId="1" fillId="2" borderId="1" xfId="0" applyNumberFormat="1" applyFont="1" applyFill="1" applyBorder="1" applyAlignment="1">
      <alignment horizontal="center" vertical="top" wrapText="1"/>
    </xf>
    <xf numFmtId="1" fontId="1" fillId="2" borderId="1" xfId="0" applyNumberFormat="1" applyFont="1" applyFill="1" applyBorder="1" applyAlignment="1">
      <alignment horizontal="center" vertical="top" wrapText="1"/>
    </xf>
    <xf numFmtId="3" fontId="1" fillId="2" borderId="1" xfId="0" applyNumberFormat="1" applyFont="1" applyFill="1" applyBorder="1" applyAlignment="1">
      <alignment horizontal="center" vertical="top" wrapText="1"/>
    </xf>
    <xf numFmtId="0" fontId="0" fillId="0" borderId="1" xfId="0" applyBorder="1" applyAlignment="1">
      <alignment horizontal="center" wrapText="1"/>
    </xf>
    <xf numFmtId="0" fontId="0" fillId="3" borderId="1" xfId="0" quotePrefix="1" applyFill="1" applyBorder="1" applyAlignment="1">
      <alignment horizontal="center" wrapText="1"/>
    </xf>
    <xf numFmtId="0" fontId="0" fillId="0" borderId="1" xfId="0" applyBorder="1" applyAlignment="1">
      <alignment wrapText="1"/>
    </xf>
    <xf numFmtId="164" fontId="0" fillId="7" borderId="1" xfId="0" applyNumberFormat="1" applyFill="1" applyBorder="1" applyAlignment="1">
      <alignment horizontal="center"/>
    </xf>
    <xf numFmtId="1" fontId="0" fillId="0" borderId="1" xfId="1" applyNumberFormat="1" applyFont="1" applyBorder="1" applyAlignment="1">
      <alignment horizontal="center" wrapText="1"/>
    </xf>
    <xf numFmtId="17" fontId="0" fillId="0" borderId="1" xfId="0" applyNumberFormat="1" applyBorder="1" applyAlignment="1">
      <alignment horizontal="center" wrapText="1"/>
    </xf>
    <xf numFmtId="3" fontId="0" fillId="0" borderId="1" xfId="0" applyNumberFormat="1" applyBorder="1" applyAlignment="1">
      <alignment horizontal="center" wrapText="1"/>
    </xf>
    <xf numFmtId="166" fontId="0" fillId="0" borderId="1" xfId="1" applyNumberFormat="1" applyFont="1" applyBorder="1" applyAlignment="1">
      <alignment horizontal="center" wrapText="1"/>
    </xf>
    <xf numFmtId="0" fontId="0" fillId="0" borderId="1" xfId="0" applyBorder="1"/>
    <xf numFmtId="0" fontId="26" fillId="0" borderId="0" xfId="0" applyFont="1" applyProtection="1">
      <protection locked="0"/>
    </xf>
    <xf numFmtId="0" fontId="27" fillId="0" borderId="0" xfId="5" applyFont="1"/>
    <xf numFmtId="0" fontId="27" fillId="0" borderId="0" xfId="5" applyFont="1" applyAlignment="1">
      <alignment horizontal="center"/>
    </xf>
    <xf numFmtId="0" fontId="27" fillId="0" borderId="0" xfId="5" applyFont="1" applyProtection="1">
      <protection locked="0"/>
    </xf>
    <xf numFmtId="0" fontId="27" fillId="0" borderId="1" xfId="5" applyFont="1" applyBorder="1"/>
    <xf numFmtId="168" fontId="28" fillId="0" borderId="1" xfId="5" applyNumberFormat="1" applyFont="1" applyBorder="1" applyProtection="1">
      <protection locked="0"/>
    </xf>
    <xf numFmtId="0" fontId="29" fillId="0" borderId="0" xfId="5" applyFont="1"/>
    <xf numFmtId="3" fontId="28" fillId="0" borderId="1" xfId="5" applyNumberFormat="1" applyFont="1" applyBorder="1" applyAlignment="1" applyProtection="1">
      <alignment horizontal="center"/>
      <protection locked="0"/>
    </xf>
    <xf numFmtId="1" fontId="29" fillId="0" borderId="1" xfId="5" applyNumberFormat="1" applyFont="1" applyBorder="1" applyAlignment="1">
      <alignment horizontal="center"/>
    </xf>
    <xf numFmtId="9" fontId="29" fillId="0" borderId="1" xfId="4" applyFont="1" applyFill="1" applyBorder="1" applyAlignment="1" applyProtection="1">
      <alignment horizontal="center" vertical="center"/>
    </xf>
    <xf numFmtId="169" fontId="29" fillId="0" borderId="1" xfId="5" applyNumberFormat="1" applyFont="1" applyBorder="1" applyAlignment="1" applyProtection="1">
      <alignment horizontal="center"/>
      <protection locked="0"/>
    </xf>
    <xf numFmtId="0" fontId="27" fillId="0" borderId="0" xfId="5" applyFont="1" applyAlignment="1" applyProtection="1">
      <alignment horizontal="center"/>
      <protection locked="0"/>
    </xf>
    <xf numFmtId="0" fontId="30" fillId="15" borderId="1" xfId="5" applyFont="1" applyFill="1" applyBorder="1" applyProtection="1">
      <protection locked="0"/>
    </xf>
    <xf numFmtId="0" fontId="30" fillId="15" borderId="1" xfId="5" applyFont="1" applyFill="1" applyBorder="1" applyAlignment="1" applyProtection="1">
      <alignment horizontal="center"/>
      <protection locked="0"/>
    </xf>
    <xf numFmtId="0" fontId="26" fillId="0" borderId="0" xfId="0" applyFont="1"/>
    <xf numFmtId="3" fontId="27" fillId="0" borderId="1" xfId="5" applyNumberFormat="1" applyFont="1" applyBorder="1" applyAlignment="1" applyProtection="1">
      <alignment horizontal="center"/>
      <protection locked="0"/>
    </xf>
    <xf numFmtId="0" fontId="27" fillId="0" borderId="1" xfId="5" applyFont="1" applyBorder="1" applyAlignment="1">
      <alignment wrapText="1"/>
    </xf>
    <xf numFmtId="0" fontId="29" fillId="16" borderId="1" xfId="5" applyFont="1" applyFill="1" applyBorder="1"/>
    <xf numFmtId="3" fontId="31" fillId="16" borderId="1" xfId="5" applyNumberFormat="1" applyFont="1" applyFill="1" applyBorder="1" applyAlignment="1">
      <alignment horizontal="center"/>
    </xf>
    <xf numFmtId="3" fontId="28" fillId="0" borderId="1" xfId="5" applyNumberFormat="1" applyFont="1" applyBorder="1" applyAlignment="1">
      <alignment horizontal="center"/>
    </xf>
    <xf numFmtId="0" fontId="29" fillId="0" borderId="1" xfId="5" applyFont="1" applyBorder="1"/>
    <xf numFmtId="3" fontId="31" fillId="0" borderId="1" xfId="5" applyNumberFormat="1" applyFont="1" applyBorder="1" applyAlignment="1">
      <alignment horizontal="center"/>
    </xf>
    <xf numFmtId="0" fontId="2" fillId="0" borderId="0" xfId="0" applyFont="1" applyProtection="1">
      <protection locked="0"/>
    </xf>
    <xf numFmtId="0" fontId="3" fillId="0" borderId="0" xfId="0" applyFont="1" applyAlignment="1" applyProtection="1">
      <alignment horizontal="center"/>
      <protection locked="0"/>
    </xf>
    <xf numFmtId="0" fontId="3" fillId="0" borderId="0" xfId="0" applyFont="1" applyProtection="1">
      <protection locked="0"/>
    </xf>
    <xf numFmtId="164" fontId="3" fillId="0" borderId="0" xfId="0" applyNumberFormat="1" applyFont="1" applyAlignment="1" applyProtection="1">
      <alignment horizontal="center"/>
      <protection locked="0"/>
    </xf>
    <xf numFmtId="1" fontId="3" fillId="0" borderId="0" xfId="0" applyNumberFormat="1" applyFont="1" applyAlignment="1" applyProtection="1">
      <alignment horizontal="center"/>
      <protection locked="0"/>
    </xf>
    <xf numFmtId="3" fontId="3" fillId="0" borderId="0" xfId="0" applyNumberFormat="1" applyFont="1" applyAlignment="1" applyProtection="1">
      <alignment horizontal="center"/>
      <protection locked="0"/>
    </xf>
    <xf numFmtId="0" fontId="32" fillId="0" borderId="9" xfId="7" applyProtection="1">
      <protection locked="0"/>
    </xf>
    <xf numFmtId="0" fontId="32" fillId="0" borderId="9" xfId="7" applyProtection="1">
      <protection hidden="1"/>
    </xf>
    <xf numFmtId="0" fontId="3" fillId="0" borderId="7" xfId="0" applyFont="1" applyBorder="1" applyAlignment="1" applyProtection="1">
      <alignment horizontal="center" wrapText="1"/>
      <protection locked="0"/>
    </xf>
    <xf numFmtId="0" fontId="23" fillId="17" borderId="1" xfId="0" applyFont="1" applyFill="1" applyBorder="1" applyAlignment="1">
      <alignment horizontal="center"/>
    </xf>
    <xf numFmtId="0" fontId="3" fillId="0" borderId="1" xfId="0" applyFont="1" applyBorder="1" applyAlignment="1" applyProtection="1">
      <alignment horizontal="center" wrapText="1"/>
      <protection locked="0"/>
    </xf>
    <xf numFmtId="0" fontId="3" fillId="0" borderId="1" xfId="0" applyFont="1" applyBorder="1" applyAlignment="1">
      <alignment horizontal="center"/>
    </xf>
    <xf numFmtId="1" fontId="3" fillId="0" borderId="1" xfId="1" applyNumberFormat="1" applyFont="1" applyBorder="1" applyAlignment="1" applyProtection="1">
      <alignment horizontal="center" wrapText="1"/>
    </xf>
    <xf numFmtId="3" fontId="3" fillId="0" borderId="0" xfId="0" applyNumberFormat="1" applyFont="1" applyAlignment="1" applyProtection="1">
      <alignment horizontal="center" wrapText="1"/>
      <protection locked="0"/>
    </xf>
    <xf numFmtId="166" fontId="3" fillId="0" borderId="1" xfId="1" applyNumberFormat="1" applyFont="1" applyBorder="1" applyAlignment="1" applyProtection="1">
      <alignment horizontal="center" wrapText="1"/>
      <protection locked="0"/>
    </xf>
    <xf numFmtId="0" fontId="3" fillId="3" borderId="1" xfId="0" applyFont="1" applyFill="1" applyBorder="1" applyAlignment="1" applyProtection="1">
      <alignment horizontal="center" wrapText="1"/>
      <protection locked="0"/>
    </xf>
    <xf numFmtId="0" fontId="20" fillId="0" borderId="0" xfId="3" applyAlignment="1" applyProtection="1">
      <alignment wrapText="1"/>
      <protection locked="0"/>
    </xf>
    <xf numFmtId="0" fontId="33" fillId="0" borderId="1" xfId="8" applyFont="1" applyFill="1" applyBorder="1" applyAlignment="1" applyProtection="1">
      <alignment wrapText="1"/>
      <protection hidden="1"/>
    </xf>
    <xf numFmtId="0" fontId="3" fillId="0" borderId="0" xfId="0" applyFont="1" applyAlignment="1" applyProtection="1">
      <alignment wrapText="1"/>
      <protection hidden="1"/>
    </xf>
    <xf numFmtId="0" fontId="0" fillId="0" borderId="0" xfId="0" applyAlignment="1" applyProtection="1">
      <alignment wrapText="1"/>
      <protection hidden="1"/>
    </xf>
    <xf numFmtId="3" fontId="0" fillId="0" borderId="0" xfId="0" applyNumberFormat="1" applyAlignment="1" applyProtection="1">
      <alignment wrapText="1"/>
      <protection locked="0"/>
    </xf>
    <xf numFmtId="0" fontId="0" fillId="3" borderId="1" xfId="0" applyFill="1" applyBorder="1" applyAlignment="1" applyProtection="1">
      <alignment horizontal="center" wrapText="1"/>
      <protection locked="0"/>
    </xf>
    <xf numFmtId="1" fontId="0" fillId="0" borderId="1" xfId="1" applyNumberFormat="1" applyFont="1" applyBorder="1" applyAlignment="1" applyProtection="1">
      <alignment horizontal="center" wrapText="1"/>
    </xf>
    <xf numFmtId="0" fontId="0" fillId="0" borderId="1" xfId="0" applyBorder="1" applyAlignment="1" applyProtection="1">
      <alignment horizontal="center" wrapText="1"/>
      <protection locked="0"/>
    </xf>
    <xf numFmtId="0" fontId="20" fillId="3" borderId="1" xfId="3" applyFill="1" applyBorder="1" applyAlignment="1" applyProtection="1">
      <alignment wrapText="1"/>
      <protection locked="0"/>
    </xf>
    <xf numFmtId="0" fontId="33" fillId="0" borderId="1" xfId="8" applyNumberFormat="1" applyFont="1" applyFill="1" applyBorder="1" applyAlignment="1" applyProtection="1">
      <alignment wrapText="1"/>
      <protection hidden="1"/>
    </xf>
    <xf numFmtId="0" fontId="0" fillId="0" borderId="11" xfId="0" applyBorder="1" applyAlignment="1" applyProtection="1">
      <alignment wrapText="1"/>
      <protection hidden="1"/>
    </xf>
    <xf numFmtId="0" fontId="0" fillId="0" borderId="7" xfId="0" applyBorder="1" applyAlignment="1" applyProtection="1">
      <alignment horizontal="center" wrapText="1"/>
      <protection locked="0"/>
    </xf>
    <xf numFmtId="17" fontId="0" fillId="0" borderId="1" xfId="1" applyNumberFormat="1" applyFont="1" applyBorder="1" applyAlignment="1" applyProtection="1">
      <alignment horizontal="center" wrapText="1"/>
    </xf>
    <xf numFmtId="0" fontId="3" fillId="3" borderId="1" xfId="0" applyFont="1" applyFill="1" applyBorder="1" applyAlignment="1">
      <alignment horizontal="center"/>
    </xf>
    <xf numFmtId="0" fontId="0" fillId="2" borderId="0" xfId="0" applyFill="1"/>
    <xf numFmtId="0" fontId="0" fillId="2" borderId="0" xfId="0" applyFill="1" applyAlignment="1">
      <alignment horizontal="left"/>
    </xf>
    <xf numFmtId="0" fontId="0" fillId="3" borderId="0" xfId="0" applyFill="1" applyAlignment="1">
      <alignment horizontal="left"/>
    </xf>
    <xf numFmtId="0" fontId="22" fillId="2" borderId="1" xfId="0" applyFont="1" applyFill="1" applyBorder="1" applyAlignment="1">
      <alignment horizontal="center" vertical="center" wrapText="1"/>
    </xf>
    <xf numFmtId="0" fontId="23" fillId="9" borderId="1" xfId="0" applyFont="1" applyFill="1" applyBorder="1" applyAlignment="1">
      <alignment horizontal="left" vertical="center" wrapText="1"/>
    </xf>
    <xf numFmtId="0" fontId="23" fillId="9" borderId="1" xfId="0" applyFont="1" applyFill="1" applyBorder="1" applyAlignment="1">
      <alignment horizontal="center" wrapText="1"/>
    </xf>
    <xf numFmtId="0" fontId="23" fillId="11" borderId="1" xfId="0" applyFont="1" applyFill="1" applyBorder="1" applyAlignment="1">
      <alignment horizontal="center" wrapText="1"/>
    </xf>
    <xf numFmtId="0" fontId="23" fillId="12" borderId="1" xfId="0" applyFont="1" applyFill="1" applyBorder="1" applyAlignment="1">
      <alignment horizontal="center" wrapText="1"/>
    </xf>
    <xf numFmtId="0" fontId="23" fillId="13" borderId="1" xfId="0" applyFont="1" applyFill="1" applyBorder="1" applyAlignment="1">
      <alignment horizontal="center" wrapText="1"/>
    </xf>
    <xf numFmtId="0" fontId="24" fillId="3" borderId="1" xfId="0" applyFont="1" applyFill="1" applyBorder="1" applyAlignment="1">
      <alignment horizontal="left" vertical="center" wrapText="1"/>
    </xf>
    <xf numFmtId="0" fontId="23" fillId="14" borderId="1" xfId="0" applyFont="1" applyFill="1" applyBorder="1" applyAlignment="1">
      <alignment horizontal="center" wrapText="1"/>
    </xf>
    <xf numFmtId="0" fontId="0" fillId="0" borderId="1" xfId="0" applyBorder="1" applyAlignment="1">
      <alignment vertical="center" wrapText="1"/>
    </xf>
    <xf numFmtId="168" fontId="28" fillId="18" borderId="1" xfId="5" applyNumberFormat="1" applyFont="1" applyFill="1" applyBorder="1" applyProtection="1">
      <protection locked="0"/>
    </xf>
    <xf numFmtId="164" fontId="0" fillId="0" borderId="1" xfId="0" applyNumberFormat="1" applyBorder="1" applyAlignment="1" applyProtection="1">
      <alignment horizontal="center"/>
      <protection locked="0"/>
    </xf>
    <xf numFmtId="170" fontId="23" fillId="9" borderId="1" xfId="1" applyNumberFormat="1" applyFont="1" applyFill="1" applyBorder="1" applyAlignment="1">
      <alignment horizontal="center" vertical="center" wrapText="1"/>
    </xf>
    <xf numFmtId="170" fontId="21" fillId="9" borderId="1" xfId="1" applyNumberFormat="1" applyFont="1" applyFill="1" applyBorder="1" applyAlignment="1">
      <alignment horizontal="center" vertical="center" wrapText="1"/>
    </xf>
    <xf numFmtId="170" fontId="24" fillId="3" borderId="1" xfId="1" applyNumberFormat="1" applyFont="1" applyFill="1" applyBorder="1" applyAlignment="1">
      <alignment horizontal="center" vertical="center" wrapText="1"/>
    </xf>
    <xf numFmtId="3" fontId="9" fillId="0" borderId="1" xfId="2" applyNumberFormat="1" applyFont="1" applyBorder="1" applyAlignment="1">
      <alignment horizontal="center" vertical="center" wrapText="1" readingOrder="1"/>
    </xf>
    <xf numFmtId="0" fontId="1" fillId="2" borderId="8" xfId="0" applyFont="1" applyFill="1" applyBorder="1" applyAlignment="1" applyProtection="1">
      <alignment horizontal="center" vertical="center" wrapText="1"/>
      <protection locked="0"/>
    </xf>
    <xf numFmtId="0" fontId="1" fillId="2" borderId="5" xfId="0" applyFont="1" applyFill="1" applyBorder="1" applyAlignment="1" applyProtection="1">
      <alignment horizontal="center" vertical="center" wrapText="1"/>
      <protection locked="0"/>
    </xf>
    <xf numFmtId="164" fontId="1" fillId="2" borderId="5" xfId="0" applyNumberFormat="1" applyFont="1" applyFill="1" applyBorder="1" applyAlignment="1" applyProtection="1">
      <alignment horizontal="center" vertical="center" wrapText="1"/>
      <protection locked="0"/>
    </xf>
    <xf numFmtId="1" fontId="1" fillId="2" borderId="5" xfId="0" applyNumberFormat="1" applyFont="1" applyFill="1" applyBorder="1" applyAlignment="1" applyProtection="1">
      <alignment horizontal="center" vertical="center" wrapText="1"/>
      <protection locked="0"/>
    </xf>
    <xf numFmtId="3" fontId="1" fillId="2" borderId="5" xfId="0" applyNumberFormat="1" applyFont="1" applyFill="1" applyBorder="1" applyAlignment="1" applyProtection="1">
      <alignment horizontal="center" vertical="center" wrapText="1"/>
      <protection locked="0"/>
    </xf>
    <xf numFmtId="0" fontId="1" fillId="2" borderId="5" xfId="0" applyFont="1" applyFill="1" applyBorder="1" applyAlignment="1" applyProtection="1">
      <alignment vertical="center" wrapText="1"/>
      <protection locked="0"/>
    </xf>
    <xf numFmtId="0" fontId="1" fillId="2" borderId="10" xfId="0" applyFont="1" applyFill="1" applyBorder="1" applyAlignment="1" applyProtection="1">
      <alignment horizontal="center" vertical="center" wrapText="1"/>
      <protection locked="0"/>
    </xf>
    <xf numFmtId="3" fontId="1" fillId="2" borderId="1" xfId="0" applyNumberFormat="1" applyFont="1" applyFill="1" applyBorder="1" applyAlignment="1" applyProtection="1">
      <alignment horizontal="center" vertical="center" wrapText="1"/>
      <protection locked="0"/>
    </xf>
    <xf numFmtId="3" fontId="1" fillId="2" borderId="8" xfId="0" applyNumberFormat="1" applyFont="1" applyFill="1" applyBorder="1" applyAlignment="1" applyProtection="1">
      <alignment horizontal="center" vertical="center" wrapText="1"/>
      <protection locked="0"/>
    </xf>
    <xf numFmtId="0" fontId="3" fillId="0" borderId="0" xfId="0" applyFont="1" applyAlignment="1" applyProtection="1">
      <alignment vertical="center"/>
      <protection locked="0"/>
    </xf>
    <xf numFmtId="0" fontId="10" fillId="8" borderId="1" xfId="2" applyFont="1" applyFill="1" applyBorder="1" applyAlignment="1">
      <alignment horizontal="left" vertical="center" wrapText="1"/>
    </xf>
    <xf numFmtId="0" fontId="0" fillId="0" borderId="0" xfId="0" applyAlignment="1">
      <alignment vertical="center"/>
    </xf>
    <xf numFmtId="164" fontId="8" fillId="0" borderId="1" xfId="2" applyNumberFormat="1" applyFont="1" applyBorder="1" applyAlignment="1">
      <alignment horizontal="center" vertical="top" wrapText="1" readingOrder="1"/>
    </xf>
    <xf numFmtId="0" fontId="0" fillId="2" borderId="0" xfId="0" applyFill="1" applyAlignment="1">
      <alignment horizontal="center"/>
    </xf>
    <xf numFmtId="3" fontId="9" fillId="8" borderId="1" xfId="2" applyNumberFormat="1" applyFont="1" applyFill="1" applyBorder="1" applyAlignment="1">
      <alignment horizontal="center" vertical="center" wrapText="1"/>
    </xf>
    <xf numFmtId="9" fontId="8" fillId="0" borderId="1" xfId="4" applyFont="1" applyBorder="1" applyAlignment="1">
      <alignment horizontal="center" vertical="top" wrapText="1" readingOrder="1"/>
    </xf>
    <xf numFmtId="3" fontId="27" fillId="0" borderId="1" xfId="5" applyNumberFormat="1" applyFont="1" applyBorder="1" applyAlignment="1">
      <alignment horizontal="center" vertical="center"/>
    </xf>
    <xf numFmtId="0" fontId="29" fillId="3" borderId="1" xfId="5" applyFont="1" applyFill="1" applyBorder="1"/>
    <xf numFmtId="3" fontId="29" fillId="3" borderId="1" xfId="5" applyNumberFormat="1" applyFont="1" applyFill="1" applyBorder="1" applyAlignment="1">
      <alignment horizontal="center" vertical="center"/>
    </xf>
    <xf numFmtId="0" fontId="0" fillId="3" borderId="0" xfId="0" applyFill="1" applyAlignment="1">
      <alignment horizontal="center"/>
    </xf>
    <xf numFmtId="0" fontId="12" fillId="10" borderId="1" xfId="2" applyFont="1" applyFill="1" applyBorder="1" applyAlignment="1">
      <alignment horizontal="center" vertical="center" wrapText="1"/>
    </xf>
    <xf numFmtId="0" fontId="11" fillId="0" borderId="1" xfId="2" applyFont="1" applyBorder="1" applyAlignment="1">
      <alignment horizontal="center" vertical="center" wrapText="1"/>
    </xf>
    <xf numFmtId="0" fontId="19" fillId="8" borderId="1" xfId="2" applyFont="1" applyFill="1" applyBorder="1" applyAlignment="1">
      <alignment horizontal="center" vertical="center" wrapText="1"/>
    </xf>
    <xf numFmtId="0" fontId="11" fillId="8" borderId="1" xfId="2" applyFont="1" applyFill="1" applyBorder="1" applyAlignment="1">
      <alignment horizontal="center" vertical="center" wrapText="1"/>
    </xf>
    <xf numFmtId="0" fontId="19" fillId="0" borderId="1" xfId="0" applyFont="1" applyBorder="1" applyAlignment="1">
      <alignment horizontal="center" vertical="center" wrapText="1"/>
    </xf>
    <xf numFmtId="3" fontId="9" fillId="8" borderId="1" xfId="1" applyNumberFormat="1" applyFont="1" applyFill="1" applyBorder="1" applyAlignment="1">
      <alignment horizontal="center" vertical="top" wrapText="1" readingOrder="1"/>
    </xf>
    <xf numFmtId="9" fontId="8" fillId="8" borderId="1" xfId="2" applyNumberFormat="1" applyFont="1" applyFill="1" applyBorder="1" applyAlignment="1">
      <alignment horizontal="center" vertical="top" wrapText="1" readingOrder="1"/>
    </xf>
    <xf numFmtId="170" fontId="8" fillId="8" borderId="1" xfId="1" applyNumberFormat="1" applyFont="1" applyFill="1" applyBorder="1" applyAlignment="1">
      <alignment horizontal="center" vertical="top" wrapText="1" readingOrder="1"/>
    </xf>
    <xf numFmtId="0" fontId="0" fillId="0" borderId="1" xfId="0" applyBorder="1" applyAlignment="1">
      <alignment horizontal="center" vertical="center"/>
    </xf>
    <xf numFmtId="16" fontId="9" fillId="0" borderId="1" xfId="0" applyNumberFormat="1" applyFont="1" applyBorder="1" applyAlignment="1">
      <alignment horizontal="center" vertical="center" wrapText="1"/>
    </xf>
    <xf numFmtId="9" fontId="9" fillId="0" borderId="1" xfId="0" applyNumberFormat="1" applyFont="1" applyBorder="1" applyAlignment="1">
      <alignment horizontal="center" vertical="center"/>
    </xf>
    <xf numFmtId="9" fontId="9" fillId="0" borderId="1" xfId="0" applyNumberFormat="1" applyFont="1" applyBorder="1" applyAlignment="1">
      <alignment horizontal="center" vertical="center" wrapText="1"/>
    </xf>
    <xf numFmtId="0" fontId="17" fillId="3" borderId="1" xfId="0" applyFont="1" applyFill="1" applyBorder="1" applyAlignment="1">
      <alignment horizontal="center" vertical="center" wrapText="1"/>
    </xf>
    <xf numFmtId="0" fontId="9" fillId="0" borderId="1" xfId="0" applyFont="1" applyBorder="1" applyAlignment="1">
      <alignment horizontal="center" vertical="center"/>
    </xf>
    <xf numFmtId="0" fontId="12" fillId="10" borderId="1" xfId="2" applyFont="1" applyFill="1" applyBorder="1" applyAlignment="1">
      <alignment horizontal="center" vertical="center" wrapText="1"/>
    </xf>
    <xf numFmtId="0" fontId="9" fillId="0" borderId="1" xfId="0" applyFont="1" applyBorder="1" applyAlignment="1">
      <alignment horizontal="center" vertical="center" wrapText="1"/>
    </xf>
    <xf numFmtId="0" fontId="9" fillId="8" borderId="1" xfId="2" applyFont="1" applyFill="1" applyBorder="1" applyAlignment="1">
      <alignment horizontal="center" vertical="center" wrapText="1"/>
    </xf>
    <xf numFmtId="0" fontId="12" fillId="10" borderId="1" xfId="2" applyFont="1" applyFill="1" applyBorder="1" applyAlignment="1">
      <alignment horizontal="center" vertical="center"/>
    </xf>
    <xf numFmtId="0" fontId="11" fillId="8" borderId="1" xfId="2" applyFont="1" applyFill="1" applyBorder="1" applyAlignment="1">
      <alignment horizontal="center" vertical="center" wrapText="1"/>
    </xf>
    <xf numFmtId="0" fontId="13" fillId="2" borderId="1" xfId="0" applyFont="1" applyFill="1" applyBorder="1" applyAlignment="1">
      <alignment horizontal="center" vertical="top"/>
    </xf>
    <xf numFmtId="0" fontId="1" fillId="2" borderId="1" xfId="0" applyFont="1" applyFill="1" applyBorder="1" applyAlignment="1">
      <alignment horizontal="center" vertical="center" wrapText="1"/>
    </xf>
    <xf numFmtId="0" fontId="8" fillId="8" borderId="1" xfId="2" applyFont="1" applyFill="1" applyBorder="1" applyAlignment="1">
      <alignment vertical="top" wrapText="1" readingOrder="1"/>
    </xf>
    <xf numFmtId="0" fontId="9" fillId="8" borderId="1" xfId="2" applyFont="1" applyFill="1" applyBorder="1" applyAlignment="1">
      <alignment vertical="top" wrapText="1" readingOrder="1"/>
    </xf>
    <xf numFmtId="164" fontId="9" fillId="8" borderId="1" xfId="2" applyNumberFormat="1" applyFont="1" applyFill="1" applyBorder="1" applyAlignment="1">
      <alignment horizontal="left" vertical="top" wrapText="1" readingOrder="1"/>
    </xf>
    <xf numFmtId="167" fontId="9" fillId="8" borderId="1" xfId="2" applyNumberFormat="1" applyFont="1" applyFill="1" applyBorder="1" applyAlignment="1">
      <alignment horizontal="left" vertical="top" wrapText="1" readingOrder="1"/>
    </xf>
    <xf numFmtId="3" fontId="11" fillId="8" borderId="1" xfId="2" applyNumberFormat="1" applyFont="1" applyFill="1" applyBorder="1" applyAlignment="1">
      <alignment horizontal="center" vertical="center" wrapText="1"/>
    </xf>
    <xf numFmtId="0" fontId="2" fillId="3" borderId="1" xfId="0" applyFont="1" applyFill="1" applyBorder="1" applyAlignment="1">
      <alignment horizontal="center" vertical="center" wrapText="1"/>
    </xf>
    <xf numFmtId="0" fontId="19" fillId="0" borderId="1" xfId="0" applyFont="1" applyBorder="1" applyAlignment="1">
      <alignment horizontal="center" vertical="center" wrapText="1"/>
    </xf>
    <xf numFmtId="0" fontId="11" fillId="0" borderId="1" xfId="2" applyFont="1" applyBorder="1" applyAlignment="1">
      <alignment horizontal="center" vertical="center" wrapText="1"/>
    </xf>
    <xf numFmtId="0" fontId="0" fillId="0" borderId="1" xfId="0" applyBorder="1" applyAlignment="1">
      <alignment horizontal="center" vertical="center" wrapText="1"/>
    </xf>
    <xf numFmtId="49" fontId="12" fillId="10" borderId="1" xfId="2" applyNumberFormat="1" applyFont="1" applyFill="1" applyBorder="1" applyAlignment="1">
      <alignment horizontal="center" vertical="center" wrapText="1"/>
    </xf>
    <xf numFmtId="0" fontId="5" fillId="5" borderId="2" xfId="0" applyFont="1" applyFill="1" applyBorder="1" applyAlignment="1">
      <alignment horizontal="center" vertical="center"/>
    </xf>
    <xf numFmtId="0" fontId="5" fillId="5" borderId="3" xfId="0" applyFont="1" applyFill="1" applyBorder="1" applyAlignment="1">
      <alignment horizontal="center" vertical="center"/>
    </xf>
    <xf numFmtId="0" fontId="25" fillId="2" borderId="0" xfId="0" applyFont="1" applyFill="1" applyAlignment="1">
      <alignment horizontal="center"/>
    </xf>
    <xf numFmtId="0" fontId="2" fillId="3" borderId="2" xfId="0" applyFont="1" applyFill="1" applyBorder="1" applyAlignment="1">
      <alignment horizontal="center"/>
    </xf>
    <xf numFmtId="0" fontId="2" fillId="3" borderId="3" xfId="0" applyFont="1" applyFill="1" applyBorder="1" applyAlignment="1">
      <alignment horizontal="center"/>
    </xf>
    <xf numFmtId="0" fontId="2" fillId="3" borderId="6" xfId="0" applyFont="1" applyFill="1" applyBorder="1" applyAlignment="1">
      <alignment horizontal="center"/>
    </xf>
  </cellXfs>
  <cellStyles count="9">
    <cellStyle name="Comma" xfId="1" builtinId="3"/>
    <cellStyle name="Comma 2" xfId="6" xr:uid="{9C4333FB-95AC-4B4F-910F-CE3EE74D751A}"/>
    <cellStyle name="Excel Built-in Normal 1" xfId="5" xr:uid="{6889B71C-576E-46AF-A9B4-8D28B3B5D58F}"/>
    <cellStyle name="Heading 1" xfId="7" builtinId="16"/>
    <cellStyle name="Hyperlink 2" xfId="3" xr:uid="{B48BCC6C-E7E8-4ACF-AD29-96883491654C}"/>
    <cellStyle name="Normal" xfId="0" builtinId="0"/>
    <cellStyle name="Normal 15" xfId="2" xr:uid="{FF1271A6-CF9E-478B-864A-21B556266F02}"/>
    <cellStyle name="Percent" xfId="4" builtinId="5"/>
    <cellStyle name="Warning Text" xfId="8" builtinId="11"/>
  </cellStyles>
  <dxfs count="50">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alignment horizontal="center"/>
    </dxf>
    <dxf>
      <alignment horizontal="center"/>
    </dxf>
    <dxf>
      <alignment horizontal="center"/>
    </dxf>
    <dxf>
      <alignment horizontal="center"/>
    </dxf>
    <dxf>
      <alignment horizontal="center"/>
    </dxf>
    <dxf>
      <fill>
        <patternFill patternType="solid">
          <bgColor rgb="FFD9F3ED"/>
        </patternFill>
      </fill>
    </dxf>
    <dxf>
      <fill>
        <patternFill patternType="solid">
          <bgColor rgb="FFD9F3ED"/>
        </patternFill>
      </fill>
    </dxf>
    <dxf>
      <fill>
        <patternFill patternType="solid">
          <bgColor rgb="FF51C5A9"/>
        </patternFill>
      </fill>
    </dxf>
    <dxf>
      <fill>
        <patternFill patternType="solid">
          <bgColor rgb="FF51C5A9"/>
        </patternFill>
      </fill>
    </dxf>
    <dxf>
      <fill>
        <patternFill patternType="solid">
          <bgColor rgb="FF51C5A9"/>
        </patternFill>
      </fill>
    </dxf>
    <dxf>
      <fill>
        <patternFill patternType="solid">
          <bgColor rgb="FF51C5A9"/>
        </patternFill>
      </fill>
    </dxf>
    <dxf>
      <fill>
        <patternFill patternType="solid">
          <bgColor rgb="FF51C5A9"/>
        </patternFill>
      </fill>
    </dxf>
    <dxf>
      <fill>
        <patternFill patternType="solid">
          <bgColor rgb="FF51C5A9"/>
        </patternFill>
      </fill>
    </dxf>
    <dxf>
      <fill>
        <patternFill patternType="solid">
          <bgColor rgb="FF51C5A9"/>
        </patternFill>
      </fill>
    </dxf>
    <dxf>
      <fill>
        <patternFill patternType="solid">
          <bgColor rgb="FF51C5A9"/>
        </patternFill>
      </fill>
    </dxf>
    <dxf>
      <font>
        <b val="0"/>
        <i val="0"/>
        <strike val="0"/>
        <condense val="0"/>
        <extend val="0"/>
        <outline val="0"/>
        <shadow val="0"/>
        <u val="none"/>
        <vertAlign val="baseline"/>
        <sz val="11"/>
        <color theme="1"/>
        <name val="Calibri"/>
        <family val="2"/>
        <scheme val="minor"/>
      </font>
      <numFmt numFmtId="3" formatCode="#,##0"/>
      <alignment vertical="bottom" textRotation="0" wrapText="1" indent="0" justifyLastLine="0" shrinkToFit="0" readingOrder="0"/>
      <protection locked="0" hidden="0"/>
    </dxf>
    <dxf>
      <numFmt numFmtId="0" formatCode="General"/>
      <alignment horizontal="general" vertical="bottom" textRotation="0" wrapText="1" indent="0" justifyLastLine="0" shrinkToFit="0" readingOrder="0"/>
      <protection locked="1" hidden="1"/>
    </dxf>
    <dxf>
      <font>
        <b val="0"/>
        <i val="0"/>
        <strike val="0"/>
        <condense val="0"/>
        <extend val="0"/>
        <outline val="0"/>
        <shadow val="0"/>
        <u val="none"/>
        <vertAlign val="baseline"/>
        <sz val="11"/>
        <color theme="1"/>
        <name val="Calibri"/>
        <family val="2"/>
        <scheme val="minor"/>
      </font>
      <numFmt numFmtId="0" formatCode="General"/>
      <alignment vertical="bottom" textRotation="0" wrapText="1" indent="0" justifyLastLine="0" shrinkToFit="0" readingOrder="0"/>
      <protection locked="1" hidden="1"/>
    </dxf>
    <dxf>
      <font>
        <b val="0"/>
        <i val="0"/>
        <strike val="0"/>
        <condense val="0"/>
        <extend val="0"/>
        <outline val="0"/>
        <shadow val="0"/>
        <u val="none"/>
        <vertAlign val="baseline"/>
        <sz val="11"/>
        <color theme="1"/>
        <name val="Calibri"/>
        <family val="2"/>
        <scheme val="minor"/>
      </font>
      <numFmt numFmtId="0" formatCode="General"/>
      <alignment horizontal="general" vertical="bottom" textRotation="0" wrapText="1" indent="0" justifyLastLine="0" shrinkToFit="0" readingOrder="0"/>
      <protection locked="1" hidden="1"/>
    </dxf>
    <dxf>
      <font>
        <b val="0"/>
        <i val="0"/>
        <strike val="0"/>
        <condense val="0"/>
        <extend val="0"/>
        <outline val="0"/>
        <shadow val="0"/>
        <u val="none"/>
        <vertAlign val="baseline"/>
        <sz val="11"/>
        <color theme="1"/>
        <name val="Calibri"/>
        <family val="2"/>
        <scheme val="minor"/>
      </font>
      <numFmt numFmtId="0" formatCode="General"/>
      <alignment vertical="bottom" textRotation="0" wrapText="1" indent="0" justifyLastLine="0" shrinkToFit="0" readingOrder="0"/>
      <protection locked="1" hidden="1"/>
    </dxf>
    <dxf>
      <font>
        <b val="0"/>
        <i val="0"/>
        <strike val="0"/>
        <condense val="0"/>
        <extend val="0"/>
        <outline val="0"/>
        <shadow val="0"/>
        <u val="none"/>
        <vertAlign val="baseline"/>
        <sz val="11"/>
        <color theme="1"/>
        <name val="Calibri"/>
        <family val="2"/>
        <scheme val="minor"/>
      </font>
      <numFmt numFmtId="0" formatCode="General"/>
      <alignment vertical="bottom" textRotation="0" wrapText="1" indent="0" justifyLastLine="0" shrinkToFit="0" readingOrder="0"/>
      <protection locked="1" hidden="1"/>
    </dxf>
    <dxf>
      <font>
        <b val="0"/>
        <i val="0"/>
        <strike val="0"/>
        <condense val="0"/>
        <extend val="0"/>
        <outline val="0"/>
        <shadow val="0"/>
        <u val="none"/>
        <vertAlign val="baseline"/>
        <sz val="11"/>
        <color theme="1"/>
        <name val="Calibri"/>
        <family val="2"/>
        <scheme val="minor"/>
      </font>
      <numFmt numFmtId="0" formatCode="General"/>
      <alignment vertical="bottom" textRotation="0" wrapText="1" indent="0" justifyLastLine="0" shrinkToFit="0" readingOrder="0"/>
      <protection locked="1" hidden="1"/>
    </dxf>
    <dxf>
      <font>
        <b val="0"/>
        <i val="0"/>
        <strike val="0"/>
        <condense val="0"/>
        <extend val="0"/>
        <outline val="0"/>
        <shadow val="0"/>
        <u val="none"/>
        <vertAlign val="baseline"/>
        <sz val="11"/>
        <color theme="1"/>
        <name val="Calibri"/>
        <family val="2"/>
        <scheme val="minor"/>
      </font>
      <numFmt numFmtId="0" formatCode="General"/>
      <alignment vertical="bottom" textRotation="0" wrapText="1" indent="0" justifyLastLine="0" shrinkToFit="0" readingOrder="0"/>
      <protection locked="1" hidden="1"/>
    </dxf>
    <dxf>
      <font>
        <b val="0"/>
        <i val="0"/>
        <strike val="0"/>
        <condense val="0"/>
        <extend val="0"/>
        <outline val="0"/>
        <shadow val="0"/>
        <u val="none"/>
        <vertAlign val="baseline"/>
        <sz val="11"/>
        <color theme="1"/>
        <name val="Calibri"/>
        <family val="2"/>
        <scheme val="minor"/>
      </font>
      <numFmt numFmtId="0" formatCode="General"/>
      <alignment horizontal="general" vertical="bottom" textRotation="0" wrapText="1" indent="0" justifyLastLine="0" shrinkToFit="0" readingOrder="0"/>
      <protection locked="1" hidden="1"/>
    </dxf>
    <dxf>
      <font>
        <b val="0"/>
        <i val="0"/>
        <strike val="0"/>
        <condense val="0"/>
        <extend val="0"/>
        <outline val="0"/>
        <shadow val="0"/>
        <u val="none"/>
        <vertAlign val="baseline"/>
        <sz val="11"/>
        <color theme="1"/>
        <name val="Calibri"/>
        <family val="2"/>
        <scheme val="minor"/>
      </font>
      <numFmt numFmtId="0" formatCode="General"/>
      <alignment vertical="bottom" textRotation="0" wrapText="1" indent="0" justifyLastLine="0" shrinkToFit="0" readingOrder="0"/>
      <border outline="0">
        <left style="thin">
          <color indexed="64"/>
        </left>
        <right/>
      </border>
      <protection locked="1" hidden="1"/>
    </dxf>
    <dxf>
      <font>
        <strike val="0"/>
        <outline val="0"/>
        <shadow val="0"/>
        <u val="none"/>
        <vertAlign val="baseline"/>
        <sz val="10"/>
        <color rgb="FFFF0000"/>
        <name val="Calibri"/>
        <family val="2"/>
        <scheme val="minor"/>
      </font>
      <numFmt numFmtId="0" formatCode="General"/>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1"/>
    </dxf>
    <dxf>
      <fill>
        <patternFill patternType="solid">
          <fgColor indexed="64"/>
          <bgColor rgb="FFD9F3ED"/>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minor"/>
      </font>
      <fill>
        <patternFill patternType="solid">
          <fgColor indexed="64"/>
          <bgColor rgb="FFD9F3ED"/>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minor"/>
      </font>
      <numFmt numFmtId="166" formatCode="_ * #,##0_ ;_ * \-#,##0_ ;_ * &quot;-&quot;??_ ;_ @_ "/>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theme="1"/>
        <name val="Calibri"/>
        <family val="2"/>
        <scheme val="minor"/>
      </font>
      <numFmt numFmtId="3" formatCode="#,##0"/>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minor"/>
      </font>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minor"/>
      </font>
      <numFmt numFmtId="22" formatCode="mmm/yy"/>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theme="1"/>
        <name val="Calibri"/>
        <family val="2"/>
        <scheme val="minor"/>
      </font>
      <numFmt numFmtId="1" formatCode="0"/>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theme="1"/>
        <name val="Calibri"/>
        <family val="2"/>
        <scheme val="minor"/>
      </font>
      <numFmt numFmtId="164" formatCode="dd/m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theme="1"/>
        <name val="Calibri"/>
        <family val="2"/>
        <scheme val="minor"/>
      </font>
      <fill>
        <patternFill patternType="solid">
          <fgColor indexed="64"/>
          <bgColor rgb="FFD9F3ED"/>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rgb="FF000000"/>
        <name val="Calibri"/>
        <family val="2"/>
        <scheme val="minor"/>
      </font>
      <fill>
        <patternFill patternType="solid">
          <fgColor rgb="FF000000"/>
          <bgColor rgb="FFD9F3ED"/>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theme="1"/>
        <name val="Calibri"/>
        <family val="2"/>
        <scheme val="minor"/>
      </font>
      <alignment horizontal="center" vertical="bottom" textRotation="0" wrapText="1"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numFmt numFmtId="3" formatCode="#,##0"/>
      <alignment vertical="bottom" textRotation="0" wrapText="1" indent="0" justifyLastLine="0" shrinkToFit="0" readingOrder="0"/>
      <protection locked="0" hidden="0"/>
    </dxf>
    <dxf>
      <border outline="0">
        <bottom style="thin">
          <color indexed="64"/>
        </bottom>
      </border>
    </dxf>
    <dxf>
      <font>
        <b/>
        <i val="0"/>
        <strike val="0"/>
        <condense val="0"/>
        <extend val="0"/>
        <outline val="0"/>
        <shadow val="0"/>
        <u val="none"/>
        <vertAlign val="baseline"/>
        <sz val="11"/>
        <color theme="0"/>
        <name val="Calibri"/>
        <family val="2"/>
        <scheme val="minor"/>
      </font>
      <numFmt numFmtId="3" formatCode="#,##0"/>
      <fill>
        <patternFill patternType="solid">
          <fgColor indexed="64"/>
          <bgColor rgb="FF51C5A9"/>
        </patternFill>
      </fill>
      <alignment horizontal="center" vertical="center" textRotation="0" wrapText="1" indent="0" justifyLastLine="0" shrinkToFit="0" readingOrder="0"/>
      <border diagonalUp="0" diagonalDown="0" outline="0">
        <left style="thin">
          <color indexed="64"/>
        </left>
        <right style="thin">
          <color indexed="64"/>
        </right>
        <top/>
        <bottom/>
      </border>
      <protection locked="0" hidden="0"/>
    </dxf>
  </dxfs>
  <tableStyles count="0" defaultTableStyle="TableStyleMedium2" defaultPivotStyle="PivotStyleLight16"/>
  <colors>
    <mruColors>
      <color rgb="FFD9F3ED"/>
      <color rgb="FF51C5A9"/>
      <color rgb="FF357C9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externalLink" Target="externalLinks/externalLink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8</xdr:col>
          <xdr:colOff>69850</xdr:colOff>
          <xdr:row>0</xdr:row>
          <xdr:rowOff>69850</xdr:rowOff>
        </xdr:from>
        <xdr:to>
          <xdr:col>8</xdr:col>
          <xdr:colOff>1860550</xdr:colOff>
          <xdr:row>0</xdr:row>
          <xdr:rowOff>450850</xdr:rowOff>
        </xdr:to>
        <xdr:sp macro="" textlink="">
          <xdr:nvSpPr>
            <xdr:cNvPr id="1025" name="Button 1" hidden="1">
              <a:extLst>
                <a:ext uri="{63B3BB69-23CF-44E3-9099-C40C66FF867C}">
                  <a14:compatExt spid="_x0000_s1025"/>
                </a:ext>
                <a:ext uri="{FF2B5EF4-FFF2-40B4-BE49-F238E27FC236}">
                  <a16:creationId xmlns:a16="http://schemas.microsoft.com/office/drawing/2014/main" id="{00000000-0008-0000-0300-00000104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US" sz="1100" b="0" i="0" u="none" strike="noStrike" baseline="0">
                  <a:solidFill>
                    <a:srgbClr val="000000"/>
                  </a:solidFill>
                  <a:latin typeface="Calibri"/>
                  <a:ea typeface="Calibri"/>
                  <a:cs typeface="Calibri"/>
                </a:rPr>
                <a:t>Convert relationship titles</a:t>
              </a:r>
            </a:p>
          </xdr:txBody>
        </xdr:sp>
        <xdr:clientData fPrintsWithSheet="0"/>
      </xdr:twoCellAnchor>
    </mc:Choice>
    <mc:Fallback/>
  </mc:AlternateContent>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cuments%20from%20Employer/RFQ/HS_DV_Template_01%20Sept%202021.xlsm" TargetMode="External"/><Relationship Id="rId2" Type="http://schemas.openxmlformats.org/officeDocument/2006/relationships/externalLinkPath" Target="https://healthysurein.sharepoint.com/sites/HealthySureGroup/HealthySure/HealthySure/Employee%20Benefits%20Platform/Documents%20from%20Employer/RFQ/HS_DV_Template_01%20Sept%202021.xlsm" TargetMode="External"/><Relationship Id="rId1" Type="http://schemas.openxmlformats.org/officeDocument/2006/relationships/externalLinkPath" Target="/sites/HealthySureGroup/HealthySure/HealthySure/Employee%20Benefits%20Platform/Documents%20from%20Employer/RFQ/HS_DV_Template_01%20Sept%20202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XkNxVp4ZVUmrO1O4I3TvbAtZRysY109Hp7MQtElZc4z3tfbtQtPySYbnFrFn2xkP" itemId="01GV5LYG3U4HJV7IQR3ZB2VFXMDQD56CAQ">
      <xxl21:absoluteUrl r:id="rId2"/>
      <xxl21:relativeUrl r:id="rId3"/>
    </xxl21:alternateUrls>
    <sheetNames>
      <sheetName val="Employee_Data"/>
      <sheetName val="Count"/>
      <sheetName val="Valid"/>
      <sheetName val="HS_DV_Template_01 Sept 2021"/>
    </sheetNames>
    <sheetDataSet>
      <sheetData sheetId="0" refreshError="1"/>
      <sheetData sheetId="1" refreshError="1"/>
      <sheetData sheetId="2" refreshError="1">
        <row r="1">
          <cell r="K1" t="str">
            <v>@xxx.com</v>
          </cell>
        </row>
        <row r="2">
          <cell r="C2" t="str">
            <v>Self</v>
          </cell>
          <cell r="D2">
            <v>18</v>
          </cell>
          <cell r="E2">
            <v>80</v>
          </cell>
        </row>
        <row r="3">
          <cell r="C3" t="str">
            <v>Spouse</v>
          </cell>
          <cell r="D3">
            <v>18</v>
          </cell>
          <cell r="E3">
            <v>80</v>
          </cell>
        </row>
        <row r="4">
          <cell r="C4" t="str">
            <v>Child</v>
          </cell>
          <cell r="D4">
            <v>0</v>
          </cell>
          <cell r="E4">
            <v>25</v>
          </cell>
        </row>
        <row r="5">
          <cell r="C5" t="str">
            <v>Parent</v>
          </cell>
          <cell r="D5">
            <v>40</v>
          </cell>
          <cell r="E5">
            <v>80</v>
          </cell>
        </row>
        <row r="6">
          <cell r="C6" t="str">
            <v>Parent-in-law</v>
          </cell>
          <cell r="D6">
            <v>40</v>
          </cell>
          <cell r="E6">
            <v>80</v>
          </cell>
        </row>
      </sheetData>
      <sheetData sheetId="3"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shruta Moodi" refreshedDate="45908.507603472222" createdVersion="7" refreshedVersion="8" minRefreshableVersion="3" recordCount="9" xr:uid="{D34CA3EB-AD05-4574-B904-98F693D96B23}">
  <cacheSource type="worksheet">
    <worksheetSource name="Table1"/>
  </cacheSource>
  <cacheFields count="23">
    <cacheField name="S.No." numFmtId="0">
      <sharedItems containsSemiMixedTypes="0" containsString="0" containsNumber="1" containsInteger="1" minValue="1" maxValue="9"/>
    </cacheField>
    <cacheField name="Employee ID" numFmtId="0">
      <sharedItems containsNonDate="0" containsString="0" containsBlank="1"/>
    </cacheField>
    <cacheField name="Employment Type_x000a_(On-Roll/Off-Roll)" numFmtId="0">
      <sharedItems containsNonDate="0" containsString="0" containsBlank="1"/>
    </cacheField>
    <cacheField name="Member Name" numFmtId="0">
      <sharedItems containsNonDate="0" containsString="0" containsBlank="1"/>
    </cacheField>
    <cacheField name="Date of Birth" numFmtId="164">
      <sharedItems containsNonDate="0" containsString="0" containsBlank="1"/>
    </cacheField>
    <cacheField name="Age" numFmtId="1">
      <sharedItems containsSemiMixedTypes="0" containsString="0" containsNumber="1" containsInteger="1" minValue="125" maxValue="125"/>
    </cacheField>
    <cacheField name="Age Band" numFmtId="17">
      <sharedItems count="1">
        <s v="From 86"/>
      </sharedItems>
    </cacheField>
    <cacheField name="Gender" numFmtId="0">
      <sharedItems containsNonDate="0" containsString="0" containsBlank="1"/>
    </cacheField>
    <cacheField name="Relationship to Self" numFmtId="3">
      <sharedItems containsNonDate="0" containsString="0" containsBlank="1" count="1">
        <m/>
      </sharedItems>
    </cacheField>
    <cacheField name="GHI Sum Insured" numFmtId="166">
      <sharedItems containsNonDate="0" containsString="0" containsBlank="1"/>
    </cacheField>
    <cacheField name="Mobile Number" numFmtId="0">
      <sharedItems containsNonDate="0" containsString="0" containsBlank="1"/>
    </cacheField>
    <cacheField name="Email" numFmtId="0">
      <sharedItems containsNonDate="0" containsString="0" containsBlank="1"/>
    </cacheField>
    <cacheField name="Error" numFmtId="0">
      <sharedItems/>
    </cacheField>
    <cacheField name="Error_Relationship" numFmtId="0">
      <sharedItems/>
    </cacheField>
    <cacheField name="Error_Age" numFmtId="0">
      <sharedItems/>
    </cacheField>
    <cacheField name="Error_Gender" numFmtId="0">
      <sharedItems/>
    </cacheField>
    <cacheField name="Error_Ph" numFmtId="0">
      <sharedItems/>
    </cacheField>
    <cacheField name="Error_Email" numFmtId="0">
      <sharedItems/>
    </cacheField>
    <cacheField name="Error_Name" numFmtId="0">
      <sharedItems/>
    </cacheField>
    <cacheField name="Error_DoB" numFmtId="0">
      <sharedItems/>
    </cacheField>
    <cacheField name="Error_Duplicate" numFmtId="0">
      <sharedItems/>
    </cacheField>
    <cacheField name="Error_EmployeeID" numFmtId="0">
      <sharedItems/>
    </cacheField>
    <cacheField name="Other Errors, if any" numFmtId="3">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n v="1"/>
    <m/>
    <m/>
    <m/>
    <m/>
    <n v="125"/>
    <x v="0"/>
    <m/>
    <x v="0"/>
    <m/>
    <m/>
    <m/>
    <s v="Please enter Member Name. Invalid gender. Invalid relationship to employee. "/>
    <s v="Invalid relationship to employee. "/>
    <s v=""/>
    <s v="Invalid gender. "/>
    <s v=""/>
    <s v=""/>
    <s v="Please enter Member Name. "/>
    <s v=""/>
    <s v=""/>
    <s v=""/>
    <m/>
  </r>
  <r>
    <n v="2"/>
    <m/>
    <m/>
    <m/>
    <m/>
    <n v="125"/>
    <x v="0"/>
    <m/>
    <x v="0"/>
    <m/>
    <m/>
    <m/>
    <s v="Please enter Member Name. Invalid gender. Invalid relationship to employee. "/>
    <s v="Invalid relationship to employee. "/>
    <s v=""/>
    <s v="Invalid gender. "/>
    <s v=""/>
    <s v=""/>
    <s v="Please enter Member Name. "/>
    <s v=""/>
    <s v=""/>
    <s v=""/>
    <m/>
  </r>
  <r>
    <n v="3"/>
    <m/>
    <m/>
    <m/>
    <m/>
    <n v="125"/>
    <x v="0"/>
    <m/>
    <x v="0"/>
    <m/>
    <m/>
    <m/>
    <s v="Please enter Member Name. Invalid gender. Invalid relationship to employee. "/>
    <s v="Invalid relationship to employee. "/>
    <s v=""/>
    <s v="Invalid gender. "/>
    <s v=""/>
    <s v=""/>
    <s v="Please enter Member Name. "/>
    <s v=""/>
    <s v=""/>
    <s v=""/>
    <m/>
  </r>
  <r>
    <n v="4"/>
    <m/>
    <m/>
    <m/>
    <m/>
    <n v="125"/>
    <x v="0"/>
    <m/>
    <x v="0"/>
    <m/>
    <m/>
    <m/>
    <s v="Please enter Member Name. Invalid gender. Invalid relationship to employee. "/>
    <s v="Invalid relationship to employee. "/>
    <s v=""/>
    <s v="Invalid gender. "/>
    <s v=""/>
    <s v=""/>
    <s v="Please enter Member Name. "/>
    <s v=""/>
    <s v=""/>
    <s v=""/>
    <m/>
  </r>
  <r>
    <n v="5"/>
    <m/>
    <m/>
    <m/>
    <m/>
    <n v="125"/>
    <x v="0"/>
    <m/>
    <x v="0"/>
    <m/>
    <m/>
    <m/>
    <s v="Please enter Member Name. Invalid gender. Invalid relationship to employee. "/>
    <s v="Invalid relationship to employee. "/>
    <s v=""/>
    <s v="Invalid gender. "/>
    <s v=""/>
    <s v=""/>
    <s v="Please enter Member Name. "/>
    <s v=""/>
    <s v=""/>
    <s v=""/>
    <m/>
  </r>
  <r>
    <n v="6"/>
    <m/>
    <m/>
    <m/>
    <m/>
    <n v="125"/>
    <x v="0"/>
    <m/>
    <x v="0"/>
    <m/>
    <m/>
    <m/>
    <s v="Please enter Member Name. Invalid gender. Invalid relationship to employee. "/>
    <s v="Invalid relationship to employee. "/>
    <s v=""/>
    <s v="Invalid gender. "/>
    <s v=""/>
    <s v=""/>
    <s v="Please enter Member Name. "/>
    <s v=""/>
    <s v=""/>
    <s v=""/>
    <m/>
  </r>
  <r>
    <n v="7"/>
    <m/>
    <m/>
    <m/>
    <m/>
    <n v="125"/>
    <x v="0"/>
    <m/>
    <x v="0"/>
    <m/>
    <m/>
    <m/>
    <s v="Please enter Member Name. Invalid gender. Invalid relationship to employee. "/>
    <s v="Invalid relationship to employee. "/>
    <s v=""/>
    <s v="Invalid gender. "/>
    <s v=""/>
    <s v=""/>
    <s v="Please enter Member Name. "/>
    <s v=""/>
    <s v=""/>
    <s v=""/>
    <m/>
  </r>
  <r>
    <n v="8"/>
    <m/>
    <m/>
    <m/>
    <m/>
    <n v="125"/>
    <x v="0"/>
    <m/>
    <x v="0"/>
    <m/>
    <m/>
    <m/>
    <s v="Please enter Member Name. Invalid gender. Invalid relationship to employee. "/>
    <s v="Invalid relationship to employee. "/>
    <s v=""/>
    <s v="Invalid gender. "/>
    <s v=""/>
    <s v=""/>
    <s v="Please enter Member Name. "/>
    <s v=""/>
    <s v=""/>
    <s v=""/>
    <m/>
  </r>
  <r>
    <n v="9"/>
    <m/>
    <m/>
    <m/>
    <m/>
    <n v="125"/>
    <x v="0"/>
    <m/>
    <x v="0"/>
    <m/>
    <m/>
    <m/>
    <s v="Please enter Member Name. Invalid gender. Invalid relationship to employee. "/>
    <s v="Invalid relationship to employee. "/>
    <s v=""/>
    <s v="Invalid gender. "/>
    <s v=""/>
    <s v=""/>
    <s v="Please enter Member Name. "/>
    <s v=""/>
    <s v=""/>
    <s v=""/>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27B7B8-1573-4F65-BF70-BA802EF7F9E8}" name="PivotTable1"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3:C6" firstHeaderRow="1" firstDataRow="2" firstDataCol="1"/>
  <pivotFields count="23">
    <pivotField showAll="0"/>
    <pivotField showAll="0"/>
    <pivotField showAll="0"/>
    <pivotField showAll="0"/>
    <pivotField showAll="0"/>
    <pivotField numFmtId="1" showAll="0"/>
    <pivotField axis="axisRow" showAll="0" sortType="ascending">
      <items count="2">
        <item x="0"/>
        <item t="default"/>
      </items>
    </pivotField>
    <pivotField showAll="0"/>
    <pivotField axis="axisCol" dataField="1"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2">
    <i>
      <x/>
    </i>
    <i t="grand">
      <x/>
    </i>
  </rowItems>
  <colFields count="1">
    <field x="8"/>
  </colFields>
  <colItems count="2">
    <i>
      <x/>
    </i>
    <i t="grand">
      <x/>
    </i>
  </colItems>
  <dataFields count="1">
    <dataField name="Count of Relationship to Self" fld="8" subtotal="count" baseField="0" baseItem="0"/>
  </dataFields>
  <formats count="15">
    <format dxfId="21">
      <pivotArea type="origin" dataOnly="0" labelOnly="1" outline="0" fieldPosition="0"/>
    </format>
    <format dxfId="20">
      <pivotArea field="8" type="button" dataOnly="0" labelOnly="1" outline="0" axis="axisCol" fieldPosition="0"/>
    </format>
    <format dxfId="19">
      <pivotArea type="topRight" dataOnly="0" labelOnly="1" outline="0" fieldPosition="0"/>
    </format>
    <format dxfId="18">
      <pivotArea field="6" type="button" dataOnly="0" labelOnly="1" outline="0" axis="axisRow" fieldPosition="0"/>
    </format>
    <format dxfId="17">
      <pivotArea dataOnly="0" labelOnly="1" fieldPosition="0">
        <references count="1">
          <reference field="8" count="0"/>
        </references>
      </pivotArea>
    </format>
    <format dxfId="16">
      <pivotArea dataOnly="0" labelOnly="1" grandCol="1" outline="0" fieldPosition="0"/>
    </format>
    <format dxfId="15">
      <pivotArea grandRow="1" outline="0" collapsedLevelsAreSubtotals="1" fieldPosition="0"/>
    </format>
    <format dxfId="14">
      <pivotArea dataOnly="0" labelOnly="1" grandRow="1" outline="0" fieldPosition="0"/>
    </format>
    <format dxfId="13">
      <pivotArea collapsedLevelsAreSubtotals="1" fieldPosition="0">
        <references count="1">
          <reference field="6" count="0"/>
        </references>
      </pivotArea>
    </format>
    <format dxfId="12">
      <pivotArea dataOnly="0" labelOnly="1" fieldPosition="0">
        <references count="1">
          <reference field="6" count="0"/>
        </references>
      </pivotArea>
    </format>
    <format dxfId="11">
      <pivotArea outline="0" collapsedLevelsAreSubtotals="1" fieldPosition="0"/>
    </format>
    <format dxfId="10">
      <pivotArea field="8" type="button" dataOnly="0" labelOnly="1" outline="0" axis="axisCol" fieldPosition="0"/>
    </format>
    <format dxfId="9">
      <pivotArea type="topRight" dataOnly="0" labelOnly="1" outline="0" fieldPosition="0"/>
    </format>
    <format dxfId="8">
      <pivotArea dataOnly="0" labelOnly="1" fieldPosition="0">
        <references count="1">
          <reference field="8" count="0"/>
        </references>
      </pivotArea>
    </format>
    <format dxfId="7">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109F6E-D9EF-4589-A929-BC6F9639DD50}" name="Table1" displayName="Table1" ref="A2:W11" totalsRowShown="0" headerRowDxfId="49" dataDxfId="47" headerRowBorderDxfId="48" tableBorderDxfId="46" totalsRowBorderDxfId="45">
  <autoFilter ref="A2:W11" xr:uid="{7CB3301C-2D57-4FE9-BC24-A0ACC043DD9F}"/>
  <tableColumns count="23">
    <tableColumn id="1" xr3:uid="{44E69A8A-D258-4BCC-83AA-8479015D4829}" name="S.No." dataDxfId="44">
      <calculatedColumnFormula>ROW()-2</calculatedColumnFormula>
    </tableColumn>
    <tableColumn id="2" xr3:uid="{A12687E0-5569-4C7A-8A73-9A60B3A00777}" name="Employee ID" dataDxfId="43"/>
    <tableColumn id="10" xr3:uid="{D7403735-7497-4966-83EB-57BAF0A34814}" name="Employment Type_x000a_(On-Roll/Off-Roll)" dataDxfId="42"/>
    <tableColumn id="3" xr3:uid="{A435289F-75BA-4149-A356-999CA24F718B}" name="Member Name" dataDxfId="41"/>
    <tableColumn id="4" xr3:uid="{1AD729ED-B0BB-407C-BC05-C88342E11640}" name="Date of Birth" dataDxfId="40"/>
    <tableColumn id="5" xr3:uid="{9A0386C9-3E60-4613-BB42-F0B6A38051E2}" name="Age" dataDxfId="39" dataCellStyle="Comma">
      <calculatedColumnFormula>DATEDIF(E3,TODAY(),"y")</calculatedColumnFormula>
    </tableColumn>
    <tableColumn id="6" xr3:uid="{5771ADE6-C937-46AE-9A51-F9E0AC994E4A}" name="Age Band" dataDxfId="38" dataCellStyle="Comma">
      <calculatedColumnFormula>IF(
    $F3&gt;85,
    "From 86",
    IF(
        $F3&gt;80,
        "81-85",
        IF(
            $F3&gt;75,
            "76-80",
            IF(
                $F3&gt;70,
                "71-75",
                IF(
                    $F3&gt;65,
                    "66-70",
                    IF(
                        $F3&gt;60,
                        "61-65",
                        IF(
                            $F3&gt;55,
                            "56-60",
                            IF(
                                $F3&gt;50,
                                "51-55",
                                IF(
                                    $F3&gt;45,
                                    "46-50",
                                    IF(
                                        $F3&gt;40,
                                        "41-45",
                                        IF(
                                            $F3&gt;35,
                                            "36-40",
                                            IF(
                                                $F3&gt;30,
                                                "31-35",
                                                IF($F3&gt;25, "26-30", IF($F3&gt;18,"19-25","0-18")
                                              )
                                            )
                                        )
                                    )
                                )
                            )
                        )
                    )
                )
            )
        )
    )
)</calculatedColumnFormula>
    </tableColumn>
    <tableColumn id="7" xr3:uid="{CB81D4BD-EFD2-4B16-B87E-04E569BDC41C}" name="Gender" dataDxfId="37"/>
    <tableColumn id="8" xr3:uid="{4D219DBC-2B7A-4CA8-A07D-3CF550097874}" name="Relationship to Self" dataDxfId="36"/>
    <tableColumn id="9" xr3:uid="{2683EDC2-B273-4FF3-84E6-404A98D8DCC9}" name="GHI Sum Insured" dataDxfId="35" dataCellStyle="Comma"/>
    <tableColumn id="14" xr3:uid="{859F5AFF-A9FF-4797-9152-57EF3AF8A9C0}" name="Mobile Number" dataDxfId="34"/>
    <tableColumn id="15" xr3:uid="{76CC319B-5156-48DE-8D7E-F81299ACC16C}" name="Email" dataDxfId="33"/>
    <tableColumn id="16" xr3:uid="{719604DC-B1A5-421E-A6B2-5CF3A9AF87CE}" name="Error" dataDxfId="32" dataCellStyle="Warning Text">
      <calculatedColumnFormula>Table1[[#This Row],[Error_Name]] &amp;Table1[[#This Row],[Error_DoB]] &amp;Table1[[#This Row],[Error_Age]] &amp;Table1[[#This Row],[Error_Gender]] &amp;Table1[[#This Row],[Error_Relationship]]  &amp;Table1[[#This Row],[Error_Ph]] &amp;Table1[[#This Row],[Error_Email]]  &amp;Table1[[#This Row],[Error_Duplicate]] &amp;Table1[[#This Row],[Error_EmployeeID]]</calculatedColumnFormula>
    </tableColumn>
    <tableColumn id="17" xr3:uid="{63D9AEE1-6374-45B3-BFB3-98281B181E9F}" name="Error_Relationship" dataDxfId="31">
      <calculatedColumnFormula>IF(ISNUMBER(MATCH(Table1[[#This Row],[Relationship to Self]],[1]!Table4[Valid Relations],0)),"","Invalid relationship to employee. ")</calculatedColumnFormula>
    </tableColumn>
    <tableColumn id="18" xr3:uid="{D86333CF-07A8-4834-9B0E-ECC7B6B6C79F}" name="Error_Age" dataDxfId="30">
      <calculatedColumnFormula>IF(
        Table1[[#This Row],[Relationship to Self]]=[1]Valid!$C$6,
        IF(AND(Table1[[#This Row],[Age]]&gt;=[1]Valid!$D$6,Table1[[#This Row],[Age]]&lt;=[1]Valid!$E$6),"",[1]Valid!$C$6 &amp; " age should be between " &amp; [1]Valid!$D$6 &amp; " and " &amp; [1]Valid!$E$6 &amp; ". "),
        IF(
            Table1[[#This Row],[Relationship to Self]]=[1]Valid!$C$2,
            IF(AND(Table1[[#This Row],[Age]]&gt;=[1]Valid!$D$2,Table1[[#This Row],[Age]]&lt;=[1]Valid!$E$2),"",[1]Valid!$C$2 &amp; " age should be between " &amp; [1]Valid!$D$2 &amp; " and " &amp; [1]Valid!$E$2 &amp; ". "),
            IF(
                Table1[[#This Row],[Relationship to Self]]=[1]Valid!$C$3,
                IF(AND(Table1[[#This Row],[Age]]&gt;=[1]Valid!$D$3,Table1[[#This Row],[Age]]&lt;=[1]Valid!$E$3),"",[1]Valid!$C$3 &amp; " age should be between " &amp; [1]Valid!$D$3 &amp; " and " &amp; [1]Valid!$E$3 &amp; ". "),
                IF(
                    Table1[[#This Row],[Relationship to Self]]=[1]Valid!$C$4,
                    IF(AND(Table1[[#This Row],[Age]]&gt;=[1]Valid!$D$4,Table1[[#This Row],[Age]]&lt;=[1]Valid!$E$4),"",[1]Valid!$C$4 &amp; " age should be between " &amp; [1]Valid!$D$4 &amp; " and " &amp; [1]Valid!$E$4 &amp; ". "),
                    IF(
                        Table1[[#This Row],[Relationship to Self]]=[1]Valid!$C$5,
                        IF(AND(Table1[[#This Row],[Age]]&gt;=[1]Valid!$D$5,Table1[[#This Row],[Age]]&lt;=[1]Valid!$E$5),"",[1]Valid!$C$5 &amp; " age should be between " &amp; [1]Valid!$D$5 &amp; " and " &amp; [1]Valid!$E$5 &amp; ". "),
                        ""
                    )
                )
            )
        )
    )</calculatedColumnFormula>
    </tableColumn>
    <tableColumn id="19" xr3:uid="{1F499B3F-48C8-4FD2-BCE2-810B68B0F18B}" name="Error_Gender" dataDxfId="29">
      <calculatedColumnFormula>IF(ISNUMBER(MATCH(Table1[[#This Row],[Gender]],[1]!Table6[Gender],0)),"","Invalid gender. ")</calculatedColumnFormula>
    </tableColumn>
    <tableColumn id="20" xr3:uid="{A7411694-03B9-4D89-A74B-DB6AEDC37DB3}" name="Error_Ph" dataDxfId="28">
      <calculatedColumnFormula>IF(Table1[[#This Row],[Relationship to Self]]&lt;&gt;"Self","",IF(AND(Table1[[#This Row],[Mobile Number]]&gt;6000000000,Table1[[#This Row],[Mobile Number]]&lt;9999999999),"","The entered mobile number is invalid. "))</calculatedColumnFormula>
    </tableColumn>
    <tableColumn id="21" xr3:uid="{4D07964B-0975-4838-8B0A-BC67177D7C50}" name="Error_Email" dataDxfId="27">
      <calculatedColumnFormula array="1">IF(Table1[[#This Row],[Relationship to Self]]&lt;&gt;"Self","",IF(IsEmailValid(Table1[[#This Row],[Email]]),IF(ISNUMBER(SEARCH([1]Valid!$K$1,Table1[[#This Row],[Email]])),"","The entered email is not corporate email. "),"The entered email is invalid. "))</calculatedColumnFormula>
    </tableColumn>
    <tableColumn id="24" xr3:uid="{AF7F8ABC-FD05-4CC8-A535-D35F9B186A66}" name="Error_Name" dataDxfId="26">
      <calculatedColumnFormula>IF(Table1[[#This Row],[Member Name]]="","Please enter Member Name. ","")</calculatedColumnFormula>
    </tableColumn>
    <tableColumn id="25" xr3:uid="{A7ADD335-EAD7-462D-8813-380CE835084D}" name="Error_DoB" dataDxfId="25">
      <calculatedColumnFormula>IF(YEAR(Table1[[#This Row],[Date of Birth]])=1905, "DoB is incomplete. ","")</calculatedColumnFormula>
    </tableColumn>
    <tableColumn id="22" xr3:uid="{D85C0911-80BF-4DA4-961C-80370651896F}" name="Error_Duplicate" dataDxfId="24">
      <calculatedColumnFormula>IF(COUNTIFS(Table1[Employee ID],Table1[[#This Row],[Employee ID]],Table1[Date of Birth],Table1[[#This Row],[Date of Birth]],Table1[Relationship to Self],Table1[[#This Row],[Relationship to Self]],Table1[Member Name],Table1[[#This Row],[Member Name]])&gt;1,"This entry is repeated multiple times. ","")</calculatedColumnFormula>
    </tableColumn>
    <tableColumn id="26" xr3:uid="{1705B0A6-2C26-4DEA-84E2-906FFB6B6E15}" name="Error_EmployeeID" dataDxfId="23">
      <calculatedColumnFormula>IF(COUNTIFS(Table1[Employee ID],Table1[[#This Row],[Employee ID]],Table1[Relationship to Self],"Self")&gt;1, "Duplicate Employee ID","")</calculatedColumnFormula>
    </tableColumn>
    <tableColumn id="23" xr3:uid="{F6D2D512-AC58-4903-A41B-B7E45D367BC9}" name="Other Errors, if any" dataDxfId="22"/>
  </tableColumns>
  <tableStyleInfo name="TableStyleLight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openxmlformats.org/officeDocument/2006/relationships/table" Target="../tables/table1.xml"/><Relationship Id="rId4" Type="http://schemas.openxmlformats.org/officeDocument/2006/relationships/ctrlProp" Target="../ctrlProps/ctrlProp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BFAE5-A56D-426C-953E-35C920526E08}">
  <dimension ref="A1:B12"/>
  <sheetViews>
    <sheetView showGridLines="0" workbookViewId="0">
      <selection activeCell="B6" sqref="B6"/>
    </sheetView>
  </sheetViews>
  <sheetFormatPr defaultRowHeight="14.5" x14ac:dyDescent="0.35"/>
  <cols>
    <col min="1" max="1" width="29.1796875" customWidth="1"/>
    <col min="2" max="2" width="49.54296875" customWidth="1"/>
  </cols>
  <sheetData>
    <row r="1" spans="1:2" x14ac:dyDescent="0.35">
      <c r="A1" s="1" t="s">
        <v>0</v>
      </c>
    </row>
    <row r="2" spans="1:2" x14ac:dyDescent="0.35">
      <c r="A2" s="1" t="s">
        <v>1</v>
      </c>
    </row>
    <row r="4" spans="1:2" x14ac:dyDescent="0.35">
      <c r="A4" s="42" t="s">
        <v>2</v>
      </c>
      <c r="B4" s="43" t="s">
        <v>293</v>
      </c>
    </row>
    <row r="5" spans="1:2" x14ac:dyDescent="0.35">
      <c r="A5" s="42" t="s">
        <v>3</v>
      </c>
      <c r="B5" s="43" t="s">
        <v>294</v>
      </c>
    </row>
    <row r="6" spans="1:2" x14ac:dyDescent="0.35">
      <c r="A6" s="42" t="s">
        <v>4</v>
      </c>
      <c r="B6" s="43"/>
    </row>
    <row r="7" spans="1:2" x14ac:dyDescent="0.35">
      <c r="A7" s="42" t="s">
        <v>5</v>
      </c>
      <c r="B7" s="43"/>
    </row>
    <row r="8" spans="1:2" x14ac:dyDescent="0.35">
      <c r="A8" s="42" t="s">
        <v>6</v>
      </c>
      <c r="B8" s="43" t="s">
        <v>7</v>
      </c>
    </row>
    <row r="9" spans="1:2" x14ac:dyDescent="0.35">
      <c r="A9" s="42" t="s">
        <v>8</v>
      </c>
      <c r="B9" s="43" t="s">
        <v>7</v>
      </c>
    </row>
    <row r="10" spans="1:2" x14ac:dyDescent="0.35">
      <c r="A10" s="42" t="s">
        <v>9</v>
      </c>
      <c r="B10" s="43" t="s">
        <v>7</v>
      </c>
    </row>
    <row r="11" spans="1:2" x14ac:dyDescent="0.35">
      <c r="A11" s="42" t="s">
        <v>10</v>
      </c>
      <c r="B11" s="43"/>
    </row>
    <row r="12" spans="1:2" x14ac:dyDescent="0.35">
      <c r="A12" s="44" t="s">
        <v>11</v>
      </c>
      <c r="B12" s="4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2B7EC-294C-4005-B0CB-7DB42961D2BF}">
  <dimension ref="A1:E45"/>
  <sheetViews>
    <sheetView workbookViewId="0">
      <selection activeCell="B6" sqref="B6"/>
    </sheetView>
  </sheetViews>
  <sheetFormatPr defaultRowHeight="14.5" x14ac:dyDescent="0.35"/>
  <cols>
    <col min="2" max="2" width="39.81640625" bestFit="1" customWidth="1"/>
    <col min="3" max="3" width="8.81640625" customWidth="1"/>
    <col min="4" max="4" width="40" bestFit="1" customWidth="1"/>
    <col min="5" max="5" width="23.54296875" customWidth="1"/>
    <col min="258" max="258" width="39.81640625" bestFit="1" customWidth="1"/>
    <col min="259" max="259" width="8.81640625" customWidth="1"/>
    <col min="260" max="260" width="40" bestFit="1" customWidth="1"/>
    <col min="261" max="261" width="23.54296875" customWidth="1"/>
    <col min="514" max="514" width="39.81640625" bestFit="1" customWidth="1"/>
    <col min="515" max="515" width="8.81640625" customWidth="1"/>
    <col min="516" max="516" width="40" bestFit="1" customWidth="1"/>
    <col min="517" max="517" width="23.54296875" customWidth="1"/>
    <col min="770" max="770" width="39.81640625" bestFit="1" customWidth="1"/>
    <col min="771" max="771" width="8.81640625" customWidth="1"/>
    <col min="772" max="772" width="40" bestFit="1" customWidth="1"/>
    <col min="773" max="773" width="23.54296875" customWidth="1"/>
    <col min="1026" max="1026" width="39.81640625" bestFit="1" customWidth="1"/>
    <col min="1027" max="1027" width="8.81640625" customWidth="1"/>
    <col min="1028" max="1028" width="40" bestFit="1" customWidth="1"/>
    <col min="1029" max="1029" width="23.54296875" customWidth="1"/>
    <col min="1282" max="1282" width="39.81640625" bestFit="1" customWidth="1"/>
    <col min="1283" max="1283" width="8.81640625" customWidth="1"/>
    <col min="1284" max="1284" width="40" bestFit="1" customWidth="1"/>
    <col min="1285" max="1285" width="23.54296875" customWidth="1"/>
    <col min="1538" max="1538" width="39.81640625" bestFit="1" customWidth="1"/>
    <col min="1539" max="1539" width="8.81640625" customWidth="1"/>
    <col min="1540" max="1540" width="40" bestFit="1" customWidth="1"/>
    <col min="1541" max="1541" width="23.54296875" customWidth="1"/>
    <col min="1794" max="1794" width="39.81640625" bestFit="1" customWidth="1"/>
    <col min="1795" max="1795" width="8.81640625" customWidth="1"/>
    <col min="1796" max="1796" width="40" bestFit="1" customWidth="1"/>
    <col min="1797" max="1797" width="23.54296875" customWidth="1"/>
    <col min="2050" max="2050" width="39.81640625" bestFit="1" customWidth="1"/>
    <col min="2051" max="2051" width="8.81640625" customWidth="1"/>
    <col min="2052" max="2052" width="40" bestFit="1" customWidth="1"/>
    <col min="2053" max="2053" width="23.54296875" customWidth="1"/>
    <col min="2306" max="2306" width="39.81640625" bestFit="1" customWidth="1"/>
    <col min="2307" max="2307" width="8.81640625" customWidth="1"/>
    <col min="2308" max="2308" width="40" bestFit="1" customWidth="1"/>
    <col min="2309" max="2309" width="23.54296875" customWidth="1"/>
    <col min="2562" max="2562" width="39.81640625" bestFit="1" customWidth="1"/>
    <col min="2563" max="2563" width="8.81640625" customWidth="1"/>
    <col min="2564" max="2564" width="40" bestFit="1" customWidth="1"/>
    <col min="2565" max="2565" width="23.54296875" customWidth="1"/>
    <col min="2818" max="2818" width="39.81640625" bestFit="1" customWidth="1"/>
    <col min="2819" max="2819" width="8.81640625" customWidth="1"/>
    <col min="2820" max="2820" width="40" bestFit="1" customWidth="1"/>
    <col min="2821" max="2821" width="23.54296875" customWidth="1"/>
    <col min="3074" max="3074" width="39.81640625" bestFit="1" customWidth="1"/>
    <col min="3075" max="3075" width="8.81640625" customWidth="1"/>
    <col min="3076" max="3076" width="40" bestFit="1" customWidth="1"/>
    <col min="3077" max="3077" width="23.54296875" customWidth="1"/>
    <col min="3330" max="3330" width="39.81640625" bestFit="1" customWidth="1"/>
    <col min="3331" max="3331" width="8.81640625" customWidth="1"/>
    <col min="3332" max="3332" width="40" bestFit="1" customWidth="1"/>
    <col min="3333" max="3333" width="23.54296875" customWidth="1"/>
    <col min="3586" max="3586" width="39.81640625" bestFit="1" customWidth="1"/>
    <col min="3587" max="3587" width="8.81640625" customWidth="1"/>
    <col min="3588" max="3588" width="40" bestFit="1" customWidth="1"/>
    <col min="3589" max="3589" width="23.54296875" customWidth="1"/>
    <col min="3842" max="3842" width="39.81640625" bestFit="1" customWidth="1"/>
    <col min="3843" max="3843" width="8.81640625" customWidth="1"/>
    <col min="3844" max="3844" width="40" bestFit="1" customWidth="1"/>
    <col min="3845" max="3845" width="23.54296875" customWidth="1"/>
    <col min="4098" max="4098" width="39.81640625" bestFit="1" customWidth="1"/>
    <col min="4099" max="4099" width="8.81640625" customWidth="1"/>
    <col min="4100" max="4100" width="40" bestFit="1" customWidth="1"/>
    <col min="4101" max="4101" width="23.54296875" customWidth="1"/>
    <col min="4354" max="4354" width="39.81640625" bestFit="1" customWidth="1"/>
    <col min="4355" max="4355" width="8.81640625" customWidth="1"/>
    <col min="4356" max="4356" width="40" bestFit="1" customWidth="1"/>
    <col min="4357" max="4357" width="23.54296875" customWidth="1"/>
    <col min="4610" max="4610" width="39.81640625" bestFit="1" customWidth="1"/>
    <col min="4611" max="4611" width="8.81640625" customWidth="1"/>
    <col min="4612" max="4612" width="40" bestFit="1" customWidth="1"/>
    <col min="4613" max="4613" width="23.54296875" customWidth="1"/>
    <col min="4866" max="4866" width="39.81640625" bestFit="1" customWidth="1"/>
    <col min="4867" max="4867" width="8.81640625" customWidth="1"/>
    <col min="4868" max="4868" width="40" bestFit="1" customWidth="1"/>
    <col min="4869" max="4869" width="23.54296875" customWidth="1"/>
    <col min="5122" max="5122" width="39.81640625" bestFit="1" customWidth="1"/>
    <col min="5123" max="5123" width="8.81640625" customWidth="1"/>
    <col min="5124" max="5124" width="40" bestFit="1" customWidth="1"/>
    <col min="5125" max="5125" width="23.54296875" customWidth="1"/>
    <col min="5378" max="5378" width="39.81640625" bestFit="1" customWidth="1"/>
    <col min="5379" max="5379" width="8.81640625" customWidth="1"/>
    <col min="5380" max="5380" width="40" bestFit="1" customWidth="1"/>
    <col min="5381" max="5381" width="23.54296875" customWidth="1"/>
    <col min="5634" max="5634" width="39.81640625" bestFit="1" customWidth="1"/>
    <col min="5635" max="5635" width="8.81640625" customWidth="1"/>
    <col min="5636" max="5636" width="40" bestFit="1" customWidth="1"/>
    <col min="5637" max="5637" width="23.54296875" customWidth="1"/>
    <col min="5890" max="5890" width="39.81640625" bestFit="1" customWidth="1"/>
    <col min="5891" max="5891" width="8.81640625" customWidth="1"/>
    <col min="5892" max="5892" width="40" bestFit="1" customWidth="1"/>
    <col min="5893" max="5893" width="23.54296875" customWidth="1"/>
    <col min="6146" max="6146" width="39.81640625" bestFit="1" customWidth="1"/>
    <col min="6147" max="6147" width="8.81640625" customWidth="1"/>
    <col min="6148" max="6148" width="40" bestFit="1" customWidth="1"/>
    <col min="6149" max="6149" width="23.54296875" customWidth="1"/>
    <col min="6402" max="6402" width="39.81640625" bestFit="1" customWidth="1"/>
    <col min="6403" max="6403" width="8.81640625" customWidth="1"/>
    <col min="6404" max="6404" width="40" bestFit="1" customWidth="1"/>
    <col min="6405" max="6405" width="23.54296875" customWidth="1"/>
    <col min="6658" max="6658" width="39.81640625" bestFit="1" customWidth="1"/>
    <col min="6659" max="6659" width="8.81640625" customWidth="1"/>
    <col min="6660" max="6660" width="40" bestFit="1" customWidth="1"/>
    <col min="6661" max="6661" width="23.54296875" customWidth="1"/>
    <col min="6914" max="6914" width="39.81640625" bestFit="1" customWidth="1"/>
    <col min="6915" max="6915" width="8.81640625" customWidth="1"/>
    <col min="6916" max="6916" width="40" bestFit="1" customWidth="1"/>
    <col min="6917" max="6917" width="23.54296875" customWidth="1"/>
    <col min="7170" max="7170" width="39.81640625" bestFit="1" customWidth="1"/>
    <col min="7171" max="7171" width="8.81640625" customWidth="1"/>
    <col min="7172" max="7172" width="40" bestFit="1" customWidth="1"/>
    <col min="7173" max="7173" width="23.54296875" customWidth="1"/>
    <col min="7426" max="7426" width="39.81640625" bestFit="1" customWidth="1"/>
    <col min="7427" max="7427" width="8.81640625" customWidth="1"/>
    <col min="7428" max="7428" width="40" bestFit="1" customWidth="1"/>
    <col min="7429" max="7429" width="23.54296875" customWidth="1"/>
    <col min="7682" max="7682" width="39.81640625" bestFit="1" customWidth="1"/>
    <col min="7683" max="7683" width="8.81640625" customWidth="1"/>
    <col min="7684" max="7684" width="40" bestFit="1" customWidth="1"/>
    <col min="7685" max="7685" width="23.54296875" customWidth="1"/>
    <col min="7938" max="7938" width="39.81640625" bestFit="1" customWidth="1"/>
    <col min="7939" max="7939" width="8.81640625" customWidth="1"/>
    <col min="7940" max="7940" width="40" bestFit="1" customWidth="1"/>
    <col min="7941" max="7941" width="23.54296875" customWidth="1"/>
    <col min="8194" max="8194" width="39.81640625" bestFit="1" customWidth="1"/>
    <col min="8195" max="8195" width="8.81640625" customWidth="1"/>
    <col min="8196" max="8196" width="40" bestFit="1" customWidth="1"/>
    <col min="8197" max="8197" width="23.54296875" customWidth="1"/>
    <col min="8450" max="8450" width="39.81640625" bestFit="1" customWidth="1"/>
    <col min="8451" max="8451" width="8.81640625" customWidth="1"/>
    <col min="8452" max="8452" width="40" bestFit="1" customWidth="1"/>
    <col min="8453" max="8453" width="23.54296875" customWidth="1"/>
    <col min="8706" max="8706" width="39.81640625" bestFit="1" customWidth="1"/>
    <col min="8707" max="8707" width="8.81640625" customWidth="1"/>
    <col min="8708" max="8708" width="40" bestFit="1" customWidth="1"/>
    <col min="8709" max="8709" width="23.54296875" customWidth="1"/>
    <col min="8962" max="8962" width="39.81640625" bestFit="1" customWidth="1"/>
    <col min="8963" max="8963" width="8.81640625" customWidth="1"/>
    <col min="8964" max="8964" width="40" bestFit="1" customWidth="1"/>
    <col min="8965" max="8965" width="23.54296875" customWidth="1"/>
    <col min="9218" max="9218" width="39.81640625" bestFit="1" customWidth="1"/>
    <col min="9219" max="9219" width="8.81640625" customWidth="1"/>
    <col min="9220" max="9220" width="40" bestFit="1" customWidth="1"/>
    <col min="9221" max="9221" width="23.54296875" customWidth="1"/>
    <col min="9474" max="9474" width="39.81640625" bestFit="1" customWidth="1"/>
    <col min="9475" max="9475" width="8.81640625" customWidth="1"/>
    <col min="9476" max="9476" width="40" bestFit="1" customWidth="1"/>
    <col min="9477" max="9477" width="23.54296875" customWidth="1"/>
    <col min="9730" max="9730" width="39.81640625" bestFit="1" customWidth="1"/>
    <col min="9731" max="9731" width="8.81640625" customWidth="1"/>
    <col min="9732" max="9732" width="40" bestFit="1" customWidth="1"/>
    <col min="9733" max="9733" width="23.54296875" customWidth="1"/>
    <col min="9986" max="9986" width="39.81640625" bestFit="1" customWidth="1"/>
    <col min="9987" max="9987" width="8.81640625" customWidth="1"/>
    <col min="9988" max="9988" width="40" bestFit="1" customWidth="1"/>
    <col min="9989" max="9989" width="23.54296875" customWidth="1"/>
    <col min="10242" max="10242" width="39.81640625" bestFit="1" customWidth="1"/>
    <col min="10243" max="10243" width="8.81640625" customWidth="1"/>
    <col min="10244" max="10244" width="40" bestFit="1" customWidth="1"/>
    <col min="10245" max="10245" width="23.54296875" customWidth="1"/>
    <col min="10498" max="10498" width="39.81640625" bestFit="1" customWidth="1"/>
    <col min="10499" max="10499" width="8.81640625" customWidth="1"/>
    <col min="10500" max="10500" width="40" bestFit="1" customWidth="1"/>
    <col min="10501" max="10501" width="23.54296875" customWidth="1"/>
    <col min="10754" max="10754" width="39.81640625" bestFit="1" customWidth="1"/>
    <col min="10755" max="10755" width="8.81640625" customWidth="1"/>
    <col min="10756" max="10756" width="40" bestFit="1" customWidth="1"/>
    <col min="10757" max="10757" width="23.54296875" customWidth="1"/>
    <col min="11010" max="11010" width="39.81640625" bestFit="1" customWidth="1"/>
    <col min="11011" max="11011" width="8.81640625" customWidth="1"/>
    <col min="11012" max="11012" width="40" bestFit="1" customWidth="1"/>
    <col min="11013" max="11013" width="23.54296875" customWidth="1"/>
    <col min="11266" max="11266" width="39.81640625" bestFit="1" customWidth="1"/>
    <col min="11267" max="11267" width="8.81640625" customWidth="1"/>
    <col min="11268" max="11268" width="40" bestFit="1" customWidth="1"/>
    <col min="11269" max="11269" width="23.54296875" customWidth="1"/>
    <col min="11522" max="11522" width="39.81640625" bestFit="1" customWidth="1"/>
    <col min="11523" max="11523" width="8.81640625" customWidth="1"/>
    <col min="11524" max="11524" width="40" bestFit="1" customWidth="1"/>
    <col min="11525" max="11525" width="23.54296875" customWidth="1"/>
    <col min="11778" max="11778" width="39.81640625" bestFit="1" customWidth="1"/>
    <col min="11779" max="11779" width="8.81640625" customWidth="1"/>
    <col min="11780" max="11780" width="40" bestFit="1" customWidth="1"/>
    <col min="11781" max="11781" width="23.54296875" customWidth="1"/>
    <col min="12034" max="12034" width="39.81640625" bestFit="1" customWidth="1"/>
    <col min="12035" max="12035" width="8.81640625" customWidth="1"/>
    <col min="12036" max="12036" width="40" bestFit="1" customWidth="1"/>
    <col min="12037" max="12037" width="23.54296875" customWidth="1"/>
    <col min="12290" max="12290" width="39.81640625" bestFit="1" customWidth="1"/>
    <col min="12291" max="12291" width="8.81640625" customWidth="1"/>
    <col min="12292" max="12292" width="40" bestFit="1" customWidth="1"/>
    <col min="12293" max="12293" width="23.54296875" customWidth="1"/>
    <col min="12546" max="12546" width="39.81640625" bestFit="1" customWidth="1"/>
    <col min="12547" max="12547" width="8.81640625" customWidth="1"/>
    <col min="12548" max="12548" width="40" bestFit="1" customWidth="1"/>
    <col min="12549" max="12549" width="23.54296875" customWidth="1"/>
    <col min="12802" max="12802" width="39.81640625" bestFit="1" customWidth="1"/>
    <col min="12803" max="12803" width="8.81640625" customWidth="1"/>
    <col min="12804" max="12804" width="40" bestFit="1" customWidth="1"/>
    <col min="12805" max="12805" width="23.54296875" customWidth="1"/>
    <col min="13058" max="13058" width="39.81640625" bestFit="1" customWidth="1"/>
    <col min="13059" max="13059" width="8.81640625" customWidth="1"/>
    <col min="13060" max="13060" width="40" bestFit="1" customWidth="1"/>
    <col min="13061" max="13061" width="23.54296875" customWidth="1"/>
    <col min="13314" max="13314" width="39.81640625" bestFit="1" customWidth="1"/>
    <col min="13315" max="13315" width="8.81640625" customWidth="1"/>
    <col min="13316" max="13316" width="40" bestFit="1" customWidth="1"/>
    <col min="13317" max="13317" width="23.54296875" customWidth="1"/>
    <col min="13570" max="13570" width="39.81640625" bestFit="1" customWidth="1"/>
    <col min="13571" max="13571" width="8.81640625" customWidth="1"/>
    <col min="13572" max="13572" width="40" bestFit="1" customWidth="1"/>
    <col min="13573" max="13573" width="23.54296875" customWidth="1"/>
    <col min="13826" max="13826" width="39.81640625" bestFit="1" customWidth="1"/>
    <col min="13827" max="13827" width="8.81640625" customWidth="1"/>
    <col min="13828" max="13828" width="40" bestFit="1" customWidth="1"/>
    <col min="13829" max="13829" width="23.54296875" customWidth="1"/>
    <col min="14082" max="14082" width="39.81640625" bestFit="1" customWidth="1"/>
    <col min="14083" max="14083" width="8.81640625" customWidth="1"/>
    <col min="14084" max="14084" width="40" bestFit="1" customWidth="1"/>
    <col min="14085" max="14085" width="23.54296875" customWidth="1"/>
    <col min="14338" max="14338" width="39.81640625" bestFit="1" customWidth="1"/>
    <col min="14339" max="14339" width="8.81640625" customWidth="1"/>
    <col min="14340" max="14340" width="40" bestFit="1" customWidth="1"/>
    <col min="14341" max="14341" width="23.54296875" customWidth="1"/>
    <col min="14594" max="14594" width="39.81640625" bestFit="1" customWidth="1"/>
    <col min="14595" max="14595" width="8.81640625" customWidth="1"/>
    <col min="14596" max="14596" width="40" bestFit="1" customWidth="1"/>
    <col min="14597" max="14597" width="23.54296875" customWidth="1"/>
    <col min="14850" max="14850" width="39.81640625" bestFit="1" customWidth="1"/>
    <col min="14851" max="14851" width="8.81640625" customWidth="1"/>
    <col min="14852" max="14852" width="40" bestFit="1" customWidth="1"/>
    <col min="14853" max="14853" width="23.54296875" customWidth="1"/>
    <col min="15106" max="15106" width="39.81640625" bestFit="1" customWidth="1"/>
    <col min="15107" max="15107" width="8.81640625" customWidth="1"/>
    <col min="15108" max="15108" width="40" bestFit="1" customWidth="1"/>
    <col min="15109" max="15109" width="23.54296875" customWidth="1"/>
    <col min="15362" max="15362" width="39.81640625" bestFit="1" customWidth="1"/>
    <col min="15363" max="15363" width="8.81640625" customWidth="1"/>
    <col min="15364" max="15364" width="40" bestFit="1" customWidth="1"/>
    <col min="15365" max="15365" width="23.54296875" customWidth="1"/>
    <col min="15618" max="15618" width="39.81640625" bestFit="1" customWidth="1"/>
    <col min="15619" max="15619" width="8.81640625" customWidth="1"/>
    <col min="15620" max="15620" width="40" bestFit="1" customWidth="1"/>
    <col min="15621" max="15621" width="23.54296875" customWidth="1"/>
    <col min="15874" max="15874" width="39.81640625" bestFit="1" customWidth="1"/>
    <col min="15875" max="15875" width="8.81640625" customWidth="1"/>
    <col min="15876" max="15876" width="40" bestFit="1" customWidth="1"/>
    <col min="15877" max="15877" width="23.54296875" customWidth="1"/>
    <col min="16130" max="16130" width="39.81640625" bestFit="1" customWidth="1"/>
    <col min="16131" max="16131" width="8.81640625" customWidth="1"/>
    <col min="16132" max="16132" width="40" bestFit="1" customWidth="1"/>
    <col min="16133" max="16133" width="23.54296875" customWidth="1"/>
  </cols>
  <sheetData>
    <row r="1" spans="1:5" x14ac:dyDescent="0.35">
      <c r="A1" s="2"/>
      <c r="B1" s="2"/>
      <c r="C1" s="3"/>
      <c r="D1" s="2"/>
      <c r="E1" s="2"/>
    </row>
    <row r="2" spans="1:5" x14ac:dyDescent="0.35">
      <c r="A2" s="2"/>
      <c r="B2" s="2"/>
      <c r="C2" s="3"/>
      <c r="D2" s="2"/>
      <c r="E2" s="2"/>
    </row>
    <row r="3" spans="1:5" x14ac:dyDescent="0.35">
      <c r="A3" s="2"/>
      <c r="B3" s="2"/>
      <c r="C3" s="3"/>
      <c r="D3" s="2"/>
      <c r="E3" s="2"/>
    </row>
    <row r="4" spans="1:5" x14ac:dyDescent="0.35">
      <c r="A4" s="2"/>
      <c r="B4" s="2"/>
      <c r="C4" s="3"/>
      <c r="D4" s="2"/>
      <c r="E4" s="2"/>
    </row>
    <row r="5" spans="1:5" x14ac:dyDescent="0.35">
      <c r="A5" s="2"/>
      <c r="B5" s="2"/>
      <c r="C5" s="3"/>
      <c r="D5" s="2"/>
      <c r="E5" s="2"/>
    </row>
    <row r="6" spans="1:5" ht="15" thickBot="1" x14ac:dyDescent="0.4">
      <c r="A6" s="2"/>
      <c r="B6" s="2"/>
      <c r="C6" s="3"/>
      <c r="D6" s="2"/>
      <c r="E6" s="2"/>
    </row>
    <row r="7" spans="1:5" ht="18" thickBot="1" x14ac:dyDescent="0.4">
      <c r="A7" s="2"/>
      <c r="B7" s="180" t="s">
        <v>12</v>
      </c>
      <c r="C7" s="181"/>
      <c r="D7" s="181"/>
      <c r="E7" s="2"/>
    </row>
    <row r="8" spans="1:5" x14ac:dyDescent="0.35">
      <c r="A8" s="2"/>
      <c r="B8" s="2"/>
      <c r="C8" s="3"/>
      <c r="D8" s="2"/>
      <c r="E8" s="2"/>
    </row>
    <row r="9" spans="1:5" x14ac:dyDescent="0.35">
      <c r="A9" s="2"/>
      <c r="B9" s="2"/>
      <c r="C9" s="3"/>
      <c r="D9" s="2"/>
      <c r="E9" s="2"/>
    </row>
    <row r="10" spans="1:5" x14ac:dyDescent="0.35">
      <c r="A10" s="2"/>
      <c r="B10" s="4" t="s">
        <v>13</v>
      </c>
      <c r="C10" s="5" t="s">
        <v>14</v>
      </c>
      <c r="D10" s="6" t="s">
        <v>15</v>
      </c>
      <c r="E10" s="2"/>
    </row>
    <row r="11" spans="1:5" x14ac:dyDescent="0.35">
      <c r="A11" s="2"/>
      <c r="B11" s="4" t="s">
        <v>16</v>
      </c>
      <c r="C11" s="5" t="s">
        <v>14</v>
      </c>
      <c r="D11" s="7" t="s">
        <v>17</v>
      </c>
      <c r="E11" s="2"/>
    </row>
    <row r="12" spans="1:5" x14ac:dyDescent="0.35">
      <c r="A12" s="2"/>
      <c r="B12" s="4" t="s">
        <v>18</v>
      </c>
      <c r="C12" s="5" t="s">
        <v>14</v>
      </c>
      <c r="D12" s="6" t="s">
        <v>19</v>
      </c>
      <c r="E12" s="2"/>
    </row>
    <row r="13" spans="1:5" x14ac:dyDescent="0.35">
      <c r="A13" s="2"/>
      <c r="B13" s="4" t="s">
        <v>20</v>
      </c>
      <c r="C13" s="5" t="s">
        <v>14</v>
      </c>
      <c r="D13" s="6" t="s">
        <v>21</v>
      </c>
      <c r="E13" s="2"/>
    </row>
    <row r="14" spans="1:5" x14ac:dyDescent="0.35">
      <c r="A14" s="2"/>
      <c r="B14" s="4" t="s">
        <v>22</v>
      </c>
      <c r="C14" s="5" t="s">
        <v>14</v>
      </c>
      <c r="D14" s="8" t="s">
        <v>23</v>
      </c>
      <c r="E14" s="2"/>
    </row>
    <row r="15" spans="1:5" x14ac:dyDescent="0.35">
      <c r="A15" s="2"/>
      <c r="B15" s="2"/>
      <c r="C15" s="3"/>
      <c r="D15" s="2"/>
      <c r="E15" s="2"/>
    </row>
    <row r="16" spans="1:5" x14ac:dyDescent="0.35">
      <c r="A16" s="2"/>
      <c r="B16" s="9" t="s">
        <v>24</v>
      </c>
      <c r="C16" s="10" t="s">
        <v>14</v>
      </c>
      <c r="D16" s="10" t="s">
        <v>25</v>
      </c>
    </row>
    <row r="17" spans="1:4" ht="54" x14ac:dyDescent="0.35">
      <c r="A17" s="2"/>
      <c r="B17" s="11" t="s">
        <v>26</v>
      </c>
      <c r="C17" s="5" t="s">
        <v>14</v>
      </c>
      <c r="D17" s="12" t="s">
        <v>27</v>
      </c>
    </row>
    <row r="18" spans="1:4" ht="27" x14ac:dyDescent="0.35">
      <c r="A18" s="2"/>
      <c r="B18" s="11" t="s">
        <v>28</v>
      </c>
      <c r="C18" s="5"/>
      <c r="D18" s="12" t="s">
        <v>29</v>
      </c>
    </row>
    <row r="19" spans="1:4" x14ac:dyDescent="0.35">
      <c r="A19" s="2"/>
      <c r="B19" s="11" t="s">
        <v>30</v>
      </c>
      <c r="C19" s="5" t="s">
        <v>14</v>
      </c>
      <c r="D19" s="12" t="s">
        <v>31</v>
      </c>
    </row>
    <row r="20" spans="1:4" x14ac:dyDescent="0.35">
      <c r="A20" s="2"/>
      <c r="B20" s="11" t="s">
        <v>32</v>
      </c>
      <c r="C20" s="5" t="s">
        <v>14</v>
      </c>
      <c r="D20" s="12" t="s">
        <v>29</v>
      </c>
    </row>
    <row r="21" spans="1:4" x14ac:dyDescent="0.35">
      <c r="A21" s="2"/>
      <c r="B21" s="11" t="s">
        <v>33</v>
      </c>
      <c r="C21" s="5" t="s">
        <v>14</v>
      </c>
      <c r="D21" s="12" t="s">
        <v>34</v>
      </c>
    </row>
    <row r="22" spans="1:4" ht="27" x14ac:dyDescent="0.35">
      <c r="A22" s="2"/>
      <c r="B22" s="11" t="s">
        <v>35</v>
      </c>
      <c r="C22" s="5" t="s">
        <v>14</v>
      </c>
      <c r="D22" s="12" t="s">
        <v>36</v>
      </c>
    </row>
    <row r="23" spans="1:4" x14ac:dyDescent="0.35">
      <c r="A23" s="2"/>
      <c r="B23" s="11" t="s">
        <v>37</v>
      </c>
      <c r="C23" s="5" t="s">
        <v>14</v>
      </c>
      <c r="D23" s="12" t="s">
        <v>29</v>
      </c>
    </row>
    <row r="24" spans="1:4" ht="27" x14ac:dyDescent="0.35">
      <c r="A24" s="2"/>
      <c r="B24" s="11" t="s">
        <v>38</v>
      </c>
      <c r="C24" s="5" t="s">
        <v>14</v>
      </c>
      <c r="D24" s="12" t="s">
        <v>39</v>
      </c>
    </row>
    <row r="25" spans="1:4" ht="135" x14ac:dyDescent="0.35">
      <c r="A25" s="2"/>
      <c r="B25" s="11" t="s">
        <v>40</v>
      </c>
      <c r="C25" s="5" t="s">
        <v>14</v>
      </c>
      <c r="D25" s="12" t="s">
        <v>41</v>
      </c>
    </row>
    <row r="26" spans="1:4" ht="27" x14ac:dyDescent="0.35">
      <c r="A26" s="2"/>
      <c r="B26" s="11" t="s">
        <v>42</v>
      </c>
      <c r="C26" s="5" t="s">
        <v>14</v>
      </c>
      <c r="D26" s="12" t="s">
        <v>43</v>
      </c>
    </row>
    <row r="27" spans="1:4" x14ac:dyDescent="0.35">
      <c r="A27" s="2"/>
      <c r="B27" s="11" t="s">
        <v>44</v>
      </c>
      <c r="C27" s="5" t="s">
        <v>14</v>
      </c>
      <c r="D27" s="12" t="s">
        <v>39</v>
      </c>
    </row>
    <row r="28" spans="1:4" x14ac:dyDescent="0.35">
      <c r="A28" s="2"/>
      <c r="B28" s="11" t="s">
        <v>45</v>
      </c>
      <c r="C28" s="5" t="s">
        <v>14</v>
      </c>
      <c r="D28" s="12" t="s">
        <v>46</v>
      </c>
    </row>
    <row r="29" spans="1:4" x14ac:dyDescent="0.35">
      <c r="A29" s="2"/>
      <c r="B29" s="11" t="s">
        <v>47</v>
      </c>
      <c r="C29" s="5" t="s">
        <v>14</v>
      </c>
      <c r="D29" s="12" t="s">
        <v>43</v>
      </c>
    </row>
    <row r="30" spans="1:4" ht="27" x14ac:dyDescent="0.35">
      <c r="A30" s="2"/>
      <c r="B30" s="11" t="s">
        <v>48</v>
      </c>
      <c r="C30" s="5" t="s">
        <v>14</v>
      </c>
      <c r="D30" s="13" t="s">
        <v>49</v>
      </c>
    </row>
    <row r="31" spans="1:4" x14ac:dyDescent="0.35">
      <c r="A31" s="2"/>
      <c r="B31" s="11" t="s">
        <v>50</v>
      </c>
      <c r="C31" s="5" t="s">
        <v>14</v>
      </c>
      <c r="D31" s="13" t="s">
        <v>43</v>
      </c>
    </row>
    <row r="32" spans="1:4" ht="27" x14ac:dyDescent="0.35">
      <c r="A32" s="2"/>
      <c r="B32" s="14" t="s">
        <v>51</v>
      </c>
      <c r="C32" s="5" t="s">
        <v>14</v>
      </c>
      <c r="D32" s="12" t="s">
        <v>52</v>
      </c>
    </row>
    <row r="33" spans="1:4" ht="229.5" x14ac:dyDescent="0.35">
      <c r="A33" s="2"/>
      <c r="B33" s="14" t="s">
        <v>53</v>
      </c>
      <c r="C33" s="5" t="s">
        <v>14</v>
      </c>
      <c r="D33" s="15" t="s">
        <v>54</v>
      </c>
    </row>
    <row r="34" spans="1:4" ht="40.5" x14ac:dyDescent="0.35">
      <c r="A34" s="2"/>
      <c r="B34" s="11" t="s">
        <v>55</v>
      </c>
      <c r="C34" s="5" t="s">
        <v>14</v>
      </c>
      <c r="D34" s="12" t="s">
        <v>56</v>
      </c>
    </row>
    <row r="35" spans="1:4" ht="54" x14ac:dyDescent="0.35">
      <c r="A35" s="2"/>
      <c r="B35" s="11" t="s">
        <v>57</v>
      </c>
      <c r="C35" s="5"/>
      <c r="D35" s="12" t="s">
        <v>58</v>
      </c>
    </row>
    <row r="36" spans="1:4" x14ac:dyDescent="0.35">
      <c r="A36" s="2"/>
      <c r="B36" s="11" t="s">
        <v>59</v>
      </c>
      <c r="C36" s="5"/>
      <c r="D36" s="12" t="s">
        <v>60</v>
      </c>
    </row>
    <row r="37" spans="1:4" ht="40.5" x14ac:dyDescent="0.35">
      <c r="A37" s="2"/>
      <c r="B37" s="11" t="s">
        <v>61</v>
      </c>
      <c r="C37" s="5"/>
      <c r="D37" s="12" t="s">
        <v>62</v>
      </c>
    </row>
    <row r="38" spans="1:4" ht="27" x14ac:dyDescent="0.35">
      <c r="A38" s="2"/>
      <c r="B38" s="11" t="s">
        <v>63</v>
      </c>
      <c r="C38" s="5" t="s">
        <v>14</v>
      </c>
      <c r="D38" s="12" t="s">
        <v>64</v>
      </c>
    </row>
    <row r="39" spans="1:4" ht="27" x14ac:dyDescent="0.35">
      <c r="A39" s="2"/>
      <c r="B39" s="11" t="s">
        <v>65</v>
      </c>
      <c r="C39" s="5" t="s">
        <v>14</v>
      </c>
      <c r="D39" s="12" t="s">
        <v>66</v>
      </c>
    </row>
    <row r="40" spans="1:4" x14ac:dyDescent="0.35">
      <c r="A40" s="2"/>
      <c r="B40" s="11" t="s">
        <v>67</v>
      </c>
      <c r="C40" s="5" t="s">
        <v>14</v>
      </c>
      <c r="D40" s="12" t="s">
        <v>68</v>
      </c>
    </row>
    <row r="41" spans="1:4" ht="40.5" x14ac:dyDescent="0.35">
      <c r="A41" s="2"/>
      <c r="B41" s="11" t="s">
        <v>69</v>
      </c>
      <c r="C41" s="5" t="s">
        <v>14</v>
      </c>
      <c r="D41" s="12" t="s">
        <v>70</v>
      </c>
    </row>
    <row r="42" spans="1:4" ht="108" x14ac:dyDescent="0.35">
      <c r="A42" s="2"/>
      <c r="B42" s="11" t="s">
        <v>71</v>
      </c>
      <c r="C42" s="5" t="s">
        <v>14</v>
      </c>
      <c r="D42" s="12" t="s">
        <v>72</v>
      </c>
    </row>
    <row r="43" spans="1:4" x14ac:dyDescent="0.35">
      <c r="A43" s="2"/>
      <c r="B43" s="11" t="s">
        <v>73</v>
      </c>
      <c r="C43" s="5" t="s">
        <v>14</v>
      </c>
      <c r="D43" s="12" t="s">
        <v>74</v>
      </c>
    </row>
    <row r="44" spans="1:4" x14ac:dyDescent="0.35">
      <c r="A44" s="2"/>
      <c r="B44" s="11" t="s">
        <v>75</v>
      </c>
      <c r="C44" s="5" t="s">
        <v>14</v>
      </c>
      <c r="D44" s="12" t="s">
        <v>76</v>
      </c>
    </row>
    <row r="45" spans="1:4" x14ac:dyDescent="0.35">
      <c r="A45" s="2"/>
      <c r="B45" s="11" t="s">
        <v>77</v>
      </c>
      <c r="C45" s="5" t="s">
        <v>14</v>
      </c>
      <c r="D45" s="12"/>
    </row>
  </sheetData>
  <mergeCells count="1">
    <mergeCell ref="B7:D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861CF-3D9A-427D-81A0-3A0BEAE4226F}">
  <dimension ref="A1:E78"/>
  <sheetViews>
    <sheetView showGridLines="0" tabSelected="1" zoomScaleNormal="100" workbookViewId="0">
      <selection activeCell="D11" sqref="D11"/>
    </sheetView>
  </sheetViews>
  <sheetFormatPr defaultRowHeight="14.5" x14ac:dyDescent="0.35"/>
  <cols>
    <col min="1" max="1" width="39.81640625" style="27" customWidth="1"/>
    <col min="2" max="3" width="22.81640625" style="31" customWidth="1"/>
    <col min="4" max="4" width="38.81640625" style="31" customWidth="1"/>
    <col min="5" max="5" width="12.54296875" customWidth="1"/>
    <col min="6" max="6" width="43.81640625" customWidth="1"/>
  </cols>
  <sheetData>
    <row r="1" spans="1:4" ht="19.5" x14ac:dyDescent="0.35">
      <c r="A1" s="168" t="s">
        <v>78</v>
      </c>
      <c r="B1" s="168"/>
      <c r="C1" s="168"/>
      <c r="D1" s="168"/>
    </row>
    <row r="2" spans="1:4" ht="14.75" customHeight="1" x14ac:dyDescent="0.35">
      <c r="A2" s="29" t="s">
        <v>13</v>
      </c>
      <c r="B2" s="170" t="str">
        <f>'Company Info'!B5</f>
        <v>ABC Pvt Ltd</v>
      </c>
      <c r="C2" s="170"/>
      <c r="D2" s="170"/>
    </row>
    <row r="3" spans="1:4" x14ac:dyDescent="0.35">
      <c r="A3" s="29" t="s">
        <v>79</v>
      </c>
      <c r="B3" s="171" t="s">
        <v>80</v>
      </c>
      <c r="C3" s="171"/>
      <c r="D3" s="171"/>
    </row>
    <row r="4" spans="1:4" x14ac:dyDescent="0.35">
      <c r="A4" s="29" t="s">
        <v>81</v>
      </c>
      <c r="B4" s="171" t="s">
        <v>82</v>
      </c>
      <c r="C4" s="171"/>
      <c r="D4" s="171"/>
    </row>
    <row r="5" spans="1:4" x14ac:dyDescent="0.35">
      <c r="A5" s="29" t="s">
        <v>83</v>
      </c>
      <c r="B5" s="172"/>
      <c r="C5" s="172"/>
      <c r="D5" s="172"/>
    </row>
    <row r="6" spans="1:4" x14ac:dyDescent="0.35">
      <c r="A6" s="29" t="s">
        <v>84</v>
      </c>
      <c r="B6" s="173"/>
      <c r="C6" s="173"/>
      <c r="D6" s="173"/>
    </row>
    <row r="7" spans="1:4" x14ac:dyDescent="0.35">
      <c r="A7" s="29" t="s">
        <v>85</v>
      </c>
      <c r="B7" s="173"/>
      <c r="C7" s="173"/>
      <c r="D7" s="173"/>
    </row>
    <row r="8" spans="1:4" x14ac:dyDescent="0.35">
      <c r="A8" s="29" t="s">
        <v>86</v>
      </c>
      <c r="B8" s="173"/>
      <c r="C8" s="173"/>
      <c r="D8" s="173"/>
    </row>
    <row r="9" spans="1:4" x14ac:dyDescent="0.35">
      <c r="A9" s="169" t="s">
        <v>87</v>
      </c>
      <c r="B9" s="169"/>
      <c r="C9" s="169"/>
      <c r="D9" s="169"/>
    </row>
    <row r="10" spans="1:4" x14ac:dyDescent="0.35">
      <c r="A10" s="33"/>
      <c r="B10" s="34" t="s">
        <v>88</v>
      </c>
      <c r="C10" s="34" t="s">
        <v>89</v>
      </c>
      <c r="D10" s="34" t="s">
        <v>289</v>
      </c>
    </row>
    <row r="11" spans="1:4" x14ac:dyDescent="0.35">
      <c r="A11" s="26" t="s">
        <v>90</v>
      </c>
      <c r="B11" s="32" t="s">
        <v>91</v>
      </c>
      <c r="C11" s="32" t="s">
        <v>91</v>
      </c>
      <c r="D11" s="154">
        <v>300000</v>
      </c>
    </row>
    <row r="12" spans="1:4" x14ac:dyDescent="0.35">
      <c r="A12" s="26" t="s">
        <v>92</v>
      </c>
      <c r="B12" s="32" t="s">
        <v>91</v>
      </c>
      <c r="C12" s="32" t="s">
        <v>91</v>
      </c>
      <c r="D12" s="154">
        <v>500000</v>
      </c>
    </row>
    <row r="13" spans="1:4" x14ac:dyDescent="0.35">
      <c r="A13" s="26" t="s">
        <v>93</v>
      </c>
      <c r="B13" s="32" t="s">
        <v>91</v>
      </c>
      <c r="C13" s="32" t="s">
        <v>91</v>
      </c>
      <c r="D13" s="154">
        <f>'Renewal Quote Predict'!C14</f>
        <v>370000</v>
      </c>
    </row>
    <row r="14" spans="1:4" x14ac:dyDescent="0.35">
      <c r="A14" s="26" t="s">
        <v>94</v>
      </c>
      <c r="B14" s="32" t="s">
        <v>91</v>
      </c>
      <c r="C14" s="32" t="s">
        <v>91</v>
      </c>
      <c r="D14" s="154">
        <f>'Renewal Quote Predict'!C18</f>
        <v>432160</v>
      </c>
    </row>
    <row r="15" spans="1:4" x14ac:dyDescent="0.35">
      <c r="A15" s="26" t="s">
        <v>95</v>
      </c>
      <c r="B15" s="144" t="e">
        <f>B14/B12</f>
        <v>#VALUE!</v>
      </c>
      <c r="C15" s="144" t="e">
        <f>C14/C12</f>
        <v>#VALUE!</v>
      </c>
      <c r="D15" s="155">
        <f>D14/D12</f>
        <v>0.86431999999999998</v>
      </c>
    </row>
    <row r="16" spans="1:4" x14ac:dyDescent="0.35">
      <c r="A16" s="26" t="s">
        <v>295</v>
      </c>
      <c r="B16" s="156" t="e">
        <f>B14/(B19*B12/B11)</f>
        <v>#VALUE!</v>
      </c>
      <c r="C16" s="156" t="e">
        <f>C14/(C19*C12/C11)</f>
        <v>#VALUE!</v>
      </c>
      <c r="D16" s="156">
        <f>D14/(D19*D12/D11)</f>
        <v>2592.96</v>
      </c>
    </row>
    <row r="17" spans="1:4" x14ac:dyDescent="0.35">
      <c r="A17" s="26" t="s">
        <v>96</v>
      </c>
      <c r="B17" s="141" t="s">
        <v>91</v>
      </c>
      <c r="C17" s="141" t="s">
        <v>91</v>
      </c>
      <c r="D17" s="141">
        <f>'Renewal Quote Predict'!C5</f>
        <v>46077</v>
      </c>
    </row>
    <row r="18" spans="1:4" x14ac:dyDescent="0.35">
      <c r="A18" s="26" t="s">
        <v>97</v>
      </c>
      <c r="B18" s="143"/>
      <c r="C18" s="143"/>
      <c r="D18" s="143">
        <f>B6</f>
        <v>0</v>
      </c>
    </row>
    <row r="19" spans="1:4" x14ac:dyDescent="0.35">
      <c r="A19" s="26" t="s">
        <v>98</v>
      </c>
      <c r="B19" s="128"/>
      <c r="C19" s="128"/>
      <c r="D19" s="143">
        <f>B27</f>
        <v>100</v>
      </c>
    </row>
    <row r="20" spans="1:4" x14ac:dyDescent="0.35">
      <c r="A20" s="26" t="s">
        <v>99</v>
      </c>
      <c r="B20" s="128"/>
      <c r="C20" s="128"/>
      <c r="D20" s="143">
        <f>C27</f>
        <v>200</v>
      </c>
    </row>
    <row r="21" spans="1:4" x14ac:dyDescent="0.35">
      <c r="A21" s="169" t="s">
        <v>100</v>
      </c>
      <c r="B21" s="169"/>
      <c r="C21" s="169"/>
      <c r="D21" s="169"/>
    </row>
    <row r="22" spans="1:4" ht="14.75" customHeight="1" x14ac:dyDescent="0.35">
      <c r="A22" s="33"/>
      <c r="B22" s="34" t="s">
        <v>290</v>
      </c>
      <c r="C22" s="34" t="s">
        <v>291</v>
      </c>
      <c r="D22" s="34" t="s">
        <v>292</v>
      </c>
    </row>
    <row r="23" spans="1:4" x14ac:dyDescent="0.35">
      <c r="A23" s="30" t="s">
        <v>101</v>
      </c>
      <c r="B23" s="143">
        <v>100</v>
      </c>
      <c r="C23" s="128">
        <v>200</v>
      </c>
      <c r="D23" s="143">
        <v>200</v>
      </c>
    </row>
    <row r="24" spans="1:4" x14ac:dyDescent="0.35">
      <c r="A24" s="30" t="s">
        <v>102</v>
      </c>
      <c r="B24" s="143"/>
      <c r="C24" s="128"/>
      <c r="D24" s="143"/>
    </row>
    <row r="25" spans="1:4" x14ac:dyDescent="0.35">
      <c r="A25" s="30" t="s">
        <v>103</v>
      </c>
      <c r="B25" s="143"/>
      <c r="C25" s="128"/>
      <c r="D25" s="143"/>
    </row>
    <row r="26" spans="1:4" x14ac:dyDescent="0.35">
      <c r="A26" s="30" t="s">
        <v>104</v>
      </c>
      <c r="B26" s="143"/>
      <c r="C26" s="128"/>
      <c r="D26" s="143"/>
    </row>
    <row r="27" spans="1:4" x14ac:dyDescent="0.35">
      <c r="A27" s="30" t="s">
        <v>105</v>
      </c>
      <c r="B27" s="143">
        <f>SUM(B23:B26)</f>
        <v>100</v>
      </c>
      <c r="C27" s="143">
        <f>SUM(C23:C26)</f>
        <v>200</v>
      </c>
      <c r="D27" s="143">
        <f>SUM(D23:D26)</f>
        <v>200</v>
      </c>
    </row>
    <row r="28" spans="1:4" s="140" customFormat="1" ht="15" customHeight="1" x14ac:dyDescent="0.35">
      <c r="A28" s="139" t="s">
        <v>106</v>
      </c>
      <c r="B28" s="174" t="s">
        <v>107</v>
      </c>
      <c r="C28" s="174"/>
      <c r="D28" s="174"/>
    </row>
    <row r="29" spans="1:4" x14ac:dyDescent="0.35">
      <c r="A29" s="169" t="s">
        <v>108</v>
      </c>
      <c r="B29" s="169"/>
      <c r="C29" s="169"/>
      <c r="D29" s="169"/>
    </row>
    <row r="30" spans="1:4" x14ac:dyDescent="0.35">
      <c r="A30" s="36" t="s">
        <v>109</v>
      </c>
      <c r="B30" s="175" t="s">
        <v>110</v>
      </c>
      <c r="C30" s="175"/>
      <c r="D30" s="36" t="s">
        <v>111</v>
      </c>
    </row>
    <row r="31" spans="1:4" x14ac:dyDescent="0.35">
      <c r="A31" s="28" t="s">
        <v>26</v>
      </c>
      <c r="B31" s="161" t="s">
        <v>112</v>
      </c>
      <c r="C31" s="161"/>
      <c r="D31" s="149" t="s">
        <v>113</v>
      </c>
    </row>
    <row r="32" spans="1:4" x14ac:dyDescent="0.35">
      <c r="A32" s="28" t="s">
        <v>30</v>
      </c>
      <c r="B32" s="161" t="s">
        <v>114</v>
      </c>
      <c r="C32" s="161"/>
      <c r="D32" s="149" t="s">
        <v>113</v>
      </c>
    </row>
    <row r="33" spans="1:4" x14ac:dyDescent="0.35">
      <c r="A33" s="122" t="s">
        <v>79</v>
      </c>
      <c r="B33" s="176" t="s">
        <v>115</v>
      </c>
      <c r="C33" s="176"/>
      <c r="D33" s="150" t="s">
        <v>113</v>
      </c>
    </row>
    <row r="34" spans="1:4" x14ac:dyDescent="0.35">
      <c r="A34" s="28" t="s">
        <v>116</v>
      </c>
      <c r="B34" s="163" t="s">
        <v>117</v>
      </c>
      <c r="C34" s="163"/>
      <c r="D34" s="149" t="s">
        <v>113</v>
      </c>
    </row>
    <row r="35" spans="1:4" x14ac:dyDescent="0.35">
      <c r="A35" s="28" t="s">
        <v>118</v>
      </c>
      <c r="B35" s="161" t="s">
        <v>119</v>
      </c>
      <c r="C35" s="161"/>
      <c r="D35" s="149" t="s">
        <v>113</v>
      </c>
    </row>
    <row r="36" spans="1:4" x14ac:dyDescent="0.35">
      <c r="A36" s="28" t="s">
        <v>120</v>
      </c>
      <c r="B36" s="161" t="s">
        <v>119</v>
      </c>
      <c r="C36" s="161"/>
      <c r="D36" s="149" t="s">
        <v>113</v>
      </c>
    </row>
    <row r="37" spans="1:4" ht="31.25" customHeight="1" x14ac:dyDescent="0.35">
      <c r="A37" s="28" t="s">
        <v>121</v>
      </c>
      <c r="B37" s="161" t="s">
        <v>122</v>
      </c>
      <c r="C37" s="161"/>
      <c r="D37" s="149" t="s">
        <v>113</v>
      </c>
    </row>
    <row r="38" spans="1:4" x14ac:dyDescent="0.35">
      <c r="A38" s="35" t="s">
        <v>123</v>
      </c>
      <c r="B38" s="177" t="s">
        <v>124</v>
      </c>
      <c r="C38" s="177"/>
      <c r="D38" s="152" t="s">
        <v>113</v>
      </c>
    </row>
    <row r="39" spans="1:4" ht="30.65" customHeight="1" x14ac:dyDescent="0.35">
      <c r="A39" s="28" t="s">
        <v>55</v>
      </c>
      <c r="B39" s="163" t="s">
        <v>125</v>
      </c>
      <c r="C39" s="163"/>
      <c r="D39" s="149" t="s">
        <v>113</v>
      </c>
    </row>
    <row r="40" spans="1:4" x14ac:dyDescent="0.35">
      <c r="A40" s="35" t="s">
        <v>126</v>
      </c>
      <c r="B40" s="178" t="s">
        <v>127</v>
      </c>
      <c r="C40" s="178"/>
      <c r="D40" s="152" t="s">
        <v>113</v>
      </c>
    </row>
    <row r="41" spans="1:4" x14ac:dyDescent="0.35">
      <c r="A41" s="40" t="s">
        <v>128</v>
      </c>
      <c r="B41" s="163" t="s">
        <v>129</v>
      </c>
      <c r="C41" s="163"/>
      <c r="D41" s="149" t="s">
        <v>129</v>
      </c>
    </row>
    <row r="42" spans="1:4" x14ac:dyDescent="0.35">
      <c r="A42" s="28" t="s">
        <v>130</v>
      </c>
      <c r="B42" s="163" t="s">
        <v>131</v>
      </c>
      <c r="C42" s="163"/>
      <c r="D42" s="149" t="s">
        <v>132</v>
      </c>
    </row>
    <row r="43" spans="1:4" x14ac:dyDescent="0.35">
      <c r="A43" s="28" t="s">
        <v>133</v>
      </c>
      <c r="B43" s="179">
        <f>B7</f>
        <v>0</v>
      </c>
      <c r="C43" s="179"/>
      <c r="D43" s="149" t="s">
        <v>129</v>
      </c>
    </row>
    <row r="44" spans="1:4" x14ac:dyDescent="0.35">
      <c r="A44" s="35" t="s">
        <v>134</v>
      </c>
      <c r="B44" s="176" t="s">
        <v>43</v>
      </c>
      <c r="C44" s="176"/>
      <c r="D44" s="153" t="s">
        <v>43</v>
      </c>
    </row>
    <row r="45" spans="1:4" x14ac:dyDescent="0.35">
      <c r="A45" s="35" t="s">
        <v>135</v>
      </c>
      <c r="B45" s="157" t="s">
        <v>136</v>
      </c>
      <c r="C45" s="157"/>
      <c r="D45" s="152" t="s">
        <v>113</v>
      </c>
    </row>
    <row r="46" spans="1:4" x14ac:dyDescent="0.35">
      <c r="A46" s="35" t="s">
        <v>137</v>
      </c>
      <c r="B46" s="158" t="s">
        <v>138</v>
      </c>
      <c r="C46" s="158"/>
      <c r="D46" s="152" t="s">
        <v>113</v>
      </c>
    </row>
    <row r="47" spans="1:4" x14ac:dyDescent="0.35">
      <c r="A47" s="35" t="s">
        <v>139</v>
      </c>
      <c r="B47" s="162" t="s">
        <v>140</v>
      </c>
      <c r="C47" s="162"/>
      <c r="D47" s="152" t="s">
        <v>113</v>
      </c>
    </row>
    <row r="48" spans="1:4" x14ac:dyDescent="0.35">
      <c r="A48" s="35" t="s">
        <v>141</v>
      </c>
      <c r="B48" s="162" t="s">
        <v>140</v>
      </c>
      <c r="C48" s="162"/>
      <c r="D48" s="152" t="s">
        <v>113</v>
      </c>
    </row>
    <row r="49" spans="1:5" x14ac:dyDescent="0.35">
      <c r="A49" s="35" t="s">
        <v>142</v>
      </c>
      <c r="B49" s="162" t="s">
        <v>140</v>
      </c>
      <c r="C49" s="162"/>
      <c r="D49" s="152" t="s">
        <v>113</v>
      </c>
    </row>
    <row r="50" spans="1:5" ht="28.25" customHeight="1" x14ac:dyDescent="0.35">
      <c r="A50" s="28" t="s">
        <v>143</v>
      </c>
      <c r="B50" s="163" t="s">
        <v>144</v>
      </c>
      <c r="C50" s="166"/>
      <c r="D50" s="149" t="s">
        <v>113</v>
      </c>
    </row>
    <row r="51" spans="1:5" x14ac:dyDescent="0.35">
      <c r="A51" s="35" t="s">
        <v>145</v>
      </c>
      <c r="B51" s="162" t="s">
        <v>140</v>
      </c>
      <c r="C51" s="162"/>
      <c r="D51" s="152" t="s">
        <v>113</v>
      </c>
      <c r="E51" s="37"/>
    </row>
    <row r="52" spans="1:5" ht="31.25" customHeight="1" x14ac:dyDescent="0.35">
      <c r="A52" s="35" t="s">
        <v>146</v>
      </c>
      <c r="B52" s="164" t="s">
        <v>147</v>
      </c>
      <c r="C52" s="164"/>
      <c r="D52" s="152" t="s">
        <v>113</v>
      </c>
      <c r="E52" s="38"/>
    </row>
    <row r="53" spans="1:5" x14ac:dyDescent="0.35">
      <c r="A53" s="28" t="s">
        <v>148</v>
      </c>
      <c r="B53" s="163" t="s">
        <v>149</v>
      </c>
      <c r="C53" s="163"/>
      <c r="D53" s="149" t="s">
        <v>113</v>
      </c>
      <c r="E53" s="39"/>
    </row>
    <row r="54" spans="1:5" x14ac:dyDescent="0.35">
      <c r="A54" s="35" t="s">
        <v>150</v>
      </c>
      <c r="B54" s="167" t="s">
        <v>151</v>
      </c>
      <c r="C54" s="167"/>
      <c r="D54" s="152" t="s">
        <v>113</v>
      </c>
    </row>
    <row r="55" spans="1:5" x14ac:dyDescent="0.35">
      <c r="A55" s="35" t="s">
        <v>152</v>
      </c>
      <c r="B55" s="167" t="s">
        <v>29</v>
      </c>
      <c r="C55" s="167"/>
      <c r="D55" s="152" t="s">
        <v>113</v>
      </c>
    </row>
    <row r="56" spans="1:5" x14ac:dyDescent="0.35">
      <c r="A56" s="35" t="s">
        <v>153</v>
      </c>
      <c r="B56" s="160" t="s">
        <v>154</v>
      </c>
      <c r="C56" s="160"/>
      <c r="D56" s="152" t="s">
        <v>113</v>
      </c>
    </row>
    <row r="57" spans="1:5" x14ac:dyDescent="0.35">
      <c r="A57" s="41" t="s">
        <v>155</v>
      </c>
      <c r="B57" s="159" t="s">
        <v>29</v>
      </c>
      <c r="C57" s="159"/>
      <c r="D57" s="152" t="s">
        <v>113</v>
      </c>
    </row>
    <row r="58" spans="1:5" x14ac:dyDescent="0.35">
      <c r="A58" s="35" t="s">
        <v>156</v>
      </c>
      <c r="B58" s="159" t="s">
        <v>29</v>
      </c>
      <c r="C58" s="159"/>
      <c r="D58" s="152" t="s">
        <v>113</v>
      </c>
    </row>
    <row r="59" spans="1:5" x14ac:dyDescent="0.35">
      <c r="A59" s="35" t="s">
        <v>157</v>
      </c>
      <c r="B59" s="159" t="s">
        <v>158</v>
      </c>
      <c r="C59" s="159"/>
      <c r="D59" s="151" t="s">
        <v>113</v>
      </c>
    </row>
    <row r="60" spans="1:5" x14ac:dyDescent="0.35">
      <c r="A60" s="35" t="s">
        <v>159</v>
      </c>
      <c r="B60" s="159" t="s">
        <v>160</v>
      </c>
      <c r="C60" s="159"/>
      <c r="D60" s="151" t="s">
        <v>113</v>
      </c>
    </row>
    <row r="61" spans="1:5" x14ac:dyDescent="0.35">
      <c r="A61" s="35" t="s">
        <v>161</v>
      </c>
      <c r="B61" s="160" t="s">
        <v>154</v>
      </c>
      <c r="C61" s="160"/>
      <c r="D61" s="152" t="s">
        <v>113</v>
      </c>
    </row>
    <row r="62" spans="1:5" x14ac:dyDescent="0.35">
      <c r="A62" s="35" t="s">
        <v>162</v>
      </c>
      <c r="B62" s="159" t="s">
        <v>296</v>
      </c>
      <c r="C62" s="159"/>
      <c r="D62" s="152" t="s">
        <v>113</v>
      </c>
    </row>
    <row r="63" spans="1:5" x14ac:dyDescent="0.35">
      <c r="A63" s="35" t="s">
        <v>163</v>
      </c>
      <c r="B63" s="160" t="s">
        <v>164</v>
      </c>
      <c r="C63" s="160"/>
      <c r="D63" s="152" t="s">
        <v>113</v>
      </c>
    </row>
    <row r="64" spans="1:5" x14ac:dyDescent="0.35">
      <c r="A64" s="35" t="s">
        <v>165</v>
      </c>
      <c r="B64" s="159" t="s">
        <v>166</v>
      </c>
      <c r="C64" s="159"/>
      <c r="D64" s="151" t="s">
        <v>113</v>
      </c>
    </row>
    <row r="65" spans="1:4" ht="29" customHeight="1" x14ac:dyDescent="0.35">
      <c r="A65" s="35" t="s">
        <v>167</v>
      </c>
      <c r="B65" s="160" t="s">
        <v>168</v>
      </c>
      <c r="C65" s="160"/>
      <c r="D65" s="152" t="s">
        <v>113</v>
      </c>
    </row>
    <row r="66" spans="1:4" x14ac:dyDescent="0.35">
      <c r="A66" s="35" t="s">
        <v>169</v>
      </c>
      <c r="B66" s="159" t="s">
        <v>170</v>
      </c>
      <c r="C66" s="159"/>
      <c r="D66" s="152" t="s">
        <v>113</v>
      </c>
    </row>
    <row r="67" spans="1:4" x14ac:dyDescent="0.35">
      <c r="A67" s="35" t="s">
        <v>171</v>
      </c>
      <c r="B67" s="159" t="s">
        <v>172</v>
      </c>
      <c r="C67" s="159"/>
      <c r="D67" s="152" t="s">
        <v>113</v>
      </c>
    </row>
    <row r="68" spans="1:4" x14ac:dyDescent="0.35">
      <c r="A68" s="35" t="s">
        <v>173</v>
      </c>
      <c r="B68" s="159" t="s">
        <v>43</v>
      </c>
      <c r="C68" s="159"/>
      <c r="D68" s="152" t="s">
        <v>113</v>
      </c>
    </row>
    <row r="69" spans="1:4" x14ac:dyDescent="0.35">
      <c r="A69" s="35" t="s">
        <v>174</v>
      </c>
      <c r="B69" s="160" t="s">
        <v>29</v>
      </c>
      <c r="C69" s="160"/>
      <c r="D69" s="152" t="s">
        <v>113</v>
      </c>
    </row>
    <row r="70" spans="1:4" x14ac:dyDescent="0.35">
      <c r="A70" s="35" t="s">
        <v>175</v>
      </c>
      <c r="B70" s="164" t="s">
        <v>176</v>
      </c>
      <c r="C70" s="164"/>
      <c r="D70" s="152" t="s">
        <v>113</v>
      </c>
    </row>
    <row r="71" spans="1:4" x14ac:dyDescent="0.35">
      <c r="A71" s="35" t="s">
        <v>177</v>
      </c>
      <c r="B71" s="160" t="s">
        <v>178</v>
      </c>
      <c r="C71" s="160"/>
      <c r="D71" s="152" t="s">
        <v>113</v>
      </c>
    </row>
    <row r="72" spans="1:4" x14ac:dyDescent="0.35">
      <c r="A72" s="35" t="s">
        <v>179</v>
      </c>
      <c r="B72" s="165" t="s">
        <v>129</v>
      </c>
      <c r="C72" s="165"/>
      <c r="D72" s="151" t="s">
        <v>129</v>
      </c>
    </row>
    <row r="73" spans="1:4" ht="30.65" customHeight="1" x14ac:dyDescent="0.35">
      <c r="A73" s="35" t="s">
        <v>180</v>
      </c>
      <c r="B73" s="165" t="s">
        <v>181</v>
      </c>
      <c r="C73" s="165"/>
      <c r="D73" s="152" t="s">
        <v>113</v>
      </c>
    </row>
    <row r="74" spans="1:4" x14ac:dyDescent="0.35">
      <c r="A74" s="35" t="s">
        <v>182</v>
      </c>
      <c r="B74" s="165" t="s">
        <v>140</v>
      </c>
      <c r="C74" s="165"/>
      <c r="D74" s="151" t="s">
        <v>129</v>
      </c>
    </row>
    <row r="75" spans="1:4" x14ac:dyDescent="0.35">
      <c r="A75" s="35" t="s">
        <v>183</v>
      </c>
      <c r="B75" s="165" t="s">
        <v>184</v>
      </c>
      <c r="C75" s="165"/>
      <c r="D75" s="151" t="s">
        <v>129</v>
      </c>
    </row>
    <row r="76" spans="1:4" x14ac:dyDescent="0.35">
      <c r="A76" s="35" t="s">
        <v>63</v>
      </c>
      <c r="B76" s="165" t="s">
        <v>185</v>
      </c>
      <c r="C76" s="165"/>
      <c r="D76" s="151" t="s">
        <v>129</v>
      </c>
    </row>
    <row r="77" spans="1:4" ht="32.75" customHeight="1" x14ac:dyDescent="0.35">
      <c r="A77" s="35" t="s">
        <v>65</v>
      </c>
      <c r="B77" s="165" t="s">
        <v>186</v>
      </c>
      <c r="C77" s="165"/>
      <c r="D77" s="151" t="s">
        <v>129</v>
      </c>
    </row>
    <row r="78" spans="1:4" x14ac:dyDescent="0.35">
      <c r="A78" s="35" t="s">
        <v>67</v>
      </c>
      <c r="B78" s="165" t="s">
        <v>187</v>
      </c>
      <c r="C78" s="165"/>
      <c r="D78" s="151" t="s">
        <v>129</v>
      </c>
    </row>
  </sheetData>
  <mergeCells count="61">
    <mergeCell ref="B32:C32"/>
    <mergeCell ref="B44:C44"/>
    <mergeCell ref="B31:C31"/>
    <mergeCell ref="B33:C33"/>
    <mergeCell ref="B39:C39"/>
    <mergeCell ref="B35:C35"/>
    <mergeCell ref="B38:C38"/>
    <mergeCell ref="B42:C42"/>
    <mergeCell ref="B41:C41"/>
    <mergeCell ref="B40:C40"/>
    <mergeCell ref="B34:C34"/>
    <mergeCell ref="B37:C37"/>
    <mergeCell ref="B43:C43"/>
    <mergeCell ref="B55:C55"/>
    <mergeCell ref="B56:C56"/>
    <mergeCell ref="B49:C49"/>
    <mergeCell ref="A1:D1"/>
    <mergeCell ref="A9:D9"/>
    <mergeCell ref="A21:D21"/>
    <mergeCell ref="A29:D29"/>
    <mergeCell ref="B2:D2"/>
    <mergeCell ref="B3:D3"/>
    <mergeCell ref="B5:D5"/>
    <mergeCell ref="B6:D6"/>
    <mergeCell ref="B8:D8"/>
    <mergeCell ref="B4:D4"/>
    <mergeCell ref="B7:D7"/>
    <mergeCell ref="B28:D28"/>
    <mergeCell ref="B30:C30"/>
    <mergeCell ref="B47:C47"/>
    <mergeCell ref="B51:C51"/>
    <mergeCell ref="B52:C52"/>
    <mergeCell ref="B77:C77"/>
    <mergeCell ref="B78:C78"/>
    <mergeCell ref="B76:C76"/>
    <mergeCell ref="B72:C72"/>
    <mergeCell ref="B60:C60"/>
    <mergeCell ref="B61:C61"/>
    <mergeCell ref="B75:C75"/>
    <mergeCell ref="B73:C73"/>
    <mergeCell ref="B74:C74"/>
    <mergeCell ref="B71:C71"/>
    <mergeCell ref="B70:C70"/>
    <mergeCell ref="B50:C50"/>
    <mergeCell ref="B54:C54"/>
    <mergeCell ref="B45:C45"/>
    <mergeCell ref="B46:C46"/>
    <mergeCell ref="B68:C68"/>
    <mergeCell ref="B69:C69"/>
    <mergeCell ref="B36:C36"/>
    <mergeCell ref="B66:C66"/>
    <mergeCell ref="B67:C67"/>
    <mergeCell ref="B57:C57"/>
    <mergeCell ref="B58:C58"/>
    <mergeCell ref="B59:C59"/>
    <mergeCell ref="B48:C48"/>
    <mergeCell ref="B53:C53"/>
    <mergeCell ref="B62:C62"/>
    <mergeCell ref="B63:C63"/>
    <mergeCell ref="B64:C64"/>
    <mergeCell ref="B65:C65"/>
  </mergeCells>
  <pageMargins left="0.7" right="0.7" top="0.75" bottom="0.75" header="0.3" footer="0.3"/>
  <pageSetup paperSize="9" orientation="portrait" r:id="rId1"/>
  <ignoredErrors>
    <ignoredError xmlns:x16r3="http://schemas.microsoft.com/office/spreadsheetml/2018/08/main" sqref="B43" x16r3:misleadingFormat="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7EFFA-B389-4D16-B44D-6875FFB53529}">
  <sheetPr codeName="Sheet1"/>
  <dimension ref="A1:W11"/>
  <sheetViews>
    <sheetView showGridLines="0" zoomScale="80" zoomScaleNormal="80" workbookViewId="0">
      <selection activeCell="F1" sqref="F1:F1048576"/>
    </sheetView>
  </sheetViews>
  <sheetFormatPr defaultColWidth="9" defaultRowHeight="14.5" x14ac:dyDescent="0.35"/>
  <cols>
    <col min="1" max="1" width="6.1796875" style="82" customWidth="1"/>
    <col min="2" max="2" width="16.81640625" style="82" bestFit="1" customWidth="1"/>
    <col min="3" max="3" width="23" style="83" customWidth="1"/>
    <col min="4" max="4" width="41.81640625" style="84" customWidth="1"/>
    <col min="5" max="5" width="16.81640625" style="84" bestFit="1" customWidth="1"/>
    <col min="6" max="6" width="9" style="85" bestFit="1" customWidth="1"/>
    <col min="7" max="7" width="13.81640625" style="82" bestFit="1" customWidth="1"/>
    <col min="8" max="8" width="12.1796875" style="82" bestFit="1" customWidth="1"/>
    <col min="9" max="9" width="16" style="86" customWidth="1"/>
    <col min="10" max="10" width="20.453125" style="86" bestFit="1" customWidth="1"/>
    <col min="11" max="11" width="17.1796875" style="83" customWidth="1"/>
    <col min="12" max="12" width="46.54296875" style="83" customWidth="1"/>
    <col min="13" max="13" width="99.1796875" style="83" customWidth="1"/>
    <col min="14" max="14" width="56.81640625" style="83" customWidth="1"/>
    <col min="15" max="15" width="58.81640625" style="83" customWidth="1"/>
    <col min="16" max="16" width="39.81640625" style="83" customWidth="1"/>
    <col min="17" max="17" width="34.81640625" style="83" customWidth="1"/>
    <col min="18" max="18" width="50.1796875" style="83" customWidth="1"/>
    <col min="19" max="19" width="100.1796875" style="83" customWidth="1"/>
    <col min="20" max="20" width="76.81640625" style="83" customWidth="1"/>
    <col min="21" max="21" width="78.1796875" style="83" customWidth="1"/>
    <col min="22" max="22" width="72.81640625" style="83" customWidth="1"/>
    <col min="23" max="23" width="57" style="83" customWidth="1"/>
    <col min="24" max="16384" width="9" style="83"/>
  </cols>
  <sheetData>
    <row r="1" spans="1:23" ht="36.75" customHeight="1" thickBot="1" x14ac:dyDescent="0.5">
      <c r="A1" s="81"/>
      <c r="L1" s="87" t="s">
        <v>188</v>
      </c>
      <c r="M1" s="88">
        <f>COUNT(Table1[S.No.])-COUNTBLANK(Table1[Error])</f>
        <v>9</v>
      </c>
    </row>
    <row r="2" spans="1:23" s="138" customFormat="1" ht="29.5" thickTop="1" x14ac:dyDescent="0.35">
      <c r="A2" s="129" t="s">
        <v>189</v>
      </c>
      <c r="B2" s="130" t="s">
        <v>190</v>
      </c>
      <c r="C2" s="130" t="s">
        <v>191</v>
      </c>
      <c r="D2" s="130" t="s">
        <v>192</v>
      </c>
      <c r="E2" s="131" t="s">
        <v>193</v>
      </c>
      <c r="F2" s="132" t="s">
        <v>194</v>
      </c>
      <c r="G2" s="132" t="s">
        <v>195</v>
      </c>
      <c r="H2" s="130" t="s">
        <v>196</v>
      </c>
      <c r="I2" s="130" t="s">
        <v>197</v>
      </c>
      <c r="J2" s="133" t="s">
        <v>198</v>
      </c>
      <c r="K2" s="134" t="s">
        <v>199</v>
      </c>
      <c r="L2" s="135" t="s">
        <v>200</v>
      </c>
      <c r="M2" s="136" t="s">
        <v>201</v>
      </c>
      <c r="N2" s="137" t="s">
        <v>202</v>
      </c>
      <c r="O2" s="133" t="s">
        <v>203</v>
      </c>
      <c r="P2" s="133" t="s">
        <v>204</v>
      </c>
      <c r="Q2" s="133" t="s">
        <v>205</v>
      </c>
      <c r="R2" s="133" t="s">
        <v>206</v>
      </c>
      <c r="S2" s="133" t="s">
        <v>207</v>
      </c>
      <c r="T2" s="133" t="s">
        <v>208</v>
      </c>
      <c r="U2" s="133" t="s">
        <v>209</v>
      </c>
      <c r="V2" s="133" t="s">
        <v>210</v>
      </c>
      <c r="W2" s="133" t="s">
        <v>211</v>
      </c>
    </row>
    <row r="3" spans="1:23" x14ac:dyDescent="0.35">
      <c r="A3" s="89">
        <f t="shared" ref="A3:A11" si="0">ROW()-2</f>
        <v>1</v>
      </c>
      <c r="B3" s="90"/>
      <c r="C3" s="91"/>
      <c r="D3" s="92"/>
      <c r="E3" s="124"/>
      <c r="F3" s="93">
        <f ca="1">DATEDIF(E3,TODAY(),"y")</f>
        <v>126</v>
      </c>
      <c r="G3" s="55" t="str">
        <f ca="1">IF(
    $F3&gt;85,
    "From 86",
    IF(
        $F3&gt;80,
        "81-85",
        IF(
            $F3&gt;75,
            "76-80",
            IF(
                $F3&gt;70,
                "71-75",
                IF(
                    $F3&gt;65,
                    "66-70",
                    IF(
                        $F3&gt;60,
                        "61-65",
                        IF(
                            $F3&gt;55,
                            "56-60",
                            IF(
                                $F3&gt;50,
                                "51-55",
                                IF(
                                    $F3&gt;45,
                                    "46-50",
                                    IF(
                                        $F3&gt;40,
                                        "41-45",
                                        IF(
                                            $F3&gt;35,
                                            "36-40",
                                            IF(
                                                $F3&gt;30,
                                                "31-35",
                                                IF($F3&gt;25, "26-30", IF($F3&gt;18,"19-25","0-18")
                                              )
                                            )
                                        )
                                    )
                                )
                            )
                        )
                    )
                )
            )
        )
    )
)</f>
        <v>From 86</v>
      </c>
      <c r="H3" s="91"/>
      <c r="I3" s="94"/>
      <c r="J3" s="95"/>
      <c r="K3" s="96"/>
      <c r="L3" s="97"/>
      <c r="M3" s="98" t="str">
        <f>Table1[[#This Row],[Error_Name]] &amp;Table1[[#This Row],[Error_DoB]] &amp;Table1[[#This Row],[Error_Age]] &amp;Table1[[#This Row],[Error_Gender]] &amp;Table1[[#This Row],[Error_Relationship]]  &amp;Table1[[#This Row],[Error_Ph]] &amp;Table1[[#This Row],[Error_Email]]  &amp;Table1[[#This Row],[Error_Duplicate]] &amp;Table1[[#This Row],[Error_EmployeeID]]</f>
        <v xml:space="preserve">Please enter Member Name. Invalid gender. Invalid relationship to employee. </v>
      </c>
      <c r="N3" s="99" t="str">
        <f>IF(ISNUMBER(MATCH(Table1[[#This Row],[Relationship to Self]],[1]!Table4[Valid Relations],0)),"","Invalid relationship to employee. ")</f>
        <v xml:space="preserve">Invalid relationship to employee. </v>
      </c>
      <c r="O3" s="99" t="str">
        <f>IF(
        Table1[[#This Row],[Relationship to Self]]=[1]Valid!$C$6,
        IF(AND(Table1[[#This Row],[Age]]&gt;=[1]Valid!$D$6,Table1[[#This Row],[Age]]&lt;=[1]Valid!$E$6),"",[1]Valid!$C$6 &amp; " age should be between " &amp; [1]Valid!$D$6 &amp; " and " &amp; [1]Valid!$E$6 &amp; ". "),
        IF(
            Table1[[#This Row],[Relationship to Self]]=[1]Valid!$C$2,
            IF(AND(Table1[[#This Row],[Age]]&gt;=[1]Valid!$D$2,Table1[[#This Row],[Age]]&lt;=[1]Valid!$E$2),"",[1]Valid!$C$2 &amp; " age should be between " &amp; [1]Valid!$D$2 &amp; " and " &amp; [1]Valid!$E$2 &amp; ". "),
            IF(
                Table1[[#This Row],[Relationship to Self]]=[1]Valid!$C$3,
                IF(AND(Table1[[#This Row],[Age]]&gt;=[1]Valid!$D$3,Table1[[#This Row],[Age]]&lt;=[1]Valid!$E$3),"",[1]Valid!$C$3 &amp; " age should be between " &amp; [1]Valid!$D$3 &amp; " and " &amp; [1]Valid!$E$3 &amp; ". "),
                IF(
                    Table1[[#This Row],[Relationship to Self]]=[1]Valid!$C$4,
                    IF(AND(Table1[[#This Row],[Age]]&gt;=[1]Valid!$D$4,Table1[[#This Row],[Age]]&lt;=[1]Valid!$E$4),"",[1]Valid!$C$4 &amp; " age should be between " &amp; [1]Valid!$D$4 &amp; " and " &amp; [1]Valid!$E$4 &amp; ". "),
                    IF(
                        Table1[[#This Row],[Relationship to Self]]=[1]Valid!$C$5,
                        IF(AND(Table1[[#This Row],[Age]]&gt;=[1]Valid!$D$5,Table1[[#This Row],[Age]]&lt;=[1]Valid!$E$5),"",[1]Valid!$C$5 &amp; " age should be between " &amp; [1]Valid!$D$5 &amp; " and " &amp; [1]Valid!$E$5 &amp; ". "),
                        ""
                    )
                )
            )
        )
    )</f>
        <v/>
      </c>
      <c r="P3" s="100" t="str">
        <f>IF(ISNUMBER(MATCH(Table1[[#This Row],[Gender]],[1]!Table6[Gender],0)),"","Invalid gender. ")</f>
        <v xml:space="preserve">Invalid gender. </v>
      </c>
      <c r="Q3" s="99" t="str">
        <f>IF(Table1[[#This Row],[Relationship to Self]]&lt;&gt;"Self","",IF(AND(Table1[[#This Row],[Mobile Number]]&gt;6000000000,Table1[[#This Row],[Mobile Number]]&lt;9999999999),"","The entered mobile number is invalid. "))</f>
        <v/>
      </c>
      <c r="R3" s="100" t="str" cm="1">
        <f t="array" ref="R3">IF(Table1[[#This Row],[Relationship to Self]]&lt;&gt;"Self","",IF(IsEmailValid(Table1[[#This Row],[Email]]),IF(ISNUMBER(SEARCH([1]Valid!$K$1,Table1[[#This Row],[Email]])),"","The entered email is not corporate email. "),"The entered email is invalid. "))</f>
        <v/>
      </c>
      <c r="S3" s="100" t="str">
        <f>IF(Table1[[#This Row],[Member Name]]="","Please enter Member Name. ","")</f>
        <v xml:space="preserve">Please enter Member Name. </v>
      </c>
      <c r="T3" s="100" t="str">
        <f>IF(YEAR(Table1[[#This Row],[Date of Birth]])=1905, "DoB is incomplete. ","")</f>
        <v/>
      </c>
      <c r="U3" s="100" t="str">
        <f>IF(COUNTIFS(Table1[Employee ID],Table1[[#This Row],[Employee ID]],Table1[Date of Birth],Table1[[#This Row],[Date of Birth]],Table1[Relationship to Self],Table1[[#This Row],[Relationship to Self]],Table1[Member Name],Table1[[#This Row],[Member Name]])&gt;1,"This entry is repeated multiple times. ","")</f>
        <v/>
      </c>
      <c r="V3" s="100" t="str">
        <f>IF(COUNTIFS(Table1[Employee ID],Table1[[#This Row],[Employee ID]],Table1[Relationship to Self],"Self")&gt;1, "Duplicate Employee ID","")</f>
        <v/>
      </c>
      <c r="W3" s="101"/>
    </row>
    <row r="4" spans="1:23" x14ac:dyDescent="0.35">
      <c r="A4" s="89">
        <f t="shared" si="0"/>
        <v>2</v>
      </c>
      <c r="B4" s="90"/>
      <c r="C4" s="102"/>
      <c r="D4" s="92"/>
      <c r="E4" s="124"/>
      <c r="F4" s="103">
        <f t="shared" ref="F4:F11" ca="1" si="1">DATEDIF(E4,TODAY(),"y")</f>
        <v>126</v>
      </c>
      <c r="G4" s="55" t="str">
        <f t="shared" ref="G4:G11" ca="1" si="2">IF(
    $F4&gt;85,
    "From 86",
    IF(
        $F4&gt;80,
        "81-85",
        IF(
            $F4&gt;75,
            "76-80",
            IF(
                $F4&gt;70,
                "71-75",
                IF(
                    $F4&gt;65,
                    "66-70",
                    IF(
                        $F4&gt;60,
                        "61-65",
                        IF(
                            $F4&gt;55,
                            "56-60",
                            IF(
                                $F4&gt;50,
                                "51-55",
                                IF(
                                    $F4&gt;45,
                                    "46-50",
                                    IF(
                                        $F4&gt;40,
                                        "41-45",
                                        IF(
                                            $F4&gt;35,
                                            "36-40",
                                            IF(
                                                $F4&gt;30,
                                                "31-35",
                                                IF($F4&gt;25, "26-30", IF($F4&gt;18,"19-25","0-18")
                                              )
                                            )
                                        )
                                    )
                                )
                            )
                        )
                    )
                )
            )
        )
    )
)</f>
        <v>From 86</v>
      </c>
      <c r="H4" s="104"/>
      <c r="I4" s="94"/>
      <c r="J4" s="95"/>
      <c r="K4" s="102"/>
      <c r="L4" s="105"/>
      <c r="M4" s="106" t="str">
        <f>Table1[[#This Row],[Error_Name]] &amp;Table1[[#This Row],[Error_DoB]] &amp;Table1[[#This Row],[Error_Age]] &amp;Table1[[#This Row],[Error_Gender]] &amp;Table1[[#This Row],[Error_Relationship]]  &amp;Table1[[#This Row],[Error_Ph]] &amp;Table1[[#This Row],[Error_Email]]  &amp;Table1[[#This Row],[Error_Duplicate]] &amp;Table1[[#This Row],[Error_EmployeeID]]</f>
        <v xml:space="preserve">Please enter Member Name. Invalid gender. Invalid relationship to employee. </v>
      </c>
      <c r="N4" s="107" t="str">
        <f>IF(ISNUMBER(MATCH(Table1[[#This Row],[Relationship to Self]],[1]!Table4[Valid Relations],0)),"","Invalid relationship to employee. ")</f>
        <v xml:space="preserve">Invalid relationship to employee. </v>
      </c>
      <c r="O4" s="100" t="str">
        <f>IF(
        Table1[[#This Row],[Relationship to Self]]=[1]Valid!$C$6,
        IF(AND(Table1[[#This Row],[Age]]&gt;=[1]Valid!$D$6,Table1[[#This Row],[Age]]&lt;=[1]Valid!$E$6),"",[1]Valid!$C$6 &amp; " age should be between " &amp; [1]Valid!$D$6 &amp; " and " &amp; [1]Valid!$E$6 &amp; ". "),
        IF(
            Table1[[#This Row],[Relationship to Self]]=[1]Valid!$C$2,
            IF(AND(Table1[[#This Row],[Age]]&gt;=[1]Valid!$D$2,Table1[[#This Row],[Age]]&lt;=[1]Valid!$E$2),"",[1]Valid!$C$2 &amp; " age should be between " &amp; [1]Valid!$D$2 &amp; " and " &amp; [1]Valid!$E$2 &amp; ". "),
            IF(
                Table1[[#This Row],[Relationship to Self]]=[1]Valid!$C$3,
                IF(AND(Table1[[#This Row],[Age]]&gt;=[1]Valid!$D$3,Table1[[#This Row],[Age]]&lt;=[1]Valid!$E$3),"",[1]Valid!$C$3 &amp; " age should be between " &amp; [1]Valid!$D$3 &amp; " and " &amp; [1]Valid!$E$3 &amp; ". "),
                IF(
                    Table1[[#This Row],[Relationship to Self]]=[1]Valid!$C$4,
                    IF(AND(Table1[[#This Row],[Age]]&gt;=[1]Valid!$D$4,Table1[[#This Row],[Age]]&lt;=[1]Valid!$E$4),"",[1]Valid!$C$4 &amp; " age should be between " &amp; [1]Valid!$D$4 &amp; " and " &amp; [1]Valid!$E$4 &amp; ". "),
                    IF(
                        Table1[[#This Row],[Relationship to Self]]=[1]Valid!$C$5,
                        IF(AND(Table1[[#This Row],[Age]]&gt;=[1]Valid!$D$5,Table1[[#This Row],[Age]]&lt;=[1]Valid!$E$5),"",[1]Valid!$C$5 &amp; " age should be between " &amp; [1]Valid!$D$5 &amp; " and " &amp; [1]Valid!$E$5 &amp; ". "),
                        ""
                    )
                )
            )
        )
    )</f>
        <v/>
      </c>
      <c r="P4" s="100" t="str">
        <f>IF(ISNUMBER(MATCH(Table1[[#This Row],[Gender]],[1]!Table6[Gender],0)),"","Invalid gender. ")</f>
        <v xml:space="preserve">Invalid gender. </v>
      </c>
      <c r="Q4" s="100" t="str">
        <f>IF(Table1[[#This Row],[Relationship to Self]]&lt;&gt;"Self","",IF(AND(Table1[[#This Row],[Mobile Number]]&gt;6000000000,Table1[[#This Row],[Mobile Number]]&lt;9999999999),"","The entered mobile number is invalid. "))</f>
        <v/>
      </c>
      <c r="R4" s="100" t="str" cm="1">
        <f t="array" ref="R4">IF(Table1[[#This Row],[Relationship to Self]]&lt;&gt;"Self","",IF(IsEmailValid(Table1[[#This Row],[Email]]),IF(ISNUMBER(SEARCH([1]Valid!$K$1,Table1[[#This Row],[Email]])),"","The entered email is not corporate email. "),"The entered email is invalid. "))</f>
        <v/>
      </c>
      <c r="S4" s="100" t="str">
        <f>IF(Table1[[#This Row],[Member Name]]="","Please enter Member Name. ","")</f>
        <v xml:space="preserve">Please enter Member Name. </v>
      </c>
      <c r="T4" s="100" t="str">
        <f>IF(YEAR(Table1[[#This Row],[Date of Birth]])=1905, "DoB is incomplete. ","")</f>
        <v/>
      </c>
      <c r="U4" s="100" t="str">
        <f>IF(COUNTIFS(Table1[Employee ID],Table1[[#This Row],[Employee ID]],Table1[Date of Birth],Table1[[#This Row],[Date of Birth]],Table1[Relationship to Self],Table1[[#This Row],[Relationship to Self]],Table1[Member Name],Table1[[#This Row],[Member Name]])&gt;1,"This entry is repeated multiple times. ","")</f>
        <v/>
      </c>
      <c r="V4" s="100" t="str">
        <f>IF(COUNTIFS(Table1[Employee ID],Table1[[#This Row],[Employee ID]],Table1[Relationship to Self],"Self")&gt;1, "Duplicate Employee ID","")</f>
        <v/>
      </c>
      <c r="W4" s="101"/>
    </row>
    <row r="5" spans="1:23" x14ac:dyDescent="0.35">
      <c r="A5" s="89">
        <f t="shared" si="0"/>
        <v>3</v>
      </c>
      <c r="B5" s="90"/>
      <c r="C5" s="102"/>
      <c r="D5" s="92"/>
      <c r="E5" s="124"/>
      <c r="F5" s="103">
        <f t="shared" ca="1" si="1"/>
        <v>126</v>
      </c>
      <c r="G5" s="55" t="str">
        <f t="shared" ca="1" si="2"/>
        <v>From 86</v>
      </c>
      <c r="H5" s="104"/>
      <c r="I5" s="94"/>
      <c r="J5" s="95"/>
      <c r="K5" s="102"/>
      <c r="L5" s="105"/>
      <c r="M5" s="106" t="str">
        <f>Table1[[#This Row],[Error_Name]] &amp;Table1[[#This Row],[Error_DoB]] &amp;Table1[[#This Row],[Error_Age]] &amp;Table1[[#This Row],[Error_Gender]] &amp;Table1[[#This Row],[Error_Relationship]]  &amp;Table1[[#This Row],[Error_Ph]] &amp;Table1[[#This Row],[Error_Email]]  &amp;Table1[[#This Row],[Error_Duplicate]] &amp;Table1[[#This Row],[Error_EmployeeID]]</f>
        <v xml:space="preserve">Please enter Member Name. Invalid gender. Invalid relationship to employee. </v>
      </c>
      <c r="N5" s="107" t="str">
        <f>IF(ISNUMBER(MATCH(Table1[[#This Row],[Relationship to Self]],[1]!Table4[Valid Relations],0)),"","Invalid relationship to employee. ")</f>
        <v xml:space="preserve">Invalid relationship to employee. </v>
      </c>
      <c r="O5" s="100" t="str">
        <f>IF(
        Table1[[#This Row],[Relationship to Self]]=[1]Valid!$C$6,
        IF(AND(Table1[[#This Row],[Age]]&gt;=[1]Valid!$D$6,Table1[[#This Row],[Age]]&lt;=[1]Valid!$E$6),"",[1]Valid!$C$6 &amp; " age should be between " &amp; [1]Valid!$D$6 &amp; " and " &amp; [1]Valid!$E$6 &amp; ". "),
        IF(
            Table1[[#This Row],[Relationship to Self]]=[1]Valid!$C$2,
            IF(AND(Table1[[#This Row],[Age]]&gt;=[1]Valid!$D$2,Table1[[#This Row],[Age]]&lt;=[1]Valid!$E$2),"",[1]Valid!$C$2 &amp; " age should be between " &amp; [1]Valid!$D$2 &amp; " and " &amp; [1]Valid!$E$2 &amp; ". "),
            IF(
                Table1[[#This Row],[Relationship to Self]]=[1]Valid!$C$3,
                IF(AND(Table1[[#This Row],[Age]]&gt;=[1]Valid!$D$3,Table1[[#This Row],[Age]]&lt;=[1]Valid!$E$3),"",[1]Valid!$C$3 &amp; " age should be between " &amp; [1]Valid!$D$3 &amp; " and " &amp; [1]Valid!$E$3 &amp; ". "),
                IF(
                    Table1[[#This Row],[Relationship to Self]]=[1]Valid!$C$4,
                    IF(AND(Table1[[#This Row],[Age]]&gt;=[1]Valid!$D$4,Table1[[#This Row],[Age]]&lt;=[1]Valid!$E$4),"",[1]Valid!$C$4 &amp; " age should be between " &amp; [1]Valid!$D$4 &amp; " and " &amp; [1]Valid!$E$4 &amp; ". "),
                    IF(
                        Table1[[#This Row],[Relationship to Self]]=[1]Valid!$C$5,
                        IF(AND(Table1[[#This Row],[Age]]&gt;=[1]Valid!$D$5,Table1[[#This Row],[Age]]&lt;=[1]Valid!$E$5),"",[1]Valid!$C$5 &amp; " age should be between " &amp; [1]Valid!$D$5 &amp; " and " &amp; [1]Valid!$E$5 &amp; ". "),
                        ""
                    )
                )
            )
        )
    )</f>
        <v/>
      </c>
      <c r="P5" s="100" t="str">
        <f>IF(ISNUMBER(MATCH(Table1[[#This Row],[Gender]],[1]!Table6[Gender],0)),"","Invalid gender. ")</f>
        <v xml:space="preserve">Invalid gender. </v>
      </c>
      <c r="Q5" s="100" t="str">
        <f>IF(Table1[[#This Row],[Relationship to Self]]&lt;&gt;"Self","",IF(AND(Table1[[#This Row],[Mobile Number]]&gt;6000000000,Table1[[#This Row],[Mobile Number]]&lt;9999999999),"","The entered mobile number is invalid. "))</f>
        <v/>
      </c>
      <c r="R5" s="100" t="str" cm="1">
        <f t="array" ref="R5">IF(Table1[[#This Row],[Relationship to Self]]&lt;&gt;"Self","",IF(IsEmailValid(Table1[[#This Row],[Email]]),IF(ISNUMBER(SEARCH([1]Valid!$K$1,Table1[[#This Row],[Email]])),"","The entered email is not corporate email. "),"The entered email is invalid. "))</f>
        <v/>
      </c>
      <c r="S5" s="100" t="str">
        <f>IF(Table1[[#This Row],[Member Name]]="","Please enter Member Name. ","")</f>
        <v xml:space="preserve">Please enter Member Name. </v>
      </c>
      <c r="T5" s="100" t="str">
        <f>IF(YEAR(Table1[[#This Row],[Date of Birth]])=1905, "DoB is incomplete. ","")</f>
        <v/>
      </c>
      <c r="U5" s="100" t="str">
        <f>IF(COUNTIFS(Table1[Employee ID],Table1[[#This Row],[Employee ID]],Table1[Date of Birth],Table1[[#This Row],[Date of Birth]],Table1[Relationship to Self],Table1[[#This Row],[Relationship to Self]],Table1[Member Name],Table1[[#This Row],[Member Name]])&gt;1,"This entry is repeated multiple times. ","")</f>
        <v/>
      </c>
      <c r="V5" s="100" t="str">
        <f>IF(COUNTIFS(Table1[Employee ID],Table1[[#This Row],[Employee ID]],Table1[Relationship to Self],"Self")&gt;1, "Duplicate Employee ID","")</f>
        <v/>
      </c>
      <c r="W5" s="101"/>
    </row>
    <row r="6" spans="1:23" x14ac:dyDescent="0.35">
      <c r="A6" s="108">
        <f t="shared" si="0"/>
        <v>4</v>
      </c>
      <c r="B6" s="90"/>
      <c r="C6" s="102"/>
      <c r="D6" s="92"/>
      <c r="E6" s="124"/>
      <c r="F6" s="103">
        <f t="shared" ca="1" si="1"/>
        <v>126</v>
      </c>
      <c r="G6" s="109" t="str">
        <f t="shared" ca="1" si="2"/>
        <v>From 86</v>
      </c>
      <c r="H6" s="104"/>
      <c r="I6" s="94"/>
      <c r="J6" s="95"/>
      <c r="K6" s="102"/>
      <c r="L6" s="105"/>
      <c r="M6" s="106" t="str">
        <f>Table1[[#This Row],[Error_Name]] &amp;Table1[[#This Row],[Error_DoB]] &amp;Table1[[#This Row],[Error_Age]] &amp;Table1[[#This Row],[Error_Gender]] &amp;Table1[[#This Row],[Error_Relationship]]  &amp;Table1[[#This Row],[Error_Ph]] &amp;Table1[[#This Row],[Error_Email]]  &amp;Table1[[#This Row],[Error_Duplicate]] &amp;Table1[[#This Row],[Error_EmployeeID]]</f>
        <v xml:space="preserve">Please enter Member Name. Invalid gender. Invalid relationship to employee. </v>
      </c>
      <c r="N6" s="107" t="str">
        <f>IF(ISNUMBER(MATCH(Table1[[#This Row],[Relationship to Self]],[1]!Table4[Valid Relations],0)),"","Invalid relationship to employee. ")</f>
        <v xml:space="preserve">Invalid relationship to employee. </v>
      </c>
      <c r="O6" s="100" t="str">
        <f>IF(
        Table1[[#This Row],[Relationship to Self]]=[1]Valid!$C$6,
        IF(AND(Table1[[#This Row],[Age]]&gt;=[1]Valid!$D$6,Table1[[#This Row],[Age]]&lt;=[1]Valid!$E$6),"",[1]Valid!$C$6 &amp; " age should be between " &amp; [1]Valid!$D$6 &amp; " and " &amp; [1]Valid!$E$6 &amp; ". "),
        IF(
            Table1[[#This Row],[Relationship to Self]]=[1]Valid!$C$2,
            IF(AND(Table1[[#This Row],[Age]]&gt;=[1]Valid!$D$2,Table1[[#This Row],[Age]]&lt;=[1]Valid!$E$2),"",[1]Valid!$C$2 &amp; " age should be between " &amp; [1]Valid!$D$2 &amp; " and " &amp; [1]Valid!$E$2 &amp; ". "),
            IF(
                Table1[[#This Row],[Relationship to Self]]=[1]Valid!$C$3,
                IF(AND(Table1[[#This Row],[Age]]&gt;=[1]Valid!$D$3,Table1[[#This Row],[Age]]&lt;=[1]Valid!$E$3),"",[1]Valid!$C$3 &amp; " age should be between " &amp; [1]Valid!$D$3 &amp; " and " &amp; [1]Valid!$E$3 &amp; ". "),
                IF(
                    Table1[[#This Row],[Relationship to Self]]=[1]Valid!$C$4,
                    IF(AND(Table1[[#This Row],[Age]]&gt;=[1]Valid!$D$4,Table1[[#This Row],[Age]]&lt;=[1]Valid!$E$4),"",[1]Valid!$C$4 &amp; " age should be between " &amp; [1]Valid!$D$4 &amp; " and " &amp; [1]Valid!$E$4 &amp; ". "),
                    IF(
                        Table1[[#This Row],[Relationship to Self]]=[1]Valid!$C$5,
                        IF(AND(Table1[[#This Row],[Age]]&gt;=[1]Valid!$D$5,Table1[[#This Row],[Age]]&lt;=[1]Valid!$E$5),"",[1]Valid!$C$5 &amp; " age should be between " &amp; [1]Valid!$D$5 &amp; " and " &amp; [1]Valid!$E$5 &amp; ". "),
                        ""
                    )
                )
            )
        )
    )</f>
        <v/>
      </c>
      <c r="P6" s="100" t="str">
        <f>IF(ISNUMBER(MATCH(Table1[[#This Row],[Gender]],[1]!Table6[Gender],0)),"","Invalid gender. ")</f>
        <v xml:space="preserve">Invalid gender. </v>
      </c>
      <c r="Q6" s="100" t="str">
        <f>IF(Table1[[#This Row],[Relationship to Self]]&lt;&gt;"Self","",IF(AND(Table1[[#This Row],[Mobile Number]]&gt;6000000000,Table1[[#This Row],[Mobile Number]]&lt;9999999999),"","The entered mobile number is invalid. "))</f>
        <v/>
      </c>
      <c r="R6" s="100" t="str" cm="1">
        <f t="array" ref="R6">IF(Table1[[#This Row],[Relationship to Self]]&lt;&gt;"Self","",IF(IsEmailValid(Table1[[#This Row],[Email]]),IF(ISNUMBER(SEARCH([1]Valid!$K$1,Table1[[#This Row],[Email]])),"","The entered email is not corporate email. "),"The entered email is invalid. "))</f>
        <v/>
      </c>
      <c r="S6" s="100" t="str">
        <f>IF(Table1[[#This Row],[Member Name]]="","Please enter Member Name. ","")</f>
        <v xml:space="preserve">Please enter Member Name. </v>
      </c>
      <c r="T6" s="100" t="str">
        <f>IF(YEAR(Table1[[#This Row],[Date of Birth]])=1905, "DoB is incomplete. ","")</f>
        <v/>
      </c>
      <c r="U6" s="100" t="str">
        <f>IF(COUNTIFS(Table1[Employee ID],Table1[[#This Row],[Employee ID]],Table1[Date of Birth],Table1[[#This Row],[Date of Birth]],Table1[Relationship to Self],Table1[[#This Row],[Relationship to Self]],Table1[Member Name],Table1[[#This Row],[Member Name]])&gt;1,"This entry is repeated multiple times. ","")</f>
        <v/>
      </c>
      <c r="V6" s="99" t="str">
        <f>IF(COUNTIFS(Table1[Employee ID],Table1[[#This Row],[Employee ID]],Table1[Relationship to Self],"Self")&gt;1, "Duplicate Employee ID","")</f>
        <v/>
      </c>
      <c r="W6" s="101"/>
    </row>
    <row r="7" spans="1:23" x14ac:dyDescent="0.35">
      <c r="A7" s="108">
        <f t="shared" si="0"/>
        <v>5</v>
      </c>
      <c r="B7" s="110"/>
      <c r="C7" s="102"/>
      <c r="D7" s="92"/>
      <c r="E7" s="124"/>
      <c r="F7" s="103">
        <f t="shared" ca="1" si="1"/>
        <v>126</v>
      </c>
      <c r="G7" s="109" t="str">
        <f t="shared" ca="1" si="2"/>
        <v>From 86</v>
      </c>
      <c r="H7" s="104"/>
      <c r="I7" s="94"/>
      <c r="J7" s="95"/>
      <c r="K7" s="102"/>
      <c r="L7" s="105"/>
      <c r="M7" s="106" t="str">
        <f>Table1[[#This Row],[Error_Name]] &amp;Table1[[#This Row],[Error_DoB]] &amp;Table1[[#This Row],[Error_Age]] &amp;Table1[[#This Row],[Error_Gender]] &amp;Table1[[#This Row],[Error_Relationship]]  &amp;Table1[[#This Row],[Error_Ph]] &amp;Table1[[#This Row],[Error_Email]]  &amp;Table1[[#This Row],[Error_Duplicate]] &amp;Table1[[#This Row],[Error_EmployeeID]]</f>
        <v xml:space="preserve">Please enter Member Name. Invalid gender. Invalid relationship to employee. </v>
      </c>
      <c r="N7" s="107" t="str">
        <f>IF(ISNUMBER(MATCH(Table1[[#This Row],[Relationship to Self]],[1]!Table4[Valid Relations],0)),"","Invalid relationship to employee. ")</f>
        <v xml:space="preserve">Invalid relationship to employee. </v>
      </c>
      <c r="O7" s="100" t="str">
        <f>IF(
        Table1[[#This Row],[Relationship to Self]]=[1]Valid!$C$6,
        IF(AND(Table1[[#This Row],[Age]]&gt;=[1]Valid!$D$6,Table1[[#This Row],[Age]]&lt;=[1]Valid!$E$6),"",[1]Valid!$C$6 &amp; " age should be between " &amp; [1]Valid!$D$6 &amp; " and " &amp; [1]Valid!$E$6 &amp; ". "),
        IF(
            Table1[[#This Row],[Relationship to Self]]=[1]Valid!$C$2,
            IF(AND(Table1[[#This Row],[Age]]&gt;=[1]Valid!$D$2,Table1[[#This Row],[Age]]&lt;=[1]Valid!$E$2),"",[1]Valid!$C$2 &amp; " age should be between " &amp; [1]Valid!$D$2 &amp; " and " &amp; [1]Valid!$E$2 &amp; ". "),
            IF(
                Table1[[#This Row],[Relationship to Self]]=[1]Valid!$C$3,
                IF(AND(Table1[[#This Row],[Age]]&gt;=[1]Valid!$D$3,Table1[[#This Row],[Age]]&lt;=[1]Valid!$E$3),"",[1]Valid!$C$3 &amp; " age should be between " &amp; [1]Valid!$D$3 &amp; " and " &amp; [1]Valid!$E$3 &amp; ". "),
                IF(
                    Table1[[#This Row],[Relationship to Self]]=[1]Valid!$C$4,
                    IF(AND(Table1[[#This Row],[Age]]&gt;=[1]Valid!$D$4,Table1[[#This Row],[Age]]&lt;=[1]Valid!$E$4),"",[1]Valid!$C$4 &amp; " age should be between " &amp; [1]Valid!$D$4 &amp; " and " &amp; [1]Valid!$E$4 &amp; ". "),
                    IF(
                        Table1[[#This Row],[Relationship to Self]]=[1]Valid!$C$5,
                        IF(AND(Table1[[#This Row],[Age]]&gt;=[1]Valid!$D$5,Table1[[#This Row],[Age]]&lt;=[1]Valid!$E$5),"",[1]Valid!$C$5 &amp; " age should be between " &amp; [1]Valid!$D$5 &amp; " and " &amp; [1]Valid!$E$5 &amp; ". "),
                        ""
                    )
                )
            )
        )
    )</f>
        <v/>
      </c>
      <c r="P7" s="100" t="str">
        <f>IF(ISNUMBER(MATCH(Table1[[#This Row],[Gender]],[1]!Table6[Gender],0)),"","Invalid gender. ")</f>
        <v xml:space="preserve">Invalid gender. </v>
      </c>
      <c r="Q7" s="100" t="str">
        <f>IF(Table1[[#This Row],[Relationship to Self]]&lt;&gt;"Self","",IF(AND(Table1[[#This Row],[Mobile Number]]&gt;6000000000,Table1[[#This Row],[Mobile Number]]&lt;9999999999),"","The entered mobile number is invalid. "))</f>
        <v/>
      </c>
      <c r="R7" s="100" t="str" cm="1">
        <f t="array" ref="R7">IF(Table1[[#This Row],[Relationship to Self]]&lt;&gt;"Self","",IF(IsEmailValid(Table1[[#This Row],[Email]]),IF(ISNUMBER(SEARCH([1]Valid!$K$1,Table1[[#This Row],[Email]])),"","The entered email is not corporate email. "),"The entered email is invalid. "))</f>
        <v/>
      </c>
      <c r="S7" s="100" t="str">
        <f>IF(Table1[[#This Row],[Member Name]]="","Please enter Member Name. ","")</f>
        <v xml:space="preserve">Please enter Member Name. </v>
      </c>
      <c r="T7" s="100" t="str">
        <f>IF(YEAR(Table1[[#This Row],[Date of Birth]])=1905, "DoB is incomplete. ","")</f>
        <v/>
      </c>
      <c r="U7" s="100" t="str">
        <f>IF(COUNTIFS(Table1[Employee ID],Table1[[#This Row],[Employee ID]],Table1[Date of Birth],Table1[[#This Row],[Date of Birth]],Table1[Relationship to Self],Table1[[#This Row],[Relationship to Self]],Table1[Member Name],Table1[[#This Row],[Member Name]])&gt;1,"This entry is repeated multiple times. ","")</f>
        <v/>
      </c>
      <c r="V7" s="99" t="str">
        <f>IF(COUNTIFS(Table1[Employee ID],Table1[[#This Row],[Employee ID]],Table1[Relationship to Self],"Self")&gt;1, "Duplicate Employee ID","")</f>
        <v/>
      </c>
      <c r="W7" s="101"/>
    </row>
    <row r="8" spans="1:23" x14ac:dyDescent="0.35">
      <c r="A8" s="108">
        <f t="shared" si="0"/>
        <v>6</v>
      </c>
      <c r="B8" s="90"/>
      <c r="C8" s="102"/>
      <c r="D8" s="92"/>
      <c r="E8" s="124"/>
      <c r="F8" s="103">
        <f t="shared" ca="1" si="1"/>
        <v>126</v>
      </c>
      <c r="G8" s="109" t="str">
        <f t="shared" ca="1" si="2"/>
        <v>From 86</v>
      </c>
      <c r="H8" s="104"/>
      <c r="I8" s="94"/>
      <c r="J8" s="95"/>
      <c r="K8" s="102"/>
      <c r="L8" s="105"/>
      <c r="M8" s="106" t="str">
        <f>Table1[[#This Row],[Error_Name]] &amp;Table1[[#This Row],[Error_DoB]] &amp;Table1[[#This Row],[Error_Age]] &amp;Table1[[#This Row],[Error_Gender]] &amp;Table1[[#This Row],[Error_Relationship]]  &amp;Table1[[#This Row],[Error_Ph]] &amp;Table1[[#This Row],[Error_Email]]  &amp;Table1[[#This Row],[Error_Duplicate]] &amp;Table1[[#This Row],[Error_EmployeeID]]</f>
        <v xml:space="preserve">Please enter Member Name. Invalid gender. Invalid relationship to employee. </v>
      </c>
      <c r="N8" s="107" t="str">
        <f>IF(ISNUMBER(MATCH(Table1[[#This Row],[Relationship to Self]],[1]!Table4[Valid Relations],0)),"","Invalid relationship to employee. ")</f>
        <v xml:space="preserve">Invalid relationship to employee. </v>
      </c>
      <c r="O8" s="100" t="str">
        <f>IF(
        Table1[[#This Row],[Relationship to Self]]=[1]Valid!$C$6,
        IF(AND(Table1[[#This Row],[Age]]&gt;=[1]Valid!$D$6,Table1[[#This Row],[Age]]&lt;=[1]Valid!$E$6),"",[1]Valid!$C$6 &amp; " age should be between " &amp; [1]Valid!$D$6 &amp; " and " &amp; [1]Valid!$E$6 &amp; ". "),
        IF(
            Table1[[#This Row],[Relationship to Self]]=[1]Valid!$C$2,
            IF(AND(Table1[[#This Row],[Age]]&gt;=[1]Valid!$D$2,Table1[[#This Row],[Age]]&lt;=[1]Valid!$E$2),"",[1]Valid!$C$2 &amp; " age should be between " &amp; [1]Valid!$D$2 &amp; " and " &amp; [1]Valid!$E$2 &amp; ". "),
            IF(
                Table1[[#This Row],[Relationship to Self]]=[1]Valid!$C$3,
                IF(AND(Table1[[#This Row],[Age]]&gt;=[1]Valid!$D$3,Table1[[#This Row],[Age]]&lt;=[1]Valid!$E$3),"",[1]Valid!$C$3 &amp; " age should be between " &amp; [1]Valid!$D$3 &amp; " and " &amp; [1]Valid!$E$3 &amp; ". "),
                IF(
                    Table1[[#This Row],[Relationship to Self]]=[1]Valid!$C$4,
                    IF(AND(Table1[[#This Row],[Age]]&gt;=[1]Valid!$D$4,Table1[[#This Row],[Age]]&lt;=[1]Valid!$E$4),"",[1]Valid!$C$4 &amp; " age should be between " &amp; [1]Valid!$D$4 &amp; " and " &amp; [1]Valid!$E$4 &amp; ". "),
                    IF(
                        Table1[[#This Row],[Relationship to Self]]=[1]Valid!$C$5,
                        IF(AND(Table1[[#This Row],[Age]]&gt;=[1]Valid!$D$5,Table1[[#This Row],[Age]]&lt;=[1]Valid!$E$5),"",[1]Valid!$C$5 &amp; " age should be between " &amp; [1]Valid!$D$5 &amp; " and " &amp; [1]Valid!$E$5 &amp; ". "),
                        ""
                    )
                )
            )
        )
    )</f>
        <v/>
      </c>
      <c r="P8" s="100" t="str">
        <f>IF(ISNUMBER(MATCH(Table1[[#This Row],[Gender]],[1]!Table6[Gender],0)),"","Invalid gender. ")</f>
        <v xml:space="preserve">Invalid gender. </v>
      </c>
      <c r="Q8" s="100" t="str">
        <f>IF(Table1[[#This Row],[Relationship to Self]]&lt;&gt;"Self","",IF(AND(Table1[[#This Row],[Mobile Number]]&gt;6000000000,Table1[[#This Row],[Mobile Number]]&lt;9999999999),"","The entered mobile number is invalid. "))</f>
        <v/>
      </c>
      <c r="R8" s="100" t="str" cm="1">
        <f t="array" ref="R8">IF(Table1[[#This Row],[Relationship to Self]]&lt;&gt;"Self","",IF(IsEmailValid(Table1[[#This Row],[Email]]),IF(ISNUMBER(SEARCH([1]Valid!$K$1,Table1[[#This Row],[Email]])),"","The entered email is not corporate email. "),"The entered email is invalid. "))</f>
        <v/>
      </c>
      <c r="S8" s="100" t="str">
        <f>IF(Table1[[#This Row],[Member Name]]="","Please enter Member Name. ","")</f>
        <v xml:space="preserve">Please enter Member Name. </v>
      </c>
      <c r="T8" s="100" t="str">
        <f>IF(YEAR(Table1[[#This Row],[Date of Birth]])=1905, "DoB is incomplete. ","")</f>
        <v/>
      </c>
      <c r="U8" s="100" t="str">
        <f>IF(COUNTIFS(Table1[Employee ID],Table1[[#This Row],[Employee ID]],Table1[Date of Birth],Table1[[#This Row],[Date of Birth]],Table1[Relationship to Self],Table1[[#This Row],[Relationship to Self]],Table1[Member Name],Table1[[#This Row],[Member Name]])&gt;1,"This entry is repeated multiple times. ","")</f>
        <v/>
      </c>
      <c r="V8" s="99" t="str">
        <f>IF(COUNTIFS(Table1[Employee ID],Table1[[#This Row],[Employee ID]],Table1[Relationship to Self],"Self")&gt;1, "Duplicate Employee ID","")</f>
        <v/>
      </c>
      <c r="W8" s="101"/>
    </row>
    <row r="9" spans="1:23" x14ac:dyDescent="0.35">
      <c r="A9" s="108">
        <f t="shared" si="0"/>
        <v>7</v>
      </c>
      <c r="B9" s="90"/>
      <c r="C9" s="102"/>
      <c r="D9" s="92"/>
      <c r="E9" s="124"/>
      <c r="F9" s="103">
        <f t="shared" ca="1" si="1"/>
        <v>126</v>
      </c>
      <c r="G9" s="109" t="str">
        <f t="shared" ca="1" si="2"/>
        <v>From 86</v>
      </c>
      <c r="H9" s="104"/>
      <c r="I9" s="94"/>
      <c r="J9" s="95"/>
      <c r="K9" s="102"/>
      <c r="L9" s="105"/>
      <c r="M9" s="106" t="str">
        <f>Table1[[#This Row],[Error_Name]] &amp;Table1[[#This Row],[Error_DoB]] &amp;Table1[[#This Row],[Error_Age]] &amp;Table1[[#This Row],[Error_Gender]] &amp;Table1[[#This Row],[Error_Relationship]]  &amp;Table1[[#This Row],[Error_Ph]] &amp;Table1[[#This Row],[Error_Email]]  &amp;Table1[[#This Row],[Error_Duplicate]] &amp;Table1[[#This Row],[Error_EmployeeID]]</f>
        <v xml:space="preserve">Please enter Member Name. Invalid gender. Invalid relationship to employee. </v>
      </c>
      <c r="N9" s="107" t="str">
        <f>IF(ISNUMBER(MATCH(Table1[[#This Row],[Relationship to Self]],[1]!Table4[Valid Relations],0)),"","Invalid relationship to employee. ")</f>
        <v xml:space="preserve">Invalid relationship to employee. </v>
      </c>
      <c r="O9" s="100" t="str">
        <f>IF(
        Table1[[#This Row],[Relationship to Self]]=[1]Valid!$C$6,
        IF(AND(Table1[[#This Row],[Age]]&gt;=[1]Valid!$D$6,Table1[[#This Row],[Age]]&lt;=[1]Valid!$E$6),"",[1]Valid!$C$6 &amp; " age should be between " &amp; [1]Valid!$D$6 &amp; " and " &amp; [1]Valid!$E$6 &amp; ". "),
        IF(
            Table1[[#This Row],[Relationship to Self]]=[1]Valid!$C$2,
            IF(AND(Table1[[#This Row],[Age]]&gt;=[1]Valid!$D$2,Table1[[#This Row],[Age]]&lt;=[1]Valid!$E$2),"",[1]Valid!$C$2 &amp; " age should be between " &amp; [1]Valid!$D$2 &amp; " and " &amp; [1]Valid!$E$2 &amp; ". "),
            IF(
                Table1[[#This Row],[Relationship to Self]]=[1]Valid!$C$3,
                IF(AND(Table1[[#This Row],[Age]]&gt;=[1]Valid!$D$3,Table1[[#This Row],[Age]]&lt;=[1]Valid!$E$3),"",[1]Valid!$C$3 &amp; " age should be between " &amp; [1]Valid!$D$3 &amp; " and " &amp; [1]Valid!$E$3 &amp; ". "),
                IF(
                    Table1[[#This Row],[Relationship to Self]]=[1]Valid!$C$4,
                    IF(AND(Table1[[#This Row],[Age]]&gt;=[1]Valid!$D$4,Table1[[#This Row],[Age]]&lt;=[1]Valid!$E$4),"",[1]Valid!$C$4 &amp; " age should be between " &amp; [1]Valid!$D$4 &amp; " and " &amp; [1]Valid!$E$4 &amp; ". "),
                    IF(
                        Table1[[#This Row],[Relationship to Self]]=[1]Valid!$C$5,
                        IF(AND(Table1[[#This Row],[Age]]&gt;=[1]Valid!$D$5,Table1[[#This Row],[Age]]&lt;=[1]Valid!$E$5),"",[1]Valid!$C$5 &amp; " age should be between " &amp; [1]Valid!$D$5 &amp; " and " &amp; [1]Valid!$E$5 &amp; ". "),
                        ""
                    )
                )
            )
        )
    )</f>
        <v/>
      </c>
      <c r="P9" s="100" t="str">
        <f>IF(ISNUMBER(MATCH(Table1[[#This Row],[Gender]],[1]!Table6[Gender],0)),"","Invalid gender. ")</f>
        <v xml:space="preserve">Invalid gender. </v>
      </c>
      <c r="Q9" s="100" t="str">
        <f>IF(Table1[[#This Row],[Relationship to Self]]&lt;&gt;"Self","",IF(AND(Table1[[#This Row],[Mobile Number]]&gt;6000000000,Table1[[#This Row],[Mobile Number]]&lt;9999999999),"","The entered mobile number is invalid. "))</f>
        <v/>
      </c>
      <c r="R9" s="100" t="str" cm="1">
        <f t="array" ref="R9">IF(Table1[[#This Row],[Relationship to Self]]&lt;&gt;"Self","",IF(IsEmailValid(Table1[[#This Row],[Email]]),IF(ISNUMBER(SEARCH([1]Valid!$K$1,Table1[[#This Row],[Email]])),"","The entered email is not corporate email. "),"The entered email is invalid. "))</f>
        <v/>
      </c>
      <c r="S9" s="100" t="str">
        <f>IF(Table1[[#This Row],[Member Name]]="","Please enter Member Name. ","")</f>
        <v xml:space="preserve">Please enter Member Name. </v>
      </c>
      <c r="T9" s="100" t="str">
        <f>IF(YEAR(Table1[[#This Row],[Date of Birth]])=1905, "DoB is incomplete. ","")</f>
        <v/>
      </c>
      <c r="U9" s="100" t="str">
        <f>IF(COUNTIFS(Table1[Employee ID],Table1[[#This Row],[Employee ID]],Table1[Date of Birth],Table1[[#This Row],[Date of Birth]],Table1[Relationship to Self],Table1[[#This Row],[Relationship to Self]],Table1[Member Name],Table1[[#This Row],[Member Name]])&gt;1,"This entry is repeated multiple times. ","")</f>
        <v/>
      </c>
      <c r="V9" s="99" t="str">
        <f>IF(COUNTIFS(Table1[Employee ID],Table1[[#This Row],[Employee ID]],Table1[Relationship to Self],"Self")&gt;1, "Duplicate Employee ID","")</f>
        <v/>
      </c>
      <c r="W9" s="101"/>
    </row>
    <row r="10" spans="1:23" x14ac:dyDescent="0.35">
      <c r="A10" s="108">
        <f t="shared" si="0"/>
        <v>8</v>
      </c>
      <c r="B10" s="110"/>
      <c r="C10" s="102"/>
      <c r="D10" s="92"/>
      <c r="E10" s="124"/>
      <c r="F10" s="103">
        <f t="shared" ca="1" si="1"/>
        <v>126</v>
      </c>
      <c r="G10" s="109" t="str">
        <f t="shared" ca="1" si="2"/>
        <v>From 86</v>
      </c>
      <c r="H10" s="104"/>
      <c r="I10" s="94"/>
      <c r="J10" s="95"/>
      <c r="K10" s="102"/>
      <c r="L10" s="105"/>
      <c r="M10" s="106" t="str">
        <f>Table1[[#This Row],[Error_Name]] &amp;Table1[[#This Row],[Error_DoB]] &amp;Table1[[#This Row],[Error_Age]] &amp;Table1[[#This Row],[Error_Gender]] &amp;Table1[[#This Row],[Error_Relationship]]  &amp;Table1[[#This Row],[Error_Ph]] &amp;Table1[[#This Row],[Error_Email]]  &amp;Table1[[#This Row],[Error_Duplicate]] &amp;Table1[[#This Row],[Error_EmployeeID]]</f>
        <v xml:space="preserve">Please enter Member Name. Invalid gender. Invalid relationship to employee. </v>
      </c>
      <c r="N10" s="107" t="str">
        <f>IF(ISNUMBER(MATCH(Table1[[#This Row],[Relationship to Self]],[1]!Table4[Valid Relations],0)),"","Invalid relationship to employee. ")</f>
        <v xml:space="preserve">Invalid relationship to employee. </v>
      </c>
      <c r="O10" s="100" t="str">
        <f>IF(
        Table1[[#This Row],[Relationship to Self]]=[1]Valid!$C$6,
        IF(AND(Table1[[#This Row],[Age]]&gt;=[1]Valid!$D$6,Table1[[#This Row],[Age]]&lt;=[1]Valid!$E$6),"",[1]Valid!$C$6 &amp; " age should be between " &amp; [1]Valid!$D$6 &amp; " and " &amp; [1]Valid!$E$6 &amp; ". "),
        IF(
            Table1[[#This Row],[Relationship to Self]]=[1]Valid!$C$2,
            IF(AND(Table1[[#This Row],[Age]]&gt;=[1]Valid!$D$2,Table1[[#This Row],[Age]]&lt;=[1]Valid!$E$2),"",[1]Valid!$C$2 &amp; " age should be between " &amp; [1]Valid!$D$2 &amp; " and " &amp; [1]Valid!$E$2 &amp; ". "),
            IF(
                Table1[[#This Row],[Relationship to Self]]=[1]Valid!$C$3,
                IF(AND(Table1[[#This Row],[Age]]&gt;=[1]Valid!$D$3,Table1[[#This Row],[Age]]&lt;=[1]Valid!$E$3),"",[1]Valid!$C$3 &amp; " age should be between " &amp; [1]Valid!$D$3 &amp; " and " &amp; [1]Valid!$E$3 &amp; ". "),
                IF(
                    Table1[[#This Row],[Relationship to Self]]=[1]Valid!$C$4,
                    IF(AND(Table1[[#This Row],[Age]]&gt;=[1]Valid!$D$4,Table1[[#This Row],[Age]]&lt;=[1]Valid!$E$4),"",[1]Valid!$C$4 &amp; " age should be between " &amp; [1]Valid!$D$4 &amp; " and " &amp; [1]Valid!$E$4 &amp; ". "),
                    IF(
                        Table1[[#This Row],[Relationship to Self]]=[1]Valid!$C$5,
                        IF(AND(Table1[[#This Row],[Age]]&gt;=[1]Valid!$D$5,Table1[[#This Row],[Age]]&lt;=[1]Valid!$E$5),"",[1]Valid!$C$5 &amp; " age should be between " &amp; [1]Valid!$D$5 &amp; " and " &amp; [1]Valid!$E$5 &amp; ". "),
                        ""
                    )
                )
            )
        )
    )</f>
        <v/>
      </c>
      <c r="P10" s="100" t="str">
        <f>IF(ISNUMBER(MATCH(Table1[[#This Row],[Gender]],[1]!Table6[Gender],0)),"","Invalid gender. ")</f>
        <v xml:space="preserve">Invalid gender. </v>
      </c>
      <c r="Q10" s="100" t="str">
        <f>IF(Table1[[#This Row],[Relationship to Self]]&lt;&gt;"Self","",IF(AND(Table1[[#This Row],[Mobile Number]]&gt;6000000000,Table1[[#This Row],[Mobile Number]]&lt;9999999999),"","The entered mobile number is invalid. "))</f>
        <v/>
      </c>
      <c r="R10" s="100" t="str" cm="1">
        <f t="array" ref="R10">IF(Table1[[#This Row],[Relationship to Self]]&lt;&gt;"Self","",IF(IsEmailValid(Table1[[#This Row],[Email]]),IF(ISNUMBER(SEARCH([1]Valid!$K$1,Table1[[#This Row],[Email]])),"","The entered email is not corporate email. "),"The entered email is invalid. "))</f>
        <v/>
      </c>
      <c r="S10" s="100" t="str">
        <f>IF(Table1[[#This Row],[Member Name]]="","Please enter Member Name. ","")</f>
        <v xml:space="preserve">Please enter Member Name. </v>
      </c>
      <c r="T10" s="100" t="str">
        <f>IF(YEAR(Table1[[#This Row],[Date of Birth]])=1905, "DoB is incomplete. ","")</f>
        <v/>
      </c>
      <c r="U10" s="100" t="str">
        <f>IF(COUNTIFS(Table1[Employee ID],Table1[[#This Row],[Employee ID]],Table1[Date of Birth],Table1[[#This Row],[Date of Birth]],Table1[Relationship to Self],Table1[[#This Row],[Relationship to Self]],Table1[Member Name],Table1[[#This Row],[Member Name]])&gt;1,"This entry is repeated multiple times. ","")</f>
        <v/>
      </c>
      <c r="V10" s="99" t="str">
        <f>IF(COUNTIFS(Table1[Employee ID],Table1[[#This Row],[Employee ID]],Table1[Relationship to Self],"Self")&gt;1, "Duplicate Employee ID","")</f>
        <v/>
      </c>
      <c r="W10" s="101"/>
    </row>
    <row r="11" spans="1:23" x14ac:dyDescent="0.35">
      <c r="A11" s="108">
        <f t="shared" si="0"/>
        <v>9</v>
      </c>
      <c r="B11" s="110"/>
      <c r="C11" s="102"/>
      <c r="D11" s="92"/>
      <c r="E11" s="124"/>
      <c r="F11" s="103">
        <f t="shared" ca="1" si="1"/>
        <v>126</v>
      </c>
      <c r="G11" s="109" t="str">
        <f t="shared" ca="1" si="2"/>
        <v>From 86</v>
      </c>
      <c r="H11" s="104"/>
      <c r="I11" s="94"/>
      <c r="J11" s="95"/>
      <c r="K11" s="102"/>
      <c r="L11" s="105"/>
      <c r="M11" s="106" t="str">
        <f>Table1[[#This Row],[Error_Name]] &amp;Table1[[#This Row],[Error_DoB]] &amp;Table1[[#This Row],[Error_Age]] &amp;Table1[[#This Row],[Error_Gender]] &amp;Table1[[#This Row],[Error_Relationship]]  &amp;Table1[[#This Row],[Error_Ph]] &amp;Table1[[#This Row],[Error_Email]]  &amp;Table1[[#This Row],[Error_Duplicate]] &amp;Table1[[#This Row],[Error_EmployeeID]]</f>
        <v xml:space="preserve">Please enter Member Name. Invalid gender. Invalid relationship to employee. </v>
      </c>
      <c r="N11" s="107" t="str">
        <f>IF(ISNUMBER(MATCH(Table1[[#This Row],[Relationship to Self]],[1]!Table4[Valid Relations],0)),"","Invalid relationship to employee. ")</f>
        <v xml:space="preserve">Invalid relationship to employee. </v>
      </c>
      <c r="O11" s="100" t="str">
        <f>IF(
        Table1[[#This Row],[Relationship to Self]]=[1]Valid!$C$6,
        IF(AND(Table1[[#This Row],[Age]]&gt;=[1]Valid!$D$6,Table1[[#This Row],[Age]]&lt;=[1]Valid!$E$6),"",[1]Valid!$C$6 &amp; " age should be between " &amp; [1]Valid!$D$6 &amp; " and " &amp; [1]Valid!$E$6 &amp; ". "),
        IF(
            Table1[[#This Row],[Relationship to Self]]=[1]Valid!$C$2,
            IF(AND(Table1[[#This Row],[Age]]&gt;=[1]Valid!$D$2,Table1[[#This Row],[Age]]&lt;=[1]Valid!$E$2),"",[1]Valid!$C$2 &amp; " age should be between " &amp; [1]Valid!$D$2 &amp; " and " &amp; [1]Valid!$E$2 &amp; ". "),
            IF(
                Table1[[#This Row],[Relationship to Self]]=[1]Valid!$C$3,
                IF(AND(Table1[[#This Row],[Age]]&gt;=[1]Valid!$D$3,Table1[[#This Row],[Age]]&lt;=[1]Valid!$E$3),"",[1]Valid!$C$3 &amp; " age should be between " &amp; [1]Valid!$D$3 &amp; " and " &amp; [1]Valid!$E$3 &amp; ". "),
                IF(
                    Table1[[#This Row],[Relationship to Self]]=[1]Valid!$C$4,
                    IF(AND(Table1[[#This Row],[Age]]&gt;=[1]Valid!$D$4,Table1[[#This Row],[Age]]&lt;=[1]Valid!$E$4),"",[1]Valid!$C$4 &amp; " age should be between " &amp; [1]Valid!$D$4 &amp; " and " &amp; [1]Valid!$E$4 &amp; ". "),
                    IF(
                        Table1[[#This Row],[Relationship to Self]]=[1]Valid!$C$5,
                        IF(AND(Table1[[#This Row],[Age]]&gt;=[1]Valid!$D$5,Table1[[#This Row],[Age]]&lt;=[1]Valid!$E$5),"",[1]Valid!$C$5 &amp; " age should be between " &amp; [1]Valid!$D$5 &amp; " and " &amp; [1]Valid!$E$5 &amp; ". "),
                        ""
                    )
                )
            )
        )
    )</f>
        <v/>
      </c>
      <c r="P11" s="100" t="str">
        <f>IF(ISNUMBER(MATCH(Table1[[#This Row],[Gender]],[1]!Table6[Gender],0)),"","Invalid gender. ")</f>
        <v xml:space="preserve">Invalid gender. </v>
      </c>
      <c r="Q11" s="100" t="str">
        <f>IF(Table1[[#This Row],[Relationship to Self]]&lt;&gt;"Self","",IF(AND(Table1[[#This Row],[Mobile Number]]&gt;6000000000,Table1[[#This Row],[Mobile Number]]&lt;9999999999),"","The entered mobile number is invalid. "))</f>
        <v/>
      </c>
      <c r="R11" s="100" t="str" cm="1">
        <f t="array" ref="R11">IF(Table1[[#This Row],[Relationship to Self]]&lt;&gt;"Self","",IF(IsEmailValid(Table1[[#This Row],[Email]]),IF(ISNUMBER(SEARCH([1]Valid!$K$1,Table1[[#This Row],[Email]])),"","The entered email is not corporate email. "),"The entered email is invalid. "))</f>
        <v/>
      </c>
      <c r="S11" s="100" t="str">
        <f>IF(Table1[[#This Row],[Member Name]]="","Please enter Member Name. ","")</f>
        <v xml:space="preserve">Please enter Member Name. </v>
      </c>
      <c r="T11" s="100" t="str">
        <f>IF(YEAR(Table1[[#This Row],[Date of Birth]])=1905, "DoB is incomplete. ","")</f>
        <v/>
      </c>
      <c r="U11" s="100" t="str">
        <f>IF(COUNTIFS(Table1[Employee ID],Table1[[#This Row],[Employee ID]],Table1[Date of Birth],Table1[[#This Row],[Date of Birth]],Table1[Relationship to Self],Table1[[#This Row],[Relationship to Self]],Table1[Member Name],Table1[[#This Row],[Member Name]])&gt;1,"This entry is repeated multiple times. ","")</f>
        <v/>
      </c>
      <c r="V11" s="99" t="str">
        <f>IF(COUNTIFS(Table1[Employee ID],Table1[[#This Row],[Employee ID]],Table1[Relationship to Self],"Self")&gt;1, "Duplicate Employee ID","")</f>
        <v/>
      </c>
      <c r="W11" s="101"/>
    </row>
  </sheetData>
  <sheetProtection insertRows="0" sort="0" autoFilter="0"/>
  <conditionalFormatting sqref="F3">
    <cfRule type="containsBlanks" dxfId="6" priority="3">
      <formula>LEN(TRIM(F3))=0</formula>
    </cfRule>
  </conditionalFormatting>
  <conditionalFormatting sqref="G3">
    <cfRule type="containsBlanks" dxfId="5" priority="2">
      <formula>LEN(TRIM(G3))=0</formula>
    </cfRule>
  </conditionalFormatting>
  <conditionalFormatting sqref="H3 A3:D5 J3:J11 F4:H5">
    <cfRule type="containsBlanks" dxfId="4" priority="4">
      <formula>LEN(TRIM(A3))=0</formula>
    </cfRule>
  </conditionalFormatting>
  <conditionalFormatting sqref="K3:K11">
    <cfRule type="expression" dxfId="3" priority="5">
      <formula>AND(#REF!="Self",$Q3&lt;&gt;"")</formula>
    </cfRule>
  </conditionalFormatting>
  <conditionalFormatting sqref="L3:L11">
    <cfRule type="expression" dxfId="2" priority="6">
      <formula>AND(#REF!="Self",$R3="The entered email is invalid. ")</formula>
    </cfRule>
  </conditionalFormatting>
  <dataValidations count="5">
    <dataValidation type="date" allowBlank="1" showInputMessage="1" showErrorMessage="1" errorTitle="Invalid Date" error="Please enter date in valid format" sqref="E9" xr:uid="{C52CAA44-9000-4337-B523-241AE89F2DD3}">
      <formula1>DATE(YEAR(TODAY())-100,MONTH(TODAY()),DAY(TODAY()))</formula1>
      <formula2>TODAY()</formula2>
    </dataValidation>
    <dataValidation type="custom" allowBlank="1" showDropDown="1" showInputMessage="1" showErrorMessage="1" prompt="Enter a valid date in DD-MMM-YYYY format. E.g., 20-Jan-1983" sqref="E3:E8 E10:E11" xr:uid="{F8D6521B-57AB-4E80-B8DC-3D2185BC755C}">
      <formula1>OR(NOT(ISERROR(DATEVALUE(E3))), AND(ISNUMBER(E3), LEFT(CELL("format", E3))="D"))</formula1>
    </dataValidation>
    <dataValidation type="textLength" operator="greaterThan" allowBlank="1" showInputMessage="1" showErrorMessage="1" errorTitle="Invalid Name" error="Please enter the Member's Name" sqref="D3:D11" xr:uid="{ED10058F-AC0E-4608-AEE8-6801955EC077}">
      <formula1>0</formula1>
    </dataValidation>
    <dataValidation type="whole" errorStyle="warning" allowBlank="1" showInputMessage="1" showErrorMessage="1" errorTitle="Invalid Phone Number" error="Please enter a valid phone number." sqref="K3:K11" xr:uid="{4862D809-80A5-4C5A-A05E-680312373698}">
      <formula1>6000000000</formula1>
      <formula2>9999999999</formula2>
    </dataValidation>
    <dataValidation type="list" allowBlank="1" showInputMessage="1" showErrorMessage="1" errorTitle="Invalid Gender" error="Please enter a valid gender" sqref="H3:H11" xr:uid="{A03B4760-2CB1-4DB1-A4CD-A6296388DE41}">
      <formula1>INDIRECT("Table6[Gender]")</formula1>
    </dataValidation>
  </dataValidations>
  <pageMargins left="0.7" right="0.7" top="0.75" bottom="0.75" header="0.3" footer="0.3"/>
  <pageSetup paperSize="9" scale="58"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Button 1">
              <controlPr defaultSize="0" print="0" autoFill="0" autoPict="0" macro="[0]!RelationConversion">
                <anchor moveWithCells="1" sizeWithCells="1">
                  <from>
                    <xdr:col>8</xdr:col>
                    <xdr:colOff>69850</xdr:colOff>
                    <xdr:row>0</xdr:row>
                    <xdr:rowOff>69850</xdr:rowOff>
                  </from>
                  <to>
                    <xdr:col>8</xdr:col>
                    <xdr:colOff>1860550</xdr:colOff>
                    <xdr:row>0</xdr:row>
                    <xdr:rowOff>450850</xdr:rowOff>
                  </to>
                </anchor>
              </controlPr>
            </control>
          </mc:Choice>
        </mc:AlternateContent>
      </controls>
    </mc:Choice>
  </mc:AlternateContent>
  <tableParts count="1">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EADFE-535E-42B4-826A-73EF31D6CEC6}">
  <dimension ref="A2:H6"/>
  <sheetViews>
    <sheetView workbookViewId="0">
      <selection activeCell="D8" sqref="D8"/>
    </sheetView>
  </sheetViews>
  <sheetFormatPr defaultRowHeight="14.5" x14ac:dyDescent="0.35"/>
  <cols>
    <col min="1" max="1" width="24.81640625" bestFit="1" customWidth="1"/>
    <col min="2" max="2" width="17.54296875" style="24" bestFit="1" customWidth="1"/>
    <col min="3" max="3" width="10.81640625" style="24" bestFit="1" customWidth="1"/>
  </cols>
  <sheetData>
    <row r="2" spans="1:8" x14ac:dyDescent="0.35">
      <c r="H2" t="s">
        <v>212</v>
      </c>
    </row>
    <row r="3" spans="1:8" x14ac:dyDescent="0.35">
      <c r="A3" s="111" t="s">
        <v>213</v>
      </c>
      <c r="B3" s="142" t="s">
        <v>214</v>
      </c>
      <c r="C3" s="142"/>
      <c r="H3" t="s">
        <v>215</v>
      </c>
    </row>
    <row r="4" spans="1:8" x14ac:dyDescent="0.35">
      <c r="A4" s="111" t="s">
        <v>216</v>
      </c>
      <c r="B4" s="142" t="s">
        <v>217</v>
      </c>
      <c r="C4" s="142" t="s">
        <v>218</v>
      </c>
      <c r="H4" t="s">
        <v>219</v>
      </c>
    </row>
    <row r="5" spans="1:8" x14ac:dyDescent="0.35">
      <c r="A5" s="113" t="s">
        <v>220</v>
      </c>
      <c r="B5" s="148"/>
      <c r="C5" s="148"/>
    </row>
    <row r="6" spans="1:8" x14ac:dyDescent="0.35">
      <c r="A6" s="112" t="s">
        <v>218</v>
      </c>
      <c r="B6" s="142"/>
      <c r="C6" s="14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9278D-7868-4860-9C5C-7BC0769113F7}">
  <dimension ref="A1:F8"/>
  <sheetViews>
    <sheetView showGridLines="0" workbookViewId="0">
      <selection activeCell="C10" sqref="C10"/>
    </sheetView>
  </sheetViews>
  <sheetFormatPr defaultColWidth="21.453125" defaultRowHeight="14.5" x14ac:dyDescent="0.35"/>
  <cols>
    <col min="1" max="1" width="32.54296875" customWidth="1"/>
    <col min="2" max="3" width="17.54296875" customWidth="1"/>
    <col min="4" max="4" width="17.54296875" style="24" customWidth="1"/>
    <col min="5" max="8" width="17.54296875" customWidth="1"/>
  </cols>
  <sheetData>
    <row r="1" spans="1:6" ht="29" x14ac:dyDescent="0.35">
      <c r="A1" s="45" t="s">
        <v>221</v>
      </c>
      <c r="B1" s="114" t="s">
        <v>222</v>
      </c>
      <c r="C1" s="114" t="s">
        <v>223</v>
      </c>
      <c r="D1" s="114" t="s">
        <v>224</v>
      </c>
      <c r="E1" s="114" t="s">
        <v>225</v>
      </c>
      <c r="F1" s="114" t="s">
        <v>226</v>
      </c>
    </row>
    <row r="2" spans="1:6" x14ac:dyDescent="0.35">
      <c r="A2" s="115" t="s">
        <v>227</v>
      </c>
      <c r="B2" s="125">
        <v>4</v>
      </c>
      <c r="C2" s="125">
        <v>350000</v>
      </c>
      <c r="D2" s="125">
        <v>20000</v>
      </c>
      <c r="E2" s="125">
        <f>C2+D2</f>
        <v>370000</v>
      </c>
      <c r="F2" s="116"/>
    </row>
    <row r="3" spans="1:6" ht="29" x14ac:dyDescent="0.35">
      <c r="A3" s="115" t="s">
        <v>228</v>
      </c>
      <c r="B3" s="125"/>
      <c r="C3" s="126"/>
      <c r="D3" s="125"/>
      <c r="E3" s="125">
        <f t="shared" ref="E3:E5" si="0">C3+D3</f>
        <v>0</v>
      </c>
      <c r="F3" s="117"/>
    </row>
    <row r="4" spans="1:6" ht="29" x14ac:dyDescent="0.35">
      <c r="A4" s="115" t="s">
        <v>229</v>
      </c>
      <c r="B4" s="125"/>
      <c r="C4" s="126"/>
      <c r="D4" s="125"/>
      <c r="E4" s="125">
        <f t="shared" si="0"/>
        <v>0</v>
      </c>
      <c r="F4" s="118"/>
    </row>
    <row r="5" spans="1:6" x14ac:dyDescent="0.35">
      <c r="A5" s="115" t="s">
        <v>230</v>
      </c>
      <c r="B5" s="125"/>
      <c r="C5" s="126"/>
      <c r="D5" s="125"/>
      <c r="E5" s="125">
        <f t="shared" si="0"/>
        <v>0</v>
      </c>
      <c r="F5" s="119"/>
    </row>
    <row r="6" spans="1:6" x14ac:dyDescent="0.35">
      <c r="A6" s="120" t="s">
        <v>231</v>
      </c>
      <c r="B6" s="127">
        <f>B2-SUM(B3:B5)</f>
        <v>4</v>
      </c>
      <c r="C6" s="127">
        <f>C2-SUM(C3:C5)</f>
        <v>350000</v>
      </c>
      <c r="D6" s="127">
        <f>D2-SUM(D3:D5)</f>
        <v>20000</v>
      </c>
      <c r="E6" s="127">
        <f>E2-SUM(E3:E5)</f>
        <v>370000</v>
      </c>
      <c r="F6" s="16"/>
    </row>
    <row r="7" spans="1:6" x14ac:dyDescent="0.35">
      <c r="A7" s="115" t="s">
        <v>232</v>
      </c>
      <c r="B7" s="125"/>
      <c r="C7" s="126"/>
      <c r="D7" s="125"/>
      <c r="E7" s="125">
        <f>C7+D7</f>
        <v>0</v>
      </c>
      <c r="F7" s="121"/>
    </row>
    <row r="8" spans="1:6" x14ac:dyDescent="0.35">
      <c r="A8" s="120" t="s">
        <v>233</v>
      </c>
      <c r="B8" s="127">
        <f>B6-B7</f>
        <v>4</v>
      </c>
      <c r="C8" s="127">
        <f>C6-C7</f>
        <v>350000</v>
      </c>
      <c r="D8" s="127">
        <f t="shared" ref="D8:E8" si="1">D6-D7</f>
        <v>20000</v>
      </c>
      <c r="E8" s="127">
        <f t="shared" si="1"/>
        <v>370000</v>
      </c>
      <c r="F8" s="1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6F546-F37D-4E28-8E98-5725113A4C77}">
  <dimension ref="A1:IU27"/>
  <sheetViews>
    <sheetView showGridLines="0" topLeftCell="A3" workbookViewId="0">
      <selection activeCell="C15" sqref="C15"/>
    </sheetView>
  </sheetViews>
  <sheetFormatPr defaultColWidth="0" defaultRowHeight="15.5" zeroHeight="1" x14ac:dyDescent="0.35"/>
  <cols>
    <col min="1" max="1" width="1.54296875" style="62" customWidth="1"/>
    <col min="2" max="2" width="56.81640625" style="62" customWidth="1"/>
    <col min="3" max="3" width="14" style="62" customWidth="1"/>
    <col min="4" max="4" width="8.453125" style="62" customWidth="1"/>
    <col min="5" max="5" width="40.1796875" style="62" bestFit="1" customWidth="1"/>
    <col min="6" max="6" width="9.1796875" style="70" customWidth="1"/>
    <col min="7" max="249" width="9.1796875" style="62" hidden="1" customWidth="1"/>
    <col min="250" max="250" width="1.54296875" style="62" hidden="1" customWidth="1"/>
    <col min="251" max="251" width="45.1796875" style="62" hidden="1" customWidth="1"/>
    <col min="252" max="252" width="16.453125" style="62" hidden="1" customWidth="1"/>
    <col min="253" max="253" width="21.453125" style="62" hidden="1" customWidth="1"/>
    <col min="254" max="255" width="18.54296875" style="62" hidden="1" customWidth="1"/>
    <col min="256" max="16384" width="0" style="62" hidden="1"/>
  </cols>
  <sheetData>
    <row r="1" spans="1:6" s="59" customFormat="1" ht="21" x14ac:dyDescent="0.5">
      <c r="A1" s="182" t="s">
        <v>234</v>
      </c>
      <c r="B1" s="182"/>
      <c r="C1" s="182"/>
      <c r="D1" s="182"/>
      <c r="E1" s="182"/>
      <c r="F1" s="182"/>
    </row>
    <row r="2" spans="1:6" x14ac:dyDescent="0.35">
      <c r="A2" s="60"/>
      <c r="B2" s="60"/>
      <c r="C2" s="60"/>
      <c r="D2" s="60"/>
      <c r="E2" s="60"/>
      <c r="F2" s="61"/>
    </row>
    <row r="3" spans="1:6" x14ac:dyDescent="0.35">
      <c r="A3" s="60"/>
      <c r="B3" s="63" t="s">
        <v>235</v>
      </c>
      <c r="C3" s="64">
        <v>45753</v>
      </c>
      <c r="D3" s="65"/>
      <c r="E3" s="63" t="s">
        <v>236</v>
      </c>
      <c r="F3" s="66">
        <f>'GHI RFQ'!B27</f>
        <v>100</v>
      </c>
    </row>
    <row r="4" spans="1:6" x14ac:dyDescent="0.35">
      <c r="A4" s="60"/>
      <c r="B4" s="63" t="s">
        <v>237</v>
      </c>
      <c r="C4" s="123">
        <f>DATE(YEAR(C3)+1,MONTH(C3),DAY(C3)-1)</f>
        <v>46117</v>
      </c>
      <c r="D4" s="65"/>
      <c r="E4" s="63" t="s">
        <v>238</v>
      </c>
      <c r="F4" s="66">
        <f>'GHI RFQ'!C27</f>
        <v>200</v>
      </c>
    </row>
    <row r="5" spans="1:6" x14ac:dyDescent="0.35">
      <c r="A5" s="60"/>
      <c r="B5" s="63" t="s">
        <v>239</v>
      </c>
      <c r="C5" s="64">
        <v>46077</v>
      </c>
      <c r="D5" s="65"/>
      <c r="E5" s="63" t="s">
        <v>240</v>
      </c>
      <c r="F5" s="145">
        <f>AVERAGE(F3:F4)</f>
        <v>150</v>
      </c>
    </row>
    <row r="6" spans="1:6" x14ac:dyDescent="0.35">
      <c r="A6" s="60"/>
      <c r="B6" s="63" t="s">
        <v>241</v>
      </c>
      <c r="C6" s="67">
        <f>C4-C3+1-C7</f>
        <v>325</v>
      </c>
      <c r="D6" s="65"/>
      <c r="E6" s="63" t="s">
        <v>242</v>
      </c>
      <c r="F6" s="145" cm="1">
        <f t="array" ref="F6">IFERROR(F3*'GHI RFQ'!D12:D12/'GHI RFQ'!D11:D11,"NA")</f>
        <v>166.66666666666666</v>
      </c>
    </row>
    <row r="7" spans="1:6" x14ac:dyDescent="0.35">
      <c r="A7" s="60"/>
      <c r="B7" s="63" t="s">
        <v>243</v>
      </c>
      <c r="C7" s="67">
        <f>C4-C5</f>
        <v>40</v>
      </c>
      <c r="D7" s="65"/>
      <c r="E7" s="146" t="s">
        <v>244</v>
      </c>
      <c r="F7" s="147">
        <f>MAX(F6,F5)</f>
        <v>166.66666666666666</v>
      </c>
    </row>
    <row r="8" spans="1:6" x14ac:dyDescent="0.35">
      <c r="A8" s="60"/>
      <c r="B8" s="63" t="s">
        <v>245</v>
      </c>
      <c r="C8" s="69">
        <v>0.04</v>
      </c>
      <c r="D8" s="60"/>
      <c r="E8" s="146" t="s">
        <v>246</v>
      </c>
      <c r="F8" s="147" cm="1">
        <f t="array" ref="F8">'GHI RFQ'!D27:D27</f>
        <v>200</v>
      </c>
    </row>
    <row r="9" spans="1:6" x14ac:dyDescent="0.35">
      <c r="A9" s="60"/>
      <c r="B9" s="60"/>
      <c r="C9" s="60"/>
      <c r="D9" s="60"/>
      <c r="E9" s="63" t="s">
        <v>247</v>
      </c>
      <c r="F9" s="68">
        <f>F8/F7-1</f>
        <v>0.20000000000000018</v>
      </c>
    </row>
    <row r="10" spans="1:6" x14ac:dyDescent="0.35">
      <c r="A10" s="60"/>
      <c r="B10" s="60"/>
      <c r="C10" s="60"/>
      <c r="D10" s="60"/>
    </row>
    <row r="11" spans="1:6" x14ac:dyDescent="0.35">
      <c r="A11" s="60"/>
      <c r="B11" s="71" t="s">
        <v>221</v>
      </c>
      <c r="C11" s="72" t="s">
        <v>248</v>
      </c>
      <c r="D11" s="60"/>
      <c r="E11" s="63" t="s">
        <v>249</v>
      </c>
      <c r="F11" s="69">
        <v>0.05</v>
      </c>
    </row>
    <row r="12" spans="1:6" x14ac:dyDescent="0.35">
      <c r="A12" s="60"/>
      <c r="B12" s="63" t="s">
        <v>250</v>
      </c>
      <c r="C12" s="74">
        <f>'Claims Analysis'!C2</f>
        <v>350000</v>
      </c>
      <c r="D12" s="60"/>
      <c r="E12" s="63" t="s">
        <v>251</v>
      </c>
      <c r="F12" s="69">
        <v>0.05</v>
      </c>
    </row>
    <row r="13" spans="1:6" x14ac:dyDescent="0.35">
      <c r="A13" s="60"/>
      <c r="B13" s="75" t="s">
        <v>252</v>
      </c>
      <c r="C13" s="74">
        <f>'Claims Analysis'!D2</f>
        <v>20000</v>
      </c>
      <c r="D13" s="60"/>
      <c r="E13" s="63" t="s">
        <v>253</v>
      </c>
      <c r="F13" s="69">
        <v>0.05</v>
      </c>
    </row>
    <row r="14" spans="1:6" x14ac:dyDescent="0.35">
      <c r="A14" s="60"/>
      <c r="B14" s="76" t="s">
        <v>227</v>
      </c>
      <c r="C14" s="77">
        <f>SUM(C12:C13)</f>
        <v>370000</v>
      </c>
      <c r="D14" s="60"/>
      <c r="F14" s="62"/>
    </row>
    <row r="15" spans="1:6" x14ac:dyDescent="0.35">
      <c r="A15" s="60"/>
      <c r="B15" s="63" t="s">
        <v>254</v>
      </c>
      <c r="C15" s="78">
        <f>C14*C8</f>
        <v>14800</v>
      </c>
      <c r="D15" s="73"/>
      <c r="F15" s="62"/>
    </row>
    <row r="16" spans="1:6" x14ac:dyDescent="0.35">
      <c r="A16" s="60"/>
      <c r="B16" s="79" t="s">
        <v>255</v>
      </c>
      <c r="C16" s="80">
        <f>SUM(C14:C15)</f>
        <v>384800</v>
      </c>
      <c r="D16" s="73"/>
      <c r="F16" s="62"/>
    </row>
    <row r="17" spans="1:5" x14ac:dyDescent="0.35">
      <c r="A17" s="60"/>
      <c r="B17" s="63" t="s">
        <v>256</v>
      </c>
      <c r="C17" s="78">
        <f>C16/C6*C7</f>
        <v>47360</v>
      </c>
      <c r="D17" s="60"/>
    </row>
    <row r="18" spans="1:5" x14ac:dyDescent="0.35">
      <c r="A18" s="60"/>
      <c r="B18" s="79" t="s">
        <v>257</v>
      </c>
      <c r="C18" s="80">
        <f>SUM(C16:C17)</f>
        <v>432160</v>
      </c>
      <c r="D18" s="60"/>
    </row>
    <row r="19" spans="1:5" x14ac:dyDescent="0.35">
      <c r="A19" s="60"/>
      <c r="B19" s="63" t="s">
        <v>258</v>
      </c>
      <c r="C19" s="78">
        <f>C18*F9</f>
        <v>86432.000000000073</v>
      </c>
      <c r="D19" s="60"/>
      <c r="E19" s="60"/>
    </row>
    <row r="20" spans="1:5" s="70" customFormat="1" x14ac:dyDescent="0.35">
      <c r="A20" s="60"/>
      <c r="B20" s="76" t="s">
        <v>259</v>
      </c>
      <c r="C20" s="77">
        <f>SUM(C18:C19)</f>
        <v>518592.00000000006</v>
      </c>
      <c r="D20" s="60"/>
    </row>
    <row r="21" spans="1:5" s="70" customFormat="1" x14ac:dyDescent="0.35">
      <c r="A21" s="60"/>
      <c r="B21" s="63" t="s">
        <v>260</v>
      </c>
      <c r="C21" s="78">
        <f>C22-C20</f>
        <v>91516.23529411765</v>
      </c>
      <c r="D21" s="60"/>
      <c r="E21" s="60"/>
    </row>
    <row r="22" spans="1:5" s="70" customFormat="1" x14ac:dyDescent="0.35">
      <c r="A22" s="60"/>
      <c r="B22" s="76" t="s">
        <v>261</v>
      </c>
      <c r="C22" s="77">
        <f>C20/(1-SUM(F11:F14))</f>
        <v>610108.23529411771</v>
      </c>
      <c r="D22" s="60"/>
      <c r="E22" s="60"/>
    </row>
    <row r="23" spans="1:5" s="70" customFormat="1" x14ac:dyDescent="0.35">
      <c r="A23" s="60"/>
      <c r="D23" s="60"/>
      <c r="E23" s="60"/>
    </row>
    <row r="24" spans="1:5" s="70" customFormat="1" x14ac:dyDescent="0.35">
      <c r="A24" s="62"/>
      <c r="D24" s="62"/>
      <c r="E24" s="62"/>
    </row>
    <row r="25" spans="1:5" s="70" customFormat="1" x14ac:dyDescent="0.35">
      <c r="A25" s="62"/>
      <c r="D25" s="62"/>
      <c r="E25" s="62"/>
    </row>
    <row r="26" spans="1:5" s="70" customFormat="1" x14ac:dyDescent="0.35">
      <c r="A26" s="62"/>
      <c r="D26" s="62"/>
      <c r="E26" s="62"/>
    </row>
    <row r="27" spans="1:5" x14ac:dyDescent="0.35"/>
  </sheetData>
  <mergeCells count="1">
    <mergeCell ref="A1:F1"/>
  </mergeCells>
  <dataValidations count="2">
    <dataValidation type="decimal" allowBlank="1" showInputMessage="1" showErrorMessage="1" errorTitle="Wrong Data" error="TPA fees should be less than 4.5" sqref="F12" xr:uid="{1DEFE1E6-C513-4C45-907D-0AA5E5A34FF2}">
      <formula1>0</formula1>
      <formula2>4.5</formula2>
    </dataValidation>
    <dataValidation type="decimal" allowBlank="1" showInputMessage="1" showErrorMessage="1" errorTitle="Wrong Data" error="Brokerage should be less than 7.5" sqref="F11:F13" xr:uid="{71E5E65A-52E4-44C4-90F8-22079382107C}">
      <formula1>0</formula1>
      <formula2>7.5</formula2>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CC8B3-F8BB-4A62-B995-A2481C46C23B}">
  <dimension ref="A1:K5"/>
  <sheetViews>
    <sheetView showGridLines="0" workbookViewId="0">
      <selection activeCell="D15" sqref="D15"/>
    </sheetView>
  </sheetViews>
  <sheetFormatPr defaultRowHeight="14.5" x14ac:dyDescent="0.35"/>
  <cols>
    <col min="3" max="3" width="19.453125" customWidth="1"/>
    <col min="4" max="4" width="29.1796875" customWidth="1"/>
    <col min="5" max="5" width="11.1796875" bestFit="1" customWidth="1"/>
    <col min="11" max="11" width="24.81640625" customWidth="1"/>
  </cols>
  <sheetData>
    <row r="1" spans="1:11" x14ac:dyDescent="0.35">
      <c r="A1" s="1" t="s">
        <v>262</v>
      </c>
    </row>
    <row r="3" spans="1:11" ht="43.5" x14ac:dyDescent="0.35">
      <c r="A3" s="46" t="s">
        <v>189</v>
      </c>
      <c r="B3" s="46" t="s">
        <v>190</v>
      </c>
      <c r="C3" s="46" t="s">
        <v>191</v>
      </c>
      <c r="D3" s="46" t="s">
        <v>192</v>
      </c>
      <c r="E3" s="47" t="s">
        <v>193</v>
      </c>
      <c r="F3" s="48" t="s">
        <v>194</v>
      </c>
      <c r="G3" s="48" t="s">
        <v>195</v>
      </c>
      <c r="H3" s="46" t="s">
        <v>196</v>
      </c>
      <c r="I3" s="46" t="s">
        <v>197</v>
      </c>
      <c r="J3" s="49" t="s">
        <v>198</v>
      </c>
      <c r="K3" s="49" t="s">
        <v>201</v>
      </c>
    </row>
    <row r="4" spans="1:11" x14ac:dyDescent="0.35">
      <c r="A4" s="50"/>
      <c r="B4" s="51"/>
      <c r="C4" s="50"/>
      <c r="D4" s="52"/>
      <c r="E4" s="53"/>
      <c r="F4" s="54"/>
      <c r="G4" s="55"/>
      <c r="H4" s="50"/>
      <c r="I4" s="56"/>
      <c r="J4" s="57"/>
      <c r="K4" s="58"/>
    </row>
    <row r="5" spans="1:11" x14ac:dyDescent="0.35">
      <c r="A5" s="50"/>
      <c r="B5" s="51"/>
      <c r="C5" s="50"/>
      <c r="D5" s="52"/>
      <c r="E5" s="53"/>
      <c r="F5" s="54"/>
      <c r="G5" s="55"/>
      <c r="H5" s="50"/>
      <c r="I5" s="56"/>
      <c r="J5" s="57"/>
      <c r="K5" s="58"/>
    </row>
  </sheetData>
  <conditionalFormatting sqref="A4:H5">
    <cfRule type="containsBlanks" dxfId="1" priority="2">
      <formula>LEN(TRIM(A4))=0</formula>
    </cfRule>
  </conditionalFormatting>
  <conditionalFormatting sqref="J4:J5">
    <cfRule type="containsBlanks" dxfId="0" priority="1">
      <formula>LEN(TRIM(J4))=0</formula>
    </cfRule>
  </conditionalFormatting>
  <dataValidations count="3">
    <dataValidation type="list" allowBlank="1" showInputMessage="1" showErrorMessage="1" errorTitle="Invalid Gender" error="Please enter a valid gender" sqref="H4:H5" xr:uid="{6A643D92-181D-4918-8910-1D8946319F94}">
      <formula1>INDIRECT("Table6[Gender]")</formula1>
    </dataValidation>
    <dataValidation type="textLength" operator="greaterThan" allowBlank="1" showInputMessage="1" showErrorMessage="1" errorTitle="Invalid Name" error="Please enter the Member's Name" sqref="D4:D5" xr:uid="{1473437C-11CC-4F57-BDB4-ED3E05EBBFB7}">
      <formula1>0</formula1>
    </dataValidation>
    <dataValidation type="custom" allowBlank="1" showDropDown="1" showInputMessage="1" showErrorMessage="1" prompt="Enter a valid date in DD-MMM-YYYY format. E.g., 20-Jan-1983" sqref="E4:E5" xr:uid="{F8BFEEBF-F3A6-46E6-ACB9-59FBBF7C5691}">
      <formula1>OR(NOT(ISERROR(DATEVALUE(E4))), AND(ISNUMBER(E4), LEFT(CELL("format", E4))="D"))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0F75F-A24A-46B0-85BA-E00E5A5D38E2}">
  <dimension ref="A1:R40"/>
  <sheetViews>
    <sheetView topLeftCell="A6" workbookViewId="0">
      <selection activeCell="M6" sqref="M6"/>
    </sheetView>
  </sheetViews>
  <sheetFormatPr defaultRowHeight="14.5" x14ac:dyDescent="0.35"/>
  <cols>
    <col min="17" max="17" width="11.1796875" customWidth="1"/>
  </cols>
  <sheetData>
    <row r="1" spans="1:15" ht="15" thickBot="1" x14ac:dyDescent="0.4">
      <c r="A1" s="183" t="s">
        <v>263</v>
      </c>
      <c r="B1" s="184"/>
      <c r="C1" s="184"/>
      <c r="D1" s="184"/>
      <c r="E1" s="184"/>
      <c r="F1" s="184"/>
      <c r="G1" s="184"/>
      <c r="H1" s="184"/>
      <c r="I1" s="184"/>
      <c r="J1" s="184"/>
      <c r="K1" s="184"/>
      <c r="L1" s="184"/>
      <c r="M1" s="184"/>
      <c r="N1" s="184"/>
      <c r="O1" s="185"/>
    </row>
    <row r="2" spans="1:15" x14ac:dyDescent="0.35">
      <c r="A2" s="17" t="s">
        <v>264</v>
      </c>
      <c r="B2" s="18" t="s">
        <v>265</v>
      </c>
      <c r="C2" s="18" t="s">
        <v>266</v>
      </c>
      <c r="D2" s="18" t="s">
        <v>267</v>
      </c>
      <c r="E2" s="18" t="s">
        <v>268</v>
      </c>
      <c r="F2" s="18" t="s">
        <v>269</v>
      </c>
      <c r="G2" s="18" t="s">
        <v>270</v>
      </c>
      <c r="H2" s="18" t="s">
        <v>271</v>
      </c>
      <c r="I2" s="18" t="s">
        <v>272</v>
      </c>
      <c r="J2" s="18" t="s">
        <v>273</v>
      </c>
      <c r="K2" s="18" t="s">
        <v>274</v>
      </c>
      <c r="L2" s="18" t="s">
        <v>275</v>
      </c>
      <c r="M2" s="18" t="s">
        <v>276</v>
      </c>
      <c r="N2" s="18" t="s">
        <v>277</v>
      </c>
      <c r="O2" s="18" t="s">
        <v>278</v>
      </c>
    </row>
    <row r="3" spans="1:15" x14ac:dyDescent="0.35">
      <c r="A3" s="19" t="s">
        <v>195</v>
      </c>
      <c r="B3" s="16">
        <v>1</v>
      </c>
      <c r="C3" s="16">
        <v>51</v>
      </c>
      <c r="D3" s="16">
        <v>68</v>
      </c>
      <c r="E3" s="16">
        <v>56</v>
      </c>
      <c r="F3" s="16">
        <v>138</v>
      </c>
      <c r="G3" s="16">
        <v>167</v>
      </c>
      <c r="H3" s="16">
        <v>137</v>
      </c>
      <c r="I3" s="16">
        <v>104</v>
      </c>
      <c r="J3" s="16">
        <v>43</v>
      </c>
      <c r="K3" s="16">
        <v>0</v>
      </c>
      <c r="L3" s="16">
        <v>0</v>
      </c>
      <c r="M3" s="16">
        <v>0</v>
      </c>
      <c r="N3" s="16">
        <v>0</v>
      </c>
      <c r="O3" s="20">
        <f>SUM(B3:N3)</f>
        <v>765</v>
      </c>
    </row>
    <row r="5" spans="1:15" x14ac:dyDescent="0.35">
      <c r="A5" s="17" t="s">
        <v>279</v>
      </c>
      <c r="B5" s="18" t="s">
        <v>265</v>
      </c>
      <c r="C5" s="18" t="s">
        <v>266</v>
      </c>
      <c r="D5" s="18" t="s">
        <v>267</v>
      </c>
      <c r="E5" s="18" t="s">
        <v>268</v>
      </c>
      <c r="F5" s="18" t="s">
        <v>269</v>
      </c>
      <c r="G5" s="18" t="s">
        <v>270</v>
      </c>
      <c r="H5" s="18" t="s">
        <v>271</v>
      </c>
      <c r="I5" s="18" t="s">
        <v>272</v>
      </c>
      <c r="J5" s="18" t="s">
        <v>273</v>
      </c>
      <c r="K5" s="18" t="s">
        <v>274</v>
      </c>
      <c r="L5" s="18" t="s">
        <v>275</v>
      </c>
      <c r="M5" s="18" t="s">
        <v>276</v>
      </c>
      <c r="N5" s="18" t="s">
        <v>277</v>
      </c>
      <c r="O5" s="18" t="s">
        <v>278</v>
      </c>
    </row>
    <row r="6" spans="1:15" x14ac:dyDescent="0.35">
      <c r="A6" s="19" t="s">
        <v>195</v>
      </c>
      <c r="B6" s="16"/>
      <c r="C6" s="16">
        <v>12</v>
      </c>
      <c r="D6" s="16">
        <v>48</v>
      </c>
      <c r="E6" s="16">
        <v>110</v>
      </c>
      <c r="F6" s="16">
        <v>162</v>
      </c>
      <c r="G6" s="16">
        <v>133</v>
      </c>
      <c r="H6" s="16">
        <v>78</v>
      </c>
      <c r="I6" s="16">
        <v>45</v>
      </c>
      <c r="J6" s="16">
        <v>4</v>
      </c>
      <c r="K6" s="16">
        <v>1</v>
      </c>
      <c r="L6" s="16">
        <v>0</v>
      </c>
      <c r="M6" s="16">
        <v>0</v>
      </c>
      <c r="N6" s="16">
        <v>0</v>
      </c>
      <c r="O6" s="20">
        <f>SUM(B6:N6)</f>
        <v>593</v>
      </c>
    </row>
    <row r="9" spans="1:15" x14ac:dyDescent="0.35">
      <c r="A9" s="17" t="s">
        <v>280</v>
      </c>
      <c r="B9" s="18" t="s">
        <v>265</v>
      </c>
      <c r="C9" s="18" t="s">
        <v>266</v>
      </c>
      <c r="D9" s="18" t="s">
        <v>267</v>
      </c>
      <c r="E9" s="18" t="s">
        <v>281</v>
      </c>
      <c r="F9" s="18" t="s">
        <v>278</v>
      </c>
    </row>
    <row r="10" spans="1:15" x14ac:dyDescent="0.35">
      <c r="A10" s="19" t="s">
        <v>195</v>
      </c>
      <c r="B10" s="16">
        <v>694</v>
      </c>
      <c r="C10" s="16">
        <v>165</v>
      </c>
      <c r="D10" s="16">
        <v>0</v>
      </c>
      <c r="E10" s="16">
        <v>0</v>
      </c>
      <c r="F10" s="20">
        <f>SUM(B10:E10)</f>
        <v>859</v>
      </c>
    </row>
    <row r="12" spans="1:15" x14ac:dyDescent="0.35">
      <c r="A12" s="17" t="s">
        <v>282</v>
      </c>
      <c r="B12" s="18" t="s">
        <v>269</v>
      </c>
      <c r="C12" s="18" t="s">
        <v>270</v>
      </c>
      <c r="D12" s="18" t="s">
        <v>271</v>
      </c>
      <c r="E12" s="18" t="s">
        <v>272</v>
      </c>
      <c r="F12" s="18" t="s">
        <v>273</v>
      </c>
      <c r="G12" s="18" t="s">
        <v>274</v>
      </c>
      <c r="H12" s="18" t="s">
        <v>275</v>
      </c>
      <c r="I12" s="18" t="s">
        <v>276</v>
      </c>
      <c r="J12" s="18" t="s">
        <v>277</v>
      </c>
      <c r="K12" s="18" t="s">
        <v>283</v>
      </c>
      <c r="L12" s="18" t="s">
        <v>284</v>
      </c>
      <c r="M12" s="18" t="s">
        <v>278</v>
      </c>
    </row>
    <row r="13" spans="1:15" x14ac:dyDescent="0.35">
      <c r="A13" s="19" t="s">
        <v>195</v>
      </c>
      <c r="B13" s="16">
        <v>0</v>
      </c>
      <c r="C13" s="16">
        <v>0</v>
      </c>
      <c r="D13" s="16">
        <v>2</v>
      </c>
      <c r="E13" s="16">
        <v>8</v>
      </c>
      <c r="F13" s="16">
        <v>35</v>
      </c>
      <c r="G13" s="16">
        <v>39</v>
      </c>
      <c r="H13" s="16">
        <v>68</v>
      </c>
      <c r="I13" s="16">
        <v>56</v>
      </c>
      <c r="J13" s="16">
        <v>25</v>
      </c>
      <c r="K13" s="16">
        <v>13</v>
      </c>
      <c r="L13" s="16">
        <v>5</v>
      </c>
      <c r="M13" s="20">
        <f>SUM(B13:L13)</f>
        <v>251</v>
      </c>
    </row>
    <row r="14" spans="1:15" ht="15" thickBot="1" x14ac:dyDescent="0.4">
      <c r="A14" s="23"/>
      <c r="B14" s="24"/>
      <c r="C14" s="24"/>
      <c r="D14" s="24"/>
      <c r="E14" s="24"/>
      <c r="F14" s="24"/>
      <c r="G14" s="24"/>
      <c r="H14" s="24"/>
      <c r="I14" s="24"/>
      <c r="J14" s="24"/>
      <c r="K14" s="24"/>
      <c r="L14" s="24"/>
      <c r="M14" s="25"/>
    </row>
    <row r="15" spans="1:15" ht="15" thickBot="1" x14ac:dyDescent="0.4">
      <c r="A15" s="183" t="s">
        <v>285</v>
      </c>
      <c r="B15" s="184"/>
      <c r="C15" s="184"/>
      <c r="D15" s="184"/>
      <c r="E15" s="184"/>
      <c r="F15" s="184"/>
      <c r="G15" s="184"/>
      <c r="H15" s="184"/>
      <c r="I15" s="184"/>
      <c r="J15" s="184"/>
      <c r="K15" s="184"/>
      <c r="L15" s="184"/>
      <c r="M15" s="184"/>
      <c r="N15" s="184"/>
      <c r="O15" s="185"/>
    </row>
    <row r="16" spans="1:15" x14ac:dyDescent="0.35">
      <c r="A16" s="17" t="s">
        <v>264</v>
      </c>
      <c r="B16" s="18" t="s">
        <v>265</v>
      </c>
      <c r="C16" s="18" t="s">
        <v>266</v>
      </c>
      <c r="D16" s="18" t="s">
        <v>267</v>
      </c>
      <c r="E16" s="18" t="s">
        <v>268</v>
      </c>
      <c r="F16" s="18" t="s">
        <v>269</v>
      </c>
      <c r="G16" s="18" t="s">
        <v>270</v>
      </c>
      <c r="H16" s="18" t="s">
        <v>271</v>
      </c>
      <c r="I16" s="18" t="s">
        <v>272</v>
      </c>
      <c r="J16" s="18" t="s">
        <v>273</v>
      </c>
      <c r="K16" s="18" t="s">
        <v>274</v>
      </c>
      <c r="L16" s="18" t="s">
        <v>275</v>
      </c>
      <c r="M16" s="18" t="s">
        <v>276</v>
      </c>
      <c r="N16" s="18" t="s">
        <v>277</v>
      </c>
      <c r="O16" s="18" t="s">
        <v>278</v>
      </c>
    </row>
    <row r="17" spans="1:15" x14ac:dyDescent="0.35">
      <c r="A17" s="19" t="s">
        <v>195</v>
      </c>
      <c r="B17" s="16">
        <v>8</v>
      </c>
      <c r="C17" s="16">
        <v>475</v>
      </c>
      <c r="D17" s="16">
        <v>627</v>
      </c>
      <c r="E17" s="16">
        <v>498</v>
      </c>
      <c r="F17" s="16">
        <v>316</v>
      </c>
      <c r="G17" s="16">
        <v>160</v>
      </c>
      <c r="H17" s="16">
        <v>93</v>
      </c>
      <c r="I17" s="16">
        <v>51</v>
      </c>
      <c r="J17" s="16">
        <v>12</v>
      </c>
      <c r="K17" s="16">
        <v>0</v>
      </c>
      <c r="L17" s="16">
        <v>0</v>
      </c>
      <c r="M17" s="16">
        <v>1</v>
      </c>
      <c r="N17" s="16">
        <v>0</v>
      </c>
      <c r="O17" s="20">
        <f>SUM(B17:N17)</f>
        <v>2241</v>
      </c>
    </row>
    <row r="19" spans="1:15" x14ac:dyDescent="0.35">
      <c r="A19" s="17" t="s">
        <v>279</v>
      </c>
      <c r="B19" s="18" t="s">
        <v>265</v>
      </c>
      <c r="C19" s="18" t="s">
        <v>266</v>
      </c>
      <c r="D19" s="18" t="s">
        <v>267</v>
      </c>
      <c r="E19" s="18" t="s">
        <v>268</v>
      </c>
      <c r="F19" s="18" t="s">
        <v>269</v>
      </c>
      <c r="G19" s="18" t="s">
        <v>270</v>
      </c>
      <c r="H19" s="18" t="s">
        <v>271</v>
      </c>
      <c r="I19" s="18" t="s">
        <v>272</v>
      </c>
      <c r="J19" s="18" t="s">
        <v>273</v>
      </c>
      <c r="K19" s="18" t="s">
        <v>274</v>
      </c>
      <c r="L19" s="18" t="s">
        <v>275</v>
      </c>
      <c r="M19" s="18" t="s">
        <v>276</v>
      </c>
      <c r="N19" s="18" t="s">
        <v>277</v>
      </c>
      <c r="O19" s="18" t="s">
        <v>278</v>
      </c>
    </row>
    <row r="20" spans="1:15" x14ac:dyDescent="0.35">
      <c r="A20" s="19" t="s">
        <v>195</v>
      </c>
      <c r="B20" s="16">
        <v>2</v>
      </c>
      <c r="C20" s="16">
        <v>54</v>
      </c>
      <c r="D20" s="16">
        <v>184</v>
      </c>
      <c r="E20" s="16">
        <v>268</v>
      </c>
      <c r="F20" s="16">
        <v>216</v>
      </c>
      <c r="G20" s="16">
        <v>110</v>
      </c>
      <c r="H20" s="16">
        <v>49</v>
      </c>
      <c r="I20" s="16">
        <v>17</v>
      </c>
      <c r="J20" s="16">
        <v>8</v>
      </c>
      <c r="K20" s="16">
        <v>3</v>
      </c>
      <c r="L20" s="16">
        <v>0</v>
      </c>
      <c r="M20" s="16">
        <v>0</v>
      </c>
      <c r="N20" s="16">
        <v>0</v>
      </c>
      <c r="O20" s="20">
        <f>SUM(B20:N20)</f>
        <v>911</v>
      </c>
    </row>
    <row r="23" spans="1:15" x14ac:dyDescent="0.35">
      <c r="A23" s="17" t="s">
        <v>280</v>
      </c>
      <c r="B23" s="18" t="s">
        <v>265</v>
      </c>
      <c r="C23" s="18" t="s">
        <v>266</v>
      </c>
      <c r="D23" s="18" t="s">
        <v>267</v>
      </c>
      <c r="E23" s="18" t="s">
        <v>281</v>
      </c>
      <c r="F23" s="18" t="s">
        <v>278</v>
      </c>
    </row>
    <row r="24" spans="1:15" x14ac:dyDescent="0.35">
      <c r="A24" s="19" t="s">
        <v>195</v>
      </c>
      <c r="B24" s="16">
        <v>910</v>
      </c>
      <c r="C24" s="16">
        <v>43</v>
      </c>
      <c r="D24" s="16">
        <v>0</v>
      </c>
      <c r="E24" s="16">
        <v>0</v>
      </c>
      <c r="F24" s="20">
        <f>SUM(B24:E24)</f>
        <v>953</v>
      </c>
    </row>
    <row r="26" spans="1:15" x14ac:dyDescent="0.35">
      <c r="A26" s="17" t="s">
        <v>282</v>
      </c>
      <c r="B26" s="18" t="s">
        <v>269</v>
      </c>
      <c r="C26" s="18" t="s">
        <v>270</v>
      </c>
      <c r="D26" s="18" t="s">
        <v>271</v>
      </c>
      <c r="E26" s="18" t="s">
        <v>272</v>
      </c>
      <c r="F26" s="18" t="s">
        <v>273</v>
      </c>
      <c r="G26" s="18" t="s">
        <v>274</v>
      </c>
      <c r="H26" s="18" t="s">
        <v>275</v>
      </c>
      <c r="I26" s="18" t="s">
        <v>276</v>
      </c>
      <c r="J26" s="18" t="s">
        <v>277</v>
      </c>
      <c r="K26" s="18" t="s">
        <v>283</v>
      </c>
      <c r="L26" s="18" t="s">
        <v>284</v>
      </c>
      <c r="M26" s="18" t="s">
        <v>278</v>
      </c>
    </row>
    <row r="27" spans="1:15" x14ac:dyDescent="0.35">
      <c r="A27" s="19" t="s">
        <v>195</v>
      </c>
      <c r="B27" s="16">
        <v>0</v>
      </c>
      <c r="C27" s="16">
        <v>7</v>
      </c>
      <c r="D27" s="16">
        <v>46</v>
      </c>
      <c r="E27" s="16">
        <v>110</v>
      </c>
      <c r="F27" s="16">
        <v>183</v>
      </c>
      <c r="G27" s="16">
        <v>182</v>
      </c>
      <c r="H27" s="16">
        <v>163</v>
      </c>
      <c r="I27" s="16">
        <v>111</v>
      </c>
      <c r="J27" s="16">
        <v>39</v>
      </c>
      <c r="K27" s="16">
        <v>19</v>
      </c>
      <c r="L27" s="16">
        <v>3</v>
      </c>
      <c r="M27" s="20">
        <f>SUM(B27:L27)</f>
        <v>863</v>
      </c>
    </row>
    <row r="28" spans="1:15" ht="15" thickBot="1" x14ac:dyDescent="0.4"/>
    <row r="29" spans="1:15" ht="15" thickBot="1" x14ac:dyDescent="0.4">
      <c r="A29" s="183" t="s">
        <v>286</v>
      </c>
      <c r="B29" s="184"/>
      <c r="C29" s="184"/>
      <c r="D29" s="184"/>
      <c r="E29" s="184"/>
      <c r="F29" s="184"/>
      <c r="G29" s="184"/>
      <c r="H29" s="184"/>
      <c r="I29" s="184"/>
      <c r="J29" s="184"/>
      <c r="K29" s="184"/>
      <c r="L29" s="184"/>
      <c r="M29" s="184"/>
      <c r="N29" s="184"/>
      <c r="O29" s="185"/>
    </row>
    <row r="30" spans="1:15" x14ac:dyDescent="0.35">
      <c r="A30" s="21" t="s">
        <v>264</v>
      </c>
      <c r="B30" s="22" t="s">
        <v>265</v>
      </c>
      <c r="C30" s="22" t="s">
        <v>266</v>
      </c>
      <c r="D30" s="22" t="s">
        <v>267</v>
      </c>
      <c r="E30" s="22" t="s">
        <v>268</v>
      </c>
      <c r="F30" s="22" t="s">
        <v>269</v>
      </c>
      <c r="G30" s="22" t="s">
        <v>270</v>
      </c>
      <c r="H30" s="22" t="s">
        <v>271</v>
      </c>
      <c r="I30" s="22" t="s">
        <v>272</v>
      </c>
      <c r="J30" s="22" t="s">
        <v>273</v>
      </c>
      <c r="K30" s="22" t="s">
        <v>274</v>
      </c>
      <c r="L30" s="22" t="s">
        <v>275</v>
      </c>
      <c r="M30" s="22" t="s">
        <v>276</v>
      </c>
      <c r="N30" s="22" t="s">
        <v>277</v>
      </c>
      <c r="O30" s="22" t="s">
        <v>278</v>
      </c>
    </row>
    <row r="31" spans="1:15" x14ac:dyDescent="0.35">
      <c r="A31" s="19" t="s">
        <v>195</v>
      </c>
      <c r="B31" s="16">
        <v>0</v>
      </c>
      <c r="C31" s="16">
        <v>0</v>
      </c>
      <c r="D31" s="16">
        <v>2</v>
      </c>
      <c r="E31" s="16">
        <v>25</v>
      </c>
      <c r="F31" s="16">
        <v>49</v>
      </c>
      <c r="G31" s="16">
        <v>67</v>
      </c>
      <c r="H31" s="16">
        <v>48</v>
      </c>
      <c r="I31" s="16">
        <v>27</v>
      </c>
      <c r="J31" s="16">
        <v>9</v>
      </c>
      <c r="K31" s="16">
        <v>3</v>
      </c>
      <c r="L31" s="16">
        <v>0</v>
      </c>
      <c r="M31" s="16">
        <v>1</v>
      </c>
      <c r="N31" s="16" t="s">
        <v>287</v>
      </c>
      <c r="O31" s="20">
        <f>SUM(B31:N31)</f>
        <v>231</v>
      </c>
    </row>
    <row r="33" spans="1:18" x14ac:dyDescent="0.35">
      <c r="A33" s="17" t="s">
        <v>279</v>
      </c>
      <c r="B33" s="18" t="s">
        <v>265</v>
      </c>
      <c r="C33" s="18" t="s">
        <v>266</v>
      </c>
      <c r="D33" s="18" t="s">
        <v>267</v>
      </c>
      <c r="E33" s="18" t="s">
        <v>268</v>
      </c>
      <c r="F33" s="18" t="s">
        <v>269</v>
      </c>
      <c r="G33" s="18" t="s">
        <v>270</v>
      </c>
      <c r="H33" s="18" t="s">
        <v>271</v>
      </c>
      <c r="I33" s="18" t="s">
        <v>272</v>
      </c>
      <c r="J33" s="18" t="s">
        <v>273</v>
      </c>
      <c r="K33" s="18" t="s">
        <v>274</v>
      </c>
      <c r="L33" s="18" t="s">
        <v>275</v>
      </c>
      <c r="M33" s="18" t="s">
        <v>276</v>
      </c>
      <c r="N33" s="18" t="s">
        <v>277</v>
      </c>
      <c r="O33" s="18" t="s">
        <v>278</v>
      </c>
    </row>
    <row r="34" spans="1:18" x14ac:dyDescent="0.35">
      <c r="A34" s="19" t="s">
        <v>195</v>
      </c>
      <c r="B34" s="16">
        <v>0</v>
      </c>
      <c r="C34" s="16">
        <v>0</v>
      </c>
      <c r="D34" s="16">
        <v>8</v>
      </c>
      <c r="E34" s="16">
        <v>32</v>
      </c>
      <c r="F34" s="16">
        <v>63</v>
      </c>
      <c r="G34" s="16">
        <v>49</v>
      </c>
      <c r="H34" s="16">
        <v>36</v>
      </c>
      <c r="I34" s="16">
        <v>17</v>
      </c>
      <c r="J34" s="16">
        <v>3</v>
      </c>
      <c r="K34" s="16">
        <v>1</v>
      </c>
      <c r="L34" s="16">
        <v>0</v>
      </c>
      <c r="M34" s="16">
        <v>1</v>
      </c>
      <c r="N34" s="16">
        <v>0</v>
      </c>
      <c r="O34" s="20">
        <f>SUM(B34:N34)</f>
        <v>210</v>
      </c>
    </row>
    <row r="36" spans="1:18" x14ac:dyDescent="0.35">
      <c r="A36" s="17" t="s">
        <v>280</v>
      </c>
      <c r="B36" s="18" t="s">
        <v>265</v>
      </c>
      <c r="C36" s="18" t="s">
        <v>266</v>
      </c>
      <c r="D36" s="18" t="s">
        <v>267</v>
      </c>
      <c r="E36" s="18" t="s">
        <v>281</v>
      </c>
      <c r="F36" s="18" t="s">
        <v>278</v>
      </c>
      <c r="Q36" s="20" t="s">
        <v>264</v>
      </c>
      <c r="R36" s="20">
        <f>O3+O17+O31</f>
        <v>3237</v>
      </c>
    </row>
    <row r="37" spans="1:18" x14ac:dyDescent="0.35">
      <c r="A37" s="19" t="s">
        <v>195</v>
      </c>
      <c r="B37" s="16">
        <v>213</v>
      </c>
      <c r="C37" s="16">
        <v>30</v>
      </c>
      <c r="D37" s="16">
        <v>1</v>
      </c>
      <c r="E37" s="16">
        <v>0</v>
      </c>
      <c r="F37" s="20">
        <f>SUM(B37:E37)</f>
        <v>244</v>
      </c>
      <c r="Q37" s="20" t="s">
        <v>279</v>
      </c>
      <c r="R37" s="20">
        <f>O6+O20+O34</f>
        <v>1714</v>
      </c>
    </row>
    <row r="38" spans="1:18" x14ac:dyDescent="0.35">
      <c r="Q38" s="20" t="s">
        <v>280</v>
      </c>
      <c r="R38" s="20">
        <f>F10+F24+F37</f>
        <v>2056</v>
      </c>
    </row>
    <row r="39" spans="1:18" x14ac:dyDescent="0.35">
      <c r="A39" s="17" t="s">
        <v>282</v>
      </c>
      <c r="B39" s="18" t="s">
        <v>269</v>
      </c>
      <c r="C39" s="18" t="s">
        <v>270</v>
      </c>
      <c r="D39" s="18" t="s">
        <v>271</v>
      </c>
      <c r="E39" s="18" t="s">
        <v>272</v>
      </c>
      <c r="F39" s="18" t="s">
        <v>273</v>
      </c>
      <c r="G39" s="18" t="s">
        <v>274</v>
      </c>
      <c r="H39" s="18" t="s">
        <v>275</v>
      </c>
      <c r="I39" s="18" t="s">
        <v>276</v>
      </c>
      <c r="J39" s="18" t="s">
        <v>277</v>
      </c>
      <c r="K39" s="18" t="s">
        <v>283</v>
      </c>
      <c r="L39" s="18" t="s">
        <v>284</v>
      </c>
      <c r="M39" s="18" t="s">
        <v>278</v>
      </c>
      <c r="Q39" s="20" t="s">
        <v>282</v>
      </c>
      <c r="R39" s="20">
        <f>M13+M27+M40</f>
        <v>1276</v>
      </c>
    </row>
    <row r="40" spans="1:18" x14ac:dyDescent="0.35">
      <c r="A40" s="19" t="s">
        <v>195</v>
      </c>
      <c r="B40" s="16">
        <v>0</v>
      </c>
      <c r="C40" s="16">
        <v>0</v>
      </c>
      <c r="D40" s="16">
        <v>1</v>
      </c>
      <c r="E40" s="16">
        <v>8</v>
      </c>
      <c r="F40" s="16">
        <v>16</v>
      </c>
      <c r="G40" s="16">
        <v>27</v>
      </c>
      <c r="H40" s="16">
        <v>44</v>
      </c>
      <c r="I40" s="16">
        <v>32</v>
      </c>
      <c r="J40" s="16">
        <v>20</v>
      </c>
      <c r="K40" s="16">
        <v>10</v>
      </c>
      <c r="L40" s="16">
        <v>4</v>
      </c>
      <c r="M40" s="20">
        <f>SUM(B40:L40)</f>
        <v>162</v>
      </c>
      <c r="Q40" s="20" t="s">
        <v>288</v>
      </c>
      <c r="R40" s="20">
        <f>SUM(R36:R39)</f>
        <v>8283</v>
      </c>
    </row>
  </sheetData>
  <mergeCells count="3">
    <mergeCell ref="A1:O1"/>
    <mergeCell ref="A15:O15"/>
    <mergeCell ref="A29:O2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0BD4E4ACEE17047B2CD88717FF8D421" ma:contentTypeVersion="21" ma:contentTypeDescription="Create a new document." ma:contentTypeScope="" ma:versionID="a39149432796a8a5ac3476c29ac77687">
  <xsd:schema xmlns:xsd="http://www.w3.org/2001/XMLSchema" xmlns:xs="http://www.w3.org/2001/XMLSchema" xmlns:p="http://schemas.microsoft.com/office/2006/metadata/properties" xmlns:ns2="edf6b5f7-d342-49f2-86e7-16b167db190f" xmlns:ns3="2b47590b-d718-474f-a7b3-10b44959738c" targetNamespace="http://schemas.microsoft.com/office/2006/metadata/properties" ma:root="true" ma:fieldsID="1a52db9392da18844b66f7fc49b74c14" ns2:_="" ns3:_="">
    <xsd:import namespace="edf6b5f7-d342-49f2-86e7-16b167db190f"/>
    <xsd:import namespace="2b47590b-d718-474f-a7b3-10b44959738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_Flow_SignoffStatu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df6b5f7-d342-49f2-86e7-16b167db190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454ba23b-1f8a-4162-98cf-07c68cba3f9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_Flow_SignoffStatus" ma:index="25" nillable="true" ma:displayName="Sign-off status" ma:internalName="Sign_x002d_off_x0020_status">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b47590b-d718-474f-a7b3-10b44959738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3d814ff0-5522-4f97-b5fe-6179ba350c79}" ma:internalName="TaxCatchAll" ma:showField="CatchAllData" ma:web="2b47590b-d718-474f-a7b3-10b44959738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2b47590b-d718-474f-a7b3-10b44959738c" xsi:nil="true"/>
    <lcf76f155ced4ddcb4097134ff3c332f xmlns="edf6b5f7-d342-49f2-86e7-16b167db190f">
      <Terms xmlns="http://schemas.microsoft.com/office/infopath/2007/PartnerControls"/>
    </lcf76f155ced4ddcb4097134ff3c332f>
    <_Flow_SignoffStatus xmlns="edf6b5f7-d342-49f2-86e7-16b167db190f" xsi:nil="true"/>
  </documentManagement>
</p:properties>
</file>

<file path=customXml/itemProps1.xml><?xml version="1.0" encoding="utf-8"?>
<ds:datastoreItem xmlns:ds="http://schemas.openxmlformats.org/officeDocument/2006/customXml" ds:itemID="{A329A0B5-AFA8-4F90-83A4-78CC2EF10EBB}">
  <ds:schemaRefs>
    <ds:schemaRef ds:uri="http://schemas.microsoft.com/sharepoint/v3/contenttype/forms"/>
  </ds:schemaRefs>
</ds:datastoreItem>
</file>

<file path=customXml/itemProps2.xml><?xml version="1.0" encoding="utf-8"?>
<ds:datastoreItem xmlns:ds="http://schemas.openxmlformats.org/officeDocument/2006/customXml" ds:itemID="{8AF2BBC8-FF53-4917-8927-2514A6B994F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df6b5f7-d342-49f2-86e7-16b167db190f"/>
    <ds:schemaRef ds:uri="2b47590b-d718-474f-a7b3-10b4495973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5B1D13C-FDB6-406D-B9C2-3DA99ECA7408}">
  <ds:schemaRefs>
    <ds:schemaRef ds:uri="http://schemas.microsoft.com/office/2006/metadata/properties"/>
    <ds:schemaRef ds:uri="http://schemas.microsoft.com/office/infopath/2007/PartnerControls"/>
    <ds:schemaRef ds:uri="2b47590b-d718-474f-a7b3-10b44959738c"/>
    <ds:schemaRef ds:uri="edf6b5f7-d342-49f2-86e7-16b167db190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Company Info</vt:lpstr>
      <vt:lpstr>Expiring Policy Terms</vt:lpstr>
      <vt:lpstr>GHI RFQ</vt:lpstr>
      <vt:lpstr>Employee_Data</vt:lpstr>
      <vt:lpstr>Age Band Pivot</vt:lpstr>
      <vt:lpstr>Claims Analysis</vt:lpstr>
      <vt:lpstr>Renewal Quote Predict</vt:lpstr>
      <vt:lpstr>Records to be corrected</vt:lpstr>
      <vt:lpstr>Age Band - Only PSU</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Anuj Parekh</dc:creator>
  <cp:keywords/>
  <dc:description/>
  <cp:lastModifiedBy>Riddhi Kakrecha</cp:lastModifiedBy>
  <cp:revision/>
  <dcterms:created xsi:type="dcterms:W3CDTF">2020-11-23T09:43:14Z</dcterms:created>
  <dcterms:modified xsi:type="dcterms:W3CDTF">2026-06-11T05:42:57Z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0x01010070BD4E4ACEE17047B2CD88717FF8D421</vt:lpwstr>
  </property>
  <property fmtid="{D5CDD505-2E9C-101B-9397-08002B2CF9AE}" pid="3" name="MediaServiceImageTags">
    <vt:lpwstr/>
  </property>
</Properties>
</file>