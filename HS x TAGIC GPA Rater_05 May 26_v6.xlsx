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healthysurein.sharepoint.com/sites/HealthySureGroup/HealthySure/HealthySure/Employee Benefits Platform/Placements/Premium Calculators/Insurers/TATA AIG/GPA SME Exclusive/"/>
    </mc:Choice>
  </mc:AlternateContent>
  <xr:revisionPtr revIDLastSave="25" documentId="13_ncr:1_{FC35D45B-265F-4F67-B61F-7EDC569D4C3C}" xr6:coauthVersionLast="47" xr6:coauthVersionMax="47" xr10:uidLastSave="{35F0B22D-7A2B-4101-BEDC-72CE5E0BADEC}"/>
  <bookViews>
    <workbookView xWindow="-108" yWindow="-108" windowWidth="23256" windowHeight="12456" tabRatio="500" activeTab="1" xr2:uid="{00000000-000D-0000-FFFF-FFFF00000000}"/>
  </bookViews>
  <sheets>
    <sheet name="QUOTE LETTER - Operations" sheetId="5" r:id="rId1"/>
    <sheet name="QUOTE LETTER - Client" sheetId="6" r:id="rId2"/>
    <sheet name="Rater" sheetId="1" r:id="rId3"/>
    <sheet name="Policy Terms" sheetId="2" r:id="rId4"/>
    <sheet name="Commissions" sheetId="3" state="hidden" r:id="rId5"/>
    <sheet name="Decline List" sheetId="4" r:id="rId6"/>
  </sheets>
  <externalReferences>
    <externalReference r:id="rId7"/>
  </externalReferences>
  <definedNames>
    <definedName name="industry_master">[1]Master!$B$3:$B$15</definedName>
    <definedName name="option">[1]RFQ!$E$126:$E$127</definedName>
    <definedName name="_xlnm.Print_Area" localSheetId="1">'QUOTE LETTER - Client'!$B$1:$H$146</definedName>
    <definedName name="_xlnm.Print_Area" localSheetId="0">'QUOTE LETTER - Operations'!$B$1:$H$145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2" i="1" l="1"/>
  <c r="C11" i="5"/>
  <c r="I38" i="1"/>
  <c r="C20" i="5"/>
  <c r="D20" i="5"/>
  <c r="E20" i="5" s="1"/>
  <c r="F9" i="5"/>
  <c r="F9" i="6" s="1"/>
  <c r="G5" i="1"/>
  <c r="C36" i="1" l="1"/>
  <c r="E35" i="1" s="1"/>
  <c r="H11" i="1"/>
  <c r="C77" i="6" l="1"/>
  <c r="D47" i="6"/>
  <c r="D46" i="6"/>
  <c r="D44" i="6"/>
  <c r="E29" i="6"/>
  <c r="D29" i="6"/>
  <c r="C29" i="6"/>
  <c r="E28" i="6"/>
  <c r="D28" i="6"/>
  <c r="C28" i="6"/>
  <c r="E27" i="6"/>
  <c r="D27" i="6"/>
  <c r="C27" i="6"/>
  <c r="E26" i="6"/>
  <c r="D26" i="6"/>
  <c r="C26" i="6"/>
  <c r="E25" i="6"/>
  <c r="D25" i="6"/>
  <c r="C25" i="6"/>
  <c r="E24" i="6"/>
  <c r="D24" i="6"/>
  <c r="C24" i="6"/>
  <c r="E23" i="6"/>
  <c r="D23" i="6"/>
  <c r="C23" i="6"/>
  <c r="E22" i="6"/>
  <c r="D22" i="6"/>
  <c r="C22" i="6"/>
  <c r="E21" i="6"/>
  <c r="D21" i="6"/>
  <c r="C21" i="6"/>
  <c r="E6" i="6"/>
  <c r="F6" i="5"/>
  <c r="D45" i="5" s="1"/>
  <c r="D45" i="6" s="1"/>
  <c r="D51" i="5" l="1"/>
  <c r="D51" i="6" s="1"/>
  <c r="D59" i="5"/>
  <c r="D59" i="6" s="1"/>
  <c r="D58" i="5"/>
  <c r="D58" i="6" s="1"/>
  <c r="D41" i="5"/>
  <c r="D41" i="6" s="1"/>
  <c r="F6" i="6"/>
  <c r="D43" i="5"/>
  <c r="D43" i="6" s="1"/>
  <c r="D39" i="5"/>
  <c r="D39" i="6" s="1"/>
  <c r="D34" i="5"/>
  <c r="C20" i="6"/>
  <c r="C30" i="6" s="1"/>
  <c r="C18" i="5"/>
  <c r="C18" i="6" s="1"/>
  <c r="C17" i="5"/>
  <c r="C17" i="6" s="1"/>
  <c r="G16" i="1"/>
  <c r="C16" i="5" s="1"/>
  <c r="C16" i="6" s="1"/>
  <c r="C15" i="5"/>
  <c r="C15" i="6" s="1"/>
  <c r="C14" i="5"/>
  <c r="C14" i="6" s="1"/>
  <c r="E33" i="6" s="1"/>
  <c r="C13" i="5"/>
  <c r="C13" i="6" s="1"/>
  <c r="C12" i="5"/>
  <c r="C12" i="6" s="1"/>
  <c r="C6" i="5"/>
  <c r="C6" i="6" s="1"/>
  <c r="C11" i="6"/>
  <c r="F7" i="5"/>
  <c r="F7" i="6" s="1"/>
  <c r="C9" i="5"/>
  <c r="C9" i="6" s="1"/>
  <c r="C8" i="5"/>
  <c r="C8" i="6" s="1"/>
  <c r="C7" i="5"/>
  <c r="C7" i="6" s="1"/>
  <c r="F5" i="5"/>
  <c r="F5" i="6" s="1"/>
  <c r="C5" i="5"/>
  <c r="C5" i="6" s="1"/>
  <c r="C133" i="6"/>
  <c r="B89" i="6"/>
  <c r="B87" i="6"/>
  <c r="B86" i="6"/>
  <c r="C85" i="6"/>
  <c r="B85" i="6"/>
  <c r="C84" i="6"/>
  <c r="B84" i="6"/>
  <c r="B83" i="6"/>
  <c r="B82" i="6"/>
  <c r="B81" i="6"/>
  <c r="B80" i="6"/>
  <c r="B77" i="6"/>
  <c r="B76" i="6"/>
  <c r="B75" i="6"/>
  <c r="B74" i="6"/>
  <c r="C73" i="6"/>
  <c r="B73" i="6"/>
  <c r="D72" i="6"/>
  <c r="B71" i="6"/>
  <c r="E69" i="6"/>
  <c r="D69" i="6"/>
  <c r="B69" i="6"/>
  <c r="E68" i="6"/>
  <c r="D68" i="6"/>
  <c r="B68" i="6"/>
  <c r="E67" i="6"/>
  <c r="D67" i="6"/>
  <c r="B67" i="6"/>
  <c r="E66" i="6"/>
  <c r="D66" i="6"/>
  <c r="B66" i="6"/>
  <c r="E65" i="6"/>
  <c r="D65" i="6"/>
  <c r="B65" i="6"/>
  <c r="E64" i="6"/>
  <c r="D64" i="6"/>
  <c r="B64" i="6"/>
  <c r="E63" i="6"/>
  <c r="D63" i="6"/>
  <c r="B63" i="6"/>
  <c r="E62" i="6"/>
  <c r="D62" i="6"/>
  <c r="B62" i="6"/>
  <c r="E61" i="6"/>
  <c r="D61" i="6"/>
  <c r="B61" i="6"/>
  <c r="E60" i="6"/>
  <c r="D60" i="6"/>
  <c r="B60" i="6"/>
  <c r="G59" i="6"/>
  <c r="E59" i="6"/>
  <c r="B59" i="6"/>
  <c r="G58" i="6"/>
  <c r="E58" i="6"/>
  <c r="B58" i="6"/>
  <c r="E57" i="6"/>
  <c r="D57" i="6"/>
  <c r="B57" i="6"/>
  <c r="E56" i="6"/>
  <c r="D56" i="6"/>
  <c r="B56" i="6"/>
  <c r="E55" i="6"/>
  <c r="D55" i="6"/>
  <c r="B55" i="6"/>
  <c r="E54" i="6"/>
  <c r="D54" i="6"/>
  <c r="B54" i="6"/>
  <c r="E53" i="6"/>
  <c r="D53" i="6"/>
  <c r="B53" i="6"/>
  <c r="E52" i="6"/>
  <c r="D52" i="6"/>
  <c r="B52" i="6"/>
  <c r="H51" i="6"/>
  <c r="G51" i="6"/>
  <c r="F51" i="6"/>
  <c r="E51" i="6"/>
  <c r="E50" i="6"/>
  <c r="D50" i="6"/>
  <c r="B50" i="6"/>
  <c r="E49" i="6"/>
  <c r="D49" i="6"/>
  <c r="B49" i="6"/>
  <c r="E48" i="6"/>
  <c r="D48" i="6"/>
  <c r="B48" i="6"/>
  <c r="G47" i="6"/>
  <c r="E47" i="6"/>
  <c r="G46" i="6"/>
  <c r="E46" i="6"/>
  <c r="B46" i="6"/>
  <c r="G45" i="6"/>
  <c r="E45" i="6"/>
  <c r="G44" i="6"/>
  <c r="E44" i="6"/>
  <c r="G43" i="6"/>
  <c r="E43" i="6"/>
  <c r="G42" i="6"/>
  <c r="E42" i="6"/>
  <c r="G41" i="6"/>
  <c r="E41" i="6"/>
  <c r="D40" i="6"/>
  <c r="G38" i="6"/>
  <c r="E38" i="6"/>
  <c r="G37" i="6"/>
  <c r="E37" i="6"/>
  <c r="G36" i="6"/>
  <c r="E36" i="6"/>
  <c r="G35" i="6"/>
  <c r="E35" i="6"/>
  <c r="G34" i="6"/>
  <c r="E34" i="6"/>
  <c r="D33" i="6"/>
  <c r="B33" i="6"/>
  <c r="C31" i="6"/>
  <c r="B30" i="6"/>
  <c r="B29" i="6"/>
  <c r="B28" i="6"/>
  <c r="B27" i="6"/>
  <c r="B26" i="6"/>
  <c r="B25" i="6"/>
  <c r="B24" i="6"/>
  <c r="B23" i="6"/>
  <c r="B22" i="6"/>
  <c r="B21" i="6"/>
  <c r="B20" i="6"/>
  <c r="E19" i="6"/>
  <c r="D19" i="6"/>
  <c r="C19" i="6"/>
  <c r="B19" i="6"/>
  <c r="B16" i="6"/>
  <c r="B14" i="6"/>
  <c r="B11" i="6"/>
  <c r="E7" i="6"/>
  <c r="B6" i="6"/>
  <c r="B5" i="6"/>
  <c r="C132" i="5"/>
  <c r="B90" i="5"/>
  <c r="B88" i="5"/>
  <c r="B87" i="5"/>
  <c r="C86" i="5"/>
  <c r="B86" i="5"/>
  <c r="C85" i="5"/>
  <c r="B85" i="5"/>
  <c r="B84" i="5"/>
  <c r="B83" i="5"/>
  <c r="B82" i="5"/>
  <c r="B80" i="5"/>
  <c r="B77" i="5"/>
  <c r="B76" i="5"/>
  <c r="B75" i="5"/>
  <c r="C74" i="5"/>
  <c r="C74" i="6" s="1"/>
  <c r="B74" i="5"/>
  <c r="C73" i="5"/>
  <c r="B73" i="5"/>
  <c r="D72" i="5"/>
  <c r="D71" i="5"/>
  <c r="D71" i="6" s="1"/>
  <c r="B71" i="5"/>
  <c r="E69" i="5"/>
  <c r="D69" i="5"/>
  <c r="B69" i="5"/>
  <c r="E68" i="5"/>
  <c r="D68" i="5"/>
  <c r="B68" i="5"/>
  <c r="E67" i="5"/>
  <c r="D67" i="5"/>
  <c r="B67" i="5"/>
  <c r="E66" i="5"/>
  <c r="D66" i="5"/>
  <c r="B66" i="5"/>
  <c r="E65" i="5"/>
  <c r="D65" i="5"/>
  <c r="B65" i="5"/>
  <c r="E64" i="5"/>
  <c r="D64" i="5"/>
  <c r="B64" i="5"/>
  <c r="E63" i="5"/>
  <c r="D63" i="5"/>
  <c r="B63" i="5"/>
  <c r="E62" i="5"/>
  <c r="D62" i="5"/>
  <c r="B62" i="5"/>
  <c r="E61" i="5"/>
  <c r="D61" i="5"/>
  <c r="B61" i="5"/>
  <c r="E60" i="5"/>
  <c r="D60" i="5"/>
  <c r="B60" i="5"/>
  <c r="G59" i="5"/>
  <c r="E59" i="5"/>
  <c r="B59" i="5"/>
  <c r="G58" i="5"/>
  <c r="E58" i="5"/>
  <c r="B58" i="5"/>
  <c r="E57" i="5"/>
  <c r="D57" i="5"/>
  <c r="B57" i="5"/>
  <c r="E56" i="5"/>
  <c r="D56" i="5"/>
  <c r="B56" i="5"/>
  <c r="E55" i="5"/>
  <c r="D55" i="5"/>
  <c r="B55" i="5"/>
  <c r="E54" i="5"/>
  <c r="D54" i="5"/>
  <c r="B54" i="5"/>
  <c r="E53" i="5"/>
  <c r="D53" i="5"/>
  <c r="B53" i="5"/>
  <c r="E52" i="5"/>
  <c r="D52" i="5"/>
  <c r="B52" i="5"/>
  <c r="H51" i="5"/>
  <c r="G51" i="5"/>
  <c r="F51" i="5"/>
  <c r="E51" i="5"/>
  <c r="E50" i="5"/>
  <c r="D50" i="5"/>
  <c r="B50" i="5"/>
  <c r="E49" i="5"/>
  <c r="D49" i="5"/>
  <c r="B49" i="5"/>
  <c r="E48" i="5"/>
  <c r="D48" i="5"/>
  <c r="B48" i="5"/>
  <c r="G47" i="5"/>
  <c r="E47" i="5"/>
  <c r="G46" i="5"/>
  <c r="E46" i="5"/>
  <c r="B46" i="5"/>
  <c r="G45" i="5"/>
  <c r="E45" i="5"/>
  <c r="G44" i="5"/>
  <c r="E44" i="5"/>
  <c r="G43" i="5"/>
  <c r="E43" i="5"/>
  <c r="G42" i="5"/>
  <c r="E42" i="5"/>
  <c r="G41" i="5"/>
  <c r="E41" i="5"/>
  <c r="D40" i="5"/>
  <c r="G38" i="5"/>
  <c r="E38" i="5"/>
  <c r="G37" i="5"/>
  <c r="E37" i="5"/>
  <c r="G36" i="5"/>
  <c r="E36" i="5"/>
  <c r="G35" i="5"/>
  <c r="E35" i="5"/>
  <c r="G34" i="5"/>
  <c r="E34" i="5"/>
  <c r="D33" i="5"/>
  <c r="B33" i="5"/>
  <c r="C31" i="5"/>
  <c r="B30" i="5"/>
  <c r="B29" i="5"/>
  <c r="B28" i="5"/>
  <c r="B27" i="5"/>
  <c r="B26" i="5"/>
  <c r="B25" i="5"/>
  <c r="B24" i="5"/>
  <c r="B23" i="5"/>
  <c r="B22" i="5"/>
  <c r="B21" i="5"/>
  <c r="B20" i="5"/>
  <c r="E19" i="5"/>
  <c r="D19" i="5"/>
  <c r="C19" i="5"/>
  <c r="B19" i="5"/>
  <c r="B16" i="5"/>
  <c r="B14" i="5"/>
  <c r="B11" i="5"/>
  <c r="E7" i="5"/>
  <c r="G33" i="5" l="1"/>
  <c r="E33" i="5"/>
  <c r="D34" i="6"/>
  <c r="C75" i="5"/>
  <c r="C75" i="6" s="1"/>
  <c r="D20" i="6"/>
  <c r="D30" i="6" s="1"/>
  <c r="D37" i="5"/>
  <c r="D37" i="6" s="1"/>
  <c r="D36" i="5"/>
  <c r="D36" i="6" s="1"/>
  <c r="D35" i="5"/>
  <c r="D35" i="6" s="1"/>
  <c r="D38" i="5"/>
  <c r="D38" i="6" s="1"/>
  <c r="D30" i="5"/>
  <c r="C30" i="5"/>
  <c r="G33" i="6"/>
  <c r="E20" i="6" l="1"/>
  <c r="E30" i="6" s="1"/>
  <c r="E30" i="5"/>
  <c r="C76" i="5" s="1"/>
  <c r="D42" i="6"/>
  <c r="D42" i="5"/>
  <c r="C76" i="6" l="1"/>
  <c r="C80" i="6"/>
  <c r="B35" i="5"/>
  <c r="B35" i="6"/>
  <c r="B37" i="6" l="1"/>
  <c r="B37" i="5"/>
  <c r="B38" i="6"/>
  <c r="B38" i="5"/>
  <c r="B36" i="6"/>
  <c r="B36" i="5"/>
  <c r="C82" i="5" l="1"/>
  <c r="G38" i="1"/>
  <c r="G36" i="1"/>
  <c r="H35" i="1" s="1"/>
  <c r="C33" i="1"/>
  <c r="G42" i="1" l="1"/>
  <c r="G82" i="5"/>
  <c r="G83" i="5" s="1"/>
  <c r="C83" i="5"/>
  <c r="C42" i="1"/>
  <c r="C38" i="1"/>
  <c r="C81" i="6" s="1"/>
  <c r="G40" i="1"/>
  <c r="G41" i="1"/>
  <c r="G46" i="1" l="1"/>
  <c r="C41" i="1"/>
  <c r="C46" i="1" s="1"/>
  <c r="C82" i="6"/>
  <c r="G43" i="1"/>
  <c r="G45" i="1"/>
  <c r="C40" i="1"/>
  <c r="G47" i="1" l="1"/>
  <c r="C43" i="1"/>
  <c r="C45" i="1"/>
  <c r="C47" i="1" s="1"/>
</calcChain>
</file>

<file path=xl/sharedStrings.xml><?xml version="1.0" encoding="utf-8"?>
<sst xmlns="http://schemas.openxmlformats.org/spreadsheetml/2006/main" count="380" uniqueCount="211">
  <si>
    <t>Healthysure x Tata AIG — Group Personal Accident Rater (SME)</t>
  </si>
  <si>
    <t>Terms valid till 30th Sep 2026  |  Min 7 lives, Max 500 lives  |  Min Premium: INR 3,500  |  Only Permanent Employees</t>
  </si>
  <si>
    <t>SECTION 1 — PREMIUM RATES PER MILLE (excl. GST)  |  Rates on Death Sum Insured</t>
  </si>
  <si>
    <t>Industry</t>
  </si>
  <si>
    <t>Basic</t>
  </si>
  <si>
    <t>Standard</t>
  </si>
  <si>
    <t>Pro</t>
  </si>
  <si>
    <t>IT / ITES / BPO / KPO</t>
  </si>
  <si>
    <t>Financial Services / Consultancy / Insurance</t>
  </si>
  <si>
    <t>Retailers / Trader / Wholesaler</t>
  </si>
  <si>
    <t>Hotel Industry</t>
  </si>
  <si>
    <t>Manufacturing</t>
  </si>
  <si>
    <t>Construction</t>
  </si>
  <si>
    <t>* Rates are per mille (‰) on Death Sum Insured. All figures exclude GST.</t>
  </si>
  <si>
    <t>SECTION 2 — COMMISSION STRUCTURE</t>
  </si>
  <si>
    <t>Component</t>
  </si>
  <si>
    <t>Base Commission</t>
  </si>
  <si>
    <t>Base Rewards</t>
  </si>
  <si>
    <t>Base Payout</t>
  </si>
  <si>
    <t>Rewards on Excess Premium</t>
  </si>
  <si>
    <t>80:20</t>
  </si>
  <si>
    <t>SECTION 3 — PREMIUM CALCULATOR  (Change highlighted cells)</t>
  </si>
  <si>
    <t>Plan Type</t>
  </si>
  <si>
    <t>SI per Employee (INR)</t>
  </si>
  <si>
    <t>Aggregate SI (INR)</t>
  </si>
  <si>
    <t>No. of Employees</t>
  </si>
  <si>
    <t>Base Rewards %</t>
  </si>
  <si>
    <t xml:space="preserve"> </t>
  </si>
  <si>
    <t>LEGEND</t>
  </si>
  <si>
    <t>Green — Calculated (do not edit)</t>
  </si>
  <si>
    <t>Features</t>
  </si>
  <si>
    <t>Claims</t>
  </si>
  <si>
    <t>Nil</t>
  </si>
  <si>
    <t>Number of Lives</t>
  </si>
  <si>
    <t>Min 7</t>
  </si>
  <si>
    <t>Max 500</t>
  </si>
  <si>
    <t>Minimum Premium requirement</t>
  </si>
  <si>
    <t>INR 3500</t>
  </si>
  <si>
    <t>Description of Insured</t>
  </si>
  <si>
    <t>Only Permanent Employees of the company are covered.</t>
  </si>
  <si>
    <t>SI Type</t>
  </si>
  <si>
    <t>Flat</t>
  </si>
  <si>
    <t>Max SI per person</t>
  </si>
  <si>
    <t>INR 1Cr</t>
  </si>
  <si>
    <t>Industry of Insured</t>
  </si>
  <si>
    <t>Rates per mille on death sum-insured</t>
  </si>
  <si>
    <t>IT / ITES / BPO  KPO</t>
  </si>
  <si>
    <t>Coverages :</t>
  </si>
  <si>
    <t>Accidental Death</t>
  </si>
  <si>
    <t>100% of SI</t>
  </si>
  <si>
    <t>Permanent Total Disablement</t>
  </si>
  <si>
    <t>Permanent Partial Disablement</t>
  </si>
  <si>
    <t>Up to 100% of SI based on extent of disability</t>
  </si>
  <si>
    <t>Fixed INR 1,00,000 or Actuals whichever is lower.</t>
  </si>
  <si>
    <t>Ambulance Charges</t>
  </si>
  <si>
    <t>NA</t>
  </si>
  <si>
    <t>Additional Benefits</t>
  </si>
  <si>
    <t>Children Education Benefit-  10% of SI upto Rs. 5000 per child (max 2 children upto 25 years of age)
Compassionate Visit - 10% SI upto Rs. 25,000
Funeral Expenses - 2.5% of SI upto Rs. 2500
Transportation of Dead Body - 2.5% of SI upto Rs.2500</t>
  </si>
  <si>
    <t>Temporary Total Disablement
(if patient confined to bed due to temporary and total inability to engage in any occupation or any activity)</t>
  </si>
  <si>
    <t>1% of SI or Rs. 5,000 per week or actual salary, whichever is lower for 104 weeks</t>
  </si>
  <si>
    <t xml:space="preserve">Rewards </t>
  </si>
  <si>
    <t>White — User Input (change these)</t>
  </si>
  <si>
    <t>Rewards on excess premium collected</t>
  </si>
  <si>
    <t>Base Commission %</t>
  </si>
  <si>
    <t>Total Earnings</t>
  </si>
  <si>
    <t xml:space="preserve">Base Rewards 7.5% </t>
  </si>
  <si>
    <t xml:space="preserve">Base Commission 7.5% </t>
  </si>
  <si>
    <t xml:space="preserve">Gross Premium </t>
  </si>
  <si>
    <t xml:space="preserve">Base Rewards  7.5% </t>
  </si>
  <si>
    <t>Per Mille rate - Selling price</t>
  </si>
  <si>
    <t>Per Mille rate - Insurance co</t>
  </si>
  <si>
    <t>Total Earnings %</t>
  </si>
  <si>
    <t>Total Rewards %</t>
  </si>
  <si>
    <t>Flat Sum Insured</t>
  </si>
  <si>
    <t>Graded Sum Insured</t>
  </si>
  <si>
    <r>
      <t xml:space="preserve">Group Accident Guard Product - SME </t>
    </r>
    <r>
      <rPr>
        <b/>
        <u/>
        <sz val="10"/>
        <color theme="1"/>
        <rFont val="Calibri"/>
        <family val="2"/>
        <scheme val="minor"/>
      </rPr>
      <t>(Terms are valid  till 30th Sep'26 only)</t>
    </r>
  </si>
  <si>
    <r>
      <t>10% of the CSI or 40% of the Admissible Claim or Actuals whichever is less 
(</t>
    </r>
    <r>
      <rPr>
        <b/>
        <sz val="12"/>
        <color theme="1"/>
        <rFont val="Calibri"/>
        <family val="2"/>
        <scheme val="minor"/>
      </rPr>
      <t>only if accidental death or disability - PTD/ PPD</t>
    </r>
    <r>
      <rPr>
        <sz val="12"/>
        <color theme="1"/>
        <rFont val="Calibri"/>
        <family val="2"/>
        <scheme val="minor"/>
      </rPr>
      <t>)</t>
    </r>
  </si>
  <si>
    <r>
      <t xml:space="preserve">Children Education Benefit-  10% of SI upto Rs. 5000 per child (max 2 children upto 25 years of age)
Compassionate Visit - 10% SI upto Rs. 25,000
Funeral Expenses - 2.5% of SI upto Rs. 5000
Transportation of Dead Body - 2.5% of SI upto </t>
    </r>
    <r>
      <rPr>
        <b/>
        <sz val="11"/>
        <color theme="5" tint="-0.249977111117893"/>
        <rFont val="Calibri"/>
        <family val="2"/>
        <scheme val="minor"/>
      </rPr>
      <t>Rs.5000</t>
    </r>
    <r>
      <rPr>
        <sz val="11"/>
        <color theme="1"/>
        <rFont val="Calibri"/>
        <family val="2"/>
        <scheme val="minor"/>
      </rPr>
      <t xml:space="preserve">
</t>
    </r>
    <r>
      <rPr>
        <b/>
        <sz val="11"/>
        <color theme="5" tint="-0.249977111117893"/>
        <rFont val="Calibri"/>
        <family val="2"/>
        <scheme val="minor"/>
      </rPr>
      <t>Lifestyle modification - 10% SI upto Rs. 10,000</t>
    </r>
  </si>
  <si>
    <r>
      <t>Children Education Benefit-  Upto</t>
    </r>
    <r>
      <rPr>
        <b/>
        <sz val="11"/>
        <color theme="5" tint="-0.249977111117893"/>
        <rFont val="Calibri"/>
        <family val="2"/>
        <scheme val="minor"/>
      </rPr>
      <t xml:space="preserve"> Rs. 10,000</t>
    </r>
    <r>
      <rPr>
        <sz val="11"/>
        <color theme="1"/>
        <rFont val="Calibri"/>
        <family val="2"/>
        <scheme val="minor"/>
      </rPr>
      <t xml:space="preserve"> per child (max 2 children upto 25 years of age)
Compassionate Visit - 10% SI upto Rs. 25,000
Funeral Expenses - 5% of SI upto Rs. 10,000
Transportation of Dead Body - </t>
    </r>
    <r>
      <rPr>
        <b/>
        <sz val="11"/>
        <color theme="5" tint="-0.249977111117893"/>
        <rFont val="Calibri"/>
        <family val="2"/>
        <scheme val="minor"/>
      </rPr>
      <t>5%</t>
    </r>
    <r>
      <rPr>
        <sz val="11"/>
        <color theme="1"/>
        <rFont val="Calibri"/>
        <family val="2"/>
        <scheme val="minor"/>
      </rPr>
      <t xml:space="preserve"> of SI upto </t>
    </r>
    <r>
      <rPr>
        <b/>
        <sz val="11"/>
        <color theme="5" tint="-0.249977111117893"/>
        <rFont val="Calibri"/>
        <family val="2"/>
        <scheme val="minor"/>
      </rPr>
      <t>Rs.10,000</t>
    </r>
    <r>
      <rPr>
        <sz val="11"/>
        <color theme="1"/>
        <rFont val="Calibri"/>
        <family val="2"/>
        <scheme val="minor"/>
      </rPr>
      <t xml:space="preserve">
Lifestyle modification - 10% SI upto </t>
    </r>
    <r>
      <rPr>
        <b/>
        <sz val="11"/>
        <color theme="5" tint="-0.249977111117893"/>
        <rFont val="Calibri"/>
        <family val="2"/>
        <scheme val="minor"/>
      </rPr>
      <t>Rs. 25,000</t>
    </r>
  </si>
  <si>
    <r>
      <rPr>
        <sz val="12"/>
        <color rgb="FF000000"/>
        <rFont val="Calibri"/>
        <family val="2"/>
      </rPr>
      <t xml:space="preserve">1% of SI or </t>
    </r>
    <r>
      <rPr>
        <b/>
        <sz val="12"/>
        <color theme="5" tint="-0.249977111117893"/>
        <rFont val="Calibri"/>
        <family val="2"/>
      </rPr>
      <t>Rs. 10,000</t>
    </r>
    <r>
      <rPr>
        <sz val="12"/>
        <color rgb="FF000000"/>
        <rFont val="Calibri"/>
        <family val="2"/>
      </rPr>
      <t xml:space="preserve"> per week or actual salary, whichever is lower for 104 weeks</t>
    </r>
  </si>
  <si>
    <r>
      <t xml:space="preserve">Accidental Hospitalization - </t>
    </r>
    <r>
      <rPr>
        <b/>
        <sz val="12"/>
        <color theme="1"/>
        <rFont val="Calibri"/>
        <family val="2"/>
        <scheme val="minor"/>
      </rPr>
      <t>Medex IPD</t>
    </r>
  </si>
  <si>
    <t>Please find below list of Decline risk categories.</t>
  </si>
  <si>
    <t>Defence</t>
  </si>
  <si>
    <t>Police</t>
  </si>
  <si>
    <t>Mining (open &amp; closed)</t>
  </si>
  <si>
    <t>Lawyers &amp; Legal</t>
  </si>
  <si>
    <t>Advertisement / Media / Entertainment</t>
  </si>
  <si>
    <t>Offshore Workers</t>
  </si>
  <si>
    <t>Coal &amp; Fossil Fuels</t>
  </si>
  <si>
    <t>Professional or Semi Professional Sports</t>
  </si>
  <si>
    <t>Employed to work above the height of 10 mtrs from the ground</t>
  </si>
  <si>
    <t>Commercial drivers</t>
  </si>
  <si>
    <t>Lives involved in electrical wires/ Working on active transmission lives</t>
  </si>
  <si>
    <t>Religious / Social Sector (Pilgrims etc)</t>
  </si>
  <si>
    <t>                            </t>
  </si>
  <si>
    <t>TATA AIG GENERAL INSURANCE COMPANY LIMITED</t>
  </si>
  <si>
    <r>
      <rPr>
        <sz val="9"/>
        <rFont val="Arial"/>
        <family val="2"/>
      </rPr>
      <t xml:space="preserve">
</t>
    </r>
    <r>
      <rPr>
        <b/>
        <sz val="9"/>
        <rFont val="Arial"/>
        <family val="2"/>
      </rPr>
      <t xml:space="preserve">
QUOTATION AND PROPOSAL FORM 
GROUP ACCIDENT GUARD POLICY</t>
    </r>
  </si>
  <si>
    <t>We have quoted following risk on the basis of information as available / shared with us, it should be same at the time of finalisation of the proposal. Please do inform us in case of any changes in claim information or any other risk factor, as it has implications on appropriate pricing of the risk</t>
  </si>
  <si>
    <t>Proposer Details</t>
  </si>
  <si>
    <t>Quote Date:</t>
  </si>
  <si>
    <t>Risk Inception Date</t>
  </si>
  <si>
    <t>Insured Location</t>
  </si>
  <si>
    <t>Category</t>
  </si>
  <si>
    <t>SME</t>
  </si>
  <si>
    <t>Intermediary Name</t>
  </si>
  <si>
    <t>Producer Code</t>
  </si>
  <si>
    <t>Policy Details</t>
  </si>
  <si>
    <t>Type of Policy</t>
  </si>
  <si>
    <t>Group Category</t>
  </si>
  <si>
    <t>Past claim details /Loss Ratio</t>
  </si>
  <si>
    <t>Branch</t>
  </si>
  <si>
    <t>SUM INSURED</t>
  </si>
  <si>
    <t>Number of Insured</t>
  </si>
  <si>
    <t>Temporary Total Disability(Per Week SI)</t>
  </si>
  <si>
    <t xml:space="preserve">Students and Parents are not covered under TTD benefit </t>
  </si>
  <si>
    <t>Accident Medical Expenses</t>
  </si>
  <si>
    <t>Accident Medical Expenses - OPD</t>
  </si>
  <si>
    <t xml:space="preserve">with sublimit of "&amp;RFQ!C67&amp;" for OPD </t>
  </si>
  <si>
    <t>Education Benefit</t>
  </si>
  <si>
    <t>Home Alteration and Vehicle Modification Benefit</t>
  </si>
  <si>
    <t>Family Transportation Benefits</t>
  </si>
  <si>
    <t>Coma</t>
  </si>
  <si>
    <t>Ambulance Services</t>
  </si>
  <si>
    <t>Variable Medex</t>
  </si>
  <si>
    <t xml:space="preserve">Terrorism </t>
  </si>
  <si>
    <t>Per Mille Rate Pre Tax</t>
  </si>
  <si>
    <t>Per Mille Rate Post Tax</t>
  </si>
  <si>
    <r>
      <t xml:space="preserve">Unique Benefits of TATA AIG Insurance cover
# Claims can be intimated by calling on The Company's 24/7 Toll Free Helpline Number - 1800 266-7780 or by writing to The Company at </t>
    </r>
    <r>
      <rPr>
        <u/>
        <sz val="9"/>
        <color theme="1"/>
        <rFont val="Arial"/>
        <family val="2"/>
      </rPr>
      <t>general.claims@tataaig.com</t>
    </r>
    <r>
      <rPr>
        <sz val="9"/>
        <color theme="1"/>
        <rFont val="Arial"/>
        <family val="2"/>
      </rPr>
      <t xml:space="preserve">
# Exclusive GPA claims team facilitate </t>
    </r>
    <r>
      <rPr>
        <b/>
        <sz val="9"/>
        <color theme="1"/>
        <rFont val="Arial"/>
        <family val="2"/>
      </rPr>
      <t>undivided attention to the insured.
# You are dealing with an Insurance company that is a Specialist in Personal Accident Covers</t>
    </r>
  </si>
  <si>
    <t xml:space="preserve">Terms &amp; Conditions
(For detailed T&amp;C,Please refer the GAG Policy Wording) </t>
  </si>
  <si>
    <t>All employees of the organisation should be under the policy on compulsory basis there and shall be no selection of the employees</t>
  </si>
  <si>
    <t>Sum Insured should not exceed 10 times of Gross Annual Salary of the employees.</t>
  </si>
  <si>
    <t>Snake Bite/Animal bite are covered under Accidental Death except Mosquito bite</t>
  </si>
  <si>
    <t>Data for Addition/ Deletion endorsements should be provided to the Tata AIG General within 45 days of the date of joining of the member.</t>
  </si>
  <si>
    <t>Premium shall not be refunded in case of any claims being paid under the policy.</t>
  </si>
  <si>
    <t>No Group should be formed of size less than 7 lives,so as to adhere to  the Group guidelines given by IRDA.</t>
  </si>
  <si>
    <t>Named Policy - Name wise declaration from the company needs to be submitted while binding this policy.</t>
  </si>
  <si>
    <t>Unnamed Policy - Category wise declaration from the company needs to be submitted while binding this policy.</t>
  </si>
  <si>
    <t>For the weekly benefit to be given to the contractual employees the client has to give us the declaration on its letter head that all the contractual employees are working exclusively for the client only and are not part time/full time employed with any other company/ organization.</t>
  </si>
  <si>
    <t>Attested copy of this Quote Letter, Pan Card &amp; Salary component details will be required for binding this policy.</t>
  </si>
  <si>
    <t xml:space="preserve">The information as sought and declared herein form part of the material fact as defined in Specific Terms and Clauses D (i) and (ii)  of Terms and conditions. Any non-disclosure, wrong-disclosure misdescription or concealment herein shall  be considered as misrepresentation as per policy Terms and Condition and would make the policy/contract void- ab-initio. </t>
  </si>
  <si>
    <t>Major Exclusions</t>
  </si>
  <si>
    <r>
      <rPr>
        <b/>
        <u/>
        <sz val="9"/>
        <color theme="1"/>
        <rFont val="Arial"/>
        <family val="2"/>
      </rPr>
      <t>SPECIAL TERMS &amp; CONDITIONS</t>
    </r>
    <r>
      <rPr>
        <b/>
        <sz val="9"/>
        <color theme="1"/>
        <rFont val="Arial"/>
        <family val="2"/>
      </rPr>
      <t xml:space="preserve">: </t>
    </r>
    <r>
      <rPr>
        <sz val="9"/>
        <color theme="1"/>
        <rFont val="Arial"/>
        <family val="2"/>
      </rPr>
      <t xml:space="preserve">The above mentioned offer is subject to TATA AIG GENERAL INSURANCE CO LTD. Agreed policy terms and conditions.Below conditions are applicable only if cover is selected.
1.   Named Policy - Name wise declaration from the company needs to be taken.
2.   Unnamed Policy - Categorywise declaration from the company needs to be taken 
3.   For the weekly benefit to be given to the contract employees the client has to give us the declaration on its letter head that all the contract employees are working exclusively for the client only and are not part time/full time employed with any other company/ organization.
4.   Only Permanent Employees of the company are covered,the coverage of contractual employees will be limited to during work hours or while commuting. Their personal or leisure trip or engagement in any other assignment will be out of scope in this policy.
5.   Attested copy of this Quote Letter, Pan Card &amp; Salary component details will be required for binding this policy.
</t>
    </r>
    <r>
      <rPr>
        <b/>
        <i/>
        <sz val="9"/>
        <color theme="1"/>
        <rFont val="Arial"/>
        <family val="2"/>
      </rPr>
      <t>6.   An aggregate limit is per accident limit i.e. there is no limit on number of accidents in a year.</t>
    </r>
    <r>
      <rPr>
        <sz val="9"/>
        <color theme="1"/>
        <rFont val="Arial"/>
        <family val="2"/>
      </rPr>
      <t xml:space="preserve">
7.   Sum Insured should not exceed 10 times of Gross Annual Sallary of the employees. The above SI mentioned is average Per person SI as per data provided by you. 
</t>
    </r>
    <r>
      <rPr>
        <b/>
        <i/>
        <sz val="9"/>
        <color theme="1"/>
        <rFont val="Arial"/>
        <family val="2"/>
      </rPr>
      <t>8.   Weekly Benefit is for 52 wEEKS / 104 Weeks @SI mentioned above or actual weekly salary, whichever is less.</t>
    </r>
    <r>
      <rPr>
        <sz val="9"/>
        <color theme="1"/>
        <rFont val="Arial"/>
        <family val="2"/>
      </rPr>
      <t xml:space="preserve">
</t>
    </r>
    <r>
      <rPr>
        <b/>
        <i/>
        <sz val="9"/>
        <color theme="1"/>
        <rFont val="Arial"/>
        <family val="2"/>
      </rPr>
      <t>9.   Fixed Medex -IPD- up to SI mentioned above or actual whichever is lower.Minimum 24 hrs In hospitalization required.
10. Fixed Medex -OPD-up to SI mentioned above or actual whichever is lower.
11. Fixed Medex -up to SI mentioned above or actual Expenses, Whichever is lower.  
12. Variable Medex - up to SI mentioned above, or actual which ever is lower - Applicable to employees &amp; Students only.
13. Education Benefit @ 10% of Principal SI or Rs. 100,000/- whichever is lower.
14. All other covers are up to SI mentioned above or actual Expenses, Whichever is lower. 
15. Animal bite/Snake bite except mosquito bite is covered.</t>
    </r>
  </si>
  <si>
    <t>This entire Policy does not provide benefits for any loss resulting in whole or in part from , or expenses incurred, in respect of:</t>
  </si>
  <si>
    <t xml:space="preserve">1. Any Pre-existing disease, any complication arising from it, </t>
  </si>
  <si>
    <t xml:space="preserve">2 The attending Physician who will be (a) Insured Person himself / herself or (b) Close Member of the Family who is covered in this Policy. </t>
  </si>
  <si>
    <t>3. Suicide, attempted suicide (whether sane or insane) or intentionally self-inflicted Injury or illness.</t>
  </si>
  <si>
    <t>4.Being under the influence of drugs, alcohol, or other intoxicants or hallucinogens unless properly prescribed by a Physician and taken as prescribed.</t>
  </si>
  <si>
    <t>5.Participation in an actual or attempted felony, riot, crime, misdemeanor(excluding traffic violations) or civil commotion ;</t>
  </si>
  <si>
    <t xml:space="preserve">6.Operating or learning to operate any aircraft, or performing duties as a member of the crew on any aircraft or Scheduled Aircraft; </t>
  </si>
  <si>
    <t>7.War or any act of war, invasion, act of foreign enemy, civil war, public defence, rebellion, revolution, insurrection, military or usurped acts, nuclear weapons / materials, chemical and biological weapons, ionising radiation</t>
  </si>
  <si>
    <t xml:space="preserve">8. Any loss, damage cost or expense of whatsoever nature caused by, resulting from or in connection with any Act of Terrorism regardless of any other cause or event contributing concurrently or in any other sequence to the loss unless and otherwise terrorism cover is provided in the policy. </t>
  </si>
  <si>
    <t>9.Ionising radiation or contamination by radioactivity from any nuclear fuel or from any nuclear waste from burning nuclear fuel.</t>
  </si>
  <si>
    <t>10. The radioactive, toxic, explosive or other dangerous properties of any explosive nuclear equipment or any part of that equipment.</t>
  </si>
  <si>
    <t>11.Any Insured Person’s participation in Professional Sports or Adventure sports other than mentioned in Specific Exclusions- i.1, or participation without expert supervision of trained professional.</t>
  </si>
  <si>
    <t xml:space="preserve">12.Arising or resulting from the Insured Person(s) committing any breach of law with criminal intent </t>
  </si>
  <si>
    <t>13.Any loss caused by osteoporosis (porosity and brittleness of the bones due to loss of protein form the bones matrix) or pathological fracture (any fracture in an area where Pre-existing disease has caused the weakening of the bone) if osteoporosis or bone Disease diagnosed prior to the Policy</t>
  </si>
  <si>
    <t>14.For any loss of which a contributing cause was Insured Person’s actual or wilful participation in, an illegal act or any violation or attempted violation of the law or Insured Person’s resistance to arrest</t>
  </si>
  <si>
    <t xml:space="preserve">15.Confinement in a Hospital which is not Medically Necessary </t>
  </si>
  <si>
    <t xml:space="preserve">16.Mosquito bite and resultant diseases are excluded under the Policy. </t>
  </si>
  <si>
    <t>17.Any loss resulting contributed or aggravated or prolonged by childbirth or from pregnancy.</t>
  </si>
  <si>
    <t>18 Warranted that workers involved in underground work such as mines, tunnelling, etc. and/or blasting are not covered</t>
  </si>
  <si>
    <t>19 No cover for Employees working above the height of 10m</t>
  </si>
  <si>
    <t>20 No cover for Employees working with live wires</t>
  </si>
  <si>
    <t>21 No cover for Employees involved in offshore and/or mining activities</t>
  </si>
  <si>
    <t>22 No cover for employees working in or as commercial drivers</t>
  </si>
  <si>
    <r>
      <rPr>
        <b/>
        <sz val="9"/>
        <color theme="1"/>
        <rFont val="Arial"/>
        <family val="2"/>
      </rPr>
      <t>Declaration:-</t>
    </r>
    <r>
      <rPr>
        <sz val="9"/>
        <color theme="1"/>
        <rFont val="Arial"/>
        <family val="2"/>
      </rPr>
      <t xml:space="preserve">
I/We do hereby declare that all information provided by us under the present Offer, are true and correct and also complete in all respects and there is nothing material, which is concealed by us in any manner whatsoever.                                                                                                                                                                                                                                                                                                                                                                          I/We understand that as per applicable regulations for Group Insurance minimum 7 lives are required to be insured under the Group Policy. Accordingly we confirm that we will insure atleast 7 lives during the course of the policy and in this context we are paying premium of 7 lives upfront. In the event we fail to insure minimum 7 lives then the Insurance Company shall book the entire premium of 7 lives and no refund shall be due to us.
In the event of any change in information pertaining to any aspect of the quotation at a later date, TATA AIG General Insurance Company Ltd reserves the right to revise the premium and recover the same from customer or invoke cancellation of the policy, as may be deemed fit, with short term premium recovered.
I/We have also carefully read and understood the entire terms, coverage and exclusions agreed in the Offer, and further accept the same, which shall be binding on both of us as a contract between us and TATA AIG General Insurance Company Ltd.                                                                                                                                                                                                                                                                                                                                        I/We request you to issue unnamed policy for lives as mentioned above with understanding that if at any point of time actual strength is found more that no. Of lives insured under this GPA policy then insurer will decline the claim on account of underinsurance                                                                                                                                                                                                                                                                                                           I/We do hereby authorize TATA AIG General Insurance Company Ltd to open a CD account in the name of our Company                                                                                                                                                                        We understand that as per Master Guidelines on Anti-Money Laundering/ Counter Financing of Terrorism (AML/CFT), 2022 (Ref: IRDAI/IID/GDL/MISC/160/8/2022) issued by IRDAI, the Master Policyholders under the group insurance shall maintain the details of all the individual members covered, which shall also be made available to the insurer as and when required.                                                 </t>
    </r>
  </si>
  <si>
    <r>
      <rPr>
        <b/>
        <sz val="9"/>
        <color theme="1"/>
        <rFont val="Arial"/>
        <family val="2"/>
      </rPr>
      <t>1. Prohibition of Rebates</t>
    </r>
    <r>
      <rPr>
        <sz val="9"/>
        <color theme="1"/>
        <rFont val="Arial"/>
        <family val="2"/>
      </rPr>
      <t xml:space="preserve"> – Section 41 of the Insurance Act, 1938 as amended by Insurance Laws (Amendment) Act 20151. No person shall allow or offer to allow, either directly or indirectly, as an inducement to any person to take out or renew or continue an insurance in respect of any kind of risk relating to lives or property in India, any rebate of the whole or part of the commission payable or any rebate of premium shown on the policy, nor shall any person taking out or renewing or continuing a policy accept any rebate, except such rebate as may be allowed in accordance with the prospectus or tables of the insurer.2. Any person making default in complying with the provision of this section shall be liable for penalty which may extend to ten lakh rupees.  </t>
    </r>
  </si>
  <si>
    <r>
      <rPr>
        <b/>
        <sz val="9"/>
        <color theme="1"/>
        <rFont val="Arial"/>
        <family val="2"/>
      </rPr>
      <t>2.AML guidelines</t>
    </r>
    <r>
      <rPr>
        <sz val="9"/>
        <color theme="1"/>
        <rFont val="Arial"/>
        <family val="2"/>
      </rPr>
      <t>: • I/We hereby confirm that all premiums have been/will be paid from bonafide sources and no premiums have been/will be paid out of proceeds of crime related to any of the offence listed in prevention of Money Laundering Act, 2002. • I/We understand that the Company has the right to call for documents to establish sources of funds• The insurance company has right to cancel the insurance contract in case I/We have been found guilty by any competent court of law under any of the statutes, directly or indirectly governing the prevention of money laundering in India.                                                                                     Insurance is the subject matter of the solicitation. For more details on risk factors, terms and conditions, please read sales brochure/policy wordings carefully, before concluding a sale.                                                  Tata AIG General Insurance Company Limited. Registered Office: Peninsula Business Park, Tower A, 15th Floor, G. K. Marg, Off Senapati Bapat Road, Lower Parel, Mumbai- 400013, Maharashtra, India.                  24X7 Toll Free No: 1800 266 7780 or 1800 22 9966 Email:customersupport@tataaig.com Website: www.tataaig.com IRDA of India Registration No: 108 CIN: U85110MH2000PLC128425</t>
    </r>
  </si>
  <si>
    <t>Subject otherwise to the terms , conditions and exclusions of Group Accident Guard Policy</t>
  </si>
  <si>
    <t>This Quote is valid until</t>
  </si>
  <si>
    <t>Thanking you,</t>
  </si>
  <si>
    <t>Yours sincerely,</t>
  </si>
  <si>
    <t>TATA-AIG GENERAL INSURANCE COMPANY LIMITED</t>
  </si>
  <si>
    <t>This is not an acceptance of risk. Details are subject to change. Full details of the cover are as per Tata AIG General insurance company Limited's GAG policy wordings.</t>
  </si>
  <si>
    <t>We are pleased to accept your proposal &amp; the above said terms &amp; conditions</t>
  </si>
  <si>
    <t>________________________________________</t>
  </si>
  <si>
    <t>Authorized Signatory with Company Stamp / Seal</t>
  </si>
  <si>
    <t>Place:</t>
  </si>
  <si>
    <t>Date:</t>
  </si>
  <si>
    <r>
      <rPr>
        <b/>
        <sz val="9"/>
        <color theme="1"/>
        <rFont val="Arial"/>
        <family val="2"/>
      </rPr>
      <t>Declaration:-</t>
    </r>
    <r>
      <rPr>
        <sz val="9"/>
        <color theme="1"/>
        <rFont val="Arial"/>
        <family val="2"/>
      </rPr>
      <t xml:space="preserve">
I/We do hereby declare that all information provided by us under the present Offer, are true and correct and also complete in all respects and there is nothing material, which is concealed by us in any manner whatsoever.                                                                                                                                                                                                                                                                                                                                                                           I/We understand that as per applicable regulations for Group Insurance minimum 7 lives are required to be insured under the Group Policy. Accordingly we confirm that we will insure atleast 7 lives during the course of the policy and in this context we are paying premium of 7 lives upfront. In the event we fail to insure minimum 7 lives then the Insurance Company shall book the entire premium of 7 lives and no refund shall be due to us.
In the event of any change in information pertaining to any aspect of the quotation at a later date, TATA AIG General Insurance Company Ltd reserves the right to revise the premium and recover the same from customer or invoke cancellation of the policy, as may be deemed fit, with short term premium recovered.
I/We have also carefully read and understood the entire terms, coverage and exclusions agreed in the Offer, and further accept the same, which shall be binding on both of us as a contract between us and TATA AIG General Insurance Company Ltd.                                                                                                                                                                                                                                                                                                                      I/We request you to issue unnamed policy for lives as mentioned above with understanding that if at any point of time actual strength is found more that no. Of lives insured under this GPA policy then insurer will decline the claim on account of underinsurance.                                                                                                                                                                                                                                                                                                 I/We do hereby authorize TATA AIG General Insurance Company Ltd to open a CD account in the name of our Company                                                                                                                                                                 We understand that as per Master Guidelines on Anti-Money Laundering/ Counter Financing of Terrorism (AML/CFT), 2022 (Ref: IRDAI/IID/GDL/MISC/160/8/2022) issued by IRDAI, the Master Policyholders under the group insurance shall maintain the details of all the individual members covered, which shall also be made available to the insurer as and when required.</t>
    </r>
  </si>
  <si>
    <t>NAME OF THE INSURED:</t>
  </si>
  <si>
    <t>REFERENCE / QUOTE NUMBER:</t>
  </si>
  <si>
    <t>Policy status *</t>
  </si>
  <si>
    <t>Age Bracket</t>
  </si>
  <si>
    <t>Named</t>
  </si>
  <si>
    <t>Employer-Employee</t>
  </si>
  <si>
    <t>Reference / Quote Number</t>
  </si>
  <si>
    <t>Name Of The Insured</t>
  </si>
  <si>
    <t>Compassionate Visit</t>
  </si>
  <si>
    <t>Funeral Expenses</t>
  </si>
  <si>
    <t>Transportation of dead body</t>
  </si>
  <si>
    <t>10% of SI upto Rs. 5000 per child (max 2 children upto 25 years of age)</t>
  </si>
  <si>
    <t>10% SI upto Rs. 25,000</t>
  </si>
  <si>
    <t>2.5% of SI upto Rs. 2500</t>
  </si>
  <si>
    <t>2.5% of SI upto Rs.2500</t>
  </si>
  <si>
    <t>2.5% of SI upto Rs. 5000</t>
  </si>
  <si>
    <t>2.5% of SI upto Rs.5000</t>
  </si>
  <si>
    <t>10% SI upto Rs. 10,000</t>
  </si>
  <si>
    <t>Lifestyle modification</t>
  </si>
  <si>
    <t>Upto Rs. 10,000 per child (max 2 children upto 25 years of age)</t>
  </si>
  <si>
    <t>5% of SI upto Rs. 10,000</t>
  </si>
  <si>
    <t>5% of SI upto Rs.10,000</t>
  </si>
  <si>
    <t>Fixed S.I</t>
  </si>
  <si>
    <t>Type of Grid</t>
  </si>
  <si>
    <t>Mumbai - Peninsula</t>
  </si>
  <si>
    <t>Safetynet Innovations PVT LTD / 2350090000</t>
  </si>
  <si>
    <t>Fresh</t>
  </si>
  <si>
    <t>Graded</t>
  </si>
  <si>
    <t>No of lives</t>
  </si>
  <si>
    <t>STAY VISTA PRIVATE LIMITED</t>
  </si>
  <si>
    <t>mumbai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</si>
</sst>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0"/>
    <numFmt numFmtId="166" formatCode="[$-409]dd\-mmm\-yy;@"/>
    <numFmt numFmtId="167" formatCode="#,##0;[Red]#,##0"/>
    <numFmt numFmtId="168" formatCode="_ * #,##0_ ;_ * \-#,##0_ ;_ * &quot;-&quot;??_ ;_ @_ "/>
    <numFmt numFmtId="169" formatCode="&quot;₹&quot;\ #,##0"/>
    <numFmt numFmtId="170" formatCode="#,##0.0000000000"/>
    <numFmt numFmtId="171" formatCode="[$-409]d\-mmm\-yy;@"/>
    <numFmt numFmtId="172" formatCode="#,##0.00000"/>
  </numFmts>
  <fonts count="53" x14ac:knownFonts="1">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9"/>
      <color theme="1"/>
      <name val="Calibri"/>
      <family val="2"/>
    </font>
    <font>
      <b/>
      <sz val="9"/>
      <color rgb="FFFFFFFF"/>
      <name val="Arial"/>
      <family val="2"/>
    </font>
    <font>
      <i/>
      <sz val="9"/>
      <color rgb="FF1F3864"/>
      <name val="Arial"/>
      <family val="2"/>
    </font>
    <font>
      <sz val="9"/>
      <name val="Arial"/>
      <family val="2"/>
    </font>
    <font>
      <b/>
      <sz val="9"/>
      <color rgb="FF1F3864"/>
      <name val="Arial"/>
      <family val="2"/>
    </font>
    <font>
      <i/>
      <sz val="9"/>
      <color rgb="FF595959"/>
      <name val="Arial"/>
      <family val="2"/>
    </font>
    <font>
      <b/>
      <sz val="9"/>
      <color rgb="FF2F5496"/>
      <name val="Arial"/>
      <family val="2"/>
    </font>
    <font>
      <sz val="9"/>
      <name val="Calibri"/>
      <family val="2"/>
    </font>
    <font>
      <b/>
      <sz val="9"/>
      <color rgb="FFFFFFFF"/>
      <name val="Calibri"/>
      <family val="2"/>
    </font>
    <font>
      <sz val="9"/>
      <color rgb="FF000000"/>
      <name val="Calibri"/>
      <family val="2"/>
    </font>
    <font>
      <i/>
      <sz val="9"/>
      <color rgb="FF595959"/>
      <name val="Calibri"/>
      <family val="2"/>
    </font>
    <font>
      <sz val="9"/>
      <color rgb="FF1F3864"/>
      <name val="Calibri"/>
      <family val="2"/>
    </font>
    <font>
      <sz val="11"/>
      <color rgb="FF000000"/>
      <name val="Calibri"/>
      <family val="2"/>
      <charset val="1"/>
    </font>
    <font>
      <sz val="11"/>
      <color theme="1"/>
      <name val="Calibri"/>
      <family val="2"/>
      <charset val="1"/>
    </font>
    <font>
      <sz val="9"/>
      <color theme="1"/>
      <name val="Calibri"/>
      <family val="2"/>
    </font>
    <font>
      <b/>
      <sz val="9"/>
      <color rgb="FF000000"/>
      <name val="Calibri"/>
      <family val="2"/>
    </font>
    <font>
      <sz val="9"/>
      <color rgb="FF000000"/>
      <name val="Calibri"/>
      <family val="2"/>
    </font>
    <font>
      <b/>
      <sz val="10"/>
      <color theme="0"/>
      <name val="Calibri"/>
      <family val="2"/>
    </font>
    <font>
      <b/>
      <u/>
      <sz val="12"/>
      <color theme="1"/>
      <name val="Calibri"/>
      <family val="2"/>
      <scheme val="minor"/>
    </font>
    <font>
      <b/>
      <sz val="12"/>
      <color theme="0"/>
      <name val="Calibri"/>
      <family val="2"/>
      <scheme val="minor"/>
    </font>
    <font>
      <b/>
      <sz val="12"/>
      <color theme="1"/>
      <name val="Calibri"/>
      <family val="2"/>
      <scheme val="minor"/>
    </font>
    <font>
      <sz val="11"/>
      <color rgb="FF000000"/>
      <name val="Calibri"/>
      <family val="2"/>
    </font>
    <font>
      <b/>
      <u/>
      <sz val="12"/>
      <color rgb="FF000000"/>
      <name val="Calibri"/>
      <family val="2"/>
    </font>
    <font>
      <sz val="12"/>
      <color theme="1"/>
      <name val="Calibri"/>
      <family val="2"/>
      <scheme val="minor"/>
    </font>
    <font>
      <sz val="12"/>
      <name val="Calibri"/>
      <family val="2"/>
    </font>
    <font>
      <sz val="12"/>
      <color rgb="FF000000"/>
      <name val="Calibri"/>
      <family val="2"/>
    </font>
    <font>
      <b/>
      <sz val="12"/>
      <color theme="5" tint="-0.249977111117893"/>
      <name val="Calibri"/>
      <family val="2"/>
    </font>
    <font>
      <b/>
      <u/>
      <sz val="10"/>
      <color theme="1"/>
      <name val="Calibri"/>
      <family val="2"/>
      <scheme val="minor"/>
    </font>
    <font>
      <b/>
      <sz val="12"/>
      <color theme="5" tint="-0.249977111117893"/>
      <name val="Calibri"/>
      <family val="2"/>
      <scheme val="minor"/>
    </font>
    <font>
      <b/>
      <sz val="11"/>
      <color theme="5" tint="-0.249977111117893"/>
      <name val="Calibri"/>
      <family val="2"/>
      <scheme val="minor"/>
    </font>
    <font>
      <b/>
      <sz val="11"/>
      <color rgb="FF242424"/>
      <name val="Calibri"/>
      <family val="2"/>
    </font>
    <font>
      <sz val="11"/>
      <color rgb="FF242424"/>
      <name val="Calibri"/>
      <family val="2"/>
    </font>
    <font>
      <b/>
      <sz val="11"/>
      <color theme="0"/>
      <name val="Arial"/>
      <family val="2"/>
    </font>
    <font>
      <sz val="9"/>
      <color theme="1"/>
      <name val="Arial"/>
      <family val="2"/>
    </font>
    <font>
      <b/>
      <sz val="9"/>
      <name val="Arial"/>
      <family val="2"/>
    </font>
    <font>
      <b/>
      <sz val="9"/>
      <color theme="0"/>
      <name val="Arial"/>
      <family val="2"/>
    </font>
    <font>
      <sz val="9"/>
      <color theme="0"/>
      <name val="Arial"/>
      <family val="2"/>
    </font>
    <font>
      <b/>
      <sz val="9"/>
      <color theme="8"/>
      <name val="Arial"/>
      <family val="2"/>
    </font>
    <font>
      <sz val="10"/>
      <color theme="0"/>
      <name val="Arial"/>
      <family val="2"/>
    </font>
    <font>
      <sz val="10"/>
      <color theme="1"/>
      <name val="Times New Roman"/>
      <family val="1"/>
    </font>
    <font>
      <u/>
      <sz val="9"/>
      <color theme="1"/>
      <name val="Arial"/>
      <family val="2"/>
    </font>
    <font>
      <b/>
      <sz val="9"/>
      <color theme="1"/>
      <name val="Arial"/>
      <family val="2"/>
    </font>
    <font>
      <b/>
      <u/>
      <sz val="9"/>
      <color theme="1"/>
      <name val="Arial"/>
      <family val="2"/>
    </font>
    <font>
      <b/>
      <i/>
      <sz val="9"/>
      <color theme="1"/>
      <name val="Arial"/>
      <family val="2"/>
    </font>
    <font>
      <b/>
      <u/>
      <sz val="9"/>
      <color rgb="FFFF0000"/>
      <name val="Calibri"/>
      <family val="2"/>
    </font>
    <font>
      <sz val="9"/>
      <color theme="0"/>
      <name val="Calibri"/>
      <family val="2"/>
    </font>
    <font>
      <b/>
      <sz val="11"/>
      <color theme="1"/>
      <name val="Calibri"/>
      <family val="2"/>
    </font>
    <font>
      <sz val="8"/>
      <color theme="0"/>
      <name val="Calibri"/>
      <family val="2"/>
    </font>
    <font>
      <b/>
      <sz val="18"/>
      <color rgb="FFFF0000"/>
      <name val="Calibri"/>
      <family val="2"/>
    </font>
  </fonts>
  <fills count="23">
    <fill>
      <patternFill patternType="none"/>
    </fill>
    <fill>
      <patternFill patternType="gray125"/>
    </fill>
    <fill>
      <patternFill patternType="solid">
        <fgColor rgb="FF1F3864"/>
        <bgColor rgb="FF2E4057"/>
      </patternFill>
    </fill>
    <fill>
      <patternFill patternType="solid">
        <fgColor rgb="FFD9E1F2"/>
        <bgColor rgb="FFD6E4F0"/>
      </patternFill>
    </fill>
    <fill>
      <patternFill patternType="solid">
        <fgColor rgb="FF2F5496"/>
        <bgColor rgb="FF2F5597"/>
      </patternFill>
    </fill>
    <fill>
      <patternFill patternType="solid">
        <fgColor rgb="FF2E4057"/>
        <bgColor rgb="FF1F3864"/>
      </patternFill>
    </fill>
    <fill>
      <patternFill patternType="solid">
        <fgColor rgb="FFD6E4F0"/>
        <bgColor rgb="FFD9E1F2"/>
      </patternFill>
    </fill>
    <fill>
      <patternFill patternType="solid">
        <fgColor rgb="FFFFFFFF"/>
        <bgColor rgb="FFF2F2F2"/>
      </patternFill>
    </fill>
    <fill>
      <patternFill patternType="solid">
        <fgColor rgb="FFF2F2F2"/>
        <bgColor rgb="FFE2EFDA"/>
      </patternFill>
    </fill>
    <fill>
      <patternFill patternType="solid">
        <fgColor rgb="FF595959"/>
        <bgColor rgb="FF2E4057"/>
      </patternFill>
    </fill>
    <fill>
      <patternFill patternType="solid">
        <fgColor theme="3" tint="-0.249977111117893"/>
        <bgColor rgb="FFF2F2F2"/>
      </patternFill>
    </fill>
    <fill>
      <patternFill patternType="solid">
        <fgColor theme="4" tint="0.79998168889431442"/>
        <bgColor rgb="FFF2F2F2"/>
      </patternFill>
    </fill>
    <fill>
      <patternFill patternType="solid">
        <fgColor theme="4" tint="0.79998168889431442"/>
        <bgColor rgb="FFD9E1F2"/>
      </patternFill>
    </fill>
    <fill>
      <patternFill patternType="solid">
        <fgColor theme="7" tint="0.79998168889431442"/>
        <bgColor rgb="FFFFFF00"/>
      </patternFill>
    </fill>
    <fill>
      <patternFill patternType="solid">
        <fgColor theme="7" tint="0.79998168889431442"/>
        <bgColor rgb="FFF2F2F2"/>
      </patternFill>
    </fill>
    <fill>
      <patternFill patternType="solid">
        <fgColor theme="4" tint="-0.249977111117893"/>
        <bgColor indexed="64"/>
      </patternFill>
    </fill>
    <fill>
      <patternFill patternType="solid">
        <fgColor theme="4" tint="0.59999389629810485"/>
        <bgColor indexed="64"/>
      </patternFill>
    </fill>
    <fill>
      <patternFill patternType="solid">
        <fgColor rgb="FF01448D"/>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FFC000"/>
        <bgColor indexed="64"/>
      </patternFill>
    </fill>
  </fills>
  <borders count="76">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rgb="FFD0D0D0"/>
      </left>
      <right style="thin">
        <color rgb="FFD0D0D0"/>
      </right>
      <top style="thin">
        <color rgb="FFD0D0D0"/>
      </top>
      <bottom style="thin">
        <color rgb="FFD0D0D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style="thin">
        <color rgb="FFC9A227"/>
      </right>
      <top style="thin">
        <color auto="1"/>
      </top>
      <bottom/>
      <diagonal/>
    </border>
    <border>
      <left style="thin">
        <color auto="1"/>
      </left>
      <right/>
      <top/>
      <bottom style="thin">
        <color auto="1"/>
      </bottom>
      <diagonal/>
    </border>
    <border>
      <left/>
      <right style="thin">
        <color rgb="FFC9A227"/>
      </right>
      <top/>
      <bottom style="thin">
        <color auto="1"/>
      </bottom>
      <diagonal/>
    </border>
    <border>
      <left style="thin">
        <color auto="1"/>
      </left>
      <right/>
      <top/>
      <bottom/>
      <diagonal/>
    </border>
    <border>
      <left style="thin">
        <color rgb="FFD0D0D0"/>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rgb="FFBFBFBF"/>
      </bottom>
      <diagonal/>
    </border>
    <border>
      <left style="medium">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indexed="64"/>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medium">
        <color indexed="64"/>
      </right>
      <top style="thin">
        <color theme="0" tint="-0.14999847407452621"/>
      </top>
      <bottom style="thin">
        <color theme="0" tint="-0.14999847407452621"/>
      </bottom>
      <diagonal/>
    </border>
    <border>
      <left/>
      <right/>
      <top style="thin">
        <color theme="0" tint="-0.14999847407452621"/>
      </top>
      <bottom/>
      <diagonal/>
    </border>
    <border>
      <left/>
      <right style="medium">
        <color indexed="64"/>
      </right>
      <top style="thin">
        <color theme="0" tint="-0.14999847407452621"/>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theme="0"/>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bottom/>
      <diagonal/>
    </border>
    <border>
      <left style="medium">
        <color indexed="64"/>
      </left>
      <right/>
      <top style="thin">
        <color theme="0" tint="-0.14999847407452621"/>
      </top>
      <bottom style="thin">
        <color theme="0" tint="-0.14999847407452621"/>
      </bottom>
      <diagonal/>
    </border>
    <border>
      <left style="medium">
        <color indexed="64"/>
      </left>
      <right style="medium">
        <color indexed="64"/>
      </right>
      <top style="thin">
        <color theme="0"/>
      </top>
      <bottom/>
      <diagonal/>
    </border>
    <border>
      <left style="medium">
        <color indexed="64"/>
      </left>
      <right/>
      <top style="thin">
        <color theme="0" tint="-0.14999847407452621"/>
      </top>
      <bottom/>
      <diagonal/>
    </border>
    <border>
      <left style="medium">
        <color indexed="64"/>
      </left>
      <right style="medium">
        <color indexed="64"/>
      </right>
      <top style="thin">
        <color theme="0"/>
      </top>
      <bottom style="medium">
        <color indexed="64"/>
      </bottom>
      <diagonal/>
    </border>
    <border>
      <left style="medium">
        <color indexed="64"/>
      </left>
      <right style="medium">
        <color indexed="64"/>
      </right>
      <top/>
      <bottom style="medium">
        <color indexed="64"/>
      </bottom>
      <diagonal/>
    </border>
    <border>
      <left style="medium">
        <color indexed="64"/>
      </left>
      <right/>
      <top style="thin">
        <color theme="0" tint="-0.14999847407452621"/>
      </top>
      <bottom style="medium">
        <color indexed="64"/>
      </bottom>
      <diagonal/>
    </border>
    <border>
      <left/>
      <right/>
      <top style="thin">
        <color theme="0" tint="-0.14999847407452621"/>
      </top>
      <bottom style="medium">
        <color indexed="64"/>
      </bottom>
      <diagonal/>
    </border>
    <border>
      <left/>
      <right style="medium">
        <color indexed="64"/>
      </right>
      <top style="thin">
        <color theme="0" tint="-0.14999847407452621"/>
      </top>
      <bottom style="medium">
        <color indexed="64"/>
      </bottom>
      <diagonal/>
    </border>
    <border>
      <left style="thin">
        <color theme="0" tint="-0.14999847407452621"/>
      </left>
      <right style="thin">
        <color theme="0" tint="-0.14999847407452621"/>
      </right>
      <top/>
      <bottom/>
      <diagonal/>
    </border>
    <border>
      <left style="thin">
        <color theme="0" tint="-0.14999847407452621"/>
      </left>
      <right style="medium">
        <color indexed="64"/>
      </right>
      <top/>
      <bottom/>
      <diagonal/>
    </border>
    <border>
      <left style="medium">
        <color indexed="64"/>
      </left>
      <right style="thin">
        <color theme="0" tint="-0.14999847407452621"/>
      </right>
      <top style="medium">
        <color indexed="64"/>
      </top>
      <bottom style="thin">
        <color theme="0" tint="-0.14999847407452621"/>
      </bottom>
      <diagonal/>
    </border>
    <border>
      <left style="thin">
        <color theme="0" tint="-0.14999847407452621"/>
      </left>
      <right style="thin">
        <color theme="0" tint="-0.14999847407452621"/>
      </right>
      <top style="medium">
        <color indexed="64"/>
      </top>
      <bottom style="thin">
        <color theme="0" tint="-0.14999847407452621"/>
      </bottom>
      <diagonal/>
    </border>
    <border>
      <left style="thin">
        <color theme="0" tint="-0.14999847407452621"/>
      </left>
      <right style="medium">
        <color indexed="64"/>
      </right>
      <top style="medium">
        <color indexed="64"/>
      </top>
      <bottom style="thin">
        <color theme="0" tint="-0.14999847407452621"/>
      </bottom>
      <diagonal/>
    </border>
    <border>
      <left style="medium">
        <color indexed="64"/>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medium">
        <color indexed="64"/>
      </right>
      <top style="thin">
        <color theme="0" tint="-0.1499984740745262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7">
    <xf numFmtId="0" fontId="0" fillId="0" borderId="0"/>
    <xf numFmtId="0" fontId="17" fillId="0" borderId="0"/>
    <xf numFmtId="0" fontId="3" fillId="0" borderId="0"/>
    <xf numFmtId="9" fontId="17" fillId="0" borderId="0" applyFon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cellStyleXfs>
  <cellXfs count="386">
    <xf numFmtId="0" fontId="0" fillId="0" borderId="0" xfId="0"/>
    <xf numFmtId="0" fontId="4" fillId="0" borderId="0" xfId="0" applyFont="1"/>
    <xf numFmtId="0" fontId="5" fillId="5"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2" fontId="8" fillId="6" borderId="1" xfId="0" applyNumberFormat="1" applyFont="1" applyFill="1" applyBorder="1" applyAlignment="1">
      <alignment horizontal="center" vertical="center" wrapText="1"/>
    </xf>
    <xf numFmtId="0" fontId="7" fillId="7" borderId="1" xfId="0" applyFont="1" applyFill="1" applyBorder="1" applyAlignment="1">
      <alignment horizontal="left" vertical="center" wrapText="1"/>
    </xf>
    <xf numFmtId="2" fontId="8" fillId="7" borderId="1" xfId="0" applyNumberFormat="1" applyFont="1" applyFill="1" applyBorder="1" applyAlignment="1">
      <alignment horizontal="center" vertical="center" wrapText="1"/>
    </xf>
    <xf numFmtId="0" fontId="7" fillId="8" borderId="1" xfId="0" applyFont="1" applyFill="1" applyBorder="1" applyAlignment="1">
      <alignment horizontal="left" vertical="center" wrapText="1"/>
    </xf>
    <xf numFmtId="164" fontId="10" fillId="8" borderId="1" xfId="0" applyNumberFormat="1" applyFont="1" applyFill="1" applyBorder="1" applyAlignment="1">
      <alignment horizontal="center" vertical="center" wrapText="1"/>
    </xf>
    <xf numFmtId="164" fontId="10" fillId="7" borderId="1" xfId="0" applyNumberFormat="1" applyFont="1" applyFill="1" applyBorder="1" applyAlignment="1">
      <alignment horizontal="center" vertical="center" wrapText="1"/>
    </xf>
    <xf numFmtId="0" fontId="10" fillId="7" borderId="1" xfId="0" applyFont="1" applyFill="1" applyBorder="1" applyAlignment="1">
      <alignment horizontal="center" vertical="center" wrapText="1"/>
    </xf>
    <xf numFmtId="0" fontId="11" fillId="7" borderId="0" xfId="0" applyFont="1" applyFill="1"/>
    <xf numFmtId="0" fontId="13" fillId="7" borderId="2" xfId="0" applyFont="1" applyFill="1" applyBorder="1" applyAlignment="1">
      <alignment horizontal="left" vertical="center" indent="1"/>
    </xf>
    <xf numFmtId="0" fontId="11" fillId="7" borderId="3" xfId="0" applyFont="1" applyFill="1" applyBorder="1"/>
    <xf numFmtId="0" fontId="4" fillId="0" borderId="0" xfId="0" applyFont="1" applyAlignment="1">
      <alignment horizontal="left" vertical="center"/>
    </xf>
    <xf numFmtId="0" fontId="11" fillId="0" borderId="0" xfId="0" applyFont="1"/>
    <xf numFmtId="164" fontId="11" fillId="0" borderId="0" xfId="0" applyNumberFormat="1" applyFont="1" applyAlignment="1">
      <alignment horizontal="center" vertical="center"/>
    </xf>
    <xf numFmtId="0" fontId="14" fillId="7" borderId="0" xfId="0" applyFont="1" applyFill="1"/>
    <xf numFmtId="0" fontId="0" fillId="0" borderId="0" xfId="0" applyAlignment="1">
      <alignment horizontal="left" vertical="center"/>
    </xf>
    <xf numFmtId="0" fontId="16" fillId="0" borderId="2" xfId="0" applyFont="1" applyBorder="1" applyAlignment="1">
      <alignment vertical="center" wrapText="1"/>
    </xf>
    <xf numFmtId="10" fontId="16" fillId="0" borderId="2" xfId="0" applyNumberFormat="1" applyFont="1" applyBorder="1" applyAlignment="1">
      <alignment horizontal="center" vertical="center"/>
    </xf>
    <xf numFmtId="10" fontId="16" fillId="0" borderId="2" xfId="0" applyNumberFormat="1" applyFont="1" applyBorder="1" applyAlignment="1">
      <alignment horizontal="center" vertical="center" wrapText="1"/>
    </xf>
    <xf numFmtId="46" fontId="16" fillId="0" borderId="2" xfId="0" applyNumberFormat="1" applyFont="1" applyBorder="1" applyAlignment="1">
      <alignment horizontal="center" vertical="center" wrapText="1"/>
    </xf>
    <xf numFmtId="165" fontId="13" fillId="11" borderId="2" xfId="0" applyNumberFormat="1" applyFont="1" applyFill="1" applyBorder="1" applyAlignment="1">
      <alignment horizontal="left" vertical="center" indent="1"/>
    </xf>
    <xf numFmtId="164" fontId="4" fillId="11" borderId="2" xfId="0" applyNumberFormat="1" applyFont="1" applyFill="1" applyBorder="1" applyAlignment="1">
      <alignment horizontal="left" vertical="center" indent="1"/>
    </xf>
    <xf numFmtId="164" fontId="11" fillId="12" borderId="2" xfId="0" applyNumberFormat="1" applyFont="1" applyFill="1" applyBorder="1" applyAlignment="1">
      <alignment horizontal="left" vertical="center" indent="1"/>
    </xf>
    <xf numFmtId="0" fontId="18" fillId="14" borderId="2" xfId="0" applyFont="1" applyFill="1" applyBorder="1" applyAlignment="1">
      <alignment horizontal="left" vertical="center" indent="1"/>
    </xf>
    <xf numFmtId="2" fontId="18" fillId="14" borderId="2" xfId="0" applyNumberFormat="1" applyFont="1" applyFill="1" applyBorder="1" applyAlignment="1">
      <alignment horizontal="left" vertical="center" indent="1"/>
    </xf>
    <xf numFmtId="2" fontId="13" fillId="11" borderId="2" xfId="0" applyNumberFormat="1" applyFont="1" applyFill="1" applyBorder="1" applyAlignment="1">
      <alignment horizontal="left" vertical="center" indent="1"/>
    </xf>
    <xf numFmtId="0" fontId="19" fillId="7" borderId="2" xfId="0" applyFont="1" applyFill="1" applyBorder="1" applyAlignment="1">
      <alignment horizontal="left" vertical="center" indent="1"/>
    </xf>
    <xf numFmtId="165" fontId="19" fillId="11" borderId="2" xfId="0" applyNumberFormat="1" applyFont="1" applyFill="1" applyBorder="1" applyAlignment="1">
      <alignment horizontal="left" vertical="center" indent="1"/>
    </xf>
    <xf numFmtId="0" fontId="20" fillId="7" borderId="2" xfId="0" applyFont="1" applyFill="1" applyBorder="1" applyAlignment="1">
      <alignment horizontal="left" vertical="center" indent="1"/>
    </xf>
    <xf numFmtId="0" fontId="3" fillId="0" borderId="9" xfId="2" applyBorder="1" applyAlignment="1">
      <alignment horizontal="left" vertical="center" wrapText="1"/>
    </xf>
    <xf numFmtId="0" fontId="3" fillId="0" borderId="0" xfId="2"/>
    <xf numFmtId="0" fontId="22" fillId="0" borderId="2" xfId="2" applyFont="1" applyBorder="1"/>
    <xf numFmtId="0" fontId="23" fillId="15" borderId="4" xfId="2" applyFont="1" applyFill="1" applyBorder="1" applyAlignment="1">
      <alignment horizontal="center" vertical="center" wrapText="1"/>
    </xf>
    <xf numFmtId="0" fontId="23" fillId="15" borderId="5" xfId="2" applyFont="1" applyFill="1" applyBorder="1" applyAlignment="1">
      <alignment horizontal="center" vertical="center" wrapText="1"/>
    </xf>
    <xf numFmtId="0" fontId="23" fillId="15" borderId="5" xfId="2" applyFont="1" applyFill="1" applyBorder="1" applyAlignment="1">
      <alignment horizontal="center" wrapText="1"/>
    </xf>
    <xf numFmtId="0" fontId="23" fillId="15" borderId="6" xfId="2" applyFont="1" applyFill="1" applyBorder="1" applyAlignment="1">
      <alignment horizontal="center" wrapText="1"/>
    </xf>
    <xf numFmtId="0" fontId="3" fillId="0" borderId="7" xfId="2" applyBorder="1" applyAlignment="1">
      <alignment horizontal="left" vertical="center" wrapText="1"/>
    </xf>
    <xf numFmtId="0" fontId="3" fillId="0" borderId="2" xfId="2" applyBorder="1" applyAlignment="1">
      <alignment horizontal="center" vertical="center" wrapText="1"/>
    </xf>
    <xf numFmtId="0" fontId="3" fillId="0" borderId="8" xfId="2" applyBorder="1" applyAlignment="1">
      <alignment horizontal="center" vertical="center" wrapText="1"/>
    </xf>
    <xf numFmtId="0" fontId="3" fillId="0" borderId="10" xfId="2" applyBorder="1" applyAlignment="1">
      <alignment horizontal="center" vertical="center" wrapText="1"/>
    </xf>
    <xf numFmtId="0" fontId="3" fillId="0" borderId="11" xfId="2" applyBorder="1" applyAlignment="1">
      <alignment horizontal="center" vertical="center" wrapText="1"/>
    </xf>
    <xf numFmtId="0" fontId="24" fillId="16" borderId="12" xfId="2" applyFont="1" applyFill="1" applyBorder="1" applyAlignment="1">
      <alignment horizontal="left" vertical="center" wrapText="1"/>
    </xf>
    <xf numFmtId="0" fontId="24" fillId="16" borderId="13" xfId="2" applyFont="1" applyFill="1" applyBorder="1" applyAlignment="1">
      <alignment horizontal="center" vertical="center" wrapText="1"/>
    </xf>
    <xf numFmtId="0" fontId="24" fillId="16" borderId="14" xfId="2" applyFont="1" applyFill="1" applyBorder="1" applyAlignment="1">
      <alignment horizontal="center" vertical="center" wrapText="1"/>
    </xf>
    <xf numFmtId="0" fontId="25" fillId="0" borderId="4" xfId="2" applyFont="1" applyBorder="1" applyAlignment="1">
      <alignment horizontal="left" vertical="center" wrapText="1"/>
    </xf>
    <xf numFmtId="2" fontId="3" fillId="0" borderId="5" xfId="2" applyNumberFormat="1" applyBorder="1" applyAlignment="1">
      <alignment horizontal="center" vertical="center" wrapText="1"/>
    </xf>
    <xf numFmtId="2" fontId="3" fillId="0" borderId="6" xfId="2" applyNumberFormat="1" applyBorder="1" applyAlignment="1">
      <alignment horizontal="center" vertical="center" wrapText="1"/>
    </xf>
    <xf numFmtId="0" fontId="25" fillId="0" borderId="7" xfId="2" applyFont="1" applyBorder="1" applyAlignment="1">
      <alignment horizontal="left" vertical="center" wrapText="1"/>
    </xf>
    <xf numFmtId="2" fontId="3" fillId="0" borderId="2" xfId="2" applyNumberFormat="1" applyBorder="1" applyAlignment="1">
      <alignment horizontal="center" vertical="center" wrapText="1"/>
    </xf>
    <xf numFmtId="2" fontId="3" fillId="0" borderId="8" xfId="2" applyNumberFormat="1" applyBorder="1" applyAlignment="1">
      <alignment horizontal="center" vertical="center" wrapText="1"/>
    </xf>
    <xf numFmtId="0" fontId="25" fillId="0" borderId="15" xfId="2" applyFont="1" applyBorder="1" applyAlignment="1">
      <alignment horizontal="left" vertical="center" wrapText="1"/>
    </xf>
    <xf numFmtId="2" fontId="3" fillId="0" borderId="16" xfId="2" applyNumberFormat="1" applyBorder="1" applyAlignment="1">
      <alignment horizontal="center" vertical="center" wrapText="1"/>
    </xf>
    <xf numFmtId="2" fontId="3" fillId="0" borderId="17" xfId="2" applyNumberFormat="1" applyBorder="1" applyAlignment="1">
      <alignment horizontal="center" vertical="center" wrapText="1"/>
    </xf>
    <xf numFmtId="0" fontId="26" fillId="16" borderId="12" xfId="2" applyFont="1" applyFill="1" applyBorder="1" applyAlignment="1">
      <alignment horizontal="left" vertical="center" wrapText="1"/>
    </xf>
    <xf numFmtId="2" fontId="3" fillId="16" borderId="13" xfId="2" applyNumberFormat="1" applyFill="1" applyBorder="1" applyAlignment="1">
      <alignment horizontal="center" vertical="center" wrapText="1"/>
    </xf>
    <xf numFmtId="2" fontId="3" fillId="16" borderId="14" xfId="2" applyNumberFormat="1" applyFill="1" applyBorder="1" applyAlignment="1">
      <alignment horizontal="center" vertical="center" wrapText="1"/>
    </xf>
    <xf numFmtId="0" fontId="27" fillId="16" borderId="4" xfId="2" applyFont="1" applyFill="1" applyBorder="1" applyAlignment="1">
      <alignment horizontal="left" vertical="center" wrapText="1"/>
    </xf>
    <xf numFmtId="0" fontId="27" fillId="16" borderId="5" xfId="2" applyFont="1" applyFill="1" applyBorder="1" applyAlignment="1">
      <alignment horizontal="center" vertical="center" wrapText="1"/>
    </xf>
    <xf numFmtId="0" fontId="27" fillId="16" borderId="6" xfId="2" applyFont="1" applyFill="1" applyBorder="1" applyAlignment="1">
      <alignment horizontal="center" vertical="center" wrapText="1"/>
    </xf>
    <xf numFmtId="0" fontId="27" fillId="16" borderId="7" xfId="2" applyFont="1" applyFill="1" applyBorder="1" applyAlignment="1">
      <alignment horizontal="left" vertical="center" wrapText="1"/>
    </xf>
    <xf numFmtId="0" fontId="27" fillId="16" borderId="2" xfId="2" applyFont="1" applyFill="1" applyBorder="1" applyAlignment="1">
      <alignment horizontal="center" vertical="center" wrapText="1"/>
    </xf>
    <xf numFmtId="0" fontId="27" fillId="16" borderId="8" xfId="2" applyFont="1" applyFill="1" applyBorder="1" applyAlignment="1">
      <alignment horizontal="center" vertical="center" wrapText="1"/>
    </xf>
    <xf numFmtId="0" fontId="3" fillId="16" borderId="2" xfId="2" applyFill="1" applyBorder="1" applyAlignment="1">
      <alignment horizontal="center" vertical="center" wrapText="1"/>
    </xf>
    <xf numFmtId="0" fontId="27" fillId="16" borderId="15" xfId="2" applyFont="1" applyFill="1" applyBorder="1" applyAlignment="1">
      <alignment horizontal="left" vertical="center" wrapText="1"/>
    </xf>
    <xf numFmtId="0" fontId="27" fillId="16" borderId="16" xfId="2" applyFont="1" applyFill="1" applyBorder="1" applyAlignment="1">
      <alignment horizontal="center" vertical="center" wrapText="1"/>
    </xf>
    <xf numFmtId="0" fontId="28" fillId="16" borderId="17" xfId="2" applyFont="1" applyFill="1" applyBorder="1" applyAlignment="1">
      <alignment horizontal="center" vertical="center" wrapText="1"/>
    </xf>
    <xf numFmtId="0" fontId="3" fillId="0" borderId="2" xfId="2" applyBorder="1" applyAlignment="1">
      <alignment horizontal="center" vertical="center"/>
    </xf>
    <xf numFmtId="0" fontId="3" fillId="0" borderId="8" xfId="2" applyBorder="1" applyAlignment="1">
      <alignment horizontal="center" vertical="center"/>
    </xf>
    <xf numFmtId="0" fontId="32" fillId="16" borderId="2" xfId="2" applyFont="1" applyFill="1" applyBorder="1" applyAlignment="1">
      <alignment horizontal="center" vertical="center" wrapText="1"/>
    </xf>
    <xf numFmtId="0" fontId="33" fillId="16" borderId="2" xfId="2" applyFont="1" applyFill="1" applyBorder="1" applyAlignment="1">
      <alignment horizontal="center" vertical="center" wrapText="1"/>
    </xf>
    <xf numFmtId="0" fontId="33" fillId="16" borderId="8" xfId="2" applyFont="1" applyFill="1" applyBorder="1" applyAlignment="1">
      <alignment horizontal="center" vertical="center" wrapText="1"/>
    </xf>
    <xf numFmtId="165" fontId="0" fillId="0" borderId="0" xfId="0" applyNumberFormat="1"/>
    <xf numFmtId="0" fontId="35" fillId="0" borderId="0" xfId="0" applyFont="1" applyAlignment="1">
      <alignment vertical="center" wrapText="1"/>
    </xf>
    <xf numFmtId="0" fontId="37" fillId="0" borderId="0" xfId="4" applyFont="1" applyProtection="1">
      <protection hidden="1"/>
    </xf>
    <xf numFmtId="0" fontId="37" fillId="18" borderId="36" xfId="4" applyFont="1" applyFill="1" applyBorder="1" applyAlignment="1" applyProtection="1">
      <alignment horizontal="left" vertical="center"/>
      <protection hidden="1"/>
    </xf>
    <xf numFmtId="2" fontId="37" fillId="18" borderId="37" xfId="4" applyNumberFormat="1" applyFont="1" applyFill="1" applyBorder="1" applyAlignment="1" applyProtection="1">
      <alignment horizontal="left" vertical="center"/>
      <protection hidden="1"/>
    </xf>
    <xf numFmtId="2" fontId="37" fillId="19" borderId="37" xfId="4" applyNumberFormat="1" applyFont="1" applyFill="1" applyBorder="1" applyAlignment="1" applyProtection="1">
      <alignment horizontal="left" vertical="center"/>
      <protection hidden="1"/>
    </xf>
    <xf numFmtId="2" fontId="37" fillId="19" borderId="0" xfId="4" applyNumberFormat="1" applyFont="1" applyFill="1" applyAlignment="1" applyProtection="1">
      <alignment horizontal="left" vertical="center"/>
      <protection hidden="1"/>
    </xf>
    <xf numFmtId="0" fontId="2" fillId="0" borderId="0" xfId="4" applyAlignment="1" applyProtection="1">
      <alignment horizontal="center" wrapText="1"/>
      <protection hidden="1"/>
    </xf>
    <xf numFmtId="0" fontId="39" fillId="17" borderId="45" xfId="4" applyFont="1" applyFill="1" applyBorder="1" applyAlignment="1" applyProtection="1">
      <alignment horizontal="center"/>
      <protection hidden="1"/>
    </xf>
    <xf numFmtId="2" fontId="37" fillId="18" borderId="0" xfId="4" applyNumberFormat="1" applyFont="1" applyFill="1" applyAlignment="1" applyProtection="1">
      <alignment horizontal="left"/>
      <protection hidden="1"/>
    </xf>
    <xf numFmtId="2" fontId="37" fillId="18" borderId="35" xfId="4" applyNumberFormat="1" applyFont="1" applyFill="1" applyBorder="1" applyAlignment="1" applyProtection="1">
      <alignment horizontal="left"/>
      <protection hidden="1"/>
    </xf>
    <xf numFmtId="0" fontId="37" fillId="18" borderId="7" xfId="4" applyFont="1" applyFill="1" applyBorder="1" applyAlignment="1" applyProtection="1">
      <alignment horizontal="left"/>
      <protection hidden="1"/>
    </xf>
    <xf numFmtId="0" fontId="37" fillId="18" borderId="2" xfId="4" applyFont="1" applyFill="1" applyBorder="1" applyAlignment="1" applyProtection="1">
      <alignment horizontal="center"/>
      <protection hidden="1"/>
    </xf>
    <xf numFmtId="167" fontId="37" fillId="18" borderId="2" xfId="6" applyNumberFormat="1" applyFont="1" applyFill="1" applyBorder="1" applyAlignment="1" applyProtection="1">
      <alignment horizontal="center" vertical="center"/>
      <protection hidden="1"/>
    </xf>
    <xf numFmtId="168" fontId="39" fillId="17" borderId="45" xfId="6" applyNumberFormat="1" applyFont="1" applyFill="1" applyBorder="1" applyAlignment="1" applyProtection="1">
      <alignment horizontal="center"/>
      <protection hidden="1"/>
    </xf>
    <xf numFmtId="0" fontId="37" fillId="18" borderId="46" xfId="4" applyFont="1" applyFill="1" applyBorder="1" applyAlignment="1" applyProtection="1">
      <alignment horizontal="right" vertical="center"/>
      <protection hidden="1"/>
    </xf>
    <xf numFmtId="0" fontId="37" fillId="18" borderId="34" xfId="4" applyFont="1" applyFill="1" applyBorder="1" applyAlignment="1" applyProtection="1">
      <alignment horizontal="right"/>
      <protection hidden="1"/>
    </xf>
    <xf numFmtId="2" fontId="37" fillId="18" borderId="47" xfId="4" applyNumberFormat="1" applyFont="1" applyFill="1" applyBorder="1" applyAlignment="1" applyProtection="1">
      <alignment horizontal="left"/>
      <protection hidden="1"/>
    </xf>
    <xf numFmtId="0" fontId="40" fillId="17" borderId="48" xfId="4" applyFont="1" applyFill="1" applyBorder="1" applyAlignment="1" applyProtection="1">
      <alignment horizontal="left" vertical="center"/>
      <protection hidden="1"/>
    </xf>
    <xf numFmtId="2" fontId="40" fillId="17" borderId="12" xfId="4" applyNumberFormat="1" applyFont="1" applyFill="1" applyBorder="1" applyAlignment="1" applyProtection="1">
      <alignment horizontal="center" vertical="center"/>
      <protection hidden="1"/>
    </xf>
    <xf numFmtId="0" fontId="42" fillId="21" borderId="49" xfId="4" applyFont="1" applyFill="1" applyBorder="1" applyAlignment="1" applyProtection="1">
      <alignment vertical="center"/>
      <protection hidden="1"/>
    </xf>
    <xf numFmtId="167" fontId="7" fillId="18" borderId="36" xfId="6" applyNumberFormat="1" applyFont="1" applyFill="1" applyBorder="1" applyAlignment="1" applyProtection="1">
      <alignment horizontal="center" vertical="center"/>
      <protection hidden="1"/>
    </xf>
    <xf numFmtId="0" fontId="40" fillId="21" borderId="49" xfId="4" applyFont="1" applyFill="1" applyBorder="1" applyAlignment="1" applyProtection="1">
      <alignment vertical="center"/>
      <protection hidden="1"/>
    </xf>
    <xf numFmtId="168" fontId="7" fillId="18" borderId="36" xfId="6" applyNumberFormat="1" applyFont="1" applyFill="1" applyBorder="1" applyAlignment="1" applyProtection="1">
      <alignment horizontal="center" wrapText="1"/>
      <protection hidden="1"/>
    </xf>
    <xf numFmtId="0" fontId="43" fillId="0" borderId="0" xfId="4" applyFont="1" applyAlignment="1" applyProtection="1">
      <alignment horizontal="left" vertical="top" wrapText="1"/>
      <protection hidden="1"/>
    </xf>
    <xf numFmtId="168" fontId="7" fillId="18" borderId="36" xfId="6" applyNumberFormat="1" applyFont="1" applyFill="1" applyBorder="1" applyAlignment="1" applyProtection="1">
      <alignment horizontal="center" vertical="center" wrapText="1"/>
      <protection hidden="1"/>
    </xf>
    <xf numFmtId="0" fontId="37" fillId="0" borderId="0" xfId="4" applyFont="1" applyAlignment="1" applyProtection="1">
      <alignment wrapText="1"/>
      <protection hidden="1"/>
    </xf>
    <xf numFmtId="0" fontId="40" fillId="21" borderId="49" xfId="4" applyFont="1" applyFill="1" applyBorder="1" applyAlignment="1" applyProtection="1">
      <alignment vertical="center" wrapText="1"/>
      <protection hidden="1"/>
    </xf>
    <xf numFmtId="168" fontId="7" fillId="18" borderId="36" xfId="6" applyNumberFormat="1" applyFont="1" applyFill="1" applyBorder="1" applyAlignment="1" applyProtection="1">
      <alignment horizontal="center" vertical="center"/>
      <protection hidden="1"/>
    </xf>
    <xf numFmtId="168" fontId="38" fillId="18" borderId="36" xfId="6" applyNumberFormat="1" applyFont="1" applyFill="1" applyBorder="1" applyAlignment="1" applyProtection="1">
      <alignment horizontal="center" vertical="center"/>
      <protection hidden="1"/>
    </xf>
    <xf numFmtId="0" fontId="40" fillId="21" borderId="52" xfId="4" applyFont="1" applyFill="1" applyBorder="1" applyAlignment="1" applyProtection="1">
      <alignment vertical="center"/>
      <protection hidden="1"/>
    </xf>
    <xf numFmtId="168" fontId="7" fillId="18" borderId="53" xfId="6" applyNumberFormat="1" applyFont="1" applyFill="1" applyBorder="1" applyAlignment="1" applyProtection="1">
      <alignment horizontal="center" vertical="center" wrapText="1"/>
      <protection hidden="1"/>
    </xf>
    <xf numFmtId="168" fontId="7" fillId="18" borderId="43" xfId="6" applyNumberFormat="1" applyFont="1" applyFill="1" applyBorder="1" applyAlignment="1" applyProtection="1">
      <alignment horizontal="center" vertical="center" wrapText="1"/>
      <protection hidden="1"/>
    </xf>
    <xf numFmtId="168" fontId="7" fillId="18" borderId="44" xfId="6" applyNumberFormat="1" applyFont="1" applyFill="1" applyBorder="1" applyAlignment="1" applyProtection="1">
      <alignment horizontal="center" vertical="center" wrapText="1"/>
      <protection hidden="1"/>
    </xf>
    <xf numFmtId="0" fontId="40" fillId="21" borderId="54" xfId="4" applyFont="1" applyFill="1" applyBorder="1" applyAlignment="1" applyProtection="1">
      <alignment vertical="center"/>
      <protection hidden="1"/>
    </xf>
    <xf numFmtId="0" fontId="7" fillId="18" borderId="34" xfId="4" applyFont="1" applyFill="1" applyBorder="1" applyAlignment="1" applyProtection="1">
      <alignment vertical="center"/>
      <protection hidden="1"/>
    </xf>
    <xf numFmtId="0" fontId="7" fillId="18" borderId="61" xfId="4" applyFont="1" applyFill="1" applyBorder="1" applyAlignment="1" applyProtection="1">
      <alignment vertical="center"/>
      <protection hidden="1"/>
    </xf>
    <xf numFmtId="0" fontId="7" fillId="18" borderId="36" xfId="4" applyFont="1" applyFill="1" applyBorder="1" applyAlignment="1" applyProtection="1">
      <alignment vertical="center"/>
      <protection hidden="1"/>
    </xf>
    <xf numFmtId="168" fontId="7" fillId="18" borderId="37" xfId="6" applyNumberFormat="1" applyFont="1" applyFill="1" applyBorder="1" applyAlignment="1" applyProtection="1">
      <alignment horizontal="left"/>
      <protection hidden="1"/>
    </xf>
    <xf numFmtId="2" fontId="7" fillId="18" borderId="37" xfId="4" applyNumberFormat="1" applyFont="1" applyFill="1" applyBorder="1" applyAlignment="1" applyProtection="1">
      <alignment horizontal="left"/>
      <protection hidden="1"/>
    </xf>
    <xf numFmtId="2" fontId="7" fillId="18" borderId="38" xfId="4" applyNumberFormat="1" applyFont="1" applyFill="1" applyBorder="1" applyAlignment="1" applyProtection="1">
      <alignment horizontal="left"/>
      <protection hidden="1"/>
    </xf>
    <xf numFmtId="0" fontId="7" fillId="18" borderId="64" xfId="4" applyFont="1" applyFill="1" applyBorder="1" applyAlignment="1" applyProtection="1">
      <alignment vertical="center"/>
      <protection hidden="1"/>
    </xf>
    <xf numFmtId="169" fontId="7" fillId="18" borderId="0" xfId="4" applyNumberFormat="1" applyFont="1" applyFill="1" applyAlignment="1" applyProtection="1">
      <alignment horizontal="left"/>
      <protection hidden="1"/>
    </xf>
    <xf numFmtId="169" fontId="7" fillId="18" borderId="35" xfId="4" applyNumberFormat="1" applyFont="1" applyFill="1" applyBorder="1" applyAlignment="1" applyProtection="1">
      <alignment horizontal="left"/>
      <protection hidden="1"/>
    </xf>
    <xf numFmtId="2" fontId="40" fillId="17" borderId="48" xfId="4" applyNumberFormat="1" applyFont="1" applyFill="1" applyBorder="1" applyAlignment="1" applyProtection="1">
      <alignment vertical="center"/>
      <protection hidden="1"/>
    </xf>
    <xf numFmtId="3" fontId="40" fillId="17" borderId="31" xfId="4" applyNumberFormat="1" applyFont="1" applyFill="1" applyBorder="1" applyProtection="1">
      <protection hidden="1"/>
    </xf>
    <xf numFmtId="3" fontId="39" fillId="17" borderId="32" xfId="4" applyNumberFormat="1" applyFont="1" applyFill="1" applyBorder="1" applyProtection="1">
      <protection hidden="1"/>
    </xf>
    <xf numFmtId="3" fontId="40" fillId="17" borderId="32" xfId="4" applyNumberFormat="1" applyFont="1" applyFill="1" applyBorder="1" applyProtection="1">
      <protection hidden="1"/>
    </xf>
    <xf numFmtId="170" fontId="40" fillId="17" borderId="32" xfId="4" applyNumberFormat="1" applyFont="1" applyFill="1" applyBorder="1" applyProtection="1">
      <protection hidden="1"/>
    </xf>
    <xf numFmtId="3" fontId="39" fillId="17" borderId="33" xfId="4" applyNumberFormat="1" applyFont="1" applyFill="1" applyBorder="1" applyProtection="1">
      <protection hidden="1"/>
    </xf>
    <xf numFmtId="2" fontId="40" fillId="17" borderId="46" xfId="4" applyNumberFormat="1" applyFont="1" applyFill="1" applyBorder="1" applyAlignment="1" applyProtection="1">
      <alignment vertical="center"/>
      <protection hidden="1"/>
    </xf>
    <xf numFmtId="3" fontId="40" fillId="17" borderId="67" xfId="4" applyNumberFormat="1" applyFont="1" applyFill="1" applyBorder="1" applyProtection="1">
      <protection hidden="1"/>
    </xf>
    <xf numFmtId="3" fontId="39" fillId="17" borderId="68" xfId="4" applyNumberFormat="1" applyFont="1" applyFill="1" applyBorder="1" applyProtection="1">
      <protection hidden="1"/>
    </xf>
    <xf numFmtId="3" fontId="40" fillId="17" borderId="68" xfId="4" applyNumberFormat="1" applyFont="1" applyFill="1" applyBorder="1" applyProtection="1">
      <protection hidden="1"/>
    </xf>
    <xf numFmtId="170" fontId="40" fillId="17" borderId="68" xfId="4" applyNumberFormat="1" applyFont="1" applyFill="1" applyBorder="1" applyProtection="1">
      <protection hidden="1"/>
    </xf>
    <xf numFmtId="3" fontId="39" fillId="17" borderId="69" xfId="4" applyNumberFormat="1" applyFont="1" applyFill="1" applyBorder="1" applyProtection="1">
      <protection hidden="1"/>
    </xf>
    <xf numFmtId="0" fontId="7" fillId="18" borderId="67" xfId="4" applyFont="1" applyFill="1" applyBorder="1" applyAlignment="1" applyProtection="1">
      <alignment vertical="center"/>
      <protection hidden="1"/>
    </xf>
    <xf numFmtId="0" fontId="37" fillId="0" borderId="41" xfId="4" applyFont="1" applyBorder="1" applyAlignment="1" applyProtection="1">
      <alignment horizontal="left" vertical="top" wrapText="1"/>
      <protection hidden="1"/>
    </xf>
    <xf numFmtId="0" fontId="37" fillId="0" borderId="42" xfId="4" applyFont="1" applyBorder="1" applyAlignment="1" applyProtection="1">
      <alignment horizontal="left" vertical="top" wrapText="1"/>
      <protection hidden="1"/>
    </xf>
    <xf numFmtId="0" fontId="37" fillId="0" borderId="0" xfId="4" applyFont="1" applyAlignment="1" applyProtection="1">
      <alignment horizontal="left" vertical="top" wrapText="1"/>
      <protection hidden="1"/>
    </xf>
    <xf numFmtId="0" fontId="38" fillId="18" borderId="34" xfId="4" applyFont="1" applyFill="1" applyBorder="1" applyAlignment="1" applyProtection="1">
      <alignment vertical="center"/>
      <protection hidden="1"/>
    </xf>
    <xf numFmtId="0" fontId="37" fillId="18" borderId="34" xfId="4" applyFont="1" applyFill="1" applyBorder="1" applyAlignment="1" applyProtection="1">
      <alignment horizontal="left" vertical="center"/>
      <protection hidden="1"/>
    </xf>
    <xf numFmtId="0" fontId="37" fillId="18" borderId="0" xfId="4" applyFont="1" applyFill="1" applyAlignment="1" applyProtection="1">
      <alignment horizontal="left" vertical="center"/>
      <protection hidden="1"/>
    </xf>
    <xf numFmtId="0" fontId="37" fillId="18" borderId="35" xfId="4" applyFont="1" applyFill="1" applyBorder="1" applyAlignment="1" applyProtection="1">
      <alignment horizontal="left" vertical="center"/>
      <protection hidden="1"/>
    </xf>
    <xf numFmtId="0" fontId="37" fillId="18" borderId="73" xfId="4" applyFont="1" applyFill="1" applyBorder="1" applyAlignment="1" applyProtection="1">
      <alignment horizontal="left" vertical="center"/>
      <protection hidden="1"/>
    </xf>
    <xf numFmtId="0" fontId="37" fillId="18" borderId="74" xfId="4" applyFont="1" applyFill="1" applyBorder="1" applyAlignment="1" applyProtection="1">
      <alignment horizontal="left" vertical="center"/>
      <protection hidden="1"/>
    </xf>
    <xf numFmtId="0" fontId="37" fillId="18" borderId="75" xfId="4" applyFont="1" applyFill="1" applyBorder="1" applyAlignment="1" applyProtection="1">
      <alignment horizontal="left" vertical="center"/>
      <protection hidden="1"/>
    </xf>
    <xf numFmtId="0" fontId="37" fillId="18" borderId="67" xfId="4" applyFont="1" applyFill="1" applyBorder="1" applyAlignment="1" applyProtection="1">
      <alignment vertical="center"/>
      <protection hidden="1"/>
    </xf>
    <xf numFmtId="0" fontId="37" fillId="18" borderId="68" xfId="4" applyFont="1" applyFill="1" applyBorder="1" applyAlignment="1" applyProtection="1">
      <alignment vertical="center"/>
      <protection hidden="1"/>
    </xf>
    <xf numFmtId="0" fontId="37" fillId="0" borderId="0" xfId="4" applyFont="1" applyAlignment="1" applyProtection="1">
      <alignment horizontal="right"/>
      <protection hidden="1"/>
    </xf>
    <xf numFmtId="2" fontId="37" fillId="18" borderId="37" xfId="4" applyNumberFormat="1" applyFont="1" applyFill="1" applyBorder="1" applyAlignment="1" applyProtection="1">
      <alignment vertical="center"/>
      <protection hidden="1"/>
    </xf>
    <xf numFmtId="2" fontId="37" fillId="18" borderId="38" xfId="4" applyNumberFormat="1" applyFont="1" applyFill="1" applyBorder="1" applyAlignment="1" applyProtection="1">
      <alignment vertical="center"/>
      <protection hidden="1"/>
    </xf>
    <xf numFmtId="0" fontId="42" fillId="21" borderId="49" xfId="4" applyFont="1" applyFill="1" applyBorder="1" applyAlignment="1" applyProtection="1">
      <alignment horizontal="left" vertical="center"/>
      <protection hidden="1"/>
    </xf>
    <xf numFmtId="0" fontId="40" fillId="21" borderId="49" xfId="4" applyFont="1" applyFill="1" applyBorder="1" applyAlignment="1" applyProtection="1">
      <alignment horizontal="left" vertical="center"/>
      <protection hidden="1"/>
    </xf>
    <xf numFmtId="168" fontId="7" fillId="18" borderId="36" xfId="6" applyNumberFormat="1" applyFont="1" applyFill="1" applyBorder="1" applyAlignment="1" applyProtection="1">
      <alignment vertical="center" wrapText="1"/>
      <protection hidden="1"/>
    </xf>
    <xf numFmtId="0" fontId="40" fillId="21" borderId="49" xfId="4" applyFont="1" applyFill="1" applyBorder="1" applyAlignment="1" applyProtection="1">
      <alignment horizontal="left" vertical="center" wrapText="1"/>
      <protection hidden="1"/>
    </xf>
    <xf numFmtId="168" fontId="7" fillId="18" borderId="36" xfId="6" applyNumberFormat="1" applyFont="1" applyFill="1" applyBorder="1" applyAlignment="1" applyProtection="1">
      <alignment vertical="center"/>
      <protection hidden="1"/>
    </xf>
    <xf numFmtId="168" fontId="38" fillId="18" borderId="36" xfId="6" applyNumberFormat="1" applyFont="1" applyFill="1" applyBorder="1" applyAlignment="1" applyProtection="1">
      <alignment vertical="center"/>
      <protection hidden="1"/>
    </xf>
    <xf numFmtId="0" fontId="40" fillId="21" borderId="52" xfId="4" applyFont="1" applyFill="1" applyBorder="1" applyAlignment="1" applyProtection="1">
      <alignment horizontal="left" vertical="center"/>
      <protection hidden="1"/>
    </xf>
    <xf numFmtId="168" fontId="7" fillId="18" borderId="43" xfId="6" applyNumberFormat="1" applyFont="1" applyFill="1" applyBorder="1" applyAlignment="1" applyProtection="1">
      <alignment horizontal="left" vertical="center" wrapText="1"/>
      <protection hidden="1"/>
    </xf>
    <xf numFmtId="168" fontId="7" fillId="18" borderId="44" xfId="6" applyNumberFormat="1" applyFont="1" applyFill="1" applyBorder="1" applyAlignment="1" applyProtection="1">
      <alignment horizontal="left" vertical="center" wrapText="1"/>
      <protection hidden="1"/>
    </xf>
    <xf numFmtId="0" fontId="40" fillId="21" borderId="54" xfId="4" applyFont="1" applyFill="1" applyBorder="1" applyAlignment="1" applyProtection="1">
      <alignment horizontal="left" vertical="center"/>
      <protection hidden="1"/>
    </xf>
    <xf numFmtId="0" fontId="7" fillId="18" borderId="34" xfId="4" applyFont="1" applyFill="1" applyBorder="1" applyAlignment="1" applyProtection="1">
      <alignment horizontal="right"/>
      <protection hidden="1"/>
    </xf>
    <xf numFmtId="0" fontId="7" fillId="18" borderId="36" xfId="4" applyFont="1" applyFill="1" applyBorder="1" applyAlignment="1" applyProtection="1">
      <alignment horizontal="left" vertical="center"/>
      <protection hidden="1"/>
    </xf>
    <xf numFmtId="0" fontId="7" fillId="18" borderId="36" xfId="4" applyFont="1" applyFill="1" applyBorder="1" applyAlignment="1" applyProtection="1">
      <alignment horizontal="left"/>
      <protection hidden="1"/>
    </xf>
    <xf numFmtId="2" fontId="40" fillId="17" borderId="48" xfId="4" applyNumberFormat="1" applyFont="1" applyFill="1" applyBorder="1" applyProtection="1">
      <protection hidden="1"/>
    </xf>
    <xf numFmtId="172" fontId="40" fillId="17" borderId="32" xfId="4" applyNumberFormat="1" applyFont="1" applyFill="1" applyBorder="1" applyProtection="1">
      <protection hidden="1"/>
    </xf>
    <xf numFmtId="2" fontId="40" fillId="17" borderId="46" xfId="4" applyNumberFormat="1" applyFont="1" applyFill="1" applyBorder="1" applyProtection="1">
      <protection hidden="1"/>
    </xf>
    <xf numFmtId="172" fontId="40" fillId="17" borderId="68" xfId="4" applyNumberFormat="1" applyFont="1" applyFill="1" applyBorder="1" applyProtection="1">
      <protection hidden="1"/>
    </xf>
    <xf numFmtId="0" fontId="7" fillId="18" borderId="34" xfId="4" applyFont="1" applyFill="1" applyBorder="1" applyAlignment="1" applyProtection="1">
      <alignment horizontal="left" vertical="center"/>
      <protection hidden="1"/>
    </xf>
    <xf numFmtId="0" fontId="7" fillId="18" borderId="67" xfId="4" applyFont="1" applyFill="1" applyBorder="1" applyAlignment="1" applyProtection="1">
      <alignment horizontal="left" vertical="center"/>
      <protection hidden="1"/>
    </xf>
    <xf numFmtId="0" fontId="4" fillId="0" borderId="0" xfId="0" applyFont="1" applyAlignment="1">
      <alignment horizontal="right" vertical="center"/>
    </xf>
    <xf numFmtId="0" fontId="27" fillId="16" borderId="0" xfId="2" applyFont="1" applyFill="1" applyAlignment="1">
      <alignment horizontal="left" vertical="center" wrapText="1"/>
    </xf>
    <xf numFmtId="0" fontId="2" fillId="16" borderId="2" xfId="2" applyFont="1" applyFill="1" applyBorder="1" applyAlignment="1">
      <alignment horizontal="center" vertical="center" wrapText="1"/>
    </xf>
    <xf numFmtId="0" fontId="0" fillId="0" borderId="0" xfId="0" applyAlignment="1">
      <alignment wrapText="1"/>
    </xf>
    <xf numFmtId="0" fontId="2" fillId="16" borderId="8" xfId="2" applyFont="1" applyFill="1" applyBorder="1" applyAlignment="1">
      <alignment horizontal="center" vertical="center" wrapText="1"/>
    </xf>
    <xf numFmtId="1" fontId="7" fillId="18" borderId="36" xfId="6" applyNumberFormat="1" applyFont="1" applyFill="1" applyBorder="1" applyAlignment="1" applyProtection="1">
      <alignment horizontal="center" vertical="center"/>
      <protection hidden="1"/>
    </xf>
    <xf numFmtId="9" fontId="4" fillId="22" borderId="46" xfId="3" applyFont="1" applyFill="1" applyBorder="1" applyAlignment="1">
      <alignment horizontal="center" vertical="center"/>
    </xf>
    <xf numFmtId="0" fontId="4" fillId="22" borderId="46" xfId="0" applyFont="1" applyFill="1" applyBorder="1" applyAlignment="1">
      <alignment horizontal="center" vertical="center"/>
    </xf>
    <xf numFmtId="0" fontId="48" fillId="0" borderId="34" xfId="0" applyFont="1" applyBorder="1" applyAlignment="1">
      <alignment vertical="center"/>
    </xf>
    <xf numFmtId="0" fontId="48" fillId="0" borderId="0" xfId="0" applyFont="1" applyAlignment="1">
      <alignment vertical="center"/>
    </xf>
    <xf numFmtId="0" fontId="49" fillId="15" borderId="46" xfId="0" applyFont="1" applyFill="1" applyBorder="1" applyAlignment="1">
      <alignment horizontal="center" vertical="center"/>
    </xf>
    <xf numFmtId="0" fontId="49" fillId="15" borderId="46" xfId="0" applyFont="1" applyFill="1" applyBorder="1" applyAlignment="1">
      <alignment horizontal="center" vertical="center" wrapText="1"/>
    </xf>
    <xf numFmtId="1" fontId="4" fillId="22" borderId="46" xfId="0" applyNumberFormat="1" applyFont="1" applyFill="1" applyBorder="1" applyAlignment="1">
      <alignment horizontal="center" vertical="center"/>
    </xf>
    <xf numFmtId="1" fontId="49" fillId="15" borderId="46" xfId="0" applyNumberFormat="1" applyFont="1" applyFill="1" applyBorder="1" applyAlignment="1">
      <alignment horizontal="center" vertical="center"/>
    </xf>
    <xf numFmtId="0" fontId="50" fillId="0" borderId="0" xfId="0" applyFont="1"/>
    <xf numFmtId="14" fontId="49" fillId="15" borderId="46" xfId="0" applyNumberFormat="1" applyFont="1" applyFill="1" applyBorder="1" applyAlignment="1">
      <alignment horizontal="center" vertical="center"/>
    </xf>
    <xf numFmtId="0" fontId="51" fillId="15" borderId="46" xfId="0" applyFont="1" applyFill="1" applyBorder="1" applyAlignment="1">
      <alignment horizontal="center" vertical="center" wrapText="1"/>
    </xf>
    <xf numFmtId="0" fontId="52" fillId="0" borderId="0" xfId="0" applyFont="1" applyAlignment="1">
      <alignment horizontal="center" vertical="center"/>
    </xf>
    <xf numFmtId="2" fontId="40" fillId="0" borderId="37" xfId="4" applyNumberFormat="1" applyFont="1" applyBorder="1" applyAlignment="1" applyProtection="1">
      <alignment horizontal="left" vertical="center"/>
      <protection hidden="1"/>
    </xf>
    <xf numFmtId="2" fontId="40" fillId="0" borderId="37" xfId="4" applyNumberFormat="1" applyFont="1" applyBorder="1" applyAlignment="1" applyProtection="1">
      <alignment horizontal="left" vertical="center" wrapText="1"/>
      <protection hidden="1"/>
    </xf>
    <xf numFmtId="0" fontId="7" fillId="7" borderId="0" xfId="0" applyFont="1" applyFill="1" applyAlignment="1">
      <alignment horizontal="left" vertical="center" wrapText="1"/>
    </xf>
    <xf numFmtId="2" fontId="8" fillId="7" borderId="0" xfId="0" applyNumberFormat="1" applyFont="1" applyFill="1" applyAlignment="1">
      <alignment horizontal="center" vertical="center" wrapText="1"/>
    </xf>
    <xf numFmtId="0" fontId="13" fillId="11" borderId="0" xfId="0" applyFont="1" applyFill="1" applyAlignment="1">
      <alignment horizontal="left" vertical="center" indent="2"/>
    </xf>
    <xf numFmtId="0" fontId="15" fillId="13" borderId="0" xfId="0" applyFont="1" applyFill="1" applyAlignment="1">
      <alignment horizontal="left" vertical="center" indent="2"/>
    </xf>
    <xf numFmtId="0" fontId="12" fillId="9" borderId="0" xfId="0" applyFont="1" applyFill="1" applyAlignment="1">
      <alignment horizontal="center" vertical="center"/>
    </xf>
    <xf numFmtId="0" fontId="9" fillId="0" borderId="0" xfId="0" applyFont="1" applyAlignment="1">
      <alignment horizontal="left" vertical="center" wrapText="1"/>
    </xf>
    <xf numFmtId="0" fontId="5" fillId="4" borderId="0" xfId="0" applyFont="1" applyFill="1" applyAlignment="1">
      <alignment horizontal="center" vertical="center" wrapText="1"/>
    </xf>
    <xf numFmtId="0" fontId="18" fillId="14" borderId="2" xfId="0" applyFont="1" applyFill="1" applyBorder="1" applyAlignment="1">
      <alignment horizontal="left" vertical="center" indent="1"/>
    </xf>
    <xf numFmtId="165" fontId="13" fillId="11" borderId="2" xfId="0" applyNumberFormat="1" applyFont="1" applyFill="1" applyBorder="1" applyAlignment="1">
      <alignment horizontal="left" vertical="center" indent="1"/>
    </xf>
    <xf numFmtId="0" fontId="11" fillId="7" borderId="0" xfId="0" applyFont="1" applyFill="1"/>
    <xf numFmtId="0" fontId="12" fillId="4" borderId="0" xfId="0" applyFont="1" applyFill="1" applyAlignment="1">
      <alignment horizontal="center" vertical="center"/>
    </xf>
    <xf numFmtId="0" fontId="21" fillId="10" borderId="18" xfId="0" applyFont="1" applyFill="1" applyBorder="1" applyAlignment="1">
      <alignment horizontal="center" vertical="center" wrapText="1"/>
    </xf>
    <xf numFmtId="0" fontId="21" fillId="10" borderId="19" xfId="0" applyFont="1" applyFill="1" applyBorder="1" applyAlignment="1">
      <alignment horizontal="center" vertical="center" wrapText="1"/>
    </xf>
    <xf numFmtId="0" fontId="21" fillId="10" borderId="20" xfId="0" applyFont="1" applyFill="1" applyBorder="1" applyAlignment="1">
      <alignment horizontal="center" vertical="center" wrapText="1"/>
    </xf>
    <xf numFmtId="0" fontId="21" fillId="10" borderId="21" xfId="0" applyFont="1" applyFill="1" applyBorder="1" applyAlignment="1">
      <alignment horizontal="center" vertical="center" wrapText="1"/>
    </xf>
    <xf numFmtId="165" fontId="18" fillId="14" borderId="2" xfId="0" applyNumberFormat="1" applyFont="1" applyFill="1" applyBorder="1" applyAlignment="1">
      <alignment horizontal="left" vertical="center" indent="1"/>
    </xf>
    <xf numFmtId="2" fontId="18" fillId="14" borderId="2" xfId="0" applyNumberFormat="1" applyFont="1" applyFill="1" applyBorder="1" applyAlignment="1">
      <alignment horizontal="left" vertical="center" indent="1"/>
    </xf>
    <xf numFmtId="2" fontId="13" fillId="11" borderId="2" xfId="0" applyNumberFormat="1" applyFont="1" applyFill="1" applyBorder="1" applyAlignment="1">
      <alignment horizontal="left" vertical="center" indent="1"/>
    </xf>
    <xf numFmtId="0" fontId="5" fillId="4" borderId="26" xfId="0" applyFont="1" applyFill="1" applyBorder="1" applyAlignment="1">
      <alignment horizontal="center" vertical="center" wrapText="1"/>
    </xf>
    <xf numFmtId="0" fontId="5" fillId="2" borderId="0" xfId="0" applyFont="1" applyFill="1" applyAlignment="1">
      <alignment horizontal="center" vertical="center" wrapText="1"/>
    </xf>
    <xf numFmtId="0" fontId="6" fillId="3" borderId="0" xfId="0" applyFont="1" applyFill="1" applyAlignment="1">
      <alignment horizontal="center" vertical="center" wrapText="1"/>
    </xf>
    <xf numFmtId="164" fontId="11" fillId="12" borderId="2" xfId="0" applyNumberFormat="1" applyFont="1" applyFill="1" applyBorder="1" applyAlignment="1">
      <alignment horizontal="left" vertical="center" indent="1"/>
    </xf>
    <xf numFmtId="0" fontId="21" fillId="10" borderId="22" xfId="0" applyFont="1" applyFill="1" applyBorder="1" applyAlignment="1">
      <alignment horizontal="center" vertical="center" wrapText="1"/>
    </xf>
    <xf numFmtId="0" fontId="21" fillId="10" borderId="0" xfId="0" applyFont="1" applyFill="1" applyAlignment="1">
      <alignment horizontal="center" vertical="center" wrapText="1"/>
    </xf>
    <xf numFmtId="0" fontId="13" fillId="7" borderId="10" xfId="0" applyFont="1" applyFill="1" applyBorder="1" applyAlignment="1">
      <alignment horizontal="left" vertical="center" indent="1"/>
    </xf>
    <xf numFmtId="0" fontId="13" fillId="7" borderId="24" xfId="0" applyFont="1" applyFill="1" applyBorder="1" applyAlignment="1">
      <alignment horizontal="left" vertical="center" indent="1"/>
    </xf>
    <xf numFmtId="0" fontId="13" fillId="7" borderId="25" xfId="0" applyFont="1" applyFill="1" applyBorder="1" applyAlignment="1">
      <alignment horizontal="left" vertical="center" indent="1"/>
    </xf>
    <xf numFmtId="0" fontId="4" fillId="0" borderId="0" xfId="0" applyFont="1" applyAlignment="1">
      <alignment horizontal="left" vertical="center"/>
    </xf>
    <xf numFmtId="164" fontId="4" fillId="11" borderId="2" xfId="0" applyNumberFormat="1" applyFont="1" applyFill="1" applyBorder="1" applyAlignment="1">
      <alignment horizontal="left" vertical="center" indent="1"/>
    </xf>
    <xf numFmtId="165" fontId="19" fillId="11" borderId="2" xfId="0" applyNumberFormat="1" applyFont="1" applyFill="1" applyBorder="1" applyAlignment="1">
      <alignment horizontal="left" vertical="center" indent="1"/>
    </xf>
    <xf numFmtId="0" fontId="11" fillId="7" borderId="23" xfId="0" applyFont="1" applyFill="1" applyBorder="1"/>
    <xf numFmtId="0" fontId="2" fillId="0" borderId="0" xfId="4" applyAlignment="1" applyProtection="1">
      <alignment horizontal="center" wrapText="1"/>
      <protection hidden="1"/>
    </xf>
    <xf numFmtId="2" fontId="37" fillId="18" borderId="37" xfId="4" applyNumberFormat="1" applyFont="1" applyFill="1" applyBorder="1" applyAlignment="1" applyProtection="1">
      <alignment horizontal="left" vertical="center"/>
      <protection hidden="1"/>
    </xf>
    <xf numFmtId="2" fontId="37" fillId="18" borderId="38" xfId="4" applyNumberFormat="1" applyFont="1" applyFill="1" applyBorder="1" applyAlignment="1" applyProtection="1">
      <alignment horizontal="left" vertical="center"/>
      <protection hidden="1"/>
    </xf>
    <xf numFmtId="2" fontId="37" fillId="18" borderId="39" xfId="4" applyNumberFormat="1" applyFont="1" applyFill="1" applyBorder="1" applyAlignment="1" applyProtection="1">
      <alignment horizontal="center" vertical="center"/>
      <protection hidden="1"/>
    </xf>
    <xf numFmtId="2" fontId="37" fillId="18" borderId="40" xfId="4" applyNumberFormat="1" applyFont="1" applyFill="1" applyBorder="1" applyAlignment="1" applyProtection="1">
      <alignment horizontal="center" vertical="center"/>
      <protection hidden="1"/>
    </xf>
    <xf numFmtId="1" fontId="40" fillId="0" borderId="37" xfId="4" applyNumberFormat="1" applyFont="1" applyBorder="1" applyAlignment="1" applyProtection="1">
      <alignment horizontal="left" vertical="center"/>
      <protection hidden="1"/>
    </xf>
    <xf numFmtId="1" fontId="40" fillId="0" borderId="38" xfId="4" applyNumberFormat="1" applyFont="1" applyBorder="1" applyAlignment="1" applyProtection="1">
      <alignment horizontal="left" vertical="center"/>
      <protection hidden="1"/>
    </xf>
    <xf numFmtId="14" fontId="37" fillId="18" borderId="39" xfId="4" applyNumberFormat="1" applyFont="1" applyFill="1" applyBorder="1" applyAlignment="1" applyProtection="1">
      <alignment horizontal="center" vertical="center"/>
      <protection hidden="1"/>
    </xf>
    <xf numFmtId="14" fontId="37" fillId="18" borderId="40" xfId="4" applyNumberFormat="1" applyFont="1" applyFill="1" applyBorder="1" applyAlignment="1" applyProtection="1">
      <alignment horizontal="center" vertical="center"/>
      <protection hidden="1"/>
    </xf>
    <xf numFmtId="166" fontId="37" fillId="18" borderId="37" xfId="4" applyNumberFormat="1" applyFont="1" applyFill="1" applyBorder="1" applyAlignment="1" applyProtection="1">
      <alignment horizontal="left" vertical="center"/>
      <protection hidden="1"/>
    </xf>
    <xf numFmtId="166" fontId="37" fillId="18" borderId="38" xfId="4" applyNumberFormat="1" applyFont="1" applyFill="1" applyBorder="1" applyAlignment="1" applyProtection="1">
      <alignment horizontal="left" vertical="center"/>
      <protection hidden="1"/>
    </xf>
    <xf numFmtId="1" fontId="37" fillId="18" borderId="39" xfId="4" applyNumberFormat="1" applyFont="1" applyFill="1" applyBorder="1" applyAlignment="1" applyProtection="1">
      <alignment horizontal="center" vertical="center"/>
      <protection hidden="1"/>
    </xf>
    <xf numFmtId="1" fontId="37" fillId="18" borderId="40" xfId="4" applyNumberFormat="1" applyFont="1" applyFill="1" applyBorder="1" applyAlignment="1" applyProtection="1">
      <alignment horizontal="center" vertical="center"/>
      <protection hidden="1"/>
    </xf>
    <xf numFmtId="1" fontId="37" fillId="19" borderId="39" xfId="4" applyNumberFormat="1" applyFont="1" applyFill="1" applyBorder="1" applyAlignment="1" applyProtection="1">
      <alignment horizontal="left" vertical="center"/>
      <protection hidden="1"/>
    </xf>
    <xf numFmtId="1" fontId="37" fillId="19" borderId="41" xfId="4" applyNumberFormat="1" applyFont="1" applyFill="1" applyBorder="1" applyAlignment="1" applyProtection="1">
      <alignment horizontal="left" vertical="center"/>
      <protection hidden="1"/>
    </xf>
    <xf numFmtId="1" fontId="37" fillId="19" borderId="42" xfId="4" applyNumberFormat="1" applyFont="1" applyFill="1" applyBorder="1" applyAlignment="1" applyProtection="1">
      <alignment horizontal="left" vertical="center"/>
      <protection hidden="1"/>
    </xf>
    <xf numFmtId="0" fontId="36" fillId="17" borderId="28" xfId="4" applyFont="1" applyFill="1" applyBorder="1" applyAlignment="1" applyProtection="1">
      <alignment horizontal="center" vertical="center"/>
      <protection hidden="1"/>
    </xf>
    <xf numFmtId="0" fontId="36" fillId="17" borderId="29" xfId="4" applyFont="1" applyFill="1" applyBorder="1" applyAlignment="1" applyProtection="1">
      <alignment horizontal="center" vertical="center"/>
      <protection hidden="1"/>
    </xf>
    <xf numFmtId="0" fontId="36" fillId="17" borderId="30" xfId="4" applyFont="1" applyFill="1" applyBorder="1" applyAlignment="1" applyProtection="1">
      <alignment horizontal="center" vertical="center"/>
      <protection hidden="1"/>
    </xf>
    <xf numFmtId="0" fontId="38" fillId="18" borderId="28" xfId="4" applyFont="1" applyFill="1" applyBorder="1" applyAlignment="1" applyProtection="1">
      <alignment horizontal="center" vertical="top" wrapText="1"/>
      <protection hidden="1"/>
    </xf>
    <xf numFmtId="0" fontId="7" fillId="18" borderId="29" xfId="4" applyFont="1" applyFill="1" applyBorder="1" applyAlignment="1" applyProtection="1">
      <alignment horizontal="center" vertical="top"/>
      <protection hidden="1"/>
    </xf>
    <xf numFmtId="0" fontId="7" fillId="18" borderId="30" xfId="4" applyFont="1" applyFill="1" applyBorder="1" applyAlignment="1" applyProtection="1">
      <alignment horizontal="center" vertical="top"/>
      <protection hidden="1"/>
    </xf>
    <xf numFmtId="0" fontId="37" fillId="0" borderId="31" xfId="4" applyFont="1" applyBorder="1" applyAlignment="1" applyProtection="1">
      <alignment horizontal="center" vertical="center" wrapText="1"/>
      <protection hidden="1"/>
    </xf>
    <xf numFmtId="0" fontId="37" fillId="0" borderId="32" xfId="4" applyFont="1" applyBorder="1" applyAlignment="1" applyProtection="1">
      <alignment horizontal="center" vertical="center"/>
      <protection hidden="1"/>
    </xf>
    <xf numFmtId="0" fontId="37" fillId="0" borderId="33" xfId="4" applyFont="1" applyBorder="1" applyAlignment="1" applyProtection="1">
      <alignment horizontal="center" vertical="center"/>
      <protection hidden="1"/>
    </xf>
    <xf numFmtId="0" fontId="39" fillId="17" borderId="34" xfId="4" applyFont="1" applyFill="1" applyBorder="1" applyAlignment="1" applyProtection="1">
      <alignment horizontal="center" vertical="center"/>
      <protection hidden="1"/>
    </xf>
    <xf numFmtId="0" fontId="39" fillId="17" borderId="0" xfId="4" applyFont="1" applyFill="1" applyAlignment="1" applyProtection="1">
      <alignment horizontal="center" vertical="center"/>
      <protection hidden="1"/>
    </xf>
    <xf numFmtId="0" fontId="39" fillId="17" borderId="35" xfId="4" applyFont="1" applyFill="1" applyBorder="1" applyAlignment="1" applyProtection="1">
      <alignment horizontal="center" vertical="center"/>
      <protection hidden="1"/>
    </xf>
    <xf numFmtId="2" fontId="37" fillId="18" borderId="37" xfId="4" applyNumberFormat="1" applyFont="1" applyFill="1" applyBorder="1" applyAlignment="1" applyProtection="1">
      <alignment horizontal="center" vertical="center"/>
      <protection hidden="1"/>
    </xf>
    <xf numFmtId="9" fontId="37" fillId="18" borderId="37" xfId="5" applyFont="1" applyFill="1" applyBorder="1" applyAlignment="1" applyProtection="1">
      <alignment horizontal="left" vertical="center"/>
      <protection hidden="1"/>
    </xf>
    <xf numFmtId="9" fontId="37" fillId="18" borderId="38" xfId="5" applyFont="1" applyFill="1" applyBorder="1" applyAlignment="1" applyProtection="1">
      <alignment horizontal="left" vertical="center"/>
      <protection hidden="1"/>
    </xf>
    <xf numFmtId="1" fontId="37" fillId="18" borderId="37" xfId="4" applyNumberFormat="1" applyFont="1" applyFill="1" applyBorder="1" applyAlignment="1" applyProtection="1">
      <alignment horizontal="left" vertical="center"/>
      <protection hidden="1"/>
    </xf>
    <xf numFmtId="1" fontId="37" fillId="18" borderId="38" xfId="4" applyNumberFormat="1" applyFont="1" applyFill="1" applyBorder="1" applyAlignment="1" applyProtection="1">
      <alignment horizontal="left" vertical="center"/>
      <protection hidden="1"/>
    </xf>
    <xf numFmtId="1" fontId="37" fillId="19" borderId="43" xfId="4" applyNumberFormat="1" applyFont="1" applyFill="1" applyBorder="1" applyAlignment="1" applyProtection="1">
      <alignment horizontal="left" vertical="center"/>
      <protection hidden="1"/>
    </xf>
    <xf numFmtId="1" fontId="37" fillId="19" borderId="44" xfId="4" applyNumberFormat="1" applyFont="1" applyFill="1" applyBorder="1" applyAlignment="1" applyProtection="1">
      <alignment horizontal="left" vertical="center"/>
      <protection hidden="1"/>
    </xf>
    <xf numFmtId="0" fontId="43" fillId="0" borderId="0" xfId="4" applyFont="1" applyAlignment="1" applyProtection="1">
      <alignment horizontal="left" vertical="top" wrapText="1"/>
      <protection hidden="1"/>
    </xf>
    <xf numFmtId="2" fontId="37" fillId="18" borderId="28" xfId="4" applyNumberFormat="1" applyFont="1" applyFill="1" applyBorder="1" applyAlignment="1" applyProtection="1">
      <alignment horizontal="left" vertical="center"/>
      <protection hidden="1"/>
    </xf>
    <xf numFmtId="2" fontId="37" fillId="18" borderId="29" xfId="4" applyNumberFormat="1" applyFont="1" applyFill="1" applyBorder="1" applyAlignment="1" applyProtection="1">
      <alignment horizontal="left" vertical="center"/>
      <protection hidden="1"/>
    </xf>
    <xf numFmtId="2" fontId="37" fillId="18" borderId="30" xfId="4" applyNumberFormat="1" applyFont="1" applyFill="1" applyBorder="1" applyAlignment="1" applyProtection="1">
      <alignment horizontal="left" vertical="center"/>
      <protection hidden="1"/>
    </xf>
    <xf numFmtId="2" fontId="41" fillId="20" borderId="48" xfId="4" applyNumberFormat="1" applyFont="1" applyFill="1" applyBorder="1" applyAlignment="1" applyProtection="1">
      <alignment horizontal="center" vertical="center" textRotation="255"/>
      <protection hidden="1"/>
    </xf>
    <xf numFmtId="2" fontId="41" fillId="20" borderId="50" xfId="4" applyNumberFormat="1" applyFont="1" applyFill="1" applyBorder="1" applyAlignment="1" applyProtection="1">
      <alignment horizontal="center" vertical="center" textRotation="255"/>
      <protection hidden="1"/>
    </xf>
    <xf numFmtId="2" fontId="41" fillId="20" borderId="55" xfId="4" applyNumberFormat="1" applyFont="1" applyFill="1" applyBorder="1" applyAlignment="1" applyProtection="1">
      <alignment horizontal="center" vertical="center" textRotation="255"/>
      <protection hidden="1"/>
    </xf>
    <xf numFmtId="2" fontId="40" fillId="17" borderId="13" xfId="4" applyNumberFormat="1" applyFont="1" applyFill="1" applyBorder="1" applyAlignment="1" applyProtection="1">
      <alignment horizontal="center" vertical="center"/>
      <protection hidden="1"/>
    </xf>
    <xf numFmtId="2" fontId="40" fillId="17" borderId="14" xfId="4" applyNumberFormat="1" applyFont="1" applyFill="1" applyBorder="1" applyAlignment="1" applyProtection="1">
      <alignment horizontal="center" vertical="center"/>
      <protection hidden="1"/>
    </xf>
    <xf numFmtId="167" fontId="7" fillId="18" borderId="37" xfId="6" applyNumberFormat="1" applyFont="1" applyFill="1" applyBorder="1" applyAlignment="1" applyProtection="1">
      <alignment horizontal="center" vertical="center"/>
      <protection hidden="1"/>
    </xf>
    <xf numFmtId="167" fontId="7" fillId="18" borderId="38" xfId="6" applyNumberFormat="1" applyFont="1" applyFill="1" applyBorder="1" applyAlignment="1" applyProtection="1">
      <alignment horizontal="center" vertical="center"/>
      <protection hidden="1"/>
    </xf>
    <xf numFmtId="168" fontId="7" fillId="18" borderId="37" xfId="6" applyNumberFormat="1" applyFont="1" applyFill="1" applyBorder="1" applyAlignment="1" applyProtection="1">
      <alignment horizontal="center" wrapText="1"/>
      <protection hidden="1"/>
    </xf>
    <xf numFmtId="168" fontId="7" fillId="18" borderId="38" xfId="6" applyNumberFormat="1" applyFont="1" applyFill="1" applyBorder="1" applyAlignment="1" applyProtection="1">
      <alignment horizontal="center" wrapText="1"/>
      <protection hidden="1"/>
    </xf>
    <xf numFmtId="168" fontId="7" fillId="18" borderId="37" xfId="6" applyNumberFormat="1" applyFont="1" applyFill="1" applyBorder="1" applyAlignment="1" applyProtection="1">
      <alignment horizontal="center" vertical="center" wrapText="1"/>
      <protection hidden="1"/>
    </xf>
    <xf numFmtId="168" fontId="7" fillId="18" borderId="38" xfId="6" applyNumberFormat="1" applyFont="1" applyFill="1" applyBorder="1" applyAlignment="1" applyProtection="1">
      <alignment horizontal="center" vertical="center" wrapText="1"/>
      <protection hidden="1"/>
    </xf>
    <xf numFmtId="168" fontId="7" fillId="18" borderId="36" xfId="6" applyNumberFormat="1" applyFont="1" applyFill="1" applyBorder="1" applyAlignment="1" applyProtection="1">
      <alignment horizontal="left" vertical="center" wrapText="1"/>
      <protection hidden="1"/>
    </xf>
    <xf numFmtId="168" fontId="7" fillId="18" borderId="37" xfId="6" applyNumberFormat="1" applyFont="1" applyFill="1" applyBorder="1" applyAlignment="1" applyProtection="1">
      <alignment horizontal="left" vertical="center" wrapText="1"/>
      <protection hidden="1"/>
    </xf>
    <xf numFmtId="168" fontId="7" fillId="18" borderId="38" xfId="6" applyNumberFormat="1" applyFont="1" applyFill="1" applyBorder="1" applyAlignment="1" applyProtection="1">
      <alignment horizontal="left" vertical="center" wrapText="1"/>
      <protection hidden="1"/>
    </xf>
    <xf numFmtId="168" fontId="7" fillId="18" borderId="37" xfId="6" applyNumberFormat="1" applyFont="1" applyFill="1" applyBorder="1" applyAlignment="1" applyProtection="1">
      <alignment horizontal="center" vertical="center"/>
      <protection hidden="1"/>
    </xf>
    <xf numFmtId="168" fontId="7" fillId="18" borderId="38" xfId="6" applyNumberFormat="1" applyFont="1" applyFill="1" applyBorder="1" applyAlignment="1" applyProtection="1">
      <alignment horizontal="center" vertical="center"/>
      <protection hidden="1"/>
    </xf>
    <xf numFmtId="168" fontId="7" fillId="18" borderId="39" xfId="6" applyNumberFormat="1" applyFont="1" applyFill="1" applyBorder="1" applyAlignment="1" applyProtection="1">
      <alignment horizontal="center" vertical="center"/>
      <protection hidden="1"/>
    </xf>
    <xf numFmtId="168" fontId="7" fillId="18" borderId="42" xfId="6" applyNumberFormat="1" applyFont="1" applyFill="1" applyBorder="1" applyAlignment="1" applyProtection="1">
      <alignment horizontal="center" vertical="center"/>
      <protection hidden="1"/>
    </xf>
    <xf numFmtId="168" fontId="38" fillId="18" borderId="37" xfId="6" applyNumberFormat="1" applyFont="1" applyFill="1" applyBorder="1" applyAlignment="1" applyProtection="1">
      <alignment horizontal="center" vertical="center"/>
      <protection hidden="1"/>
    </xf>
    <xf numFmtId="168" fontId="38" fillId="18" borderId="38" xfId="6" applyNumberFormat="1" applyFont="1" applyFill="1" applyBorder="1" applyAlignment="1" applyProtection="1">
      <alignment horizontal="center" vertical="center"/>
      <protection hidden="1"/>
    </xf>
    <xf numFmtId="2" fontId="7" fillId="18" borderId="59" xfId="4" applyNumberFormat="1" applyFont="1" applyFill="1" applyBorder="1" applyAlignment="1" applyProtection="1">
      <alignment horizontal="left"/>
      <protection hidden="1"/>
    </xf>
    <xf numFmtId="2" fontId="7" fillId="18" borderId="60" xfId="4" applyNumberFormat="1" applyFont="1" applyFill="1" applyBorder="1" applyAlignment="1" applyProtection="1">
      <alignment horizontal="left"/>
      <protection hidden="1"/>
    </xf>
    <xf numFmtId="2" fontId="7" fillId="0" borderId="62" xfId="4" applyNumberFormat="1" applyFont="1" applyBorder="1" applyAlignment="1" applyProtection="1">
      <alignment horizontal="left" vertical="center" wrapText="1"/>
      <protection hidden="1"/>
    </xf>
    <xf numFmtId="2" fontId="7" fillId="0" borderId="63" xfId="4" applyNumberFormat="1" applyFont="1" applyBorder="1" applyAlignment="1" applyProtection="1">
      <alignment horizontal="left" vertical="center" wrapText="1"/>
      <protection hidden="1"/>
    </xf>
    <xf numFmtId="1" fontId="7" fillId="18" borderId="37" xfId="6" applyNumberFormat="1" applyFont="1" applyFill="1" applyBorder="1" applyAlignment="1" applyProtection="1">
      <alignment horizontal="left"/>
      <protection hidden="1"/>
    </xf>
    <xf numFmtId="1" fontId="7" fillId="18" borderId="38" xfId="6" applyNumberFormat="1" applyFont="1" applyFill="1" applyBorder="1" applyAlignment="1" applyProtection="1">
      <alignment horizontal="left"/>
      <protection hidden="1"/>
    </xf>
    <xf numFmtId="169" fontId="7" fillId="18" borderId="37" xfId="6" applyNumberFormat="1" applyFont="1" applyFill="1" applyBorder="1" applyAlignment="1" applyProtection="1">
      <alignment horizontal="left"/>
      <protection hidden="1"/>
    </xf>
    <xf numFmtId="169" fontId="7" fillId="18" borderId="38" xfId="6" applyNumberFormat="1" applyFont="1" applyFill="1" applyBorder="1" applyAlignment="1" applyProtection="1">
      <alignment horizontal="left"/>
      <protection hidden="1"/>
    </xf>
    <xf numFmtId="168" fontId="7" fillId="0" borderId="37" xfId="6" applyNumberFormat="1" applyFont="1" applyFill="1" applyBorder="1" applyAlignment="1" applyProtection="1">
      <alignment horizontal="left"/>
      <protection hidden="1"/>
    </xf>
    <xf numFmtId="168" fontId="7" fillId="0" borderId="38" xfId="6" applyNumberFormat="1" applyFont="1" applyFill="1" applyBorder="1" applyAlignment="1" applyProtection="1">
      <alignment horizontal="left"/>
      <protection hidden="1"/>
    </xf>
    <xf numFmtId="169" fontId="7" fillId="18" borderId="65" xfId="4" applyNumberFormat="1" applyFont="1" applyFill="1" applyBorder="1" applyAlignment="1" applyProtection="1">
      <alignment horizontal="left"/>
      <protection hidden="1"/>
    </xf>
    <xf numFmtId="169" fontId="7" fillId="18" borderId="66" xfId="4" applyNumberFormat="1" applyFont="1" applyFill="1" applyBorder="1" applyAlignment="1" applyProtection="1">
      <alignment horizontal="left"/>
      <protection hidden="1"/>
    </xf>
    <xf numFmtId="168" fontId="7" fillId="18" borderId="51" xfId="6" applyNumberFormat="1" applyFont="1" applyFill="1" applyBorder="1" applyAlignment="1" applyProtection="1">
      <alignment horizontal="center" vertical="center" wrapText="1"/>
      <protection hidden="1"/>
    </xf>
    <xf numFmtId="168" fontId="7" fillId="18" borderId="41" xfId="6" applyNumberFormat="1" applyFont="1" applyFill="1" applyBorder="1" applyAlignment="1" applyProtection="1">
      <alignment horizontal="center" vertical="center" wrapText="1"/>
      <protection hidden="1"/>
    </xf>
    <xf numFmtId="168" fontId="7" fillId="18" borderId="42" xfId="6" applyNumberFormat="1" applyFont="1" applyFill="1" applyBorder="1" applyAlignment="1" applyProtection="1">
      <alignment horizontal="center" vertical="center" wrapText="1"/>
      <protection hidden="1"/>
    </xf>
    <xf numFmtId="168" fontId="7" fillId="18" borderId="56" xfId="6" applyNumberFormat="1" applyFont="1" applyFill="1" applyBorder="1" applyAlignment="1" applyProtection="1">
      <alignment horizontal="center" vertical="center"/>
      <protection hidden="1"/>
    </xf>
    <xf numFmtId="168" fontId="7" fillId="18" borderId="57" xfId="6" applyNumberFormat="1" applyFont="1" applyFill="1" applyBorder="1" applyAlignment="1" applyProtection="1">
      <alignment horizontal="center" vertical="center"/>
      <protection hidden="1"/>
    </xf>
    <xf numFmtId="168" fontId="7" fillId="18" borderId="58" xfId="6" applyNumberFormat="1" applyFont="1" applyFill="1" applyBorder="1" applyAlignment="1" applyProtection="1">
      <alignment horizontal="center" vertical="center"/>
      <protection hidden="1"/>
    </xf>
    <xf numFmtId="0" fontId="45" fillId="0" borderId="28" xfId="4" applyFont="1" applyBorder="1" applyAlignment="1" applyProtection="1">
      <alignment horizontal="left" vertical="top" wrapText="1"/>
      <protection hidden="1"/>
    </xf>
    <xf numFmtId="0" fontId="45" fillId="0" borderId="29" xfId="4" applyFont="1" applyBorder="1" applyAlignment="1" applyProtection="1">
      <alignment horizontal="left" vertical="top"/>
      <protection hidden="1"/>
    </xf>
    <xf numFmtId="0" fontId="45" fillId="0" borderId="30" xfId="4" applyFont="1" applyBorder="1" applyAlignment="1" applyProtection="1">
      <alignment horizontal="left" vertical="top"/>
      <protection hidden="1"/>
    </xf>
    <xf numFmtId="0" fontId="39" fillId="17" borderId="31" xfId="4" applyFont="1" applyFill="1" applyBorder="1" applyAlignment="1" applyProtection="1">
      <alignment horizontal="center" vertical="center" wrapText="1"/>
      <protection hidden="1"/>
    </xf>
    <xf numFmtId="0" fontId="39" fillId="17" borderId="32" xfId="4" applyFont="1" applyFill="1" applyBorder="1" applyAlignment="1" applyProtection="1">
      <alignment horizontal="center" vertical="center"/>
      <protection hidden="1"/>
    </xf>
    <xf numFmtId="0" fontId="39" fillId="17" borderId="33" xfId="4" applyFont="1" applyFill="1" applyBorder="1" applyAlignment="1" applyProtection="1">
      <alignment horizontal="center" vertical="center"/>
      <protection hidden="1"/>
    </xf>
    <xf numFmtId="0" fontId="37" fillId="0" borderId="34" xfId="4" applyFont="1" applyBorder="1" applyAlignment="1" applyProtection="1">
      <alignment horizontal="left" vertical="center" wrapText="1"/>
      <protection hidden="1"/>
    </xf>
    <xf numFmtId="0" fontId="37" fillId="0" borderId="0" xfId="4" applyFont="1" applyAlignment="1" applyProtection="1">
      <alignment horizontal="left" vertical="center" wrapText="1"/>
      <protection hidden="1"/>
    </xf>
    <xf numFmtId="0" fontId="37" fillId="0" borderId="35" xfId="4" applyFont="1" applyBorder="1" applyAlignment="1" applyProtection="1">
      <alignment horizontal="left" vertical="center" wrapText="1"/>
      <protection hidden="1"/>
    </xf>
    <xf numFmtId="0" fontId="37" fillId="0" borderId="41" xfId="4" applyFont="1" applyBorder="1" applyAlignment="1" applyProtection="1">
      <alignment horizontal="left" vertical="top" wrapText="1"/>
      <protection hidden="1"/>
    </xf>
    <xf numFmtId="0" fontId="37" fillId="0" borderId="42" xfId="4" applyFont="1" applyBorder="1" applyAlignment="1" applyProtection="1">
      <alignment horizontal="left" vertical="top" wrapText="1"/>
      <protection hidden="1"/>
    </xf>
    <xf numFmtId="2" fontId="7" fillId="18" borderId="34" xfId="4" applyNumberFormat="1" applyFont="1" applyFill="1" applyBorder="1" applyAlignment="1" applyProtection="1">
      <alignment horizontal="left"/>
      <protection hidden="1"/>
    </xf>
    <xf numFmtId="2" fontId="7" fillId="18" borderId="0" xfId="4" applyNumberFormat="1" applyFont="1" applyFill="1" applyAlignment="1" applyProtection="1">
      <alignment horizontal="left"/>
      <protection hidden="1"/>
    </xf>
    <xf numFmtId="2" fontId="7" fillId="18" borderId="35" xfId="4" applyNumberFormat="1" applyFont="1" applyFill="1" applyBorder="1" applyAlignment="1" applyProtection="1">
      <alignment horizontal="left"/>
      <protection hidden="1"/>
    </xf>
    <xf numFmtId="2" fontId="7" fillId="18" borderId="67" xfId="4" applyNumberFormat="1" applyFont="1" applyFill="1" applyBorder="1" applyAlignment="1" applyProtection="1">
      <alignment horizontal="left"/>
      <protection hidden="1"/>
    </xf>
    <xf numFmtId="2" fontId="7" fillId="18" borderId="68" xfId="4" applyNumberFormat="1" applyFont="1" applyFill="1" applyBorder="1" applyAlignment="1" applyProtection="1">
      <alignment horizontal="left"/>
      <protection hidden="1"/>
    </xf>
    <xf numFmtId="2" fontId="7" fillId="18" borderId="69" xfId="4" applyNumberFormat="1" applyFont="1" applyFill="1" applyBorder="1" applyAlignment="1" applyProtection="1">
      <alignment horizontal="left"/>
      <protection hidden="1"/>
    </xf>
    <xf numFmtId="0" fontId="38" fillId="18" borderId="28" xfId="4" applyFont="1" applyFill="1" applyBorder="1" applyAlignment="1" applyProtection="1">
      <alignment horizontal="left"/>
      <protection hidden="1"/>
    </xf>
    <xf numFmtId="0" fontId="38" fillId="18" borderId="29" xfId="4" applyFont="1" applyFill="1" applyBorder="1" applyAlignment="1" applyProtection="1">
      <alignment horizontal="left"/>
      <protection hidden="1"/>
    </xf>
    <xf numFmtId="0" fontId="38" fillId="18" borderId="30" xfId="4" applyFont="1" applyFill="1" applyBorder="1" applyAlignment="1" applyProtection="1">
      <alignment horizontal="left"/>
      <protection hidden="1"/>
    </xf>
    <xf numFmtId="0" fontId="37" fillId="0" borderId="28" xfId="4" applyFont="1" applyBorder="1" applyAlignment="1" applyProtection="1">
      <alignment horizontal="left" vertical="top" wrapText="1"/>
      <protection hidden="1"/>
    </xf>
    <xf numFmtId="0" fontId="37" fillId="0" borderId="29" xfId="4" applyFont="1" applyBorder="1" applyAlignment="1" applyProtection="1">
      <alignment horizontal="left" vertical="top"/>
      <protection hidden="1"/>
    </xf>
    <xf numFmtId="0" fontId="37" fillId="0" borderId="30" xfId="4" applyFont="1" applyBorder="1" applyAlignment="1" applyProtection="1">
      <alignment horizontal="left" vertical="top"/>
      <protection hidden="1"/>
    </xf>
    <xf numFmtId="0" fontId="37" fillId="0" borderId="40" xfId="4" applyFont="1" applyBorder="1" applyAlignment="1" applyProtection="1">
      <alignment horizontal="left" vertical="top" wrapText="1"/>
      <protection hidden="1"/>
    </xf>
    <xf numFmtId="0" fontId="39" fillId="17" borderId="67" xfId="4" applyFont="1" applyFill="1" applyBorder="1" applyAlignment="1" applyProtection="1">
      <alignment horizontal="center" vertical="center" wrapText="1"/>
      <protection hidden="1"/>
    </xf>
    <xf numFmtId="0" fontId="39" fillId="17" borderId="68" xfId="4" applyFont="1" applyFill="1" applyBorder="1" applyAlignment="1" applyProtection="1">
      <alignment horizontal="center" vertical="center" wrapText="1"/>
      <protection hidden="1"/>
    </xf>
    <xf numFmtId="0" fontId="39" fillId="17" borderId="69" xfId="4" applyFont="1" applyFill="1" applyBorder="1" applyAlignment="1" applyProtection="1">
      <alignment horizontal="center" vertical="center" wrapText="1"/>
      <protection hidden="1"/>
    </xf>
    <xf numFmtId="0" fontId="37" fillId="0" borderId="31" xfId="4" applyFont="1" applyBorder="1" applyAlignment="1" applyProtection="1">
      <alignment horizontal="left" vertical="center" wrapText="1"/>
      <protection hidden="1"/>
    </xf>
    <xf numFmtId="0" fontId="37" fillId="0" borderId="32" xfId="4" applyFont="1" applyBorder="1" applyAlignment="1" applyProtection="1">
      <alignment horizontal="left" vertical="center"/>
      <protection hidden="1"/>
    </xf>
    <xf numFmtId="0" fontId="37" fillId="0" borderId="33" xfId="4" applyFont="1" applyBorder="1" applyAlignment="1" applyProtection="1">
      <alignment horizontal="left" vertical="center"/>
      <protection hidden="1"/>
    </xf>
    <xf numFmtId="0" fontId="45" fillId="0" borderId="34" xfId="4" applyFont="1" applyBorder="1" applyAlignment="1" applyProtection="1">
      <alignment horizontal="left" vertical="center" wrapText="1"/>
      <protection hidden="1"/>
    </xf>
    <xf numFmtId="0" fontId="45" fillId="0" borderId="0" xfId="4" applyFont="1" applyAlignment="1" applyProtection="1">
      <alignment horizontal="left" vertical="center" wrapText="1"/>
      <protection hidden="1"/>
    </xf>
    <xf numFmtId="0" fontId="45" fillId="0" borderId="35" xfId="4" applyFont="1" applyBorder="1" applyAlignment="1" applyProtection="1">
      <alignment horizontal="left" vertical="center" wrapText="1"/>
      <protection hidden="1"/>
    </xf>
    <xf numFmtId="0" fontId="37" fillId="0" borderId="67" xfId="4" applyFont="1" applyBorder="1" applyAlignment="1" applyProtection="1">
      <alignment horizontal="left" vertical="center" wrapText="1"/>
      <protection hidden="1"/>
    </xf>
    <xf numFmtId="0" fontId="37" fillId="0" borderId="68" xfId="4" applyFont="1" applyBorder="1" applyAlignment="1" applyProtection="1">
      <alignment horizontal="left" vertical="center" wrapText="1"/>
      <protection hidden="1"/>
    </xf>
    <xf numFmtId="0" fontId="37" fillId="0" borderId="69" xfId="4" applyFont="1" applyBorder="1" applyAlignment="1" applyProtection="1">
      <alignment horizontal="left" vertical="center" wrapText="1"/>
      <protection hidden="1"/>
    </xf>
    <xf numFmtId="0" fontId="37" fillId="0" borderId="32" xfId="4" applyFont="1" applyBorder="1" applyAlignment="1" applyProtection="1">
      <alignment horizontal="left" vertical="center" wrapText="1"/>
      <protection hidden="1"/>
    </xf>
    <xf numFmtId="0" fontId="37" fillId="0" borderId="33" xfId="4" applyFont="1" applyBorder="1" applyAlignment="1" applyProtection="1">
      <alignment horizontal="left" vertical="center" wrapText="1"/>
      <protection hidden="1"/>
    </xf>
    <xf numFmtId="0" fontId="37" fillId="18" borderId="34" xfId="4" applyFont="1" applyFill="1" applyBorder="1" applyAlignment="1" applyProtection="1">
      <alignment horizontal="left" vertical="center"/>
      <protection hidden="1"/>
    </xf>
    <xf numFmtId="0" fontId="37" fillId="0" borderId="0" xfId="4" applyFont="1" applyAlignment="1" applyProtection="1">
      <alignment vertical="center"/>
      <protection hidden="1"/>
    </xf>
    <xf numFmtId="0" fontId="37" fillId="0" borderId="35" xfId="4" applyFont="1" applyBorder="1" applyAlignment="1" applyProtection="1">
      <alignment vertical="center"/>
      <protection hidden="1"/>
    </xf>
    <xf numFmtId="0" fontId="37" fillId="18" borderId="0" xfId="4" applyFont="1" applyFill="1" applyAlignment="1" applyProtection="1">
      <alignment horizontal="left" vertical="center"/>
      <protection hidden="1"/>
    </xf>
    <xf numFmtId="0" fontId="37" fillId="18" borderId="35" xfId="4" applyFont="1" applyFill="1" applyBorder="1" applyAlignment="1" applyProtection="1">
      <alignment horizontal="left" vertical="center"/>
      <protection hidden="1"/>
    </xf>
    <xf numFmtId="0" fontId="37" fillId="18" borderId="68" xfId="4" applyFont="1" applyFill="1" applyBorder="1" applyAlignment="1" applyProtection="1">
      <alignment horizontal="center" vertical="center"/>
      <protection hidden="1"/>
    </xf>
    <xf numFmtId="0" fontId="37" fillId="18" borderId="69" xfId="4" applyFont="1" applyFill="1" applyBorder="1" applyAlignment="1" applyProtection="1">
      <alignment horizontal="center" vertical="center"/>
      <protection hidden="1"/>
    </xf>
    <xf numFmtId="0" fontId="45" fillId="0" borderId="28" xfId="4" applyFont="1" applyBorder="1" applyAlignment="1" applyProtection="1">
      <alignment horizontal="left" vertical="center" wrapText="1"/>
      <protection hidden="1"/>
    </xf>
    <xf numFmtId="0" fontId="45" fillId="0" borderId="29" xfId="4" applyFont="1" applyBorder="1" applyAlignment="1" applyProtection="1">
      <alignment horizontal="left" vertical="center" wrapText="1"/>
      <protection hidden="1"/>
    </xf>
    <xf numFmtId="0" fontId="45" fillId="0" borderId="30" xfId="4" applyFont="1" applyBorder="1" applyAlignment="1" applyProtection="1">
      <alignment horizontal="left" vertical="center" wrapText="1"/>
      <protection hidden="1"/>
    </xf>
    <xf numFmtId="171" fontId="38" fillId="18" borderId="0" xfId="4" applyNumberFormat="1" applyFont="1" applyFill="1" applyAlignment="1" applyProtection="1">
      <alignment horizontal="left" vertical="center"/>
      <protection hidden="1"/>
    </xf>
    <xf numFmtId="171" fontId="38" fillId="18" borderId="35" xfId="4" applyNumberFormat="1" applyFont="1" applyFill="1" applyBorder="1" applyAlignment="1" applyProtection="1">
      <alignment horizontal="left" vertical="center"/>
      <protection hidden="1"/>
    </xf>
    <xf numFmtId="0" fontId="37" fillId="0" borderId="34" xfId="4" applyFont="1" applyBorder="1" applyAlignment="1" applyProtection="1">
      <alignment horizontal="left" vertical="center"/>
      <protection hidden="1"/>
    </xf>
    <xf numFmtId="0" fontId="37" fillId="0" borderId="0" xfId="4" applyFont="1" applyAlignment="1" applyProtection="1">
      <alignment horizontal="left" vertical="center"/>
      <protection hidden="1"/>
    </xf>
    <xf numFmtId="0" fontId="37" fillId="0" borderId="35" xfId="4" applyFont="1" applyBorder="1" applyAlignment="1" applyProtection="1">
      <alignment horizontal="left" vertical="center"/>
      <protection hidden="1"/>
    </xf>
    <xf numFmtId="0" fontId="37" fillId="18" borderId="70" xfId="4" applyFont="1" applyFill="1" applyBorder="1" applyAlignment="1" applyProtection="1">
      <alignment horizontal="left" vertical="center"/>
      <protection hidden="1"/>
    </xf>
    <xf numFmtId="0" fontId="37" fillId="18" borderId="71" xfId="4" applyFont="1" applyFill="1" applyBorder="1" applyAlignment="1" applyProtection="1">
      <alignment horizontal="left" vertical="center"/>
      <protection hidden="1"/>
    </xf>
    <xf numFmtId="0" fontId="37" fillId="18" borderId="72" xfId="4" applyFont="1" applyFill="1" applyBorder="1" applyAlignment="1" applyProtection="1">
      <alignment horizontal="left" vertical="center"/>
      <protection hidden="1"/>
    </xf>
    <xf numFmtId="1" fontId="40" fillId="0" borderId="37" xfId="4" applyNumberFormat="1" applyFont="1" applyBorder="1" applyAlignment="1" applyProtection="1">
      <alignment horizontal="center" vertical="center"/>
      <protection hidden="1"/>
    </xf>
    <xf numFmtId="1" fontId="40" fillId="0" borderId="38" xfId="4" applyNumberFormat="1" applyFont="1" applyBorder="1" applyAlignment="1" applyProtection="1">
      <alignment horizontal="center" vertical="center"/>
      <protection hidden="1"/>
    </xf>
    <xf numFmtId="166" fontId="37" fillId="18" borderId="37" xfId="4" applyNumberFormat="1" applyFont="1" applyFill="1" applyBorder="1" applyAlignment="1" applyProtection="1">
      <alignment horizontal="center" vertical="center"/>
      <protection hidden="1"/>
    </xf>
    <xf numFmtId="166" fontId="37" fillId="18" borderId="38" xfId="4" applyNumberFormat="1" applyFont="1" applyFill="1" applyBorder="1" applyAlignment="1" applyProtection="1">
      <alignment horizontal="center" vertical="center"/>
      <protection hidden="1"/>
    </xf>
    <xf numFmtId="166" fontId="37" fillId="19" borderId="37" xfId="4" applyNumberFormat="1" applyFont="1" applyFill="1" applyBorder="1" applyAlignment="1" applyProtection="1">
      <alignment horizontal="center" vertical="center"/>
      <protection hidden="1"/>
    </xf>
    <xf numFmtId="166" fontId="37" fillId="19" borderId="38" xfId="4" applyNumberFormat="1" applyFont="1" applyFill="1" applyBorder="1" applyAlignment="1" applyProtection="1">
      <alignment horizontal="center" vertical="center"/>
      <protection hidden="1"/>
    </xf>
    <xf numFmtId="1" fontId="37" fillId="19" borderId="43" xfId="4" applyNumberFormat="1" applyFont="1" applyFill="1" applyBorder="1" applyAlignment="1" applyProtection="1">
      <alignment horizontal="center" vertical="center"/>
      <protection hidden="1"/>
    </xf>
    <xf numFmtId="1" fontId="37" fillId="19" borderId="44" xfId="4" applyNumberFormat="1" applyFont="1" applyFill="1" applyBorder="1" applyAlignment="1" applyProtection="1">
      <alignment horizontal="center" vertical="center"/>
      <protection hidden="1"/>
    </xf>
    <xf numFmtId="168" fontId="7" fillId="18" borderId="37" xfId="6" applyNumberFormat="1" applyFont="1" applyFill="1" applyBorder="1" applyAlignment="1" applyProtection="1">
      <alignment vertical="center" wrapText="1"/>
      <protection hidden="1"/>
    </xf>
    <xf numFmtId="168" fontId="7" fillId="18" borderId="38" xfId="6" applyNumberFormat="1" applyFont="1" applyFill="1" applyBorder="1" applyAlignment="1" applyProtection="1">
      <alignment vertical="center" wrapText="1"/>
      <protection hidden="1"/>
    </xf>
    <xf numFmtId="168" fontId="7" fillId="18" borderId="36" xfId="6" applyNumberFormat="1" applyFont="1" applyFill="1" applyBorder="1" applyAlignment="1" applyProtection="1">
      <alignment vertical="center" wrapText="1"/>
      <protection hidden="1"/>
    </xf>
    <xf numFmtId="168" fontId="7" fillId="18" borderId="37" xfId="6" applyNumberFormat="1" applyFont="1" applyFill="1" applyBorder="1" applyAlignment="1" applyProtection="1">
      <alignment vertical="center"/>
      <protection hidden="1"/>
    </xf>
    <xf numFmtId="168" fontId="7" fillId="18" borderId="38" xfId="6" applyNumberFormat="1" applyFont="1" applyFill="1" applyBorder="1" applyAlignment="1" applyProtection="1">
      <alignment vertical="center"/>
      <protection hidden="1"/>
    </xf>
    <xf numFmtId="168" fontId="7" fillId="18" borderId="39" xfId="6" applyNumberFormat="1" applyFont="1" applyFill="1" applyBorder="1" applyAlignment="1" applyProtection="1">
      <alignment vertical="center"/>
      <protection hidden="1"/>
    </xf>
    <xf numFmtId="168" fontId="7" fillId="18" borderId="42" xfId="6" applyNumberFormat="1" applyFont="1" applyFill="1" applyBorder="1" applyAlignment="1" applyProtection="1">
      <alignment vertical="center"/>
      <protection hidden="1"/>
    </xf>
    <xf numFmtId="168" fontId="38" fillId="18" borderId="37" xfId="6" applyNumberFormat="1" applyFont="1" applyFill="1" applyBorder="1" applyAlignment="1" applyProtection="1">
      <alignment vertical="center"/>
      <protection hidden="1"/>
    </xf>
    <xf numFmtId="168" fontId="38" fillId="18" borderId="38" xfId="6" applyNumberFormat="1" applyFont="1" applyFill="1" applyBorder="1" applyAlignment="1" applyProtection="1">
      <alignment vertical="center"/>
      <protection hidden="1"/>
    </xf>
    <xf numFmtId="1" fontId="7" fillId="0" borderId="37" xfId="6" applyNumberFormat="1" applyFont="1" applyFill="1" applyBorder="1" applyAlignment="1" applyProtection="1">
      <alignment horizontal="left"/>
      <protection hidden="1"/>
    </xf>
    <xf numFmtId="1" fontId="7" fillId="0" borderId="38" xfId="6" applyNumberFormat="1" applyFont="1" applyFill="1" applyBorder="1" applyAlignment="1" applyProtection="1">
      <alignment horizontal="left"/>
      <protection hidden="1"/>
    </xf>
    <xf numFmtId="168" fontId="7" fillId="18" borderId="51" xfId="6" applyNumberFormat="1" applyFont="1" applyFill="1" applyBorder="1" applyAlignment="1" applyProtection="1">
      <alignment horizontal="left" vertical="center" wrapText="1"/>
      <protection hidden="1"/>
    </xf>
    <xf numFmtId="168" fontId="7" fillId="18" borderId="41" xfId="6" applyNumberFormat="1" applyFont="1" applyFill="1" applyBorder="1" applyAlignment="1" applyProtection="1">
      <alignment horizontal="left" vertical="center" wrapText="1"/>
      <protection hidden="1"/>
    </xf>
    <xf numFmtId="168" fontId="7" fillId="18" borderId="42" xfId="6" applyNumberFormat="1" applyFont="1" applyFill="1" applyBorder="1" applyAlignment="1" applyProtection="1">
      <alignment horizontal="left" vertical="center" wrapText="1"/>
      <protection hidden="1"/>
    </xf>
    <xf numFmtId="168" fontId="7" fillId="18" borderId="56" xfId="6" applyNumberFormat="1" applyFont="1" applyFill="1" applyBorder="1" applyAlignment="1" applyProtection="1">
      <alignment vertical="center"/>
      <protection hidden="1"/>
    </xf>
    <xf numFmtId="168" fontId="7" fillId="18" borderId="57" xfId="6" applyNumberFormat="1" applyFont="1" applyFill="1" applyBorder="1" applyAlignment="1" applyProtection="1">
      <alignment vertical="center"/>
      <protection hidden="1"/>
    </xf>
    <xf numFmtId="168" fontId="7" fillId="18" borderId="58" xfId="6" applyNumberFormat="1" applyFont="1" applyFill="1" applyBorder="1" applyAlignment="1" applyProtection="1">
      <alignment vertical="center"/>
      <protection hidden="1"/>
    </xf>
    <xf numFmtId="0" fontId="45" fillId="0" borderId="29" xfId="4" applyFont="1" applyBorder="1" applyAlignment="1" applyProtection="1">
      <alignment horizontal="left" vertical="center"/>
      <protection hidden="1"/>
    </xf>
    <xf numFmtId="0" fontId="45" fillId="0" borderId="30" xfId="4" applyFont="1" applyBorder="1" applyAlignment="1" applyProtection="1">
      <alignment horizontal="left" vertical="center"/>
      <protection hidden="1"/>
    </xf>
    <xf numFmtId="0" fontId="38" fillId="18" borderId="28" xfId="4" applyFont="1" applyFill="1" applyBorder="1" applyAlignment="1" applyProtection="1">
      <alignment horizontal="left" vertical="center"/>
      <protection hidden="1"/>
    </xf>
    <xf numFmtId="0" fontId="38" fillId="18" borderId="29" xfId="4" applyFont="1" applyFill="1" applyBorder="1" applyAlignment="1" applyProtection="1">
      <alignment horizontal="left" vertical="center"/>
      <protection hidden="1"/>
    </xf>
    <xf numFmtId="0" fontId="38" fillId="18" borderId="30" xfId="4" applyFont="1" applyFill="1" applyBorder="1" applyAlignment="1" applyProtection="1">
      <alignment horizontal="left" vertical="center"/>
      <protection hidden="1"/>
    </xf>
    <xf numFmtId="0" fontId="37" fillId="0" borderId="28" xfId="4" applyFont="1" applyBorder="1" applyAlignment="1" applyProtection="1">
      <alignment horizontal="left" vertical="center" wrapText="1"/>
      <protection hidden="1"/>
    </xf>
    <xf numFmtId="0" fontId="37" fillId="0" borderId="29" xfId="4" applyFont="1" applyBorder="1" applyAlignment="1" applyProtection="1">
      <alignment horizontal="left" vertical="center"/>
      <protection hidden="1"/>
    </xf>
    <xf numFmtId="0" fontId="37" fillId="0" borderId="30" xfId="4" applyFont="1" applyBorder="1" applyAlignment="1" applyProtection="1">
      <alignment horizontal="left" vertical="center"/>
      <protection hidden="1"/>
    </xf>
    <xf numFmtId="0" fontId="3" fillId="0" borderId="9" xfId="2" applyBorder="1" applyAlignment="1">
      <alignment horizontal="left" vertical="center" wrapText="1"/>
    </xf>
    <xf numFmtId="0" fontId="3" fillId="0" borderId="27" xfId="2" applyBorder="1" applyAlignment="1">
      <alignment horizontal="left" vertical="center" wrapText="1"/>
    </xf>
    <xf numFmtId="0" fontId="34" fillId="0" borderId="0" xfId="0" applyFont="1" applyAlignment="1">
      <alignment horizontal="left" vertical="center" wrapText="1"/>
    </xf>
    <xf numFmtId="16" fontId="49" fillId="15" borderId="46" xfId="0" applyNumberFormat="1" applyFont="1" applyFill="1" applyBorder="1" applyAlignment="1">
      <alignment horizontal="center" vertical="center"/>
    </xf>
  </cellXfs>
  <cellStyles count="7">
    <cellStyle name="Comma 2" xfId="6" xr:uid="{283A03E9-0E59-4FA5-B7B4-46487910EC5D}"/>
    <cellStyle name="Normal" xfId="0" builtinId="0"/>
    <cellStyle name="Normal 2" xfId="1" xr:uid="{00000000-0005-0000-0000-000006000000}"/>
    <cellStyle name="Normal 2 2" xfId="2" xr:uid="{C6E19A0C-048D-49FF-94D3-3C2AA2A157DE}"/>
    <cellStyle name="Normal 3" xfId="4" xr:uid="{C945DB7A-7AAB-4C5C-BFD5-702755AC4803}"/>
    <cellStyle name="Percent" xfId="3" builtinId="5"/>
    <cellStyle name="Percent 2" xfId="5" xr:uid="{A7C65197-E334-49D4-9C26-FDAA38A6D840}"/>
  </cellStyles>
  <dxfs count="3">
    <dxf>
      <font>
        <color theme="0"/>
      </font>
    </dxf>
    <dxf>
      <font>
        <color theme="0"/>
      </font>
    </dxf>
    <dxf>
      <font>
        <color theme="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B6000"/>
      <rgbColor rgb="FF800080"/>
      <rgbColor rgb="FF008080"/>
      <rgbColor rgb="FFBFBFBF"/>
      <rgbColor rgb="FF808080"/>
      <rgbColor rgb="FF9999FF"/>
      <rgbColor rgb="FF993366"/>
      <rgbColor rgb="FFFFF2CC"/>
      <rgbColor rgb="FFD6E4F0"/>
      <rgbColor rgb="FF660066"/>
      <rgbColor rgb="FFFF8080"/>
      <rgbColor rgb="FF2F5597"/>
      <rgbColor rgb="FFB4C7E7"/>
      <rgbColor rgb="FF000080"/>
      <rgbColor rgb="FFFF00FF"/>
      <rgbColor rgb="FFFFFF00"/>
      <rgbColor rgb="FF00FFFF"/>
      <rgbColor rgb="FF800080"/>
      <rgbColor rgb="FF800000"/>
      <rgbColor rgb="FF008080"/>
      <rgbColor rgb="FF0000FF"/>
      <rgbColor rgb="FF00CCFF"/>
      <rgbColor rgb="FFF2F2F2"/>
      <rgbColor rgb="FFE2EFDA"/>
      <rgbColor rgb="FFFFFF99"/>
      <rgbColor rgb="FFD9E1F2"/>
      <rgbColor rgb="FFFF99CC"/>
      <rgbColor rgb="FFCC99FF"/>
      <rgbColor rgb="FFD0D0D0"/>
      <rgbColor rgb="FF3366FF"/>
      <rgbColor rgb="FF33CCCC"/>
      <rgbColor rgb="FF99CC00"/>
      <rgbColor rgb="FFFFCC00"/>
      <rgbColor rgb="FFC9A227"/>
      <rgbColor rgb="FFC55A11"/>
      <rgbColor rgb="FF595959"/>
      <rgbColor rgb="FF969696"/>
      <rgbColor rgb="FF1F3864"/>
      <rgbColor rgb="FF339966"/>
      <rgbColor rgb="FF003300"/>
      <rgbColor rgb="FF333300"/>
      <rgbColor rgb="FF993300"/>
      <rgbColor rgb="FF993366"/>
      <rgbColor rgb="FF2F5496"/>
      <rgbColor rgb="FF2E4057"/>
      <rgbColor rgb="00003366"/>
      <rgbColor rgb="00339966"/>
      <rgbColor rgb="00003300"/>
      <rgbColor rgb="00333300"/>
      <rgbColor rgb="00993300"/>
      <rgbColor rgb="00993366"/>
      <rgbColor rgb="00333399"/>
      <rgbColor rgb="00333333"/>
    </indexedColors>
    <mruColors>
      <color rgb="FF1ABC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923925</xdr:colOff>
      <xdr:row>1</xdr:row>
      <xdr:rowOff>57150</xdr:rowOff>
    </xdr:from>
    <xdr:to>
      <xdr:col>7</xdr:col>
      <xdr:colOff>1495425</xdr:colOff>
      <xdr:row>1</xdr:row>
      <xdr:rowOff>666750</xdr:rowOff>
    </xdr:to>
    <xdr:pic>
      <xdr:nvPicPr>
        <xdr:cNvPr id="2" name="Picture 1">
          <a:extLst>
            <a:ext uri="{FF2B5EF4-FFF2-40B4-BE49-F238E27FC236}">
              <a16:creationId xmlns:a16="http://schemas.microsoft.com/office/drawing/2014/main" id="{851010DF-C8F5-4A3A-BBF1-DCF9049F931C}"/>
            </a:ext>
          </a:extLst>
        </xdr:cNvPr>
        <xdr:cNvPicPr/>
      </xdr:nvPicPr>
      <xdr:blipFill>
        <a:blip xmlns:r="http://schemas.openxmlformats.org/officeDocument/2006/relationships" r:embed="rId1" cstate="print"/>
        <a:srcRect/>
        <a:stretch>
          <a:fillRect/>
        </a:stretch>
      </xdr:blipFill>
      <xdr:spPr bwMode="auto">
        <a:xfrm>
          <a:off x="10842625" y="368300"/>
          <a:ext cx="571500" cy="6096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923925</xdr:colOff>
      <xdr:row>1</xdr:row>
      <xdr:rowOff>57150</xdr:rowOff>
    </xdr:from>
    <xdr:to>
      <xdr:col>7</xdr:col>
      <xdr:colOff>1495425</xdr:colOff>
      <xdr:row>1</xdr:row>
      <xdr:rowOff>666750</xdr:rowOff>
    </xdr:to>
    <xdr:pic>
      <xdr:nvPicPr>
        <xdr:cNvPr id="2" name="Picture 1">
          <a:extLst>
            <a:ext uri="{FF2B5EF4-FFF2-40B4-BE49-F238E27FC236}">
              <a16:creationId xmlns:a16="http://schemas.microsoft.com/office/drawing/2014/main" id="{5219730C-EFFE-4BDF-AD47-F5BEB53722DD}"/>
            </a:ext>
          </a:extLst>
        </xdr:cNvPr>
        <xdr:cNvPicPr/>
      </xdr:nvPicPr>
      <xdr:blipFill>
        <a:blip xmlns:r="http://schemas.openxmlformats.org/officeDocument/2006/relationships" r:embed="rId1" cstate="print"/>
        <a:srcRect/>
        <a:stretch>
          <a:fillRect/>
        </a:stretch>
      </xdr:blipFill>
      <xdr:spPr bwMode="auto">
        <a:xfrm>
          <a:off x="10614025" y="368300"/>
          <a:ext cx="571500" cy="6096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ataaig-my.sharepoint.com/personal/santosh_abhang_tataaig_com/Documents/Desktop/OTC%20calculator_GAG_31.03.26_V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 back up"/>
      <sheetName val="Tables"/>
      <sheetName val="Master"/>
      <sheetName val="Accidental Medical"/>
      <sheetName val="QUOTE LETTER - Operations"/>
      <sheetName val="QUOTE LETTER - Client"/>
      <sheetName val="Rule Book"/>
      <sheetName val="RFQ"/>
      <sheetName val="Calculation"/>
      <sheetName val="Variable medex"/>
      <sheetName val="Medex cal"/>
      <sheetName val="DL"/>
      <sheetName val="Quote Register"/>
      <sheetName val="RFQ (2)"/>
      <sheetName val="10 points"/>
      <sheetName val="Sheet1"/>
      <sheetName val="Addition"/>
      <sheetName val="Deletion"/>
      <sheetName val="Sum insured"/>
      <sheetName val="Premium calculation"/>
      <sheetName val="list of correction"/>
    </sheetNames>
    <sheetDataSet>
      <sheetData sheetId="0"/>
      <sheetData sheetId="1"/>
      <sheetData sheetId="2">
        <row r="3">
          <cell r="B3" t="str">
            <v>Advertisement/ Media/Entertainment</v>
          </cell>
        </row>
        <row r="4">
          <cell r="B4" t="str">
            <v>Construction</v>
          </cell>
        </row>
        <row r="5">
          <cell r="B5" t="str">
            <v>Educational Institute</v>
          </cell>
        </row>
        <row r="6">
          <cell r="B6" t="str">
            <v>Financial Services/Consultancy/Insurance</v>
          </cell>
        </row>
        <row r="7">
          <cell r="B7" t="str">
            <v>FMCG</v>
          </cell>
        </row>
        <row r="8">
          <cell r="B8" t="str">
            <v>Hotel Industry</v>
          </cell>
        </row>
        <row r="9">
          <cell r="B9" t="str">
            <v>IT / ITES / BPO / KPO</v>
          </cell>
        </row>
        <row r="10">
          <cell r="B10" t="str">
            <v>Manufacturing</v>
          </cell>
        </row>
        <row r="11">
          <cell r="B11" t="str">
            <v>Pharma</v>
          </cell>
        </row>
        <row r="12">
          <cell r="B12" t="str">
            <v>Service_Industry</v>
          </cell>
        </row>
        <row r="13">
          <cell r="B13" t="str">
            <v>Shipping &amp; Allied</v>
          </cell>
        </row>
        <row r="14">
          <cell r="B14" t="str">
            <v>Telecom</v>
          </cell>
        </row>
        <row r="15">
          <cell r="B15" t="str">
            <v>Travel And Transportation</v>
          </cell>
        </row>
      </sheetData>
      <sheetData sheetId="3"/>
      <sheetData sheetId="4"/>
      <sheetData sheetId="5"/>
      <sheetData sheetId="6"/>
      <sheetData sheetId="7">
        <row r="8">
          <cell r="A8" t="str">
            <v>Policy status *</v>
          </cell>
          <cell r="C8" t="str">
            <v>Market Rollover</v>
          </cell>
        </row>
        <row r="13">
          <cell r="C13" t="str">
            <v>White Collar Job</v>
          </cell>
        </row>
        <row r="14">
          <cell r="C14" t="str">
            <v>Risk class 1</v>
          </cell>
        </row>
        <row r="26">
          <cell r="G26">
            <v>0</v>
          </cell>
        </row>
        <row r="28">
          <cell r="A28" t="str">
            <v>Sum Insured Category (For Employees Only)</v>
          </cell>
          <cell r="B28" t="str">
            <v>No of lives</v>
          </cell>
          <cell r="C28" t="str">
            <v>Per Person SI</v>
          </cell>
          <cell r="D28" t="str">
            <v>Total Sum Insured</v>
          </cell>
        </row>
        <row r="29">
          <cell r="A29" t="str">
            <v>Category 1</v>
          </cell>
          <cell r="J29" t="str">
            <v>Yes</v>
          </cell>
        </row>
        <row r="30">
          <cell r="A30" t="str">
            <v>Category 2</v>
          </cell>
        </row>
        <row r="31">
          <cell r="A31" t="str">
            <v>Category 3</v>
          </cell>
        </row>
        <row r="32">
          <cell r="A32" t="str">
            <v>Category 4</v>
          </cell>
        </row>
        <row r="33">
          <cell r="A33" t="str">
            <v>Category 5</v>
          </cell>
        </row>
        <row r="34">
          <cell r="A34" t="str">
            <v>Category 6</v>
          </cell>
        </row>
        <row r="35">
          <cell r="A35" t="str">
            <v>Category 7</v>
          </cell>
        </row>
        <row r="36">
          <cell r="A36" t="str">
            <v>Category 8</v>
          </cell>
        </row>
        <row r="37">
          <cell r="A37" t="str">
            <v>Category 9</v>
          </cell>
        </row>
        <row r="38">
          <cell r="A38" t="str">
            <v>Category 10</v>
          </cell>
        </row>
        <row r="39">
          <cell r="A39" t="str">
            <v>Total</v>
          </cell>
        </row>
        <row r="43">
          <cell r="C43" t="str">
            <v>Named</v>
          </cell>
        </row>
        <row r="46">
          <cell r="C46" t="str">
            <v>Manufacturing</v>
          </cell>
        </row>
        <row r="52">
          <cell r="C52" t="str">
            <v>No</v>
          </cell>
        </row>
        <row r="56">
          <cell r="D56">
            <v>0</v>
          </cell>
          <cell r="E56">
            <v>0</v>
          </cell>
        </row>
        <row r="57">
          <cell r="C57" t="str">
            <v>Only Permanent Employees of the company are covered.</v>
          </cell>
        </row>
        <row r="60">
          <cell r="C60">
            <v>3000000</v>
          </cell>
          <cell r="D60">
            <v>1000000</v>
          </cell>
          <cell r="E60">
            <v>0</v>
          </cell>
        </row>
        <row r="61">
          <cell r="C61">
            <v>3000000</v>
          </cell>
          <cell r="D61">
            <v>1000000</v>
          </cell>
          <cell r="E61">
            <v>0</v>
          </cell>
        </row>
        <row r="62">
          <cell r="C62">
            <v>3000000</v>
          </cell>
          <cell r="D62">
            <v>1000000</v>
          </cell>
          <cell r="E62">
            <v>0</v>
          </cell>
        </row>
        <row r="63">
          <cell r="C63">
            <v>3000000</v>
          </cell>
          <cell r="D63">
            <v>1000000</v>
          </cell>
          <cell r="E63">
            <v>0</v>
          </cell>
        </row>
        <row r="65">
          <cell r="C65" t="str">
            <v>104 Weeks</v>
          </cell>
        </row>
        <row r="66">
          <cell r="D66">
            <v>60000</v>
          </cell>
        </row>
        <row r="67">
          <cell r="B67" t="str">
            <v>Yes</v>
          </cell>
          <cell r="C67">
            <v>50000</v>
          </cell>
          <cell r="D67">
            <v>30000</v>
          </cell>
          <cell r="I67">
            <v>0</v>
          </cell>
          <cell r="J67">
            <v>0</v>
          </cell>
        </row>
        <row r="69">
          <cell r="E69">
            <v>0</v>
          </cell>
        </row>
        <row r="71">
          <cell r="D71">
            <v>0</v>
          </cell>
          <cell r="E71">
            <v>0</v>
          </cell>
        </row>
        <row r="72">
          <cell r="D72">
            <v>0</v>
          </cell>
          <cell r="E72">
            <v>0</v>
          </cell>
        </row>
        <row r="73">
          <cell r="A73" t="str">
            <v>Fractures / Dislocation / Burns</v>
          </cell>
          <cell r="D73">
            <v>0</v>
          </cell>
          <cell r="E73">
            <v>0</v>
          </cell>
        </row>
        <row r="74">
          <cell r="D74">
            <v>0</v>
          </cell>
          <cell r="E74">
            <v>0</v>
          </cell>
        </row>
        <row r="75">
          <cell r="C75"/>
          <cell r="D75"/>
          <cell r="E75"/>
        </row>
        <row r="76">
          <cell r="C76"/>
          <cell r="D76"/>
          <cell r="E76"/>
        </row>
        <row r="77">
          <cell r="C77"/>
          <cell r="D77"/>
          <cell r="E77"/>
        </row>
        <row r="78">
          <cell r="D78">
            <v>0</v>
          </cell>
          <cell r="E78">
            <v>0</v>
          </cell>
          <cell r="G78">
            <v>0</v>
          </cell>
        </row>
        <row r="79">
          <cell r="C79"/>
          <cell r="D79"/>
          <cell r="E79"/>
        </row>
        <row r="80">
          <cell r="A80" t="str">
            <v>CHAUFFER / RENTAL CAR BENEFIT</v>
          </cell>
          <cell r="C80"/>
          <cell r="D80"/>
          <cell r="E80"/>
        </row>
        <row r="81">
          <cell r="A81" t="str">
            <v>COMMON DISASTER BENEFIT</v>
          </cell>
          <cell r="C81"/>
          <cell r="D81"/>
          <cell r="E81"/>
        </row>
        <row r="82">
          <cell r="A82" t="str">
            <v>COST OF CRUTCHES / WHEELCHAIR / ARTIFICIAL LIMBS</v>
          </cell>
          <cell r="C82"/>
          <cell r="D82"/>
          <cell r="E82"/>
        </row>
        <row r="83">
          <cell r="A83" t="str">
            <v>EVACUATION BENEFIT</v>
          </cell>
          <cell r="C83"/>
          <cell r="D83"/>
          <cell r="E83"/>
        </row>
        <row r="84">
          <cell r="A84" t="str">
            <v>FACIAL SCARRING BENEFIT AND DENTAL RECONSTRUCTION</v>
          </cell>
          <cell r="C84"/>
          <cell r="D84"/>
          <cell r="E84"/>
        </row>
        <row r="85">
          <cell r="A85" t="str">
            <v>Repatriation of Remains</v>
          </cell>
          <cell r="D85">
            <v>0</v>
          </cell>
          <cell r="E85">
            <v>0</v>
          </cell>
        </row>
        <row r="86">
          <cell r="A86" t="str">
            <v>Funeral Benefits</v>
          </cell>
          <cell r="D86">
            <v>0</v>
          </cell>
          <cell r="E86">
            <v>0</v>
          </cell>
        </row>
        <row r="87">
          <cell r="A87" t="str">
            <v>LOAN SHIELD</v>
          </cell>
          <cell r="C87"/>
          <cell r="D87"/>
          <cell r="E87"/>
        </row>
        <row r="89">
          <cell r="A89" t="str">
            <v xml:space="preserve">LOSS OF ACTIVITIES OF DAILY LIVING </v>
          </cell>
          <cell r="C89"/>
          <cell r="D89"/>
          <cell r="E89"/>
        </row>
        <row r="90">
          <cell r="A90" t="str">
            <v>Loss Of Job</v>
          </cell>
          <cell r="C90"/>
          <cell r="D90"/>
          <cell r="E90"/>
        </row>
        <row r="91">
          <cell r="A91" t="str">
            <v>LUMP SUM BENEFIT ON DIAGNOSIS OF HIV</v>
          </cell>
          <cell r="C91"/>
          <cell r="D91"/>
          <cell r="E91"/>
        </row>
        <row r="92">
          <cell r="A92" t="str">
            <v>MEDICAL INSURANCE PREMIUM BENEFIT</v>
          </cell>
          <cell r="C92"/>
          <cell r="D92"/>
          <cell r="E92"/>
        </row>
        <row r="93">
          <cell r="A93" t="str">
            <v>ANIMAL ATTACK COVER</v>
          </cell>
          <cell r="C93"/>
          <cell r="D93"/>
          <cell r="E93"/>
        </row>
        <row r="94">
          <cell r="A94" t="str">
            <v>PHYSIOTHERAPY</v>
          </cell>
          <cell r="C94"/>
          <cell r="D94"/>
          <cell r="E94"/>
        </row>
        <row r="95">
          <cell r="A95" t="str">
            <v>TRAUMA COUNSELLING</v>
          </cell>
          <cell r="C95"/>
          <cell r="D95"/>
          <cell r="E95"/>
        </row>
        <row r="96">
          <cell r="A96" t="str">
            <v>PUBLIC CARRIER BENEFIT</v>
          </cell>
          <cell r="C96"/>
          <cell r="D96"/>
          <cell r="E96"/>
        </row>
        <row r="97">
          <cell r="A97" t="str">
            <v>LOSS OF PERSONAL EFFECTS</v>
          </cell>
          <cell r="C97"/>
          <cell r="D97"/>
          <cell r="E97"/>
        </row>
        <row r="102">
          <cell r="G102" t="str">
            <v>Fixed S.I</v>
          </cell>
        </row>
        <row r="103">
          <cell r="G103" t="str">
            <v>Covered</v>
          </cell>
        </row>
        <row r="104">
          <cell r="E104" t="str">
            <v/>
          </cell>
          <cell r="G104">
            <v>5</v>
          </cell>
        </row>
        <row r="106">
          <cell r="C106">
            <v>134415.0988768434</v>
          </cell>
        </row>
        <row r="126">
          <cell r="E126" t="str">
            <v>Covered</v>
          </cell>
        </row>
        <row r="127">
          <cell r="E127" t="str">
            <v>No</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E9A83-47FE-4366-91E3-0BC7D592B6FF}">
  <sheetPr>
    <pageSetUpPr fitToPage="1"/>
  </sheetPr>
  <dimension ref="B1:Q145"/>
  <sheetViews>
    <sheetView topLeftCell="A130" zoomScale="103" zoomScaleNormal="100" zoomScaleSheetLayoutView="100" workbookViewId="0">
      <selection activeCell="A20" sqref="A20"/>
    </sheetView>
  </sheetViews>
  <sheetFormatPr defaultColWidth="9.21875" defaultRowHeight="11.4" x14ac:dyDescent="0.2"/>
  <cols>
    <col min="1" max="1" width="3" style="76" customWidth="1"/>
    <col min="2" max="2" width="35.77734375" style="143" customWidth="1"/>
    <col min="3" max="3" width="15.21875" style="76" customWidth="1"/>
    <col min="4" max="4" width="38.5546875" style="76" customWidth="1"/>
    <col min="5" max="5" width="16.77734375" style="76" customWidth="1"/>
    <col min="6" max="6" width="20.21875" style="76" customWidth="1"/>
    <col min="7" max="7" width="12.44140625" style="76" bestFit="1" customWidth="1"/>
    <col min="8" max="8" width="28.21875" style="76" customWidth="1"/>
    <col min="9" max="16384" width="9.21875" style="76"/>
  </cols>
  <sheetData>
    <row r="1" spans="2:17" ht="24.75" customHeight="1" thickBot="1" x14ac:dyDescent="0.25">
      <c r="B1" s="232" t="s">
        <v>95</v>
      </c>
      <c r="C1" s="233"/>
      <c r="D1" s="233"/>
      <c r="E1" s="233"/>
      <c r="F1" s="233"/>
      <c r="G1" s="233"/>
      <c r="H1" s="234"/>
    </row>
    <row r="2" spans="2:17" ht="59.25" customHeight="1" thickBot="1" x14ac:dyDescent="0.25">
      <c r="B2" s="235" t="s">
        <v>96</v>
      </c>
      <c r="C2" s="236"/>
      <c r="D2" s="236"/>
      <c r="E2" s="236"/>
      <c r="F2" s="236"/>
      <c r="G2" s="236"/>
      <c r="H2" s="237"/>
    </row>
    <row r="3" spans="2:17" ht="33" customHeight="1" x14ac:dyDescent="0.2">
      <c r="B3" s="238" t="s">
        <v>97</v>
      </c>
      <c r="C3" s="239"/>
      <c r="D3" s="239"/>
      <c r="E3" s="239"/>
      <c r="F3" s="239"/>
      <c r="G3" s="239"/>
      <c r="H3" s="240"/>
    </row>
    <row r="4" spans="2:17" ht="15" customHeight="1" x14ac:dyDescent="0.2">
      <c r="B4" s="241" t="s">
        <v>98</v>
      </c>
      <c r="C4" s="242"/>
      <c r="D4" s="242"/>
      <c r="E4" s="242"/>
      <c r="F4" s="242"/>
      <c r="G4" s="242"/>
      <c r="H4" s="243"/>
    </row>
    <row r="5" spans="2:17" ht="15" customHeight="1" x14ac:dyDescent="0.2">
      <c r="B5" s="77" t="s">
        <v>186</v>
      </c>
      <c r="C5" s="244" t="str">
        <f ca="1">Rater!G5</f>
        <v>F/020726-mumbai</v>
      </c>
      <c r="D5" s="244"/>
      <c r="E5" s="78" t="s">
        <v>99</v>
      </c>
      <c r="F5" s="225">
        <f>Rater!G6</f>
        <v>46183</v>
      </c>
      <c r="G5" s="225"/>
      <c r="H5" s="226"/>
    </row>
    <row r="6" spans="2:17" ht="30.75" customHeight="1" x14ac:dyDescent="0.2">
      <c r="B6" s="77" t="s">
        <v>187</v>
      </c>
      <c r="C6" s="219" t="str">
        <f>Rater!G7</f>
        <v>STAY VISTA PRIVATE LIMITED</v>
      </c>
      <c r="D6" s="220"/>
      <c r="E6" s="183" t="s">
        <v>22</v>
      </c>
      <c r="F6" s="221" t="str">
        <f>Rater!C28</f>
        <v>Basic</v>
      </c>
      <c r="G6" s="221"/>
      <c r="H6" s="222"/>
    </row>
    <row r="7" spans="2:17" x14ac:dyDescent="0.2">
      <c r="B7" s="77" t="s">
        <v>100</v>
      </c>
      <c r="C7" s="223">
        <f>Rater!G8</f>
        <v>46198</v>
      </c>
      <c r="D7" s="224"/>
      <c r="E7" s="78" t="str">
        <f>[1]RFQ!A8</f>
        <v>Policy status *</v>
      </c>
      <c r="F7" s="225" t="str">
        <f>Rater!G11</f>
        <v>Fresh</v>
      </c>
      <c r="G7" s="225"/>
      <c r="H7" s="226"/>
    </row>
    <row r="8" spans="2:17" x14ac:dyDescent="0.2">
      <c r="B8" s="77" t="s">
        <v>101</v>
      </c>
      <c r="C8" s="227" t="str">
        <f>Rater!G9</f>
        <v>mumbai</v>
      </c>
      <c r="D8" s="228"/>
      <c r="E8" s="79" t="s">
        <v>102</v>
      </c>
      <c r="F8" s="229" t="s">
        <v>103</v>
      </c>
      <c r="G8" s="230"/>
      <c r="H8" s="231"/>
    </row>
    <row r="9" spans="2:17" x14ac:dyDescent="0.2">
      <c r="B9" s="77" t="s">
        <v>104</v>
      </c>
      <c r="C9" s="227" t="str">
        <f>Rater!G10</f>
        <v>Safetynet Innovations PVT LTD / 2350090000</v>
      </c>
      <c r="D9" s="228"/>
      <c r="E9" s="80" t="s">
        <v>105</v>
      </c>
      <c r="F9" s="249" t="str">
        <f>RIGHT(Rater!G10,10)</f>
        <v>2350090000</v>
      </c>
      <c r="G9" s="249"/>
      <c r="H9" s="250"/>
    </row>
    <row r="10" spans="2:17" ht="15" customHeight="1" x14ac:dyDescent="0.2">
      <c r="B10" s="241" t="s">
        <v>106</v>
      </c>
      <c r="C10" s="242"/>
      <c r="D10" s="242"/>
      <c r="E10" s="242"/>
      <c r="F10" s="242"/>
      <c r="G10" s="242"/>
      <c r="H10" s="243"/>
    </row>
    <row r="11" spans="2:17" ht="14.4" x14ac:dyDescent="0.3">
      <c r="B11" s="77" t="str">
        <f>PROPER("No. OF Lives")</f>
        <v>No. Of Lives</v>
      </c>
      <c r="C11" s="247">
        <f>Rater!G13</f>
        <v>488</v>
      </c>
      <c r="D11" s="247"/>
      <c r="E11" s="247"/>
      <c r="F11" s="247"/>
      <c r="G11" s="247"/>
      <c r="H11" s="248"/>
      <c r="I11" s="216"/>
      <c r="J11" s="216"/>
      <c r="K11" s="216"/>
      <c r="L11" s="216"/>
      <c r="M11" s="216"/>
      <c r="N11" s="216"/>
      <c r="O11" s="216"/>
      <c r="P11" s="216"/>
      <c r="Q11" s="216"/>
    </row>
    <row r="12" spans="2:17" ht="15" customHeight="1" x14ac:dyDescent="0.3">
      <c r="B12" s="77" t="s">
        <v>107</v>
      </c>
      <c r="C12" s="217" t="str">
        <f>Rater!G12</f>
        <v>Named</v>
      </c>
      <c r="D12" s="217"/>
      <c r="E12" s="217"/>
      <c r="F12" s="217"/>
      <c r="G12" s="217"/>
      <c r="H12" s="218"/>
      <c r="I12" s="81"/>
      <c r="J12" s="81"/>
      <c r="K12" s="81"/>
      <c r="L12" s="81"/>
      <c r="M12" s="81"/>
      <c r="N12" s="81"/>
      <c r="O12" s="81"/>
      <c r="P12" s="81"/>
      <c r="Q12" s="81"/>
    </row>
    <row r="13" spans="2:17" ht="15" customHeight="1" x14ac:dyDescent="0.3">
      <c r="B13" s="77" t="s">
        <v>108</v>
      </c>
      <c r="C13" s="217" t="str">
        <f>Rater!G14</f>
        <v>Employer-Employee</v>
      </c>
      <c r="D13" s="217"/>
      <c r="E13" s="217"/>
      <c r="F13" s="217"/>
      <c r="G13" s="217"/>
      <c r="H13" s="218"/>
      <c r="I13" s="81"/>
      <c r="J13" s="81"/>
      <c r="K13" s="81"/>
      <c r="L13" s="81"/>
      <c r="M13" s="81"/>
      <c r="N13" s="81"/>
      <c r="O13" s="81"/>
      <c r="P13" s="81"/>
      <c r="Q13" s="81"/>
    </row>
    <row r="14" spans="2:17" ht="13.5" customHeight="1" x14ac:dyDescent="0.2">
      <c r="B14" s="77" t="str">
        <f>PROPER("BUSINESS DESCRIPTION")</f>
        <v>Business Description</v>
      </c>
      <c r="C14" s="217" t="str">
        <f>Rater!C29</f>
        <v>IT / ITES / BPO / KPO</v>
      </c>
      <c r="D14" s="217"/>
      <c r="E14" s="217"/>
      <c r="F14" s="217"/>
      <c r="G14" s="217"/>
      <c r="H14" s="218"/>
    </row>
    <row r="15" spans="2:17" ht="13.5" customHeight="1" x14ac:dyDescent="0.2">
      <c r="B15" s="77" t="s">
        <v>38</v>
      </c>
      <c r="C15" s="217" t="str">
        <f>Rater!G15</f>
        <v>Only Permanent Employees of the company are covered.</v>
      </c>
      <c r="D15" s="217"/>
      <c r="E15" s="217"/>
      <c r="F15" s="217"/>
      <c r="G15" s="217"/>
      <c r="H15" s="218"/>
    </row>
    <row r="16" spans="2:17" x14ac:dyDescent="0.2">
      <c r="B16" s="77" t="str">
        <f>PROPER("AGE BRACKET")</f>
        <v>Age Bracket</v>
      </c>
      <c r="C16" s="217" t="str">
        <f>Rater!G16</f>
        <v>18 Yrs To 70 Yrs; Only Capital Benefit For Age Above 65 Yrs</v>
      </c>
      <c r="D16" s="217"/>
      <c r="E16" s="217"/>
      <c r="F16" s="217"/>
      <c r="G16" s="217"/>
      <c r="H16" s="218"/>
    </row>
    <row r="17" spans="2:8" x14ac:dyDescent="0.2">
      <c r="B17" s="77" t="s">
        <v>109</v>
      </c>
      <c r="C17" s="245">
        <f>Rater!G17</f>
        <v>0</v>
      </c>
      <c r="D17" s="245"/>
      <c r="E17" s="245"/>
      <c r="F17" s="245"/>
      <c r="G17" s="245"/>
      <c r="H17" s="246"/>
    </row>
    <row r="18" spans="2:8" x14ac:dyDescent="0.2">
      <c r="B18" s="77" t="s">
        <v>110</v>
      </c>
      <c r="C18" s="247" t="str">
        <f>Rater!G18</f>
        <v>Mumbai - Peninsula</v>
      </c>
      <c r="D18" s="247"/>
      <c r="E18" s="247"/>
      <c r="F18" s="247"/>
      <c r="G18" s="247"/>
      <c r="H18" s="248"/>
    </row>
    <row r="19" spans="2:8" ht="12" x14ac:dyDescent="0.25">
      <c r="B19" s="82" t="str">
        <f>[1]RFQ!A28</f>
        <v>Sum Insured Category (For Employees Only)</v>
      </c>
      <c r="C19" s="82" t="str">
        <f>[1]RFQ!B28</f>
        <v>No of lives</v>
      </c>
      <c r="D19" s="82" t="str">
        <f>[1]RFQ!C28</f>
        <v>Per Person SI</v>
      </c>
      <c r="E19" s="82" t="str">
        <f>[1]RFQ!D28</f>
        <v>Total Sum Insured</v>
      </c>
      <c r="F19" s="83"/>
      <c r="G19" s="83"/>
      <c r="H19" s="84"/>
    </row>
    <row r="20" spans="2:8" x14ac:dyDescent="0.2">
      <c r="B20" s="85" t="str">
        <f>[1]RFQ!A29</f>
        <v>Category 1</v>
      </c>
      <c r="C20" s="86">
        <f>Rater!G13</f>
        <v>488</v>
      </c>
      <c r="D20" s="87">
        <f>IF(Rater!G19="Flat",Rater!C31,Rater!G31)</f>
        <v>150000000</v>
      </c>
      <c r="E20" s="87">
        <f>IF(Rater!G19="Flat",C20*D20,Rater!G31)</f>
        <v>150000000</v>
      </c>
      <c r="F20" s="83"/>
      <c r="G20" s="83"/>
      <c r="H20" s="84"/>
    </row>
    <row r="21" spans="2:8" x14ac:dyDescent="0.2">
      <c r="B21" s="85" t="str">
        <f>[1]RFQ!A30</f>
        <v>Category 2</v>
      </c>
      <c r="C21" s="86"/>
      <c r="D21" s="87"/>
      <c r="E21" s="87"/>
      <c r="F21" s="83"/>
      <c r="G21" s="83"/>
      <c r="H21" s="84"/>
    </row>
    <row r="22" spans="2:8" x14ac:dyDescent="0.2">
      <c r="B22" s="85" t="str">
        <f>[1]RFQ!A31</f>
        <v>Category 3</v>
      </c>
      <c r="C22" s="86"/>
      <c r="D22" s="87"/>
      <c r="E22" s="87"/>
      <c r="F22" s="83"/>
      <c r="G22" s="83"/>
      <c r="H22" s="84"/>
    </row>
    <row r="23" spans="2:8" x14ac:dyDescent="0.2">
      <c r="B23" s="85" t="str">
        <f>[1]RFQ!A32</f>
        <v>Category 4</v>
      </c>
      <c r="C23" s="86"/>
      <c r="D23" s="87"/>
      <c r="E23" s="87"/>
      <c r="F23" s="83"/>
      <c r="G23" s="83"/>
      <c r="H23" s="84"/>
    </row>
    <row r="24" spans="2:8" x14ac:dyDescent="0.2">
      <c r="B24" s="85" t="str">
        <f>[1]RFQ!A33</f>
        <v>Category 5</v>
      </c>
      <c r="C24" s="86"/>
      <c r="D24" s="87"/>
      <c r="E24" s="87"/>
      <c r="F24" s="83"/>
      <c r="G24" s="83"/>
      <c r="H24" s="84"/>
    </row>
    <row r="25" spans="2:8" x14ac:dyDescent="0.2">
      <c r="B25" s="85" t="str">
        <f>[1]RFQ!A34</f>
        <v>Category 6</v>
      </c>
      <c r="C25" s="86"/>
      <c r="D25" s="87"/>
      <c r="E25" s="87"/>
      <c r="F25" s="83"/>
      <c r="G25" s="83"/>
      <c r="H25" s="84"/>
    </row>
    <row r="26" spans="2:8" x14ac:dyDescent="0.2">
      <c r="B26" s="85" t="str">
        <f>[1]RFQ!A35</f>
        <v>Category 7</v>
      </c>
      <c r="C26" s="86"/>
      <c r="D26" s="87"/>
      <c r="E26" s="87"/>
      <c r="F26" s="83"/>
      <c r="G26" s="83"/>
      <c r="H26" s="84"/>
    </row>
    <row r="27" spans="2:8" x14ac:dyDescent="0.2">
      <c r="B27" s="85" t="str">
        <f>[1]RFQ!A36</f>
        <v>Category 8</v>
      </c>
      <c r="C27" s="86"/>
      <c r="D27" s="87"/>
      <c r="E27" s="87"/>
      <c r="F27" s="83"/>
      <c r="G27" s="83"/>
      <c r="H27" s="84"/>
    </row>
    <row r="28" spans="2:8" x14ac:dyDescent="0.2">
      <c r="B28" s="85" t="str">
        <f>[1]RFQ!A37</f>
        <v>Category 9</v>
      </c>
      <c r="C28" s="86"/>
      <c r="D28" s="87"/>
      <c r="E28" s="87"/>
      <c r="F28" s="83"/>
      <c r="G28" s="83"/>
      <c r="H28" s="84"/>
    </row>
    <row r="29" spans="2:8" x14ac:dyDescent="0.2">
      <c r="B29" s="85" t="str">
        <f>[1]RFQ!A38</f>
        <v>Category 10</v>
      </c>
      <c r="C29" s="86"/>
      <c r="D29" s="87"/>
      <c r="E29" s="87"/>
      <c r="F29" s="83"/>
      <c r="G29" s="83"/>
      <c r="H29" s="84"/>
    </row>
    <row r="30" spans="2:8" ht="12" x14ac:dyDescent="0.25">
      <c r="B30" s="82" t="str">
        <f>[1]RFQ!A39</f>
        <v>Total</v>
      </c>
      <c r="C30" s="88">
        <f>SUM(C20:C29)</f>
        <v>488</v>
      </c>
      <c r="D30" s="88">
        <f>SUM(D20:D29)</f>
        <v>150000000</v>
      </c>
      <c r="E30" s="88">
        <f>SUM(E20:E29)</f>
        <v>150000000</v>
      </c>
      <c r="F30" s="83"/>
      <c r="G30" s="83"/>
      <c r="H30" s="84"/>
    </row>
    <row r="31" spans="2:8" ht="15.75" hidden="1" customHeight="1" thickBot="1" x14ac:dyDescent="0.25">
      <c r="B31" s="89" t="s">
        <v>38</v>
      </c>
      <c r="C31" s="252" t="str">
        <f>[1]RFQ!C57</f>
        <v>Only Permanent Employees of the company are covered.</v>
      </c>
      <c r="D31" s="253"/>
      <c r="E31" s="253"/>
      <c r="F31" s="253"/>
      <c r="G31" s="253"/>
      <c r="H31" s="254"/>
    </row>
    <row r="32" spans="2:8" ht="6.75" customHeight="1" thickBot="1" x14ac:dyDescent="0.25">
      <c r="B32" s="90"/>
      <c r="C32" s="91"/>
      <c r="D32" s="83"/>
      <c r="E32" s="83"/>
      <c r="F32" s="83"/>
      <c r="G32" s="83"/>
      <c r="H32" s="84"/>
    </row>
    <row r="33" spans="2:15" ht="15" customHeight="1" x14ac:dyDescent="0.2">
      <c r="B33" s="92" t="str">
        <f>PROPER("BENEFITS OFFERED")</f>
        <v>Benefits Offered</v>
      </c>
      <c r="C33" s="255" t="s">
        <v>111</v>
      </c>
      <c r="D33" s="93" t="str">
        <f>PROPER(IF([1]RFQ!C46="EDUCATIONAL INSTITUTE","STAFF","EMPLOYEES"))</f>
        <v>Employees</v>
      </c>
      <c r="E33" s="258" t="str">
        <f>PROPER(IF(C14="EDUCATIONAL INSTITUTE","STUDENT",""))</f>
        <v/>
      </c>
      <c r="F33" s="258"/>
      <c r="G33" s="258" t="str">
        <f>PROPER(IF(C14="EDUCATIONAL INSTITUTE","PARENT",""))</f>
        <v/>
      </c>
      <c r="H33" s="259"/>
    </row>
    <row r="34" spans="2:15" ht="13.2" x14ac:dyDescent="0.2">
      <c r="B34" s="94" t="s">
        <v>112</v>
      </c>
      <c r="C34" s="256"/>
      <c r="D34" s="95">
        <f>Rater!C32</f>
        <v>488</v>
      </c>
      <c r="E34" s="260" t="str">
        <f>IF([1]RFQ!C46="Educational Institute",IF(D34=0," ",[1]RFQ!D56),"")</f>
        <v/>
      </c>
      <c r="F34" s="260"/>
      <c r="G34" s="260" t="str">
        <f>IF([1]RFQ!C46="Educational Institute",IF(D34=0," ",[1]RFQ!E56),"")</f>
        <v/>
      </c>
      <c r="H34" s="261"/>
    </row>
    <row r="35" spans="2:15" ht="13.2" x14ac:dyDescent="0.2">
      <c r="B35" s="94" t="str">
        <f>IF(SUM([1]RFQ!C60:E60)&gt;0,"Accidental Death","")</f>
        <v>Accidental Death</v>
      </c>
      <c r="C35" s="256"/>
      <c r="D35" s="95">
        <f>D20</f>
        <v>150000000</v>
      </c>
      <c r="E35" s="260" t="str">
        <f>IF([1]RFQ!$C$46="Educational Institute",[1]RFQ!D60,"")</f>
        <v/>
      </c>
      <c r="F35" s="260"/>
      <c r="G35" s="260" t="str">
        <f>IF([1]RFQ!$C$46="Educational Institute",[1]RFQ!E60,"")</f>
        <v/>
      </c>
      <c r="H35" s="261"/>
    </row>
    <row r="36" spans="2:15" ht="13.2" x14ac:dyDescent="0.2">
      <c r="B36" s="94" t="str">
        <f>IF(SUM([1]RFQ!C61:E61)&gt;0,"Accidental Dismemberment &amp; Paralysis","")</f>
        <v>Accidental Dismemberment &amp; Paralysis</v>
      </c>
      <c r="C36" s="256"/>
      <c r="D36" s="95">
        <f>D20</f>
        <v>150000000</v>
      </c>
      <c r="E36" s="260" t="str">
        <f>IF([1]RFQ!$C$46="Educational Institute",[1]RFQ!D61,"")</f>
        <v/>
      </c>
      <c r="F36" s="260"/>
      <c r="G36" s="260" t="str">
        <f>IF([1]RFQ!$C$46="Educational Institute",[1]RFQ!E61,"")</f>
        <v/>
      </c>
      <c r="H36" s="261"/>
    </row>
    <row r="37" spans="2:15" ht="13.2" x14ac:dyDescent="0.2">
      <c r="B37" s="94" t="str">
        <f>IF(SUM([1]RFQ!C62:E62)&gt;0,"Permanent Total Disability","")</f>
        <v>Permanent Total Disability</v>
      </c>
      <c r="C37" s="256"/>
      <c r="D37" s="95">
        <f>D20</f>
        <v>150000000</v>
      </c>
      <c r="E37" s="260" t="str">
        <f>IF([1]RFQ!$C$46="Educational Institute",[1]RFQ!D62,"")</f>
        <v/>
      </c>
      <c r="F37" s="260"/>
      <c r="G37" s="260" t="str">
        <f>IF([1]RFQ!$C$46="Educational Institute",[1]RFQ!E62,"")</f>
        <v/>
      </c>
      <c r="H37" s="261"/>
    </row>
    <row r="38" spans="2:15" ht="13.2" x14ac:dyDescent="0.2">
      <c r="B38" s="94" t="str">
        <f>IF(SUM([1]RFQ!C63:E63)&gt;0,"Permanent Partial Disability","")</f>
        <v>Permanent Partial Disability</v>
      </c>
      <c r="C38" s="256"/>
      <c r="D38" s="95">
        <f>D20</f>
        <v>150000000</v>
      </c>
      <c r="E38" s="260" t="str">
        <f>IF([1]RFQ!$C$46="Educational Institute",[1]RFQ!D63,"")</f>
        <v/>
      </c>
      <c r="F38" s="260"/>
      <c r="G38" s="260" t="str">
        <f>IF([1]RFQ!$C$46="Educational Institute",[1]RFQ!E63,"")</f>
        <v/>
      </c>
      <c r="H38" s="261"/>
    </row>
    <row r="39" spans="2:15" ht="24.75" customHeight="1" x14ac:dyDescent="0.2">
      <c r="B39" s="96" t="s">
        <v>113</v>
      </c>
      <c r="C39" s="256"/>
      <c r="D39" s="266" t="str">
        <f>IF(F6="Basic",'Policy Terms'!C21,IF(F6="Standard",'Policy Terms'!D21,'Policy Terms'!E21))</f>
        <v>1% of SI or Rs. 5,000 per week or actual salary, whichever is lower for 104 weeks</v>
      </c>
      <c r="E39" s="267"/>
      <c r="F39" s="267"/>
      <c r="G39" s="267"/>
      <c r="H39" s="268"/>
      <c r="L39" s="251"/>
      <c r="M39" s="251"/>
      <c r="N39" s="251"/>
      <c r="O39" s="251"/>
    </row>
    <row r="40" spans="2:15" ht="49.5" hidden="1" customHeight="1" x14ac:dyDescent="0.2">
      <c r="B40" s="96"/>
      <c r="C40" s="256"/>
      <c r="D40" s="97" t="str">
        <f>IF([1]RFQ!C65="52 weeks","Temporary Total Disability (Weekly Benefit) - 1% of SI or TTD SI or actual weekly salary for 52 weeks whichever is less","Temporary Total Disability (Weekly Benefit) - 1% of SI or TTD SI or actual weekly salary for 104 weeks whichever is less")</f>
        <v>Temporary Total Disability (Weekly Benefit) - 1% of SI or TTD SI or actual weekly salary for 104 weeks whichever is less</v>
      </c>
      <c r="E40" s="262" t="s">
        <v>114</v>
      </c>
      <c r="F40" s="262"/>
      <c r="G40" s="262"/>
      <c r="H40" s="263"/>
      <c r="L40" s="98"/>
      <c r="M40" s="98"/>
      <c r="N40" s="98"/>
      <c r="O40" s="98"/>
    </row>
    <row r="41" spans="2:15" ht="52.5" customHeight="1" x14ac:dyDescent="0.2">
      <c r="B41" s="96" t="s">
        <v>115</v>
      </c>
      <c r="C41" s="256"/>
      <c r="D41" s="99" t="str">
        <f>IF(F6="Basic",'Policy Terms'!C22,IF(F6="Standard",'Policy Terms'!D22,'Policy Terms'!E22))</f>
        <v>10% of the CSI or 40% of the Admissible Claim or Actuals whichever is less 
(only if accidental death or disability - PTD/ PPD)</v>
      </c>
      <c r="E41" s="264" t="str">
        <f>IF([1]RFQ!C46&lt;&gt;"Educational Institute","",IF(OR([1]RFQ!J29="No",[1]RFQ!D66=""),"Not Covered",IF([1]RFQ!J67&lt;&gt;0,[1]RFQ!J67,IF(OR([1]RFQ!J29="Yes",[1]RFQ!D66&lt;&gt;""),IF(AND([1]RFQ!B67="Yes",[1]RFQ!D67&lt;&gt;""),"Fixed INR "&amp;[1]RFQ!D66&amp;" for IPD with Sublimt of INR "&amp;[1]RFQ!D67&amp;" for OPD or actual claims , whichever is lower.","Fixed INR "&amp;[1]RFQ!D66&amp;" for IPD or actual claims , whichever is lower.")))))</f>
        <v/>
      </c>
      <c r="F41" s="264"/>
      <c r="G41" s="264" t="str">
        <f>IF([1]RFQ!C46="Educational Institute", "Medical Expenses of Parents are not Covered.","")</f>
        <v/>
      </c>
      <c r="H41" s="265"/>
      <c r="I41" s="100"/>
    </row>
    <row r="42" spans="2:15" ht="34.5" hidden="1" customHeight="1" x14ac:dyDescent="0.2">
      <c r="B42" s="96" t="s">
        <v>116</v>
      </c>
      <c r="C42" s="256"/>
      <c r="D42" s="99" t="str">
        <f>IF([1]RFQ!C46="Educational Institute","",IF([1]RFQ!B67="No","Not Covered",IF([1]RFQ!I67&lt;&gt;0,[1]RFQ!I67,IF(OR([1]RFQ!J29="No",[1]RFQ!C67=""),"Not Covered","OPD is the Sublimit of IPD cover. Fixed INR "&amp;[1]RFQ!C67&amp;" or actual claims, whichever is lower."))))</f>
        <v>OPD is the Sublimit of IPD cover. Fixed INR 50000 or actual claims, whichever is lower.</v>
      </c>
      <c r="E42" s="264" t="str">
        <f>IF([1]RFQ!C46&lt;&gt;"Educational Institute","",IF([1]RFQ!B67="No","Not Covered",IF([1]RFQ!J67&lt;&gt;0,[1]RFQ!J67,IF([1]RFQ!C46&lt;&gt;"Educational Institute","",IF(OR([1]RFQ!J29="No",[1]RFQ!D67=""),"Not Covered","Fixed INR "&amp;[1]RFQ!D67&amp;" or actual claims, whichever is lower.")))))</f>
        <v/>
      </c>
      <c r="F42" s="264"/>
      <c r="G42" s="264" t="str">
        <f>IF([1]RFQ!C46="Educational Institute", "Medical Expenses of Parents are not Covered.","")</f>
        <v/>
      </c>
      <c r="H42" s="265"/>
      <c r="I42" s="76" t="s">
        <v>117</v>
      </c>
    </row>
    <row r="43" spans="2:15" ht="38.25" customHeight="1" x14ac:dyDescent="0.2">
      <c r="B43" s="96" t="s">
        <v>118</v>
      </c>
      <c r="C43" s="256"/>
      <c r="D43" s="99" t="str">
        <f>IF(F6="Basic",'Policy Terms'!C27,IF(F6="Standard",'Policy Terms'!D27,'Policy Terms'!E27))</f>
        <v>10% of SI upto Rs. 5000 per child (max 2 children upto 25 years of age)</v>
      </c>
      <c r="E43" s="264" t="str">
        <f>IF([1]RFQ!C46="Educational Institute", "Education Benefit for Students is not Covered.","")</f>
        <v/>
      </c>
      <c r="F43" s="264"/>
      <c r="G43" s="264" t="str">
        <f>IF([1]RFQ!C46&lt;&gt;"Educational Institute","",IF(AND([1]RFQ!E69&lt;&gt;"",[1]RFQ!E69&lt;&gt;0),"10% of Principal SI or upto Rs "&amp;"Rs "&amp;[1]RFQ!E69&amp;" or Actuals, whichever is lower for maximum 2 eligible children.","Not Covered"))</f>
        <v/>
      </c>
      <c r="H43" s="265"/>
    </row>
    <row r="44" spans="2:15" ht="22.8" x14ac:dyDescent="0.2">
      <c r="B44" s="101" t="s">
        <v>119</v>
      </c>
      <c r="C44" s="256"/>
      <c r="D44" s="102" t="s">
        <v>55</v>
      </c>
      <c r="E44" s="269" t="str">
        <f>IF([1]RFQ!C46&lt;&gt;"Educational Institute","", IF([1]RFQ!D71&lt;&gt;"","Rs. "&amp;[1]RFQ!D71&amp;" ","Not Covered"))</f>
        <v/>
      </c>
      <c r="F44" s="269"/>
      <c r="G44" s="269" t="str">
        <f>IF([1]RFQ!C46&lt;&gt;"Educational Institute","",IF(AND([1]RFQ!E71&lt;&gt;"",[1]RFQ!E71&lt;&gt;0),"Rs. "&amp;[1]RFQ!E71&amp;" ","Not Covered"))</f>
        <v/>
      </c>
      <c r="H44" s="270"/>
    </row>
    <row r="45" spans="2:15" x14ac:dyDescent="0.2">
      <c r="B45" s="96" t="s">
        <v>120</v>
      </c>
      <c r="C45" s="256"/>
      <c r="D45" s="102" t="str">
        <f>IF(F6="Basic",'Policy Terms'!C28,IF(F6="Standard",'Policy Terms'!D28,'Policy Terms'!E28))</f>
        <v>10% SI upto Rs. 25,000</v>
      </c>
      <c r="E45" s="269" t="str">
        <f>IF([1]RFQ!C46&lt;&gt;"Educational Institute","",IF(AND([1]RFQ!D72&lt;&gt;"",[1]RFQ!D72&lt;&gt;0),"Upto Rs. "&amp;[1]RFQ!D72&amp;" or Actuals, whichever is lower.","Not Covered"))</f>
        <v/>
      </c>
      <c r="F45" s="269"/>
      <c r="G45" s="269" t="str">
        <f>IF([1]RFQ!C46&lt;&gt;"Educational Institute","",IF(AND([1]RFQ!E72&lt;&gt;"",[1]RFQ!E72&lt;&gt;0),"Upto Rs. "&amp;[1]RFQ!E72&amp;" or Actuals, whichever is lower.","Not Covered"))</f>
        <v/>
      </c>
      <c r="H45" s="270"/>
    </row>
    <row r="46" spans="2:15" x14ac:dyDescent="0.2">
      <c r="B46" s="96" t="str">
        <f>[1]RFQ!A73</f>
        <v>Fractures / Dislocation / Burns</v>
      </c>
      <c r="C46" s="256"/>
      <c r="D46" s="102" t="s">
        <v>55</v>
      </c>
      <c r="E46" s="269" t="str">
        <f>IF([1]RFQ!C46&lt;&gt;"Educational Institute","",IF(AND([1]RFQ!D73&lt;&gt;"",[1]RFQ!D73&lt;&gt;0),"Rs. "&amp;[1]RFQ!D73&amp;" ","Not Covered"))</f>
        <v/>
      </c>
      <c r="F46" s="269"/>
      <c r="G46" s="269" t="str">
        <f>IF([1]RFQ!C46&lt;&gt;"Educational Institute","",IF(AND([1]RFQ!E73&lt;&gt;"",[1]RFQ!E73&lt;&gt;0),"Rs. "&amp;[1]RFQ!E73&amp;" ","Not Covered"))</f>
        <v/>
      </c>
      <c r="H46" s="270"/>
    </row>
    <row r="47" spans="2:15" x14ac:dyDescent="0.2">
      <c r="B47" s="96" t="s">
        <v>121</v>
      </c>
      <c r="C47" s="256"/>
      <c r="D47" s="102" t="s">
        <v>55</v>
      </c>
      <c r="E47" s="269" t="str">
        <f>IF([1]RFQ!C46&lt;&gt;"Educational Institute","",IF(AND([1]RFQ!D74&lt;&gt;"",[1]RFQ!D74&lt;&gt;0),"Rs. "&amp;[1]RFQ!D74&amp;" ","Not Covered"))</f>
        <v/>
      </c>
      <c r="F47" s="269"/>
      <c r="G47" s="269" t="str">
        <f>IF([1]RFQ!C46&lt;&gt;"Educational Institute","",IF(AND([1]RFQ!E74&lt;&gt;"",[1]RFQ!E74&lt;&gt;0),"Rs. "&amp;[1]RFQ!E74&amp;" ","Not Covered"))</f>
        <v/>
      </c>
      <c r="H47" s="270"/>
    </row>
    <row r="48" spans="2:15" ht="12" hidden="1" customHeight="1" x14ac:dyDescent="0.2">
      <c r="B48" s="96" t="str">
        <f>IF(SUM([1]RFQ!C75:E75)&gt;0,"ACCIDENTAL MISCARRIAGE","")</f>
        <v/>
      </c>
      <c r="C48" s="256"/>
      <c r="D48" s="102">
        <f>[1]RFQ!C75</f>
        <v>0</v>
      </c>
      <c r="E48" s="269">
        <f>[1]RFQ!D75</f>
        <v>0</v>
      </c>
      <c r="F48" s="269"/>
      <c r="G48" s="269"/>
      <c r="H48" s="270"/>
    </row>
    <row r="49" spans="2:8" ht="12" hidden="1" customHeight="1" x14ac:dyDescent="0.2">
      <c r="B49" s="96" t="str">
        <f>IF(SUM([1]RFQ!C76:E76)&gt;0,"ADVENTURE SPORTS","")</f>
        <v/>
      </c>
      <c r="C49" s="256"/>
      <c r="D49" s="102">
        <f>[1]RFQ!C76</f>
        <v>0</v>
      </c>
      <c r="E49" s="269">
        <f>[1]RFQ!D76</f>
        <v>0</v>
      </c>
      <c r="F49" s="269"/>
      <c r="G49" s="269"/>
      <c r="H49" s="270"/>
    </row>
    <row r="50" spans="2:8" ht="12" hidden="1" customHeight="1" x14ac:dyDescent="0.2">
      <c r="B50" s="96" t="str">
        <f>IF(SUM([1]RFQ!C77:E77)&gt;0,"AIR AMBULANCE","")</f>
        <v/>
      </c>
      <c r="C50" s="256"/>
      <c r="D50" s="102">
        <f>[1]RFQ!C77</f>
        <v>0</v>
      </c>
      <c r="E50" s="269">
        <f>[1]RFQ!D77</f>
        <v>0</v>
      </c>
      <c r="F50" s="269"/>
      <c r="G50" s="269"/>
      <c r="H50" s="270"/>
    </row>
    <row r="51" spans="2:8" x14ac:dyDescent="0.2">
      <c r="B51" s="96" t="s">
        <v>122</v>
      </c>
      <c r="C51" s="256"/>
      <c r="D51" s="170" t="str">
        <f>IF(F6="Basic",'Policy Terms'!C24,IF(F6="Standard",'Policy Terms'!D24,'Policy Terms'!E24))</f>
        <v>NA</v>
      </c>
      <c r="E51" s="269" t="str">
        <f>IF([1]RFQ!C46&lt;&gt;"Educational Institute","",IF(AND([1]RFQ!D78&lt;&gt;0,[1]RFQ!D78&lt;&gt;""),"Upto Rs. "&amp;[1]RFQ!D78&amp;" or Actuals, whichever is lower.","Not Covered"))</f>
        <v/>
      </c>
      <c r="F51" s="269" t="str">
        <f>IF(AND([1]RFQ!E78&lt;&gt;0,[1]RFQ!E78&lt;&gt;""),"Rs. "&amp;[1]RFQ!E78&amp;" or Actuals, whichever is lower.","Not Covered")</f>
        <v>Not Covered</v>
      </c>
      <c r="G51" s="271" t="str">
        <f>IF([1]RFQ!C46&lt;&gt;"Educational Institute","",IF(AND([1]RFQ!E78&lt;&gt;0,[1]RFQ!E78&lt;&gt;""),"Upto Rs. "&amp;[1]RFQ!E78&amp;" or Actuals, whichever is lower.","Not Covered"))</f>
        <v/>
      </c>
      <c r="H51" s="272" t="str">
        <f>IF(AND([1]RFQ!G78&lt;&gt;0,[1]RFQ!G78&lt;&gt;""),"Rs. "&amp;[1]RFQ!G78&amp;" or Actuals, whichever is lower.","Not Covered")</f>
        <v>Not Covered</v>
      </c>
    </row>
    <row r="52" spans="2:8" ht="12" hidden="1" customHeight="1" x14ac:dyDescent="0.2">
      <c r="B52" s="96" t="str">
        <f>IF(SUM([1]RFQ!C79:E79)&gt;0,"ASSAULT","")</f>
        <v/>
      </c>
      <c r="C52" s="256"/>
      <c r="D52" s="102">
        <f>[1]RFQ!C79</f>
        <v>0</v>
      </c>
      <c r="E52" s="269">
        <f>[1]RFQ!D79</f>
        <v>0</v>
      </c>
      <c r="F52" s="269"/>
      <c r="G52" s="269"/>
      <c r="H52" s="270"/>
    </row>
    <row r="53" spans="2:8" ht="12" hidden="1" customHeight="1" x14ac:dyDescent="0.2">
      <c r="B53" s="96" t="str">
        <f>IF(SUM([1]RFQ!C80:E80)&gt;0,[1]RFQ!A80,"")</f>
        <v/>
      </c>
      <c r="C53" s="256"/>
      <c r="D53" s="102">
        <f>[1]RFQ!C80</f>
        <v>0</v>
      </c>
      <c r="E53" s="269">
        <f>[1]RFQ!D80</f>
        <v>0</v>
      </c>
      <c r="F53" s="269"/>
      <c r="G53" s="269"/>
      <c r="H53" s="270"/>
    </row>
    <row r="54" spans="2:8" ht="12" hidden="1" customHeight="1" x14ac:dyDescent="0.2">
      <c r="B54" s="96" t="str">
        <f>IF(SUM([1]RFQ!C81:E81)&gt;0,[1]RFQ!A81,"")</f>
        <v/>
      </c>
      <c r="C54" s="256"/>
      <c r="D54" s="102">
        <f>[1]RFQ!C81</f>
        <v>0</v>
      </c>
      <c r="E54" s="269">
        <f>[1]RFQ!D81</f>
        <v>0</v>
      </c>
      <c r="F54" s="269"/>
      <c r="G54" s="269"/>
      <c r="H54" s="270"/>
    </row>
    <row r="55" spans="2:8" ht="12" hidden="1" customHeight="1" x14ac:dyDescent="0.2">
      <c r="B55" s="96" t="str">
        <f>IF(SUM([1]RFQ!C82:E82)&gt;0,[1]RFQ!A82,"")</f>
        <v/>
      </c>
      <c r="C55" s="256"/>
      <c r="D55" s="103">
        <f>[1]RFQ!C82</f>
        <v>0</v>
      </c>
      <c r="E55" s="269">
        <f>[1]RFQ!D82</f>
        <v>0</v>
      </c>
      <c r="F55" s="269"/>
      <c r="G55" s="269"/>
      <c r="H55" s="270"/>
    </row>
    <row r="56" spans="2:8" ht="12" hidden="1" customHeight="1" x14ac:dyDescent="0.2">
      <c r="B56" s="96" t="str">
        <f>IF(SUM([1]RFQ!C83:E83)&gt;0,[1]RFQ!A83,"")</f>
        <v/>
      </c>
      <c r="C56" s="256"/>
      <c r="D56" s="103">
        <f>[1]RFQ!C83</f>
        <v>0</v>
      </c>
      <c r="E56" s="269">
        <f>[1]RFQ!D83</f>
        <v>0</v>
      </c>
      <c r="F56" s="269"/>
      <c r="G56" s="269"/>
      <c r="H56" s="270"/>
    </row>
    <row r="57" spans="2:8" ht="12" hidden="1" customHeight="1" x14ac:dyDescent="0.2">
      <c r="B57" s="96" t="str">
        <f>IF(SUM([1]RFQ!C84:E84)&gt;0,[1]RFQ!A84,"")</f>
        <v/>
      </c>
      <c r="C57" s="256"/>
      <c r="D57" s="103">
        <f>[1]RFQ!C84</f>
        <v>0</v>
      </c>
      <c r="E57" s="269">
        <f>[1]RFQ!D84</f>
        <v>0</v>
      </c>
      <c r="F57" s="269"/>
      <c r="G57" s="269"/>
      <c r="H57" s="270"/>
    </row>
    <row r="58" spans="2:8" x14ac:dyDescent="0.2">
      <c r="B58" s="96" t="str">
        <f>[1]RFQ!A85</f>
        <v>Repatriation of Remains</v>
      </c>
      <c r="C58" s="256"/>
      <c r="D58" s="102" t="str">
        <f>IF(F6="Basic",'Policy Terms'!C30,IF(F6="Standard",'Policy Terms'!D30,'Policy Terms'!E30))</f>
        <v>2.5% of SI upto Rs.2500</v>
      </c>
      <c r="E58" s="269" t="str">
        <f>IF([1]RFQ!C46&lt;&gt;"Educational Institute","",IF(AND([1]RFQ!D85&lt;&gt;"",[1]RFQ!D85&lt;&gt;0),"Upto Rs "&amp;[1]RFQ!D85&amp;" or Actuals, whichever is lower.","Not Covered"))</f>
        <v/>
      </c>
      <c r="F58" s="269"/>
      <c r="G58" s="269" t="str">
        <f>IF([1]RFQ!C46&lt;&gt;"Educational Institute","",IF(AND([1]RFQ!E85&lt;&gt;"",[1]RFQ!E85&lt;&gt;0),"Upto Rs "&amp;[1]RFQ!E85&amp;" or Actuals, whichever is lower.","Not Covered"))</f>
        <v/>
      </c>
      <c r="H58" s="270"/>
    </row>
    <row r="59" spans="2:8" x14ac:dyDescent="0.2">
      <c r="B59" s="96" t="str">
        <f>[1]RFQ!A86</f>
        <v>Funeral Benefits</v>
      </c>
      <c r="C59" s="256"/>
      <c r="D59" s="102" t="str">
        <f>IF(F6="Basic",'Policy Terms'!C29,IF(F6="Standard",'Policy Terms'!D29,'Policy Terms'!E29))</f>
        <v>2.5% of SI upto Rs. 2500</v>
      </c>
      <c r="E59" s="269" t="str">
        <f>IF([1]RFQ!C46&lt;&gt;"Educational Institute","",IF(AND([1]RFQ!D86&lt;&gt;"",[1]RFQ!D86&lt;&gt;0),"Rs "&amp;[1]RFQ!D86&amp;" ","Not Covered"))</f>
        <v/>
      </c>
      <c r="F59" s="269"/>
      <c r="G59" s="269" t="str">
        <f>IF([1]RFQ!C46&lt;&gt;"Educational Institute","",IF(AND([1]RFQ!E86&lt;&gt;"",[1]RFQ!E86&lt;&gt;0),"Rs "&amp;[1]RFQ!E86&amp;" ","Not Covered"))</f>
        <v/>
      </c>
      <c r="H59" s="270"/>
    </row>
    <row r="60" spans="2:8" ht="12" hidden="1" customHeight="1" x14ac:dyDescent="0.2">
      <c r="B60" s="96" t="str">
        <f>IF(SUM([1]RFQ!C87:E87)&gt;0,[1]RFQ!A87,"")</f>
        <v/>
      </c>
      <c r="C60" s="256"/>
      <c r="D60" s="103">
        <f>[1]RFQ!C87</f>
        <v>0</v>
      </c>
      <c r="E60" s="273">
        <f>[1]RFQ!D87</f>
        <v>0</v>
      </c>
      <c r="F60" s="273"/>
      <c r="G60" s="273"/>
      <c r="H60" s="274"/>
    </row>
    <row r="61" spans="2:8" ht="12" hidden="1" customHeight="1" x14ac:dyDescent="0.2">
      <c r="B61" s="96" t="str">
        <f>IF(SUM([1]RFQ!C89:E89)&gt;0,[1]RFQ!A89,"")</f>
        <v/>
      </c>
      <c r="C61" s="256"/>
      <c r="D61" s="103">
        <f>[1]RFQ!C89</f>
        <v>0</v>
      </c>
      <c r="E61" s="273">
        <f>[1]RFQ!D89</f>
        <v>0</v>
      </c>
      <c r="F61" s="273"/>
      <c r="G61" s="273"/>
      <c r="H61" s="274"/>
    </row>
    <row r="62" spans="2:8" ht="12" hidden="1" customHeight="1" x14ac:dyDescent="0.2">
      <c r="B62" s="96" t="str">
        <f>IF(SUM([1]RFQ!C90:E90)&gt;0,[1]RFQ!A90,"")</f>
        <v/>
      </c>
      <c r="C62" s="256"/>
      <c r="D62" s="103">
        <f>[1]RFQ!C90</f>
        <v>0</v>
      </c>
      <c r="E62" s="273">
        <f>[1]RFQ!D90</f>
        <v>0</v>
      </c>
      <c r="F62" s="273"/>
      <c r="G62" s="273"/>
      <c r="H62" s="274"/>
    </row>
    <row r="63" spans="2:8" ht="12" hidden="1" customHeight="1" x14ac:dyDescent="0.2">
      <c r="B63" s="96" t="str">
        <f>IF(SUM([1]RFQ!C91:E91)&gt;0,[1]RFQ!A91,"")</f>
        <v/>
      </c>
      <c r="C63" s="256"/>
      <c r="D63" s="103">
        <f>[1]RFQ!C91</f>
        <v>0</v>
      </c>
      <c r="E63" s="273">
        <f>[1]RFQ!D91</f>
        <v>0</v>
      </c>
      <c r="F63" s="273"/>
      <c r="G63" s="273"/>
      <c r="H63" s="274"/>
    </row>
    <row r="64" spans="2:8" ht="12" hidden="1" customHeight="1" x14ac:dyDescent="0.2">
      <c r="B64" s="96" t="str">
        <f>IF(SUM([1]RFQ!C92:E92)&gt;0,[1]RFQ!A92,"")</f>
        <v/>
      </c>
      <c r="C64" s="256"/>
      <c r="D64" s="103">
        <f>[1]RFQ!C92</f>
        <v>0</v>
      </c>
      <c r="E64" s="273">
        <f>[1]RFQ!D92</f>
        <v>0</v>
      </c>
      <c r="F64" s="273"/>
      <c r="G64" s="273"/>
      <c r="H64" s="274"/>
    </row>
    <row r="65" spans="2:8" ht="12" hidden="1" customHeight="1" x14ac:dyDescent="0.2">
      <c r="B65" s="96" t="str">
        <f>IF(SUM([1]RFQ!C93:E93)&gt;0,[1]RFQ!A93,"")</f>
        <v/>
      </c>
      <c r="C65" s="256"/>
      <c r="D65" s="103">
        <f>[1]RFQ!C93</f>
        <v>0</v>
      </c>
      <c r="E65" s="273">
        <f>[1]RFQ!D93</f>
        <v>0</v>
      </c>
      <c r="F65" s="273"/>
      <c r="G65" s="273"/>
      <c r="H65" s="274"/>
    </row>
    <row r="66" spans="2:8" ht="12" hidden="1" customHeight="1" x14ac:dyDescent="0.2">
      <c r="B66" s="96" t="str">
        <f>IF(SUM([1]RFQ!C94:E94)&gt;0,[1]RFQ!A94,"")</f>
        <v/>
      </c>
      <c r="C66" s="256"/>
      <c r="D66" s="103">
        <f>[1]RFQ!C94</f>
        <v>0</v>
      </c>
      <c r="E66" s="273">
        <f>[1]RFQ!D94</f>
        <v>0</v>
      </c>
      <c r="F66" s="273"/>
      <c r="G66" s="273"/>
      <c r="H66" s="274"/>
    </row>
    <row r="67" spans="2:8" ht="12" hidden="1" customHeight="1" x14ac:dyDescent="0.2">
      <c r="B67" s="96" t="str">
        <f>IF(SUM([1]RFQ!C95:E95)&gt;0,[1]RFQ!A95,"")</f>
        <v/>
      </c>
      <c r="C67" s="256"/>
      <c r="D67" s="103">
        <f>[1]RFQ!C95</f>
        <v>0</v>
      </c>
      <c r="E67" s="273">
        <f>[1]RFQ!D95</f>
        <v>0</v>
      </c>
      <c r="F67" s="273"/>
      <c r="G67" s="273"/>
      <c r="H67" s="274"/>
    </row>
    <row r="68" spans="2:8" ht="12" hidden="1" customHeight="1" x14ac:dyDescent="0.2">
      <c r="B68" s="96" t="str">
        <f>IF(SUM([1]RFQ!C96:E96)&gt;0,[1]RFQ!A96,"")</f>
        <v/>
      </c>
      <c r="C68" s="256"/>
      <c r="D68" s="103">
        <f>[1]RFQ!C96</f>
        <v>0</v>
      </c>
      <c r="E68" s="273">
        <f>[1]RFQ!D96</f>
        <v>0</v>
      </c>
      <c r="F68" s="273"/>
      <c r="G68" s="273"/>
      <c r="H68" s="274"/>
    </row>
    <row r="69" spans="2:8" ht="13.5" hidden="1" customHeight="1" x14ac:dyDescent="0.2">
      <c r="B69" s="96" t="str">
        <f>IF(SUM([1]RFQ!C97:E97)&gt;0,[1]RFQ!A97,"")</f>
        <v/>
      </c>
      <c r="C69" s="256"/>
      <c r="D69" s="103">
        <f>[1]RFQ!C97</f>
        <v>0</v>
      </c>
      <c r="E69" s="273">
        <f>[1]RFQ!D97</f>
        <v>0</v>
      </c>
      <c r="F69" s="273"/>
      <c r="G69" s="273"/>
      <c r="H69" s="274"/>
    </row>
    <row r="70" spans="2:8" ht="26.25" customHeight="1" x14ac:dyDescent="0.2">
      <c r="B70" s="96" t="s">
        <v>123</v>
      </c>
      <c r="C70" s="256"/>
      <c r="D70" s="287" t="s">
        <v>32</v>
      </c>
      <c r="E70" s="288"/>
      <c r="F70" s="288"/>
      <c r="G70" s="288"/>
      <c r="H70" s="289"/>
    </row>
    <row r="71" spans="2:8" ht="26.25" customHeight="1" x14ac:dyDescent="0.2">
      <c r="B71" s="104" t="str">
        <f>IF([1]RFQ!G102="Salary Linked S.I",[1]RFQ!E104,"")</f>
        <v/>
      </c>
      <c r="C71" s="256"/>
      <c r="D71" s="105" t="str">
        <f>IF([1]RFQ!G102="Salary Linked S.I",[1]RFQ!G104,"")</f>
        <v/>
      </c>
      <c r="E71" s="106"/>
      <c r="F71" s="106"/>
      <c r="G71" s="106"/>
      <c r="H71" s="107"/>
    </row>
    <row r="72" spans="2:8" ht="15.75" customHeight="1" thickBot="1" x14ac:dyDescent="0.25">
      <c r="B72" s="108" t="s">
        <v>124</v>
      </c>
      <c r="C72" s="257"/>
      <c r="D72" s="290" t="str">
        <f>[1]RFQ!G103</f>
        <v>Covered</v>
      </c>
      <c r="E72" s="291"/>
      <c r="F72" s="291"/>
      <c r="G72" s="291"/>
      <c r="H72" s="292"/>
    </row>
    <row r="73" spans="2:8" ht="15.75" hidden="1" customHeight="1" x14ac:dyDescent="0.2">
      <c r="B73" s="109" t="str">
        <f>PROPER("TYPE OF POLICY")</f>
        <v>Type Of Policy</v>
      </c>
      <c r="C73" s="275" t="str">
        <f>[1]RFQ!C43</f>
        <v>Named</v>
      </c>
      <c r="D73" s="275"/>
      <c r="E73" s="275"/>
      <c r="F73" s="275"/>
      <c r="G73" s="275"/>
      <c r="H73" s="276"/>
    </row>
    <row r="74" spans="2:8" ht="14.25" customHeight="1" x14ac:dyDescent="0.2">
      <c r="B74" s="110" t="str">
        <f>PROPER("SCOPE OF COVERAGE")</f>
        <v>Scope Of Coverage</v>
      </c>
      <c r="C74" s="277" t="str">
        <f>IF(OR([1]RFQ!C13="On Duty Cover Only",[1]RFQ!C13="Contractual Employee"),"Coverage will be available only during official hours while the insured is on duty, (The cover is not for 24 hours of the days &amp; nights)",PROPER("24 HOURS WORLDWIDE"))</f>
        <v>24 Hours Worldwide</v>
      </c>
      <c r="D74" s="277"/>
      <c r="E74" s="277"/>
      <c r="F74" s="277"/>
      <c r="G74" s="277"/>
      <c r="H74" s="278"/>
    </row>
    <row r="75" spans="2:8" x14ac:dyDescent="0.2">
      <c r="B75" s="111" t="str">
        <f>PROPER("TOTAL LIVES COVERED")</f>
        <v>Total Lives Covered</v>
      </c>
      <c r="C75" s="279">
        <f>D34</f>
        <v>488</v>
      </c>
      <c r="D75" s="279"/>
      <c r="E75" s="279"/>
      <c r="F75" s="279"/>
      <c r="G75" s="279"/>
      <c r="H75" s="280"/>
    </row>
    <row r="76" spans="2:8" x14ac:dyDescent="0.2">
      <c r="B76" s="111" t="str">
        <f>PROPER("TOTAL DEATH CAPITAL SUM INSURED")</f>
        <v>Total Death Capital Sum Insured</v>
      </c>
      <c r="C76" s="281">
        <f>E30</f>
        <v>150000000</v>
      </c>
      <c r="D76" s="281"/>
      <c r="E76" s="281"/>
      <c r="F76" s="281"/>
      <c r="G76" s="281"/>
      <c r="H76" s="282"/>
    </row>
    <row r="77" spans="2:8" x14ac:dyDescent="0.2">
      <c r="B77" s="111" t="str">
        <f>PROPER("SUM INSURED BASIS")</f>
        <v>Sum Insured Basis</v>
      </c>
      <c r="C77" s="283" t="s">
        <v>202</v>
      </c>
      <c r="D77" s="283"/>
      <c r="E77" s="283"/>
      <c r="F77" s="283"/>
      <c r="G77" s="283"/>
      <c r="H77" s="284"/>
    </row>
    <row r="78" spans="2:8" hidden="1" x14ac:dyDescent="0.2">
      <c r="B78" s="111"/>
      <c r="C78" s="112"/>
      <c r="D78" s="113"/>
      <c r="E78" s="113"/>
      <c r="F78" s="113"/>
      <c r="G78" s="113"/>
      <c r="H78" s="114"/>
    </row>
    <row r="79" spans="2:8" hidden="1" x14ac:dyDescent="0.2">
      <c r="B79" s="111"/>
      <c r="C79" s="112"/>
      <c r="D79" s="113"/>
      <c r="E79" s="113"/>
      <c r="F79" s="113"/>
      <c r="G79" s="113"/>
      <c r="H79" s="114"/>
    </row>
    <row r="80" spans="2:8" x14ac:dyDescent="0.2">
      <c r="B80" s="115" t="str">
        <f>PROPER("AGGREGATE LIMIT")</f>
        <v>Aggregate Limit</v>
      </c>
      <c r="C80" s="285" t="s">
        <v>55</v>
      </c>
      <c r="D80" s="285"/>
      <c r="E80" s="285"/>
      <c r="F80" s="285"/>
      <c r="G80" s="285"/>
      <c r="H80" s="286"/>
    </row>
    <row r="81" spans="2:15" x14ac:dyDescent="0.2">
      <c r="B81" s="109"/>
      <c r="C81" s="116"/>
      <c r="D81" s="116"/>
      <c r="E81" s="116"/>
      <c r="F81" s="116"/>
      <c r="G81" s="116"/>
      <c r="H81" s="117"/>
    </row>
    <row r="82" spans="2:15" ht="12" hidden="1" x14ac:dyDescent="0.25">
      <c r="B82" s="118" t="str">
        <f>PROPER("PREMIUM PRE TAX ")&amp;" (INR)"</f>
        <v>Premium Pre Tax  (INR)</v>
      </c>
      <c r="C82" s="119">
        <f>[1]RFQ!C106</f>
        <v>134415.0988768434</v>
      </c>
      <c r="D82" s="120"/>
      <c r="E82" s="121" t="s">
        <v>125</v>
      </c>
      <c r="F82" s="120"/>
      <c r="G82" s="122">
        <f>IFERROR(1000*C82/C76,"")</f>
        <v>0.89610065917895598</v>
      </c>
      <c r="H82" s="123"/>
    </row>
    <row r="83" spans="2:15" ht="12.6" hidden="1" thickBot="1" x14ac:dyDescent="0.3">
      <c r="B83" s="124" t="str">
        <f>PROPER("PREMIUM POST TAX")&amp;" (INR)"</f>
        <v>Premium Post Tax (INR)</v>
      </c>
      <c r="C83" s="125">
        <f>IFERROR(C82*1.18,C82)</f>
        <v>158609.81667467521</v>
      </c>
      <c r="D83" s="126"/>
      <c r="E83" s="127" t="s">
        <v>126</v>
      </c>
      <c r="F83" s="126"/>
      <c r="G83" s="128">
        <f>IFERROR(G82*1.18,"")</f>
        <v>1.057398777831168</v>
      </c>
      <c r="H83" s="129"/>
    </row>
    <row r="84" spans="2:15" x14ac:dyDescent="0.2">
      <c r="B84" s="109" t="str">
        <f>PROPER("PAYMENT IN FAVOUR OF")</f>
        <v>Payment In Favour Of</v>
      </c>
      <c r="C84" s="304" t="s">
        <v>95</v>
      </c>
      <c r="D84" s="305"/>
      <c r="E84" s="305"/>
      <c r="F84" s="305"/>
      <c r="G84" s="305"/>
      <c r="H84" s="306"/>
    </row>
    <row r="85" spans="2:15" x14ac:dyDescent="0.2">
      <c r="B85" s="109" t="str">
        <f>PROPER("PAYMENT MODE")</f>
        <v>Payment Mode</v>
      </c>
      <c r="C85" s="304" t="str">
        <f>PROPER("ANNUAL")</f>
        <v>Annual</v>
      </c>
      <c r="D85" s="305"/>
      <c r="E85" s="305"/>
      <c r="F85" s="305"/>
      <c r="G85" s="305"/>
      <c r="H85" s="306"/>
    </row>
    <row r="86" spans="2:15" ht="12" thickBot="1" x14ac:dyDescent="0.25">
      <c r="B86" s="130" t="str">
        <f>PROPER("DOCUMENTS REQUIRED")</f>
        <v>Documents Required</v>
      </c>
      <c r="C86" s="307" t="str">
        <f>PROPER("EMPLOYEE DETAILS AS PER FORMAT ATTACHED")</f>
        <v>Employee Details As Per Format Attached</v>
      </c>
      <c r="D86" s="308"/>
      <c r="E86" s="308"/>
      <c r="F86" s="308"/>
      <c r="G86" s="308"/>
      <c r="H86" s="309"/>
    </row>
    <row r="87" spans="2:15" ht="12.6" thickBot="1" x14ac:dyDescent="0.3">
      <c r="B87" s="310" t="str">
        <f>IF(AND([1]RFQ!C13="Contractual Employee",[1]RFQ!C52="Yes"),"This quote is valid subject to condition that the contractual employees are working exclusively for the captioned Corporate only.","")</f>
        <v/>
      </c>
      <c r="C87" s="311"/>
      <c r="D87" s="311"/>
      <c r="E87" s="311"/>
      <c r="F87" s="311"/>
      <c r="G87" s="311"/>
      <c r="H87" s="312"/>
    </row>
    <row r="88" spans="2:15" ht="15.75" customHeight="1" thickBot="1" x14ac:dyDescent="0.3">
      <c r="B88" s="310" t="str">
        <f>IF([1]RFQ!C8="Fresh","We confirm that this is the first time policy and there was no such arrangement previously under any mode.",IF(AND([1]RFQ!C8="Market Rollover",[1]RFQ!G26=0),"This quote is valid subject to nil claims.",IF(AND([1]RFQ!C8="TAGIC Renewal",[1]RFQ!G26=0),"This quote is valid subject to nil claims.","Total claim amount in past 3 years: INR "&amp;[1]RFQ!G26)))</f>
        <v>This quote is valid subject to nil claims.</v>
      </c>
      <c r="C88" s="311"/>
      <c r="D88" s="311"/>
      <c r="E88" s="311"/>
      <c r="F88" s="311"/>
      <c r="G88" s="311"/>
      <c r="H88" s="312"/>
    </row>
    <row r="89" spans="2:15" ht="53.25" customHeight="1" thickBot="1" x14ac:dyDescent="0.25">
      <c r="B89" s="313" t="s">
        <v>127</v>
      </c>
      <c r="C89" s="314"/>
      <c r="D89" s="314"/>
      <c r="E89" s="314"/>
      <c r="F89" s="314"/>
      <c r="G89" s="314"/>
      <c r="H89" s="315"/>
    </row>
    <row r="90" spans="2:15" ht="27" customHeight="1" thickBot="1" x14ac:dyDescent="0.25">
      <c r="B90" s="293" t="str">
        <f>"Risk Class: "&amp;IF([1]RFQ!C14="Risk class 1","Individuals in non-hazardous occupations with office or   travel duties, such as executives,"&amp;" senior management of   companies with mostly administrative functions, bankers,   accountants, lawyers, and similar occupations.",IF([1]RFQ!C14="Risk class 2","Individuals  facing  limited  exposure  to  occupational   hazards  with  superintending,"&amp;"  engineering  or  medical   duties,   such   as   plant   superintendents,   engineers,   physicians, inspectors and similar occupations",IF([1]RFQ!C14="Risk class 3","Individuals with occupational hazards, such as industrial   workers,  most  of  whom  are  skilled  or  semi-skilled   workers  using  machinery.   Also  in  this  group  will  be   found filling station"&amp;" attendants, farmers, tradesmen, retail   delivery clerks, and policemen not using motorcycles","Individuals with occupational hazards, such as industrial   workers using heavy machinery or unskilled labourers")))</f>
        <v>Risk Class: Individuals in non-hazardous occupations with office or   travel duties, such as executives, senior management of   companies with mostly administrative functions, bankers,   accountants, lawyers, and similar occupations.</v>
      </c>
      <c r="C90" s="294"/>
      <c r="D90" s="294"/>
      <c r="E90" s="294"/>
      <c r="F90" s="294"/>
      <c r="G90" s="294"/>
      <c r="H90" s="295"/>
    </row>
    <row r="91" spans="2:15" ht="27" customHeight="1" x14ac:dyDescent="0.2">
      <c r="B91" s="296" t="s">
        <v>128</v>
      </c>
      <c r="C91" s="297"/>
      <c r="D91" s="297"/>
      <c r="E91" s="297"/>
      <c r="F91" s="297"/>
      <c r="G91" s="297"/>
      <c r="H91" s="298"/>
    </row>
    <row r="92" spans="2:15" ht="15" customHeight="1" x14ac:dyDescent="0.2">
      <c r="B92" s="299" t="s">
        <v>129</v>
      </c>
      <c r="C92" s="300"/>
      <c r="D92" s="300"/>
      <c r="E92" s="300"/>
      <c r="F92" s="300"/>
      <c r="G92" s="300"/>
      <c r="H92" s="301"/>
      <c r="I92" s="302"/>
      <c r="J92" s="302"/>
      <c r="K92" s="302"/>
      <c r="L92" s="302"/>
      <c r="M92" s="302"/>
      <c r="N92" s="302"/>
      <c r="O92" s="303"/>
    </row>
    <row r="93" spans="2:15" ht="15" customHeight="1" x14ac:dyDescent="0.2">
      <c r="B93" s="299" t="s">
        <v>130</v>
      </c>
      <c r="C93" s="300"/>
      <c r="D93" s="300"/>
      <c r="E93" s="300"/>
      <c r="F93" s="300"/>
      <c r="G93" s="300"/>
      <c r="H93" s="301"/>
      <c r="I93" s="302"/>
      <c r="J93" s="302"/>
      <c r="K93" s="302"/>
      <c r="L93" s="302"/>
      <c r="M93" s="302"/>
      <c r="N93" s="302"/>
      <c r="O93" s="303"/>
    </row>
    <row r="94" spans="2:15" ht="15" customHeight="1" x14ac:dyDescent="0.2">
      <c r="B94" s="299" t="s">
        <v>131</v>
      </c>
      <c r="C94" s="300"/>
      <c r="D94" s="300"/>
      <c r="E94" s="300"/>
      <c r="F94" s="300"/>
      <c r="G94" s="300"/>
      <c r="H94" s="301"/>
      <c r="I94" s="131"/>
      <c r="J94" s="131"/>
      <c r="K94" s="131"/>
      <c r="L94" s="131"/>
      <c r="M94" s="131"/>
      <c r="N94" s="131"/>
      <c r="O94" s="132"/>
    </row>
    <row r="95" spans="2:15" ht="15" customHeight="1" x14ac:dyDescent="0.2">
      <c r="B95" s="299" t="s">
        <v>132</v>
      </c>
      <c r="C95" s="300"/>
      <c r="D95" s="300"/>
      <c r="E95" s="300"/>
      <c r="F95" s="300"/>
      <c r="G95" s="300"/>
      <c r="H95" s="301"/>
      <c r="I95" s="302"/>
      <c r="J95" s="302"/>
      <c r="K95" s="302"/>
      <c r="L95" s="302"/>
      <c r="M95" s="302"/>
      <c r="N95" s="302"/>
      <c r="O95" s="303"/>
    </row>
    <row r="96" spans="2:15" ht="15" customHeight="1" x14ac:dyDescent="0.2">
      <c r="B96" s="299" t="s">
        <v>133</v>
      </c>
      <c r="C96" s="300"/>
      <c r="D96" s="300"/>
      <c r="E96" s="300"/>
      <c r="F96" s="300"/>
      <c r="G96" s="300"/>
      <c r="H96" s="301"/>
      <c r="I96" s="302"/>
      <c r="J96" s="302"/>
      <c r="K96" s="302"/>
      <c r="L96" s="302"/>
      <c r="M96" s="302"/>
      <c r="N96" s="302"/>
      <c r="O96" s="303"/>
    </row>
    <row r="97" spans="2:15" ht="15" customHeight="1" x14ac:dyDescent="0.2">
      <c r="B97" s="299" t="s">
        <v>134</v>
      </c>
      <c r="C97" s="300"/>
      <c r="D97" s="300"/>
      <c r="E97" s="300"/>
      <c r="F97" s="300"/>
      <c r="G97" s="300"/>
      <c r="H97" s="301"/>
      <c r="I97" s="302"/>
      <c r="J97" s="302"/>
      <c r="K97" s="302"/>
      <c r="L97" s="302"/>
      <c r="M97" s="302"/>
      <c r="N97" s="302"/>
      <c r="O97" s="303"/>
    </row>
    <row r="98" spans="2:15" ht="15" customHeight="1" x14ac:dyDescent="0.2">
      <c r="B98" s="299" t="s">
        <v>135</v>
      </c>
      <c r="C98" s="300"/>
      <c r="D98" s="300"/>
      <c r="E98" s="300"/>
      <c r="F98" s="300"/>
      <c r="G98" s="300"/>
      <c r="H98" s="301"/>
      <c r="I98" s="302"/>
      <c r="J98" s="302"/>
      <c r="K98" s="302"/>
      <c r="L98" s="302"/>
      <c r="M98" s="302"/>
      <c r="N98" s="302"/>
      <c r="O98" s="303"/>
    </row>
    <row r="99" spans="2:15" ht="15" customHeight="1" x14ac:dyDescent="0.2">
      <c r="B99" s="299" t="s">
        <v>136</v>
      </c>
      <c r="C99" s="300"/>
      <c r="D99" s="300"/>
      <c r="E99" s="300"/>
      <c r="F99" s="300"/>
      <c r="G99" s="300"/>
      <c r="H99" s="301"/>
      <c r="I99" s="302"/>
      <c r="J99" s="302"/>
      <c r="K99" s="302"/>
      <c r="L99" s="302"/>
      <c r="M99" s="302"/>
      <c r="N99" s="302"/>
      <c r="O99" s="303"/>
    </row>
    <row r="100" spans="2:15" ht="27" customHeight="1" x14ac:dyDescent="0.2">
      <c r="B100" s="299" t="s">
        <v>137</v>
      </c>
      <c r="C100" s="300"/>
      <c r="D100" s="300"/>
      <c r="E100" s="300"/>
      <c r="F100" s="300"/>
      <c r="G100" s="300"/>
      <c r="H100" s="301"/>
      <c r="I100" s="302"/>
      <c r="J100" s="302"/>
      <c r="K100" s="302"/>
      <c r="L100" s="302"/>
      <c r="M100" s="302"/>
      <c r="N100" s="302"/>
      <c r="O100" s="303"/>
    </row>
    <row r="101" spans="2:15" ht="15" customHeight="1" x14ac:dyDescent="0.2">
      <c r="B101" s="299" t="s">
        <v>138</v>
      </c>
      <c r="C101" s="300"/>
      <c r="D101" s="300"/>
      <c r="E101" s="300"/>
      <c r="F101" s="300"/>
      <c r="G101" s="300"/>
      <c r="H101" s="301"/>
      <c r="I101" s="302"/>
      <c r="J101" s="302"/>
      <c r="K101" s="302"/>
      <c r="L101" s="302"/>
      <c r="M101" s="302"/>
      <c r="N101" s="302"/>
      <c r="O101" s="303"/>
    </row>
    <row r="102" spans="2:15" ht="24" customHeight="1" x14ac:dyDescent="0.2">
      <c r="B102" s="299" t="s">
        <v>139</v>
      </c>
      <c r="C102" s="300"/>
      <c r="D102" s="300"/>
      <c r="E102" s="300"/>
      <c r="F102" s="300"/>
      <c r="G102" s="300"/>
      <c r="H102" s="301"/>
      <c r="I102" s="133"/>
      <c r="J102" s="133"/>
      <c r="K102" s="133"/>
      <c r="L102" s="133"/>
      <c r="M102" s="133"/>
      <c r="N102" s="133"/>
      <c r="O102" s="133"/>
    </row>
    <row r="103" spans="2:15" ht="14.25" customHeight="1" thickBot="1" x14ac:dyDescent="0.25">
      <c r="B103" s="317" t="s">
        <v>140</v>
      </c>
      <c r="C103" s="318"/>
      <c r="D103" s="318"/>
      <c r="E103" s="318"/>
      <c r="F103" s="318"/>
      <c r="G103" s="318"/>
      <c r="H103" s="319"/>
    </row>
    <row r="104" spans="2:15" ht="31.5" hidden="1" customHeight="1" x14ac:dyDescent="0.2">
      <c r="B104" s="320" t="s">
        <v>141</v>
      </c>
      <c r="C104" s="321"/>
      <c r="D104" s="321"/>
      <c r="E104" s="321"/>
      <c r="F104" s="321"/>
      <c r="G104" s="321"/>
      <c r="H104" s="322"/>
    </row>
    <row r="105" spans="2:15" ht="12.75" customHeight="1" x14ac:dyDescent="0.2">
      <c r="B105" s="323" t="s">
        <v>142</v>
      </c>
      <c r="C105" s="324"/>
      <c r="D105" s="324"/>
      <c r="E105" s="324"/>
      <c r="F105" s="324"/>
      <c r="G105" s="324"/>
      <c r="H105" s="325"/>
    </row>
    <row r="106" spans="2:15" ht="13.5" customHeight="1" x14ac:dyDescent="0.2">
      <c r="B106" s="299" t="s">
        <v>143</v>
      </c>
      <c r="C106" s="300"/>
      <c r="D106" s="300"/>
      <c r="E106" s="300"/>
      <c r="F106" s="300"/>
      <c r="G106" s="300"/>
      <c r="H106" s="301"/>
      <c r="I106" s="302"/>
      <c r="J106" s="302"/>
      <c r="K106" s="302"/>
      <c r="L106" s="302"/>
      <c r="M106" s="302"/>
      <c r="N106" s="302"/>
      <c r="O106" s="316"/>
    </row>
    <row r="107" spans="2:15" ht="13.5" customHeight="1" x14ac:dyDescent="0.2">
      <c r="B107" s="299" t="s">
        <v>144</v>
      </c>
      <c r="C107" s="300"/>
      <c r="D107" s="300"/>
      <c r="E107" s="300"/>
      <c r="F107" s="300"/>
      <c r="G107" s="300"/>
      <c r="H107" s="301"/>
      <c r="I107" s="302"/>
      <c r="J107" s="302"/>
      <c r="K107" s="302"/>
      <c r="L107" s="302"/>
      <c r="M107" s="302"/>
      <c r="N107" s="302"/>
      <c r="O107" s="316"/>
    </row>
    <row r="108" spans="2:15" ht="15" customHeight="1" x14ac:dyDescent="0.2">
      <c r="B108" s="299" t="s">
        <v>145</v>
      </c>
      <c r="C108" s="300"/>
      <c r="D108" s="300"/>
      <c r="E108" s="300"/>
      <c r="F108" s="300"/>
      <c r="G108" s="300"/>
      <c r="H108" s="301"/>
      <c r="I108" s="302"/>
      <c r="J108" s="302"/>
      <c r="K108" s="302"/>
      <c r="L108" s="302"/>
      <c r="M108" s="302"/>
      <c r="N108" s="302"/>
      <c r="O108" s="316"/>
    </row>
    <row r="109" spans="2:15" ht="15" customHeight="1" x14ac:dyDescent="0.2">
      <c r="B109" s="299" t="s">
        <v>146</v>
      </c>
      <c r="C109" s="300"/>
      <c r="D109" s="300"/>
      <c r="E109" s="300"/>
      <c r="F109" s="300"/>
      <c r="G109" s="300"/>
      <c r="H109" s="301"/>
      <c r="I109" s="302"/>
      <c r="J109" s="302"/>
      <c r="K109" s="302"/>
      <c r="L109" s="302"/>
      <c r="M109" s="302"/>
      <c r="N109" s="302"/>
      <c r="O109" s="316"/>
    </row>
    <row r="110" spans="2:15" ht="15" customHeight="1" x14ac:dyDescent="0.2">
      <c r="B110" s="299" t="s">
        <v>147</v>
      </c>
      <c r="C110" s="300"/>
      <c r="D110" s="300"/>
      <c r="E110" s="300"/>
      <c r="F110" s="300"/>
      <c r="G110" s="300"/>
      <c r="H110" s="301"/>
      <c r="I110" s="302"/>
      <c r="J110" s="302"/>
      <c r="K110" s="302"/>
      <c r="L110" s="302"/>
      <c r="M110" s="302"/>
      <c r="N110" s="302"/>
      <c r="O110" s="316"/>
    </row>
    <row r="111" spans="2:15" ht="15" customHeight="1" x14ac:dyDescent="0.2">
      <c r="B111" s="299" t="s">
        <v>148</v>
      </c>
      <c r="C111" s="300"/>
      <c r="D111" s="300"/>
      <c r="E111" s="300"/>
      <c r="F111" s="300"/>
      <c r="G111" s="300"/>
      <c r="H111" s="301"/>
      <c r="I111" s="302"/>
      <c r="J111" s="302"/>
      <c r="K111" s="302"/>
      <c r="L111" s="302"/>
      <c r="M111" s="302"/>
      <c r="N111" s="302"/>
      <c r="O111" s="316"/>
    </row>
    <row r="112" spans="2:15" ht="24.75" customHeight="1" x14ac:dyDescent="0.2">
      <c r="B112" s="299" t="s">
        <v>149</v>
      </c>
      <c r="C112" s="300"/>
      <c r="D112" s="300"/>
      <c r="E112" s="300"/>
      <c r="F112" s="300"/>
      <c r="G112" s="300"/>
      <c r="H112" s="301"/>
      <c r="I112" s="302"/>
      <c r="J112" s="302"/>
      <c r="K112" s="302"/>
      <c r="L112" s="302"/>
      <c r="M112" s="302"/>
      <c r="N112" s="302"/>
      <c r="O112" s="316"/>
    </row>
    <row r="113" spans="2:15" ht="27" customHeight="1" x14ac:dyDescent="0.2">
      <c r="B113" s="299" t="s">
        <v>150</v>
      </c>
      <c r="C113" s="300"/>
      <c r="D113" s="300"/>
      <c r="E113" s="300"/>
      <c r="F113" s="300"/>
      <c r="G113" s="300"/>
      <c r="H113" s="301"/>
      <c r="I113" s="302"/>
      <c r="J113" s="302"/>
      <c r="K113" s="302"/>
      <c r="L113" s="302"/>
      <c r="M113" s="302"/>
      <c r="N113" s="302"/>
      <c r="O113" s="316"/>
    </row>
    <row r="114" spans="2:15" ht="15" customHeight="1" x14ac:dyDescent="0.2">
      <c r="B114" s="299" t="s">
        <v>151</v>
      </c>
      <c r="C114" s="300"/>
      <c r="D114" s="300"/>
      <c r="E114" s="300"/>
      <c r="F114" s="300"/>
      <c r="G114" s="300"/>
      <c r="H114" s="301"/>
      <c r="I114" s="302"/>
      <c r="J114" s="302"/>
      <c r="K114" s="302"/>
      <c r="L114" s="302"/>
      <c r="M114" s="302"/>
      <c r="N114" s="302"/>
      <c r="O114" s="316"/>
    </row>
    <row r="115" spans="2:15" ht="15" customHeight="1" x14ac:dyDescent="0.2">
      <c r="B115" s="299" t="s">
        <v>152</v>
      </c>
      <c r="C115" s="300"/>
      <c r="D115" s="300"/>
      <c r="E115" s="300"/>
      <c r="F115" s="300"/>
      <c r="G115" s="300"/>
      <c r="H115" s="301"/>
      <c r="I115" s="302"/>
      <c r="J115" s="302"/>
      <c r="K115" s="302"/>
      <c r="L115" s="302"/>
      <c r="M115" s="302"/>
      <c r="N115" s="302"/>
      <c r="O115" s="316"/>
    </row>
    <row r="116" spans="2:15" ht="16.5" customHeight="1" x14ac:dyDescent="0.2">
      <c r="B116" s="299" t="s">
        <v>153</v>
      </c>
      <c r="C116" s="300"/>
      <c r="D116" s="300"/>
      <c r="E116" s="300"/>
      <c r="F116" s="300"/>
      <c r="G116" s="300"/>
      <c r="H116" s="301"/>
      <c r="I116" s="302"/>
      <c r="J116" s="302"/>
      <c r="K116" s="302"/>
      <c r="L116" s="302"/>
      <c r="M116" s="302"/>
      <c r="N116" s="302"/>
      <c r="O116" s="316"/>
    </row>
    <row r="117" spans="2:15" ht="15" customHeight="1" x14ac:dyDescent="0.2">
      <c r="B117" s="299" t="s">
        <v>154</v>
      </c>
      <c r="C117" s="300"/>
      <c r="D117" s="300"/>
      <c r="E117" s="300"/>
      <c r="F117" s="300"/>
      <c r="G117" s="300"/>
      <c r="H117" s="301"/>
      <c r="I117" s="302"/>
      <c r="J117" s="302"/>
      <c r="K117" s="302"/>
      <c r="L117" s="302"/>
      <c r="M117" s="302"/>
      <c r="N117" s="302"/>
      <c r="O117" s="316"/>
    </row>
    <row r="118" spans="2:15" ht="27.75" customHeight="1" x14ac:dyDescent="0.2">
      <c r="B118" s="299" t="s">
        <v>155</v>
      </c>
      <c r="C118" s="300"/>
      <c r="D118" s="300"/>
      <c r="E118" s="300"/>
      <c r="F118" s="300"/>
      <c r="G118" s="300"/>
      <c r="H118" s="301"/>
      <c r="I118" s="302"/>
      <c r="J118" s="302"/>
      <c r="K118" s="302"/>
      <c r="L118" s="302"/>
      <c r="M118" s="302"/>
      <c r="N118" s="302"/>
      <c r="O118" s="316"/>
    </row>
    <row r="119" spans="2:15" ht="15" customHeight="1" x14ac:dyDescent="0.2">
      <c r="B119" s="299" t="s">
        <v>156</v>
      </c>
      <c r="C119" s="300"/>
      <c r="D119" s="300"/>
      <c r="E119" s="300"/>
      <c r="F119" s="300"/>
      <c r="G119" s="300"/>
      <c r="H119" s="301"/>
      <c r="I119" s="302"/>
      <c r="J119" s="302"/>
      <c r="K119" s="302"/>
      <c r="L119" s="302"/>
      <c r="M119" s="302"/>
      <c r="N119" s="302"/>
      <c r="O119" s="316"/>
    </row>
    <row r="120" spans="2:15" ht="15" customHeight="1" x14ac:dyDescent="0.2">
      <c r="B120" s="299" t="s">
        <v>157</v>
      </c>
      <c r="C120" s="300"/>
      <c r="D120" s="300"/>
      <c r="E120" s="300"/>
      <c r="F120" s="300"/>
      <c r="G120" s="300"/>
      <c r="H120" s="301"/>
      <c r="I120" s="302"/>
      <c r="J120" s="302"/>
      <c r="K120" s="302"/>
      <c r="L120" s="302"/>
      <c r="M120" s="302"/>
      <c r="N120" s="302"/>
      <c r="O120" s="316"/>
    </row>
    <row r="121" spans="2:15" ht="15" customHeight="1" x14ac:dyDescent="0.2">
      <c r="B121" s="299" t="s">
        <v>158</v>
      </c>
      <c r="C121" s="300"/>
      <c r="D121" s="300"/>
      <c r="E121" s="300"/>
      <c r="F121" s="300"/>
      <c r="G121" s="300"/>
      <c r="H121" s="301"/>
      <c r="I121" s="302"/>
      <c r="J121" s="302"/>
      <c r="K121" s="302"/>
      <c r="L121" s="302"/>
      <c r="M121" s="302"/>
      <c r="N121" s="302"/>
      <c r="O121" s="316"/>
    </row>
    <row r="122" spans="2:15" ht="15" customHeight="1" x14ac:dyDescent="0.2">
      <c r="B122" s="299" t="s">
        <v>159</v>
      </c>
      <c r="C122" s="300"/>
      <c r="D122" s="300"/>
      <c r="E122" s="300"/>
      <c r="F122" s="300"/>
      <c r="G122" s="300"/>
      <c r="H122" s="301"/>
      <c r="I122" s="302"/>
      <c r="J122" s="302"/>
      <c r="K122" s="302"/>
      <c r="L122" s="302"/>
      <c r="M122" s="302"/>
      <c r="N122" s="302"/>
      <c r="O122" s="316"/>
    </row>
    <row r="123" spans="2:15" ht="15" customHeight="1" x14ac:dyDescent="0.2">
      <c r="B123" s="299" t="s">
        <v>160</v>
      </c>
      <c r="C123" s="300"/>
      <c r="D123" s="300"/>
      <c r="E123" s="300"/>
      <c r="F123" s="300"/>
      <c r="G123" s="300"/>
      <c r="H123" s="301"/>
      <c r="I123" s="133"/>
      <c r="J123" s="133"/>
      <c r="K123" s="133"/>
      <c r="L123" s="133"/>
      <c r="M123" s="133"/>
      <c r="N123" s="133"/>
      <c r="O123" s="133"/>
    </row>
    <row r="124" spans="2:15" ht="15" customHeight="1" x14ac:dyDescent="0.2">
      <c r="B124" s="299" t="s">
        <v>161</v>
      </c>
      <c r="C124" s="300"/>
      <c r="D124" s="300"/>
      <c r="E124" s="300"/>
      <c r="F124" s="300"/>
      <c r="G124" s="300"/>
      <c r="H124" s="301"/>
      <c r="I124" s="133"/>
      <c r="J124" s="133"/>
      <c r="K124" s="133"/>
      <c r="L124" s="133"/>
      <c r="M124" s="133"/>
      <c r="N124" s="133"/>
      <c r="O124" s="133"/>
    </row>
    <row r="125" spans="2:15" ht="15" customHeight="1" x14ac:dyDescent="0.2">
      <c r="B125" s="299" t="s">
        <v>162</v>
      </c>
      <c r="C125" s="300"/>
      <c r="D125" s="300"/>
      <c r="E125" s="300"/>
      <c r="F125" s="300"/>
      <c r="G125" s="300"/>
      <c r="H125" s="301"/>
      <c r="I125" s="133"/>
      <c r="J125" s="133"/>
      <c r="K125" s="133"/>
      <c r="L125" s="133"/>
      <c r="M125" s="133"/>
      <c r="N125" s="133"/>
      <c r="O125" s="133"/>
    </row>
    <row r="126" spans="2:15" ht="15" customHeight="1" x14ac:dyDescent="0.2">
      <c r="B126" s="299" t="s">
        <v>163</v>
      </c>
      <c r="C126" s="300"/>
      <c r="D126" s="300"/>
      <c r="E126" s="300"/>
      <c r="F126" s="300"/>
      <c r="G126" s="300"/>
      <c r="H126" s="301"/>
      <c r="I126" s="133"/>
      <c r="J126" s="133"/>
      <c r="K126" s="133"/>
      <c r="L126" s="133"/>
      <c r="M126" s="133"/>
      <c r="N126" s="133"/>
      <c r="O126" s="133"/>
    </row>
    <row r="127" spans="2:15" ht="15" customHeight="1" x14ac:dyDescent="0.2">
      <c r="B127" s="299" t="s">
        <v>164</v>
      </c>
      <c r="C127" s="300"/>
      <c r="D127" s="300"/>
      <c r="E127" s="300"/>
      <c r="F127" s="300"/>
      <c r="G127" s="300"/>
      <c r="H127" s="301"/>
      <c r="I127" s="133"/>
      <c r="J127" s="133"/>
      <c r="K127" s="133"/>
      <c r="L127" s="133"/>
      <c r="M127" s="133"/>
      <c r="N127" s="133"/>
      <c r="O127" s="133"/>
    </row>
    <row r="128" spans="2:15" ht="192" customHeight="1" thickBot="1" x14ac:dyDescent="0.25">
      <c r="B128" s="326" t="s">
        <v>165</v>
      </c>
      <c r="C128" s="327"/>
      <c r="D128" s="327"/>
      <c r="E128" s="327"/>
      <c r="F128" s="327"/>
      <c r="G128" s="327"/>
      <c r="H128" s="328"/>
    </row>
    <row r="129" spans="2:8" ht="60.75" customHeight="1" thickBot="1" x14ac:dyDescent="0.25">
      <c r="B129" s="320" t="s">
        <v>166</v>
      </c>
      <c r="C129" s="329"/>
      <c r="D129" s="329"/>
      <c r="E129" s="329"/>
      <c r="F129" s="329"/>
      <c r="G129" s="329"/>
      <c r="H129" s="330"/>
    </row>
    <row r="130" spans="2:8" ht="85.5" customHeight="1" thickBot="1" x14ac:dyDescent="0.25">
      <c r="B130" s="320" t="s">
        <v>167</v>
      </c>
      <c r="C130" s="329"/>
      <c r="D130" s="329"/>
      <c r="E130" s="329"/>
      <c r="F130" s="329"/>
      <c r="G130" s="329"/>
      <c r="H130" s="330"/>
    </row>
    <row r="131" spans="2:8" ht="18.75" customHeight="1" thickBot="1" x14ac:dyDescent="0.25">
      <c r="B131" s="338" t="s">
        <v>168</v>
      </c>
      <c r="C131" s="339"/>
      <c r="D131" s="339"/>
      <c r="E131" s="339"/>
      <c r="F131" s="339"/>
      <c r="G131" s="339"/>
      <c r="H131" s="340"/>
    </row>
    <row r="132" spans="2:8" ht="12" x14ac:dyDescent="0.2">
      <c r="B132" s="134" t="s">
        <v>169</v>
      </c>
      <c r="C132" s="341">
        <f ca="1">TODAY()+30</f>
        <v>46235</v>
      </c>
      <c r="D132" s="341"/>
      <c r="E132" s="341"/>
      <c r="F132" s="341"/>
      <c r="G132" s="341"/>
      <c r="H132" s="342"/>
    </row>
    <row r="133" spans="2:8" x14ac:dyDescent="0.2">
      <c r="B133" s="343"/>
      <c r="C133" s="344"/>
      <c r="D133" s="344"/>
      <c r="E133" s="344"/>
      <c r="F133" s="344"/>
      <c r="G133" s="344"/>
      <c r="H133" s="345"/>
    </row>
    <row r="134" spans="2:8" x14ac:dyDescent="0.2">
      <c r="B134" s="331" t="s">
        <v>170</v>
      </c>
      <c r="C134" s="334"/>
      <c r="D134" s="334"/>
      <c r="E134" s="334"/>
      <c r="F134" s="334"/>
      <c r="G134" s="334"/>
      <c r="H134" s="335"/>
    </row>
    <row r="135" spans="2:8" x14ac:dyDescent="0.2">
      <c r="B135" s="331" t="s">
        <v>171</v>
      </c>
      <c r="C135" s="334"/>
      <c r="D135" s="334"/>
      <c r="E135" s="334"/>
      <c r="F135" s="334"/>
      <c r="G135" s="334"/>
      <c r="H135" s="335"/>
    </row>
    <row r="136" spans="2:8" x14ac:dyDescent="0.2">
      <c r="B136" s="135"/>
      <c r="C136" s="136"/>
      <c r="D136" s="136"/>
      <c r="E136" s="136"/>
      <c r="F136" s="136"/>
      <c r="G136" s="136"/>
      <c r="H136" s="137"/>
    </row>
    <row r="137" spans="2:8" ht="3.75" customHeight="1" x14ac:dyDescent="0.2">
      <c r="B137" s="135"/>
      <c r="C137" s="136"/>
      <c r="D137" s="136"/>
      <c r="E137" s="136"/>
      <c r="F137" s="136"/>
      <c r="G137" s="136"/>
      <c r="H137" s="137"/>
    </row>
    <row r="138" spans="2:8" x14ac:dyDescent="0.2">
      <c r="B138" s="346" t="s">
        <v>172</v>
      </c>
      <c r="C138" s="347"/>
      <c r="D138" s="347"/>
      <c r="E138" s="347"/>
      <c r="F138" s="347"/>
      <c r="G138" s="347"/>
      <c r="H138" s="348"/>
    </row>
    <row r="139" spans="2:8" x14ac:dyDescent="0.2">
      <c r="B139" s="331" t="s">
        <v>173</v>
      </c>
      <c r="C139" s="332"/>
      <c r="D139" s="332"/>
      <c r="E139" s="332"/>
      <c r="F139" s="332"/>
      <c r="G139" s="332"/>
      <c r="H139" s="333"/>
    </row>
    <row r="140" spans="2:8" x14ac:dyDescent="0.2">
      <c r="B140" s="138" t="s">
        <v>174</v>
      </c>
      <c r="C140" s="139"/>
      <c r="D140" s="139"/>
      <c r="E140" s="139"/>
      <c r="F140" s="139"/>
      <c r="G140" s="139"/>
      <c r="H140" s="140"/>
    </row>
    <row r="141" spans="2:8" ht="4.5" customHeight="1" x14ac:dyDescent="0.2">
      <c r="B141" s="135"/>
      <c r="C141" s="136"/>
      <c r="D141" s="136"/>
      <c r="E141" s="136"/>
      <c r="F141" s="136"/>
      <c r="G141" s="136"/>
      <c r="H141" s="137"/>
    </row>
    <row r="142" spans="2:8" ht="4.5" customHeight="1" x14ac:dyDescent="0.2">
      <c r="B142" s="135"/>
      <c r="C142" s="136"/>
      <c r="D142" s="136"/>
      <c r="E142" s="136"/>
      <c r="F142" s="136"/>
      <c r="G142" s="136"/>
      <c r="H142" s="137"/>
    </row>
    <row r="143" spans="2:8" ht="6" customHeight="1" x14ac:dyDescent="0.2">
      <c r="B143" s="135" t="s">
        <v>175</v>
      </c>
      <c r="C143" s="136"/>
      <c r="D143" s="136"/>
      <c r="E143" s="136"/>
      <c r="F143" s="136"/>
      <c r="G143" s="136"/>
      <c r="H143" s="137"/>
    </row>
    <row r="144" spans="2:8" x14ac:dyDescent="0.2">
      <c r="B144" s="331" t="s">
        <v>176</v>
      </c>
      <c r="C144" s="334"/>
      <c r="D144" s="334"/>
      <c r="E144" s="334"/>
      <c r="F144" s="334"/>
      <c r="G144" s="334"/>
      <c r="H144" s="335"/>
    </row>
    <row r="145" spans="2:8" ht="16.5" customHeight="1" thickBot="1" x14ac:dyDescent="0.25">
      <c r="B145" s="141" t="s">
        <v>177</v>
      </c>
      <c r="C145" s="336"/>
      <c r="D145" s="336"/>
      <c r="E145" s="142" t="s">
        <v>178</v>
      </c>
      <c r="F145" s="336"/>
      <c r="G145" s="336"/>
      <c r="H145" s="337"/>
    </row>
  </sheetData>
  <sheetProtection selectLockedCells="1"/>
  <mergeCells count="190">
    <mergeCell ref="B139:H139"/>
    <mergeCell ref="B144:H144"/>
    <mergeCell ref="C145:D145"/>
    <mergeCell ref="F145:H145"/>
    <mergeCell ref="B131:H131"/>
    <mergeCell ref="C132:H132"/>
    <mergeCell ref="B133:H133"/>
    <mergeCell ref="B134:H134"/>
    <mergeCell ref="B135:H135"/>
    <mergeCell ref="B138:H138"/>
    <mergeCell ref="B125:H125"/>
    <mergeCell ref="B126:H126"/>
    <mergeCell ref="B127:H127"/>
    <mergeCell ref="B128:H128"/>
    <mergeCell ref="B129:H129"/>
    <mergeCell ref="B130:H130"/>
    <mergeCell ref="B121:H121"/>
    <mergeCell ref="I121:O121"/>
    <mergeCell ref="B122:H122"/>
    <mergeCell ref="I122:O122"/>
    <mergeCell ref="B123:H123"/>
    <mergeCell ref="B124:H124"/>
    <mergeCell ref="B118:H118"/>
    <mergeCell ref="I118:O118"/>
    <mergeCell ref="B119:H119"/>
    <mergeCell ref="I119:O119"/>
    <mergeCell ref="B120:H120"/>
    <mergeCell ref="I120:O120"/>
    <mergeCell ref="B115:H115"/>
    <mergeCell ref="I115:O115"/>
    <mergeCell ref="B116:H116"/>
    <mergeCell ref="I116:O116"/>
    <mergeCell ref="B117:H117"/>
    <mergeCell ref="I117:O117"/>
    <mergeCell ref="B112:H112"/>
    <mergeCell ref="I112:O112"/>
    <mergeCell ref="B113:H113"/>
    <mergeCell ref="I113:O113"/>
    <mergeCell ref="B114:H114"/>
    <mergeCell ref="I114:O114"/>
    <mergeCell ref="B109:H109"/>
    <mergeCell ref="I109:O109"/>
    <mergeCell ref="B110:H110"/>
    <mergeCell ref="I110:O110"/>
    <mergeCell ref="B111:H111"/>
    <mergeCell ref="I111:O111"/>
    <mergeCell ref="B106:H106"/>
    <mergeCell ref="I106:O106"/>
    <mergeCell ref="B107:H107"/>
    <mergeCell ref="I107:O107"/>
    <mergeCell ref="B108:H108"/>
    <mergeCell ref="I108:O108"/>
    <mergeCell ref="B101:H101"/>
    <mergeCell ref="I101:O101"/>
    <mergeCell ref="B102:H102"/>
    <mergeCell ref="B103:H103"/>
    <mergeCell ref="B104:H104"/>
    <mergeCell ref="B105:H105"/>
    <mergeCell ref="B98:H98"/>
    <mergeCell ref="I98:O98"/>
    <mergeCell ref="B99:H99"/>
    <mergeCell ref="I99:O99"/>
    <mergeCell ref="B100:H100"/>
    <mergeCell ref="I100:O100"/>
    <mergeCell ref="B94:H94"/>
    <mergeCell ref="B95:H95"/>
    <mergeCell ref="I95:O95"/>
    <mergeCell ref="B96:H96"/>
    <mergeCell ref="I96:O96"/>
    <mergeCell ref="B97:H97"/>
    <mergeCell ref="I97:O97"/>
    <mergeCell ref="B90:H90"/>
    <mergeCell ref="B91:H91"/>
    <mergeCell ref="B92:H92"/>
    <mergeCell ref="I92:O92"/>
    <mergeCell ref="B93:H93"/>
    <mergeCell ref="I93:O93"/>
    <mergeCell ref="C84:H84"/>
    <mergeCell ref="C85:H85"/>
    <mergeCell ref="C86:H86"/>
    <mergeCell ref="B87:H87"/>
    <mergeCell ref="B88:H88"/>
    <mergeCell ref="B89:H89"/>
    <mergeCell ref="C73:H73"/>
    <mergeCell ref="C74:H74"/>
    <mergeCell ref="C75:H75"/>
    <mergeCell ref="C76:H76"/>
    <mergeCell ref="C77:H77"/>
    <mergeCell ref="C80:H80"/>
    <mergeCell ref="E68:F68"/>
    <mergeCell ref="G68:H68"/>
    <mergeCell ref="E69:F69"/>
    <mergeCell ref="G69:H69"/>
    <mergeCell ref="D70:H70"/>
    <mergeCell ref="D72:H72"/>
    <mergeCell ref="E65:F65"/>
    <mergeCell ref="G65:H65"/>
    <mergeCell ref="E66:F66"/>
    <mergeCell ref="G66:H66"/>
    <mergeCell ref="E67:F67"/>
    <mergeCell ref="G67:H67"/>
    <mergeCell ref="E62:F62"/>
    <mergeCell ref="G62:H62"/>
    <mergeCell ref="E63:F63"/>
    <mergeCell ref="G63:H63"/>
    <mergeCell ref="E64:F64"/>
    <mergeCell ref="G64:H64"/>
    <mergeCell ref="E59:F59"/>
    <mergeCell ref="G59:H59"/>
    <mergeCell ref="E60:F60"/>
    <mergeCell ref="G60:H60"/>
    <mergeCell ref="E61:F61"/>
    <mergeCell ref="G61:H61"/>
    <mergeCell ref="E56:F56"/>
    <mergeCell ref="G56:H56"/>
    <mergeCell ref="E57:F57"/>
    <mergeCell ref="G57:H57"/>
    <mergeCell ref="E58:F58"/>
    <mergeCell ref="G58:H58"/>
    <mergeCell ref="E53:F53"/>
    <mergeCell ref="G53:H53"/>
    <mergeCell ref="E54:F54"/>
    <mergeCell ref="G54:H54"/>
    <mergeCell ref="E55:F55"/>
    <mergeCell ref="G55:H55"/>
    <mergeCell ref="E50:F50"/>
    <mergeCell ref="G50:H50"/>
    <mergeCell ref="E51:F51"/>
    <mergeCell ref="G51:H51"/>
    <mergeCell ref="E52:F52"/>
    <mergeCell ref="G52:H52"/>
    <mergeCell ref="G47:H47"/>
    <mergeCell ref="E48:F48"/>
    <mergeCell ref="G48:H48"/>
    <mergeCell ref="E49:F49"/>
    <mergeCell ref="G49:H49"/>
    <mergeCell ref="E44:F44"/>
    <mergeCell ref="G44:H44"/>
    <mergeCell ref="E45:F45"/>
    <mergeCell ref="G45:H45"/>
    <mergeCell ref="E46:F46"/>
    <mergeCell ref="G46:H46"/>
    <mergeCell ref="L39:O39"/>
    <mergeCell ref="C31:H31"/>
    <mergeCell ref="C33:C72"/>
    <mergeCell ref="E33:F33"/>
    <mergeCell ref="G33:H33"/>
    <mergeCell ref="E34:F34"/>
    <mergeCell ref="G34:H34"/>
    <mergeCell ref="E35:F35"/>
    <mergeCell ref="G35:H35"/>
    <mergeCell ref="E36:F36"/>
    <mergeCell ref="G36:H36"/>
    <mergeCell ref="E40:H40"/>
    <mergeCell ref="E41:F41"/>
    <mergeCell ref="G41:H41"/>
    <mergeCell ref="E42:F42"/>
    <mergeCell ref="G42:H42"/>
    <mergeCell ref="E43:F43"/>
    <mergeCell ref="G43:H43"/>
    <mergeCell ref="E37:F37"/>
    <mergeCell ref="G37:H37"/>
    <mergeCell ref="E38:F38"/>
    <mergeCell ref="G38:H38"/>
    <mergeCell ref="D39:H39"/>
    <mergeCell ref="E47:F47"/>
    <mergeCell ref="C13:H13"/>
    <mergeCell ref="C14:H14"/>
    <mergeCell ref="C15:H15"/>
    <mergeCell ref="C16:H16"/>
    <mergeCell ref="C17:H17"/>
    <mergeCell ref="C18:H18"/>
    <mergeCell ref="C9:D9"/>
    <mergeCell ref="F9:H9"/>
    <mergeCell ref="B10:H10"/>
    <mergeCell ref="C11:H11"/>
    <mergeCell ref="I11:Q11"/>
    <mergeCell ref="C12:H12"/>
    <mergeCell ref="C6:D6"/>
    <mergeCell ref="F6:H6"/>
    <mergeCell ref="C7:D7"/>
    <mergeCell ref="F7:H7"/>
    <mergeCell ref="C8:D8"/>
    <mergeCell ref="F8:H8"/>
    <mergeCell ref="B1:H1"/>
    <mergeCell ref="B2:H2"/>
    <mergeCell ref="B3:H3"/>
    <mergeCell ref="B4:H4"/>
    <mergeCell ref="C5:D5"/>
    <mergeCell ref="F5:H5"/>
  </mergeCells>
  <pageMargins left="0.25" right="0.25" top="0.75" bottom="0.75" header="0.3" footer="0.3"/>
  <pageSetup scale="60" fitToHeight="0" orientation="portrait" r:id="rId1"/>
  <colBreaks count="1" manualBreakCount="1">
    <brk id="8"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AE374-8A90-4B16-979A-E68148403072}">
  <sheetPr>
    <pageSetUpPr fitToPage="1"/>
  </sheetPr>
  <dimension ref="B1:Q146"/>
  <sheetViews>
    <sheetView tabSelected="1" topLeftCell="B130" zoomScale="110" zoomScaleNormal="110" zoomScaleSheetLayoutView="100" workbookViewId="0">
      <selection activeCell="E141" sqref="E141"/>
    </sheetView>
  </sheetViews>
  <sheetFormatPr defaultColWidth="9.21875" defaultRowHeight="11.4" x14ac:dyDescent="0.2"/>
  <cols>
    <col min="1" max="1" width="3" style="76" customWidth="1"/>
    <col min="2" max="2" width="35.77734375" style="143" customWidth="1"/>
    <col min="3" max="3" width="15.21875" style="76" customWidth="1"/>
    <col min="4" max="4" width="38.5546875" style="76" customWidth="1"/>
    <col min="5" max="5" width="16.77734375" style="76" customWidth="1"/>
    <col min="6" max="6" width="20.21875" style="76" customWidth="1"/>
    <col min="7" max="7" width="9.21875" style="76"/>
    <col min="8" max="8" width="28.21875" style="76" customWidth="1"/>
    <col min="9" max="16384" width="9.21875" style="76"/>
  </cols>
  <sheetData>
    <row r="1" spans="2:17" ht="24.75" customHeight="1" thickBot="1" x14ac:dyDescent="0.25">
      <c r="B1" s="232" t="s">
        <v>95</v>
      </c>
      <c r="C1" s="233"/>
      <c r="D1" s="233"/>
      <c r="E1" s="233"/>
      <c r="F1" s="233"/>
      <c r="G1" s="233"/>
      <c r="H1" s="234"/>
    </row>
    <row r="2" spans="2:17" ht="53.4" customHeight="1" thickBot="1" x14ac:dyDescent="0.25">
      <c r="B2" s="235" t="s">
        <v>96</v>
      </c>
      <c r="C2" s="236"/>
      <c r="D2" s="236"/>
      <c r="E2" s="236"/>
      <c r="F2" s="236"/>
      <c r="G2" s="236"/>
      <c r="H2" s="237"/>
    </row>
    <row r="3" spans="2:17" ht="33" customHeight="1" x14ac:dyDescent="0.2">
      <c r="B3" s="238" t="s">
        <v>97</v>
      </c>
      <c r="C3" s="239"/>
      <c r="D3" s="239"/>
      <c r="E3" s="239"/>
      <c r="F3" s="239"/>
      <c r="G3" s="239"/>
      <c r="H3" s="240"/>
    </row>
    <row r="4" spans="2:17" ht="15" customHeight="1" x14ac:dyDescent="0.2">
      <c r="B4" s="241" t="s">
        <v>98</v>
      </c>
      <c r="C4" s="242"/>
      <c r="D4" s="242"/>
      <c r="E4" s="242"/>
      <c r="F4" s="242"/>
      <c r="G4" s="242"/>
      <c r="H4" s="243"/>
    </row>
    <row r="5" spans="2:17" ht="15" customHeight="1" x14ac:dyDescent="0.2">
      <c r="B5" s="77" t="str">
        <f>PROPER("REFERENCE / QUOTE NUMBER")</f>
        <v>Reference / Quote Number</v>
      </c>
      <c r="C5" s="244" t="str">
        <f ca="1">'QUOTE LETTER - Operations'!C5</f>
        <v>F/020726-mumbai</v>
      </c>
      <c r="D5" s="244"/>
      <c r="E5" s="78" t="s">
        <v>99</v>
      </c>
      <c r="F5" s="351">
        <f>'QUOTE LETTER - Operations'!F5</f>
        <v>46183</v>
      </c>
      <c r="G5" s="351"/>
      <c r="H5" s="352"/>
    </row>
    <row r="6" spans="2:17" ht="15" customHeight="1" x14ac:dyDescent="0.2">
      <c r="B6" s="77" t="str">
        <f>PROPER("NAME OF tHE INSURED")</f>
        <v>Name Of The Insured</v>
      </c>
      <c r="C6" s="219" t="str">
        <f>'QUOTE LETTER - Operations'!C6</f>
        <v>STAY VISTA PRIVATE LIMITED</v>
      </c>
      <c r="D6" s="220"/>
      <c r="E6" s="184" t="str">
        <f>'QUOTE LETTER - Operations'!E6</f>
        <v>Plan Type</v>
      </c>
      <c r="F6" s="349" t="str">
        <f>'QUOTE LETTER - Operations'!F6</f>
        <v>Basic</v>
      </c>
      <c r="G6" s="349"/>
      <c r="H6" s="350"/>
    </row>
    <row r="7" spans="2:17" x14ac:dyDescent="0.2">
      <c r="B7" s="77" t="s">
        <v>100</v>
      </c>
      <c r="C7" s="223">
        <f>'QUOTE LETTER - Operations'!C7</f>
        <v>46198</v>
      </c>
      <c r="D7" s="224"/>
      <c r="E7" s="78" t="str">
        <f>[1]RFQ!A8</f>
        <v>Policy status *</v>
      </c>
      <c r="F7" s="351" t="str">
        <f>'QUOTE LETTER - Operations'!F7</f>
        <v>Fresh</v>
      </c>
      <c r="G7" s="351"/>
      <c r="H7" s="352"/>
    </row>
    <row r="8" spans="2:17" x14ac:dyDescent="0.2">
      <c r="B8" s="77" t="s">
        <v>101</v>
      </c>
      <c r="C8" s="227" t="str">
        <f>'QUOTE LETTER - Operations'!C8</f>
        <v>mumbai</v>
      </c>
      <c r="D8" s="228"/>
      <c r="E8" s="79" t="s">
        <v>102</v>
      </c>
      <c r="F8" s="353" t="s">
        <v>103</v>
      </c>
      <c r="G8" s="353"/>
      <c r="H8" s="354"/>
    </row>
    <row r="9" spans="2:17" x14ac:dyDescent="0.2">
      <c r="B9" s="77" t="s">
        <v>104</v>
      </c>
      <c r="C9" s="227" t="str">
        <f>'QUOTE LETTER - Operations'!C9</f>
        <v>Safetynet Innovations PVT LTD / 2350090000</v>
      </c>
      <c r="D9" s="228"/>
      <c r="E9" s="80" t="s">
        <v>105</v>
      </c>
      <c r="F9" s="355" t="str">
        <f>'QUOTE LETTER - Operations'!F9</f>
        <v>2350090000</v>
      </c>
      <c r="G9" s="355"/>
      <c r="H9" s="356"/>
    </row>
    <row r="10" spans="2:17" ht="15" customHeight="1" x14ac:dyDescent="0.2">
      <c r="B10" s="241" t="s">
        <v>106</v>
      </c>
      <c r="C10" s="242"/>
      <c r="D10" s="242"/>
      <c r="E10" s="242"/>
      <c r="F10" s="242"/>
      <c r="G10" s="242"/>
      <c r="H10" s="243"/>
    </row>
    <row r="11" spans="2:17" ht="14.4" x14ac:dyDescent="0.3">
      <c r="B11" s="77" t="str">
        <f>PROPER("No. OF Lives")</f>
        <v>No. Of Lives</v>
      </c>
      <c r="C11" s="247">
        <f>'QUOTE LETTER - Operations'!C11</f>
        <v>488</v>
      </c>
      <c r="D11" s="247"/>
      <c r="E11" s="247"/>
      <c r="F11" s="247"/>
      <c r="G11" s="247"/>
      <c r="H11" s="248"/>
      <c r="I11" s="216"/>
      <c r="J11" s="216"/>
      <c r="K11" s="216"/>
      <c r="L11" s="216"/>
      <c r="M11" s="216"/>
      <c r="N11" s="216"/>
      <c r="O11" s="216"/>
      <c r="P11" s="216"/>
      <c r="Q11" s="216"/>
    </row>
    <row r="12" spans="2:17" ht="15" customHeight="1" x14ac:dyDescent="0.3">
      <c r="B12" s="77" t="s">
        <v>107</v>
      </c>
      <c r="C12" s="217" t="str">
        <f>'QUOTE LETTER - Operations'!C12</f>
        <v>Named</v>
      </c>
      <c r="D12" s="217"/>
      <c r="E12" s="217"/>
      <c r="F12" s="217"/>
      <c r="G12" s="217"/>
      <c r="H12" s="218"/>
      <c r="I12" s="81"/>
      <c r="J12" s="81"/>
      <c r="K12" s="81"/>
      <c r="L12" s="81"/>
      <c r="M12" s="81"/>
      <c r="N12" s="81"/>
      <c r="O12" s="81"/>
      <c r="P12" s="81"/>
      <c r="Q12" s="81"/>
    </row>
    <row r="13" spans="2:17" ht="15" customHeight="1" x14ac:dyDescent="0.3">
      <c r="B13" s="77" t="s">
        <v>108</v>
      </c>
      <c r="C13" s="217" t="str">
        <f>'QUOTE LETTER - Operations'!C13</f>
        <v>Employer-Employee</v>
      </c>
      <c r="D13" s="217"/>
      <c r="E13" s="217"/>
      <c r="F13" s="217"/>
      <c r="G13" s="217"/>
      <c r="H13" s="218"/>
      <c r="I13" s="81"/>
      <c r="J13" s="81"/>
      <c r="K13" s="81"/>
      <c r="L13" s="81"/>
      <c r="M13" s="81"/>
      <c r="N13" s="81"/>
      <c r="O13" s="81"/>
      <c r="P13" s="81"/>
      <c r="Q13" s="81"/>
    </row>
    <row r="14" spans="2:17" ht="13.5" customHeight="1" x14ac:dyDescent="0.2">
      <c r="B14" s="77" t="str">
        <f>PROPER("BUSINESS DESCRIPTION")</f>
        <v>Business Description</v>
      </c>
      <c r="C14" s="144" t="str">
        <f>'QUOTE LETTER - Operations'!C14</f>
        <v>IT / ITES / BPO / KPO</v>
      </c>
      <c r="D14" s="144"/>
      <c r="E14" s="144"/>
      <c r="F14" s="144"/>
      <c r="G14" s="144"/>
      <c r="H14" s="145"/>
    </row>
    <row r="15" spans="2:17" ht="13.5" customHeight="1" x14ac:dyDescent="0.2">
      <c r="B15" s="77" t="s">
        <v>38</v>
      </c>
      <c r="C15" s="217" t="str">
        <f>'QUOTE LETTER - Operations'!C15</f>
        <v>Only Permanent Employees of the company are covered.</v>
      </c>
      <c r="D15" s="217"/>
      <c r="E15" s="217"/>
      <c r="F15" s="217"/>
      <c r="G15" s="217"/>
      <c r="H15" s="218"/>
    </row>
    <row r="16" spans="2:17" x14ac:dyDescent="0.2">
      <c r="B16" s="77" t="str">
        <f>PROPER("AGE BRACKET")</f>
        <v>Age Bracket</v>
      </c>
      <c r="C16" s="217" t="str">
        <f>'QUOTE LETTER - Operations'!C16</f>
        <v>18 Yrs To 70 Yrs; Only Capital Benefit For Age Above 65 Yrs</v>
      </c>
      <c r="D16" s="217"/>
      <c r="E16" s="217"/>
      <c r="F16" s="217"/>
      <c r="G16" s="217"/>
      <c r="H16" s="218"/>
    </row>
    <row r="17" spans="2:8" x14ac:dyDescent="0.2">
      <c r="B17" s="77" t="s">
        <v>109</v>
      </c>
      <c r="C17" s="245">
        <f>'QUOTE LETTER - Operations'!C17</f>
        <v>0</v>
      </c>
      <c r="D17" s="245"/>
      <c r="E17" s="245"/>
      <c r="F17" s="245"/>
      <c r="G17" s="245"/>
      <c r="H17" s="246"/>
    </row>
    <row r="18" spans="2:8" x14ac:dyDescent="0.2">
      <c r="B18" s="77" t="s">
        <v>110</v>
      </c>
      <c r="C18" s="247" t="str">
        <f>'QUOTE LETTER - Operations'!C18</f>
        <v>Mumbai - Peninsula</v>
      </c>
      <c r="D18" s="247"/>
      <c r="E18" s="247"/>
      <c r="F18" s="247"/>
      <c r="G18" s="247"/>
      <c r="H18" s="248"/>
    </row>
    <row r="19" spans="2:8" ht="12" x14ac:dyDescent="0.25">
      <c r="B19" s="82" t="str">
        <f>[1]RFQ!A28</f>
        <v>Sum Insured Category (For Employees Only)</v>
      </c>
      <c r="C19" s="82" t="str">
        <f>[1]RFQ!B28</f>
        <v>No of lives</v>
      </c>
      <c r="D19" s="82" t="str">
        <f>[1]RFQ!C28</f>
        <v>Per Person SI</v>
      </c>
      <c r="E19" s="82" t="str">
        <f>[1]RFQ!D28</f>
        <v>Total Sum Insured</v>
      </c>
      <c r="F19" s="83"/>
      <c r="G19" s="83"/>
      <c r="H19" s="84"/>
    </row>
    <row r="20" spans="2:8" x14ac:dyDescent="0.2">
      <c r="B20" s="85" t="str">
        <f>[1]RFQ!A29</f>
        <v>Category 1</v>
      </c>
      <c r="C20" s="86">
        <f>'QUOTE LETTER - Operations'!C20</f>
        <v>488</v>
      </c>
      <c r="D20" s="87">
        <f>'QUOTE LETTER - Operations'!D20</f>
        <v>150000000</v>
      </c>
      <c r="E20" s="87">
        <f>'QUOTE LETTER - Operations'!E20</f>
        <v>150000000</v>
      </c>
      <c r="F20" s="83"/>
      <c r="G20" s="83"/>
      <c r="H20" s="84"/>
    </row>
    <row r="21" spans="2:8" x14ac:dyDescent="0.2">
      <c r="B21" s="85" t="str">
        <f>[1]RFQ!A30</f>
        <v>Category 2</v>
      </c>
      <c r="C21" s="86">
        <f>'QUOTE LETTER - Operations'!C21</f>
        <v>0</v>
      </c>
      <c r="D21" s="87">
        <f>'QUOTE LETTER - Operations'!D21</f>
        <v>0</v>
      </c>
      <c r="E21" s="87">
        <f>'QUOTE LETTER - Operations'!E21</f>
        <v>0</v>
      </c>
      <c r="F21" s="83"/>
      <c r="G21" s="83"/>
      <c r="H21" s="84"/>
    </row>
    <row r="22" spans="2:8" x14ac:dyDescent="0.2">
      <c r="B22" s="85" t="str">
        <f>[1]RFQ!A31</f>
        <v>Category 3</v>
      </c>
      <c r="C22" s="86">
        <f>'QUOTE LETTER - Operations'!C22</f>
        <v>0</v>
      </c>
      <c r="D22" s="87">
        <f>'QUOTE LETTER - Operations'!D22</f>
        <v>0</v>
      </c>
      <c r="E22" s="87">
        <f>'QUOTE LETTER - Operations'!E22</f>
        <v>0</v>
      </c>
      <c r="F22" s="83"/>
      <c r="G22" s="83"/>
      <c r="H22" s="84"/>
    </row>
    <row r="23" spans="2:8" x14ac:dyDescent="0.2">
      <c r="B23" s="85" t="str">
        <f>[1]RFQ!A32</f>
        <v>Category 4</v>
      </c>
      <c r="C23" s="86">
        <f>'QUOTE LETTER - Operations'!C23</f>
        <v>0</v>
      </c>
      <c r="D23" s="87">
        <f>'QUOTE LETTER - Operations'!D23</f>
        <v>0</v>
      </c>
      <c r="E23" s="87">
        <f>'QUOTE LETTER - Operations'!E23</f>
        <v>0</v>
      </c>
      <c r="F23" s="83"/>
      <c r="G23" s="83"/>
      <c r="H23" s="84"/>
    </row>
    <row r="24" spans="2:8" x14ac:dyDescent="0.2">
      <c r="B24" s="85" t="str">
        <f>[1]RFQ!A33</f>
        <v>Category 5</v>
      </c>
      <c r="C24" s="86">
        <f>'QUOTE LETTER - Operations'!C24</f>
        <v>0</v>
      </c>
      <c r="D24" s="87">
        <f>'QUOTE LETTER - Operations'!D24</f>
        <v>0</v>
      </c>
      <c r="E24" s="87">
        <f>'QUOTE LETTER - Operations'!E24</f>
        <v>0</v>
      </c>
      <c r="F24" s="83"/>
      <c r="G24" s="83"/>
      <c r="H24" s="84"/>
    </row>
    <row r="25" spans="2:8" x14ac:dyDescent="0.2">
      <c r="B25" s="85" t="str">
        <f>[1]RFQ!A34</f>
        <v>Category 6</v>
      </c>
      <c r="C25" s="86">
        <f>'QUOTE LETTER - Operations'!C25</f>
        <v>0</v>
      </c>
      <c r="D25" s="87">
        <f>'QUOTE LETTER - Operations'!D25</f>
        <v>0</v>
      </c>
      <c r="E25" s="87">
        <f>'QUOTE LETTER - Operations'!E25</f>
        <v>0</v>
      </c>
      <c r="F25" s="83"/>
      <c r="G25" s="83"/>
      <c r="H25" s="84"/>
    </row>
    <row r="26" spans="2:8" x14ac:dyDescent="0.2">
      <c r="B26" s="85" t="str">
        <f>[1]RFQ!A35</f>
        <v>Category 7</v>
      </c>
      <c r="C26" s="86">
        <f>'QUOTE LETTER - Operations'!C26</f>
        <v>0</v>
      </c>
      <c r="D26" s="87">
        <f>'QUOTE LETTER - Operations'!D26</f>
        <v>0</v>
      </c>
      <c r="E26" s="87">
        <f>'QUOTE LETTER - Operations'!E26</f>
        <v>0</v>
      </c>
      <c r="F26" s="83"/>
      <c r="G26" s="83"/>
      <c r="H26" s="84"/>
    </row>
    <row r="27" spans="2:8" x14ac:dyDescent="0.2">
      <c r="B27" s="85" t="str">
        <f>[1]RFQ!A36</f>
        <v>Category 8</v>
      </c>
      <c r="C27" s="86">
        <f>'QUOTE LETTER - Operations'!C27</f>
        <v>0</v>
      </c>
      <c r="D27" s="87">
        <f>'QUOTE LETTER - Operations'!D27</f>
        <v>0</v>
      </c>
      <c r="E27" s="87">
        <f>'QUOTE LETTER - Operations'!E27</f>
        <v>0</v>
      </c>
      <c r="F27" s="83"/>
      <c r="G27" s="83"/>
      <c r="H27" s="84"/>
    </row>
    <row r="28" spans="2:8" x14ac:dyDescent="0.2">
      <c r="B28" s="85" t="str">
        <f>[1]RFQ!A37</f>
        <v>Category 9</v>
      </c>
      <c r="C28" s="86">
        <f>'QUOTE LETTER - Operations'!C28</f>
        <v>0</v>
      </c>
      <c r="D28" s="87">
        <f>'QUOTE LETTER - Operations'!D28</f>
        <v>0</v>
      </c>
      <c r="E28" s="87">
        <f>'QUOTE LETTER - Operations'!E28</f>
        <v>0</v>
      </c>
      <c r="F28" s="83"/>
      <c r="G28" s="83"/>
      <c r="H28" s="84"/>
    </row>
    <row r="29" spans="2:8" x14ac:dyDescent="0.2">
      <c r="B29" s="85" t="str">
        <f>[1]RFQ!A38</f>
        <v>Category 10</v>
      </c>
      <c r="C29" s="86">
        <f>'QUOTE LETTER - Operations'!C29</f>
        <v>0</v>
      </c>
      <c r="D29" s="87">
        <f>'QUOTE LETTER - Operations'!D29</f>
        <v>0</v>
      </c>
      <c r="E29" s="87">
        <f>'QUOTE LETTER - Operations'!E29</f>
        <v>0</v>
      </c>
      <c r="F29" s="83"/>
      <c r="G29" s="83"/>
      <c r="H29" s="84"/>
    </row>
    <row r="30" spans="2:8" ht="12" x14ac:dyDescent="0.25">
      <c r="B30" s="82" t="str">
        <f>[1]RFQ!A39</f>
        <v>Total</v>
      </c>
      <c r="C30" s="82">
        <f>SUM(C20:C29)</f>
        <v>488</v>
      </c>
      <c r="D30" s="82">
        <f>SUM(D20:D29)</f>
        <v>150000000</v>
      </c>
      <c r="E30" s="82">
        <f>SUM(E20:E29)</f>
        <v>150000000</v>
      </c>
      <c r="F30" s="83"/>
      <c r="G30" s="83"/>
      <c r="H30" s="84"/>
    </row>
    <row r="31" spans="2:8" ht="15.75" hidden="1" customHeight="1" thickBot="1" x14ac:dyDescent="0.25">
      <c r="B31" s="89" t="s">
        <v>38</v>
      </c>
      <c r="C31" s="252" t="str">
        <f>[1]RFQ!C57</f>
        <v>Only Permanent Employees of the company are covered.</v>
      </c>
      <c r="D31" s="253"/>
      <c r="E31" s="253"/>
      <c r="F31" s="253"/>
      <c r="G31" s="253"/>
      <c r="H31" s="254"/>
    </row>
    <row r="32" spans="2:8" ht="6.75" customHeight="1" thickBot="1" x14ac:dyDescent="0.25">
      <c r="B32" s="90"/>
      <c r="C32" s="91"/>
      <c r="D32" s="83"/>
      <c r="E32" s="83"/>
      <c r="F32" s="83"/>
      <c r="G32" s="83"/>
      <c r="H32" s="84"/>
    </row>
    <row r="33" spans="2:15" ht="15" customHeight="1" x14ac:dyDescent="0.2">
      <c r="B33" s="92" t="str">
        <f>PROPER("BENEFITS OFFERED")</f>
        <v>Benefits Offered</v>
      </c>
      <c r="C33" s="255" t="s">
        <v>111</v>
      </c>
      <c r="D33" s="93" t="str">
        <f>PROPER(IF([1]RFQ!C46="EDUCATIONAL INSTITUTE","STAFF","EMPLOYEES"))</f>
        <v>Employees</v>
      </c>
      <c r="E33" s="258" t="str">
        <f>PROPER(IF(C14="EDUCATIONAL INSTITUTE","STUDENT",""))</f>
        <v/>
      </c>
      <c r="F33" s="258"/>
      <c r="G33" s="258" t="str">
        <f>PROPER(IF(C14="EDUCATIONAL INSTITUTE","PARENT",""))</f>
        <v/>
      </c>
      <c r="H33" s="259"/>
    </row>
    <row r="34" spans="2:15" ht="13.2" x14ac:dyDescent="0.2">
      <c r="B34" s="146" t="s">
        <v>112</v>
      </c>
      <c r="C34" s="256"/>
      <c r="D34" s="95">
        <f>'QUOTE LETTER - Operations'!D34</f>
        <v>488</v>
      </c>
      <c r="E34" s="260" t="str">
        <f>IF([1]RFQ!C46="Educational Institute",IF(D34=0," ",[1]RFQ!D56),"")</f>
        <v/>
      </c>
      <c r="F34" s="260"/>
      <c r="G34" s="260" t="str">
        <f>IF([1]RFQ!C46="Educational Institute",IF(D34=0," ",[1]RFQ!E56),"")</f>
        <v/>
      </c>
      <c r="H34" s="261"/>
    </row>
    <row r="35" spans="2:15" ht="13.2" x14ac:dyDescent="0.2">
      <c r="B35" s="146" t="str">
        <f>IF(SUM([1]RFQ!C60:E60)&gt;0,"Accidental Death","")</f>
        <v>Accidental Death</v>
      </c>
      <c r="C35" s="256"/>
      <c r="D35" s="95">
        <f>'QUOTE LETTER - Operations'!D35</f>
        <v>150000000</v>
      </c>
      <c r="E35" s="260" t="str">
        <f>IF([1]RFQ!$C$46="Educational Institute",[1]RFQ!D60,"")</f>
        <v/>
      </c>
      <c r="F35" s="260"/>
      <c r="G35" s="260" t="str">
        <f>IF([1]RFQ!$C$46="Educational Institute",[1]RFQ!E60,"")</f>
        <v/>
      </c>
      <c r="H35" s="261"/>
    </row>
    <row r="36" spans="2:15" ht="13.2" x14ac:dyDescent="0.2">
      <c r="B36" s="146" t="str">
        <f>IF(SUM([1]RFQ!C61:E61)&gt;0,"Accidental Dismemberment &amp; Paralysis","")</f>
        <v>Accidental Dismemberment &amp; Paralysis</v>
      </c>
      <c r="C36" s="256"/>
      <c r="D36" s="95">
        <f>'QUOTE LETTER - Operations'!D36</f>
        <v>150000000</v>
      </c>
      <c r="E36" s="260" t="str">
        <f>IF([1]RFQ!$C$46="Educational Institute",[1]RFQ!D61,"")</f>
        <v/>
      </c>
      <c r="F36" s="260"/>
      <c r="G36" s="260" t="str">
        <f>IF([1]RFQ!$C$46="Educational Institute",[1]RFQ!E61,"")</f>
        <v/>
      </c>
      <c r="H36" s="261"/>
    </row>
    <row r="37" spans="2:15" ht="13.2" x14ac:dyDescent="0.2">
      <c r="B37" s="146" t="str">
        <f>IF(SUM([1]RFQ!C62:E62)&gt;0,"Permanent Total Disability","")</f>
        <v>Permanent Total Disability</v>
      </c>
      <c r="C37" s="256"/>
      <c r="D37" s="95">
        <f>'QUOTE LETTER - Operations'!D37</f>
        <v>150000000</v>
      </c>
      <c r="E37" s="260" t="str">
        <f>IF([1]RFQ!$C$46="Educational Institute",[1]RFQ!D62,"")</f>
        <v/>
      </c>
      <c r="F37" s="260"/>
      <c r="G37" s="260" t="str">
        <f>IF([1]RFQ!$C$46="Educational Institute",[1]RFQ!E62,"")</f>
        <v/>
      </c>
      <c r="H37" s="261"/>
    </row>
    <row r="38" spans="2:15" ht="13.2" x14ac:dyDescent="0.2">
      <c r="B38" s="146" t="str">
        <f>IF(SUM([1]RFQ!C63:E63)&gt;0,"Permanent Partial Disability","")</f>
        <v>Permanent Partial Disability</v>
      </c>
      <c r="C38" s="256"/>
      <c r="D38" s="95">
        <f>'QUOTE LETTER - Operations'!D38</f>
        <v>150000000</v>
      </c>
      <c r="E38" s="260" t="str">
        <f>IF([1]RFQ!$C$46="Educational Institute",[1]RFQ!D63,"")</f>
        <v/>
      </c>
      <c r="F38" s="260"/>
      <c r="G38" s="260" t="str">
        <f>IF([1]RFQ!$C$46="Educational Institute",[1]RFQ!E63,"")</f>
        <v/>
      </c>
      <c r="H38" s="261"/>
    </row>
    <row r="39" spans="2:15" ht="24.75" customHeight="1" x14ac:dyDescent="0.2">
      <c r="B39" s="147" t="s">
        <v>113</v>
      </c>
      <c r="C39" s="256"/>
      <c r="D39" s="359" t="str">
        <f>'QUOTE LETTER - Operations'!D39</f>
        <v>1% of SI or Rs. 5,000 per week or actual salary, whichever is lower for 104 weeks</v>
      </c>
      <c r="E39" s="357"/>
      <c r="F39" s="357"/>
      <c r="G39" s="357"/>
      <c r="H39" s="358"/>
      <c r="L39" s="251"/>
      <c r="M39" s="251"/>
      <c r="N39" s="251"/>
      <c r="O39" s="251"/>
    </row>
    <row r="40" spans="2:15" ht="49.5" hidden="1" customHeight="1" x14ac:dyDescent="0.2">
      <c r="B40" s="147"/>
      <c r="C40" s="256"/>
      <c r="D40" s="148" t="str">
        <f>IF([1]RFQ!C65="52 weeks","Temporary Total Disability (Weekly Benefit) - 1% of SI or TTD SI or actual weekly salary for 52 weeks whichever is less","Temporary Total Disability (Weekly Benefit) - 1% of SI or TTD SI or actual weekly salary for 104 weeks whichever is less")</f>
        <v>Temporary Total Disability (Weekly Benefit) - 1% of SI or TTD SI or actual weekly salary for 104 weeks whichever is less</v>
      </c>
      <c r="E40" s="357" t="s">
        <v>114</v>
      </c>
      <c r="F40" s="357"/>
      <c r="G40" s="357"/>
      <c r="H40" s="358"/>
      <c r="L40" s="98"/>
      <c r="M40" s="98"/>
      <c r="N40" s="98"/>
      <c r="O40" s="98"/>
    </row>
    <row r="41" spans="2:15" ht="40.200000000000003" customHeight="1" x14ac:dyDescent="0.2">
      <c r="B41" s="147" t="s">
        <v>115</v>
      </c>
      <c r="C41" s="256"/>
      <c r="D41" s="148" t="str">
        <f>'QUOTE LETTER - Operations'!D41</f>
        <v>10% of the CSI or 40% of the Admissible Claim or Actuals whichever is less 
(only if accidental death or disability - PTD/ PPD)</v>
      </c>
      <c r="E41" s="357" t="str">
        <f>IF([1]RFQ!C46&lt;&gt;"Educational Institute","",IF(OR([1]RFQ!J29="No",[1]RFQ!D66=""),"Not Covered",IF([1]RFQ!J67&lt;&gt;0,[1]RFQ!J67,IF(OR([1]RFQ!J29="Yes",[1]RFQ!D66&lt;&gt;""),IF(AND([1]RFQ!B67="Yes",[1]RFQ!D67&lt;&gt;""),"Fixed INR "&amp;[1]RFQ!D66&amp;" for IPD with Sublimt of INR "&amp;[1]RFQ!D67&amp;" for OPD or actual claims , whichever is lower.","Fixed INR "&amp;[1]RFQ!D66&amp;" for IPD or actual claims , whichever is lower.")))))</f>
        <v/>
      </c>
      <c r="F41" s="357"/>
      <c r="G41" s="357" t="str">
        <f>IF([1]RFQ!C46="Educational Institute", "Medical Expenses of Parents are not Covered.","")</f>
        <v/>
      </c>
      <c r="H41" s="358"/>
    </row>
    <row r="42" spans="2:15" ht="34.5" hidden="1" customHeight="1" x14ac:dyDescent="0.2">
      <c r="B42" s="147" t="s">
        <v>116</v>
      </c>
      <c r="C42" s="256"/>
      <c r="D42" s="148" t="str">
        <f>IF([1]RFQ!C46="Educational Institute","",IF([1]RFQ!B67="No","Not Covered",IF([1]RFQ!I67&lt;&gt;0,[1]RFQ!I67,IF(OR([1]RFQ!J29="No",[1]RFQ!C67=""),"Not Covered","Fixed INR "&amp;[1]RFQ!C67&amp;" or actual claims, whichever is lower."))))</f>
        <v>Fixed INR 50000 or actual claims, whichever is lower.</v>
      </c>
      <c r="E42" s="357" t="str">
        <f>IF([1]RFQ!C46&lt;&gt;"Educational Institute","",IF([1]RFQ!B67="No","Not Covered",IF([1]RFQ!J67&lt;&gt;0,[1]RFQ!J67,IF([1]RFQ!C46&lt;&gt;"Educational Institute","",IF(OR([1]RFQ!J29="No",[1]RFQ!D67=""),"Not Covered","Fixed INR "&amp;[1]RFQ!D67&amp;" or actual claims, whichever is lower.")))))</f>
        <v/>
      </c>
      <c r="F42" s="357"/>
      <c r="G42" s="357" t="str">
        <f>IF([1]RFQ!C46="Educational Institute", "Medical Expenses of Parents are not Covered.","")</f>
        <v/>
      </c>
      <c r="H42" s="358"/>
    </row>
    <row r="43" spans="2:15" ht="28.2" customHeight="1" x14ac:dyDescent="0.2">
      <c r="B43" s="147" t="s">
        <v>118</v>
      </c>
      <c r="C43" s="256"/>
      <c r="D43" s="148" t="str">
        <f>'QUOTE LETTER - Operations'!D43</f>
        <v>10% of SI upto Rs. 5000 per child (max 2 children upto 25 years of age)</v>
      </c>
      <c r="E43" s="357" t="str">
        <f>IF([1]RFQ!C46="Educational Institute", "Education Benefit for Students is not Covered.","")</f>
        <v/>
      </c>
      <c r="F43" s="357"/>
      <c r="G43" s="357" t="str">
        <f>IF([1]RFQ!C46&lt;&gt;"Educational Institute","",IF(AND([1]RFQ!E69&lt;&gt;"",[1]RFQ!E69&lt;&gt;0),"10% of Principal SI or upto Rs "&amp;"Rs "&amp;[1]RFQ!E69&amp;" or Actuals, whichever is lower for maximum 2 eligible children.","Not Covered"))</f>
        <v/>
      </c>
      <c r="H43" s="358"/>
    </row>
    <row r="44" spans="2:15" ht="22.8" x14ac:dyDescent="0.2">
      <c r="B44" s="149" t="s">
        <v>119</v>
      </c>
      <c r="C44" s="256"/>
      <c r="D44" s="148" t="str">
        <f>'QUOTE LETTER - Operations'!D44</f>
        <v>NA</v>
      </c>
      <c r="E44" s="360" t="str">
        <f>IF([1]RFQ!C46&lt;&gt;"Educational Institute","", IF([1]RFQ!D71&lt;&gt;"","Rs. "&amp;[1]RFQ!D71&amp;" ","Not Covered"))</f>
        <v/>
      </c>
      <c r="F44" s="360"/>
      <c r="G44" s="360" t="str">
        <f>IF([1]RFQ!C46&lt;&gt;"Educational Institute","",IF(AND([1]RFQ!E71&lt;&gt;"",[1]RFQ!E71&lt;&gt;0),"Rs. "&amp;[1]RFQ!E71&amp;" ","Not Covered"))</f>
        <v/>
      </c>
      <c r="H44" s="361"/>
    </row>
    <row r="45" spans="2:15" x14ac:dyDescent="0.2">
      <c r="B45" s="147" t="s">
        <v>120</v>
      </c>
      <c r="C45" s="256"/>
      <c r="D45" s="148" t="str">
        <f>'QUOTE LETTER - Operations'!D45</f>
        <v>10% SI upto Rs. 25,000</v>
      </c>
      <c r="E45" s="360" t="str">
        <f>IF([1]RFQ!C46&lt;&gt;"Educational Institute","",IF(AND([1]RFQ!D72&lt;&gt;"",[1]RFQ!D72&lt;&gt;0),"Upto Rs. "&amp;[1]RFQ!D72&amp;" or Actuals, whichever is lower.","Not Covered"))</f>
        <v/>
      </c>
      <c r="F45" s="360"/>
      <c r="G45" s="360" t="str">
        <f>IF([1]RFQ!C46&lt;&gt;"Educational Institute","",IF(AND([1]RFQ!E72&lt;&gt;"",[1]RFQ!E72&lt;&gt;0),"Upto Rs. "&amp;[1]RFQ!E72&amp;" or Actuals, whichever is lower.","Not Covered"))</f>
        <v/>
      </c>
      <c r="H45" s="361"/>
    </row>
    <row r="46" spans="2:15" x14ac:dyDescent="0.2">
      <c r="B46" s="147" t="str">
        <f>[1]RFQ!A73</f>
        <v>Fractures / Dislocation / Burns</v>
      </c>
      <c r="C46" s="256"/>
      <c r="D46" s="148" t="str">
        <f>'QUOTE LETTER - Operations'!D46</f>
        <v>NA</v>
      </c>
      <c r="E46" s="360" t="str">
        <f>IF([1]RFQ!C46&lt;&gt;"Educational Institute","",IF(AND([1]RFQ!D73&lt;&gt;"",[1]RFQ!D73&lt;&gt;0),"Rs. "&amp;[1]RFQ!D73&amp;" ","Not Covered"))</f>
        <v/>
      </c>
      <c r="F46" s="360"/>
      <c r="G46" s="360" t="str">
        <f>IF([1]RFQ!C46&lt;&gt;"Educational Institute","",IF(AND([1]RFQ!E73&lt;&gt;"",[1]RFQ!E73&lt;&gt;0),"Rs. "&amp;[1]RFQ!E73&amp;" ","Not Covered"))</f>
        <v/>
      </c>
      <c r="H46" s="361"/>
    </row>
    <row r="47" spans="2:15" x14ac:dyDescent="0.2">
      <c r="B47" s="147" t="s">
        <v>121</v>
      </c>
      <c r="C47" s="256"/>
      <c r="D47" s="148" t="str">
        <f>'QUOTE LETTER - Operations'!D47</f>
        <v>NA</v>
      </c>
      <c r="E47" s="360" t="str">
        <f>IF([1]RFQ!C46&lt;&gt;"Educational Institute","",IF(AND([1]RFQ!D74&lt;&gt;"",[1]RFQ!D74&lt;&gt;0),"Rs. "&amp;[1]RFQ!D74&amp;" ","Not Covered"))</f>
        <v/>
      </c>
      <c r="F47" s="360"/>
      <c r="G47" s="360" t="str">
        <f>IF([1]RFQ!C46&lt;&gt;"Educational Institute","",IF(AND([1]RFQ!E74&lt;&gt;"",[1]RFQ!E74&lt;&gt;0),"Rs. "&amp;[1]RFQ!E74&amp;" ","Not Covered"))</f>
        <v/>
      </c>
      <c r="H47" s="361"/>
    </row>
    <row r="48" spans="2:15" ht="12" hidden="1" customHeight="1" x14ac:dyDescent="0.2">
      <c r="B48" s="147" t="str">
        <f>IF(SUM([1]RFQ!C75:E75)&gt;0,"ACCIDENTAL MISCARRIAGE","")</f>
        <v/>
      </c>
      <c r="C48" s="256"/>
      <c r="D48" s="150">
        <f>[1]RFQ!C75</f>
        <v>0</v>
      </c>
      <c r="E48" s="360">
        <f>[1]RFQ!D75</f>
        <v>0</v>
      </c>
      <c r="F48" s="360"/>
      <c r="G48" s="360"/>
      <c r="H48" s="361"/>
    </row>
    <row r="49" spans="2:8" ht="12" hidden="1" customHeight="1" x14ac:dyDescent="0.2">
      <c r="B49" s="147" t="str">
        <f>IF(SUM([1]RFQ!C76:E76)&gt;0,"ADVENTURE SPORTS","")</f>
        <v/>
      </c>
      <c r="C49" s="256"/>
      <c r="D49" s="150">
        <f>[1]RFQ!C76</f>
        <v>0</v>
      </c>
      <c r="E49" s="360">
        <f>[1]RFQ!D76</f>
        <v>0</v>
      </c>
      <c r="F49" s="360"/>
      <c r="G49" s="360"/>
      <c r="H49" s="361"/>
    </row>
    <row r="50" spans="2:8" ht="12" hidden="1" customHeight="1" x14ac:dyDescent="0.2">
      <c r="B50" s="147" t="str">
        <f>IF(SUM([1]RFQ!C77:E77)&gt;0,"AIR AMBULANCE","")</f>
        <v/>
      </c>
      <c r="C50" s="256"/>
      <c r="D50" s="150">
        <f>[1]RFQ!C77</f>
        <v>0</v>
      </c>
      <c r="E50" s="360">
        <f>[1]RFQ!D77</f>
        <v>0</v>
      </c>
      <c r="F50" s="360"/>
      <c r="G50" s="360"/>
      <c r="H50" s="361"/>
    </row>
    <row r="51" spans="2:8" x14ac:dyDescent="0.2">
      <c r="B51" s="147" t="s">
        <v>122</v>
      </c>
      <c r="C51" s="256"/>
      <c r="D51" s="148" t="str">
        <f>'QUOTE LETTER - Operations'!D51</f>
        <v>NA</v>
      </c>
      <c r="E51" s="360" t="str">
        <f>IF([1]RFQ!C46&lt;&gt;"Educational Institute","",IF(AND([1]RFQ!D78&lt;&gt;0,[1]RFQ!D78&lt;&gt;""),"Upto Rs. "&amp;[1]RFQ!D78&amp;" or Actuals, whichever is lower.","Not Covered"))</f>
        <v/>
      </c>
      <c r="F51" s="360" t="str">
        <f>IF(AND([1]RFQ!E78&lt;&gt;0,[1]RFQ!E78&lt;&gt;""),"Rs. "&amp;[1]RFQ!E78&amp;" or Actuals, whichever is lower.","Not Covered")</f>
        <v>Not Covered</v>
      </c>
      <c r="G51" s="362" t="str">
        <f>IF([1]RFQ!C46&lt;&gt;"Educational Institute","",IF(AND([1]RFQ!E78&lt;&gt;0,[1]RFQ!E78&lt;&gt;""),"Upto Rs. "&amp;[1]RFQ!E78&amp;" or Actuals, whichever is lower.","Not Covered"))</f>
        <v/>
      </c>
      <c r="H51" s="363" t="str">
        <f>IF(AND([1]RFQ!G78&lt;&gt;0,[1]RFQ!G78&lt;&gt;""),"Rs. "&amp;[1]RFQ!G78&amp;" or Actuals, whichever is lower.","Not Covered")</f>
        <v>Not Covered</v>
      </c>
    </row>
    <row r="52" spans="2:8" ht="12" hidden="1" customHeight="1" x14ac:dyDescent="0.2">
      <c r="B52" s="147" t="str">
        <f>IF(SUM([1]RFQ!C79:E79)&gt;0,"ASSAULT","")</f>
        <v/>
      </c>
      <c r="C52" s="256"/>
      <c r="D52" s="150">
        <f>[1]RFQ!C79</f>
        <v>0</v>
      </c>
      <c r="E52" s="360">
        <f>[1]RFQ!D79</f>
        <v>0</v>
      </c>
      <c r="F52" s="360"/>
      <c r="G52" s="360"/>
      <c r="H52" s="361"/>
    </row>
    <row r="53" spans="2:8" ht="12" hidden="1" customHeight="1" x14ac:dyDescent="0.2">
      <c r="B53" s="147" t="str">
        <f>IF(SUM([1]RFQ!C80:E80)&gt;0,[1]RFQ!A80,"")</f>
        <v/>
      </c>
      <c r="C53" s="256"/>
      <c r="D53" s="150">
        <f>[1]RFQ!C80</f>
        <v>0</v>
      </c>
      <c r="E53" s="360">
        <f>[1]RFQ!D80</f>
        <v>0</v>
      </c>
      <c r="F53" s="360"/>
      <c r="G53" s="360"/>
      <c r="H53" s="361"/>
    </row>
    <row r="54" spans="2:8" ht="12" hidden="1" customHeight="1" x14ac:dyDescent="0.2">
      <c r="B54" s="147" t="str">
        <f>IF(SUM([1]RFQ!C81:E81)&gt;0,[1]RFQ!A81,"")</f>
        <v/>
      </c>
      <c r="C54" s="256"/>
      <c r="D54" s="150">
        <f>[1]RFQ!C81</f>
        <v>0</v>
      </c>
      <c r="E54" s="360">
        <f>[1]RFQ!D81</f>
        <v>0</v>
      </c>
      <c r="F54" s="360"/>
      <c r="G54" s="360"/>
      <c r="H54" s="361"/>
    </row>
    <row r="55" spans="2:8" ht="12" hidden="1" customHeight="1" x14ac:dyDescent="0.2">
      <c r="B55" s="147" t="str">
        <f>IF(SUM([1]RFQ!C82:E82)&gt;0,[1]RFQ!A82,"")</f>
        <v/>
      </c>
      <c r="C55" s="256"/>
      <c r="D55" s="151">
        <f>[1]RFQ!C82</f>
        <v>0</v>
      </c>
      <c r="E55" s="360">
        <f>[1]RFQ!D82</f>
        <v>0</v>
      </c>
      <c r="F55" s="360"/>
      <c r="G55" s="360"/>
      <c r="H55" s="361"/>
    </row>
    <row r="56" spans="2:8" ht="12" hidden="1" customHeight="1" x14ac:dyDescent="0.2">
      <c r="B56" s="147" t="str">
        <f>IF(SUM([1]RFQ!C83:E83)&gt;0,[1]RFQ!A83,"")</f>
        <v/>
      </c>
      <c r="C56" s="256"/>
      <c r="D56" s="151">
        <f>[1]RFQ!C83</f>
        <v>0</v>
      </c>
      <c r="E56" s="360">
        <f>[1]RFQ!D83</f>
        <v>0</v>
      </c>
      <c r="F56" s="360"/>
      <c r="G56" s="360"/>
      <c r="H56" s="361"/>
    </row>
    <row r="57" spans="2:8" ht="12" hidden="1" customHeight="1" x14ac:dyDescent="0.2">
      <c r="B57" s="147" t="str">
        <f>IF(SUM([1]RFQ!C84:E84)&gt;0,[1]RFQ!A84,"")</f>
        <v/>
      </c>
      <c r="C57" s="256"/>
      <c r="D57" s="151">
        <f>[1]RFQ!C84</f>
        <v>0</v>
      </c>
      <c r="E57" s="360">
        <f>[1]RFQ!D84</f>
        <v>0</v>
      </c>
      <c r="F57" s="360"/>
      <c r="G57" s="360"/>
      <c r="H57" s="361"/>
    </row>
    <row r="58" spans="2:8" x14ac:dyDescent="0.2">
      <c r="B58" s="147" t="str">
        <f>[1]RFQ!A85</f>
        <v>Repatriation of Remains</v>
      </c>
      <c r="C58" s="256"/>
      <c r="D58" s="148" t="str">
        <f>'QUOTE LETTER - Operations'!D58</f>
        <v>2.5% of SI upto Rs.2500</v>
      </c>
      <c r="E58" s="360" t="str">
        <f>IF([1]RFQ!C46&lt;&gt;"Educational Institute","",IF(AND([1]RFQ!D85&lt;&gt;"",[1]RFQ!D85&lt;&gt;0),"Upto Rs "&amp;[1]RFQ!D85&amp;" or Actuals, whichever is lower.","Not Covered"))</f>
        <v/>
      </c>
      <c r="F58" s="360"/>
      <c r="G58" s="360" t="str">
        <f>IF([1]RFQ!C46&lt;&gt;"Educational Institute","",IF(AND([1]RFQ!E85&lt;&gt;"",[1]RFQ!E85&lt;&gt;0),"Upto Rs "&amp;[1]RFQ!E85&amp;" or Actuals, whichever is lower.","Not Covered"))</f>
        <v/>
      </c>
      <c r="H58" s="361"/>
    </row>
    <row r="59" spans="2:8" x14ac:dyDescent="0.2">
      <c r="B59" s="147" t="str">
        <f>[1]RFQ!A86</f>
        <v>Funeral Benefits</v>
      </c>
      <c r="C59" s="256"/>
      <c r="D59" s="148" t="str">
        <f>'QUOTE LETTER - Operations'!D59</f>
        <v>2.5% of SI upto Rs. 2500</v>
      </c>
      <c r="E59" s="360" t="str">
        <f>IF([1]RFQ!C46&lt;&gt;"Educational Institute","",IF(AND([1]RFQ!D86&lt;&gt;"",[1]RFQ!D86&lt;&gt;0),"Rs "&amp;[1]RFQ!D86&amp;" ","Not Covered"))</f>
        <v/>
      </c>
      <c r="F59" s="360"/>
      <c r="G59" s="360" t="str">
        <f>IF([1]RFQ!C46&lt;&gt;"Educational Institute","",IF(AND([1]RFQ!E86&lt;&gt;"",[1]RFQ!E86&lt;&gt;0),"Rs "&amp;[1]RFQ!E86&amp;" ","Not Covered"))</f>
        <v/>
      </c>
      <c r="H59" s="361"/>
    </row>
    <row r="60" spans="2:8" ht="12" hidden="1" customHeight="1" x14ac:dyDescent="0.2">
      <c r="B60" s="147" t="str">
        <f>IF(SUM([1]RFQ!C87:E87)&gt;0,[1]RFQ!A87,"")</f>
        <v/>
      </c>
      <c r="C60" s="256"/>
      <c r="D60" s="151">
        <f>[1]RFQ!C87</f>
        <v>0</v>
      </c>
      <c r="E60" s="364">
        <f>[1]RFQ!D87</f>
        <v>0</v>
      </c>
      <c r="F60" s="364"/>
      <c r="G60" s="364"/>
      <c r="H60" s="365"/>
    </row>
    <row r="61" spans="2:8" ht="12" hidden="1" customHeight="1" x14ac:dyDescent="0.2">
      <c r="B61" s="147" t="str">
        <f>IF(SUM([1]RFQ!C89:E89)&gt;0,[1]RFQ!A89,"")</f>
        <v/>
      </c>
      <c r="C61" s="256"/>
      <c r="D61" s="151">
        <f>[1]RFQ!C89</f>
        <v>0</v>
      </c>
      <c r="E61" s="364">
        <f>[1]RFQ!D89</f>
        <v>0</v>
      </c>
      <c r="F61" s="364"/>
      <c r="G61" s="364"/>
      <c r="H61" s="365"/>
    </row>
    <row r="62" spans="2:8" ht="12" hidden="1" customHeight="1" x14ac:dyDescent="0.2">
      <c r="B62" s="147" t="str">
        <f>IF(SUM([1]RFQ!C90:E90)&gt;0,[1]RFQ!A90,"")</f>
        <v/>
      </c>
      <c r="C62" s="256"/>
      <c r="D62" s="151">
        <f>[1]RFQ!C90</f>
        <v>0</v>
      </c>
      <c r="E62" s="364">
        <f>[1]RFQ!D90</f>
        <v>0</v>
      </c>
      <c r="F62" s="364"/>
      <c r="G62" s="364"/>
      <c r="H62" s="365"/>
    </row>
    <row r="63" spans="2:8" ht="12" hidden="1" customHeight="1" x14ac:dyDescent="0.2">
      <c r="B63" s="147" t="str">
        <f>IF(SUM([1]RFQ!C91:E91)&gt;0,[1]RFQ!A91,"")</f>
        <v/>
      </c>
      <c r="C63" s="256"/>
      <c r="D63" s="151">
        <f>[1]RFQ!C91</f>
        <v>0</v>
      </c>
      <c r="E63" s="364">
        <f>[1]RFQ!D91</f>
        <v>0</v>
      </c>
      <c r="F63" s="364"/>
      <c r="G63" s="364"/>
      <c r="H63" s="365"/>
    </row>
    <row r="64" spans="2:8" ht="12" hidden="1" customHeight="1" x14ac:dyDescent="0.2">
      <c r="B64" s="147" t="str">
        <f>IF(SUM([1]RFQ!C92:E92)&gt;0,[1]RFQ!A92,"")</f>
        <v/>
      </c>
      <c r="C64" s="256"/>
      <c r="D64" s="151">
        <f>[1]RFQ!C92</f>
        <v>0</v>
      </c>
      <c r="E64" s="364">
        <f>[1]RFQ!D92</f>
        <v>0</v>
      </c>
      <c r="F64" s="364"/>
      <c r="G64" s="364"/>
      <c r="H64" s="365"/>
    </row>
    <row r="65" spans="2:8" ht="12" hidden="1" customHeight="1" x14ac:dyDescent="0.2">
      <c r="B65" s="147" t="str">
        <f>IF(SUM([1]RFQ!C93:E93)&gt;0,[1]RFQ!A93,"")</f>
        <v/>
      </c>
      <c r="C65" s="256"/>
      <c r="D65" s="151">
        <f>[1]RFQ!C93</f>
        <v>0</v>
      </c>
      <c r="E65" s="364">
        <f>[1]RFQ!D93</f>
        <v>0</v>
      </c>
      <c r="F65" s="364"/>
      <c r="G65" s="364"/>
      <c r="H65" s="365"/>
    </row>
    <row r="66" spans="2:8" ht="12" hidden="1" customHeight="1" x14ac:dyDescent="0.2">
      <c r="B66" s="147" t="str">
        <f>IF(SUM([1]RFQ!C94:E94)&gt;0,[1]RFQ!A94,"")</f>
        <v/>
      </c>
      <c r="C66" s="256"/>
      <c r="D66" s="151">
        <f>[1]RFQ!C94</f>
        <v>0</v>
      </c>
      <c r="E66" s="364">
        <f>[1]RFQ!D94</f>
        <v>0</v>
      </c>
      <c r="F66" s="364"/>
      <c r="G66" s="364"/>
      <c r="H66" s="365"/>
    </row>
    <row r="67" spans="2:8" ht="12" hidden="1" customHeight="1" x14ac:dyDescent="0.2">
      <c r="B67" s="147" t="str">
        <f>IF(SUM([1]RFQ!C95:E95)&gt;0,[1]RFQ!A95,"")</f>
        <v/>
      </c>
      <c r="C67" s="256"/>
      <c r="D67" s="151">
        <f>[1]RFQ!C95</f>
        <v>0</v>
      </c>
      <c r="E67" s="364">
        <f>[1]RFQ!D95</f>
        <v>0</v>
      </c>
      <c r="F67" s="364"/>
      <c r="G67" s="364"/>
      <c r="H67" s="365"/>
    </row>
    <row r="68" spans="2:8" ht="12" hidden="1" customHeight="1" x14ac:dyDescent="0.2">
      <c r="B68" s="147" t="str">
        <f>IF(SUM([1]RFQ!C96:E96)&gt;0,[1]RFQ!A96,"")</f>
        <v/>
      </c>
      <c r="C68" s="256"/>
      <c r="D68" s="151">
        <f>[1]RFQ!C96</f>
        <v>0</v>
      </c>
      <c r="E68" s="364">
        <f>[1]RFQ!D96</f>
        <v>0</v>
      </c>
      <c r="F68" s="364"/>
      <c r="G68" s="364"/>
      <c r="H68" s="365"/>
    </row>
    <row r="69" spans="2:8" ht="13.5" hidden="1" customHeight="1" x14ac:dyDescent="0.2">
      <c r="B69" s="147" t="str">
        <f>IF(SUM([1]RFQ!C97:E97)&gt;0,[1]RFQ!A97,"")</f>
        <v/>
      </c>
      <c r="C69" s="256"/>
      <c r="D69" s="151">
        <f>[1]RFQ!C97</f>
        <v>0</v>
      </c>
      <c r="E69" s="364">
        <f>[1]RFQ!D97</f>
        <v>0</v>
      </c>
      <c r="F69" s="364"/>
      <c r="G69" s="364"/>
      <c r="H69" s="365"/>
    </row>
    <row r="70" spans="2:8" ht="26.25" customHeight="1" x14ac:dyDescent="0.2">
      <c r="B70" s="147" t="s">
        <v>123</v>
      </c>
      <c r="C70" s="256"/>
      <c r="D70" s="368" t="s">
        <v>32</v>
      </c>
      <c r="E70" s="369"/>
      <c r="F70" s="369"/>
      <c r="G70" s="369"/>
      <c r="H70" s="370"/>
    </row>
    <row r="71" spans="2:8" ht="12.6" customHeight="1" x14ac:dyDescent="0.2">
      <c r="B71" s="152" t="str">
        <f>IF([1]RFQ!G102="Salary Linked S.I",[1]RFQ!E104,"")</f>
        <v/>
      </c>
      <c r="C71" s="256"/>
      <c r="D71" s="148" t="str">
        <f>'QUOTE LETTER - Operations'!D71</f>
        <v/>
      </c>
      <c r="E71" s="153"/>
      <c r="F71" s="153"/>
      <c r="G71" s="153"/>
      <c r="H71" s="154"/>
    </row>
    <row r="72" spans="2:8" ht="15.75" customHeight="1" thickBot="1" x14ac:dyDescent="0.25">
      <c r="B72" s="155" t="s">
        <v>124</v>
      </c>
      <c r="C72" s="257"/>
      <c r="D72" s="371" t="str">
        <f>[1]RFQ!G103</f>
        <v>Covered</v>
      </c>
      <c r="E72" s="372"/>
      <c r="F72" s="372"/>
      <c r="G72" s="372"/>
      <c r="H72" s="373"/>
    </row>
    <row r="73" spans="2:8" ht="15.75" hidden="1" customHeight="1" x14ac:dyDescent="0.2">
      <c r="B73" s="156" t="str">
        <f>PROPER("TYPE OF POLICY")</f>
        <v>Type Of Policy</v>
      </c>
      <c r="C73" s="275" t="str">
        <f>[1]RFQ!C43</f>
        <v>Named</v>
      </c>
      <c r="D73" s="275"/>
      <c r="E73" s="275"/>
      <c r="F73" s="275"/>
      <c r="G73" s="275"/>
      <c r="H73" s="276"/>
    </row>
    <row r="74" spans="2:8" ht="14.25" customHeight="1" x14ac:dyDescent="0.2">
      <c r="B74" s="157" t="str">
        <f>PROPER("SCOPE OF COVERAGE")</f>
        <v>Scope Of Coverage</v>
      </c>
      <c r="C74" s="366" t="str">
        <f>'QUOTE LETTER - Operations'!C74</f>
        <v>24 Hours Worldwide</v>
      </c>
      <c r="D74" s="366"/>
      <c r="E74" s="366"/>
      <c r="F74" s="366"/>
      <c r="G74" s="366"/>
      <c r="H74" s="367"/>
    </row>
    <row r="75" spans="2:8" x14ac:dyDescent="0.2">
      <c r="B75" s="158" t="str">
        <f>PROPER("TOTAL LIVES COVERED")</f>
        <v>Total Lives Covered</v>
      </c>
      <c r="C75" s="279">
        <f>'QUOTE LETTER - Operations'!C75</f>
        <v>488</v>
      </c>
      <c r="D75" s="279"/>
      <c r="E75" s="279"/>
      <c r="F75" s="279"/>
      <c r="G75" s="279"/>
      <c r="H75" s="280"/>
    </row>
    <row r="76" spans="2:8" x14ac:dyDescent="0.2">
      <c r="B76" s="158" t="str">
        <f>PROPER("TOTAL DEATH CAPITAL SUM INSURED")</f>
        <v>Total Death Capital Sum Insured</v>
      </c>
      <c r="C76" s="279">
        <f>'QUOTE LETTER - Operations'!C76</f>
        <v>150000000</v>
      </c>
      <c r="D76" s="279"/>
      <c r="E76" s="279"/>
      <c r="F76" s="279"/>
      <c r="G76" s="279"/>
      <c r="H76" s="280"/>
    </row>
    <row r="77" spans="2:8" x14ac:dyDescent="0.2">
      <c r="B77" s="158" t="str">
        <f>PROPER("SUM INSURED BASIS")</f>
        <v>Sum Insured Basis</v>
      </c>
      <c r="C77" s="366" t="str">
        <f>'QUOTE LETTER - Operations'!C77</f>
        <v>Fixed S.I</v>
      </c>
      <c r="D77" s="366"/>
      <c r="E77" s="366"/>
      <c r="F77" s="366"/>
      <c r="G77" s="366"/>
      <c r="H77" s="367"/>
    </row>
    <row r="78" spans="2:8" hidden="1" x14ac:dyDescent="0.2">
      <c r="B78" s="158"/>
      <c r="C78" s="112"/>
      <c r="D78" s="113"/>
      <c r="E78" s="113"/>
      <c r="F78" s="113"/>
      <c r="G78" s="113"/>
      <c r="H78" s="114"/>
    </row>
    <row r="79" spans="2:8" hidden="1" x14ac:dyDescent="0.2">
      <c r="B79" s="158"/>
      <c r="C79" s="112"/>
      <c r="D79" s="113"/>
      <c r="E79" s="113"/>
      <c r="F79" s="113"/>
      <c r="G79" s="113"/>
      <c r="H79" s="114"/>
    </row>
    <row r="80" spans="2:8" ht="12" thickBot="1" x14ac:dyDescent="0.25">
      <c r="B80" s="115" t="str">
        <f>PROPER("AGGREGATE LIMIT")</f>
        <v>Aggregate Limit</v>
      </c>
      <c r="C80" s="279" t="str">
        <f>'QUOTE LETTER - Operations'!C80</f>
        <v>NA</v>
      </c>
      <c r="D80" s="279"/>
      <c r="E80" s="279"/>
      <c r="F80" s="279"/>
      <c r="G80" s="279"/>
      <c r="H80" s="280"/>
    </row>
    <row r="81" spans="2:15" ht="12.6" thickBot="1" x14ac:dyDescent="0.3">
      <c r="B81" s="159" t="str">
        <f>PROPER("PREMIUM PRE TAX ")&amp;" (INR)"</f>
        <v>Premium Pre Tax  (INR)</v>
      </c>
      <c r="C81" s="119">
        <f>IF(Rater!G19="Flat",Rater!C38,Rater!G38)</f>
        <v>60000</v>
      </c>
      <c r="D81" s="120"/>
      <c r="E81" s="120"/>
      <c r="F81" s="120"/>
      <c r="G81" s="160"/>
      <c r="H81" s="123"/>
    </row>
    <row r="82" spans="2:15" ht="12.6" thickBot="1" x14ac:dyDescent="0.3">
      <c r="B82" s="161" t="str">
        <f>PROPER("PREMIUM POST TAX")&amp;" (INR)"</f>
        <v>Premium Post Tax (INR)</v>
      </c>
      <c r="C82" s="125">
        <f>IFERROR(C81*1.18,C81)</f>
        <v>70800</v>
      </c>
      <c r="D82" s="126"/>
      <c r="E82" s="127"/>
      <c r="F82" s="126"/>
      <c r="G82" s="162"/>
      <c r="H82" s="129"/>
    </row>
    <row r="83" spans="2:15" x14ac:dyDescent="0.2">
      <c r="B83" s="163" t="str">
        <f>PROPER("PAYMENT IN FAVOUR OF")</f>
        <v>Payment In Favour Of</v>
      </c>
      <c r="C83" s="304" t="s">
        <v>95</v>
      </c>
      <c r="D83" s="305"/>
      <c r="E83" s="305"/>
      <c r="F83" s="305"/>
      <c r="G83" s="305"/>
      <c r="H83" s="306"/>
    </row>
    <row r="84" spans="2:15" x14ac:dyDescent="0.2">
      <c r="B84" s="163" t="str">
        <f>PROPER("PAYMENT MODE")</f>
        <v>Payment Mode</v>
      </c>
      <c r="C84" s="304" t="str">
        <f>PROPER("ANNUAL")</f>
        <v>Annual</v>
      </c>
      <c r="D84" s="305"/>
      <c r="E84" s="305"/>
      <c r="F84" s="305"/>
      <c r="G84" s="305"/>
      <c r="H84" s="306"/>
    </row>
    <row r="85" spans="2:15" ht="12" thickBot="1" x14ac:dyDescent="0.25">
      <c r="B85" s="164" t="str">
        <f>PROPER("DOCUMENTS REQUIRED")</f>
        <v>Documents Required</v>
      </c>
      <c r="C85" s="307" t="str">
        <f>PROPER("EMPLOYEE DETAILS AS PER FORMAT ATTACHED")</f>
        <v>Employee Details As Per Format Attached</v>
      </c>
      <c r="D85" s="308"/>
      <c r="E85" s="308"/>
      <c r="F85" s="308"/>
      <c r="G85" s="308"/>
      <c r="H85" s="309"/>
    </row>
    <row r="86" spans="2:15" ht="12.6" thickBot="1" x14ac:dyDescent="0.3">
      <c r="B86" s="310" t="str">
        <f>IF(AND([1]RFQ!C13="Contractual Employee",[1]RFQ!C52="Yes"),"This quote is valid subject to condition that the contractual employees are working exclusively for the captioned Corporate only.","")</f>
        <v/>
      </c>
      <c r="C86" s="311"/>
      <c r="D86" s="311"/>
      <c r="E86" s="311"/>
      <c r="F86" s="311"/>
      <c r="G86" s="311"/>
      <c r="H86" s="312"/>
    </row>
    <row r="87" spans="2:15" ht="15.75" customHeight="1" thickBot="1" x14ac:dyDescent="0.25">
      <c r="B87" s="376" t="str">
        <f>IF([1]RFQ!C8="Fresh","We confirm that this is the first time policy and there was no such arrangement previously under any mode.",IF(AND([1]RFQ!C8="Market Rollover",[1]RFQ!G26=0),"This quote is valid subject to nil claims.",IF(AND([1]RFQ!C8="TAGIC Renewal",[1]RFQ!G26=0),"This quote is valid subject to nil claims.","Total claim amount in past 3 years: INR "&amp;[1]RFQ!G26)))</f>
        <v>This quote is valid subject to nil claims.</v>
      </c>
      <c r="C87" s="377"/>
      <c r="D87" s="377"/>
      <c r="E87" s="377"/>
      <c r="F87" s="377"/>
      <c r="G87" s="377"/>
      <c r="H87" s="378"/>
    </row>
    <row r="88" spans="2:15" ht="53.25" customHeight="1" thickBot="1" x14ac:dyDescent="0.25">
      <c r="B88" s="379" t="s">
        <v>127</v>
      </c>
      <c r="C88" s="380"/>
      <c r="D88" s="380"/>
      <c r="E88" s="380"/>
      <c r="F88" s="380"/>
      <c r="G88" s="380"/>
      <c r="H88" s="381"/>
    </row>
    <row r="89" spans="2:15" ht="27" customHeight="1" thickBot="1" x14ac:dyDescent="0.25">
      <c r="B89" s="338" t="str">
        <f>"Risk Class: "&amp;IF([1]RFQ!C14="Risk class 1","Individuals in non-hazardous occupations with office or   travel duties, such as executives,"&amp;" senior management of   companies with mostly administrative functions, bankers,   accountants, lawyers, and similar occupations.",IF([1]RFQ!C14="Risk class 2","Individuals  facing  limited  exposure  to  occupational   hazards  with  superintending,"&amp;"  engineering  or  medical   duties,   such   as   plant   superintendents,   engineers,   physicians, inspectors and similar occupations",IF([1]RFQ!C14="Risk class 3","Individuals with occupational hazards, such as industrial   workers,  most  of  whom  are  skilled  or  semi-skilled   workers  using  machinery.   Also  in  this  group  will  be   found filling station"&amp;" attendants, farmers, tradesmen, retail   delivery clerks, and policemen not using motorcycles","Individuals with occupational hazards, such as industrial   workers using heavy machinery or unskilled labourers")))</f>
        <v>Risk Class: Individuals in non-hazardous occupations with office or   travel duties, such as executives, senior management of   companies with mostly administrative functions, bankers,   accountants, lawyers, and similar occupations.</v>
      </c>
      <c r="C89" s="374"/>
      <c r="D89" s="374"/>
      <c r="E89" s="374"/>
      <c r="F89" s="374"/>
      <c r="G89" s="374"/>
      <c r="H89" s="375"/>
    </row>
    <row r="90" spans="2:15" ht="27" customHeight="1" x14ac:dyDescent="0.2">
      <c r="B90" s="296" t="s">
        <v>128</v>
      </c>
      <c r="C90" s="297"/>
      <c r="D90" s="297"/>
      <c r="E90" s="297"/>
      <c r="F90" s="297"/>
      <c r="G90" s="297"/>
      <c r="H90" s="298"/>
    </row>
    <row r="91" spans="2:15" ht="15" customHeight="1" x14ac:dyDescent="0.2">
      <c r="B91" s="299" t="s">
        <v>129</v>
      </c>
      <c r="C91" s="300"/>
      <c r="D91" s="300"/>
      <c r="E91" s="300"/>
      <c r="F91" s="300"/>
      <c r="G91" s="300"/>
      <c r="H91" s="301"/>
      <c r="I91" s="302"/>
      <c r="J91" s="302"/>
      <c r="K91" s="302"/>
      <c r="L91" s="302"/>
      <c r="M91" s="302"/>
      <c r="N91" s="302"/>
      <c r="O91" s="303"/>
    </row>
    <row r="92" spans="2:15" ht="15" customHeight="1" x14ac:dyDescent="0.2">
      <c r="B92" s="299" t="s">
        <v>130</v>
      </c>
      <c r="C92" s="300"/>
      <c r="D92" s="300"/>
      <c r="E92" s="300"/>
      <c r="F92" s="300"/>
      <c r="G92" s="300"/>
      <c r="H92" s="301"/>
      <c r="I92" s="302"/>
      <c r="J92" s="302"/>
      <c r="K92" s="302"/>
      <c r="L92" s="302"/>
      <c r="M92" s="302"/>
      <c r="N92" s="302"/>
      <c r="O92" s="303"/>
    </row>
    <row r="93" spans="2:15" ht="15" customHeight="1" x14ac:dyDescent="0.2">
      <c r="B93" s="299" t="s">
        <v>131</v>
      </c>
      <c r="C93" s="300"/>
      <c r="D93" s="300"/>
      <c r="E93" s="300"/>
      <c r="F93" s="300"/>
      <c r="G93" s="300"/>
      <c r="H93" s="301"/>
      <c r="I93" s="131"/>
      <c r="J93" s="131"/>
      <c r="K93" s="131"/>
      <c r="L93" s="131"/>
      <c r="M93" s="131"/>
      <c r="N93" s="131"/>
      <c r="O93" s="132"/>
    </row>
    <row r="94" spans="2:15" ht="15" customHeight="1" x14ac:dyDescent="0.2">
      <c r="B94" s="299" t="s">
        <v>132</v>
      </c>
      <c r="C94" s="300"/>
      <c r="D94" s="300"/>
      <c r="E94" s="300"/>
      <c r="F94" s="300"/>
      <c r="G94" s="300"/>
      <c r="H94" s="301"/>
      <c r="I94" s="302"/>
      <c r="J94" s="302"/>
      <c r="K94" s="302"/>
      <c r="L94" s="302"/>
      <c r="M94" s="302"/>
      <c r="N94" s="302"/>
      <c r="O94" s="303"/>
    </row>
    <row r="95" spans="2:15" ht="15" customHeight="1" x14ac:dyDescent="0.2">
      <c r="B95" s="299" t="s">
        <v>133</v>
      </c>
      <c r="C95" s="300"/>
      <c r="D95" s="300"/>
      <c r="E95" s="300"/>
      <c r="F95" s="300"/>
      <c r="G95" s="300"/>
      <c r="H95" s="301"/>
      <c r="I95" s="302"/>
      <c r="J95" s="302"/>
      <c r="K95" s="302"/>
      <c r="L95" s="302"/>
      <c r="M95" s="302"/>
      <c r="N95" s="302"/>
      <c r="O95" s="303"/>
    </row>
    <row r="96" spans="2:15" ht="15" customHeight="1" x14ac:dyDescent="0.2">
      <c r="B96" s="299" t="s">
        <v>134</v>
      </c>
      <c r="C96" s="300"/>
      <c r="D96" s="300"/>
      <c r="E96" s="300"/>
      <c r="F96" s="300"/>
      <c r="G96" s="300"/>
      <c r="H96" s="301"/>
      <c r="I96" s="302"/>
      <c r="J96" s="302"/>
      <c r="K96" s="302"/>
      <c r="L96" s="302"/>
      <c r="M96" s="302"/>
      <c r="N96" s="302"/>
      <c r="O96" s="303"/>
    </row>
    <row r="97" spans="2:15" ht="15" customHeight="1" x14ac:dyDescent="0.2">
      <c r="B97" s="299" t="s">
        <v>135</v>
      </c>
      <c r="C97" s="300"/>
      <c r="D97" s="300"/>
      <c r="E97" s="300"/>
      <c r="F97" s="300"/>
      <c r="G97" s="300"/>
      <c r="H97" s="301"/>
      <c r="I97" s="302"/>
      <c r="J97" s="302"/>
      <c r="K97" s="302"/>
      <c r="L97" s="302"/>
      <c r="M97" s="302"/>
      <c r="N97" s="302"/>
      <c r="O97" s="303"/>
    </row>
    <row r="98" spans="2:15" ht="15" customHeight="1" x14ac:dyDescent="0.2">
      <c r="B98" s="299" t="s">
        <v>136</v>
      </c>
      <c r="C98" s="300"/>
      <c r="D98" s="300"/>
      <c r="E98" s="300"/>
      <c r="F98" s="300"/>
      <c r="G98" s="300"/>
      <c r="H98" s="301"/>
      <c r="I98" s="302"/>
      <c r="J98" s="302"/>
      <c r="K98" s="302"/>
      <c r="L98" s="302"/>
      <c r="M98" s="302"/>
      <c r="N98" s="302"/>
      <c r="O98" s="303"/>
    </row>
    <row r="99" spans="2:15" ht="27" customHeight="1" x14ac:dyDescent="0.2">
      <c r="B99" s="299" t="s">
        <v>137</v>
      </c>
      <c r="C99" s="300"/>
      <c r="D99" s="300"/>
      <c r="E99" s="300"/>
      <c r="F99" s="300"/>
      <c r="G99" s="300"/>
      <c r="H99" s="301"/>
      <c r="I99" s="302"/>
      <c r="J99" s="302"/>
      <c r="K99" s="302"/>
      <c r="L99" s="302"/>
      <c r="M99" s="302"/>
      <c r="N99" s="302"/>
      <c r="O99" s="303"/>
    </row>
    <row r="100" spans="2:15" ht="15" customHeight="1" x14ac:dyDescent="0.2">
      <c r="B100" s="299" t="s">
        <v>138</v>
      </c>
      <c r="C100" s="300"/>
      <c r="D100" s="300"/>
      <c r="E100" s="300"/>
      <c r="F100" s="300"/>
      <c r="G100" s="300"/>
      <c r="H100" s="301"/>
      <c r="I100" s="302"/>
      <c r="J100" s="302"/>
      <c r="K100" s="302"/>
      <c r="L100" s="302"/>
      <c r="M100" s="302"/>
      <c r="N100" s="302"/>
      <c r="O100" s="303"/>
    </row>
    <row r="101" spans="2:15" ht="24" customHeight="1" x14ac:dyDescent="0.2">
      <c r="B101" s="299" t="s">
        <v>139</v>
      </c>
      <c r="C101" s="300"/>
      <c r="D101" s="300"/>
      <c r="E101" s="300"/>
      <c r="F101" s="300"/>
      <c r="G101" s="300"/>
      <c r="H101" s="301"/>
      <c r="I101" s="133"/>
      <c r="J101" s="133"/>
      <c r="K101" s="133"/>
      <c r="L101" s="133"/>
      <c r="M101" s="133"/>
      <c r="N101" s="133"/>
      <c r="O101" s="133"/>
    </row>
    <row r="102" spans="2:15" ht="14.25" customHeight="1" thickBot="1" x14ac:dyDescent="0.25">
      <c r="B102" s="317" t="s">
        <v>140</v>
      </c>
      <c r="C102" s="318"/>
      <c r="D102" s="318"/>
      <c r="E102" s="318"/>
      <c r="F102" s="318"/>
      <c r="G102" s="318"/>
      <c r="H102" s="319"/>
    </row>
    <row r="103" spans="2:15" ht="31.5" hidden="1" customHeight="1" x14ac:dyDescent="0.2">
      <c r="B103" s="320" t="s">
        <v>141</v>
      </c>
      <c r="C103" s="321"/>
      <c r="D103" s="321"/>
      <c r="E103" s="321"/>
      <c r="F103" s="321"/>
      <c r="G103" s="321"/>
      <c r="H103" s="322"/>
    </row>
    <row r="104" spans="2:15" ht="12.75" customHeight="1" x14ac:dyDescent="0.2">
      <c r="B104" s="323" t="s">
        <v>142</v>
      </c>
      <c r="C104" s="324"/>
      <c r="D104" s="324"/>
      <c r="E104" s="324"/>
      <c r="F104" s="324"/>
      <c r="G104" s="324"/>
      <c r="H104" s="325"/>
    </row>
    <row r="105" spans="2:15" ht="13.5" customHeight="1" x14ac:dyDescent="0.2">
      <c r="B105" s="299" t="s">
        <v>143</v>
      </c>
      <c r="C105" s="300"/>
      <c r="D105" s="300"/>
      <c r="E105" s="300"/>
      <c r="F105" s="300"/>
      <c r="G105" s="300"/>
      <c r="H105" s="301"/>
      <c r="I105" s="302"/>
      <c r="J105" s="302"/>
      <c r="K105" s="302"/>
      <c r="L105" s="302"/>
      <c r="M105" s="302"/>
      <c r="N105" s="302"/>
      <c r="O105" s="316"/>
    </row>
    <row r="106" spans="2:15" ht="13.5" customHeight="1" x14ac:dyDescent="0.2">
      <c r="B106" s="299" t="s">
        <v>144</v>
      </c>
      <c r="C106" s="300"/>
      <c r="D106" s="300"/>
      <c r="E106" s="300"/>
      <c r="F106" s="300"/>
      <c r="G106" s="300"/>
      <c r="H106" s="301"/>
      <c r="I106" s="302"/>
      <c r="J106" s="302"/>
      <c r="K106" s="302"/>
      <c r="L106" s="302"/>
      <c r="M106" s="302"/>
      <c r="N106" s="302"/>
      <c r="O106" s="316"/>
    </row>
    <row r="107" spans="2:15" ht="15" customHeight="1" x14ac:dyDescent="0.2">
      <c r="B107" s="299" t="s">
        <v>145</v>
      </c>
      <c r="C107" s="300"/>
      <c r="D107" s="300"/>
      <c r="E107" s="300"/>
      <c r="F107" s="300"/>
      <c r="G107" s="300"/>
      <c r="H107" s="301"/>
      <c r="I107" s="302"/>
      <c r="J107" s="302"/>
      <c r="K107" s="302"/>
      <c r="L107" s="302"/>
      <c r="M107" s="302"/>
      <c r="N107" s="302"/>
      <c r="O107" s="316"/>
    </row>
    <row r="108" spans="2:15" ht="15" customHeight="1" x14ac:dyDescent="0.2">
      <c r="B108" s="299" t="s">
        <v>146</v>
      </c>
      <c r="C108" s="300"/>
      <c r="D108" s="300"/>
      <c r="E108" s="300"/>
      <c r="F108" s="300"/>
      <c r="G108" s="300"/>
      <c r="H108" s="301"/>
      <c r="I108" s="302"/>
      <c r="J108" s="302"/>
      <c r="K108" s="302"/>
      <c r="L108" s="302"/>
      <c r="M108" s="302"/>
      <c r="N108" s="302"/>
      <c r="O108" s="316"/>
    </row>
    <row r="109" spans="2:15" ht="15" customHeight="1" x14ac:dyDescent="0.2">
      <c r="B109" s="299" t="s">
        <v>147</v>
      </c>
      <c r="C109" s="300"/>
      <c r="D109" s="300"/>
      <c r="E109" s="300"/>
      <c r="F109" s="300"/>
      <c r="G109" s="300"/>
      <c r="H109" s="301"/>
      <c r="I109" s="302"/>
      <c r="J109" s="302"/>
      <c r="K109" s="302"/>
      <c r="L109" s="302"/>
      <c r="M109" s="302"/>
      <c r="N109" s="302"/>
      <c r="O109" s="316"/>
    </row>
    <row r="110" spans="2:15" ht="15" customHeight="1" x14ac:dyDescent="0.2">
      <c r="B110" s="299" t="s">
        <v>148</v>
      </c>
      <c r="C110" s="300"/>
      <c r="D110" s="300"/>
      <c r="E110" s="300"/>
      <c r="F110" s="300"/>
      <c r="G110" s="300"/>
      <c r="H110" s="301"/>
      <c r="I110" s="302"/>
      <c r="J110" s="302"/>
      <c r="K110" s="302"/>
      <c r="L110" s="302"/>
      <c r="M110" s="302"/>
      <c r="N110" s="302"/>
      <c r="O110" s="316"/>
    </row>
    <row r="111" spans="2:15" ht="24.75" customHeight="1" x14ac:dyDescent="0.2">
      <c r="B111" s="299" t="s">
        <v>149</v>
      </c>
      <c r="C111" s="300"/>
      <c r="D111" s="300"/>
      <c r="E111" s="300"/>
      <c r="F111" s="300"/>
      <c r="G111" s="300"/>
      <c r="H111" s="301"/>
      <c r="I111" s="302"/>
      <c r="J111" s="302"/>
      <c r="K111" s="302"/>
      <c r="L111" s="302"/>
      <c r="M111" s="302"/>
      <c r="N111" s="302"/>
      <c r="O111" s="316"/>
    </row>
    <row r="112" spans="2:15" ht="27" customHeight="1" x14ac:dyDescent="0.2">
      <c r="B112" s="299" t="s">
        <v>150</v>
      </c>
      <c r="C112" s="300"/>
      <c r="D112" s="300"/>
      <c r="E112" s="300"/>
      <c r="F112" s="300"/>
      <c r="G112" s="300"/>
      <c r="H112" s="301"/>
      <c r="I112" s="302"/>
      <c r="J112" s="302"/>
      <c r="K112" s="302"/>
      <c r="L112" s="302"/>
      <c r="M112" s="302"/>
      <c r="N112" s="302"/>
      <c r="O112" s="316"/>
    </row>
    <row r="113" spans="2:15" ht="15" customHeight="1" x14ac:dyDescent="0.2">
      <c r="B113" s="299" t="s">
        <v>151</v>
      </c>
      <c r="C113" s="300"/>
      <c r="D113" s="300"/>
      <c r="E113" s="300"/>
      <c r="F113" s="300"/>
      <c r="G113" s="300"/>
      <c r="H113" s="301"/>
      <c r="I113" s="302"/>
      <c r="J113" s="302"/>
      <c r="K113" s="302"/>
      <c r="L113" s="302"/>
      <c r="M113" s="302"/>
      <c r="N113" s="302"/>
      <c r="O113" s="316"/>
    </row>
    <row r="114" spans="2:15" ht="15" customHeight="1" x14ac:dyDescent="0.2">
      <c r="B114" s="299" t="s">
        <v>152</v>
      </c>
      <c r="C114" s="300"/>
      <c r="D114" s="300"/>
      <c r="E114" s="300"/>
      <c r="F114" s="300"/>
      <c r="G114" s="300"/>
      <c r="H114" s="301"/>
      <c r="I114" s="302"/>
      <c r="J114" s="302"/>
      <c r="K114" s="302"/>
      <c r="L114" s="302"/>
      <c r="M114" s="302"/>
      <c r="N114" s="302"/>
      <c r="O114" s="316"/>
    </row>
    <row r="115" spans="2:15" ht="16.5" customHeight="1" x14ac:dyDescent="0.2">
      <c r="B115" s="299" t="s">
        <v>153</v>
      </c>
      <c r="C115" s="300"/>
      <c r="D115" s="300"/>
      <c r="E115" s="300"/>
      <c r="F115" s="300"/>
      <c r="G115" s="300"/>
      <c r="H115" s="301"/>
      <c r="I115" s="302"/>
      <c r="J115" s="302"/>
      <c r="K115" s="302"/>
      <c r="L115" s="302"/>
      <c r="M115" s="302"/>
      <c r="N115" s="302"/>
      <c r="O115" s="316"/>
    </row>
    <row r="116" spans="2:15" ht="15" customHeight="1" x14ac:dyDescent="0.2">
      <c r="B116" s="299" t="s">
        <v>154</v>
      </c>
      <c r="C116" s="300"/>
      <c r="D116" s="300"/>
      <c r="E116" s="300"/>
      <c r="F116" s="300"/>
      <c r="G116" s="300"/>
      <c r="H116" s="301"/>
      <c r="I116" s="302"/>
      <c r="J116" s="302"/>
      <c r="K116" s="302"/>
      <c r="L116" s="302"/>
      <c r="M116" s="302"/>
      <c r="N116" s="302"/>
      <c r="O116" s="316"/>
    </row>
    <row r="117" spans="2:15" ht="27.75" customHeight="1" x14ac:dyDescent="0.2">
      <c r="B117" s="299" t="s">
        <v>155</v>
      </c>
      <c r="C117" s="300"/>
      <c r="D117" s="300"/>
      <c r="E117" s="300"/>
      <c r="F117" s="300"/>
      <c r="G117" s="300"/>
      <c r="H117" s="301"/>
      <c r="I117" s="302"/>
      <c r="J117" s="302"/>
      <c r="K117" s="302"/>
      <c r="L117" s="302"/>
      <c r="M117" s="302"/>
      <c r="N117" s="302"/>
      <c r="O117" s="316"/>
    </row>
    <row r="118" spans="2:15" ht="15" customHeight="1" x14ac:dyDescent="0.2">
      <c r="B118" s="299" t="s">
        <v>156</v>
      </c>
      <c r="C118" s="300"/>
      <c r="D118" s="300"/>
      <c r="E118" s="300"/>
      <c r="F118" s="300"/>
      <c r="G118" s="300"/>
      <c r="H118" s="301"/>
      <c r="I118" s="302"/>
      <c r="J118" s="302"/>
      <c r="K118" s="302"/>
      <c r="L118" s="302"/>
      <c r="M118" s="302"/>
      <c r="N118" s="302"/>
      <c r="O118" s="316"/>
    </row>
    <row r="119" spans="2:15" ht="15" customHeight="1" x14ac:dyDescent="0.2">
      <c r="B119" s="299" t="s">
        <v>157</v>
      </c>
      <c r="C119" s="300"/>
      <c r="D119" s="300"/>
      <c r="E119" s="300"/>
      <c r="F119" s="300"/>
      <c r="G119" s="300"/>
      <c r="H119" s="301"/>
      <c r="I119" s="302"/>
      <c r="J119" s="302"/>
      <c r="K119" s="302"/>
      <c r="L119" s="302"/>
      <c r="M119" s="302"/>
      <c r="N119" s="302"/>
      <c r="O119" s="316"/>
    </row>
    <row r="120" spans="2:15" ht="15" customHeight="1" x14ac:dyDescent="0.2">
      <c r="B120" s="299" t="s">
        <v>158</v>
      </c>
      <c r="C120" s="300"/>
      <c r="D120" s="300"/>
      <c r="E120" s="300"/>
      <c r="F120" s="300"/>
      <c r="G120" s="300"/>
      <c r="H120" s="301"/>
      <c r="I120" s="302"/>
      <c r="J120" s="302"/>
      <c r="K120" s="302"/>
      <c r="L120" s="302"/>
      <c r="M120" s="302"/>
      <c r="N120" s="302"/>
      <c r="O120" s="316"/>
    </row>
    <row r="121" spans="2:15" ht="15" customHeight="1" x14ac:dyDescent="0.2">
      <c r="B121" s="299" t="s">
        <v>159</v>
      </c>
      <c r="C121" s="300"/>
      <c r="D121" s="300"/>
      <c r="E121" s="300"/>
      <c r="F121" s="300"/>
      <c r="G121" s="300"/>
      <c r="H121" s="301"/>
      <c r="I121" s="302"/>
      <c r="J121" s="302"/>
      <c r="K121" s="302"/>
      <c r="L121" s="302"/>
      <c r="M121" s="302"/>
      <c r="N121" s="302"/>
      <c r="O121" s="316"/>
    </row>
    <row r="122" spans="2:15" ht="15" customHeight="1" x14ac:dyDescent="0.2">
      <c r="B122" s="299" t="s">
        <v>160</v>
      </c>
      <c r="C122" s="300"/>
      <c r="D122" s="300"/>
      <c r="E122" s="300"/>
      <c r="F122" s="300"/>
      <c r="G122" s="300"/>
      <c r="H122" s="301"/>
      <c r="I122" s="133"/>
      <c r="J122" s="133"/>
      <c r="K122" s="133"/>
      <c r="L122" s="133"/>
      <c r="M122" s="133"/>
      <c r="N122" s="133"/>
      <c r="O122" s="133"/>
    </row>
    <row r="123" spans="2:15" ht="15" customHeight="1" x14ac:dyDescent="0.2">
      <c r="B123" s="299" t="s">
        <v>161</v>
      </c>
      <c r="C123" s="300"/>
      <c r="D123" s="300"/>
      <c r="E123" s="300"/>
      <c r="F123" s="300"/>
      <c r="G123" s="300"/>
      <c r="H123" s="301"/>
      <c r="I123" s="133"/>
      <c r="J123" s="133"/>
      <c r="K123" s="133"/>
      <c r="L123" s="133"/>
      <c r="M123" s="133"/>
      <c r="N123" s="133"/>
      <c r="O123" s="133"/>
    </row>
    <row r="124" spans="2:15" ht="15" customHeight="1" x14ac:dyDescent="0.2">
      <c r="B124" s="299" t="s">
        <v>162</v>
      </c>
      <c r="C124" s="300"/>
      <c r="D124" s="300"/>
      <c r="E124" s="300"/>
      <c r="F124" s="300"/>
      <c r="G124" s="300"/>
      <c r="H124" s="301"/>
      <c r="I124" s="133"/>
      <c r="J124" s="133"/>
      <c r="K124" s="133"/>
      <c r="L124" s="133"/>
      <c r="M124" s="133"/>
      <c r="N124" s="133"/>
      <c r="O124" s="133"/>
    </row>
    <row r="125" spans="2:15" ht="15" customHeight="1" x14ac:dyDescent="0.2">
      <c r="B125" s="299" t="s">
        <v>163</v>
      </c>
      <c r="C125" s="300"/>
      <c r="D125" s="300"/>
      <c r="E125" s="300"/>
      <c r="F125" s="300"/>
      <c r="G125" s="300"/>
      <c r="H125" s="301"/>
      <c r="I125" s="133"/>
      <c r="J125" s="133"/>
      <c r="K125" s="133"/>
      <c r="L125" s="133"/>
      <c r="M125" s="133"/>
      <c r="N125" s="133"/>
      <c r="O125" s="133"/>
    </row>
    <row r="126" spans="2:15" ht="15" customHeight="1" x14ac:dyDescent="0.2">
      <c r="B126" s="299" t="s">
        <v>164</v>
      </c>
      <c r="C126" s="300"/>
      <c r="D126" s="300"/>
      <c r="E126" s="300"/>
      <c r="F126" s="300"/>
      <c r="G126" s="300"/>
      <c r="H126" s="301"/>
      <c r="I126" s="133"/>
      <c r="J126" s="133"/>
      <c r="K126" s="133"/>
      <c r="L126" s="133"/>
      <c r="M126" s="133"/>
      <c r="N126" s="133"/>
      <c r="O126" s="133"/>
    </row>
    <row r="127" spans="2:15" ht="15" customHeight="1" x14ac:dyDescent="0.2">
      <c r="B127" s="299"/>
      <c r="C127" s="300"/>
      <c r="D127" s="300"/>
      <c r="E127" s="300"/>
      <c r="F127" s="300"/>
      <c r="G127" s="300"/>
      <c r="H127" s="301"/>
      <c r="I127" s="133"/>
      <c r="J127" s="133"/>
      <c r="K127" s="133"/>
      <c r="L127" s="133"/>
      <c r="M127" s="133"/>
      <c r="N127" s="133"/>
      <c r="O127" s="133"/>
    </row>
    <row r="128" spans="2:15" ht="7.5" customHeight="1" x14ac:dyDescent="0.2">
      <c r="B128" s="299"/>
      <c r="C128" s="300"/>
      <c r="D128" s="300"/>
      <c r="E128" s="300"/>
      <c r="F128" s="300"/>
      <c r="G128" s="300"/>
      <c r="H128" s="301"/>
    </row>
    <row r="129" spans="2:8" ht="162.6" customHeight="1" thickBot="1" x14ac:dyDescent="0.25">
      <c r="B129" s="299" t="s">
        <v>179</v>
      </c>
      <c r="C129" s="300"/>
      <c r="D129" s="300"/>
      <c r="E129" s="300"/>
      <c r="F129" s="300"/>
      <c r="G129" s="300"/>
      <c r="H129" s="301"/>
    </row>
    <row r="130" spans="2:8" ht="60.75" customHeight="1" thickBot="1" x14ac:dyDescent="0.25">
      <c r="B130" s="320" t="s">
        <v>166</v>
      </c>
      <c r="C130" s="329"/>
      <c r="D130" s="329"/>
      <c r="E130" s="329"/>
      <c r="F130" s="329"/>
      <c r="G130" s="329"/>
      <c r="H130" s="330"/>
    </row>
    <row r="131" spans="2:8" ht="85.5" customHeight="1" thickBot="1" x14ac:dyDescent="0.25">
      <c r="B131" s="320" t="s">
        <v>167</v>
      </c>
      <c r="C131" s="329"/>
      <c r="D131" s="329"/>
      <c r="E131" s="329"/>
      <c r="F131" s="329"/>
      <c r="G131" s="329"/>
      <c r="H131" s="330"/>
    </row>
    <row r="132" spans="2:8" ht="24.75" customHeight="1" thickBot="1" x14ac:dyDescent="0.25">
      <c r="B132" s="338" t="s">
        <v>168</v>
      </c>
      <c r="C132" s="339"/>
      <c r="D132" s="339"/>
      <c r="E132" s="339"/>
      <c r="F132" s="339"/>
      <c r="G132" s="339"/>
      <c r="H132" s="340"/>
    </row>
    <row r="133" spans="2:8" ht="12" x14ac:dyDescent="0.2">
      <c r="B133" s="134" t="s">
        <v>169</v>
      </c>
      <c r="C133" s="341">
        <f ca="1">TODAY()+30</f>
        <v>46235</v>
      </c>
      <c r="D133" s="341"/>
      <c r="E133" s="341"/>
      <c r="F133" s="341"/>
      <c r="G133" s="341"/>
      <c r="H133" s="342"/>
    </row>
    <row r="134" spans="2:8" x14ac:dyDescent="0.2">
      <c r="B134" s="343"/>
      <c r="C134" s="344"/>
      <c r="D134" s="344"/>
      <c r="E134" s="344"/>
      <c r="F134" s="344"/>
      <c r="G134" s="344"/>
      <c r="H134" s="345"/>
    </row>
    <row r="135" spans="2:8" x14ac:dyDescent="0.2">
      <c r="B135" s="331" t="s">
        <v>170</v>
      </c>
      <c r="C135" s="334"/>
      <c r="D135" s="334"/>
      <c r="E135" s="334"/>
      <c r="F135" s="334"/>
      <c r="G135" s="334"/>
      <c r="H135" s="335"/>
    </row>
    <row r="136" spans="2:8" x14ac:dyDescent="0.2">
      <c r="B136" s="331" t="s">
        <v>171</v>
      </c>
      <c r="C136" s="334"/>
      <c r="D136" s="334"/>
      <c r="E136" s="334"/>
      <c r="F136" s="334"/>
      <c r="G136" s="334"/>
      <c r="H136" s="335"/>
    </row>
    <row r="137" spans="2:8" x14ac:dyDescent="0.2">
      <c r="B137" s="135"/>
      <c r="C137" s="136"/>
      <c r="D137" s="136"/>
      <c r="E137" s="136"/>
      <c r="F137" s="136"/>
      <c r="G137" s="136"/>
      <c r="H137" s="137"/>
    </row>
    <row r="138" spans="2:8" ht="3.75" customHeight="1" x14ac:dyDescent="0.2">
      <c r="B138" s="135"/>
      <c r="C138" s="136"/>
      <c r="D138" s="136"/>
      <c r="E138" s="136"/>
      <c r="F138" s="136"/>
      <c r="G138" s="136"/>
      <c r="H138" s="137"/>
    </row>
    <row r="139" spans="2:8" x14ac:dyDescent="0.2">
      <c r="B139" s="346" t="s">
        <v>172</v>
      </c>
      <c r="C139" s="347"/>
      <c r="D139" s="347"/>
      <c r="E139" s="347"/>
      <c r="F139" s="347"/>
      <c r="G139" s="347"/>
      <c r="H139" s="348"/>
    </row>
    <row r="140" spans="2:8" x14ac:dyDescent="0.2">
      <c r="B140" s="331" t="s">
        <v>173</v>
      </c>
      <c r="C140" s="332"/>
      <c r="D140" s="332"/>
      <c r="E140" s="332"/>
      <c r="F140" s="332"/>
      <c r="G140" s="332"/>
      <c r="H140" s="333"/>
    </row>
    <row r="141" spans="2:8" x14ac:dyDescent="0.2">
      <c r="B141" s="138" t="s">
        <v>174</v>
      </c>
      <c r="C141" s="139"/>
      <c r="D141" s="139"/>
      <c r="E141" s="139"/>
      <c r="F141" s="139"/>
      <c r="G141" s="139"/>
      <c r="H141" s="140"/>
    </row>
    <row r="142" spans="2:8" ht="4.5" customHeight="1" x14ac:dyDescent="0.2">
      <c r="B142" s="135"/>
      <c r="C142" s="136"/>
      <c r="D142" s="136"/>
      <c r="E142" s="136"/>
      <c r="F142" s="136"/>
      <c r="G142" s="136"/>
      <c r="H142" s="137"/>
    </row>
    <row r="143" spans="2:8" ht="4.5" customHeight="1" x14ac:dyDescent="0.2">
      <c r="B143" s="135"/>
      <c r="C143" s="136"/>
      <c r="D143" s="136"/>
      <c r="E143" s="136"/>
      <c r="F143" s="136"/>
      <c r="G143" s="136"/>
      <c r="H143" s="137"/>
    </row>
    <row r="144" spans="2:8" ht="6" customHeight="1" x14ac:dyDescent="0.2">
      <c r="B144" s="135" t="s">
        <v>175</v>
      </c>
      <c r="C144" s="136"/>
      <c r="D144" s="136"/>
      <c r="E144" s="136"/>
      <c r="F144" s="136"/>
      <c r="G144" s="136"/>
      <c r="H144" s="137"/>
    </row>
    <row r="145" spans="2:8" x14ac:dyDescent="0.2">
      <c r="B145" s="331" t="s">
        <v>176</v>
      </c>
      <c r="C145" s="334"/>
      <c r="D145" s="334"/>
      <c r="E145" s="334"/>
      <c r="F145" s="334"/>
      <c r="G145" s="334"/>
      <c r="H145" s="335"/>
    </row>
    <row r="146" spans="2:8" ht="16.5" customHeight="1" thickBot="1" x14ac:dyDescent="0.25">
      <c r="B146" s="141" t="s">
        <v>177</v>
      </c>
      <c r="C146" s="336"/>
      <c r="D146" s="336"/>
      <c r="E146" s="142" t="s">
        <v>178</v>
      </c>
      <c r="F146" s="336"/>
      <c r="G146" s="336"/>
      <c r="H146" s="337"/>
    </row>
  </sheetData>
  <sheetProtection selectLockedCells="1"/>
  <mergeCells count="191">
    <mergeCell ref="B136:H136"/>
    <mergeCell ref="B139:H139"/>
    <mergeCell ref="B140:H140"/>
    <mergeCell ref="B145:H145"/>
    <mergeCell ref="C146:D146"/>
    <mergeCell ref="F146:H146"/>
    <mergeCell ref="B130:H130"/>
    <mergeCell ref="B131:H131"/>
    <mergeCell ref="B132:H132"/>
    <mergeCell ref="C133:H133"/>
    <mergeCell ref="B134:H134"/>
    <mergeCell ref="B135:H135"/>
    <mergeCell ref="B124:H124"/>
    <mergeCell ref="B125:H125"/>
    <mergeCell ref="B126:H126"/>
    <mergeCell ref="B127:H127"/>
    <mergeCell ref="B128:H128"/>
    <mergeCell ref="B129:H129"/>
    <mergeCell ref="B120:H120"/>
    <mergeCell ref="I120:O120"/>
    <mergeCell ref="B121:H121"/>
    <mergeCell ref="I121:O121"/>
    <mergeCell ref="B122:H122"/>
    <mergeCell ref="B123:H123"/>
    <mergeCell ref="B117:H117"/>
    <mergeCell ref="I117:O117"/>
    <mergeCell ref="B118:H118"/>
    <mergeCell ref="I118:O118"/>
    <mergeCell ref="B119:H119"/>
    <mergeCell ref="I119:O119"/>
    <mergeCell ref="B114:H114"/>
    <mergeCell ref="I114:O114"/>
    <mergeCell ref="B115:H115"/>
    <mergeCell ref="I115:O115"/>
    <mergeCell ref="B116:H116"/>
    <mergeCell ref="I116:O116"/>
    <mergeCell ref="B111:H111"/>
    <mergeCell ref="I111:O111"/>
    <mergeCell ref="B112:H112"/>
    <mergeCell ref="I112:O112"/>
    <mergeCell ref="B113:H113"/>
    <mergeCell ref="I113:O113"/>
    <mergeCell ref="B108:H108"/>
    <mergeCell ref="I108:O108"/>
    <mergeCell ref="B109:H109"/>
    <mergeCell ref="I109:O109"/>
    <mergeCell ref="B110:H110"/>
    <mergeCell ref="I110:O110"/>
    <mergeCell ref="B105:H105"/>
    <mergeCell ref="I105:O105"/>
    <mergeCell ref="B106:H106"/>
    <mergeCell ref="I106:O106"/>
    <mergeCell ref="B107:H107"/>
    <mergeCell ref="I107:O107"/>
    <mergeCell ref="B100:H100"/>
    <mergeCell ref="I100:O100"/>
    <mergeCell ref="B101:H101"/>
    <mergeCell ref="B102:H102"/>
    <mergeCell ref="B103:H103"/>
    <mergeCell ref="B104:H104"/>
    <mergeCell ref="B97:H97"/>
    <mergeCell ref="I97:O97"/>
    <mergeCell ref="B98:H98"/>
    <mergeCell ref="I98:O98"/>
    <mergeCell ref="B99:H99"/>
    <mergeCell ref="I99:O99"/>
    <mergeCell ref="B93:H93"/>
    <mergeCell ref="B94:H94"/>
    <mergeCell ref="I94:O94"/>
    <mergeCell ref="B95:H95"/>
    <mergeCell ref="I95:O95"/>
    <mergeCell ref="B96:H96"/>
    <mergeCell ref="I96:O96"/>
    <mergeCell ref="B89:H89"/>
    <mergeCell ref="B90:H90"/>
    <mergeCell ref="B91:H91"/>
    <mergeCell ref="I91:O91"/>
    <mergeCell ref="B92:H92"/>
    <mergeCell ref="I92:O92"/>
    <mergeCell ref="C83:H83"/>
    <mergeCell ref="C84:H84"/>
    <mergeCell ref="C85:H85"/>
    <mergeCell ref="B86:H86"/>
    <mergeCell ref="B87:H87"/>
    <mergeCell ref="B88:H88"/>
    <mergeCell ref="C73:H73"/>
    <mergeCell ref="C74:H74"/>
    <mergeCell ref="C75:H75"/>
    <mergeCell ref="C76:H76"/>
    <mergeCell ref="C77:H77"/>
    <mergeCell ref="C80:H80"/>
    <mergeCell ref="E68:F68"/>
    <mergeCell ref="G68:H68"/>
    <mergeCell ref="E69:F69"/>
    <mergeCell ref="G69:H69"/>
    <mergeCell ref="D70:H70"/>
    <mergeCell ref="D72:H72"/>
    <mergeCell ref="E65:F65"/>
    <mergeCell ref="G65:H65"/>
    <mergeCell ref="E66:F66"/>
    <mergeCell ref="G66:H66"/>
    <mergeCell ref="E67:F67"/>
    <mergeCell ref="G67:H67"/>
    <mergeCell ref="E62:F62"/>
    <mergeCell ref="G62:H62"/>
    <mergeCell ref="E63:F63"/>
    <mergeCell ref="G63:H63"/>
    <mergeCell ref="E64:F64"/>
    <mergeCell ref="G64:H64"/>
    <mergeCell ref="E59:F59"/>
    <mergeCell ref="G59:H59"/>
    <mergeCell ref="E60:F60"/>
    <mergeCell ref="G60:H60"/>
    <mergeCell ref="E61:F61"/>
    <mergeCell ref="G61:H61"/>
    <mergeCell ref="E56:F56"/>
    <mergeCell ref="G56:H56"/>
    <mergeCell ref="E57:F57"/>
    <mergeCell ref="G57:H57"/>
    <mergeCell ref="E58:F58"/>
    <mergeCell ref="G58:H58"/>
    <mergeCell ref="E53:F53"/>
    <mergeCell ref="G53:H53"/>
    <mergeCell ref="E54:F54"/>
    <mergeCell ref="G54:H54"/>
    <mergeCell ref="E55:F55"/>
    <mergeCell ref="G55:H55"/>
    <mergeCell ref="E50:F50"/>
    <mergeCell ref="G50:H50"/>
    <mergeCell ref="E51:F51"/>
    <mergeCell ref="G51:H51"/>
    <mergeCell ref="E52:F52"/>
    <mergeCell ref="G52:H52"/>
    <mergeCell ref="E48:F48"/>
    <mergeCell ref="G48:H48"/>
    <mergeCell ref="E49:F49"/>
    <mergeCell ref="G49:H49"/>
    <mergeCell ref="E44:F44"/>
    <mergeCell ref="G44:H44"/>
    <mergeCell ref="E45:F45"/>
    <mergeCell ref="G45:H45"/>
    <mergeCell ref="E46:F46"/>
    <mergeCell ref="G46:H46"/>
    <mergeCell ref="L39:O39"/>
    <mergeCell ref="E40:H40"/>
    <mergeCell ref="C33:C72"/>
    <mergeCell ref="E33:F33"/>
    <mergeCell ref="G33:H33"/>
    <mergeCell ref="E34:F34"/>
    <mergeCell ref="G34:H34"/>
    <mergeCell ref="E35:F35"/>
    <mergeCell ref="G35:H35"/>
    <mergeCell ref="E36:F36"/>
    <mergeCell ref="G36:H36"/>
    <mergeCell ref="E37:F37"/>
    <mergeCell ref="E41:F41"/>
    <mergeCell ref="G41:H41"/>
    <mergeCell ref="E42:F42"/>
    <mergeCell ref="G42:H42"/>
    <mergeCell ref="E43:F43"/>
    <mergeCell ref="G43:H43"/>
    <mergeCell ref="G37:H37"/>
    <mergeCell ref="E38:F38"/>
    <mergeCell ref="G38:H38"/>
    <mergeCell ref="D39:H39"/>
    <mergeCell ref="E47:F47"/>
    <mergeCell ref="G47:H47"/>
    <mergeCell ref="C13:H13"/>
    <mergeCell ref="C15:H15"/>
    <mergeCell ref="C16:H16"/>
    <mergeCell ref="C17:H17"/>
    <mergeCell ref="C18:H18"/>
    <mergeCell ref="C31:H31"/>
    <mergeCell ref="C9:D9"/>
    <mergeCell ref="F9:H9"/>
    <mergeCell ref="B10:H10"/>
    <mergeCell ref="C11:H11"/>
    <mergeCell ref="I11:Q11"/>
    <mergeCell ref="C12:H12"/>
    <mergeCell ref="C6:D6"/>
    <mergeCell ref="F6:H6"/>
    <mergeCell ref="C7:D7"/>
    <mergeCell ref="F7:H7"/>
    <mergeCell ref="C8:D8"/>
    <mergeCell ref="F8:H8"/>
    <mergeCell ref="B1:H1"/>
    <mergeCell ref="B2:H2"/>
    <mergeCell ref="B3:H3"/>
    <mergeCell ref="B4:H4"/>
    <mergeCell ref="C5:D5"/>
    <mergeCell ref="F5:H5"/>
  </mergeCells>
  <pageMargins left="0.25" right="0.25" top="0.75" bottom="0.75" header="0.3" footer="0.3"/>
  <pageSetup scale="62" fitToHeight="0" orientation="portrait" r:id="rId1"/>
  <colBreaks count="1" manualBreakCount="1">
    <brk id="8"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M64"/>
  <sheetViews>
    <sheetView showGridLines="0" topLeftCell="B1" zoomScale="196" zoomScaleNormal="100" workbookViewId="0">
      <selection activeCell="C36" sqref="C36:D36"/>
    </sheetView>
  </sheetViews>
  <sheetFormatPr defaultColWidth="8.5546875" defaultRowHeight="14.4" x14ac:dyDescent="0.3"/>
  <cols>
    <col min="1" max="1" width="2" customWidth="1"/>
    <col min="2" max="2" width="33.44140625" customWidth="1"/>
    <col min="3" max="5" width="17.44140625" customWidth="1"/>
    <col min="6" max="6" width="28.77734375" bestFit="1" customWidth="1"/>
    <col min="7" max="7" width="38" customWidth="1"/>
    <col min="8" max="8" width="28.21875" customWidth="1"/>
    <col min="9" max="9" width="7.33203125" bestFit="1" customWidth="1"/>
    <col min="10" max="11" width="4" customWidth="1"/>
  </cols>
  <sheetData>
    <row r="1" spans="1:13" ht="14.25" customHeight="1" x14ac:dyDescent="0.3">
      <c r="A1" s="1"/>
      <c r="B1" s="1"/>
      <c r="C1" s="1"/>
      <c r="D1" s="1"/>
      <c r="E1" s="1"/>
      <c r="F1" s="1"/>
      <c r="G1" s="1"/>
      <c r="H1" s="1"/>
      <c r="I1" s="1"/>
      <c r="J1" s="1"/>
      <c r="K1" s="1"/>
      <c r="L1" s="1"/>
      <c r="M1" s="1"/>
    </row>
    <row r="2" spans="1:13" ht="27.75" customHeight="1" x14ac:dyDescent="0.3">
      <c r="A2" s="1"/>
      <c r="B2" s="204" t="s">
        <v>0</v>
      </c>
      <c r="C2" s="204"/>
      <c r="D2" s="204"/>
      <c r="E2" s="204"/>
      <c r="F2" s="204"/>
      <c r="G2" s="204"/>
      <c r="H2" s="1"/>
      <c r="I2" s="1"/>
      <c r="J2" s="1"/>
      <c r="K2" s="1"/>
      <c r="L2" s="1"/>
      <c r="M2" s="1"/>
    </row>
    <row r="3" spans="1:13" ht="15.75" customHeight="1" x14ac:dyDescent="0.3">
      <c r="A3" s="1"/>
      <c r="B3" s="205" t="s">
        <v>1</v>
      </c>
      <c r="C3" s="205"/>
      <c r="D3" s="205"/>
      <c r="E3" s="205"/>
      <c r="F3" s="205"/>
      <c r="G3" s="205"/>
      <c r="H3" s="1"/>
      <c r="I3" s="1"/>
      <c r="J3" s="1"/>
      <c r="K3" s="1"/>
      <c r="L3" s="1"/>
      <c r="M3" s="1"/>
    </row>
    <row r="4" spans="1:13" ht="14.25" customHeight="1" thickBot="1" x14ac:dyDescent="0.35">
      <c r="A4" s="1"/>
      <c r="B4" s="1"/>
      <c r="C4" s="1"/>
      <c r="D4" s="1"/>
      <c r="E4" s="1"/>
      <c r="F4" s="1"/>
      <c r="G4" s="1"/>
      <c r="H4" s="1"/>
      <c r="I4" s="1"/>
      <c r="J4" s="1"/>
      <c r="K4" s="1"/>
      <c r="L4" s="1"/>
      <c r="M4" s="1"/>
    </row>
    <row r="5" spans="1:13" ht="19.5" customHeight="1" thickBot="1" x14ac:dyDescent="0.35">
      <c r="A5" s="1"/>
      <c r="B5" s="203" t="s">
        <v>2</v>
      </c>
      <c r="C5" s="203"/>
      <c r="D5" s="203"/>
      <c r="E5" s="203"/>
      <c r="F5" s="165" t="s">
        <v>181</v>
      </c>
      <c r="G5" s="175" t="str">
        <f ca="1">IF(G11="Fresh","F/",IF(G11="Market Rollover","M/",""))&amp;TEXT(TODAY(),"ddmmyy")&amp;"-"&amp;G9</f>
        <v>F/020726-mumbai</v>
      </c>
      <c r="H5" s="1"/>
      <c r="I5" s="1"/>
      <c r="J5" s="1"/>
      <c r="K5" s="1"/>
      <c r="L5" s="1"/>
      <c r="M5" s="1"/>
    </row>
    <row r="6" spans="1:13" ht="19.5" customHeight="1" thickBot="1" x14ac:dyDescent="0.35">
      <c r="A6" s="1"/>
      <c r="B6" s="2" t="s">
        <v>3</v>
      </c>
      <c r="C6" s="2" t="s">
        <v>4</v>
      </c>
      <c r="D6" s="2" t="s">
        <v>5</v>
      </c>
      <c r="E6" s="2" t="s">
        <v>6</v>
      </c>
      <c r="F6" s="165" t="s">
        <v>99</v>
      </c>
      <c r="G6" s="180">
        <v>46183</v>
      </c>
      <c r="H6" s="1"/>
      <c r="I6" s="1"/>
      <c r="J6" s="1"/>
      <c r="K6" s="1"/>
      <c r="L6" s="1"/>
      <c r="M6" s="1"/>
    </row>
    <row r="7" spans="1:13" ht="18" customHeight="1" thickBot="1" x14ac:dyDescent="0.35">
      <c r="A7" s="1"/>
      <c r="B7" s="3" t="s">
        <v>7</v>
      </c>
      <c r="C7" s="4">
        <v>0.15</v>
      </c>
      <c r="D7" s="4">
        <v>0.2</v>
      </c>
      <c r="E7" s="4">
        <v>0.25</v>
      </c>
      <c r="F7" s="165" t="s">
        <v>180</v>
      </c>
      <c r="G7" s="175" t="s">
        <v>209</v>
      </c>
      <c r="H7" s="1"/>
      <c r="I7" s="1"/>
      <c r="J7" s="1"/>
      <c r="K7" s="1"/>
      <c r="L7" s="1"/>
      <c r="M7" s="1"/>
    </row>
    <row r="8" spans="1:13" ht="18" customHeight="1" thickBot="1" x14ac:dyDescent="0.35">
      <c r="A8" s="1"/>
      <c r="B8" s="5" t="s">
        <v>8</v>
      </c>
      <c r="C8" s="6">
        <v>0.15</v>
      </c>
      <c r="D8" s="6">
        <v>0.2</v>
      </c>
      <c r="E8" s="6">
        <v>0.25</v>
      </c>
      <c r="F8" s="165" t="s">
        <v>100</v>
      </c>
      <c r="G8" s="385">
        <v>46198</v>
      </c>
      <c r="H8" s="1"/>
      <c r="I8" s="1"/>
      <c r="J8" s="1"/>
      <c r="K8" s="1"/>
      <c r="L8" s="1"/>
      <c r="M8" s="1"/>
    </row>
    <row r="9" spans="1:13" ht="18" customHeight="1" thickBot="1" x14ac:dyDescent="0.35">
      <c r="A9" s="1"/>
      <c r="B9" s="3" t="s">
        <v>9</v>
      </c>
      <c r="C9" s="4">
        <v>0.2</v>
      </c>
      <c r="D9" s="4">
        <v>0.25</v>
      </c>
      <c r="E9" s="4">
        <v>0.3</v>
      </c>
      <c r="F9" s="165" t="s">
        <v>101</v>
      </c>
      <c r="G9" s="172" t="s">
        <v>210</v>
      </c>
      <c r="H9" s="1"/>
      <c r="I9" s="1"/>
      <c r="J9" s="1"/>
      <c r="K9" s="1"/>
      <c r="L9" s="1"/>
      <c r="M9" s="1"/>
    </row>
    <row r="10" spans="1:13" ht="18" customHeight="1" thickBot="1" x14ac:dyDescent="0.35">
      <c r="A10" s="1"/>
      <c r="B10" s="5" t="s">
        <v>10</v>
      </c>
      <c r="C10" s="6">
        <v>0.2</v>
      </c>
      <c r="D10" s="6">
        <v>0.25</v>
      </c>
      <c r="E10" s="6">
        <v>0.3</v>
      </c>
      <c r="F10" s="165" t="s">
        <v>104</v>
      </c>
      <c r="G10" s="172" t="s">
        <v>205</v>
      </c>
      <c r="H10" s="1"/>
      <c r="I10" s="1"/>
      <c r="J10" s="1"/>
      <c r="K10" s="1"/>
      <c r="L10" s="1"/>
      <c r="M10" s="1"/>
    </row>
    <row r="11" spans="1:13" ht="18" customHeight="1" thickBot="1" x14ac:dyDescent="0.35">
      <c r="A11" s="1"/>
      <c r="B11" s="3" t="s">
        <v>11</v>
      </c>
      <c r="C11" s="4">
        <v>0.2</v>
      </c>
      <c r="D11" s="4">
        <v>0.3</v>
      </c>
      <c r="E11" s="4">
        <v>0.32</v>
      </c>
      <c r="F11" s="165" t="s">
        <v>182</v>
      </c>
      <c r="G11" s="175" t="s">
        <v>206</v>
      </c>
      <c r="H11" s="173" t="str">
        <f>IF(G11="Market Rollover", "Kindly Share Exclusive Mandate"," ")</f>
        <v xml:space="preserve"> </v>
      </c>
      <c r="I11" s="174"/>
      <c r="J11" s="174"/>
      <c r="K11" s="174"/>
      <c r="L11" s="174"/>
      <c r="M11" s="1"/>
    </row>
    <row r="12" spans="1:13" ht="18" customHeight="1" thickBot="1" x14ac:dyDescent="0.35">
      <c r="A12" s="1"/>
      <c r="B12" s="5" t="s">
        <v>12</v>
      </c>
      <c r="C12" s="6">
        <v>0.26</v>
      </c>
      <c r="D12" s="6">
        <v>0.32</v>
      </c>
      <c r="E12" s="6">
        <v>0.4</v>
      </c>
      <c r="F12" s="165" t="s">
        <v>107</v>
      </c>
      <c r="G12" s="172" t="s">
        <v>184</v>
      </c>
      <c r="H12" s="1"/>
      <c r="I12" s="1"/>
      <c r="J12" s="1"/>
      <c r="K12" s="1"/>
      <c r="L12" s="1"/>
      <c r="M12" s="1"/>
    </row>
    <row r="13" spans="1:13" ht="18" customHeight="1" thickBot="1" x14ac:dyDescent="0.35">
      <c r="A13" s="1"/>
      <c r="B13" s="185"/>
      <c r="C13" s="186"/>
      <c r="D13" s="186"/>
      <c r="E13" s="186"/>
      <c r="F13" s="165" t="s">
        <v>208</v>
      </c>
      <c r="G13" s="175">
        <v>488</v>
      </c>
      <c r="H13" s="1"/>
      <c r="I13" s="1"/>
      <c r="J13" s="1"/>
      <c r="K13" s="1"/>
      <c r="L13" s="1"/>
      <c r="M13" s="1"/>
    </row>
    <row r="14" spans="1:13" ht="20.55" customHeight="1" thickBot="1" x14ac:dyDescent="0.35">
      <c r="A14" s="1"/>
      <c r="B14" s="1"/>
      <c r="C14" s="1"/>
      <c r="D14" s="1"/>
      <c r="E14" s="1"/>
      <c r="F14" s="165" t="s">
        <v>108</v>
      </c>
      <c r="G14" s="172" t="s">
        <v>185</v>
      </c>
      <c r="H14" s="1"/>
      <c r="I14" s="1"/>
      <c r="J14" s="1"/>
      <c r="K14" s="1"/>
      <c r="L14" s="1"/>
      <c r="M14" s="1"/>
    </row>
    <row r="15" spans="1:13" ht="24.6" customHeight="1" thickBot="1" x14ac:dyDescent="0.35">
      <c r="A15" s="1"/>
      <c r="B15" s="190" t="s">
        <v>13</v>
      </c>
      <c r="C15" s="190"/>
      <c r="D15" s="190"/>
      <c r="E15" s="190"/>
      <c r="F15" s="165" t="s">
        <v>38</v>
      </c>
      <c r="G15" s="181" t="s">
        <v>39</v>
      </c>
      <c r="H15" s="1"/>
      <c r="I15" s="1"/>
      <c r="J15" s="1"/>
      <c r="K15" s="1"/>
      <c r="L15" s="1"/>
      <c r="M15" s="1"/>
    </row>
    <row r="16" spans="1:13" ht="23.55" customHeight="1" thickBot="1" x14ac:dyDescent="0.35">
      <c r="A16" s="1"/>
      <c r="B16" s="1"/>
      <c r="C16" s="1"/>
      <c r="D16" s="1"/>
      <c r="E16" s="1"/>
      <c r="F16" s="165" t="s">
        <v>183</v>
      </c>
      <c r="G16" s="176" t="str">
        <f>PROPER(IF(AND(G14="EDUCATIONAL INSTITUTE",G15="Only Students of the Educational Institute are covered."),"3 Yrs to 25 Yrs",IF(AND(G14="EDUCATIONAL INSTITUTE",G15&lt;&gt;"Only Students of the Educational Institute are covered."),"3 Yrs to 70 Yrs","18 Yrs TO 70 Yrs; ONLY CAPITAL BENEFIT FOR AGE ABOVE 65 YRS")))</f>
        <v>18 Yrs To 70 Yrs; Only Capital Benefit For Age Above 65 Yrs</v>
      </c>
      <c r="H16" s="1"/>
      <c r="I16" s="1"/>
      <c r="J16" s="1"/>
      <c r="K16" s="1"/>
      <c r="L16" s="1"/>
      <c r="M16" s="1"/>
    </row>
    <row r="17" spans="1:13" ht="19.5" customHeight="1" thickBot="1" x14ac:dyDescent="0.35">
      <c r="A17" s="1"/>
      <c r="B17" s="191" t="s">
        <v>14</v>
      </c>
      <c r="C17" s="191"/>
      <c r="D17" s="191"/>
      <c r="E17" s="191"/>
      <c r="F17" s="165" t="s">
        <v>109</v>
      </c>
      <c r="G17" s="171">
        <v>0</v>
      </c>
      <c r="H17" s="1"/>
      <c r="I17" s="1"/>
      <c r="J17" s="1"/>
      <c r="K17" s="1"/>
      <c r="L17" s="1"/>
      <c r="M17" s="1"/>
    </row>
    <row r="18" spans="1:13" ht="18" customHeight="1" thickBot="1" x14ac:dyDescent="0.35">
      <c r="A18" s="1"/>
      <c r="B18" s="2" t="s">
        <v>15</v>
      </c>
      <c r="C18" s="2" t="s">
        <v>4</v>
      </c>
      <c r="D18" s="2" t="s">
        <v>5</v>
      </c>
      <c r="E18" s="2" t="s">
        <v>6</v>
      </c>
      <c r="F18" s="165" t="s">
        <v>110</v>
      </c>
      <c r="G18" s="177" t="s">
        <v>204</v>
      </c>
      <c r="H18" s="1"/>
      <c r="I18" s="1"/>
      <c r="J18" s="1"/>
      <c r="K18" s="1"/>
      <c r="L18" s="1"/>
      <c r="M18" s="1"/>
    </row>
    <row r="19" spans="1:13" ht="15.75" customHeight="1" thickBot="1" x14ac:dyDescent="0.35">
      <c r="A19" s="1"/>
      <c r="B19" s="7" t="s">
        <v>16</v>
      </c>
      <c r="C19" s="8">
        <v>7.4999999999999997E-2</v>
      </c>
      <c r="D19" s="8">
        <v>7.4999999999999997E-2</v>
      </c>
      <c r="E19" s="8">
        <v>7.4999999999999997E-2</v>
      </c>
      <c r="F19" s="165" t="s">
        <v>203</v>
      </c>
      <c r="G19" s="178" t="s">
        <v>207</v>
      </c>
      <c r="H19" s="1"/>
      <c r="I19" s="1"/>
      <c r="J19" s="1"/>
      <c r="K19" s="1"/>
      <c r="L19" s="1"/>
      <c r="M19" s="1"/>
    </row>
    <row r="20" spans="1:13" ht="15.75" customHeight="1" x14ac:dyDescent="0.3">
      <c r="A20" s="1"/>
      <c r="B20" s="5" t="s">
        <v>17</v>
      </c>
      <c r="C20" s="9">
        <v>7.4999999999999997E-2</v>
      </c>
      <c r="D20" s="9">
        <v>7.4999999999999997E-2</v>
      </c>
      <c r="E20" s="9">
        <v>7.4999999999999997E-2</v>
      </c>
      <c r="F20" s="1"/>
      <c r="G20" s="1"/>
      <c r="H20" s="1"/>
      <c r="I20" s="1"/>
      <c r="J20" s="1"/>
      <c r="K20" s="1"/>
      <c r="L20" s="1"/>
      <c r="M20" s="1"/>
    </row>
    <row r="21" spans="1:13" ht="15.75" customHeight="1" x14ac:dyDescent="0.3">
      <c r="A21" s="1"/>
      <c r="B21" s="7" t="s">
        <v>18</v>
      </c>
      <c r="C21" s="8">
        <v>0.15</v>
      </c>
      <c r="D21" s="8">
        <v>0.15</v>
      </c>
      <c r="E21" s="8">
        <v>0.15</v>
      </c>
      <c r="F21" s="1"/>
      <c r="G21" s="1"/>
      <c r="H21" s="1"/>
      <c r="I21" s="1"/>
      <c r="J21" s="1"/>
      <c r="K21" s="1"/>
      <c r="L21" s="1"/>
      <c r="M21" s="1"/>
    </row>
    <row r="22" spans="1:13" ht="15.75" customHeight="1" x14ac:dyDescent="0.3">
      <c r="A22" s="1"/>
      <c r="B22" s="5" t="s">
        <v>19</v>
      </c>
      <c r="C22" s="10" t="s">
        <v>20</v>
      </c>
      <c r="D22" s="10" t="s">
        <v>20</v>
      </c>
      <c r="E22" s="10" t="s">
        <v>20</v>
      </c>
      <c r="F22" s="1"/>
      <c r="G22" s="1"/>
      <c r="H22" s="1"/>
      <c r="I22" s="1"/>
      <c r="J22" s="1"/>
      <c r="K22" s="1"/>
      <c r="L22" s="1"/>
      <c r="M22" s="1"/>
    </row>
    <row r="23" spans="1:13" ht="14.25" customHeight="1" x14ac:dyDescent="0.3">
      <c r="A23" s="1"/>
      <c r="B23" s="1"/>
      <c r="C23" s="1"/>
      <c r="D23" s="1"/>
      <c r="E23" s="1"/>
      <c r="F23" s="1"/>
      <c r="G23" s="1"/>
      <c r="H23" s="1"/>
      <c r="I23" s="1"/>
      <c r="J23" s="1"/>
      <c r="K23" s="1"/>
      <c r="L23" s="1"/>
      <c r="M23" s="1"/>
    </row>
    <row r="24" spans="1:13" ht="14.25" customHeight="1" x14ac:dyDescent="0.3">
      <c r="A24" s="1"/>
      <c r="B24" s="1"/>
      <c r="C24" s="1"/>
      <c r="D24" s="1"/>
      <c r="E24" s="1"/>
      <c r="F24" s="1"/>
      <c r="G24" s="1"/>
      <c r="H24" s="1"/>
      <c r="I24" s="1"/>
      <c r="J24" s="1"/>
      <c r="K24" s="1"/>
      <c r="L24" s="1"/>
      <c r="M24" s="1"/>
    </row>
    <row r="25" spans="1:13" ht="19.5" customHeight="1" x14ac:dyDescent="0.3">
      <c r="A25" s="11"/>
      <c r="B25" s="195" t="s">
        <v>21</v>
      </c>
      <c r="C25" s="195"/>
      <c r="D25" s="195"/>
      <c r="E25" s="195"/>
      <c r="F25" s="195"/>
      <c r="G25" s="195"/>
      <c r="H25" s="11"/>
      <c r="I25" s="11"/>
      <c r="J25" s="11"/>
      <c r="K25" s="11"/>
      <c r="L25" s="11"/>
      <c r="M25" s="11"/>
    </row>
    <row r="26" spans="1:13" ht="15.75" customHeight="1" x14ac:dyDescent="0.3">
      <c r="A26" s="11"/>
      <c r="B26" s="207" t="s">
        <v>73</v>
      </c>
      <c r="C26" s="208"/>
      <c r="D26" s="208"/>
      <c r="F26" s="196" t="s">
        <v>74</v>
      </c>
      <c r="G26" s="197"/>
      <c r="I26" s="11"/>
      <c r="J26" s="11"/>
      <c r="K26" s="11"/>
      <c r="L26" s="11"/>
      <c r="M26" s="11"/>
    </row>
    <row r="27" spans="1:13" ht="15.75" customHeight="1" x14ac:dyDescent="0.3">
      <c r="A27" s="11"/>
      <c r="B27" s="207"/>
      <c r="C27" s="208"/>
      <c r="D27" s="208"/>
      <c r="F27" s="198"/>
      <c r="G27" s="199"/>
      <c r="I27" s="11"/>
      <c r="J27" s="11"/>
      <c r="K27" s="11"/>
      <c r="L27" s="11"/>
      <c r="M27" s="11"/>
    </row>
    <row r="28" spans="1:13" ht="18" customHeight="1" x14ac:dyDescent="0.3">
      <c r="A28" s="11"/>
      <c r="B28" s="12" t="s">
        <v>22</v>
      </c>
      <c r="C28" s="192" t="s">
        <v>4</v>
      </c>
      <c r="D28" s="192"/>
      <c r="F28" s="12" t="s">
        <v>22</v>
      </c>
      <c r="G28" s="26" t="s">
        <v>4</v>
      </c>
      <c r="I28" s="11"/>
      <c r="J28" s="11"/>
      <c r="K28" s="11"/>
      <c r="L28" s="11"/>
      <c r="M28" s="11"/>
    </row>
    <row r="29" spans="1:13" ht="18" customHeight="1" x14ac:dyDescent="0.3">
      <c r="A29" s="11"/>
      <c r="B29" s="12" t="s">
        <v>3</v>
      </c>
      <c r="C29" s="192" t="s">
        <v>7</v>
      </c>
      <c r="D29" s="192"/>
      <c r="F29" s="12" t="s">
        <v>3</v>
      </c>
      <c r="G29" s="26" t="s">
        <v>7</v>
      </c>
      <c r="I29" s="11"/>
      <c r="J29" s="11"/>
      <c r="K29" s="11"/>
      <c r="L29" s="11"/>
      <c r="M29" s="11"/>
    </row>
    <row r="30" spans="1:13" ht="4.5" customHeight="1" x14ac:dyDescent="0.3">
      <c r="A30" s="11"/>
      <c r="B30" s="11"/>
      <c r="C30" s="194"/>
      <c r="D30" s="194"/>
      <c r="F30" s="11"/>
      <c r="G30" s="11"/>
      <c r="I30" s="11"/>
      <c r="J30" s="11"/>
      <c r="K30" s="11"/>
      <c r="L30" s="11"/>
      <c r="M30" s="11"/>
    </row>
    <row r="31" spans="1:13" ht="18" customHeight="1" x14ac:dyDescent="0.3">
      <c r="A31" s="11"/>
      <c r="B31" s="12" t="s">
        <v>23</v>
      </c>
      <c r="C31" s="200">
        <v>500000</v>
      </c>
      <c r="D31" s="200"/>
      <c r="F31" s="209" t="s">
        <v>24</v>
      </c>
      <c r="G31" s="200">
        <v>150000000</v>
      </c>
      <c r="I31" s="11"/>
      <c r="J31" s="11"/>
      <c r="K31" s="11"/>
      <c r="L31" s="11"/>
      <c r="M31" s="11"/>
    </row>
    <row r="32" spans="1:13" ht="18" customHeight="1" x14ac:dyDescent="0.3">
      <c r="A32" s="11"/>
      <c r="B32" s="12" t="s">
        <v>25</v>
      </c>
      <c r="C32" s="192">
        <f>G13</f>
        <v>488</v>
      </c>
      <c r="D32" s="192"/>
      <c r="F32" s="210"/>
      <c r="G32" s="200"/>
      <c r="I32" s="11"/>
      <c r="J32" s="11"/>
      <c r="K32" s="11"/>
      <c r="L32" s="11"/>
      <c r="M32" s="11"/>
    </row>
    <row r="33" spans="1:13" ht="18" customHeight="1" x14ac:dyDescent="0.3">
      <c r="A33" s="11"/>
      <c r="B33" s="12" t="s">
        <v>24</v>
      </c>
      <c r="C33" s="193">
        <f>C31*C32</f>
        <v>244000000</v>
      </c>
      <c r="D33" s="193"/>
      <c r="F33" s="211"/>
      <c r="G33" s="200"/>
      <c r="I33" s="11"/>
      <c r="J33" s="11"/>
      <c r="K33" s="11"/>
      <c r="L33" s="11"/>
      <c r="M33" s="11"/>
    </row>
    <row r="34" spans="1:13" ht="4.5" customHeight="1" x14ac:dyDescent="0.3">
      <c r="A34" s="11"/>
      <c r="B34" s="11"/>
      <c r="C34" s="194"/>
      <c r="D34" s="194"/>
      <c r="F34" s="11"/>
      <c r="G34" s="11"/>
      <c r="I34" s="11"/>
      <c r="J34" s="11"/>
      <c r="K34" s="11"/>
      <c r="L34" s="11"/>
      <c r="M34" s="11"/>
    </row>
    <row r="35" spans="1:13" ht="18" customHeight="1" x14ac:dyDescent="0.3">
      <c r="A35" s="11"/>
      <c r="B35" s="31" t="s">
        <v>69</v>
      </c>
      <c r="C35" s="201">
        <v>0.15</v>
      </c>
      <c r="D35" s="201"/>
      <c r="E35" s="182" t="str">
        <f>IF(C35&lt;C36,"Check Rate"," ")</f>
        <v xml:space="preserve"> </v>
      </c>
      <c r="F35" s="31" t="s">
        <v>69</v>
      </c>
      <c r="G35" s="27">
        <v>0.4</v>
      </c>
      <c r="H35" s="182" t="str">
        <f>IF(G35&lt;G36,"Check Rate"," ")</f>
        <v xml:space="preserve"> </v>
      </c>
      <c r="I35" s="11"/>
      <c r="J35" s="11"/>
      <c r="K35" s="11"/>
      <c r="L35" s="11"/>
      <c r="M35" s="11"/>
    </row>
    <row r="36" spans="1:13" ht="18" customHeight="1" x14ac:dyDescent="0.3">
      <c r="A36" s="11"/>
      <c r="B36" s="31" t="s">
        <v>70</v>
      </c>
      <c r="C36" s="202">
        <f>IFERROR(CHOOSE(MATCH(C29,{"IT / ITES / BPO / KPO","Financial Services / Consultancy / Insurance","Retailers / Trader / Wholesaler","Hotel Industry","Manufacturing","Construction"},0),CHOOSE(MATCH(C28,{"Basic","Standard","Pro"},0),0.15,0.2,0.25),CHOOSE(MATCH(C28,{"Basic","Standard","Pro"},0),0.15,0.2,0.25),CHOOSE(MATCH(C28,{"Basic","Standard","Pro"},0),0.2,0.25,0.3),CHOOSE(MATCH(C28,{"Basic","Standard","Pro"},0),0.2,0.25,0.3),CHOOSE(MATCH(C28,{"Basic","Standard","Pro"},0),0.2,0.3,0.32),CHOOSE(MATCH(C28,{"Basic","Standard","Pro"},0),0.26,0.32,0.4)),"?")</f>
        <v>0.15</v>
      </c>
      <c r="D36" s="202"/>
      <c r="E36" s="179"/>
      <c r="F36" s="31" t="s">
        <v>70</v>
      </c>
      <c r="G36" s="28">
        <f>IFERROR(CHOOSE(MATCH(G29,{"IT / ITES / BPO / KPO","Financial Services / Consultancy / Insurance","Retailers / Trader / Wholesaler","Hotel Industry","Manufacturing","Construction"},0),CHOOSE(MATCH(G28,{"Basic","Standard","Pro"},0),0.15,0.2,0.25),CHOOSE(MATCH(G28,{"Basic","Standard","Pro"},0),0.15,0.2,0.25),CHOOSE(MATCH(G28,{"Basic","Standard","Pro"},0),0.2,0.25,0.3),CHOOSE(MATCH(G28,{"Basic","Standard","Pro"},0),0.2,0.25,0.3),CHOOSE(MATCH(G28,{"Basic","Standard","Pro"},0),0.2,0.3,0.32),CHOOSE(MATCH(G28,{"Basic","Standard","Pro"},0),0.26,0.32,0.4)),"?")</f>
        <v>0.15</v>
      </c>
      <c r="I36" s="11"/>
      <c r="J36" s="11"/>
      <c r="K36" s="11"/>
      <c r="L36" s="11"/>
      <c r="M36" s="11"/>
    </row>
    <row r="37" spans="1:13" ht="4.5" customHeight="1" x14ac:dyDescent="0.3">
      <c r="A37" s="11"/>
      <c r="B37" s="11"/>
      <c r="C37" s="194"/>
      <c r="D37" s="194"/>
      <c r="F37" s="11"/>
      <c r="G37" s="11"/>
      <c r="I37" s="11"/>
      <c r="J37" s="11"/>
      <c r="K37" s="11"/>
      <c r="L37" s="11"/>
      <c r="M37" s="11"/>
    </row>
    <row r="38" spans="1:13" ht="18" customHeight="1" x14ac:dyDescent="0.3">
      <c r="A38" s="11"/>
      <c r="B38" s="29" t="s">
        <v>67</v>
      </c>
      <c r="C38" s="214">
        <f>C33*C35/1000</f>
        <v>36600</v>
      </c>
      <c r="D38" s="214"/>
      <c r="F38" s="29" t="s">
        <v>67</v>
      </c>
      <c r="G38" s="30">
        <f>MAX(3500,G31*G35/1000)</f>
        <v>60000</v>
      </c>
      <c r="I38" s="11">
        <f>G31*G35/1000</f>
        <v>60000</v>
      </c>
      <c r="J38" s="11"/>
      <c r="K38" s="11"/>
      <c r="L38" s="11"/>
      <c r="M38" s="11"/>
    </row>
    <row r="39" spans="1:13" ht="3.75" customHeight="1" x14ac:dyDescent="0.3">
      <c r="A39" s="11"/>
      <c r="B39" s="13"/>
      <c r="C39" s="215"/>
      <c r="D39" s="194"/>
      <c r="F39" s="13"/>
      <c r="G39" s="11"/>
      <c r="I39" s="11"/>
      <c r="J39" s="11"/>
      <c r="K39" s="11"/>
      <c r="L39" s="11"/>
      <c r="M39" s="1"/>
    </row>
    <row r="40" spans="1:13" ht="18" customHeight="1" x14ac:dyDescent="0.3">
      <c r="A40" s="11"/>
      <c r="B40" s="31" t="s">
        <v>66</v>
      </c>
      <c r="C40" s="193">
        <f>C38*0.075</f>
        <v>2745</v>
      </c>
      <c r="D40" s="193"/>
      <c r="F40" s="31" t="s">
        <v>66</v>
      </c>
      <c r="G40" s="23">
        <f>G38*0.075</f>
        <v>4500</v>
      </c>
      <c r="I40" s="11"/>
      <c r="J40" s="11"/>
      <c r="K40" s="11"/>
      <c r="L40" s="11"/>
      <c r="M40" s="11"/>
    </row>
    <row r="41" spans="1:13" ht="18" customHeight="1" x14ac:dyDescent="0.3">
      <c r="A41" s="1"/>
      <c r="B41" s="31" t="s">
        <v>65</v>
      </c>
      <c r="C41" s="193">
        <f>C38*0.075</f>
        <v>2745</v>
      </c>
      <c r="D41" s="193"/>
      <c r="F41" s="31" t="s">
        <v>68</v>
      </c>
      <c r="G41" s="23">
        <f>G38*0.075</f>
        <v>4500</v>
      </c>
      <c r="I41" s="1"/>
      <c r="J41" s="1"/>
      <c r="K41" s="1"/>
      <c r="L41" s="1"/>
      <c r="M41" s="1"/>
    </row>
    <row r="42" spans="1:13" ht="18" customHeight="1" x14ac:dyDescent="0.3">
      <c r="A42" s="1"/>
      <c r="B42" s="12" t="s">
        <v>62</v>
      </c>
      <c r="C42" s="193">
        <f>C33*(C35-C36)*0.65/1000</f>
        <v>0</v>
      </c>
      <c r="D42" s="193"/>
      <c r="E42" s="74"/>
      <c r="F42" s="12" t="s">
        <v>62</v>
      </c>
      <c r="G42" s="23">
        <f>G31*(G35-G36)*0.65/1000</f>
        <v>24375</v>
      </c>
      <c r="I42" s="1"/>
      <c r="J42" s="1"/>
      <c r="K42" s="1"/>
      <c r="L42" s="1"/>
      <c r="M42" s="1"/>
    </row>
    <row r="43" spans="1:13" ht="18" customHeight="1" x14ac:dyDescent="0.3">
      <c r="A43" s="1"/>
      <c r="B43" s="31" t="s">
        <v>64</v>
      </c>
      <c r="C43" s="193">
        <f>SUM(C40:C42)</f>
        <v>5490</v>
      </c>
      <c r="D43" s="193"/>
      <c r="F43" s="31" t="s">
        <v>64</v>
      </c>
      <c r="G43" s="23">
        <f>SUM(G40:G42)</f>
        <v>33375</v>
      </c>
      <c r="I43" s="1"/>
      <c r="J43" s="1"/>
      <c r="K43" s="1"/>
      <c r="L43" s="1"/>
      <c r="M43" s="1"/>
    </row>
    <row r="44" spans="1:13" ht="7.5" customHeight="1" x14ac:dyDescent="0.3">
      <c r="A44" s="1"/>
      <c r="B44" s="14"/>
      <c r="C44" s="212"/>
      <c r="D44" s="212"/>
      <c r="F44" s="14"/>
      <c r="G44" s="14"/>
      <c r="I44" s="1"/>
      <c r="J44" s="1"/>
      <c r="K44" s="1"/>
      <c r="L44" s="1"/>
      <c r="M44" s="1"/>
    </row>
    <row r="45" spans="1:13" ht="19.350000000000001" customHeight="1" x14ac:dyDescent="0.3">
      <c r="A45" s="1"/>
      <c r="B45" s="12" t="s">
        <v>63</v>
      </c>
      <c r="C45" s="213">
        <f>C40/C38</f>
        <v>7.4999999999999997E-2</v>
      </c>
      <c r="D45" s="213"/>
      <c r="F45" s="12" t="s">
        <v>63</v>
      </c>
      <c r="G45" s="24">
        <f>G40/G38</f>
        <v>7.4999999999999997E-2</v>
      </c>
      <c r="I45" s="1"/>
      <c r="J45" s="1"/>
      <c r="K45" s="1"/>
      <c r="L45" s="1"/>
      <c r="M45" s="1"/>
    </row>
    <row r="46" spans="1:13" ht="18" customHeight="1" x14ac:dyDescent="0.3">
      <c r="A46" s="11"/>
      <c r="B46" s="31" t="s">
        <v>72</v>
      </c>
      <c r="C46" s="213">
        <f>(C41+C42)/C38</f>
        <v>7.4999999999999997E-2</v>
      </c>
      <c r="D46" s="213"/>
      <c r="F46" s="12" t="s">
        <v>26</v>
      </c>
      <c r="G46" s="24">
        <f>(G41+G42)/G38</f>
        <v>0.48125000000000001</v>
      </c>
      <c r="I46" s="11"/>
      <c r="J46" s="11"/>
      <c r="K46" s="11"/>
      <c r="L46" s="11"/>
      <c r="M46" s="11"/>
    </row>
    <row r="47" spans="1:13" ht="18" customHeight="1" x14ac:dyDescent="0.3">
      <c r="A47" s="11"/>
      <c r="B47" s="31" t="s">
        <v>71</v>
      </c>
      <c r="C47" s="206">
        <f>SUM(C45:C46)</f>
        <v>0.15</v>
      </c>
      <c r="D47" s="206"/>
      <c r="F47" s="31" t="s">
        <v>71</v>
      </c>
      <c r="G47" s="25">
        <f>SUM(G45:G46)</f>
        <v>0.55625000000000002</v>
      </c>
      <c r="I47" s="11"/>
      <c r="J47" s="11"/>
      <c r="K47" s="11"/>
      <c r="L47" s="11"/>
      <c r="M47" s="11"/>
    </row>
    <row r="48" spans="1:13" ht="18" customHeight="1" x14ac:dyDescent="0.3">
      <c r="A48" s="11"/>
      <c r="B48" s="16"/>
      <c r="C48" s="15"/>
      <c r="D48" s="15"/>
      <c r="E48" s="16"/>
      <c r="F48" s="15"/>
      <c r="G48" s="15"/>
      <c r="H48" s="11"/>
      <c r="I48" s="11"/>
      <c r="J48" s="11"/>
      <c r="K48" s="11"/>
      <c r="L48" s="11"/>
      <c r="M48" s="11"/>
    </row>
    <row r="49" spans="1:13" ht="14.25" hidden="1" customHeight="1" x14ac:dyDescent="0.3">
      <c r="A49" s="11"/>
      <c r="B49" s="11"/>
      <c r="C49" s="1"/>
      <c r="D49" s="1"/>
      <c r="E49" s="1"/>
      <c r="F49" s="1"/>
      <c r="G49" s="11"/>
      <c r="H49" s="11"/>
      <c r="I49" s="11"/>
      <c r="J49" s="11"/>
      <c r="K49" s="11"/>
      <c r="L49" s="11"/>
      <c r="M49" s="11"/>
    </row>
    <row r="50" spans="1:13" ht="12" customHeight="1" x14ac:dyDescent="0.3">
      <c r="A50" s="11"/>
      <c r="B50" s="17" t="s">
        <v>27</v>
      </c>
      <c r="C50" s="1"/>
      <c r="D50" s="1"/>
      <c r="E50" s="1"/>
      <c r="F50" s="1"/>
      <c r="G50" s="11"/>
      <c r="H50" s="11"/>
      <c r="I50" s="11"/>
      <c r="J50" s="11"/>
      <c r="K50" s="11"/>
      <c r="L50" s="11"/>
      <c r="M50" s="11"/>
    </row>
    <row r="51" spans="1:13" ht="14.25" hidden="1" customHeight="1" x14ac:dyDescent="0.3">
      <c r="A51" s="11"/>
      <c r="B51" s="11"/>
      <c r="G51" s="11"/>
      <c r="H51" s="11"/>
      <c r="I51" s="11"/>
      <c r="J51" s="11"/>
      <c r="K51" s="11"/>
      <c r="L51" s="11"/>
      <c r="M51" s="11"/>
    </row>
    <row r="52" spans="1:13" ht="15.75" customHeight="1" x14ac:dyDescent="0.3">
      <c r="A52" s="11"/>
      <c r="B52" s="189" t="s">
        <v>28</v>
      </c>
      <c r="C52" s="189"/>
      <c r="D52" s="189"/>
      <c r="E52" s="189"/>
      <c r="F52" s="189"/>
      <c r="G52" s="11"/>
      <c r="H52" s="11"/>
      <c r="I52" s="11"/>
      <c r="J52" s="11"/>
      <c r="K52" s="11"/>
      <c r="L52" s="11"/>
      <c r="M52" s="11"/>
    </row>
    <row r="53" spans="1:13" ht="15" customHeight="1" x14ac:dyDescent="0.3">
      <c r="A53" s="11"/>
      <c r="B53" s="188" t="s">
        <v>61</v>
      </c>
      <c r="C53" s="188"/>
      <c r="D53" s="188"/>
      <c r="E53" s="188"/>
      <c r="F53" s="188"/>
      <c r="G53" s="11"/>
      <c r="H53" s="11"/>
      <c r="I53" s="11"/>
      <c r="J53" s="11"/>
      <c r="K53" s="11"/>
      <c r="L53" s="11"/>
      <c r="M53" s="11"/>
    </row>
    <row r="54" spans="1:13" ht="15" customHeight="1" x14ac:dyDescent="0.3">
      <c r="A54" s="11"/>
      <c r="B54" s="187" t="s">
        <v>29</v>
      </c>
      <c r="C54" s="187"/>
      <c r="D54" s="187"/>
      <c r="E54" s="187"/>
      <c r="F54" s="187"/>
      <c r="G54" s="11"/>
      <c r="H54" s="11"/>
      <c r="I54" s="11"/>
      <c r="J54" s="11"/>
      <c r="K54" s="11"/>
      <c r="L54" s="11"/>
      <c r="M54" s="11"/>
    </row>
    <row r="55" spans="1:13" ht="15" customHeight="1" x14ac:dyDescent="0.3">
      <c r="A55" s="11"/>
      <c r="B55" s="11"/>
      <c r="C55" s="11"/>
      <c r="D55" s="11"/>
      <c r="E55" s="11"/>
      <c r="F55" s="11"/>
      <c r="G55" s="11"/>
      <c r="H55" s="11"/>
      <c r="I55" s="11"/>
      <c r="J55" s="11"/>
      <c r="K55" s="11"/>
      <c r="L55" s="11"/>
      <c r="M55" s="11"/>
    </row>
    <row r="56" spans="1:13" ht="15" customHeight="1" x14ac:dyDescent="0.3">
      <c r="A56" s="11"/>
      <c r="B56" s="11"/>
      <c r="C56" s="11"/>
      <c r="D56" s="11"/>
      <c r="E56" s="11"/>
      <c r="F56" s="11"/>
      <c r="G56" s="11"/>
      <c r="H56" s="11"/>
      <c r="I56" s="11"/>
      <c r="J56" s="11"/>
      <c r="K56" s="11"/>
      <c r="L56" s="11"/>
      <c r="M56" s="11"/>
    </row>
    <row r="57" spans="1:13" ht="15" customHeight="1" x14ac:dyDescent="0.3">
      <c r="A57" s="11"/>
      <c r="B57" s="11"/>
      <c r="C57" s="11"/>
      <c r="D57" s="11"/>
      <c r="E57" s="11"/>
      <c r="F57" s="11"/>
      <c r="G57" s="11"/>
      <c r="H57" s="11"/>
      <c r="I57" s="11"/>
      <c r="J57" s="11"/>
      <c r="K57" s="11"/>
      <c r="L57" s="11"/>
      <c r="M57" s="11"/>
    </row>
    <row r="58" spans="1:13" ht="14.25" customHeight="1" x14ac:dyDescent="0.3">
      <c r="A58" s="11"/>
      <c r="B58" s="11"/>
      <c r="C58" s="11"/>
      <c r="D58" s="11"/>
      <c r="E58" s="11"/>
      <c r="F58" s="11"/>
      <c r="G58" s="11"/>
      <c r="H58" s="11"/>
      <c r="I58" s="11"/>
      <c r="J58" s="11"/>
      <c r="K58" s="11"/>
      <c r="L58" s="11"/>
      <c r="M58" s="11"/>
    </row>
    <row r="59" spans="1:13" ht="14.25" customHeight="1" x14ac:dyDescent="0.3">
      <c r="A59" s="11"/>
      <c r="B59" s="11"/>
      <c r="C59" s="11"/>
      <c r="D59" s="11"/>
      <c r="E59" s="11"/>
      <c r="F59" s="11"/>
      <c r="G59" s="11"/>
      <c r="H59" s="11"/>
      <c r="I59" s="11"/>
      <c r="J59" s="11"/>
      <c r="K59" s="11"/>
      <c r="L59" s="11"/>
      <c r="M59" s="11"/>
    </row>
    <row r="60" spans="1:13" ht="14.25" customHeight="1" x14ac:dyDescent="0.3">
      <c r="A60" s="11"/>
      <c r="B60" s="11"/>
      <c r="C60" s="11"/>
      <c r="D60" s="11"/>
      <c r="E60" s="11"/>
      <c r="F60" s="11"/>
      <c r="G60" s="11"/>
      <c r="H60" s="11"/>
      <c r="I60" s="11"/>
      <c r="J60" s="11"/>
      <c r="K60" s="11"/>
      <c r="L60" s="11"/>
      <c r="M60" s="11"/>
    </row>
    <row r="61" spans="1:13" ht="14.25" customHeight="1" x14ac:dyDescent="0.3">
      <c r="A61" s="11"/>
      <c r="B61" s="11"/>
      <c r="C61" s="11"/>
      <c r="D61" s="11"/>
      <c r="E61" s="11"/>
      <c r="F61" s="11"/>
      <c r="G61" s="11"/>
      <c r="H61" s="11"/>
      <c r="I61" s="11"/>
      <c r="J61" s="11"/>
      <c r="K61" s="11"/>
      <c r="L61" s="11"/>
      <c r="M61" s="11"/>
    </row>
    <row r="62" spans="1:13" ht="14.25" customHeight="1" x14ac:dyDescent="0.3"/>
    <row r="63" spans="1:13" ht="14.25" customHeight="1" x14ac:dyDescent="0.3"/>
    <row r="64" spans="1:13" ht="14.25" customHeight="1" x14ac:dyDescent="0.3"/>
  </sheetData>
  <mergeCells count="33">
    <mergeCell ref="C40:D40"/>
    <mergeCell ref="C36:D36"/>
    <mergeCell ref="B5:E5"/>
    <mergeCell ref="B2:G2"/>
    <mergeCell ref="B3:G3"/>
    <mergeCell ref="C47:D47"/>
    <mergeCell ref="B26:D27"/>
    <mergeCell ref="F31:F33"/>
    <mergeCell ref="G31:G33"/>
    <mergeCell ref="C42:D42"/>
    <mergeCell ref="C43:D43"/>
    <mergeCell ref="C44:D44"/>
    <mergeCell ref="C45:D45"/>
    <mergeCell ref="C46:D46"/>
    <mergeCell ref="C37:D37"/>
    <mergeCell ref="C38:D38"/>
    <mergeCell ref="C39:D39"/>
    <mergeCell ref="B54:F54"/>
    <mergeCell ref="B53:F53"/>
    <mergeCell ref="B52:F52"/>
    <mergeCell ref="B15:E15"/>
    <mergeCell ref="B17:E17"/>
    <mergeCell ref="C32:D32"/>
    <mergeCell ref="C33:D33"/>
    <mergeCell ref="C34:D34"/>
    <mergeCell ref="B25:G25"/>
    <mergeCell ref="F26:G27"/>
    <mergeCell ref="C28:D28"/>
    <mergeCell ref="C29:D29"/>
    <mergeCell ref="C30:D30"/>
    <mergeCell ref="C31:D31"/>
    <mergeCell ref="C41:D41"/>
    <mergeCell ref="C35:D35"/>
  </mergeCells>
  <conditionalFormatting sqref="B26:D47">
    <cfRule type="expression" dxfId="2" priority="2">
      <formula>$G$19="Graded"</formula>
    </cfRule>
    <cfRule type="containsText" dxfId="1" priority="3" operator="containsText" text="Graded">
      <formula>NOT(ISERROR(SEARCH("Graded",B26)))</formula>
    </cfRule>
  </conditionalFormatting>
  <conditionalFormatting sqref="F26:G47">
    <cfRule type="expression" dxfId="0" priority="1">
      <formula>$G$19="Flat"</formula>
    </cfRule>
  </conditionalFormatting>
  <dataValidations count="12">
    <dataValidation type="list" showErrorMessage="1" errorTitle="Invalid Plan" error="Please select Basic, Standard, or Pro." sqref="C28 G28" xr:uid="{00000000-0002-0000-0000-000000000000}">
      <formula1>"Basic,Standard,Pro"</formula1>
      <formula2>0</formula2>
    </dataValidation>
    <dataValidation type="list" showErrorMessage="1" errorTitle="Invalid Industry" error="Please select a valid industry." sqref="C29 G29" xr:uid="{00000000-0002-0000-0000-000001000000}">
      <formula1>"IT / ITES / BPO / KPO,Financial Services / Consultancy / Insurance,Retailers / Trader / Wholesaler,Hotel Industry,Manufacturing,Construction"</formula1>
      <formula2>0</formula2>
    </dataValidation>
    <dataValidation type="whole" showErrorMessage="1" errorTitle="Invalid No. of Employees" error="Must be between 7 and 500 as per Tata AIG terms." sqref="C32" xr:uid="{00000000-0002-0000-0000-000002000000}">
      <formula1>7</formula1>
      <formula2>500</formula2>
    </dataValidation>
    <dataValidation type="list" allowBlank="1" showInputMessage="1" showErrorMessage="1" sqref="G11" xr:uid="{29C41C11-1868-4E92-9509-28980CE4F3DA}">
      <formula1>"Fresh,Market Rollover"</formula1>
    </dataValidation>
    <dataValidation type="list" allowBlank="1" showInputMessage="1" showErrorMessage="1" sqref="G12" xr:uid="{B16E9B3B-A0DC-45CB-BC05-6FA86E0A3BF9}">
      <formula1>"Named"</formula1>
    </dataValidation>
    <dataValidation type="list" allowBlank="1" showInputMessage="1" showErrorMessage="1" sqref="G15" xr:uid="{4562BD8D-B1F7-4588-9AE9-656FEB6556D7}">
      <formula1>"Only Permanent Employees of the company are covered."</formula1>
    </dataValidation>
    <dataValidation type="list" allowBlank="1" showInputMessage="1" showErrorMessage="1" sqref="G14" xr:uid="{E23612A3-56CB-471A-A984-15BD30ABC29E}">
      <formula1>"Employer-Employee"</formula1>
    </dataValidation>
    <dataValidation type="list" allowBlank="1" showInputMessage="1" showErrorMessage="1" sqref="G17" xr:uid="{7EFD83BB-F911-4AC2-90D6-3C8FBB20CF77}">
      <formula1>"0%"</formula1>
    </dataValidation>
    <dataValidation type="list" allowBlank="1" showInputMessage="1" showErrorMessage="1" sqref="G10" xr:uid="{2CA3C9A7-946B-4F13-8F7D-9536DE2CD873}">
      <formula1>"Safetynet Innovations PVT LTD / 2350090000"</formula1>
    </dataValidation>
    <dataValidation type="list" allowBlank="1" showInputMessage="1" showErrorMessage="1" sqref="G18" xr:uid="{15CEAFA4-E993-4A94-9E72-4879777FEBDC}">
      <formula1>"Mumbai - Peninsula"</formula1>
    </dataValidation>
    <dataValidation type="list" allowBlank="1" showInputMessage="1" showErrorMessage="1" sqref="G19" xr:uid="{F3346862-C81A-41CA-A32C-9F62DB0E80D3}">
      <formula1>"Flat, Graded"</formula1>
    </dataValidation>
    <dataValidation type="date" allowBlank="1" showInputMessage="1" showErrorMessage="1" sqref="G6 G8" xr:uid="{08920DBD-6633-4927-838B-83B01B857807}">
      <formula1>46113</formula1>
      <formula2>46477</formula2>
    </dataValidation>
  </dataValidations>
  <pageMargins left="0.7" right="0.7" top="0.75" bottom="0.75"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31"/>
  <sheetViews>
    <sheetView showGridLines="0" zoomScaleNormal="100" workbookViewId="0">
      <pane xSplit="2" ySplit="2" topLeftCell="C3" activePane="bottomRight" state="frozen"/>
      <selection pane="topRight" activeCell="C1" sqref="C1"/>
      <selection pane="bottomLeft" activeCell="A6" sqref="A6"/>
      <selection pane="bottomRight" activeCell="D7" sqref="D7"/>
    </sheetView>
  </sheetViews>
  <sheetFormatPr defaultColWidth="8.5546875" defaultRowHeight="14.4" x14ac:dyDescent="0.3"/>
  <cols>
    <col min="1" max="1" width="2.44140625" customWidth="1"/>
    <col min="2" max="2" width="37.77734375" customWidth="1"/>
    <col min="3" max="5" width="50" customWidth="1"/>
  </cols>
  <sheetData>
    <row r="1" spans="2:5" ht="15.75" customHeight="1" thickBot="1" x14ac:dyDescent="0.35">
      <c r="B1" s="34" t="s">
        <v>75</v>
      </c>
      <c r="C1" s="33"/>
      <c r="D1" s="33"/>
      <c r="E1" s="33"/>
    </row>
    <row r="2" spans="2:5" ht="15" customHeight="1" x14ac:dyDescent="0.3">
      <c r="B2" s="35" t="s">
        <v>30</v>
      </c>
      <c r="C2" s="36" t="s">
        <v>4</v>
      </c>
      <c r="D2" s="37" t="s">
        <v>5</v>
      </c>
      <c r="E2" s="38" t="s">
        <v>6</v>
      </c>
    </row>
    <row r="3" spans="2:5" ht="14.25" customHeight="1" x14ac:dyDescent="0.3">
      <c r="B3" s="39" t="s">
        <v>31</v>
      </c>
      <c r="C3" s="40" t="s">
        <v>32</v>
      </c>
      <c r="D3" s="40" t="s">
        <v>32</v>
      </c>
      <c r="E3" s="41" t="s">
        <v>32</v>
      </c>
    </row>
    <row r="4" spans="2:5" ht="14.25" customHeight="1" x14ac:dyDescent="0.3">
      <c r="B4" s="382" t="s">
        <v>33</v>
      </c>
      <c r="C4" s="40" t="s">
        <v>34</v>
      </c>
      <c r="D4" s="40" t="s">
        <v>34</v>
      </c>
      <c r="E4" s="41" t="s">
        <v>34</v>
      </c>
    </row>
    <row r="5" spans="2:5" ht="14.25" customHeight="1" x14ac:dyDescent="0.3">
      <c r="B5" s="383"/>
      <c r="C5" s="40" t="s">
        <v>35</v>
      </c>
      <c r="D5" s="40" t="s">
        <v>35</v>
      </c>
      <c r="E5" s="41" t="s">
        <v>35</v>
      </c>
    </row>
    <row r="6" spans="2:5" ht="14.25" customHeight="1" x14ac:dyDescent="0.3">
      <c r="B6" s="39" t="s">
        <v>36</v>
      </c>
      <c r="C6" s="40" t="s">
        <v>37</v>
      </c>
      <c r="D6" s="40" t="s">
        <v>37</v>
      </c>
      <c r="E6" s="41" t="s">
        <v>37</v>
      </c>
    </row>
    <row r="7" spans="2:5" ht="14.25" customHeight="1" x14ac:dyDescent="0.3">
      <c r="B7" s="39" t="s">
        <v>38</v>
      </c>
      <c r="C7" s="69" t="s">
        <v>39</v>
      </c>
      <c r="D7" s="69" t="s">
        <v>39</v>
      </c>
      <c r="E7" s="70" t="s">
        <v>39</v>
      </c>
    </row>
    <row r="8" spans="2:5" ht="14.25" customHeight="1" x14ac:dyDescent="0.3">
      <c r="B8" s="39" t="s">
        <v>40</v>
      </c>
      <c r="C8" s="40" t="s">
        <v>41</v>
      </c>
      <c r="D8" s="40" t="s">
        <v>41</v>
      </c>
      <c r="E8" s="41" t="s">
        <v>41</v>
      </c>
    </row>
    <row r="9" spans="2:5" ht="15" customHeight="1" thickBot="1" x14ac:dyDescent="0.35">
      <c r="B9" s="32" t="s">
        <v>42</v>
      </c>
      <c r="C9" s="42" t="s">
        <v>43</v>
      </c>
      <c r="D9" s="42" t="s">
        <v>43</v>
      </c>
      <c r="E9" s="43" t="s">
        <v>43</v>
      </c>
    </row>
    <row r="10" spans="2:5" s="18" customFormat="1" ht="15.75" customHeight="1" thickBot="1" x14ac:dyDescent="0.35">
      <c r="B10" s="44" t="s">
        <v>44</v>
      </c>
      <c r="C10" s="45" t="s">
        <v>45</v>
      </c>
      <c r="D10" s="45" t="s">
        <v>45</v>
      </c>
      <c r="E10" s="46" t="s">
        <v>45</v>
      </c>
    </row>
    <row r="11" spans="2:5" ht="14.25" customHeight="1" x14ac:dyDescent="0.3">
      <c r="B11" s="47" t="s">
        <v>46</v>
      </c>
      <c r="C11" s="48">
        <v>0.15</v>
      </c>
      <c r="D11" s="48">
        <v>0.2</v>
      </c>
      <c r="E11" s="49">
        <v>0.25</v>
      </c>
    </row>
    <row r="12" spans="2:5" ht="14.25" customHeight="1" x14ac:dyDescent="0.3">
      <c r="B12" s="50" t="s">
        <v>11</v>
      </c>
      <c r="C12" s="51">
        <v>0.2</v>
      </c>
      <c r="D12" s="51">
        <v>0.3</v>
      </c>
      <c r="E12" s="52">
        <v>0.32</v>
      </c>
    </row>
    <row r="13" spans="2:5" ht="14.25" customHeight="1" x14ac:dyDescent="0.3">
      <c r="B13" s="50" t="s">
        <v>8</v>
      </c>
      <c r="C13" s="51">
        <v>0.15</v>
      </c>
      <c r="D13" s="51">
        <v>0.2</v>
      </c>
      <c r="E13" s="52">
        <v>0.25</v>
      </c>
    </row>
    <row r="14" spans="2:5" ht="14.25" customHeight="1" x14ac:dyDescent="0.3">
      <c r="B14" s="50" t="s">
        <v>12</v>
      </c>
      <c r="C14" s="51">
        <v>0.26</v>
      </c>
      <c r="D14" s="51">
        <v>0.32</v>
      </c>
      <c r="E14" s="52">
        <v>0.4</v>
      </c>
    </row>
    <row r="15" spans="2:5" ht="14.25" customHeight="1" x14ac:dyDescent="0.3">
      <c r="B15" s="50" t="s">
        <v>9</v>
      </c>
      <c r="C15" s="51">
        <v>0.2</v>
      </c>
      <c r="D15" s="51">
        <v>0.25</v>
      </c>
      <c r="E15" s="52">
        <v>0.3</v>
      </c>
    </row>
    <row r="16" spans="2:5" ht="15" customHeight="1" thickBot="1" x14ac:dyDescent="0.35">
      <c r="B16" s="53" t="s">
        <v>10</v>
      </c>
      <c r="C16" s="54">
        <v>0.2</v>
      </c>
      <c r="D16" s="54">
        <v>0.25</v>
      </c>
      <c r="E16" s="55">
        <v>0.3</v>
      </c>
    </row>
    <row r="17" spans="2:5" ht="15.75" customHeight="1" thickBot="1" x14ac:dyDescent="0.35">
      <c r="B17" s="56" t="s">
        <v>47</v>
      </c>
      <c r="C17" s="57"/>
      <c r="D17" s="57"/>
      <c r="E17" s="58"/>
    </row>
    <row r="18" spans="2:5" ht="15.6" x14ac:dyDescent="0.3">
      <c r="B18" s="59" t="s">
        <v>48</v>
      </c>
      <c r="C18" s="60" t="s">
        <v>49</v>
      </c>
      <c r="D18" s="60" t="s">
        <v>49</v>
      </c>
      <c r="E18" s="61" t="s">
        <v>49</v>
      </c>
    </row>
    <row r="19" spans="2:5" ht="15.6" x14ac:dyDescent="0.3">
      <c r="B19" s="62" t="s">
        <v>50</v>
      </c>
      <c r="C19" s="63" t="s">
        <v>49</v>
      </c>
      <c r="D19" s="63" t="s">
        <v>49</v>
      </c>
      <c r="E19" s="64" t="s">
        <v>49</v>
      </c>
    </row>
    <row r="20" spans="2:5" ht="15.6" x14ac:dyDescent="0.3">
      <c r="B20" s="62" t="s">
        <v>51</v>
      </c>
      <c r="C20" s="63" t="s">
        <v>52</v>
      </c>
      <c r="D20" s="63" t="s">
        <v>52</v>
      </c>
      <c r="E20" s="64" t="s">
        <v>52</v>
      </c>
    </row>
    <row r="21" spans="2:5" ht="78.599999999999994" thickBot="1" x14ac:dyDescent="0.35">
      <c r="B21" s="66" t="s">
        <v>58</v>
      </c>
      <c r="C21" s="67" t="s">
        <v>59</v>
      </c>
      <c r="D21" s="67" t="s">
        <v>59</v>
      </c>
      <c r="E21" s="68" t="s">
        <v>79</v>
      </c>
    </row>
    <row r="22" spans="2:5" ht="46.8" x14ac:dyDescent="0.3">
      <c r="B22" s="62" t="s">
        <v>80</v>
      </c>
      <c r="C22" s="63" t="s">
        <v>76</v>
      </c>
      <c r="D22" s="71" t="s">
        <v>53</v>
      </c>
      <c r="E22" s="71" t="s">
        <v>53</v>
      </c>
    </row>
    <row r="23" spans="2:5" ht="86.4" x14ac:dyDescent="0.3">
      <c r="B23" s="62" t="s">
        <v>56</v>
      </c>
      <c r="C23" s="167" t="s">
        <v>57</v>
      </c>
      <c r="D23" s="167" t="s">
        <v>77</v>
      </c>
      <c r="E23" s="169" t="s">
        <v>78</v>
      </c>
    </row>
    <row r="24" spans="2:5" ht="15.6" x14ac:dyDescent="0.3">
      <c r="B24" s="62" t="s">
        <v>54</v>
      </c>
      <c r="C24" s="65" t="s">
        <v>55</v>
      </c>
      <c r="D24" s="72">
        <v>5000</v>
      </c>
      <c r="E24" s="73">
        <v>5000</v>
      </c>
    </row>
    <row r="27" spans="2:5" ht="15.6" x14ac:dyDescent="0.3">
      <c r="B27" s="166" t="s">
        <v>118</v>
      </c>
      <c r="C27" t="s">
        <v>191</v>
      </c>
      <c r="D27" t="s">
        <v>191</v>
      </c>
      <c r="E27" t="s">
        <v>199</v>
      </c>
    </row>
    <row r="28" spans="2:5" ht="15.6" x14ac:dyDescent="0.3">
      <c r="B28" s="166" t="s">
        <v>188</v>
      </c>
      <c r="C28" t="s">
        <v>192</v>
      </c>
      <c r="D28" t="s">
        <v>192</v>
      </c>
      <c r="E28" t="s">
        <v>192</v>
      </c>
    </row>
    <row r="29" spans="2:5" ht="15.6" x14ac:dyDescent="0.3">
      <c r="B29" s="166" t="s">
        <v>189</v>
      </c>
      <c r="C29" t="s">
        <v>193</v>
      </c>
      <c r="D29" t="s">
        <v>195</v>
      </c>
      <c r="E29" t="s">
        <v>200</v>
      </c>
    </row>
    <row r="30" spans="2:5" ht="15.6" x14ac:dyDescent="0.3">
      <c r="B30" s="166" t="s">
        <v>190</v>
      </c>
      <c r="C30" t="s">
        <v>194</v>
      </c>
      <c r="D30" s="168" t="s">
        <v>196</v>
      </c>
      <c r="E30" t="s">
        <v>201</v>
      </c>
    </row>
    <row r="31" spans="2:5" ht="15.6" x14ac:dyDescent="0.3">
      <c r="B31" s="166" t="s">
        <v>198</v>
      </c>
      <c r="C31" t="s">
        <v>55</v>
      </c>
      <c r="D31" t="s">
        <v>197</v>
      </c>
      <c r="E31" t="s">
        <v>192</v>
      </c>
    </row>
  </sheetData>
  <mergeCells count="1">
    <mergeCell ref="B4:B5"/>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E5"/>
  <sheetViews>
    <sheetView showGridLines="0" zoomScale="174" zoomScaleNormal="100" workbookViewId="0">
      <selection activeCell="C12" sqref="C12"/>
    </sheetView>
  </sheetViews>
  <sheetFormatPr defaultColWidth="8.5546875" defaultRowHeight="14.4" x14ac:dyDescent="0.3"/>
  <cols>
    <col min="2" max="5" width="21" customWidth="1"/>
  </cols>
  <sheetData>
    <row r="3" spans="2:5" ht="14.25" customHeight="1" x14ac:dyDescent="0.3">
      <c r="B3" s="19" t="s">
        <v>16</v>
      </c>
      <c r="C3" s="20">
        <v>7.4999999999999997E-2</v>
      </c>
      <c r="D3" s="20">
        <v>7.4999999999999997E-2</v>
      </c>
      <c r="E3" s="20">
        <v>7.4999999999999997E-2</v>
      </c>
    </row>
    <row r="4" spans="2:5" ht="14.25" customHeight="1" x14ac:dyDescent="0.3">
      <c r="B4" s="19" t="s">
        <v>60</v>
      </c>
      <c r="C4" s="21">
        <v>7.4999999999999997E-2</v>
      </c>
      <c r="D4" s="21">
        <v>7.4999999999999997E-2</v>
      </c>
      <c r="E4" s="21">
        <v>7.4999999999999997E-2</v>
      </c>
    </row>
    <row r="5" spans="2:5" ht="28.5" customHeight="1" x14ac:dyDescent="0.3">
      <c r="B5" s="19" t="s">
        <v>19</v>
      </c>
      <c r="C5" s="22" t="s">
        <v>20</v>
      </c>
      <c r="D5" s="22" t="s">
        <v>20</v>
      </c>
      <c r="E5" s="22" t="s">
        <v>20</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16"/>
  <sheetViews>
    <sheetView showGridLines="0" zoomScaleNormal="100" workbookViewId="0">
      <selection activeCell="A16" sqref="A16:XFD21"/>
    </sheetView>
  </sheetViews>
  <sheetFormatPr defaultColWidth="8.5546875" defaultRowHeight="14.4" x14ac:dyDescent="0.3"/>
  <cols>
    <col min="2" max="2" width="85.77734375" customWidth="1"/>
  </cols>
  <sheetData>
    <row r="2" spans="1:3" ht="14.55" customHeight="1" x14ac:dyDescent="0.3">
      <c r="A2" s="384" t="s">
        <v>81</v>
      </c>
      <c r="B2" s="384"/>
      <c r="C2" s="384"/>
    </row>
    <row r="3" spans="1:3" x14ac:dyDescent="0.3">
      <c r="A3">
        <v>1</v>
      </c>
      <c r="B3" s="75" t="s">
        <v>82</v>
      </c>
    </row>
    <row r="4" spans="1:3" x14ac:dyDescent="0.3">
      <c r="A4">
        <v>2</v>
      </c>
      <c r="B4" s="75" t="s">
        <v>83</v>
      </c>
    </row>
    <row r="5" spans="1:3" ht="14.25" customHeight="1" x14ac:dyDescent="0.3">
      <c r="A5">
        <v>3</v>
      </c>
      <c r="B5" s="75" t="s">
        <v>84</v>
      </c>
    </row>
    <row r="6" spans="1:3" x14ac:dyDescent="0.3">
      <c r="A6">
        <v>4</v>
      </c>
      <c r="B6" s="75" t="s">
        <v>85</v>
      </c>
    </row>
    <row r="7" spans="1:3" x14ac:dyDescent="0.3">
      <c r="A7">
        <v>5</v>
      </c>
      <c r="B7" s="75" t="s">
        <v>86</v>
      </c>
    </row>
    <row r="8" spans="1:3" x14ac:dyDescent="0.3">
      <c r="A8">
        <v>6</v>
      </c>
      <c r="B8" s="75" t="s">
        <v>87</v>
      </c>
    </row>
    <row r="9" spans="1:3" x14ac:dyDescent="0.3">
      <c r="A9">
        <v>7</v>
      </c>
      <c r="B9" s="75" t="s">
        <v>88</v>
      </c>
    </row>
    <row r="10" spans="1:3" x14ac:dyDescent="0.3">
      <c r="A10">
        <v>8</v>
      </c>
      <c r="B10" s="75" t="s">
        <v>89</v>
      </c>
    </row>
    <row r="11" spans="1:3" x14ac:dyDescent="0.3">
      <c r="A11">
        <v>9</v>
      </c>
      <c r="B11" s="75" t="s">
        <v>90</v>
      </c>
    </row>
    <row r="12" spans="1:3" x14ac:dyDescent="0.3">
      <c r="A12">
        <v>10</v>
      </c>
      <c r="B12" s="75" t="s">
        <v>91</v>
      </c>
    </row>
    <row r="13" spans="1:3" x14ac:dyDescent="0.3">
      <c r="A13">
        <v>11</v>
      </c>
      <c r="B13" s="75" t="s">
        <v>92</v>
      </c>
    </row>
    <row r="14" spans="1:3" x14ac:dyDescent="0.3">
      <c r="A14">
        <v>12</v>
      </c>
      <c r="B14" s="75" t="s">
        <v>93</v>
      </c>
    </row>
    <row r="15" spans="1:3" x14ac:dyDescent="0.3">
      <c r="B15" s="75" t="s">
        <v>94</v>
      </c>
    </row>
    <row r="16" spans="1:3" x14ac:dyDescent="0.3">
      <c r="B16" s="75" t="s">
        <v>94</v>
      </c>
    </row>
  </sheetData>
  <mergeCells count="1">
    <mergeCell ref="A2:C2"/>
  </mergeCells>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edf6b5f7-d342-49f2-86e7-16b167db190f" xsi:nil="true"/>
    <TaxCatchAll xmlns="2b47590b-d718-474f-a7b3-10b44959738c" xsi:nil="true"/>
    <lcf76f155ced4ddcb4097134ff3c332f xmlns="edf6b5f7-d342-49f2-86e7-16b167db190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0BD4E4ACEE17047B2CD88717FF8D421" ma:contentTypeVersion="21" ma:contentTypeDescription="Create a new document." ma:contentTypeScope="" ma:versionID="a39149432796a8a5ac3476c29ac77687">
  <xsd:schema xmlns:xsd="http://www.w3.org/2001/XMLSchema" xmlns:xs="http://www.w3.org/2001/XMLSchema" xmlns:p="http://schemas.microsoft.com/office/2006/metadata/properties" xmlns:ns2="edf6b5f7-d342-49f2-86e7-16b167db190f" xmlns:ns3="2b47590b-d718-474f-a7b3-10b44959738c" targetNamespace="http://schemas.microsoft.com/office/2006/metadata/properties" ma:root="true" ma:fieldsID="1a52db9392da18844b66f7fc49b74c14" ns2:_="" ns3:_="">
    <xsd:import namespace="edf6b5f7-d342-49f2-86e7-16b167db190f"/>
    <xsd:import namespace="2b47590b-d718-474f-a7b3-10b44959738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6b5f7-d342-49f2-86e7-16b167db19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54ba23b-1f8a-4162-98cf-07c68cba3f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47590b-d718-474f-a7b3-10b44959738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d814ff0-5522-4f97-b5fe-6179ba350c79}" ma:internalName="TaxCatchAll" ma:showField="CatchAllData" ma:web="2b47590b-d718-474f-a7b3-10b4495973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F29DCA-1840-44C5-B1DD-D3747967CE81}">
  <ds:schemaRefs>
    <ds:schemaRef ds:uri="http://schemas.microsoft.com/office/2006/metadata/properties"/>
    <ds:schemaRef ds:uri="http://schemas.microsoft.com/office/infopath/2007/PartnerControls"/>
    <ds:schemaRef ds:uri="edf6b5f7-d342-49f2-86e7-16b167db190f"/>
    <ds:schemaRef ds:uri="2b47590b-d718-474f-a7b3-10b44959738c"/>
  </ds:schemaRefs>
</ds:datastoreItem>
</file>

<file path=customXml/itemProps2.xml><?xml version="1.0" encoding="utf-8"?>
<ds:datastoreItem xmlns:ds="http://schemas.openxmlformats.org/officeDocument/2006/customXml" ds:itemID="{BDA9370C-561B-465E-9E0E-1C0B6FB84D60}">
  <ds:schemaRefs>
    <ds:schemaRef ds:uri="http://schemas.microsoft.com/sharepoint/v3/contenttype/forms"/>
  </ds:schemaRefs>
</ds:datastoreItem>
</file>

<file path=customXml/itemProps3.xml><?xml version="1.0" encoding="utf-8"?>
<ds:datastoreItem xmlns:ds="http://schemas.openxmlformats.org/officeDocument/2006/customXml" ds:itemID="{19C4A00B-66E4-46EA-BBBE-592D20A0C7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f6b5f7-d342-49f2-86e7-16b167db190f"/>
    <ds:schemaRef ds:uri="2b47590b-d718-474f-a7b3-10b4495973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QUOTE LETTER - Operations</vt:lpstr>
      <vt:lpstr>QUOTE LETTER - Client</vt:lpstr>
      <vt:lpstr>Rater</vt:lpstr>
      <vt:lpstr>Policy Terms</vt:lpstr>
      <vt:lpstr>Commissions</vt:lpstr>
      <vt:lpstr>Decline List</vt:lpstr>
      <vt:lpstr>'QUOTE LETTER - Client'!Print_Area</vt:lpstr>
      <vt:lpstr>'QUOTE LETTER - Operations'!Print_Area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Abhang, Santosh</dc:creator>
  <dc:description/>
  <cp:lastModifiedBy>Anjali Wagh</cp:lastModifiedBy>
  <cp:revision>0</cp:revision>
  <cp:lastPrinted>2026-07-02T05:50:43Z</cp:lastPrinted>
  <dcterms:created xsi:type="dcterms:W3CDTF">2026-04-24T07:21:08Z</dcterms:created>
  <dcterms:modified xsi:type="dcterms:W3CDTF">2026-07-02T05:51:21Z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0x01010070BD4E4ACEE17047B2CD88717FF8D421</vt:lpwstr>
  </property>
  <property fmtid="{D5CDD505-2E9C-101B-9397-08002B2CF9AE}" pid="3" name="MediaServiceImageTags">
    <vt:lpwstr/>
  </property>
</Properties>
</file>